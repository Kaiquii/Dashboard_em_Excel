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kaiqu\Documents\Dashboard_Excel\outputs\CQ_Produto_Acabado_Procyfloc_2026\"/>
    </mc:Choice>
  </mc:AlternateContent>
  <xr:revisionPtr revIDLastSave="0" documentId="13_ncr:1_{2FAD5C7A-390E-4C9D-9E12-C4B2E8E8A482}" xr6:coauthVersionLast="47" xr6:coauthVersionMax="47" xr10:uidLastSave="{00000000-0000-0000-0000-000000000000}"/>
  <bookViews>
    <workbookView xWindow="-108" yWindow="-108" windowWidth="23256" windowHeight="12456" tabRatio="749" xr2:uid="{00000000-000D-0000-FFFF-FFFF00000000}"/>
  </bookViews>
  <sheets>
    <sheet name="Dashboard2" sheetId="1" r:id="rId1"/>
    <sheet name="MENU" sheetId="2" r:id="rId2"/>
    <sheet name="Procyfloc GS50" sheetId="3" r:id="rId3"/>
    <sheet name="Procyflo 27TC" sheetId="4" r:id="rId4"/>
    <sheet name="Procyfloc 500" sheetId="5" r:id="rId5"/>
    <sheet name="Procyflof 700" sheetId="6" r:id="rId6"/>
    <sheet name="Procyfloc 956A" sheetId="7" r:id="rId7"/>
    <sheet name="Procyfloc 1009" sheetId="8" r:id="rId8"/>
    <sheet name="Procyfloc 4800" sheetId="9" r:id="rId9"/>
    <sheet name="Procyfloc AL200" sheetId="10" r:id="rId10"/>
    <sheet name="PADRÃO " sheetId="11" r:id="rId11"/>
  </sheets>
  <definedNames>
    <definedName name="_xlnm.Print_Area" localSheetId="0">Dashboard2!$A$1:$W$99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4001" i="1" l="1"/>
  <c r="AA4001" i="1"/>
  <c r="AB4000" i="1"/>
  <c r="AA4000" i="1"/>
  <c r="AB3999" i="1"/>
  <c r="AA3999" i="1"/>
  <c r="AB3998" i="1"/>
  <c r="AA3998" i="1"/>
  <c r="AB3997" i="1"/>
  <c r="AA3997" i="1"/>
  <c r="AB3996" i="1"/>
  <c r="AA3996" i="1"/>
  <c r="AB3995" i="1"/>
  <c r="AA3995" i="1"/>
  <c r="AB3994" i="1"/>
  <c r="AA3994" i="1"/>
  <c r="AB3993" i="1"/>
  <c r="AA3993" i="1"/>
  <c r="AB3992" i="1"/>
  <c r="AA3992" i="1"/>
  <c r="AB3991" i="1"/>
  <c r="AA3991" i="1"/>
  <c r="AB3990" i="1"/>
  <c r="AA3990" i="1"/>
  <c r="AB3989" i="1"/>
  <c r="AA3989" i="1"/>
  <c r="AB3988" i="1"/>
  <c r="AA3988" i="1"/>
  <c r="AB3987" i="1"/>
  <c r="AA3987" i="1"/>
  <c r="AB3986" i="1"/>
  <c r="AA3986" i="1"/>
  <c r="AB3985" i="1"/>
  <c r="AA3985" i="1"/>
  <c r="AB3984" i="1"/>
  <c r="AA3984" i="1"/>
  <c r="AB3983" i="1"/>
  <c r="AA3983" i="1"/>
  <c r="AB3982" i="1"/>
  <c r="AA3982" i="1"/>
  <c r="AB3981" i="1"/>
  <c r="AA3981" i="1"/>
  <c r="AB3980" i="1"/>
  <c r="AA3980" i="1"/>
  <c r="AB3979" i="1"/>
  <c r="AA3979" i="1"/>
  <c r="AB3978" i="1"/>
  <c r="AA3978" i="1"/>
  <c r="AB3977" i="1"/>
  <c r="AA3977" i="1"/>
  <c r="AB3976" i="1"/>
  <c r="AA3976" i="1"/>
  <c r="AB3975" i="1"/>
  <c r="AA3975" i="1"/>
  <c r="AB3974" i="1"/>
  <c r="AA3974" i="1"/>
  <c r="AB3973" i="1"/>
  <c r="AA3973" i="1"/>
  <c r="AB3972" i="1"/>
  <c r="AA3972" i="1"/>
  <c r="AB3971" i="1"/>
  <c r="AA3971" i="1"/>
  <c r="AB3970" i="1"/>
  <c r="AA3970" i="1"/>
  <c r="AB3969" i="1"/>
  <c r="AA3969" i="1"/>
  <c r="AB3968" i="1"/>
  <c r="AA3968" i="1"/>
  <c r="AB3967" i="1"/>
  <c r="AA3967" i="1"/>
  <c r="AB3966" i="1"/>
  <c r="AA3966" i="1"/>
  <c r="AB3965" i="1"/>
  <c r="AA3965" i="1"/>
  <c r="AB3964" i="1"/>
  <c r="AA3964" i="1"/>
  <c r="AB3963" i="1"/>
  <c r="AA3963" i="1"/>
  <c r="AB3962" i="1"/>
  <c r="AA3962" i="1"/>
  <c r="AB3961" i="1"/>
  <c r="AA3961" i="1"/>
  <c r="AB3960" i="1"/>
  <c r="AA3960" i="1"/>
  <c r="AB3959" i="1"/>
  <c r="AA3959" i="1"/>
  <c r="AB3958" i="1"/>
  <c r="AA3958" i="1"/>
  <c r="AB3957" i="1"/>
  <c r="AA3957" i="1"/>
  <c r="AB3956" i="1"/>
  <c r="AA3956" i="1"/>
  <c r="AB3955" i="1"/>
  <c r="AA3955" i="1"/>
  <c r="AB3954" i="1"/>
  <c r="AA3954" i="1"/>
  <c r="AB3953" i="1"/>
  <c r="AA3953" i="1"/>
  <c r="AB3952" i="1"/>
  <c r="AA3952" i="1"/>
  <c r="AB3951" i="1"/>
  <c r="AA3951" i="1"/>
  <c r="AB3950" i="1"/>
  <c r="AA3950" i="1"/>
  <c r="AB3949" i="1"/>
  <c r="AA3949" i="1"/>
  <c r="AB3948" i="1"/>
  <c r="AA3948" i="1"/>
  <c r="AB3947" i="1"/>
  <c r="AA3947" i="1"/>
  <c r="AB3946" i="1"/>
  <c r="AA3946" i="1"/>
  <c r="AB3945" i="1"/>
  <c r="AA3945" i="1"/>
  <c r="AB3944" i="1"/>
  <c r="AA3944" i="1"/>
  <c r="AB3943" i="1"/>
  <c r="AA3943" i="1"/>
  <c r="AB3942" i="1"/>
  <c r="AA3942" i="1"/>
  <c r="AB3941" i="1"/>
  <c r="AA3941" i="1"/>
  <c r="AB3940" i="1"/>
  <c r="AA3940" i="1"/>
  <c r="AB3939" i="1"/>
  <c r="AA3939" i="1"/>
  <c r="AB3938" i="1"/>
  <c r="AA3938" i="1"/>
  <c r="AB3937" i="1"/>
  <c r="AA3937" i="1"/>
  <c r="AB3936" i="1"/>
  <c r="AA3936" i="1"/>
  <c r="AB3935" i="1"/>
  <c r="AA3935" i="1"/>
  <c r="AB3934" i="1"/>
  <c r="AA3934" i="1"/>
  <c r="AB3933" i="1"/>
  <c r="AA3933" i="1"/>
  <c r="AB3932" i="1"/>
  <c r="AA3932" i="1"/>
  <c r="AB3931" i="1"/>
  <c r="AA3931" i="1"/>
  <c r="AB3930" i="1"/>
  <c r="AA3930" i="1"/>
  <c r="AB3929" i="1"/>
  <c r="AA3929" i="1"/>
  <c r="AB3928" i="1"/>
  <c r="AA3928" i="1"/>
  <c r="AB3927" i="1"/>
  <c r="AA3927" i="1"/>
  <c r="AB3926" i="1"/>
  <c r="AA3926" i="1"/>
  <c r="AB3925" i="1"/>
  <c r="AA3925" i="1"/>
  <c r="AB3924" i="1"/>
  <c r="AA3924" i="1"/>
  <c r="AB3923" i="1"/>
  <c r="AA3923" i="1"/>
  <c r="AB3922" i="1"/>
  <c r="AA3922" i="1"/>
  <c r="AB3921" i="1"/>
  <c r="AA3921" i="1"/>
  <c r="AB3920" i="1"/>
  <c r="AA3920" i="1"/>
  <c r="AB3919" i="1"/>
  <c r="AA3919" i="1"/>
  <c r="AB3918" i="1"/>
  <c r="AA3918" i="1"/>
  <c r="AB3917" i="1"/>
  <c r="AA3917" i="1"/>
  <c r="AB3916" i="1"/>
  <c r="AA3916" i="1"/>
  <c r="AB3915" i="1"/>
  <c r="AA3915" i="1"/>
  <c r="AB3914" i="1"/>
  <c r="AA3914" i="1"/>
  <c r="AB3913" i="1"/>
  <c r="AA3913" i="1"/>
  <c r="AB3912" i="1"/>
  <c r="AA3912" i="1"/>
  <c r="AB3911" i="1"/>
  <c r="AA3911" i="1"/>
  <c r="AB3910" i="1"/>
  <c r="AA3910" i="1"/>
  <c r="AB3909" i="1"/>
  <c r="AA3909" i="1"/>
  <c r="AB3908" i="1"/>
  <c r="AA3908" i="1"/>
  <c r="AB3907" i="1"/>
  <c r="AA3907" i="1"/>
  <c r="AB3906" i="1"/>
  <c r="AA3906" i="1"/>
  <c r="AB3905" i="1"/>
  <c r="AA3905" i="1"/>
  <c r="AB3904" i="1"/>
  <c r="AA3904" i="1"/>
  <c r="AB3903" i="1"/>
  <c r="AA3903" i="1"/>
  <c r="AB3902" i="1"/>
  <c r="AA3902" i="1"/>
  <c r="AB3901" i="1"/>
  <c r="AA3901" i="1"/>
  <c r="AB3900" i="1"/>
  <c r="AA3900" i="1"/>
  <c r="AB3899" i="1"/>
  <c r="AA3899" i="1"/>
  <c r="AB3898" i="1"/>
  <c r="AA3898" i="1"/>
  <c r="AB3897" i="1"/>
  <c r="AA3897" i="1"/>
  <c r="AB3896" i="1"/>
  <c r="AA3896" i="1"/>
  <c r="AB3895" i="1"/>
  <c r="AA3895" i="1"/>
  <c r="AB3894" i="1"/>
  <c r="AA3894" i="1"/>
  <c r="AB3893" i="1"/>
  <c r="AA3893" i="1"/>
  <c r="AB3892" i="1"/>
  <c r="AA3892" i="1"/>
  <c r="AB3891" i="1"/>
  <c r="AA3891" i="1"/>
  <c r="AB3890" i="1"/>
  <c r="AA3890" i="1"/>
  <c r="AB3889" i="1"/>
  <c r="AA3889" i="1"/>
  <c r="AB3888" i="1"/>
  <c r="AA3888" i="1"/>
  <c r="AB3887" i="1"/>
  <c r="AA3887" i="1"/>
  <c r="AB3886" i="1"/>
  <c r="AA3886" i="1"/>
  <c r="AB3885" i="1"/>
  <c r="AA3885" i="1"/>
  <c r="AB3884" i="1"/>
  <c r="AA3884" i="1"/>
  <c r="AB3883" i="1"/>
  <c r="AA3883" i="1"/>
  <c r="AB3882" i="1"/>
  <c r="AA3882" i="1"/>
  <c r="AB3881" i="1"/>
  <c r="AA3881" i="1"/>
  <c r="AB3880" i="1"/>
  <c r="AA3880" i="1"/>
  <c r="AB3879" i="1"/>
  <c r="AA3879" i="1"/>
  <c r="AB3878" i="1"/>
  <c r="AA3878" i="1"/>
  <c r="AB3877" i="1"/>
  <c r="AA3877" i="1"/>
  <c r="AB3876" i="1"/>
  <c r="AA3876" i="1"/>
  <c r="AB3875" i="1"/>
  <c r="AA3875" i="1"/>
  <c r="AB3874" i="1"/>
  <c r="AA3874" i="1"/>
  <c r="AB3873" i="1"/>
  <c r="AA3873" i="1"/>
  <c r="AB3872" i="1"/>
  <c r="AA3872" i="1"/>
  <c r="AB3871" i="1"/>
  <c r="AA3871" i="1"/>
  <c r="AB3870" i="1"/>
  <c r="AA3870" i="1"/>
  <c r="AB3869" i="1"/>
  <c r="AA3869" i="1"/>
  <c r="AB3868" i="1"/>
  <c r="AA3868" i="1"/>
  <c r="AB3867" i="1"/>
  <c r="AA3867" i="1"/>
  <c r="AB3866" i="1"/>
  <c r="AA3866" i="1"/>
  <c r="AB3865" i="1"/>
  <c r="AA3865" i="1"/>
  <c r="AB3864" i="1"/>
  <c r="AA3864" i="1"/>
  <c r="AB3863" i="1"/>
  <c r="AA3863" i="1"/>
  <c r="AB3862" i="1"/>
  <c r="AA3862" i="1"/>
  <c r="AB3861" i="1"/>
  <c r="AA3861" i="1"/>
  <c r="AB3860" i="1"/>
  <c r="AA3860" i="1"/>
  <c r="AB3859" i="1"/>
  <c r="AA3859" i="1"/>
  <c r="AB3858" i="1"/>
  <c r="AA3858" i="1"/>
  <c r="AB3857" i="1"/>
  <c r="AA3857" i="1"/>
  <c r="AB3856" i="1"/>
  <c r="AA3856" i="1"/>
  <c r="AB3855" i="1"/>
  <c r="AA3855" i="1"/>
  <c r="AB3854" i="1"/>
  <c r="AA3854" i="1"/>
  <c r="AB3853" i="1"/>
  <c r="AA3853" i="1"/>
  <c r="AB3852" i="1"/>
  <c r="AA3852" i="1"/>
  <c r="AB3851" i="1"/>
  <c r="AA3851" i="1"/>
  <c r="AB3850" i="1"/>
  <c r="AA3850" i="1"/>
  <c r="AB3849" i="1"/>
  <c r="AA3849" i="1"/>
  <c r="AB3848" i="1"/>
  <c r="AA3848" i="1"/>
  <c r="AB3847" i="1"/>
  <c r="AA3847" i="1"/>
  <c r="AB3846" i="1"/>
  <c r="AA3846" i="1"/>
  <c r="AB3845" i="1"/>
  <c r="AA3845" i="1"/>
  <c r="AB3844" i="1"/>
  <c r="AA3844" i="1"/>
  <c r="AB3843" i="1"/>
  <c r="AA3843" i="1"/>
  <c r="AB3842" i="1"/>
  <c r="AA3842" i="1"/>
  <c r="AB3841" i="1"/>
  <c r="AA3841" i="1"/>
  <c r="AB3840" i="1"/>
  <c r="AA3840" i="1"/>
  <c r="AB3839" i="1"/>
  <c r="AA3839" i="1"/>
  <c r="AB3838" i="1"/>
  <c r="AA3838" i="1"/>
  <c r="AB3837" i="1"/>
  <c r="AA3837" i="1"/>
  <c r="AB3836" i="1"/>
  <c r="AA3836" i="1"/>
  <c r="AB3835" i="1"/>
  <c r="AA3835" i="1"/>
  <c r="AB3834" i="1"/>
  <c r="AA3834" i="1"/>
  <c r="AB3833" i="1"/>
  <c r="AA3833" i="1"/>
  <c r="AB3832" i="1"/>
  <c r="AA3832" i="1"/>
  <c r="AB3831" i="1"/>
  <c r="AA3831" i="1"/>
  <c r="AB3830" i="1"/>
  <c r="AA3830" i="1"/>
  <c r="AB3829" i="1"/>
  <c r="AA3829" i="1"/>
  <c r="AB3828" i="1"/>
  <c r="AA3828" i="1"/>
  <c r="AB3827" i="1"/>
  <c r="AA3827" i="1"/>
  <c r="AB3826" i="1"/>
  <c r="AA3826" i="1"/>
  <c r="AB3825" i="1"/>
  <c r="AA3825" i="1"/>
  <c r="AB3824" i="1"/>
  <c r="AA3824" i="1"/>
  <c r="AB3823" i="1"/>
  <c r="AA3823" i="1"/>
  <c r="AB3822" i="1"/>
  <c r="AA3822" i="1"/>
  <c r="AB3821" i="1"/>
  <c r="AA3821" i="1"/>
  <c r="AB3820" i="1"/>
  <c r="AA3820" i="1"/>
  <c r="AB3819" i="1"/>
  <c r="AA3819" i="1"/>
  <c r="AB3818" i="1"/>
  <c r="AA3818" i="1"/>
  <c r="AB3817" i="1"/>
  <c r="AA3817" i="1"/>
  <c r="AB3816" i="1"/>
  <c r="AA3816" i="1"/>
  <c r="AB3815" i="1"/>
  <c r="AA3815" i="1"/>
  <c r="AB3814" i="1"/>
  <c r="AA3814" i="1"/>
  <c r="AB3813" i="1"/>
  <c r="AA3813" i="1"/>
  <c r="AB3812" i="1"/>
  <c r="AA3812" i="1"/>
  <c r="AB3811" i="1"/>
  <c r="AA3811" i="1"/>
  <c r="AB3810" i="1"/>
  <c r="AA3810" i="1"/>
  <c r="AB3809" i="1"/>
  <c r="AA3809" i="1"/>
  <c r="AB3808" i="1"/>
  <c r="AA3808" i="1"/>
  <c r="AB3807" i="1"/>
  <c r="AA3807" i="1"/>
  <c r="AB3806" i="1"/>
  <c r="AA3806" i="1"/>
  <c r="AB3805" i="1"/>
  <c r="AA3805" i="1"/>
  <c r="AB3804" i="1"/>
  <c r="AA3804" i="1"/>
  <c r="AB3803" i="1"/>
  <c r="AA3803" i="1"/>
  <c r="AB3802" i="1"/>
  <c r="AA3802" i="1"/>
  <c r="AB3801" i="1"/>
  <c r="AA3801" i="1"/>
  <c r="AB3800" i="1"/>
  <c r="AA3800" i="1"/>
  <c r="AB3799" i="1"/>
  <c r="AA3799" i="1"/>
  <c r="AB3798" i="1"/>
  <c r="AA3798" i="1"/>
  <c r="AB3797" i="1"/>
  <c r="AA3797" i="1"/>
  <c r="AB3796" i="1"/>
  <c r="AA3796" i="1"/>
  <c r="AB3795" i="1"/>
  <c r="AA3795" i="1"/>
  <c r="AB3794" i="1"/>
  <c r="AA3794" i="1"/>
  <c r="AB3793" i="1"/>
  <c r="AA3793" i="1"/>
  <c r="AB3792" i="1"/>
  <c r="AA3792" i="1"/>
  <c r="AB3791" i="1"/>
  <c r="AA3791" i="1"/>
  <c r="AB3790" i="1"/>
  <c r="AA3790" i="1"/>
  <c r="AB3789" i="1"/>
  <c r="AA3789" i="1"/>
  <c r="AB3788" i="1"/>
  <c r="AA3788" i="1"/>
  <c r="AB3787" i="1"/>
  <c r="AA3787" i="1"/>
  <c r="AB3786" i="1"/>
  <c r="AA3786" i="1"/>
  <c r="AB3785" i="1"/>
  <c r="AA3785" i="1"/>
  <c r="AB3784" i="1"/>
  <c r="AA3784" i="1"/>
  <c r="AB3783" i="1"/>
  <c r="AA3783" i="1"/>
  <c r="AB3782" i="1"/>
  <c r="AA3782" i="1"/>
  <c r="AB3781" i="1"/>
  <c r="AA3781" i="1"/>
  <c r="AB3780" i="1"/>
  <c r="AA3780" i="1"/>
  <c r="AB3779" i="1"/>
  <c r="AA3779" i="1"/>
  <c r="AB3778" i="1"/>
  <c r="AA3778" i="1"/>
  <c r="AB3777" i="1"/>
  <c r="AA3777" i="1"/>
  <c r="AB3776" i="1"/>
  <c r="AA3776" i="1"/>
  <c r="AB3775" i="1"/>
  <c r="AA3775" i="1"/>
  <c r="AB3774" i="1"/>
  <c r="AA3774" i="1"/>
  <c r="AB3773" i="1"/>
  <c r="AA3773" i="1"/>
  <c r="AB3772" i="1"/>
  <c r="AA3772" i="1"/>
  <c r="AB3771" i="1"/>
  <c r="AA3771" i="1"/>
  <c r="AB3770" i="1"/>
  <c r="AA3770" i="1"/>
  <c r="AB3769" i="1"/>
  <c r="AA3769" i="1"/>
  <c r="AB3768" i="1"/>
  <c r="AA3768" i="1"/>
  <c r="AB3767" i="1"/>
  <c r="AA3767" i="1"/>
  <c r="AB3766" i="1"/>
  <c r="AA3766" i="1"/>
  <c r="AB3765" i="1"/>
  <c r="AA3765" i="1"/>
  <c r="AB3764" i="1"/>
  <c r="AA3764" i="1"/>
  <c r="AB3763" i="1"/>
  <c r="AA3763" i="1"/>
  <c r="AB3762" i="1"/>
  <c r="AA3762" i="1"/>
  <c r="AB3761" i="1"/>
  <c r="AA3761" i="1"/>
  <c r="AB3760" i="1"/>
  <c r="AA3760" i="1"/>
  <c r="AB3759" i="1"/>
  <c r="AA3759" i="1"/>
  <c r="AB3758" i="1"/>
  <c r="AA3758" i="1"/>
  <c r="AB3757" i="1"/>
  <c r="AA3757" i="1"/>
  <c r="AB3756" i="1"/>
  <c r="AA3756" i="1"/>
  <c r="AB3755" i="1"/>
  <c r="AA3755" i="1"/>
  <c r="AB3754" i="1"/>
  <c r="AA3754" i="1"/>
  <c r="AB3753" i="1"/>
  <c r="AA3753" i="1"/>
  <c r="AB3752" i="1"/>
  <c r="AA3752" i="1"/>
  <c r="AB3751" i="1"/>
  <c r="AA3751" i="1"/>
  <c r="AB3750" i="1"/>
  <c r="AA3750" i="1"/>
  <c r="AB3749" i="1"/>
  <c r="AA3749" i="1"/>
  <c r="AB3748" i="1"/>
  <c r="AA3748" i="1"/>
  <c r="AB3747" i="1"/>
  <c r="AA3747" i="1"/>
  <c r="AB3746" i="1"/>
  <c r="AA3746" i="1"/>
  <c r="AB3745" i="1"/>
  <c r="AA3745" i="1"/>
  <c r="AB3744" i="1"/>
  <c r="AA3744" i="1"/>
  <c r="AB3743" i="1"/>
  <c r="AA3743" i="1"/>
  <c r="AB3742" i="1"/>
  <c r="AA3742" i="1"/>
  <c r="AB3741" i="1"/>
  <c r="AA3741" i="1"/>
  <c r="AB3740" i="1"/>
  <c r="AA3740" i="1"/>
  <c r="AB3739" i="1"/>
  <c r="AA3739" i="1"/>
  <c r="AB3738" i="1"/>
  <c r="AA3738" i="1"/>
  <c r="AB3737" i="1"/>
  <c r="AA3737" i="1"/>
  <c r="AB3736" i="1"/>
  <c r="AA3736" i="1"/>
  <c r="AB3735" i="1"/>
  <c r="AA3735" i="1"/>
  <c r="AB3734" i="1"/>
  <c r="AA3734" i="1"/>
  <c r="AB3733" i="1"/>
  <c r="AA3733" i="1"/>
  <c r="AB3732" i="1"/>
  <c r="AA3732" i="1"/>
  <c r="AB3731" i="1"/>
  <c r="AA3731" i="1"/>
  <c r="AB3730" i="1"/>
  <c r="AA3730" i="1"/>
  <c r="AB3729" i="1"/>
  <c r="AA3729" i="1"/>
  <c r="AB3728" i="1"/>
  <c r="AA3728" i="1"/>
  <c r="AB3727" i="1"/>
  <c r="AA3727" i="1"/>
  <c r="AB3726" i="1"/>
  <c r="AA3726" i="1"/>
  <c r="AB3725" i="1"/>
  <c r="AA3725" i="1"/>
  <c r="AB3724" i="1"/>
  <c r="AA3724" i="1"/>
  <c r="AB3723" i="1"/>
  <c r="AA3723" i="1"/>
  <c r="AB3722" i="1"/>
  <c r="AA3722" i="1"/>
  <c r="AB3721" i="1"/>
  <c r="AA3721" i="1"/>
  <c r="AB3720" i="1"/>
  <c r="AA3720" i="1"/>
  <c r="AB3719" i="1"/>
  <c r="AA3719" i="1"/>
  <c r="AB3718" i="1"/>
  <c r="AA3718" i="1"/>
  <c r="AB3717" i="1"/>
  <c r="AA3717" i="1"/>
  <c r="AB3716" i="1"/>
  <c r="AA3716" i="1"/>
  <c r="AB3715" i="1"/>
  <c r="AA3715" i="1"/>
  <c r="AB3714" i="1"/>
  <c r="AA3714" i="1"/>
  <c r="AB3713" i="1"/>
  <c r="AA3713" i="1"/>
  <c r="AB3712" i="1"/>
  <c r="AA3712" i="1"/>
  <c r="AB3711" i="1"/>
  <c r="AA3711" i="1"/>
  <c r="AB3710" i="1"/>
  <c r="AA3710" i="1"/>
  <c r="AB3709" i="1"/>
  <c r="AA3709" i="1"/>
  <c r="AB3708" i="1"/>
  <c r="AA3708" i="1"/>
  <c r="AB3707" i="1"/>
  <c r="AA3707" i="1"/>
  <c r="AB3706" i="1"/>
  <c r="AA3706" i="1"/>
  <c r="AB3705" i="1"/>
  <c r="AA3705" i="1"/>
  <c r="AB3704" i="1"/>
  <c r="AA3704" i="1"/>
  <c r="AB3703" i="1"/>
  <c r="AA3703" i="1"/>
  <c r="AB3702" i="1"/>
  <c r="AA3702" i="1"/>
  <c r="AB3701" i="1"/>
  <c r="AA3701" i="1"/>
  <c r="AB3700" i="1"/>
  <c r="AA3700" i="1"/>
  <c r="AB3699" i="1"/>
  <c r="AA3699" i="1"/>
  <c r="AB3698" i="1"/>
  <c r="AA3698" i="1"/>
  <c r="AB3697" i="1"/>
  <c r="AA3697" i="1"/>
  <c r="AB3696" i="1"/>
  <c r="AA3696" i="1"/>
  <c r="AB3695" i="1"/>
  <c r="AA3695" i="1"/>
  <c r="AB3694" i="1"/>
  <c r="AA3694" i="1"/>
  <c r="AB3693" i="1"/>
  <c r="AA3693" i="1"/>
  <c r="AB3692" i="1"/>
  <c r="AA3692" i="1"/>
  <c r="AB3691" i="1"/>
  <c r="AA3691" i="1"/>
  <c r="AB3690" i="1"/>
  <c r="AA3690" i="1"/>
  <c r="AB3689" i="1"/>
  <c r="AA3689" i="1"/>
  <c r="AB3688" i="1"/>
  <c r="AA3688" i="1"/>
  <c r="AB3687" i="1"/>
  <c r="AA3687" i="1"/>
  <c r="AB3686" i="1"/>
  <c r="AA3686" i="1"/>
  <c r="AB3685" i="1"/>
  <c r="AA3685" i="1"/>
  <c r="AB3684" i="1"/>
  <c r="AA3684" i="1"/>
  <c r="AB3683" i="1"/>
  <c r="AA3683" i="1"/>
  <c r="AB3682" i="1"/>
  <c r="AA3682" i="1"/>
  <c r="AB3681" i="1"/>
  <c r="AA3681" i="1"/>
  <c r="AB3680" i="1"/>
  <c r="AA3680" i="1"/>
  <c r="AB3679" i="1"/>
  <c r="AA3679" i="1"/>
  <c r="AB3678" i="1"/>
  <c r="AA3678" i="1"/>
  <c r="AB3677" i="1"/>
  <c r="AA3677" i="1"/>
  <c r="AB3676" i="1"/>
  <c r="AA3676" i="1"/>
  <c r="AB3675" i="1"/>
  <c r="AA3675" i="1"/>
  <c r="AB3674" i="1"/>
  <c r="AA3674" i="1"/>
  <c r="AB3673" i="1"/>
  <c r="AA3673" i="1"/>
  <c r="AB3672" i="1"/>
  <c r="AA3672" i="1"/>
  <c r="AB3671" i="1"/>
  <c r="AA3671" i="1"/>
  <c r="AB3670" i="1"/>
  <c r="AA3670" i="1"/>
  <c r="AB3669" i="1"/>
  <c r="AA3669" i="1"/>
  <c r="AB3668" i="1"/>
  <c r="AA3668" i="1"/>
  <c r="AB3667" i="1"/>
  <c r="AA3667" i="1"/>
  <c r="AB3666" i="1"/>
  <c r="AA3666" i="1"/>
  <c r="AB3665" i="1"/>
  <c r="AA3665" i="1"/>
  <c r="AB3664" i="1"/>
  <c r="AA3664" i="1"/>
  <c r="AB3663" i="1"/>
  <c r="AA3663" i="1"/>
  <c r="AB3662" i="1"/>
  <c r="AA3662" i="1"/>
  <c r="AB3661" i="1"/>
  <c r="AA3661" i="1"/>
  <c r="AB3660" i="1"/>
  <c r="AA3660" i="1"/>
  <c r="AB3659" i="1"/>
  <c r="AA3659" i="1"/>
  <c r="AB3658" i="1"/>
  <c r="AA3658" i="1"/>
  <c r="AB3657" i="1"/>
  <c r="AA3657" i="1"/>
  <c r="AB3656" i="1"/>
  <c r="AA3656" i="1"/>
  <c r="AB3655" i="1"/>
  <c r="AA3655" i="1"/>
  <c r="AB3654" i="1"/>
  <c r="AA3654" i="1"/>
  <c r="AB3653" i="1"/>
  <c r="AA3653" i="1"/>
  <c r="AB3652" i="1"/>
  <c r="AA3652" i="1"/>
  <c r="AB3651" i="1"/>
  <c r="AA3651" i="1"/>
  <c r="AB3650" i="1"/>
  <c r="AA3650" i="1"/>
  <c r="AB3649" i="1"/>
  <c r="AA3649" i="1"/>
  <c r="AB3648" i="1"/>
  <c r="AA3648" i="1"/>
  <c r="AB3647" i="1"/>
  <c r="AA3647" i="1"/>
  <c r="AB3646" i="1"/>
  <c r="AA3646" i="1"/>
  <c r="AB3645" i="1"/>
  <c r="AA3645" i="1"/>
  <c r="AB3644" i="1"/>
  <c r="AA3644" i="1"/>
  <c r="AB3643" i="1"/>
  <c r="AA3643" i="1"/>
  <c r="AB3642" i="1"/>
  <c r="AA3642" i="1"/>
  <c r="AB3641" i="1"/>
  <c r="AA3641" i="1"/>
  <c r="AB3640" i="1"/>
  <c r="AA3640" i="1"/>
  <c r="AB3639" i="1"/>
  <c r="AA3639" i="1"/>
  <c r="AB3638" i="1"/>
  <c r="AA3638" i="1"/>
  <c r="AB3637" i="1"/>
  <c r="AA3637" i="1"/>
  <c r="AB3636" i="1"/>
  <c r="AA3636" i="1"/>
  <c r="AB3635" i="1"/>
  <c r="AA3635" i="1"/>
  <c r="AB3634" i="1"/>
  <c r="AA3634" i="1"/>
  <c r="AB3633" i="1"/>
  <c r="AA3633" i="1"/>
  <c r="AB3632" i="1"/>
  <c r="AA3632" i="1"/>
  <c r="AB3631" i="1"/>
  <c r="AA3631" i="1"/>
  <c r="AB3630" i="1"/>
  <c r="AA3630" i="1"/>
  <c r="AB3629" i="1"/>
  <c r="AA3629" i="1"/>
  <c r="AB3628" i="1"/>
  <c r="AA3628" i="1"/>
  <c r="AB3627" i="1"/>
  <c r="AA3627" i="1"/>
  <c r="AB3626" i="1"/>
  <c r="AA3626" i="1"/>
  <c r="AB3625" i="1"/>
  <c r="AA3625" i="1"/>
  <c r="AB3624" i="1"/>
  <c r="AA3624" i="1"/>
  <c r="AB3623" i="1"/>
  <c r="AA3623" i="1"/>
  <c r="AB3622" i="1"/>
  <c r="AA3622" i="1"/>
  <c r="AB3621" i="1"/>
  <c r="AA3621" i="1"/>
  <c r="AB3620" i="1"/>
  <c r="AA3620" i="1"/>
  <c r="AB3619" i="1"/>
  <c r="AA3619" i="1"/>
  <c r="AB3618" i="1"/>
  <c r="AA3618" i="1"/>
  <c r="AB3617" i="1"/>
  <c r="AA3617" i="1"/>
  <c r="AB3616" i="1"/>
  <c r="AA3616" i="1"/>
  <c r="AB3615" i="1"/>
  <c r="AA3615" i="1"/>
  <c r="AB3614" i="1"/>
  <c r="AA3614" i="1"/>
  <c r="AB3613" i="1"/>
  <c r="AA3613" i="1"/>
  <c r="AB3612" i="1"/>
  <c r="AA3612" i="1"/>
  <c r="AB3611" i="1"/>
  <c r="AA3611" i="1"/>
  <c r="AB3610" i="1"/>
  <c r="AA3610" i="1"/>
  <c r="AB3609" i="1"/>
  <c r="AA3609" i="1"/>
  <c r="AB3608" i="1"/>
  <c r="AA3608" i="1"/>
  <c r="AB3607" i="1"/>
  <c r="AA3607" i="1"/>
  <c r="AB3606" i="1"/>
  <c r="AA3606" i="1"/>
  <c r="AB3605" i="1"/>
  <c r="AA3605" i="1"/>
  <c r="AB3604" i="1"/>
  <c r="AA3604" i="1"/>
  <c r="AB3603" i="1"/>
  <c r="AA3603" i="1"/>
  <c r="AB3602" i="1"/>
  <c r="AA3602" i="1"/>
  <c r="AB3601" i="1"/>
  <c r="AA3601" i="1"/>
  <c r="AB3600" i="1"/>
  <c r="AA3600" i="1"/>
  <c r="AB3599" i="1"/>
  <c r="AA3599" i="1"/>
  <c r="AB3598" i="1"/>
  <c r="AA3598" i="1"/>
  <c r="AB3597" i="1"/>
  <c r="AA3597" i="1"/>
  <c r="AB3596" i="1"/>
  <c r="AA3596" i="1"/>
  <c r="AB3595" i="1"/>
  <c r="AA3595" i="1"/>
  <c r="AB3594" i="1"/>
  <c r="AA3594" i="1"/>
  <c r="AB3593" i="1"/>
  <c r="AA3593" i="1"/>
  <c r="AB3592" i="1"/>
  <c r="AA3592" i="1"/>
  <c r="AB3591" i="1"/>
  <c r="AA3591" i="1"/>
  <c r="AB3590" i="1"/>
  <c r="AA3590" i="1"/>
  <c r="AB3589" i="1"/>
  <c r="AA3589" i="1"/>
  <c r="AB3588" i="1"/>
  <c r="AA3588" i="1"/>
  <c r="AB3587" i="1"/>
  <c r="AA3587" i="1"/>
  <c r="AB3586" i="1"/>
  <c r="AA3586" i="1"/>
  <c r="AB3585" i="1"/>
  <c r="AA3585" i="1"/>
  <c r="AB3584" i="1"/>
  <c r="AA3584" i="1"/>
  <c r="AB3583" i="1"/>
  <c r="AA3583" i="1"/>
  <c r="AB3582" i="1"/>
  <c r="AA3582" i="1"/>
  <c r="AB3581" i="1"/>
  <c r="AA3581" i="1"/>
  <c r="AB3580" i="1"/>
  <c r="AA3580" i="1"/>
  <c r="AB3579" i="1"/>
  <c r="AA3579" i="1"/>
  <c r="AB3578" i="1"/>
  <c r="AA3578" i="1"/>
  <c r="AB3577" i="1"/>
  <c r="AA3577" i="1"/>
  <c r="AB3576" i="1"/>
  <c r="AA3576" i="1"/>
  <c r="AB3575" i="1"/>
  <c r="AA3575" i="1"/>
  <c r="AB3574" i="1"/>
  <c r="AA3574" i="1"/>
  <c r="AB3573" i="1"/>
  <c r="AA3573" i="1"/>
  <c r="AB3572" i="1"/>
  <c r="AA3572" i="1"/>
  <c r="AB3571" i="1"/>
  <c r="AA3571" i="1"/>
  <c r="AB3570" i="1"/>
  <c r="AA3570" i="1"/>
  <c r="AB3569" i="1"/>
  <c r="AA3569" i="1"/>
  <c r="AB3568" i="1"/>
  <c r="AA3568" i="1"/>
  <c r="AB3567" i="1"/>
  <c r="AA3567" i="1"/>
  <c r="AB3566" i="1"/>
  <c r="AA3566" i="1"/>
  <c r="AB3565" i="1"/>
  <c r="AA3565" i="1"/>
  <c r="AB3564" i="1"/>
  <c r="AA3564" i="1"/>
  <c r="AB3563" i="1"/>
  <c r="AA3563" i="1"/>
  <c r="AB3562" i="1"/>
  <c r="AA3562" i="1"/>
  <c r="AB3561" i="1"/>
  <c r="AA3561" i="1"/>
  <c r="AB3560" i="1"/>
  <c r="AA3560" i="1"/>
  <c r="AB3559" i="1"/>
  <c r="AA3559" i="1"/>
  <c r="AB3558" i="1"/>
  <c r="AA3558" i="1"/>
  <c r="AB3557" i="1"/>
  <c r="AA3557" i="1"/>
  <c r="AB3556" i="1"/>
  <c r="AA3556" i="1"/>
  <c r="AB3555" i="1"/>
  <c r="AA3555" i="1"/>
  <c r="AB3554" i="1"/>
  <c r="AA3554" i="1"/>
  <c r="AB3553" i="1"/>
  <c r="AA3553" i="1"/>
  <c r="AB3552" i="1"/>
  <c r="AA3552" i="1"/>
  <c r="AB3551" i="1"/>
  <c r="AA3551" i="1"/>
  <c r="AB3550" i="1"/>
  <c r="AA3550" i="1"/>
  <c r="AB3549" i="1"/>
  <c r="AA3549" i="1"/>
  <c r="AB3548" i="1"/>
  <c r="AA3548" i="1"/>
  <c r="AB3547" i="1"/>
  <c r="AA3547" i="1"/>
  <c r="AB3546" i="1"/>
  <c r="AA3546" i="1"/>
  <c r="AB3545" i="1"/>
  <c r="AA3545" i="1"/>
  <c r="AB3544" i="1"/>
  <c r="AA3544" i="1"/>
  <c r="AB3543" i="1"/>
  <c r="AA3543" i="1"/>
  <c r="AB3542" i="1"/>
  <c r="AA3542" i="1"/>
  <c r="AB3541" i="1"/>
  <c r="AA3541" i="1"/>
  <c r="AB3540" i="1"/>
  <c r="AA3540" i="1"/>
  <c r="AB3539" i="1"/>
  <c r="AA3539" i="1"/>
  <c r="AB3538" i="1"/>
  <c r="AA3538" i="1"/>
  <c r="AB3537" i="1"/>
  <c r="AA3537" i="1"/>
  <c r="AB3536" i="1"/>
  <c r="AA3536" i="1"/>
  <c r="AB3535" i="1"/>
  <c r="AA3535" i="1"/>
  <c r="AB3534" i="1"/>
  <c r="AA3534" i="1"/>
  <c r="AB3533" i="1"/>
  <c r="AA3533" i="1"/>
  <c r="AB3532" i="1"/>
  <c r="AA3532" i="1"/>
  <c r="AB3531" i="1"/>
  <c r="AA3531" i="1"/>
  <c r="AB3530" i="1"/>
  <c r="AA3530" i="1"/>
  <c r="AB3529" i="1"/>
  <c r="AA3529" i="1"/>
  <c r="AB3528" i="1"/>
  <c r="AA3528" i="1"/>
  <c r="AB3527" i="1"/>
  <c r="AA3527" i="1"/>
  <c r="AB3526" i="1"/>
  <c r="AA3526" i="1"/>
  <c r="AB3525" i="1"/>
  <c r="AA3525" i="1"/>
  <c r="AB3524" i="1"/>
  <c r="AA3524" i="1"/>
  <c r="AB3523" i="1"/>
  <c r="AA3523" i="1"/>
  <c r="AB3522" i="1"/>
  <c r="AA3522" i="1"/>
  <c r="AB3521" i="1"/>
  <c r="AA3521" i="1"/>
  <c r="AB3520" i="1"/>
  <c r="AA3520" i="1"/>
  <c r="AB3519" i="1"/>
  <c r="AA3519" i="1"/>
  <c r="AB3518" i="1"/>
  <c r="AA3518" i="1"/>
  <c r="AB3517" i="1"/>
  <c r="AA3517" i="1"/>
  <c r="AB3516" i="1"/>
  <c r="AA3516" i="1"/>
  <c r="AB3515" i="1"/>
  <c r="AA3515" i="1"/>
  <c r="AB3514" i="1"/>
  <c r="AA3514" i="1"/>
  <c r="AB3513" i="1"/>
  <c r="AA3513" i="1"/>
  <c r="AB3512" i="1"/>
  <c r="AA3512" i="1"/>
  <c r="AB3511" i="1"/>
  <c r="AA3511" i="1"/>
  <c r="AB3510" i="1"/>
  <c r="AA3510" i="1"/>
  <c r="AB3509" i="1"/>
  <c r="AA3509" i="1"/>
  <c r="AB3508" i="1"/>
  <c r="AA3508" i="1"/>
  <c r="AB3507" i="1"/>
  <c r="AA3507" i="1"/>
  <c r="AB3506" i="1"/>
  <c r="AA3506" i="1"/>
  <c r="AB3505" i="1"/>
  <c r="AA3505" i="1"/>
  <c r="AB3504" i="1"/>
  <c r="AA3504" i="1"/>
  <c r="AB3503" i="1"/>
  <c r="AA3503" i="1"/>
  <c r="AB3502" i="1"/>
  <c r="AA3502" i="1"/>
  <c r="AB3501" i="1"/>
  <c r="AA3501" i="1"/>
  <c r="AB3500" i="1"/>
  <c r="AA3500" i="1"/>
  <c r="AB3499" i="1"/>
  <c r="AA3499" i="1"/>
  <c r="AB3498" i="1"/>
  <c r="AA3498" i="1"/>
  <c r="AB3497" i="1"/>
  <c r="AA3497" i="1"/>
  <c r="AB3496" i="1"/>
  <c r="AA3496" i="1"/>
  <c r="AB3495" i="1"/>
  <c r="AA3495" i="1"/>
  <c r="AB3494" i="1"/>
  <c r="AA3494" i="1"/>
  <c r="AB3493" i="1"/>
  <c r="AA3493" i="1"/>
  <c r="AB3492" i="1"/>
  <c r="AA3492" i="1"/>
  <c r="AB3491" i="1"/>
  <c r="AA3491" i="1"/>
  <c r="AF3491" i="1" s="1"/>
  <c r="AB3490" i="1"/>
  <c r="AA3490" i="1"/>
  <c r="AB3489" i="1"/>
  <c r="AA3489" i="1"/>
  <c r="AB3488" i="1"/>
  <c r="AA3488" i="1"/>
  <c r="AB3487" i="1"/>
  <c r="AA3487" i="1"/>
  <c r="AB3486" i="1"/>
  <c r="AA3486" i="1"/>
  <c r="AB3485" i="1"/>
  <c r="AA3485" i="1"/>
  <c r="AB3484" i="1"/>
  <c r="AA3484" i="1"/>
  <c r="AB3483" i="1"/>
  <c r="AA3483" i="1"/>
  <c r="AB3482" i="1"/>
  <c r="AA3482" i="1"/>
  <c r="AB3481" i="1"/>
  <c r="AA3481" i="1"/>
  <c r="AB3480" i="1"/>
  <c r="AA3480" i="1"/>
  <c r="AB3479" i="1"/>
  <c r="AA3479" i="1"/>
  <c r="AB3478" i="1"/>
  <c r="AA3478" i="1"/>
  <c r="AB3477" i="1"/>
  <c r="AA3477" i="1"/>
  <c r="AB3476" i="1"/>
  <c r="AA3476" i="1"/>
  <c r="AB3475" i="1"/>
  <c r="AA3475" i="1"/>
  <c r="AB3474" i="1"/>
  <c r="AA3474" i="1"/>
  <c r="AB3473" i="1"/>
  <c r="AA3473" i="1"/>
  <c r="AB3472" i="1"/>
  <c r="AA3472" i="1"/>
  <c r="AB3471" i="1"/>
  <c r="AA3471" i="1"/>
  <c r="AB3470" i="1"/>
  <c r="AA3470" i="1"/>
  <c r="AB3469" i="1"/>
  <c r="AA3469" i="1"/>
  <c r="AB3468" i="1"/>
  <c r="AA3468" i="1"/>
  <c r="AB3467" i="1"/>
  <c r="AA3467" i="1"/>
  <c r="AB3466" i="1"/>
  <c r="AA3466" i="1"/>
  <c r="AB3465" i="1"/>
  <c r="AA3465" i="1"/>
  <c r="AB3464" i="1"/>
  <c r="AA3464" i="1"/>
  <c r="AB3463" i="1"/>
  <c r="AA3463" i="1"/>
  <c r="AB3462" i="1"/>
  <c r="AA3462" i="1"/>
  <c r="AB3461" i="1"/>
  <c r="AA3461" i="1"/>
  <c r="AB3460" i="1"/>
  <c r="AA3460" i="1"/>
  <c r="AB3459" i="1"/>
  <c r="AA3459" i="1"/>
  <c r="AB3458" i="1"/>
  <c r="AA3458" i="1"/>
  <c r="AB3457" i="1"/>
  <c r="AA3457" i="1"/>
  <c r="AB3456" i="1"/>
  <c r="AA3456" i="1"/>
  <c r="AB3455" i="1"/>
  <c r="AA3455" i="1"/>
  <c r="AB3454" i="1"/>
  <c r="AA3454" i="1"/>
  <c r="AB3453" i="1"/>
  <c r="AA3453" i="1"/>
  <c r="AB3452" i="1"/>
  <c r="AA3452" i="1"/>
  <c r="AB3451" i="1"/>
  <c r="AA3451" i="1"/>
  <c r="AB3450" i="1"/>
  <c r="AA3450" i="1"/>
  <c r="AB3449" i="1"/>
  <c r="AA3449" i="1"/>
  <c r="AB3448" i="1"/>
  <c r="AA3448" i="1"/>
  <c r="AB3447" i="1"/>
  <c r="AA3447" i="1"/>
  <c r="AB3446" i="1"/>
  <c r="AA3446" i="1"/>
  <c r="AB3445" i="1"/>
  <c r="AA3445" i="1"/>
  <c r="AB3444" i="1"/>
  <c r="AA3444" i="1"/>
  <c r="AB3443" i="1"/>
  <c r="AA3443" i="1"/>
  <c r="AB3442" i="1"/>
  <c r="AA3442" i="1"/>
  <c r="AB3441" i="1"/>
  <c r="AA3441" i="1"/>
  <c r="AB3440" i="1"/>
  <c r="AA3440" i="1"/>
  <c r="AB3439" i="1"/>
  <c r="AA3439" i="1"/>
  <c r="AB3438" i="1"/>
  <c r="AA3438" i="1"/>
  <c r="AB3437" i="1"/>
  <c r="AA3437" i="1"/>
  <c r="AB3436" i="1"/>
  <c r="AA3436" i="1"/>
  <c r="AB3435" i="1"/>
  <c r="AA3435" i="1"/>
  <c r="AB3434" i="1"/>
  <c r="AA3434" i="1"/>
  <c r="AB3433" i="1"/>
  <c r="AA3433" i="1"/>
  <c r="AB3432" i="1"/>
  <c r="AA3432" i="1"/>
  <c r="AB3431" i="1"/>
  <c r="AA3431" i="1"/>
  <c r="AB3430" i="1"/>
  <c r="AA3430" i="1"/>
  <c r="AB3429" i="1"/>
  <c r="AA3429" i="1"/>
  <c r="AB3428" i="1"/>
  <c r="AA3428" i="1"/>
  <c r="AB3427" i="1"/>
  <c r="AA3427" i="1"/>
  <c r="AB3426" i="1"/>
  <c r="AA3426" i="1"/>
  <c r="AB3425" i="1"/>
  <c r="AA3425" i="1"/>
  <c r="AB3424" i="1"/>
  <c r="AA3424" i="1"/>
  <c r="AB3423" i="1"/>
  <c r="AA3423" i="1"/>
  <c r="AB3422" i="1"/>
  <c r="AA3422" i="1"/>
  <c r="AB3421" i="1"/>
  <c r="AA3421" i="1"/>
  <c r="AB3420" i="1"/>
  <c r="AA3420" i="1"/>
  <c r="AB3419" i="1"/>
  <c r="AA3419" i="1"/>
  <c r="AB3418" i="1"/>
  <c r="AA3418" i="1"/>
  <c r="AB3417" i="1"/>
  <c r="AA3417" i="1"/>
  <c r="AB3416" i="1"/>
  <c r="AA3416" i="1"/>
  <c r="AB3415" i="1"/>
  <c r="AA3415" i="1"/>
  <c r="AB3414" i="1"/>
  <c r="AA3414" i="1"/>
  <c r="AB3413" i="1"/>
  <c r="AA3413" i="1"/>
  <c r="AB3412" i="1"/>
  <c r="AA3412" i="1"/>
  <c r="AB3411" i="1"/>
  <c r="AA3411" i="1"/>
  <c r="AB3410" i="1"/>
  <c r="AA3410" i="1"/>
  <c r="AB3409" i="1"/>
  <c r="AA3409" i="1"/>
  <c r="AB3408" i="1"/>
  <c r="AA3408" i="1"/>
  <c r="AB3407" i="1"/>
  <c r="AA3407" i="1"/>
  <c r="AB3406" i="1"/>
  <c r="AA3406" i="1"/>
  <c r="AB3405" i="1"/>
  <c r="AA3405" i="1"/>
  <c r="AB3404" i="1"/>
  <c r="AA3404" i="1"/>
  <c r="AB3403" i="1"/>
  <c r="AA3403" i="1"/>
  <c r="AB3402" i="1"/>
  <c r="AA3402" i="1"/>
  <c r="AB3401" i="1"/>
  <c r="AA3401" i="1"/>
  <c r="AB3400" i="1"/>
  <c r="AA3400" i="1"/>
  <c r="AB3399" i="1"/>
  <c r="AA3399" i="1"/>
  <c r="AB3398" i="1"/>
  <c r="AA3398" i="1"/>
  <c r="AB3397" i="1"/>
  <c r="AA3397" i="1"/>
  <c r="AB3396" i="1"/>
  <c r="AA3396" i="1"/>
  <c r="AB3395" i="1"/>
  <c r="AA3395" i="1"/>
  <c r="AB3394" i="1"/>
  <c r="AA3394" i="1"/>
  <c r="AB3393" i="1"/>
  <c r="AA3393" i="1"/>
  <c r="AB3392" i="1"/>
  <c r="AA3392" i="1"/>
  <c r="AB3391" i="1"/>
  <c r="AA3391" i="1"/>
  <c r="AB3390" i="1"/>
  <c r="AA3390" i="1"/>
  <c r="AB3389" i="1"/>
  <c r="AA3389" i="1"/>
  <c r="AB3388" i="1"/>
  <c r="AA3388" i="1"/>
  <c r="AB3387" i="1"/>
  <c r="AA3387" i="1"/>
  <c r="AB3386" i="1"/>
  <c r="AA3386" i="1"/>
  <c r="AB3385" i="1"/>
  <c r="AA3385" i="1"/>
  <c r="AB3384" i="1"/>
  <c r="AA3384" i="1"/>
  <c r="AB3383" i="1"/>
  <c r="AA3383" i="1"/>
  <c r="AB3382" i="1"/>
  <c r="AA3382" i="1"/>
  <c r="AB3381" i="1"/>
  <c r="AA3381" i="1"/>
  <c r="AB3380" i="1"/>
  <c r="AA3380" i="1"/>
  <c r="AB3379" i="1"/>
  <c r="AA3379" i="1"/>
  <c r="AB3378" i="1"/>
  <c r="AA3378" i="1"/>
  <c r="AB3377" i="1"/>
  <c r="AA3377" i="1"/>
  <c r="AB3376" i="1"/>
  <c r="AA3376" i="1"/>
  <c r="AB3375" i="1"/>
  <c r="AA3375" i="1"/>
  <c r="AB3374" i="1"/>
  <c r="AA3374" i="1"/>
  <c r="AB3373" i="1"/>
  <c r="AA3373" i="1"/>
  <c r="AB3372" i="1"/>
  <c r="AA3372" i="1"/>
  <c r="AB3371" i="1"/>
  <c r="AA3371" i="1"/>
  <c r="AB3370" i="1"/>
  <c r="AA3370" i="1"/>
  <c r="AB3369" i="1"/>
  <c r="AA3369" i="1"/>
  <c r="AB3368" i="1"/>
  <c r="AA3368" i="1"/>
  <c r="AB3367" i="1"/>
  <c r="AA3367" i="1"/>
  <c r="AB3366" i="1"/>
  <c r="AA3366" i="1"/>
  <c r="AB3365" i="1"/>
  <c r="AA3365" i="1"/>
  <c r="AB3364" i="1"/>
  <c r="AA3364" i="1"/>
  <c r="AB3363" i="1"/>
  <c r="AA3363" i="1"/>
  <c r="AB3362" i="1"/>
  <c r="AA3362" i="1"/>
  <c r="AB3361" i="1"/>
  <c r="AA3361" i="1"/>
  <c r="AB3360" i="1"/>
  <c r="AA3360" i="1"/>
  <c r="AB3359" i="1"/>
  <c r="AA3359" i="1"/>
  <c r="AB3358" i="1"/>
  <c r="AA3358" i="1"/>
  <c r="AB3357" i="1"/>
  <c r="AA3357" i="1"/>
  <c r="AB3356" i="1"/>
  <c r="AA3356" i="1"/>
  <c r="AB3355" i="1"/>
  <c r="AA3355" i="1"/>
  <c r="AB3354" i="1"/>
  <c r="AA3354" i="1"/>
  <c r="AB3353" i="1"/>
  <c r="AA3353" i="1"/>
  <c r="AB3352" i="1"/>
  <c r="AA3352" i="1"/>
  <c r="AB3351" i="1"/>
  <c r="AA3351" i="1"/>
  <c r="AB3350" i="1"/>
  <c r="AA3350" i="1"/>
  <c r="AB3349" i="1"/>
  <c r="AA3349" i="1"/>
  <c r="AB3348" i="1"/>
  <c r="AA3348" i="1"/>
  <c r="AB3347" i="1"/>
  <c r="AA3347" i="1"/>
  <c r="AB3346" i="1"/>
  <c r="AA3346" i="1"/>
  <c r="AB3345" i="1"/>
  <c r="AA3345" i="1"/>
  <c r="AB3344" i="1"/>
  <c r="AA3344" i="1"/>
  <c r="AB3343" i="1"/>
  <c r="AA3343" i="1"/>
  <c r="AB3342" i="1"/>
  <c r="AA3342" i="1"/>
  <c r="AB3341" i="1"/>
  <c r="AA3341" i="1"/>
  <c r="AB3340" i="1"/>
  <c r="AA3340" i="1"/>
  <c r="AB3339" i="1"/>
  <c r="AA3339" i="1"/>
  <c r="AB3338" i="1"/>
  <c r="AA3338" i="1"/>
  <c r="AB3337" i="1"/>
  <c r="AA3337" i="1"/>
  <c r="AB3336" i="1"/>
  <c r="AA3336" i="1"/>
  <c r="AB3335" i="1"/>
  <c r="AA3335" i="1"/>
  <c r="AB3334" i="1"/>
  <c r="AA3334" i="1"/>
  <c r="AB3333" i="1"/>
  <c r="AA3333" i="1"/>
  <c r="AB3332" i="1"/>
  <c r="AA3332" i="1"/>
  <c r="AB3331" i="1"/>
  <c r="AA3331" i="1"/>
  <c r="AB3330" i="1"/>
  <c r="AA3330" i="1"/>
  <c r="AB3329" i="1"/>
  <c r="AA3329" i="1"/>
  <c r="AB3328" i="1"/>
  <c r="AA3328" i="1"/>
  <c r="AB3327" i="1"/>
  <c r="AA3327" i="1"/>
  <c r="AB3326" i="1"/>
  <c r="AA3326" i="1"/>
  <c r="AB3325" i="1"/>
  <c r="AA3325" i="1"/>
  <c r="AB3324" i="1"/>
  <c r="AA3324" i="1"/>
  <c r="AB3323" i="1"/>
  <c r="AA3323" i="1"/>
  <c r="AB3322" i="1"/>
  <c r="AA3322" i="1"/>
  <c r="AB3321" i="1"/>
  <c r="AA3321" i="1"/>
  <c r="AB3320" i="1"/>
  <c r="AA3320" i="1"/>
  <c r="AB3319" i="1"/>
  <c r="AA3319" i="1"/>
  <c r="AB3318" i="1"/>
  <c r="AA3318" i="1"/>
  <c r="AB3317" i="1"/>
  <c r="AA3317" i="1"/>
  <c r="AB3316" i="1"/>
  <c r="AA3316" i="1"/>
  <c r="AB3315" i="1"/>
  <c r="AA3315" i="1"/>
  <c r="AB3314" i="1"/>
  <c r="AA3314" i="1"/>
  <c r="AB3313" i="1"/>
  <c r="AA3313" i="1"/>
  <c r="AB3312" i="1"/>
  <c r="AA3312" i="1"/>
  <c r="AB3311" i="1"/>
  <c r="AA3311" i="1"/>
  <c r="AB3310" i="1"/>
  <c r="AA3310" i="1"/>
  <c r="AB3309" i="1"/>
  <c r="AA3309" i="1"/>
  <c r="AB3308" i="1"/>
  <c r="AA3308" i="1"/>
  <c r="AB3307" i="1"/>
  <c r="AA3307" i="1"/>
  <c r="AB3306" i="1"/>
  <c r="AA3306" i="1"/>
  <c r="AB3305" i="1"/>
  <c r="AA3305" i="1"/>
  <c r="AB3304" i="1"/>
  <c r="AA3304" i="1"/>
  <c r="AB3303" i="1"/>
  <c r="AA3303" i="1"/>
  <c r="AB3302" i="1"/>
  <c r="AA3302" i="1"/>
  <c r="AB3301" i="1"/>
  <c r="AA3301" i="1"/>
  <c r="AB3300" i="1"/>
  <c r="AA3300" i="1"/>
  <c r="AB3299" i="1"/>
  <c r="AA3299" i="1"/>
  <c r="AB3298" i="1"/>
  <c r="AA3298" i="1"/>
  <c r="AB3297" i="1"/>
  <c r="AA3297" i="1"/>
  <c r="AB3296" i="1"/>
  <c r="AA3296" i="1"/>
  <c r="AB3295" i="1"/>
  <c r="AA3295" i="1"/>
  <c r="AB3294" i="1"/>
  <c r="AA3294" i="1"/>
  <c r="AB3293" i="1"/>
  <c r="AA3293" i="1"/>
  <c r="AB3292" i="1"/>
  <c r="AA3292" i="1"/>
  <c r="AB3291" i="1"/>
  <c r="AA3291" i="1"/>
  <c r="AB3290" i="1"/>
  <c r="AA3290" i="1"/>
  <c r="AB3289" i="1"/>
  <c r="AA3289" i="1"/>
  <c r="AB3288" i="1"/>
  <c r="AA3288" i="1"/>
  <c r="AB3287" i="1"/>
  <c r="AA3287" i="1"/>
  <c r="AB3286" i="1"/>
  <c r="AA3286" i="1"/>
  <c r="AB3285" i="1"/>
  <c r="AA3285" i="1"/>
  <c r="AB3284" i="1"/>
  <c r="AA3284" i="1"/>
  <c r="AB3283" i="1"/>
  <c r="AA3283" i="1"/>
  <c r="AB3282" i="1"/>
  <c r="AA3282" i="1"/>
  <c r="AB3281" i="1"/>
  <c r="AA3281" i="1"/>
  <c r="AB3280" i="1"/>
  <c r="AA3280" i="1"/>
  <c r="AB3279" i="1"/>
  <c r="AA3279" i="1"/>
  <c r="AB3278" i="1"/>
  <c r="AA3278" i="1"/>
  <c r="AB3277" i="1"/>
  <c r="AA3277" i="1"/>
  <c r="AB3276" i="1"/>
  <c r="AA3276" i="1"/>
  <c r="AB3275" i="1"/>
  <c r="AA3275" i="1"/>
  <c r="AB3274" i="1"/>
  <c r="AA3274" i="1"/>
  <c r="AB3273" i="1"/>
  <c r="AA3273" i="1"/>
  <c r="AB3272" i="1"/>
  <c r="AA3272" i="1"/>
  <c r="AB3271" i="1"/>
  <c r="AA3271" i="1"/>
  <c r="AB3270" i="1"/>
  <c r="AA3270" i="1"/>
  <c r="AB3269" i="1"/>
  <c r="AA3269" i="1"/>
  <c r="AB3268" i="1"/>
  <c r="AA3268" i="1"/>
  <c r="AB3267" i="1"/>
  <c r="AA3267" i="1"/>
  <c r="AB3266" i="1"/>
  <c r="AA3266" i="1"/>
  <c r="AB3265" i="1"/>
  <c r="AA3265" i="1"/>
  <c r="AB3264" i="1"/>
  <c r="AA3264" i="1"/>
  <c r="AB3263" i="1"/>
  <c r="AA3263" i="1"/>
  <c r="AB3262" i="1"/>
  <c r="AA3262" i="1"/>
  <c r="AB3261" i="1"/>
  <c r="AA3261" i="1"/>
  <c r="AB3260" i="1"/>
  <c r="AA3260" i="1"/>
  <c r="AB3259" i="1"/>
  <c r="AA3259" i="1"/>
  <c r="AB3258" i="1"/>
  <c r="AA3258" i="1"/>
  <c r="AB3257" i="1"/>
  <c r="AA3257" i="1"/>
  <c r="AB3256" i="1"/>
  <c r="AA3256" i="1"/>
  <c r="AB3255" i="1"/>
  <c r="AA3255" i="1"/>
  <c r="AB3254" i="1"/>
  <c r="AA3254" i="1"/>
  <c r="AB3253" i="1"/>
  <c r="AA3253" i="1"/>
  <c r="AB3252" i="1"/>
  <c r="AA3252" i="1"/>
  <c r="AB3251" i="1"/>
  <c r="AA3251" i="1"/>
  <c r="AB3250" i="1"/>
  <c r="AA3250" i="1"/>
  <c r="AB3249" i="1"/>
  <c r="AA3249" i="1"/>
  <c r="AB3248" i="1"/>
  <c r="AA3248" i="1"/>
  <c r="AB3247" i="1"/>
  <c r="AA3247" i="1"/>
  <c r="AB3246" i="1"/>
  <c r="AA3246" i="1"/>
  <c r="AB3245" i="1"/>
  <c r="AA3245" i="1"/>
  <c r="AB3244" i="1"/>
  <c r="AA3244" i="1"/>
  <c r="AB3243" i="1"/>
  <c r="AA3243" i="1"/>
  <c r="AB3242" i="1"/>
  <c r="AA3242" i="1"/>
  <c r="AB3241" i="1"/>
  <c r="AA3241" i="1"/>
  <c r="AB3240" i="1"/>
  <c r="AA3240" i="1"/>
  <c r="AB3239" i="1"/>
  <c r="AA3239" i="1"/>
  <c r="AB3238" i="1"/>
  <c r="AA3238" i="1"/>
  <c r="AB3237" i="1"/>
  <c r="AA3237" i="1"/>
  <c r="AB3236" i="1"/>
  <c r="AA3236" i="1"/>
  <c r="AB3235" i="1"/>
  <c r="AA3235" i="1"/>
  <c r="AB3234" i="1"/>
  <c r="AA3234" i="1"/>
  <c r="AB3233" i="1"/>
  <c r="AA3233" i="1"/>
  <c r="AB3232" i="1"/>
  <c r="AA3232" i="1"/>
  <c r="AB3231" i="1"/>
  <c r="AA3231" i="1"/>
  <c r="AB3230" i="1"/>
  <c r="AA3230" i="1"/>
  <c r="AB3229" i="1"/>
  <c r="AA3229" i="1"/>
  <c r="AB3228" i="1"/>
  <c r="AA3228" i="1"/>
  <c r="AB3227" i="1"/>
  <c r="AA3227" i="1"/>
  <c r="AB3226" i="1"/>
  <c r="AA3226" i="1"/>
  <c r="AB3225" i="1"/>
  <c r="AA3225" i="1"/>
  <c r="AB3224" i="1"/>
  <c r="AA3224" i="1"/>
  <c r="AB3223" i="1"/>
  <c r="AA3223" i="1"/>
  <c r="AB3222" i="1"/>
  <c r="AA3222" i="1"/>
  <c r="AB3221" i="1"/>
  <c r="AA3221" i="1"/>
  <c r="AB3220" i="1"/>
  <c r="AA3220" i="1"/>
  <c r="AB3219" i="1"/>
  <c r="AA3219" i="1"/>
  <c r="AB3218" i="1"/>
  <c r="AA3218" i="1"/>
  <c r="AB3217" i="1"/>
  <c r="AA3217" i="1"/>
  <c r="AB3216" i="1"/>
  <c r="AA3216" i="1"/>
  <c r="AB3215" i="1"/>
  <c r="AA3215" i="1"/>
  <c r="AB3214" i="1"/>
  <c r="AA3214" i="1"/>
  <c r="AB3213" i="1"/>
  <c r="AA3213" i="1"/>
  <c r="AB3212" i="1"/>
  <c r="AA3212" i="1"/>
  <c r="AB3211" i="1"/>
  <c r="AA3211" i="1"/>
  <c r="AB3210" i="1"/>
  <c r="AA3210" i="1"/>
  <c r="AB3209" i="1"/>
  <c r="AA3209" i="1"/>
  <c r="AB3208" i="1"/>
  <c r="AA3208" i="1"/>
  <c r="AB3207" i="1"/>
  <c r="AA3207" i="1"/>
  <c r="AB3206" i="1"/>
  <c r="AA3206" i="1"/>
  <c r="AB3205" i="1"/>
  <c r="AA3205" i="1"/>
  <c r="AB3204" i="1"/>
  <c r="AA3204" i="1"/>
  <c r="AB3203" i="1"/>
  <c r="AA3203" i="1"/>
  <c r="AB3202" i="1"/>
  <c r="AA3202" i="1"/>
  <c r="AB3201" i="1"/>
  <c r="AA3201" i="1"/>
  <c r="AB3200" i="1"/>
  <c r="AA3200" i="1"/>
  <c r="AB3199" i="1"/>
  <c r="AA3199" i="1"/>
  <c r="AB3198" i="1"/>
  <c r="AA3198" i="1"/>
  <c r="AB3197" i="1"/>
  <c r="AA3197" i="1"/>
  <c r="AB3196" i="1"/>
  <c r="AA3196" i="1"/>
  <c r="AB3195" i="1"/>
  <c r="AA3195" i="1"/>
  <c r="AB3194" i="1"/>
  <c r="AA3194" i="1"/>
  <c r="AB3193" i="1"/>
  <c r="AA3193" i="1"/>
  <c r="AB3192" i="1"/>
  <c r="AA3192" i="1"/>
  <c r="AB3191" i="1"/>
  <c r="AA3191" i="1"/>
  <c r="AB3190" i="1"/>
  <c r="AA3190" i="1"/>
  <c r="AB3189" i="1"/>
  <c r="AA3189" i="1"/>
  <c r="AB3188" i="1"/>
  <c r="AA3188" i="1"/>
  <c r="AB3187" i="1"/>
  <c r="AA3187" i="1"/>
  <c r="AB3186" i="1"/>
  <c r="AA3186" i="1"/>
  <c r="AB3185" i="1"/>
  <c r="AA3185" i="1"/>
  <c r="AB3184" i="1"/>
  <c r="AA3184" i="1"/>
  <c r="AB3183" i="1"/>
  <c r="AA3183" i="1"/>
  <c r="AB3182" i="1"/>
  <c r="AA3182" i="1"/>
  <c r="AB3181" i="1"/>
  <c r="AA3181" i="1"/>
  <c r="AB3180" i="1"/>
  <c r="AA3180" i="1"/>
  <c r="AB3179" i="1"/>
  <c r="AA3179" i="1"/>
  <c r="AB3178" i="1"/>
  <c r="AA3178" i="1"/>
  <c r="AB3177" i="1"/>
  <c r="AA3177" i="1"/>
  <c r="AB3176" i="1"/>
  <c r="AA3176" i="1"/>
  <c r="AB3175" i="1"/>
  <c r="AA3175" i="1"/>
  <c r="AB3174" i="1"/>
  <c r="AA3174" i="1"/>
  <c r="AB3173" i="1"/>
  <c r="AA3173" i="1"/>
  <c r="AB3172" i="1"/>
  <c r="AA3172" i="1"/>
  <c r="AB3171" i="1"/>
  <c r="AA3171" i="1"/>
  <c r="AB3170" i="1"/>
  <c r="AA3170" i="1"/>
  <c r="AB3169" i="1"/>
  <c r="AA3169" i="1"/>
  <c r="AB3168" i="1"/>
  <c r="AA3168" i="1"/>
  <c r="AB3167" i="1"/>
  <c r="AA3167" i="1"/>
  <c r="AB3166" i="1"/>
  <c r="AA3166" i="1"/>
  <c r="AB3165" i="1"/>
  <c r="AA3165" i="1"/>
  <c r="AB3164" i="1"/>
  <c r="AA3164" i="1"/>
  <c r="AB3163" i="1"/>
  <c r="AA3163" i="1"/>
  <c r="AB3162" i="1"/>
  <c r="AA3162" i="1"/>
  <c r="AB3161" i="1"/>
  <c r="AA3161" i="1"/>
  <c r="AB3160" i="1"/>
  <c r="AA3160" i="1"/>
  <c r="AB3159" i="1"/>
  <c r="AA3159" i="1"/>
  <c r="AB3158" i="1"/>
  <c r="AA3158" i="1"/>
  <c r="AB3157" i="1"/>
  <c r="AA3157" i="1"/>
  <c r="AB3156" i="1"/>
  <c r="AA3156" i="1"/>
  <c r="AB3155" i="1"/>
  <c r="AA3155" i="1"/>
  <c r="AB3154" i="1"/>
  <c r="AA3154" i="1"/>
  <c r="AB3153" i="1"/>
  <c r="AA3153" i="1"/>
  <c r="AB3152" i="1"/>
  <c r="AA3152" i="1"/>
  <c r="AB3151" i="1"/>
  <c r="AA3151" i="1"/>
  <c r="AB3150" i="1"/>
  <c r="AA3150" i="1"/>
  <c r="AB3149" i="1"/>
  <c r="AA3149" i="1"/>
  <c r="AB3148" i="1"/>
  <c r="AA3148" i="1"/>
  <c r="AB3147" i="1"/>
  <c r="AA3147" i="1"/>
  <c r="AB3146" i="1"/>
  <c r="AA3146" i="1"/>
  <c r="AB3145" i="1"/>
  <c r="AA3145" i="1"/>
  <c r="AB3144" i="1"/>
  <c r="AA3144" i="1"/>
  <c r="AB3143" i="1"/>
  <c r="AA3143" i="1"/>
  <c r="AB3142" i="1"/>
  <c r="AA3142" i="1"/>
  <c r="AB3141" i="1"/>
  <c r="AA3141" i="1"/>
  <c r="AB3140" i="1"/>
  <c r="AA3140" i="1"/>
  <c r="AB3139" i="1"/>
  <c r="AA3139" i="1"/>
  <c r="AB3138" i="1"/>
  <c r="AA3138" i="1"/>
  <c r="AB3137" i="1"/>
  <c r="AA3137" i="1"/>
  <c r="AB3136" i="1"/>
  <c r="AA3136" i="1"/>
  <c r="AB3135" i="1"/>
  <c r="AA3135" i="1"/>
  <c r="AB3134" i="1"/>
  <c r="AA3134" i="1"/>
  <c r="AB3133" i="1"/>
  <c r="AA3133" i="1"/>
  <c r="AB3132" i="1"/>
  <c r="AA3132" i="1"/>
  <c r="AB3131" i="1"/>
  <c r="AA3131" i="1"/>
  <c r="AB3130" i="1"/>
  <c r="AA3130" i="1"/>
  <c r="AB3129" i="1"/>
  <c r="AA3129" i="1"/>
  <c r="AB3128" i="1"/>
  <c r="AA3128" i="1"/>
  <c r="AB3127" i="1"/>
  <c r="AA3127" i="1"/>
  <c r="AB3126" i="1"/>
  <c r="AA3126" i="1"/>
  <c r="AB3125" i="1"/>
  <c r="AA3125" i="1"/>
  <c r="AB3124" i="1"/>
  <c r="AA3124" i="1"/>
  <c r="AB3123" i="1"/>
  <c r="AA3123" i="1"/>
  <c r="AB3122" i="1"/>
  <c r="AA3122" i="1"/>
  <c r="AB3121" i="1"/>
  <c r="AA3121" i="1"/>
  <c r="AB3120" i="1"/>
  <c r="AA3120" i="1"/>
  <c r="AB3119" i="1"/>
  <c r="AA3119" i="1"/>
  <c r="AB3118" i="1"/>
  <c r="AA3118" i="1"/>
  <c r="AB3117" i="1"/>
  <c r="AA3117" i="1"/>
  <c r="AB3116" i="1"/>
  <c r="AA3116" i="1"/>
  <c r="AB3115" i="1"/>
  <c r="AA3115" i="1"/>
  <c r="AB3114" i="1"/>
  <c r="AA3114" i="1"/>
  <c r="AB3113" i="1"/>
  <c r="AA3113" i="1"/>
  <c r="AB3112" i="1"/>
  <c r="AA3112" i="1"/>
  <c r="AB3111" i="1"/>
  <c r="AA3111" i="1"/>
  <c r="AB3110" i="1"/>
  <c r="AA3110" i="1"/>
  <c r="AB3109" i="1"/>
  <c r="AA3109" i="1"/>
  <c r="AB3108" i="1"/>
  <c r="AA3108" i="1"/>
  <c r="AB3107" i="1"/>
  <c r="AA3107" i="1"/>
  <c r="AB3106" i="1"/>
  <c r="AA3106" i="1"/>
  <c r="AB3105" i="1"/>
  <c r="AA3105" i="1"/>
  <c r="AB3104" i="1"/>
  <c r="AA3104" i="1"/>
  <c r="AB3103" i="1"/>
  <c r="AA3103" i="1"/>
  <c r="AB3102" i="1"/>
  <c r="AA3102" i="1"/>
  <c r="AB3101" i="1"/>
  <c r="AA3101" i="1"/>
  <c r="AB3100" i="1"/>
  <c r="AA3100" i="1"/>
  <c r="AB3099" i="1"/>
  <c r="AA3099" i="1"/>
  <c r="AB3098" i="1"/>
  <c r="AA3098" i="1"/>
  <c r="AB3097" i="1"/>
  <c r="AA3097" i="1"/>
  <c r="AB3096" i="1"/>
  <c r="AA3096" i="1"/>
  <c r="AB3095" i="1"/>
  <c r="AA3095" i="1"/>
  <c r="AB3094" i="1"/>
  <c r="AA3094" i="1"/>
  <c r="AB3093" i="1"/>
  <c r="AA3093" i="1"/>
  <c r="AB3092" i="1"/>
  <c r="AA3092" i="1"/>
  <c r="AB3091" i="1"/>
  <c r="AA3091" i="1"/>
  <c r="AB3090" i="1"/>
  <c r="AA3090" i="1"/>
  <c r="AB3089" i="1"/>
  <c r="AA3089" i="1"/>
  <c r="AB3088" i="1"/>
  <c r="AA3088" i="1"/>
  <c r="AB3087" i="1"/>
  <c r="AA3087" i="1"/>
  <c r="AB3086" i="1"/>
  <c r="AA3086" i="1"/>
  <c r="AB3085" i="1"/>
  <c r="AA3085" i="1"/>
  <c r="AB3084" i="1"/>
  <c r="AA3084" i="1"/>
  <c r="AB3083" i="1"/>
  <c r="AA3083" i="1"/>
  <c r="AB3082" i="1"/>
  <c r="AA3082" i="1"/>
  <c r="AB3081" i="1"/>
  <c r="AA3081" i="1"/>
  <c r="AB3080" i="1"/>
  <c r="AA3080" i="1"/>
  <c r="AB3079" i="1"/>
  <c r="AA3079" i="1"/>
  <c r="AB3078" i="1"/>
  <c r="AA3078" i="1"/>
  <c r="AB3077" i="1"/>
  <c r="AA3077" i="1"/>
  <c r="AB3076" i="1"/>
  <c r="AA3076" i="1"/>
  <c r="AB3075" i="1"/>
  <c r="AA3075" i="1"/>
  <c r="AB3074" i="1"/>
  <c r="AA3074" i="1"/>
  <c r="AB3073" i="1"/>
  <c r="AA3073" i="1"/>
  <c r="AB3072" i="1"/>
  <c r="AA3072" i="1"/>
  <c r="AB3071" i="1"/>
  <c r="AA3071" i="1"/>
  <c r="AB3070" i="1"/>
  <c r="AA3070" i="1"/>
  <c r="AB3069" i="1"/>
  <c r="AA3069" i="1"/>
  <c r="AB3068" i="1"/>
  <c r="AA3068" i="1"/>
  <c r="AB3067" i="1"/>
  <c r="AA3067" i="1"/>
  <c r="AB3066" i="1"/>
  <c r="AA3066" i="1"/>
  <c r="AB3065" i="1"/>
  <c r="AA3065" i="1"/>
  <c r="AB3064" i="1"/>
  <c r="AA3064" i="1"/>
  <c r="AB3063" i="1"/>
  <c r="AA3063" i="1"/>
  <c r="AB3062" i="1"/>
  <c r="AA3062" i="1"/>
  <c r="AB3061" i="1"/>
  <c r="AA3061" i="1"/>
  <c r="AB3060" i="1"/>
  <c r="AA3060" i="1"/>
  <c r="AB3059" i="1"/>
  <c r="AA3059" i="1"/>
  <c r="AB3058" i="1"/>
  <c r="AA3058" i="1"/>
  <c r="AB3057" i="1"/>
  <c r="AA3057" i="1"/>
  <c r="AB3056" i="1"/>
  <c r="AA3056" i="1"/>
  <c r="AB3055" i="1"/>
  <c r="AA3055" i="1"/>
  <c r="AB3054" i="1"/>
  <c r="AA3054" i="1"/>
  <c r="AB3053" i="1"/>
  <c r="AA3053" i="1"/>
  <c r="AB3052" i="1"/>
  <c r="AA3052" i="1"/>
  <c r="AB3051" i="1"/>
  <c r="AA3051" i="1"/>
  <c r="AB3050" i="1"/>
  <c r="AA3050" i="1"/>
  <c r="AB3049" i="1"/>
  <c r="AA3049" i="1"/>
  <c r="AB3048" i="1"/>
  <c r="AA3048" i="1"/>
  <c r="AB3047" i="1"/>
  <c r="AA3047" i="1"/>
  <c r="AB3046" i="1"/>
  <c r="AA3046" i="1"/>
  <c r="AB3045" i="1"/>
  <c r="AA3045" i="1"/>
  <c r="AB3044" i="1"/>
  <c r="AA3044" i="1"/>
  <c r="AB3043" i="1"/>
  <c r="AA3043" i="1"/>
  <c r="AB3042" i="1"/>
  <c r="AA3042" i="1"/>
  <c r="AB3041" i="1"/>
  <c r="AA3041" i="1"/>
  <c r="AB3040" i="1"/>
  <c r="AA3040" i="1"/>
  <c r="AB3039" i="1"/>
  <c r="AA3039" i="1"/>
  <c r="AB3038" i="1"/>
  <c r="AA3038" i="1"/>
  <c r="AB3037" i="1"/>
  <c r="AA3037" i="1"/>
  <c r="AB3036" i="1"/>
  <c r="AA3036" i="1"/>
  <c r="AB3035" i="1"/>
  <c r="AA3035" i="1"/>
  <c r="AB3034" i="1"/>
  <c r="AA3034" i="1"/>
  <c r="AB3033" i="1"/>
  <c r="AA3033" i="1"/>
  <c r="AB3032" i="1"/>
  <c r="AA3032" i="1"/>
  <c r="AB3031" i="1"/>
  <c r="AA3031" i="1"/>
  <c r="AB3030" i="1"/>
  <c r="AA3030" i="1"/>
  <c r="AB3029" i="1"/>
  <c r="AA3029" i="1"/>
  <c r="AB3028" i="1"/>
  <c r="AA3028" i="1"/>
  <c r="AB3027" i="1"/>
  <c r="AA3027" i="1"/>
  <c r="AB3026" i="1"/>
  <c r="AA3026" i="1"/>
  <c r="AB3025" i="1"/>
  <c r="AA3025" i="1"/>
  <c r="AB3024" i="1"/>
  <c r="AA3024" i="1"/>
  <c r="AB3023" i="1"/>
  <c r="AA3023" i="1"/>
  <c r="AB3022" i="1"/>
  <c r="AA3022" i="1"/>
  <c r="AB3021" i="1"/>
  <c r="AA3021" i="1"/>
  <c r="AB3020" i="1"/>
  <c r="AA3020" i="1"/>
  <c r="AB3019" i="1"/>
  <c r="AA3019" i="1"/>
  <c r="AB3018" i="1"/>
  <c r="AA3018" i="1"/>
  <c r="AB3017" i="1"/>
  <c r="AA3017" i="1"/>
  <c r="AB3016" i="1"/>
  <c r="AA3016" i="1"/>
  <c r="AB3015" i="1"/>
  <c r="AA3015" i="1"/>
  <c r="AB3014" i="1"/>
  <c r="AA3014" i="1"/>
  <c r="AB3013" i="1"/>
  <c r="AA3013" i="1"/>
  <c r="AB3012" i="1"/>
  <c r="AA3012" i="1"/>
  <c r="AB3011" i="1"/>
  <c r="AA3011" i="1"/>
  <c r="AB3010" i="1"/>
  <c r="AA3010" i="1"/>
  <c r="AB3009" i="1"/>
  <c r="AA3009" i="1"/>
  <c r="AB3008" i="1"/>
  <c r="AA3008" i="1"/>
  <c r="AB3007" i="1"/>
  <c r="AA3007" i="1"/>
  <c r="AB3006" i="1"/>
  <c r="AA3006" i="1"/>
  <c r="AB3005" i="1"/>
  <c r="AA3005" i="1"/>
  <c r="AB3004" i="1"/>
  <c r="AA3004" i="1"/>
  <c r="AB3003" i="1"/>
  <c r="AA3003" i="1"/>
  <c r="AB3002" i="1"/>
  <c r="AA3002" i="1"/>
  <c r="AB3001" i="1"/>
  <c r="AA3001" i="1"/>
  <c r="AB3000" i="1"/>
  <c r="AA3000" i="1"/>
  <c r="AB2999" i="1"/>
  <c r="AA2999" i="1"/>
  <c r="AB2998" i="1"/>
  <c r="AA2998" i="1"/>
  <c r="AB2997" i="1"/>
  <c r="AA2997" i="1"/>
  <c r="AB2996" i="1"/>
  <c r="AA2996" i="1"/>
  <c r="AB2995" i="1"/>
  <c r="AA2995" i="1"/>
  <c r="AB2994" i="1"/>
  <c r="AA2994" i="1"/>
  <c r="AB2993" i="1"/>
  <c r="AA2993" i="1"/>
  <c r="AB2992" i="1"/>
  <c r="AA2992" i="1"/>
  <c r="AB2991" i="1"/>
  <c r="AA2991" i="1"/>
  <c r="AB2990" i="1"/>
  <c r="AA2990" i="1"/>
  <c r="AB2989" i="1"/>
  <c r="AA2989" i="1"/>
  <c r="AB2988" i="1"/>
  <c r="AA2988" i="1"/>
  <c r="AB2987" i="1"/>
  <c r="AA2987" i="1"/>
  <c r="AB2986" i="1"/>
  <c r="AA2986" i="1"/>
  <c r="AB2985" i="1"/>
  <c r="AA2985" i="1"/>
  <c r="AB2984" i="1"/>
  <c r="AA2984" i="1"/>
  <c r="AB2983" i="1"/>
  <c r="AA2983" i="1"/>
  <c r="AB2982" i="1"/>
  <c r="AA2982" i="1"/>
  <c r="AB2981" i="1"/>
  <c r="AA2981" i="1"/>
  <c r="AB2980" i="1"/>
  <c r="AA2980" i="1"/>
  <c r="AB2979" i="1"/>
  <c r="AA2979" i="1"/>
  <c r="AB2978" i="1"/>
  <c r="AA2978" i="1"/>
  <c r="AB2977" i="1"/>
  <c r="AA2977" i="1"/>
  <c r="AB2976" i="1"/>
  <c r="AA2976" i="1"/>
  <c r="AB2975" i="1"/>
  <c r="AA2975" i="1"/>
  <c r="AB2974" i="1"/>
  <c r="AA2974" i="1"/>
  <c r="AB2973" i="1"/>
  <c r="AA2973" i="1"/>
  <c r="AB2972" i="1"/>
  <c r="AA2972" i="1"/>
  <c r="AB2971" i="1"/>
  <c r="AA2971" i="1"/>
  <c r="AB2970" i="1"/>
  <c r="AA2970" i="1"/>
  <c r="AB2969" i="1"/>
  <c r="AA2969" i="1"/>
  <c r="AB2968" i="1"/>
  <c r="AA2968" i="1"/>
  <c r="AB2967" i="1"/>
  <c r="AA2967" i="1"/>
  <c r="AB2966" i="1"/>
  <c r="AA2966" i="1"/>
  <c r="AB2965" i="1"/>
  <c r="AA2965" i="1"/>
  <c r="AB2964" i="1"/>
  <c r="AA2964" i="1"/>
  <c r="AB2963" i="1"/>
  <c r="AA2963" i="1"/>
  <c r="AB2962" i="1"/>
  <c r="AA2962" i="1"/>
  <c r="AB2961" i="1"/>
  <c r="AA2961" i="1"/>
  <c r="AB2960" i="1"/>
  <c r="AA2960" i="1"/>
  <c r="AB2959" i="1"/>
  <c r="AA2959" i="1"/>
  <c r="AB2958" i="1"/>
  <c r="AA2958" i="1"/>
  <c r="AB2957" i="1"/>
  <c r="AA2957" i="1"/>
  <c r="AB2956" i="1"/>
  <c r="AA2956" i="1"/>
  <c r="AB2955" i="1"/>
  <c r="AA2955" i="1"/>
  <c r="AB2954" i="1"/>
  <c r="AA2954" i="1"/>
  <c r="AB2953" i="1"/>
  <c r="AA2953" i="1"/>
  <c r="AB2952" i="1"/>
  <c r="AA2952" i="1"/>
  <c r="AB2951" i="1"/>
  <c r="AA2951" i="1"/>
  <c r="AB2950" i="1"/>
  <c r="AA2950" i="1"/>
  <c r="AB2949" i="1"/>
  <c r="AA2949" i="1"/>
  <c r="AB2948" i="1"/>
  <c r="AA2948" i="1"/>
  <c r="AB2947" i="1"/>
  <c r="AA2947" i="1"/>
  <c r="AB2946" i="1"/>
  <c r="AA2946" i="1"/>
  <c r="AB2945" i="1"/>
  <c r="AA2945" i="1"/>
  <c r="AB2944" i="1"/>
  <c r="AA2944" i="1"/>
  <c r="AB2943" i="1"/>
  <c r="AA2943" i="1"/>
  <c r="AB2942" i="1"/>
  <c r="AA2942" i="1"/>
  <c r="AB2941" i="1"/>
  <c r="AA2941" i="1"/>
  <c r="AB2940" i="1"/>
  <c r="AA2940" i="1"/>
  <c r="AB2939" i="1"/>
  <c r="AA2939" i="1"/>
  <c r="AB2938" i="1"/>
  <c r="AA2938" i="1"/>
  <c r="AB2937" i="1"/>
  <c r="AA2937" i="1"/>
  <c r="AB2936" i="1"/>
  <c r="AA2936" i="1"/>
  <c r="AB2935" i="1"/>
  <c r="AA2935" i="1"/>
  <c r="AB2934" i="1"/>
  <c r="AA2934" i="1"/>
  <c r="AB2933" i="1"/>
  <c r="AA2933" i="1"/>
  <c r="AB2932" i="1"/>
  <c r="AA2932" i="1"/>
  <c r="AB2931" i="1"/>
  <c r="AA2931" i="1"/>
  <c r="AB2930" i="1"/>
  <c r="AA2930" i="1"/>
  <c r="AB2929" i="1"/>
  <c r="AA2929" i="1"/>
  <c r="AB2928" i="1"/>
  <c r="AA2928" i="1"/>
  <c r="AB2927" i="1"/>
  <c r="AA2927" i="1"/>
  <c r="AB2926" i="1"/>
  <c r="AA2926" i="1"/>
  <c r="AB2925" i="1"/>
  <c r="AA2925" i="1"/>
  <c r="AB2924" i="1"/>
  <c r="AA2924" i="1"/>
  <c r="AB2923" i="1"/>
  <c r="AA2923" i="1"/>
  <c r="AB2922" i="1"/>
  <c r="AA2922" i="1"/>
  <c r="AB2921" i="1"/>
  <c r="AA2921" i="1"/>
  <c r="AB2920" i="1"/>
  <c r="AA2920" i="1"/>
  <c r="AB2919" i="1"/>
  <c r="AA2919" i="1"/>
  <c r="AB2918" i="1"/>
  <c r="AA2918" i="1"/>
  <c r="AB2917" i="1"/>
  <c r="AA2917" i="1"/>
  <c r="AB2916" i="1"/>
  <c r="AA2916" i="1"/>
  <c r="AB2915" i="1"/>
  <c r="AA2915" i="1"/>
  <c r="AB2914" i="1"/>
  <c r="AA2914" i="1"/>
  <c r="AB2913" i="1"/>
  <c r="AA2913" i="1"/>
  <c r="AB2912" i="1"/>
  <c r="AA2912" i="1"/>
  <c r="AB2911" i="1"/>
  <c r="AA2911" i="1"/>
  <c r="AB2910" i="1"/>
  <c r="AA2910" i="1"/>
  <c r="AB2909" i="1"/>
  <c r="AA2909" i="1"/>
  <c r="AB2908" i="1"/>
  <c r="AA2908" i="1"/>
  <c r="AB2907" i="1"/>
  <c r="AA2907" i="1"/>
  <c r="AB2906" i="1"/>
  <c r="AA2906" i="1"/>
  <c r="AB2905" i="1"/>
  <c r="AA2905" i="1"/>
  <c r="AB2904" i="1"/>
  <c r="AA2904" i="1"/>
  <c r="AB2903" i="1"/>
  <c r="AA2903" i="1"/>
  <c r="AB2902" i="1"/>
  <c r="AA2902" i="1"/>
  <c r="AB2901" i="1"/>
  <c r="AA2901" i="1"/>
  <c r="AB2900" i="1"/>
  <c r="AA2900" i="1"/>
  <c r="AB2899" i="1"/>
  <c r="AA2899" i="1"/>
  <c r="AB2898" i="1"/>
  <c r="AA2898" i="1"/>
  <c r="AB2897" i="1"/>
  <c r="AA2897" i="1"/>
  <c r="AB2896" i="1"/>
  <c r="AA2896" i="1"/>
  <c r="AB2895" i="1"/>
  <c r="AA2895" i="1"/>
  <c r="AB2894" i="1"/>
  <c r="AA2894" i="1"/>
  <c r="AB2893" i="1"/>
  <c r="AA2893" i="1"/>
  <c r="AB2892" i="1"/>
  <c r="AA2892" i="1"/>
  <c r="AB2891" i="1"/>
  <c r="AA2891" i="1"/>
  <c r="AB2890" i="1"/>
  <c r="AA2890" i="1"/>
  <c r="AB2889" i="1"/>
  <c r="AA2889" i="1"/>
  <c r="AB2888" i="1"/>
  <c r="AA2888" i="1"/>
  <c r="AB2887" i="1"/>
  <c r="AA2887" i="1"/>
  <c r="AB2886" i="1"/>
  <c r="AA2886" i="1"/>
  <c r="AB2885" i="1"/>
  <c r="AA2885" i="1"/>
  <c r="AB2884" i="1"/>
  <c r="AA2884" i="1"/>
  <c r="AB2883" i="1"/>
  <c r="AA2883" i="1"/>
  <c r="AB2882" i="1"/>
  <c r="AA2882" i="1"/>
  <c r="AB2881" i="1"/>
  <c r="AA2881" i="1"/>
  <c r="AB2880" i="1"/>
  <c r="AA2880" i="1"/>
  <c r="AB2879" i="1"/>
  <c r="AA2879" i="1"/>
  <c r="AB2878" i="1"/>
  <c r="AA2878" i="1"/>
  <c r="AB2877" i="1"/>
  <c r="AA2877" i="1"/>
  <c r="AB2876" i="1"/>
  <c r="AA2876" i="1"/>
  <c r="AB2875" i="1"/>
  <c r="AA2875" i="1"/>
  <c r="AB2874" i="1"/>
  <c r="AA2874" i="1"/>
  <c r="AB2873" i="1"/>
  <c r="AA2873" i="1"/>
  <c r="AB2872" i="1"/>
  <c r="AA2872" i="1"/>
  <c r="AB2871" i="1"/>
  <c r="AA2871" i="1"/>
  <c r="AB2870" i="1"/>
  <c r="AA2870" i="1"/>
  <c r="AB2869" i="1"/>
  <c r="AA2869" i="1"/>
  <c r="AB2868" i="1"/>
  <c r="AA2868" i="1"/>
  <c r="AB2867" i="1"/>
  <c r="AA2867" i="1"/>
  <c r="AB2866" i="1"/>
  <c r="AA2866" i="1"/>
  <c r="AB2865" i="1"/>
  <c r="AA2865" i="1"/>
  <c r="AB2864" i="1"/>
  <c r="AA2864" i="1"/>
  <c r="AB2863" i="1"/>
  <c r="AA2863" i="1"/>
  <c r="AB2862" i="1"/>
  <c r="AA2862" i="1"/>
  <c r="AB2861" i="1"/>
  <c r="AA2861" i="1"/>
  <c r="AB2860" i="1"/>
  <c r="AA2860" i="1"/>
  <c r="AB2859" i="1"/>
  <c r="AA2859" i="1"/>
  <c r="AB2858" i="1"/>
  <c r="AA2858" i="1"/>
  <c r="AB2857" i="1"/>
  <c r="AA2857" i="1"/>
  <c r="AB2856" i="1"/>
  <c r="AA2856" i="1"/>
  <c r="AB2855" i="1"/>
  <c r="AA2855" i="1"/>
  <c r="AB2854" i="1"/>
  <c r="AA2854" i="1"/>
  <c r="AB2853" i="1"/>
  <c r="AA2853" i="1"/>
  <c r="AB2852" i="1"/>
  <c r="AA2852" i="1"/>
  <c r="AB2851" i="1"/>
  <c r="AA2851" i="1"/>
  <c r="AB2850" i="1"/>
  <c r="AA2850" i="1"/>
  <c r="AB2849" i="1"/>
  <c r="AA2849" i="1"/>
  <c r="AB2848" i="1"/>
  <c r="AA2848" i="1"/>
  <c r="AB2847" i="1"/>
  <c r="AA2847" i="1"/>
  <c r="AB2846" i="1"/>
  <c r="AA2846" i="1"/>
  <c r="AB2845" i="1"/>
  <c r="AA2845" i="1"/>
  <c r="AB2844" i="1"/>
  <c r="AA2844" i="1"/>
  <c r="AB2843" i="1"/>
  <c r="AA2843" i="1"/>
  <c r="AB2842" i="1"/>
  <c r="AA2842" i="1"/>
  <c r="AB2841" i="1"/>
  <c r="AA2841" i="1"/>
  <c r="AB2840" i="1"/>
  <c r="AA2840" i="1"/>
  <c r="AB2839" i="1"/>
  <c r="AA2839" i="1"/>
  <c r="AB2838" i="1"/>
  <c r="AA2838" i="1"/>
  <c r="AB2837" i="1"/>
  <c r="AA2837" i="1"/>
  <c r="AB2836" i="1"/>
  <c r="AA2836" i="1"/>
  <c r="AB2835" i="1"/>
  <c r="AA2835" i="1"/>
  <c r="AB2834" i="1"/>
  <c r="AA2834" i="1"/>
  <c r="AB2833" i="1"/>
  <c r="AA2833" i="1"/>
  <c r="AB2832" i="1"/>
  <c r="AA2832" i="1"/>
  <c r="AB2831" i="1"/>
  <c r="AA2831" i="1"/>
  <c r="AB2830" i="1"/>
  <c r="AA2830" i="1"/>
  <c r="AB2829" i="1"/>
  <c r="AA2829" i="1"/>
  <c r="AB2828" i="1"/>
  <c r="AA2828" i="1"/>
  <c r="AB2827" i="1"/>
  <c r="AA2827" i="1"/>
  <c r="AB2826" i="1"/>
  <c r="AA2826" i="1"/>
  <c r="AB2825" i="1"/>
  <c r="AA2825" i="1"/>
  <c r="AB2824" i="1"/>
  <c r="AA2824" i="1"/>
  <c r="AB2823" i="1"/>
  <c r="AA2823" i="1"/>
  <c r="AB2822" i="1"/>
  <c r="AA2822" i="1"/>
  <c r="AB2821" i="1"/>
  <c r="AA2821" i="1"/>
  <c r="AB2820" i="1"/>
  <c r="AA2820" i="1"/>
  <c r="AB2819" i="1"/>
  <c r="AA2819" i="1"/>
  <c r="AB2818" i="1"/>
  <c r="AA2818" i="1"/>
  <c r="AB2817" i="1"/>
  <c r="AA2817" i="1"/>
  <c r="AB2816" i="1"/>
  <c r="AA2816" i="1"/>
  <c r="AB2815" i="1"/>
  <c r="AA2815" i="1"/>
  <c r="AB2814" i="1"/>
  <c r="AA2814" i="1"/>
  <c r="AB2813" i="1"/>
  <c r="AA2813" i="1"/>
  <c r="AB2812" i="1"/>
  <c r="AA2812" i="1"/>
  <c r="AB2811" i="1"/>
  <c r="AA2811" i="1"/>
  <c r="AB2810" i="1"/>
  <c r="AA2810" i="1"/>
  <c r="AB2809" i="1"/>
  <c r="AA2809" i="1"/>
  <c r="AB2808" i="1"/>
  <c r="AA2808" i="1"/>
  <c r="AB2807" i="1"/>
  <c r="AA2807" i="1"/>
  <c r="AB2806" i="1"/>
  <c r="AA2806" i="1"/>
  <c r="AB2805" i="1"/>
  <c r="AA2805" i="1"/>
  <c r="AB2804" i="1"/>
  <c r="AA2804" i="1"/>
  <c r="AB2803" i="1"/>
  <c r="AA2803" i="1"/>
  <c r="AB2802" i="1"/>
  <c r="AA2802" i="1"/>
  <c r="AB2801" i="1"/>
  <c r="AA2801" i="1"/>
  <c r="AB2800" i="1"/>
  <c r="AA2800" i="1"/>
  <c r="AB2799" i="1"/>
  <c r="AA2799" i="1"/>
  <c r="AB2798" i="1"/>
  <c r="AA2798" i="1"/>
  <c r="AB2797" i="1"/>
  <c r="AA2797" i="1"/>
  <c r="AB2796" i="1"/>
  <c r="AA2796" i="1"/>
  <c r="AB2795" i="1"/>
  <c r="AA2795" i="1"/>
  <c r="AB2794" i="1"/>
  <c r="AA2794" i="1"/>
  <c r="AB2793" i="1"/>
  <c r="AA2793" i="1"/>
  <c r="AB2792" i="1"/>
  <c r="AA2792" i="1"/>
  <c r="AB2791" i="1"/>
  <c r="AA2791" i="1"/>
  <c r="AB2790" i="1"/>
  <c r="AA2790" i="1"/>
  <c r="AB2789" i="1"/>
  <c r="AA2789" i="1"/>
  <c r="AB2788" i="1"/>
  <c r="AA2788" i="1"/>
  <c r="AB2787" i="1"/>
  <c r="AA2787" i="1"/>
  <c r="AB2786" i="1"/>
  <c r="AA2786" i="1"/>
  <c r="AB2785" i="1"/>
  <c r="AA2785" i="1"/>
  <c r="AB2784" i="1"/>
  <c r="AA2784" i="1"/>
  <c r="AB2783" i="1"/>
  <c r="AA2783" i="1"/>
  <c r="AB2782" i="1"/>
  <c r="AA2782" i="1"/>
  <c r="AB2781" i="1"/>
  <c r="AA2781" i="1"/>
  <c r="AB2780" i="1"/>
  <c r="AA2780" i="1"/>
  <c r="AB2779" i="1"/>
  <c r="AA2779" i="1"/>
  <c r="AB2778" i="1"/>
  <c r="AA2778" i="1"/>
  <c r="AB2777" i="1"/>
  <c r="AA2777" i="1"/>
  <c r="AB2776" i="1"/>
  <c r="AA2776" i="1"/>
  <c r="AB2775" i="1"/>
  <c r="AA2775" i="1"/>
  <c r="AB2774" i="1"/>
  <c r="AA2774" i="1"/>
  <c r="AB2773" i="1"/>
  <c r="AA2773" i="1"/>
  <c r="AB2772" i="1"/>
  <c r="AA2772" i="1"/>
  <c r="AB2771" i="1"/>
  <c r="AA2771" i="1"/>
  <c r="AB2770" i="1"/>
  <c r="AA2770" i="1"/>
  <c r="AB2769" i="1"/>
  <c r="AA2769" i="1"/>
  <c r="AB2768" i="1"/>
  <c r="AA2768" i="1"/>
  <c r="AB2767" i="1"/>
  <c r="AA2767" i="1"/>
  <c r="AB2766" i="1"/>
  <c r="AA2766" i="1"/>
  <c r="AB2765" i="1"/>
  <c r="AA2765" i="1"/>
  <c r="AB2764" i="1"/>
  <c r="AA2764" i="1"/>
  <c r="AB2763" i="1"/>
  <c r="AA2763" i="1"/>
  <c r="AB2762" i="1"/>
  <c r="AA2762" i="1"/>
  <c r="AB2761" i="1"/>
  <c r="AA2761" i="1"/>
  <c r="AB2760" i="1"/>
  <c r="AA2760" i="1"/>
  <c r="AB2759" i="1"/>
  <c r="AA2759" i="1"/>
  <c r="AB2758" i="1"/>
  <c r="AA2758" i="1"/>
  <c r="AB2757" i="1"/>
  <c r="AA2757" i="1"/>
  <c r="AB2756" i="1"/>
  <c r="AA2756" i="1"/>
  <c r="AB2755" i="1"/>
  <c r="AA2755" i="1"/>
  <c r="AB2754" i="1"/>
  <c r="AA2754" i="1"/>
  <c r="AB2753" i="1"/>
  <c r="AA2753" i="1"/>
  <c r="AB2752" i="1"/>
  <c r="AA2752" i="1"/>
  <c r="AB2751" i="1"/>
  <c r="AA2751" i="1"/>
  <c r="AB2750" i="1"/>
  <c r="AA2750" i="1"/>
  <c r="AB2749" i="1"/>
  <c r="AA2749" i="1"/>
  <c r="AB2748" i="1"/>
  <c r="AA2748" i="1"/>
  <c r="AB2747" i="1"/>
  <c r="AA2747" i="1"/>
  <c r="AB2746" i="1"/>
  <c r="AA2746" i="1"/>
  <c r="AB2745" i="1"/>
  <c r="AA2745" i="1"/>
  <c r="AB2744" i="1"/>
  <c r="AA2744" i="1"/>
  <c r="AB2743" i="1"/>
  <c r="AA2743" i="1"/>
  <c r="AB2742" i="1"/>
  <c r="AA2742" i="1"/>
  <c r="AB2741" i="1"/>
  <c r="AA2741" i="1"/>
  <c r="AB2740" i="1"/>
  <c r="AA2740" i="1"/>
  <c r="AB2739" i="1"/>
  <c r="AA2739" i="1"/>
  <c r="AB2738" i="1"/>
  <c r="AA2738" i="1"/>
  <c r="AB2737" i="1"/>
  <c r="AA2737" i="1"/>
  <c r="AB2736" i="1"/>
  <c r="AA2736" i="1"/>
  <c r="AB2735" i="1"/>
  <c r="AA2735" i="1"/>
  <c r="AB2734" i="1"/>
  <c r="AA2734" i="1"/>
  <c r="AB2733" i="1"/>
  <c r="AA2733" i="1"/>
  <c r="AB2732" i="1"/>
  <c r="AA2732" i="1"/>
  <c r="AB2731" i="1"/>
  <c r="AA2731" i="1"/>
  <c r="AB2730" i="1"/>
  <c r="AA2730" i="1"/>
  <c r="AB2729" i="1"/>
  <c r="AA2729" i="1"/>
  <c r="AB2728" i="1"/>
  <c r="AA2728" i="1"/>
  <c r="AB2727" i="1"/>
  <c r="AA2727" i="1"/>
  <c r="AB2726" i="1"/>
  <c r="AA2726" i="1"/>
  <c r="AB2725" i="1"/>
  <c r="AA2725" i="1"/>
  <c r="AB2724" i="1"/>
  <c r="AA2724" i="1"/>
  <c r="AB2723" i="1"/>
  <c r="AA2723" i="1"/>
  <c r="AB2722" i="1"/>
  <c r="AA2722" i="1"/>
  <c r="AB2721" i="1"/>
  <c r="AA2721" i="1"/>
  <c r="AB2720" i="1"/>
  <c r="AA2720" i="1"/>
  <c r="AB2719" i="1"/>
  <c r="AA2719" i="1"/>
  <c r="AB2718" i="1"/>
  <c r="AA2718" i="1"/>
  <c r="AB2717" i="1"/>
  <c r="AA2717" i="1"/>
  <c r="AB2716" i="1"/>
  <c r="AA2716" i="1"/>
  <c r="AB2715" i="1"/>
  <c r="AA2715" i="1"/>
  <c r="AB2714" i="1"/>
  <c r="AA2714" i="1"/>
  <c r="AB2713" i="1"/>
  <c r="AA2713" i="1"/>
  <c r="AB2712" i="1"/>
  <c r="AA2712" i="1"/>
  <c r="AB2711" i="1"/>
  <c r="AA2711" i="1"/>
  <c r="AB2710" i="1"/>
  <c r="AA2710" i="1"/>
  <c r="AB2709" i="1"/>
  <c r="AA2709" i="1"/>
  <c r="AB2708" i="1"/>
  <c r="AA2708" i="1"/>
  <c r="AB2707" i="1"/>
  <c r="AA2707" i="1"/>
  <c r="AB2706" i="1"/>
  <c r="AA2706" i="1"/>
  <c r="AB2705" i="1"/>
  <c r="AA2705" i="1"/>
  <c r="AB2704" i="1"/>
  <c r="AA2704" i="1"/>
  <c r="AB2703" i="1"/>
  <c r="AA2703" i="1"/>
  <c r="AB2702" i="1"/>
  <c r="AA2702" i="1"/>
  <c r="AB2701" i="1"/>
  <c r="AA2701" i="1"/>
  <c r="AB2700" i="1"/>
  <c r="AA2700" i="1"/>
  <c r="AB2699" i="1"/>
  <c r="AA2699" i="1"/>
  <c r="AB2698" i="1"/>
  <c r="AA2698" i="1"/>
  <c r="AB2697" i="1"/>
  <c r="AA2697" i="1"/>
  <c r="AB2696" i="1"/>
  <c r="AA2696" i="1"/>
  <c r="AB2695" i="1"/>
  <c r="AA2695" i="1"/>
  <c r="AB2694" i="1"/>
  <c r="AA2694" i="1"/>
  <c r="AB2693" i="1"/>
  <c r="AA2693" i="1"/>
  <c r="AB2692" i="1"/>
  <c r="AA2692" i="1"/>
  <c r="AB2691" i="1"/>
  <c r="AA2691" i="1"/>
  <c r="AB2690" i="1"/>
  <c r="AA2690" i="1"/>
  <c r="AB2689" i="1"/>
  <c r="AA2689" i="1"/>
  <c r="AB2688" i="1"/>
  <c r="AA2688" i="1"/>
  <c r="AB2687" i="1"/>
  <c r="AA2687" i="1"/>
  <c r="AB2686" i="1"/>
  <c r="AA2686" i="1"/>
  <c r="AB2685" i="1"/>
  <c r="AA2685" i="1"/>
  <c r="AB2684" i="1"/>
  <c r="AA2684" i="1"/>
  <c r="AB2683" i="1"/>
  <c r="AA2683" i="1"/>
  <c r="AB2682" i="1"/>
  <c r="AA2682" i="1"/>
  <c r="AB2681" i="1"/>
  <c r="AA2681" i="1"/>
  <c r="AB2680" i="1"/>
  <c r="AA2680" i="1"/>
  <c r="AB2679" i="1"/>
  <c r="AA2679" i="1"/>
  <c r="AB2678" i="1"/>
  <c r="AA2678" i="1"/>
  <c r="AB2677" i="1"/>
  <c r="AA2677" i="1"/>
  <c r="AB2676" i="1"/>
  <c r="AA2676" i="1"/>
  <c r="AB2675" i="1"/>
  <c r="AA2675" i="1"/>
  <c r="AB2674" i="1"/>
  <c r="AA2674" i="1"/>
  <c r="AB2673" i="1"/>
  <c r="AA2673" i="1"/>
  <c r="AB2672" i="1"/>
  <c r="AA2672" i="1"/>
  <c r="AB2671" i="1"/>
  <c r="AA2671" i="1"/>
  <c r="AB2670" i="1"/>
  <c r="AA2670" i="1"/>
  <c r="AB2669" i="1"/>
  <c r="AA2669" i="1"/>
  <c r="AB2668" i="1"/>
  <c r="AA2668" i="1"/>
  <c r="AB2667" i="1"/>
  <c r="AA2667" i="1"/>
  <c r="AB2666" i="1"/>
  <c r="AA2666" i="1"/>
  <c r="AB2665" i="1"/>
  <c r="AA2665" i="1"/>
  <c r="AB2664" i="1"/>
  <c r="AA2664" i="1"/>
  <c r="AB2663" i="1"/>
  <c r="AA2663" i="1"/>
  <c r="AB2662" i="1"/>
  <c r="AA2662" i="1"/>
  <c r="AB2661" i="1"/>
  <c r="AA2661" i="1"/>
  <c r="AB2660" i="1"/>
  <c r="AA2660" i="1"/>
  <c r="AB2659" i="1"/>
  <c r="AA2659" i="1"/>
  <c r="AB2658" i="1"/>
  <c r="AA2658" i="1"/>
  <c r="AB2657" i="1"/>
  <c r="AA2657" i="1"/>
  <c r="AB2656" i="1"/>
  <c r="AA2656" i="1"/>
  <c r="AB2655" i="1"/>
  <c r="AA2655" i="1"/>
  <c r="AB2654" i="1"/>
  <c r="AA2654" i="1"/>
  <c r="AB2653" i="1"/>
  <c r="AA2653" i="1"/>
  <c r="AB2652" i="1"/>
  <c r="AA2652" i="1"/>
  <c r="AB2651" i="1"/>
  <c r="AA2651" i="1"/>
  <c r="AB2650" i="1"/>
  <c r="AA2650" i="1"/>
  <c r="AB2649" i="1"/>
  <c r="AA2649" i="1"/>
  <c r="AB2648" i="1"/>
  <c r="AA2648" i="1"/>
  <c r="AB2647" i="1"/>
  <c r="AA2647" i="1"/>
  <c r="AB2646" i="1"/>
  <c r="AA2646" i="1"/>
  <c r="AB2645" i="1"/>
  <c r="AA2645" i="1"/>
  <c r="AB2644" i="1"/>
  <c r="AA2644" i="1"/>
  <c r="AB2643" i="1"/>
  <c r="AA2643" i="1"/>
  <c r="AB2642" i="1"/>
  <c r="AA2642" i="1"/>
  <c r="AB2641" i="1"/>
  <c r="AA2641" i="1"/>
  <c r="AB2640" i="1"/>
  <c r="AA2640" i="1"/>
  <c r="AB2639" i="1"/>
  <c r="AA2639" i="1"/>
  <c r="AB2638" i="1"/>
  <c r="AA2638" i="1"/>
  <c r="AB2637" i="1"/>
  <c r="AA2637" i="1"/>
  <c r="AB2636" i="1"/>
  <c r="AA2636" i="1"/>
  <c r="AB2635" i="1"/>
  <c r="AA2635" i="1"/>
  <c r="AB2634" i="1"/>
  <c r="AA2634" i="1"/>
  <c r="AB2633" i="1"/>
  <c r="AA2633" i="1"/>
  <c r="AB2632" i="1"/>
  <c r="AA2632" i="1"/>
  <c r="AB2631" i="1"/>
  <c r="AA2631" i="1"/>
  <c r="AB2630" i="1"/>
  <c r="AA2630" i="1"/>
  <c r="AB2629" i="1"/>
  <c r="AA2629" i="1"/>
  <c r="AB2628" i="1"/>
  <c r="AA2628" i="1"/>
  <c r="AB2627" i="1"/>
  <c r="AA2627" i="1"/>
  <c r="AB2626" i="1"/>
  <c r="AA2626" i="1"/>
  <c r="AB2625" i="1"/>
  <c r="AA2625" i="1"/>
  <c r="AB2624" i="1"/>
  <c r="AA2624" i="1"/>
  <c r="AB2623" i="1"/>
  <c r="AA2623" i="1"/>
  <c r="AB2622" i="1"/>
  <c r="AA2622" i="1"/>
  <c r="AB2621" i="1"/>
  <c r="AA2621" i="1"/>
  <c r="AB2620" i="1"/>
  <c r="AA2620" i="1"/>
  <c r="AB2619" i="1"/>
  <c r="AA2619" i="1"/>
  <c r="AB2618" i="1"/>
  <c r="AA2618" i="1"/>
  <c r="AB2617" i="1"/>
  <c r="AA2617" i="1"/>
  <c r="AB2616" i="1"/>
  <c r="AA2616" i="1"/>
  <c r="AB2615" i="1"/>
  <c r="AA2615" i="1"/>
  <c r="AB2614" i="1"/>
  <c r="AA2614" i="1"/>
  <c r="AB2613" i="1"/>
  <c r="AA2613" i="1"/>
  <c r="AB2612" i="1"/>
  <c r="AA2612" i="1"/>
  <c r="AB2611" i="1"/>
  <c r="AA2611" i="1"/>
  <c r="AB2610" i="1"/>
  <c r="AA2610" i="1"/>
  <c r="AB2609" i="1"/>
  <c r="AA2609" i="1"/>
  <c r="AB2608" i="1"/>
  <c r="AA2608" i="1"/>
  <c r="AB2607" i="1"/>
  <c r="AA2607" i="1"/>
  <c r="AB2606" i="1"/>
  <c r="AA2606" i="1"/>
  <c r="AB2605" i="1"/>
  <c r="AA2605" i="1"/>
  <c r="AB2604" i="1"/>
  <c r="AA2604" i="1"/>
  <c r="AB2603" i="1"/>
  <c r="AA2603" i="1"/>
  <c r="AB2602" i="1"/>
  <c r="AA2602" i="1"/>
  <c r="AB2601" i="1"/>
  <c r="AG2601" i="1" s="1"/>
  <c r="AA2601" i="1"/>
  <c r="AB2600" i="1"/>
  <c r="AA2600" i="1"/>
  <c r="AB2599" i="1"/>
  <c r="AA2599" i="1"/>
  <c r="AB2598" i="1"/>
  <c r="AA2598" i="1"/>
  <c r="AB2597" i="1"/>
  <c r="AA2597" i="1"/>
  <c r="AB2596" i="1"/>
  <c r="AA2596" i="1"/>
  <c r="AB2595" i="1"/>
  <c r="AA2595" i="1"/>
  <c r="AB2594" i="1"/>
  <c r="AA2594" i="1"/>
  <c r="AB2593" i="1"/>
  <c r="AA2593" i="1"/>
  <c r="AB2592" i="1"/>
  <c r="AA2592" i="1"/>
  <c r="AB2591" i="1"/>
  <c r="AA2591" i="1"/>
  <c r="AB2590" i="1"/>
  <c r="AA2590" i="1"/>
  <c r="AB2589" i="1"/>
  <c r="AA2589" i="1"/>
  <c r="AB2588" i="1"/>
  <c r="AA2588" i="1"/>
  <c r="AB2587" i="1"/>
  <c r="AA2587" i="1"/>
  <c r="AB2586" i="1"/>
  <c r="AA2586" i="1"/>
  <c r="AB2585" i="1"/>
  <c r="AA2585" i="1"/>
  <c r="AB2584" i="1"/>
  <c r="AA2584" i="1"/>
  <c r="AB2583" i="1"/>
  <c r="AA2583" i="1"/>
  <c r="AB2582" i="1"/>
  <c r="AA2582" i="1"/>
  <c r="AB2581" i="1"/>
  <c r="AA2581" i="1"/>
  <c r="AB2580" i="1"/>
  <c r="AA2580" i="1"/>
  <c r="AB2579" i="1"/>
  <c r="AA2579" i="1"/>
  <c r="AB2578" i="1"/>
  <c r="AA2578" i="1"/>
  <c r="AB2577" i="1"/>
  <c r="AA2577" i="1"/>
  <c r="AB2576" i="1"/>
  <c r="AA2576" i="1"/>
  <c r="AB2575" i="1"/>
  <c r="AA2575" i="1"/>
  <c r="AB2574" i="1"/>
  <c r="AA2574" i="1"/>
  <c r="AB2573" i="1"/>
  <c r="AA2573" i="1"/>
  <c r="AB2572" i="1"/>
  <c r="AA2572" i="1"/>
  <c r="AB2571" i="1"/>
  <c r="AA2571" i="1"/>
  <c r="AB2570" i="1"/>
  <c r="AA2570" i="1"/>
  <c r="AB2569" i="1"/>
  <c r="AA2569" i="1"/>
  <c r="AB2568" i="1"/>
  <c r="AA2568" i="1"/>
  <c r="AB2567" i="1"/>
  <c r="AA2567" i="1"/>
  <c r="AB2566" i="1"/>
  <c r="AA2566" i="1"/>
  <c r="AB2565" i="1"/>
  <c r="AA2565" i="1"/>
  <c r="AB2564" i="1"/>
  <c r="AA2564" i="1"/>
  <c r="AB2563" i="1"/>
  <c r="AA2563" i="1"/>
  <c r="AB2562" i="1"/>
  <c r="AA2562" i="1"/>
  <c r="AB2561" i="1"/>
  <c r="AA2561" i="1"/>
  <c r="AB2560" i="1"/>
  <c r="AA2560" i="1"/>
  <c r="AB2559" i="1"/>
  <c r="AA2559" i="1"/>
  <c r="AB2558" i="1"/>
  <c r="AA2558" i="1"/>
  <c r="AB2557" i="1"/>
  <c r="AA2557" i="1"/>
  <c r="AB2556" i="1"/>
  <c r="AA2556" i="1"/>
  <c r="AB2555" i="1"/>
  <c r="AA2555" i="1"/>
  <c r="AB2554" i="1"/>
  <c r="AA2554" i="1"/>
  <c r="AB2553" i="1"/>
  <c r="AA2553" i="1"/>
  <c r="AB2552" i="1"/>
  <c r="AA2552" i="1"/>
  <c r="AB2551" i="1"/>
  <c r="AA2551" i="1"/>
  <c r="AB2550" i="1"/>
  <c r="AA2550" i="1"/>
  <c r="AB2549" i="1"/>
  <c r="AA2549" i="1"/>
  <c r="AB2548" i="1"/>
  <c r="AA2548" i="1"/>
  <c r="AB2547" i="1"/>
  <c r="AA2547" i="1"/>
  <c r="AB2546" i="1"/>
  <c r="AA2546" i="1"/>
  <c r="AB2545" i="1"/>
  <c r="AA2545" i="1"/>
  <c r="AB2544" i="1"/>
  <c r="AA2544" i="1"/>
  <c r="AB2543" i="1"/>
  <c r="AA2543" i="1"/>
  <c r="AB2542" i="1"/>
  <c r="AA2542" i="1"/>
  <c r="AE2542" i="1" s="1"/>
  <c r="AB2541" i="1"/>
  <c r="AA2541" i="1"/>
  <c r="AB2540" i="1"/>
  <c r="AA2540" i="1"/>
  <c r="AB2539" i="1"/>
  <c r="AA2539" i="1"/>
  <c r="AB2538" i="1"/>
  <c r="AA2538" i="1"/>
  <c r="AB2537" i="1"/>
  <c r="AA2537" i="1"/>
  <c r="AB2536" i="1"/>
  <c r="AA2536" i="1"/>
  <c r="AB2535" i="1"/>
  <c r="AA2535" i="1"/>
  <c r="AB2534" i="1"/>
  <c r="AA2534" i="1"/>
  <c r="AB2533" i="1"/>
  <c r="AA2533" i="1"/>
  <c r="AB2532" i="1"/>
  <c r="AA2532" i="1"/>
  <c r="AB2531" i="1"/>
  <c r="AA2531" i="1"/>
  <c r="AB2530" i="1"/>
  <c r="AA2530" i="1"/>
  <c r="AB2529" i="1"/>
  <c r="AA2529" i="1"/>
  <c r="AB2528" i="1"/>
  <c r="AA2528" i="1"/>
  <c r="AB2527" i="1"/>
  <c r="AA2527" i="1"/>
  <c r="AB2526" i="1"/>
  <c r="AA2526" i="1"/>
  <c r="AB2525" i="1"/>
  <c r="AA2525" i="1"/>
  <c r="AB2524" i="1"/>
  <c r="AA2524" i="1"/>
  <c r="AB2523" i="1"/>
  <c r="AA2523" i="1"/>
  <c r="AB2522" i="1"/>
  <c r="AA2522" i="1"/>
  <c r="AB2521" i="1"/>
  <c r="AA2521" i="1"/>
  <c r="AB2520" i="1"/>
  <c r="AA2520" i="1"/>
  <c r="AB2519" i="1"/>
  <c r="AA2519" i="1"/>
  <c r="AB2518" i="1"/>
  <c r="AA2518" i="1"/>
  <c r="AB2517" i="1"/>
  <c r="AA2517" i="1"/>
  <c r="AB2516" i="1"/>
  <c r="AA2516" i="1"/>
  <c r="AB2515" i="1"/>
  <c r="AA2515" i="1"/>
  <c r="AB2514" i="1"/>
  <c r="AA2514" i="1"/>
  <c r="AB2513" i="1"/>
  <c r="AA2513" i="1"/>
  <c r="AB2512" i="1"/>
  <c r="AA2512" i="1"/>
  <c r="AB2511" i="1"/>
  <c r="AA2511" i="1"/>
  <c r="AB2510" i="1"/>
  <c r="AA2510" i="1"/>
  <c r="AB2509" i="1"/>
  <c r="AA2509" i="1"/>
  <c r="AB2508" i="1"/>
  <c r="AA2508" i="1"/>
  <c r="AB2507" i="1"/>
  <c r="AA2507" i="1"/>
  <c r="AB2506" i="1"/>
  <c r="AA2506" i="1"/>
  <c r="AB2505" i="1"/>
  <c r="AA2505" i="1"/>
  <c r="AB2504" i="1"/>
  <c r="AA2504" i="1"/>
  <c r="AB2503" i="1"/>
  <c r="AA2503" i="1"/>
  <c r="AB2502" i="1"/>
  <c r="AA2502" i="1"/>
  <c r="AB2501" i="1"/>
  <c r="AA2501" i="1"/>
  <c r="AB2500" i="1"/>
  <c r="AA2500" i="1"/>
  <c r="AB2499" i="1"/>
  <c r="AA2499" i="1"/>
  <c r="AB2498" i="1"/>
  <c r="AA2498" i="1"/>
  <c r="AB2497" i="1"/>
  <c r="AA2497" i="1"/>
  <c r="AB2496" i="1"/>
  <c r="AA2496" i="1"/>
  <c r="AB2495" i="1"/>
  <c r="AA2495" i="1"/>
  <c r="AB2494" i="1"/>
  <c r="AA2494" i="1"/>
  <c r="AB2493" i="1"/>
  <c r="AA2493" i="1"/>
  <c r="AB2492" i="1"/>
  <c r="AA2492" i="1"/>
  <c r="AB2491" i="1"/>
  <c r="AA2491" i="1"/>
  <c r="AB2490" i="1"/>
  <c r="AA2490" i="1"/>
  <c r="AB2489" i="1"/>
  <c r="AA2489" i="1"/>
  <c r="AB2488" i="1"/>
  <c r="AA2488" i="1"/>
  <c r="AB2487" i="1"/>
  <c r="AA2487" i="1"/>
  <c r="AB2486" i="1"/>
  <c r="AA2486" i="1"/>
  <c r="AB2485" i="1"/>
  <c r="AA2485" i="1"/>
  <c r="AB2484" i="1"/>
  <c r="AA2484" i="1"/>
  <c r="AB2483" i="1"/>
  <c r="AA2483" i="1"/>
  <c r="AB2482" i="1"/>
  <c r="AA2482" i="1"/>
  <c r="AB2481" i="1"/>
  <c r="AA2481" i="1"/>
  <c r="AB2480" i="1"/>
  <c r="AA2480" i="1"/>
  <c r="AB2479" i="1"/>
  <c r="AA2479" i="1"/>
  <c r="AB2478" i="1"/>
  <c r="AA2478" i="1"/>
  <c r="AB2477" i="1"/>
  <c r="AA2477" i="1"/>
  <c r="AB2476" i="1"/>
  <c r="AA2476" i="1"/>
  <c r="AB2475" i="1"/>
  <c r="AA2475" i="1"/>
  <c r="AB2474" i="1"/>
  <c r="AA2474" i="1"/>
  <c r="AB2473" i="1"/>
  <c r="AA2473" i="1"/>
  <c r="AB2472" i="1"/>
  <c r="AA2472" i="1"/>
  <c r="AB2471" i="1"/>
  <c r="AA2471" i="1"/>
  <c r="AB2470" i="1"/>
  <c r="AA2470" i="1"/>
  <c r="AB2469" i="1"/>
  <c r="AA2469" i="1"/>
  <c r="AB2468" i="1"/>
  <c r="AA2468" i="1"/>
  <c r="AB2467" i="1"/>
  <c r="AA2467" i="1"/>
  <c r="AB2466" i="1"/>
  <c r="AA2466" i="1"/>
  <c r="AB2465" i="1"/>
  <c r="AA2465" i="1"/>
  <c r="AB2464" i="1"/>
  <c r="AA2464" i="1"/>
  <c r="AB2463" i="1"/>
  <c r="AA2463" i="1"/>
  <c r="AB2462" i="1"/>
  <c r="AA2462" i="1"/>
  <c r="AB2461" i="1"/>
  <c r="AA2461" i="1"/>
  <c r="AB2460" i="1"/>
  <c r="AA2460" i="1"/>
  <c r="AB2459" i="1"/>
  <c r="AA2459" i="1"/>
  <c r="AB2458" i="1"/>
  <c r="AA2458" i="1"/>
  <c r="AB2457" i="1"/>
  <c r="AA2457" i="1"/>
  <c r="AB2456" i="1"/>
  <c r="AA2456" i="1"/>
  <c r="AB2455" i="1"/>
  <c r="AA2455" i="1"/>
  <c r="AB2454" i="1"/>
  <c r="AA2454" i="1"/>
  <c r="AB2453" i="1"/>
  <c r="AA2453" i="1"/>
  <c r="AB2452" i="1"/>
  <c r="AA2452" i="1"/>
  <c r="AB2451" i="1"/>
  <c r="AA2451" i="1"/>
  <c r="AB2450" i="1"/>
  <c r="AA2450" i="1"/>
  <c r="AB2449" i="1"/>
  <c r="AA2449" i="1"/>
  <c r="AB2448" i="1"/>
  <c r="AA2448" i="1"/>
  <c r="AB2447" i="1"/>
  <c r="AA2447" i="1"/>
  <c r="AB2446" i="1"/>
  <c r="AA2446" i="1"/>
  <c r="AB2445" i="1"/>
  <c r="AA2445" i="1"/>
  <c r="AB2444" i="1"/>
  <c r="AA2444" i="1"/>
  <c r="AB2443" i="1"/>
  <c r="AA2443" i="1"/>
  <c r="AB2442" i="1"/>
  <c r="AA2442" i="1"/>
  <c r="AB2441" i="1"/>
  <c r="AA2441" i="1"/>
  <c r="AB2440" i="1"/>
  <c r="AA2440" i="1"/>
  <c r="AB2439" i="1"/>
  <c r="AA2439" i="1"/>
  <c r="AB2438" i="1"/>
  <c r="AA2438" i="1"/>
  <c r="AB2437" i="1"/>
  <c r="AA2437" i="1"/>
  <c r="AB2436" i="1"/>
  <c r="AA2436" i="1"/>
  <c r="AB2435" i="1"/>
  <c r="AA2435" i="1"/>
  <c r="AB2434" i="1"/>
  <c r="AA2434" i="1"/>
  <c r="AB2433" i="1"/>
  <c r="AA2433" i="1"/>
  <c r="AB2432" i="1"/>
  <c r="AA2432" i="1"/>
  <c r="AB2431" i="1"/>
  <c r="AA2431" i="1"/>
  <c r="AB2430" i="1"/>
  <c r="AA2430" i="1"/>
  <c r="AB2429" i="1"/>
  <c r="AA2429" i="1"/>
  <c r="AB2428" i="1"/>
  <c r="AA2428" i="1"/>
  <c r="AB2427" i="1"/>
  <c r="AA2427" i="1"/>
  <c r="AB2426" i="1"/>
  <c r="AA2426" i="1"/>
  <c r="AB2425" i="1"/>
  <c r="AA2425" i="1"/>
  <c r="AB2424" i="1"/>
  <c r="AA2424" i="1"/>
  <c r="AB2423" i="1"/>
  <c r="AA2423" i="1"/>
  <c r="AB2422" i="1"/>
  <c r="AA2422" i="1"/>
  <c r="AB2421" i="1"/>
  <c r="AA2421" i="1"/>
  <c r="AB2420" i="1"/>
  <c r="AA2420" i="1"/>
  <c r="AB2419" i="1"/>
  <c r="AA2419" i="1"/>
  <c r="AB2418" i="1"/>
  <c r="AA2418" i="1"/>
  <c r="AB2417" i="1"/>
  <c r="AA2417" i="1"/>
  <c r="AB2416" i="1"/>
  <c r="AA2416" i="1"/>
  <c r="AB2415" i="1"/>
  <c r="AA2415" i="1"/>
  <c r="AB2414" i="1"/>
  <c r="AA2414" i="1"/>
  <c r="AB2413" i="1"/>
  <c r="AA2413" i="1"/>
  <c r="AB2412" i="1"/>
  <c r="AA2412" i="1"/>
  <c r="AB2411" i="1"/>
  <c r="AA2411" i="1"/>
  <c r="AB2410" i="1"/>
  <c r="AA2410" i="1"/>
  <c r="AB2409" i="1"/>
  <c r="AA2409" i="1"/>
  <c r="AB2408" i="1"/>
  <c r="AA2408" i="1"/>
  <c r="AB2407" i="1"/>
  <c r="AA2407" i="1"/>
  <c r="AB2406" i="1"/>
  <c r="AA2406" i="1"/>
  <c r="AB2405" i="1"/>
  <c r="AA2405" i="1"/>
  <c r="AB2404" i="1"/>
  <c r="AA2404" i="1"/>
  <c r="AB2403" i="1"/>
  <c r="AA2403" i="1"/>
  <c r="AB2402" i="1"/>
  <c r="AA2402" i="1"/>
  <c r="AB2401" i="1"/>
  <c r="AA2401" i="1"/>
  <c r="AB2400" i="1"/>
  <c r="AA2400" i="1"/>
  <c r="AB2399" i="1"/>
  <c r="AA2399" i="1"/>
  <c r="AB2398" i="1"/>
  <c r="AA2398" i="1"/>
  <c r="AB2397" i="1"/>
  <c r="AA2397" i="1"/>
  <c r="AB2396" i="1"/>
  <c r="AA2396" i="1"/>
  <c r="AB2395" i="1"/>
  <c r="AA2395" i="1"/>
  <c r="AB2394" i="1"/>
  <c r="AA2394" i="1"/>
  <c r="AB2393" i="1"/>
  <c r="AA2393" i="1"/>
  <c r="AB2392" i="1"/>
  <c r="AA2392" i="1"/>
  <c r="AB2391" i="1"/>
  <c r="AA2391" i="1"/>
  <c r="AB2390" i="1"/>
  <c r="AA2390" i="1"/>
  <c r="AB2389" i="1"/>
  <c r="AA2389" i="1"/>
  <c r="AB2388" i="1"/>
  <c r="AA2388" i="1"/>
  <c r="AB2387" i="1"/>
  <c r="AA2387" i="1"/>
  <c r="AB2386" i="1"/>
  <c r="AA2386" i="1"/>
  <c r="AB2385" i="1"/>
  <c r="AA2385" i="1"/>
  <c r="AB2384" i="1"/>
  <c r="AA2384" i="1"/>
  <c r="AB2383" i="1"/>
  <c r="AA2383" i="1"/>
  <c r="AB2382" i="1"/>
  <c r="AA2382" i="1"/>
  <c r="AB2381" i="1"/>
  <c r="AA2381" i="1"/>
  <c r="AB2380" i="1"/>
  <c r="AA2380" i="1"/>
  <c r="AB2379" i="1"/>
  <c r="AA2379" i="1"/>
  <c r="AB2378" i="1"/>
  <c r="AA2378" i="1"/>
  <c r="AB2377" i="1"/>
  <c r="AA2377" i="1"/>
  <c r="AB2376" i="1"/>
  <c r="AA2376" i="1"/>
  <c r="AB2375" i="1"/>
  <c r="AA2375" i="1"/>
  <c r="AB2374" i="1"/>
  <c r="AA2374" i="1"/>
  <c r="AB2373" i="1"/>
  <c r="AA2373" i="1"/>
  <c r="AB2372" i="1"/>
  <c r="AA2372" i="1"/>
  <c r="AB2371" i="1"/>
  <c r="AA2371" i="1"/>
  <c r="AB2370" i="1"/>
  <c r="AA2370" i="1"/>
  <c r="AB2369" i="1"/>
  <c r="AA2369" i="1"/>
  <c r="AB2368" i="1"/>
  <c r="AA2368" i="1"/>
  <c r="AB2367" i="1"/>
  <c r="AA2367" i="1"/>
  <c r="AB2366" i="1"/>
  <c r="AA2366" i="1"/>
  <c r="AB2365" i="1"/>
  <c r="AA2365" i="1"/>
  <c r="AB2364" i="1"/>
  <c r="AA2364" i="1"/>
  <c r="AB2363" i="1"/>
  <c r="AA2363" i="1"/>
  <c r="AB2362" i="1"/>
  <c r="AA2362" i="1"/>
  <c r="AB2361" i="1"/>
  <c r="AA2361" i="1"/>
  <c r="AB2360" i="1"/>
  <c r="AA2360" i="1"/>
  <c r="AB2359" i="1"/>
  <c r="AA2359" i="1"/>
  <c r="AB2358" i="1"/>
  <c r="AA2358" i="1"/>
  <c r="AB2357" i="1"/>
  <c r="AA2357" i="1"/>
  <c r="AB2356" i="1"/>
  <c r="AA2356" i="1"/>
  <c r="AB2355" i="1"/>
  <c r="AA2355" i="1"/>
  <c r="AB2354" i="1"/>
  <c r="AA2354" i="1"/>
  <c r="AB2353" i="1"/>
  <c r="AA2353" i="1"/>
  <c r="AB2352" i="1"/>
  <c r="AA2352" i="1"/>
  <c r="AB2351" i="1"/>
  <c r="AA2351" i="1"/>
  <c r="AB2350" i="1"/>
  <c r="AA2350" i="1"/>
  <c r="AB2349" i="1"/>
  <c r="AA2349" i="1"/>
  <c r="AB2348" i="1"/>
  <c r="AA2348" i="1"/>
  <c r="AB2347" i="1"/>
  <c r="AA2347" i="1"/>
  <c r="AB2346" i="1"/>
  <c r="AA2346" i="1"/>
  <c r="AB2345" i="1"/>
  <c r="AA2345" i="1"/>
  <c r="AB2344" i="1"/>
  <c r="AA2344" i="1"/>
  <c r="AB2343" i="1"/>
  <c r="AA2343" i="1"/>
  <c r="AB2342" i="1"/>
  <c r="AA2342" i="1"/>
  <c r="AB2341" i="1"/>
  <c r="AA2341" i="1"/>
  <c r="AB2340" i="1"/>
  <c r="AA2340" i="1"/>
  <c r="AB2339" i="1"/>
  <c r="AA2339" i="1"/>
  <c r="AB2338" i="1"/>
  <c r="AA2338" i="1"/>
  <c r="AB2337" i="1"/>
  <c r="AA2337" i="1"/>
  <c r="AB2336" i="1"/>
  <c r="AA2336" i="1"/>
  <c r="AB2335" i="1"/>
  <c r="AA2335" i="1"/>
  <c r="AB2334" i="1"/>
  <c r="AA2334" i="1"/>
  <c r="AB2333" i="1"/>
  <c r="AA2333" i="1"/>
  <c r="AB2332" i="1"/>
  <c r="AA2332" i="1"/>
  <c r="AB2331" i="1"/>
  <c r="AA2331" i="1"/>
  <c r="AB2330" i="1"/>
  <c r="AA2330" i="1"/>
  <c r="AB2329" i="1"/>
  <c r="AA2329" i="1"/>
  <c r="AB2328" i="1"/>
  <c r="AA2328" i="1"/>
  <c r="AB2327" i="1"/>
  <c r="AA2327" i="1"/>
  <c r="AB2326" i="1"/>
  <c r="AA2326" i="1"/>
  <c r="AB2325" i="1"/>
  <c r="AA2325" i="1"/>
  <c r="AB2324" i="1"/>
  <c r="AA2324" i="1"/>
  <c r="AB2323" i="1"/>
  <c r="AA2323" i="1"/>
  <c r="AB2322" i="1"/>
  <c r="AA2322" i="1"/>
  <c r="AB2321" i="1"/>
  <c r="AA2321" i="1"/>
  <c r="AB2320" i="1"/>
  <c r="AA2320" i="1"/>
  <c r="AB2319" i="1"/>
  <c r="AA2319" i="1"/>
  <c r="AB2318" i="1"/>
  <c r="AA2318" i="1"/>
  <c r="AB2317" i="1"/>
  <c r="AA2317" i="1"/>
  <c r="AB2316" i="1"/>
  <c r="AA2316" i="1"/>
  <c r="AB2315" i="1"/>
  <c r="AA2315" i="1"/>
  <c r="AB2314" i="1"/>
  <c r="AA2314" i="1"/>
  <c r="AB2313" i="1"/>
  <c r="AA2313" i="1"/>
  <c r="AB2312" i="1"/>
  <c r="AA2312" i="1"/>
  <c r="AB2311" i="1"/>
  <c r="AA2311" i="1"/>
  <c r="AB2310" i="1"/>
  <c r="AA2310" i="1"/>
  <c r="AB2309" i="1"/>
  <c r="AA2309" i="1"/>
  <c r="AB2308" i="1"/>
  <c r="AA2308" i="1"/>
  <c r="AB2307" i="1"/>
  <c r="AA2307" i="1"/>
  <c r="AB2306" i="1"/>
  <c r="AA2306" i="1"/>
  <c r="AB2305" i="1"/>
  <c r="AA2305" i="1"/>
  <c r="AB2304" i="1"/>
  <c r="AA2304" i="1"/>
  <c r="AB2303" i="1"/>
  <c r="AA2303" i="1"/>
  <c r="AB2302" i="1"/>
  <c r="AA2302" i="1"/>
  <c r="AB2301" i="1"/>
  <c r="AA2301" i="1"/>
  <c r="AB2300" i="1"/>
  <c r="AA2300" i="1"/>
  <c r="AB2299" i="1"/>
  <c r="AA2299" i="1"/>
  <c r="AB2298" i="1"/>
  <c r="AA2298" i="1"/>
  <c r="AB2297" i="1"/>
  <c r="AA2297" i="1"/>
  <c r="AB2296" i="1"/>
  <c r="AA2296" i="1"/>
  <c r="AB2295" i="1"/>
  <c r="AA2295" i="1"/>
  <c r="AB2294" i="1"/>
  <c r="AA2294" i="1"/>
  <c r="AB2293" i="1"/>
  <c r="AA2293" i="1"/>
  <c r="AB2292" i="1"/>
  <c r="AA2292" i="1"/>
  <c r="AB2291" i="1"/>
  <c r="AA2291" i="1"/>
  <c r="AB2290" i="1"/>
  <c r="AA2290" i="1"/>
  <c r="AB2289" i="1"/>
  <c r="AA2289" i="1"/>
  <c r="AB2288" i="1"/>
  <c r="AA2288" i="1"/>
  <c r="AB2287" i="1"/>
  <c r="AA2287" i="1"/>
  <c r="AB2286" i="1"/>
  <c r="AA2286" i="1"/>
  <c r="AB2285" i="1"/>
  <c r="AA2285" i="1"/>
  <c r="AB2284" i="1"/>
  <c r="AA2284" i="1"/>
  <c r="AB2283" i="1"/>
  <c r="AA2283" i="1"/>
  <c r="AB2282" i="1"/>
  <c r="AA2282" i="1"/>
  <c r="AB2281" i="1"/>
  <c r="AA2281" i="1"/>
  <c r="AB2280" i="1"/>
  <c r="AA2280" i="1"/>
  <c r="AB2279" i="1"/>
  <c r="AA2279" i="1"/>
  <c r="AB2278" i="1"/>
  <c r="AA2278" i="1"/>
  <c r="AB2277" i="1"/>
  <c r="AA2277" i="1"/>
  <c r="AB2276" i="1"/>
  <c r="AA2276" i="1"/>
  <c r="AB2275" i="1"/>
  <c r="AA2275" i="1"/>
  <c r="AB2274" i="1"/>
  <c r="AA2274" i="1"/>
  <c r="AB2273" i="1"/>
  <c r="AA2273" i="1"/>
  <c r="AB2272" i="1"/>
  <c r="AA2272" i="1"/>
  <c r="AB2271" i="1"/>
  <c r="AA2271" i="1"/>
  <c r="AB2270" i="1"/>
  <c r="AA2270" i="1"/>
  <c r="AB2269" i="1"/>
  <c r="AA2269" i="1"/>
  <c r="AB2268" i="1"/>
  <c r="AA2268" i="1"/>
  <c r="AB2267" i="1"/>
  <c r="AA2267" i="1"/>
  <c r="AB2266" i="1"/>
  <c r="AA2266" i="1"/>
  <c r="AB2265" i="1"/>
  <c r="AA2265" i="1"/>
  <c r="AB2264" i="1"/>
  <c r="AA2264" i="1"/>
  <c r="AB2263" i="1"/>
  <c r="AA2263" i="1"/>
  <c r="AB2262" i="1"/>
  <c r="AA2262" i="1"/>
  <c r="AB2261" i="1"/>
  <c r="AA2261" i="1"/>
  <c r="AB2260" i="1"/>
  <c r="AA2260" i="1"/>
  <c r="AB2259" i="1"/>
  <c r="AA2259" i="1"/>
  <c r="AB2258" i="1"/>
  <c r="AA2258" i="1"/>
  <c r="AB2257" i="1"/>
  <c r="AA2257" i="1"/>
  <c r="AB2256" i="1"/>
  <c r="AA2256" i="1"/>
  <c r="AB2255" i="1"/>
  <c r="AA2255" i="1"/>
  <c r="AB2254" i="1"/>
  <c r="AA2254" i="1"/>
  <c r="AB2253" i="1"/>
  <c r="AA2253" i="1"/>
  <c r="AB2252" i="1"/>
  <c r="AA2252" i="1"/>
  <c r="AB2251" i="1"/>
  <c r="AA2251" i="1"/>
  <c r="AB2250" i="1"/>
  <c r="AA2250" i="1"/>
  <c r="AB2249" i="1"/>
  <c r="AA2249" i="1"/>
  <c r="AB2248" i="1"/>
  <c r="AA2248" i="1"/>
  <c r="AB2247" i="1"/>
  <c r="AA2247" i="1"/>
  <c r="AB2246" i="1"/>
  <c r="AA2246" i="1"/>
  <c r="AB2245" i="1"/>
  <c r="AA2245" i="1"/>
  <c r="AB2244" i="1"/>
  <c r="AA2244" i="1"/>
  <c r="AB2243" i="1"/>
  <c r="AA2243" i="1"/>
  <c r="AB2242" i="1"/>
  <c r="AA2242" i="1"/>
  <c r="AB2241" i="1"/>
  <c r="AA2241" i="1"/>
  <c r="AB2240" i="1"/>
  <c r="AA2240" i="1"/>
  <c r="AB2239" i="1"/>
  <c r="AA2239" i="1"/>
  <c r="AB2238" i="1"/>
  <c r="AA2238" i="1"/>
  <c r="AB2237" i="1"/>
  <c r="AA2237" i="1"/>
  <c r="AB2236" i="1"/>
  <c r="AA2236" i="1"/>
  <c r="AB2235" i="1"/>
  <c r="AA2235" i="1"/>
  <c r="AB2234" i="1"/>
  <c r="AA2234" i="1"/>
  <c r="AB2233" i="1"/>
  <c r="AA2233" i="1"/>
  <c r="AB2232" i="1"/>
  <c r="AA2232" i="1"/>
  <c r="AB2231" i="1"/>
  <c r="AA2231" i="1"/>
  <c r="AB2230" i="1"/>
  <c r="AA2230" i="1"/>
  <c r="AB2229" i="1"/>
  <c r="AA2229" i="1"/>
  <c r="AB2228" i="1"/>
  <c r="AA2228" i="1"/>
  <c r="AB2227" i="1"/>
  <c r="AA2227" i="1"/>
  <c r="AB2226" i="1"/>
  <c r="AA2226" i="1"/>
  <c r="AB2225" i="1"/>
  <c r="AA2225" i="1"/>
  <c r="AB2224" i="1"/>
  <c r="AA2224" i="1"/>
  <c r="AB2223" i="1"/>
  <c r="AA2223" i="1"/>
  <c r="AB2222" i="1"/>
  <c r="AA2222" i="1"/>
  <c r="AB2221" i="1"/>
  <c r="AA2221" i="1"/>
  <c r="AB2220" i="1"/>
  <c r="AA2220" i="1"/>
  <c r="AB2219" i="1"/>
  <c r="AA2219" i="1"/>
  <c r="AB2218" i="1"/>
  <c r="AA2218" i="1"/>
  <c r="AB2217" i="1"/>
  <c r="AA2217" i="1"/>
  <c r="AB2216" i="1"/>
  <c r="AA2216" i="1"/>
  <c r="AB2215" i="1"/>
  <c r="AA2215" i="1"/>
  <c r="AB2214" i="1"/>
  <c r="AA2214" i="1"/>
  <c r="AB2213" i="1"/>
  <c r="AA2213" i="1"/>
  <c r="AB2212" i="1"/>
  <c r="AA2212" i="1"/>
  <c r="AB2211" i="1"/>
  <c r="AA2211" i="1"/>
  <c r="AB2210" i="1"/>
  <c r="AA2210" i="1"/>
  <c r="AB2209" i="1"/>
  <c r="AA2209" i="1"/>
  <c r="AB2208" i="1"/>
  <c r="AA2208" i="1"/>
  <c r="AB2207" i="1"/>
  <c r="AA2207" i="1"/>
  <c r="AB2206" i="1"/>
  <c r="AA2206" i="1"/>
  <c r="AB2205" i="1"/>
  <c r="AA2205" i="1"/>
  <c r="AB2204" i="1"/>
  <c r="AA2204" i="1"/>
  <c r="AB2203" i="1"/>
  <c r="AA2203" i="1"/>
  <c r="AB2202" i="1"/>
  <c r="AA2202" i="1"/>
  <c r="AB2201" i="1"/>
  <c r="AA2201" i="1"/>
  <c r="AB2200" i="1"/>
  <c r="AA2200" i="1"/>
  <c r="AB2199" i="1"/>
  <c r="AA2199" i="1"/>
  <c r="AB2198" i="1"/>
  <c r="AA2198" i="1"/>
  <c r="AB2197" i="1"/>
  <c r="AA2197" i="1"/>
  <c r="AB2196" i="1"/>
  <c r="AA2196" i="1"/>
  <c r="AB2195" i="1"/>
  <c r="AA2195" i="1"/>
  <c r="AB2194" i="1"/>
  <c r="AA2194" i="1"/>
  <c r="AB2193" i="1"/>
  <c r="AA2193" i="1"/>
  <c r="AB2192" i="1"/>
  <c r="AA2192" i="1"/>
  <c r="AB2191" i="1"/>
  <c r="AA2191" i="1"/>
  <c r="AB2190" i="1"/>
  <c r="AA2190" i="1"/>
  <c r="AB2189" i="1"/>
  <c r="AA2189" i="1"/>
  <c r="AB2188" i="1"/>
  <c r="AA2188" i="1"/>
  <c r="AB2187" i="1"/>
  <c r="AA2187" i="1"/>
  <c r="AB2186" i="1"/>
  <c r="AA2186" i="1"/>
  <c r="AB2185" i="1"/>
  <c r="AA2185" i="1"/>
  <c r="AB2184" i="1"/>
  <c r="AA2184" i="1"/>
  <c r="AB2183" i="1"/>
  <c r="AA2183" i="1"/>
  <c r="AB2182" i="1"/>
  <c r="AA2182" i="1"/>
  <c r="AB2181" i="1"/>
  <c r="AA2181" i="1"/>
  <c r="AB2180" i="1"/>
  <c r="AA2180" i="1"/>
  <c r="AB2179" i="1"/>
  <c r="AA2179" i="1"/>
  <c r="AB2178" i="1"/>
  <c r="AA2178" i="1"/>
  <c r="AB2177" i="1"/>
  <c r="AA2177" i="1"/>
  <c r="AB2176" i="1"/>
  <c r="AA2176" i="1"/>
  <c r="AB2175" i="1"/>
  <c r="AA2175" i="1"/>
  <c r="AB2174" i="1"/>
  <c r="AA2174" i="1"/>
  <c r="AB2173" i="1"/>
  <c r="AA2173" i="1"/>
  <c r="AB2172" i="1"/>
  <c r="AA2172" i="1"/>
  <c r="AB2171" i="1"/>
  <c r="AA2171" i="1"/>
  <c r="AB2170" i="1"/>
  <c r="AA2170" i="1"/>
  <c r="AB2169" i="1"/>
  <c r="AA2169" i="1"/>
  <c r="AB2168" i="1"/>
  <c r="AA2168" i="1"/>
  <c r="AB2167" i="1"/>
  <c r="AA2167" i="1"/>
  <c r="AB2166" i="1"/>
  <c r="AA2166" i="1"/>
  <c r="AB2165" i="1"/>
  <c r="AA2165" i="1"/>
  <c r="AB2164" i="1"/>
  <c r="AA2164" i="1"/>
  <c r="AB2163" i="1"/>
  <c r="AA2163" i="1"/>
  <c r="AB2162" i="1"/>
  <c r="AA2162" i="1"/>
  <c r="AB2161" i="1"/>
  <c r="AA2161" i="1"/>
  <c r="AB2160" i="1"/>
  <c r="AA2160" i="1"/>
  <c r="AB2159" i="1"/>
  <c r="AA2159" i="1"/>
  <c r="AB2158" i="1"/>
  <c r="AA2158" i="1"/>
  <c r="AB2157" i="1"/>
  <c r="AA2157" i="1"/>
  <c r="AB2156" i="1"/>
  <c r="AA2156" i="1"/>
  <c r="AB2155" i="1"/>
  <c r="AA2155" i="1"/>
  <c r="AB2154" i="1"/>
  <c r="AA2154" i="1"/>
  <c r="AB2153" i="1"/>
  <c r="AA2153" i="1"/>
  <c r="AB2152" i="1"/>
  <c r="AA2152" i="1"/>
  <c r="AB2151" i="1"/>
  <c r="AA2151" i="1"/>
  <c r="AB2150" i="1"/>
  <c r="AA2150" i="1"/>
  <c r="AB2149" i="1"/>
  <c r="AA2149" i="1"/>
  <c r="AB2148" i="1"/>
  <c r="AA2148" i="1"/>
  <c r="AB2147" i="1"/>
  <c r="AA2147" i="1"/>
  <c r="AB2146" i="1"/>
  <c r="AA2146" i="1"/>
  <c r="AB2145" i="1"/>
  <c r="AA2145" i="1"/>
  <c r="AB2144" i="1"/>
  <c r="AA2144" i="1"/>
  <c r="AB2143" i="1"/>
  <c r="AA2143" i="1"/>
  <c r="AB2142" i="1"/>
  <c r="AA2142" i="1"/>
  <c r="AB2141" i="1"/>
  <c r="AA2141" i="1"/>
  <c r="AB2140" i="1"/>
  <c r="AA2140" i="1"/>
  <c r="AB2139" i="1"/>
  <c r="AA2139" i="1"/>
  <c r="AB2138" i="1"/>
  <c r="AA2138" i="1"/>
  <c r="AB2137" i="1"/>
  <c r="AA2137" i="1"/>
  <c r="AB2136" i="1"/>
  <c r="AA2136" i="1"/>
  <c r="AB2135" i="1"/>
  <c r="AA2135" i="1"/>
  <c r="AB2134" i="1"/>
  <c r="AA2134" i="1"/>
  <c r="AB2133" i="1"/>
  <c r="AA2133" i="1"/>
  <c r="AB2132" i="1"/>
  <c r="AA2132" i="1"/>
  <c r="AB2131" i="1"/>
  <c r="AA2131" i="1"/>
  <c r="AB2130" i="1"/>
  <c r="AA2130" i="1"/>
  <c r="AB2129" i="1"/>
  <c r="AA2129" i="1"/>
  <c r="AB2128" i="1"/>
  <c r="AA2128" i="1"/>
  <c r="AB2127" i="1"/>
  <c r="AA2127" i="1"/>
  <c r="AB2126" i="1"/>
  <c r="AA2126" i="1"/>
  <c r="AB2125" i="1"/>
  <c r="AA2125" i="1"/>
  <c r="AB2124" i="1"/>
  <c r="AA2124" i="1"/>
  <c r="AB2123" i="1"/>
  <c r="AA2123" i="1"/>
  <c r="AB2122" i="1"/>
  <c r="AA2122" i="1"/>
  <c r="AB2121" i="1"/>
  <c r="AA2121" i="1"/>
  <c r="AB2120" i="1"/>
  <c r="AA2120" i="1"/>
  <c r="AB2119" i="1"/>
  <c r="AA2119" i="1"/>
  <c r="AB2118" i="1"/>
  <c r="AA2118" i="1"/>
  <c r="AB2117" i="1"/>
  <c r="AA2117" i="1"/>
  <c r="AB2116" i="1"/>
  <c r="AA2116" i="1"/>
  <c r="AB2115" i="1"/>
  <c r="AA2115" i="1"/>
  <c r="AB2114" i="1"/>
  <c r="AA2114" i="1"/>
  <c r="AB2113" i="1"/>
  <c r="AA2113" i="1"/>
  <c r="AB2112" i="1"/>
  <c r="AA2112" i="1"/>
  <c r="AB2111" i="1"/>
  <c r="AA2111" i="1"/>
  <c r="AB2110" i="1"/>
  <c r="AA2110" i="1"/>
  <c r="AB2109" i="1"/>
  <c r="AA2109" i="1"/>
  <c r="AB2108" i="1"/>
  <c r="AA2108" i="1"/>
  <c r="AB2107" i="1"/>
  <c r="AA2107" i="1"/>
  <c r="AB2106" i="1"/>
  <c r="AA2106" i="1"/>
  <c r="AB2105" i="1"/>
  <c r="AA2105" i="1"/>
  <c r="AB2104" i="1"/>
  <c r="AA2104" i="1"/>
  <c r="AB2103" i="1"/>
  <c r="AA2103" i="1"/>
  <c r="AB2102" i="1"/>
  <c r="AA2102" i="1"/>
  <c r="AB2101" i="1"/>
  <c r="AA2101" i="1"/>
  <c r="AB2100" i="1"/>
  <c r="AA2100" i="1"/>
  <c r="AB2099" i="1"/>
  <c r="AA2099" i="1"/>
  <c r="AB2098" i="1"/>
  <c r="AA2098" i="1"/>
  <c r="AB2097" i="1"/>
  <c r="AA2097" i="1"/>
  <c r="AB2096" i="1"/>
  <c r="AA2096" i="1"/>
  <c r="AB2095" i="1"/>
  <c r="AA2095" i="1"/>
  <c r="AB2094" i="1"/>
  <c r="AA2094" i="1"/>
  <c r="AB2093" i="1"/>
  <c r="AA2093" i="1"/>
  <c r="AB2092" i="1"/>
  <c r="AA2092" i="1"/>
  <c r="AB2091" i="1"/>
  <c r="AA2091" i="1"/>
  <c r="AB2090" i="1"/>
  <c r="AA2090" i="1"/>
  <c r="AB2089" i="1"/>
  <c r="AA2089" i="1"/>
  <c r="AB2088" i="1"/>
  <c r="AA2088" i="1"/>
  <c r="AB2087" i="1"/>
  <c r="AA2087" i="1"/>
  <c r="AB2086" i="1"/>
  <c r="AA2086" i="1"/>
  <c r="AB2085" i="1"/>
  <c r="AA2085" i="1"/>
  <c r="AB2084" i="1"/>
  <c r="AA2084" i="1"/>
  <c r="AB2083" i="1"/>
  <c r="AA2083" i="1"/>
  <c r="AB2082" i="1"/>
  <c r="AA2082" i="1"/>
  <c r="AB2081" i="1"/>
  <c r="AA2081" i="1"/>
  <c r="AB2080" i="1"/>
  <c r="AA2080" i="1"/>
  <c r="AB2079" i="1"/>
  <c r="AA2079" i="1"/>
  <c r="AB2078" i="1"/>
  <c r="AA2078" i="1"/>
  <c r="AB2077" i="1"/>
  <c r="AA2077" i="1"/>
  <c r="AB2076" i="1"/>
  <c r="AA2076" i="1"/>
  <c r="AB2075" i="1"/>
  <c r="AA2075" i="1"/>
  <c r="AB2074" i="1"/>
  <c r="AA2074" i="1"/>
  <c r="AB2073" i="1"/>
  <c r="AA2073" i="1"/>
  <c r="AB2072" i="1"/>
  <c r="AA2072" i="1"/>
  <c r="AB2071" i="1"/>
  <c r="AA2071" i="1"/>
  <c r="AB2070" i="1"/>
  <c r="AA2070" i="1"/>
  <c r="AB2069" i="1"/>
  <c r="AA2069" i="1"/>
  <c r="AB2068" i="1"/>
  <c r="AA2068" i="1"/>
  <c r="AB2067" i="1"/>
  <c r="AA2067" i="1"/>
  <c r="AB2066" i="1"/>
  <c r="AA2066" i="1"/>
  <c r="AB2065" i="1"/>
  <c r="AA2065" i="1"/>
  <c r="AB2064" i="1"/>
  <c r="AA2064" i="1"/>
  <c r="AB2063" i="1"/>
  <c r="AA2063" i="1"/>
  <c r="AB2062" i="1"/>
  <c r="AA2062" i="1"/>
  <c r="AB2061" i="1"/>
  <c r="AA2061" i="1"/>
  <c r="AB2060" i="1"/>
  <c r="AA2060" i="1"/>
  <c r="AB2059" i="1"/>
  <c r="AA2059" i="1"/>
  <c r="AB2058" i="1"/>
  <c r="AA2058" i="1"/>
  <c r="AB2057" i="1"/>
  <c r="AA2057" i="1"/>
  <c r="AB2056" i="1"/>
  <c r="AA2056" i="1"/>
  <c r="AB2055" i="1"/>
  <c r="AA2055" i="1"/>
  <c r="AB2054" i="1"/>
  <c r="AA2054" i="1"/>
  <c r="AB2053" i="1"/>
  <c r="AA2053" i="1"/>
  <c r="AB2052" i="1"/>
  <c r="AA2052" i="1"/>
  <c r="AB2051" i="1"/>
  <c r="AA2051" i="1"/>
  <c r="AB2050" i="1"/>
  <c r="AA2050" i="1"/>
  <c r="AB2049" i="1"/>
  <c r="AA2049" i="1"/>
  <c r="AB2048" i="1"/>
  <c r="AA2048" i="1"/>
  <c r="AB2047" i="1"/>
  <c r="AA2047" i="1"/>
  <c r="AB2046" i="1"/>
  <c r="AA2046" i="1"/>
  <c r="AB2045" i="1"/>
  <c r="AA2045" i="1"/>
  <c r="AB2044" i="1"/>
  <c r="AA2044" i="1"/>
  <c r="AB2043" i="1"/>
  <c r="AA2043" i="1"/>
  <c r="AB2042" i="1"/>
  <c r="AA2042" i="1"/>
  <c r="AB2041" i="1"/>
  <c r="AA2041" i="1"/>
  <c r="AB2040" i="1"/>
  <c r="AA2040" i="1"/>
  <c r="AB2039" i="1"/>
  <c r="AA2039" i="1"/>
  <c r="AB2038" i="1"/>
  <c r="AA2038" i="1"/>
  <c r="AB2037" i="1"/>
  <c r="AA2037" i="1"/>
  <c r="AB2036" i="1"/>
  <c r="AA2036" i="1"/>
  <c r="AB2035" i="1"/>
  <c r="AA2035" i="1"/>
  <c r="AB2034" i="1"/>
  <c r="AA2034" i="1"/>
  <c r="AB2033" i="1"/>
  <c r="AA2033" i="1"/>
  <c r="AB2032" i="1"/>
  <c r="AA2032" i="1"/>
  <c r="AB2031" i="1"/>
  <c r="AA2031" i="1"/>
  <c r="AB2030" i="1"/>
  <c r="AA2030" i="1"/>
  <c r="AB2029" i="1"/>
  <c r="AA2029" i="1"/>
  <c r="AB2028" i="1"/>
  <c r="AA2028" i="1"/>
  <c r="AB2027" i="1"/>
  <c r="AA2027" i="1"/>
  <c r="AB2026" i="1"/>
  <c r="AA2026" i="1"/>
  <c r="AB2025" i="1"/>
  <c r="AA2025" i="1"/>
  <c r="AB2024" i="1"/>
  <c r="AA2024" i="1"/>
  <c r="AB2023" i="1"/>
  <c r="AA2023" i="1"/>
  <c r="AB2022" i="1"/>
  <c r="AA2022" i="1"/>
  <c r="AB2021" i="1"/>
  <c r="AA2021" i="1"/>
  <c r="AB2020" i="1"/>
  <c r="AA2020" i="1"/>
  <c r="AB2019" i="1"/>
  <c r="AA2019" i="1"/>
  <c r="AB2018" i="1"/>
  <c r="AA2018" i="1"/>
  <c r="AB2017" i="1"/>
  <c r="AA2017" i="1"/>
  <c r="AB2016" i="1"/>
  <c r="AA2016" i="1"/>
  <c r="AB2015" i="1"/>
  <c r="AA2015" i="1"/>
  <c r="AB2014" i="1"/>
  <c r="AA2014" i="1"/>
  <c r="AB2013" i="1"/>
  <c r="AA2013" i="1"/>
  <c r="AB2012" i="1"/>
  <c r="AA2012" i="1"/>
  <c r="AB2011" i="1"/>
  <c r="AA2011" i="1"/>
  <c r="AB2010" i="1"/>
  <c r="AA2010" i="1"/>
  <c r="AB2009" i="1"/>
  <c r="AA2009" i="1"/>
  <c r="AB2008" i="1"/>
  <c r="AA2008" i="1"/>
  <c r="AB2007" i="1"/>
  <c r="AA2007" i="1"/>
  <c r="AB2006" i="1"/>
  <c r="AA2006" i="1"/>
  <c r="AB2005" i="1"/>
  <c r="AA2005" i="1"/>
  <c r="AB2004" i="1"/>
  <c r="AA2004" i="1"/>
  <c r="AB2003" i="1"/>
  <c r="AA2003" i="1"/>
  <c r="AB2002" i="1"/>
  <c r="AA2002" i="1"/>
  <c r="AB2001" i="1"/>
  <c r="AA2001" i="1"/>
  <c r="AB2000" i="1"/>
  <c r="AA2000" i="1"/>
  <c r="AB1999" i="1"/>
  <c r="AA1999" i="1"/>
  <c r="AB1998" i="1"/>
  <c r="AA1998" i="1"/>
  <c r="AB1997" i="1"/>
  <c r="AA1997" i="1"/>
  <c r="AB1996" i="1"/>
  <c r="AA1996" i="1"/>
  <c r="AB1995" i="1"/>
  <c r="AA1995" i="1"/>
  <c r="AB1994" i="1"/>
  <c r="AA1994" i="1"/>
  <c r="AB1993" i="1"/>
  <c r="AA1993" i="1"/>
  <c r="AB1992" i="1"/>
  <c r="AA1992" i="1"/>
  <c r="AB1991" i="1"/>
  <c r="AA1991" i="1"/>
  <c r="AB1990" i="1"/>
  <c r="AA1990" i="1"/>
  <c r="AB1989" i="1"/>
  <c r="AA1989" i="1"/>
  <c r="AB1988" i="1"/>
  <c r="AA1988" i="1"/>
  <c r="AB1987" i="1"/>
  <c r="AA1987" i="1"/>
  <c r="AB1986" i="1"/>
  <c r="AA1986" i="1"/>
  <c r="AB1985" i="1"/>
  <c r="AA1985" i="1"/>
  <c r="AB1984" i="1"/>
  <c r="AA1984" i="1"/>
  <c r="AB1983" i="1"/>
  <c r="AA1983" i="1"/>
  <c r="AB1982" i="1"/>
  <c r="AA1982" i="1"/>
  <c r="AB1981" i="1"/>
  <c r="AA1981" i="1"/>
  <c r="AB1980" i="1"/>
  <c r="AA1980" i="1"/>
  <c r="AB1979" i="1"/>
  <c r="AA1979" i="1"/>
  <c r="AB1978" i="1"/>
  <c r="AA1978" i="1"/>
  <c r="AB1977" i="1"/>
  <c r="AA1977" i="1"/>
  <c r="AB1976" i="1"/>
  <c r="AA1976" i="1"/>
  <c r="AB1975" i="1"/>
  <c r="AA1975" i="1"/>
  <c r="AB1974" i="1"/>
  <c r="AA1974" i="1"/>
  <c r="AB1973" i="1"/>
  <c r="AA1973" i="1"/>
  <c r="AB1972" i="1"/>
  <c r="AA1972" i="1"/>
  <c r="AB1971" i="1"/>
  <c r="AA1971" i="1"/>
  <c r="AB1970" i="1"/>
  <c r="AA1970" i="1"/>
  <c r="AB1969" i="1"/>
  <c r="AA1969" i="1"/>
  <c r="AB1968" i="1"/>
  <c r="AA1968" i="1"/>
  <c r="AB1967" i="1"/>
  <c r="AA1967" i="1"/>
  <c r="AB1966" i="1"/>
  <c r="AA1966" i="1"/>
  <c r="AB1965" i="1"/>
  <c r="AA1965" i="1"/>
  <c r="AB1964" i="1"/>
  <c r="AA1964" i="1"/>
  <c r="AB1963" i="1"/>
  <c r="AA1963" i="1"/>
  <c r="AB1962" i="1"/>
  <c r="AA1962" i="1"/>
  <c r="AB1961" i="1"/>
  <c r="AA1961" i="1"/>
  <c r="AB1960" i="1"/>
  <c r="AA1960" i="1"/>
  <c r="AB1959" i="1"/>
  <c r="AA1959" i="1"/>
  <c r="AB1958" i="1"/>
  <c r="AA1958" i="1"/>
  <c r="AB1957" i="1"/>
  <c r="AA1957" i="1"/>
  <c r="AB1956" i="1"/>
  <c r="AA1956" i="1"/>
  <c r="AB1955" i="1"/>
  <c r="AA1955" i="1"/>
  <c r="AB1954" i="1"/>
  <c r="AA1954" i="1"/>
  <c r="AB1953" i="1"/>
  <c r="AA1953" i="1"/>
  <c r="AB1952" i="1"/>
  <c r="AA1952" i="1"/>
  <c r="AB1951" i="1"/>
  <c r="AA1951" i="1"/>
  <c r="AB1950" i="1"/>
  <c r="AA1950" i="1"/>
  <c r="AB1949" i="1"/>
  <c r="AA1949" i="1"/>
  <c r="AB1948" i="1"/>
  <c r="AA1948" i="1"/>
  <c r="AB1947" i="1"/>
  <c r="AA1947" i="1"/>
  <c r="AB1946" i="1"/>
  <c r="AA1946" i="1"/>
  <c r="AB1945" i="1"/>
  <c r="AA1945" i="1"/>
  <c r="AB1944" i="1"/>
  <c r="AA1944" i="1"/>
  <c r="AB1943" i="1"/>
  <c r="AA1943" i="1"/>
  <c r="AB1942" i="1"/>
  <c r="AA1942" i="1"/>
  <c r="AB1941" i="1"/>
  <c r="AA1941" i="1"/>
  <c r="AB1940" i="1"/>
  <c r="AA1940" i="1"/>
  <c r="AB1939" i="1"/>
  <c r="AA1939" i="1"/>
  <c r="AB1938" i="1"/>
  <c r="AA1938" i="1"/>
  <c r="AB1937" i="1"/>
  <c r="AA1937" i="1"/>
  <c r="AB1936" i="1"/>
  <c r="AA1936" i="1"/>
  <c r="AB1935" i="1"/>
  <c r="AA1935" i="1"/>
  <c r="AB1934" i="1"/>
  <c r="AA1934" i="1"/>
  <c r="AB1933" i="1"/>
  <c r="AA1933" i="1"/>
  <c r="AB1932" i="1"/>
  <c r="AA1932" i="1"/>
  <c r="AB1931" i="1"/>
  <c r="AA1931" i="1"/>
  <c r="AB1930" i="1"/>
  <c r="AA1930" i="1"/>
  <c r="AB1929" i="1"/>
  <c r="AA1929" i="1"/>
  <c r="AB1928" i="1"/>
  <c r="AA1928" i="1"/>
  <c r="AB1927" i="1"/>
  <c r="AA1927" i="1"/>
  <c r="AB1926" i="1"/>
  <c r="AA1926" i="1"/>
  <c r="AB1925" i="1"/>
  <c r="AA1925" i="1"/>
  <c r="AB1924" i="1"/>
  <c r="AA1924" i="1"/>
  <c r="AB1923" i="1"/>
  <c r="AA1923" i="1"/>
  <c r="AB1922" i="1"/>
  <c r="AA1922" i="1"/>
  <c r="AB1921" i="1"/>
  <c r="AA1921" i="1"/>
  <c r="AB1920" i="1"/>
  <c r="AA1920" i="1"/>
  <c r="AB1919" i="1"/>
  <c r="AA1919" i="1"/>
  <c r="AB1918" i="1"/>
  <c r="AA1918" i="1"/>
  <c r="AB1917" i="1"/>
  <c r="AA1917" i="1"/>
  <c r="AB1916" i="1"/>
  <c r="AA1916" i="1"/>
  <c r="AB1915" i="1"/>
  <c r="AA1915" i="1"/>
  <c r="AB1914" i="1"/>
  <c r="AA1914" i="1"/>
  <c r="AB1913" i="1"/>
  <c r="AA1913" i="1"/>
  <c r="AB1912" i="1"/>
  <c r="AA1912" i="1"/>
  <c r="AB1911" i="1"/>
  <c r="AA1911" i="1"/>
  <c r="AB1910" i="1"/>
  <c r="AA1910" i="1"/>
  <c r="AB1909" i="1"/>
  <c r="AA1909" i="1"/>
  <c r="AB1908" i="1"/>
  <c r="AA1908" i="1"/>
  <c r="AB1907" i="1"/>
  <c r="AA1907" i="1"/>
  <c r="AB1906" i="1"/>
  <c r="AA1906" i="1"/>
  <c r="AB1905" i="1"/>
  <c r="AA1905" i="1"/>
  <c r="AB1904" i="1"/>
  <c r="AA1904" i="1"/>
  <c r="AB1903" i="1"/>
  <c r="AA1903" i="1"/>
  <c r="AB1902" i="1"/>
  <c r="AA1902" i="1"/>
  <c r="AB1901" i="1"/>
  <c r="AA1901" i="1"/>
  <c r="AB1900" i="1"/>
  <c r="AA1900" i="1"/>
  <c r="AB1899" i="1"/>
  <c r="AA1899" i="1"/>
  <c r="AB1898" i="1"/>
  <c r="AA1898" i="1"/>
  <c r="AB1897" i="1"/>
  <c r="AA1897" i="1"/>
  <c r="AB1896" i="1"/>
  <c r="AA1896" i="1"/>
  <c r="AB1895" i="1"/>
  <c r="AA1895" i="1"/>
  <c r="AB1894" i="1"/>
  <c r="AA1894" i="1"/>
  <c r="AB1893" i="1"/>
  <c r="AA1893" i="1"/>
  <c r="AB1892" i="1"/>
  <c r="AA1892" i="1"/>
  <c r="AB1891" i="1"/>
  <c r="AA1891" i="1"/>
  <c r="AB1890" i="1"/>
  <c r="AA1890" i="1"/>
  <c r="AB1889" i="1"/>
  <c r="AA1889" i="1"/>
  <c r="AB1888" i="1"/>
  <c r="AA1888" i="1"/>
  <c r="AB1887" i="1"/>
  <c r="AA1887" i="1"/>
  <c r="AB1886" i="1"/>
  <c r="AA1886" i="1"/>
  <c r="AB1885" i="1"/>
  <c r="AA1885" i="1"/>
  <c r="AB1884" i="1"/>
  <c r="AA1884" i="1"/>
  <c r="AB1883" i="1"/>
  <c r="AA1883" i="1"/>
  <c r="AB1882" i="1"/>
  <c r="AA1882" i="1"/>
  <c r="AB1881" i="1"/>
  <c r="AA1881" i="1"/>
  <c r="AB1880" i="1"/>
  <c r="AA1880" i="1"/>
  <c r="AB1879" i="1"/>
  <c r="AA1879" i="1"/>
  <c r="AB1878" i="1"/>
  <c r="AA1878" i="1"/>
  <c r="AB1877" i="1"/>
  <c r="AA1877" i="1"/>
  <c r="AB1876" i="1"/>
  <c r="AA1876" i="1"/>
  <c r="AB1875" i="1"/>
  <c r="AA1875" i="1"/>
  <c r="AB1874" i="1"/>
  <c r="AA1874" i="1"/>
  <c r="AB1873" i="1"/>
  <c r="AA1873" i="1"/>
  <c r="AB1872" i="1"/>
  <c r="AA1872" i="1"/>
  <c r="AB1871" i="1"/>
  <c r="AA1871" i="1"/>
  <c r="AB1870" i="1"/>
  <c r="AA1870" i="1"/>
  <c r="AB1869" i="1"/>
  <c r="AA1869" i="1"/>
  <c r="AB1868" i="1"/>
  <c r="AA1868" i="1"/>
  <c r="AB1867" i="1"/>
  <c r="AA1867" i="1"/>
  <c r="AB1866" i="1"/>
  <c r="AA1866" i="1"/>
  <c r="AB1865" i="1"/>
  <c r="AA1865" i="1"/>
  <c r="AB1864" i="1"/>
  <c r="AA1864" i="1"/>
  <c r="AB1863" i="1"/>
  <c r="AA1863" i="1"/>
  <c r="AB1862" i="1"/>
  <c r="AA1862" i="1"/>
  <c r="AB1861" i="1"/>
  <c r="AA1861" i="1"/>
  <c r="AB1860" i="1"/>
  <c r="AA1860" i="1"/>
  <c r="AB1859" i="1"/>
  <c r="AA1859" i="1"/>
  <c r="AB1858" i="1"/>
  <c r="AA1858" i="1"/>
  <c r="AB1857" i="1"/>
  <c r="AA1857" i="1"/>
  <c r="AB1856" i="1"/>
  <c r="AA1856" i="1"/>
  <c r="AB1855" i="1"/>
  <c r="AA1855" i="1"/>
  <c r="AB1854" i="1"/>
  <c r="AA1854" i="1"/>
  <c r="AB1853" i="1"/>
  <c r="AA1853" i="1"/>
  <c r="AB1852" i="1"/>
  <c r="AA1852" i="1"/>
  <c r="AB1851" i="1"/>
  <c r="AA1851" i="1"/>
  <c r="AB1850" i="1"/>
  <c r="AA1850" i="1"/>
  <c r="AB1849" i="1"/>
  <c r="AA1849" i="1"/>
  <c r="AB1848" i="1"/>
  <c r="AA1848" i="1"/>
  <c r="AB1847" i="1"/>
  <c r="AA1847" i="1"/>
  <c r="AB1846" i="1"/>
  <c r="AA1846" i="1"/>
  <c r="AB1845" i="1"/>
  <c r="AA1845" i="1"/>
  <c r="AB1844" i="1"/>
  <c r="AA1844" i="1"/>
  <c r="AB1843" i="1"/>
  <c r="AA1843" i="1"/>
  <c r="AB1842" i="1"/>
  <c r="AA1842" i="1"/>
  <c r="AB1841" i="1"/>
  <c r="AA1841" i="1"/>
  <c r="AB1840" i="1"/>
  <c r="AA1840" i="1"/>
  <c r="AB1839" i="1"/>
  <c r="AA1839" i="1"/>
  <c r="AB1838" i="1"/>
  <c r="AA1838" i="1"/>
  <c r="AB1837" i="1"/>
  <c r="AA1837" i="1"/>
  <c r="AB1836" i="1"/>
  <c r="AA1836" i="1"/>
  <c r="AB1835" i="1"/>
  <c r="AA1835" i="1"/>
  <c r="AB1834" i="1"/>
  <c r="AA1834" i="1"/>
  <c r="AB1833" i="1"/>
  <c r="AA1833" i="1"/>
  <c r="AB1832" i="1"/>
  <c r="AA1832" i="1"/>
  <c r="AB1831" i="1"/>
  <c r="AA1831" i="1"/>
  <c r="AB1830" i="1"/>
  <c r="AA1830" i="1"/>
  <c r="AB1829" i="1"/>
  <c r="AA1829" i="1"/>
  <c r="AB1828" i="1"/>
  <c r="AA1828" i="1"/>
  <c r="AB1827" i="1"/>
  <c r="AA1827" i="1"/>
  <c r="AB1826" i="1"/>
  <c r="AA1826" i="1"/>
  <c r="AB1825" i="1"/>
  <c r="AA1825" i="1"/>
  <c r="AB1824" i="1"/>
  <c r="AA1824" i="1"/>
  <c r="AB1823" i="1"/>
  <c r="AA1823" i="1"/>
  <c r="AB1822" i="1"/>
  <c r="AA1822" i="1"/>
  <c r="AB1821" i="1"/>
  <c r="AA1821" i="1"/>
  <c r="AB1820" i="1"/>
  <c r="AA1820" i="1"/>
  <c r="AB1819" i="1"/>
  <c r="AA1819" i="1"/>
  <c r="AB1818" i="1"/>
  <c r="AA1818" i="1"/>
  <c r="AB1817" i="1"/>
  <c r="AA1817" i="1"/>
  <c r="AB1816" i="1"/>
  <c r="AA1816" i="1"/>
  <c r="AB1815" i="1"/>
  <c r="AA1815" i="1"/>
  <c r="AB1814" i="1"/>
  <c r="AA1814" i="1"/>
  <c r="AB1813" i="1"/>
  <c r="AA1813" i="1"/>
  <c r="AB1812" i="1"/>
  <c r="AA1812" i="1"/>
  <c r="AB1811" i="1"/>
  <c r="AA1811" i="1"/>
  <c r="AB1810" i="1"/>
  <c r="AA1810" i="1"/>
  <c r="AB1809" i="1"/>
  <c r="AA1809" i="1"/>
  <c r="AB1808" i="1"/>
  <c r="AA1808" i="1"/>
  <c r="AB1807" i="1"/>
  <c r="AA1807" i="1"/>
  <c r="AB1806" i="1"/>
  <c r="AA1806" i="1"/>
  <c r="AB1805" i="1"/>
  <c r="AA1805" i="1"/>
  <c r="AB1804" i="1"/>
  <c r="AA1804" i="1"/>
  <c r="AB1803" i="1"/>
  <c r="AA1803" i="1"/>
  <c r="AB1802" i="1"/>
  <c r="AA1802" i="1"/>
  <c r="AB1801" i="1"/>
  <c r="AA1801" i="1"/>
  <c r="AB1800" i="1"/>
  <c r="AA1800" i="1"/>
  <c r="AB1799" i="1"/>
  <c r="AA1799" i="1"/>
  <c r="AB1798" i="1"/>
  <c r="AA1798" i="1"/>
  <c r="AB1797" i="1"/>
  <c r="AA1797" i="1"/>
  <c r="AB1796" i="1"/>
  <c r="AA1796" i="1"/>
  <c r="AB1795" i="1"/>
  <c r="AA1795" i="1"/>
  <c r="AB1794" i="1"/>
  <c r="AA1794" i="1"/>
  <c r="AB1793" i="1"/>
  <c r="AA1793" i="1"/>
  <c r="AB1792" i="1"/>
  <c r="AA1792" i="1"/>
  <c r="AB1791" i="1"/>
  <c r="AA1791" i="1"/>
  <c r="AB1790" i="1"/>
  <c r="AA1790" i="1"/>
  <c r="AB1789" i="1"/>
  <c r="AA1789" i="1"/>
  <c r="AB1788" i="1"/>
  <c r="AA1788" i="1"/>
  <c r="AB1787" i="1"/>
  <c r="AA1787" i="1"/>
  <c r="AB1786" i="1"/>
  <c r="AA1786" i="1"/>
  <c r="AB1785" i="1"/>
  <c r="AA1785" i="1"/>
  <c r="AB1784" i="1"/>
  <c r="AA1784" i="1"/>
  <c r="AB1783" i="1"/>
  <c r="AA1783" i="1"/>
  <c r="AB1782" i="1"/>
  <c r="AA1782" i="1"/>
  <c r="AB1781" i="1"/>
  <c r="AA1781" i="1"/>
  <c r="AB1780" i="1"/>
  <c r="AA1780" i="1"/>
  <c r="AB1779" i="1"/>
  <c r="AA1779" i="1"/>
  <c r="AB1778" i="1"/>
  <c r="AA1778" i="1"/>
  <c r="AB1777" i="1"/>
  <c r="AA1777" i="1"/>
  <c r="AB1776" i="1"/>
  <c r="AA1776" i="1"/>
  <c r="AB1775" i="1"/>
  <c r="AA1775" i="1"/>
  <c r="AB1774" i="1"/>
  <c r="AA1774" i="1"/>
  <c r="AB1773" i="1"/>
  <c r="AA1773" i="1"/>
  <c r="AB1772" i="1"/>
  <c r="AA1772" i="1"/>
  <c r="AB1771" i="1"/>
  <c r="AA1771" i="1"/>
  <c r="AB1770" i="1"/>
  <c r="AA1770" i="1"/>
  <c r="AB1769" i="1"/>
  <c r="AA1769" i="1"/>
  <c r="AB1768" i="1"/>
  <c r="AA1768" i="1"/>
  <c r="AB1767" i="1"/>
  <c r="AA1767" i="1"/>
  <c r="AB1766" i="1"/>
  <c r="AA1766" i="1"/>
  <c r="AB1765" i="1"/>
  <c r="AA1765" i="1"/>
  <c r="AB1764" i="1"/>
  <c r="AA1764" i="1"/>
  <c r="AB1763" i="1"/>
  <c r="AA1763" i="1"/>
  <c r="AB1762" i="1"/>
  <c r="AA1762" i="1"/>
  <c r="AB1761" i="1"/>
  <c r="AA1761" i="1"/>
  <c r="AB1760" i="1"/>
  <c r="AA1760" i="1"/>
  <c r="AB1759" i="1"/>
  <c r="AA1759" i="1"/>
  <c r="AB1758" i="1"/>
  <c r="AA1758" i="1"/>
  <c r="AB1757" i="1"/>
  <c r="AA1757" i="1"/>
  <c r="AB1756" i="1"/>
  <c r="AA1756" i="1"/>
  <c r="AB1755" i="1"/>
  <c r="AA1755" i="1"/>
  <c r="AB1754" i="1"/>
  <c r="AA1754" i="1"/>
  <c r="AB1753" i="1"/>
  <c r="AA1753" i="1"/>
  <c r="AB1752" i="1"/>
  <c r="AA1752" i="1"/>
  <c r="AB1751" i="1"/>
  <c r="AA1751" i="1"/>
  <c r="AB1750" i="1"/>
  <c r="AA1750" i="1"/>
  <c r="AB1749" i="1"/>
  <c r="AA1749" i="1"/>
  <c r="AB1748" i="1"/>
  <c r="AA1748" i="1"/>
  <c r="AB1747" i="1"/>
  <c r="AA1747" i="1"/>
  <c r="AB1746" i="1"/>
  <c r="AA1746" i="1"/>
  <c r="AB1745" i="1"/>
  <c r="AA1745" i="1"/>
  <c r="AB1744" i="1"/>
  <c r="AA1744" i="1"/>
  <c r="AB1743" i="1"/>
  <c r="AA1743" i="1"/>
  <c r="AB1742" i="1"/>
  <c r="AA1742" i="1"/>
  <c r="AB1741" i="1"/>
  <c r="AA1741" i="1"/>
  <c r="AB1740" i="1"/>
  <c r="AA1740" i="1"/>
  <c r="AB1739" i="1"/>
  <c r="AA1739" i="1"/>
  <c r="AB1738" i="1"/>
  <c r="AA1738" i="1"/>
  <c r="AB1737" i="1"/>
  <c r="AA1737" i="1"/>
  <c r="AB1736" i="1"/>
  <c r="AA1736" i="1"/>
  <c r="AB1735" i="1"/>
  <c r="AA1735" i="1"/>
  <c r="AB1734" i="1"/>
  <c r="AA1734" i="1"/>
  <c r="AB1733" i="1"/>
  <c r="AA1733" i="1"/>
  <c r="AB1732" i="1"/>
  <c r="AA1732" i="1"/>
  <c r="AB1731" i="1"/>
  <c r="AA1731" i="1"/>
  <c r="AB1730" i="1"/>
  <c r="AA1730" i="1"/>
  <c r="AB1729" i="1"/>
  <c r="AA1729" i="1"/>
  <c r="AB1728" i="1"/>
  <c r="AA1728" i="1"/>
  <c r="AB1727" i="1"/>
  <c r="AA1727" i="1"/>
  <c r="AB1726" i="1"/>
  <c r="AA1726" i="1"/>
  <c r="AB1725" i="1"/>
  <c r="AA1725" i="1"/>
  <c r="AB1724" i="1"/>
  <c r="AA1724" i="1"/>
  <c r="AB1723" i="1"/>
  <c r="AA1723" i="1"/>
  <c r="AB1722" i="1"/>
  <c r="AA1722" i="1"/>
  <c r="AB1721" i="1"/>
  <c r="AA1721" i="1"/>
  <c r="AB1720" i="1"/>
  <c r="AA1720" i="1"/>
  <c r="AB1719" i="1"/>
  <c r="AA1719" i="1"/>
  <c r="AB1718" i="1"/>
  <c r="AA1718" i="1"/>
  <c r="AB1717" i="1"/>
  <c r="AA1717" i="1"/>
  <c r="AB1716" i="1"/>
  <c r="AA1716" i="1"/>
  <c r="AB1715" i="1"/>
  <c r="AA1715" i="1"/>
  <c r="AB1714" i="1"/>
  <c r="AA1714" i="1"/>
  <c r="AB1713" i="1"/>
  <c r="AA1713" i="1"/>
  <c r="AB1712" i="1"/>
  <c r="AA1712" i="1"/>
  <c r="AB1711" i="1"/>
  <c r="AA1711" i="1"/>
  <c r="AB1710" i="1"/>
  <c r="AA1710" i="1"/>
  <c r="AB1709" i="1"/>
  <c r="AA1709" i="1"/>
  <c r="AB1708" i="1"/>
  <c r="AA1708" i="1"/>
  <c r="AB1707" i="1"/>
  <c r="AA1707" i="1"/>
  <c r="AB1706" i="1"/>
  <c r="AA1706" i="1"/>
  <c r="AB1705" i="1"/>
  <c r="AA1705" i="1"/>
  <c r="AB1704" i="1"/>
  <c r="AA1704" i="1"/>
  <c r="AB1703" i="1"/>
  <c r="AA1703" i="1"/>
  <c r="AB1702" i="1"/>
  <c r="AA1702" i="1"/>
  <c r="AB1701" i="1"/>
  <c r="AA1701" i="1"/>
  <c r="AB1700" i="1"/>
  <c r="AA1700" i="1"/>
  <c r="AB1699" i="1"/>
  <c r="AA1699" i="1"/>
  <c r="AB1698" i="1"/>
  <c r="AA1698" i="1"/>
  <c r="AB1697" i="1"/>
  <c r="AA1697" i="1"/>
  <c r="AB1696" i="1"/>
  <c r="AA1696" i="1"/>
  <c r="AB1695" i="1"/>
  <c r="AA1695" i="1"/>
  <c r="AB1694" i="1"/>
  <c r="AA1694" i="1"/>
  <c r="AB1693" i="1"/>
  <c r="AA1693" i="1"/>
  <c r="AB1692" i="1"/>
  <c r="AA1692" i="1"/>
  <c r="AB1691" i="1"/>
  <c r="AA1691" i="1"/>
  <c r="AB1690" i="1"/>
  <c r="AA1690" i="1"/>
  <c r="AB1689" i="1"/>
  <c r="AA1689" i="1"/>
  <c r="AB1688" i="1"/>
  <c r="AA1688" i="1"/>
  <c r="AB1687" i="1"/>
  <c r="AA1687" i="1"/>
  <c r="AB1686" i="1"/>
  <c r="AA1686" i="1"/>
  <c r="AB1685" i="1"/>
  <c r="AA1685" i="1"/>
  <c r="AB1684" i="1"/>
  <c r="AA1684" i="1"/>
  <c r="AB1683" i="1"/>
  <c r="AA1683" i="1"/>
  <c r="AB1682" i="1"/>
  <c r="AA1682" i="1"/>
  <c r="AB1681" i="1"/>
  <c r="AA1681" i="1"/>
  <c r="AB1680" i="1"/>
  <c r="AA1680" i="1"/>
  <c r="AB1679" i="1"/>
  <c r="AA1679" i="1"/>
  <c r="AL1679" i="1" s="1"/>
  <c r="AB1678" i="1"/>
  <c r="AA1678" i="1"/>
  <c r="AB1677" i="1"/>
  <c r="AA1677" i="1"/>
  <c r="AB1676" i="1"/>
  <c r="AA1676" i="1"/>
  <c r="AB1675" i="1"/>
  <c r="AA1675" i="1"/>
  <c r="AB1674" i="1"/>
  <c r="AA1674" i="1"/>
  <c r="AB1673" i="1"/>
  <c r="AA1673" i="1"/>
  <c r="AB1672" i="1"/>
  <c r="AA1672" i="1"/>
  <c r="AB1671" i="1"/>
  <c r="AA1671" i="1"/>
  <c r="AB1670" i="1"/>
  <c r="AA1670" i="1"/>
  <c r="AB1669" i="1"/>
  <c r="AA1669" i="1"/>
  <c r="AB1668" i="1"/>
  <c r="AA1668" i="1"/>
  <c r="AB1667" i="1"/>
  <c r="AA1667" i="1"/>
  <c r="AB1666" i="1"/>
  <c r="AA1666" i="1"/>
  <c r="AB1665" i="1"/>
  <c r="AA1665" i="1"/>
  <c r="AB1664" i="1"/>
  <c r="AA1664" i="1"/>
  <c r="AB1663" i="1"/>
  <c r="AA1663" i="1"/>
  <c r="AB1662" i="1"/>
  <c r="AA1662" i="1"/>
  <c r="AB1661" i="1"/>
  <c r="AA1661" i="1"/>
  <c r="AB1660" i="1"/>
  <c r="AA1660" i="1"/>
  <c r="AB1659" i="1"/>
  <c r="AA1659" i="1"/>
  <c r="AB1658" i="1"/>
  <c r="AA1658" i="1"/>
  <c r="AB1657" i="1"/>
  <c r="AA1657" i="1"/>
  <c r="AB1656" i="1"/>
  <c r="AA1656" i="1"/>
  <c r="AB1655" i="1"/>
  <c r="AA1655" i="1"/>
  <c r="AB1654" i="1"/>
  <c r="AA1654" i="1"/>
  <c r="AB1653" i="1"/>
  <c r="AA1653" i="1"/>
  <c r="AB1652" i="1"/>
  <c r="AA1652" i="1"/>
  <c r="AB1651" i="1"/>
  <c r="AA1651" i="1"/>
  <c r="AB1650" i="1"/>
  <c r="AA1650" i="1"/>
  <c r="AB1649" i="1"/>
  <c r="AA1649" i="1"/>
  <c r="AB1648" i="1"/>
  <c r="AA1648" i="1"/>
  <c r="AB1647" i="1"/>
  <c r="AA1647" i="1"/>
  <c r="AB1646" i="1"/>
  <c r="AA1646" i="1"/>
  <c r="AB1645" i="1"/>
  <c r="AA1645" i="1"/>
  <c r="AB1644" i="1"/>
  <c r="AA1644" i="1"/>
  <c r="AB1643" i="1"/>
  <c r="AA1643" i="1"/>
  <c r="AB1642" i="1"/>
  <c r="AA1642" i="1"/>
  <c r="AB1641" i="1"/>
  <c r="AA1641" i="1"/>
  <c r="AB1640" i="1"/>
  <c r="AA1640" i="1"/>
  <c r="AB1639" i="1"/>
  <c r="AA1639" i="1"/>
  <c r="AB1638" i="1"/>
  <c r="AA1638" i="1"/>
  <c r="AB1637" i="1"/>
  <c r="AA1637" i="1"/>
  <c r="AB1636" i="1"/>
  <c r="AA1636" i="1"/>
  <c r="AB1635" i="1"/>
  <c r="AA1635" i="1"/>
  <c r="AB1634" i="1"/>
  <c r="AA1634" i="1"/>
  <c r="AB1633" i="1"/>
  <c r="AA1633" i="1"/>
  <c r="AB1632" i="1"/>
  <c r="AA1632" i="1"/>
  <c r="AB1631" i="1"/>
  <c r="AA1631" i="1"/>
  <c r="AB1630" i="1"/>
  <c r="AA1630" i="1"/>
  <c r="AB1629" i="1"/>
  <c r="AA1629" i="1"/>
  <c r="AB1628" i="1"/>
  <c r="AA1628" i="1"/>
  <c r="AB1627" i="1"/>
  <c r="AA1627" i="1"/>
  <c r="AB1626" i="1"/>
  <c r="AA1626" i="1"/>
  <c r="AB1625" i="1"/>
  <c r="AA1625" i="1"/>
  <c r="AB1624" i="1"/>
  <c r="AA1624" i="1"/>
  <c r="AB1623" i="1"/>
  <c r="AA1623" i="1"/>
  <c r="AB1622" i="1"/>
  <c r="AA1622" i="1"/>
  <c r="AB1621" i="1"/>
  <c r="AA1621" i="1"/>
  <c r="AB1620" i="1"/>
  <c r="AA1620" i="1"/>
  <c r="AB1619" i="1"/>
  <c r="AA1619" i="1"/>
  <c r="AB1618" i="1"/>
  <c r="AA1618" i="1"/>
  <c r="AB1617" i="1"/>
  <c r="AA1617" i="1"/>
  <c r="AB1616" i="1"/>
  <c r="AA1616" i="1"/>
  <c r="AB1615" i="1"/>
  <c r="AA1615" i="1"/>
  <c r="AB1614" i="1"/>
  <c r="AA1614" i="1"/>
  <c r="AB1613" i="1"/>
  <c r="AA1613" i="1"/>
  <c r="AB1612" i="1"/>
  <c r="AA1612" i="1"/>
  <c r="AB1611" i="1"/>
  <c r="AA1611" i="1"/>
  <c r="AB1610" i="1"/>
  <c r="AA1610" i="1"/>
  <c r="AB1609" i="1"/>
  <c r="AA1609" i="1"/>
  <c r="AB1608" i="1"/>
  <c r="AA1608" i="1"/>
  <c r="AB1607" i="1"/>
  <c r="AA1607" i="1"/>
  <c r="AB1606" i="1"/>
  <c r="AA1606" i="1"/>
  <c r="AB1605" i="1"/>
  <c r="AA1605" i="1"/>
  <c r="AB1604" i="1"/>
  <c r="AA1604" i="1"/>
  <c r="AB1603" i="1"/>
  <c r="AA1603" i="1"/>
  <c r="AB1602" i="1"/>
  <c r="AA1602" i="1"/>
  <c r="AB1601" i="1"/>
  <c r="AA1601" i="1"/>
  <c r="AB1600" i="1"/>
  <c r="AA1600" i="1"/>
  <c r="AB1599" i="1"/>
  <c r="AA1599" i="1"/>
  <c r="AB1598" i="1"/>
  <c r="AA1598" i="1"/>
  <c r="AB1597" i="1"/>
  <c r="AA1597" i="1"/>
  <c r="AB1596" i="1"/>
  <c r="AA1596" i="1"/>
  <c r="AB1595" i="1"/>
  <c r="AA1595" i="1"/>
  <c r="AB1594" i="1"/>
  <c r="AA1594" i="1"/>
  <c r="AB1593" i="1"/>
  <c r="AA1593" i="1"/>
  <c r="AB1592" i="1"/>
  <c r="AA1592" i="1"/>
  <c r="AB1591" i="1"/>
  <c r="AA1591" i="1"/>
  <c r="AB1590" i="1"/>
  <c r="AA1590" i="1"/>
  <c r="AB1589" i="1"/>
  <c r="AA1589" i="1"/>
  <c r="AB1588" i="1"/>
  <c r="AA1588" i="1"/>
  <c r="AB1587" i="1"/>
  <c r="AA1587" i="1"/>
  <c r="AB1586" i="1"/>
  <c r="AA1586" i="1"/>
  <c r="AB1585" i="1"/>
  <c r="AA1585" i="1"/>
  <c r="AB1584" i="1"/>
  <c r="AA1584" i="1"/>
  <c r="AB1583" i="1"/>
  <c r="AA1583" i="1"/>
  <c r="AB1582" i="1"/>
  <c r="AA1582" i="1"/>
  <c r="AB1581" i="1"/>
  <c r="AA1581" i="1"/>
  <c r="AB1580" i="1"/>
  <c r="AA1580" i="1"/>
  <c r="AB1579" i="1"/>
  <c r="AA1579" i="1"/>
  <c r="AB1578" i="1"/>
  <c r="AA1578" i="1"/>
  <c r="AB1577" i="1"/>
  <c r="AA1577" i="1"/>
  <c r="AB1576" i="1"/>
  <c r="AA1576" i="1"/>
  <c r="AB1575" i="1"/>
  <c r="AA1575" i="1"/>
  <c r="AB1574" i="1"/>
  <c r="AA1574" i="1"/>
  <c r="AB1573" i="1"/>
  <c r="AA1573" i="1"/>
  <c r="AB1572" i="1"/>
  <c r="AA1572" i="1"/>
  <c r="AB1571" i="1"/>
  <c r="AA1571" i="1"/>
  <c r="AB1570" i="1"/>
  <c r="AA1570" i="1"/>
  <c r="AB1569" i="1"/>
  <c r="AA1569" i="1"/>
  <c r="AB1568" i="1"/>
  <c r="AA1568" i="1"/>
  <c r="AB1567" i="1"/>
  <c r="AA1567" i="1"/>
  <c r="AB1566" i="1"/>
  <c r="AA1566" i="1"/>
  <c r="AB1565" i="1"/>
  <c r="AA1565" i="1"/>
  <c r="AB1564" i="1"/>
  <c r="AA1564" i="1"/>
  <c r="AB1563" i="1"/>
  <c r="AA1563" i="1"/>
  <c r="AB1562" i="1"/>
  <c r="AA1562" i="1"/>
  <c r="AB1561" i="1"/>
  <c r="AA1561" i="1"/>
  <c r="AB1560" i="1"/>
  <c r="AA1560" i="1"/>
  <c r="AB1559" i="1"/>
  <c r="AA1559" i="1"/>
  <c r="AB1558" i="1"/>
  <c r="AA1558" i="1"/>
  <c r="AB1557" i="1"/>
  <c r="AA1557" i="1"/>
  <c r="AB1556" i="1"/>
  <c r="AA1556" i="1"/>
  <c r="AB1555" i="1"/>
  <c r="AA1555" i="1"/>
  <c r="AB1554" i="1"/>
  <c r="AA1554" i="1"/>
  <c r="AB1553" i="1"/>
  <c r="AA1553" i="1"/>
  <c r="AB1552" i="1"/>
  <c r="AA1552" i="1"/>
  <c r="AB1551" i="1"/>
  <c r="AA1551" i="1"/>
  <c r="AB1550" i="1"/>
  <c r="AA1550" i="1"/>
  <c r="AB1549" i="1"/>
  <c r="AA1549" i="1"/>
  <c r="AB1548" i="1"/>
  <c r="AA1548" i="1"/>
  <c r="AB1547" i="1"/>
  <c r="AA1547" i="1"/>
  <c r="AB1546" i="1"/>
  <c r="AA1546" i="1"/>
  <c r="AB1545" i="1"/>
  <c r="AA1545" i="1"/>
  <c r="AB1544" i="1"/>
  <c r="AA1544" i="1"/>
  <c r="AB1543" i="1"/>
  <c r="AA1543" i="1"/>
  <c r="AB1542" i="1"/>
  <c r="AA1542" i="1"/>
  <c r="AB1541" i="1"/>
  <c r="AA1541" i="1"/>
  <c r="AB1540" i="1"/>
  <c r="AA1540" i="1"/>
  <c r="AB1539" i="1"/>
  <c r="AA1539" i="1"/>
  <c r="AB1538" i="1"/>
  <c r="AA1538" i="1"/>
  <c r="AB1537" i="1"/>
  <c r="AA1537" i="1"/>
  <c r="AB1536" i="1"/>
  <c r="AA1536" i="1"/>
  <c r="AB1535" i="1"/>
  <c r="AA1535" i="1"/>
  <c r="AB1534" i="1"/>
  <c r="AA1534" i="1"/>
  <c r="AB1533" i="1"/>
  <c r="AA1533" i="1"/>
  <c r="AB1532" i="1"/>
  <c r="AA1532" i="1"/>
  <c r="AB1531" i="1"/>
  <c r="AA1531" i="1"/>
  <c r="AB1530" i="1"/>
  <c r="AA1530" i="1"/>
  <c r="AB1529" i="1"/>
  <c r="AA1529" i="1"/>
  <c r="AB1528" i="1"/>
  <c r="AA1528" i="1"/>
  <c r="AB1527" i="1"/>
  <c r="AA1527" i="1"/>
  <c r="AB1526" i="1"/>
  <c r="AA1526" i="1"/>
  <c r="AB1525" i="1"/>
  <c r="AA1525" i="1"/>
  <c r="AB1524" i="1"/>
  <c r="AA1524" i="1"/>
  <c r="AB1523" i="1"/>
  <c r="AA1523" i="1"/>
  <c r="AB1522" i="1"/>
  <c r="AA1522" i="1"/>
  <c r="AB1521" i="1"/>
  <c r="AA1521" i="1"/>
  <c r="AB1520" i="1"/>
  <c r="AA1520" i="1"/>
  <c r="AB1519" i="1"/>
  <c r="AA1519" i="1"/>
  <c r="AB1518" i="1"/>
  <c r="AA1518" i="1"/>
  <c r="AB1517" i="1"/>
  <c r="AA1517" i="1"/>
  <c r="AB1516" i="1"/>
  <c r="AA1516" i="1"/>
  <c r="AB1515" i="1"/>
  <c r="AA1515" i="1"/>
  <c r="AB1514" i="1"/>
  <c r="AA1514" i="1"/>
  <c r="AB1513" i="1"/>
  <c r="AA1513" i="1"/>
  <c r="AB1512" i="1"/>
  <c r="AA1512" i="1"/>
  <c r="AB1511" i="1"/>
  <c r="AA1511" i="1"/>
  <c r="AB1510" i="1"/>
  <c r="AA1510" i="1"/>
  <c r="AB1509" i="1"/>
  <c r="AA1509" i="1"/>
  <c r="AB1508" i="1"/>
  <c r="AA1508" i="1"/>
  <c r="AB1507" i="1"/>
  <c r="AA1507" i="1"/>
  <c r="AB1506" i="1"/>
  <c r="AA1506" i="1"/>
  <c r="AB1505" i="1"/>
  <c r="AA1505" i="1"/>
  <c r="AB1504" i="1"/>
  <c r="AA1504" i="1"/>
  <c r="AB1503" i="1"/>
  <c r="AA1503" i="1"/>
  <c r="AB1502" i="1"/>
  <c r="AA1502" i="1"/>
  <c r="AB1501" i="1"/>
  <c r="AA1501" i="1"/>
  <c r="AB1500" i="1"/>
  <c r="AA1500" i="1"/>
  <c r="AB1499" i="1"/>
  <c r="AA1499" i="1"/>
  <c r="AB1498" i="1"/>
  <c r="AA1498" i="1"/>
  <c r="AB1497" i="1"/>
  <c r="AA1497" i="1"/>
  <c r="AB1496" i="1"/>
  <c r="AA1496" i="1"/>
  <c r="AB1495" i="1"/>
  <c r="AA1495" i="1"/>
  <c r="AB1494" i="1"/>
  <c r="AA1494" i="1"/>
  <c r="AB1493" i="1"/>
  <c r="AA1493" i="1"/>
  <c r="AB1492" i="1"/>
  <c r="AA1492" i="1"/>
  <c r="AB1491" i="1"/>
  <c r="AA1491" i="1"/>
  <c r="AB1490" i="1"/>
  <c r="AA1490" i="1"/>
  <c r="AB1489" i="1"/>
  <c r="AA1489" i="1"/>
  <c r="AB1488" i="1"/>
  <c r="AA1488" i="1"/>
  <c r="AB1487" i="1"/>
  <c r="AA1487" i="1"/>
  <c r="AB1486" i="1"/>
  <c r="AA1486" i="1"/>
  <c r="AB1485" i="1"/>
  <c r="AA1485" i="1"/>
  <c r="AB1484" i="1"/>
  <c r="AA1484" i="1"/>
  <c r="AB1483" i="1"/>
  <c r="AA1483" i="1"/>
  <c r="AB1482" i="1"/>
  <c r="AA1482" i="1"/>
  <c r="AB1481" i="1"/>
  <c r="AA1481" i="1"/>
  <c r="AB1480" i="1"/>
  <c r="AA1480" i="1"/>
  <c r="AB1479" i="1"/>
  <c r="AA1479" i="1"/>
  <c r="AB1478" i="1"/>
  <c r="AA1478" i="1"/>
  <c r="AB1477" i="1"/>
  <c r="AA1477" i="1"/>
  <c r="AB1476" i="1"/>
  <c r="AA1476" i="1"/>
  <c r="AB1475" i="1"/>
  <c r="AA1475" i="1"/>
  <c r="AB1474" i="1"/>
  <c r="AA1474" i="1"/>
  <c r="AB1473" i="1"/>
  <c r="AA1473" i="1"/>
  <c r="AB1472" i="1"/>
  <c r="AA1472" i="1"/>
  <c r="AB1471" i="1"/>
  <c r="AA1471" i="1"/>
  <c r="AB1470" i="1"/>
  <c r="AA1470" i="1"/>
  <c r="AB1469" i="1"/>
  <c r="AA1469" i="1"/>
  <c r="AB1468" i="1"/>
  <c r="AA1468" i="1"/>
  <c r="AB1467" i="1"/>
  <c r="AA1467" i="1"/>
  <c r="AB1466" i="1"/>
  <c r="AA1466" i="1"/>
  <c r="AB1465" i="1"/>
  <c r="AA1465" i="1"/>
  <c r="AB1464" i="1"/>
  <c r="AA1464" i="1"/>
  <c r="AB1463" i="1"/>
  <c r="AA1463" i="1"/>
  <c r="AB1462" i="1"/>
  <c r="AA1462" i="1"/>
  <c r="AB1461" i="1"/>
  <c r="AA1461" i="1"/>
  <c r="AB1460" i="1"/>
  <c r="AA1460" i="1"/>
  <c r="AB1459" i="1"/>
  <c r="AA1459" i="1"/>
  <c r="AB1458" i="1"/>
  <c r="AA1458" i="1"/>
  <c r="AB1457" i="1"/>
  <c r="AA1457" i="1"/>
  <c r="AB1456" i="1"/>
  <c r="AA1456" i="1"/>
  <c r="AB1455" i="1"/>
  <c r="AA1455" i="1"/>
  <c r="AB1454" i="1"/>
  <c r="AA1454" i="1"/>
  <c r="AB1453" i="1"/>
  <c r="AA1453" i="1"/>
  <c r="AB1452" i="1"/>
  <c r="AA1452" i="1"/>
  <c r="AB1451" i="1"/>
  <c r="AA1451" i="1"/>
  <c r="AB1450" i="1"/>
  <c r="AA1450" i="1"/>
  <c r="AB1449" i="1"/>
  <c r="AA1449" i="1"/>
  <c r="AB1448" i="1"/>
  <c r="AA1448" i="1"/>
  <c r="AB1447" i="1"/>
  <c r="AA1447" i="1"/>
  <c r="AB1446" i="1"/>
  <c r="AA1446" i="1"/>
  <c r="AB1445" i="1"/>
  <c r="AA1445" i="1"/>
  <c r="AB1444" i="1"/>
  <c r="AA1444" i="1"/>
  <c r="AB1443" i="1"/>
  <c r="AA1443" i="1"/>
  <c r="AB1442" i="1"/>
  <c r="AA1442" i="1"/>
  <c r="AB1441" i="1"/>
  <c r="AA1441" i="1"/>
  <c r="AB1440" i="1"/>
  <c r="AA1440" i="1"/>
  <c r="AB1439" i="1"/>
  <c r="AA1439" i="1"/>
  <c r="AB1438" i="1"/>
  <c r="AA1438" i="1"/>
  <c r="AB1437" i="1"/>
  <c r="AA1437" i="1"/>
  <c r="AB1436" i="1"/>
  <c r="AA1436" i="1"/>
  <c r="AB1435" i="1"/>
  <c r="AA1435" i="1"/>
  <c r="AB1434" i="1"/>
  <c r="AA1434" i="1"/>
  <c r="AB1433" i="1"/>
  <c r="AA1433" i="1"/>
  <c r="AB1432" i="1"/>
  <c r="AA1432" i="1"/>
  <c r="AB1431" i="1"/>
  <c r="AA1431" i="1"/>
  <c r="AB1430" i="1"/>
  <c r="AA1430" i="1"/>
  <c r="AB1429" i="1"/>
  <c r="AA1429" i="1"/>
  <c r="AB1428" i="1"/>
  <c r="AA1428" i="1"/>
  <c r="AB1427" i="1"/>
  <c r="AA1427" i="1"/>
  <c r="AB1426" i="1"/>
  <c r="AA1426" i="1"/>
  <c r="AB1425" i="1"/>
  <c r="AA1425" i="1"/>
  <c r="AB1424" i="1"/>
  <c r="AA1424" i="1"/>
  <c r="AB1423" i="1"/>
  <c r="AA1423" i="1"/>
  <c r="AB1422" i="1"/>
  <c r="AA1422" i="1"/>
  <c r="AB1421" i="1"/>
  <c r="AA1421" i="1"/>
  <c r="AB1420" i="1"/>
  <c r="AI1420" i="1" s="1"/>
  <c r="AA1420" i="1"/>
  <c r="AB1419" i="1"/>
  <c r="AA1419" i="1"/>
  <c r="AB1418" i="1"/>
  <c r="AA1418" i="1"/>
  <c r="AB1417" i="1"/>
  <c r="AA1417" i="1"/>
  <c r="AB1416" i="1"/>
  <c r="AA1416" i="1"/>
  <c r="AB1415" i="1"/>
  <c r="AA1415" i="1"/>
  <c r="AB1414" i="1"/>
  <c r="AA1414" i="1"/>
  <c r="AB1413" i="1"/>
  <c r="AA1413" i="1"/>
  <c r="AB1412" i="1"/>
  <c r="AA1412" i="1"/>
  <c r="AB1411" i="1"/>
  <c r="AA1411" i="1"/>
  <c r="AB1410" i="1"/>
  <c r="AA1410" i="1"/>
  <c r="AB1409" i="1"/>
  <c r="AA1409" i="1"/>
  <c r="AB1408" i="1"/>
  <c r="AA1408" i="1"/>
  <c r="AB1407" i="1"/>
  <c r="AA1407" i="1"/>
  <c r="AB1406" i="1"/>
  <c r="AA1406" i="1"/>
  <c r="AB1405" i="1"/>
  <c r="AA1405" i="1"/>
  <c r="AB1404" i="1"/>
  <c r="AA1404" i="1"/>
  <c r="AB1403" i="1"/>
  <c r="AA1403" i="1"/>
  <c r="AB1402" i="1"/>
  <c r="AA1402" i="1"/>
  <c r="AB1401" i="1"/>
  <c r="AA1401" i="1"/>
  <c r="AB1400" i="1"/>
  <c r="AA1400" i="1"/>
  <c r="AB1399" i="1"/>
  <c r="AA1399" i="1"/>
  <c r="AB1398" i="1"/>
  <c r="AA1398" i="1"/>
  <c r="AB1397" i="1"/>
  <c r="AA1397" i="1"/>
  <c r="AB1396" i="1"/>
  <c r="AA1396" i="1"/>
  <c r="AB1395" i="1"/>
  <c r="AA1395" i="1"/>
  <c r="AB1394" i="1"/>
  <c r="AA1394" i="1"/>
  <c r="AB1393" i="1"/>
  <c r="AA1393" i="1"/>
  <c r="AB1392" i="1"/>
  <c r="AA1392" i="1"/>
  <c r="AB1391" i="1"/>
  <c r="AA1391" i="1"/>
  <c r="AB1390" i="1"/>
  <c r="AA1390" i="1"/>
  <c r="AB1389" i="1"/>
  <c r="AA1389" i="1"/>
  <c r="AB1388" i="1"/>
  <c r="AA1388" i="1"/>
  <c r="AB1387" i="1"/>
  <c r="AA1387" i="1"/>
  <c r="AB1386" i="1"/>
  <c r="AA1386" i="1"/>
  <c r="AB1385" i="1"/>
  <c r="AA1385" i="1"/>
  <c r="AB1384" i="1"/>
  <c r="AA1384" i="1"/>
  <c r="AB1383" i="1"/>
  <c r="AA1383" i="1"/>
  <c r="AB1382" i="1"/>
  <c r="AA1382" i="1"/>
  <c r="AB1381" i="1"/>
  <c r="AA1381" i="1"/>
  <c r="AB1380" i="1"/>
  <c r="AA1380" i="1"/>
  <c r="AB1379" i="1"/>
  <c r="AA1379" i="1"/>
  <c r="AB1378" i="1"/>
  <c r="AA1378" i="1"/>
  <c r="AB1377" i="1"/>
  <c r="AA1377" i="1"/>
  <c r="AB1376" i="1"/>
  <c r="AA1376" i="1"/>
  <c r="AB1375" i="1"/>
  <c r="AA1375" i="1"/>
  <c r="AB1374" i="1"/>
  <c r="AA1374" i="1"/>
  <c r="AB1373" i="1"/>
  <c r="AA1373" i="1"/>
  <c r="AB1372" i="1"/>
  <c r="AA1372" i="1"/>
  <c r="AB1371" i="1"/>
  <c r="AA1371" i="1"/>
  <c r="AB1370" i="1"/>
  <c r="AA1370" i="1"/>
  <c r="AB1369" i="1"/>
  <c r="AA1369" i="1"/>
  <c r="AB1368" i="1"/>
  <c r="AA1368" i="1"/>
  <c r="AB1367" i="1"/>
  <c r="AA1367" i="1"/>
  <c r="AB1366" i="1"/>
  <c r="AA1366" i="1"/>
  <c r="AB1365" i="1"/>
  <c r="AA1365" i="1"/>
  <c r="AB1364" i="1"/>
  <c r="AA1364" i="1"/>
  <c r="AB1363" i="1"/>
  <c r="AA1363" i="1"/>
  <c r="AB1362" i="1"/>
  <c r="AA1362" i="1"/>
  <c r="AB1361" i="1"/>
  <c r="AA1361" i="1"/>
  <c r="AB1360" i="1"/>
  <c r="AA1360" i="1"/>
  <c r="AB1359" i="1"/>
  <c r="AA1359" i="1"/>
  <c r="AB1358" i="1"/>
  <c r="AA1358" i="1"/>
  <c r="AB1357" i="1"/>
  <c r="AA1357" i="1"/>
  <c r="AB1356" i="1"/>
  <c r="AA1356" i="1"/>
  <c r="AB1355" i="1"/>
  <c r="AA1355" i="1"/>
  <c r="AB1354" i="1"/>
  <c r="AA1354" i="1"/>
  <c r="AB1353" i="1"/>
  <c r="AA1353" i="1"/>
  <c r="AB1352" i="1"/>
  <c r="AA1352" i="1"/>
  <c r="AB1351" i="1"/>
  <c r="AA1351" i="1"/>
  <c r="AB1350" i="1"/>
  <c r="AA1350" i="1"/>
  <c r="AB1349" i="1"/>
  <c r="AA1349" i="1"/>
  <c r="AB1348" i="1"/>
  <c r="AA1348" i="1"/>
  <c r="AB1347" i="1"/>
  <c r="AA1347" i="1"/>
  <c r="AB1346" i="1"/>
  <c r="AA1346" i="1"/>
  <c r="AB1345" i="1"/>
  <c r="AA1345" i="1"/>
  <c r="AB1344" i="1"/>
  <c r="AA1344" i="1"/>
  <c r="AB1343" i="1"/>
  <c r="AA1343" i="1"/>
  <c r="AB1342" i="1"/>
  <c r="AA1342" i="1"/>
  <c r="AB1341" i="1"/>
  <c r="AA1341" i="1"/>
  <c r="AB1340" i="1"/>
  <c r="AA1340" i="1"/>
  <c r="AB1339" i="1"/>
  <c r="AA1339" i="1"/>
  <c r="AB1338" i="1"/>
  <c r="AA1338" i="1"/>
  <c r="AB1337" i="1"/>
  <c r="AA1337" i="1"/>
  <c r="AB1336" i="1"/>
  <c r="AA1336" i="1"/>
  <c r="AB1335" i="1"/>
  <c r="AA1335" i="1"/>
  <c r="AB1334" i="1"/>
  <c r="AA1334" i="1"/>
  <c r="AB1333" i="1"/>
  <c r="AA1333" i="1"/>
  <c r="AB1332" i="1"/>
  <c r="AA1332" i="1"/>
  <c r="AB1331" i="1"/>
  <c r="AA1331" i="1"/>
  <c r="AB1330" i="1"/>
  <c r="AA1330" i="1"/>
  <c r="AB1329" i="1"/>
  <c r="AA1329" i="1"/>
  <c r="AB1328" i="1"/>
  <c r="AA1328" i="1"/>
  <c r="AB1327" i="1"/>
  <c r="AA1327" i="1"/>
  <c r="AB1326" i="1"/>
  <c r="AA1326" i="1"/>
  <c r="AB1325" i="1"/>
  <c r="AA1325" i="1"/>
  <c r="AB1324" i="1"/>
  <c r="AA1324" i="1"/>
  <c r="AB1323" i="1"/>
  <c r="AA1323" i="1"/>
  <c r="AB1322" i="1"/>
  <c r="AA1322" i="1"/>
  <c r="AB1321" i="1"/>
  <c r="AA1321" i="1"/>
  <c r="AB1320" i="1"/>
  <c r="AA1320" i="1"/>
  <c r="AB1319" i="1"/>
  <c r="AA1319" i="1"/>
  <c r="AB1318" i="1"/>
  <c r="AA1318" i="1"/>
  <c r="AB1317" i="1"/>
  <c r="AA1317" i="1"/>
  <c r="AB1316" i="1"/>
  <c r="AA1316" i="1"/>
  <c r="AB1315" i="1"/>
  <c r="AA1315" i="1"/>
  <c r="AB1314" i="1"/>
  <c r="AA1314" i="1"/>
  <c r="AB1313" i="1"/>
  <c r="AA1313" i="1"/>
  <c r="AB1312" i="1"/>
  <c r="AA1312" i="1"/>
  <c r="AB1311" i="1"/>
  <c r="AA1311" i="1"/>
  <c r="AB1310" i="1"/>
  <c r="AA1310" i="1"/>
  <c r="AB1309" i="1"/>
  <c r="AA1309" i="1"/>
  <c r="AB1308" i="1"/>
  <c r="AA1308" i="1"/>
  <c r="AB1307" i="1"/>
  <c r="AA1307" i="1"/>
  <c r="AB1306" i="1"/>
  <c r="AA1306" i="1"/>
  <c r="AB1305" i="1"/>
  <c r="AA1305" i="1"/>
  <c r="AB1304" i="1"/>
  <c r="AA1304" i="1"/>
  <c r="AB1303" i="1"/>
  <c r="AA1303" i="1"/>
  <c r="AB1302" i="1"/>
  <c r="AA1302" i="1"/>
  <c r="AB1301" i="1"/>
  <c r="AA1301" i="1"/>
  <c r="AB1300" i="1"/>
  <c r="AA1300" i="1"/>
  <c r="AB1299" i="1"/>
  <c r="AA1299" i="1"/>
  <c r="AB1298" i="1"/>
  <c r="AA1298" i="1"/>
  <c r="AB1297" i="1"/>
  <c r="AA1297" i="1"/>
  <c r="AB1296" i="1"/>
  <c r="AA1296" i="1"/>
  <c r="AB1295" i="1"/>
  <c r="AA1295" i="1"/>
  <c r="AB1294" i="1"/>
  <c r="AA1294" i="1"/>
  <c r="AB1293" i="1"/>
  <c r="AA1293" i="1"/>
  <c r="AB1292" i="1"/>
  <c r="AA1292" i="1"/>
  <c r="AB1291" i="1"/>
  <c r="AA1291" i="1"/>
  <c r="AB1290" i="1"/>
  <c r="AA1290" i="1"/>
  <c r="AB1289" i="1"/>
  <c r="AA1289" i="1"/>
  <c r="AB1288" i="1"/>
  <c r="AA1288" i="1"/>
  <c r="AB1287" i="1"/>
  <c r="AA1287" i="1"/>
  <c r="AB1286" i="1"/>
  <c r="AA1286" i="1"/>
  <c r="AB1285" i="1"/>
  <c r="AA1285" i="1"/>
  <c r="AB1284" i="1"/>
  <c r="AA1284" i="1"/>
  <c r="AB1283" i="1"/>
  <c r="AA1283" i="1"/>
  <c r="AB1282" i="1"/>
  <c r="AA1282" i="1"/>
  <c r="AB1281" i="1"/>
  <c r="AA1281" i="1"/>
  <c r="AB1280" i="1"/>
  <c r="AA1280" i="1"/>
  <c r="AB1279" i="1"/>
  <c r="AA1279" i="1"/>
  <c r="AB1278" i="1"/>
  <c r="AA1278" i="1"/>
  <c r="AB1277" i="1"/>
  <c r="AA1277" i="1"/>
  <c r="AB1276" i="1"/>
  <c r="AA1276" i="1"/>
  <c r="AB1275" i="1"/>
  <c r="AA1275" i="1"/>
  <c r="AB1274" i="1"/>
  <c r="AA1274" i="1"/>
  <c r="AB1273" i="1"/>
  <c r="AA1273" i="1"/>
  <c r="AB1272" i="1"/>
  <c r="AA1272" i="1"/>
  <c r="AB1271" i="1"/>
  <c r="AA1271" i="1"/>
  <c r="AB1270" i="1"/>
  <c r="AA1270" i="1"/>
  <c r="AB1269" i="1"/>
  <c r="AA1269" i="1"/>
  <c r="AB1268" i="1"/>
  <c r="AA1268" i="1"/>
  <c r="AB1267" i="1"/>
  <c r="AA1267" i="1"/>
  <c r="AB1266" i="1"/>
  <c r="AA1266" i="1"/>
  <c r="AB1265" i="1"/>
  <c r="AA1265" i="1"/>
  <c r="AB1264" i="1"/>
  <c r="AA1264" i="1"/>
  <c r="AB1263" i="1"/>
  <c r="AA1263" i="1"/>
  <c r="AB1262" i="1"/>
  <c r="AA1262" i="1"/>
  <c r="AB1261" i="1"/>
  <c r="AA1261" i="1"/>
  <c r="AB1260" i="1"/>
  <c r="AA1260" i="1"/>
  <c r="AB1259" i="1"/>
  <c r="AA1259" i="1"/>
  <c r="AB1258" i="1"/>
  <c r="AA1258" i="1"/>
  <c r="AB1257" i="1"/>
  <c r="AA1257" i="1"/>
  <c r="AB1256" i="1"/>
  <c r="AA1256" i="1"/>
  <c r="AB1255" i="1"/>
  <c r="AA1255" i="1"/>
  <c r="AB1254" i="1"/>
  <c r="AA1254" i="1"/>
  <c r="AB1253" i="1"/>
  <c r="AA1253" i="1"/>
  <c r="AB1252" i="1"/>
  <c r="AA1252" i="1"/>
  <c r="AB1251" i="1"/>
  <c r="AA1251" i="1"/>
  <c r="AB1250" i="1"/>
  <c r="AA1250" i="1"/>
  <c r="AB1249" i="1"/>
  <c r="AA1249" i="1"/>
  <c r="AB1248" i="1"/>
  <c r="AA1248" i="1"/>
  <c r="AB1247" i="1"/>
  <c r="AA1247" i="1"/>
  <c r="AB1246" i="1"/>
  <c r="AA1246" i="1"/>
  <c r="AB1245" i="1"/>
  <c r="AA1245" i="1"/>
  <c r="AB1244" i="1"/>
  <c r="AA1244" i="1"/>
  <c r="AB1243" i="1"/>
  <c r="AA1243" i="1"/>
  <c r="AB1242" i="1"/>
  <c r="AA1242" i="1"/>
  <c r="AB1241" i="1"/>
  <c r="AA1241" i="1"/>
  <c r="AB1240" i="1"/>
  <c r="AA1240" i="1"/>
  <c r="AB1239" i="1"/>
  <c r="AA1239" i="1"/>
  <c r="AB1238" i="1"/>
  <c r="AA1238" i="1"/>
  <c r="AB1237" i="1"/>
  <c r="AA1237" i="1"/>
  <c r="AB1236" i="1"/>
  <c r="AA1236" i="1"/>
  <c r="AB1235" i="1"/>
  <c r="AA1235" i="1"/>
  <c r="AB1234" i="1"/>
  <c r="AA1234" i="1"/>
  <c r="AB1233" i="1"/>
  <c r="AA1233" i="1"/>
  <c r="AB1232" i="1"/>
  <c r="AA1232" i="1"/>
  <c r="AB1231" i="1"/>
  <c r="AA1231" i="1"/>
  <c r="AB1230" i="1"/>
  <c r="AA1230" i="1"/>
  <c r="AB1229" i="1"/>
  <c r="AA1229" i="1"/>
  <c r="AB1228" i="1"/>
  <c r="AA1228" i="1"/>
  <c r="AB1227" i="1"/>
  <c r="AA1227" i="1"/>
  <c r="AB1226" i="1"/>
  <c r="AA1226" i="1"/>
  <c r="AB1225" i="1"/>
  <c r="AA1225" i="1"/>
  <c r="AB1224" i="1"/>
  <c r="AA1224" i="1"/>
  <c r="AB1223" i="1"/>
  <c r="AA1223" i="1"/>
  <c r="AB1222" i="1"/>
  <c r="AA1222" i="1"/>
  <c r="AB1221" i="1"/>
  <c r="AA1221" i="1"/>
  <c r="AB1220" i="1"/>
  <c r="AA1220" i="1"/>
  <c r="AB1219" i="1"/>
  <c r="AA1219" i="1"/>
  <c r="AB1218" i="1"/>
  <c r="AA1218" i="1"/>
  <c r="AB1217" i="1"/>
  <c r="AA1217" i="1"/>
  <c r="AB1216" i="1"/>
  <c r="AA1216" i="1"/>
  <c r="AB1215" i="1"/>
  <c r="AA1215" i="1"/>
  <c r="AB1214" i="1"/>
  <c r="AA1214" i="1"/>
  <c r="AB1213" i="1"/>
  <c r="AA1213" i="1"/>
  <c r="AB1212" i="1"/>
  <c r="AA1212" i="1"/>
  <c r="AB1211" i="1"/>
  <c r="AA1211" i="1"/>
  <c r="AB1210" i="1"/>
  <c r="AA1210" i="1"/>
  <c r="AB1209" i="1"/>
  <c r="AA1209" i="1"/>
  <c r="AB1208" i="1"/>
  <c r="AA1208" i="1"/>
  <c r="AB1207" i="1"/>
  <c r="AA1207" i="1"/>
  <c r="AB1206" i="1"/>
  <c r="AA1206" i="1"/>
  <c r="AB1205" i="1"/>
  <c r="AA1205" i="1"/>
  <c r="AB1204" i="1"/>
  <c r="AA1204" i="1"/>
  <c r="AB1203" i="1"/>
  <c r="AA1203" i="1"/>
  <c r="AB1202" i="1"/>
  <c r="AA1202" i="1"/>
  <c r="AB1201" i="1"/>
  <c r="AA1201" i="1"/>
  <c r="AB1200" i="1"/>
  <c r="AA1200" i="1"/>
  <c r="AB1199" i="1"/>
  <c r="AA1199" i="1"/>
  <c r="AB1198" i="1"/>
  <c r="AA1198" i="1"/>
  <c r="AB1197" i="1"/>
  <c r="AA1197" i="1"/>
  <c r="AB1196" i="1"/>
  <c r="AA1196" i="1"/>
  <c r="AB1195" i="1"/>
  <c r="AA1195" i="1"/>
  <c r="AB1194" i="1"/>
  <c r="AA1194" i="1"/>
  <c r="AB1193" i="1"/>
  <c r="AA1193" i="1"/>
  <c r="AB1192" i="1"/>
  <c r="AA1192" i="1"/>
  <c r="AB1191" i="1"/>
  <c r="AA1191" i="1"/>
  <c r="AB1190" i="1"/>
  <c r="AA1190" i="1"/>
  <c r="AB1189" i="1"/>
  <c r="AA1189" i="1"/>
  <c r="AB1188" i="1"/>
  <c r="AA1188" i="1"/>
  <c r="AB1187" i="1"/>
  <c r="AA1187" i="1"/>
  <c r="AB1186" i="1"/>
  <c r="AA1186" i="1"/>
  <c r="AB1185" i="1"/>
  <c r="AA1185" i="1"/>
  <c r="AB1184" i="1"/>
  <c r="AA1184" i="1"/>
  <c r="AB1183" i="1"/>
  <c r="AA1183" i="1"/>
  <c r="AB1182" i="1"/>
  <c r="AA1182" i="1"/>
  <c r="AB1181" i="1"/>
  <c r="AA1181" i="1"/>
  <c r="AB1180" i="1"/>
  <c r="AA1180" i="1"/>
  <c r="AB1179" i="1"/>
  <c r="AA1179" i="1"/>
  <c r="AB1178" i="1"/>
  <c r="AA1178" i="1"/>
  <c r="AB1177" i="1"/>
  <c r="AA1177" i="1"/>
  <c r="AB1176" i="1"/>
  <c r="AA1176" i="1"/>
  <c r="AB1175" i="1"/>
  <c r="AA1175" i="1"/>
  <c r="AB1174" i="1"/>
  <c r="AA1174" i="1"/>
  <c r="AB1173" i="1"/>
  <c r="AA1173" i="1"/>
  <c r="AB1172" i="1"/>
  <c r="AA1172" i="1"/>
  <c r="AB1171" i="1"/>
  <c r="AA1171" i="1"/>
  <c r="AB1170" i="1"/>
  <c r="AA1170" i="1"/>
  <c r="AB1169" i="1"/>
  <c r="AA1169" i="1"/>
  <c r="AB1168" i="1"/>
  <c r="AA1168" i="1"/>
  <c r="AB1167" i="1"/>
  <c r="AA1167" i="1"/>
  <c r="AB1166" i="1"/>
  <c r="AA1166" i="1"/>
  <c r="AB1165" i="1"/>
  <c r="AA1165" i="1"/>
  <c r="AB1164" i="1"/>
  <c r="AA1164" i="1"/>
  <c r="AB1163" i="1"/>
  <c r="AA1163" i="1"/>
  <c r="AB1162" i="1"/>
  <c r="AA1162" i="1"/>
  <c r="AB1161" i="1"/>
  <c r="AA1161" i="1"/>
  <c r="AB1160" i="1"/>
  <c r="AA1160" i="1"/>
  <c r="AB1159" i="1"/>
  <c r="AA1159" i="1"/>
  <c r="AB1158" i="1"/>
  <c r="AA1158" i="1"/>
  <c r="AB1157" i="1"/>
  <c r="AA1157" i="1"/>
  <c r="AB1156" i="1"/>
  <c r="AA1156" i="1"/>
  <c r="AB1155" i="1"/>
  <c r="AA1155" i="1"/>
  <c r="AB1154" i="1"/>
  <c r="AA1154" i="1"/>
  <c r="AB1153" i="1"/>
  <c r="AA1153" i="1"/>
  <c r="AB1152" i="1"/>
  <c r="AA1152" i="1"/>
  <c r="AB1151" i="1"/>
  <c r="AA1151" i="1"/>
  <c r="AB1150" i="1"/>
  <c r="AA1150" i="1"/>
  <c r="AB1149" i="1"/>
  <c r="AA1149" i="1"/>
  <c r="AB1148" i="1"/>
  <c r="AA1148" i="1"/>
  <c r="AB1147" i="1"/>
  <c r="AA1147" i="1"/>
  <c r="AB1146" i="1"/>
  <c r="AA1146" i="1"/>
  <c r="AB1145" i="1"/>
  <c r="AA1145" i="1"/>
  <c r="AB1144" i="1"/>
  <c r="AA1144" i="1"/>
  <c r="AB1143" i="1"/>
  <c r="AA1143" i="1"/>
  <c r="AB1142" i="1"/>
  <c r="AA1142" i="1"/>
  <c r="AB1141" i="1"/>
  <c r="AA1141" i="1"/>
  <c r="AB1140" i="1"/>
  <c r="AA1140" i="1"/>
  <c r="AB1139" i="1"/>
  <c r="AA1139" i="1"/>
  <c r="AB1138" i="1"/>
  <c r="AA1138" i="1"/>
  <c r="AB1137" i="1"/>
  <c r="AA1137" i="1"/>
  <c r="AB1136" i="1"/>
  <c r="AA1136" i="1"/>
  <c r="AB1135" i="1"/>
  <c r="AA1135" i="1"/>
  <c r="AB1134" i="1"/>
  <c r="AA1134" i="1"/>
  <c r="AB1133" i="1"/>
  <c r="AA1133" i="1"/>
  <c r="AB1132" i="1"/>
  <c r="AA1132" i="1"/>
  <c r="AB1131" i="1"/>
  <c r="AA1131" i="1"/>
  <c r="AB1130" i="1"/>
  <c r="AA1130" i="1"/>
  <c r="AB1129" i="1"/>
  <c r="AA1129" i="1"/>
  <c r="AB1128" i="1"/>
  <c r="AA1128" i="1"/>
  <c r="AB1127" i="1"/>
  <c r="AA1127" i="1"/>
  <c r="AB1126" i="1"/>
  <c r="AA1126" i="1"/>
  <c r="AB1125" i="1"/>
  <c r="AA1125" i="1"/>
  <c r="AB1124" i="1"/>
  <c r="AA1124" i="1"/>
  <c r="AB1123" i="1"/>
  <c r="AA1123" i="1"/>
  <c r="AB1122" i="1"/>
  <c r="AA1122" i="1"/>
  <c r="AB1121" i="1"/>
  <c r="AA1121" i="1"/>
  <c r="AB1120" i="1"/>
  <c r="AA1120" i="1"/>
  <c r="AB1119" i="1"/>
  <c r="AA1119" i="1"/>
  <c r="AB1118" i="1"/>
  <c r="AA1118" i="1"/>
  <c r="AB1117" i="1"/>
  <c r="AA1117" i="1"/>
  <c r="AB1116" i="1"/>
  <c r="AA1116" i="1"/>
  <c r="AB1115" i="1"/>
  <c r="AA1115" i="1"/>
  <c r="AB1114" i="1"/>
  <c r="AA1114" i="1"/>
  <c r="AB1113" i="1"/>
  <c r="AA1113" i="1"/>
  <c r="AB1112" i="1"/>
  <c r="AA1112" i="1"/>
  <c r="AB1111" i="1"/>
  <c r="AA1111" i="1"/>
  <c r="AB1110" i="1"/>
  <c r="AA1110" i="1"/>
  <c r="AB1109" i="1"/>
  <c r="AA1109" i="1"/>
  <c r="AB1108" i="1"/>
  <c r="AA1108" i="1"/>
  <c r="AB1107" i="1"/>
  <c r="AA1107" i="1"/>
  <c r="AB1106" i="1"/>
  <c r="AA1106" i="1"/>
  <c r="AB1105" i="1"/>
  <c r="AA1105" i="1"/>
  <c r="AB1104" i="1"/>
  <c r="AA1104" i="1"/>
  <c r="AB1103" i="1"/>
  <c r="AA1103" i="1"/>
  <c r="AB1102" i="1"/>
  <c r="AA1102" i="1"/>
  <c r="AB1101" i="1"/>
  <c r="AA1101" i="1"/>
  <c r="AB1100" i="1"/>
  <c r="AA1100" i="1"/>
  <c r="AB1099" i="1"/>
  <c r="AA1099" i="1"/>
  <c r="AB1098" i="1"/>
  <c r="AA1098" i="1"/>
  <c r="AB1097" i="1"/>
  <c r="AA1097" i="1"/>
  <c r="AB1096" i="1"/>
  <c r="AA1096" i="1"/>
  <c r="AB1095" i="1"/>
  <c r="AA1095" i="1"/>
  <c r="AB1094" i="1"/>
  <c r="AA1094" i="1"/>
  <c r="AB1093" i="1"/>
  <c r="AA1093" i="1"/>
  <c r="AB1092" i="1"/>
  <c r="AA1092" i="1"/>
  <c r="AB1091" i="1"/>
  <c r="AA1091" i="1"/>
  <c r="AB1090" i="1"/>
  <c r="AA1090" i="1"/>
  <c r="AB1089" i="1"/>
  <c r="AA1089" i="1"/>
  <c r="AB1088" i="1"/>
  <c r="AA1088" i="1"/>
  <c r="AB1087" i="1"/>
  <c r="AA1087" i="1"/>
  <c r="AB1086" i="1"/>
  <c r="AA1086" i="1"/>
  <c r="AB1085" i="1"/>
  <c r="AA1085" i="1"/>
  <c r="AB1084" i="1"/>
  <c r="AA1084" i="1"/>
  <c r="AB1083" i="1"/>
  <c r="AA1083" i="1"/>
  <c r="AB1082" i="1"/>
  <c r="AA1082" i="1"/>
  <c r="AB1081" i="1"/>
  <c r="AA1081" i="1"/>
  <c r="AB1080" i="1"/>
  <c r="AA1080" i="1"/>
  <c r="AB1079" i="1"/>
  <c r="AA1079" i="1"/>
  <c r="AB1078" i="1"/>
  <c r="AA1078" i="1"/>
  <c r="AB1077" i="1"/>
  <c r="AA1077" i="1"/>
  <c r="AB1076" i="1"/>
  <c r="AA1076" i="1"/>
  <c r="AB1075" i="1"/>
  <c r="AA1075" i="1"/>
  <c r="AB1074" i="1"/>
  <c r="AA1074" i="1"/>
  <c r="AB1073" i="1"/>
  <c r="AA1073" i="1"/>
  <c r="AB1072" i="1"/>
  <c r="AA1072" i="1"/>
  <c r="AB1071" i="1"/>
  <c r="AA1071" i="1"/>
  <c r="AB1070" i="1"/>
  <c r="AA1070" i="1"/>
  <c r="AB1069" i="1"/>
  <c r="AA1069" i="1"/>
  <c r="AB1068" i="1"/>
  <c r="AA1068" i="1"/>
  <c r="AB1067" i="1"/>
  <c r="AA1067" i="1"/>
  <c r="AB1066" i="1"/>
  <c r="AA1066" i="1"/>
  <c r="AB1065" i="1"/>
  <c r="AA1065" i="1"/>
  <c r="AB1064" i="1"/>
  <c r="AA1064" i="1"/>
  <c r="AB1063" i="1"/>
  <c r="AA1063" i="1"/>
  <c r="AB1062" i="1"/>
  <c r="AA1062" i="1"/>
  <c r="AB1061" i="1"/>
  <c r="AA1061" i="1"/>
  <c r="AB1060" i="1"/>
  <c r="AA1060" i="1"/>
  <c r="AB1059" i="1"/>
  <c r="AA1059" i="1"/>
  <c r="AB1058" i="1"/>
  <c r="AA1058" i="1"/>
  <c r="AB1057" i="1"/>
  <c r="AA1057" i="1"/>
  <c r="AB1056" i="1"/>
  <c r="AA1056" i="1"/>
  <c r="AB1055" i="1"/>
  <c r="AA1055" i="1"/>
  <c r="AB1054" i="1"/>
  <c r="AA1054" i="1"/>
  <c r="AB1053" i="1"/>
  <c r="AA1053" i="1"/>
  <c r="AB1052" i="1"/>
  <c r="AA1052" i="1"/>
  <c r="AB1051" i="1"/>
  <c r="AA1051" i="1"/>
  <c r="AB1050" i="1"/>
  <c r="AA1050" i="1"/>
  <c r="AB1049" i="1"/>
  <c r="AA1049" i="1"/>
  <c r="AB1048" i="1"/>
  <c r="AA1048" i="1"/>
  <c r="AB1047" i="1"/>
  <c r="AA1047" i="1"/>
  <c r="AB1046" i="1"/>
  <c r="AA1046" i="1"/>
  <c r="AB1045" i="1"/>
  <c r="AA1045" i="1"/>
  <c r="AB1044" i="1"/>
  <c r="AA1044" i="1"/>
  <c r="AB1043" i="1"/>
  <c r="AA1043" i="1"/>
  <c r="AB1042" i="1"/>
  <c r="AA1042" i="1"/>
  <c r="AB1041" i="1"/>
  <c r="AA1041" i="1"/>
  <c r="AB1040" i="1"/>
  <c r="AA1040" i="1"/>
  <c r="AB1039" i="1"/>
  <c r="AA1039" i="1"/>
  <c r="AB1038" i="1"/>
  <c r="AA1038" i="1"/>
  <c r="AB1037" i="1"/>
  <c r="AA1037" i="1"/>
  <c r="AB1036" i="1"/>
  <c r="AA1036" i="1"/>
  <c r="AB1035" i="1"/>
  <c r="AA1035" i="1"/>
  <c r="AB1034" i="1"/>
  <c r="AA1034" i="1"/>
  <c r="AB1033" i="1"/>
  <c r="AA1033" i="1"/>
  <c r="AB1032" i="1"/>
  <c r="AA1032" i="1"/>
  <c r="AB1031" i="1"/>
  <c r="AA1031" i="1"/>
  <c r="AB1030" i="1"/>
  <c r="AA1030" i="1"/>
  <c r="AB1029" i="1"/>
  <c r="AA1029" i="1"/>
  <c r="AB1028" i="1"/>
  <c r="AA1028" i="1"/>
  <c r="AB1027" i="1"/>
  <c r="AA1027" i="1"/>
  <c r="AB1026" i="1"/>
  <c r="AA1026" i="1"/>
  <c r="AB1025" i="1"/>
  <c r="AA1025" i="1"/>
  <c r="AB1024" i="1"/>
  <c r="AA1024" i="1"/>
  <c r="AB1023" i="1"/>
  <c r="AA1023" i="1"/>
  <c r="AB1022" i="1"/>
  <c r="AA1022" i="1"/>
  <c r="AB1021" i="1"/>
  <c r="AA1021" i="1"/>
  <c r="AB1020" i="1"/>
  <c r="AA1020" i="1"/>
  <c r="AB1019" i="1"/>
  <c r="AA1019" i="1"/>
  <c r="AB1018" i="1"/>
  <c r="AA1018" i="1"/>
  <c r="AB1017" i="1"/>
  <c r="AA1017" i="1"/>
  <c r="AB1016" i="1"/>
  <c r="AA1016" i="1"/>
  <c r="AB1015" i="1"/>
  <c r="AA1015" i="1"/>
  <c r="AB1014" i="1"/>
  <c r="AA1014" i="1"/>
  <c r="AB1013" i="1"/>
  <c r="AA1013" i="1"/>
  <c r="AB1012" i="1"/>
  <c r="AA1012" i="1"/>
  <c r="AB1011" i="1"/>
  <c r="AA1011" i="1"/>
  <c r="AB1010" i="1"/>
  <c r="AA1010" i="1"/>
  <c r="AB1009" i="1"/>
  <c r="AA1009" i="1"/>
  <c r="AB1008" i="1"/>
  <c r="AA1008" i="1"/>
  <c r="AB1007" i="1"/>
  <c r="AA1007" i="1"/>
  <c r="AB1006" i="1"/>
  <c r="AA1006" i="1"/>
  <c r="AB1005" i="1"/>
  <c r="AA1005" i="1"/>
  <c r="AB1004" i="1"/>
  <c r="AA1004" i="1"/>
  <c r="AB1003" i="1"/>
  <c r="AA1003" i="1"/>
  <c r="AB1002" i="1"/>
  <c r="AA1002" i="1"/>
  <c r="AB1001" i="1"/>
  <c r="AA1001" i="1"/>
  <c r="AB1000" i="1"/>
  <c r="AA1000" i="1"/>
  <c r="AB999" i="1"/>
  <c r="AA999" i="1"/>
  <c r="AB998" i="1"/>
  <c r="AA998" i="1"/>
  <c r="AB997" i="1"/>
  <c r="AA997" i="1"/>
  <c r="AB996" i="1"/>
  <c r="AA996" i="1"/>
  <c r="AB995" i="1"/>
  <c r="AA995" i="1"/>
  <c r="AB994" i="1"/>
  <c r="AA994" i="1"/>
  <c r="AB993" i="1"/>
  <c r="AA993" i="1"/>
  <c r="AB992" i="1"/>
  <c r="AA992" i="1"/>
  <c r="AB991" i="1"/>
  <c r="AA991" i="1"/>
  <c r="AB990" i="1"/>
  <c r="AA990" i="1"/>
  <c r="AB989" i="1"/>
  <c r="AA989" i="1"/>
  <c r="AB988" i="1"/>
  <c r="AA988" i="1"/>
  <c r="AB987" i="1"/>
  <c r="AA987" i="1"/>
  <c r="AB986" i="1"/>
  <c r="AA986" i="1"/>
  <c r="AB985" i="1"/>
  <c r="AA985" i="1"/>
  <c r="AB984" i="1"/>
  <c r="AA984" i="1"/>
  <c r="AB983" i="1"/>
  <c r="AA983" i="1"/>
  <c r="AB982" i="1"/>
  <c r="AA982" i="1"/>
  <c r="AB981" i="1"/>
  <c r="AA981" i="1"/>
  <c r="AB980" i="1"/>
  <c r="AA980" i="1"/>
  <c r="AB979" i="1"/>
  <c r="AA979" i="1"/>
  <c r="AB978" i="1"/>
  <c r="AA978" i="1"/>
  <c r="AB977" i="1"/>
  <c r="AA977" i="1"/>
  <c r="AB976" i="1"/>
  <c r="AA976" i="1"/>
  <c r="AB975" i="1"/>
  <c r="AA975" i="1"/>
  <c r="AB974" i="1"/>
  <c r="AA974" i="1"/>
  <c r="AB973" i="1"/>
  <c r="AA973" i="1"/>
  <c r="AB972" i="1"/>
  <c r="AA972" i="1"/>
  <c r="AB971" i="1"/>
  <c r="AA971" i="1"/>
  <c r="AB970" i="1"/>
  <c r="AA970" i="1"/>
  <c r="AB969" i="1"/>
  <c r="AA969" i="1"/>
  <c r="AB968" i="1"/>
  <c r="AA968" i="1"/>
  <c r="AB967" i="1"/>
  <c r="AA967" i="1"/>
  <c r="AB966" i="1"/>
  <c r="AA966" i="1"/>
  <c r="AB965" i="1"/>
  <c r="AA965" i="1"/>
  <c r="AB964" i="1"/>
  <c r="AA964" i="1"/>
  <c r="AB963" i="1"/>
  <c r="AA963" i="1"/>
  <c r="AB962" i="1"/>
  <c r="AA962" i="1"/>
  <c r="AB961" i="1"/>
  <c r="AA961" i="1"/>
  <c r="AB960" i="1"/>
  <c r="AA960" i="1"/>
  <c r="AB959" i="1"/>
  <c r="AA959" i="1"/>
  <c r="AB958" i="1"/>
  <c r="AA958" i="1"/>
  <c r="AB957" i="1"/>
  <c r="AA957" i="1"/>
  <c r="AB956" i="1"/>
  <c r="AA956" i="1"/>
  <c r="AB955" i="1"/>
  <c r="AA955" i="1"/>
  <c r="AB954" i="1"/>
  <c r="AA954" i="1"/>
  <c r="AB953" i="1"/>
  <c r="AA953" i="1"/>
  <c r="AB952" i="1"/>
  <c r="AA952" i="1"/>
  <c r="AB951" i="1"/>
  <c r="AA951" i="1"/>
  <c r="AB950" i="1"/>
  <c r="AA950" i="1"/>
  <c r="AB949" i="1"/>
  <c r="AA949" i="1"/>
  <c r="AB948" i="1"/>
  <c r="AA948" i="1"/>
  <c r="AB947" i="1"/>
  <c r="AA947" i="1"/>
  <c r="AB946" i="1"/>
  <c r="AA946" i="1"/>
  <c r="AB945" i="1"/>
  <c r="AA945" i="1"/>
  <c r="AB944" i="1"/>
  <c r="AA944" i="1"/>
  <c r="AB943" i="1"/>
  <c r="AA943" i="1"/>
  <c r="AB942" i="1"/>
  <c r="AA942" i="1"/>
  <c r="AB941" i="1"/>
  <c r="AA941" i="1"/>
  <c r="AB940" i="1"/>
  <c r="AA940" i="1"/>
  <c r="AB939" i="1"/>
  <c r="AA939" i="1"/>
  <c r="AB938" i="1"/>
  <c r="AA938" i="1"/>
  <c r="AB937" i="1"/>
  <c r="AA937" i="1"/>
  <c r="AB936" i="1"/>
  <c r="AA936" i="1"/>
  <c r="AB935" i="1"/>
  <c r="AA935" i="1"/>
  <c r="AB934" i="1"/>
  <c r="AA934" i="1"/>
  <c r="AB933" i="1"/>
  <c r="AA933" i="1"/>
  <c r="AB932" i="1"/>
  <c r="AA932" i="1"/>
  <c r="AB931" i="1"/>
  <c r="AA931" i="1"/>
  <c r="AB930" i="1"/>
  <c r="AA930" i="1"/>
  <c r="AB929" i="1"/>
  <c r="AA929" i="1"/>
  <c r="AB928" i="1"/>
  <c r="AA928" i="1"/>
  <c r="AB927" i="1"/>
  <c r="AA927" i="1"/>
  <c r="AB926" i="1"/>
  <c r="AA926" i="1"/>
  <c r="AB925" i="1"/>
  <c r="AA925" i="1"/>
  <c r="AB924" i="1"/>
  <c r="AA924" i="1"/>
  <c r="AB923" i="1"/>
  <c r="AA923" i="1"/>
  <c r="AB922" i="1"/>
  <c r="AA922" i="1"/>
  <c r="AB921" i="1"/>
  <c r="AA921" i="1"/>
  <c r="AB920" i="1"/>
  <c r="AA920" i="1"/>
  <c r="AB919" i="1"/>
  <c r="AA919" i="1"/>
  <c r="AB918" i="1"/>
  <c r="AA918" i="1"/>
  <c r="AB917" i="1"/>
  <c r="AA917" i="1"/>
  <c r="AB916" i="1"/>
  <c r="AA916" i="1"/>
  <c r="AB915" i="1"/>
  <c r="AA915" i="1"/>
  <c r="AB914" i="1"/>
  <c r="AA914" i="1"/>
  <c r="AB913" i="1"/>
  <c r="AA913" i="1"/>
  <c r="AB912" i="1"/>
  <c r="AA912" i="1"/>
  <c r="AB911" i="1"/>
  <c r="AA911" i="1"/>
  <c r="AB910" i="1"/>
  <c r="AA910" i="1"/>
  <c r="AB909" i="1"/>
  <c r="AA909" i="1"/>
  <c r="AB908" i="1"/>
  <c r="AA908" i="1"/>
  <c r="AB907" i="1"/>
  <c r="AA907" i="1"/>
  <c r="AB906" i="1"/>
  <c r="AA906" i="1"/>
  <c r="AB905" i="1"/>
  <c r="AA905" i="1"/>
  <c r="AB904" i="1"/>
  <c r="AA904" i="1"/>
  <c r="AB903" i="1"/>
  <c r="AA903" i="1"/>
  <c r="AB902" i="1"/>
  <c r="AA902" i="1"/>
  <c r="AB901" i="1"/>
  <c r="AA901" i="1"/>
  <c r="AB900" i="1"/>
  <c r="AA900" i="1"/>
  <c r="AB899" i="1"/>
  <c r="AA899" i="1"/>
  <c r="AB898" i="1"/>
  <c r="AA898" i="1"/>
  <c r="AB897" i="1"/>
  <c r="AA897" i="1"/>
  <c r="AB896" i="1"/>
  <c r="AA896" i="1"/>
  <c r="AB895" i="1"/>
  <c r="AA895" i="1"/>
  <c r="AB894" i="1"/>
  <c r="AA894" i="1"/>
  <c r="AB893" i="1"/>
  <c r="AA893" i="1"/>
  <c r="AB892" i="1"/>
  <c r="AA892" i="1"/>
  <c r="AB891" i="1"/>
  <c r="AA891" i="1"/>
  <c r="AB890" i="1"/>
  <c r="AA890" i="1"/>
  <c r="AB889" i="1"/>
  <c r="AA889" i="1"/>
  <c r="AB888" i="1"/>
  <c r="AA888" i="1"/>
  <c r="AB887" i="1"/>
  <c r="AA887" i="1"/>
  <c r="AB886" i="1"/>
  <c r="AA886" i="1"/>
  <c r="AB885" i="1"/>
  <c r="AA885" i="1"/>
  <c r="AB884" i="1"/>
  <c r="AA884" i="1"/>
  <c r="AB883" i="1"/>
  <c r="AA883" i="1"/>
  <c r="AB882" i="1"/>
  <c r="AA882" i="1"/>
  <c r="AB881" i="1"/>
  <c r="AA881" i="1"/>
  <c r="AB880" i="1"/>
  <c r="AA880" i="1"/>
  <c r="AB879" i="1"/>
  <c r="AA879" i="1"/>
  <c r="AB878" i="1"/>
  <c r="AA878" i="1"/>
  <c r="AB877" i="1"/>
  <c r="AA877" i="1"/>
  <c r="AB876" i="1"/>
  <c r="AA876" i="1"/>
  <c r="AB875" i="1"/>
  <c r="AA875" i="1"/>
  <c r="AB874" i="1"/>
  <c r="AA874" i="1"/>
  <c r="AB873" i="1"/>
  <c r="AA873" i="1"/>
  <c r="AB872" i="1"/>
  <c r="AA872" i="1"/>
  <c r="AB871" i="1"/>
  <c r="AA871" i="1"/>
  <c r="AB870" i="1"/>
  <c r="AA870" i="1"/>
  <c r="AB869" i="1"/>
  <c r="AA869" i="1"/>
  <c r="AB868" i="1"/>
  <c r="AA868" i="1"/>
  <c r="AB867" i="1"/>
  <c r="AA867" i="1"/>
  <c r="AB866" i="1"/>
  <c r="AA866" i="1"/>
  <c r="AB865" i="1"/>
  <c r="AA865" i="1"/>
  <c r="AB864" i="1"/>
  <c r="AA864" i="1"/>
  <c r="AB863" i="1"/>
  <c r="AA863" i="1"/>
  <c r="AB862" i="1"/>
  <c r="AA862" i="1"/>
  <c r="AB861" i="1"/>
  <c r="AA861" i="1"/>
  <c r="AB860" i="1"/>
  <c r="AA860" i="1"/>
  <c r="AB859" i="1"/>
  <c r="AA859" i="1"/>
  <c r="AB858" i="1"/>
  <c r="AA858" i="1"/>
  <c r="AB857" i="1"/>
  <c r="AA857" i="1"/>
  <c r="AB856" i="1"/>
  <c r="AA856" i="1"/>
  <c r="AB855" i="1"/>
  <c r="AA855" i="1"/>
  <c r="AB854" i="1"/>
  <c r="AA854" i="1"/>
  <c r="AB853" i="1"/>
  <c r="AA853" i="1"/>
  <c r="AB852" i="1"/>
  <c r="AA852" i="1"/>
  <c r="AB851" i="1"/>
  <c r="AA851" i="1"/>
  <c r="AB850" i="1"/>
  <c r="AA850" i="1"/>
  <c r="AB849" i="1"/>
  <c r="AA849" i="1"/>
  <c r="AB848" i="1"/>
  <c r="AA848" i="1"/>
  <c r="AB847" i="1"/>
  <c r="AA847" i="1"/>
  <c r="AB846" i="1"/>
  <c r="AA846" i="1"/>
  <c r="AB845" i="1"/>
  <c r="AA845" i="1"/>
  <c r="AB844" i="1"/>
  <c r="AA844" i="1"/>
  <c r="AB843" i="1"/>
  <c r="AA843" i="1"/>
  <c r="AB842" i="1"/>
  <c r="AA842" i="1"/>
  <c r="AB841" i="1"/>
  <c r="AA841" i="1"/>
  <c r="AB840" i="1"/>
  <c r="AA840" i="1"/>
  <c r="AB839" i="1"/>
  <c r="AA839" i="1"/>
  <c r="AB838" i="1"/>
  <c r="AA838" i="1"/>
  <c r="AB837" i="1"/>
  <c r="AA837" i="1"/>
  <c r="AB836" i="1"/>
  <c r="AA836" i="1"/>
  <c r="AB835" i="1"/>
  <c r="AA835" i="1"/>
  <c r="AB834" i="1"/>
  <c r="AA834" i="1"/>
  <c r="AB833" i="1"/>
  <c r="AA833" i="1"/>
  <c r="AB832" i="1"/>
  <c r="AA832" i="1"/>
  <c r="AB831" i="1"/>
  <c r="AA831" i="1"/>
  <c r="AB830" i="1"/>
  <c r="AA830" i="1"/>
  <c r="AB829" i="1"/>
  <c r="AA829" i="1"/>
  <c r="AB828" i="1"/>
  <c r="AA828" i="1"/>
  <c r="AB827" i="1"/>
  <c r="AA827" i="1"/>
  <c r="AB826" i="1"/>
  <c r="AA826" i="1"/>
  <c r="AB825" i="1"/>
  <c r="AA825" i="1"/>
  <c r="AB824" i="1"/>
  <c r="AA824" i="1"/>
  <c r="AB823" i="1"/>
  <c r="AA823" i="1"/>
  <c r="AB822" i="1"/>
  <c r="AA822" i="1"/>
  <c r="AB821" i="1"/>
  <c r="AA821" i="1"/>
  <c r="AB820" i="1"/>
  <c r="AA820" i="1"/>
  <c r="AB819" i="1"/>
  <c r="AA819" i="1"/>
  <c r="AB818" i="1"/>
  <c r="AA818" i="1"/>
  <c r="AB817" i="1"/>
  <c r="AA817" i="1"/>
  <c r="AB816" i="1"/>
  <c r="AA816" i="1"/>
  <c r="AB815" i="1"/>
  <c r="AA815" i="1"/>
  <c r="AB814" i="1"/>
  <c r="AA814" i="1"/>
  <c r="AB813" i="1"/>
  <c r="AA813" i="1"/>
  <c r="AB812" i="1"/>
  <c r="AA812" i="1"/>
  <c r="AB811" i="1"/>
  <c r="AA811" i="1"/>
  <c r="AB810" i="1"/>
  <c r="AA810" i="1"/>
  <c r="AB809" i="1"/>
  <c r="AA809" i="1"/>
  <c r="AB808" i="1"/>
  <c r="AA808" i="1"/>
  <c r="AB807" i="1"/>
  <c r="AA807" i="1"/>
  <c r="AB806" i="1"/>
  <c r="AA806" i="1"/>
  <c r="AB805" i="1"/>
  <c r="AA805" i="1"/>
  <c r="AB804" i="1"/>
  <c r="AA804" i="1"/>
  <c r="AB803" i="1"/>
  <c r="AA803" i="1"/>
  <c r="AB802" i="1"/>
  <c r="AA802" i="1"/>
  <c r="AB801" i="1"/>
  <c r="AA801" i="1"/>
  <c r="AB800" i="1"/>
  <c r="AA800" i="1"/>
  <c r="AB799" i="1"/>
  <c r="AA799" i="1"/>
  <c r="AB798" i="1"/>
  <c r="AA798" i="1"/>
  <c r="AB797" i="1"/>
  <c r="AA797" i="1"/>
  <c r="AB796" i="1"/>
  <c r="AA796" i="1"/>
  <c r="AB795" i="1"/>
  <c r="AA795" i="1"/>
  <c r="AB794" i="1"/>
  <c r="AA794" i="1"/>
  <c r="AB793" i="1"/>
  <c r="AA793" i="1"/>
  <c r="AB792" i="1"/>
  <c r="AA792" i="1"/>
  <c r="AB791" i="1"/>
  <c r="AA791" i="1"/>
  <c r="AB790" i="1"/>
  <c r="AA790" i="1"/>
  <c r="AB789" i="1"/>
  <c r="AA789" i="1"/>
  <c r="AB788" i="1"/>
  <c r="AA788" i="1"/>
  <c r="AB787" i="1"/>
  <c r="AA787" i="1"/>
  <c r="AB786" i="1"/>
  <c r="AA786" i="1"/>
  <c r="AB785" i="1"/>
  <c r="AA785" i="1"/>
  <c r="AB784" i="1"/>
  <c r="AA784" i="1"/>
  <c r="AB783" i="1"/>
  <c r="AA783" i="1"/>
  <c r="AB782" i="1"/>
  <c r="AA782" i="1"/>
  <c r="AB781" i="1"/>
  <c r="AA781" i="1"/>
  <c r="AB780" i="1"/>
  <c r="AA780" i="1"/>
  <c r="AB779" i="1"/>
  <c r="AA779" i="1"/>
  <c r="AB778" i="1"/>
  <c r="AA778" i="1"/>
  <c r="AB777" i="1"/>
  <c r="AA777" i="1"/>
  <c r="AB776" i="1"/>
  <c r="AA776" i="1"/>
  <c r="AB775" i="1"/>
  <c r="AA775" i="1"/>
  <c r="AB774" i="1"/>
  <c r="AA774" i="1"/>
  <c r="AB773" i="1"/>
  <c r="AA773" i="1"/>
  <c r="AB772" i="1"/>
  <c r="AA772" i="1"/>
  <c r="AB771" i="1"/>
  <c r="AA771" i="1"/>
  <c r="AB770" i="1"/>
  <c r="AA770" i="1"/>
  <c r="AB769" i="1"/>
  <c r="AA769" i="1"/>
  <c r="AB768" i="1"/>
  <c r="AA768" i="1"/>
  <c r="AB767" i="1"/>
  <c r="AA767" i="1"/>
  <c r="AB766" i="1"/>
  <c r="AA766" i="1"/>
  <c r="AB765" i="1"/>
  <c r="AA765" i="1"/>
  <c r="AB764" i="1"/>
  <c r="AA764" i="1"/>
  <c r="AB763" i="1"/>
  <c r="AA763" i="1"/>
  <c r="AB762" i="1"/>
  <c r="AA762" i="1"/>
  <c r="AB761" i="1"/>
  <c r="AA761" i="1"/>
  <c r="AB760" i="1"/>
  <c r="AA760" i="1"/>
  <c r="AB759" i="1"/>
  <c r="AA759" i="1"/>
  <c r="AB758" i="1"/>
  <c r="AA758" i="1"/>
  <c r="AB757" i="1"/>
  <c r="AA757" i="1"/>
  <c r="AB756" i="1"/>
  <c r="AA756" i="1"/>
  <c r="AB755" i="1"/>
  <c r="AA755" i="1"/>
  <c r="AB754" i="1"/>
  <c r="AA754" i="1"/>
  <c r="AB753" i="1"/>
  <c r="AA753" i="1"/>
  <c r="AB752" i="1"/>
  <c r="AA752" i="1"/>
  <c r="AB751" i="1"/>
  <c r="AA751" i="1"/>
  <c r="AB750" i="1"/>
  <c r="AA750" i="1"/>
  <c r="AB749" i="1"/>
  <c r="AA749" i="1"/>
  <c r="AB748" i="1"/>
  <c r="AA748" i="1"/>
  <c r="AB747" i="1"/>
  <c r="AA747" i="1"/>
  <c r="AB746" i="1"/>
  <c r="AA746" i="1"/>
  <c r="AB745" i="1"/>
  <c r="AA745" i="1"/>
  <c r="AB744" i="1"/>
  <c r="AA744" i="1"/>
  <c r="AB743" i="1"/>
  <c r="AA743" i="1"/>
  <c r="AB742" i="1"/>
  <c r="AA742" i="1"/>
  <c r="AB741" i="1"/>
  <c r="AA741" i="1"/>
  <c r="AB740" i="1"/>
  <c r="AA740" i="1"/>
  <c r="AB739" i="1"/>
  <c r="AA739" i="1"/>
  <c r="AB738" i="1"/>
  <c r="AA738" i="1"/>
  <c r="AB737" i="1"/>
  <c r="AA737" i="1"/>
  <c r="AB736" i="1"/>
  <c r="AA736" i="1"/>
  <c r="AB735" i="1"/>
  <c r="AA735" i="1"/>
  <c r="AB734" i="1"/>
  <c r="AA734" i="1"/>
  <c r="AB733" i="1"/>
  <c r="AA733" i="1"/>
  <c r="AB732" i="1"/>
  <c r="AA732" i="1"/>
  <c r="AB731" i="1"/>
  <c r="AA731" i="1"/>
  <c r="AB730" i="1"/>
  <c r="AA730" i="1"/>
  <c r="AB729" i="1"/>
  <c r="AA729" i="1"/>
  <c r="AB728" i="1"/>
  <c r="AA728" i="1"/>
  <c r="AB727" i="1"/>
  <c r="AA727" i="1"/>
  <c r="AB726" i="1"/>
  <c r="AA726" i="1"/>
  <c r="AB725" i="1"/>
  <c r="AA725" i="1"/>
  <c r="AB724" i="1"/>
  <c r="AA724" i="1"/>
  <c r="AB723" i="1"/>
  <c r="AA723" i="1"/>
  <c r="AB722" i="1"/>
  <c r="AA722" i="1"/>
  <c r="AB721" i="1"/>
  <c r="AA721" i="1"/>
  <c r="AB720" i="1"/>
  <c r="AA720" i="1"/>
  <c r="AB719" i="1"/>
  <c r="AA719" i="1"/>
  <c r="AB718" i="1"/>
  <c r="AA718" i="1"/>
  <c r="AB717" i="1"/>
  <c r="AA717" i="1"/>
  <c r="AB716" i="1"/>
  <c r="AA716" i="1"/>
  <c r="AB715" i="1"/>
  <c r="AA715" i="1"/>
  <c r="AB714" i="1"/>
  <c r="AA714" i="1"/>
  <c r="AB713" i="1"/>
  <c r="AA713" i="1"/>
  <c r="AB712" i="1"/>
  <c r="AA712" i="1"/>
  <c r="AB711" i="1"/>
  <c r="AA711" i="1"/>
  <c r="AB710" i="1"/>
  <c r="AA710" i="1"/>
  <c r="AB709" i="1"/>
  <c r="AA709" i="1"/>
  <c r="AB708" i="1"/>
  <c r="AI708" i="1" s="1"/>
  <c r="AA708" i="1"/>
  <c r="AB707" i="1"/>
  <c r="AA707" i="1"/>
  <c r="AB706" i="1"/>
  <c r="AA706" i="1"/>
  <c r="AB705" i="1"/>
  <c r="AA705" i="1"/>
  <c r="AB704" i="1"/>
  <c r="AA704" i="1"/>
  <c r="AB703" i="1"/>
  <c r="AA703" i="1"/>
  <c r="AB702" i="1"/>
  <c r="AA702" i="1"/>
  <c r="AB701" i="1"/>
  <c r="AA701" i="1"/>
  <c r="AB700" i="1"/>
  <c r="AA700" i="1"/>
  <c r="AB699" i="1"/>
  <c r="AA699" i="1"/>
  <c r="AB698" i="1"/>
  <c r="AA698" i="1"/>
  <c r="AB697" i="1"/>
  <c r="AA697" i="1"/>
  <c r="AB696" i="1"/>
  <c r="AA696" i="1"/>
  <c r="AB695" i="1"/>
  <c r="AA695" i="1"/>
  <c r="AB694" i="1"/>
  <c r="AA694" i="1"/>
  <c r="AB693" i="1"/>
  <c r="AA693" i="1"/>
  <c r="AB692" i="1"/>
  <c r="AA692" i="1"/>
  <c r="AB691" i="1"/>
  <c r="AA691" i="1"/>
  <c r="AB690" i="1"/>
  <c r="AA690" i="1"/>
  <c r="AB689" i="1"/>
  <c r="AA689" i="1"/>
  <c r="AB688" i="1"/>
  <c r="AA688" i="1"/>
  <c r="AB687" i="1"/>
  <c r="AA687" i="1"/>
  <c r="AB686" i="1"/>
  <c r="AA686" i="1"/>
  <c r="AB685" i="1"/>
  <c r="AA685" i="1"/>
  <c r="AB684" i="1"/>
  <c r="AA684" i="1"/>
  <c r="AB683" i="1"/>
  <c r="AA683" i="1"/>
  <c r="AB682" i="1"/>
  <c r="AA682" i="1"/>
  <c r="AB681" i="1"/>
  <c r="AA681" i="1"/>
  <c r="AB680" i="1"/>
  <c r="AA680" i="1"/>
  <c r="AB679" i="1"/>
  <c r="AA679" i="1"/>
  <c r="AB678" i="1"/>
  <c r="AA678" i="1"/>
  <c r="AB677" i="1"/>
  <c r="AA677" i="1"/>
  <c r="AB676" i="1"/>
  <c r="AA676" i="1"/>
  <c r="AB675" i="1"/>
  <c r="AA675" i="1"/>
  <c r="AB674" i="1"/>
  <c r="AA674" i="1"/>
  <c r="AB673" i="1"/>
  <c r="AA673" i="1"/>
  <c r="AB672" i="1"/>
  <c r="AA672" i="1"/>
  <c r="AB671" i="1"/>
  <c r="AA671" i="1"/>
  <c r="AB670" i="1"/>
  <c r="AA670" i="1"/>
  <c r="AB669" i="1"/>
  <c r="AA669" i="1"/>
  <c r="AB668" i="1"/>
  <c r="AA668" i="1"/>
  <c r="AB667" i="1"/>
  <c r="AA667" i="1"/>
  <c r="AB666" i="1"/>
  <c r="AA666" i="1"/>
  <c r="AB665" i="1"/>
  <c r="AA665" i="1"/>
  <c r="AB664" i="1"/>
  <c r="AA664" i="1"/>
  <c r="AB663" i="1"/>
  <c r="AA663" i="1"/>
  <c r="AB662" i="1"/>
  <c r="AA662" i="1"/>
  <c r="AB661" i="1"/>
  <c r="AA661" i="1"/>
  <c r="AB660" i="1"/>
  <c r="AA660" i="1"/>
  <c r="AB659" i="1"/>
  <c r="AA659" i="1"/>
  <c r="AB658" i="1"/>
  <c r="AA658" i="1"/>
  <c r="AB657" i="1"/>
  <c r="AA657" i="1"/>
  <c r="AB656" i="1"/>
  <c r="AA656" i="1"/>
  <c r="AB655" i="1"/>
  <c r="AA655" i="1"/>
  <c r="AB654" i="1"/>
  <c r="AA654" i="1"/>
  <c r="AB653" i="1"/>
  <c r="AA653" i="1"/>
  <c r="AB652" i="1"/>
  <c r="AA652" i="1"/>
  <c r="AB651" i="1"/>
  <c r="AA651" i="1"/>
  <c r="AB650" i="1"/>
  <c r="AA650" i="1"/>
  <c r="AB649" i="1"/>
  <c r="AA649" i="1"/>
  <c r="AB648" i="1"/>
  <c r="AA648" i="1"/>
  <c r="AB647" i="1"/>
  <c r="AA647" i="1"/>
  <c r="AB646" i="1"/>
  <c r="AA646" i="1"/>
  <c r="AB645" i="1"/>
  <c r="AA645" i="1"/>
  <c r="AB644" i="1"/>
  <c r="AA644" i="1"/>
  <c r="AB643" i="1"/>
  <c r="AA643" i="1"/>
  <c r="AB642" i="1"/>
  <c r="AA642" i="1"/>
  <c r="AB641" i="1"/>
  <c r="AA641" i="1"/>
  <c r="AB640" i="1"/>
  <c r="AA640" i="1"/>
  <c r="AB639" i="1"/>
  <c r="AA639" i="1"/>
  <c r="AB638" i="1"/>
  <c r="AA638" i="1"/>
  <c r="AB637" i="1"/>
  <c r="AA637" i="1"/>
  <c r="AB636" i="1"/>
  <c r="AA636" i="1"/>
  <c r="AB635" i="1"/>
  <c r="AA635" i="1"/>
  <c r="AB634" i="1"/>
  <c r="AA634" i="1"/>
  <c r="AB633" i="1"/>
  <c r="AA633" i="1"/>
  <c r="AB632" i="1"/>
  <c r="AA632" i="1"/>
  <c r="AB631" i="1"/>
  <c r="AA631" i="1"/>
  <c r="AB630" i="1"/>
  <c r="AA630" i="1"/>
  <c r="AB629" i="1"/>
  <c r="AA629" i="1"/>
  <c r="AB628" i="1"/>
  <c r="AA628" i="1"/>
  <c r="AB627" i="1"/>
  <c r="AA627" i="1"/>
  <c r="AB626" i="1"/>
  <c r="AA626" i="1"/>
  <c r="AB625" i="1"/>
  <c r="AA625" i="1"/>
  <c r="AB624" i="1"/>
  <c r="AA624" i="1"/>
  <c r="AB623" i="1"/>
  <c r="AA623" i="1"/>
  <c r="AB622" i="1"/>
  <c r="AA622" i="1"/>
  <c r="AB621" i="1"/>
  <c r="AA621" i="1"/>
  <c r="AB620" i="1"/>
  <c r="AA620" i="1"/>
  <c r="AB619" i="1"/>
  <c r="AA619" i="1"/>
  <c r="AB618" i="1"/>
  <c r="AA618" i="1"/>
  <c r="AB617" i="1"/>
  <c r="AA617" i="1"/>
  <c r="AB616" i="1"/>
  <c r="AA616" i="1"/>
  <c r="AB615" i="1"/>
  <c r="AA615" i="1"/>
  <c r="AB614" i="1"/>
  <c r="AA614" i="1"/>
  <c r="AB613" i="1"/>
  <c r="AA613" i="1"/>
  <c r="AB612" i="1"/>
  <c r="AI612" i="1" s="1"/>
  <c r="AA612" i="1"/>
  <c r="AB611" i="1"/>
  <c r="AA611" i="1"/>
  <c r="AB610" i="1"/>
  <c r="AA610" i="1"/>
  <c r="AB609" i="1"/>
  <c r="AA609" i="1"/>
  <c r="AB608" i="1"/>
  <c r="AA608" i="1"/>
  <c r="AB607" i="1"/>
  <c r="AA607" i="1"/>
  <c r="AB606" i="1"/>
  <c r="AA606" i="1"/>
  <c r="AB605" i="1"/>
  <c r="AA605" i="1"/>
  <c r="AB604" i="1"/>
  <c r="AA604" i="1"/>
  <c r="AB603" i="1"/>
  <c r="AA603" i="1"/>
  <c r="AB602" i="1"/>
  <c r="AA602" i="1"/>
  <c r="AB601" i="1"/>
  <c r="AA601" i="1"/>
  <c r="AB600" i="1"/>
  <c r="AA600" i="1"/>
  <c r="AB599" i="1"/>
  <c r="AA599" i="1"/>
  <c r="AB598" i="1"/>
  <c r="AA598" i="1"/>
  <c r="AB597" i="1"/>
  <c r="AA597" i="1"/>
  <c r="AB596" i="1"/>
  <c r="AA596" i="1"/>
  <c r="AB595" i="1"/>
  <c r="AA595" i="1"/>
  <c r="AB594" i="1"/>
  <c r="AA594" i="1"/>
  <c r="AB593" i="1"/>
  <c r="AA593" i="1"/>
  <c r="AB592" i="1"/>
  <c r="AA592" i="1"/>
  <c r="AB591" i="1"/>
  <c r="AA591" i="1"/>
  <c r="AB590" i="1"/>
  <c r="AA590" i="1"/>
  <c r="AB589" i="1"/>
  <c r="AA589" i="1"/>
  <c r="AB588" i="1"/>
  <c r="AA588" i="1"/>
  <c r="AB587" i="1"/>
  <c r="AA587" i="1"/>
  <c r="AB586" i="1"/>
  <c r="AA586" i="1"/>
  <c r="AB585" i="1"/>
  <c r="AA585" i="1"/>
  <c r="AB584" i="1"/>
  <c r="AA584" i="1"/>
  <c r="AB583" i="1"/>
  <c r="AA583" i="1"/>
  <c r="AB582" i="1"/>
  <c r="AA582" i="1"/>
  <c r="AB581" i="1"/>
  <c r="AA581" i="1"/>
  <c r="AB580" i="1"/>
  <c r="AA580" i="1"/>
  <c r="AB579" i="1"/>
  <c r="AA579" i="1"/>
  <c r="AB578" i="1"/>
  <c r="AA578" i="1"/>
  <c r="AB577" i="1"/>
  <c r="AA577" i="1"/>
  <c r="AB576" i="1"/>
  <c r="AA576" i="1"/>
  <c r="AB575" i="1"/>
  <c r="AA575" i="1"/>
  <c r="AB574" i="1"/>
  <c r="AA574" i="1"/>
  <c r="AB573" i="1"/>
  <c r="AA573" i="1"/>
  <c r="AB572" i="1"/>
  <c r="AA572" i="1"/>
  <c r="AB571" i="1"/>
  <c r="AA571" i="1"/>
  <c r="AB570" i="1"/>
  <c r="AA570" i="1"/>
  <c r="AB569" i="1"/>
  <c r="AA569" i="1"/>
  <c r="AB568" i="1"/>
  <c r="AA568" i="1"/>
  <c r="AB567" i="1"/>
  <c r="AA567" i="1"/>
  <c r="AB566" i="1"/>
  <c r="AA566" i="1"/>
  <c r="AB565" i="1"/>
  <c r="AA565" i="1"/>
  <c r="AB564" i="1"/>
  <c r="AA564" i="1"/>
  <c r="AB563" i="1"/>
  <c r="AA563" i="1"/>
  <c r="AL563" i="1" s="1"/>
  <c r="AB562" i="1"/>
  <c r="AA562" i="1"/>
  <c r="AB561" i="1"/>
  <c r="AA561" i="1"/>
  <c r="AB560" i="1"/>
  <c r="AA560" i="1"/>
  <c r="AB559" i="1"/>
  <c r="AA559" i="1"/>
  <c r="AB558" i="1"/>
  <c r="AA558" i="1"/>
  <c r="AB557" i="1"/>
  <c r="AA557" i="1"/>
  <c r="AB556" i="1"/>
  <c r="AA556" i="1"/>
  <c r="AB555" i="1"/>
  <c r="AA555" i="1"/>
  <c r="AB554" i="1"/>
  <c r="AA554" i="1"/>
  <c r="AB553" i="1"/>
  <c r="AA553" i="1"/>
  <c r="AB552" i="1"/>
  <c r="AA552" i="1"/>
  <c r="AB551" i="1"/>
  <c r="AA551" i="1"/>
  <c r="AB550" i="1"/>
  <c r="AA550" i="1"/>
  <c r="AB549" i="1"/>
  <c r="AA549" i="1"/>
  <c r="AB548" i="1"/>
  <c r="AA548" i="1"/>
  <c r="AB547" i="1"/>
  <c r="AA547" i="1"/>
  <c r="AB546" i="1"/>
  <c r="AA546" i="1"/>
  <c r="AB545" i="1"/>
  <c r="AA545" i="1"/>
  <c r="AB544" i="1"/>
  <c r="AA544" i="1"/>
  <c r="AB543" i="1"/>
  <c r="AA543" i="1"/>
  <c r="AB542" i="1"/>
  <c r="AA542" i="1"/>
  <c r="AB541" i="1"/>
  <c r="AA541" i="1"/>
  <c r="AB540" i="1"/>
  <c r="AA540" i="1"/>
  <c r="AB539" i="1"/>
  <c r="AA539" i="1"/>
  <c r="AB538" i="1"/>
  <c r="AA538" i="1"/>
  <c r="AB537" i="1"/>
  <c r="AA537" i="1"/>
  <c r="AB536" i="1"/>
  <c r="AA536" i="1"/>
  <c r="AB535" i="1"/>
  <c r="AA535" i="1"/>
  <c r="AB534" i="1"/>
  <c r="AA534" i="1"/>
  <c r="AB533" i="1"/>
  <c r="AA533" i="1"/>
  <c r="AB532" i="1"/>
  <c r="AA532" i="1"/>
  <c r="AB531" i="1"/>
  <c r="AA531" i="1"/>
  <c r="AB530" i="1"/>
  <c r="AA530" i="1"/>
  <c r="AB529" i="1"/>
  <c r="AA529" i="1"/>
  <c r="AB528" i="1"/>
  <c r="AA528" i="1"/>
  <c r="AB527" i="1"/>
  <c r="AA527" i="1"/>
  <c r="AB526" i="1"/>
  <c r="AA526" i="1"/>
  <c r="AB525" i="1"/>
  <c r="AA525" i="1"/>
  <c r="AB524" i="1"/>
  <c r="AA524" i="1"/>
  <c r="AB523" i="1"/>
  <c r="AA523" i="1"/>
  <c r="AB522" i="1"/>
  <c r="AA522" i="1"/>
  <c r="AB521" i="1"/>
  <c r="AA521" i="1"/>
  <c r="AB520" i="1"/>
  <c r="AA520" i="1"/>
  <c r="AB519" i="1"/>
  <c r="AA519" i="1"/>
  <c r="AB518" i="1"/>
  <c r="AA518" i="1"/>
  <c r="AB517" i="1"/>
  <c r="AA517" i="1"/>
  <c r="AB516" i="1"/>
  <c r="AA516" i="1"/>
  <c r="AB515" i="1"/>
  <c r="AA515" i="1"/>
  <c r="AB514" i="1"/>
  <c r="AA514" i="1"/>
  <c r="AB513" i="1"/>
  <c r="AA513" i="1"/>
  <c r="AB512" i="1"/>
  <c r="AA512" i="1"/>
  <c r="AB511" i="1"/>
  <c r="AA511" i="1"/>
  <c r="AB510" i="1"/>
  <c r="AA510" i="1"/>
  <c r="AB509" i="1"/>
  <c r="AA509" i="1"/>
  <c r="AB508" i="1"/>
  <c r="AA508" i="1"/>
  <c r="AB507" i="1"/>
  <c r="AA507" i="1"/>
  <c r="AB506" i="1"/>
  <c r="AA506" i="1"/>
  <c r="AB505" i="1"/>
  <c r="AA505" i="1"/>
  <c r="AB504" i="1"/>
  <c r="AA504" i="1"/>
  <c r="AB503" i="1"/>
  <c r="AA503" i="1"/>
  <c r="AB502" i="1"/>
  <c r="AA502" i="1"/>
  <c r="AB501" i="1"/>
  <c r="AA501" i="1"/>
  <c r="AB500" i="1"/>
  <c r="AA500" i="1"/>
  <c r="AB499" i="1"/>
  <c r="AA499" i="1"/>
  <c r="AB498" i="1"/>
  <c r="AA498" i="1"/>
  <c r="AB497" i="1"/>
  <c r="AA497" i="1"/>
  <c r="AB496" i="1"/>
  <c r="AA496" i="1"/>
  <c r="AB495" i="1"/>
  <c r="AA495" i="1"/>
  <c r="AB494" i="1"/>
  <c r="AA494" i="1"/>
  <c r="AB493" i="1"/>
  <c r="AA493" i="1"/>
  <c r="AB492" i="1"/>
  <c r="AA492" i="1"/>
  <c r="AB491" i="1"/>
  <c r="AA491" i="1"/>
  <c r="AB490" i="1"/>
  <c r="AA490" i="1"/>
  <c r="AB489" i="1"/>
  <c r="AA489" i="1"/>
  <c r="AB488" i="1"/>
  <c r="AA488" i="1"/>
  <c r="AB487" i="1"/>
  <c r="AA487" i="1"/>
  <c r="AB486" i="1"/>
  <c r="AA486" i="1"/>
  <c r="AB485" i="1"/>
  <c r="AA485" i="1"/>
  <c r="AB484" i="1"/>
  <c r="AA484" i="1"/>
  <c r="AB483" i="1"/>
  <c r="AA483" i="1"/>
  <c r="AB482" i="1"/>
  <c r="AA482" i="1"/>
  <c r="AB481" i="1"/>
  <c r="AA481" i="1"/>
  <c r="AB480" i="1"/>
  <c r="AA480" i="1"/>
  <c r="AB479" i="1"/>
  <c r="AA479" i="1"/>
  <c r="AB478" i="1"/>
  <c r="AA478" i="1"/>
  <c r="AB477" i="1"/>
  <c r="AA477" i="1"/>
  <c r="AB476" i="1"/>
  <c r="AA476" i="1"/>
  <c r="AB475" i="1"/>
  <c r="AA475" i="1"/>
  <c r="AB474" i="1"/>
  <c r="AA474" i="1"/>
  <c r="AB473" i="1"/>
  <c r="AA473" i="1"/>
  <c r="AB472" i="1"/>
  <c r="AA472" i="1"/>
  <c r="AB471" i="1"/>
  <c r="AA471" i="1"/>
  <c r="AB470" i="1"/>
  <c r="AA470" i="1"/>
  <c r="AB469" i="1"/>
  <c r="AA469" i="1"/>
  <c r="AB468" i="1"/>
  <c r="AA468" i="1"/>
  <c r="AB467" i="1"/>
  <c r="AA467" i="1"/>
  <c r="AB466" i="1"/>
  <c r="AA466" i="1"/>
  <c r="AB465" i="1"/>
  <c r="AA465" i="1"/>
  <c r="AB464" i="1"/>
  <c r="AA464" i="1"/>
  <c r="AB463" i="1"/>
  <c r="AA463" i="1"/>
  <c r="AB462" i="1"/>
  <c r="AA462" i="1"/>
  <c r="AB461" i="1"/>
  <c r="AA461" i="1"/>
  <c r="AB460" i="1"/>
  <c r="AA460" i="1"/>
  <c r="AB459" i="1"/>
  <c r="AA459" i="1"/>
  <c r="AB458" i="1"/>
  <c r="AA458" i="1"/>
  <c r="AB457" i="1"/>
  <c r="AA457" i="1"/>
  <c r="AB456" i="1"/>
  <c r="AA456" i="1"/>
  <c r="AB455" i="1"/>
  <c r="AA455" i="1"/>
  <c r="AB454" i="1"/>
  <c r="AA454" i="1"/>
  <c r="AB453" i="1"/>
  <c r="AA453" i="1"/>
  <c r="AB452" i="1"/>
  <c r="AA452" i="1"/>
  <c r="AB451" i="1"/>
  <c r="AA451" i="1"/>
  <c r="AB450" i="1"/>
  <c r="AA450" i="1"/>
  <c r="AB449" i="1"/>
  <c r="AA449" i="1"/>
  <c r="AB448" i="1"/>
  <c r="AA448" i="1"/>
  <c r="AB447" i="1"/>
  <c r="AA447" i="1"/>
  <c r="AB446" i="1"/>
  <c r="AA446" i="1"/>
  <c r="AB445" i="1"/>
  <c r="AA445" i="1"/>
  <c r="AB444" i="1"/>
  <c r="AA444" i="1"/>
  <c r="AB443" i="1"/>
  <c r="AA443" i="1"/>
  <c r="AB442" i="1"/>
  <c r="AA442" i="1"/>
  <c r="AB441" i="1"/>
  <c r="AA441" i="1"/>
  <c r="AB440" i="1"/>
  <c r="AA440" i="1"/>
  <c r="AB439" i="1"/>
  <c r="AA439" i="1"/>
  <c r="AB438" i="1"/>
  <c r="AA438" i="1"/>
  <c r="AB437" i="1"/>
  <c r="AA437" i="1"/>
  <c r="AB436" i="1"/>
  <c r="AA436" i="1"/>
  <c r="AB435" i="1"/>
  <c r="AA435" i="1"/>
  <c r="AB434" i="1"/>
  <c r="AA434" i="1"/>
  <c r="AB433" i="1"/>
  <c r="AA433" i="1"/>
  <c r="AB432" i="1"/>
  <c r="AA432" i="1"/>
  <c r="AB431" i="1"/>
  <c r="AA431" i="1"/>
  <c r="AB430" i="1"/>
  <c r="AA430" i="1"/>
  <c r="AB429" i="1"/>
  <c r="AA429" i="1"/>
  <c r="AB428" i="1"/>
  <c r="AA428" i="1"/>
  <c r="AB427" i="1"/>
  <c r="AA427" i="1"/>
  <c r="AB426" i="1"/>
  <c r="AA426" i="1"/>
  <c r="AB425" i="1"/>
  <c r="AA425" i="1"/>
  <c r="AB424" i="1"/>
  <c r="AA424" i="1"/>
  <c r="AB423" i="1"/>
  <c r="AA423" i="1"/>
  <c r="AB422" i="1"/>
  <c r="AA422" i="1"/>
  <c r="AB421" i="1"/>
  <c r="AA421" i="1"/>
  <c r="AB420" i="1"/>
  <c r="AA420" i="1"/>
  <c r="AB419" i="1"/>
  <c r="AA419" i="1"/>
  <c r="AB418" i="1"/>
  <c r="AA418" i="1"/>
  <c r="AB417" i="1"/>
  <c r="AA417" i="1"/>
  <c r="AB416" i="1"/>
  <c r="AA416" i="1"/>
  <c r="AB415" i="1"/>
  <c r="AA415" i="1"/>
  <c r="AB414" i="1"/>
  <c r="AA414" i="1"/>
  <c r="AB413" i="1"/>
  <c r="AA413" i="1"/>
  <c r="AB412" i="1"/>
  <c r="AA412" i="1"/>
  <c r="AB411" i="1"/>
  <c r="AA411" i="1"/>
  <c r="AB410" i="1"/>
  <c r="AA410" i="1"/>
  <c r="AB409" i="1"/>
  <c r="AA409" i="1"/>
  <c r="AB408" i="1"/>
  <c r="AA408" i="1"/>
  <c r="AB407" i="1"/>
  <c r="AA407" i="1"/>
  <c r="AB406" i="1"/>
  <c r="AA406" i="1"/>
  <c r="AB405" i="1"/>
  <c r="AA405" i="1"/>
  <c r="AB404" i="1"/>
  <c r="AA404" i="1"/>
  <c r="AB403" i="1"/>
  <c r="AA403" i="1"/>
  <c r="AB402" i="1"/>
  <c r="AA402" i="1"/>
  <c r="AB401" i="1"/>
  <c r="AA401" i="1"/>
  <c r="AB400" i="1"/>
  <c r="AA400" i="1"/>
  <c r="AB399" i="1"/>
  <c r="AA399" i="1"/>
  <c r="AB398" i="1"/>
  <c r="AA398" i="1"/>
  <c r="AB397" i="1"/>
  <c r="AA397" i="1"/>
  <c r="AB396" i="1"/>
  <c r="AA396" i="1"/>
  <c r="AB395" i="1"/>
  <c r="AA395" i="1"/>
  <c r="AB394" i="1"/>
  <c r="AA394" i="1"/>
  <c r="AB393" i="1"/>
  <c r="AA393" i="1"/>
  <c r="AB392" i="1"/>
  <c r="AA392" i="1"/>
  <c r="AB391" i="1"/>
  <c r="AA391" i="1"/>
  <c r="AB390" i="1"/>
  <c r="AA390" i="1"/>
  <c r="AB389" i="1"/>
  <c r="AA389" i="1"/>
  <c r="AB388" i="1"/>
  <c r="AA388" i="1"/>
  <c r="AB387" i="1"/>
  <c r="AA387" i="1"/>
  <c r="AB386" i="1"/>
  <c r="AA386" i="1"/>
  <c r="AB385" i="1"/>
  <c r="AA385" i="1"/>
  <c r="AB384" i="1"/>
  <c r="AA384" i="1"/>
  <c r="AB383" i="1"/>
  <c r="AA383" i="1"/>
  <c r="AB382" i="1"/>
  <c r="AA382" i="1"/>
  <c r="AB381" i="1"/>
  <c r="AA381" i="1"/>
  <c r="AB380" i="1"/>
  <c r="AA380" i="1"/>
  <c r="AB379" i="1"/>
  <c r="AA379" i="1"/>
  <c r="AB378" i="1"/>
  <c r="AA378" i="1"/>
  <c r="AB377" i="1"/>
  <c r="AA377" i="1"/>
  <c r="AB376" i="1"/>
  <c r="AA376" i="1"/>
  <c r="AB375" i="1"/>
  <c r="AA375" i="1"/>
  <c r="AB374" i="1"/>
  <c r="AA374" i="1"/>
  <c r="AB373" i="1"/>
  <c r="AA373" i="1"/>
  <c r="AB372" i="1"/>
  <c r="AA372" i="1"/>
  <c r="AB371" i="1"/>
  <c r="AA371" i="1"/>
  <c r="AB370" i="1"/>
  <c r="AA370" i="1"/>
  <c r="AB369" i="1"/>
  <c r="AA369" i="1"/>
  <c r="AB368" i="1"/>
  <c r="AA368" i="1"/>
  <c r="AB367" i="1"/>
  <c r="AA367" i="1"/>
  <c r="AB366" i="1"/>
  <c r="AA366" i="1"/>
  <c r="AB365" i="1"/>
  <c r="AA365" i="1"/>
  <c r="AB364" i="1"/>
  <c r="AA364" i="1"/>
  <c r="AB363" i="1"/>
  <c r="AA363" i="1"/>
  <c r="AB362" i="1"/>
  <c r="AA362" i="1"/>
  <c r="AB361" i="1"/>
  <c r="AA361" i="1"/>
  <c r="AB360" i="1"/>
  <c r="AA360" i="1"/>
  <c r="AB359" i="1"/>
  <c r="AA359" i="1"/>
  <c r="AB358" i="1"/>
  <c r="AA358" i="1"/>
  <c r="AB357" i="1"/>
  <c r="AA357" i="1"/>
  <c r="AB356" i="1"/>
  <c r="AA356" i="1"/>
  <c r="AB355" i="1"/>
  <c r="AA355" i="1"/>
  <c r="AB354" i="1"/>
  <c r="AA354" i="1"/>
  <c r="AB353" i="1"/>
  <c r="AA353" i="1"/>
  <c r="AB352" i="1"/>
  <c r="AA352" i="1"/>
  <c r="AB351" i="1"/>
  <c r="AA351" i="1"/>
  <c r="AB350" i="1"/>
  <c r="AA350" i="1"/>
  <c r="AB349" i="1"/>
  <c r="AA349" i="1"/>
  <c r="AB348" i="1"/>
  <c r="AA348" i="1"/>
  <c r="AB347" i="1"/>
  <c r="AA347" i="1"/>
  <c r="AB346" i="1"/>
  <c r="AA346" i="1"/>
  <c r="AB345" i="1"/>
  <c r="AA345" i="1"/>
  <c r="AB344" i="1"/>
  <c r="AA344" i="1"/>
  <c r="AB343" i="1"/>
  <c r="AA343" i="1"/>
  <c r="AB342" i="1"/>
  <c r="AA342" i="1"/>
  <c r="AB341" i="1"/>
  <c r="AA341" i="1"/>
  <c r="AB340" i="1"/>
  <c r="AA340" i="1"/>
  <c r="AB339" i="1"/>
  <c r="AA339" i="1"/>
  <c r="AB338" i="1"/>
  <c r="AA338" i="1"/>
  <c r="AB337" i="1"/>
  <c r="AA337" i="1"/>
  <c r="AB336" i="1"/>
  <c r="AA336" i="1"/>
  <c r="AB335" i="1"/>
  <c r="AA335" i="1"/>
  <c r="AB334" i="1"/>
  <c r="AA334" i="1"/>
  <c r="AB333" i="1"/>
  <c r="AA333" i="1"/>
  <c r="AB332" i="1"/>
  <c r="AA332" i="1"/>
  <c r="AB331" i="1"/>
  <c r="AA331" i="1"/>
  <c r="AB330" i="1"/>
  <c r="AA330" i="1"/>
  <c r="AB329" i="1"/>
  <c r="AA329" i="1"/>
  <c r="AB328" i="1"/>
  <c r="AA328" i="1"/>
  <c r="AB327" i="1"/>
  <c r="AA327" i="1"/>
  <c r="AB326" i="1"/>
  <c r="AA326" i="1"/>
  <c r="AB325" i="1"/>
  <c r="AA325" i="1"/>
  <c r="AB324" i="1"/>
  <c r="AA324" i="1"/>
  <c r="AB323" i="1"/>
  <c r="AA323" i="1"/>
  <c r="AB322" i="1"/>
  <c r="AA322" i="1"/>
  <c r="AB321" i="1"/>
  <c r="AA321" i="1"/>
  <c r="AB320" i="1"/>
  <c r="AA320" i="1"/>
  <c r="AB319" i="1"/>
  <c r="AA319" i="1"/>
  <c r="AB318" i="1"/>
  <c r="AA318" i="1"/>
  <c r="AB317" i="1"/>
  <c r="AA317" i="1"/>
  <c r="AB316" i="1"/>
  <c r="AA316" i="1"/>
  <c r="AB315" i="1"/>
  <c r="AA315" i="1"/>
  <c r="AB314" i="1"/>
  <c r="AA314" i="1"/>
  <c r="AB313" i="1"/>
  <c r="AA313" i="1"/>
  <c r="AB312" i="1"/>
  <c r="AA312" i="1"/>
  <c r="AB311" i="1"/>
  <c r="AA311" i="1"/>
  <c r="AB310" i="1"/>
  <c r="AA310" i="1"/>
  <c r="AB309" i="1"/>
  <c r="AA309" i="1"/>
  <c r="AB308" i="1"/>
  <c r="AA308" i="1"/>
  <c r="AB307" i="1"/>
  <c r="AA307" i="1"/>
  <c r="AB306" i="1"/>
  <c r="AA306" i="1"/>
  <c r="AB305" i="1"/>
  <c r="AA305" i="1"/>
  <c r="AB304" i="1"/>
  <c r="AA304" i="1"/>
  <c r="AB303" i="1"/>
  <c r="AA303" i="1"/>
  <c r="AB302" i="1"/>
  <c r="AA302" i="1"/>
  <c r="AB301" i="1"/>
  <c r="AA301" i="1"/>
  <c r="AB300" i="1"/>
  <c r="AA300" i="1"/>
  <c r="AB299" i="1"/>
  <c r="AA299" i="1"/>
  <c r="AB298" i="1"/>
  <c r="AA298" i="1"/>
  <c r="AB297" i="1"/>
  <c r="AA297" i="1"/>
  <c r="AB296" i="1"/>
  <c r="AA296" i="1"/>
  <c r="AB295" i="1"/>
  <c r="AA295" i="1"/>
  <c r="AB294" i="1"/>
  <c r="AA294" i="1"/>
  <c r="AB293" i="1"/>
  <c r="AA293" i="1"/>
  <c r="AB292" i="1"/>
  <c r="AA292" i="1"/>
  <c r="AB291" i="1"/>
  <c r="AA291" i="1"/>
  <c r="AB290" i="1"/>
  <c r="AA290" i="1"/>
  <c r="AB289" i="1"/>
  <c r="AA289" i="1"/>
  <c r="AB288" i="1"/>
  <c r="AA288" i="1"/>
  <c r="AB287" i="1"/>
  <c r="AA287" i="1"/>
  <c r="AB286" i="1"/>
  <c r="AA286" i="1"/>
  <c r="AB285" i="1"/>
  <c r="AA285" i="1"/>
  <c r="AB284" i="1"/>
  <c r="AA284" i="1"/>
  <c r="AB283" i="1"/>
  <c r="AA283" i="1"/>
  <c r="AB282" i="1"/>
  <c r="AA282" i="1"/>
  <c r="AB281" i="1"/>
  <c r="AA281" i="1"/>
  <c r="AB280" i="1"/>
  <c r="AA280" i="1"/>
  <c r="AB279" i="1"/>
  <c r="AA279" i="1"/>
  <c r="AB278" i="1"/>
  <c r="AA278" i="1"/>
  <c r="AB277" i="1"/>
  <c r="AA277" i="1"/>
  <c r="AB276" i="1"/>
  <c r="AA276" i="1"/>
  <c r="AB275" i="1"/>
  <c r="AA275" i="1"/>
  <c r="AB274" i="1"/>
  <c r="AA274" i="1"/>
  <c r="AB273" i="1"/>
  <c r="AA273" i="1"/>
  <c r="AB272" i="1"/>
  <c r="AA272" i="1"/>
  <c r="AB271" i="1"/>
  <c r="AA271" i="1"/>
  <c r="AB270" i="1"/>
  <c r="AA270" i="1"/>
  <c r="AB269" i="1"/>
  <c r="AA269" i="1"/>
  <c r="AB268" i="1"/>
  <c r="AA268" i="1"/>
  <c r="AB267" i="1"/>
  <c r="AA267" i="1"/>
  <c r="AB266" i="1"/>
  <c r="AA266" i="1"/>
  <c r="AB265" i="1"/>
  <c r="AA265" i="1"/>
  <c r="AB264" i="1"/>
  <c r="AA264" i="1"/>
  <c r="AB263" i="1"/>
  <c r="AA263" i="1"/>
  <c r="AB262" i="1"/>
  <c r="AA262" i="1"/>
  <c r="AB261" i="1"/>
  <c r="AA261" i="1"/>
  <c r="AB260" i="1"/>
  <c r="AA260" i="1"/>
  <c r="AB259" i="1"/>
  <c r="AA259" i="1"/>
  <c r="AB258" i="1"/>
  <c r="AA258" i="1"/>
  <c r="AB257" i="1"/>
  <c r="AA257" i="1"/>
  <c r="AB256" i="1"/>
  <c r="AA256" i="1"/>
  <c r="AB255" i="1"/>
  <c r="AA255" i="1"/>
  <c r="AB254" i="1"/>
  <c r="AA254" i="1"/>
  <c r="AB253" i="1"/>
  <c r="AA253" i="1"/>
  <c r="AB252" i="1"/>
  <c r="AA252" i="1"/>
  <c r="AB251" i="1"/>
  <c r="AA251" i="1"/>
  <c r="AB250" i="1"/>
  <c r="AA250" i="1"/>
  <c r="AB249" i="1"/>
  <c r="AA249" i="1"/>
  <c r="AB248" i="1"/>
  <c r="AA248" i="1"/>
  <c r="AB247" i="1"/>
  <c r="AA247" i="1"/>
  <c r="AB246" i="1"/>
  <c r="AA246" i="1"/>
  <c r="AB245" i="1"/>
  <c r="AA245" i="1"/>
  <c r="AB244" i="1"/>
  <c r="AA244" i="1"/>
  <c r="AB243" i="1"/>
  <c r="AA243" i="1"/>
  <c r="AB242" i="1"/>
  <c r="AA242" i="1"/>
  <c r="AB241" i="1"/>
  <c r="AA241" i="1"/>
  <c r="AB240" i="1"/>
  <c r="AA240" i="1"/>
  <c r="AB239" i="1"/>
  <c r="AA239" i="1"/>
  <c r="AB238" i="1"/>
  <c r="AA238" i="1"/>
  <c r="AB237" i="1"/>
  <c r="AA237" i="1"/>
  <c r="AB236" i="1"/>
  <c r="AA236" i="1"/>
  <c r="AB235" i="1"/>
  <c r="AA235" i="1"/>
  <c r="AB234" i="1"/>
  <c r="AA234" i="1"/>
  <c r="AB233" i="1"/>
  <c r="AA233" i="1"/>
  <c r="AB232" i="1"/>
  <c r="AA232" i="1"/>
  <c r="AB231" i="1"/>
  <c r="AA231" i="1"/>
  <c r="AB230" i="1"/>
  <c r="AA230" i="1"/>
  <c r="AB229" i="1"/>
  <c r="AA229" i="1"/>
  <c r="AB228" i="1"/>
  <c r="AA228" i="1"/>
  <c r="AB227" i="1"/>
  <c r="AA227" i="1"/>
  <c r="AB226" i="1"/>
  <c r="AA226" i="1"/>
  <c r="AB225" i="1"/>
  <c r="AA225" i="1"/>
  <c r="AB224" i="1"/>
  <c r="AA224" i="1"/>
  <c r="AB223" i="1"/>
  <c r="AA223" i="1"/>
  <c r="AB222" i="1"/>
  <c r="AA222" i="1"/>
  <c r="AB221" i="1"/>
  <c r="AA221" i="1"/>
  <c r="AB220" i="1"/>
  <c r="AA220" i="1"/>
  <c r="AB219" i="1"/>
  <c r="AA219" i="1"/>
  <c r="AB218" i="1"/>
  <c r="AA218" i="1"/>
  <c r="AB217" i="1"/>
  <c r="AA217" i="1"/>
  <c r="AB216" i="1"/>
  <c r="AA216" i="1"/>
  <c r="AB215" i="1"/>
  <c r="AA215" i="1"/>
  <c r="AB214" i="1"/>
  <c r="AA214" i="1"/>
  <c r="AB213" i="1"/>
  <c r="AA213" i="1"/>
  <c r="AB212" i="1"/>
  <c r="AA212" i="1"/>
  <c r="AB211" i="1"/>
  <c r="AA211" i="1"/>
  <c r="AB210" i="1"/>
  <c r="AA210" i="1"/>
  <c r="AB209" i="1"/>
  <c r="AA209" i="1"/>
  <c r="AB208" i="1"/>
  <c r="AA208" i="1"/>
  <c r="AB207" i="1"/>
  <c r="AA207" i="1"/>
  <c r="AB206" i="1"/>
  <c r="AA206" i="1"/>
  <c r="AB205" i="1"/>
  <c r="AA205" i="1"/>
  <c r="AB204" i="1"/>
  <c r="AA204" i="1"/>
  <c r="AB203" i="1"/>
  <c r="AA203" i="1"/>
  <c r="AB202" i="1"/>
  <c r="AA202" i="1"/>
  <c r="AB201" i="1"/>
  <c r="AA201" i="1"/>
  <c r="AB200" i="1"/>
  <c r="AA200" i="1"/>
  <c r="AB199" i="1"/>
  <c r="AA199" i="1"/>
  <c r="AB198" i="1"/>
  <c r="AA198" i="1"/>
  <c r="AB197" i="1"/>
  <c r="AA197" i="1"/>
  <c r="AB196" i="1"/>
  <c r="AA196" i="1"/>
  <c r="AB195" i="1"/>
  <c r="AA195" i="1"/>
  <c r="AB194" i="1"/>
  <c r="AA194" i="1"/>
  <c r="AB193" i="1"/>
  <c r="AA193" i="1"/>
  <c r="AB192" i="1"/>
  <c r="AA192" i="1"/>
  <c r="AB191" i="1"/>
  <c r="AA191" i="1"/>
  <c r="AB190" i="1"/>
  <c r="AA190" i="1"/>
  <c r="AB189" i="1"/>
  <c r="AA189" i="1"/>
  <c r="AB188" i="1"/>
  <c r="AA188" i="1"/>
  <c r="AB187" i="1"/>
  <c r="AA187" i="1"/>
  <c r="AB186" i="1"/>
  <c r="AA186" i="1"/>
  <c r="AB185" i="1"/>
  <c r="AA185" i="1"/>
  <c r="AB184" i="1"/>
  <c r="AA184" i="1"/>
  <c r="AB183" i="1"/>
  <c r="AA183" i="1"/>
  <c r="AB182" i="1"/>
  <c r="AA182" i="1"/>
  <c r="AB181" i="1"/>
  <c r="AA181" i="1"/>
  <c r="AB180" i="1"/>
  <c r="AA180" i="1"/>
  <c r="AB179" i="1"/>
  <c r="AA179" i="1"/>
  <c r="AB178" i="1"/>
  <c r="AA178" i="1"/>
  <c r="AB177" i="1"/>
  <c r="AA177" i="1"/>
  <c r="AB176" i="1"/>
  <c r="AH176" i="1" s="1"/>
  <c r="AA176" i="1"/>
  <c r="AB175" i="1"/>
  <c r="AA175" i="1"/>
  <c r="AB174" i="1"/>
  <c r="AA174" i="1"/>
  <c r="AB173" i="1"/>
  <c r="AA173" i="1"/>
  <c r="AB172" i="1"/>
  <c r="AA172" i="1"/>
  <c r="AB171" i="1"/>
  <c r="AA171" i="1"/>
  <c r="AB170" i="1"/>
  <c r="AA170" i="1"/>
  <c r="AB169" i="1"/>
  <c r="AA169" i="1"/>
  <c r="AB168" i="1"/>
  <c r="AA168" i="1"/>
  <c r="AB167" i="1"/>
  <c r="AA167" i="1"/>
  <c r="AB166" i="1"/>
  <c r="AA166" i="1"/>
  <c r="AB165" i="1"/>
  <c r="AA165" i="1"/>
  <c r="AB164" i="1"/>
  <c r="AA164" i="1"/>
  <c r="AB163" i="1"/>
  <c r="AA163" i="1"/>
  <c r="AB162" i="1"/>
  <c r="AA162" i="1"/>
  <c r="AB161" i="1"/>
  <c r="AA161" i="1"/>
  <c r="AB160" i="1"/>
  <c r="AA160" i="1"/>
  <c r="AB159" i="1"/>
  <c r="AA159" i="1"/>
  <c r="AB158" i="1"/>
  <c r="AA158" i="1"/>
  <c r="AB157" i="1"/>
  <c r="AA157" i="1"/>
  <c r="AB156" i="1"/>
  <c r="AA156" i="1"/>
  <c r="AB155" i="1"/>
  <c r="AA155" i="1"/>
  <c r="AB154" i="1"/>
  <c r="AA154" i="1"/>
  <c r="AB153" i="1"/>
  <c r="AA153" i="1"/>
  <c r="AB152" i="1"/>
  <c r="AA152" i="1"/>
  <c r="AB151" i="1"/>
  <c r="AA151" i="1"/>
  <c r="AB150" i="1"/>
  <c r="AA150" i="1"/>
  <c r="AB149" i="1"/>
  <c r="AA149" i="1"/>
  <c r="AB148" i="1"/>
  <c r="AA148" i="1"/>
  <c r="AB147" i="1"/>
  <c r="AA147" i="1"/>
  <c r="AB146" i="1"/>
  <c r="AA146" i="1"/>
  <c r="AB145" i="1"/>
  <c r="AA145" i="1"/>
  <c r="AB144" i="1"/>
  <c r="AA144" i="1"/>
  <c r="AB143" i="1"/>
  <c r="AA143" i="1"/>
  <c r="AB142" i="1"/>
  <c r="AA142" i="1"/>
  <c r="AB141" i="1"/>
  <c r="AA141" i="1"/>
  <c r="AB140" i="1"/>
  <c r="AA140" i="1"/>
  <c r="AB139" i="1"/>
  <c r="AA139" i="1"/>
  <c r="AB138" i="1"/>
  <c r="AA138" i="1"/>
  <c r="AB137" i="1"/>
  <c r="AA137" i="1"/>
  <c r="AB136" i="1"/>
  <c r="AA136" i="1"/>
  <c r="AB135" i="1"/>
  <c r="AA135" i="1"/>
  <c r="AB134" i="1"/>
  <c r="AA134" i="1"/>
  <c r="AB133" i="1"/>
  <c r="AA133" i="1"/>
  <c r="AB132" i="1"/>
  <c r="AA132" i="1"/>
  <c r="AB131" i="1"/>
  <c r="AA131" i="1"/>
  <c r="AB130" i="1"/>
  <c r="AA130" i="1"/>
  <c r="AB129" i="1"/>
  <c r="AA129" i="1"/>
  <c r="AB128" i="1"/>
  <c r="AA128" i="1"/>
  <c r="AB127" i="1"/>
  <c r="AA127" i="1"/>
  <c r="AB126" i="1"/>
  <c r="AA126" i="1"/>
  <c r="AB125" i="1"/>
  <c r="AA125" i="1"/>
  <c r="AB124" i="1"/>
  <c r="AA124" i="1"/>
  <c r="AB123" i="1"/>
  <c r="AA123" i="1"/>
  <c r="AB122" i="1"/>
  <c r="AA122" i="1"/>
  <c r="AB121" i="1"/>
  <c r="AA121" i="1"/>
  <c r="AB120" i="1"/>
  <c r="AA120" i="1"/>
  <c r="AB119" i="1"/>
  <c r="AA119" i="1"/>
  <c r="AB118" i="1"/>
  <c r="AA118" i="1"/>
  <c r="AB117" i="1"/>
  <c r="AA117" i="1"/>
  <c r="AB116" i="1"/>
  <c r="AA116" i="1"/>
  <c r="AB115" i="1"/>
  <c r="AA115" i="1"/>
  <c r="AB114" i="1"/>
  <c r="AA114" i="1"/>
  <c r="AB113" i="1"/>
  <c r="AA113" i="1"/>
  <c r="AB112" i="1"/>
  <c r="AA112" i="1"/>
  <c r="AB111" i="1"/>
  <c r="AA111" i="1"/>
  <c r="AB110" i="1"/>
  <c r="AA110" i="1"/>
  <c r="AB109" i="1"/>
  <c r="AA109" i="1"/>
  <c r="AB108" i="1"/>
  <c r="AA108" i="1"/>
  <c r="AB107" i="1"/>
  <c r="AA107" i="1"/>
  <c r="AB106" i="1"/>
  <c r="AA106" i="1"/>
  <c r="AB105" i="1"/>
  <c r="AA105" i="1"/>
  <c r="AB104" i="1"/>
  <c r="AA104" i="1"/>
  <c r="AB103" i="1"/>
  <c r="AA103" i="1"/>
  <c r="AB102" i="1"/>
  <c r="AA102" i="1"/>
  <c r="AB101" i="1"/>
  <c r="AA101" i="1"/>
  <c r="AB100" i="1"/>
  <c r="AA100" i="1"/>
  <c r="AB99" i="1"/>
  <c r="AA99" i="1"/>
  <c r="AB98" i="1"/>
  <c r="AA98" i="1"/>
  <c r="AB97" i="1"/>
  <c r="AA97" i="1"/>
  <c r="AB96" i="1"/>
  <c r="AA96" i="1"/>
  <c r="AB95" i="1"/>
  <c r="AA95" i="1"/>
  <c r="AB94" i="1"/>
  <c r="AA94" i="1"/>
  <c r="AB93" i="1"/>
  <c r="AA93" i="1"/>
  <c r="AB92" i="1"/>
  <c r="AA92" i="1"/>
  <c r="AB91" i="1"/>
  <c r="AA91" i="1"/>
  <c r="AB90" i="1"/>
  <c r="AA90" i="1"/>
  <c r="AB89" i="1"/>
  <c r="AA89" i="1"/>
  <c r="AB88" i="1"/>
  <c r="AA88" i="1"/>
  <c r="AB87" i="1"/>
  <c r="AA87" i="1"/>
  <c r="AB86" i="1"/>
  <c r="AA86" i="1"/>
  <c r="AB85" i="1"/>
  <c r="AA85" i="1"/>
  <c r="AB84" i="1"/>
  <c r="AA84" i="1"/>
  <c r="AB83" i="1"/>
  <c r="AA83" i="1"/>
  <c r="AB82" i="1"/>
  <c r="AA82" i="1"/>
  <c r="AB81" i="1"/>
  <c r="AA81" i="1"/>
  <c r="AB80" i="1"/>
  <c r="AA80" i="1"/>
  <c r="AB79" i="1"/>
  <c r="AA79" i="1"/>
  <c r="AB78" i="1"/>
  <c r="AA78" i="1"/>
  <c r="AB77" i="1"/>
  <c r="AA77" i="1"/>
  <c r="AB76" i="1"/>
  <c r="AA76" i="1"/>
  <c r="AB75" i="1"/>
  <c r="AA75" i="1"/>
  <c r="AB74" i="1"/>
  <c r="AA74" i="1"/>
  <c r="AB73" i="1"/>
  <c r="AA73" i="1"/>
  <c r="AB72" i="1"/>
  <c r="AA72" i="1"/>
  <c r="AB71" i="1"/>
  <c r="AA71" i="1"/>
  <c r="AB70" i="1"/>
  <c r="AA70" i="1"/>
  <c r="AB69" i="1"/>
  <c r="AA69" i="1"/>
  <c r="AB68" i="1"/>
  <c r="AA68" i="1"/>
  <c r="AB67" i="1"/>
  <c r="AA67" i="1"/>
  <c r="AB66" i="1"/>
  <c r="AA66" i="1"/>
  <c r="AB65" i="1"/>
  <c r="AA65" i="1"/>
  <c r="AB64" i="1"/>
  <c r="AA64" i="1"/>
  <c r="AB63" i="1"/>
  <c r="AA63" i="1"/>
  <c r="AB62" i="1"/>
  <c r="AA62" i="1"/>
  <c r="AB61" i="1"/>
  <c r="AA61" i="1"/>
  <c r="AB60" i="1"/>
  <c r="AA60" i="1"/>
  <c r="AB59" i="1"/>
  <c r="AA59" i="1"/>
  <c r="AB58" i="1"/>
  <c r="AA58" i="1"/>
  <c r="AB57" i="1"/>
  <c r="AA57" i="1"/>
  <c r="AB56" i="1"/>
  <c r="AA56" i="1"/>
  <c r="AB55" i="1"/>
  <c r="AA55" i="1"/>
  <c r="AB54" i="1"/>
  <c r="AA54" i="1"/>
  <c r="AB53" i="1"/>
  <c r="AA53" i="1"/>
  <c r="AB52" i="1"/>
  <c r="AA52" i="1"/>
  <c r="AB51" i="1"/>
  <c r="AA51" i="1"/>
  <c r="AB50" i="1"/>
  <c r="AA50" i="1"/>
  <c r="AB49" i="1"/>
  <c r="AA49" i="1"/>
  <c r="AB48" i="1"/>
  <c r="AA48" i="1"/>
  <c r="AB47" i="1"/>
  <c r="AA47" i="1"/>
  <c r="AB46" i="1"/>
  <c r="AA46" i="1"/>
  <c r="AB45" i="1"/>
  <c r="AA45" i="1"/>
  <c r="AB44" i="1"/>
  <c r="AA44" i="1"/>
  <c r="AB43" i="1"/>
  <c r="AA43" i="1"/>
  <c r="AB42" i="1"/>
  <c r="AA42" i="1"/>
  <c r="AB41" i="1"/>
  <c r="AA41" i="1"/>
  <c r="AB40" i="1"/>
  <c r="AA40" i="1"/>
  <c r="AB39" i="1"/>
  <c r="AA39" i="1"/>
  <c r="AB38" i="1"/>
  <c r="AA38" i="1"/>
  <c r="AB37" i="1"/>
  <c r="AA37" i="1"/>
  <c r="AB36" i="1"/>
  <c r="AA36" i="1"/>
  <c r="AB35" i="1"/>
  <c r="AA35" i="1"/>
  <c r="AB34" i="1"/>
  <c r="AA34" i="1"/>
  <c r="AB33" i="1"/>
  <c r="AA33" i="1"/>
  <c r="AB32" i="1"/>
  <c r="AA32" i="1"/>
  <c r="AB31" i="1"/>
  <c r="AA31" i="1"/>
  <c r="AB30" i="1"/>
  <c r="AA30" i="1"/>
  <c r="AB29" i="1"/>
  <c r="AA29" i="1"/>
  <c r="AB28" i="1"/>
  <c r="AA28" i="1"/>
  <c r="AB27" i="1"/>
  <c r="AA27" i="1"/>
  <c r="AB26" i="1"/>
  <c r="AA26" i="1"/>
  <c r="AB25" i="1"/>
  <c r="AA25" i="1"/>
  <c r="AB24" i="1"/>
  <c r="AA24" i="1"/>
  <c r="AB23" i="1"/>
  <c r="AA23" i="1"/>
  <c r="AB22" i="1"/>
  <c r="AA22" i="1"/>
  <c r="AB21" i="1"/>
  <c r="AA21" i="1"/>
  <c r="AB20" i="1"/>
  <c r="AA20" i="1"/>
  <c r="AE20" i="1" s="1"/>
  <c r="AB19" i="1"/>
  <c r="AA19" i="1"/>
  <c r="AB18" i="1"/>
  <c r="AA18" i="1"/>
  <c r="AB17" i="1"/>
  <c r="AA17" i="1"/>
  <c r="AB16" i="1"/>
  <c r="AA16" i="1"/>
  <c r="AB15" i="1"/>
  <c r="AA15" i="1"/>
  <c r="AB14" i="1"/>
  <c r="AA14" i="1"/>
  <c r="AB13" i="1"/>
  <c r="AA13" i="1"/>
  <c r="AB12" i="1"/>
  <c r="AA12" i="1"/>
  <c r="AB11" i="1"/>
  <c r="AA11" i="1"/>
  <c r="AB10" i="1"/>
  <c r="AA10" i="1"/>
  <c r="AB9" i="1"/>
  <c r="AA9" i="1"/>
  <c r="AB8" i="1"/>
  <c r="AA8" i="1"/>
  <c r="AB7" i="1"/>
  <c r="AA7" i="1"/>
  <c r="U7" i="1"/>
  <c r="AB6" i="1"/>
  <c r="AA6" i="1"/>
  <c r="B6" i="1"/>
  <c r="AB5" i="1"/>
  <c r="AA5" i="1"/>
  <c r="AB4" i="1"/>
  <c r="AA4" i="1"/>
  <c r="AB3" i="1"/>
  <c r="AA3" i="1"/>
  <c r="E3" i="1"/>
  <c r="AB2" i="1"/>
  <c r="AA2" i="1"/>
  <c r="AJ2997" i="1" l="1"/>
  <c r="AL2997" i="1"/>
  <c r="AG2495" i="1"/>
  <c r="AI2495" i="1"/>
  <c r="AH2495" i="1"/>
  <c r="AL2495" i="1"/>
  <c r="AJ2495" i="1"/>
  <c r="AM2495" i="1" s="1"/>
  <c r="AI1993" i="1"/>
  <c r="AH1993" i="1"/>
  <c r="AG1993" i="1"/>
  <c r="AL1993" i="1"/>
  <c r="AJ1993" i="1"/>
  <c r="AM1993" i="1" s="1"/>
  <c r="AF1993" i="1"/>
  <c r="AI1491" i="1"/>
  <c r="AH1491" i="1"/>
  <c r="AG1491" i="1"/>
  <c r="AC1491" i="1"/>
  <c r="AL1491" i="1"/>
  <c r="AJ1491" i="1"/>
  <c r="AM1491" i="1" s="1"/>
  <c r="AF1491" i="1"/>
  <c r="AE1491" i="1"/>
  <c r="AD1491" i="1"/>
  <c r="AF989" i="1"/>
  <c r="AJ989" i="1"/>
  <c r="AD989" i="1"/>
  <c r="AE989" i="1"/>
  <c r="AL989" i="1"/>
  <c r="AC989" i="1"/>
  <c r="AI4001" i="1"/>
  <c r="AH4001" i="1"/>
  <c r="AG4001" i="1"/>
  <c r="AL4001" i="1"/>
  <c r="AJ4001" i="1"/>
  <c r="AM4001" i="1" s="1"/>
  <c r="AF4001" i="1"/>
  <c r="AE4001" i="1"/>
  <c r="AD4001" i="1"/>
  <c r="AC4001" i="1"/>
  <c r="AI4000" i="1"/>
  <c r="AH4000" i="1"/>
  <c r="AG4000" i="1"/>
  <c r="AL4000" i="1"/>
  <c r="AJ4000" i="1"/>
  <c r="AM4000" i="1" s="1"/>
  <c r="AF4000" i="1"/>
  <c r="AE4000" i="1"/>
  <c r="AD4000" i="1"/>
  <c r="AC4000" i="1"/>
  <c r="AI3999" i="1"/>
  <c r="AH3999" i="1"/>
  <c r="AG3999" i="1"/>
  <c r="AJ3999" i="1"/>
  <c r="AL3999" i="1"/>
  <c r="AF3999" i="1"/>
  <c r="AE3999" i="1"/>
  <c r="AD3999" i="1"/>
  <c r="AC3999" i="1"/>
  <c r="AI3998" i="1"/>
  <c r="AH3998" i="1"/>
  <c r="AG3998" i="1"/>
  <c r="AL3998" i="1"/>
  <c r="AJ3998" i="1"/>
  <c r="AM3998" i="1" s="1"/>
  <c r="AF3998" i="1"/>
  <c r="AE3998" i="1"/>
  <c r="AD3998" i="1"/>
  <c r="AC3998" i="1"/>
  <c r="AI3997" i="1"/>
  <c r="AH3997" i="1"/>
  <c r="AG3997" i="1"/>
  <c r="AJ3997" i="1"/>
  <c r="AL3997" i="1"/>
  <c r="AF3997" i="1"/>
  <c r="AE3997" i="1"/>
  <c r="AD3997" i="1"/>
  <c r="AC3997" i="1"/>
  <c r="AI3996" i="1"/>
  <c r="AH3996" i="1"/>
  <c r="AG3996" i="1"/>
  <c r="AL3996" i="1"/>
  <c r="AJ3996" i="1"/>
  <c r="AM3996" i="1" s="1"/>
  <c r="AF3996" i="1"/>
  <c r="AE3996" i="1"/>
  <c r="AD3996" i="1"/>
  <c r="AC3996" i="1"/>
  <c r="AI3995" i="1"/>
  <c r="AH3995" i="1"/>
  <c r="AG3995" i="1"/>
  <c r="AL3995" i="1"/>
  <c r="AJ3995" i="1"/>
  <c r="AM3995" i="1" s="1"/>
  <c r="AF3995" i="1"/>
  <c r="AE3995" i="1"/>
  <c r="AD3995" i="1"/>
  <c r="AC3995" i="1"/>
  <c r="AI3994" i="1"/>
  <c r="AH3994" i="1"/>
  <c r="AG3994" i="1"/>
  <c r="AL3994" i="1"/>
  <c r="AJ3994" i="1"/>
  <c r="AM3994" i="1" s="1"/>
  <c r="AF3994" i="1"/>
  <c r="AE3994" i="1"/>
  <c r="AD3994" i="1"/>
  <c r="AC3994" i="1"/>
  <c r="AH3993" i="1"/>
  <c r="AG3993" i="1"/>
  <c r="AI3993" i="1"/>
  <c r="AL3993" i="1"/>
  <c r="AJ3993" i="1"/>
  <c r="AF3993" i="1"/>
  <c r="AE3993" i="1"/>
  <c r="AD3993" i="1"/>
  <c r="AC3993" i="1"/>
  <c r="AI3992" i="1"/>
  <c r="AH3992" i="1"/>
  <c r="AG3992" i="1"/>
  <c r="AL3992" i="1"/>
  <c r="AJ3992" i="1"/>
  <c r="AM3992" i="1" s="1"/>
  <c r="AF3992" i="1"/>
  <c r="AE3992" i="1"/>
  <c r="AD3992" i="1"/>
  <c r="AC3992" i="1"/>
  <c r="AI3991" i="1"/>
  <c r="AH3991" i="1"/>
  <c r="AG3991" i="1"/>
  <c r="AL3991" i="1"/>
  <c r="AJ3991" i="1"/>
  <c r="AM3991" i="1" s="1"/>
  <c r="AF3991" i="1"/>
  <c r="AE3991" i="1"/>
  <c r="AD3991" i="1"/>
  <c r="AC3991" i="1"/>
  <c r="AI3990" i="1"/>
  <c r="AH3990" i="1"/>
  <c r="AG3990" i="1"/>
  <c r="AJ3990" i="1"/>
  <c r="AL3990" i="1"/>
  <c r="AF3990" i="1"/>
  <c r="AE3990" i="1"/>
  <c r="AD3990" i="1"/>
  <c r="AC3990" i="1"/>
  <c r="AI3989" i="1"/>
  <c r="AH3989" i="1"/>
  <c r="AG3989" i="1"/>
  <c r="AL3989" i="1"/>
  <c r="AJ3989" i="1"/>
  <c r="AM3989" i="1" s="1"/>
  <c r="AF3989" i="1"/>
  <c r="AE3989" i="1"/>
  <c r="AD3989" i="1"/>
  <c r="AC3989" i="1"/>
  <c r="AI3988" i="1"/>
  <c r="AH3988" i="1"/>
  <c r="AG3988" i="1"/>
  <c r="AJ3988" i="1"/>
  <c r="AL3988" i="1"/>
  <c r="AF3988" i="1"/>
  <c r="AE3988" i="1"/>
  <c r="AD3988" i="1"/>
  <c r="AC3988" i="1"/>
  <c r="AI3987" i="1"/>
  <c r="AH3987" i="1"/>
  <c r="AG3987" i="1"/>
  <c r="AL3987" i="1"/>
  <c r="AJ3987" i="1"/>
  <c r="AM3987" i="1" s="1"/>
  <c r="AF3987" i="1"/>
  <c r="AE3987" i="1"/>
  <c r="AD3987" i="1"/>
  <c r="AC3987" i="1"/>
  <c r="AI3986" i="1"/>
  <c r="AH3986" i="1"/>
  <c r="AG3986" i="1"/>
  <c r="AL3986" i="1"/>
  <c r="AJ3986" i="1"/>
  <c r="AF3986" i="1"/>
  <c r="AE3986" i="1"/>
  <c r="AD3986" i="1"/>
  <c r="AC3986" i="1"/>
  <c r="AI3985" i="1"/>
  <c r="AH3985" i="1"/>
  <c r="AG3985" i="1"/>
  <c r="AL3985" i="1"/>
  <c r="AJ3985" i="1"/>
  <c r="AF3985" i="1"/>
  <c r="AE3985" i="1"/>
  <c r="AD3985" i="1"/>
  <c r="AC3985" i="1"/>
  <c r="AI3984" i="1"/>
  <c r="AH3984" i="1"/>
  <c r="AG3984" i="1"/>
  <c r="AJ3984" i="1"/>
  <c r="AL3984" i="1"/>
  <c r="AF3984" i="1"/>
  <c r="AE3984" i="1"/>
  <c r="AD3984" i="1"/>
  <c r="AC3984" i="1"/>
  <c r="AI3983" i="1"/>
  <c r="AH3983" i="1"/>
  <c r="AG3983" i="1"/>
  <c r="AL3983" i="1"/>
  <c r="AJ3983" i="1"/>
  <c r="AM3983" i="1" s="1"/>
  <c r="AF3983" i="1"/>
  <c r="AE3983" i="1"/>
  <c r="AD3983" i="1"/>
  <c r="AC3983" i="1"/>
  <c r="AI3982" i="1"/>
  <c r="AH3982" i="1"/>
  <c r="AG3982" i="1"/>
  <c r="AL3982" i="1"/>
  <c r="AJ3982" i="1"/>
  <c r="AF3982" i="1"/>
  <c r="AE3982" i="1"/>
  <c r="AD3982" i="1"/>
  <c r="AC3982" i="1"/>
  <c r="AI3981" i="1"/>
  <c r="AH3981" i="1"/>
  <c r="AG3981" i="1"/>
  <c r="AJ3981" i="1"/>
  <c r="AL3981" i="1"/>
  <c r="AF3981" i="1"/>
  <c r="AE3981" i="1"/>
  <c r="AD3981" i="1"/>
  <c r="AC3981" i="1"/>
  <c r="AI3980" i="1"/>
  <c r="AH3980" i="1"/>
  <c r="AG3980" i="1"/>
  <c r="AL3980" i="1"/>
  <c r="AJ3980" i="1"/>
  <c r="AF3980" i="1"/>
  <c r="AE3980" i="1"/>
  <c r="AD3980" i="1"/>
  <c r="AC3980" i="1"/>
  <c r="AI3979" i="1"/>
  <c r="AH3979" i="1"/>
  <c r="AG3979" i="1"/>
  <c r="AJ3979" i="1"/>
  <c r="AL3979" i="1"/>
  <c r="AF3979" i="1"/>
  <c r="AE3979" i="1"/>
  <c r="AD3979" i="1"/>
  <c r="AC3979" i="1"/>
  <c r="AI3978" i="1"/>
  <c r="AH3978" i="1"/>
  <c r="AG3978" i="1"/>
  <c r="AL3978" i="1"/>
  <c r="AJ3978" i="1"/>
  <c r="AF3978" i="1"/>
  <c r="AE3978" i="1"/>
  <c r="AD3978" i="1"/>
  <c r="AC3978" i="1"/>
  <c r="AI3977" i="1"/>
  <c r="AH3977" i="1"/>
  <c r="AG3977" i="1"/>
  <c r="AL3977" i="1"/>
  <c r="AJ3977" i="1"/>
  <c r="AF3977" i="1"/>
  <c r="AE3977" i="1"/>
  <c r="AD3977" i="1"/>
  <c r="AC3977" i="1"/>
  <c r="AI3976" i="1"/>
  <c r="AH3976" i="1"/>
  <c r="AG3976" i="1"/>
  <c r="AL3976" i="1"/>
  <c r="AJ3976" i="1"/>
  <c r="AF3976" i="1"/>
  <c r="AE3976" i="1"/>
  <c r="AD3976" i="1"/>
  <c r="AC3976" i="1"/>
  <c r="AI3975" i="1"/>
  <c r="AH3975" i="1"/>
  <c r="AG3975" i="1"/>
  <c r="AJ3975" i="1"/>
  <c r="AL3975" i="1"/>
  <c r="AF3975" i="1"/>
  <c r="AE3975" i="1"/>
  <c r="AD3975" i="1"/>
  <c r="AC3975" i="1"/>
  <c r="AI3974" i="1"/>
  <c r="AH3974" i="1"/>
  <c r="AG3974" i="1"/>
  <c r="AL3974" i="1"/>
  <c r="AJ3974" i="1"/>
  <c r="AF3974" i="1"/>
  <c r="AE3974" i="1"/>
  <c r="AD3974" i="1"/>
  <c r="AC3974" i="1"/>
  <c r="AI3973" i="1"/>
  <c r="AH3973" i="1"/>
  <c r="AG3973" i="1"/>
  <c r="AL3973" i="1"/>
  <c r="AJ3973" i="1"/>
  <c r="AF3973" i="1"/>
  <c r="AE3973" i="1"/>
  <c r="AD3973" i="1"/>
  <c r="AC3973" i="1"/>
  <c r="AI3972" i="1"/>
  <c r="AH3972" i="1"/>
  <c r="AG3972" i="1"/>
  <c r="AL3972" i="1"/>
  <c r="AJ3972" i="1"/>
  <c r="AM3972" i="1" s="1"/>
  <c r="AF3972" i="1"/>
  <c r="AE3972" i="1"/>
  <c r="AD3972" i="1"/>
  <c r="AC3972" i="1"/>
  <c r="AH3971" i="1"/>
  <c r="AG3971" i="1"/>
  <c r="AI3971" i="1"/>
  <c r="AL3971" i="1"/>
  <c r="AJ3971" i="1"/>
  <c r="AF3971" i="1"/>
  <c r="AE3971" i="1"/>
  <c r="AD3971" i="1"/>
  <c r="AC3971" i="1"/>
  <c r="AI3970" i="1"/>
  <c r="AH3970" i="1"/>
  <c r="AG3970" i="1"/>
  <c r="AL3970" i="1"/>
  <c r="AJ3970" i="1"/>
  <c r="AF3970" i="1"/>
  <c r="AE3970" i="1"/>
  <c r="AD3970" i="1"/>
  <c r="AC3970" i="1"/>
  <c r="AI3969" i="1"/>
  <c r="AH3969" i="1"/>
  <c r="AG3969" i="1"/>
  <c r="AL3969" i="1"/>
  <c r="AJ3969" i="1"/>
  <c r="AM3969" i="1" s="1"/>
  <c r="AF3969" i="1"/>
  <c r="AE3969" i="1"/>
  <c r="AD3969" i="1"/>
  <c r="AC3969" i="1"/>
  <c r="AI3968" i="1"/>
  <c r="AH3968" i="1"/>
  <c r="AG3968" i="1"/>
  <c r="AL3968" i="1"/>
  <c r="AJ3968" i="1"/>
  <c r="AF3968" i="1"/>
  <c r="AE3968" i="1"/>
  <c r="AD3968" i="1"/>
  <c r="AC3968" i="1"/>
  <c r="AI3967" i="1"/>
  <c r="AH3967" i="1"/>
  <c r="AG3967" i="1"/>
  <c r="AJ3967" i="1"/>
  <c r="AL3967" i="1"/>
  <c r="AF3967" i="1"/>
  <c r="AE3967" i="1"/>
  <c r="AD3967" i="1"/>
  <c r="AC3967" i="1"/>
  <c r="AI3966" i="1"/>
  <c r="AH3966" i="1"/>
  <c r="AG3966" i="1"/>
  <c r="AL3966" i="1"/>
  <c r="AJ3966" i="1"/>
  <c r="AF3966" i="1"/>
  <c r="AE3966" i="1"/>
  <c r="AD3966" i="1"/>
  <c r="AC3966" i="1"/>
  <c r="AI3965" i="1"/>
  <c r="AH3965" i="1"/>
  <c r="AG3965" i="1"/>
  <c r="AL3965" i="1"/>
  <c r="AJ3965" i="1"/>
  <c r="AM3965" i="1" s="1"/>
  <c r="AF3965" i="1"/>
  <c r="AE3965" i="1"/>
  <c r="AD3965" i="1"/>
  <c r="AC3965" i="1"/>
  <c r="AI3964" i="1"/>
  <c r="AH3964" i="1"/>
  <c r="AG3964" i="1"/>
  <c r="AJ3964" i="1"/>
  <c r="AL3964" i="1"/>
  <c r="AF3964" i="1"/>
  <c r="AE3964" i="1"/>
  <c r="AD3964" i="1"/>
  <c r="AC3964" i="1"/>
  <c r="AI3963" i="1"/>
  <c r="AH3963" i="1"/>
  <c r="AG3963" i="1"/>
  <c r="AL3963" i="1"/>
  <c r="AJ3963" i="1"/>
  <c r="AF3963" i="1"/>
  <c r="AE3963" i="1"/>
  <c r="AD3963" i="1"/>
  <c r="AC3963" i="1"/>
  <c r="AI3962" i="1"/>
  <c r="AH3962" i="1"/>
  <c r="AG3962" i="1"/>
  <c r="AJ3962" i="1"/>
  <c r="AL3962" i="1"/>
  <c r="AF3962" i="1"/>
  <c r="AE3962" i="1"/>
  <c r="AD3962" i="1"/>
  <c r="AC3962" i="1"/>
  <c r="AI3961" i="1"/>
  <c r="AH3961" i="1"/>
  <c r="AG3961" i="1"/>
  <c r="AL3961" i="1"/>
  <c r="AJ3961" i="1"/>
  <c r="AM3961" i="1" s="1"/>
  <c r="AF3961" i="1"/>
  <c r="AE3961" i="1"/>
  <c r="AD3961" i="1"/>
  <c r="AC3961" i="1"/>
  <c r="AI3960" i="1"/>
  <c r="AH3960" i="1"/>
  <c r="AG3960" i="1"/>
  <c r="AL3960" i="1"/>
  <c r="AJ3960" i="1"/>
  <c r="AF3960" i="1"/>
  <c r="AE3960" i="1"/>
  <c r="AD3960" i="1"/>
  <c r="AC3960" i="1"/>
  <c r="AI3959" i="1"/>
  <c r="AH3959" i="1"/>
  <c r="AG3959" i="1"/>
  <c r="AL3959" i="1"/>
  <c r="AJ3959" i="1"/>
  <c r="AF3959" i="1"/>
  <c r="AE3959" i="1"/>
  <c r="AD3959" i="1"/>
  <c r="AC3959" i="1"/>
  <c r="AI3958" i="1"/>
  <c r="AH3958" i="1"/>
  <c r="AG3958" i="1"/>
  <c r="AJ3958" i="1"/>
  <c r="AL3958" i="1"/>
  <c r="AF3958" i="1"/>
  <c r="AE3958" i="1"/>
  <c r="AD3958" i="1"/>
  <c r="AC3958" i="1"/>
  <c r="AI3957" i="1"/>
  <c r="AH3957" i="1"/>
  <c r="AG3957" i="1"/>
  <c r="AL3957" i="1"/>
  <c r="AJ3957" i="1"/>
  <c r="AM3957" i="1" s="1"/>
  <c r="AF3957" i="1"/>
  <c r="AE3957" i="1"/>
  <c r="AD3957" i="1"/>
  <c r="AC3957" i="1"/>
  <c r="AI3956" i="1"/>
  <c r="AH3956" i="1"/>
  <c r="AG3956" i="1"/>
  <c r="AL3956" i="1"/>
  <c r="AJ3956" i="1"/>
  <c r="AF3956" i="1"/>
  <c r="AE3956" i="1"/>
  <c r="AD3956" i="1"/>
  <c r="AC3956" i="1"/>
  <c r="AI3955" i="1"/>
  <c r="AH3955" i="1"/>
  <c r="AG3955" i="1"/>
  <c r="AL3955" i="1"/>
  <c r="AJ3955" i="1"/>
  <c r="AF3955" i="1"/>
  <c r="AE3955" i="1"/>
  <c r="AD3955" i="1"/>
  <c r="AC3955" i="1"/>
  <c r="AH3954" i="1"/>
  <c r="AG3954" i="1"/>
  <c r="AI3954" i="1"/>
  <c r="AL3954" i="1"/>
  <c r="AJ3954" i="1"/>
  <c r="AF3954" i="1"/>
  <c r="AE3954" i="1"/>
  <c r="AD3954" i="1"/>
  <c r="AC3954" i="1"/>
  <c r="AI3953" i="1"/>
  <c r="AH3953" i="1"/>
  <c r="AG3953" i="1"/>
  <c r="AL3953" i="1"/>
  <c r="AJ3953" i="1"/>
  <c r="AF3953" i="1"/>
  <c r="AE3953" i="1"/>
  <c r="AD3953" i="1"/>
  <c r="AC3953" i="1"/>
  <c r="AI3952" i="1"/>
  <c r="AH3952" i="1"/>
  <c r="AG3952" i="1"/>
  <c r="AL3952" i="1"/>
  <c r="AJ3952" i="1"/>
  <c r="AF3952" i="1"/>
  <c r="AE3952" i="1"/>
  <c r="AD3952" i="1"/>
  <c r="AC3952" i="1"/>
  <c r="AI3951" i="1"/>
  <c r="AH3951" i="1"/>
  <c r="AG3951" i="1"/>
  <c r="AL3951" i="1"/>
  <c r="AJ3951" i="1"/>
  <c r="AF3951" i="1"/>
  <c r="AE3951" i="1"/>
  <c r="AD3951" i="1"/>
  <c r="AC3951" i="1"/>
  <c r="AH3950" i="1"/>
  <c r="AG3950" i="1"/>
  <c r="AI3950" i="1"/>
  <c r="AL3950" i="1"/>
  <c r="AJ3950" i="1"/>
  <c r="AF3950" i="1"/>
  <c r="AE3950" i="1"/>
  <c r="AD3950" i="1"/>
  <c r="AC3950" i="1"/>
  <c r="AI3949" i="1"/>
  <c r="AH3949" i="1"/>
  <c r="AG3949" i="1"/>
  <c r="AL3949" i="1"/>
  <c r="AJ3949" i="1"/>
  <c r="AF3949" i="1"/>
  <c r="AE3949" i="1"/>
  <c r="AD3949" i="1"/>
  <c r="AC3949" i="1"/>
  <c r="AI3948" i="1"/>
  <c r="AH3948" i="1"/>
  <c r="AG3948" i="1"/>
  <c r="AL3948" i="1"/>
  <c r="AJ3948" i="1"/>
  <c r="AF3948" i="1"/>
  <c r="AE3948" i="1"/>
  <c r="AD3948" i="1"/>
  <c r="AC3948" i="1"/>
  <c r="AI3947" i="1"/>
  <c r="AH3947" i="1"/>
  <c r="AG3947" i="1"/>
  <c r="AJ3947" i="1"/>
  <c r="AL3947" i="1"/>
  <c r="AF3947" i="1"/>
  <c r="AE3947" i="1"/>
  <c r="AD3947" i="1"/>
  <c r="AC3947" i="1"/>
  <c r="AI3946" i="1"/>
  <c r="AH3946" i="1"/>
  <c r="AG3946" i="1"/>
  <c r="AL3946" i="1"/>
  <c r="AJ3946" i="1"/>
  <c r="AF3946" i="1"/>
  <c r="AE3946" i="1"/>
  <c r="AD3946" i="1"/>
  <c r="AC3946" i="1"/>
  <c r="AI3945" i="1"/>
  <c r="AH3945" i="1"/>
  <c r="AG3945" i="1"/>
  <c r="AJ3945" i="1"/>
  <c r="AL3945" i="1"/>
  <c r="AF3945" i="1"/>
  <c r="AE3945" i="1"/>
  <c r="AD3945" i="1"/>
  <c r="AC3945" i="1"/>
  <c r="AI3944" i="1"/>
  <c r="AH3944" i="1"/>
  <c r="AG3944" i="1"/>
  <c r="AL3944" i="1"/>
  <c r="AJ3944" i="1"/>
  <c r="AF3944" i="1"/>
  <c r="AE3944" i="1"/>
  <c r="AD3944" i="1"/>
  <c r="AC3944" i="1"/>
  <c r="AI3943" i="1"/>
  <c r="AH3943" i="1"/>
  <c r="AG3943" i="1"/>
  <c r="AL3943" i="1"/>
  <c r="AJ3943" i="1"/>
  <c r="AF3943" i="1"/>
  <c r="AE3943" i="1"/>
  <c r="AD3943" i="1"/>
  <c r="AC3943" i="1"/>
  <c r="AI3942" i="1"/>
  <c r="AH3942" i="1"/>
  <c r="AG3942" i="1"/>
  <c r="AL3942" i="1"/>
  <c r="AJ3942" i="1"/>
  <c r="AF3942" i="1"/>
  <c r="AE3942" i="1"/>
  <c r="AD3942" i="1"/>
  <c r="AC3942" i="1"/>
  <c r="AI3941" i="1"/>
  <c r="AH3941" i="1"/>
  <c r="AG3941" i="1"/>
  <c r="AJ3941" i="1"/>
  <c r="AL3941" i="1"/>
  <c r="AF3941" i="1"/>
  <c r="AE3941" i="1"/>
  <c r="AD3941" i="1"/>
  <c r="AC3941" i="1"/>
  <c r="AI3940" i="1"/>
  <c r="AH3940" i="1"/>
  <c r="AG3940" i="1"/>
  <c r="AL3940" i="1"/>
  <c r="AJ3940" i="1"/>
  <c r="AF3940" i="1"/>
  <c r="AE3940" i="1"/>
  <c r="AD3940" i="1"/>
  <c r="AC3940" i="1"/>
  <c r="AI3939" i="1"/>
  <c r="AH3939" i="1"/>
  <c r="AG3939" i="1"/>
  <c r="AL3939" i="1"/>
  <c r="AJ3939" i="1"/>
  <c r="AF3939" i="1"/>
  <c r="AE3939" i="1"/>
  <c r="AD3939" i="1"/>
  <c r="AC3939" i="1"/>
  <c r="AI3938" i="1"/>
  <c r="AH3938" i="1"/>
  <c r="AG3938" i="1"/>
  <c r="AL3938" i="1"/>
  <c r="AJ3938" i="1"/>
  <c r="AF3938" i="1"/>
  <c r="AE3938" i="1"/>
  <c r="AD3938" i="1"/>
  <c r="AC3938" i="1"/>
  <c r="AH3937" i="1"/>
  <c r="AG3937" i="1"/>
  <c r="AI3937" i="1"/>
  <c r="AL3937" i="1"/>
  <c r="AJ3937" i="1"/>
  <c r="AF3937" i="1"/>
  <c r="AE3937" i="1"/>
  <c r="AD3937" i="1"/>
  <c r="AC3937" i="1"/>
  <c r="AI3936" i="1"/>
  <c r="AH3936" i="1"/>
  <c r="AG3936" i="1"/>
  <c r="AL3936" i="1"/>
  <c r="AJ3936" i="1"/>
  <c r="AF3936" i="1"/>
  <c r="AE3936" i="1"/>
  <c r="AD3936" i="1"/>
  <c r="AC3936" i="1"/>
  <c r="AI3935" i="1"/>
  <c r="AH3935" i="1"/>
  <c r="AG3935" i="1"/>
  <c r="AL3935" i="1"/>
  <c r="AJ3935" i="1"/>
  <c r="AF3935" i="1"/>
  <c r="AE3935" i="1"/>
  <c r="AD3935" i="1"/>
  <c r="AC3935" i="1"/>
  <c r="AI3934" i="1"/>
  <c r="AH3934" i="1"/>
  <c r="AG3934" i="1"/>
  <c r="AL3934" i="1"/>
  <c r="AJ3934" i="1"/>
  <c r="AF3934" i="1"/>
  <c r="AE3934" i="1"/>
  <c r="AD3934" i="1"/>
  <c r="AC3934" i="1"/>
  <c r="AH3933" i="1"/>
  <c r="AG3933" i="1"/>
  <c r="AI3933" i="1"/>
  <c r="AL3933" i="1"/>
  <c r="AJ3933" i="1"/>
  <c r="AM3933" i="1" s="1"/>
  <c r="AF3933" i="1"/>
  <c r="AE3933" i="1"/>
  <c r="AD3933" i="1"/>
  <c r="AC3933" i="1"/>
  <c r="AI3932" i="1"/>
  <c r="AH3932" i="1"/>
  <c r="AG3932" i="1"/>
  <c r="AL3932" i="1"/>
  <c r="AJ3932" i="1"/>
  <c r="AF3932" i="1"/>
  <c r="AE3932" i="1"/>
  <c r="AD3932" i="1"/>
  <c r="AC3932" i="1"/>
  <c r="AI3931" i="1"/>
  <c r="AH3931" i="1"/>
  <c r="AG3931" i="1"/>
  <c r="AL3931" i="1"/>
  <c r="AJ3931" i="1"/>
  <c r="AF3931" i="1"/>
  <c r="AE3931" i="1"/>
  <c r="AD3931" i="1"/>
  <c r="AC3931" i="1"/>
  <c r="AI3930" i="1"/>
  <c r="AH3930" i="1"/>
  <c r="AG3930" i="1"/>
  <c r="AJ3930" i="1"/>
  <c r="AL3930" i="1"/>
  <c r="AF3930" i="1"/>
  <c r="AE3930" i="1"/>
  <c r="AD3930" i="1"/>
  <c r="AC3930" i="1"/>
  <c r="AI3929" i="1"/>
  <c r="AH3929" i="1"/>
  <c r="AG3929" i="1"/>
  <c r="AL3929" i="1"/>
  <c r="AJ3929" i="1"/>
  <c r="AF3929" i="1"/>
  <c r="AE3929" i="1"/>
  <c r="AD3929" i="1"/>
  <c r="AC3929" i="1"/>
  <c r="AI3928" i="1"/>
  <c r="AH3928" i="1"/>
  <c r="AG3928" i="1"/>
  <c r="AJ3928" i="1"/>
  <c r="AL3928" i="1"/>
  <c r="AF3928" i="1"/>
  <c r="AE3928" i="1"/>
  <c r="AD3928" i="1"/>
  <c r="AC3928" i="1"/>
  <c r="AI3927" i="1"/>
  <c r="AH3927" i="1"/>
  <c r="AG3927" i="1"/>
  <c r="AL3927" i="1"/>
  <c r="AJ3927" i="1"/>
  <c r="AF3927" i="1"/>
  <c r="AE3927" i="1"/>
  <c r="AD3927" i="1"/>
  <c r="AC3927" i="1"/>
  <c r="AI3926" i="1"/>
  <c r="AH3926" i="1"/>
  <c r="AG3926" i="1"/>
  <c r="AL3926" i="1"/>
  <c r="AJ3926" i="1"/>
  <c r="AF3926" i="1"/>
  <c r="AE3926" i="1"/>
  <c r="AD3926" i="1"/>
  <c r="AC3926" i="1"/>
  <c r="AI3925" i="1"/>
  <c r="AH3925" i="1"/>
  <c r="AG3925" i="1"/>
  <c r="AL3925" i="1"/>
  <c r="AJ3925" i="1"/>
  <c r="AF3925" i="1"/>
  <c r="AE3925" i="1"/>
  <c r="AD3925" i="1"/>
  <c r="AC3925" i="1"/>
  <c r="AH3924" i="1"/>
  <c r="AG3924" i="1"/>
  <c r="AI3924" i="1"/>
  <c r="AL3924" i="1"/>
  <c r="AJ3924" i="1"/>
  <c r="AF3924" i="1"/>
  <c r="AE3924" i="1"/>
  <c r="AD3924" i="1"/>
  <c r="AC3924" i="1"/>
  <c r="AI3923" i="1"/>
  <c r="AH3923" i="1"/>
  <c r="AG3923" i="1"/>
  <c r="AL3923" i="1"/>
  <c r="AJ3923" i="1"/>
  <c r="AF3923" i="1"/>
  <c r="AE3923" i="1"/>
  <c r="AD3923" i="1"/>
  <c r="AC3923" i="1"/>
  <c r="AI3922" i="1"/>
  <c r="AH3922" i="1"/>
  <c r="AG3922" i="1"/>
  <c r="AL3922" i="1"/>
  <c r="AJ3922" i="1"/>
  <c r="AF3922" i="1"/>
  <c r="AE3922" i="1"/>
  <c r="AD3922" i="1"/>
  <c r="AC3922" i="1"/>
  <c r="AI3921" i="1"/>
  <c r="AH3921" i="1"/>
  <c r="AG3921" i="1"/>
  <c r="AJ3921" i="1"/>
  <c r="AL3921" i="1"/>
  <c r="AF3921" i="1"/>
  <c r="AE3921" i="1"/>
  <c r="AD3921" i="1"/>
  <c r="AC3921" i="1"/>
  <c r="AI3920" i="1"/>
  <c r="AH3920" i="1"/>
  <c r="AG3920" i="1"/>
  <c r="AL3920" i="1"/>
  <c r="AJ3920" i="1"/>
  <c r="AF3920" i="1"/>
  <c r="AE3920" i="1"/>
  <c r="AD3920" i="1"/>
  <c r="AC3920" i="1"/>
  <c r="AI3919" i="1"/>
  <c r="AH3919" i="1"/>
  <c r="AG3919" i="1"/>
  <c r="AJ3919" i="1"/>
  <c r="AL3919" i="1"/>
  <c r="AF3919" i="1"/>
  <c r="AE3919" i="1"/>
  <c r="AD3919" i="1"/>
  <c r="AC3919" i="1"/>
  <c r="AI3918" i="1"/>
  <c r="AH3918" i="1"/>
  <c r="AG3918" i="1"/>
  <c r="AL3918" i="1"/>
  <c r="AJ3918" i="1"/>
  <c r="AF3918" i="1"/>
  <c r="AE3918" i="1"/>
  <c r="AD3918" i="1"/>
  <c r="AC3918" i="1"/>
  <c r="AI3917" i="1"/>
  <c r="AH3917" i="1"/>
  <c r="AG3917" i="1"/>
  <c r="AL3917" i="1"/>
  <c r="AJ3917" i="1"/>
  <c r="AF3917" i="1"/>
  <c r="AE3917" i="1"/>
  <c r="AD3917" i="1"/>
  <c r="AC3917" i="1"/>
  <c r="AI3916" i="1"/>
  <c r="AH3916" i="1"/>
  <c r="AG3916" i="1"/>
  <c r="AL3916" i="1"/>
  <c r="AJ3916" i="1"/>
  <c r="AF3916" i="1"/>
  <c r="AE3916" i="1"/>
  <c r="AD3916" i="1"/>
  <c r="AC3916" i="1"/>
  <c r="AI3915" i="1"/>
  <c r="AH3915" i="1"/>
  <c r="AG3915" i="1"/>
  <c r="AJ3915" i="1"/>
  <c r="AL3915" i="1"/>
  <c r="AF3915" i="1"/>
  <c r="AE3915" i="1"/>
  <c r="AD3915" i="1"/>
  <c r="AC3915" i="1"/>
  <c r="AI3914" i="1"/>
  <c r="AH3914" i="1"/>
  <c r="AG3914" i="1"/>
  <c r="AL3914" i="1"/>
  <c r="AJ3914" i="1"/>
  <c r="AF3914" i="1"/>
  <c r="AE3914" i="1"/>
  <c r="AD3914" i="1"/>
  <c r="AC3914" i="1"/>
  <c r="AI3913" i="1"/>
  <c r="AH3913" i="1"/>
  <c r="AG3913" i="1"/>
  <c r="AL3913" i="1"/>
  <c r="AJ3913" i="1"/>
  <c r="AF3913" i="1"/>
  <c r="AE3913" i="1"/>
  <c r="AD3913" i="1"/>
  <c r="AC3913" i="1"/>
  <c r="AI3912" i="1"/>
  <c r="AH3912" i="1"/>
  <c r="AG3912" i="1"/>
  <c r="AJ3912" i="1"/>
  <c r="AL3912" i="1"/>
  <c r="AF3912" i="1"/>
  <c r="AE3912" i="1"/>
  <c r="AD3912" i="1"/>
  <c r="AC3912" i="1"/>
  <c r="AI3911" i="1"/>
  <c r="AH3911" i="1"/>
  <c r="AG3911" i="1"/>
  <c r="AL3911" i="1"/>
  <c r="AJ3911" i="1"/>
  <c r="AF3911" i="1"/>
  <c r="AE3911" i="1"/>
  <c r="AD3911" i="1"/>
  <c r="AC3911" i="1"/>
  <c r="AI3910" i="1"/>
  <c r="AH3910" i="1"/>
  <c r="AG3910" i="1"/>
  <c r="AJ3910" i="1"/>
  <c r="AL3910" i="1"/>
  <c r="AF3910" i="1"/>
  <c r="AE3910" i="1"/>
  <c r="AD3910" i="1"/>
  <c r="AC3910" i="1"/>
  <c r="AI3909" i="1"/>
  <c r="AH3909" i="1"/>
  <c r="AG3909" i="1"/>
  <c r="AL3909" i="1"/>
  <c r="AJ3909" i="1"/>
  <c r="AF3909" i="1"/>
  <c r="AE3909" i="1"/>
  <c r="AD3909" i="1"/>
  <c r="AC3909" i="1"/>
  <c r="AI3908" i="1"/>
  <c r="AH3908" i="1"/>
  <c r="AG3908" i="1"/>
  <c r="AL3908" i="1"/>
  <c r="AJ3908" i="1"/>
  <c r="AF3908" i="1"/>
  <c r="AE3908" i="1"/>
  <c r="AD3908" i="1"/>
  <c r="AC3908" i="1"/>
  <c r="AI3907" i="1"/>
  <c r="AH3907" i="1"/>
  <c r="AG3907" i="1"/>
  <c r="AL3907" i="1"/>
  <c r="AJ3907" i="1"/>
  <c r="AF3907" i="1"/>
  <c r="AE3907" i="1"/>
  <c r="AD3907" i="1"/>
  <c r="AC3907" i="1"/>
  <c r="AI3906" i="1"/>
  <c r="AH3906" i="1"/>
  <c r="AG3906" i="1"/>
  <c r="AJ3906" i="1"/>
  <c r="AL3906" i="1"/>
  <c r="AF3906" i="1"/>
  <c r="AE3906" i="1"/>
  <c r="AD3906" i="1"/>
  <c r="AC3906" i="1"/>
  <c r="AI3905" i="1"/>
  <c r="AH3905" i="1"/>
  <c r="AG3905" i="1"/>
  <c r="AL3905" i="1"/>
  <c r="AJ3905" i="1"/>
  <c r="AM3905" i="1" s="1"/>
  <c r="AF3905" i="1"/>
  <c r="AE3905" i="1"/>
  <c r="AD3905" i="1"/>
  <c r="AC3905" i="1"/>
  <c r="AI3904" i="1"/>
  <c r="AH3904" i="1"/>
  <c r="AG3904" i="1"/>
  <c r="AL3904" i="1"/>
  <c r="AJ3904" i="1"/>
  <c r="AF3904" i="1"/>
  <c r="AE3904" i="1"/>
  <c r="AD3904" i="1"/>
  <c r="AC3904" i="1"/>
  <c r="AI3903" i="1"/>
  <c r="AH3903" i="1"/>
  <c r="AG3903" i="1"/>
  <c r="AL3903" i="1"/>
  <c r="AJ3903" i="1"/>
  <c r="AF3903" i="1"/>
  <c r="AE3903" i="1"/>
  <c r="AD3903" i="1"/>
  <c r="AC3903" i="1"/>
  <c r="AH3902" i="1"/>
  <c r="AG3902" i="1"/>
  <c r="AI3902" i="1"/>
  <c r="AL3902" i="1"/>
  <c r="AJ3902" i="1"/>
  <c r="AM3902" i="1" s="1"/>
  <c r="AF3902" i="1"/>
  <c r="AE3902" i="1"/>
  <c r="AD3902" i="1"/>
  <c r="AC3902" i="1"/>
  <c r="AI3901" i="1"/>
  <c r="AH3901" i="1"/>
  <c r="AG3901" i="1"/>
  <c r="AL3901" i="1"/>
  <c r="AJ3901" i="1"/>
  <c r="AF3901" i="1"/>
  <c r="AE3901" i="1"/>
  <c r="AD3901" i="1"/>
  <c r="AC3901" i="1"/>
  <c r="AI3900" i="1"/>
  <c r="AH3900" i="1"/>
  <c r="AG3900" i="1"/>
  <c r="AL3900" i="1"/>
  <c r="AJ3900" i="1"/>
  <c r="AM3900" i="1" s="1"/>
  <c r="AF3900" i="1"/>
  <c r="AE3900" i="1"/>
  <c r="AD3900" i="1"/>
  <c r="AC3900" i="1"/>
  <c r="AI3899" i="1"/>
  <c r="AH3899" i="1"/>
  <c r="AG3899" i="1"/>
  <c r="AL3899" i="1"/>
  <c r="AJ3899" i="1"/>
  <c r="AF3899" i="1"/>
  <c r="AE3899" i="1"/>
  <c r="AD3899" i="1"/>
  <c r="AC3899" i="1"/>
  <c r="AI3898" i="1"/>
  <c r="AH3898" i="1"/>
  <c r="AG3898" i="1"/>
  <c r="AJ3898" i="1"/>
  <c r="AL3898" i="1"/>
  <c r="AF3898" i="1"/>
  <c r="AE3898" i="1"/>
  <c r="AD3898" i="1"/>
  <c r="AC3898" i="1"/>
  <c r="AI3897" i="1"/>
  <c r="AH3897" i="1"/>
  <c r="AG3897" i="1"/>
  <c r="AL3897" i="1"/>
  <c r="AJ3897" i="1"/>
  <c r="AF3897" i="1"/>
  <c r="AE3897" i="1"/>
  <c r="AD3897" i="1"/>
  <c r="AC3897" i="1"/>
  <c r="AI3896" i="1"/>
  <c r="AH3896" i="1"/>
  <c r="AG3896" i="1"/>
  <c r="AL3896" i="1"/>
  <c r="AJ3896" i="1"/>
  <c r="AF3896" i="1"/>
  <c r="AE3896" i="1"/>
  <c r="AD3896" i="1"/>
  <c r="AC3896" i="1"/>
  <c r="AI3895" i="1"/>
  <c r="AH3895" i="1"/>
  <c r="AG3895" i="1"/>
  <c r="AJ3895" i="1"/>
  <c r="AL3895" i="1"/>
  <c r="AF3895" i="1"/>
  <c r="AE3895" i="1"/>
  <c r="AD3895" i="1"/>
  <c r="AC3895" i="1"/>
  <c r="AI3894" i="1"/>
  <c r="AH3894" i="1"/>
  <c r="AG3894" i="1"/>
  <c r="AL3894" i="1"/>
  <c r="AJ3894" i="1"/>
  <c r="AF3894" i="1"/>
  <c r="AE3894" i="1"/>
  <c r="AD3894" i="1"/>
  <c r="AC3894" i="1"/>
  <c r="AI3893" i="1"/>
  <c r="AH3893" i="1"/>
  <c r="AG3893" i="1"/>
  <c r="AJ3893" i="1"/>
  <c r="AL3893" i="1"/>
  <c r="AF3893" i="1"/>
  <c r="AE3893" i="1"/>
  <c r="AD3893" i="1"/>
  <c r="AC3893" i="1"/>
  <c r="AI3892" i="1"/>
  <c r="AH3892" i="1"/>
  <c r="AG3892" i="1"/>
  <c r="AL3892" i="1"/>
  <c r="AJ3892" i="1"/>
  <c r="AF3892" i="1"/>
  <c r="AE3892" i="1"/>
  <c r="AD3892" i="1"/>
  <c r="AC3892" i="1"/>
  <c r="AI3891" i="1"/>
  <c r="AH3891" i="1"/>
  <c r="AG3891" i="1"/>
  <c r="AL3891" i="1"/>
  <c r="AJ3891" i="1"/>
  <c r="AF3891" i="1"/>
  <c r="AE3891" i="1"/>
  <c r="AD3891" i="1"/>
  <c r="AC3891" i="1"/>
  <c r="AI3890" i="1"/>
  <c r="AH3890" i="1"/>
  <c r="AG3890" i="1"/>
  <c r="AL3890" i="1"/>
  <c r="AJ3890" i="1"/>
  <c r="AF3890" i="1"/>
  <c r="AE3890" i="1"/>
  <c r="AD3890" i="1"/>
  <c r="AC3890" i="1"/>
  <c r="AI3889" i="1"/>
  <c r="AH3889" i="1"/>
  <c r="AG3889" i="1"/>
  <c r="AJ3889" i="1"/>
  <c r="AL3889" i="1"/>
  <c r="AF3889" i="1"/>
  <c r="AE3889" i="1"/>
  <c r="AD3889" i="1"/>
  <c r="AC3889" i="1"/>
  <c r="AI3888" i="1"/>
  <c r="AH3888" i="1"/>
  <c r="AG3888" i="1"/>
  <c r="AL3888" i="1"/>
  <c r="AJ3888" i="1"/>
  <c r="AF3888" i="1"/>
  <c r="AE3888" i="1"/>
  <c r="AD3888" i="1"/>
  <c r="AC3888" i="1"/>
  <c r="AI3887" i="1"/>
  <c r="AH3887" i="1"/>
  <c r="AG3887" i="1"/>
  <c r="AL3887" i="1"/>
  <c r="AJ3887" i="1"/>
  <c r="AF3887" i="1"/>
  <c r="AE3887" i="1"/>
  <c r="AD3887" i="1"/>
  <c r="AC3887" i="1"/>
  <c r="AI3886" i="1"/>
  <c r="AH3886" i="1"/>
  <c r="AG3886" i="1"/>
  <c r="AL3886" i="1"/>
  <c r="AJ3886" i="1"/>
  <c r="AF3886" i="1"/>
  <c r="AE3886" i="1"/>
  <c r="AD3886" i="1"/>
  <c r="AC3886" i="1"/>
  <c r="AH3885" i="1"/>
  <c r="AG3885" i="1"/>
  <c r="AI3885" i="1"/>
  <c r="AL3885" i="1"/>
  <c r="AJ3885" i="1"/>
  <c r="AF3885" i="1"/>
  <c r="AE3885" i="1"/>
  <c r="AD3885" i="1"/>
  <c r="AC3885" i="1"/>
  <c r="AI3884" i="1"/>
  <c r="AH3884" i="1"/>
  <c r="AG3884" i="1"/>
  <c r="AL3884" i="1"/>
  <c r="AJ3884" i="1"/>
  <c r="AF3884" i="1"/>
  <c r="AE3884" i="1"/>
  <c r="AD3884" i="1"/>
  <c r="AC3884" i="1"/>
  <c r="AI3883" i="1"/>
  <c r="AH3883" i="1"/>
  <c r="AG3883" i="1"/>
  <c r="AL3883" i="1"/>
  <c r="AJ3883" i="1"/>
  <c r="AF3883" i="1"/>
  <c r="AE3883" i="1"/>
  <c r="AD3883" i="1"/>
  <c r="AC3883" i="1"/>
  <c r="AI3882" i="1"/>
  <c r="AH3882" i="1"/>
  <c r="AG3882" i="1"/>
  <c r="AL3882" i="1"/>
  <c r="AJ3882" i="1"/>
  <c r="AM3882" i="1" s="1"/>
  <c r="AF3882" i="1"/>
  <c r="AE3882" i="1"/>
  <c r="AD3882" i="1"/>
  <c r="AC3882" i="1"/>
  <c r="AH3881" i="1"/>
  <c r="AG3881" i="1"/>
  <c r="AI3881" i="1"/>
  <c r="AL3881" i="1"/>
  <c r="AJ3881" i="1"/>
  <c r="AF3881" i="1"/>
  <c r="AE3881" i="1"/>
  <c r="AD3881" i="1"/>
  <c r="AC3881" i="1"/>
  <c r="AI3880" i="1"/>
  <c r="AH3880" i="1"/>
  <c r="AG3880" i="1"/>
  <c r="AL3880" i="1"/>
  <c r="AJ3880" i="1"/>
  <c r="AF3880" i="1"/>
  <c r="AE3880" i="1"/>
  <c r="AD3880" i="1"/>
  <c r="AC3880" i="1"/>
  <c r="AI3879" i="1"/>
  <c r="AH3879" i="1"/>
  <c r="AG3879" i="1"/>
  <c r="AL3879" i="1"/>
  <c r="AJ3879" i="1"/>
  <c r="AF3879" i="1"/>
  <c r="AE3879" i="1"/>
  <c r="AD3879" i="1"/>
  <c r="AC3879" i="1"/>
  <c r="AI3878" i="1"/>
  <c r="AH3878" i="1"/>
  <c r="AG3878" i="1"/>
  <c r="AJ3878" i="1"/>
  <c r="AL3878" i="1"/>
  <c r="AF3878" i="1"/>
  <c r="AE3878" i="1"/>
  <c r="AD3878" i="1"/>
  <c r="AC3878" i="1"/>
  <c r="AI3877" i="1"/>
  <c r="AH3877" i="1"/>
  <c r="AG3877" i="1"/>
  <c r="AL3877" i="1"/>
  <c r="AJ3877" i="1"/>
  <c r="AF3877" i="1"/>
  <c r="AE3877" i="1"/>
  <c r="AD3877" i="1"/>
  <c r="AC3877" i="1"/>
  <c r="AI3876" i="1"/>
  <c r="AH3876" i="1"/>
  <c r="AG3876" i="1"/>
  <c r="AJ3876" i="1"/>
  <c r="AL3876" i="1"/>
  <c r="AF3876" i="1"/>
  <c r="AE3876" i="1"/>
  <c r="AD3876" i="1"/>
  <c r="AC3876" i="1"/>
  <c r="AI3875" i="1"/>
  <c r="AH3875" i="1"/>
  <c r="AG3875" i="1"/>
  <c r="AL3875" i="1"/>
  <c r="AJ3875" i="1"/>
  <c r="AF3875" i="1"/>
  <c r="AE3875" i="1"/>
  <c r="AD3875" i="1"/>
  <c r="AC3875" i="1"/>
  <c r="AI3874" i="1"/>
  <c r="AH3874" i="1"/>
  <c r="AG3874" i="1"/>
  <c r="AL3874" i="1"/>
  <c r="AJ3874" i="1"/>
  <c r="AF3874" i="1"/>
  <c r="AE3874" i="1"/>
  <c r="AD3874" i="1"/>
  <c r="AC3874" i="1"/>
  <c r="AI3873" i="1"/>
  <c r="AH3873" i="1"/>
  <c r="AG3873" i="1"/>
  <c r="AL3873" i="1"/>
  <c r="AJ3873" i="1"/>
  <c r="AF3873" i="1"/>
  <c r="AE3873" i="1"/>
  <c r="AD3873" i="1"/>
  <c r="AC3873" i="1"/>
  <c r="AI3872" i="1"/>
  <c r="AH3872" i="1"/>
  <c r="AG3872" i="1"/>
  <c r="AJ3872" i="1"/>
  <c r="AL3872" i="1"/>
  <c r="AF3872" i="1"/>
  <c r="AE3872" i="1"/>
  <c r="AD3872" i="1"/>
  <c r="AC3872" i="1"/>
  <c r="AI3871" i="1"/>
  <c r="AH3871" i="1"/>
  <c r="AG3871" i="1"/>
  <c r="AL3871" i="1"/>
  <c r="AJ3871" i="1"/>
  <c r="AF3871" i="1"/>
  <c r="AE3871" i="1"/>
  <c r="AD3871" i="1"/>
  <c r="AC3871" i="1"/>
  <c r="AI3870" i="1"/>
  <c r="AH3870" i="1"/>
  <c r="AG3870" i="1"/>
  <c r="AL3870" i="1"/>
  <c r="AJ3870" i="1"/>
  <c r="AF3870" i="1"/>
  <c r="AE3870" i="1"/>
  <c r="AD3870" i="1"/>
  <c r="AC3870" i="1"/>
  <c r="AI3869" i="1"/>
  <c r="AH3869" i="1"/>
  <c r="AG3869" i="1"/>
  <c r="AL3869" i="1"/>
  <c r="AJ3869" i="1"/>
  <c r="AF3869" i="1"/>
  <c r="AE3869" i="1"/>
  <c r="AD3869" i="1"/>
  <c r="AC3869" i="1"/>
  <c r="AH3868" i="1"/>
  <c r="AG3868" i="1"/>
  <c r="AI3868" i="1"/>
  <c r="AL3868" i="1"/>
  <c r="AJ3868" i="1"/>
  <c r="AF3868" i="1"/>
  <c r="AE3868" i="1"/>
  <c r="AD3868" i="1"/>
  <c r="AC3868" i="1"/>
  <c r="AI3867" i="1"/>
  <c r="AH3867" i="1"/>
  <c r="AG3867" i="1"/>
  <c r="AL3867" i="1"/>
  <c r="AJ3867" i="1"/>
  <c r="AF3867" i="1"/>
  <c r="AE3867" i="1"/>
  <c r="AD3867" i="1"/>
  <c r="AC3867" i="1"/>
  <c r="AI3866" i="1"/>
  <c r="AH3866" i="1"/>
  <c r="AG3866" i="1"/>
  <c r="AL3866" i="1"/>
  <c r="AJ3866" i="1"/>
  <c r="AF3866" i="1"/>
  <c r="AE3866" i="1"/>
  <c r="AD3866" i="1"/>
  <c r="AC3866" i="1"/>
  <c r="AI3865" i="1"/>
  <c r="AH3865" i="1"/>
  <c r="AG3865" i="1"/>
  <c r="AL3865" i="1"/>
  <c r="AJ3865" i="1"/>
  <c r="AF3865" i="1"/>
  <c r="AE3865" i="1"/>
  <c r="AD3865" i="1"/>
  <c r="AC3865" i="1"/>
  <c r="AI3864" i="1"/>
  <c r="AH3864" i="1"/>
  <c r="AG3864" i="1"/>
  <c r="AJ3864" i="1"/>
  <c r="AL3864" i="1"/>
  <c r="AF3864" i="1"/>
  <c r="AE3864" i="1"/>
  <c r="AD3864" i="1"/>
  <c r="AC3864" i="1"/>
  <c r="AI3863" i="1"/>
  <c r="AH3863" i="1"/>
  <c r="AG3863" i="1"/>
  <c r="AL3863" i="1"/>
  <c r="AJ3863" i="1"/>
  <c r="AF3863" i="1"/>
  <c r="AE3863" i="1"/>
  <c r="AD3863" i="1"/>
  <c r="AC3863" i="1"/>
  <c r="AI3862" i="1"/>
  <c r="AH3862" i="1"/>
  <c r="AG3862" i="1"/>
  <c r="AL3862" i="1"/>
  <c r="AJ3862" i="1"/>
  <c r="AF3862" i="1"/>
  <c r="AE3862" i="1"/>
  <c r="AD3862" i="1"/>
  <c r="AC3862" i="1"/>
  <c r="AI3861" i="1"/>
  <c r="AH3861" i="1"/>
  <c r="AG3861" i="1"/>
  <c r="AJ3861" i="1"/>
  <c r="AL3861" i="1"/>
  <c r="AF3861" i="1"/>
  <c r="AE3861" i="1"/>
  <c r="AD3861" i="1"/>
  <c r="AC3861" i="1"/>
  <c r="AI3860" i="1"/>
  <c r="AH3860" i="1"/>
  <c r="AG3860" i="1"/>
  <c r="AL3860" i="1"/>
  <c r="AJ3860" i="1"/>
  <c r="AF3860" i="1"/>
  <c r="AE3860" i="1"/>
  <c r="AD3860" i="1"/>
  <c r="AC3860" i="1"/>
  <c r="AI3859" i="1"/>
  <c r="AH3859" i="1"/>
  <c r="AG3859" i="1"/>
  <c r="AJ3859" i="1"/>
  <c r="AL3859" i="1"/>
  <c r="AF3859" i="1"/>
  <c r="AE3859" i="1"/>
  <c r="AD3859" i="1"/>
  <c r="AC3859" i="1"/>
  <c r="AI3858" i="1"/>
  <c r="AH3858" i="1"/>
  <c r="AG3858" i="1"/>
  <c r="AL3858" i="1"/>
  <c r="AJ3858" i="1"/>
  <c r="AF3858" i="1"/>
  <c r="AE3858" i="1"/>
  <c r="AD3858" i="1"/>
  <c r="AC3858" i="1"/>
  <c r="AI3857" i="1"/>
  <c r="AH3857" i="1"/>
  <c r="AG3857" i="1"/>
  <c r="AL3857" i="1"/>
  <c r="AJ3857" i="1"/>
  <c r="AF3857" i="1"/>
  <c r="AE3857" i="1"/>
  <c r="AD3857" i="1"/>
  <c r="AC3857" i="1"/>
  <c r="AI3856" i="1"/>
  <c r="AH3856" i="1"/>
  <c r="AG3856" i="1"/>
  <c r="AL3856" i="1"/>
  <c r="AJ3856" i="1"/>
  <c r="AF3856" i="1"/>
  <c r="AE3856" i="1"/>
  <c r="AD3856" i="1"/>
  <c r="AC3856" i="1"/>
  <c r="AH3855" i="1"/>
  <c r="AG3855" i="1"/>
  <c r="AI3855" i="1"/>
  <c r="AL3855" i="1"/>
  <c r="AJ3855" i="1"/>
  <c r="AF3855" i="1"/>
  <c r="AE3855" i="1"/>
  <c r="AD3855" i="1"/>
  <c r="AC3855" i="1"/>
  <c r="AI3854" i="1"/>
  <c r="AH3854" i="1"/>
  <c r="AG3854" i="1"/>
  <c r="AL3854" i="1"/>
  <c r="AJ3854" i="1"/>
  <c r="AF3854" i="1"/>
  <c r="AE3854" i="1"/>
  <c r="AD3854" i="1"/>
  <c r="AC3854" i="1"/>
  <c r="AI3853" i="1"/>
  <c r="AH3853" i="1"/>
  <c r="AG3853" i="1"/>
  <c r="AL3853" i="1"/>
  <c r="AJ3853" i="1"/>
  <c r="AF3853" i="1"/>
  <c r="AE3853" i="1"/>
  <c r="AD3853" i="1"/>
  <c r="AC3853" i="1"/>
  <c r="AI3852" i="1"/>
  <c r="AH3852" i="1"/>
  <c r="AG3852" i="1"/>
  <c r="AJ3852" i="1"/>
  <c r="AL3852" i="1"/>
  <c r="AF3852" i="1"/>
  <c r="AE3852" i="1"/>
  <c r="AD3852" i="1"/>
  <c r="AC3852" i="1"/>
  <c r="AI3851" i="1"/>
  <c r="AH3851" i="1"/>
  <c r="AG3851" i="1"/>
  <c r="AL3851" i="1"/>
  <c r="AJ3851" i="1"/>
  <c r="AM3851" i="1" s="1"/>
  <c r="AF3851" i="1"/>
  <c r="AE3851" i="1"/>
  <c r="AD3851" i="1"/>
  <c r="AC3851" i="1"/>
  <c r="AI3850" i="1"/>
  <c r="AH3850" i="1"/>
  <c r="AG3850" i="1"/>
  <c r="AJ3850" i="1"/>
  <c r="AL3850" i="1"/>
  <c r="AF3850" i="1"/>
  <c r="AE3850" i="1"/>
  <c r="AD3850" i="1"/>
  <c r="AC3850" i="1"/>
  <c r="AI3849" i="1"/>
  <c r="AH3849" i="1"/>
  <c r="AG3849" i="1"/>
  <c r="AL3849" i="1"/>
  <c r="AJ3849" i="1"/>
  <c r="AF3849" i="1"/>
  <c r="AE3849" i="1"/>
  <c r="AD3849" i="1"/>
  <c r="AC3849" i="1"/>
  <c r="AI3848" i="1"/>
  <c r="AH3848" i="1"/>
  <c r="AG3848" i="1"/>
  <c r="AL3848" i="1"/>
  <c r="AJ3848" i="1"/>
  <c r="AF3848" i="1"/>
  <c r="AE3848" i="1"/>
  <c r="AD3848" i="1"/>
  <c r="AC3848" i="1"/>
  <c r="AI3847" i="1"/>
  <c r="AH3847" i="1"/>
  <c r="AG3847" i="1"/>
  <c r="AL3847" i="1"/>
  <c r="AJ3847" i="1"/>
  <c r="AF3847" i="1"/>
  <c r="AE3847" i="1"/>
  <c r="AD3847" i="1"/>
  <c r="AC3847" i="1"/>
  <c r="AI3846" i="1"/>
  <c r="AH3846" i="1"/>
  <c r="AG3846" i="1"/>
  <c r="AJ3846" i="1"/>
  <c r="AL3846" i="1"/>
  <c r="AF3846" i="1"/>
  <c r="AE3846" i="1"/>
  <c r="AD3846" i="1"/>
  <c r="AC3846" i="1"/>
  <c r="AI3845" i="1"/>
  <c r="AH3845" i="1"/>
  <c r="AG3845" i="1"/>
  <c r="AL3845" i="1"/>
  <c r="AJ3845" i="1"/>
  <c r="AF3845" i="1"/>
  <c r="AE3845" i="1"/>
  <c r="AD3845" i="1"/>
  <c r="AC3845" i="1"/>
  <c r="AI3844" i="1"/>
  <c r="AH3844" i="1"/>
  <c r="AG3844" i="1"/>
  <c r="AL3844" i="1"/>
  <c r="AJ3844" i="1"/>
  <c r="AF3844" i="1"/>
  <c r="AE3844" i="1"/>
  <c r="AD3844" i="1"/>
  <c r="AC3844" i="1"/>
  <c r="AI3843" i="1"/>
  <c r="AH3843" i="1"/>
  <c r="AG3843" i="1"/>
  <c r="AJ3843" i="1"/>
  <c r="AL3843" i="1"/>
  <c r="AF3843" i="1"/>
  <c r="AE3843" i="1"/>
  <c r="AD3843" i="1"/>
  <c r="AC3843" i="1"/>
  <c r="AI3842" i="1"/>
  <c r="AH3842" i="1"/>
  <c r="AG3842" i="1"/>
  <c r="AL3842" i="1"/>
  <c r="AJ3842" i="1"/>
  <c r="AF3842" i="1"/>
  <c r="AE3842" i="1"/>
  <c r="AD3842" i="1"/>
  <c r="AC3842" i="1"/>
  <c r="AI3841" i="1"/>
  <c r="AH3841" i="1"/>
  <c r="AG3841" i="1"/>
  <c r="AJ3841" i="1"/>
  <c r="AL3841" i="1"/>
  <c r="AF3841" i="1"/>
  <c r="AE3841" i="1"/>
  <c r="AD3841" i="1"/>
  <c r="AC3841" i="1"/>
  <c r="AI3840" i="1"/>
  <c r="AH3840" i="1"/>
  <c r="AG3840" i="1"/>
  <c r="AL3840" i="1"/>
  <c r="AJ3840" i="1"/>
  <c r="AF3840" i="1"/>
  <c r="AE3840" i="1"/>
  <c r="AD3840" i="1"/>
  <c r="AC3840" i="1"/>
  <c r="AI3839" i="1"/>
  <c r="AH3839" i="1"/>
  <c r="AG3839" i="1"/>
  <c r="AL3839" i="1"/>
  <c r="AJ3839" i="1"/>
  <c r="AF3839" i="1"/>
  <c r="AE3839" i="1"/>
  <c r="AD3839" i="1"/>
  <c r="AC3839" i="1"/>
  <c r="AI3838" i="1"/>
  <c r="AH3838" i="1"/>
  <c r="AG3838" i="1"/>
  <c r="AL3838" i="1"/>
  <c r="AJ3838" i="1"/>
  <c r="AF3838" i="1"/>
  <c r="AE3838" i="1"/>
  <c r="AD3838" i="1"/>
  <c r="AC3838" i="1"/>
  <c r="AI3837" i="1"/>
  <c r="AH3837" i="1"/>
  <c r="AG3837" i="1"/>
  <c r="AJ3837" i="1"/>
  <c r="AL3837" i="1"/>
  <c r="AF3837" i="1"/>
  <c r="AE3837" i="1"/>
  <c r="AD3837" i="1"/>
  <c r="AC3837" i="1"/>
  <c r="AI3836" i="1"/>
  <c r="AH3836" i="1"/>
  <c r="AG3836" i="1"/>
  <c r="AL3836" i="1"/>
  <c r="AJ3836" i="1"/>
  <c r="AF3836" i="1"/>
  <c r="AE3836" i="1"/>
  <c r="AD3836" i="1"/>
  <c r="AC3836" i="1"/>
  <c r="AI3835" i="1"/>
  <c r="AH3835" i="1"/>
  <c r="AG3835" i="1"/>
  <c r="AL3835" i="1"/>
  <c r="AJ3835" i="1"/>
  <c r="AF3835" i="1"/>
  <c r="AE3835" i="1"/>
  <c r="AD3835" i="1"/>
  <c r="AC3835" i="1"/>
  <c r="AI3834" i="1"/>
  <c r="AH3834" i="1"/>
  <c r="AG3834" i="1"/>
  <c r="AL3834" i="1"/>
  <c r="AJ3834" i="1"/>
  <c r="AF3834" i="1"/>
  <c r="AE3834" i="1"/>
  <c r="AD3834" i="1"/>
  <c r="AC3834" i="1"/>
  <c r="AH3833" i="1"/>
  <c r="AG3833" i="1"/>
  <c r="AI3833" i="1"/>
  <c r="AL3833" i="1"/>
  <c r="AJ3833" i="1"/>
  <c r="AF3833" i="1"/>
  <c r="AE3833" i="1"/>
  <c r="AD3833" i="1"/>
  <c r="AC3833" i="1"/>
  <c r="AI3832" i="1"/>
  <c r="AH3832" i="1"/>
  <c r="AG3832" i="1"/>
  <c r="AL3832" i="1"/>
  <c r="AJ3832" i="1"/>
  <c r="AF3832" i="1"/>
  <c r="AE3832" i="1"/>
  <c r="AD3832" i="1"/>
  <c r="AC3832" i="1"/>
  <c r="AI3831" i="1"/>
  <c r="AH3831" i="1"/>
  <c r="AG3831" i="1"/>
  <c r="AL3831" i="1"/>
  <c r="AJ3831" i="1"/>
  <c r="AF3831" i="1"/>
  <c r="AE3831" i="1"/>
  <c r="AD3831" i="1"/>
  <c r="AC3831" i="1"/>
  <c r="AI3830" i="1"/>
  <c r="AH3830" i="1"/>
  <c r="AG3830" i="1"/>
  <c r="AL3830" i="1"/>
  <c r="AJ3830" i="1"/>
  <c r="AF3830" i="1"/>
  <c r="AE3830" i="1"/>
  <c r="AD3830" i="1"/>
  <c r="AC3830" i="1"/>
  <c r="AI3829" i="1"/>
  <c r="AH3829" i="1"/>
  <c r="AG3829" i="1"/>
  <c r="AJ3829" i="1"/>
  <c r="AL3829" i="1"/>
  <c r="AF3829" i="1"/>
  <c r="AE3829" i="1"/>
  <c r="AD3829" i="1"/>
  <c r="AC3829" i="1"/>
  <c r="AI3828" i="1"/>
  <c r="AH3828" i="1"/>
  <c r="AG3828" i="1"/>
  <c r="AL3828" i="1"/>
  <c r="AJ3828" i="1"/>
  <c r="AF3828" i="1"/>
  <c r="AE3828" i="1"/>
  <c r="AD3828" i="1"/>
  <c r="AC3828" i="1"/>
  <c r="AI3827" i="1"/>
  <c r="AH3827" i="1"/>
  <c r="AG3827" i="1"/>
  <c r="AL3827" i="1"/>
  <c r="AJ3827" i="1"/>
  <c r="AF3827" i="1"/>
  <c r="AE3827" i="1"/>
  <c r="AD3827" i="1"/>
  <c r="AC3827" i="1"/>
  <c r="AI3826" i="1"/>
  <c r="AH3826" i="1"/>
  <c r="AG3826" i="1"/>
  <c r="AJ3826" i="1"/>
  <c r="AL3826" i="1"/>
  <c r="AF3826" i="1"/>
  <c r="AE3826" i="1"/>
  <c r="AD3826" i="1"/>
  <c r="AC3826" i="1"/>
  <c r="AI3825" i="1"/>
  <c r="AH3825" i="1"/>
  <c r="AG3825" i="1"/>
  <c r="AL3825" i="1"/>
  <c r="AJ3825" i="1"/>
  <c r="AF3825" i="1"/>
  <c r="AE3825" i="1"/>
  <c r="AD3825" i="1"/>
  <c r="AC3825" i="1"/>
  <c r="AI3824" i="1"/>
  <c r="AH3824" i="1"/>
  <c r="AG3824" i="1"/>
  <c r="AJ3824" i="1"/>
  <c r="AL3824" i="1"/>
  <c r="AF3824" i="1"/>
  <c r="AE3824" i="1"/>
  <c r="AD3824" i="1"/>
  <c r="AC3824" i="1"/>
  <c r="AI3823" i="1"/>
  <c r="AH3823" i="1"/>
  <c r="AG3823" i="1"/>
  <c r="AL3823" i="1"/>
  <c r="AJ3823" i="1"/>
  <c r="AF3823" i="1"/>
  <c r="AE3823" i="1"/>
  <c r="AD3823" i="1"/>
  <c r="AC3823" i="1"/>
  <c r="AI3822" i="1"/>
  <c r="AH3822" i="1"/>
  <c r="AG3822" i="1"/>
  <c r="AL3822" i="1"/>
  <c r="AJ3822" i="1"/>
  <c r="AF3822" i="1"/>
  <c r="AE3822" i="1"/>
  <c r="AD3822" i="1"/>
  <c r="AC3822" i="1"/>
  <c r="AI3821" i="1"/>
  <c r="AH3821" i="1"/>
  <c r="AG3821" i="1"/>
  <c r="AL3821" i="1"/>
  <c r="AJ3821" i="1"/>
  <c r="AF3821" i="1"/>
  <c r="AE3821" i="1"/>
  <c r="AD3821" i="1"/>
  <c r="AC3821" i="1"/>
  <c r="AI3820" i="1"/>
  <c r="AH3820" i="1"/>
  <c r="AG3820" i="1"/>
  <c r="AJ3820" i="1"/>
  <c r="AL3820" i="1"/>
  <c r="AF3820" i="1"/>
  <c r="AE3820" i="1"/>
  <c r="AD3820" i="1"/>
  <c r="AC3820" i="1"/>
  <c r="AI3819" i="1"/>
  <c r="AH3819" i="1"/>
  <c r="AG3819" i="1"/>
  <c r="AL3819" i="1"/>
  <c r="AJ3819" i="1"/>
  <c r="AF3819" i="1"/>
  <c r="AE3819" i="1"/>
  <c r="AD3819" i="1"/>
  <c r="AC3819" i="1"/>
  <c r="AI3818" i="1"/>
  <c r="AH3818" i="1"/>
  <c r="AG3818" i="1"/>
  <c r="AL3818" i="1"/>
  <c r="AJ3818" i="1"/>
  <c r="AF3818" i="1"/>
  <c r="AE3818" i="1"/>
  <c r="AD3818" i="1"/>
  <c r="AC3818" i="1"/>
  <c r="AI3817" i="1"/>
  <c r="AH3817" i="1"/>
  <c r="AG3817" i="1"/>
  <c r="AL3817" i="1"/>
  <c r="AJ3817" i="1"/>
  <c r="AF3817" i="1"/>
  <c r="AE3817" i="1"/>
  <c r="AD3817" i="1"/>
  <c r="AC3817" i="1"/>
  <c r="AH3816" i="1"/>
  <c r="AG3816" i="1"/>
  <c r="AI3816" i="1"/>
  <c r="AL3816" i="1"/>
  <c r="AJ3816" i="1"/>
  <c r="AF3816" i="1"/>
  <c r="AE3816" i="1"/>
  <c r="AD3816" i="1"/>
  <c r="AC3816" i="1"/>
  <c r="AI3815" i="1"/>
  <c r="AH3815" i="1"/>
  <c r="AG3815" i="1"/>
  <c r="AL3815" i="1"/>
  <c r="AJ3815" i="1"/>
  <c r="AF3815" i="1"/>
  <c r="AE3815" i="1"/>
  <c r="AD3815" i="1"/>
  <c r="AC3815" i="1"/>
  <c r="AI3814" i="1"/>
  <c r="AH3814" i="1"/>
  <c r="AG3814" i="1"/>
  <c r="AL3814" i="1"/>
  <c r="AJ3814" i="1"/>
  <c r="AF3814" i="1"/>
  <c r="AE3814" i="1"/>
  <c r="AD3814" i="1"/>
  <c r="AC3814" i="1"/>
  <c r="AI3813" i="1"/>
  <c r="AH3813" i="1"/>
  <c r="AG3813" i="1"/>
  <c r="AL3813" i="1"/>
  <c r="AJ3813" i="1"/>
  <c r="AM3813" i="1" s="1"/>
  <c r="AF3813" i="1"/>
  <c r="AE3813" i="1"/>
  <c r="AD3813" i="1"/>
  <c r="AC3813" i="1"/>
  <c r="AH3812" i="1"/>
  <c r="AG3812" i="1"/>
  <c r="AI3812" i="1"/>
  <c r="AL3812" i="1"/>
  <c r="AJ3812" i="1"/>
  <c r="AF3812" i="1"/>
  <c r="AE3812" i="1"/>
  <c r="AD3812" i="1"/>
  <c r="AC3812" i="1"/>
  <c r="AI3811" i="1"/>
  <c r="AH3811" i="1"/>
  <c r="AG3811" i="1"/>
  <c r="AL3811" i="1"/>
  <c r="AJ3811" i="1"/>
  <c r="AF3811" i="1"/>
  <c r="AE3811" i="1"/>
  <c r="AD3811" i="1"/>
  <c r="AC3811" i="1"/>
  <c r="AI3810" i="1"/>
  <c r="AH3810" i="1"/>
  <c r="AG3810" i="1"/>
  <c r="AL3810" i="1"/>
  <c r="AJ3810" i="1"/>
  <c r="AF3810" i="1"/>
  <c r="AE3810" i="1"/>
  <c r="AD3810" i="1"/>
  <c r="AC3810" i="1"/>
  <c r="AI3809" i="1"/>
  <c r="AH3809" i="1"/>
  <c r="AG3809" i="1"/>
  <c r="AJ3809" i="1"/>
  <c r="AL3809" i="1"/>
  <c r="AF3809" i="1"/>
  <c r="AE3809" i="1"/>
  <c r="AD3809" i="1"/>
  <c r="AC3809" i="1"/>
  <c r="AI3808" i="1"/>
  <c r="AH3808" i="1"/>
  <c r="AG3808" i="1"/>
  <c r="AL3808" i="1"/>
  <c r="AJ3808" i="1"/>
  <c r="AF3808" i="1"/>
  <c r="AE3808" i="1"/>
  <c r="AD3808" i="1"/>
  <c r="AC3808" i="1"/>
  <c r="AI3807" i="1"/>
  <c r="AH3807" i="1"/>
  <c r="AG3807" i="1"/>
  <c r="AJ3807" i="1"/>
  <c r="AL3807" i="1"/>
  <c r="AF3807" i="1"/>
  <c r="AE3807" i="1"/>
  <c r="AD3807" i="1"/>
  <c r="AC3807" i="1"/>
  <c r="AI3806" i="1"/>
  <c r="AH3806" i="1"/>
  <c r="AG3806" i="1"/>
  <c r="AL3806" i="1"/>
  <c r="AJ3806" i="1"/>
  <c r="AF3806" i="1"/>
  <c r="AE3806" i="1"/>
  <c r="AD3806" i="1"/>
  <c r="AC3806" i="1"/>
  <c r="AI3805" i="1"/>
  <c r="AH3805" i="1"/>
  <c r="AG3805" i="1"/>
  <c r="AL3805" i="1"/>
  <c r="AJ3805" i="1"/>
  <c r="AF3805" i="1"/>
  <c r="AE3805" i="1"/>
  <c r="AD3805" i="1"/>
  <c r="AC3805" i="1"/>
  <c r="AI3804" i="1"/>
  <c r="AH3804" i="1"/>
  <c r="AG3804" i="1"/>
  <c r="AL3804" i="1"/>
  <c r="AJ3804" i="1"/>
  <c r="AM3804" i="1" s="1"/>
  <c r="AF3804" i="1"/>
  <c r="AE3804" i="1"/>
  <c r="AD3804" i="1"/>
  <c r="AC3804" i="1"/>
  <c r="AI3803" i="1"/>
  <c r="AH3803" i="1"/>
  <c r="AG3803" i="1"/>
  <c r="AJ3803" i="1"/>
  <c r="AL3803" i="1"/>
  <c r="AF3803" i="1"/>
  <c r="AE3803" i="1"/>
  <c r="AD3803" i="1"/>
  <c r="AC3803" i="1"/>
  <c r="AI3802" i="1"/>
  <c r="AH3802" i="1"/>
  <c r="AG3802" i="1"/>
  <c r="AL3802" i="1"/>
  <c r="AJ3802" i="1"/>
  <c r="AF3802" i="1"/>
  <c r="AE3802" i="1"/>
  <c r="AD3802" i="1"/>
  <c r="AC3802" i="1"/>
  <c r="AI3801" i="1"/>
  <c r="AH3801" i="1"/>
  <c r="AG3801" i="1"/>
  <c r="AL3801" i="1"/>
  <c r="AJ3801" i="1"/>
  <c r="AF3801" i="1"/>
  <c r="AE3801" i="1"/>
  <c r="AD3801" i="1"/>
  <c r="AC3801" i="1"/>
  <c r="AI3800" i="1"/>
  <c r="AH3800" i="1"/>
  <c r="AG3800" i="1"/>
  <c r="AL3800" i="1"/>
  <c r="AJ3800" i="1"/>
  <c r="AF3800" i="1"/>
  <c r="AE3800" i="1"/>
  <c r="AD3800" i="1"/>
  <c r="AC3800" i="1"/>
  <c r="AH3799" i="1"/>
  <c r="AG3799" i="1"/>
  <c r="AI3799" i="1"/>
  <c r="AL3799" i="1"/>
  <c r="AJ3799" i="1"/>
  <c r="AF3799" i="1"/>
  <c r="AE3799" i="1"/>
  <c r="AD3799" i="1"/>
  <c r="AC3799" i="1"/>
  <c r="AI3798" i="1"/>
  <c r="AH3798" i="1"/>
  <c r="AG3798" i="1"/>
  <c r="AL3798" i="1"/>
  <c r="AJ3798" i="1"/>
  <c r="AF3798" i="1"/>
  <c r="AE3798" i="1"/>
  <c r="AD3798" i="1"/>
  <c r="AC3798" i="1"/>
  <c r="AI3797" i="1"/>
  <c r="AH3797" i="1"/>
  <c r="AG3797" i="1"/>
  <c r="AL3797" i="1"/>
  <c r="AJ3797" i="1"/>
  <c r="AF3797" i="1"/>
  <c r="AE3797" i="1"/>
  <c r="AD3797" i="1"/>
  <c r="AC3797" i="1"/>
  <c r="AI3796" i="1"/>
  <c r="AH3796" i="1"/>
  <c r="AG3796" i="1"/>
  <c r="AL3796" i="1"/>
  <c r="AJ3796" i="1"/>
  <c r="AF3796" i="1"/>
  <c r="AE3796" i="1"/>
  <c r="AD3796" i="1"/>
  <c r="AC3796" i="1"/>
  <c r="AI3795" i="1"/>
  <c r="AH3795" i="1"/>
  <c r="AG3795" i="1"/>
  <c r="AJ3795" i="1"/>
  <c r="AL3795" i="1"/>
  <c r="AF3795" i="1"/>
  <c r="AE3795" i="1"/>
  <c r="AD3795" i="1"/>
  <c r="AC3795" i="1"/>
  <c r="AI3794" i="1"/>
  <c r="AH3794" i="1"/>
  <c r="AG3794" i="1"/>
  <c r="AL3794" i="1"/>
  <c r="AJ3794" i="1"/>
  <c r="AF3794" i="1"/>
  <c r="AE3794" i="1"/>
  <c r="AD3794" i="1"/>
  <c r="AC3794" i="1"/>
  <c r="AI3793" i="1"/>
  <c r="AH3793" i="1"/>
  <c r="AG3793" i="1"/>
  <c r="AL3793" i="1"/>
  <c r="AJ3793" i="1"/>
  <c r="AF3793" i="1"/>
  <c r="AE3793" i="1"/>
  <c r="AD3793" i="1"/>
  <c r="AC3793" i="1"/>
  <c r="AI3792" i="1"/>
  <c r="AH3792" i="1"/>
  <c r="AG3792" i="1"/>
  <c r="AJ3792" i="1"/>
  <c r="AL3792" i="1"/>
  <c r="AF3792" i="1"/>
  <c r="AE3792" i="1"/>
  <c r="AD3792" i="1"/>
  <c r="AC3792" i="1"/>
  <c r="AI3791" i="1"/>
  <c r="AH3791" i="1"/>
  <c r="AG3791" i="1"/>
  <c r="AL3791" i="1"/>
  <c r="AJ3791" i="1"/>
  <c r="AF3791" i="1"/>
  <c r="AE3791" i="1"/>
  <c r="AD3791" i="1"/>
  <c r="AC3791" i="1"/>
  <c r="AI3790" i="1"/>
  <c r="AH3790" i="1"/>
  <c r="AG3790" i="1"/>
  <c r="AJ3790" i="1"/>
  <c r="AL3790" i="1"/>
  <c r="AF3790" i="1"/>
  <c r="AE3790" i="1"/>
  <c r="AD3790" i="1"/>
  <c r="AC3790" i="1"/>
  <c r="AI3789" i="1"/>
  <c r="AH3789" i="1"/>
  <c r="AG3789" i="1"/>
  <c r="AL3789" i="1"/>
  <c r="AJ3789" i="1"/>
  <c r="AF3789" i="1"/>
  <c r="AE3789" i="1"/>
  <c r="AD3789" i="1"/>
  <c r="AC3789" i="1"/>
  <c r="AI3788" i="1"/>
  <c r="AH3788" i="1"/>
  <c r="AG3788" i="1"/>
  <c r="AL3788" i="1"/>
  <c r="AJ3788" i="1"/>
  <c r="AF3788" i="1"/>
  <c r="AE3788" i="1"/>
  <c r="AD3788" i="1"/>
  <c r="AC3788" i="1"/>
  <c r="AI3787" i="1"/>
  <c r="AH3787" i="1"/>
  <c r="AG3787" i="1"/>
  <c r="AL3787" i="1"/>
  <c r="AJ3787" i="1"/>
  <c r="AF3787" i="1"/>
  <c r="AE3787" i="1"/>
  <c r="AD3787" i="1"/>
  <c r="AC3787" i="1"/>
  <c r="AI3786" i="1"/>
  <c r="AH3786" i="1"/>
  <c r="AG3786" i="1"/>
  <c r="AJ3786" i="1"/>
  <c r="AL3786" i="1"/>
  <c r="AF3786" i="1"/>
  <c r="AE3786" i="1"/>
  <c r="AD3786" i="1"/>
  <c r="AC3786" i="1"/>
  <c r="AI3785" i="1"/>
  <c r="AH3785" i="1"/>
  <c r="AG3785" i="1"/>
  <c r="AL3785" i="1"/>
  <c r="AJ3785" i="1"/>
  <c r="AF3785" i="1"/>
  <c r="AE3785" i="1"/>
  <c r="AD3785" i="1"/>
  <c r="AC3785" i="1"/>
  <c r="AI3784" i="1"/>
  <c r="AH3784" i="1"/>
  <c r="AG3784" i="1"/>
  <c r="AL3784" i="1"/>
  <c r="AJ3784" i="1"/>
  <c r="AF3784" i="1"/>
  <c r="AE3784" i="1"/>
  <c r="AD3784" i="1"/>
  <c r="AC3784" i="1"/>
  <c r="AI3783" i="1"/>
  <c r="AH3783" i="1"/>
  <c r="AG3783" i="1"/>
  <c r="AL3783" i="1"/>
  <c r="AJ3783" i="1"/>
  <c r="AF3783" i="1"/>
  <c r="AE3783" i="1"/>
  <c r="AD3783" i="1"/>
  <c r="AC3783" i="1"/>
  <c r="AH3782" i="1"/>
  <c r="AG3782" i="1"/>
  <c r="AI3782" i="1"/>
  <c r="AL3782" i="1"/>
  <c r="AJ3782" i="1"/>
  <c r="AF3782" i="1"/>
  <c r="AE3782" i="1"/>
  <c r="AD3782" i="1"/>
  <c r="AC3782" i="1"/>
  <c r="AI3781" i="1"/>
  <c r="AH3781" i="1"/>
  <c r="AG3781" i="1"/>
  <c r="AL3781" i="1"/>
  <c r="AJ3781" i="1"/>
  <c r="AF3781" i="1"/>
  <c r="AE3781" i="1"/>
  <c r="AD3781" i="1"/>
  <c r="AC3781" i="1"/>
  <c r="AI3780" i="1"/>
  <c r="AH3780" i="1"/>
  <c r="AG3780" i="1"/>
  <c r="AL3780" i="1"/>
  <c r="AJ3780" i="1"/>
  <c r="AF3780" i="1"/>
  <c r="AE3780" i="1"/>
  <c r="AD3780" i="1"/>
  <c r="AC3780" i="1"/>
  <c r="AI3779" i="1"/>
  <c r="AH3779" i="1"/>
  <c r="AG3779" i="1"/>
  <c r="AL3779" i="1"/>
  <c r="AJ3779" i="1"/>
  <c r="AF3779" i="1"/>
  <c r="AE3779" i="1"/>
  <c r="AD3779" i="1"/>
  <c r="AC3779" i="1"/>
  <c r="AH3778" i="1"/>
  <c r="AG3778" i="1"/>
  <c r="AI3778" i="1"/>
  <c r="AL3778" i="1"/>
  <c r="AJ3778" i="1"/>
  <c r="AF3778" i="1"/>
  <c r="AE3778" i="1"/>
  <c r="AD3778" i="1"/>
  <c r="AC3778" i="1"/>
  <c r="AI3777" i="1"/>
  <c r="AH3777" i="1"/>
  <c r="AG3777" i="1"/>
  <c r="AL3777" i="1"/>
  <c r="AJ3777" i="1"/>
  <c r="AM3777" i="1" s="1"/>
  <c r="AF3777" i="1"/>
  <c r="AE3777" i="1"/>
  <c r="AD3777" i="1"/>
  <c r="AC3777" i="1"/>
  <c r="AI3776" i="1"/>
  <c r="AH3776" i="1"/>
  <c r="AG3776" i="1"/>
  <c r="AL3776" i="1"/>
  <c r="AJ3776" i="1"/>
  <c r="AF3776" i="1"/>
  <c r="AE3776" i="1"/>
  <c r="AD3776" i="1"/>
  <c r="AC3776" i="1"/>
  <c r="AI3775" i="1"/>
  <c r="AH3775" i="1"/>
  <c r="AG3775" i="1"/>
  <c r="AJ3775" i="1"/>
  <c r="AL3775" i="1"/>
  <c r="AF3775" i="1"/>
  <c r="AE3775" i="1"/>
  <c r="AD3775" i="1"/>
  <c r="AC3775" i="1"/>
  <c r="AI3774" i="1"/>
  <c r="AH3774" i="1"/>
  <c r="AG3774" i="1"/>
  <c r="AL3774" i="1"/>
  <c r="AJ3774" i="1"/>
  <c r="AF3774" i="1"/>
  <c r="AE3774" i="1"/>
  <c r="AD3774" i="1"/>
  <c r="AC3774" i="1"/>
  <c r="AI3773" i="1"/>
  <c r="AH3773" i="1"/>
  <c r="AG3773" i="1"/>
  <c r="AJ3773" i="1"/>
  <c r="AL3773" i="1"/>
  <c r="AF3773" i="1"/>
  <c r="AE3773" i="1"/>
  <c r="AD3773" i="1"/>
  <c r="AC3773" i="1"/>
  <c r="AI3772" i="1"/>
  <c r="AH3772" i="1"/>
  <c r="AG3772" i="1"/>
  <c r="AL3772" i="1"/>
  <c r="AJ3772" i="1"/>
  <c r="AF3772" i="1"/>
  <c r="AE3772" i="1"/>
  <c r="AD3772" i="1"/>
  <c r="AC3772" i="1"/>
  <c r="AI3771" i="1"/>
  <c r="AH3771" i="1"/>
  <c r="AG3771" i="1"/>
  <c r="AL3771" i="1"/>
  <c r="AJ3771" i="1"/>
  <c r="AF3771" i="1"/>
  <c r="AE3771" i="1"/>
  <c r="AD3771" i="1"/>
  <c r="AC3771" i="1"/>
  <c r="AI3770" i="1"/>
  <c r="AH3770" i="1"/>
  <c r="AG3770" i="1"/>
  <c r="AL3770" i="1"/>
  <c r="AJ3770" i="1"/>
  <c r="AF3770" i="1"/>
  <c r="AE3770" i="1"/>
  <c r="AD3770" i="1"/>
  <c r="AC3770" i="1"/>
  <c r="AI3769" i="1"/>
  <c r="AH3769" i="1"/>
  <c r="AG3769" i="1"/>
  <c r="AJ3769" i="1"/>
  <c r="AL3769" i="1"/>
  <c r="AF3769" i="1"/>
  <c r="AE3769" i="1"/>
  <c r="AD3769" i="1"/>
  <c r="AC3769" i="1"/>
  <c r="AI3768" i="1"/>
  <c r="AH3768" i="1"/>
  <c r="AG3768" i="1"/>
  <c r="AL3768" i="1"/>
  <c r="AJ3768" i="1"/>
  <c r="AF3768" i="1"/>
  <c r="AE3768" i="1"/>
  <c r="AD3768" i="1"/>
  <c r="AC3768" i="1"/>
  <c r="AI3767" i="1"/>
  <c r="AH3767" i="1"/>
  <c r="AG3767" i="1"/>
  <c r="AL3767" i="1"/>
  <c r="AJ3767" i="1"/>
  <c r="AF3767" i="1"/>
  <c r="AE3767" i="1"/>
  <c r="AD3767" i="1"/>
  <c r="AC3767" i="1"/>
  <c r="AI3766" i="1"/>
  <c r="AH3766" i="1"/>
  <c r="AG3766" i="1"/>
  <c r="AL3766" i="1"/>
  <c r="AJ3766" i="1"/>
  <c r="AF3766" i="1"/>
  <c r="AE3766" i="1"/>
  <c r="AD3766" i="1"/>
  <c r="AC3766" i="1"/>
  <c r="AH3765" i="1"/>
  <c r="AG3765" i="1"/>
  <c r="AI3765" i="1"/>
  <c r="AL3765" i="1"/>
  <c r="AJ3765" i="1"/>
  <c r="AM3765" i="1" s="1"/>
  <c r="AF3765" i="1"/>
  <c r="AE3765" i="1"/>
  <c r="AD3765" i="1"/>
  <c r="AC3765" i="1"/>
  <c r="AI3764" i="1"/>
  <c r="AH3764" i="1"/>
  <c r="AG3764" i="1"/>
  <c r="AL3764" i="1"/>
  <c r="AJ3764" i="1"/>
  <c r="AF3764" i="1"/>
  <c r="AE3764" i="1"/>
  <c r="AD3764" i="1"/>
  <c r="AC3764" i="1"/>
  <c r="AI3763" i="1"/>
  <c r="AH3763" i="1"/>
  <c r="AG3763" i="1"/>
  <c r="AL3763" i="1"/>
  <c r="AJ3763" i="1"/>
  <c r="AM3763" i="1" s="1"/>
  <c r="AF3763" i="1"/>
  <c r="AE3763" i="1"/>
  <c r="AD3763" i="1"/>
  <c r="AC3763" i="1"/>
  <c r="AI3762" i="1"/>
  <c r="AH3762" i="1"/>
  <c r="AG3762" i="1"/>
  <c r="AL3762" i="1"/>
  <c r="AJ3762" i="1"/>
  <c r="AF3762" i="1"/>
  <c r="AE3762" i="1"/>
  <c r="AD3762" i="1"/>
  <c r="AC3762" i="1"/>
  <c r="AH3761" i="1"/>
  <c r="AG3761" i="1"/>
  <c r="AI3761" i="1"/>
  <c r="AL3761" i="1"/>
  <c r="AJ3761" i="1"/>
  <c r="AF3761" i="1"/>
  <c r="AE3761" i="1"/>
  <c r="AD3761" i="1"/>
  <c r="AC3761" i="1"/>
  <c r="AI3760" i="1"/>
  <c r="AH3760" i="1"/>
  <c r="AG3760" i="1"/>
  <c r="AL3760" i="1"/>
  <c r="AJ3760" i="1"/>
  <c r="AF3760" i="1"/>
  <c r="AE3760" i="1"/>
  <c r="AD3760" i="1"/>
  <c r="AC3760" i="1"/>
  <c r="AI3759" i="1"/>
  <c r="AH3759" i="1"/>
  <c r="AG3759" i="1"/>
  <c r="AL3759" i="1"/>
  <c r="AJ3759" i="1"/>
  <c r="AF3759" i="1"/>
  <c r="AE3759" i="1"/>
  <c r="AD3759" i="1"/>
  <c r="AC3759" i="1"/>
  <c r="AI3758" i="1"/>
  <c r="AH3758" i="1"/>
  <c r="AG3758" i="1"/>
  <c r="AJ3758" i="1"/>
  <c r="AL3758" i="1"/>
  <c r="AF3758" i="1"/>
  <c r="AE3758" i="1"/>
  <c r="AD3758" i="1"/>
  <c r="AC3758" i="1"/>
  <c r="AI3757" i="1"/>
  <c r="AH3757" i="1"/>
  <c r="AG3757" i="1"/>
  <c r="AL3757" i="1"/>
  <c r="AJ3757" i="1"/>
  <c r="AF3757" i="1"/>
  <c r="AE3757" i="1"/>
  <c r="AD3757" i="1"/>
  <c r="AC3757" i="1"/>
  <c r="AI3756" i="1"/>
  <c r="AH3756" i="1"/>
  <c r="AG3756" i="1"/>
  <c r="AJ3756" i="1"/>
  <c r="AL3756" i="1"/>
  <c r="AF3756" i="1"/>
  <c r="AE3756" i="1"/>
  <c r="AD3756" i="1"/>
  <c r="AC3756" i="1"/>
  <c r="AI3755" i="1"/>
  <c r="AH3755" i="1"/>
  <c r="AG3755" i="1"/>
  <c r="AL3755" i="1"/>
  <c r="AJ3755" i="1"/>
  <c r="AF3755" i="1"/>
  <c r="AE3755" i="1"/>
  <c r="AD3755" i="1"/>
  <c r="AC3755" i="1"/>
  <c r="AI3754" i="1"/>
  <c r="AH3754" i="1"/>
  <c r="AG3754" i="1"/>
  <c r="AL3754" i="1"/>
  <c r="AJ3754" i="1"/>
  <c r="AF3754" i="1"/>
  <c r="AE3754" i="1"/>
  <c r="AD3754" i="1"/>
  <c r="AC3754" i="1"/>
  <c r="AI3753" i="1"/>
  <c r="AH3753" i="1"/>
  <c r="AG3753" i="1"/>
  <c r="AL3753" i="1"/>
  <c r="AJ3753" i="1"/>
  <c r="AF3753" i="1"/>
  <c r="AE3753" i="1"/>
  <c r="AD3753" i="1"/>
  <c r="AC3753" i="1"/>
  <c r="AI3752" i="1"/>
  <c r="AH3752" i="1"/>
  <c r="AG3752" i="1"/>
  <c r="AJ3752" i="1"/>
  <c r="AL3752" i="1"/>
  <c r="AF3752" i="1"/>
  <c r="AE3752" i="1"/>
  <c r="AD3752" i="1"/>
  <c r="AC3752" i="1"/>
  <c r="AI3751" i="1"/>
  <c r="AH3751" i="1"/>
  <c r="AG3751" i="1"/>
  <c r="AL3751" i="1"/>
  <c r="AJ3751" i="1"/>
  <c r="AF3751" i="1"/>
  <c r="AE3751" i="1"/>
  <c r="AD3751" i="1"/>
  <c r="AC3751" i="1"/>
  <c r="AI3750" i="1"/>
  <c r="AH3750" i="1"/>
  <c r="AG3750" i="1"/>
  <c r="AL3750" i="1"/>
  <c r="AJ3750" i="1"/>
  <c r="AF3750" i="1"/>
  <c r="AE3750" i="1"/>
  <c r="AD3750" i="1"/>
  <c r="AC3750" i="1"/>
  <c r="AI3749" i="1"/>
  <c r="AH3749" i="1"/>
  <c r="AG3749" i="1"/>
  <c r="AL3749" i="1"/>
  <c r="AJ3749" i="1"/>
  <c r="AF3749" i="1"/>
  <c r="AE3749" i="1"/>
  <c r="AD3749" i="1"/>
  <c r="AC3749" i="1"/>
  <c r="AH3748" i="1"/>
  <c r="AG3748" i="1"/>
  <c r="AI3748" i="1"/>
  <c r="AL3748" i="1"/>
  <c r="AJ3748" i="1"/>
  <c r="AF3748" i="1"/>
  <c r="AE3748" i="1"/>
  <c r="AD3748" i="1"/>
  <c r="AC3748" i="1"/>
  <c r="AI3747" i="1"/>
  <c r="AH3747" i="1"/>
  <c r="AG3747" i="1"/>
  <c r="AL3747" i="1"/>
  <c r="AJ3747" i="1"/>
  <c r="AF3747" i="1"/>
  <c r="AE3747" i="1"/>
  <c r="AD3747" i="1"/>
  <c r="AC3747" i="1"/>
  <c r="AI3746" i="1"/>
  <c r="AH3746" i="1"/>
  <c r="AG3746" i="1"/>
  <c r="AL3746" i="1"/>
  <c r="AJ3746" i="1"/>
  <c r="AF3746" i="1"/>
  <c r="AE3746" i="1"/>
  <c r="AD3746" i="1"/>
  <c r="AC3746" i="1"/>
  <c r="AI3745" i="1"/>
  <c r="AH3745" i="1"/>
  <c r="AG3745" i="1"/>
  <c r="AL3745" i="1"/>
  <c r="AJ3745" i="1"/>
  <c r="AF3745" i="1"/>
  <c r="AE3745" i="1"/>
  <c r="AD3745" i="1"/>
  <c r="AC3745" i="1"/>
  <c r="AH3744" i="1"/>
  <c r="AG3744" i="1"/>
  <c r="AI3744" i="1"/>
  <c r="AL3744" i="1"/>
  <c r="AJ3744" i="1"/>
  <c r="AF3744" i="1"/>
  <c r="AE3744" i="1"/>
  <c r="AD3744" i="1"/>
  <c r="AC3744" i="1"/>
  <c r="AI3743" i="1"/>
  <c r="AH3743" i="1"/>
  <c r="AG3743" i="1"/>
  <c r="AL3743" i="1"/>
  <c r="AJ3743" i="1"/>
  <c r="AF3743" i="1"/>
  <c r="AE3743" i="1"/>
  <c r="AD3743" i="1"/>
  <c r="AC3743" i="1"/>
  <c r="AI3742" i="1"/>
  <c r="AH3742" i="1"/>
  <c r="AG3742" i="1"/>
  <c r="AL3742" i="1"/>
  <c r="AJ3742" i="1"/>
  <c r="AF3742" i="1"/>
  <c r="AE3742" i="1"/>
  <c r="AD3742" i="1"/>
  <c r="AC3742" i="1"/>
  <c r="AI3741" i="1"/>
  <c r="AH3741" i="1"/>
  <c r="AG3741" i="1"/>
  <c r="AJ3741" i="1"/>
  <c r="AL3741" i="1"/>
  <c r="AF3741" i="1"/>
  <c r="AE3741" i="1"/>
  <c r="AD3741" i="1"/>
  <c r="AC3741" i="1"/>
  <c r="AI3740" i="1"/>
  <c r="AH3740" i="1"/>
  <c r="AG3740" i="1"/>
  <c r="AL3740" i="1"/>
  <c r="AJ3740" i="1"/>
  <c r="AF3740" i="1"/>
  <c r="AE3740" i="1"/>
  <c r="AD3740" i="1"/>
  <c r="AC3740" i="1"/>
  <c r="AI3739" i="1"/>
  <c r="AH3739" i="1"/>
  <c r="AG3739" i="1"/>
  <c r="AJ3739" i="1"/>
  <c r="AL3739" i="1"/>
  <c r="AF3739" i="1"/>
  <c r="AE3739" i="1"/>
  <c r="AD3739" i="1"/>
  <c r="AC3739" i="1"/>
  <c r="AI3738" i="1"/>
  <c r="AH3738" i="1"/>
  <c r="AG3738" i="1"/>
  <c r="AL3738" i="1"/>
  <c r="AJ3738" i="1"/>
  <c r="AF3738" i="1"/>
  <c r="AE3738" i="1"/>
  <c r="AD3738" i="1"/>
  <c r="AC3738" i="1"/>
  <c r="AI3737" i="1"/>
  <c r="AH3737" i="1"/>
  <c r="AG3737" i="1"/>
  <c r="AL3737" i="1"/>
  <c r="AJ3737" i="1"/>
  <c r="AF3737" i="1"/>
  <c r="AE3737" i="1"/>
  <c r="AD3737" i="1"/>
  <c r="AC3737" i="1"/>
  <c r="AI3736" i="1"/>
  <c r="AH3736" i="1"/>
  <c r="AG3736" i="1"/>
  <c r="AL3736" i="1"/>
  <c r="AJ3736" i="1"/>
  <c r="AF3736" i="1"/>
  <c r="AE3736" i="1"/>
  <c r="AD3736" i="1"/>
  <c r="AC3736" i="1"/>
  <c r="AI3735" i="1"/>
  <c r="AH3735" i="1"/>
  <c r="AG3735" i="1"/>
  <c r="AJ3735" i="1"/>
  <c r="AL3735" i="1"/>
  <c r="AF3735" i="1"/>
  <c r="AE3735" i="1"/>
  <c r="AD3735" i="1"/>
  <c r="AC3735" i="1"/>
  <c r="AI3734" i="1"/>
  <c r="AH3734" i="1"/>
  <c r="AG3734" i="1"/>
  <c r="AL3734" i="1"/>
  <c r="AJ3734" i="1"/>
  <c r="AF3734" i="1"/>
  <c r="AE3734" i="1"/>
  <c r="AD3734" i="1"/>
  <c r="AC3734" i="1"/>
  <c r="AI3733" i="1"/>
  <c r="AH3733" i="1"/>
  <c r="AG3733" i="1"/>
  <c r="AL3733" i="1"/>
  <c r="AJ3733" i="1"/>
  <c r="AF3733" i="1"/>
  <c r="AE3733" i="1"/>
  <c r="AD3733" i="1"/>
  <c r="AC3733" i="1"/>
  <c r="AI3732" i="1"/>
  <c r="AH3732" i="1"/>
  <c r="AG3732" i="1"/>
  <c r="AL3732" i="1"/>
  <c r="AJ3732" i="1"/>
  <c r="AF3732" i="1"/>
  <c r="AE3732" i="1"/>
  <c r="AD3732" i="1"/>
  <c r="AC3732" i="1"/>
  <c r="AH3731" i="1"/>
  <c r="AG3731" i="1"/>
  <c r="AI3731" i="1"/>
  <c r="AL3731" i="1"/>
  <c r="AJ3731" i="1"/>
  <c r="AF3731" i="1"/>
  <c r="AE3731" i="1"/>
  <c r="AD3731" i="1"/>
  <c r="AC3731" i="1"/>
  <c r="AI3730" i="1"/>
  <c r="AH3730" i="1"/>
  <c r="AG3730" i="1"/>
  <c r="AL3730" i="1"/>
  <c r="AJ3730" i="1"/>
  <c r="AF3730" i="1"/>
  <c r="AE3730" i="1"/>
  <c r="AD3730" i="1"/>
  <c r="AC3730" i="1"/>
  <c r="AI3729" i="1"/>
  <c r="AH3729" i="1"/>
  <c r="AG3729" i="1"/>
  <c r="AL3729" i="1"/>
  <c r="AJ3729" i="1"/>
  <c r="AF3729" i="1"/>
  <c r="AE3729" i="1"/>
  <c r="AD3729" i="1"/>
  <c r="AC3729" i="1"/>
  <c r="AI3728" i="1"/>
  <c r="AH3728" i="1"/>
  <c r="AG3728" i="1"/>
  <c r="AL3728" i="1"/>
  <c r="AJ3728" i="1"/>
  <c r="AM3728" i="1" s="1"/>
  <c r="AF3728" i="1"/>
  <c r="AE3728" i="1"/>
  <c r="AD3728" i="1"/>
  <c r="AC3728" i="1"/>
  <c r="AI3727" i="1"/>
  <c r="AH3727" i="1"/>
  <c r="AG3727" i="1"/>
  <c r="AJ3727" i="1"/>
  <c r="AL3727" i="1"/>
  <c r="AF3727" i="1"/>
  <c r="AE3727" i="1"/>
  <c r="AD3727" i="1"/>
  <c r="AC3727" i="1"/>
  <c r="AI3726" i="1"/>
  <c r="AH3726" i="1"/>
  <c r="AG3726" i="1"/>
  <c r="AL3726" i="1"/>
  <c r="AJ3726" i="1"/>
  <c r="AF3726" i="1"/>
  <c r="AE3726" i="1"/>
  <c r="AD3726" i="1"/>
  <c r="AC3726" i="1"/>
  <c r="AI3725" i="1"/>
  <c r="AH3725" i="1"/>
  <c r="AG3725" i="1"/>
  <c r="AL3725" i="1"/>
  <c r="AJ3725" i="1"/>
  <c r="AF3725" i="1"/>
  <c r="AE3725" i="1"/>
  <c r="AD3725" i="1"/>
  <c r="AC3725" i="1"/>
  <c r="AI3724" i="1"/>
  <c r="AH3724" i="1"/>
  <c r="AG3724" i="1"/>
  <c r="AJ3724" i="1"/>
  <c r="AL3724" i="1"/>
  <c r="AF3724" i="1"/>
  <c r="AE3724" i="1"/>
  <c r="AD3724" i="1"/>
  <c r="AC3724" i="1"/>
  <c r="AI3723" i="1"/>
  <c r="AH3723" i="1"/>
  <c r="AG3723" i="1"/>
  <c r="AL3723" i="1"/>
  <c r="AJ3723" i="1"/>
  <c r="AF3723" i="1"/>
  <c r="AE3723" i="1"/>
  <c r="AD3723" i="1"/>
  <c r="AC3723" i="1"/>
  <c r="AI3722" i="1"/>
  <c r="AH3722" i="1"/>
  <c r="AG3722" i="1"/>
  <c r="AJ3722" i="1"/>
  <c r="AL3722" i="1"/>
  <c r="AF3722" i="1"/>
  <c r="AE3722" i="1"/>
  <c r="AD3722" i="1"/>
  <c r="AC3722" i="1"/>
  <c r="AI3721" i="1"/>
  <c r="AH3721" i="1"/>
  <c r="AG3721" i="1"/>
  <c r="AL3721" i="1"/>
  <c r="AJ3721" i="1"/>
  <c r="AF3721" i="1"/>
  <c r="AE3721" i="1"/>
  <c r="AD3721" i="1"/>
  <c r="AC3721" i="1"/>
  <c r="AI3720" i="1"/>
  <c r="AH3720" i="1"/>
  <c r="AG3720" i="1"/>
  <c r="AL3720" i="1"/>
  <c r="AJ3720" i="1"/>
  <c r="AF3720" i="1"/>
  <c r="AE3720" i="1"/>
  <c r="AD3720" i="1"/>
  <c r="AC3720" i="1"/>
  <c r="AI3719" i="1"/>
  <c r="AH3719" i="1"/>
  <c r="AG3719" i="1"/>
  <c r="AL3719" i="1"/>
  <c r="AJ3719" i="1"/>
  <c r="AF3719" i="1"/>
  <c r="AE3719" i="1"/>
  <c r="AD3719" i="1"/>
  <c r="AC3719" i="1"/>
  <c r="AH3718" i="1"/>
  <c r="AG3718" i="1"/>
  <c r="AI3718" i="1"/>
  <c r="AL3718" i="1"/>
  <c r="AJ3718" i="1"/>
  <c r="AF3718" i="1"/>
  <c r="AE3718" i="1"/>
  <c r="AD3718" i="1"/>
  <c r="AC3718" i="1"/>
  <c r="AI3717" i="1"/>
  <c r="AH3717" i="1"/>
  <c r="AG3717" i="1"/>
  <c r="AL3717" i="1"/>
  <c r="AJ3717" i="1"/>
  <c r="AF3717" i="1"/>
  <c r="AE3717" i="1"/>
  <c r="AD3717" i="1"/>
  <c r="AC3717" i="1"/>
  <c r="AI3716" i="1"/>
  <c r="AH3716" i="1"/>
  <c r="AG3716" i="1"/>
  <c r="AL3716" i="1"/>
  <c r="AJ3716" i="1"/>
  <c r="AF3716" i="1"/>
  <c r="AE3716" i="1"/>
  <c r="AD3716" i="1"/>
  <c r="AC3716" i="1"/>
  <c r="AI3715" i="1"/>
  <c r="AH3715" i="1"/>
  <c r="AG3715" i="1"/>
  <c r="AJ3715" i="1"/>
  <c r="AL3715" i="1"/>
  <c r="AF3715" i="1"/>
  <c r="AE3715" i="1"/>
  <c r="AD3715" i="1"/>
  <c r="AC3715" i="1"/>
  <c r="AI3714" i="1"/>
  <c r="AH3714" i="1"/>
  <c r="AG3714" i="1"/>
  <c r="AL3714" i="1"/>
  <c r="AJ3714" i="1"/>
  <c r="AF3714" i="1"/>
  <c r="AE3714" i="1"/>
  <c r="AD3714" i="1"/>
  <c r="AC3714" i="1"/>
  <c r="AI3713" i="1"/>
  <c r="AH3713" i="1"/>
  <c r="AG3713" i="1"/>
  <c r="AJ3713" i="1"/>
  <c r="AL3713" i="1"/>
  <c r="AF3713" i="1"/>
  <c r="AE3713" i="1"/>
  <c r="AD3713" i="1"/>
  <c r="AC3713" i="1"/>
  <c r="AI3712" i="1"/>
  <c r="AH3712" i="1"/>
  <c r="AG3712" i="1"/>
  <c r="AL3712" i="1"/>
  <c r="AJ3712" i="1"/>
  <c r="AF3712" i="1"/>
  <c r="AE3712" i="1"/>
  <c r="AD3712" i="1"/>
  <c r="AC3712" i="1"/>
  <c r="AI3711" i="1"/>
  <c r="AH3711" i="1"/>
  <c r="AG3711" i="1"/>
  <c r="AL3711" i="1"/>
  <c r="AJ3711" i="1"/>
  <c r="AF3711" i="1"/>
  <c r="AE3711" i="1"/>
  <c r="AD3711" i="1"/>
  <c r="AC3711" i="1"/>
  <c r="AI3710" i="1"/>
  <c r="AH3710" i="1"/>
  <c r="AG3710" i="1"/>
  <c r="AL3710" i="1"/>
  <c r="AJ3710" i="1"/>
  <c r="AF3710" i="1"/>
  <c r="AE3710" i="1"/>
  <c r="AD3710" i="1"/>
  <c r="AC3710" i="1"/>
  <c r="AI3709" i="1"/>
  <c r="AH3709" i="1"/>
  <c r="AG3709" i="1"/>
  <c r="AJ3709" i="1"/>
  <c r="AL3709" i="1"/>
  <c r="AF3709" i="1"/>
  <c r="AE3709" i="1"/>
  <c r="AD3709" i="1"/>
  <c r="AC3709" i="1"/>
  <c r="AI3708" i="1"/>
  <c r="AH3708" i="1"/>
  <c r="AG3708" i="1"/>
  <c r="AL3708" i="1"/>
  <c r="AJ3708" i="1"/>
  <c r="AF3708" i="1"/>
  <c r="AE3708" i="1"/>
  <c r="AD3708" i="1"/>
  <c r="AC3708" i="1"/>
  <c r="AI3707" i="1"/>
  <c r="AH3707" i="1"/>
  <c r="AG3707" i="1"/>
  <c r="AL3707" i="1"/>
  <c r="AJ3707" i="1"/>
  <c r="AF3707" i="1"/>
  <c r="AE3707" i="1"/>
  <c r="AD3707" i="1"/>
  <c r="AC3707" i="1"/>
  <c r="AI3706" i="1"/>
  <c r="AH3706" i="1"/>
  <c r="AG3706" i="1"/>
  <c r="AJ3706" i="1"/>
  <c r="AL3706" i="1"/>
  <c r="AF3706" i="1"/>
  <c r="AE3706" i="1"/>
  <c r="AD3706" i="1"/>
  <c r="AC3706" i="1"/>
  <c r="AI3705" i="1"/>
  <c r="AH3705" i="1"/>
  <c r="AG3705" i="1"/>
  <c r="AL3705" i="1"/>
  <c r="AJ3705" i="1"/>
  <c r="AF3705" i="1"/>
  <c r="AE3705" i="1"/>
  <c r="AD3705" i="1"/>
  <c r="AC3705" i="1"/>
  <c r="AI3704" i="1"/>
  <c r="AH3704" i="1"/>
  <c r="AG3704" i="1"/>
  <c r="AJ3704" i="1"/>
  <c r="AL3704" i="1"/>
  <c r="AF3704" i="1"/>
  <c r="AE3704" i="1"/>
  <c r="AD3704" i="1"/>
  <c r="AC3704" i="1"/>
  <c r="AI3703" i="1"/>
  <c r="AH3703" i="1"/>
  <c r="AG3703" i="1"/>
  <c r="AL3703" i="1"/>
  <c r="AJ3703" i="1"/>
  <c r="AF3703" i="1"/>
  <c r="AE3703" i="1"/>
  <c r="AD3703" i="1"/>
  <c r="AC3703" i="1"/>
  <c r="AI3702" i="1"/>
  <c r="AH3702" i="1"/>
  <c r="AG3702" i="1"/>
  <c r="AL3702" i="1"/>
  <c r="AJ3702" i="1"/>
  <c r="AF3702" i="1"/>
  <c r="AE3702" i="1"/>
  <c r="AD3702" i="1"/>
  <c r="AC3702" i="1"/>
  <c r="AI3701" i="1"/>
  <c r="AH3701" i="1"/>
  <c r="AG3701" i="1"/>
  <c r="AL3701" i="1"/>
  <c r="AJ3701" i="1"/>
  <c r="AF3701" i="1"/>
  <c r="AE3701" i="1"/>
  <c r="AD3701" i="1"/>
  <c r="AC3701" i="1"/>
  <c r="AI3700" i="1"/>
  <c r="AH3700" i="1"/>
  <c r="AG3700" i="1"/>
  <c r="AJ3700" i="1"/>
  <c r="AL3700" i="1"/>
  <c r="AF3700" i="1"/>
  <c r="AE3700" i="1"/>
  <c r="AD3700" i="1"/>
  <c r="AC3700" i="1"/>
  <c r="AI3699" i="1"/>
  <c r="AH3699" i="1"/>
  <c r="AG3699" i="1"/>
  <c r="AL3699" i="1"/>
  <c r="AJ3699" i="1"/>
  <c r="AF3699" i="1"/>
  <c r="AE3699" i="1"/>
  <c r="AD3699" i="1"/>
  <c r="AC3699" i="1"/>
  <c r="AI3698" i="1"/>
  <c r="AH3698" i="1"/>
  <c r="AG3698" i="1"/>
  <c r="AL3698" i="1"/>
  <c r="AJ3698" i="1"/>
  <c r="AF3698" i="1"/>
  <c r="AE3698" i="1"/>
  <c r="AD3698" i="1"/>
  <c r="AC3698" i="1"/>
  <c r="AI3697" i="1"/>
  <c r="AH3697" i="1"/>
  <c r="AG3697" i="1"/>
  <c r="AL3697" i="1"/>
  <c r="AJ3697" i="1"/>
  <c r="AF3697" i="1"/>
  <c r="AE3697" i="1"/>
  <c r="AD3697" i="1"/>
  <c r="AC3697" i="1"/>
  <c r="AH3696" i="1"/>
  <c r="AG3696" i="1"/>
  <c r="AI3696" i="1"/>
  <c r="AL3696" i="1"/>
  <c r="AJ3696" i="1"/>
  <c r="AM3696" i="1" s="1"/>
  <c r="AF3696" i="1"/>
  <c r="AE3696" i="1"/>
  <c r="AD3696" i="1"/>
  <c r="AC3696" i="1"/>
  <c r="AI3695" i="1"/>
  <c r="AH3695" i="1"/>
  <c r="AG3695" i="1"/>
  <c r="AL3695" i="1"/>
  <c r="AJ3695" i="1"/>
  <c r="AF3695" i="1"/>
  <c r="AE3695" i="1"/>
  <c r="AD3695" i="1"/>
  <c r="AC3695" i="1"/>
  <c r="AI3694" i="1"/>
  <c r="AH3694" i="1"/>
  <c r="AG3694" i="1"/>
  <c r="AL3694" i="1"/>
  <c r="AJ3694" i="1"/>
  <c r="AF3694" i="1"/>
  <c r="AE3694" i="1"/>
  <c r="AD3694" i="1"/>
  <c r="AC3694" i="1"/>
  <c r="AI3693" i="1"/>
  <c r="AH3693" i="1"/>
  <c r="AG3693" i="1"/>
  <c r="AL3693" i="1"/>
  <c r="AJ3693" i="1"/>
  <c r="AF3693" i="1"/>
  <c r="AE3693" i="1"/>
  <c r="AD3693" i="1"/>
  <c r="AC3693" i="1"/>
  <c r="AI3692" i="1"/>
  <c r="AH3692" i="1"/>
  <c r="AG3692" i="1"/>
  <c r="AJ3692" i="1"/>
  <c r="AL3692" i="1"/>
  <c r="AF3692" i="1"/>
  <c r="AE3692" i="1"/>
  <c r="AD3692" i="1"/>
  <c r="AC3692" i="1"/>
  <c r="AI3691" i="1"/>
  <c r="AH3691" i="1"/>
  <c r="AG3691" i="1"/>
  <c r="AL3691" i="1"/>
  <c r="AJ3691" i="1"/>
  <c r="AF3691" i="1"/>
  <c r="AE3691" i="1"/>
  <c r="AD3691" i="1"/>
  <c r="AC3691" i="1"/>
  <c r="AI3690" i="1"/>
  <c r="AH3690" i="1"/>
  <c r="AG3690" i="1"/>
  <c r="AL3690" i="1"/>
  <c r="AJ3690" i="1"/>
  <c r="AF3690" i="1"/>
  <c r="AE3690" i="1"/>
  <c r="AD3690" i="1"/>
  <c r="AC3690" i="1"/>
  <c r="AI3689" i="1"/>
  <c r="AH3689" i="1"/>
  <c r="AG3689" i="1"/>
  <c r="AJ3689" i="1"/>
  <c r="AL3689" i="1"/>
  <c r="AF3689" i="1"/>
  <c r="AE3689" i="1"/>
  <c r="AD3689" i="1"/>
  <c r="AC3689" i="1"/>
  <c r="AI3688" i="1"/>
  <c r="AH3688" i="1"/>
  <c r="AG3688" i="1"/>
  <c r="AL3688" i="1"/>
  <c r="AJ3688" i="1"/>
  <c r="AF3688" i="1"/>
  <c r="AE3688" i="1"/>
  <c r="AD3688" i="1"/>
  <c r="AC3688" i="1"/>
  <c r="AI3687" i="1"/>
  <c r="AH3687" i="1"/>
  <c r="AG3687" i="1"/>
  <c r="AJ3687" i="1"/>
  <c r="AL3687" i="1"/>
  <c r="AF3687" i="1"/>
  <c r="AE3687" i="1"/>
  <c r="AD3687" i="1"/>
  <c r="AC3687" i="1"/>
  <c r="AI3686" i="1"/>
  <c r="AH3686" i="1"/>
  <c r="AG3686" i="1"/>
  <c r="AL3686" i="1"/>
  <c r="AJ3686" i="1"/>
  <c r="AF3686" i="1"/>
  <c r="AE3686" i="1"/>
  <c r="AD3686" i="1"/>
  <c r="AC3686" i="1"/>
  <c r="AI3685" i="1"/>
  <c r="AH3685" i="1"/>
  <c r="AG3685" i="1"/>
  <c r="AL3685" i="1"/>
  <c r="AJ3685" i="1"/>
  <c r="AM3685" i="1" s="1"/>
  <c r="AF3685" i="1"/>
  <c r="AE3685" i="1"/>
  <c r="AD3685" i="1"/>
  <c r="AC3685" i="1"/>
  <c r="AI3684" i="1"/>
  <c r="AH3684" i="1"/>
  <c r="AG3684" i="1"/>
  <c r="AL3684" i="1"/>
  <c r="AJ3684" i="1"/>
  <c r="AF3684" i="1"/>
  <c r="AE3684" i="1"/>
  <c r="AD3684" i="1"/>
  <c r="AC3684" i="1"/>
  <c r="AI3683" i="1"/>
  <c r="AH3683" i="1"/>
  <c r="AG3683" i="1"/>
  <c r="AJ3683" i="1"/>
  <c r="AL3683" i="1"/>
  <c r="AF3683" i="1"/>
  <c r="AE3683" i="1"/>
  <c r="AD3683" i="1"/>
  <c r="AC3683" i="1"/>
  <c r="AI3682" i="1"/>
  <c r="AH3682" i="1"/>
  <c r="AG3682" i="1"/>
  <c r="AL3682" i="1"/>
  <c r="AJ3682" i="1"/>
  <c r="AF3682" i="1"/>
  <c r="AE3682" i="1"/>
  <c r="AD3682" i="1"/>
  <c r="AC3682" i="1"/>
  <c r="AI3681" i="1"/>
  <c r="AH3681" i="1"/>
  <c r="AG3681" i="1"/>
  <c r="AL3681" i="1"/>
  <c r="AJ3681" i="1"/>
  <c r="AF3681" i="1"/>
  <c r="AE3681" i="1"/>
  <c r="AD3681" i="1"/>
  <c r="AC3681" i="1"/>
  <c r="AI3680" i="1"/>
  <c r="AH3680" i="1"/>
  <c r="AG3680" i="1"/>
  <c r="AL3680" i="1"/>
  <c r="AJ3680" i="1"/>
  <c r="AF3680" i="1"/>
  <c r="AE3680" i="1"/>
  <c r="AD3680" i="1"/>
  <c r="AC3680" i="1"/>
  <c r="AH3679" i="1"/>
  <c r="AG3679" i="1"/>
  <c r="AI3679" i="1"/>
  <c r="AL3679" i="1"/>
  <c r="AJ3679" i="1"/>
  <c r="AF3679" i="1"/>
  <c r="AE3679" i="1"/>
  <c r="AD3679" i="1"/>
  <c r="AC3679" i="1"/>
  <c r="AI3678" i="1"/>
  <c r="AH3678" i="1"/>
  <c r="AG3678" i="1"/>
  <c r="AL3678" i="1"/>
  <c r="AJ3678" i="1"/>
  <c r="AM3678" i="1" s="1"/>
  <c r="AF3678" i="1"/>
  <c r="AE3678" i="1"/>
  <c r="AD3678" i="1"/>
  <c r="AC3678" i="1"/>
  <c r="AI3677" i="1"/>
  <c r="AH3677" i="1"/>
  <c r="AG3677" i="1"/>
  <c r="AL3677" i="1"/>
  <c r="AJ3677" i="1"/>
  <c r="AF3677" i="1"/>
  <c r="AE3677" i="1"/>
  <c r="AD3677" i="1"/>
  <c r="AC3677" i="1"/>
  <c r="AI3676" i="1"/>
  <c r="AH3676" i="1"/>
  <c r="AG3676" i="1"/>
  <c r="AL3676" i="1"/>
  <c r="AJ3676" i="1"/>
  <c r="AF3676" i="1"/>
  <c r="AE3676" i="1"/>
  <c r="AD3676" i="1"/>
  <c r="AC3676" i="1"/>
  <c r="AH3675" i="1"/>
  <c r="AG3675" i="1"/>
  <c r="AI3675" i="1"/>
  <c r="AL3675" i="1"/>
  <c r="AJ3675" i="1"/>
  <c r="AF3675" i="1"/>
  <c r="AE3675" i="1"/>
  <c r="AD3675" i="1"/>
  <c r="AC3675" i="1"/>
  <c r="AI3674" i="1"/>
  <c r="AH3674" i="1"/>
  <c r="AG3674" i="1"/>
  <c r="AL3674" i="1"/>
  <c r="AJ3674" i="1"/>
  <c r="AF3674" i="1"/>
  <c r="AE3674" i="1"/>
  <c r="AD3674" i="1"/>
  <c r="AC3674" i="1"/>
  <c r="AI3673" i="1"/>
  <c r="AH3673" i="1"/>
  <c r="AG3673" i="1"/>
  <c r="AL3673" i="1"/>
  <c r="AJ3673" i="1"/>
  <c r="AF3673" i="1"/>
  <c r="AE3673" i="1"/>
  <c r="AD3673" i="1"/>
  <c r="AC3673" i="1"/>
  <c r="AI3672" i="1"/>
  <c r="AH3672" i="1"/>
  <c r="AG3672" i="1"/>
  <c r="AJ3672" i="1"/>
  <c r="AL3672" i="1"/>
  <c r="AF3672" i="1"/>
  <c r="AE3672" i="1"/>
  <c r="AD3672" i="1"/>
  <c r="AC3672" i="1"/>
  <c r="AI3671" i="1"/>
  <c r="AH3671" i="1"/>
  <c r="AG3671" i="1"/>
  <c r="AL3671" i="1"/>
  <c r="AJ3671" i="1"/>
  <c r="AF3671" i="1"/>
  <c r="AE3671" i="1"/>
  <c r="AD3671" i="1"/>
  <c r="AC3671" i="1"/>
  <c r="AI3670" i="1"/>
  <c r="AH3670" i="1"/>
  <c r="AG3670" i="1"/>
  <c r="AJ3670" i="1"/>
  <c r="AL3670" i="1"/>
  <c r="AF3670" i="1"/>
  <c r="AE3670" i="1"/>
  <c r="AD3670" i="1"/>
  <c r="AC3670" i="1"/>
  <c r="AI3669" i="1"/>
  <c r="AH3669" i="1"/>
  <c r="AG3669" i="1"/>
  <c r="AL3669" i="1"/>
  <c r="AJ3669" i="1"/>
  <c r="AF3669" i="1"/>
  <c r="AE3669" i="1"/>
  <c r="AD3669" i="1"/>
  <c r="AC3669" i="1"/>
  <c r="AI3668" i="1"/>
  <c r="AH3668" i="1"/>
  <c r="AG3668" i="1"/>
  <c r="AL3668" i="1"/>
  <c r="AJ3668" i="1"/>
  <c r="AF3668" i="1"/>
  <c r="AE3668" i="1"/>
  <c r="AD3668" i="1"/>
  <c r="AC3668" i="1"/>
  <c r="AI3667" i="1"/>
  <c r="AH3667" i="1"/>
  <c r="AG3667" i="1"/>
  <c r="AL3667" i="1"/>
  <c r="AJ3667" i="1"/>
  <c r="AF3667" i="1"/>
  <c r="AE3667" i="1"/>
  <c r="AD3667" i="1"/>
  <c r="AC3667" i="1"/>
  <c r="AI3666" i="1"/>
  <c r="AH3666" i="1"/>
  <c r="AG3666" i="1"/>
  <c r="AJ3666" i="1"/>
  <c r="AL3666" i="1"/>
  <c r="AF3666" i="1"/>
  <c r="AE3666" i="1"/>
  <c r="AD3666" i="1"/>
  <c r="AC3666" i="1"/>
  <c r="AI3665" i="1"/>
  <c r="AH3665" i="1"/>
  <c r="AG3665" i="1"/>
  <c r="AL3665" i="1"/>
  <c r="AJ3665" i="1"/>
  <c r="AF3665" i="1"/>
  <c r="AE3665" i="1"/>
  <c r="AD3665" i="1"/>
  <c r="AC3665" i="1"/>
  <c r="AI3664" i="1"/>
  <c r="AH3664" i="1"/>
  <c r="AG3664" i="1"/>
  <c r="AL3664" i="1"/>
  <c r="AJ3664" i="1"/>
  <c r="AF3664" i="1"/>
  <c r="AE3664" i="1"/>
  <c r="AD3664" i="1"/>
  <c r="AC3664" i="1"/>
  <c r="AI3663" i="1"/>
  <c r="AH3663" i="1"/>
  <c r="AG3663" i="1"/>
  <c r="AL3663" i="1"/>
  <c r="AJ3663" i="1"/>
  <c r="AM3663" i="1" s="1"/>
  <c r="AF3663" i="1"/>
  <c r="AE3663" i="1"/>
  <c r="AD3663" i="1"/>
  <c r="AC3663" i="1"/>
  <c r="AH3662" i="1"/>
  <c r="AG3662" i="1"/>
  <c r="AI3662" i="1"/>
  <c r="AL3662" i="1"/>
  <c r="AJ3662" i="1"/>
  <c r="AF3662" i="1"/>
  <c r="AE3662" i="1"/>
  <c r="AD3662" i="1"/>
  <c r="AC3662" i="1"/>
  <c r="AI3661" i="1"/>
  <c r="AH3661" i="1"/>
  <c r="AG3661" i="1"/>
  <c r="AL3661" i="1"/>
  <c r="AJ3661" i="1"/>
  <c r="AF3661" i="1"/>
  <c r="AE3661" i="1"/>
  <c r="AD3661" i="1"/>
  <c r="AC3661" i="1"/>
  <c r="AI3660" i="1"/>
  <c r="AH3660" i="1"/>
  <c r="AG3660" i="1"/>
  <c r="AL3660" i="1"/>
  <c r="AJ3660" i="1"/>
  <c r="AF3660" i="1"/>
  <c r="AE3660" i="1"/>
  <c r="AD3660" i="1"/>
  <c r="AC3660" i="1"/>
  <c r="AI3659" i="1"/>
  <c r="AH3659" i="1"/>
  <c r="AG3659" i="1"/>
  <c r="AL3659" i="1"/>
  <c r="AJ3659" i="1"/>
  <c r="AF3659" i="1"/>
  <c r="AE3659" i="1"/>
  <c r="AD3659" i="1"/>
  <c r="AC3659" i="1"/>
  <c r="AI3658" i="1"/>
  <c r="AH3658" i="1"/>
  <c r="AG3658" i="1"/>
  <c r="AJ3658" i="1"/>
  <c r="AL3658" i="1"/>
  <c r="AF3658" i="1"/>
  <c r="AE3658" i="1"/>
  <c r="AD3658" i="1"/>
  <c r="AC3658" i="1"/>
  <c r="AI3657" i="1"/>
  <c r="AH3657" i="1"/>
  <c r="AG3657" i="1"/>
  <c r="AL3657" i="1"/>
  <c r="AJ3657" i="1"/>
  <c r="AF3657" i="1"/>
  <c r="AE3657" i="1"/>
  <c r="AD3657" i="1"/>
  <c r="AC3657" i="1"/>
  <c r="AI3656" i="1"/>
  <c r="AH3656" i="1"/>
  <c r="AG3656" i="1"/>
  <c r="AL3656" i="1"/>
  <c r="AJ3656" i="1"/>
  <c r="AM3656" i="1" s="1"/>
  <c r="AF3656" i="1"/>
  <c r="AE3656" i="1"/>
  <c r="AD3656" i="1"/>
  <c r="AC3656" i="1"/>
  <c r="AI3655" i="1"/>
  <c r="AH3655" i="1"/>
  <c r="AG3655" i="1"/>
  <c r="AJ3655" i="1"/>
  <c r="AL3655" i="1"/>
  <c r="AF3655" i="1"/>
  <c r="AE3655" i="1"/>
  <c r="AD3655" i="1"/>
  <c r="AC3655" i="1"/>
  <c r="AI3654" i="1"/>
  <c r="AH3654" i="1"/>
  <c r="AG3654" i="1"/>
  <c r="AL3654" i="1"/>
  <c r="AJ3654" i="1"/>
  <c r="AF3654" i="1"/>
  <c r="AE3654" i="1"/>
  <c r="AD3654" i="1"/>
  <c r="AC3654" i="1"/>
  <c r="AI3653" i="1"/>
  <c r="AH3653" i="1"/>
  <c r="AG3653" i="1"/>
  <c r="AJ3653" i="1"/>
  <c r="AL3653" i="1"/>
  <c r="AF3653" i="1"/>
  <c r="AE3653" i="1"/>
  <c r="AD3653" i="1"/>
  <c r="AC3653" i="1"/>
  <c r="AI3652" i="1"/>
  <c r="AH3652" i="1"/>
  <c r="AG3652" i="1"/>
  <c r="AL3652" i="1"/>
  <c r="AJ3652" i="1"/>
  <c r="AF3652" i="1"/>
  <c r="AE3652" i="1"/>
  <c r="AD3652" i="1"/>
  <c r="AC3652" i="1"/>
  <c r="AI3651" i="1"/>
  <c r="AH3651" i="1"/>
  <c r="AG3651" i="1"/>
  <c r="AL3651" i="1"/>
  <c r="AJ3651" i="1"/>
  <c r="AF3651" i="1"/>
  <c r="AE3651" i="1"/>
  <c r="AD3651" i="1"/>
  <c r="AC3651" i="1"/>
  <c r="AI3650" i="1"/>
  <c r="AH3650" i="1"/>
  <c r="AG3650" i="1"/>
  <c r="AL3650" i="1"/>
  <c r="AJ3650" i="1"/>
  <c r="AF3650" i="1"/>
  <c r="AE3650" i="1"/>
  <c r="AD3650" i="1"/>
  <c r="AC3650" i="1"/>
  <c r="AI3649" i="1"/>
  <c r="AH3649" i="1"/>
  <c r="AG3649" i="1"/>
  <c r="AJ3649" i="1"/>
  <c r="AL3649" i="1"/>
  <c r="AF3649" i="1"/>
  <c r="AE3649" i="1"/>
  <c r="AD3649" i="1"/>
  <c r="AC3649" i="1"/>
  <c r="AI3648" i="1"/>
  <c r="AH3648" i="1"/>
  <c r="AG3648" i="1"/>
  <c r="AL3648" i="1"/>
  <c r="AJ3648" i="1"/>
  <c r="AF3648" i="1"/>
  <c r="AE3648" i="1"/>
  <c r="AD3648" i="1"/>
  <c r="AC3648" i="1"/>
  <c r="AI3647" i="1"/>
  <c r="AH3647" i="1"/>
  <c r="AG3647" i="1"/>
  <c r="AL3647" i="1"/>
  <c r="AJ3647" i="1"/>
  <c r="AF3647" i="1"/>
  <c r="AE3647" i="1"/>
  <c r="AD3647" i="1"/>
  <c r="AC3647" i="1"/>
  <c r="AI3646" i="1"/>
  <c r="AH3646" i="1"/>
  <c r="AG3646" i="1"/>
  <c r="AL3646" i="1"/>
  <c r="AJ3646" i="1"/>
  <c r="AF3646" i="1"/>
  <c r="AE3646" i="1"/>
  <c r="AD3646" i="1"/>
  <c r="AC3646" i="1"/>
  <c r="AH3645" i="1"/>
  <c r="AG3645" i="1"/>
  <c r="AI3645" i="1"/>
  <c r="AL3645" i="1"/>
  <c r="AJ3645" i="1"/>
  <c r="AM3645" i="1" s="1"/>
  <c r="AF3645" i="1"/>
  <c r="AE3645" i="1"/>
  <c r="AD3645" i="1"/>
  <c r="AC3645" i="1"/>
  <c r="AI3644" i="1"/>
  <c r="AH3644" i="1"/>
  <c r="AG3644" i="1"/>
  <c r="AL3644" i="1"/>
  <c r="AJ3644" i="1"/>
  <c r="AF3644" i="1"/>
  <c r="AE3644" i="1"/>
  <c r="AD3644" i="1"/>
  <c r="AC3644" i="1"/>
  <c r="AI3643" i="1"/>
  <c r="AH3643" i="1"/>
  <c r="AG3643" i="1"/>
  <c r="AL3643" i="1"/>
  <c r="AJ3643" i="1"/>
  <c r="AF3643" i="1"/>
  <c r="AE3643" i="1"/>
  <c r="AD3643" i="1"/>
  <c r="AC3643" i="1"/>
  <c r="AI3642" i="1"/>
  <c r="AH3642" i="1"/>
  <c r="AG3642" i="1"/>
  <c r="AL3642" i="1"/>
  <c r="AJ3642" i="1"/>
  <c r="AF3642" i="1"/>
  <c r="AE3642" i="1"/>
  <c r="AD3642" i="1"/>
  <c r="AC3642" i="1"/>
  <c r="AH3641" i="1"/>
  <c r="AG3641" i="1"/>
  <c r="AI3641" i="1"/>
  <c r="AL3641" i="1"/>
  <c r="AJ3641" i="1"/>
  <c r="AF3641" i="1"/>
  <c r="AE3641" i="1"/>
  <c r="AD3641" i="1"/>
  <c r="AC3641" i="1"/>
  <c r="AI3640" i="1"/>
  <c r="AH3640" i="1"/>
  <c r="AG3640" i="1"/>
  <c r="AL3640" i="1"/>
  <c r="AJ3640" i="1"/>
  <c r="AF3640" i="1"/>
  <c r="AE3640" i="1"/>
  <c r="AD3640" i="1"/>
  <c r="AC3640" i="1"/>
  <c r="AI3639" i="1"/>
  <c r="AH3639" i="1"/>
  <c r="AG3639" i="1"/>
  <c r="AL3639" i="1"/>
  <c r="AJ3639" i="1"/>
  <c r="AF3639" i="1"/>
  <c r="AE3639" i="1"/>
  <c r="AD3639" i="1"/>
  <c r="AC3639" i="1"/>
  <c r="AI3638" i="1"/>
  <c r="AH3638" i="1"/>
  <c r="AG3638" i="1"/>
  <c r="AJ3638" i="1"/>
  <c r="AL3638" i="1"/>
  <c r="AF3638" i="1"/>
  <c r="AE3638" i="1"/>
  <c r="AD3638" i="1"/>
  <c r="AC3638" i="1"/>
  <c r="AI3637" i="1"/>
  <c r="AH3637" i="1"/>
  <c r="AG3637" i="1"/>
  <c r="AL3637" i="1"/>
  <c r="AJ3637" i="1"/>
  <c r="AF3637" i="1"/>
  <c r="AE3637" i="1"/>
  <c r="AD3637" i="1"/>
  <c r="AC3637" i="1"/>
  <c r="AI3636" i="1"/>
  <c r="AH3636" i="1"/>
  <c r="AG3636" i="1"/>
  <c r="AJ3636" i="1"/>
  <c r="AL3636" i="1"/>
  <c r="AF3636" i="1"/>
  <c r="AE3636" i="1"/>
  <c r="AD3636" i="1"/>
  <c r="AC3636" i="1"/>
  <c r="AI3635" i="1"/>
  <c r="AH3635" i="1"/>
  <c r="AG3635" i="1"/>
  <c r="AL3635" i="1"/>
  <c r="AJ3635" i="1"/>
  <c r="AF3635" i="1"/>
  <c r="AE3635" i="1"/>
  <c r="AD3635" i="1"/>
  <c r="AC3635" i="1"/>
  <c r="AI3634" i="1"/>
  <c r="AH3634" i="1"/>
  <c r="AG3634" i="1"/>
  <c r="AL3634" i="1"/>
  <c r="AJ3634" i="1"/>
  <c r="AF3634" i="1"/>
  <c r="AE3634" i="1"/>
  <c r="AD3634" i="1"/>
  <c r="AC3634" i="1"/>
  <c r="AI3633" i="1"/>
  <c r="AH3633" i="1"/>
  <c r="AG3633" i="1"/>
  <c r="AL3633" i="1"/>
  <c r="AJ3633" i="1"/>
  <c r="AF3633" i="1"/>
  <c r="AE3633" i="1"/>
  <c r="AD3633" i="1"/>
  <c r="AC3633" i="1"/>
  <c r="AI3632" i="1"/>
  <c r="AH3632" i="1"/>
  <c r="AG3632" i="1"/>
  <c r="AJ3632" i="1"/>
  <c r="AL3632" i="1"/>
  <c r="AF3632" i="1"/>
  <c r="AE3632" i="1"/>
  <c r="AD3632" i="1"/>
  <c r="AC3632" i="1"/>
  <c r="AI3631" i="1"/>
  <c r="AH3631" i="1"/>
  <c r="AG3631" i="1"/>
  <c r="AL3631" i="1"/>
  <c r="AJ3631" i="1"/>
  <c r="AF3631" i="1"/>
  <c r="AE3631" i="1"/>
  <c r="AD3631" i="1"/>
  <c r="AC3631" i="1"/>
  <c r="AI3630" i="1"/>
  <c r="AH3630" i="1"/>
  <c r="AG3630" i="1"/>
  <c r="AL3630" i="1"/>
  <c r="AJ3630" i="1"/>
  <c r="AF3630" i="1"/>
  <c r="AE3630" i="1"/>
  <c r="AD3630" i="1"/>
  <c r="AC3630" i="1"/>
  <c r="AI3629" i="1"/>
  <c r="AH3629" i="1"/>
  <c r="AG3629" i="1"/>
  <c r="AL3629" i="1"/>
  <c r="AJ3629" i="1"/>
  <c r="AF3629" i="1"/>
  <c r="AE3629" i="1"/>
  <c r="AD3629" i="1"/>
  <c r="AC3629" i="1"/>
  <c r="AH3628" i="1"/>
  <c r="AG3628" i="1"/>
  <c r="AI3628" i="1"/>
  <c r="AL3628" i="1"/>
  <c r="AJ3628" i="1"/>
  <c r="AF3628" i="1"/>
  <c r="AE3628" i="1"/>
  <c r="AD3628" i="1"/>
  <c r="AC3628" i="1"/>
  <c r="AI3627" i="1"/>
  <c r="AH3627" i="1"/>
  <c r="AG3627" i="1"/>
  <c r="AL3627" i="1"/>
  <c r="AJ3627" i="1"/>
  <c r="AF3627" i="1"/>
  <c r="AE3627" i="1"/>
  <c r="AD3627" i="1"/>
  <c r="AC3627" i="1"/>
  <c r="AI3626" i="1"/>
  <c r="AH3626" i="1"/>
  <c r="AG3626" i="1"/>
  <c r="AL3626" i="1"/>
  <c r="AJ3626" i="1"/>
  <c r="AM3626" i="1" s="1"/>
  <c r="AF3626" i="1"/>
  <c r="AE3626" i="1"/>
  <c r="AD3626" i="1"/>
  <c r="AC3626" i="1"/>
  <c r="AI3625" i="1"/>
  <c r="AH3625" i="1"/>
  <c r="AG3625" i="1"/>
  <c r="AL3625" i="1"/>
  <c r="AJ3625" i="1"/>
  <c r="AF3625" i="1"/>
  <c r="AE3625" i="1"/>
  <c r="AD3625" i="1"/>
  <c r="AC3625" i="1"/>
  <c r="AH3624" i="1"/>
  <c r="AG3624" i="1"/>
  <c r="AI3624" i="1"/>
  <c r="AL3624" i="1"/>
  <c r="AJ3624" i="1"/>
  <c r="AF3624" i="1"/>
  <c r="AE3624" i="1"/>
  <c r="AD3624" i="1"/>
  <c r="AC3624" i="1"/>
  <c r="AI3623" i="1"/>
  <c r="AH3623" i="1"/>
  <c r="AG3623" i="1"/>
  <c r="AL3623" i="1"/>
  <c r="AJ3623" i="1"/>
  <c r="AF3623" i="1"/>
  <c r="AE3623" i="1"/>
  <c r="AD3623" i="1"/>
  <c r="AC3623" i="1"/>
  <c r="AI3622" i="1"/>
  <c r="AH3622" i="1"/>
  <c r="AG3622" i="1"/>
  <c r="AL3622" i="1"/>
  <c r="AJ3622" i="1"/>
  <c r="AF3622" i="1"/>
  <c r="AE3622" i="1"/>
  <c r="AD3622" i="1"/>
  <c r="AC3622" i="1"/>
  <c r="AI3621" i="1"/>
  <c r="AH3621" i="1"/>
  <c r="AG3621" i="1"/>
  <c r="AJ3621" i="1"/>
  <c r="AL3621" i="1"/>
  <c r="AF3621" i="1"/>
  <c r="AE3621" i="1"/>
  <c r="AD3621" i="1"/>
  <c r="AC3621" i="1"/>
  <c r="AI3620" i="1"/>
  <c r="AH3620" i="1"/>
  <c r="AG3620" i="1"/>
  <c r="AL3620" i="1"/>
  <c r="AJ3620" i="1"/>
  <c r="AF3620" i="1"/>
  <c r="AE3620" i="1"/>
  <c r="AD3620" i="1"/>
  <c r="AC3620" i="1"/>
  <c r="AI3619" i="1"/>
  <c r="AH3619" i="1"/>
  <c r="AG3619" i="1"/>
  <c r="AJ3619" i="1"/>
  <c r="AL3619" i="1"/>
  <c r="AF3619" i="1"/>
  <c r="AE3619" i="1"/>
  <c r="AD3619" i="1"/>
  <c r="AC3619" i="1"/>
  <c r="AI3618" i="1"/>
  <c r="AH3618" i="1"/>
  <c r="AG3618" i="1"/>
  <c r="AL3618" i="1"/>
  <c r="AJ3618" i="1"/>
  <c r="AM3618" i="1" s="1"/>
  <c r="AF3618" i="1"/>
  <c r="AE3618" i="1"/>
  <c r="AD3618" i="1"/>
  <c r="AC3618" i="1"/>
  <c r="AI3617" i="1"/>
  <c r="AH3617" i="1"/>
  <c r="AG3617" i="1"/>
  <c r="AL3617" i="1"/>
  <c r="AJ3617" i="1"/>
  <c r="AF3617" i="1"/>
  <c r="AE3617" i="1"/>
  <c r="AD3617" i="1"/>
  <c r="AC3617" i="1"/>
  <c r="AI3616" i="1"/>
  <c r="AH3616" i="1"/>
  <c r="AG3616" i="1"/>
  <c r="AL3616" i="1"/>
  <c r="AJ3616" i="1"/>
  <c r="AF3616" i="1"/>
  <c r="AE3616" i="1"/>
  <c r="AD3616" i="1"/>
  <c r="AC3616" i="1"/>
  <c r="AI3615" i="1"/>
  <c r="AH3615" i="1"/>
  <c r="AG3615" i="1"/>
  <c r="AJ3615" i="1"/>
  <c r="AL3615" i="1"/>
  <c r="AF3615" i="1"/>
  <c r="AE3615" i="1"/>
  <c r="AD3615" i="1"/>
  <c r="AC3615" i="1"/>
  <c r="AI3614" i="1"/>
  <c r="AH3614" i="1"/>
  <c r="AG3614" i="1"/>
  <c r="AL3614" i="1"/>
  <c r="AJ3614" i="1"/>
  <c r="AM3614" i="1" s="1"/>
  <c r="AF3614" i="1"/>
  <c r="AE3614" i="1"/>
  <c r="AD3614" i="1"/>
  <c r="AC3614" i="1"/>
  <c r="AI3613" i="1"/>
  <c r="AH3613" i="1"/>
  <c r="AG3613" i="1"/>
  <c r="AL3613" i="1"/>
  <c r="AJ3613" i="1"/>
  <c r="AF3613" i="1"/>
  <c r="AE3613" i="1"/>
  <c r="AD3613" i="1"/>
  <c r="AC3613" i="1"/>
  <c r="AI3612" i="1"/>
  <c r="AH3612" i="1"/>
  <c r="AG3612" i="1"/>
  <c r="AL3612" i="1"/>
  <c r="AJ3612" i="1"/>
  <c r="AF3612" i="1"/>
  <c r="AE3612" i="1"/>
  <c r="AD3612" i="1"/>
  <c r="AC3612" i="1"/>
  <c r="AH3611" i="1"/>
  <c r="AG3611" i="1"/>
  <c r="AI3611" i="1"/>
  <c r="AL3611" i="1"/>
  <c r="AJ3611" i="1"/>
  <c r="AF3611" i="1"/>
  <c r="AE3611" i="1"/>
  <c r="AD3611" i="1"/>
  <c r="AC3611" i="1"/>
  <c r="AI3610" i="1"/>
  <c r="AH3610" i="1"/>
  <c r="AG3610" i="1"/>
  <c r="AL3610" i="1"/>
  <c r="AJ3610" i="1"/>
  <c r="AF3610" i="1"/>
  <c r="AE3610" i="1"/>
  <c r="AD3610" i="1"/>
  <c r="AC3610" i="1"/>
  <c r="AI3609" i="1"/>
  <c r="AH3609" i="1"/>
  <c r="AG3609" i="1"/>
  <c r="AL3609" i="1"/>
  <c r="AJ3609" i="1"/>
  <c r="AM3609" i="1" s="1"/>
  <c r="AF3609" i="1"/>
  <c r="AE3609" i="1"/>
  <c r="AD3609" i="1"/>
  <c r="AC3609" i="1"/>
  <c r="AI3608" i="1"/>
  <c r="AH3608" i="1"/>
  <c r="AG3608" i="1"/>
  <c r="AL3608" i="1"/>
  <c r="AJ3608" i="1"/>
  <c r="AF3608" i="1"/>
  <c r="AE3608" i="1"/>
  <c r="AD3608" i="1"/>
  <c r="AC3608" i="1"/>
  <c r="AH3607" i="1"/>
  <c r="AG3607" i="1"/>
  <c r="AI3607" i="1"/>
  <c r="AL3607" i="1"/>
  <c r="AJ3607" i="1"/>
  <c r="AF3607" i="1"/>
  <c r="AE3607" i="1"/>
  <c r="AD3607" i="1"/>
  <c r="AC3607" i="1"/>
  <c r="AI3606" i="1"/>
  <c r="AH3606" i="1"/>
  <c r="AG3606" i="1"/>
  <c r="AL3606" i="1"/>
  <c r="AJ3606" i="1"/>
  <c r="AF3606" i="1"/>
  <c r="AE3606" i="1"/>
  <c r="AD3606" i="1"/>
  <c r="AC3606" i="1"/>
  <c r="AI3605" i="1"/>
  <c r="AH3605" i="1"/>
  <c r="AG3605" i="1"/>
  <c r="AL3605" i="1"/>
  <c r="AJ3605" i="1"/>
  <c r="AF3605" i="1"/>
  <c r="AE3605" i="1"/>
  <c r="AD3605" i="1"/>
  <c r="AC3605" i="1"/>
  <c r="AI3604" i="1"/>
  <c r="AH3604" i="1"/>
  <c r="AG3604" i="1"/>
  <c r="AJ3604" i="1"/>
  <c r="AL3604" i="1"/>
  <c r="AF3604" i="1"/>
  <c r="AE3604" i="1"/>
  <c r="AD3604" i="1"/>
  <c r="AC3604" i="1"/>
  <c r="AI3603" i="1"/>
  <c r="AH3603" i="1"/>
  <c r="AG3603" i="1"/>
  <c r="AL3603" i="1"/>
  <c r="AJ3603" i="1"/>
  <c r="AF3603" i="1"/>
  <c r="AE3603" i="1"/>
  <c r="AD3603" i="1"/>
  <c r="AC3603" i="1"/>
  <c r="AI3602" i="1"/>
  <c r="AH3602" i="1"/>
  <c r="AG3602" i="1"/>
  <c r="AJ3602" i="1"/>
  <c r="AL3602" i="1"/>
  <c r="AF3602" i="1"/>
  <c r="AE3602" i="1"/>
  <c r="AD3602" i="1"/>
  <c r="AC3602" i="1"/>
  <c r="AI3601" i="1"/>
  <c r="AH3601" i="1"/>
  <c r="AG3601" i="1"/>
  <c r="AL3601" i="1"/>
  <c r="AJ3601" i="1"/>
  <c r="AF3601" i="1"/>
  <c r="AE3601" i="1"/>
  <c r="AD3601" i="1"/>
  <c r="AC3601" i="1"/>
  <c r="AI3600" i="1"/>
  <c r="AH3600" i="1"/>
  <c r="AG3600" i="1"/>
  <c r="AL3600" i="1"/>
  <c r="AJ3600" i="1"/>
  <c r="AF3600" i="1"/>
  <c r="AE3600" i="1"/>
  <c r="AD3600" i="1"/>
  <c r="AC3600" i="1"/>
  <c r="AI3599" i="1"/>
  <c r="AH3599" i="1"/>
  <c r="AG3599" i="1"/>
  <c r="AL3599" i="1"/>
  <c r="AJ3599" i="1"/>
  <c r="AM3599" i="1" s="1"/>
  <c r="AF3599" i="1"/>
  <c r="AE3599" i="1"/>
  <c r="AD3599" i="1"/>
  <c r="AC3599" i="1"/>
  <c r="AI3598" i="1"/>
  <c r="AH3598" i="1"/>
  <c r="AG3598" i="1"/>
  <c r="AJ3598" i="1"/>
  <c r="AL3598" i="1"/>
  <c r="AF3598" i="1"/>
  <c r="AE3598" i="1"/>
  <c r="AD3598" i="1"/>
  <c r="AC3598" i="1"/>
  <c r="AI3597" i="1"/>
  <c r="AH3597" i="1"/>
  <c r="AG3597" i="1"/>
  <c r="AL3597" i="1"/>
  <c r="AJ3597" i="1"/>
  <c r="AF3597" i="1"/>
  <c r="AE3597" i="1"/>
  <c r="AD3597" i="1"/>
  <c r="AC3597" i="1"/>
  <c r="AI3596" i="1"/>
  <c r="AH3596" i="1"/>
  <c r="AG3596" i="1"/>
  <c r="AL3596" i="1"/>
  <c r="AJ3596" i="1"/>
  <c r="AF3596" i="1"/>
  <c r="AE3596" i="1"/>
  <c r="AD3596" i="1"/>
  <c r="AC3596" i="1"/>
  <c r="AI3595" i="1"/>
  <c r="AH3595" i="1"/>
  <c r="AG3595" i="1"/>
  <c r="AL3595" i="1"/>
  <c r="AJ3595" i="1"/>
  <c r="AF3595" i="1"/>
  <c r="AE3595" i="1"/>
  <c r="AD3595" i="1"/>
  <c r="AC3595" i="1"/>
  <c r="AH3594" i="1"/>
  <c r="AG3594" i="1"/>
  <c r="AI3594" i="1"/>
  <c r="AL3594" i="1"/>
  <c r="AJ3594" i="1"/>
  <c r="AF3594" i="1"/>
  <c r="AE3594" i="1"/>
  <c r="AD3594" i="1"/>
  <c r="AC3594" i="1"/>
  <c r="AI3593" i="1"/>
  <c r="AH3593" i="1"/>
  <c r="AG3593" i="1"/>
  <c r="AL3593" i="1"/>
  <c r="AJ3593" i="1"/>
  <c r="AF3593" i="1"/>
  <c r="AE3593" i="1"/>
  <c r="AD3593" i="1"/>
  <c r="AC3593" i="1"/>
  <c r="AI3592" i="1"/>
  <c r="AH3592" i="1"/>
  <c r="AG3592" i="1"/>
  <c r="AL3592" i="1"/>
  <c r="AJ3592" i="1"/>
  <c r="AF3592" i="1"/>
  <c r="AE3592" i="1"/>
  <c r="AD3592" i="1"/>
  <c r="AC3592" i="1"/>
  <c r="AI3591" i="1"/>
  <c r="AH3591" i="1"/>
  <c r="AG3591" i="1"/>
  <c r="AL3591" i="1"/>
  <c r="AJ3591" i="1"/>
  <c r="AF3591" i="1"/>
  <c r="AE3591" i="1"/>
  <c r="AD3591" i="1"/>
  <c r="AC3591" i="1"/>
  <c r="AH3590" i="1"/>
  <c r="AG3590" i="1"/>
  <c r="AI3590" i="1"/>
  <c r="AL3590" i="1"/>
  <c r="AJ3590" i="1"/>
  <c r="AM3590" i="1" s="1"/>
  <c r="AF3590" i="1"/>
  <c r="AE3590" i="1"/>
  <c r="AD3590" i="1"/>
  <c r="AC3590" i="1"/>
  <c r="AI3589" i="1"/>
  <c r="AH3589" i="1"/>
  <c r="AG3589" i="1"/>
  <c r="AL3589" i="1"/>
  <c r="AJ3589" i="1"/>
  <c r="AM3589" i="1" s="1"/>
  <c r="AF3589" i="1"/>
  <c r="AE3589" i="1"/>
  <c r="AD3589" i="1"/>
  <c r="AC3589" i="1"/>
  <c r="AI3588" i="1"/>
  <c r="AH3588" i="1"/>
  <c r="AG3588" i="1"/>
  <c r="AL3588" i="1"/>
  <c r="AJ3588" i="1"/>
  <c r="AF3588" i="1"/>
  <c r="AE3588" i="1"/>
  <c r="AD3588" i="1"/>
  <c r="AC3588" i="1"/>
  <c r="AI3587" i="1"/>
  <c r="AH3587" i="1"/>
  <c r="AG3587" i="1"/>
  <c r="AJ3587" i="1"/>
  <c r="AL3587" i="1"/>
  <c r="AF3587" i="1"/>
  <c r="AE3587" i="1"/>
  <c r="AD3587" i="1"/>
  <c r="AC3587" i="1"/>
  <c r="AI3586" i="1"/>
  <c r="AH3586" i="1"/>
  <c r="AG3586" i="1"/>
  <c r="AL3586" i="1"/>
  <c r="AJ3586" i="1"/>
  <c r="AF3586" i="1"/>
  <c r="AE3586" i="1"/>
  <c r="AD3586" i="1"/>
  <c r="AC3586" i="1"/>
  <c r="AI3585" i="1"/>
  <c r="AH3585" i="1"/>
  <c r="AG3585" i="1"/>
  <c r="AJ3585" i="1"/>
  <c r="AL3585" i="1"/>
  <c r="AF3585" i="1"/>
  <c r="AE3585" i="1"/>
  <c r="AD3585" i="1"/>
  <c r="AC3585" i="1"/>
  <c r="AI3584" i="1"/>
  <c r="AH3584" i="1"/>
  <c r="AG3584" i="1"/>
  <c r="AL3584" i="1"/>
  <c r="AJ3584" i="1"/>
  <c r="AF3584" i="1"/>
  <c r="AE3584" i="1"/>
  <c r="AD3584" i="1"/>
  <c r="AC3584" i="1"/>
  <c r="AI3583" i="1"/>
  <c r="AH3583" i="1"/>
  <c r="AG3583" i="1"/>
  <c r="AL3583" i="1"/>
  <c r="AJ3583" i="1"/>
  <c r="AF3583" i="1"/>
  <c r="AE3583" i="1"/>
  <c r="AD3583" i="1"/>
  <c r="AC3583" i="1"/>
  <c r="AI3582" i="1"/>
  <c r="AH3582" i="1"/>
  <c r="AG3582" i="1"/>
  <c r="AL3582" i="1"/>
  <c r="AJ3582" i="1"/>
  <c r="AF3582" i="1"/>
  <c r="AE3582" i="1"/>
  <c r="AD3582" i="1"/>
  <c r="AC3582" i="1"/>
  <c r="AH3581" i="1"/>
  <c r="AG3581" i="1"/>
  <c r="AI3581" i="1"/>
  <c r="AL3581" i="1"/>
  <c r="AJ3581" i="1"/>
  <c r="AF3581" i="1"/>
  <c r="AE3581" i="1"/>
  <c r="AD3581" i="1"/>
  <c r="AC3581" i="1"/>
  <c r="AI3580" i="1"/>
  <c r="AH3580" i="1"/>
  <c r="AG3580" i="1"/>
  <c r="AL3580" i="1"/>
  <c r="AJ3580" i="1"/>
  <c r="AF3580" i="1"/>
  <c r="AE3580" i="1"/>
  <c r="AD3580" i="1"/>
  <c r="AC3580" i="1"/>
  <c r="AI3579" i="1"/>
  <c r="AH3579" i="1"/>
  <c r="AG3579" i="1"/>
  <c r="AL3579" i="1"/>
  <c r="AJ3579" i="1"/>
  <c r="AF3579" i="1"/>
  <c r="AE3579" i="1"/>
  <c r="AD3579" i="1"/>
  <c r="AC3579" i="1"/>
  <c r="AI3578" i="1"/>
  <c r="AH3578" i="1"/>
  <c r="AG3578" i="1"/>
  <c r="AJ3578" i="1"/>
  <c r="AL3578" i="1"/>
  <c r="AF3578" i="1"/>
  <c r="AE3578" i="1"/>
  <c r="AD3578" i="1"/>
  <c r="AC3578" i="1"/>
  <c r="AI3577" i="1"/>
  <c r="AH3577" i="1"/>
  <c r="AG3577" i="1"/>
  <c r="AL3577" i="1"/>
  <c r="AJ3577" i="1"/>
  <c r="AF3577" i="1"/>
  <c r="AE3577" i="1"/>
  <c r="AD3577" i="1"/>
  <c r="AC3577" i="1"/>
  <c r="AI3576" i="1"/>
  <c r="AH3576" i="1"/>
  <c r="AG3576" i="1"/>
  <c r="AJ3576" i="1"/>
  <c r="AL3576" i="1"/>
  <c r="AF3576" i="1"/>
  <c r="AE3576" i="1"/>
  <c r="AD3576" i="1"/>
  <c r="AC3576" i="1"/>
  <c r="AI3575" i="1"/>
  <c r="AH3575" i="1"/>
  <c r="AG3575" i="1"/>
  <c r="AL3575" i="1"/>
  <c r="AJ3575" i="1"/>
  <c r="AF3575" i="1"/>
  <c r="AE3575" i="1"/>
  <c r="AD3575" i="1"/>
  <c r="AC3575" i="1"/>
  <c r="AI3574" i="1"/>
  <c r="AH3574" i="1"/>
  <c r="AG3574" i="1"/>
  <c r="AL3574" i="1"/>
  <c r="AJ3574" i="1"/>
  <c r="AF3574" i="1"/>
  <c r="AE3574" i="1"/>
  <c r="AD3574" i="1"/>
  <c r="AC3574" i="1"/>
  <c r="AI3573" i="1"/>
  <c r="AH3573" i="1"/>
  <c r="AG3573" i="1"/>
  <c r="AL3573" i="1"/>
  <c r="AJ3573" i="1"/>
  <c r="AF3573" i="1"/>
  <c r="AE3573" i="1"/>
  <c r="AD3573" i="1"/>
  <c r="AC3573" i="1"/>
  <c r="AI3572" i="1"/>
  <c r="AH3572" i="1"/>
  <c r="AG3572" i="1"/>
  <c r="AJ3572" i="1"/>
  <c r="AL3572" i="1"/>
  <c r="AF3572" i="1"/>
  <c r="AE3572" i="1"/>
  <c r="AD3572" i="1"/>
  <c r="AC3572" i="1"/>
  <c r="AI3571" i="1"/>
  <c r="AH3571" i="1"/>
  <c r="AG3571" i="1"/>
  <c r="AL3571" i="1"/>
  <c r="AJ3571" i="1"/>
  <c r="AF3571" i="1"/>
  <c r="AE3571" i="1"/>
  <c r="AD3571" i="1"/>
  <c r="AC3571" i="1"/>
  <c r="AI3570" i="1"/>
  <c r="AH3570" i="1"/>
  <c r="AG3570" i="1"/>
  <c r="AL3570" i="1"/>
  <c r="AJ3570" i="1"/>
  <c r="AF3570" i="1"/>
  <c r="AE3570" i="1"/>
  <c r="AD3570" i="1"/>
  <c r="AC3570" i="1"/>
  <c r="AI3569" i="1"/>
  <c r="AH3569" i="1"/>
  <c r="AG3569" i="1"/>
  <c r="AJ3569" i="1"/>
  <c r="AL3569" i="1"/>
  <c r="AF3569" i="1"/>
  <c r="AE3569" i="1"/>
  <c r="AD3569" i="1"/>
  <c r="AC3569" i="1"/>
  <c r="AI3568" i="1"/>
  <c r="AH3568" i="1"/>
  <c r="AG3568" i="1"/>
  <c r="AL3568" i="1"/>
  <c r="AJ3568" i="1"/>
  <c r="AF3568" i="1"/>
  <c r="AE3568" i="1"/>
  <c r="AD3568" i="1"/>
  <c r="AC3568" i="1"/>
  <c r="AI3567" i="1"/>
  <c r="AH3567" i="1"/>
  <c r="AG3567" i="1"/>
  <c r="AJ3567" i="1"/>
  <c r="AL3567" i="1"/>
  <c r="AF3567" i="1"/>
  <c r="AE3567" i="1"/>
  <c r="AD3567" i="1"/>
  <c r="AC3567" i="1"/>
  <c r="AI3566" i="1"/>
  <c r="AH3566" i="1"/>
  <c r="AG3566" i="1"/>
  <c r="AL3566" i="1"/>
  <c r="AJ3566" i="1"/>
  <c r="AF3566" i="1"/>
  <c r="AE3566" i="1"/>
  <c r="AD3566" i="1"/>
  <c r="AC3566" i="1"/>
  <c r="AI3565" i="1"/>
  <c r="AH3565" i="1"/>
  <c r="AG3565" i="1"/>
  <c r="AL3565" i="1"/>
  <c r="AJ3565" i="1"/>
  <c r="AF3565" i="1"/>
  <c r="AE3565" i="1"/>
  <c r="AD3565" i="1"/>
  <c r="AC3565" i="1"/>
  <c r="AI3564" i="1"/>
  <c r="AH3564" i="1"/>
  <c r="AG3564" i="1"/>
  <c r="AL3564" i="1"/>
  <c r="AJ3564" i="1"/>
  <c r="AF3564" i="1"/>
  <c r="AE3564" i="1"/>
  <c r="AD3564" i="1"/>
  <c r="AC3564" i="1"/>
  <c r="AI3563" i="1"/>
  <c r="AH3563" i="1"/>
  <c r="AG3563" i="1"/>
  <c r="AJ3563" i="1"/>
  <c r="AL3563" i="1"/>
  <c r="AF3563" i="1"/>
  <c r="AE3563" i="1"/>
  <c r="AD3563" i="1"/>
  <c r="AC3563" i="1"/>
  <c r="AI3562" i="1"/>
  <c r="AH3562" i="1"/>
  <c r="AG3562" i="1"/>
  <c r="AL3562" i="1"/>
  <c r="AJ3562" i="1"/>
  <c r="AM3562" i="1" s="1"/>
  <c r="AF3562" i="1"/>
  <c r="AE3562" i="1"/>
  <c r="AD3562" i="1"/>
  <c r="AC3562" i="1"/>
  <c r="AI3561" i="1"/>
  <c r="AH3561" i="1"/>
  <c r="AG3561" i="1"/>
  <c r="AL3561" i="1"/>
  <c r="AJ3561" i="1"/>
  <c r="AF3561" i="1"/>
  <c r="AE3561" i="1"/>
  <c r="AD3561" i="1"/>
  <c r="AC3561" i="1"/>
  <c r="AI3560" i="1"/>
  <c r="AH3560" i="1"/>
  <c r="AG3560" i="1"/>
  <c r="AL3560" i="1"/>
  <c r="AJ3560" i="1"/>
  <c r="AF3560" i="1"/>
  <c r="AE3560" i="1"/>
  <c r="AD3560" i="1"/>
  <c r="AC3560" i="1"/>
  <c r="AH3559" i="1"/>
  <c r="AG3559" i="1"/>
  <c r="AI3559" i="1"/>
  <c r="AL3559" i="1"/>
  <c r="AJ3559" i="1"/>
  <c r="AF3559" i="1"/>
  <c r="AE3559" i="1"/>
  <c r="AD3559" i="1"/>
  <c r="AC3559" i="1"/>
  <c r="AI3558" i="1"/>
  <c r="AH3558" i="1"/>
  <c r="AG3558" i="1"/>
  <c r="AL3558" i="1"/>
  <c r="AJ3558" i="1"/>
  <c r="AF3558" i="1"/>
  <c r="AE3558" i="1"/>
  <c r="AD3558" i="1"/>
  <c r="AC3558" i="1"/>
  <c r="AI3557" i="1"/>
  <c r="AH3557" i="1"/>
  <c r="AG3557" i="1"/>
  <c r="AL3557" i="1"/>
  <c r="AJ3557" i="1"/>
  <c r="AF3557" i="1"/>
  <c r="AE3557" i="1"/>
  <c r="AD3557" i="1"/>
  <c r="AC3557" i="1"/>
  <c r="AI3556" i="1"/>
  <c r="AH3556" i="1"/>
  <c r="AG3556" i="1"/>
  <c r="AL3556" i="1"/>
  <c r="AJ3556" i="1"/>
  <c r="AF3556" i="1"/>
  <c r="AE3556" i="1"/>
  <c r="AD3556" i="1"/>
  <c r="AC3556" i="1"/>
  <c r="AI3555" i="1"/>
  <c r="AH3555" i="1"/>
  <c r="AG3555" i="1"/>
  <c r="AJ3555" i="1"/>
  <c r="AL3555" i="1"/>
  <c r="AF3555" i="1"/>
  <c r="AE3555" i="1"/>
  <c r="AD3555" i="1"/>
  <c r="AC3555" i="1"/>
  <c r="AI3554" i="1"/>
  <c r="AH3554" i="1"/>
  <c r="AG3554" i="1"/>
  <c r="AL3554" i="1"/>
  <c r="AJ3554" i="1"/>
  <c r="AF3554" i="1"/>
  <c r="AE3554" i="1"/>
  <c r="AD3554" i="1"/>
  <c r="AC3554" i="1"/>
  <c r="AI3553" i="1"/>
  <c r="AH3553" i="1"/>
  <c r="AG3553" i="1"/>
  <c r="AL3553" i="1"/>
  <c r="AJ3553" i="1"/>
  <c r="AM3553" i="1" s="1"/>
  <c r="AF3553" i="1"/>
  <c r="AE3553" i="1"/>
  <c r="AD3553" i="1"/>
  <c r="AC3553" i="1"/>
  <c r="AI3552" i="1"/>
  <c r="AH3552" i="1"/>
  <c r="AG3552" i="1"/>
  <c r="AJ3552" i="1"/>
  <c r="AL3552" i="1"/>
  <c r="AF3552" i="1"/>
  <c r="AE3552" i="1"/>
  <c r="AD3552" i="1"/>
  <c r="AC3552" i="1"/>
  <c r="AI3551" i="1"/>
  <c r="AH3551" i="1"/>
  <c r="AG3551" i="1"/>
  <c r="AL3551" i="1"/>
  <c r="AJ3551" i="1"/>
  <c r="AF3551" i="1"/>
  <c r="AE3551" i="1"/>
  <c r="AD3551" i="1"/>
  <c r="AC3551" i="1"/>
  <c r="AI3550" i="1"/>
  <c r="AH3550" i="1"/>
  <c r="AG3550" i="1"/>
  <c r="AJ3550" i="1"/>
  <c r="AL3550" i="1"/>
  <c r="AF3550" i="1"/>
  <c r="AE3550" i="1"/>
  <c r="AD3550" i="1"/>
  <c r="AC3550" i="1"/>
  <c r="AI3549" i="1"/>
  <c r="AH3549" i="1"/>
  <c r="AG3549" i="1"/>
  <c r="AL3549" i="1"/>
  <c r="AJ3549" i="1"/>
  <c r="AF3549" i="1"/>
  <c r="AE3549" i="1"/>
  <c r="AD3549" i="1"/>
  <c r="AC3549" i="1"/>
  <c r="AI3548" i="1"/>
  <c r="AH3548" i="1"/>
  <c r="AG3548" i="1"/>
  <c r="AL3548" i="1"/>
  <c r="AJ3548" i="1"/>
  <c r="AF3548" i="1"/>
  <c r="AE3548" i="1"/>
  <c r="AD3548" i="1"/>
  <c r="AC3548" i="1"/>
  <c r="AI3547" i="1"/>
  <c r="AH3547" i="1"/>
  <c r="AG3547" i="1"/>
  <c r="AL3547" i="1"/>
  <c r="AJ3547" i="1"/>
  <c r="AF3547" i="1"/>
  <c r="AE3547" i="1"/>
  <c r="AD3547" i="1"/>
  <c r="AC3547" i="1"/>
  <c r="AI3546" i="1"/>
  <c r="AH3546" i="1"/>
  <c r="AG3546" i="1"/>
  <c r="AJ3546" i="1"/>
  <c r="AL3546" i="1"/>
  <c r="AF3546" i="1"/>
  <c r="AE3546" i="1"/>
  <c r="AD3546" i="1"/>
  <c r="AC3546" i="1"/>
  <c r="AI3545" i="1"/>
  <c r="AH3545" i="1"/>
  <c r="AG3545" i="1"/>
  <c r="AL3545" i="1"/>
  <c r="AJ3545" i="1"/>
  <c r="AF3545" i="1"/>
  <c r="AE3545" i="1"/>
  <c r="AD3545" i="1"/>
  <c r="AC3545" i="1"/>
  <c r="AI3544" i="1"/>
  <c r="AH3544" i="1"/>
  <c r="AG3544" i="1"/>
  <c r="AL3544" i="1"/>
  <c r="AJ3544" i="1"/>
  <c r="AF3544" i="1"/>
  <c r="AE3544" i="1"/>
  <c r="AD3544" i="1"/>
  <c r="AC3544" i="1"/>
  <c r="AI3543" i="1"/>
  <c r="AH3543" i="1"/>
  <c r="AG3543" i="1"/>
  <c r="AL3543" i="1"/>
  <c r="AJ3543" i="1"/>
  <c r="AF3543" i="1"/>
  <c r="AE3543" i="1"/>
  <c r="AD3543" i="1"/>
  <c r="AC3543" i="1"/>
  <c r="AH3542" i="1"/>
  <c r="AG3542" i="1"/>
  <c r="AI3542" i="1"/>
  <c r="AL3542" i="1"/>
  <c r="AJ3542" i="1"/>
  <c r="AF3542" i="1"/>
  <c r="AE3542" i="1"/>
  <c r="AD3542" i="1"/>
  <c r="AC3542" i="1"/>
  <c r="AI3541" i="1"/>
  <c r="AH3541" i="1"/>
  <c r="AG3541" i="1"/>
  <c r="AL3541" i="1"/>
  <c r="AJ3541" i="1"/>
  <c r="AF3541" i="1"/>
  <c r="AE3541" i="1"/>
  <c r="AD3541" i="1"/>
  <c r="AC3541" i="1"/>
  <c r="AI3540" i="1"/>
  <c r="AH3540" i="1"/>
  <c r="AG3540" i="1"/>
  <c r="AL3540" i="1"/>
  <c r="AJ3540" i="1"/>
  <c r="AF3540" i="1"/>
  <c r="AE3540" i="1"/>
  <c r="AD3540" i="1"/>
  <c r="AC3540" i="1"/>
  <c r="AI3539" i="1"/>
  <c r="AH3539" i="1"/>
  <c r="AG3539" i="1"/>
  <c r="AL3539" i="1"/>
  <c r="AJ3539" i="1"/>
  <c r="AF3539" i="1"/>
  <c r="AE3539" i="1"/>
  <c r="AD3539" i="1"/>
  <c r="AC3539" i="1"/>
  <c r="AH3538" i="1"/>
  <c r="AG3538" i="1"/>
  <c r="AI3538" i="1"/>
  <c r="AL3538" i="1"/>
  <c r="AJ3538" i="1"/>
  <c r="AF3538" i="1"/>
  <c r="AE3538" i="1"/>
  <c r="AD3538" i="1"/>
  <c r="AC3538" i="1"/>
  <c r="AI3537" i="1"/>
  <c r="AH3537" i="1"/>
  <c r="AG3537" i="1"/>
  <c r="AL3537" i="1"/>
  <c r="AJ3537" i="1"/>
  <c r="AF3537" i="1"/>
  <c r="AE3537" i="1"/>
  <c r="AD3537" i="1"/>
  <c r="AC3537" i="1"/>
  <c r="AI3536" i="1"/>
  <c r="AH3536" i="1"/>
  <c r="AG3536" i="1"/>
  <c r="AL3536" i="1"/>
  <c r="AJ3536" i="1"/>
  <c r="AF3536" i="1"/>
  <c r="AE3536" i="1"/>
  <c r="AD3536" i="1"/>
  <c r="AC3536" i="1"/>
  <c r="AI3535" i="1"/>
  <c r="AH3535" i="1"/>
  <c r="AG3535" i="1"/>
  <c r="AJ3535" i="1"/>
  <c r="AL3535" i="1"/>
  <c r="AF3535" i="1"/>
  <c r="AE3535" i="1"/>
  <c r="AD3535" i="1"/>
  <c r="AC3535" i="1"/>
  <c r="AI3534" i="1"/>
  <c r="AH3534" i="1"/>
  <c r="AG3534" i="1"/>
  <c r="AL3534" i="1"/>
  <c r="AJ3534" i="1"/>
  <c r="AF3534" i="1"/>
  <c r="AE3534" i="1"/>
  <c r="AD3534" i="1"/>
  <c r="AC3534" i="1"/>
  <c r="AI3533" i="1"/>
  <c r="AH3533" i="1"/>
  <c r="AG3533" i="1"/>
  <c r="AJ3533" i="1"/>
  <c r="AL3533" i="1"/>
  <c r="AF3533" i="1"/>
  <c r="AE3533" i="1"/>
  <c r="AD3533" i="1"/>
  <c r="AC3533" i="1"/>
  <c r="AI3532" i="1"/>
  <c r="AH3532" i="1"/>
  <c r="AG3532" i="1"/>
  <c r="AL3532" i="1"/>
  <c r="AJ3532" i="1"/>
  <c r="AM3532" i="1" s="1"/>
  <c r="AF3532" i="1"/>
  <c r="AE3532" i="1"/>
  <c r="AD3532" i="1"/>
  <c r="AC3532" i="1"/>
  <c r="AI3531" i="1"/>
  <c r="AH3531" i="1"/>
  <c r="AG3531" i="1"/>
  <c r="AL3531" i="1"/>
  <c r="AJ3531" i="1"/>
  <c r="AF3531" i="1"/>
  <c r="AE3531" i="1"/>
  <c r="AD3531" i="1"/>
  <c r="AC3531" i="1"/>
  <c r="AI3530" i="1"/>
  <c r="AH3530" i="1"/>
  <c r="AG3530" i="1"/>
  <c r="AL3530" i="1"/>
  <c r="AJ3530" i="1"/>
  <c r="AF3530" i="1"/>
  <c r="AE3530" i="1"/>
  <c r="AD3530" i="1"/>
  <c r="AC3530" i="1"/>
  <c r="AI3529" i="1"/>
  <c r="AH3529" i="1"/>
  <c r="AG3529" i="1"/>
  <c r="AJ3529" i="1"/>
  <c r="AL3529" i="1"/>
  <c r="AF3529" i="1"/>
  <c r="AE3529" i="1"/>
  <c r="AD3529" i="1"/>
  <c r="AC3529" i="1"/>
  <c r="AI3528" i="1"/>
  <c r="AH3528" i="1"/>
  <c r="AG3528" i="1"/>
  <c r="AL3528" i="1"/>
  <c r="AJ3528" i="1"/>
  <c r="AF3528" i="1"/>
  <c r="AE3528" i="1"/>
  <c r="AD3528" i="1"/>
  <c r="AC3528" i="1"/>
  <c r="AI3527" i="1"/>
  <c r="AH3527" i="1"/>
  <c r="AG3527" i="1"/>
  <c r="AL3527" i="1"/>
  <c r="AJ3527" i="1"/>
  <c r="AF3527" i="1"/>
  <c r="AE3527" i="1"/>
  <c r="AD3527" i="1"/>
  <c r="AC3527" i="1"/>
  <c r="AI3526" i="1"/>
  <c r="AH3526" i="1"/>
  <c r="AG3526" i="1"/>
  <c r="AL3526" i="1"/>
  <c r="AJ3526" i="1"/>
  <c r="AF3526" i="1"/>
  <c r="AE3526" i="1"/>
  <c r="AD3526" i="1"/>
  <c r="AC3526" i="1"/>
  <c r="AH3525" i="1"/>
  <c r="AG3525" i="1"/>
  <c r="AI3525" i="1"/>
  <c r="AL3525" i="1"/>
  <c r="AJ3525" i="1"/>
  <c r="AF3525" i="1"/>
  <c r="AE3525" i="1"/>
  <c r="AD3525" i="1"/>
  <c r="AC3525" i="1"/>
  <c r="AI3524" i="1"/>
  <c r="AH3524" i="1"/>
  <c r="AG3524" i="1"/>
  <c r="AL3524" i="1"/>
  <c r="AJ3524" i="1"/>
  <c r="AF3524" i="1"/>
  <c r="AE3524" i="1"/>
  <c r="AD3524" i="1"/>
  <c r="AC3524" i="1"/>
  <c r="AI3523" i="1"/>
  <c r="AH3523" i="1"/>
  <c r="AG3523" i="1"/>
  <c r="AL3523" i="1"/>
  <c r="AJ3523" i="1"/>
  <c r="AF3523" i="1"/>
  <c r="AE3523" i="1"/>
  <c r="AD3523" i="1"/>
  <c r="AC3523" i="1"/>
  <c r="AI3522" i="1"/>
  <c r="AH3522" i="1"/>
  <c r="AG3522" i="1"/>
  <c r="AL3522" i="1"/>
  <c r="AJ3522" i="1"/>
  <c r="AF3522" i="1"/>
  <c r="AE3522" i="1"/>
  <c r="AD3522" i="1"/>
  <c r="AC3522" i="1"/>
  <c r="AI3521" i="1"/>
  <c r="AH3521" i="1"/>
  <c r="AG3521" i="1"/>
  <c r="AJ3521" i="1"/>
  <c r="AL3521" i="1"/>
  <c r="AF3521" i="1"/>
  <c r="AE3521" i="1"/>
  <c r="AD3521" i="1"/>
  <c r="AC3521" i="1"/>
  <c r="AI3520" i="1"/>
  <c r="AH3520" i="1"/>
  <c r="AG3520" i="1"/>
  <c r="AL3520" i="1"/>
  <c r="AJ3520" i="1"/>
  <c r="AF3520" i="1"/>
  <c r="AE3520" i="1"/>
  <c r="AD3520" i="1"/>
  <c r="AC3520" i="1"/>
  <c r="AI3519" i="1"/>
  <c r="AH3519" i="1"/>
  <c r="AG3519" i="1"/>
  <c r="AL3519" i="1"/>
  <c r="AJ3519" i="1"/>
  <c r="AM3519" i="1" s="1"/>
  <c r="AF3519" i="1"/>
  <c r="AE3519" i="1"/>
  <c r="AD3519" i="1"/>
  <c r="AC3519" i="1"/>
  <c r="AH3518" i="1"/>
  <c r="AG3518" i="1"/>
  <c r="AI3518" i="1"/>
  <c r="AL3518" i="1"/>
  <c r="AJ3518" i="1"/>
  <c r="AF3518" i="1"/>
  <c r="AE3518" i="1"/>
  <c r="AD3518" i="1"/>
  <c r="AC3518" i="1"/>
  <c r="AI3517" i="1"/>
  <c r="AH3517" i="1"/>
  <c r="AG3517" i="1"/>
  <c r="AL3517" i="1"/>
  <c r="AJ3517" i="1"/>
  <c r="AF3517" i="1"/>
  <c r="AE3517" i="1"/>
  <c r="AD3517" i="1"/>
  <c r="AC3517" i="1"/>
  <c r="AI3516" i="1"/>
  <c r="AH3516" i="1"/>
  <c r="AG3516" i="1"/>
  <c r="AL3516" i="1"/>
  <c r="AJ3516" i="1"/>
  <c r="AF3516" i="1"/>
  <c r="AE3516" i="1"/>
  <c r="AD3516" i="1"/>
  <c r="AC3516" i="1"/>
  <c r="AI3515" i="1"/>
  <c r="AH3515" i="1"/>
  <c r="AG3515" i="1"/>
  <c r="AJ3515" i="1"/>
  <c r="AL3515" i="1"/>
  <c r="AF3515" i="1"/>
  <c r="AE3515" i="1"/>
  <c r="AD3515" i="1"/>
  <c r="AC3515" i="1"/>
  <c r="AI3514" i="1"/>
  <c r="AH3514" i="1"/>
  <c r="AG3514" i="1"/>
  <c r="AL3514" i="1"/>
  <c r="AJ3514" i="1"/>
  <c r="AF3514" i="1"/>
  <c r="AE3514" i="1"/>
  <c r="AD3514" i="1"/>
  <c r="AC3514" i="1"/>
  <c r="AI3513" i="1"/>
  <c r="AH3513" i="1"/>
  <c r="AG3513" i="1"/>
  <c r="AL3513" i="1"/>
  <c r="AJ3513" i="1"/>
  <c r="AF3513" i="1"/>
  <c r="AE3513" i="1"/>
  <c r="AD3513" i="1"/>
  <c r="AC3513" i="1"/>
  <c r="AI3512" i="1"/>
  <c r="AH3512" i="1"/>
  <c r="AG3512" i="1"/>
  <c r="AJ3512" i="1"/>
  <c r="AL3512" i="1"/>
  <c r="AF3512" i="1"/>
  <c r="AE3512" i="1"/>
  <c r="AD3512" i="1"/>
  <c r="AC3512" i="1"/>
  <c r="AI3511" i="1"/>
  <c r="AH3511" i="1"/>
  <c r="AG3511" i="1"/>
  <c r="AL3511" i="1"/>
  <c r="AJ3511" i="1"/>
  <c r="AF3511" i="1"/>
  <c r="AE3511" i="1"/>
  <c r="AD3511" i="1"/>
  <c r="AC3511" i="1"/>
  <c r="AI3510" i="1"/>
  <c r="AH3510" i="1"/>
  <c r="AG3510" i="1"/>
  <c r="AJ3510" i="1"/>
  <c r="AL3510" i="1"/>
  <c r="AF3510" i="1"/>
  <c r="AE3510" i="1"/>
  <c r="AD3510" i="1"/>
  <c r="AC3510" i="1"/>
  <c r="AI3509" i="1"/>
  <c r="AH3509" i="1"/>
  <c r="AG3509" i="1"/>
  <c r="AL3509" i="1"/>
  <c r="AJ3509" i="1"/>
  <c r="AF3509" i="1"/>
  <c r="AE3509" i="1"/>
  <c r="AD3509" i="1"/>
  <c r="AC3509" i="1"/>
  <c r="AI3508" i="1"/>
  <c r="AH3508" i="1"/>
  <c r="AG3508" i="1"/>
  <c r="AL3508" i="1"/>
  <c r="AJ3508" i="1"/>
  <c r="AF3508" i="1"/>
  <c r="AE3508" i="1"/>
  <c r="AD3508" i="1"/>
  <c r="AC3508" i="1"/>
  <c r="AI3507" i="1"/>
  <c r="AH3507" i="1"/>
  <c r="AG3507" i="1"/>
  <c r="AJ3507" i="1"/>
  <c r="AL3507" i="1"/>
  <c r="AF3507" i="1"/>
  <c r="AE3507" i="1"/>
  <c r="AD3507" i="1"/>
  <c r="AC3507" i="1"/>
  <c r="AI3506" i="1"/>
  <c r="AH3506" i="1"/>
  <c r="AG3506" i="1"/>
  <c r="AL3506" i="1"/>
  <c r="AJ3506" i="1"/>
  <c r="AM3506" i="1" s="1"/>
  <c r="AF3506" i="1"/>
  <c r="AE3506" i="1"/>
  <c r="AD3506" i="1"/>
  <c r="AC3506" i="1"/>
  <c r="AH3505" i="1"/>
  <c r="AG3505" i="1"/>
  <c r="AI3505" i="1"/>
  <c r="AL3505" i="1"/>
  <c r="AJ3505" i="1"/>
  <c r="AM3505" i="1" s="1"/>
  <c r="AF3505" i="1"/>
  <c r="AE3505" i="1"/>
  <c r="AD3505" i="1"/>
  <c r="AC3505" i="1"/>
  <c r="AI3504" i="1"/>
  <c r="AH3504" i="1"/>
  <c r="AG3504" i="1"/>
  <c r="AL3504" i="1"/>
  <c r="AJ3504" i="1"/>
  <c r="AF3504" i="1"/>
  <c r="AE3504" i="1"/>
  <c r="AD3504" i="1"/>
  <c r="AC3504" i="1"/>
  <c r="AI3503" i="1"/>
  <c r="AH3503" i="1"/>
  <c r="AG3503" i="1"/>
  <c r="AL3503" i="1"/>
  <c r="AJ3503" i="1"/>
  <c r="AF3503" i="1"/>
  <c r="AE3503" i="1"/>
  <c r="AD3503" i="1"/>
  <c r="AC3503" i="1"/>
  <c r="AI3502" i="1"/>
  <c r="AH3502" i="1"/>
  <c r="AG3502" i="1"/>
  <c r="AJ3502" i="1"/>
  <c r="AL3502" i="1"/>
  <c r="AF3502" i="1"/>
  <c r="AE3502" i="1"/>
  <c r="AD3502" i="1"/>
  <c r="AC3502" i="1"/>
  <c r="AI3501" i="1"/>
  <c r="AH3501" i="1"/>
  <c r="AG3501" i="1"/>
  <c r="AL3501" i="1"/>
  <c r="AJ3501" i="1"/>
  <c r="AF3501" i="1"/>
  <c r="AE3501" i="1"/>
  <c r="AD3501" i="1"/>
  <c r="AC3501" i="1"/>
  <c r="AH3500" i="1"/>
  <c r="AG3500" i="1"/>
  <c r="AI3500" i="1"/>
  <c r="AL3500" i="1"/>
  <c r="AJ3500" i="1"/>
  <c r="AM3500" i="1" s="1"/>
  <c r="AF3500" i="1"/>
  <c r="AE3500" i="1"/>
  <c r="AD3500" i="1"/>
  <c r="AC3500" i="1"/>
  <c r="AG3499" i="1"/>
  <c r="AH3499" i="1"/>
  <c r="AI3499" i="1"/>
  <c r="AD3499" i="1"/>
  <c r="AE3499" i="1"/>
  <c r="AF3499" i="1"/>
  <c r="AC3499" i="1"/>
  <c r="AJ3499" i="1"/>
  <c r="AL3499" i="1"/>
  <c r="AG3498" i="1"/>
  <c r="AH3498" i="1"/>
  <c r="AI3498" i="1"/>
  <c r="AC3498" i="1"/>
  <c r="AD3498" i="1"/>
  <c r="AE3498" i="1"/>
  <c r="AF3498" i="1"/>
  <c r="AJ3498" i="1"/>
  <c r="AL3498" i="1"/>
  <c r="AH3497" i="1"/>
  <c r="AG3497" i="1"/>
  <c r="AI3497" i="1"/>
  <c r="AJ3497" i="1"/>
  <c r="AD3497" i="1"/>
  <c r="AC3497" i="1"/>
  <c r="AL3497" i="1"/>
  <c r="AE3497" i="1"/>
  <c r="AF3497" i="1"/>
  <c r="AH3496" i="1"/>
  <c r="AI3496" i="1"/>
  <c r="AG3496" i="1"/>
  <c r="AL3496" i="1"/>
  <c r="AF3496" i="1"/>
  <c r="AJ3496" i="1"/>
  <c r="AM3496" i="1" s="1"/>
  <c r="AE3496" i="1"/>
  <c r="AD3496" i="1"/>
  <c r="AC3496" i="1"/>
  <c r="AI3495" i="1"/>
  <c r="AH3495" i="1"/>
  <c r="AG3495" i="1"/>
  <c r="AL3495" i="1"/>
  <c r="AE3495" i="1"/>
  <c r="AJ3495" i="1"/>
  <c r="AM3495" i="1" s="1"/>
  <c r="AF3495" i="1"/>
  <c r="AD3495" i="1"/>
  <c r="AC3495" i="1"/>
  <c r="AG3494" i="1"/>
  <c r="AH3494" i="1"/>
  <c r="AI3494" i="1"/>
  <c r="AD3494" i="1"/>
  <c r="AC3494" i="1"/>
  <c r="AL3494" i="1"/>
  <c r="AJ3494" i="1"/>
  <c r="AM3494" i="1" s="1"/>
  <c r="AF3494" i="1"/>
  <c r="AE3494" i="1"/>
  <c r="AG3493" i="1"/>
  <c r="AH3493" i="1"/>
  <c r="AI3493" i="1"/>
  <c r="AD3493" i="1"/>
  <c r="AF3493" i="1"/>
  <c r="AE3493" i="1"/>
  <c r="AL3493" i="1"/>
  <c r="AJ3493" i="1"/>
  <c r="AM3493" i="1" s="1"/>
  <c r="AC3493" i="1"/>
  <c r="AH3492" i="1"/>
  <c r="AG3492" i="1"/>
  <c r="AI3492" i="1"/>
  <c r="AF3492" i="1"/>
  <c r="AE3492" i="1"/>
  <c r="AC3492" i="1"/>
  <c r="AD3492" i="1"/>
  <c r="AJ3492" i="1"/>
  <c r="AL3492" i="1"/>
  <c r="AG3491" i="1"/>
  <c r="AI3491" i="1"/>
  <c r="AH3491" i="1"/>
  <c r="AJ3491" i="1"/>
  <c r="AD3491" i="1"/>
  <c r="AC3491" i="1"/>
  <c r="AE3491" i="1"/>
  <c r="AL3491" i="1"/>
  <c r="AG3490" i="1"/>
  <c r="AH3490" i="1"/>
  <c r="AI3490" i="1"/>
  <c r="AJ3490" i="1"/>
  <c r="AF3490" i="1"/>
  <c r="AE3490" i="1"/>
  <c r="AD3490" i="1"/>
  <c r="AC3490" i="1"/>
  <c r="AL3490" i="1"/>
  <c r="AI3489" i="1"/>
  <c r="AH3489" i="1"/>
  <c r="AG3489" i="1"/>
  <c r="AL3489" i="1"/>
  <c r="AJ3489" i="1"/>
  <c r="AM3489" i="1" s="1"/>
  <c r="AC3489" i="1"/>
  <c r="AF3489" i="1"/>
  <c r="AE3489" i="1"/>
  <c r="AD3489" i="1"/>
  <c r="AH3488" i="1"/>
  <c r="AG3488" i="1"/>
  <c r="AI3488" i="1"/>
  <c r="AD3488" i="1"/>
  <c r="AC3488" i="1"/>
  <c r="AL3488" i="1"/>
  <c r="AJ3488" i="1"/>
  <c r="AM3488" i="1" s="1"/>
  <c r="AF3488" i="1"/>
  <c r="AE3488" i="1"/>
  <c r="AI3487" i="1"/>
  <c r="AH3487" i="1"/>
  <c r="AG3487" i="1"/>
  <c r="AL3487" i="1"/>
  <c r="AJ3487" i="1"/>
  <c r="AM3487" i="1" s="1"/>
  <c r="AD3487" i="1"/>
  <c r="AF3487" i="1"/>
  <c r="AE3487" i="1"/>
  <c r="AC3487" i="1"/>
  <c r="AI3486" i="1"/>
  <c r="AH3486" i="1"/>
  <c r="AG3486" i="1"/>
  <c r="AL3486" i="1"/>
  <c r="AJ3486" i="1"/>
  <c r="AM3486" i="1" s="1"/>
  <c r="AF3486" i="1"/>
  <c r="AE3486" i="1"/>
  <c r="AD3486" i="1"/>
  <c r="AC3486" i="1"/>
  <c r="AI3485" i="1"/>
  <c r="AH3485" i="1"/>
  <c r="AG3485" i="1"/>
  <c r="AF3485" i="1"/>
  <c r="AE3485" i="1"/>
  <c r="AD3485" i="1"/>
  <c r="AC3485" i="1"/>
  <c r="AJ3485" i="1"/>
  <c r="AL3485" i="1"/>
  <c r="AH3484" i="1"/>
  <c r="AI3484" i="1"/>
  <c r="AG3484" i="1"/>
  <c r="AD3484" i="1"/>
  <c r="AJ3484" i="1"/>
  <c r="AL3484" i="1"/>
  <c r="AF3484" i="1"/>
  <c r="AE3484" i="1"/>
  <c r="AC3484" i="1"/>
  <c r="AG3483" i="1"/>
  <c r="AI3483" i="1"/>
  <c r="AH3483" i="1"/>
  <c r="AE3483" i="1"/>
  <c r="AD3483" i="1"/>
  <c r="AC3483" i="1"/>
  <c r="AF3483" i="1"/>
  <c r="AL3483" i="1"/>
  <c r="AJ3483" i="1"/>
  <c r="AM3483" i="1" s="1"/>
  <c r="AI3482" i="1"/>
  <c r="AH3482" i="1"/>
  <c r="AG3482" i="1"/>
  <c r="AJ3482" i="1"/>
  <c r="AC3482" i="1"/>
  <c r="AF3482" i="1"/>
  <c r="AE3482" i="1"/>
  <c r="AD3482" i="1"/>
  <c r="AL3482" i="1"/>
  <c r="AI3481" i="1"/>
  <c r="AH3481" i="1"/>
  <c r="AG3481" i="1"/>
  <c r="AC3481" i="1"/>
  <c r="AL3481" i="1"/>
  <c r="AJ3481" i="1"/>
  <c r="AM3481" i="1" s="1"/>
  <c r="AF3481" i="1"/>
  <c r="AE3481" i="1"/>
  <c r="AD3481" i="1"/>
  <c r="AI3480" i="1"/>
  <c r="AH3480" i="1"/>
  <c r="AG3480" i="1"/>
  <c r="AC3480" i="1"/>
  <c r="AJ3480" i="1"/>
  <c r="AF3480" i="1"/>
  <c r="AE3480" i="1"/>
  <c r="AD3480" i="1"/>
  <c r="AL3480" i="1"/>
  <c r="AI3479" i="1"/>
  <c r="AH3479" i="1"/>
  <c r="AG3479" i="1"/>
  <c r="AL3479" i="1"/>
  <c r="AJ3479" i="1"/>
  <c r="AM3479" i="1" s="1"/>
  <c r="AF3479" i="1"/>
  <c r="AE3479" i="1"/>
  <c r="AC3479" i="1"/>
  <c r="AD3479" i="1"/>
  <c r="AI3478" i="1"/>
  <c r="AH3478" i="1"/>
  <c r="AG3478" i="1"/>
  <c r="AD3478" i="1"/>
  <c r="AC3478" i="1"/>
  <c r="AE3478" i="1"/>
  <c r="AF3478" i="1"/>
  <c r="AL3478" i="1"/>
  <c r="AJ3478" i="1"/>
  <c r="AM3478" i="1" s="1"/>
  <c r="AI3477" i="1"/>
  <c r="AH3477" i="1"/>
  <c r="AG3477" i="1"/>
  <c r="AF3477" i="1"/>
  <c r="AE3477" i="1"/>
  <c r="AD3477" i="1"/>
  <c r="AC3477" i="1"/>
  <c r="AL3477" i="1"/>
  <c r="AJ3477" i="1"/>
  <c r="AM3477" i="1" s="1"/>
  <c r="AI3476" i="1"/>
  <c r="AH3476" i="1"/>
  <c r="AG3476" i="1"/>
  <c r="AL3476" i="1"/>
  <c r="AJ3476" i="1"/>
  <c r="AM3476" i="1" s="1"/>
  <c r="AF3476" i="1"/>
  <c r="AE3476" i="1"/>
  <c r="AD3476" i="1"/>
  <c r="AC3476" i="1"/>
  <c r="AI3475" i="1"/>
  <c r="AH3475" i="1"/>
  <c r="AG3475" i="1"/>
  <c r="AF3475" i="1"/>
  <c r="AC3475" i="1"/>
  <c r="AL3475" i="1"/>
  <c r="AJ3475" i="1"/>
  <c r="AM3475" i="1" s="1"/>
  <c r="AE3475" i="1"/>
  <c r="AD3475" i="1"/>
  <c r="AI3474" i="1"/>
  <c r="AH3474" i="1"/>
  <c r="AG3474" i="1"/>
  <c r="AL3474" i="1"/>
  <c r="AJ3474" i="1"/>
  <c r="AM3474" i="1" s="1"/>
  <c r="AE3474" i="1"/>
  <c r="AD3474" i="1"/>
  <c r="AF3474" i="1"/>
  <c r="AC3474" i="1"/>
  <c r="AH3473" i="1"/>
  <c r="AG3473" i="1"/>
  <c r="AI3473" i="1"/>
  <c r="AD3473" i="1"/>
  <c r="AL3473" i="1"/>
  <c r="AJ3473" i="1"/>
  <c r="AM3473" i="1" s="1"/>
  <c r="AE3473" i="1"/>
  <c r="AC3473" i="1"/>
  <c r="AF3473" i="1"/>
  <c r="AI3472" i="1"/>
  <c r="AH3472" i="1"/>
  <c r="AG3472" i="1"/>
  <c r="AD3472" i="1"/>
  <c r="AE3472" i="1"/>
  <c r="AF3472" i="1"/>
  <c r="AJ3472" i="1"/>
  <c r="AL3472" i="1"/>
  <c r="AC3472" i="1"/>
  <c r="AH3471" i="1"/>
  <c r="AG3471" i="1"/>
  <c r="AI3471" i="1"/>
  <c r="AL3471" i="1"/>
  <c r="AJ3471" i="1"/>
  <c r="AM3471" i="1" s="1"/>
  <c r="AF3471" i="1"/>
  <c r="AE3471" i="1"/>
  <c r="AD3471" i="1"/>
  <c r="AC3471" i="1"/>
  <c r="AI3470" i="1"/>
  <c r="AH3470" i="1"/>
  <c r="AG3470" i="1"/>
  <c r="AL3470" i="1"/>
  <c r="AJ3470" i="1"/>
  <c r="AM3470" i="1" s="1"/>
  <c r="AF3470" i="1"/>
  <c r="AE3470" i="1"/>
  <c r="AC3470" i="1"/>
  <c r="AD3470" i="1"/>
  <c r="AH3469" i="1"/>
  <c r="AG3469" i="1"/>
  <c r="AI3469" i="1"/>
  <c r="AC3469" i="1"/>
  <c r="AD3469" i="1"/>
  <c r="AE3469" i="1"/>
  <c r="AF3469" i="1"/>
  <c r="AJ3469" i="1"/>
  <c r="AL3469" i="1"/>
  <c r="AG3468" i="1"/>
  <c r="AI3468" i="1"/>
  <c r="AH3468" i="1"/>
  <c r="AF3468" i="1"/>
  <c r="AC3468" i="1"/>
  <c r="AD3468" i="1"/>
  <c r="AE3468" i="1"/>
  <c r="AJ3468" i="1"/>
  <c r="AL3468" i="1"/>
  <c r="AH3467" i="1"/>
  <c r="AI3467" i="1"/>
  <c r="AG3467" i="1"/>
  <c r="AD3467" i="1"/>
  <c r="AE3467" i="1"/>
  <c r="AC3467" i="1"/>
  <c r="AJ3467" i="1"/>
  <c r="AL3467" i="1"/>
  <c r="AF3467" i="1"/>
  <c r="AG3466" i="1"/>
  <c r="AH3466" i="1"/>
  <c r="AI3466" i="1"/>
  <c r="AF3466" i="1"/>
  <c r="AE3466" i="1"/>
  <c r="AD3466" i="1"/>
  <c r="AC3466" i="1"/>
  <c r="AL3466" i="1"/>
  <c r="AJ3466" i="1"/>
  <c r="AM3466" i="1" s="1"/>
  <c r="AG3465" i="1"/>
  <c r="AH3465" i="1"/>
  <c r="AI3465" i="1"/>
  <c r="AE3465" i="1"/>
  <c r="AD3465" i="1"/>
  <c r="AC3465" i="1"/>
  <c r="AF3465" i="1"/>
  <c r="AJ3465" i="1"/>
  <c r="AL3465" i="1"/>
  <c r="AH3464" i="1"/>
  <c r="AG3464" i="1"/>
  <c r="AI3464" i="1"/>
  <c r="AL3464" i="1"/>
  <c r="AJ3464" i="1"/>
  <c r="AM3464" i="1" s="1"/>
  <c r="AF3464" i="1"/>
  <c r="AE3464" i="1"/>
  <c r="AD3464" i="1"/>
  <c r="AC3464" i="1"/>
  <c r="AI3463" i="1"/>
  <c r="AH3463" i="1"/>
  <c r="AG3463" i="1"/>
  <c r="AL3463" i="1"/>
  <c r="AJ3463" i="1"/>
  <c r="AM3463" i="1" s="1"/>
  <c r="AE3463" i="1"/>
  <c r="AF3463" i="1"/>
  <c r="AD3463" i="1"/>
  <c r="AC3463" i="1"/>
  <c r="AH3462" i="1"/>
  <c r="AG3462" i="1"/>
  <c r="AI3462" i="1"/>
  <c r="AL3462" i="1"/>
  <c r="AJ3462" i="1"/>
  <c r="AM3462" i="1" s="1"/>
  <c r="AF3462" i="1"/>
  <c r="AE3462" i="1"/>
  <c r="AC3462" i="1"/>
  <c r="AD3462" i="1"/>
  <c r="AI3461" i="1"/>
  <c r="AH3461" i="1"/>
  <c r="AG3461" i="1"/>
  <c r="AC3461" i="1"/>
  <c r="AF3461" i="1"/>
  <c r="AJ3461" i="1"/>
  <c r="AE3461" i="1"/>
  <c r="AD3461" i="1"/>
  <c r="AL3461" i="1"/>
  <c r="AI3460" i="1"/>
  <c r="AH3460" i="1"/>
  <c r="AG3460" i="1"/>
  <c r="AL3460" i="1"/>
  <c r="AJ3460" i="1"/>
  <c r="AM3460" i="1" s="1"/>
  <c r="AF3460" i="1"/>
  <c r="AE3460" i="1"/>
  <c r="AD3460" i="1"/>
  <c r="AC3460" i="1"/>
  <c r="AI3459" i="1"/>
  <c r="AG3459" i="1"/>
  <c r="AH3459" i="1"/>
  <c r="AD3459" i="1"/>
  <c r="AE3459" i="1"/>
  <c r="AF3459" i="1"/>
  <c r="AJ3459" i="1"/>
  <c r="AL3459" i="1"/>
  <c r="AC3459" i="1"/>
  <c r="AI3458" i="1"/>
  <c r="AG3458" i="1"/>
  <c r="AH3458" i="1"/>
  <c r="AC3458" i="1"/>
  <c r="AD3458" i="1"/>
  <c r="AL3458" i="1"/>
  <c r="AJ3458" i="1"/>
  <c r="AM3458" i="1" s="1"/>
  <c r="AF3458" i="1"/>
  <c r="AE3458" i="1"/>
  <c r="AI3457" i="1"/>
  <c r="AH3457" i="1"/>
  <c r="AG3457" i="1"/>
  <c r="AL3457" i="1"/>
  <c r="AJ3457" i="1"/>
  <c r="AM3457" i="1" s="1"/>
  <c r="AF3457" i="1"/>
  <c r="AE3457" i="1"/>
  <c r="AD3457" i="1"/>
  <c r="AC3457" i="1"/>
  <c r="AI3456" i="1"/>
  <c r="AH3456" i="1"/>
  <c r="AG3456" i="1"/>
  <c r="AJ3456" i="1"/>
  <c r="AF3456" i="1"/>
  <c r="AE3456" i="1"/>
  <c r="AD3456" i="1"/>
  <c r="AC3456" i="1"/>
  <c r="AL3456" i="1"/>
  <c r="AI3455" i="1"/>
  <c r="AG3455" i="1"/>
  <c r="AH3455" i="1"/>
  <c r="AD3455" i="1"/>
  <c r="AL3455" i="1"/>
  <c r="AJ3455" i="1"/>
  <c r="AM3455" i="1" s="1"/>
  <c r="AF3455" i="1"/>
  <c r="AE3455" i="1"/>
  <c r="AC3455" i="1"/>
  <c r="AI3454" i="1"/>
  <c r="AH3454" i="1"/>
  <c r="AG3454" i="1"/>
  <c r="AJ3454" i="1"/>
  <c r="AF3454" i="1"/>
  <c r="AE3454" i="1"/>
  <c r="AD3454" i="1"/>
  <c r="AC3454" i="1"/>
  <c r="AL3454" i="1"/>
  <c r="AH3453" i="1"/>
  <c r="AI3453" i="1"/>
  <c r="AG3453" i="1"/>
  <c r="AC3453" i="1"/>
  <c r="AJ3453" i="1"/>
  <c r="AL3453" i="1"/>
  <c r="AF3453" i="1"/>
  <c r="AE3453" i="1"/>
  <c r="AD3453" i="1"/>
  <c r="AG3452" i="1"/>
  <c r="AH3452" i="1"/>
  <c r="AI3452" i="1"/>
  <c r="AC3452" i="1"/>
  <c r="AD3452" i="1"/>
  <c r="AE3452" i="1"/>
  <c r="AF3452" i="1"/>
  <c r="AL3452" i="1"/>
  <c r="AJ3452" i="1"/>
  <c r="AM3452" i="1" s="1"/>
  <c r="AI3451" i="1"/>
  <c r="AH3451" i="1"/>
  <c r="AG3451" i="1"/>
  <c r="AL3451" i="1"/>
  <c r="AF3451" i="1"/>
  <c r="AE3451" i="1"/>
  <c r="AD3451" i="1"/>
  <c r="AC3451" i="1"/>
  <c r="AJ3451" i="1"/>
  <c r="AM3451" i="1" s="1"/>
  <c r="AG3450" i="1"/>
  <c r="AI3450" i="1"/>
  <c r="AH3450" i="1"/>
  <c r="AJ3450" i="1"/>
  <c r="AF3450" i="1"/>
  <c r="AE3450" i="1"/>
  <c r="AD3450" i="1"/>
  <c r="AC3450" i="1"/>
  <c r="AL3450" i="1"/>
  <c r="AI3449" i="1"/>
  <c r="AH3449" i="1"/>
  <c r="AG3449" i="1"/>
  <c r="AF3449" i="1"/>
  <c r="AL3449" i="1"/>
  <c r="AC3449" i="1"/>
  <c r="AJ3449" i="1"/>
  <c r="AM3449" i="1" s="1"/>
  <c r="AD3449" i="1"/>
  <c r="AE3449" i="1"/>
  <c r="AI3448" i="1"/>
  <c r="AH3448" i="1"/>
  <c r="AG3448" i="1"/>
  <c r="AL3448" i="1"/>
  <c r="AJ3448" i="1"/>
  <c r="AM3448" i="1" s="1"/>
  <c r="AF3448" i="1"/>
  <c r="AE3448" i="1"/>
  <c r="AC3448" i="1"/>
  <c r="AD3448" i="1"/>
  <c r="AH3447" i="1"/>
  <c r="AI3447" i="1"/>
  <c r="AG3447" i="1"/>
  <c r="AJ3447" i="1"/>
  <c r="AE3447" i="1"/>
  <c r="AD3447" i="1"/>
  <c r="AC3447" i="1"/>
  <c r="AL3447" i="1"/>
  <c r="AF3447" i="1"/>
  <c r="AI3446" i="1"/>
  <c r="AH3446" i="1"/>
  <c r="AG3446" i="1"/>
  <c r="AL3446" i="1"/>
  <c r="AC3446" i="1"/>
  <c r="AD3446" i="1"/>
  <c r="AE3446" i="1"/>
  <c r="AF3446" i="1"/>
  <c r="AJ3446" i="1"/>
  <c r="AM3446" i="1" s="1"/>
  <c r="AG3445" i="1"/>
  <c r="AH3445" i="1"/>
  <c r="AI3445" i="1"/>
  <c r="AC3445" i="1"/>
  <c r="AL3445" i="1"/>
  <c r="AD3445" i="1"/>
  <c r="AE3445" i="1"/>
  <c r="AF3445" i="1"/>
  <c r="AJ3445" i="1"/>
  <c r="AM3445" i="1" s="1"/>
  <c r="AH3444" i="1"/>
  <c r="AG3444" i="1"/>
  <c r="AI3444" i="1"/>
  <c r="AE3444" i="1"/>
  <c r="AD3444" i="1"/>
  <c r="AC3444" i="1"/>
  <c r="AL3444" i="1"/>
  <c r="AF3444" i="1"/>
  <c r="AJ3444" i="1"/>
  <c r="AM3444" i="1" s="1"/>
  <c r="AI3443" i="1"/>
  <c r="AG3443" i="1"/>
  <c r="AH3443" i="1"/>
  <c r="AL3443" i="1"/>
  <c r="AJ3443" i="1"/>
  <c r="AM3443" i="1" s="1"/>
  <c r="AF3443" i="1"/>
  <c r="AE3443" i="1"/>
  <c r="AD3443" i="1"/>
  <c r="AC3443" i="1"/>
  <c r="AH3442" i="1"/>
  <c r="AG3442" i="1"/>
  <c r="AI3442" i="1"/>
  <c r="AE3442" i="1"/>
  <c r="AD3442" i="1"/>
  <c r="AC3442" i="1"/>
  <c r="AF3442" i="1"/>
  <c r="AJ3442" i="1"/>
  <c r="AL3442" i="1"/>
  <c r="AI3441" i="1"/>
  <c r="AG3441" i="1"/>
  <c r="AH3441" i="1"/>
  <c r="AF3441" i="1"/>
  <c r="AL3441" i="1"/>
  <c r="AJ3441" i="1"/>
  <c r="AM3441" i="1" s="1"/>
  <c r="AC3441" i="1"/>
  <c r="AD3441" i="1"/>
  <c r="AE3441" i="1"/>
  <c r="AG3440" i="1"/>
  <c r="AH3440" i="1"/>
  <c r="AI3440" i="1"/>
  <c r="AE3440" i="1"/>
  <c r="AC3440" i="1"/>
  <c r="AD3440" i="1"/>
  <c r="AL3440" i="1"/>
  <c r="AF3440" i="1"/>
  <c r="AJ3440" i="1"/>
  <c r="AM3440" i="1" s="1"/>
  <c r="AI3439" i="1"/>
  <c r="AH3439" i="1"/>
  <c r="AG3439" i="1"/>
  <c r="AL3439" i="1"/>
  <c r="AE3439" i="1"/>
  <c r="AD3439" i="1"/>
  <c r="AJ3439" i="1"/>
  <c r="AM3439" i="1" s="1"/>
  <c r="AF3439" i="1"/>
  <c r="AC3439" i="1"/>
  <c r="AH3438" i="1"/>
  <c r="AG3438" i="1"/>
  <c r="AI3438" i="1"/>
  <c r="AL3438" i="1"/>
  <c r="AJ3438" i="1"/>
  <c r="AM3438" i="1" s="1"/>
  <c r="AF3438" i="1"/>
  <c r="AD3438" i="1"/>
  <c r="AC3438" i="1"/>
  <c r="AE3438" i="1"/>
  <c r="AI3437" i="1"/>
  <c r="AH3437" i="1"/>
  <c r="AG3437" i="1"/>
  <c r="AL3437" i="1"/>
  <c r="AJ3437" i="1"/>
  <c r="AM3437" i="1" s="1"/>
  <c r="AF3437" i="1"/>
  <c r="AE3437" i="1"/>
  <c r="AD3437" i="1"/>
  <c r="AC3437" i="1"/>
  <c r="AI3436" i="1"/>
  <c r="AH3436" i="1"/>
  <c r="AG3436" i="1"/>
  <c r="AL3436" i="1"/>
  <c r="AJ3436" i="1"/>
  <c r="AM3436" i="1" s="1"/>
  <c r="AF3436" i="1"/>
  <c r="AE3436" i="1"/>
  <c r="AD3436" i="1"/>
  <c r="AC3436" i="1"/>
  <c r="AI3435" i="1"/>
  <c r="AH3435" i="1"/>
  <c r="AG3435" i="1"/>
  <c r="AJ3435" i="1"/>
  <c r="AL3435" i="1"/>
  <c r="AF3435" i="1"/>
  <c r="AE3435" i="1"/>
  <c r="AD3435" i="1"/>
  <c r="AC3435" i="1"/>
  <c r="AI3434" i="1"/>
  <c r="AH3434" i="1"/>
  <c r="AG3434" i="1"/>
  <c r="AL3434" i="1"/>
  <c r="AJ3434" i="1"/>
  <c r="AM3434" i="1" s="1"/>
  <c r="AF3434" i="1"/>
  <c r="AE3434" i="1"/>
  <c r="AD3434" i="1"/>
  <c r="AC3434" i="1"/>
  <c r="AH3433" i="1"/>
  <c r="AG3433" i="1"/>
  <c r="AI3433" i="1"/>
  <c r="AL3433" i="1"/>
  <c r="AJ3433" i="1"/>
  <c r="AM3433" i="1" s="1"/>
  <c r="AF3433" i="1"/>
  <c r="AE3433" i="1"/>
  <c r="AD3433" i="1"/>
  <c r="AC3433" i="1"/>
  <c r="AI3432" i="1"/>
  <c r="AH3432" i="1"/>
  <c r="AG3432" i="1"/>
  <c r="AL3432" i="1"/>
  <c r="AJ3432" i="1"/>
  <c r="AM3432" i="1" s="1"/>
  <c r="AF3432" i="1"/>
  <c r="AE3432" i="1"/>
  <c r="AD3432" i="1"/>
  <c r="AC3432" i="1"/>
  <c r="AI3431" i="1"/>
  <c r="AH3431" i="1"/>
  <c r="AG3431" i="1"/>
  <c r="AL3431" i="1"/>
  <c r="AJ3431" i="1"/>
  <c r="AM3431" i="1" s="1"/>
  <c r="AF3431" i="1"/>
  <c r="AE3431" i="1"/>
  <c r="AD3431" i="1"/>
  <c r="AC3431" i="1"/>
  <c r="AI3430" i="1"/>
  <c r="AH3430" i="1"/>
  <c r="AG3430" i="1"/>
  <c r="AJ3430" i="1"/>
  <c r="AL3430" i="1"/>
  <c r="AF3430" i="1"/>
  <c r="AE3430" i="1"/>
  <c r="AD3430" i="1"/>
  <c r="AC3430" i="1"/>
  <c r="AI3429" i="1"/>
  <c r="AH3429" i="1"/>
  <c r="AG3429" i="1"/>
  <c r="AL3429" i="1"/>
  <c r="AJ3429" i="1"/>
  <c r="AM3429" i="1" s="1"/>
  <c r="AF3429" i="1"/>
  <c r="AE3429" i="1"/>
  <c r="AD3429" i="1"/>
  <c r="AC3429" i="1"/>
  <c r="AI3428" i="1"/>
  <c r="AH3428" i="1"/>
  <c r="AG3428" i="1"/>
  <c r="AJ3428" i="1"/>
  <c r="AL3428" i="1"/>
  <c r="AF3428" i="1"/>
  <c r="AE3428" i="1"/>
  <c r="AD3428" i="1"/>
  <c r="AC3428" i="1"/>
  <c r="AG3427" i="1"/>
  <c r="AH3427" i="1"/>
  <c r="AI3427" i="1"/>
  <c r="AL3427" i="1"/>
  <c r="AE3427" i="1"/>
  <c r="AF3427" i="1"/>
  <c r="AC3427" i="1"/>
  <c r="AD3427" i="1"/>
  <c r="AJ3427" i="1"/>
  <c r="AM3427" i="1" s="1"/>
  <c r="AG3426" i="1"/>
  <c r="AI3426" i="1"/>
  <c r="AH3426" i="1"/>
  <c r="AF3426" i="1"/>
  <c r="AL3426" i="1"/>
  <c r="AJ3426" i="1"/>
  <c r="AM3426" i="1" s="1"/>
  <c r="AE3426" i="1"/>
  <c r="AD3426" i="1"/>
  <c r="AC3426" i="1"/>
  <c r="AI3425" i="1"/>
  <c r="AH3425" i="1"/>
  <c r="AG3425" i="1"/>
  <c r="AC3425" i="1"/>
  <c r="AL3425" i="1"/>
  <c r="AJ3425" i="1"/>
  <c r="AM3425" i="1" s="1"/>
  <c r="AF3425" i="1"/>
  <c r="AE3425" i="1"/>
  <c r="AD3425" i="1"/>
  <c r="AH3424" i="1"/>
  <c r="AI3424" i="1"/>
  <c r="AG3424" i="1"/>
  <c r="AJ3424" i="1"/>
  <c r="AL3424" i="1"/>
  <c r="AC3424" i="1"/>
  <c r="AF3424" i="1"/>
  <c r="AE3424" i="1"/>
  <c r="AD3424" i="1"/>
  <c r="AI3423" i="1"/>
  <c r="AH3423" i="1"/>
  <c r="AG3423" i="1"/>
  <c r="AJ3423" i="1"/>
  <c r="AF3423" i="1"/>
  <c r="AE3423" i="1"/>
  <c r="AD3423" i="1"/>
  <c r="AC3423" i="1"/>
  <c r="AL3423" i="1"/>
  <c r="AG3422" i="1"/>
  <c r="AI3422" i="1"/>
  <c r="AH3422" i="1"/>
  <c r="AJ3422" i="1"/>
  <c r="AL3422" i="1"/>
  <c r="AF3422" i="1"/>
  <c r="AE3422" i="1"/>
  <c r="AD3422" i="1"/>
  <c r="AC3422" i="1"/>
  <c r="AH3421" i="1"/>
  <c r="AG3421" i="1"/>
  <c r="AI3421" i="1"/>
  <c r="AF3421" i="1"/>
  <c r="AE3421" i="1"/>
  <c r="AD3421" i="1"/>
  <c r="AC3421" i="1"/>
  <c r="AL3421" i="1"/>
  <c r="AJ3421" i="1"/>
  <c r="AM3421" i="1" s="1"/>
  <c r="AH3420" i="1"/>
  <c r="AG3420" i="1"/>
  <c r="AI3420" i="1"/>
  <c r="AJ3420" i="1"/>
  <c r="AF3420" i="1"/>
  <c r="AE3420" i="1"/>
  <c r="AC3420" i="1"/>
  <c r="AD3420" i="1"/>
  <c r="AL3420" i="1"/>
  <c r="AH3419" i="1"/>
  <c r="AI3419" i="1"/>
  <c r="AG3419" i="1"/>
  <c r="AC3419" i="1"/>
  <c r="AL3419" i="1"/>
  <c r="AJ3419" i="1"/>
  <c r="AF3419" i="1"/>
  <c r="AE3419" i="1"/>
  <c r="AD3419" i="1"/>
  <c r="AI3418" i="1"/>
  <c r="AH3418" i="1"/>
  <c r="AG3418" i="1"/>
  <c r="AF3418" i="1"/>
  <c r="AE3418" i="1"/>
  <c r="AL3418" i="1"/>
  <c r="AJ3418" i="1"/>
  <c r="AC3418" i="1"/>
  <c r="AD3418" i="1"/>
  <c r="AI3417" i="1"/>
  <c r="AG3417" i="1"/>
  <c r="AH3417" i="1"/>
  <c r="AC3417" i="1"/>
  <c r="AD3417" i="1"/>
  <c r="AE3417" i="1"/>
  <c r="AF3417" i="1"/>
  <c r="AJ3417" i="1"/>
  <c r="AL3417" i="1"/>
  <c r="AG3416" i="1"/>
  <c r="AI3416" i="1"/>
  <c r="AH3416" i="1"/>
  <c r="AJ3416" i="1"/>
  <c r="AL3416" i="1"/>
  <c r="AF3416" i="1"/>
  <c r="AE3416" i="1"/>
  <c r="AD3416" i="1"/>
  <c r="AC3416" i="1"/>
  <c r="AI3415" i="1"/>
  <c r="AH3415" i="1"/>
  <c r="AG3415" i="1"/>
  <c r="AF3415" i="1"/>
  <c r="AD3415" i="1"/>
  <c r="AE3415" i="1"/>
  <c r="AC3415" i="1"/>
  <c r="AL3415" i="1"/>
  <c r="AJ3415" i="1"/>
  <c r="AM3415" i="1" s="1"/>
  <c r="AG3414" i="1"/>
  <c r="AH3414" i="1"/>
  <c r="AI3414" i="1"/>
  <c r="AC3414" i="1"/>
  <c r="AD3414" i="1"/>
  <c r="AE3414" i="1"/>
  <c r="AF3414" i="1"/>
  <c r="AJ3414" i="1"/>
  <c r="AL3414" i="1"/>
  <c r="AI3413" i="1"/>
  <c r="AH3413" i="1"/>
  <c r="AG3413" i="1"/>
  <c r="AL3413" i="1"/>
  <c r="AC3413" i="1"/>
  <c r="AD3413" i="1"/>
  <c r="AE3413" i="1"/>
  <c r="AF3413" i="1"/>
  <c r="AJ3413" i="1"/>
  <c r="AM3413" i="1" s="1"/>
  <c r="AI3412" i="1"/>
  <c r="AH3412" i="1"/>
  <c r="AG3412" i="1"/>
  <c r="AL3412" i="1"/>
  <c r="AF3412" i="1"/>
  <c r="AJ3412" i="1"/>
  <c r="AM3412" i="1" s="1"/>
  <c r="AD3412" i="1"/>
  <c r="AE3412" i="1"/>
  <c r="AC3412" i="1"/>
  <c r="AG3411" i="1"/>
  <c r="AI3411" i="1"/>
  <c r="AH3411" i="1"/>
  <c r="AD3411" i="1"/>
  <c r="AJ3411" i="1"/>
  <c r="AC3411" i="1"/>
  <c r="AL3411" i="1"/>
  <c r="AF3411" i="1"/>
  <c r="AE3411" i="1"/>
  <c r="AG3410" i="1"/>
  <c r="AI3410" i="1"/>
  <c r="AH3410" i="1"/>
  <c r="AE3410" i="1"/>
  <c r="AD3410" i="1"/>
  <c r="AC3410" i="1"/>
  <c r="AF3410" i="1"/>
  <c r="AL3410" i="1"/>
  <c r="AJ3410" i="1"/>
  <c r="AM3410" i="1" s="1"/>
  <c r="AH3409" i="1"/>
  <c r="AI3409" i="1"/>
  <c r="AG3409" i="1"/>
  <c r="AL3409" i="1"/>
  <c r="AJ3409" i="1"/>
  <c r="AM3409" i="1" s="1"/>
  <c r="AC3409" i="1"/>
  <c r="AD3409" i="1"/>
  <c r="AF3409" i="1"/>
  <c r="AE3409" i="1"/>
  <c r="AH3408" i="1"/>
  <c r="AI3408" i="1"/>
  <c r="AG3408" i="1"/>
  <c r="AJ3408" i="1"/>
  <c r="AE3408" i="1"/>
  <c r="AL3408" i="1"/>
  <c r="AD3408" i="1"/>
  <c r="AF3408" i="1"/>
  <c r="AC3408" i="1"/>
  <c r="AI3407" i="1"/>
  <c r="AH3407" i="1"/>
  <c r="AG3407" i="1"/>
  <c r="AC3407" i="1"/>
  <c r="AD3407" i="1"/>
  <c r="AE3407" i="1"/>
  <c r="AL3407" i="1"/>
  <c r="AJ3407" i="1"/>
  <c r="AM3407" i="1" s="1"/>
  <c r="AF3407" i="1"/>
  <c r="AH3406" i="1"/>
  <c r="AG3406" i="1"/>
  <c r="AI3406" i="1"/>
  <c r="AJ3406" i="1"/>
  <c r="AL3406" i="1"/>
  <c r="AC3406" i="1"/>
  <c r="AD3406" i="1"/>
  <c r="AE3406" i="1"/>
  <c r="AF3406" i="1"/>
  <c r="AI3405" i="1"/>
  <c r="AG3405" i="1"/>
  <c r="AH3405" i="1"/>
  <c r="AJ3405" i="1"/>
  <c r="AF3405" i="1"/>
  <c r="AE3405" i="1"/>
  <c r="AD3405" i="1"/>
  <c r="AC3405" i="1"/>
  <c r="AL3405" i="1"/>
  <c r="AI3404" i="1"/>
  <c r="AG3404" i="1"/>
  <c r="AH3404" i="1"/>
  <c r="AL3404" i="1"/>
  <c r="AJ3404" i="1"/>
  <c r="AM3404" i="1" s="1"/>
  <c r="AF3404" i="1"/>
  <c r="AE3404" i="1"/>
  <c r="AD3404" i="1"/>
  <c r="AC3404" i="1"/>
  <c r="AI3403" i="1"/>
  <c r="AH3403" i="1"/>
  <c r="AG3403" i="1"/>
  <c r="AC3403" i="1"/>
  <c r="AJ3403" i="1"/>
  <c r="AL3403" i="1"/>
  <c r="AF3403" i="1"/>
  <c r="AE3403" i="1"/>
  <c r="AD3403" i="1"/>
  <c r="AG3402" i="1"/>
  <c r="AH3402" i="1"/>
  <c r="AI3402" i="1"/>
  <c r="AF3402" i="1"/>
  <c r="AC3402" i="1"/>
  <c r="AJ3402" i="1"/>
  <c r="AD3402" i="1"/>
  <c r="AL3402" i="1"/>
  <c r="AE3402" i="1"/>
  <c r="AG3401" i="1"/>
  <c r="AH3401" i="1"/>
  <c r="AI3401" i="1"/>
  <c r="AE3401" i="1"/>
  <c r="AF3401" i="1"/>
  <c r="AJ3401" i="1"/>
  <c r="AD3401" i="1"/>
  <c r="AL3401" i="1"/>
  <c r="AC3401" i="1"/>
  <c r="AG3400" i="1"/>
  <c r="AH3400" i="1"/>
  <c r="AI3400" i="1"/>
  <c r="AC3400" i="1"/>
  <c r="AD3400" i="1"/>
  <c r="AE3400" i="1"/>
  <c r="AF3400" i="1"/>
  <c r="AJ3400" i="1"/>
  <c r="AL3400" i="1"/>
  <c r="AG3399" i="1"/>
  <c r="AH3399" i="1"/>
  <c r="AI3399" i="1"/>
  <c r="AD3399" i="1"/>
  <c r="AC3399" i="1"/>
  <c r="AF3399" i="1"/>
  <c r="AL3399" i="1"/>
  <c r="AE3399" i="1"/>
  <c r="AJ3399" i="1"/>
  <c r="AM3399" i="1" s="1"/>
  <c r="AI3398" i="1"/>
  <c r="AH3398" i="1"/>
  <c r="AG3398" i="1"/>
  <c r="AL3398" i="1"/>
  <c r="AJ3398" i="1"/>
  <c r="AM3398" i="1" s="1"/>
  <c r="AF3398" i="1"/>
  <c r="AE3398" i="1"/>
  <c r="AC3398" i="1"/>
  <c r="AD3398" i="1"/>
  <c r="AH3397" i="1"/>
  <c r="AI3397" i="1"/>
  <c r="AG3397" i="1"/>
  <c r="AL3397" i="1"/>
  <c r="AC3397" i="1"/>
  <c r="AD3397" i="1"/>
  <c r="AE3397" i="1"/>
  <c r="AF3397" i="1"/>
  <c r="AJ3397" i="1"/>
  <c r="AM3397" i="1" s="1"/>
  <c r="AI3396" i="1"/>
  <c r="AH3396" i="1"/>
  <c r="AG3396" i="1"/>
  <c r="AE3396" i="1"/>
  <c r="AF3396" i="1"/>
  <c r="AJ3396" i="1"/>
  <c r="AC3396" i="1"/>
  <c r="AD3396" i="1"/>
  <c r="AL3396" i="1"/>
  <c r="AG3395" i="1"/>
  <c r="AH3395" i="1"/>
  <c r="AI3395" i="1"/>
  <c r="AC3395" i="1"/>
  <c r="AD3395" i="1"/>
  <c r="AE3395" i="1"/>
  <c r="AF3395" i="1"/>
  <c r="AJ3395" i="1"/>
  <c r="AL3395" i="1"/>
  <c r="AG3394" i="1"/>
  <c r="AH3394" i="1"/>
  <c r="AI3394" i="1"/>
  <c r="AF3394" i="1"/>
  <c r="AE3394" i="1"/>
  <c r="AD3394" i="1"/>
  <c r="AC3394" i="1"/>
  <c r="AJ3394" i="1"/>
  <c r="AL3394" i="1"/>
  <c r="AG3393" i="1"/>
  <c r="AH3393" i="1"/>
  <c r="AI3393" i="1"/>
  <c r="AC3393" i="1"/>
  <c r="AE3393" i="1"/>
  <c r="AF3393" i="1"/>
  <c r="AD3393" i="1"/>
  <c r="AL3393" i="1"/>
  <c r="AJ3393" i="1"/>
  <c r="AM3393" i="1" s="1"/>
  <c r="AG3392" i="1"/>
  <c r="AH3392" i="1"/>
  <c r="AI3392" i="1"/>
  <c r="AC3392" i="1"/>
  <c r="AD3392" i="1"/>
  <c r="AE3392" i="1"/>
  <c r="AL3392" i="1"/>
  <c r="AJ3392" i="1"/>
  <c r="AF3392" i="1"/>
  <c r="AG3391" i="1"/>
  <c r="AI3391" i="1"/>
  <c r="AH3391" i="1"/>
  <c r="AJ3391" i="1"/>
  <c r="AL3391" i="1"/>
  <c r="AC3391" i="1"/>
  <c r="AD3391" i="1"/>
  <c r="AE3391" i="1"/>
  <c r="AF3391" i="1"/>
  <c r="AG3390" i="1"/>
  <c r="AH3390" i="1"/>
  <c r="AI3390" i="1"/>
  <c r="AL3390" i="1"/>
  <c r="AJ3390" i="1"/>
  <c r="AF3390" i="1"/>
  <c r="AE3390" i="1"/>
  <c r="AD3390" i="1"/>
  <c r="AC3390" i="1"/>
  <c r="AI3389" i="1"/>
  <c r="AH3389" i="1"/>
  <c r="AG3389" i="1"/>
  <c r="AL3389" i="1"/>
  <c r="AJ3389" i="1"/>
  <c r="AM3389" i="1" s="1"/>
  <c r="AF3389" i="1"/>
  <c r="AE3389" i="1"/>
  <c r="AD3389" i="1"/>
  <c r="AC3389" i="1"/>
  <c r="AH3388" i="1"/>
  <c r="AG3388" i="1"/>
  <c r="AI3388" i="1"/>
  <c r="AL3388" i="1"/>
  <c r="AJ3388" i="1"/>
  <c r="AF3388" i="1"/>
  <c r="AE3388" i="1"/>
  <c r="AD3388" i="1"/>
  <c r="AC3388" i="1"/>
  <c r="AI3387" i="1"/>
  <c r="AH3387" i="1"/>
  <c r="AG3387" i="1"/>
  <c r="AL3387" i="1"/>
  <c r="AJ3387" i="1"/>
  <c r="AM3387" i="1" s="1"/>
  <c r="AC3387" i="1"/>
  <c r="AD3387" i="1"/>
  <c r="AE3387" i="1"/>
  <c r="AF3387" i="1"/>
  <c r="AG3386" i="1"/>
  <c r="AH3386" i="1"/>
  <c r="AI3386" i="1"/>
  <c r="AL3386" i="1"/>
  <c r="AJ3386" i="1"/>
  <c r="AM3386" i="1" s="1"/>
  <c r="AF3386" i="1"/>
  <c r="AE3386" i="1"/>
  <c r="AD3386" i="1"/>
  <c r="AC3386" i="1"/>
  <c r="AI3385" i="1"/>
  <c r="AH3385" i="1"/>
  <c r="AG3385" i="1"/>
  <c r="AD3385" i="1"/>
  <c r="AL3385" i="1"/>
  <c r="AJ3385" i="1"/>
  <c r="AF3385" i="1"/>
  <c r="AE3385" i="1"/>
  <c r="AC3385" i="1"/>
  <c r="AI3384" i="1"/>
  <c r="AH3384" i="1"/>
  <c r="AG3384" i="1"/>
  <c r="AL3384" i="1"/>
  <c r="AJ3384" i="1"/>
  <c r="AM3384" i="1" s="1"/>
  <c r="AF3384" i="1"/>
  <c r="AE3384" i="1"/>
  <c r="AD3384" i="1"/>
  <c r="AC3384" i="1"/>
  <c r="AI3383" i="1"/>
  <c r="AG3383" i="1"/>
  <c r="AH3383" i="1"/>
  <c r="AE3383" i="1"/>
  <c r="AF3383" i="1"/>
  <c r="AC3383" i="1"/>
  <c r="AJ3383" i="1"/>
  <c r="AD3383" i="1"/>
  <c r="AL3383" i="1"/>
  <c r="AI3382" i="1"/>
  <c r="AH3382" i="1"/>
  <c r="AG3382" i="1"/>
  <c r="AJ3382" i="1"/>
  <c r="AC3382" i="1"/>
  <c r="AD3382" i="1"/>
  <c r="AE3382" i="1"/>
  <c r="AF3382" i="1"/>
  <c r="AL3382" i="1"/>
  <c r="AG3381" i="1"/>
  <c r="AI3381" i="1"/>
  <c r="AH3381" i="1"/>
  <c r="AL3381" i="1"/>
  <c r="AJ3381" i="1"/>
  <c r="AM3381" i="1" s="1"/>
  <c r="AF3381" i="1"/>
  <c r="AE3381" i="1"/>
  <c r="AD3381" i="1"/>
  <c r="AC3381" i="1"/>
  <c r="AH3380" i="1"/>
  <c r="AI3380" i="1"/>
  <c r="AG3380" i="1"/>
  <c r="AC3380" i="1"/>
  <c r="AL3380" i="1"/>
  <c r="AD3380" i="1"/>
  <c r="AE3380" i="1"/>
  <c r="AF3380" i="1"/>
  <c r="AJ3380" i="1"/>
  <c r="AM3380" i="1" s="1"/>
  <c r="AG3379" i="1"/>
  <c r="AH3379" i="1"/>
  <c r="AI3379" i="1"/>
  <c r="AJ3379" i="1"/>
  <c r="AD3379" i="1"/>
  <c r="AL3379" i="1"/>
  <c r="AC3379" i="1"/>
  <c r="AE3379" i="1"/>
  <c r="AF3379" i="1"/>
  <c r="AI3378" i="1"/>
  <c r="AH3378" i="1"/>
  <c r="AG3378" i="1"/>
  <c r="AC3378" i="1"/>
  <c r="AJ3378" i="1"/>
  <c r="AD3378" i="1"/>
  <c r="AE3378" i="1"/>
  <c r="AF3378" i="1"/>
  <c r="AL3378" i="1"/>
  <c r="AH3377" i="1"/>
  <c r="AI3377" i="1"/>
  <c r="AG3377" i="1"/>
  <c r="AJ3377" i="1"/>
  <c r="AL3377" i="1"/>
  <c r="AC3377" i="1"/>
  <c r="AD3377" i="1"/>
  <c r="AE3377" i="1"/>
  <c r="AF3377" i="1"/>
  <c r="AG3376" i="1"/>
  <c r="AH3376" i="1"/>
  <c r="AI3376" i="1"/>
  <c r="AC3376" i="1"/>
  <c r="AD3376" i="1"/>
  <c r="AE3376" i="1"/>
  <c r="AJ3376" i="1"/>
  <c r="AL3376" i="1"/>
  <c r="AF3376" i="1"/>
  <c r="AI3375" i="1"/>
  <c r="AH3375" i="1"/>
  <c r="AG3375" i="1"/>
  <c r="AE3375" i="1"/>
  <c r="AD3375" i="1"/>
  <c r="AC3375" i="1"/>
  <c r="AF3375" i="1"/>
  <c r="AJ3375" i="1"/>
  <c r="AL3375" i="1"/>
  <c r="AG3374" i="1"/>
  <c r="AH3374" i="1"/>
  <c r="AI3374" i="1"/>
  <c r="AJ3374" i="1"/>
  <c r="AL3374" i="1"/>
  <c r="AC3374" i="1"/>
  <c r="AD3374" i="1"/>
  <c r="AE3374" i="1"/>
  <c r="AF3374" i="1"/>
  <c r="AG3373" i="1"/>
  <c r="AI3373" i="1"/>
  <c r="AH3373" i="1"/>
  <c r="AC3373" i="1"/>
  <c r="AD3373" i="1"/>
  <c r="AE3373" i="1"/>
  <c r="AF3373" i="1"/>
  <c r="AJ3373" i="1"/>
  <c r="AL3373" i="1"/>
  <c r="AG3372" i="1"/>
  <c r="AH3372" i="1"/>
  <c r="AI3372" i="1"/>
  <c r="AE3372" i="1"/>
  <c r="AF3372" i="1"/>
  <c r="AD3372" i="1"/>
  <c r="AC3372" i="1"/>
  <c r="AJ3372" i="1"/>
  <c r="AL3372" i="1"/>
  <c r="AI3371" i="1"/>
  <c r="AH3371" i="1"/>
  <c r="AG3371" i="1"/>
  <c r="AL3371" i="1"/>
  <c r="AF3371" i="1"/>
  <c r="AE3371" i="1"/>
  <c r="AD3371" i="1"/>
  <c r="AJ3371" i="1"/>
  <c r="AM3371" i="1" s="1"/>
  <c r="AC3371" i="1"/>
  <c r="AG3370" i="1"/>
  <c r="AH3370" i="1"/>
  <c r="AI3370" i="1"/>
  <c r="AC3370" i="1"/>
  <c r="AD3370" i="1"/>
  <c r="AE3370" i="1"/>
  <c r="AF3370" i="1"/>
  <c r="AJ3370" i="1"/>
  <c r="AL3370" i="1"/>
  <c r="AG3369" i="1"/>
  <c r="AH3369" i="1"/>
  <c r="AI3369" i="1"/>
  <c r="AE3369" i="1"/>
  <c r="AD3369" i="1"/>
  <c r="AC3369" i="1"/>
  <c r="AF3369" i="1"/>
  <c r="AL3369" i="1"/>
  <c r="AJ3369" i="1"/>
  <c r="AI3368" i="1"/>
  <c r="AH3368" i="1"/>
  <c r="AG3368" i="1"/>
  <c r="AE3368" i="1"/>
  <c r="AD3368" i="1"/>
  <c r="AF3368" i="1"/>
  <c r="AC3368" i="1"/>
  <c r="AL3368" i="1"/>
  <c r="AJ3368" i="1"/>
  <c r="AM3368" i="1" s="1"/>
  <c r="AG3367" i="1"/>
  <c r="AH3367" i="1"/>
  <c r="AI3367" i="1"/>
  <c r="AJ3367" i="1"/>
  <c r="AC3367" i="1"/>
  <c r="AL3367" i="1"/>
  <c r="AD3367" i="1"/>
  <c r="AE3367" i="1"/>
  <c r="AF3367" i="1"/>
  <c r="AG3366" i="1"/>
  <c r="AH3366" i="1"/>
  <c r="AI3366" i="1"/>
  <c r="AE3366" i="1"/>
  <c r="AJ3366" i="1"/>
  <c r="AL3366" i="1"/>
  <c r="AF3366" i="1"/>
  <c r="AD3366" i="1"/>
  <c r="AC3366" i="1"/>
  <c r="AH3365" i="1"/>
  <c r="AG3365" i="1"/>
  <c r="AI3365" i="1"/>
  <c r="AF3365" i="1"/>
  <c r="AD3365" i="1"/>
  <c r="AE3365" i="1"/>
  <c r="AC3365" i="1"/>
  <c r="AL3365" i="1"/>
  <c r="AJ3365" i="1"/>
  <c r="AM3365" i="1" s="1"/>
  <c r="AI3364" i="1"/>
  <c r="AH3364" i="1"/>
  <c r="AG3364" i="1"/>
  <c r="AE3364" i="1"/>
  <c r="AL3364" i="1"/>
  <c r="AD3364" i="1"/>
  <c r="AC3364" i="1"/>
  <c r="AJ3364" i="1"/>
  <c r="AM3364" i="1" s="1"/>
  <c r="AF3364" i="1"/>
  <c r="AH3363" i="1"/>
  <c r="AG3363" i="1"/>
  <c r="AI3363" i="1"/>
  <c r="AE3363" i="1"/>
  <c r="AF3363" i="1"/>
  <c r="AC3363" i="1"/>
  <c r="AJ3363" i="1"/>
  <c r="AL3363" i="1"/>
  <c r="AD3363" i="1"/>
  <c r="AI3362" i="1"/>
  <c r="AH3362" i="1"/>
  <c r="AG3362" i="1"/>
  <c r="AL3362" i="1"/>
  <c r="AJ3362" i="1"/>
  <c r="AF3362" i="1"/>
  <c r="AE3362" i="1"/>
  <c r="AD3362" i="1"/>
  <c r="AC3362" i="1"/>
  <c r="AI3361" i="1"/>
  <c r="AH3361" i="1"/>
  <c r="AG3361" i="1"/>
  <c r="AL3361" i="1"/>
  <c r="AJ3361" i="1"/>
  <c r="AM3361" i="1" s="1"/>
  <c r="AD3361" i="1"/>
  <c r="AC3361" i="1"/>
  <c r="AE3361" i="1"/>
  <c r="AF3361" i="1"/>
  <c r="AI3360" i="1"/>
  <c r="AH3360" i="1"/>
  <c r="AG3360" i="1"/>
  <c r="AE3360" i="1"/>
  <c r="AL3360" i="1"/>
  <c r="AF3360" i="1"/>
  <c r="AC3360" i="1"/>
  <c r="AD3360" i="1"/>
  <c r="AJ3360" i="1"/>
  <c r="AM3360" i="1" s="1"/>
  <c r="AH3359" i="1"/>
  <c r="AG3359" i="1"/>
  <c r="AI3359" i="1"/>
  <c r="AJ3359" i="1"/>
  <c r="AD3359" i="1"/>
  <c r="AF3359" i="1"/>
  <c r="AC3359" i="1"/>
  <c r="AE3359" i="1"/>
  <c r="AL3359" i="1"/>
  <c r="AI3358" i="1"/>
  <c r="AG3358" i="1"/>
  <c r="AH3358" i="1"/>
  <c r="AL3358" i="1"/>
  <c r="AJ3358" i="1"/>
  <c r="AF3358" i="1"/>
  <c r="AE3358" i="1"/>
  <c r="AD3358" i="1"/>
  <c r="AC3358" i="1"/>
  <c r="AI3357" i="1"/>
  <c r="AH3357" i="1"/>
  <c r="AG3357" i="1"/>
  <c r="AL3357" i="1"/>
  <c r="AJ3357" i="1"/>
  <c r="AM3357" i="1" s="1"/>
  <c r="AF3357" i="1"/>
  <c r="AE3357" i="1"/>
  <c r="AD3357" i="1"/>
  <c r="AC3357" i="1"/>
  <c r="AI3356" i="1"/>
  <c r="AH3356" i="1"/>
  <c r="AG3356" i="1"/>
  <c r="AL3356" i="1"/>
  <c r="AJ3356" i="1"/>
  <c r="AF3356" i="1"/>
  <c r="AE3356" i="1"/>
  <c r="AD3356" i="1"/>
  <c r="AC3356" i="1"/>
  <c r="AI3355" i="1"/>
  <c r="AH3355" i="1"/>
  <c r="AG3355" i="1"/>
  <c r="AL3355" i="1"/>
  <c r="AJ3355" i="1"/>
  <c r="AM3355" i="1" s="1"/>
  <c r="AF3355" i="1"/>
  <c r="AE3355" i="1"/>
  <c r="AD3355" i="1"/>
  <c r="AC3355" i="1"/>
  <c r="AI3354" i="1"/>
  <c r="AH3354" i="1"/>
  <c r="AG3354" i="1"/>
  <c r="AJ3354" i="1"/>
  <c r="AL3354" i="1"/>
  <c r="AF3354" i="1"/>
  <c r="AE3354" i="1"/>
  <c r="AD3354" i="1"/>
  <c r="AC3354" i="1"/>
  <c r="AI3353" i="1"/>
  <c r="AH3353" i="1"/>
  <c r="AG3353" i="1"/>
  <c r="AL3353" i="1"/>
  <c r="AJ3353" i="1"/>
  <c r="AM3353" i="1" s="1"/>
  <c r="AF3353" i="1"/>
  <c r="AE3353" i="1"/>
  <c r="AD3353" i="1"/>
  <c r="AC3353" i="1"/>
  <c r="AI3352" i="1"/>
  <c r="AH3352" i="1"/>
  <c r="AG3352" i="1"/>
  <c r="AL3352" i="1"/>
  <c r="AJ3352" i="1"/>
  <c r="AM3352" i="1" s="1"/>
  <c r="AF3352" i="1"/>
  <c r="AE3352" i="1"/>
  <c r="AD3352" i="1"/>
  <c r="AC3352" i="1"/>
  <c r="AI3351" i="1"/>
  <c r="AH3351" i="1"/>
  <c r="AG3351" i="1"/>
  <c r="AJ3351" i="1"/>
  <c r="AL3351" i="1"/>
  <c r="AF3351" i="1"/>
  <c r="AE3351" i="1"/>
  <c r="AD3351" i="1"/>
  <c r="AC3351" i="1"/>
  <c r="AI3350" i="1"/>
  <c r="AH3350" i="1"/>
  <c r="AG3350" i="1"/>
  <c r="AF3350" i="1"/>
  <c r="AL3350" i="1"/>
  <c r="AJ3350" i="1"/>
  <c r="AE3350" i="1"/>
  <c r="AD3350" i="1"/>
  <c r="AC3350" i="1"/>
  <c r="AI3349" i="1"/>
  <c r="AH3349" i="1"/>
  <c r="AG3349" i="1"/>
  <c r="AC3349" i="1"/>
  <c r="AL3349" i="1"/>
  <c r="AJ3349" i="1"/>
  <c r="AF3349" i="1"/>
  <c r="AE3349" i="1"/>
  <c r="AD3349" i="1"/>
  <c r="AG3348" i="1"/>
  <c r="AH3348" i="1"/>
  <c r="AI3348" i="1"/>
  <c r="AF3348" i="1"/>
  <c r="AJ3348" i="1"/>
  <c r="AL3348" i="1"/>
  <c r="AE3348" i="1"/>
  <c r="AD3348" i="1"/>
  <c r="AC3348" i="1"/>
  <c r="AI3347" i="1"/>
  <c r="AH3347" i="1"/>
  <c r="AG3347" i="1"/>
  <c r="AC3347" i="1"/>
  <c r="AL3347" i="1"/>
  <c r="AJ3347" i="1"/>
  <c r="AM3347" i="1" s="1"/>
  <c r="AF3347" i="1"/>
  <c r="AE3347" i="1"/>
  <c r="AD3347" i="1"/>
  <c r="AI3346" i="1"/>
  <c r="AH3346" i="1"/>
  <c r="AG3346" i="1"/>
  <c r="AC3346" i="1"/>
  <c r="AD3346" i="1"/>
  <c r="AE3346" i="1"/>
  <c r="AL3346" i="1"/>
  <c r="AJ3346" i="1"/>
  <c r="AF3346" i="1"/>
  <c r="AI3345" i="1"/>
  <c r="AH3345" i="1"/>
  <c r="AG3345" i="1"/>
  <c r="AL3345" i="1"/>
  <c r="AE3345" i="1"/>
  <c r="AC3345" i="1"/>
  <c r="AD3345" i="1"/>
  <c r="AF3345" i="1"/>
  <c r="AJ3345" i="1"/>
  <c r="AM3345" i="1" s="1"/>
  <c r="AI3344" i="1"/>
  <c r="AG3344" i="1"/>
  <c r="AH3344" i="1"/>
  <c r="AL3344" i="1"/>
  <c r="AJ3344" i="1"/>
  <c r="AF3344" i="1"/>
  <c r="AE3344" i="1"/>
  <c r="AD3344" i="1"/>
  <c r="AC3344" i="1"/>
  <c r="AH3343" i="1"/>
  <c r="AG3343" i="1"/>
  <c r="AI3343" i="1"/>
  <c r="AJ3343" i="1"/>
  <c r="AD3343" i="1"/>
  <c r="AE3343" i="1"/>
  <c r="AF3343" i="1"/>
  <c r="AL3343" i="1"/>
  <c r="AC3343" i="1"/>
  <c r="AI3342" i="1"/>
  <c r="AH3342" i="1"/>
  <c r="AG3342" i="1"/>
  <c r="AL3342" i="1"/>
  <c r="AJ3342" i="1"/>
  <c r="AF3342" i="1"/>
  <c r="AE3342" i="1"/>
  <c r="AC3342" i="1"/>
  <c r="AD3342" i="1"/>
  <c r="AI3341" i="1"/>
  <c r="AH3341" i="1"/>
  <c r="AG3341" i="1"/>
  <c r="AC3341" i="1"/>
  <c r="AJ3341" i="1"/>
  <c r="AF3341" i="1"/>
  <c r="AL3341" i="1"/>
  <c r="AE3341" i="1"/>
  <c r="AD3341" i="1"/>
  <c r="AG3340" i="1"/>
  <c r="AI3340" i="1"/>
  <c r="AH3340" i="1"/>
  <c r="AC3340" i="1"/>
  <c r="AD3340" i="1"/>
  <c r="AE3340" i="1"/>
  <c r="AF3340" i="1"/>
  <c r="AJ3340" i="1"/>
  <c r="AL3340" i="1"/>
  <c r="AG3339" i="1"/>
  <c r="AH3339" i="1"/>
  <c r="AI3339" i="1"/>
  <c r="AJ3339" i="1"/>
  <c r="AL3339" i="1"/>
  <c r="AF3339" i="1"/>
  <c r="AC3339" i="1"/>
  <c r="AE3339" i="1"/>
  <c r="AD3339" i="1"/>
  <c r="AI3338" i="1"/>
  <c r="AH3338" i="1"/>
  <c r="AG3338" i="1"/>
  <c r="AJ3338" i="1"/>
  <c r="AF3338" i="1"/>
  <c r="AE3338" i="1"/>
  <c r="AD3338" i="1"/>
  <c r="AC3338" i="1"/>
  <c r="AL3338" i="1"/>
  <c r="AG3337" i="1"/>
  <c r="AH3337" i="1"/>
  <c r="AI3337" i="1"/>
  <c r="AE3337" i="1"/>
  <c r="AC3337" i="1"/>
  <c r="AD3337" i="1"/>
  <c r="AJ3337" i="1"/>
  <c r="AF3337" i="1"/>
  <c r="AL3337" i="1"/>
  <c r="AI3336" i="1"/>
  <c r="AH3336" i="1"/>
  <c r="AG3336" i="1"/>
  <c r="AJ3336" i="1"/>
  <c r="AL3336" i="1"/>
  <c r="AD3336" i="1"/>
  <c r="AC3336" i="1"/>
  <c r="AF3336" i="1"/>
  <c r="AE3336" i="1"/>
  <c r="AI3335" i="1"/>
  <c r="AH3335" i="1"/>
  <c r="AG3335" i="1"/>
  <c r="AL3335" i="1"/>
  <c r="AJ3335" i="1"/>
  <c r="AM3335" i="1" s="1"/>
  <c r="AF3335" i="1"/>
  <c r="AC3335" i="1"/>
  <c r="AE3335" i="1"/>
  <c r="AD3335" i="1"/>
  <c r="AG3334" i="1"/>
  <c r="AI3334" i="1"/>
  <c r="AH3334" i="1"/>
  <c r="AC3334" i="1"/>
  <c r="AD3334" i="1"/>
  <c r="AE3334" i="1"/>
  <c r="AF3334" i="1"/>
  <c r="AJ3334" i="1"/>
  <c r="AL3334" i="1"/>
  <c r="AG3333" i="1"/>
  <c r="AH3333" i="1"/>
  <c r="AI3333" i="1"/>
  <c r="AF3333" i="1"/>
  <c r="AJ3333" i="1"/>
  <c r="AL3333" i="1"/>
  <c r="AC3333" i="1"/>
  <c r="AE3333" i="1"/>
  <c r="AD3333" i="1"/>
  <c r="AI3332" i="1"/>
  <c r="AH3332" i="1"/>
  <c r="AG3332" i="1"/>
  <c r="AL3332" i="1"/>
  <c r="AJ3332" i="1"/>
  <c r="AF3332" i="1"/>
  <c r="AE3332" i="1"/>
  <c r="AD3332" i="1"/>
  <c r="AC3332" i="1"/>
  <c r="AI3331" i="1"/>
  <c r="AG3331" i="1"/>
  <c r="AH3331" i="1"/>
  <c r="AC3331" i="1"/>
  <c r="AL3331" i="1"/>
  <c r="AJ3331" i="1"/>
  <c r="AM3331" i="1" s="1"/>
  <c r="AF3331" i="1"/>
  <c r="AE3331" i="1"/>
  <c r="AD3331" i="1"/>
  <c r="AI3330" i="1"/>
  <c r="AG3330" i="1"/>
  <c r="AH3330" i="1"/>
  <c r="AF3330" i="1"/>
  <c r="AE3330" i="1"/>
  <c r="AC3330" i="1"/>
  <c r="AD3330" i="1"/>
  <c r="AJ3330" i="1"/>
  <c r="AL3330" i="1"/>
  <c r="AG3329" i="1"/>
  <c r="AH3329" i="1"/>
  <c r="AI3329" i="1"/>
  <c r="AF3329" i="1"/>
  <c r="AE3329" i="1"/>
  <c r="AD3329" i="1"/>
  <c r="AC3329" i="1"/>
  <c r="AJ3329" i="1"/>
  <c r="AL3329" i="1"/>
  <c r="AI3328" i="1"/>
  <c r="AH3328" i="1"/>
  <c r="AG3328" i="1"/>
  <c r="AL3328" i="1"/>
  <c r="AF3328" i="1"/>
  <c r="AE3328" i="1"/>
  <c r="AD3328" i="1"/>
  <c r="AJ3328" i="1"/>
  <c r="AM3328" i="1" s="1"/>
  <c r="AC3328" i="1"/>
  <c r="AI3327" i="1"/>
  <c r="AH3327" i="1"/>
  <c r="AG3327" i="1"/>
  <c r="AJ3327" i="1"/>
  <c r="AE3327" i="1"/>
  <c r="AC3327" i="1"/>
  <c r="AD3327" i="1"/>
  <c r="AL3327" i="1"/>
  <c r="AF3327" i="1"/>
  <c r="AI3326" i="1"/>
  <c r="AH3326" i="1"/>
  <c r="AG3326" i="1"/>
  <c r="AE3326" i="1"/>
  <c r="AC3326" i="1"/>
  <c r="AD3326" i="1"/>
  <c r="AL3326" i="1"/>
  <c r="AJ3326" i="1"/>
  <c r="AF3326" i="1"/>
  <c r="AH3325" i="1"/>
  <c r="AG3325" i="1"/>
  <c r="AI3325" i="1"/>
  <c r="AL3325" i="1"/>
  <c r="AJ3325" i="1"/>
  <c r="AF3325" i="1"/>
  <c r="AD3325" i="1"/>
  <c r="AE3325" i="1"/>
  <c r="AC3325" i="1"/>
  <c r="AG3324" i="1"/>
  <c r="AH3324" i="1"/>
  <c r="AI3324" i="1"/>
  <c r="AL3324" i="1"/>
  <c r="AJ3324" i="1"/>
  <c r="AC3324" i="1"/>
  <c r="AD3324" i="1"/>
  <c r="AE3324" i="1"/>
  <c r="AF3324" i="1"/>
  <c r="AG3323" i="1"/>
  <c r="AI3323" i="1"/>
  <c r="AH3323" i="1"/>
  <c r="AJ3323" i="1"/>
  <c r="AF3323" i="1"/>
  <c r="AE3323" i="1"/>
  <c r="AD3323" i="1"/>
  <c r="AC3323" i="1"/>
  <c r="AL3323" i="1"/>
  <c r="AI3322" i="1"/>
  <c r="AH3322" i="1"/>
  <c r="AG3322" i="1"/>
  <c r="AL3322" i="1"/>
  <c r="AJ3322" i="1"/>
  <c r="AM3322" i="1" s="1"/>
  <c r="AF3322" i="1"/>
  <c r="AC3322" i="1"/>
  <c r="AD3322" i="1"/>
  <c r="AE3322" i="1"/>
  <c r="AG3321" i="1"/>
  <c r="AH3321" i="1"/>
  <c r="AI3321" i="1"/>
  <c r="AC3321" i="1"/>
  <c r="AD3321" i="1"/>
  <c r="AE3321" i="1"/>
  <c r="AL3321" i="1"/>
  <c r="AF3321" i="1"/>
  <c r="AJ3321" i="1"/>
  <c r="AH3320" i="1"/>
  <c r="AI3320" i="1"/>
  <c r="AG3320" i="1"/>
  <c r="AC3320" i="1"/>
  <c r="AJ3320" i="1"/>
  <c r="AL3320" i="1"/>
  <c r="AD3320" i="1"/>
  <c r="AF3320" i="1"/>
  <c r="AE3320" i="1"/>
  <c r="AH3319" i="1"/>
  <c r="AG3319" i="1"/>
  <c r="AI3319" i="1"/>
  <c r="AL3319" i="1"/>
  <c r="AJ3319" i="1"/>
  <c r="AF3319" i="1"/>
  <c r="AE3319" i="1"/>
  <c r="AD3319" i="1"/>
  <c r="AC3319" i="1"/>
  <c r="AI3318" i="1"/>
  <c r="AH3318" i="1"/>
  <c r="AG3318" i="1"/>
  <c r="AL3318" i="1"/>
  <c r="AJ3318" i="1"/>
  <c r="AF3318" i="1"/>
  <c r="AE3318" i="1"/>
  <c r="AD3318" i="1"/>
  <c r="AC3318" i="1"/>
  <c r="AI3317" i="1"/>
  <c r="AH3317" i="1"/>
  <c r="AG3317" i="1"/>
  <c r="AE3317" i="1"/>
  <c r="AL3317" i="1"/>
  <c r="AF3317" i="1"/>
  <c r="AD3317" i="1"/>
  <c r="AC3317" i="1"/>
  <c r="AJ3317" i="1"/>
  <c r="AM3317" i="1" s="1"/>
  <c r="AG3316" i="1"/>
  <c r="AI3316" i="1"/>
  <c r="AH3316" i="1"/>
  <c r="AL3316" i="1"/>
  <c r="AE3316" i="1"/>
  <c r="AD3316" i="1"/>
  <c r="AC3316" i="1"/>
  <c r="AJ3316" i="1"/>
  <c r="AM3316" i="1" s="1"/>
  <c r="AF3316" i="1"/>
  <c r="AI3315" i="1"/>
  <c r="AH3315" i="1"/>
  <c r="AG3315" i="1"/>
  <c r="AD3315" i="1"/>
  <c r="AF3315" i="1"/>
  <c r="AE3315" i="1"/>
  <c r="AC3315" i="1"/>
  <c r="AL3315" i="1"/>
  <c r="AJ3315" i="1"/>
  <c r="AH3314" i="1"/>
  <c r="AG3314" i="1"/>
  <c r="AI3314" i="1"/>
  <c r="AL3314" i="1"/>
  <c r="AJ3314" i="1"/>
  <c r="AF3314" i="1"/>
  <c r="AE3314" i="1"/>
  <c r="AC3314" i="1"/>
  <c r="AD3314" i="1"/>
  <c r="AI3313" i="1"/>
  <c r="AH3313" i="1"/>
  <c r="AG3313" i="1"/>
  <c r="AE3313" i="1"/>
  <c r="AF3313" i="1"/>
  <c r="AJ3313" i="1"/>
  <c r="AL3313" i="1"/>
  <c r="AC3313" i="1"/>
  <c r="AD3313" i="1"/>
  <c r="AH3312" i="1"/>
  <c r="AG3312" i="1"/>
  <c r="AI3312" i="1"/>
  <c r="AJ3312" i="1"/>
  <c r="AF3312" i="1"/>
  <c r="AE3312" i="1"/>
  <c r="AD3312" i="1"/>
  <c r="AC3312" i="1"/>
  <c r="AL3312" i="1"/>
  <c r="AI3311" i="1"/>
  <c r="AH3311" i="1"/>
  <c r="AG3311" i="1"/>
  <c r="AJ3311" i="1"/>
  <c r="AL3311" i="1"/>
  <c r="AF3311" i="1"/>
  <c r="AE3311" i="1"/>
  <c r="AD3311" i="1"/>
  <c r="AC3311" i="1"/>
  <c r="AH3310" i="1"/>
  <c r="AG3310" i="1"/>
  <c r="AI3310" i="1"/>
  <c r="AL3310" i="1"/>
  <c r="AJ3310" i="1"/>
  <c r="AF3310" i="1"/>
  <c r="AE3310" i="1"/>
  <c r="AC3310" i="1"/>
  <c r="AD3310" i="1"/>
  <c r="AH3309" i="1"/>
  <c r="AI3309" i="1"/>
  <c r="AG3309" i="1"/>
  <c r="AC3309" i="1"/>
  <c r="AD3309" i="1"/>
  <c r="AE3309" i="1"/>
  <c r="AF3309" i="1"/>
  <c r="AJ3309" i="1"/>
  <c r="AL3309" i="1"/>
  <c r="AG3308" i="1"/>
  <c r="AH3308" i="1"/>
  <c r="AI3308" i="1"/>
  <c r="AJ3308" i="1"/>
  <c r="AL3308" i="1"/>
  <c r="AE3308" i="1"/>
  <c r="AF3308" i="1"/>
  <c r="AD3308" i="1"/>
  <c r="AC3308" i="1"/>
  <c r="AG3307" i="1"/>
  <c r="AI3307" i="1"/>
  <c r="AH3307" i="1"/>
  <c r="AC3307" i="1"/>
  <c r="AJ3307" i="1"/>
  <c r="AL3307" i="1"/>
  <c r="AF3307" i="1"/>
  <c r="AE3307" i="1"/>
  <c r="AD3307" i="1"/>
  <c r="AI3306" i="1"/>
  <c r="AH3306" i="1"/>
  <c r="AG3306" i="1"/>
  <c r="AE3306" i="1"/>
  <c r="AC3306" i="1"/>
  <c r="AF3306" i="1"/>
  <c r="AD3306" i="1"/>
  <c r="AL3306" i="1"/>
  <c r="AJ3306" i="1"/>
  <c r="AI3305" i="1"/>
  <c r="AH3305" i="1"/>
  <c r="AG3305" i="1"/>
  <c r="AC3305" i="1"/>
  <c r="AL3305" i="1"/>
  <c r="AJ3305" i="1"/>
  <c r="AF3305" i="1"/>
  <c r="AE3305" i="1"/>
  <c r="AD3305" i="1"/>
  <c r="AG3304" i="1"/>
  <c r="AH3304" i="1"/>
  <c r="AI3304" i="1"/>
  <c r="AD3304" i="1"/>
  <c r="AF3304" i="1"/>
  <c r="AJ3304" i="1"/>
  <c r="AC3304" i="1"/>
  <c r="AL3304" i="1"/>
  <c r="AE3304" i="1"/>
  <c r="AI3303" i="1"/>
  <c r="AH3303" i="1"/>
  <c r="AG3303" i="1"/>
  <c r="AL3303" i="1"/>
  <c r="AJ3303" i="1"/>
  <c r="AF3303" i="1"/>
  <c r="AE3303" i="1"/>
  <c r="AD3303" i="1"/>
  <c r="AC3303" i="1"/>
  <c r="AI3302" i="1"/>
  <c r="AH3302" i="1"/>
  <c r="AG3302" i="1"/>
  <c r="AL3302" i="1"/>
  <c r="AJ3302" i="1"/>
  <c r="AF3302" i="1"/>
  <c r="AE3302" i="1"/>
  <c r="AD3302" i="1"/>
  <c r="AC3302" i="1"/>
  <c r="AG3301" i="1"/>
  <c r="AH3301" i="1"/>
  <c r="AI3301" i="1"/>
  <c r="AF3301" i="1"/>
  <c r="AJ3301" i="1"/>
  <c r="AE3301" i="1"/>
  <c r="AL3301" i="1"/>
  <c r="AC3301" i="1"/>
  <c r="AD3301" i="1"/>
  <c r="AG3300" i="1"/>
  <c r="AH3300" i="1"/>
  <c r="AI3300" i="1"/>
  <c r="AJ3300" i="1"/>
  <c r="AL3300" i="1"/>
  <c r="AF3300" i="1"/>
  <c r="AE3300" i="1"/>
  <c r="AD3300" i="1"/>
  <c r="AC3300" i="1"/>
  <c r="AH3299" i="1"/>
  <c r="AI3299" i="1"/>
  <c r="AG3299" i="1"/>
  <c r="AE3299" i="1"/>
  <c r="AL3299" i="1"/>
  <c r="AJ3299" i="1"/>
  <c r="AM3299" i="1" s="1"/>
  <c r="AD3299" i="1"/>
  <c r="AC3299" i="1"/>
  <c r="AF3299" i="1"/>
  <c r="AG3298" i="1"/>
  <c r="AH3298" i="1"/>
  <c r="AI3298" i="1"/>
  <c r="AE3298" i="1"/>
  <c r="AD3298" i="1"/>
  <c r="AC3298" i="1"/>
  <c r="AF3298" i="1"/>
  <c r="AL3298" i="1"/>
  <c r="AJ3298" i="1"/>
  <c r="AI3297" i="1"/>
  <c r="AH3297" i="1"/>
  <c r="AG3297" i="1"/>
  <c r="AL3297" i="1"/>
  <c r="AJ3297" i="1"/>
  <c r="AM3297" i="1" s="1"/>
  <c r="AC3297" i="1"/>
  <c r="AE3297" i="1"/>
  <c r="AF3297" i="1"/>
  <c r="AD3297" i="1"/>
  <c r="AH3296" i="1"/>
  <c r="AI3296" i="1"/>
  <c r="AG3296" i="1"/>
  <c r="AC3296" i="1"/>
  <c r="AD3296" i="1"/>
  <c r="AE3296" i="1"/>
  <c r="AF3296" i="1"/>
  <c r="AJ3296" i="1"/>
  <c r="AL3296" i="1"/>
  <c r="AG3295" i="1"/>
  <c r="AH3295" i="1"/>
  <c r="AI3295" i="1"/>
  <c r="AE3295" i="1"/>
  <c r="AC3295" i="1"/>
  <c r="AD3295" i="1"/>
  <c r="AF3295" i="1"/>
  <c r="AJ3295" i="1"/>
  <c r="AL3295" i="1"/>
  <c r="AI3294" i="1"/>
  <c r="AG3294" i="1"/>
  <c r="AH3294" i="1"/>
  <c r="AJ3294" i="1"/>
  <c r="AL3294" i="1"/>
  <c r="AD3294" i="1"/>
  <c r="AF3294" i="1"/>
  <c r="AE3294" i="1"/>
  <c r="AC3294" i="1"/>
  <c r="AI3293" i="1"/>
  <c r="AH3293" i="1"/>
  <c r="AG3293" i="1"/>
  <c r="AC3293" i="1"/>
  <c r="AD3293" i="1"/>
  <c r="AF3293" i="1"/>
  <c r="AE3293" i="1"/>
  <c r="AL3293" i="1"/>
  <c r="AJ3293" i="1"/>
  <c r="AH3292" i="1"/>
  <c r="AI3292" i="1"/>
  <c r="AG3292" i="1"/>
  <c r="AJ3292" i="1"/>
  <c r="AF3292" i="1"/>
  <c r="AE3292" i="1"/>
  <c r="AD3292" i="1"/>
  <c r="AC3292" i="1"/>
  <c r="AL3292" i="1"/>
  <c r="AI3291" i="1"/>
  <c r="AH3291" i="1"/>
  <c r="AG3291" i="1"/>
  <c r="AL3291" i="1"/>
  <c r="AJ3291" i="1"/>
  <c r="AF3291" i="1"/>
  <c r="AE3291" i="1"/>
  <c r="AD3291" i="1"/>
  <c r="AC3291" i="1"/>
  <c r="AI3290" i="1"/>
  <c r="AH3290" i="1"/>
  <c r="AG3290" i="1"/>
  <c r="AL3290" i="1"/>
  <c r="AJ3290" i="1"/>
  <c r="AF3290" i="1"/>
  <c r="AE3290" i="1"/>
  <c r="AD3290" i="1"/>
  <c r="AC3290" i="1"/>
  <c r="AI3289" i="1"/>
  <c r="AH3289" i="1"/>
  <c r="AG3289" i="1"/>
  <c r="AL3289" i="1"/>
  <c r="AJ3289" i="1"/>
  <c r="AF3289" i="1"/>
  <c r="AE3289" i="1"/>
  <c r="AD3289" i="1"/>
  <c r="AC3289" i="1"/>
  <c r="AH3288" i="1"/>
  <c r="AG3288" i="1"/>
  <c r="AI3288" i="1"/>
  <c r="AL3288" i="1"/>
  <c r="AJ3288" i="1"/>
  <c r="AM3288" i="1" s="1"/>
  <c r="AF3288" i="1"/>
  <c r="AE3288" i="1"/>
  <c r="AD3288" i="1"/>
  <c r="AC3288" i="1"/>
  <c r="AI3287" i="1"/>
  <c r="AH3287" i="1"/>
  <c r="AG3287" i="1"/>
  <c r="AL3287" i="1"/>
  <c r="AJ3287" i="1"/>
  <c r="AF3287" i="1"/>
  <c r="AE3287" i="1"/>
  <c r="AD3287" i="1"/>
  <c r="AC3287" i="1"/>
  <c r="AI3286" i="1"/>
  <c r="AH3286" i="1"/>
  <c r="AG3286" i="1"/>
  <c r="AL3286" i="1"/>
  <c r="AJ3286" i="1"/>
  <c r="AF3286" i="1"/>
  <c r="AE3286" i="1"/>
  <c r="AD3286" i="1"/>
  <c r="AC3286" i="1"/>
  <c r="AI3285" i="1"/>
  <c r="AH3285" i="1"/>
  <c r="AG3285" i="1"/>
  <c r="AL3285" i="1"/>
  <c r="AJ3285" i="1"/>
  <c r="AF3285" i="1"/>
  <c r="AE3285" i="1"/>
  <c r="AD3285" i="1"/>
  <c r="AC3285" i="1"/>
  <c r="AI3284" i="1"/>
  <c r="AH3284" i="1"/>
  <c r="AG3284" i="1"/>
  <c r="AJ3284" i="1"/>
  <c r="AL3284" i="1"/>
  <c r="AF3284" i="1"/>
  <c r="AE3284" i="1"/>
  <c r="AD3284" i="1"/>
  <c r="AC3284" i="1"/>
  <c r="AI3283" i="1"/>
  <c r="AH3283" i="1"/>
  <c r="AG3283" i="1"/>
  <c r="AL3283" i="1"/>
  <c r="AE3283" i="1"/>
  <c r="AJ3283" i="1"/>
  <c r="AM3283" i="1" s="1"/>
  <c r="AF3283" i="1"/>
  <c r="AD3283" i="1"/>
  <c r="AC3283" i="1"/>
  <c r="AH3282" i="1"/>
  <c r="AG3282" i="1"/>
  <c r="AI3282" i="1"/>
  <c r="AF3282" i="1"/>
  <c r="AE3282" i="1"/>
  <c r="AD3282" i="1"/>
  <c r="AC3282" i="1"/>
  <c r="AL3282" i="1"/>
  <c r="AJ3282" i="1"/>
  <c r="AH3281" i="1"/>
  <c r="AG3281" i="1"/>
  <c r="AI3281" i="1"/>
  <c r="AD3281" i="1"/>
  <c r="AL3281" i="1"/>
  <c r="AJ3281" i="1"/>
  <c r="AF3281" i="1"/>
  <c r="AE3281" i="1"/>
  <c r="AC3281" i="1"/>
  <c r="AG3280" i="1"/>
  <c r="AI3280" i="1"/>
  <c r="AH3280" i="1"/>
  <c r="AF3280" i="1"/>
  <c r="AC3280" i="1"/>
  <c r="AD3280" i="1"/>
  <c r="AE3280" i="1"/>
  <c r="AL3280" i="1"/>
  <c r="AJ3280" i="1"/>
  <c r="AI3279" i="1"/>
  <c r="AH3279" i="1"/>
  <c r="AG3279" i="1"/>
  <c r="AL3279" i="1"/>
  <c r="AJ3279" i="1"/>
  <c r="AM3279" i="1" s="1"/>
  <c r="AF3279" i="1"/>
  <c r="AE3279" i="1"/>
  <c r="AD3279" i="1"/>
  <c r="AC3279" i="1"/>
  <c r="AH3278" i="1"/>
  <c r="AG3278" i="1"/>
  <c r="AI3278" i="1"/>
  <c r="AC3278" i="1"/>
  <c r="AD3278" i="1"/>
  <c r="AL3278" i="1"/>
  <c r="AJ3278" i="1"/>
  <c r="AF3278" i="1"/>
  <c r="AE3278" i="1"/>
  <c r="AH3277" i="1"/>
  <c r="AG3277" i="1"/>
  <c r="AI3277" i="1"/>
  <c r="AD3277" i="1"/>
  <c r="AJ3277" i="1"/>
  <c r="AF3277" i="1"/>
  <c r="AL3277" i="1"/>
  <c r="AE3277" i="1"/>
  <c r="AC3277" i="1"/>
  <c r="AI3276" i="1"/>
  <c r="AG3276" i="1"/>
  <c r="AH3276" i="1"/>
  <c r="AC3276" i="1"/>
  <c r="AE3276" i="1"/>
  <c r="AD3276" i="1"/>
  <c r="AF3276" i="1"/>
  <c r="AL3276" i="1"/>
  <c r="AJ3276" i="1"/>
  <c r="AM3276" i="1" s="1"/>
  <c r="AI3275" i="1"/>
  <c r="AH3275" i="1"/>
  <c r="AG3275" i="1"/>
  <c r="AL3275" i="1"/>
  <c r="AJ3275" i="1"/>
  <c r="AE3275" i="1"/>
  <c r="AD3275" i="1"/>
  <c r="AC3275" i="1"/>
  <c r="AF3275" i="1"/>
  <c r="AI3274" i="1"/>
  <c r="AH3274" i="1"/>
  <c r="AG3274" i="1"/>
  <c r="AD3274" i="1"/>
  <c r="AL3274" i="1"/>
  <c r="AJ3274" i="1"/>
  <c r="AF3274" i="1"/>
  <c r="AE3274" i="1"/>
  <c r="AC3274" i="1"/>
  <c r="AI3273" i="1"/>
  <c r="AH3273" i="1"/>
  <c r="AG3273" i="1"/>
  <c r="AL3273" i="1"/>
  <c r="AF3273" i="1"/>
  <c r="AE3273" i="1"/>
  <c r="AD3273" i="1"/>
  <c r="AC3273" i="1"/>
  <c r="AJ3273" i="1"/>
  <c r="AH3272" i="1"/>
  <c r="AI3272" i="1"/>
  <c r="AG3272" i="1"/>
  <c r="AF3272" i="1"/>
  <c r="AC3272" i="1"/>
  <c r="AL3272" i="1"/>
  <c r="AJ3272" i="1"/>
  <c r="AE3272" i="1"/>
  <c r="AD3272" i="1"/>
  <c r="AI3271" i="1"/>
  <c r="AG3271" i="1"/>
  <c r="AH3271" i="1"/>
  <c r="AF3271" i="1"/>
  <c r="AJ3271" i="1"/>
  <c r="AL3271" i="1"/>
  <c r="AC3271" i="1"/>
  <c r="AD3271" i="1"/>
  <c r="AE3271" i="1"/>
  <c r="AH3270" i="1"/>
  <c r="AI3270" i="1"/>
  <c r="AG3270" i="1"/>
  <c r="AF3270" i="1"/>
  <c r="AJ3270" i="1"/>
  <c r="AL3270" i="1"/>
  <c r="AD3270" i="1"/>
  <c r="AC3270" i="1"/>
  <c r="AE3270" i="1"/>
  <c r="AG3269" i="1"/>
  <c r="AH3269" i="1"/>
  <c r="AI3269" i="1"/>
  <c r="AC3269" i="1"/>
  <c r="AF3269" i="1"/>
  <c r="AD3269" i="1"/>
  <c r="AE3269" i="1"/>
  <c r="AJ3269" i="1"/>
  <c r="AL3269" i="1"/>
  <c r="AI3268" i="1"/>
  <c r="AH3268" i="1"/>
  <c r="AG3268" i="1"/>
  <c r="AC3268" i="1"/>
  <c r="AD3268" i="1"/>
  <c r="AE3268" i="1"/>
  <c r="AF3268" i="1"/>
  <c r="AJ3268" i="1"/>
  <c r="AL3268" i="1"/>
  <c r="AH3267" i="1"/>
  <c r="AG3267" i="1"/>
  <c r="AI3267" i="1"/>
  <c r="AE3267" i="1"/>
  <c r="AL3267" i="1"/>
  <c r="AJ3267" i="1"/>
  <c r="AF3267" i="1"/>
  <c r="AD3267" i="1"/>
  <c r="AC3267" i="1"/>
  <c r="AG3266" i="1"/>
  <c r="AH3266" i="1"/>
  <c r="AI3266" i="1"/>
  <c r="AF3266" i="1"/>
  <c r="AL3266" i="1"/>
  <c r="AE3266" i="1"/>
  <c r="AJ3266" i="1"/>
  <c r="AM3266" i="1" s="1"/>
  <c r="AC3266" i="1"/>
  <c r="AD3266" i="1"/>
  <c r="AG3265" i="1"/>
  <c r="AH3265" i="1"/>
  <c r="AI3265" i="1"/>
  <c r="AC3265" i="1"/>
  <c r="AE3265" i="1"/>
  <c r="AD3265" i="1"/>
  <c r="AF3265" i="1"/>
  <c r="AJ3265" i="1"/>
  <c r="AL3265" i="1"/>
  <c r="AI3264" i="1"/>
  <c r="AH3264" i="1"/>
  <c r="AG3264" i="1"/>
  <c r="AF3264" i="1"/>
  <c r="AE3264" i="1"/>
  <c r="AD3264" i="1"/>
  <c r="AC3264" i="1"/>
  <c r="AL3264" i="1"/>
  <c r="AJ3264" i="1"/>
  <c r="AM3264" i="1" s="1"/>
  <c r="AG3263" i="1"/>
  <c r="AH3263" i="1"/>
  <c r="AI3263" i="1"/>
  <c r="AF3263" i="1"/>
  <c r="AL3263" i="1"/>
  <c r="AC3263" i="1"/>
  <c r="AE3263" i="1"/>
  <c r="AJ3263" i="1"/>
  <c r="AM3263" i="1" s="1"/>
  <c r="AD3263" i="1"/>
  <c r="AI3262" i="1"/>
  <c r="AG3262" i="1"/>
  <c r="AH3262" i="1"/>
  <c r="AC3262" i="1"/>
  <c r="AL3262" i="1"/>
  <c r="AJ3262" i="1"/>
  <c r="AF3262" i="1"/>
  <c r="AE3262" i="1"/>
  <c r="AD3262" i="1"/>
  <c r="AG3261" i="1"/>
  <c r="AH3261" i="1"/>
  <c r="AI3261" i="1"/>
  <c r="AD3261" i="1"/>
  <c r="AJ3261" i="1"/>
  <c r="AC3261" i="1"/>
  <c r="AL3261" i="1"/>
  <c r="AE3261" i="1"/>
  <c r="AF3261" i="1"/>
  <c r="AI3260" i="1"/>
  <c r="AH3260" i="1"/>
  <c r="AG3260" i="1"/>
  <c r="AF3260" i="1"/>
  <c r="AL3260" i="1"/>
  <c r="AJ3260" i="1"/>
  <c r="AE3260" i="1"/>
  <c r="AD3260" i="1"/>
  <c r="AC3260" i="1"/>
  <c r="AI3259" i="1"/>
  <c r="AH3259" i="1"/>
  <c r="AG3259" i="1"/>
  <c r="AL3259" i="1"/>
  <c r="AF3259" i="1"/>
  <c r="AE3259" i="1"/>
  <c r="AJ3259" i="1"/>
  <c r="AC3259" i="1"/>
  <c r="AD3259" i="1"/>
  <c r="AG3258" i="1"/>
  <c r="AH3258" i="1"/>
  <c r="AI3258" i="1"/>
  <c r="AD3258" i="1"/>
  <c r="AC3258" i="1"/>
  <c r="AJ3258" i="1"/>
  <c r="AL3258" i="1"/>
  <c r="AE3258" i="1"/>
  <c r="AF3258" i="1"/>
  <c r="AG3257" i="1"/>
  <c r="AH3257" i="1"/>
  <c r="AI3257" i="1"/>
  <c r="AC3257" i="1"/>
  <c r="AL3257" i="1"/>
  <c r="AJ3257" i="1"/>
  <c r="AM3257" i="1" s="1"/>
  <c r="AF3257" i="1"/>
  <c r="AE3257" i="1"/>
  <c r="AD3257" i="1"/>
  <c r="AH3256" i="1"/>
  <c r="AG3256" i="1"/>
  <c r="AI3256" i="1"/>
  <c r="AE3256" i="1"/>
  <c r="AF3256" i="1"/>
  <c r="AC3256" i="1"/>
  <c r="AL3256" i="1"/>
  <c r="AJ3256" i="1"/>
  <c r="AD3256" i="1"/>
  <c r="AI3255" i="1"/>
  <c r="AG3255" i="1"/>
  <c r="AH3255" i="1"/>
  <c r="AE3255" i="1"/>
  <c r="AC3255" i="1"/>
  <c r="AD3255" i="1"/>
  <c r="AF3255" i="1"/>
  <c r="AJ3255" i="1"/>
  <c r="AL3255" i="1"/>
  <c r="AI3254" i="1"/>
  <c r="AG3254" i="1"/>
  <c r="AH3254" i="1"/>
  <c r="AD3254" i="1"/>
  <c r="AE3254" i="1"/>
  <c r="AF3254" i="1"/>
  <c r="AC3254" i="1"/>
  <c r="AL3254" i="1"/>
  <c r="AJ3254" i="1"/>
  <c r="AI3253" i="1"/>
  <c r="AH3253" i="1"/>
  <c r="AG3253" i="1"/>
  <c r="AJ3253" i="1"/>
  <c r="AF3253" i="1"/>
  <c r="AL3253" i="1"/>
  <c r="AC3253" i="1"/>
  <c r="AD3253" i="1"/>
  <c r="AE3253" i="1"/>
  <c r="AH3252" i="1"/>
  <c r="AI3252" i="1"/>
  <c r="AG3252" i="1"/>
  <c r="AC3252" i="1"/>
  <c r="AJ3252" i="1"/>
  <c r="AL3252" i="1"/>
  <c r="AD3252" i="1"/>
  <c r="AE3252" i="1"/>
  <c r="AF3252" i="1"/>
  <c r="AI3251" i="1"/>
  <c r="AH3251" i="1"/>
  <c r="AG3251" i="1"/>
  <c r="AC3251" i="1"/>
  <c r="AD3251" i="1"/>
  <c r="AE3251" i="1"/>
  <c r="AJ3251" i="1"/>
  <c r="AF3251" i="1"/>
  <c r="AL3251" i="1"/>
  <c r="AG3250" i="1"/>
  <c r="AH3250" i="1"/>
  <c r="AI3250" i="1"/>
  <c r="AL3250" i="1"/>
  <c r="AJ3250" i="1"/>
  <c r="AF3250" i="1"/>
  <c r="AE3250" i="1"/>
  <c r="AD3250" i="1"/>
  <c r="AC3250" i="1"/>
  <c r="AI3249" i="1"/>
  <c r="AH3249" i="1"/>
  <c r="AG3249" i="1"/>
  <c r="AL3249" i="1"/>
  <c r="AJ3249" i="1"/>
  <c r="AF3249" i="1"/>
  <c r="AE3249" i="1"/>
  <c r="AD3249" i="1"/>
  <c r="AC3249" i="1"/>
  <c r="AI3248" i="1"/>
  <c r="AH3248" i="1"/>
  <c r="AG3248" i="1"/>
  <c r="AL3248" i="1"/>
  <c r="AJ3248" i="1"/>
  <c r="AF3248" i="1"/>
  <c r="AE3248" i="1"/>
  <c r="AD3248" i="1"/>
  <c r="AC3248" i="1"/>
  <c r="AI3247" i="1"/>
  <c r="AH3247" i="1"/>
  <c r="AG3247" i="1"/>
  <c r="AL3247" i="1"/>
  <c r="AC3247" i="1"/>
  <c r="AD3247" i="1"/>
  <c r="AE3247" i="1"/>
  <c r="AF3247" i="1"/>
  <c r="AJ3247" i="1"/>
  <c r="AI3246" i="1"/>
  <c r="AH3246" i="1"/>
  <c r="AG3246" i="1"/>
  <c r="AE3246" i="1"/>
  <c r="AD3246" i="1"/>
  <c r="AC3246" i="1"/>
  <c r="AJ3246" i="1"/>
  <c r="AF3246" i="1"/>
  <c r="AL3246" i="1"/>
  <c r="AI3245" i="1"/>
  <c r="AH3245" i="1"/>
  <c r="AG3245" i="1"/>
  <c r="AL3245" i="1"/>
  <c r="AJ3245" i="1"/>
  <c r="AF3245" i="1"/>
  <c r="AE3245" i="1"/>
  <c r="AD3245" i="1"/>
  <c r="AC3245" i="1"/>
  <c r="AH3244" i="1"/>
  <c r="AI3244" i="1"/>
  <c r="AG3244" i="1"/>
  <c r="AF3244" i="1"/>
  <c r="AL3244" i="1"/>
  <c r="AJ3244" i="1"/>
  <c r="AD3244" i="1"/>
  <c r="AC3244" i="1"/>
  <c r="AE3244" i="1"/>
  <c r="AI3243" i="1"/>
  <c r="AH3243" i="1"/>
  <c r="AG3243" i="1"/>
  <c r="AC3243" i="1"/>
  <c r="AF3243" i="1"/>
  <c r="AE3243" i="1"/>
  <c r="AL3243" i="1"/>
  <c r="AJ3243" i="1"/>
  <c r="AD3243" i="1"/>
  <c r="AH3242" i="1"/>
  <c r="AG3242" i="1"/>
  <c r="AI3242" i="1"/>
  <c r="AD3242" i="1"/>
  <c r="AC3242" i="1"/>
  <c r="AF3242" i="1"/>
  <c r="AE3242" i="1"/>
  <c r="AJ3242" i="1"/>
  <c r="AL3242" i="1"/>
  <c r="AI3241" i="1"/>
  <c r="AH3241" i="1"/>
  <c r="AG3241" i="1"/>
  <c r="AL3241" i="1"/>
  <c r="AF3241" i="1"/>
  <c r="AE3241" i="1"/>
  <c r="AD3241" i="1"/>
  <c r="AC3241" i="1"/>
  <c r="AJ3241" i="1"/>
  <c r="AM3241" i="1" s="1"/>
  <c r="AH3240" i="1"/>
  <c r="AI3240" i="1"/>
  <c r="AG3240" i="1"/>
  <c r="AC3240" i="1"/>
  <c r="AD3240" i="1"/>
  <c r="AE3240" i="1"/>
  <c r="AF3240" i="1"/>
  <c r="AL3240" i="1"/>
  <c r="AJ3240" i="1"/>
  <c r="AG3239" i="1"/>
  <c r="AI3239" i="1"/>
  <c r="AH3239" i="1"/>
  <c r="AD3239" i="1"/>
  <c r="AC3239" i="1"/>
  <c r="AJ3239" i="1"/>
  <c r="AL3239" i="1"/>
  <c r="AF3239" i="1"/>
  <c r="AE3239" i="1"/>
  <c r="AG3238" i="1"/>
  <c r="AI3238" i="1"/>
  <c r="AH3238" i="1"/>
  <c r="AE3238" i="1"/>
  <c r="AC3238" i="1"/>
  <c r="AD3238" i="1"/>
  <c r="AL3238" i="1"/>
  <c r="AF3238" i="1"/>
  <c r="AJ3238" i="1"/>
  <c r="AM3238" i="1" s="1"/>
  <c r="AI3237" i="1"/>
  <c r="AH3237" i="1"/>
  <c r="AG3237" i="1"/>
  <c r="AJ3237" i="1"/>
  <c r="AL3237" i="1"/>
  <c r="AF3237" i="1"/>
  <c r="AE3237" i="1"/>
  <c r="AD3237" i="1"/>
  <c r="AC3237" i="1"/>
  <c r="AH3236" i="1"/>
  <c r="AI3236" i="1"/>
  <c r="AG3236" i="1"/>
  <c r="AL3236" i="1"/>
  <c r="AJ3236" i="1"/>
  <c r="AF3236" i="1"/>
  <c r="AE3236" i="1"/>
  <c r="AD3236" i="1"/>
  <c r="AC3236" i="1"/>
  <c r="AH3235" i="1"/>
  <c r="AG3235" i="1"/>
  <c r="AI3235" i="1"/>
  <c r="AF3235" i="1"/>
  <c r="AJ3235" i="1"/>
  <c r="AL3235" i="1"/>
  <c r="AE3235" i="1"/>
  <c r="AC3235" i="1"/>
  <c r="AD3235" i="1"/>
  <c r="AG3234" i="1"/>
  <c r="AH3234" i="1"/>
  <c r="AI3234" i="1"/>
  <c r="AC3234" i="1"/>
  <c r="AJ3234" i="1"/>
  <c r="AL3234" i="1"/>
  <c r="AF3234" i="1"/>
  <c r="AE3234" i="1"/>
  <c r="AD3234" i="1"/>
  <c r="AG3233" i="1"/>
  <c r="AI3233" i="1"/>
  <c r="AH3233" i="1"/>
  <c r="AL3233" i="1"/>
  <c r="AJ3233" i="1"/>
  <c r="AF3233" i="1"/>
  <c r="AE3233" i="1"/>
  <c r="AD3233" i="1"/>
  <c r="AC3233" i="1"/>
  <c r="AI3232" i="1"/>
  <c r="AG3232" i="1"/>
  <c r="AH3232" i="1"/>
  <c r="AF3232" i="1"/>
  <c r="AE3232" i="1"/>
  <c r="AC3232" i="1"/>
  <c r="AD3232" i="1"/>
  <c r="AL3232" i="1"/>
  <c r="AJ3232" i="1"/>
  <c r="AI3231" i="1"/>
  <c r="AG3231" i="1"/>
  <c r="AH3231" i="1"/>
  <c r="AL3231" i="1"/>
  <c r="AJ3231" i="1"/>
  <c r="AF3231" i="1"/>
  <c r="AE3231" i="1"/>
  <c r="AD3231" i="1"/>
  <c r="AC3231" i="1"/>
  <c r="AG3230" i="1"/>
  <c r="AH3230" i="1"/>
  <c r="AI3230" i="1"/>
  <c r="AC3230" i="1"/>
  <c r="AD3230" i="1"/>
  <c r="AE3230" i="1"/>
  <c r="AF3230" i="1"/>
  <c r="AJ3230" i="1"/>
  <c r="AL3230" i="1"/>
  <c r="AG3229" i="1"/>
  <c r="AH3229" i="1"/>
  <c r="AI3229" i="1"/>
  <c r="AJ3229" i="1"/>
  <c r="AC3229" i="1"/>
  <c r="AD3229" i="1"/>
  <c r="AE3229" i="1"/>
  <c r="AF3229" i="1"/>
  <c r="AL3229" i="1"/>
  <c r="AI3228" i="1"/>
  <c r="AH3228" i="1"/>
  <c r="AG3228" i="1"/>
  <c r="AD3228" i="1"/>
  <c r="AC3228" i="1"/>
  <c r="AJ3228" i="1"/>
  <c r="AE3228" i="1"/>
  <c r="AL3228" i="1"/>
  <c r="AF3228" i="1"/>
  <c r="AI3227" i="1"/>
  <c r="AH3227" i="1"/>
  <c r="AG3227" i="1"/>
  <c r="AE3227" i="1"/>
  <c r="AF3227" i="1"/>
  <c r="AJ3227" i="1"/>
  <c r="AL3227" i="1"/>
  <c r="AD3227" i="1"/>
  <c r="AC3227" i="1"/>
  <c r="AH3226" i="1"/>
  <c r="AG3226" i="1"/>
  <c r="AI3226" i="1"/>
  <c r="AF3226" i="1"/>
  <c r="AE3226" i="1"/>
  <c r="AC3226" i="1"/>
  <c r="AD3226" i="1"/>
  <c r="AJ3226" i="1"/>
  <c r="AL3226" i="1"/>
  <c r="AH3225" i="1"/>
  <c r="AG3225" i="1"/>
  <c r="AI3225" i="1"/>
  <c r="AJ3225" i="1"/>
  <c r="AL3225" i="1"/>
  <c r="AC3225" i="1"/>
  <c r="AD3225" i="1"/>
  <c r="AE3225" i="1"/>
  <c r="AF3225" i="1"/>
  <c r="AG3224" i="1"/>
  <c r="AI3224" i="1"/>
  <c r="AH3224" i="1"/>
  <c r="AC3224" i="1"/>
  <c r="AD3224" i="1"/>
  <c r="AE3224" i="1"/>
  <c r="AF3224" i="1"/>
  <c r="AJ3224" i="1"/>
  <c r="AL3224" i="1"/>
  <c r="AI3223" i="1"/>
  <c r="AG3223" i="1"/>
  <c r="AH3223" i="1"/>
  <c r="AC3223" i="1"/>
  <c r="AD3223" i="1"/>
  <c r="AE3223" i="1"/>
  <c r="AF3223" i="1"/>
  <c r="AL3223" i="1"/>
  <c r="AJ3223" i="1"/>
  <c r="AG3222" i="1"/>
  <c r="AI3222" i="1"/>
  <c r="AH3222" i="1"/>
  <c r="AF3222" i="1"/>
  <c r="AL3222" i="1"/>
  <c r="AC3222" i="1"/>
  <c r="AJ3222" i="1"/>
  <c r="AM3222" i="1" s="1"/>
  <c r="AD3222" i="1"/>
  <c r="AE3222" i="1"/>
  <c r="AH3221" i="1"/>
  <c r="AI3221" i="1"/>
  <c r="AG3221" i="1"/>
  <c r="AL3221" i="1"/>
  <c r="AJ3221" i="1"/>
  <c r="AF3221" i="1"/>
  <c r="AE3221" i="1"/>
  <c r="AD3221" i="1"/>
  <c r="AC3221" i="1"/>
  <c r="AI3220" i="1"/>
  <c r="AH3220" i="1"/>
  <c r="AG3220" i="1"/>
  <c r="AL3220" i="1"/>
  <c r="AJ3220" i="1"/>
  <c r="AF3220" i="1"/>
  <c r="AE3220" i="1"/>
  <c r="AD3220" i="1"/>
  <c r="AC3220" i="1"/>
  <c r="AI3219" i="1"/>
  <c r="AH3219" i="1"/>
  <c r="AG3219" i="1"/>
  <c r="AL3219" i="1"/>
  <c r="AJ3219" i="1"/>
  <c r="AF3219" i="1"/>
  <c r="AE3219" i="1"/>
  <c r="AD3219" i="1"/>
  <c r="AC3219" i="1"/>
  <c r="AH3218" i="1"/>
  <c r="AG3218" i="1"/>
  <c r="AI3218" i="1"/>
  <c r="AL3218" i="1"/>
  <c r="AJ3218" i="1"/>
  <c r="AF3218" i="1"/>
  <c r="AE3218" i="1"/>
  <c r="AD3218" i="1"/>
  <c r="AC3218" i="1"/>
  <c r="AI3217" i="1"/>
  <c r="AH3217" i="1"/>
  <c r="AG3217" i="1"/>
  <c r="AL3217" i="1"/>
  <c r="AJ3217" i="1"/>
  <c r="AF3217" i="1"/>
  <c r="AE3217" i="1"/>
  <c r="AD3217" i="1"/>
  <c r="AC3217" i="1"/>
  <c r="AI3216" i="1"/>
  <c r="AH3216" i="1"/>
  <c r="AG3216" i="1"/>
  <c r="AL3216" i="1"/>
  <c r="AJ3216" i="1"/>
  <c r="AF3216" i="1"/>
  <c r="AE3216" i="1"/>
  <c r="AC3216" i="1"/>
  <c r="AD3216" i="1"/>
  <c r="AI3215" i="1"/>
  <c r="AH3215" i="1"/>
  <c r="AG3215" i="1"/>
  <c r="AJ3215" i="1"/>
  <c r="AF3215" i="1"/>
  <c r="AL3215" i="1"/>
  <c r="AE3215" i="1"/>
  <c r="AD3215" i="1"/>
  <c r="AC3215" i="1"/>
  <c r="AI3214" i="1"/>
  <c r="AH3214" i="1"/>
  <c r="AG3214" i="1"/>
  <c r="AL3214" i="1"/>
  <c r="AJ3214" i="1"/>
  <c r="AF3214" i="1"/>
  <c r="AE3214" i="1"/>
  <c r="AD3214" i="1"/>
  <c r="AC3214" i="1"/>
  <c r="AH3213" i="1"/>
  <c r="AG3213" i="1"/>
  <c r="AI3213" i="1"/>
  <c r="AD3213" i="1"/>
  <c r="AJ3213" i="1"/>
  <c r="AE3213" i="1"/>
  <c r="AF3213" i="1"/>
  <c r="AL3213" i="1"/>
  <c r="AC3213" i="1"/>
  <c r="AI3212" i="1"/>
  <c r="AH3212" i="1"/>
  <c r="AG3212" i="1"/>
  <c r="AL3212" i="1"/>
  <c r="AJ3212" i="1"/>
  <c r="AF3212" i="1"/>
  <c r="AE3212" i="1"/>
  <c r="AD3212" i="1"/>
  <c r="AC3212" i="1"/>
  <c r="AI3211" i="1"/>
  <c r="AH3211" i="1"/>
  <c r="AG3211" i="1"/>
  <c r="AL3211" i="1"/>
  <c r="AJ3211" i="1"/>
  <c r="AD3211" i="1"/>
  <c r="AE3211" i="1"/>
  <c r="AC3211" i="1"/>
  <c r="AF3211" i="1"/>
  <c r="AI3210" i="1"/>
  <c r="AG3210" i="1"/>
  <c r="AH3210" i="1"/>
  <c r="AL3210" i="1"/>
  <c r="AJ3210" i="1"/>
  <c r="AC3210" i="1"/>
  <c r="AD3210" i="1"/>
  <c r="AE3210" i="1"/>
  <c r="AF3210" i="1"/>
  <c r="AG3209" i="1"/>
  <c r="AH3209" i="1"/>
  <c r="AI3209" i="1"/>
  <c r="AC3209" i="1"/>
  <c r="AD3209" i="1"/>
  <c r="AE3209" i="1"/>
  <c r="AL3209" i="1"/>
  <c r="AF3209" i="1"/>
  <c r="AJ3209" i="1"/>
  <c r="AG3208" i="1"/>
  <c r="AI3208" i="1"/>
  <c r="AH3208" i="1"/>
  <c r="AF3208" i="1"/>
  <c r="AE3208" i="1"/>
  <c r="AD3208" i="1"/>
  <c r="AL3208" i="1"/>
  <c r="AJ3208" i="1"/>
  <c r="AM3208" i="1" s="1"/>
  <c r="AC3208" i="1"/>
  <c r="AI3207" i="1"/>
  <c r="AH3207" i="1"/>
  <c r="AG3207" i="1"/>
  <c r="AL3207" i="1"/>
  <c r="AC3207" i="1"/>
  <c r="AD3207" i="1"/>
  <c r="AE3207" i="1"/>
  <c r="AF3207" i="1"/>
  <c r="AJ3207" i="1"/>
  <c r="AM3207" i="1" s="1"/>
  <c r="AG3206" i="1"/>
  <c r="AH3206" i="1"/>
  <c r="AI3206" i="1"/>
  <c r="AJ3206" i="1"/>
  <c r="AL3206" i="1"/>
  <c r="AC3206" i="1"/>
  <c r="AD3206" i="1"/>
  <c r="AE3206" i="1"/>
  <c r="AF3206" i="1"/>
  <c r="AH3205" i="1"/>
  <c r="AG3205" i="1"/>
  <c r="AI3205" i="1"/>
  <c r="AL3205" i="1"/>
  <c r="AD3205" i="1"/>
  <c r="AE3205" i="1"/>
  <c r="AF3205" i="1"/>
  <c r="AJ3205" i="1"/>
  <c r="AC3205" i="1"/>
  <c r="AG3204" i="1"/>
  <c r="AH3204" i="1"/>
  <c r="AI3204" i="1"/>
  <c r="AE3204" i="1"/>
  <c r="AJ3204" i="1"/>
  <c r="AL3204" i="1"/>
  <c r="AD3204" i="1"/>
  <c r="AC3204" i="1"/>
  <c r="AF3204" i="1"/>
  <c r="AG3203" i="1"/>
  <c r="AH3203" i="1"/>
  <c r="AI3203" i="1"/>
  <c r="AD3203" i="1"/>
  <c r="AF3203" i="1"/>
  <c r="AJ3203" i="1"/>
  <c r="AL3203" i="1"/>
  <c r="AC3203" i="1"/>
  <c r="AE3203" i="1"/>
  <c r="AI3202" i="1"/>
  <c r="AG3202" i="1"/>
  <c r="AH3202" i="1"/>
  <c r="AE3202" i="1"/>
  <c r="AF3202" i="1"/>
  <c r="AL3202" i="1"/>
  <c r="AJ3202" i="1"/>
  <c r="AC3202" i="1"/>
  <c r="AD3202" i="1"/>
  <c r="AH3201" i="1"/>
  <c r="AG3201" i="1"/>
  <c r="AI3201" i="1"/>
  <c r="AL3201" i="1"/>
  <c r="AF3201" i="1"/>
  <c r="AJ3201" i="1"/>
  <c r="AC3201" i="1"/>
  <c r="AD3201" i="1"/>
  <c r="AE3201" i="1"/>
  <c r="AG3200" i="1"/>
  <c r="AH3200" i="1"/>
  <c r="AI3200" i="1"/>
  <c r="AD3200" i="1"/>
  <c r="AE3200" i="1"/>
  <c r="AF3200" i="1"/>
  <c r="AC3200" i="1"/>
  <c r="AJ3200" i="1"/>
  <c r="AL3200" i="1"/>
  <c r="AG3199" i="1"/>
  <c r="AH3199" i="1"/>
  <c r="AI3199" i="1"/>
  <c r="AD3199" i="1"/>
  <c r="AE3199" i="1"/>
  <c r="AF3199" i="1"/>
  <c r="AJ3199" i="1"/>
  <c r="AL3199" i="1"/>
  <c r="AC3199" i="1"/>
  <c r="AI3198" i="1"/>
  <c r="AH3198" i="1"/>
  <c r="AG3198" i="1"/>
  <c r="AC3198" i="1"/>
  <c r="AL3198" i="1"/>
  <c r="AJ3198" i="1"/>
  <c r="AF3198" i="1"/>
  <c r="AE3198" i="1"/>
  <c r="AD3198" i="1"/>
  <c r="AI3197" i="1"/>
  <c r="AH3197" i="1"/>
  <c r="AG3197" i="1"/>
  <c r="AF3197" i="1"/>
  <c r="AE3197" i="1"/>
  <c r="AJ3197" i="1"/>
  <c r="AD3197" i="1"/>
  <c r="AC3197" i="1"/>
  <c r="AL3197" i="1"/>
  <c r="AH3196" i="1"/>
  <c r="AG3196" i="1"/>
  <c r="AI3196" i="1"/>
  <c r="AF3196" i="1"/>
  <c r="AE3196" i="1"/>
  <c r="AD3196" i="1"/>
  <c r="AC3196" i="1"/>
  <c r="AL3196" i="1"/>
  <c r="AJ3196" i="1"/>
  <c r="AH3195" i="1"/>
  <c r="AG3195" i="1"/>
  <c r="AI3195" i="1"/>
  <c r="AF3195" i="1"/>
  <c r="AJ3195" i="1"/>
  <c r="AD3195" i="1"/>
  <c r="AC3195" i="1"/>
  <c r="AL3195" i="1"/>
  <c r="AE3195" i="1"/>
  <c r="AI3194" i="1"/>
  <c r="AH3194" i="1"/>
  <c r="AG3194" i="1"/>
  <c r="AL3194" i="1"/>
  <c r="AJ3194" i="1"/>
  <c r="AC3194" i="1"/>
  <c r="AD3194" i="1"/>
  <c r="AE3194" i="1"/>
  <c r="AF3194" i="1"/>
  <c r="AI3193" i="1"/>
  <c r="AG3193" i="1"/>
  <c r="AH3193" i="1"/>
  <c r="AL3193" i="1"/>
  <c r="AE3193" i="1"/>
  <c r="AC3193" i="1"/>
  <c r="AD3193" i="1"/>
  <c r="AF3193" i="1"/>
  <c r="AJ3193" i="1"/>
  <c r="AM3193" i="1" s="1"/>
  <c r="AH3192" i="1"/>
  <c r="AI3192" i="1"/>
  <c r="AG3192" i="1"/>
  <c r="AC3192" i="1"/>
  <c r="AJ3192" i="1"/>
  <c r="AF3192" i="1"/>
  <c r="AL3192" i="1"/>
  <c r="AE3192" i="1"/>
  <c r="AD3192" i="1"/>
  <c r="AI3191" i="1"/>
  <c r="AH3191" i="1"/>
  <c r="AG3191" i="1"/>
  <c r="AL3191" i="1"/>
  <c r="AJ3191" i="1"/>
  <c r="AF3191" i="1"/>
  <c r="AE3191" i="1"/>
  <c r="AD3191" i="1"/>
  <c r="AC3191" i="1"/>
  <c r="AI3190" i="1"/>
  <c r="AH3190" i="1"/>
  <c r="AG3190" i="1"/>
  <c r="AL3190" i="1"/>
  <c r="AJ3190" i="1"/>
  <c r="AF3190" i="1"/>
  <c r="AE3190" i="1"/>
  <c r="AD3190" i="1"/>
  <c r="AC3190" i="1"/>
  <c r="AI3189" i="1"/>
  <c r="AH3189" i="1"/>
  <c r="AG3189" i="1"/>
  <c r="AC3189" i="1"/>
  <c r="AD3189" i="1"/>
  <c r="AE3189" i="1"/>
  <c r="AF3189" i="1"/>
  <c r="AL3189" i="1"/>
  <c r="AJ3189" i="1"/>
  <c r="AG3188" i="1"/>
  <c r="AH3188" i="1"/>
  <c r="AI3188" i="1"/>
  <c r="AC3188" i="1"/>
  <c r="AE3188" i="1"/>
  <c r="AF3188" i="1"/>
  <c r="AJ3188" i="1"/>
  <c r="AL3188" i="1"/>
  <c r="AD3188" i="1"/>
  <c r="AG3187" i="1"/>
  <c r="AH3187" i="1"/>
  <c r="AI3187" i="1"/>
  <c r="AD3187" i="1"/>
  <c r="AL3187" i="1"/>
  <c r="AJ3187" i="1"/>
  <c r="AF3187" i="1"/>
  <c r="AC3187" i="1"/>
  <c r="AE3187" i="1"/>
  <c r="AG3186" i="1"/>
  <c r="AH3186" i="1"/>
  <c r="AI3186" i="1"/>
  <c r="AE3186" i="1"/>
  <c r="AD3186" i="1"/>
  <c r="AC3186" i="1"/>
  <c r="AF3186" i="1"/>
  <c r="AJ3186" i="1"/>
  <c r="AL3186" i="1"/>
  <c r="AI3185" i="1"/>
  <c r="AH3185" i="1"/>
  <c r="AG3185" i="1"/>
  <c r="AC3185" i="1"/>
  <c r="AD3185" i="1"/>
  <c r="AE3185" i="1"/>
  <c r="AF3185" i="1"/>
  <c r="AL3185" i="1"/>
  <c r="AJ3185" i="1"/>
  <c r="AG3184" i="1"/>
  <c r="AI3184" i="1"/>
  <c r="AH3184" i="1"/>
  <c r="AF3184" i="1"/>
  <c r="AL3184" i="1"/>
  <c r="AD3184" i="1"/>
  <c r="AC3184" i="1"/>
  <c r="AJ3184" i="1"/>
  <c r="AE3184" i="1"/>
  <c r="AI3183" i="1"/>
  <c r="AG3183" i="1"/>
  <c r="AH3183" i="1"/>
  <c r="AF3183" i="1"/>
  <c r="AE3183" i="1"/>
  <c r="AD3183" i="1"/>
  <c r="AC3183" i="1"/>
  <c r="AJ3183" i="1"/>
  <c r="AL3183" i="1"/>
  <c r="AI3182" i="1"/>
  <c r="AG3182" i="1"/>
  <c r="AH3182" i="1"/>
  <c r="AE3182" i="1"/>
  <c r="AF3182" i="1"/>
  <c r="AL3182" i="1"/>
  <c r="AJ3182" i="1"/>
  <c r="AC3182" i="1"/>
  <c r="AD3182" i="1"/>
  <c r="AG3181" i="1"/>
  <c r="AH3181" i="1"/>
  <c r="AI3181" i="1"/>
  <c r="AC3181" i="1"/>
  <c r="AD3181" i="1"/>
  <c r="AE3181" i="1"/>
  <c r="AF3181" i="1"/>
  <c r="AJ3181" i="1"/>
  <c r="AL3181" i="1"/>
  <c r="AH3180" i="1"/>
  <c r="AI3180" i="1"/>
  <c r="AG3180" i="1"/>
  <c r="AE3180" i="1"/>
  <c r="AD3180" i="1"/>
  <c r="AC3180" i="1"/>
  <c r="AF3180" i="1"/>
  <c r="AJ3180" i="1"/>
  <c r="AL3180" i="1"/>
  <c r="AI3179" i="1"/>
  <c r="AH3179" i="1"/>
  <c r="AG3179" i="1"/>
  <c r="AC3179" i="1"/>
  <c r="AE3179" i="1"/>
  <c r="AD3179" i="1"/>
  <c r="AF3179" i="1"/>
  <c r="AL3179" i="1"/>
  <c r="AJ3179" i="1"/>
  <c r="AI3178" i="1"/>
  <c r="AH3178" i="1"/>
  <c r="AG3178" i="1"/>
  <c r="AE3178" i="1"/>
  <c r="AL3178" i="1"/>
  <c r="AJ3178" i="1"/>
  <c r="AF3178" i="1"/>
  <c r="AD3178" i="1"/>
  <c r="AC3178" i="1"/>
  <c r="AG3177" i="1"/>
  <c r="AH3177" i="1"/>
  <c r="AI3177" i="1"/>
  <c r="AL3177" i="1"/>
  <c r="AJ3177" i="1"/>
  <c r="AF3177" i="1"/>
  <c r="AE3177" i="1"/>
  <c r="AC3177" i="1"/>
  <c r="AD3177" i="1"/>
  <c r="AI3176" i="1"/>
  <c r="AH3176" i="1"/>
  <c r="AG3176" i="1"/>
  <c r="AE3176" i="1"/>
  <c r="AD3176" i="1"/>
  <c r="AC3176" i="1"/>
  <c r="AL3176" i="1"/>
  <c r="AJ3176" i="1"/>
  <c r="AF3176" i="1"/>
  <c r="AI3175" i="1"/>
  <c r="AG3175" i="1"/>
  <c r="AH3175" i="1"/>
  <c r="AJ3175" i="1"/>
  <c r="AL3175" i="1"/>
  <c r="AF3175" i="1"/>
  <c r="AE3175" i="1"/>
  <c r="AD3175" i="1"/>
  <c r="AC3175" i="1"/>
  <c r="AI3174" i="1"/>
  <c r="AH3174" i="1"/>
  <c r="AG3174" i="1"/>
  <c r="AL3174" i="1"/>
  <c r="AJ3174" i="1"/>
  <c r="AF3174" i="1"/>
  <c r="AE3174" i="1"/>
  <c r="AD3174" i="1"/>
  <c r="AC3174" i="1"/>
  <c r="AI3173" i="1"/>
  <c r="AH3173" i="1"/>
  <c r="AG3173" i="1"/>
  <c r="AL3173" i="1"/>
  <c r="AJ3173" i="1"/>
  <c r="AF3173" i="1"/>
  <c r="AE3173" i="1"/>
  <c r="AD3173" i="1"/>
  <c r="AC3173" i="1"/>
  <c r="AI3172" i="1"/>
  <c r="AH3172" i="1"/>
  <c r="AG3172" i="1"/>
  <c r="AC3172" i="1"/>
  <c r="AD3172" i="1"/>
  <c r="AE3172" i="1"/>
  <c r="AF3172" i="1"/>
  <c r="AJ3172" i="1"/>
  <c r="AL3172" i="1"/>
  <c r="AI3171" i="1"/>
  <c r="AH3171" i="1"/>
  <c r="AG3171" i="1"/>
  <c r="AL3171" i="1"/>
  <c r="AJ3171" i="1"/>
  <c r="AE3171" i="1"/>
  <c r="AD3171" i="1"/>
  <c r="AF3171" i="1"/>
  <c r="AC3171" i="1"/>
  <c r="AI3170" i="1"/>
  <c r="AH3170" i="1"/>
  <c r="AG3170" i="1"/>
  <c r="AD3170" i="1"/>
  <c r="AF3170" i="1"/>
  <c r="AJ3170" i="1"/>
  <c r="AL3170" i="1"/>
  <c r="AE3170" i="1"/>
  <c r="AC3170" i="1"/>
  <c r="AG3169" i="1"/>
  <c r="AI3169" i="1"/>
  <c r="AH3169" i="1"/>
  <c r="AF3169" i="1"/>
  <c r="AE3169" i="1"/>
  <c r="AD3169" i="1"/>
  <c r="AC3169" i="1"/>
  <c r="AL3169" i="1"/>
  <c r="AJ3169" i="1"/>
  <c r="AI3168" i="1"/>
  <c r="AH3168" i="1"/>
  <c r="AG3168" i="1"/>
  <c r="AJ3168" i="1"/>
  <c r="AL3168" i="1"/>
  <c r="AC3168" i="1"/>
  <c r="AD3168" i="1"/>
  <c r="AE3168" i="1"/>
  <c r="AF3168" i="1"/>
  <c r="AI3167" i="1"/>
  <c r="AH3167" i="1"/>
  <c r="AG3167" i="1"/>
  <c r="AJ3167" i="1"/>
  <c r="AL3167" i="1"/>
  <c r="AF3167" i="1"/>
  <c r="AD3167" i="1"/>
  <c r="AE3167" i="1"/>
  <c r="AC3167" i="1"/>
  <c r="AI3166" i="1"/>
  <c r="AH3166" i="1"/>
  <c r="AG3166" i="1"/>
  <c r="AC3166" i="1"/>
  <c r="AD3166" i="1"/>
  <c r="AE3166" i="1"/>
  <c r="AF3166" i="1"/>
  <c r="AL3166" i="1"/>
  <c r="AJ3166" i="1"/>
  <c r="AI3165" i="1"/>
  <c r="AH3165" i="1"/>
  <c r="AG3165" i="1"/>
  <c r="AL3165" i="1"/>
  <c r="AJ3165" i="1"/>
  <c r="AF3165" i="1"/>
  <c r="AD3165" i="1"/>
  <c r="AC3165" i="1"/>
  <c r="AE3165" i="1"/>
  <c r="AI3164" i="1"/>
  <c r="AH3164" i="1"/>
  <c r="AG3164" i="1"/>
  <c r="AL3164" i="1"/>
  <c r="AJ3164" i="1"/>
  <c r="AF3164" i="1"/>
  <c r="AE3164" i="1"/>
  <c r="AD3164" i="1"/>
  <c r="AC3164" i="1"/>
  <c r="AI3163" i="1"/>
  <c r="AH3163" i="1"/>
  <c r="AG3163" i="1"/>
  <c r="AL3163" i="1"/>
  <c r="AJ3163" i="1"/>
  <c r="AF3163" i="1"/>
  <c r="AE3163" i="1"/>
  <c r="AD3163" i="1"/>
  <c r="AC3163" i="1"/>
  <c r="AI3162" i="1"/>
  <c r="AH3162" i="1"/>
  <c r="AG3162" i="1"/>
  <c r="AJ3162" i="1"/>
  <c r="AL3162" i="1"/>
  <c r="AF3162" i="1"/>
  <c r="AE3162" i="1"/>
  <c r="AD3162" i="1"/>
  <c r="AC3162" i="1"/>
  <c r="AI3161" i="1"/>
  <c r="AH3161" i="1"/>
  <c r="AG3161" i="1"/>
  <c r="AL3161" i="1"/>
  <c r="AJ3161" i="1"/>
  <c r="AF3161" i="1"/>
  <c r="AE3161" i="1"/>
  <c r="AD3161" i="1"/>
  <c r="AC3161" i="1"/>
  <c r="AI3160" i="1"/>
  <c r="AH3160" i="1"/>
  <c r="AG3160" i="1"/>
  <c r="AJ3160" i="1"/>
  <c r="AL3160" i="1"/>
  <c r="AF3160" i="1"/>
  <c r="AE3160" i="1"/>
  <c r="AD3160" i="1"/>
  <c r="AC3160" i="1"/>
  <c r="AI3159" i="1"/>
  <c r="AH3159" i="1"/>
  <c r="AG3159" i="1"/>
  <c r="AL3159" i="1"/>
  <c r="AJ3159" i="1"/>
  <c r="AF3159" i="1"/>
  <c r="AE3159" i="1"/>
  <c r="AD3159" i="1"/>
  <c r="AC3159" i="1"/>
  <c r="AI3158" i="1"/>
  <c r="AH3158" i="1"/>
  <c r="AG3158" i="1"/>
  <c r="AL3158" i="1"/>
  <c r="AJ3158" i="1"/>
  <c r="AF3158" i="1"/>
  <c r="AE3158" i="1"/>
  <c r="AD3158" i="1"/>
  <c r="AC3158" i="1"/>
  <c r="AI3157" i="1"/>
  <c r="AH3157" i="1"/>
  <c r="AG3157" i="1"/>
  <c r="AL3157" i="1"/>
  <c r="AJ3157" i="1"/>
  <c r="AF3157" i="1"/>
  <c r="AE3157" i="1"/>
  <c r="AD3157" i="1"/>
  <c r="AC3157" i="1"/>
  <c r="AI3156" i="1"/>
  <c r="AH3156" i="1"/>
  <c r="AG3156" i="1"/>
  <c r="AJ3156" i="1"/>
  <c r="AL3156" i="1"/>
  <c r="AF3156" i="1"/>
  <c r="AE3156" i="1"/>
  <c r="AD3156" i="1"/>
  <c r="AC3156" i="1"/>
  <c r="AH3155" i="1"/>
  <c r="AG3155" i="1"/>
  <c r="AI3155" i="1"/>
  <c r="AF3155" i="1"/>
  <c r="AE3155" i="1"/>
  <c r="AD3155" i="1"/>
  <c r="AC3155" i="1"/>
  <c r="AJ3155" i="1"/>
  <c r="AL3155" i="1"/>
  <c r="AI3154" i="1"/>
  <c r="AH3154" i="1"/>
  <c r="AG3154" i="1"/>
  <c r="AL3154" i="1"/>
  <c r="AJ3154" i="1"/>
  <c r="AF3154" i="1"/>
  <c r="AE3154" i="1"/>
  <c r="AD3154" i="1"/>
  <c r="AC3154" i="1"/>
  <c r="AG3153" i="1"/>
  <c r="AI3153" i="1"/>
  <c r="AH3153" i="1"/>
  <c r="AL3153" i="1"/>
  <c r="AD3153" i="1"/>
  <c r="AC3153" i="1"/>
  <c r="AF3153" i="1"/>
  <c r="AJ3153" i="1"/>
  <c r="AM3153" i="1" s="1"/>
  <c r="AE3153" i="1"/>
  <c r="AI3152" i="1"/>
  <c r="AH3152" i="1"/>
  <c r="AG3152" i="1"/>
  <c r="AL3152" i="1"/>
  <c r="AJ3152" i="1"/>
  <c r="AD3152" i="1"/>
  <c r="AC3152" i="1"/>
  <c r="AF3152" i="1"/>
  <c r="AE3152" i="1"/>
  <c r="AI3151" i="1"/>
  <c r="AH3151" i="1"/>
  <c r="AG3151" i="1"/>
  <c r="AD3151" i="1"/>
  <c r="AC3151" i="1"/>
  <c r="AJ3151" i="1"/>
  <c r="AL3151" i="1"/>
  <c r="AF3151" i="1"/>
  <c r="AE3151" i="1"/>
  <c r="AG3150" i="1"/>
  <c r="AI3150" i="1"/>
  <c r="AH3150" i="1"/>
  <c r="AF3150" i="1"/>
  <c r="AL3150" i="1"/>
  <c r="AD3150" i="1"/>
  <c r="AC3150" i="1"/>
  <c r="AE3150" i="1"/>
  <c r="AJ3150" i="1"/>
  <c r="AI3149" i="1"/>
  <c r="AH3149" i="1"/>
  <c r="AG3149" i="1"/>
  <c r="AL3149" i="1"/>
  <c r="AJ3149" i="1"/>
  <c r="AF3149" i="1"/>
  <c r="AE3149" i="1"/>
  <c r="AC3149" i="1"/>
  <c r="AD3149" i="1"/>
  <c r="AI3148" i="1"/>
  <c r="AH3148" i="1"/>
  <c r="AG3148" i="1"/>
  <c r="AE3148" i="1"/>
  <c r="AJ3148" i="1"/>
  <c r="AL3148" i="1"/>
  <c r="AF3148" i="1"/>
  <c r="AC3148" i="1"/>
  <c r="AD3148" i="1"/>
  <c r="AH3147" i="1"/>
  <c r="AI3147" i="1"/>
  <c r="AG3147" i="1"/>
  <c r="AL3147" i="1"/>
  <c r="AJ3147" i="1"/>
  <c r="AC3147" i="1"/>
  <c r="AD3147" i="1"/>
  <c r="AE3147" i="1"/>
  <c r="AF3147" i="1"/>
  <c r="AI3146" i="1"/>
  <c r="AH3146" i="1"/>
  <c r="AG3146" i="1"/>
  <c r="AF3146" i="1"/>
  <c r="AD3146" i="1"/>
  <c r="AC3146" i="1"/>
  <c r="AE3146" i="1"/>
  <c r="AL3146" i="1"/>
  <c r="AJ3146" i="1"/>
  <c r="AI3145" i="1"/>
  <c r="AH3145" i="1"/>
  <c r="AG3145" i="1"/>
  <c r="AF3145" i="1"/>
  <c r="AE3145" i="1"/>
  <c r="AD3145" i="1"/>
  <c r="AC3145" i="1"/>
  <c r="AJ3145" i="1"/>
  <c r="AL3145" i="1"/>
  <c r="AI3144" i="1"/>
  <c r="AH3144" i="1"/>
  <c r="AG3144" i="1"/>
  <c r="AC3144" i="1"/>
  <c r="AF3144" i="1"/>
  <c r="AE3144" i="1"/>
  <c r="AD3144" i="1"/>
  <c r="AL3144" i="1"/>
  <c r="AJ3144" i="1"/>
  <c r="AH3143" i="1"/>
  <c r="AG3143" i="1"/>
  <c r="AI3143" i="1"/>
  <c r="AJ3143" i="1"/>
  <c r="AF3143" i="1"/>
  <c r="AE3143" i="1"/>
  <c r="AD3143" i="1"/>
  <c r="AC3143" i="1"/>
  <c r="AL3143" i="1"/>
  <c r="AG3142" i="1"/>
  <c r="AI3142" i="1"/>
  <c r="AH3142" i="1"/>
  <c r="AD3142" i="1"/>
  <c r="AC3142" i="1"/>
  <c r="AL3142" i="1"/>
  <c r="AJ3142" i="1"/>
  <c r="AF3142" i="1"/>
  <c r="AE3142" i="1"/>
  <c r="AI3141" i="1"/>
  <c r="AH3141" i="1"/>
  <c r="AG3141" i="1"/>
  <c r="AL3141" i="1"/>
  <c r="AJ3141" i="1"/>
  <c r="AF3141" i="1"/>
  <c r="AE3141" i="1"/>
  <c r="AD3141" i="1"/>
  <c r="AC3141" i="1"/>
  <c r="AG3140" i="1"/>
  <c r="AI3140" i="1"/>
  <c r="AH3140" i="1"/>
  <c r="AL3140" i="1"/>
  <c r="AJ3140" i="1"/>
  <c r="AM3140" i="1" s="1"/>
  <c r="AE3140" i="1"/>
  <c r="AD3140" i="1"/>
  <c r="AC3140" i="1"/>
  <c r="AF3140" i="1"/>
  <c r="AI3139" i="1"/>
  <c r="AH3139" i="1"/>
  <c r="AG3139" i="1"/>
  <c r="AE3139" i="1"/>
  <c r="AD3139" i="1"/>
  <c r="AC3139" i="1"/>
  <c r="AL3139" i="1"/>
  <c r="AJ3139" i="1"/>
  <c r="AF3139" i="1"/>
  <c r="AG3138" i="1"/>
  <c r="AH3138" i="1"/>
  <c r="AI3138" i="1"/>
  <c r="AE3138" i="1"/>
  <c r="AD3138" i="1"/>
  <c r="AC3138" i="1"/>
  <c r="AF3138" i="1"/>
  <c r="AJ3138" i="1"/>
  <c r="AL3138" i="1"/>
  <c r="AI3137" i="1"/>
  <c r="AG3137" i="1"/>
  <c r="AH3137" i="1"/>
  <c r="AC3137" i="1"/>
  <c r="AL3137" i="1"/>
  <c r="AD3137" i="1"/>
  <c r="AE3137" i="1"/>
  <c r="AF3137" i="1"/>
  <c r="AJ3137" i="1"/>
  <c r="AG3136" i="1"/>
  <c r="AH3136" i="1"/>
  <c r="AI3136" i="1"/>
  <c r="AD3136" i="1"/>
  <c r="AE3136" i="1"/>
  <c r="AF3136" i="1"/>
  <c r="AJ3136" i="1"/>
  <c r="AL3136" i="1"/>
  <c r="AC3136" i="1"/>
  <c r="AG3135" i="1"/>
  <c r="AH3135" i="1"/>
  <c r="AI3135" i="1"/>
  <c r="AE3135" i="1"/>
  <c r="AF3135" i="1"/>
  <c r="AL3135" i="1"/>
  <c r="AJ3135" i="1"/>
  <c r="AM3135" i="1" s="1"/>
  <c r="AD3135" i="1"/>
  <c r="AC3135" i="1"/>
  <c r="AI3134" i="1"/>
  <c r="AH3134" i="1"/>
  <c r="AG3134" i="1"/>
  <c r="AL3134" i="1"/>
  <c r="AJ3134" i="1"/>
  <c r="AM3134" i="1" s="1"/>
  <c r="AC3134" i="1"/>
  <c r="AD3134" i="1"/>
  <c r="AE3134" i="1"/>
  <c r="AF3134" i="1"/>
  <c r="AI3133" i="1"/>
  <c r="AG3133" i="1"/>
  <c r="AH3133" i="1"/>
  <c r="AC3133" i="1"/>
  <c r="AE3133" i="1"/>
  <c r="AF3133" i="1"/>
  <c r="AJ3133" i="1"/>
  <c r="AD3133" i="1"/>
  <c r="AL3133" i="1"/>
  <c r="AI3132" i="1"/>
  <c r="AH3132" i="1"/>
  <c r="AG3132" i="1"/>
  <c r="AC3132" i="1"/>
  <c r="AD3132" i="1"/>
  <c r="AJ3132" i="1"/>
  <c r="AL3132" i="1"/>
  <c r="AF3132" i="1"/>
  <c r="AE3132" i="1"/>
  <c r="AG3131" i="1"/>
  <c r="AH3131" i="1"/>
  <c r="AI3131" i="1"/>
  <c r="AJ3131" i="1"/>
  <c r="AL3131" i="1"/>
  <c r="AC3131" i="1"/>
  <c r="AD3131" i="1"/>
  <c r="AE3131" i="1"/>
  <c r="AF3131" i="1"/>
  <c r="AG3130" i="1"/>
  <c r="AH3130" i="1"/>
  <c r="AI3130" i="1"/>
  <c r="AC3130" i="1"/>
  <c r="AD3130" i="1"/>
  <c r="AE3130" i="1"/>
  <c r="AJ3130" i="1"/>
  <c r="AF3130" i="1"/>
  <c r="AL3130" i="1"/>
  <c r="AI3129" i="1"/>
  <c r="AG3129" i="1"/>
  <c r="AH3129" i="1"/>
  <c r="AF3129" i="1"/>
  <c r="AE3129" i="1"/>
  <c r="AD3129" i="1"/>
  <c r="AC3129" i="1"/>
  <c r="AJ3129" i="1"/>
  <c r="AL3129" i="1"/>
  <c r="AI3128" i="1"/>
  <c r="AG3128" i="1"/>
  <c r="AH3128" i="1"/>
  <c r="AC3128" i="1"/>
  <c r="AD3128" i="1"/>
  <c r="AL3128" i="1"/>
  <c r="AJ3128" i="1"/>
  <c r="AF3128" i="1"/>
  <c r="AE3128" i="1"/>
  <c r="AH3127" i="1"/>
  <c r="AI3127" i="1"/>
  <c r="AG3127" i="1"/>
  <c r="AF3127" i="1"/>
  <c r="AE3127" i="1"/>
  <c r="AD3127" i="1"/>
  <c r="AC3127" i="1"/>
  <c r="AJ3127" i="1"/>
  <c r="AL3127" i="1"/>
  <c r="AI3126" i="1"/>
  <c r="AH3126" i="1"/>
  <c r="AG3126" i="1"/>
  <c r="AJ3126" i="1"/>
  <c r="AL3126" i="1"/>
  <c r="AF3126" i="1"/>
  <c r="AE3126" i="1"/>
  <c r="AD3126" i="1"/>
  <c r="AC3126" i="1"/>
  <c r="AG3125" i="1"/>
  <c r="AH3125" i="1"/>
  <c r="AI3125" i="1"/>
  <c r="AJ3125" i="1"/>
  <c r="AL3125" i="1"/>
  <c r="AC3125" i="1"/>
  <c r="AD3125" i="1"/>
  <c r="AE3125" i="1"/>
  <c r="AF3125" i="1"/>
  <c r="AI3124" i="1"/>
  <c r="AH3124" i="1"/>
  <c r="AG3124" i="1"/>
  <c r="AC3124" i="1"/>
  <c r="AL3124" i="1"/>
  <c r="AJ3124" i="1"/>
  <c r="AF3124" i="1"/>
  <c r="AD3124" i="1"/>
  <c r="AE3124" i="1"/>
  <c r="AG3123" i="1"/>
  <c r="AI3123" i="1"/>
  <c r="AH3123" i="1"/>
  <c r="AL3123" i="1"/>
  <c r="AF3123" i="1"/>
  <c r="AJ3123" i="1"/>
  <c r="AC3123" i="1"/>
  <c r="AD3123" i="1"/>
  <c r="AE3123" i="1"/>
  <c r="AH3122" i="1"/>
  <c r="AG3122" i="1"/>
  <c r="AI3122" i="1"/>
  <c r="AF3122" i="1"/>
  <c r="AL3122" i="1"/>
  <c r="AJ3122" i="1"/>
  <c r="AC3122" i="1"/>
  <c r="AD3122" i="1"/>
  <c r="AE3122" i="1"/>
  <c r="AI3121" i="1"/>
  <c r="AH3121" i="1"/>
  <c r="AG3121" i="1"/>
  <c r="AC3121" i="1"/>
  <c r="AD3121" i="1"/>
  <c r="AE3121" i="1"/>
  <c r="AF3121" i="1"/>
  <c r="AL3121" i="1"/>
  <c r="AJ3121" i="1"/>
  <c r="AI3120" i="1"/>
  <c r="AH3120" i="1"/>
  <c r="AG3120" i="1"/>
  <c r="AL3120" i="1"/>
  <c r="AJ3120" i="1"/>
  <c r="AE3120" i="1"/>
  <c r="AD3120" i="1"/>
  <c r="AC3120" i="1"/>
  <c r="AF3120" i="1"/>
  <c r="AI3119" i="1"/>
  <c r="AH3119" i="1"/>
  <c r="AG3119" i="1"/>
  <c r="AL3119" i="1"/>
  <c r="AJ3119" i="1"/>
  <c r="AF3119" i="1"/>
  <c r="AE3119" i="1"/>
  <c r="AD3119" i="1"/>
  <c r="AC3119" i="1"/>
  <c r="AI3118" i="1"/>
  <c r="AH3118" i="1"/>
  <c r="AG3118" i="1"/>
  <c r="AL3118" i="1"/>
  <c r="AJ3118" i="1"/>
  <c r="AF3118" i="1"/>
  <c r="AE3118" i="1"/>
  <c r="AD3118" i="1"/>
  <c r="AC3118" i="1"/>
  <c r="AG3117" i="1"/>
  <c r="AH3117" i="1"/>
  <c r="AI3117" i="1"/>
  <c r="AL3117" i="1"/>
  <c r="AJ3117" i="1"/>
  <c r="AC3117" i="1"/>
  <c r="AF3117" i="1"/>
  <c r="AE3117" i="1"/>
  <c r="AD3117" i="1"/>
  <c r="AI3116" i="1"/>
  <c r="AH3116" i="1"/>
  <c r="AG3116" i="1"/>
  <c r="AE3116" i="1"/>
  <c r="AD3116" i="1"/>
  <c r="AC3116" i="1"/>
  <c r="AL3116" i="1"/>
  <c r="AJ3116" i="1"/>
  <c r="AF3116" i="1"/>
  <c r="AI3115" i="1"/>
  <c r="AG3115" i="1"/>
  <c r="AH3115" i="1"/>
  <c r="AL3115" i="1"/>
  <c r="AJ3115" i="1"/>
  <c r="AE3115" i="1"/>
  <c r="AD3115" i="1"/>
  <c r="AC3115" i="1"/>
  <c r="AF3115" i="1"/>
  <c r="AI3114" i="1"/>
  <c r="AH3114" i="1"/>
  <c r="AG3114" i="1"/>
  <c r="AL3114" i="1"/>
  <c r="AJ3114" i="1"/>
  <c r="AM3114" i="1" s="1"/>
  <c r="AF3114" i="1"/>
  <c r="AE3114" i="1"/>
  <c r="AD3114" i="1"/>
  <c r="AC3114" i="1"/>
  <c r="AH3113" i="1"/>
  <c r="AI3113" i="1"/>
  <c r="AG3113" i="1"/>
  <c r="AD3113" i="1"/>
  <c r="AF3113" i="1"/>
  <c r="AE3113" i="1"/>
  <c r="AL3113" i="1"/>
  <c r="AJ3113" i="1"/>
  <c r="AC3113" i="1"/>
  <c r="AG3112" i="1"/>
  <c r="AI3112" i="1"/>
  <c r="AH3112" i="1"/>
  <c r="AC3112" i="1"/>
  <c r="AD3112" i="1"/>
  <c r="AE3112" i="1"/>
  <c r="AF3112" i="1"/>
  <c r="AL3112" i="1"/>
  <c r="AJ3112" i="1"/>
  <c r="AH3111" i="1"/>
  <c r="AI3111" i="1"/>
  <c r="AG3111" i="1"/>
  <c r="AF3111" i="1"/>
  <c r="AJ3111" i="1"/>
  <c r="AL3111" i="1"/>
  <c r="AE3111" i="1"/>
  <c r="AC3111" i="1"/>
  <c r="AD3111" i="1"/>
  <c r="AG3110" i="1"/>
  <c r="AH3110" i="1"/>
  <c r="AI3110" i="1"/>
  <c r="AC3110" i="1"/>
  <c r="AD3110" i="1"/>
  <c r="AE3110" i="1"/>
  <c r="AF3110" i="1"/>
  <c r="AJ3110" i="1"/>
  <c r="AL3110" i="1"/>
  <c r="AH3109" i="1"/>
  <c r="AI3109" i="1"/>
  <c r="AG3109" i="1"/>
  <c r="AD3109" i="1"/>
  <c r="AC3109" i="1"/>
  <c r="AF3109" i="1"/>
  <c r="AJ3109" i="1"/>
  <c r="AL3109" i="1"/>
  <c r="AE3109" i="1"/>
  <c r="AI3108" i="1"/>
  <c r="AH3108" i="1"/>
  <c r="AG3108" i="1"/>
  <c r="AL3108" i="1"/>
  <c r="AJ3108" i="1"/>
  <c r="AF3108" i="1"/>
  <c r="AE3108" i="1"/>
  <c r="AD3108" i="1"/>
  <c r="AC3108" i="1"/>
  <c r="AI3107" i="1"/>
  <c r="AH3107" i="1"/>
  <c r="AG3107" i="1"/>
  <c r="AJ3107" i="1"/>
  <c r="AC3107" i="1"/>
  <c r="AD3107" i="1"/>
  <c r="AE3107" i="1"/>
  <c r="AF3107" i="1"/>
  <c r="AL3107" i="1"/>
  <c r="AG3106" i="1"/>
  <c r="AH3106" i="1"/>
  <c r="AI3106" i="1"/>
  <c r="AL3106" i="1"/>
  <c r="AE3106" i="1"/>
  <c r="AC3106" i="1"/>
  <c r="AD3106" i="1"/>
  <c r="AF3106" i="1"/>
  <c r="AJ3106" i="1"/>
  <c r="AH3105" i="1"/>
  <c r="AG3105" i="1"/>
  <c r="AI3105" i="1"/>
  <c r="AE3105" i="1"/>
  <c r="AD3105" i="1"/>
  <c r="AC3105" i="1"/>
  <c r="AF3105" i="1"/>
  <c r="AJ3105" i="1"/>
  <c r="AL3105" i="1"/>
  <c r="AI3104" i="1"/>
  <c r="AH3104" i="1"/>
  <c r="AG3104" i="1"/>
  <c r="AD3104" i="1"/>
  <c r="AJ3104" i="1"/>
  <c r="AE3104" i="1"/>
  <c r="AL3104" i="1"/>
  <c r="AF3104" i="1"/>
  <c r="AC3104" i="1"/>
  <c r="AI3103" i="1"/>
  <c r="AH3103" i="1"/>
  <c r="AG3103" i="1"/>
  <c r="AE3103" i="1"/>
  <c r="AD3103" i="1"/>
  <c r="AC3103" i="1"/>
  <c r="AJ3103" i="1"/>
  <c r="AF3103" i="1"/>
  <c r="AL3103" i="1"/>
  <c r="AI3102" i="1"/>
  <c r="AH3102" i="1"/>
  <c r="AG3102" i="1"/>
  <c r="AJ3102" i="1"/>
  <c r="AD3102" i="1"/>
  <c r="AL3102" i="1"/>
  <c r="AF3102" i="1"/>
  <c r="AE3102" i="1"/>
  <c r="AC3102" i="1"/>
  <c r="AI3101" i="1"/>
  <c r="AH3101" i="1"/>
  <c r="AG3101" i="1"/>
  <c r="AL3101" i="1"/>
  <c r="AJ3101" i="1"/>
  <c r="AF3101" i="1"/>
  <c r="AE3101" i="1"/>
  <c r="AD3101" i="1"/>
  <c r="AC3101" i="1"/>
  <c r="AG3100" i="1"/>
  <c r="AI3100" i="1"/>
  <c r="AH3100" i="1"/>
  <c r="AL3100" i="1"/>
  <c r="AJ3100" i="1"/>
  <c r="AF3100" i="1"/>
  <c r="AD3100" i="1"/>
  <c r="AC3100" i="1"/>
  <c r="AE3100" i="1"/>
  <c r="AI3099" i="1"/>
  <c r="AG3099" i="1"/>
  <c r="AH3099" i="1"/>
  <c r="AL3099" i="1"/>
  <c r="AJ3099" i="1"/>
  <c r="AE3099" i="1"/>
  <c r="AD3099" i="1"/>
  <c r="AC3099" i="1"/>
  <c r="AF3099" i="1"/>
  <c r="AH3098" i="1"/>
  <c r="AG3098" i="1"/>
  <c r="AI3098" i="1"/>
  <c r="AC3098" i="1"/>
  <c r="AD3098" i="1"/>
  <c r="AE3098" i="1"/>
  <c r="AF3098" i="1"/>
  <c r="AJ3098" i="1"/>
  <c r="AL3098" i="1"/>
  <c r="AI3097" i="1"/>
  <c r="AG3097" i="1"/>
  <c r="AH3097" i="1"/>
  <c r="AD3097" i="1"/>
  <c r="AE3097" i="1"/>
  <c r="AF3097" i="1"/>
  <c r="AC3097" i="1"/>
  <c r="AJ3097" i="1"/>
  <c r="AL3097" i="1"/>
  <c r="AI3096" i="1"/>
  <c r="AH3096" i="1"/>
  <c r="AG3096" i="1"/>
  <c r="AD3096" i="1"/>
  <c r="AC3096" i="1"/>
  <c r="AJ3096" i="1"/>
  <c r="AE3096" i="1"/>
  <c r="AF3096" i="1"/>
  <c r="AL3096" i="1"/>
  <c r="AI3095" i="1"/>
  <c r="AH3095" i="1"/>
  <c r="AG3095" i="1"/>
  <c r="AL3095" i="1"/>
  <c r="AJ3095" i="1"/>
  <c r="AC3095" i="1"/>
  <c r="AF3095" i="1"/>
  <c r="AE3095" i="1"/>
  <c r="AD3095" i="1"/>
  <c r="AI3094" i="1"/>
  <c r="AG3094" i="1"/>
  <c r="AH3094" i="1"/>
  <c r="AC3094" i="1"/>
  <c r="AF3094" i="1"/>
  <c r="AE3094" i="1"/>
  <c r="AD3094" i="1"/>
  <c r="AL3094" i="1"/>
  <c r="AJ3094" i="1"/>
  <c r="AI3093" i="1"/>
  <c r="AG3093" i="1"/>
  <c r="AH3093" i="1"/>
  <c r="AD3093" i="1"/>
  <c r="AE3093" i="1"/>
  <c r="AC3093" i="1"/>
  <c r="AJ3093" i="1"/>
  <c r="AL3093" i="1"/>
  <c r="AF3093" i="1"/>
  <c r="AI3092" i="1"/>
  <c r="AH3092" i="1"/>
  <c r="AG3092" i="1"/>
  <c r="AD3092" i="1"/>
  <c r="AE3092" i="1"/>
  <c r="AF3092" i="1"/>
  <c r="AJ3092" i="1"/>
  <c r="AL3092" i="1"/>
  <c r="AC3092" i="1"/>
  <c r="AI3091" i="1"/>
  <c r="AG3091" i="1"/>
  <c r="AH3091" i="1"/>
  <c r="AD3091" i="1"/>
  <c r="AC3091" i="1"/>
  <c r="AL3091" i="1"/>
  <c r="AJ3091" i="1"/>
  <c r="AF3091" i="1"/>
  <c r="AE3091" i="1"/>
  <c r="AI3090" i="1"/>
  <c r="AH3090" i="1"/>
  <c r="AG3090" i="1"/>
  <c r="AL3090" i="1"/>
  <c r="AJ3090" i="1"/>
  <c r="AE3090" i="1"/>
  <c r="AD3090" i="1"/>
  <c r="AC3090" i="1"/>
  <c r="AF3090" i="1"/>
  <c r="AG3089" i="1"/>
  <c r="AI3089" i="1"/>
  <c r="AH3089" i="1"/>
  <c r="AL3089" i="1"/>
  <c r="AJ3089" i="1"/>
  <c r="AE3089" i="1"/>
  <c r="AD3089" i="1"/>
  <c r="AC3089" i="1"/>
  <c r="AF3089" i="1"/>
  <c r="AI3088" i="1"/>
  <c r="AH3088" i="1"/>
  <c r="AG3088" i="1"/>
  <c r="AL3088" i="1"/>
  <c r="AJ3088" i="1"/>
  <c r="AF3088" i="1"/>
  <c r="AE3088" i="1"/>
  <c r="AD3088" i="1"/>
  <c r="AC3088" i="1"/>
  <c r="AI3087" i="1"/>
  <c r="AH3087" i="1"/>
  <c r="AG3087" i="1"/>
  <c r="AL3087" i="1"/>
  <c r="AJ3087" i="1"/>
  <c r="AF3087" i="1"/>
  <c r="AE3087" i="1"/>
  <c r="AD3087" i="1"/>
  <c r="AC3087" i="1"/>
  <c r="AH3086" i="1"/>
  <c r="AG3086" i="1"/>
  <c r="AI3086" i="1"/>
  <c r="AL3086" i="1"/>
  <c r="AJ3086" i="1"/>
  <c r="AF3086" i="1"/>
  <c r="AE3086" i="1"/>
  <c r="AD3086" i="1"/>
  <c r="AC3086" i="1"/>
  <c r="AI3085" i="1"/>
  <c r="AH3085" i="1"/>
  <c r="AG3085" i="1"/>
  <c r="AL3085" i="1"/>
  <c r="AJ3085" i="1"/>
  <c r="AF3085" i="1"/>
  <c r="AE3085" i="1"/>
  <c r="AD3085" i="1"/>
  <c r="AC3085" i="1"/>
  <c r="AI3084" i="1"/>
  <c r="AH3084" i="1"/>
  <c r="AG3084" i="1"/>
  <c r="AL3084" i="1"/>
  <c r="AJ3084" i="1"/>
  <c r="AF3084" i="1"/>
  <c r="AE3084" i="1"/>
  <c r="AD3084" i="1"/>
  <c r="AC3084" i="1"/>
  <c r="AI3083" i="1"/>
  <c r="AH3083" i="1"/>
  <c r="AG3083" i="1"/>
  <c r="AJ3083" i="1"/>
  <c r="AE3083" i="1"/>
  <c r="AL3083" i="1"/>
  <c r="AF3083" i="1"/>
  <c r="AD3083" i="1"/>
  <c r="AC3083" i="1"/>
  <c r="AI3082" i="1"/>
  <c r="AH3082" i="1"/>
  <c r="AG3082" i="1"/>
  <c r="AL3082" i="1"/>
  <c r="AJ3082" i="1"/>
  <c r="AF3082" i="1"/>
  <c r="AE3082" i="1"/>
  <c r="AD3082" i="1"/>
  <c r="AC3082" i="1"/>
  <c r="AH3081" i="1"/>
  <c r="AG3081" i="1"/>
  <c r="AI3081" i="1"/>
  <c r="AC3081" i="1"/>
  <c r="AD3081" i="1"/>
  <c r="AE3081" i="1"/>
  <c r="AF3081" i="1"/>
  <c r="AL3081" i="1"/>
  <c r="AJ3081" i="1"/>
  <c r="AI3080" i="1"/>
  <c r="AH3080" i="1"/>
  <c r="AG3080" i="1"/>
  <c r="AJ3080" i="1"/>
  <c r="AL3080" i="1"/>
  <c r="AF3080" i="1"/>
  <c r="AE3080" i="1"/>
  <c r="AD3080" i="1"/>
  <c r="AC3080" i="1"/>
  <c r="AH3079" i="1"/>
  <c r="AI3079" i="1"/>
  <c r="AG3079" i="1"/>
  <c r="AL3079" i="1"/>
  <c r="AJ3079" i="1"/>
  <c r="AF3079" i="1"/>
  <c r="AE3079" i="1"/>
  <c r="AD3079" i="1"/>
  <c r="AC3079" i="1"/>
  <c r="AG3078" i="1"/>
  <c r="AH3078" i="1"/>
  <c r="AI3078" i="1"/>
  <c r="AE3078" i="1"/>
  <c r="AJ3078" i="1"/>
  <c r="AL3078" i="1"/>
  <c r="AC3078" i="1"/>
  <c r="AF3078" i="1"/>
  <c r="AD3078" i="1"/>
  <c r="AH3077" i="1"/>
  <c r="AI3077" i="1"/>
  <c r="AG3077" i="1"/>
  <c r="AF3077" i="1"/>
  <c r="AL3077" i="1"/>
  <c r="AC3077" i="1"/>
  <c r="AE3077" i="1"/>
  <c r="AJ3077" i="1"/>
  <c r="AD3077" i="1"/>
  <c r="AI3076" i="1"/>
  <c r="AH3076" i="1"/>
  <c r="AG3076" i="1"/>
  <c r="AL3076" i="1"/>
  <c r="AJ3076" i="1"/>
  <c r="AF3076" i="1"/>
  <c r="AE3076" i="1"/>
  <c r="AD3076" i="1"/>
  <c r="AC3076" i="1"/>
  <c r="AI3075" i="1"/>
  <c r="AH3075" i="1"/>
  <c r="AG3075" i="1"/>
  <c r="AD3075" i="1"/>
  <c r="AC3075" i="1"/>
  <c r="AE3075" i="1"/>
  <c r="AL3075" i="1"/>
  <c r="AJ3075" i="1"/>
  <c r="AF3075" i="1"/>
  <c r="AI3074" i="1"/>
  <c r="AH3074" i="1"/>
  <c r="AG3074" i="1"/>
  <c r="AF3074" i="1"/>
  <c r="AE3074" i="1"/>
  <c r="AC3074" i="1"/>
  <c r="AD3074" i="1"/>
  <c r="AL3074" i="1"/>
  <c r="AJ3074" i="1"/>
  <c r="AG3073" i="1"/>
  <c r="AH3073" i="1"/>
  <c r="AI3073" i="1"/>
  <c r="AC3073" i="1"/>
  <c r="AD3073" i="1"/>
  <c r="AE3073" i="1"/>
  <c r="AL3073" i="1"/>
  <c r="AF3073" i="1"/>
  <c r="AJ3073" i="1"/>
  <c r="AG3072" i="1"/>
  <c r="AH3072" i="1"/>
  <c r="AI3072" i="1"/>
  <c r="AC3072" i="1"/>
  <c r="AD3072" i="1"/>
  <c r="AE3072" i="1"/>
  <c r="AJ3072" i="1"/>
  <c r="AL3072" i="1"/>
  <c r="AF3072" i="1"/>
  <c r="AI3071" i="1"/>
  <c r="AG3071" i="1"/>
  <c r="AH3071" i="1"/>
  <c r="AD3071" i="1"/>
  <c r="AE3071" i="1"/>
  <c r="AF3071" i="1"/>
  <c r="AJ3071" i="1"/>
  <c r="AL3071" i="1"/>
  <c r="AC3071" i="1"/>
  <c r="AI3070" i="1"/>
  <c r="AH3070" i="1"/>
  <c r="AG3070" i="1"/>
  <c r="AJ3070" i="1"/>
  <c r="AL3070" i="1"/>
  <c r="AC3070" i="1"/>
  <c r="AD3070" i="1"/>
  <c r="AE3070" i="1"/>
  <c r="AF3070" i="1"/>
  <c r="AG3069" i="1"/>
  <c r="AH3069" i="1"/>
  <c r="AI3069" i="1"/>
  <c r="AC3069" i="1"/>
  <c r="AD3069" i="1"/>
  <c r="AE3069" i="1"/>
  <c r="AF3069" i="1"/>
  <c r="AJ3069" i="1"/>
  <c r="AL3069" i="1"/>
  <c r="AI3068" i="1"/>
  <c r="AH3068" i="1"/>
  <c r="AG3068" i="1"/>
  <c r="AL3068" i="1"/>
  <c r="AF3068" i="1"/>
  <c r="AD3068" i="1"/>
  <c r="AC3068" i="1"/>
  <c r="AJ3068" i="1"/>
  <c r="AM3068" i="1" s="1"/>
  <c r="AE3068" i="1"/>
  <c r="AI3067" i="1"/>
  <c r="AH3067" i="1"/>
  <c r="AG3067" i="1"/>
  <c r="AE3067" i="1"/>
  <c r="AF3067" i="1"/>
  <c r="AJ3067" i="1"/>
  <c r="AL3067" i="1"/>
  <c r="AC3067" i="1"/>
  <c r="AD3067" i="1"/>
  <c r="AG3066" i="1"/>
  <c r="AH3066" i="1"/>
  <c r="AI3066" i="1"/>
  <c r="AJ3066" i="1"/>
  <c r="AL3066" i="1"/>
  <c r="AD3066" i="1"/>
  <c r="AE3066" i="1"/>
  <c r="AF3066" i="1"/>
  <c r="AC3066" i="1"/>
  <c r="AI3065" i="1"/>
  <c r="AH3065" i="1"/>
  <c r="AG3065" i="1"/>
  <c r="AC3065" i="1"/>
  <c r="AD3065" i="1"/>
  <c r="AL3065" i="1"/>
  <c r="AJ3065" i="1"/>
  <c r="AF3065" i="1"/>
  <c r="AE3065" i="1"/>
  <c r="AI3064" i="1"/>
  <c r="AG3064" i="1"/>
  <c r="AH3064" i="1"/>
  <c r="AC3064" i="1"/>
  <c r="AL3064" i="1"/>
  <c r="AJ3064" i="1"/>
  <c r="AF3064" i="1"/>
  <c r="AE3064" i="1"/>
  <c r="AD3064" i="1"/>
  <c r="AI3063" i="1"/>
  <c r="AH3063" i="1"/>
  <c r="AG3063" i="1"/>
  <c r="AJ3063" i="1"/>
  <c r="AF3063" i="1"/>
  <c r="AE3063" i="1"/>
  <c r="AC3063" i="1"/>
  <c r="AD3063" i="1"/>
  <c r="AL3063" i="1"/>
  <c r="AG3062" i="1"/>
  <c r="AI3062" i="1"/>
  <c r="AH3062" i="1"/>
  <c r="AF3062" i="1"/>
  <c r="AC3062" i="1"/>
  <c r="AD3062" i="1"/>
  <c r="AE3062" i="1"/>
  <c r="AL3062" i="1"/>
  <c r="AJ3062" i="1"/>
  <c r="AI3061" i="1"/>
  <c r="AH3061" i="1"/>
  <c r="AG3061" i="1"/>
  <c r="AJ3061" i="1"/>
  <c r="AL3061" i="1"/>
  <c r="AE3061" i="1"/>
  <c r="AF3061" i="1"/>
  <c r="AD3061" i="1"/>
  <c r="AC3061" i="1"/>
  <c r="AH3060" i="1"/>
  <c r="AG3060" i="1"/>
  <c r="AI3060" i="1"/>
  <c r="AC3060" i="1"/>
  <c r="AD3060" i="1"/>
  <c r="AE3060" i="1"/>
  <c r="AF3060" i="1"/>
  <c r="AL3060" i="1"/>
  <c r="AJ3060" i="1"/>
  <c r="AG3059" i="1"/>
  <c r="AH3059" i="1"/>
  <c r="AI3059" i="1"/>
  <c r="AD3059" i="1"/>
  <c r="AE3059" i="1"/>
  <c r="AF3059" i="1"/>
  <c r="AJ3059" i="1"/>
  <c r="AL3059" i="1"/>
  <c r="AC3059" i="1"/>
  <c r="AG3058" i="1"/>
  <c r="AH3058" i="1"/>
  <c r="AI3058" i="1"/>
  <c r="AC3058" i="1"/>
  <c r="AL3058" i="1"/>
  <c r="AF3058" i="1"/>
  <c r="AE3058" i="1"/>
  <c r="AJ3058" i="1"/>
  <c r="AD3058" i="1"/>
  <c r="AH3057" i="1"/>
  <c r="AG3057" i="1"/>
  <c r="AI3057" i="1"/>
  <c r="AF3057" i="1"/>
  <c r="AE3057" i="1"/>
  <c r="AD3057" i="1"/>
  <c r="AC3057" i="1"/>
  <c r="AL3057" i="1"/>
  <c r="AJ3057" i="1"/>
  <c r="AG3056" i="1"/>
  <c r="AH3056" i="1"/>
  <c r="AI3056" i="1"/>
  <c r="AL3056" i="1"/>
  <c r="AJ3056" i="1"/>
  <c r="AF3056" i="1"/>
  <c r="AE3056" i="1"/>
  <c r="AD3056" i="1"/>
  <c r="AC3056" i="1"/>
  <c r="AG3055" i="1"/>
  <c r="AI3055" i="1"/>
  <c r="AH3055" i="1"/>
  <c r="AE3055" i="1"/>
  <c r="AD3055" i="1"/>
  <c r="AC3055" i="1"/>
  <c r="AF3055" i="1"/>
  <c r="AL3055" i="1"/>
  <c r="AJ3055" i="1"/>
  <c r="AH3054" i="1"/>
  <c r="AG3054" i="1"/>
  <c r="AI3054" i="1"/>
  <c r="AL3054" i="1"/>
  <c r="AJ3054" i="1"/>
  <c r="AF3054" i="1"/>
  <c r="AC3054" i="1"/>
  <c r="AE3054" i="1"/>
  <c r="AD3054" i="1"/>
  <c r="AG3053" i="1"/>
  <c r="AH3053" i="1"/>
  <c r="AI3053" i="1"/>
  <c r="AC3053" i="1"/>
  <c r="AD3053" i="1"/>
  <c r="AE3053" i="1"/>
  <c r="AF3053" i="1"/>
  <c r="AJ3053" i="1"/>
  <c r="AL3053" i="1"/>
  <c r="AI3052" i="1"/>
  <c r="AH3052" i="1"/>
  <c r="AG3052" i="1"/>
  <c r="AL3052" i="1"/>
  <c r="AJ3052" i="1"/>
  <c r="AM3052" i="1" s="1"/>
  <c r="AF3052" i="1"/>
  <c r="AE3052" i="1"/>
  <c r="AD3052" i="1"/>
  <c r="AC3052" i="1"/>
  <c r="AH3051" i="1"/>
  <c r="AG3051" i="1"/>
  <c r="AI3051" i="1"/>
  <c r="AC3051" i="1"/>
  <c r="AL3051" i="1"/>
  <c r="AJ3051" i="1"/>
  <c r="AE3051" i="1"/>
  <c r="AF3051" i="1"/>
  <c r="AD3051" i="1"/>
  <c r="AI3050" i="1"/>
  <c r="AH3050" i="1"/>
  <c r="AG3050" i="1"/>
  <c r="AL3050" i="1"/>
  <c r="AJ3050" i="1"/>
  <c r="AF3050" i="1"/>
  <c r="AE3050" i="1"/>
  <c r="AD3050" i="1"/>
  <c r="AC3050" i="1"/>
  <c r="AG3049" i="1"/>
  <c r="AH3049" i="1"/>
  <c r="AI3049" i="1"/>
  <c r="AF3049" i="1"/>
  <c r="AE3049" i="1"/>
  <c r="AD3049" i="1"/>
  <c r="AC3049" i="1"/>
  <c r="AL3049" i="1"/>
  <c r="AJ3049" i="1"/>
  <c r="AI3048" i="1"/>
  <c r="AH3048" i="1"/>
  <c r="AG3048" i="1"/>
  <c r="AL3048" i="1"/>
  <c r="AC3048" i="1"/>
  <c r="AD3048" i="1"/>
  <c r="AE3048" i="1"/>
  <c r="AF3048" i="1"/>
  <c r="AJ3048" i="1"/>
  <c r="AM3048" i="1" s="1"/>
  <c r="AH3047" i="1"/>
  <c r="AG3047" i="1"/>
  <c r="AI3047" i="1"/>
  <c r="AE3047" i="1"/>
  <c r="AJ3047" i="1"/>
  <c r="AF3047" i="1"/>
  <c r="AD3047" i="1"/>
  <c r="AC3047" i="1"/>
  <c r="AL3047" i="1"/>
  <c r="AH3046" i="1"/>
  <c r="AG3046" i="1"/>
  <c r="AI3046" i="1"/>
  <c r="AE3046" i="1"/>
  <c r="AD3046" i="1"/>
  <c r="AC3046" i="1"/>
  <c r="AL3046" i="1"/>
  <c r="AJ3046" i="1"/>
  <c r="AF3046" i="1"/>
  <c r="AI3045" i="1"/>
  <c r="AH3045" i="1"/>
  <c r="AG3045" i="1"/>
  <c r="AL3045" i="1"/>
  <c r="AJ3045" i="1"/>
  <c r="AF3045" i="1"/>
  <c r="AE3045" i="1"/>
  <c r="AD3045" i="1"/>
  <c r="AC3045" i="1"/>
  <c r="AI3044" i="1"/>
  <c r="AH3044" i="1"/>
  <c r="AG3044" i="1"/>
  <c r="AC3044" i="1"/>
  <c r="AL3044" i="1"/>
  <c r="AJ3044" i="1"/>
  <c r="AF3044" i="1"/>
  <c r="AE3044" i="1"/>
  <c r="AD3044" i="1"/>
  <c r="AI3043" i="1"/>
  <c r="AH3043" i="1"/>
  <c r="AG3043" i="1"/>
  <c r="AF3043" i="1"/>
  <c r="AE3043" i="1"/>
  <c r="AL3043" i="1"/>
  <c r="AJ3043" i="1"/>
  <c r="AC3043" i="1"/>
  <c r="AD3043" i="1"/>
  <c r="AG3042" i="1"/>
  <c r="AI3042" i="1"/>
  <c r="AH3042" i="1"/>
  <c r="AC3042" i="1"/>
  <c r="AJ3042" i="1"/>
  <c r="AL3042" i="1"/>
  <c r="AF3042" i="1"/>
  <c r="AE3042" i="1"/>
  <c r="AD3042" i="1"/>
  <c r="AG3041" i="1"/>
  <c r="AI3041" i="1"/>
  <c r="AH3041" i="1"/>
  <c r="AE3041" i="1"/>
  <c r="AD3041" i="1"/>
  <c r="AC3041" i="1"/>
  <c r="AL3041" i="1"/>
  <c r="AJ3041" i="1"/>
  <c r="AF3041" i="1"/>
  <c r="AH3040" i="1"/>
  <c r="AG3040" i="1"/>
  <c r="AI3040" i="1"/>
  <c r="AL3040" i="1"/>
  <c r="AJ3040" i="1"/>
  <c r="AF3040" i="1"/>
  <c r="AE3040" i="1"/>
  <c r="AD3040" i="1"/>
  <c r="AC3040" i="1"/>
  <c r="AG3039" i="1"/>
  <c r="AH3039" i="1"/>
  <c r="AI3039" i="1"/>
  <c r="AD3039" i="1"/>
  <c r="AF3039" i="1"/>
  <c r="AJ3039" i="1"/>
  <c r="AE3039" i="1"/>
  <c r="AL3039" i="1"/>
  <c r="AC3039" i="1"/>
  <c r="AI3038" i="1"/>
  <c r="AG3038" i="1"/>
  <c r="AH3038" i="1"/>
  <c r="AF3038" i="1"/>
  <c r="AL3038" i="1"/>
  <c r="AE3038" i="1"/>
  <c r="AD3038" i="1"/>
  <c r="AC3038" i="1"/>
  <c r="AJ3038" i="1"/>
  <c r="AM3038" i="1" s="1"/>
  <c r="AI3037" i="1"/>
  <c r="AH3037" i="1"/>
  <c r="AG3037" i="1"/>
  <c r="AJ3037" i="1"/>
  <c r="AD3037" i="1"/>
  <c r="AC3037" i="1"/>
  <c r="AL3037" i="1"/>
  <c r="AF3037" i="1"/>
  <c r="AE3037" i="1"/>
  <c r="AI3036" i="1"/>
  <c r="AH3036" i="1"/>
  <c r="AG3036" i="1"/>
  <c r="AD3036" i="1"/>
  <c r="AL3036" i="1"/>
  <c r="AJ3036" i="1"/>
  <c r="AF3036" i="1"/>
  <c r="AE3036" i="1"/>
  <c r="AC3036" i="1"/>
  <c r="AG3035" i="1"/>
  <c r="AH3035" i="1"/>
  <c r="AI3035" i="1"/>
  <c r="AD3035" i="1"/>
  <c r="AE3035" i="1"/>
  <c r="AF3035" i="1"/>
  <c r="AJ3035" i="1"/>
  <c r="AL3035" i="1"/>
  <c r="AC3035" i="1"/>
  <c r="AG3034" i="1"/>
  <c r="AH3034" i="1"/>
  <c r="AI3034" i="1"/>
  <c r="AD3034" i="1"/>
  <c r="AJ3034" i="1"/>
  <c r="AL3034" i="1"/>
  <c r="AC3034" i="1"/>
  <c r="AE3034" i="1"/>
  <c r="AF3034" i="1"/>
  <c r="AG3033" i="1"/>
  <c r="AH3033" i="1"/>
  <c r="AI3033" i="1"/>
  <c r="AJ3033" i="1"/>
  <c r="AL3033" i="1"/>
  <c r="AF3033" i="1"/>
  <c r="AD3033" i="1"/>
  <c r="AC3033" i="1"/>
  <c r="AE3033" i="1"/>
  <c r="AH3032" i="1"/>
  <c r="AG3032" i="1"/>
  <c r="AI3032" i="1"/>
  <c r="AC3032" i="1"/>
  <c r="AD3032" i="1"/>
  <c r="AE3032" i="1"/>
  <c r="AF3032" i="1"/>
  <c r="AJ3032" i="1"/>
  <c r="AL3032" i="1"/>
  <c r="AG3031" i="1"/>
  <c r="AH3031" i="1"/>
  <c r="AI3031" i="1"/>
  <c r="AD3031" i="1"/>
  <c r="AE3031" i="1"/>
  <c r="AF3031" i="1"/>
  <c r="AL3031" i="1"/>
  <c r="AC3031" i="1"/>
  <c r="AJ3031" i="1"/>
  <c r="AI3030" i="1"/>
  <c r="AG3030" i="1"/>
  <c r="AH3030" i="1"/>
  <c r="AJ3030" i="1"/>
  <c r="AL3030" i="1"/>
  <c r="AF3030" i="1"/>
  <c r="AE3030" i="1"/>
  <c r="AD3030" i="1"/>
  <c r="AC3030" i="1"/>
  <c r="AG3029" i="1"/>
  <c r="AH3029" i="1"/>
  <c r="AI3029" i="1"/>
  <c r="AL3029" i="1"/>
  <c r="AJ3029" i="1"/>
  <c r="AF3029" i="1"/>
  <c r="AE3029" i="1"/>
  <c r="AD3029" i="1"/>
  <c r="AC3029" i="1"/>
  <c r="AI3028" i="1"/>
  <c r="AH3028" i="1"/>
  <c r="AG3028" i="1"/>
  <c r="AL3028" i="1"/>
  <c r="AJ3028" i="1"/>
  <c r="AF3028" i="1"/>
  <c r="AE3028" i="1"/>
  <c r="AD3028" i="1"/>
  <c r="AC3028" i="1"/>
  <c r="AH3027" i="1"/>
  <c r="AG3027" i="1"/>
  <c r="AI3027" i="1"/>
  <c r="AL3027" i="1"/>
  <c r="AJ3027" i="1"/>
  <c r="AF3027" i="1"/>
  <c r="AE3027" i="1"/>
  <c r="AD3027" i="1"/>
  <c r="AC3027" i="1"/>
  <c r="AI3026" i="1"/>
  <c r="AH3026" i="1"/>
  <c r="AG3026" i="1"/>
  <c r="AL3026" i="1"/>
  <c r="AJ3026" i="1"/>
  <c r="AE3026" i="1"/>
  <c r="AF3026" i="1"/>
  <c r="AD3026" i="1"/>
  <c r="AC3026" i="1"/>
  <c r="AH3025" i="1"/>
  <c r="AG3025" i="1"/>
  <c r="AI3025" i="1"/>
  <c r="AF3025" i="1"/>
  <c r="AE3025" i="1"/>
  <c r="AD3025" i="1"/>
  <c r="AL3025" i="1"/>
  <c r="AJ3025" i="1"/>
  <c r="AC3025" i="1"/>
  <c r="AG3024" i="1"/>
  <c r="AH3024" i="1"/>
  <c r="AI3024" i="1"/>
  <c r="AE3024" i="1"/>
  <c r="AF3024" i="1"/>
  <c r="AJ3024" i="1"/>
  <c r="AL3024" i="1"/>
  <c r="AC3024" i="1"/>
  <c r="AD3024" i="1"/>
  <c r="AI3023" i="1"/>
  <c r="AH3023" i="1"/>
  <c r="AG3023" i="1"/>
  <c r="AC3023" i="1"/>
  <c r="AL3023" i="1"/>
  <c r="AJ3023" i="1"/>
  <c r="AF3023" i="1"/>
  <c r="AE3023" i="1"/>
  <c r="AD3023" i="1"/>
  <c r="AI3022" i="1"/>
  <c r="AH3022" i="1"/>
  <c r="AG3022" i="1"/>
  <c r="AE3022" i="1"/>
  <c r="AD3022" i="1"/>
  <c r="AC3022" i="1"/>
  <c r="AF3022" i="1"/>
  <c r="AL3022" i="1"/>
  <c r="AJ3022" i="1"/>
  <c r="AG3021" i="1"/>
  <c r="AH3021" i="1"/>
  <c r="AI3021" i="1"/>
  <c r="AL3021" i="1"/>
  <c r="AC3021" i="1"/>
  <c r="AE3021" i="1"/>
  <c r="AF3021" i="1"/>
  <c r="AJ3021" i="1"/>
  <c r="AM3021" i="1" s="1"/>
  <c r="AD3021" i="1"/>
  <c r="AH3020" i="1"/>
  <c r="AI3020" i="1"/>
  <c r="AG3020" i="1"/>
  <c r="AL3020" i="1"/>
  <c r="AD3020" i="1"/>
  <c r="AC3020" i="1"/>
  <c r="AE3020" i="1"/>
  <c r="AF3020" i="1"/>
  <c r="AJ3020" i="1"/>
  <c r="AG3019" i="1"/>
  <c r="AI3019" i="1"/>
  <c r="AH3019" i="1"/>
  <c r="AJ3019" i="1"/>
  <c r="AF3019" i="1"/>
  <c r="AL3019" i="1"/>
  <c r="AC3019" i="1"/>
  <c r="AD3019" i="1"/>
  <c r="AE3019" i="1"/>
  <c r="AG3018" i="1"/>
  <c r="AH3018" i="1"/>
  <c r="AI3018" i="1"/>
  <c r="AD3018" i="1"/>
  <c r="AC3018" i="1"/>
  <c r="AJ3018" i="1"/>
  <c r="AF3018" i="1"/>
  <c r="AE3018" i="1"/>
  <c r="AL3018" i="1"/>
  <c r="AH3017" i="1"/>
  <c r="AG3017" i="1"/>
  <c r="AI3017" i="1"/>
  <c r="AL3017" i="1"/>
  <c r="AJ3017" i="1"/>
  <c r="AF3017" i="1"/>
  <c r="AE3017" i="1"/>
  <c r="AC3017" i="1"/>
  <c r="AD3017" i="1"/>
  <c r="AG3016" i="1"/>
  <c r="AI3016" i="1"/>
  <c r="AH3016" i="1"/>
  <c r="AD3016" i="1"/>
  <c r="AE3016" i="1"/>
  <c r="AF3016" i="1"/>
  <c r="AC3016" i="1"/>
  <c r="AJ3016" i="1"/>
  <c r="AL3016" i="1"/>
  <c r="AG3015" i="1"/>
  <c r="AH3015" i="1"/>
  <c r="AI3015" i="1"/>
  <c r="AC3015" i="1"/>
  <c r="AD3015" i="1"/>
  <c r="AE3015" i="1"/>
  <c r="AF3015" i="1"/>
  <c r="AJ3015" i="1"/>
  <c r="AL3015" i="1"/>
  <c r="AI3014" i="1"/>
  <c r="AH3014" i="1"/>
  <c r="AG3014" i="1"/>
  <c r="AE3014" i="1"/>
  <c r="AC3014" i="1"/>
  <c r="AD3014" i="1"/>
  <c r="AF3014" i="1"/>
  <c r="AJ3014" i="1"/>
  <c r="AL3014" i="1"/>
  <c r="AG3013" i="1"/>
  <c r="AH3013" i="1"/>
  <c r="AI3013" i="1"/>
  <c r="AL3013" i="1"/>
  <c r="AC3013" i="1"/>
  <c r="AD3013" i="1"/>
  <c r="AE3013" i="1"/>
  <c r="AF3013" i="1"/>
  <c r="AJ3013" i="1"/>
  <c r="AG3012" i="1"/>
  <c r="AH3012" i="1"/>
  <c r="AI3012" i="1"/>
  <c r="AD3012" i="1"/>
  <c r="AE3012" i="1"/>
  <c r="AC3012" i="1"/>
  <c r="AJ3012" i="1"/>
  <c r="AL3012" i="1"/>
  <c r="AF3012" i="1"/>
  <c r="AH3011" i="1"/>
  <c r="AG3011" i="1"/>
  <c r="AI3011" i="1"/>
  <c r="AL3011" i="1"/>
  <c r="AJ3011" i="1"/>
  <c r="AF3011" i="1"/>
  <c r="AE3011" i="1"/>
  <c r="AC3011" i="1"/>
  <c r="AD3011" i="1"/>
  <c r="AH3010" i="1"/>
  <c r="AG3010" i="1"/>
  <c r="AI3010" i="1"/>
  <c r="AF3010" i="1"/>
  <c r="AE3010" i="1"/>
  <c r="AD3010" i="1"/>
  <c r="AC3010" i="1"/>
  <c r="AJ3010" i="1"/>
  <c r="AL3010" i="1"/>
  <c r="AI3009" i="1"/>
  <c r="AH3009" i="1"/>
  <c r="AG3009" i="1"/>
  <c r="AJ3009" i="1"/>
  <c r="AL3009" i="1"/>
  <c r="AC3009" i="1"/>
  <c r="AF3009" i="1"/>
  <c r="AE3009" i="1"/>
  <c r="AD3009" i="1"/>
  <c r="AI3008" i="1"/>
  <c r="AH3008" i="1"/>
  <c r="AG3008" i="1"/>
  <c r="AL3008" i="1"/>
  <c r="AJ3008" i="1"/>
  <c r="AM3008" i="1" s="1"/>
  <c r="AF3008" i="1"/>
  <c r="AE3008" i="1"/>
  <c r="AD3008" i="1"/>
  <c r="AC3008" i="1"/>
  <c r="AG3007" i="1"/>
  <c r="AI3007" i="1"/>
  <c r="AH3007" i="1"/>
  <c r="AF3007" i="1"/>
  <c r="AE3007" i="1"/>
  <c r="AD3007" i="1"/>
  <c r="AC3007" i="1"/>
  <c r="AJ3007" i="1"/>
  <c r="AL3007" i="1"/>
  <c r="AI3006" i="1"/>
  <c r="AH3006" i="1"/>
  <c r="AG3006" i="1"/>
  <c r="AF3006" i="1"/>
  <c r="AE3006" i="1"/>
  <c r="AL3006" i="1"/>
  <c r="AC3006" i="1"/>
  <c r="AD3006" i="1"/>
  <c r="AJ3006" i="1"/>
  <c r="AM3006" i="1" s="1"/>
  <c r="AH3005" i="1"/>
  <c r="AG3005" i="1"/>
  <c r="AI3005" i="1"/>
  <c r="AL3005" i="1"/>
  <c r="AC3005" i="1"/>
  <c r="AD3005" i="1"/>
  <c r="AE3005" i="1"/>
  <c r="AF3005" i="1"/>
  <c r="AJ3005" i="1"/>
  <c r="AM3005" i="1" s="1"/>
  <c r="AG3004" i="1"/>
  <c r="AI3004" i="1"/>
  <c r="AH3004" i="1"/>
  <c r="AC3004" i="1"/>
  <c r="AD3004" i="1"/>
  <c r="AE3004" i="1"/>
  <c r="AF3004" i="1"/>
  <c r="AL3004" i="1"/>
  <c r="AJ3004" i="1"/>
  <c r="AI3003" i="1"/>
  <c r="AH3003" i="1"/>
  <c r="AG3003" i="1"/>
  <c r="AL3003" i="1"/>
  <c r="AJ3003" i="1"/>
  <c r="AF3003" i="1"/>
  <c r="AE3003" i="1"/>
  <c r="AD3003" i="1"/>
  <c r="AC3003" i="1"/>
  <c r="AG3002" i="1"/>
  <c r="AH3002" i="1"/>
  <c r="AI3002" i="1"/>
  <c r="AF3002" i="1"/>
  <c r="AJ3002" i="1"/>
  <c r="AL3002" i="1"/>
  <c r="AE3002" i="1"/>
  <c r="AD3002" i="1"/>
  <c r="AC3002" i="1"/>
  <c r="AG3001" i="1"/>
  <c r="AH3001" i="1"/>
  <c r="AI3001" i="1"/>
  <c r="AJ3001" i="1"/>
  <c r="AE3001" i="1"/>
  <c r="AL3001" i="1"/>
  <c r="AF3001" i="1"/>
  <c r="AC3001" i="1"/>
  <c r="AD3001" i="1"/>
  <c r="AI3000" i="1"/>
  <c r="AG3000" i="1"/>
  <c r="AH3000" i="1"/>
  <c r="AC3000" i="1"/>
  <c r="AE3000" i="1"/>
  <c r="AF3000" i="1"/>
  <c r="AJ3000" i="1"/>
  <c r="AL3000" i="1"/>
  <c r="AD3000" i="1"/>
  <c r="AG2999" i="1"/>
  <c r="AI2999" i="1"/>
  <c r="AH2999" i="1"/>
  <c r="AL2999" i="1"/>
  <c r="AJ2999" i="1"/>
  <c r="AF2999" i="1"/>
  <c r="AE2999" i="1"/>
  <c r="AD2999" i="1"/>
  <c r="AC2999" i="1"/>
  <c r="AG2998" i="1"/>
  <c r="AH2998" i="1"/>
  <c r="AI2998" i="1"/>
  <c r="AC2998" i="1"/>
  <c r="AD2998" i="1"/>
  <c r="AE2998" i="1"/>
  <c r="AF2998" i="1"/>
  <c r="AJ2998" i="1"/>
  <c r="AL2998" i="1"/>
  <c r="AI2997" i="1"/>
  <c r="AH2997" i="1"/>
  <c r="AG2997" i="1"/>
  <c r="AF2997" i="1"/>
  <c r="AE2997" i="1"/>
  <c r="AD2997" i="1"/>
  <c r="AC2997" i="1"/>
  <c r="AH2996" i="1"/>
  <c r="AG2996" i="1"/>
  <c r="AI2996" i="1"/>
  <c r="AL2996" i="1"/>
  <c r="AJ2996" i="1"/>
  <c r="AF2996" i="1"/>
  <c r="AE2996" i="1"/>
  <c r="AD2996" i="1"/>
  <c r="AC2996" i="1"/>
  <c r="AI2995" i="1"/>
  <c r="AH2995" i="1"/>
  <c r="AG2995" i="1"/>
  <c r="AL2995" i="1"/>
  <c r="AJ2995" i="1"/>
  <c r="AM2995" i="1" s="1"/>
  <c r="AF2995" i="1"/>
  <c r="AE2995" i="1"/>
  <c r="AD2995" i="1"/>
  <c r="AC2995" i="1"/>
  <c r="AI2994" i="1"/>
  <c r="AH2994" i="1"/>
  <c r="AG2994" i="1"/>
  <c r="AL2994" i="1"/>
  <c r="AJ2994" i="1"/>
  <c r="AM2994" i="1" s="1"/>
  <c r="AF2994" i="1"/>
  <c r="AE2994" i="1"/>
  <c r="AD2994" i="1"/>
  <c r="AC2994" i="1"/>
  <c r="AH2993" i="1"/>
  <c r="AG2993" i="1"/>
  <c r="AI2993" i="1"/>
  <c r="AL2993" i="1"/>
  <c r="AJ2993" i="1"/>
  <c r="AF2993" i="1"/>
  <c r="AE2993" i="1"/>
  <c r="AD2993" i="1"/>
  <c r="AC2993" i="1"/>
  <c r="AI2992" i="1"/>
  <c r="AH2992" i="1"/>
  <c r="AG2992" i="1"/>
  <c r="AL2992" i="1"/>
  <c r="AJ2992" i="1"/>
  <c r="AF2992" i="1"/>
  <c r="AE2992" i="1"/>
  <c r="AD2992" i="1"/>
  <c r="AC2992" i="1"/>
  <c r="AI2991" i="1"/>
  <c r="AH2991" i="1"/>
  <c r="AG2991" i="1"/>
  <c r="AL2991" i="1"/>
  <c r="AJ2991" i="1"/>
  <c r="AM2991" i="1" s="1"/>
  <c r="AF2991" i="1"/>
  <c r="AE2991" i="1"/>
  <c r="AD2991" i="1"/>
  <c r="AC2991" i="1"/>
  <c r="AI2990" i="1"/>
  <c r="AH2990" i="1"/>
  <c r="AG2990" i="1"/>
  <c r="AL2990" i="1"/>
  <c r="AJ2990" i="1"/>
  <c r="AM2990" i="1" s="1"/>
  <c r="AF2990" i="1"/>
  <c r="AE2990" i="1"/>
  <c r="AD2990" i="1"/>
  <c r="AC2990" i="1"/>
  <c r="AH2989" i="1"/>
  <c r="AG2989" i="1"/>
  <c r="AI2989" i="1"/>
  <c r="AL2989" i="1"/>
  <c r="AJ2989" i="1"/>
  <c r="AM2989" i="1" s="1"/>
  <c r="AF2989" i="1"/>
  <c r="AE2989" i="1"/>
  <c r="AD2989" i="1"/>
  <c r="AC2989" i="1"/>
  <c r="AI2988" i="1"/>
  <c r="AH2988" i="1"/>
  <c r="AG2988" i="1"/>
  <c r="AL2988" i="1"/>
  <c r="AJ2988" i="1"/>
  <c r="AM2988" i="1" s="1"/>
  <c r="AF2988" i="1"/>
  <c r="AE2988" i="1"/>
  <c r="AD2988" i="1"/>
  <c r="AC2988" i="1"/>
  <c r="AI2987" i="1"/>
  <c r="AH2987" i="1"/>
  <c r="AG2987" i="1"/>
  <c r="AL2987" i="1"/>
  <c r="AJ2987" i="1"/>
  <c r="AM2987" i="1" s="1"/>
  <c r="AF2987" i="1"/>
  <c r="AE2987" i="1"/>
  <c r="AD2987" i="1"/>
  <c r="AC2987" i="1"/>
  <c r="AH2986" i="1"/>
  <c r="AG2986" i="1"/>
  <c r="AI2986" i="1"/>
  <c r="AL2986" i="1"/>
  <c r="AJ2986" i="1"/>
  <c r="AM2986" i="1" s="1"/>
  <c r="AF2986" i="1"/>
  <c r="AE2986" i="1"/>
  <c r="AD2986" i="1"/>
  <c r="AC2986" i="1"/>
  <c r="AI2985" i="1"/>
  <c r="AH2985" i="1"/>
  <c r="AG2985" i="1"/>
  <c r="AL2985" i="1"/>
  <c r="AJ2985" i="1"/>
  <c r="AM2985" i="1" s="1"/>
  <c r="AF2985" i="1"/>
  <c r="AE2985" i="1"/>
  <c r="AD2985" i="1"/>
  <c r="AC2985" i="1"/>
  <c r="AI2984" i="1"/>
  <c r="AH2984" i="1"/>
  <c r="AG2984" i="1"/>
  <c r="AL2984" i="1"/>
  <c r="AJ2984" i="1"/>
  <c r="AM2984" i="1" s="1"/>
  <c r="AF2984" i="1"/>
  <c r="AE2984" i="1"/>
  <c r="AD2984" i="1"/>
  <c r="AC2984" i="1"/>
  <c r="AI2983" i="1"/>
  <c r="AH2983" i="1"/>
  <c r="AG2983" i="1"/>
  <c r="AL2983" i="1"/>
  <c r="AJ2983" i="1"/>
  <c r="AM2983" i="1" s="1"/>
  <c r="AF2983" i="1"/>
  <c r="AE2983" i="1"/>
  <c r="AD2983" i="1"/>
  <c r="AC2983" i="1"/>
  <c r="AH2982" i="1"/>
  <c r="AG2982" i="1"/>
  <c r="AI2982" i="1"/>
  <c r="AL2982" i="1"/>
  <c r="AJ2982" i="1"/>
  <c r="AM2982" i="1" s="1"/>
  <c r="AF2982" i="1"/>
  <c r="AE2982" i="1"/>
  <c r="AD2982" i="1"/>
  <c r="AC2982" i="1"/>
  <c r="AI2981" i="1"/>
  <c r="AH2981" i="1"/>
  <c r="AG2981" i="1"/>
  <c r="AL2981" i="1"/>
  <c r="AJ2981" i="1"/>
  <c r="AM2981" i="1" s="1"/>
  <c r="AF2981" i="1"/>
  <c r="AE2981" i="1"/>
  <c r="AD2981" i="1"/>
  <c r="AC2981" i="1"/>
  <c r="AI2980" i="1"/>
  <c r="AH2980" i="1"/>
  <c r="AG2980" i="1"/>
  <c r="AL2980" i="1"/>
  <c r="AJ2980" i="1"/>
  <c r="AM2980" i="1" s="1"/>
  <c r="AF2980" i="1"/>
  <c r="AE2980" i="1"/>
  <c r="AD2980" i="1"/>
  <c r="AC2980" i="1"/>
  <c r="AI2979" i="1"/>
  <c r="AH2979" i="1"/>
  <c r="AG2979" i="1"/>
  <c r="AL2979" i="1"/>
  <c r="AJ2979" i="1"/>
  <c r="AM2979" i="1" s="1"/>
  <c r="AF2979" i="1"/>
  <c r="AE2979" i="1"/>
  <c r="AD2979" i="1"/>
  <c r="AC2979" i="1"/>
  <c r="AH2978" i="1"/>
  <c r="AG2978" i="1"/>
  <c r="AI2978" i="1"/>
  <c r="AL2978" i="1"/>
  <c r="AJ2978" i="1"/>
  <c r="AM2978" i="1" s="1"/>
  <c r="AF2978" i="1"/>
  <c r="AE2978" i="1"/>
  <c r="AD2978" i="1"/>
  <c r="AC2978" i="1"/>
  <c r="AI2977" i="1"/>
  <c r="AH2977" i="1"/>
  <c r="AG2977" i="1"/>
  <c r="AL2977" i="1"/>
  <c r="AJ2977" i="1"/>
  <c r="AF2977" i="1"/>
  <c r="AE2977" i="1"/>
  <c r="AD2977" i="1"/>
  <c r="AC2977" i="1"/>
  <c r="AI2976" i="1"/>
  <c r="AH2976" i="1"/>
  <c r="AG2976" i="1"/>
  <c r="AL2976" i="1"/>
  <c r="AJ2976" i="1"/>
  <c r="AF2976" i="1"/>
  <c r="AE2976" i="1"/>
  <c r="AD2976" i="1"/>
  <c r="AC2976" i="1"/>
  <c r="AI2975" i="1"/>
  <c r="AH2975" i="1"/>
  <c r="AG2975" i="1"/>
  <c r="AL2975" i="1"/>
  <c r="AJ2975" i="1"/>
  <c r="AM2975" i="1" s="1"/>
  <c r="AF2975" i="1"/>
  <c r="AE2975" i="1"/>
  <c r="AD2975" i="1"/>
  <c r="AC2975" i="1"/>
  <c r="AI2974" i="1"/>
  <c r="AH2974" i="1"/>
  <c r="AG2974" i="1"/>
  <c r="AJ2974" i="1"/>
  <c r="AL2974" i="1"/>
  <c r="AF2974" i="1"/>
  <c r="AE2974" i="1"/>
  <c r="AD2974" i="1"/>
  <c r="AC2974" i="1"/>
  <c r="AI2973" i="1"/>
  <c r="AH2973" i="1"/>
  <c r="AG2973" i="1"/>
  <c r="AL2973" i="1"/>
  <c r="AJ2973" i="1"/>
  <c r="AM2973" i="1" s="1"/>
  <c r="AF2973" i="1"/>
  <c r="AE2973" i="1"/>
  <c r="AD2973" i="1"/>
  <c r="AC2973" i="1"/>
  <c r="AI2972" i="1"/>
  <c r="AH2972" i="1"/>
  <c r="AG2972" i="1"/>
  <c r="AL2972" i="1"/>
  <c r="AJ2972" i="1"/>
  <c r="AF2972" i="1"/>
  <c r="AE2972" i="1"/>
  <c r="AD2972" i="1"/>
  <c r="AC2972" i="1"/>
  <c r="AI2971" i="1"/>
  <c r="AH2971" i="1"/>
  <c r="AG2971" i="1"/>
  <c r="AL2971" i="1"/>
  <c r="AJ2971" i="1"/>
  <c r="AM2971" i="1" s="1"/>
  <c r="AF2971" i="1"/>
  <c r="AE2971" i="1"/>
  <c r="AD2971" i="1"/>
  <c r="AC2971" i="1"/>
  <c r="AI2970" i="1"/>
  <c r="AH2970" i="1"/>
  <c r="AG2970" i="1"/>
  <c r="AJ2970" i="1"/>
  <c r="AL2970" i="1"/>
  <c r="AF2970" i="1"/>
  <c r="AE2970" i="1"/>
  <c r="AD2970" i="1"/>
  <c r="AC2970" i="1"/>
  <c r="AI2969" i="1"/>
  <c r="AH2969" i="1"/>
  <c r="AG2969" i="1"/>
  <c r="AL2969" i="1"/>
  <c r="AJ2969" i="1"/>
  <c r="AF2969" i="1"/>
  <c r="AE2969" i="1"/>
  <c r="AD2969" i="1"/>
  <c r="AC2969" i="1"/>
  <c r="AI2968" i="1"/>
  <c r="AH2968" i="1"/>
  <c r="AG2968" i="1"/>
  <c r="AL2968" i="1"/>
  <c r="AJ2968" i="1"/>
  <c r="AF2968" i="1"/>
  <c r="AE2968" i="1"/>
  <c r="AD2968" i="1"/>
  <c r="AC2968" i="1"/>
  <c r="AH2967" i="1"/>
  <c r="AG2967" i="1"/>
  <c r="AI2967" i="1"/>
  <c r="AL2967" i="1"/>
  <c r="AJ2967" i="1"/>
  <c r="AF2967" i="1"/>
  <c r="AE2967" i="1"/>
  <c r="AD2967" i="1"/>
  <c r="AC2967" i="1"/>
  <c r="AI2966" i="1"/>
  <c r="AH2966" i="1"/>
  <c r="AG2966" i="1"/>
  <c r="AL2966" i="1"/>
  <c r="AJ2966" i="1"/>
  <c r="AM2966" i="1" s="1"/>
  <c r="AF2966" i="1"/>
  <c r="AE2966" i="1"/>
  <c r="AD2966" i="1"/>
  <c r="AC2966" i="1"/>
  <c r="AI2965" i="1"/>
  <c r="AH2965" i="1"/>
  <c r="AG2965" i="1"/>
  <c r="AL2965" i="1"/>
  <c r="AJ2965" i="1"/>
  <c r="AF2965" i="1"/>
  <c r="AE2965" i="1"/>
  <c r="AD2965" i="1"/>
  <c r="AC2965" i="1"/>
  <c r="AH2964" i="1"/>
  <c r="AG2964" i="1"/>
  <c r="AI2964" i="1"/>
  <c r="AL2964" i="1"/>
  <c r="AJ2964" i="1"/>
  <c r="AF2964" i="1"/>
  <c r="AE2964" i="1"/>
  <c r="AD2964" i="1"/>
  <c r="AC2964" i="1"/>
  <c r="AI2963" i="1"/>
  <c r="AH2963" i="1"/>
  <c r="AG2963" i="1"/>
  <c r="AL2963" i="1"/>
  <c r="AJ2963" i="1"/>
  <c r="AM2963" i="1" s="1"/>
  <c r="AF2963" i="1"/>
  <c r="AE2963" i="1"/>
  <c r="AD2963" i="1"/>
  <c r="AC2963" i="1"/>
  <c r="AI2962" i="1"/>
  <c r="AH2962" i="1"/>
  <c r="AG2962" i="1"/>
  <c r="AL2962" i="1"/>
  <c r="AJ2962" i="1"/>
  <c r="AF2962" i="1"/>
  <c r="AE2962" i="1"/>
  <c r="AD2962" i="1"/>
  <c r="AC2962" i="1"/>
  <c r="AI2961" i="1"/>
  <c r="AH2961" i="1"/>
  <c r="AG2961" i="1"/>
  <c r="AL2961" i="1"/>
  <c r="AJ2961" i="1"/>
  <c r="AM2961" i="1" s="1"/>
  <c r="AF2961" i="1"/>
  <c r="AE2961" i="1"/>
  <c r="AD2961" i="1"/>
  <c r="AC2961" i="1"/>
  <c r="AH2960" i="1"/>
  <c r="AG2960" i="1"/>
  <c r="AI2960" i="1"/>
  <c r="AL2960" i="1"/>
  <c r="AJ2960" i="1"/>
  <c r="AM2960" i="1" s="1"/>
  <c r="AF2960" i="1"/>
  <c r="AE2960" i="1"/>
  <c r="AD2960" i="1"/>
  <c r="AC2960" i="1"/>
  <c r="AI2959" i="1"/>
  <c r="AH2959" i="1"/>
  <c r="AG2959" i="1"/>
  <c r="AL2959" i="1"/>
  <c r="AJ2959" i="1"/>
  <c r="AF2959" i="1"/>
  <c r="AE2959" i="1"/>
  <c r="AD2959" i="1"/>
  <c r="AC2959" i="1"/>
  <c r="AI2958" i="1"/>
  <c r="AH2958" i="1"/>
  <c r="AG2958" i="1"/>
  <c r="AL2958" i="1"/>
  <c r="AJ2958" i="1"/>
  <c r="AM2958" i="1" s="1"/>
  <c r="AF2958" i="1"/>
  <c r="AE2958" i="1"/>
  <c r="AD2958" i="1"/>
  <c r="AC2958" i="1"/>
  <c r="AI2957" i="1"/>
  <c r="AH2957" i="1"/>
  <c r="AG2957" i="1"/>
  <c r="AL2957" i="1"/>
  <c r="AJ2957" i="1"/>
  <c r="AM2957" i="1" s="1"/>
  <c r="AF2957" i="1"/>
  <c r="AE2957" i="1"/>
  <c r="AD2957" i="1"/>
  <c r="AC2957" i="1"/>
  <c r="AH2956" i="1"/>
  <c r="AG2956" i="1"/>
  <c r="AI2956" i="1"/>
  <c r="AL2956" i="1"/>
  <c r="AJ2956" i="1"/>
  <c r="AF2956" i="1"/>
  <c r="AE2956" i="1"/>
  <c r="AD2956" i="1"/>
  <c r="AC2956" i="1"/>
  <c r="AI2955" i="1"/>
  <c r="AH2955" i="1"/>
  <c r="AG2955" i="1"/>
  <c r="AL2955" i="1"/>
  <c r="AJ2955" i="1"/>
  <c r="AF2955" i="1"/>
  <c r="AE2955" i="1"/>
  <c r="AD2955" i="1"/>
  <c r="AC2955" i="1"/>
  <c r="AI2954" i="1"/>
  <c r="AH2954" i="1"/>
  <c r="AG2954" i="1"/>
  <c r="AJ2954" i="1"/>
  <c r="AL2954" i="1"/>
  <c r="AF2954" i="1"/>
  <c r="AE2954" i="1"/>
  <c r="AD2954" i="1"/>
  <c r="AC2954" i="1"/>
  <c r="AI2953" i="1"/>
  <c r="AH2953" i="1"/>
  <c r="AG2953" i="1"/>
  <c r="AL2953" i="1"/>
  <c r="AJ2953" i="1"/>
  <c r="AM2953" i="1" s="1"/>
  <c r="AF2953" i="1"/>
  <c r="AE2953" i="1"/>
  <c r="AD2953" i="1"/>
  <c r="AC2953" i="1"/>
  <c r="AH2952" i="1"/>
  <c r="AG2952" i="1"/>
  <c r="AI2952" i="1"/>
  <c r="AL2952" i="1"/>
  <c r="AJ2952" i="1"/>
  <c r="AM2952" i="1" s="1"/>
  <c r="AF2952" i="1"/>
  <c r="AE2952" i="1"/>
  <c r="AD2952" i="1"/>
  <c r="AC2952" i="1"/>
  <c r="AI2951" i="1"/>
  <c r="AH2951" i="1"/>
  <c r="AG2951" i="1"/>
  <c r="AL2951" i="1"/>
  <c r="AJ2951" i="1"/>
  <c r="AF2951" i="1"/>
  <c r="AE2951" i="1"/>
  <c r="AD2951" i="1"/>
  <c r="AC2951" i="1"/>
  <c r="AI2950" i="1"/>
  <c r="AH2950" i="1"/>
  <c r="AG2950" i="1"/>
  <c r="AL2950" i="1"/>
  <c r="AJ2950" i="1"/>
  <c r="AF2950" i="1"/>
  <c r="AE2950" i="1"/>
  <c r="AD2950" i="1"/>
  <c r="AC2950" i="1"/>
  <c r="AH2949" i="1"/>
  <c r="AG2949" i="1"/>
  <c r="AI2949" i="1"/>
  <c r="AL2949" i="1"/>
  <c r="AJ2949" i="1"/>
  <c r="AF2949" i="1"/>
  <c r="AE2949" i="1"/>
  <c r="AD2949" i="1"/>
  <c r="AC2949" i="1"/>
  <c r="AI2948" i="1"/>
  <c r="AH2948" i="1"/>
  <c r="AG2948" i="1"/>
  <c r="AL2948" i="1"/>
  <c r="AJ2948" i="1"/>
  <c r="AF2948" i="1"/>
  <c r="AE2948" i="1"/>
  <c r="AD2948" i="1"/>
  <c r="AC2948" i="1"/>
  <c r="AI2947" i="1"/>
  <c r="AH2947" i="1"/>
  <c r="AG2947" i="1"/>
  <c r="AL2947" i="1"/>
  <c r="AJ2947" i="1"/>
  <c r="AM2947" i="1" s="1"/>
  <c r="AF2947" i="1"/>
  <c r="AE2947" i="1"/>
  <c r="AD2947" i="1"/>
  <c r="AC2947" i="1"/>
  <c r="AI2946" i="1"/>
  <c r="AH2946" i="1"/>
  <c r="AG2946" i="1"/>
  <c r="AL2946" i="1"/>
  <c r="AJ2946" i="1"/>
  <c r="AF2946" i="1"/>
  <c r="AE2946" i="1"/>
  <c r="AD2946" i="1"/>
  <c r="AC2946" i="1"/>
  <c r="AH2945" i="1"/>
  <c r="AG2945" i="1"/>
  <c r="AI2945" i="1"/>
  <c r="AL2945" i="1"/>
  <c r="AJ2945" i="1"/>
  <c r="AF2945" i="1"/>
  <c r="AE2945" i="1"/>
  <c r="AD2945" i="1"/>
  <c r="AC2945" i="1"/>
  <c r="AI2944" i="1"/>
  <c r="AH2944" i="1"/>
  <c r="AG2944" i="1"/>
  <c r="AL2944" i="1"/>
  <c r="AJ2944" i="1"/>
  <c r="AF2944" i="1"/>
  <c r="AE2944" i="1"/>
  <c r="AD2944" i="1"/>
  <c r="AC2944" i="1"/>
  <c r="AI2943" i="1"/>
  <c r="AH2943" i="1"/>
  <c r="AG2943" i="1"/>
  <c r="AL2943" i="1"/>
  <c r="AJ2943" i="1"/>
  <c r="AF2943" i="1"/>
  <c r="AE2943" i="1"/>
  <c r="AD2943" i="1"/>
  <c r="AC2943" i="1"/>
  <c r="AI2942" i="1"/>
  <c r="AH2942" i="1"/>
  <c r="AG2942" i="1"/>
  <c r="AL2942" i="1"/>
  <c r="AJ2942" i="1"/>
  <c r="AF2942" i="1"/>
  <c r="AE2942" i="1"/>
  <c r="AD2942" i="1"/>
  <c r="AC2942" i="1"/>
  <c r="AH2941" i="1"/>
  <c r="AG2941" i="1"/>
  <c r="AI2941" i="1"/>
  <c r="AL2941" i="1"/>
  <c r="AJ2941" i="1"/>
  <c r="AF2941" i="1"/>
  <c r="AE2941" i="1"/>
  <c r="AD2941" i="1"/>
  <c r="AC2941" i="1"/>
  <c r="AI2940" i="1"/>
  <c r="AH2940" i="1"/>
  <c r="AG2940" i="1"/>
  <c r="AL2940" i="1"/>
  <c r="AJ2940" i="1"/>
  <c r="AF2940" i="1"/>
  <c r="AE2940" i="1"/>
  <c r="AD2940" i="1"/>
  <c r="AC2940" i="1"/>
  <c r="AI2939" i="1"/>
  <c r="AH2939" i="1"/>
  <c r="AG2939" i="1"/>
  <c r="AL2939" i="1"/>
  <c r="AJ2939" i="1"/>
  <c r="AF2939" i="1"/>
  <c r="AE2939" i="1"/>
  <c r="AD2939" i="1"/>
  <c r="AC2939" i="1"/>
  <c r="AI2938" i="1"/>
  <c r="AH2938" i="1"/>
  <c r="AG2938" i="1"/>
  <c r="AL2938" i="1"/>
  <c r="AJ2938" i="1"/>
  <c r="AM2938" i="1" s="1"/>
  <c r="AF2938" i="1"/>
  <c r="AE2938" i="1"/>
  <c r="AD2938" i="1"/>
  <c r="AC2938" i="1"/>
  <c r="AI2937" i="1"/>
  <c r="AH2937" i="1"/>
  <c r="AG2937" i="1"/>
  <c r="AJ2937" i="1"/>
  <c r="AL2937" i="1"/>
  <c r="AF2937" i="1"/>
  <c r="AE2937" i="1"/>
  <c r="AD2937" i="1"/>
  <c r="AC2937" i="1"/>
  <c r="AI2936" i="1"/>
  <c r="AH2936" i="1"/>
  <c r="AG2936" i="1"/>
  <c r="AL2936" i="1"/>
  <c r="AJ2936" i="1"/>
  <c r="AM2936" i="1" s="1"/>
  <c r="AF2936" i="1"/>
  <c r="AE2936" i="1"/>
  <c r="AD2936" i="1"/>
  <c r="AC2936" i="1"/>
  <c r="AI2935" i="1"/>
  <c r="AH2935" i="1"/>
  <c r="AG2935" i="1"/>
  <c r="AL2935" i="1"/>
  <c r="AJ2935" i="1"/>
  <c r="AM2935" i="1" s="1"/>
  <c r="AF2935" i="1"/>
  <c r="AE2935" i="1"/>
  <c r="AD2935" i="1"/>
  <c r="AC2935" i="1"/>
  <c r="AI2934" i="1"/>
  <c r="AH2934" i="1"/>
  <c r="AG2934" i="1"/>
  <c r="AL2934" i="1"/>
  <c r="AJ2934" i="1"/>
  <c r="AF2934" i="1"/>
  <c r="AE2934" i="1"/>
  <c r="AD2934" i="1"/>
  <c r="AC2934" i="1"/>
  <c r="AH2933" i="1"/>
  <c r="AG2933" i="1"/>
  <c r="AI2933" i="1"/>
  <c r="AL2933" i="1"/>
  <c r="AJ2933" i="1"/>
  <c r="AF2933" i="1"/>
  <c r="AE2933" i="1"/>
  <c r="AD2933" i="1"/>
  <c r="AC2933" i="1"/>
  <c r="AI2932" i="1"/>
  <c r="AH2932" i="1"/>
  <c r="AG2932" i="1"/>
  <c r="AL2932" i="1"/>
  <c r="AJ2932" i="1"/>
  <c r="AF2932" i="1"/>
  <c r="AE2932" i="1"/>
  <c r="AD2932" i="1"/>
  <c r="AC2932" i="1"/>
  <c r="AI2931" i="1"/>
  <c r="AH2931" i="1"/>
  <c r="AG2931" i="1"/>
  <c r="AL2931" i="1"/>
  <c r="AJ2931" i="1"/>
  <c r="AF2931" i="1"/>
  <c r="AE2931" i="1"/>
  <c r="AD2931" i="1"/>
  <c r="AC2931" i="1"/>
  <c r="AI2930" i="1"/>
  <c r="AH2930" i="1"/>
  <c r="AG2930" i="1"/>
  <c r="AL2930" i="1"/>
  <c r="AJ2930" i="1"/>
  <c r="AM2930" i="1" s="1"/>
  <c r="AF2930" i="1"/>
  <c r="AE2930" i="1"/>
  <c r="AD2930" i="1"/>
  <c r="AC2930" i="1"/>
  <c r="AI2929" i="1"/>
  <c r="AH2929" i="1"/>
  <c r="AG2929" i="1"/>
  <c r="AJ2929" i="1"/>
  <c r="AL2929" i="1"/>
  <c r="AF2929" i="1"/>
  <c r="AE2929" i="1"/>
  <c r="AD2929" i="1"/>
  <c r="AC2929" i="1"/>
  <c r="AI2928" i="1"/>
  <c r="AH2928" i="1"/>
  <c r="AG2928" i="1"/>
  <c r="AL2928" i="1"/>
  <c r="AJ2928" i="1"/>
  <c r="AF2928" i="1"/>
  <c r="AE2928" i="1"/>
  <c r="AD2928" i="1"/>
  <c r="AC2928" i="1"/>
  <c r="AI2927" i="1"/>
  <c r="AH2927" i="1"/>
  <c r="AG2927" i="1"/>
  <c r="AL2927" i="1"/>
  <c r="AJ2927" i="1"/>
  <c r="AM2927" i="1" s="1"/>
  <c r="AF2927" i="1"/>
  <c r="AE2927" i="1"/>
  <c r="AD2927" i="1"/>
  <c r="AC2927" i="1"/>
  <c r="AI2926" i="1"/>
  <c r="AH2926" i="1"/>
  <c r="AG2926" i="1"/>
  <c r="AL2926" i="1"/>
  <c r="AJ2926" i="1"/>
  <c r="AM2926" i="1" s="1"/>
  <c r="AF2926" i="1"/>
  <c r="AE2926" i="1"/>
  <c r="AD2926" i="1"/>
  <c r="AC2926" i="1"/>
  <c r="AI2925" i="1"/>
  <c r="AH2925" i="1"/>
  <c r="AG2925" i="1"/>
  <c r="AJ2925" i="1"/>
  <c r="AL2925" i="1"/>
  <c r="AF2925" i="1"/>
  <c r="AE2925" i="1"/>
  <c r="AD2925" i="1"/>
  <c r="AC2925" i="1"/>
  <c r="AI2924" i="1"/>
  <c r="AH2924" i="1"/>
  <c r="AG2924" i="1"/>
  <c r="AL2924" i="1"/>
  <c r="AJ2924" i="1"/>
  <c r="AF2924" i="1"/>
  <c r="AE2924" i="1"/>
  <c r="AD2924" i="1"/>
  <c r="AC2924" i="1"/>
  <c r="AI2923" i="1"/>
  <c r="AH2923" i="1"/>
  <c r="AG2923" i="1"/>
  <c r="AL2923" i="1"/>
  <c r="AJ2923" i="1"/>
  <c r="AM2923" i="1" s="1"/>
  <c r="AF2923" i="1"/>
  <c r="AE2923" i="1"/>
  <c r="AD2923" i="1"/>
  <c r="AC2923" i="1"/>
  <c r="AH2922" i="1"/>
  <c r="AI2922" i="1"/>
  <c r="AG2922" i="1"/>
  <c r="AL2922" i="1"/>
  <c r="AJ2922" i="1"/>
  <c r="AM2922" i="1" s="1"/>
  <c r="AF2922" i="1"/>
  <c r="AE2922" i="1"/>
  <c r="AD2922" i="1"/>
  <c r="AC2922" i="1"/>
  <c r="AH2921" i="1"/>
  <c r="AG2921" i="1"/>
  <c r="AI2921" i="1"/>
  <c r="AJ2921" i="1"/>
  <c r="AC2921" i="1"/>
  <c r="AD2921" i="1"/>
  <c r="AE2921" i="1"/>
  <c r="AF2921" i="1"/>
  <c r="AL2921" i="1"/>
  <c r="AG2920" i="1"/>
  <c r="AH2920" i="1"/>
  <c r="AI2920" i="1"/>
  <c r="AC2920" i="1"/>
  <c r="AE2920" i="1"/>
  <c r="AF2920" i="1"/>
  <c r="AD2920" i="1"/>
  <c r="AJ2920" i="1"/>
  <c r="AL2920" i="1"/>
  <c r="AH2919" i="1"/>
  <c r="AI2919" i="1"/>
  <c r="AG2919" i="1"/>
  <c r="AE2919" i="1"/>
  <c r="AL2919" i="1"/>
  <c r="AC2919" i="1"/>
  <c r="AD2919" i="1"/>
  <c r="AF2919" i="1"/>
  <c r="AJ2919" i="1"/>
  <c r="AM2919" i="1" s="1"/>
  <c r="AH2918" i="1"/>
  <c r="AI2918" i="1"/>
  <c r="AG2918" i="1"/>
  <c r="AD2918" i="1"/>
  <c r="AF2918" i="1"/>
  <c r="AC2918" i="1"/>
  <c r="AJ2918" i="1"/>
  <c r="AL2918" i="1"/>
  <c r="AE2918" i="1"/>
  <c r="AG2917" i="1"/>
  <c r="AH2917" i="1"/>
  <c r="AI2917" i="1"/>
  <c r="AJ2917" i="1"/>
  <c r="AL2917" i="1"/>
  <c r="AF2917" i="1"/>
  <c r="AC2917" i="1"/>
  <c r="AD2917" i="1"/>
  <c r="AE2917" i="1"/>
  <c r="AH2916" i="1"/>
  <c r="AG2916" i="1"/>
  <c r="AI2916" i="1"/>
  <c r="AC2916" i="1"/>
  <c r="AD2916" i="1"/>
  <c r="AE2916" i="1"/>
  <c r="AF2916" i="1"/>
  <c r="AJ2916" i="1"/>
  <c r="AL2916" i="1"/>
  <c r="AH2915" i="1"/>
  <c r="AG2915" i="1"/>
  <c r="AI2915" i="1"/>
  <c r="AD2915" i="1"/>
  <c r="AE2915" i="1"/>
  <c r="AF2915" i="1"/>
  <c r="AC2915" i="1"/>
  <c r="AJ2915" i="1"/>
  <c r="AL2915" i="1"/>
  <c r="AI2914" i="1"/>
  <c r="AG2914" i="1"/>
  <c r="AH2914" i="1"/>
  <c r="AD2914" i="1"/>
  <c r="AE2914" i="1"/>
  <c r="AF2914" i="1"/>
  <c r="AJ2914" i="1"/>
  <c r="AL2914" i="1"/>
  <c r="AC2914" i="1"/>
  <c r="AG2913" i="1"/>
  <c r="AH2913" i="1"/>
  <c r="AI2913" i="1"/>
  <c r="AE2913" i="1"/>
  <c r="AF2913" i="1"/>
  <c r="AJ2913" i="1"/>
  <c r="AL2913" i="1"/>
  <c r="AC2913" i="1"/>
  <c r="AD2913" i="1"/>
  <c r="AG2912" i="1"/>
  <c r="AH2912" i="1"/>
  <c r="AI2912" i="1"/>
  <c r="AF2912" i="1"/>
  <c r="AE2912" i="1"/>
  <c r="AD2912" i="1"/>
  <c r="AC2912" i="1"/>
  <c r="AJ2912" i="1"/>
  <c r="AL2912" i="1"/>
  <c r="AI2911" i="1"/>
  <c r="AG2911" i="1"/>
  <c r="AH2911" i="1"/>
  <c r="AL2911" i="1"/>
  <c r="AJ2911" i="1"/>
  <c r="AC2911" i="1"/>
  <c r="AF2911" i="1"/>
  <c r="AE2911" i="1"/>
  <c r="AD2911" i="1"/>
  <c r="AI2910" i="1"/>
  <c r="AH2910" i="1"/>
  <c r="AG2910" i="1"/>
  <c r="AL2910" i="1"/>
  <c r="AJ2910" i="1"/>
  <c r="AF2910" i="1"/>
  <c r="AE2910" i="1"/>
  <c r="AD2910" i="1"/>
  <c r="AC2910" i="1"/>
  <c r="AI2909" i="1"/>
  <c r="AH2909" i="1"/>
  <c r="AG2909" i="1"/>
  <c r="AD2909" i="1"/>
  <c r="AL2909" i="1"/>
  <c r="AJ2909" i="1"/>
  <c r="AF2909" i="1"/>
  <c r="AE2909" i="1"/>
  <c r="AC2909" i="1"/>
  <c r="AI2908" i="1"/>
  <c r="AH2908" i="1"/>
  <c r="AG2908" i="1"/>
  <c r="AE2908" i="1"/>
  <c r="AD2908" i="1"/>
  <c r="AL2908" i="1"/>
  <c r="AJ2908" i="1"/>
  <c r="AC2908" i="1"/>
  <c r="AF2908" i="1"/>
  <c r="AH2907" i="1"/>
  <c r="AG2907" i="1"/>
  <c r="AI2907" i="1"/>
  <c r="AL2907" i="1"/>
  <c r="AJ2907" i="1"/>
  <c r="AM2907" i="1" s="1"/>
  <c r="AF2907" i="1"/>
  <c r="AE2907" i="1"/>
  <c r="AD2907" i="1"/>
  <c r="AC2907" i="1"/>
  <c r="AI2906" i="1"/>
  <c r="AH2906" i="1"/>
  <c r="AG2906" i="1"/>
  <c r="AE2906" i="1"/>
  <c r="AD2906" i="1"/>
  <c r="AC2906" i="1"/>
  <c r="AL2906" i="1"/>
  <c r="AJ2906" i="1"/>
  <c r="AF2906" i="1"/>
  <c r="AH2905" i="1"/>
  <c r="AI2905" i="1"/>
  <c r="AG2905" i="1"/>
  <c r="AC2905" i="1"/>
  <c r="AL2905" i="1"/>
  <c r="AD2905" i="1"/>
  <c r="AE2905" i="1"/>
  <c r="AF2905" i="1"/>
  <c r="AJ2905" i="1"/>
  <c r="AM2905" i="1" s="1"/>
  <c r="AG2904" i="1"/>
  <c r="AI2904" i="1"/>
  <c r="AH2904" i="1"/>
  <c r="AL2904" i="1"/>
  <c r="AD2904" i="1"/>
  <c r="AC2904" i="1"/>
  <c r="AE2904" i="1"/>
  <c r="AJ2904" i="1"/>
  <c r="AM2904" i="1" s="1"/>
  <c r="AF2904" i="1"/>
  <c r="AI2903" i="1"/>
  <c r="AG2903" i="1"/>
  <c r="AH2903" i="1"/>
  <c r="AL2903" i="1"/>
  <c r="AF2903" i="1"/>
  <c r="AE2903" i="1"/>
  <c r="AJ2903" i="1"/>
  <c r="AM2903" i="1" s="1"/>
  <c r="AD2903" i="1"/>
  <c r="AC2903" i="1"/>
  <c r="AI2902" i="1"/>
  <c r="AH2902" i="1"/>
  <c r="AG2902" i="1"/>
  <c r="AJ2902" i="1"/>
  <c r="AC2902" i="1"/>
  <c r="AD2902" i="1"/>
  <c r="AE2902" i="1"/>
  <c r="AF2902" i="1"/>
  <c r="AL2902" i="1"/>
  <c r="AI2901" i="1"/>
  <c r="AG2901" i="1"/>
  <c r="AH2901" i="1"/>
  <c r="AE2901" i="1"/>
  <c r="AD2901" i="1"/>
  <c r="AF2901" i="1"/>
  <c r="AC2901" i="1"/>
  <c r="AJ2901" i="1"/>
  <c r="AL2901" i="1"/>
  <c r="AH2900" i="1"/>
  <c r="AG2900" i="1"/>
  <c r="AI2900" i="1"/>
  <c r="AC2900" i="1"/>
  <c r="AD2900" i="1"/>
  <c r="AE2900" i="1"/>
  <c r="AF2900" i="1"/>
  <c r="AJ2900" i="1"/>
  <c r="AL2900" i="1"/>
  <c r="AG2899" i="1"/>
  <c r="AH2899" i="1"/>
  <c r="AI2899" i="1"/>
  <c r="AJ2899" i="1"/>
  <c r="AL2899" i="1"/>
  <c r="AF2899" i="1"/>
  <c r="AE2899" i="1"/>
  <c r="AD2899" i="1"/>
  <c r="AC2899" i="1"/>
  <c r="AH2898" i="1"/>
  <c r="AI2898" i="1"/>
  <c r="AG2898" i="1"/>
  <c r="AF2898" i="1"/>
  <c r="AD2898" i="1"/>
  <c r="AJ2898" i="1"/>
  <c r="AL2898" i="1"/>
  <c r="AC2898" i="1"/>
  <c r="AE2898" i="1"/>
  <c r="AI2897" i="1"/>
  <c r="AH2897" i="1"/>
  <c r="AG2897" i="1"/>
  <c r="AJ2897" i="1"/>
  <c r="AL2897" i="1"/>
  <c r="AF2897" i="1"/>
  <c r="AE2897" i="1"/>
  <c r="AD2897" i="1"/>
  <c r="AC2897" i="1"/>
  <c r="AI2896" i="1"/>
  <c r="AH2896" i="1"/>
  <c r="AG2896" i="1"/>
  <c r="AL2896" i="1"/>
  <c r="AJ2896" i="1"/>
  <c r="AF2896" i="1"/>
  <c r="AE2896" i="1"/>
  <c r="AD2896" i="1"/>
  <c r="AC2896" i="1"/>
  <c r="AI2895" i="1"/>
  <c r="AH2895" i="1"/>
  <c r="AG2895" i="1"/>
  <c r="AF2895" i="1"/>
  <c r="AE2895" i="1"/>
  <c r="AD2895" i="1"/>
  <c r="AC2895" i="1"/>
  <c r="AL2895" i="1"/>
  <c r="AJ2895" i="1"/>
  <c r="AM2895" i="1" s="1"/>
  <c r="AH2894" i="1"/>
  <c r="AI2894" i="1"/>
  <c r="AG2894" i="1"/>
  <c r="AE2894" i="1"/>
  <c r="AF2894" i="1"/>
  <c r="AJ2894" i="1"/>
  <c r="AL2894" i="1"/>
  <c r="AC2894" i="1"/>
  <c r="AD2894" i="1"/>
  <c r="AI2893" i="1"/>
  <c r="AH2893" i="1"/>
  <c r="AG2893" i="1"/>
  <c r="AF2893" i="1"/>
  <c r="AE2893" i="1"/>
  <c r="AD2893" i="1"/>
  <c r="AJ2893" i="1"/>
  <c r="AL2893" i="1"/>
  <c r="AC2893" i="1"/>
  <c r="AI2892" i="1"/>
  <c r="AH2892" i="1"/>
  <c r="AG2892" i="1"/>
  <c r="AC2892" i="1"/>
  <c r="AL2892" i="1"/>
  <c r="AJ2892" i="1"/>
  <c r="AF2892" i="1"/>
  <c r="AE2892" i="1"/>
  <c r="AD2892" i="1"/>
  <c r="AG2891" i="1"/>
  <c r="AH2891" i="1"/>
  <c r="AI2891" i="1"/>
  <c r="AL2891" i="1"/>
  <c r="AC2891" i="1"/>
  <c r="AD2891" i="1"/>
  <c r="AE2891" i="1"/>
  <c r="AF2891" i="1"/>
  <c r="AJ2891" i="1"/>
  <c r="AM2891" i="1" s="1"/>
  <c r="AI2890" i="1"/>
  <c r="AH2890" i="1"/>
  <c r="AG2890" i="1"/>
  <c r="AJ2890" i="1"/>
  <c r="AC2890" i="1"/>
  <c r="AD2890" i="1"/>
  <c r="AL2890" i="1"/>
  <c r="AF2890" i="1"/>
  <c r="AE2890" i="1"/>
  <c r="AI2889" i="1"/>
  <c r="AG2889" i="1"/>
  <c r="AH2889" i="1"/>
  <c r="AJ2889" i="1"/>
  <c r="AL2889" i="1"/>
  <c r="AD2889" i="1"/>
  <c r="AE2889" i="1"/>
  <c r="AF2889" i="1"/>
  <c r="AC2889" i="1"/>
  <c r="AG2888" i="1"/>
  <c r="AI2888" i="1"/>
  <c r="AH2888" i="1"/>
  <c r="AC2888" i="1"/>
  <c r="AE2888" i="1"/>
  <c r="AD2888" i="1"/>
  <c r="AL2888" i="1"/>
  <c r="AF2888" i="1"/>
  <c r="AJ2888" i="1"/>
  <c r="AM2888" i="1" s="1"/>
  <c r="AI2887" i="1"/>
  <c r="AH2887" i="1"/>
  <c r="AG2887" i="1"/>
  <c r="AC2887" i="1"/>
  <c r="AL2887" i="1"/>
  <c r="AD2887" i="1"/>
  <c r="AE2887" i="1"/>
  <c r="AF2887" i="1"/>
  <c r="AJ2887" i="1"/>
  <c r="AM2887" i="1" s="1"/>
  <c r="AG2886" i="1"/>
  <c r="AH2886" i="1"/>
  <c r="AI2886" i="1"/>
  <c r="AD2886" i="1"/>
  <c r="AF2886" i="1"/>
  <c r="AJ2886" i="1"/>
  <c r="AL2886" i="1"/>
  <c r="AE2886" i="1"/>
  <c r="AC2886" i="1"/>
  <c r="AG2885" i="1"/>
  <c r="AI2885" i="1"/>
  <c r="AH2885" i="1"/>
  <c r="AL2885" i="1"/>
  <c r="AF2885" i="1"/>
  <c r="AE2885" i="1"/>
  <c r="AC2885" i="1"/>
  <c r="AD2885" i="1"/>
  <c r="AJ2885" i="1"/>
  <c r="AM2885" i="1" s="1"/>
  <c r="AI2884" i="1"/>
  <c r="AH2884" i="1"/>
  <c r="AG2884" i="1"/>
  <c r="AD2884" i="1"/>
  <c r="AC2884" i="1"/>
  <c r="AE2884" i="1"/>
  <c r="AF2884" i="1"/>
  <c r="AL2884" i="1"/>
  <c r="AJ2884" i="1"/>
  <c r="AG2883" i="1"/>
  <c r="AH2883" i="1"/>
  <c r="AI2883" i="1"/>
  <c r="AC2883" i="1"/>
  <c r="AD2883" i="1"/>
  <c r="AF2883" i="1"/>
  <c r="AJ2883" i="1"/>
  <c r="AE2883" i="1"/>
  <c r="AL2883" i="1"/>
  <c r="AG2882" i="1"/>
  <c r="AH2882" i="1"/>
  <c r="AI2882" i="1"/>
  <c r="AL2882" i="1"/>
  <c r="AC2882" i="1"/>
  <c r="AF2882" i="1"/>
  <c r="AE2882" i="1"/>
  <c r="AD2882" i="1"/>
  <c r="AJ2882" i="1"/>
  <c r="AM2882" i="1" s="1"/>
  <c r="AI2881" i="1"/>
  <c r="AH2881" i="1"/>
  <c r="AG2881" i="1"/>
  <c r="AE2881" i="1"/>
  <c r="AL2881" i="1"/>
  <c r="AJ2881" i="1"/>
  <c r="AF2881" i="1"/>
  <c r="AD2881" i="1"/>
  <c r="AC2881" i="1"/>
  <c r="AI2880" i="1"/>
  <c r="AH2880" i="1"/>
  <c r="AG2880" i="1"/>
  <c r="AE2880" i="1"/>
  <c r="AC2880" i="1"/>
  <c r="AD2880" i="1"/>
  <c r="AF2880" i="1"/>
  <c r="AJ2880" i="1"/>
  <c r="AL2880" i="1"/>
  <c r="AI2879" i="1"/>
  <c r="AH2879" i="1"/>
  <c r="AG2879" i="1"/>
  <c r="AE2879" i="1"/>
  <c r="AD2879" i="1"/>
  <c r="AC2879" i="1"/>
  <c r="AF2879" i="1"/>
  <c r="AL2879" i="1"/>
  <c r="AJ2879" i="1"/>
  <c r="AI2878" i="1"/>
  <c r="AH2878" i="1"/>
  <c r="AG2878" i="1"/>
  <c r="AL2878" i="1"/>
  <c r="AJ2878" i="1"/>
  <c r="AF2878" i="1"/>
  <c r="AE2878" i="1"/>
  <c r="AD2878" i="1"/>
  <c r="AC2878" i="1"/>
  <c r="AG2877" i="1"/>
  <c r="AI2877" i="1"/>
  <c r="AH2877" i="1"/>
  <c r="AF2877" i="1"/>
  <c r="AL2877" i="1"/>
  <c r="AJ2877" i="1"/>
  <c r="AE2877" i="1"/>
  <c r="AD2877" i="1"/>
  <c r="AC2877" i="1"/>
  <c r="AH2876" i="1"/>
  <c r="AI2876" i="1"/>
  <c r="AG2876" i="1"/>
  <c r="AE2876" i="1"/>
  <c r="AC2876" i="1"/>
  <c r="AD2876" i="1"/>
  <c r="AL2876" i="1"/>
  <c r="AJ2876" i="1"/>
  <c r="AM2876" i="1" s="1"/>
  <c r="AF2876" i="1"/>
  <c r="AG2875" i="1"/>
  <c r="AH2875" i="1"/>
  <c r="AI2875" i="1"/>
  <c r="AE2875" i="1"/>
  <c r="AF2875" i="1"/>
  <c r="AJ2875" i="1"/>
  <c r="AL2875" i="1"/>
  <c r="AD2875" i="1"/>
  <c r="AC2875" i="1"/>
  <c r="AI2874" i="1"/>
  <c r="AH2874" i="1"/>
  <c r="AG2874" i="1"/>
  <c r="AF2874" i="1"/>
  <c r="AL2874" i="1"/>
  <c r="AJ2874" i="1"/>
  <c r="AE2874" i="1"/>
  <c r="AD2874" i="1"/>
  <c r="AC2874" i="1"/>
  <c r="AH2873" i="1"/>
  <c r="AI2873" i="1"/>
  <c r="AG2873" i="1"/>
  <c r="AE2873" i="1"/>
  <c r="AD2873" i="1"/>
  <c r="AL2873" i="1"/>
  <c r="AC2873" i="1"/>
  <c r="AJ2873" i="1"/>
  <c r="AM2873" i="1" s="1"/>
  <c r="AF2873" i="1"/>
  <c r="AI2872" i="1"/>
  <c r="AH2872" i="1"/>
  <c r="AG2872" i="1"/>
  <c r="AD2872" i="1"/>
  <c r="AC2872" i="1"/>
  <c r="AL2872" i="1"/>
  <c r="AJ2872" i="1"/>
  <c r="AM2872" i="1" s="1"/>
  <c r="AF2872" i="1"/>
  <c r="AE2872" i="1"/>
  <c r="AI2871" i="1"/>
  <c r="AH2871" i="1"/>
  <c r="AG2871" i="1"/>
  <c r="AJ2871" i="1"/>
  <c r="AD2871" i="1"/>
  <c r="AL2871" i="1"/>
  <c r="AF2871" i="1"/>
  <c r="AE2871" i="1"/>
  <c r="AC2871" i="1"/>
  <c r="AI2870" i="1"/>
  <c r="AH2870" i="1"/>
  <c r="AG2870" i="1"/>
  <c r="AJ2870" i="1"/>
  <c r="AL2870" i="1"/>
  <c r="AF2870" i="1"/>
  <c r="AE2870" i="1"/>
  <c r="AD2870" i="1"/>
  <c r="AC2870" i="1"/>
  <c r="AI2869" i="1"/>
  <c r="AH2869" i="1"/>
  <c r="AG2869" i="1"/>
  <c r="AE2869" i="1"/>
  <c r="AD2869" i="1"/>
  <c r="AC2869" i="1"/>
  <c r="AL2869" i="1"/>
  <c r="AJ2869" i="1"/>
  <c r="AF2869" i="1"/>
  <c r="AI2868" i="1"/>
  <c r="AG2868" i="1"/>
  <c r="AH2868" i="1"/>
  <c r="AE2868" i="1"/>
  <c r="AD2868" i="1"/>
  <c r="AC2868" i="1"/>
  <c r="AL2868" i="1"/>
  <c r="AJ2868" i="1"/>
  <c r="AM2868" i="1" s="1"/>
  <c r="AF2868" i="1"/>
  <c r="AI2867" i="1"/>
  <c r="AH2867" i="1"/>
  <c r="AG2867" i="1"/>
  <c r="AL2867" i="1"/>
  <c r="AJ2867" i="1"/>
  <c r="AM2867" i="1" s="1"/>
  <c r="AF2867" i="1"/>
  <c r="AD2867" i="1"/>
  <c r="AC2867" i="1"/>
  <c r="AE2867" i="1"/>
  <c r="AI2866" i="1"/>
  <c r="AH2866" i="1"/>
  <c r="AG2866" i="1"/>
  <c r="AC2866" i="1"/>
  <c r="AL2866" i="1"/>
  <c r="AJ2866" i="1"/>
  <c r="AM2866" i="1" s="1"/>
  <c r="AF2866" i="1"/>
  <c r="AD2866" i="1"/>
  <c r="AE2866" i="1"/>
  <c r="AI2865" i="1"/>
  <c r="AH2865" i="1"/>
  <c r="AG2865" i="1"/>
  <c r="AC2865" i="1"/>
  <c r="AD2865" i="1"/>
  <c r="AE2865" i="1"/>
  <c r="AF2865" i="1"/>
  <c r="AL2865" i="1"/>
  <c r="AJ2865" i="1"/>
  <c r="AM2865" i="1" s="1"/>
  <c r="AH2864" i="1"/>
  <c r="AG2864" i="1"/>
  <c r="AI2864" i="1"/>
  <c r="AL2864" i="1"/>
  <c r="AC2864" i="1"/>
  <c r="AD2864" i="1"/>
  <c r="AE2864" i="1"/>
  <c r="AF2864" i="1"/>
  <c r="AJ2864" i="1"/>
  <c r="AM2864" i="1" s="1"/>
  <c r="AI2863" i="1"/>
  <c r="AH2863" i="1"/>
  <c r="AG2863" i="1"/>
  <c r="AJ2863" i="1"/>
  <c r="AL2863" i="1"/>
  <c r="AF2863" i="1"/>
  <c r="AE2863" i="1"/>
  <c r="AC2863" i="1"/>
  <c r="AD2863" i="1"/>
  <c r="AG2862" i="1"/>
  <c r="AI2862" i="1"/>
  <c r="AH2862" i="1"/>
  <c r="AF2862" i="1"/>
  <c r="AE2862" i="1"/>
  <c r="AL2862" i="1"/>
  <c r="AJ2862" i="1"/>
  <c r="AC2862" i="1"/>
  <c r="AD2862" i="1"/>
  <c r="AI2861" i="1"/>
  <c r="AH2861" i="1"/>
  <c r="AG2861" i="1"/>
  <c r="AL2861" i="1"/>
  <c r="AJ2861" i="1"/>
  <c r="AF2861" i="1"/>
  <c r="AE2861" i="1"/>
  <c r="AD2861" i="1"/>
  <c r="AC2861" i="1"/>
  <c r="AG2860" i="1"/>
  <c r="AI2860" i="1"/>
  <c r="AH2860" i="1"/>
  <c r="AL2860" i="1"/>
  <c r="AC2860" i="1"/>
  <c r="AD2860" i="1"/>
  <c r="AE2860" i="1"/>
  <c r="AF2860" i="1"/>
  <c r="AJ2860" i="1"/>
  <c r="AM2860" i="1" s="1"/>
  <c r="AG2859" i="1"/>
  <c r="AI2859" i="1"/>
  <c r="AH2859" i="1"/>
  <c r="AL2859" i="1"/>
  <c r="AJ2859" i="1"/>
  <c r="AM2859" i="1" s="1"/>
  <c r="AF2859" i="1"/>
  <c r="AE2859" i="1"/>
  <c r="AD2859" i="1"/>
  <c r="AC2859" i="1"/>
  <c r="AI2858" i="1"/>
  <c r="AH2858" i="1"/>
  <c r="AG2858" i="1"/>
  <c r="AL2858" i="1"/>
  <c r="AJ2858" i="1"/>
  <c r="AE2858" i="1"/>
  <c r="AD2858" i="1"/>
  <c r="AC2858" i="1"/>
  <c r="AF2858" i="1"/>
  <c r="AG2857" i="1"/>
  <c r="AI2857" i="1"/>
  <c r="AH2857" i="1"/>
  <c r="AL2857" i="1"/>
  <c r="AJ2857" i="1"/>
  <c r="AF2857" i="1"/>
  <c r="AE2857" i="1"/>
  <c r="AD2857" i="1"/>
  <c r="AC2857" i="1"/>
  <c r="AH2856" i="1"/>
  <c r="AG2856" i="1"/>
  <c r="AI2856" i="1"/>
  <c r="AF2856" i="1"/>
  <c r="AE2856" i="1"/>
  <c r="AD2856" i="1"/>
  <c r="AC2856" i="1"/>
  <c r="AL2856" i="1"/>
  <c r="AJ2856" i="1"/>
  <c r="AM2856" i="1" s="1"/>
  <c r="AI2855" i="1"/>
  <c r="AH2855" i="1"/>
  <c r="AG2855" i="1"/>
  <c r="AL2855" i="1"/>
  <c r="AJ2855" i="1"/>
  <c r="AM2855" i="1" s="1"/>
  <c r="AF2855" i="1"/>
  <c r="AE2855" i="1"/>
  <c r="AD2855" i="1"/>
  <c r="AC2855" i="1"/>
  <c r="AH2854" i="1"/>
  <c r="AG2854" i="1"/>
  <c r="AI2854" i="1"/>
  <c r="AE2854" i="1"/>
  <c r="AD2854" i="1"/>
  <c r="AL2854" i="1"/>
  <c r="AJ2854" i="1"/>
  <c r="AC2854" i="1"/>
  <c r="AF2854" i="1"/>
  <c r="AI2853" i="1"/>
  <c r="AH2853" i="1"/>
  <c r="AG2853" i="1"/>
  <c r="AL2853" i="1"/>
  <c r="AJ2853" i="1"/>
  <c r="AM2853" i="1" s="1"/>
  <c r="AF2853" i="1"/>
  <c r="AE2853" i="1"/>
  <c r="AD2853" i="1"/>
  <c r="AC2853" i="1"/>
  <c r="AI2852" i="1"/>
  <c r="AH2852" i="1"/>
  <c r="AG2852" i="1"/>
  <c r="AD2852" i="1"/>
  <c r="AE2852" i="1"/>
  <c r="AC2852" i="1"/>
  <c r="AL2852" i="1"/>
  <c r="AJ2852" i="1"/>
  <c r="AF2852" i="1"/>
  <c r="AG2851" i="1"/>
  <c r="AH2851" i="1"/>
  <c r="AI2851" i="1"/>
  <c r="AF2851" i="1"/>
  <c r="AJ2851" i="1"/>
  <c r="AL2851" i="1"/>
  <c r="AE2851" i="1"/>
  <c r="AD2851" i="1"/>
  <c r="AC2851" i="1"/>
  <c r="AI2850" i="1"/>
  <c r="AH2850" i="1"/>
  <c r="AG2850" i="1"/>
  <c r="AL2850" i="1"/>
  <c r="AJ2850" i="1"/>
  <c r="AM2850" i="1" s="1"/>
  <c r="AE2850" i="1"/>
  <c r="AF2850" i="1"/>
  <c r="AD2850" i="1"/>
  <c r="AC2850" i="1"/>
  <c r="AG2849" i="1"/>
  <c r="AI2849" i="1"/>
  <c r="AH2849" i="1"/>
  <c r="AD2849" i="1"/>
  <c r="AC2849" i="1"/>
  <c r="AL2849" i="1"/>
  <c r="AJ2849" i="1"/>
  <c r="AM2849" i="1" s="1"/>
  <c r="AF2849" i="1"/>
  <c r="AE2849" i="1"/>
  <c r="AI2848" i="1"/>
  <c r="AH2848" i="1"/>
  <c r="AG2848" i="1"/>
  <c r="AL2848" i="1"/>
  <c r="AJ2848" i="1"/>
  <c r="AF2848" i="1"/>
  <c r="AE2848" i="1"/>
  <c r="AD2848" i="1"/>
  <c r="AC2848" i="1"/>
  <c r="AI2847" i="1"/>
  <c r="AH2847" i="1"/>
  <c r="AG2847" i="1"/>
  <c r="AL2847" i="1"/>
  <c r="AJ2847" i="1"/>
  <c r="AF2847" i="1"/>
  <c r="AE2847" i="1"/>
  <c r="AD2847" i="1"/>
  <c r="AC2847" i="1"/>
  <c r="AI2846" i="1"/>
  <c r="AH2846" i="1"/>
  <c r="AG2846" i="1"/>
  <c r="AD2846" i="1"/>
  <c r="AC2846" i="1"/>
  <c r="AF2846" i="1"/>
  <c r="AL2846" i="1"/>
  <c r="AJ2846" i="1"/>
  <c r="AE2846" i="1"/>
  <c r="AI2845" i="1"/>
  <c r="AH2845" i="1"/>
  <c r="AG2845" i="1"/>
  <c r="AF2845" i="1"/>
  <c r="AE2845" i="1"/>
  <c r="AL2845" i="1"/>
  <c r="AJ2845" i="1"/>
  <c r="AD2845" i="1"/>
  <c r="AC2845" i="1"/>
  <c r="AI2844" i="1"/>
  <c r="AH2844" i="1"/>
  <c r="AG2844" i="1"/>
  <c r="AL2844" i="1"/>
  <c r="AJ2844" i="1"/>
  <c r="AF2844" i="1"/>
  <c r="AE2844" i="1"/>
  <c r="AD2844" i="1"/>
  <c r="AC2844" i="1"/>
  <c r="AI2843" i="1"/>
  <c r="AH2843" i="1"/>
  <c r="AG2843" i="1"/>
  <c r="AL2843" i="1"/>
  <c r="AJ2843" i="1"/>
  <c r="AF2843" i="1"/>
  <c r="AE2843" i="1"/>
  <c r="AD2843" i="1"/>
  <c r="AC2843" i="1"/>
  <c r="AG2842" i="1"/>
  <c r="AH2842" i="1"/>
  <c r="AI2842" i="1"/>
  <c r="AL2842" i="1"/>
  <c r="AJ2842" i="1"/>
  <c r="AM2842" i="1" s="1"/>
  <c r="AE2842" i="1"/>
  <c r="AF2842" i="1"/>
  <c r="AD2842" i="1"/>
  <c r="AC2842" i="1"/>
  <c r="AI2841" i="1"/>
  <c r="AH2841" i="1"/>
  <c r="AG2841" i="1"/>
  <c r="AL2841" i="1"/>
  <c r="AJ2841" i="1"/>
  <c r="AM2841" i="1" s="1"/>
  <c r="AF2841" i="1"/>
  <c r="AE2841" i="1"/>
  <c r="AD2841" i="1"/>
  <c r="AC2841" i="1"/>
  <c r="AI2840" i="1"/>
  <c r="AH2840" i="1"/>
  <c r="AG2840" i="1"/>
  <c r="AL2840" i="1"/>
  <c r="AJ2840" i="1"/>
  <c r="AM2840" i="1" s="1"/>
  <c r="AF2840" i="1"/>
  <c r="AE2840" i="1"/>
  <c r="AD2840" i="1"/>
  <c r="AC2840" i="1"/>
  <c r="AI2839" i="1"/>
  <c r="AH2839" i="1"/>
  <c r="AG2839" i="1"/>
  <c r="AD2839" i="1"/>
  <c r="AE2839" i="1"/>
  <c r="AF2839" i="1"/>
  <c r="AL2839" i="1"/>
  <c r="AJ2839" i="1"/>
  <c r="AC2839" i="1"/>
  <c r="AG2838" i="1"/>
  <c r="AH2838" i="1"/>
  <c r="AI2838" i="1"/>
  <c r="AC2838" i="1"/>
  <c r="AD2838" i="1"/>
  <c r="AE2838" i="1"/>
  <c r="AF2838" i="1"/>
  <c r="AL2838" i="1"/>
  <c r="AJ2838" i="1"/>
  <c r="AH2837" i="1"/>
  <c r="AG2837" i="1"/>
  <c r="AI2837" i="1"/>
  <c r="AC2837" i="1"/>
  <c r="AD2837" i="1"/>
  <c r="AE2837" i="1"/>
  <c r="AF2837" i="1"/>
  <c r="AJ2837" i="1"/>
  <c r="AL2837" i="1"/>
  <c r="AH2836" i="1"/>
  <c r="AI2836" i="1"/>
  <c r="AG2836" i="1"/>
  <c r="AJ2836" i="1"/>
  <c r="AL2836" i="1"/>
  <c r="AD2836" i="1"/>
  <c r="AC2836" i="1"/>
  <c r="AF2836" i="1"/>
  <c r="AE2836" i="1"/>
  <c r="AG2835" i="1"/>
  <c r="AH2835" i="1"/>
  <c r="AI2835" i="1"/>
  <c r="AE2835" i="1"/>
  <c r="AJ2835" i="1"/>
  <c r="AC2835" i="1"/>
  <c r="AD2835" i="1"/>
  <c r="AF2835" i="1"/>
  <c r="AL2835" i="1"/>
  <c r="AI2834" i="1"/>
  <c r="AG2834" i="1"/>
  <c r="AH2834" i="1"/>
  <c r="AJ2834" i="1"/>
  <c r="AE2834" i="1"/>
  <c r="AC2834" i="1"/>
  <c r="AL2834" i="1"/>
  <c r="AF2834" i="1"/>
  <c r="AD2834" i="1"/>
  <c r="AI2833" i="1"/>
  <c r="AH2833" i="1"/>
  <c r="AG2833" i="1"/>
  <c r="AL2833" i="1"/>
  <c r="AJ2833" i="1"/>
  <c r="AF2833" i="1"/>
  <c r="AE2833" i="1"/>
  <c r="AD2833" i="1"/>
  <c r="AC2833" i="1"/>
  <c r="AH2832" i="1"/>
  <c r="AG2832" i="1"/>
  <c r="AI2832" i="1"/>
  <c r="AL2832" i="1"/>
  <c r="AF2832" i="1"/>
  <c r="AJ2832" i="1"/>
  <c r="AM2832" i="1" s="1"/>
  <c r="AE2832" i="1"/>
  <c r="AD2832" i="1"/>
  <c r="AC2832" i="1"/>
  <c r="AG2831" i="1"/>
  <c r="AI2831" i="1"/>
  <c r="AH2831" i="1"/>
  <c r="AC2831" i="1"/>
  <c r="AD2831" i="1"/>
  <c r="AE2831" i="1"/>
  <c r="AF2831" i="1"/>
  <c r="AJ2831" i="1"/>
  <c r="AL2831" i="1"/>
  <c r="AI2830" i="1"/>
  <c r="AG2830" i="1"/>
  <c r="AH2830" i="1"/>
  <c r="AJ2830" i="1"/>
  <c r="AC2830" i="1"/>
  <c r="AL2830" i="1"/>
  <c r="AD2830" i="1"/>
  <c r="AE2830" i="1"/>
  <c r="AF2830" i="1"/>
  <c r="AG2829" i="1"/>
  <c r="AI2829" i="1"/>
  <c r="AH2829" i="1"/>
  <c r="AL2829" i="1"/>
  <c r="AF2829" i="1"/>
  <c r="AE2829" i="1"/>
  <c r="AD2829" i="1"/>
  <c r="AC2829" i="1"/>
  <c r="AJ2829" i="1"/>
  <c r="AM2829" i="1" s="1"/>
  <c r="AI2828" i="1"/>
  <c r="AH2828" i="1"/>
  <c r="AG2828" i="1"/>
  <c r="AL2828" i="1"/>
  <c r="AE2828" i="1"/>
  <c r="AF2828" i="1"/>
  <c r="AJ2828" i="1"/>
  <c r="AM2828" i="1" s="1"/>
  <c r="AC2828" i="1"/>
  <c r="AD2828" i="1"/>
  <c r="AH2827" i="1"/>
  <c r="AI2827" i="1"/>
  <c r="AG2827" i="1"/>
  <c r="AF2827" i="1"/>
  <c r="AC2827" i="1"/>
  <c r="AD2827" i="1"/>
  <c r="AE2827" i="1"/>
  <c r="AJ2827" i="1"/>
  <c r="AL2827" i="1"/>
  <c r="AH2826" i="1"/>
  <c r="AI2826" i="1"/>
  <c r="AG2826" i="1"/>
  <c r="AC2826" i="1"/>
  <c r="AE2826" i="1"/>
  <c r="AF2826" i="1"/>
  <c r="AD2826" i="1"/>
  <c r="AL2826" i="1"/>
  <c r="AJ2826" i="1"/>
  <c r="AM2826" i="1" s="1"/>
  <c r="AG2825" i="1"/>
  <c r="AH2825" i="1"/>
  <c r="AI2825" i="1"/>
  <c r="AL2825" i="1"/>
  <c r="AJ2825" i="1"/>
  <c r="AD2825" i="1"/>
  <c r="AE2825" i="1"/>
  <c r="AF2825" i="1"/>
  <c r="AC2825" i="1"/>
  <c r="AH2824" i="1"/>
  <c r="AI2824" i="1"/>
  <c r="AG2824" i="1"/>
  <c r="AL2824" i="1"/>
  <c r="AJ2824" i="1"/>
  <c r="AF2824" i="1"/>
  <c r="AE2824" i="1"/>
  <c r="AD2824" i="1"/>
  <c r="AC2824" i="1"/>
  <c r="AG2823" i="1"/>
  <c r="AI2823" i="1"/>
  <c r="AH2823" i="1"/>
  <c r="AE2823" i="1"/>
  <c r="AD2823" i="1"/>
  <c r="AC2823" i="1"/>
  <c r="AJ2823" i="1"/>
  <c r="AF2823" i="1"/>
  <c r="AL2823" i="1"/>
  <c r="AI2822" i="1"/>
  <c r="AH2822" i="1"/>
  <c r="AG2822" i="1"/>
  <c r="AL2822" i="1"/>
  <c r="AJ2822" i="1"/>
  <c r="AF2822" i="1"/>
  <c r="AC2822" i="1"/>
  <c r="AD2822" i="1"/>
  <c r="AE2822" i="1"/>
  <c r="AG2821" i="1"/>
  <c r="AH2821" i="1"/>
  <c r="AI2821" i="1"/>
  <c r="AC2821" i="1"/>
  <c r="AD2821" i="1"/>
  <c r="AF2821" i="1"/>
  <c r="AJ2821" i="1"/>
  <c r="AL2821" i="1"/>
  <c r="AE2821" i="1"/>
  <c r="AH2820" i="1"/>
  <c r="AI2820" i="1"/>
  <c r="AG2820" i="1"/>
  <c r="AD2820" i="1"/>
  <c r="AC2820" i="1"/>
  <c r="AE2820" i="1"/>
  <c r="AF2820" i="1"/>
  <c r="AJ2820" i="1"/>
  <c r="AL2820" i="1"/>
  <c r="AI2819" i="1"/>
  <c r="AH2819" i="1"/>
  <c r="AG2819" i="1"/>
  <c r="AD2819" i="1"/>
  <c r="AE2819" i="1"/>
  <c r="AL2819" i="1"/>
  <c r="AJ2819" i="1"/>
  <c r="AM2819" i="1" s="1"/>
  <c r="AF2819" i="1"/>
  <c r="AC2819" i="1"/>
  <c r="AI2818" i="1"/>
  <c r="AH2818" i="1"/>
  <c r="AG2818" i="1"/>
  <c r="AD2818" i="1"/>
  <c r="AF2818" i="1"/>
  <c r="AE2818" i="1"/>
  <c r="AC2818" i="1"/>
  <c r="AJ2818" i="1"/>
  <c r="AL2818" i="1"/>
  <c r="AG2817" i="1"/>
  <c r="AH2817" i="1"/>
  <c r="AI2817" i="1"/>
  <c r="AC2817" i="1"/>
  <c r="AL2817" i="1"/>
  <c r="AF2817" i="1"/>
  <c r="AD2817" i="1"/>
  <c r="AJ2817" i="1"/>
  <c r="AM2817" i="1" s="1"/>
  <c r="AE2817" i="1"/>
  <c r="AG2816" i="1"/>
  <c r="AI2816" i="1"/>
  <c r="AH2816" i="1"/>
  <c r="AD2816" i="1"/>
  <c r="AE2816" i="1"/>
  <c r="AF2816" i="1"/>
  <c r="AC2816" i="1"/>
  <c r="AL2816" i="1"/>
  <c r="AJ2816" i="1"/>
  <c r="AI2815" i="1"/>
  <c r="AH2815" i="1"/>
  <c r="AG2815" i="1"/>
  <c r="AE2815" i="1"/>
  <c r="AJ2815" i="1"/>
  <c r="AL2815" i="1"/>
  <c r="AF2815" i="1"/>
  <c r="AC2815" i="1"/>
  <c r="AD2815" i="1"/>
  <c r="AH2814" i="1"/>
  <c r="AG2814" i="1"/>
  <c r="AI2814" i="1"/>
  <c r="AC2814" i="1"/>
  <c r="AD2814" i="1"/>
  <c r="AE2814" i="1"/>
  <c r="AF2814" i="1"/>
  <c r="AJ2814" i="1"/>
  <c r="AL2814" i="1"/>
  <c r="AI2813" i="1"/>
  <c r="AH2813" i="1"/>
  <c r="AG2813" i="1"/>
  <c r="AL2813" i="1"/>
  <c r="AE2813" i="1"/>
  <c r="AD2813" i="1"/>
  <c r="AC2813" i="1"/>
  <c r="AF2813" i="1"/>
  <c r="AJ2813" i="1"/>
  <c r="AM2813" i="1" s="1"/>
  <c r="AH2812" i="1"/>
  <c r="AG2812" i="1"/>
  <c r="AI2812" i="1"/>
  <c r="AF2812" i="1"/>
  <c r="AJ2812" i="1"/>
  <c r="AL2812" i="1"/>
  <c r="AE2812" i="1"/>
  <c r="AD2812" i="1"/>
  <c r="AC2812" i="1"/>
  <c r="AI2811" i="1"/>
  <c r="AH2811" i="1"/>
  <c r="AG2811" i="1"/>
  <c r="AL2811" i="1"/>
  <c r="AJ2811" i="1"/>
  <c r="AM2811" i="1" s="1"/>
  <c r="AF2811" i="1"/>
  <c r="AC2811" i="1"/>
  <c r="AD2811" i="1"/>
  <c r="AE2811" i="1"/>
  <c r="AG2810" i="1"/>
  <c r="AH2810" i="1"/>
  <c r="AI2810" i="1"/>
  <c r="AC2810" i="1"/>
  <c r="AE2810" i="1"/>
  <c r="AD2810" i="1"/>
  <c r="AJ2810" i="1"/>
  <c r="AF2810" i="1"/>
  <c r="AL2810" i="1"/>
  <c r="AI2809" i="1"/>
  <c r="AH2809" i="1"/>
  <c r="AG2809" i="1"/>
  <c r="AL2809" i="1"/>
  <c r="AJ2809" i="1"/>
  <c r="AM2809" i="1" s="1"/>
  <c r="AF2809" i="1"/>
  <c r="AE2809" i="1"/>
  <c r="AD2809" i="1"/>
  <c r="AC2809" i="1"/>
  <c r="AI2808" i="1"/>
  <c r="AH2808" i="1"/>
  <c r="AG2808" i="1"/>
  <c r="AF2808" i="1"/>
  <c r="AJ2808" i="1"/>
  <c r="AL2808" i="1"/>
  <c r="AE2808" i="1"/>
  <c r="AC2808" i="1"/>
  <c r="AD2808" i="1"/>
  <c r="AI2807" i="1"/>
  <c r="AH2807" i="1"/>
  <c r="AG2807" i="1"/>
  <c r="AL2807" i="1"/>
  <c r="AJ2807" i="1"/>
  <c r="AF2807" i="1"/>
  <c r="AE2807" i="1"/>
  <c r="AD2807" i="1"/>
  <c r="AC2807" i="1"/>
  <c r="AI2806" i="1"/>
  <c r="AH2806" i="1"/>
  <c r="AG2806" i="1"/>
  <c r="AL2806" i="1"/>
  <c r="AJ2806" i="1"/>
  <c r="AM2806" i="1" s="1"/>
  <c r="AF2806" i="1"/>
  <c r="AE2806" i="1"/>
  <c r="AD2806" i="1"/>
  <c r="AC2806" i="1"/>
  <c r="AI2805" i="1"/>
  <c r="AH2805" i="1"/>
  <c r="AG2805" i="1"/>
  <c r="AL2805" i="1"/>
  <c r="AJ2805" i="1"/>
  <c r="AF2805" i="1"/>
  <c r="AE2805" i="1"/>
  <c r="AD2805" i="1"/>
  <c r="AC2805" i="1"/>
  <c r="AG2804" i="1"/>
  <c r="AI2804" i="1"/>
  <c r="AH2804" i="1"/>
  <c r="AC2804" i="1"/>
  <c r="AD2804" i="1"/>
  <c r="AE2804" i="1"/>
  <c r="AF2804" i="1"/>
  <c r="AJ2804" i="1"/>
  <c r="AL2804" i="1"/>
  <c r="AI2803" i="1"/>
  <c r="AG2803" i="1"/>
  <c r="AH2803" i="1"/>
  <c r="AL2803" i="1"/>
  <c r="AJ2803" i="1"/>
  <c r="AF2803" i="1"/>
  <c r="AD2803" i="1"/>
  <c r="AC2803" i="1"/>
  <c r="AE2803" i="1"/>
  <c r="AG2802" i="1"/>
  <c r="AI2802" i="1"/>
  <c r="AH2802" i="1"/>
  <c r="AC2802" i="1"/>
  <c r="AD2802" i="1"/>
  <c r="AF2802" i="1"/>
  <c r="AL2802" i="1"/>
  <c r="AE2802" i="1"/>
  <c r="AJ2802" i="1"/>
  <c r="AM2802" i="1" s="1"/>
  <c r="AG2801" i="1"/>
  <c r="AH2801" i="1"/>
  <c r="AI2801" i="1"/>
  <c r="AE2801" i="1"/>
  <c r="AF2801" i="1"/>
  <c r="AD2801" i="1"/>
  <c r="AC2801" i="1"/>
  <c r="AJ2801" i="1"/>
  <c r="AL2801" i="1"/>
  <c r="AI2800" i="1"/>
  <c r="AH2800" i="1"/>
  <c r="AG2800" i="1"/>
  <c r="AC2800" i="1"/>
  <c r="AD2800" i="1"/>
  <c r="AE2800" i="1"/>
  <c r="AF2800" i="1"/>
  <c r="AJ2800" i="1"/>
  <c r="AL2800" i="1"/>
  <c r="AG2799" i="1"/>
  <c r="AI2799" i="1"/>
  <c r="AH2799" i="1"/>
  <c r="AE2799" i="1"/>
  <c r="AF2799" i="1"/>
  <c r="AJ2799" i="1"/>
  <c r="AL2799" i="1"/>
  <c r="AD2799" i="1"/>
  <c r="AC2799" i="1"/>
  <c r="AH2798" i="1"/>
  <c r="AI2798" i="1"/>
  <c r="AG2798" i="1"/>
  <c r="AC2798" i="1"/>
  <c r="AD2798" i="1"/>
  <c r="AE2798" i="1"/>
  <c r="AF2798" i="1"/>
  <c r="AL2798" i="1"/>
  <c r="AJ2798" i="1"/>
  <c r="AM2798" i="1" s="1"/>
  <c r="AI2797" i="1"/>
  <c r="AH2797" i="1"/>
  <c r="AG2797" i="1"/>
  <c r="AF2797" i="1"/>
  <c r="AD2797" i="1"/>
  <c r="AC2797" i="1"/>
  <c r="AL2797" i="1"/>
  <c r="AJ2797" i="1"/>
  <c r="AE2797" i="1"/>
  <c r="AG2796" i="1"/>
  <c r="AI2796" i="1"/>
  <c r="AH2796" i="1"/>
  <c r="AL2796" i="1"/>
  <c r="AJ2796" i="1"/>
  <c r="AD2796" i="1"/>
  <c r="AC2796" i="1"/>
  <c r="AE2796" i="1"/>
  <c r="AF2796" i="1"/>
  <c r="AI2795" i="1"/>
  <c r="AH2795" i="1"/>
  <c r="AG2795" i="1"/>
  <c r="AF2795" i="1"/>
  <c r="AL2795" i="1"/>
  <c r="AE2795" i="1"/>
  <c r="AD2795" i="1"/>
  <c r="AC2795" i="1"/>
  <c r="AJ2795" i="1"/>
  <c r="AM2795" i="1" s="1"/>
  <c r="AG2794" i="1"/>
  <c r="AH2794" i="1"/>
  <c r="AI2794" i="1"/>
  <c r="AF2794" i="1"/>
  <c r="AE2794" i="1"/>
  <c r="AD2794" i="1"/>
  <c r="AC2794" i="1"/>
  <c r="AJ2794" i="1"/>
  <c r="AL2794" i="1"/>
  <c r="AI2793" i="1"/>
  <c r="AH2793" i="1"/>
  <c r="AG2793" i="1"/>
  <c r="AL2793" i="1"/>
  <c r="AJ2793" i="1"/>
  <c r="AF2793" i="1"/>
  <c r="AE2793" i="1"/>
  <c r="AD2793" i="1"/>
  <c r="AC2793" i="1"/>
  <c r="AI2792" i="1"/>
  <c r="AH2792" i="1"/>
  <c r="AG2792" i="1"/>
  <c r="AL2792" i="1"/>
  <c r="AJ2792" i="1"/>
  <c r="AF2792" i="1"/>
  <c r="AE2792" i="1"/>
  <c r="AD2792" i="1"/>
  <c r="AC2792" i="1"/>
  <c r="AI2791" i="1"/>
  <c r="AG2791" i="1"/>
  <c r="AH2791" i="1"/>
  <c r="AL2791" i="1"/>
  <c r="AJ2791" i="1"/>
  <c r="AF2791" i="1"/>
  <c r="AE2791" i="1"/>
  <c r="AD2791" i="1"/>
  <c r="AC2791" i="1"/>
  <c r="AH2790" i="1"/>
  <c r="AG2790" i="1"/>
  <c r="AI2790" i="1"/>
  <c r="AE2790" i="1"/>
  <c r="AD2790" i="1"/>
  <c r="AJ2790" i="1"/>
  <c r="AC2790" i="1"/>
  <c r="AL2790" i="1"/>
  <c r="AF2790" i="1"/>
  <c r="AH2789" i="1"/>
  <c r="AG2789" i="1"/>
  <c r="AI2789" i="1"/>
  <c r="AF2789" i="1"/>
  <c r="AE2789" i="1"/>
  <c r="AC2789" i="1"/>
  <c r="AL2789" i="1"/>
  <c r="AJ2789" i="1"/>
  <c r="AD2789" i="1"/>
  <c r="AI2788" i="1"/>
  <c r="AH2788" i="1"/>
  <c r="AG2788" i="1"/>
  <c r="AL2788" i="1"/>
  <c r="AJ2788" i="1"/>
  <c r="AF2788" i="1"/>
  <c r="AE2788" i="1"/>
  <c r="AC2788" i="1"/>
  <c r="AD2788" i="1"/>
  <c r="AI2787" i="1"/>
  <c r="AH2787" i="1"/>
  <c r="AG2787" i="1"/>
  <c r="AD2787" i="1"/>
  <c r="AL2787" i="1"/>
  <c r="AJ2787" i="1"/>
  <c r="AM2787" i="1" s="1"/>
  <c r="AE2787" i="1"/>
  <c r="AC2787" i="1"/>
  <c r="AF2787" i="1"/>
  <c r="AI2786" i="1"/>
  <c r="AG2786" i="1"/>
  <c r="AH2786" i="1"/>
  <c r="AJ2786" i="1"/>
  <c r="AE2786" i="1"/>
  <c r="AD2786" i="1"/>
  <c r="AC2786" i="1"/>
  <c r="AL2786" i="1"/>
  <c r="AF2786" i="1"/>
  <c r="AI2785" i="1"/>
  <c r="AH2785" i="1"/>
  <c r="AG2785" i="1"/>
  <c r="AL2785" i="1"/>
  <c r="AJ2785" i="1"/>
  <c r="AF2785" i="1"/>
  <c r="AE2785" i="1"/>
  <c r="AD2785" i="1"/>
  <c r="AC2785" i="1"/>
  <c r="AI2784" i="1"/>
  <c r="AH2784" i="1"/>
  <c r="AG2784" i="1"/>
  <c r="AD2784" i="1"/>
  <c r="AL2784" i="1"/>
  <c r="AF2784" i="1"/>
  <c r="AJ2784" i="1"/>
  <c r="AM2784" i="1" s="1"/>
  <c r="AE2784" i="1"/>
  <c r="AC2784" i="1"/>
  <c r="AI2783" i="1"/>
  <c r="AG2783" i="1"/>
  <c r="AH2783" i="1"/>
  <c r="AJ2783" i="1"/>
  <c r="AF2783" i="1"/>
  <c r="AE2783" i="1"/>
  <c r="AD2783" i="1"/>
  <c r="AC2783" i="1"/>
  <c r="AL2783" i="1"/>
  <c r="AI2782" i="1"/>
  <c r="AH2782" i="1"/>
  <c r="AG2782" i="1"/>
  <c r="AE2782" i="1"/>
  <c r="AL2782" i="1"/>
  <c r="AF2782" i="1"/>
  <c r="AD2782" i="1"/>
  <c r="AC2782" i="1"/>
  <c r="AJ2782" i="1"/>
  <c r="AM2782" i="1" s="1"/>
  <c r="AI2781" i="1"/>
  <c r="AH2781" i="1"/>
  <c r="AG2781" i="1"/>
  <c r="AJ2781" i="1"/>
  <c r="AL2781" i="1"/>
  <c r="AC2781" i="1"/>
  <c r="AD2781" i="1"/>
  <c r="AE2781" i="1"/>
  <c r="AF2781" i="1"/>
  <c r="AG2780" i="1"/>
  <c r="AH2780" i="1"/>
  <c r="AI2780" i="1"/>
  <c r="AE2780" i="1"/>
  <c r="AD2780" i="1"/>
  <c r="AC2780" i="1"/>
  <c r="AL2780" i="1"/>
  <c r="AJ2780" i="1"/>
  <c r="AF2780" i="1"/>
  <c r="AI2779" i="1"/>
  <c r="AH2779" i="1"/>
  <c r="AG2779" i="1"/>
  <c r="AL2779" i="1"/>
  <c r="AJ2779" i="1"/>
  <c r="AF2779" i="1"/>
  <c r="AE2779" i="1"/>
  <c r="AD2779" i="1"/>
  <c r="AC2779" i="1"/>
  <c r="AI2778" i="1"/>
  <c r="AH2778" i="1"/>
  <c r="AG2778" i="1"/>
  <c r="AL2778" i="1"/>
  <c r="AJ2778" i="1"/>
  <c r="AM2778" i="1" s="1"/>
  <c r="AF2778" i="1"/>
  <c r="AE2778" i="1"/>
  <c r="AD2778" i="1"/>
  <c r="AC2778" i="1"/>
  <c r="AG2777" i="1"/>
  <c r="AI2777" i="1"/>
  <c r="AH2777" i="1"/>
  <c r="AD2777" i="1"/>
  <c r="AC2777" i="1"/>
  <c r="AJ2777" i="1"/>
  <c r="AL2777" i="1"/>
  <c r="AE2777" i="1"/>
  <c r="AF2777" i="1"/>
  <c r="AG2776" i="1"/>
  <c r="AI2776" i="1"/>
  <c r="AH2776" i="1"/>
  <c r="AF2776" i="1"/>
  <c r="AE2776" i="1"/>
  <c r="AD2776" i="1"/>
  <c r="AC2776" i="1"/>
  <c r="AL2776" i="1"/>
  <c r="AJ2776" i="1"/>
  <c r="AI2775" i="1"/>
  <c r="AG2775" i="1"/>
  <c r="AH2775" i="1"/>
  <c r="AL2775" i="1"/>
  <c r="AJ2775" i="1"/>
  <c r="AF2775" i="1"/>
  <c r="AE2775" i="1"/>
  <c r="AD2775" i="1"/>
  <c r="AC2775" i="1"/>
  <c r="AH2774" i="1"/>
  <c r="AG2774" i="1"/>
  <c r="AI2774" i="1"/>
  <c r="AE2774" i="1"/>
  <c r="AD2774" i="1"/>
  <c r="AC2774" i="1"/>
  <c r="AL2774" i="1"/>
  <c r="AJ2774" i="1"/>
  <c r="AM2774" i="1" s="1"/>
  <c r="AF2774" i="1"/>
  <c r="AH2773" i="1"/>
  <c r="AG2773" i="1"/>
  <c r="AI2773" i="1"/>
  <c r="AF2773" i="1"/>
  <c r="AE2773" i="1"/>
  <c r="AD2773" i="1"/>
  <c r="AC2773" i="1"/>
  <c r="AL2773" i="1"/>
  <c r="AJ2773" i="1"/>
  <c r="AM2773" i="1" s="1"/>
  <c r="AI2772" i="1"/>
  <c r="AH2772" i="1"/>
  <c r="AG2772" i="1"/>
  <c r="AL2772" i="1"/>
  <c r="AJ2772" i="1"/>
  <c r="AF2772" i="1"/>
  <c r="AE2772" i="1"/>
  <c r="AD2772" i="1"/>
  <c r="AC2772" i="1"/>
  <c r="AI2771" i="1"/>
  <c r="AH2771" i="1"/>
  <c r="AG2771" i="1"/>
  <c r="AL2771" i="1"/>
  <c r="AJ2771" i="1"/>
  <c r="AF2771" i="1"/>
  <c r="AD2771" i="1"/>
  <c r="AC2771" i="1"/>
  <c r="AE2771" i="1"/>
  <c r="AI2770" i="1"/>
  <c r="AH2770" i="1"/>
  <c r="AG2770" i="1"/>
  <c r="AD2770" i="1"/>
  <c r="AC2770" i="1"/>
  <c r="AL2770" i="1"/>
  <c r="AJ2770" i="1"/>
  <c r="AM2770" i="1" s="1"/>
  <c r="AF2770" i="1"/>
  <c r="AE2770" i="1"/>
  <c r="AH2769" i="1"/>
  <c r="AG2769" i="1"/>
  <c r="AI2769" i="1"/>
  <c r="AF2769" i="1"/>
  <c r="AE2769" i="1"/>
  <c r="AD2769" i="1"/>
  <c r="AC2769" i="1"/>
  <c r="AL2769" i="1"/>
  <c r="AJ2769" i="1"/>
  <c r="AM2769" i="1" s="1"/>
  <c r="AH2768" i="1"/>
  <c r="AG2768" i="1"/>
  <c r="AI2768" i="1"/>
  <c r="AD2768" i="1"/>
  <c r="AC2768" i="1"/>
  <c r="AL2768" i="1"/>
  <c r="AJ2768" i="1"/>
  <c r="AM2768" i="1" s="1"/>
  <c r="AF2768" i="1"/>
  <c r="AE2768" i="1"/>
  <c r="AI2767" i="1"/>
  <c r="AG2767" i="1"/>
  <c r="AH2767" i="1"/>
  <c r="AJ2767" i="1"/>
  <c r="AF2767" i="1"/>
  <c r="AE2767" i="1"/>
  <c r="AD2767" i="1"/>
  <c r="AL2767" i="1"/>
  <c r="AC2767" i="1"/>
  <c r="AH2766" i="1"/>
  <c r="AI2766" i="1"/>
  <c r="AG2766" i="1"/>
  <c r="AC2766" i="1"/>
  <c r="AD2766" i="1"/>
  <c r="AL2766" i="1"/>
  <c r="AJ2766" i="1"/>
  <c r="AF2766" i="1"/>
  <c r="AE2766" i="1"/>
  <c r="AI2765" i="1"/>
  <c r="AH2765" i="1"/>
  <c r="AG2765" i="1"/>
  <c r="AD2765" i="1"/>
  <c r="AE2765" i="1"/>
  <c r="AF2765" i="1"/>
  <c r="AJ2765" i="1"/>
  <c r="AL2765" i="1"/>
  <c r="AC2765" i="1"/>
  <c r="AI2764" i="1"/>
  <c r="AG2764" i="1"/>
  <c r="AH2764" i="1"/>
  <c r="AL2764" i="1"/>
  <c r="AJ2764" i="1"/>
  <c r="AF2764" i="1"/>
  <c r="AE2764" i="1"/>
  <c r="AD2764" i="1"/>
  <c r="AC2764" i="1"/>
  <c r="AI2763" i="1"/>
  <c r="AH2763" i="1"/>
  <c r="AG2763" i="1"/>
  <c r="AC2763" i="1"/>
  <c r="AL2763" i="1"/>
  <c r="AJ2763" i="1"/>
  <c r="AD2763" i="1"/>
  <c r="AF2763" i="1"/>
  <c r="AE2763" i="1"/>
  <c r="AH2762" i="1"/>
  <c r="AI2762" i="1"/>
  <c r="AG2762" i="1"/>
  <c r="AJ2762" i="1"/>
  <c r="AL2762" i="1"/>
  <c r="AF2762" i="1"/>
  <c r="AE2762" i="1"/>
  <c r="AD2762" i="1"/>
  <c r="AC2762" i="1"/>
  <c r="AI2761" i="1"/>
  <c r="AH2761" i="1"/>
  <c r="AG2761" i="1"/>
  <c r="AC2761" i="1"/>
  <c r="AE2761" i="1"/>
  <c r="AF2761" i="1"/>
  <c r="AJ2761" i="1"/>
  <c r="AD2761" i="1"/>
  <c r="AL2761" i="1"/>
  <c r="AG2760" i="1"/>
  <c r="AH2760" i="1"/>
  <c r="AI2760" i="1"/>
  <c r="AL2760" i="1"/>
  <c r="AE2760" i="1"/>
  <c r="AD2760" i="1"/>
  <c r="AF2760" i="1"/>
  <c r="AC2760" i="1"/>
  <c r="AJ2760" i="1"/>
  <c r="AM2760" i="1" s="1"/>
  <c r="AI2759" i="1"/>
  <c r="AH2759" i="1"/>
  <c r="AG2759" i="1"/>
  <c r="AL2759" i="1"/>
  <c r="AF2759" i="1"/>
  <c r="AE2759" i="1"/>
  <c r="AD2759" i="1"/>
  <c r="AC2759" i="1"/>
  <c r="AJ2759" i="1"/>
  <c r="AM2759" i="1" s="1"/>
  <c r="AI2758" i="1"/>
  <c r="AG2758" i="1"/>
  <c r="AH2758" i="1"/>
  <c r="AF2758" i="1"/>
  <c r="AE2758" i="1"/>
  <c r="AD2758" i="1"/>
  <c r="AJ2758" i="1"/>
  <c r="AL2758" i="1"/>
  <c r="AC2758" i="1"/>
  <c r="AI2757" i="1"/>
  <c r="AH2757" i="1"/>
  <c r="AG2757" i="1"/>
  <c r="AL2757" i="1"/>
  <c r="AJ2757" i="1"/>
  <c r="AM2757" i="1" s="1"/>
  <c r="AE2757" i="1"/>
  <c r="AF2757" i="1"/>
  <c r="AD2757" i="1"/>
  <c r="AC2757" i="1"/>
  <c r="AG2756" i="1"/>
  <c r="AI2756" i="1"/>
  <c r="AH2756" i="1"/>
  <c r="AL2756" i="1"/>
  <c r="AC2756" i="1"/>
  <c r="AD2756" i="1"/>
  <c r="AE2756" i="1"/>
  <c r="AF2756" i="1"/>
  <c r="AJ2756" i="1"/>
  <c r="AM2756" i="1" s="1"/>
  <c r="AG2755" i="1"/>
  <c r="AI2755" i="1"/>
  <c r="AH2755" i="1"/>
  <c r="AC2755" i="1"/>
  <c r="AL2755" i="1"/>
  <c r="AJ2755" i="1"/>
  <c r="AM2755" i="1" s="1"/>
  <c r="AE2755" i="1"/>
  <c r="AD2755" i="1"/>
  <c r="AF2755" i="1"/>
  <c r="AI2754" i="1"/>
  <c r="AH2754" i="1"/>
  <c r="AG2754" i="1"/>
  <c r="AJ2754" i="1"/>
  <c r="AC2754" i="1"/>
  <c r="AD2754" i="1"/>
  <c r="AF2754" i="1"/>
  <c r="AL2754" i="1"/>
  <c r="AE2754" i="1"/>
  <c r="AH2753" i="1"/>
  <c r="AI2753" i="1"/>
  <c r="AG2753" i="1"/>
  <c r="AJ2753" i="1"/>
  <c r="AL2753" i="1"/>
  <c r="AC2753" i="1"/>
  <c r="AF2753" i="1"/>
  <c r="AE2753" i="1"/>
  <c r="AD2753" i="1"/>
  <c r="AG2752" i="1"/>
  <c r="AH2752" i="1"/>
  <c r="AI2752" i="1"/>
  <c r="AF2752" i="1"/>
  <c r="AL2752" i="1"/>
  <c r="AJ2752" i="1"/>
  <c r="AM2752" i="1" s="1"/>
  <c r="AE2752" i="1"/>
  <c r="AD2752" i="1"/>
  <c r="AC2752" i="1"/>
  <c r="AI2751" i="1"/>
  <c r="AH2751" i="1"/>
  <c r="AG2751" i="1"/>
  <c r="AD2751" i="1"/>
  <c r="AE2751" i="1"/>
  <c r="AF2751" i="1"/>
  <c r="AL2751" i="1"/>
  <c r="AJ2751" i="1"/>
  <c r="AC2751" i="1"/>
  <c r="AI2750" i="1"/>
  <c r="AH2750" i="1"/>
  <c r="AG2750" i="1"/>
  <c r="AF2750" i="1"/>
  <c r="AL2750" i="1"/>
  <c r="AJ2750" i="1"/>
  <c r="AE2750" i="1"/>
  <c r="AD2750" i="1"/>
  <c r="AC2750" i="1"/>
  <c r="AG2749" i="1"/>
  <c r="AH2749" i="1"/>
  <c r="AI2749" i="1"/>
  <c r="AJ2749" i="1"/>
  <c r="AC2749" i="1"/>
  <c r="AD2749" i="1"/>
  <c r="AL2749" i="1"/>
  <c r="AE2749" i="1"/>
  <c r="AF2749" i="1"/>
  <c r="AG2748" i="1"/>
  <c r="AH2748" i="1"/>
  <c r="AI2748" i="1"/>
  <c r="AL2748" i="1"/>
  <c r="AC2748" i="1"/>
  <c r="AJ2748" i="1"/>
  <c r="AM2748" i="1" s="1"/>
  <c r="AD2748" i="1"/>
  <c r="AE2748" i="1"/>
  <c r="AF2748" i="1"/>
  <c r="AI2747" i="1"/>
  <c r="AH2747" i="1"/>
  <c r="AG2747" i="1"/>
  <c r="AE2747" i="1"/>
  <c r="AL2747" i="1"/>
  <c r="AJ2747" i="1"/>
  <c r="AF2747" i="1"/>
  <c r="AD2747" i="1"/>
  <c r="AC2747" i="1"/>
  <c r="AG2746" i="1"/>
  <c r="AH2746" i="1"/>
  <c r="AI2746" i="1"/>
  <c r="AJ2746" i="1"/>
  <c r="AL2746" i="1"/>
  <c r="AC2746" i="1"/>
  <c r="AE2746" i="1"/>
  <c r="AF2746" i="1"/>
  <c r="AD2746" i="1"/>
  <c r="AI2745" i="1"/>
  <c r="AH2745" i="1"/>
  <c r="AG2745" i="1"/>
  <c r="AJ2745" i="1"/>
  <c r="AL2745" i="1"/>
  <c r="AE2745" i="1"/>
  <c r="AD2745" i="1"/>
  <c r="AC2745" i="1"/>
  <c r="AF2745" i="1"/>
  <c r="AH2744" i="1"/>
  <c r="AG2744" i="1"/>
  <c r="AI2744" i="1"/>
  <c r="AE2744" i="1"/>
  <c r="AF2744" i="1"/>
  <c r="AC2744" i="1"/>
  <c r="AJ2744" i="1"/>
  <c r="AL2744" i="1"/>
  <c r="AD2744" i="1"/>
  <c r="AG2743" i="1"/>
  <c r="AH2743" i="1"/>
  <c r="AI2743" i="1"/>
  <c r="AC2743" i="1"/>
  <c r="AD2743" i="1"/>
  <c r="AE2743" i="1"/>
  <c r="AF2743" i="1"/>
  <c r="AJ2743" i="1"/>
  <c r="AL2743" i="1"/>
  <c r="AH2742" i="1"/>
  <c r="AG2742" i="1"/>
  <c r="AI2742" i="1"/>
  <c r="AJ2742" i="1"/>
  <c r="AL2742" i="1"/>
  <c r="AC2742" i="1"/>
  <c r="AD2742" i="1"/>
  <c r="AE2742" i="1"/>
  <c r="AF2742" i="1"/>
  <c r="AI2741" i="1"/>
  <c r="AG2741" i="1"/>
  <c r="AH2741" i="1"/>
  <c r="AF2741" i="1"/>
  <c r="AC2741" i="1"/>
  <c r="AJ2741" i="1"/>
  <c r="AL2741" i="1"/>
  <c r="AE2741" i="1"/>
  <c r="AD2741" i="1"/>
  <c r="AI2740" i="1"/>
  <c r="AH2740" i="1"/>
  <c r="AG2740" i="1"/>
  <c r="AJ2740" i="1"/>
  <c r="AE2740" i="1"/>
  <c r="AL2740" i="1"/>
  <c r="AD2740" i="1"/>
  <c r="AC2740" i="1"/>
  <c r="AF2740" i="1"/>
  <c r="AI2739" i="1"/>
  <c r="AG2739" i="1"/>
  <c r="AH2739" i="1"/>
  <c r="AJ2739" i="1"/>
  <c r="AE2739" i="1"/>
  <c r="AL2739" i="1"/>
  <c r="AF2739" i="1"/>
  <c r="AD2739" i="1"/>
  <c r="AC2739" i="1"/>
  <c r="AH2738" i="1"/>
  <c r="AI2738" i="1"/>
  <c r="AG2738" i="1"/>
  <c r="AE2738" i="1"/>
  <c r="AD2738" i="1"/>
  <c r="AC2738" i="1"/>
  <c r="AL2738" i="1"/>
  <c r="AJ2738" i="1"/>
  <c r="AF2738" i="1"/>
  <c r="AG2737" i="1"/>
  <c r="AI2737" i="1"/>
  <c r="AH2737" i="1"/>
  <c r="AC2737" i="1"/>
  <c r="AD2737" i="1"/>
  <c r="AE2737" i="1"/>
  <c r="AJ2737" i="1"/>
  <c r="AL2737" i="1"/>
  <c r="AF2737" i="1"/>
  <c r="AI2736" i="1"/>
  <c r="AG2736" i="1"/>
  <c r="AH2736" i="1"/>
  <c r="AJ2736" i="1"/>
  <c r="AE2736" i="1"/>
  <c r="AD2736" i="1"/>
  <c r="AC2736" i="1"/>
  <c r="AF2736" i="1"/>
  <c r="AL2736" i="1"/>
  <c r="AH2735" i="1"/>
  <c r="AG2735" i="1"/>
  <c r="AI2735" i="1"/>
  <c r="AF2735" i="1"/>
  <c r="AE2735" i="1"/>
  <c r="AD2735" i="1"/>
  <c r="AC2735" i="1"/>
  <c r="AL2735" i="1"/>
  <c r="AJ2735" i="1"/>
  <c r="AM2735" i="1" s="1"/>
  <c r="AG2734" i="1"/>
  <c r="AH2734" i="1"/>
  <c r="AI2734" i="1"/>
  <c r="AC2734" i="1"/>
  <c r="AF2734" i="1"/>
  <c r="AL2734" i="1"/>
  <c r="AJ2734" i="1"/>
  <c r="AE2734" i="1"/>
  <c r="AD2734" i="1"/>
  <c r="AI2733" i="1"/>
  <c r="AH2733" i="1"/>
  <c r="AG2733" i="1"/>
  <c r="AJ2733" i="1"/>
  <c r="AD2733" i="1"/>
  <c r="AF2733" i="1"/>
  <c r="AE2733" i="1"/>
  <c r="AL2733" i="1"/>
  <c r="AC2733" i="1"/>
  <c r="AI2732" i="1"/>
  <c r="AH2732" i="1"/>
  <c r="AG2732" i="1"/>
  <c r="AL2732" i="1"/>
  <c r="AJ2732" i="1"/>
  <c r="AF2732" i="1"/>
  <c r="AE2732" i="1"/>
  <c r="AD2732" i="1"/>
  <c r="AC2732" i="1"/>
  <c r="AH2731" i="1"/>
  <c r="AG2731" i="1"/>
  <c r="AI2731" i="1"/>
  <c r="AJ2731" i="1"/>
  <c r="AL2731" i="1"/>
  <c r="AF2731" i="1"/>
  <c r="AE2731" i="1"/>
  <c r="AD2731" i="1"/>
  <c r="AC2731" i="1"/>
  <c r="AH2730" i="1"/>
  <c r="AG2730" i="1"/>
  <c r="AI2730" i="1"/>
  <c r="AL2730" i="1"/>
  <c r="AJ2730" i="1"/>
  <c r="AF2730" i="1"/>
  <c r="AE2730" i="1"/>
  <c r="AD2730" i="1"/>
  <c r="AC2730" i="1"/>
  <c r="AH2729" i="1"/>
  <c r="AI2729" i="1"/>
  <c r="AG2729" i="1"/>
  <c r="AL2729" i="1"/>
  <c r="AF2729" i="1"/>
  <c r="AE2729" i="1"/>
  <c r="AD2729" i="1"/>
  <c r="AC2729" i="1"/>
  <c r="AJ2729" i="1"/>
  <c r="AM2729" i="1" s="1"/>
  <c r="AI2728" i="1"/>
  <c r="AH2728" i="1"/>
  <c r="AG2728" i="1"/>
  <c r="AF2728" i="1"/>
  <c r="AL2728" i="1"/>
  <c r="AJ2728" i="1"/>
  <c r="AM2728" i="1" s="1"/>
  <c r="AE2728" i="1"/>
  <c r="AD2728" i="1"/>
  <c r="AC2728" i="1"/>
  <c r="AG2727" i="1"/>
  <c r="AI2727" i="1"/>
  <c r="AH2727" i="1"/>
  <c r="AL2727" i="1"/>
  <c r="AJ2727" i="1"/>
  <c r="AM2727" i="1" s="1"/>
  <c r="AF2727" i="1"/>
  <c r="AE2727" i="1"/>
  <c r="AD2727" i="1"/>
  <c r="AC2727" i="1"/>
  <c r="AI2726" i="1"/>
  <c r="AH2726" i="1"/>
  <c r="AG2726" i="1"/>
  <c r="AL2726" i="1"/>
  <c r="AJ2726" i="1"/>
  <c r="AM2726" i="1" s="1"/>
  <c r="AF2726" i="1"/>
  <c r="AE2726" i="1"/>
  <c r="AD2726" i="1"/>
  <c r="AC2726" i="1"/>
  <c r="AH2725" i="1"/>
  <c r="AG2725" i="1"/>
  <c r="AI2725" i="1"/>
  <c r="AL2725" i="1"/>
  <c r="AJ2725" i="1"/>
  <c r="AF2725" i="1"/>
  <c r="AE2725" i="1"/>
  <c r="AD2725" i="1"/>
  <c r="AC2725" i="1"/>
  <c r="AI2724" i="1"/>
  <c r="AH2724" i="1"/>
  <c r="AG2724" i="1"/>
  <c r="AL2724" i="1"/>
  <c r="AJ2724" i="1"/>
  <c r="AM2724" i="1" s="1"/>
  <c r="AF2724" i="1"/>
  <c r="AE2724" i="1"/>
  <c r="AD2724" i="1"/>
  <c r="AC2724" i="1"/>
  <c r="AI2723" i="1"/>
  <c r="AH2723" i="1"/>
  <c r="AG2723" i="1"/>
  <c r="AF2723" i="1"/>
  <c r="AL2723" i="1"/>
  <c r="AJ2723" i="1"/>
  <c r="AE2723" i="1"/>
  <c r="AD2723" i="1"/>
  <c r="AC2723" i="1"/>
  <c r="AH2722" i="1"/>
  <c r="AI2722" i="1"/>
  <c r="AG2722" i="1"/>
  <c r="AF2722" i="1"/>
  <c r="AJ2722" i="1"/>
  <c r="AL2722" i="1"/>
  <c r="AC2722" i="1"/>
  <c r="AD2722" i="1"/>
  <c r="AE2722" i="1"/>
  <c r="AH2721" i="1"/>
  <c r="AG2721" i="1"/>
  <c r="AI2721" i="1"/>
  <c r="AF2721" i="1"/>
  <c r="AE2721" i="1"/>
  <c r="AD2721" i="1"/>
  <c r="AC2721" i="1"/>
  <c r="AJ2721" i="1"/>
  <c r="AL2721" i="1"/>
  <c r="AI2720" i="1"/>
  <c r="AH2720" i="1"/>
  <c r="AG2720" i="1"/>
  <c r="AL2720" i="1"/>
  <c r="AJ2720" i="1"/>
  <c r="AC2720" i="1"/>
  <c r="AD2720" i="1"/>
  <c r="AE2720" i="1"/>
  <c r="AF2720" i="1"/>
  <c r="AI2719" i="1"/>
  <c r="AG2719" i="1"/>
  <c r="AH2719" i="1"/>
  <c r="AE2719" i="1"/>
  <c r="AF2719" i="1"/>
  <c r="AL2719" i="1"/>
  <c r="AJ2719" i="1"/>
  <c r="AM2719" i="1" s="1"/>
  <c r="AC2719" i="1"/>
  <c r="AD2719" i="1"/>
  <c r="AI2718" i="1"/>
  <c r="AH2718" i="1"/>
  <c r="AG2718" i="1"/>
  <c r="AL2718" i="1"/>
  <c r="AC2718" i="1"/>
  <c r="AJ2718" i="1"/>
  <c r="AM2718" i="1" s="1"/>
  <c r="AF2718" i="1"/>
  <c r="AE2718" i="1"/>
  <c r="AD2718" i="1"/>
  <c r="AG2717" i="1"/>
  <c r="AI2717" i="1"/>
  <c r="AH2717" i="1"/>
  <c r="AF2717" i="1"/>
  <c r="AE2717" i="1"/>
  <c r="AD2717" i="1"/>
  <c r="AC2717" i="1"/>
  <c r="AJ2717" i="1"/>
  <c r="AL2717" i="1"/>
  <c r="AI2716" i="1"/>
  <c r="AH2716" i="1"/>
  <c r="AG2716" i="1"/>
  <c r="AL2716" i="1"/>
  <c r="AJ2716" i="1"/>
  <c r="AF2716" i="1"/>
  <c r="AE2716" i="1"/>
  <c r="AD2716" i="1"/>
  <c r="AC2716" i="1"/>
  <c r="AI2715" i="1"/>
  <c r="AH2715" i="1"/>
  <c r="AG2715" i="1"/>
  <c r="AC2715" i="1"/>
  <c r="AL2715" i="1"/>
  <c r="AJ2715" i="1"/>
  <c r="AF2715" i="1"/>
  <c r="AE2715" i="1"/>
  <c r="AD2715" i="1"/>
  <c r="AG2714" i="1"/>
  <c r="AI2714" i="1"/>
  <c r="AH2714" i="1"/>
  <c r="AF2714" i="1"/>
  <c r="AE2714" i="1"/>
  <c r="AC2714" i="1"/>
  <c r="AL2714" i="1"/>
  <c r="AJ2714" i="1"/>
  <c r="AM2714" i="1" s="1"/>
  <c r="AD2714" i="1"/>
  <c r="AI2713" i="1"/>
  <c r="AH2713" i="1"/>
  <c r="AG2713" i="1"/>
  <c r="AJ2713" i="1"/>
  <c r="AD2713" i="1"/>
  <c r="AL2713" i="1"/>
  <c r="AF2713" i="1"/>
  <c r="AC2713" i="1"/>
  <c r="AE2713" i="1"/>
  <c r="AH2712" i="1"/>
  <c r="AI2712" i="1"/>
  <c r="AG2712" i="1"/>
  <c r="AC2712" i="1"/>
  <c r="AD2712" i="1"/>
  <c r="AF2712" i="1"/>
  <c r="AL2712" i="1"/>
  <c r="AJ2712" i="1"/>
  <c r="AM2712" i="1" s="1"/>
  <c r="AE2712" i="1"/>
  <c r="AG2711" i="1"/>
  <c r="AH2711" i="1"/>
  <c r="AI2711" i="1"/>
  <c r="AD2711" i="1"/>
  <c r="AF2711" i="1"/>
  <c r="AJ2711" i="1"/>
  <c r="AC2711" i="1"/>
  <c r="AE2711" i="1"/>
  <c r="AL2711" i="1"/>
  <c r="AG2710" i="1"/>
  <c r="AH2710" i="1"/>
  <c r="AI2710" i="1"/>
  <c r="AL2710" i="1"/>
  <c r="AC2710" i="1"/>
  <c r="AD2710" i="1"/>
  <c r="AF2710" i="1"/>
  <c r="AE2710" i="1"/>
  <c r="AJ2710" i="1"/>
  <c r="AM2710" i="1" s="1"/>
  <c r="AG2709" i="1"/>
  <c r="AH2709" i="1"/>
  <c r="AI2709" i="1"/>
  <c r="AC2709" i="1"/>
  <c r="AL2709" i="1"/>
  <c r="AF2709" i="1"/>
  <c r="AD2709" i="1"/>
  <c r="AJ2709" i="1"/>
  <c r="AM2709" i="1" s="1"/>
  <c r="AE2709" i="1"/>
  <c r="AI2708" i="1"/>
  <c r="AH2708" i="1"/>
  <c r="AG2708" i="1"/>
  <c r="AF2708" i="1"/>
  <c r="AL2708" i="1"/>
  <c r="AD2708" i="1"/>
  <c r="AC2708" i="1"/>
  <c r="AJ2708" i="1"/>
  <c r="AM2708" i="1" s="1"/>
  <c r="AE2708" i="1"/>
  <c r="AI2707" i="1"/>
  <c r="AH2707" i="1"/>
  <c r="AG2707" i="1"/>
  <c r="AD2707" i="1"/>
  <c r="AE2707" i="1"/>
  <c r="AF2707" i="1"/>
  <c r="AJ2707" i="1"/>
  <c r="AL2707" i="1"/>
  <c r="AC2707" i="1"/>
  <c r="AI2706" i="1"/>
  <c r="AH2706" i="1"/>
  <c r="AG2706" i="1"/>
  <c r="AD2706" i="1"/>
  <c r="AE2706" i="1"/>
  <c r="AF2706" i="1"/>
  <c r="AC2706" i="1"/>
  <c r="AL2706" i="1"/>
  <c r="AJ2706" i="1"/>
  <c r="AH2705" i="1"/>
  <c r="AI2705" i="1"/>
  <c r="AG2705" i="1"/>
  <c r="AL2705" i="1"/>
  <c r="AE2705" i="1"/>
  <c r="AC2705" i="1"/>
  <c r="AJ2705" i="1"/>
  <c r="AM2705" i="1" s="1"/>
  <c r="AF2705" i="1"/>
  <c r="AD2705" i="1"/>
  <c r="AG2704" i="1"/>
  <c r="AH2704" i="1"/>
  <c r="AI2704" i="1"/>
  <c r="AL2704" i="1"/>
  <c r="AF2704" i="1"/>
  <c r="AJ2704" i="1"/>
  <c r="AM2704" i="1" s="1"/>
  <c r="AD2704" i="1"/>
  <c r="AC2704" i="1"/>
  <c r="AE2704" i="1"/>
  <c r="AH2703" i="1"/>
  <c r="AG2703" i="1"/>
  <c r="AI2703" i="1"/>
  <c r="AL2703" i="1"/>
  <c r="AJ2703" i="1"/>
  <c r="AE2703" i="1"/>
  <c r="AC2703" i="1"/>
  <c r="AF2703" i="1"/>
  <c r="AD2703" i="1"/>
  <c r="AI2702" i="1"/>
  <c r="AG2702" i="1"/>
  <c r="AH2702" i="1"/>
  <c r="AF2702" i="1"/>
  <c r="AD2702" i="1"/>
  <c r="AE2702" i="1"/>
  <c r="AC2702" i="1"/>
  <c r="AL2702" i="1"/>
  <c r="AJ2702" i="1"/>
  <c r="AI2701" i="1"/>
  <c r="AG2701" i="1"/>
  <c r="AH2701" i="1"/>
  <c r="AJ2701" i="1"/>
  <c r="AL2701" i="1"/>
  <c r="AF2701" i="1"/>
  <c r="AD2701" i="1"/>
  <c r="AE2701" i="1"/>
  <c r="AC2701" i="1"/>
  <c r="AG2700" i="1"/>
  <c r="AH2700" i="1"/>
  <c r="AI2700" i="1"/>
  <c r="AF2700" i="1"/>
  <c r="AJ2700" i="1"/>
  <c r="AL2700" i="1"/>
  <c r="AD2700" i="1"/>
  <c r="AE2700" i="1"/>
  <c r="AC2700" i="1"/>
  <c r="AG2699" i="1"/>
  <c r="AH2699" i="1"/>
  <c r="AI2699" i="1"/>
  <c r="AL2699" i="1"/>
  <c r="AD2699" i="1"/>
  <c r="AJ2699" i="1"/>
  <c r="AM2699" i="1" s="1"/>
  <c r="AC2699" i="1"/>
  <c r="AF2699" i="1"/>
  <c r="AE2699" i="1"/>
  <c r="AI2698" i="1"/>
  <c r="AH2698" i="1"/>
  <c r="AG2698" i="1"/>
  <c r="AC2698" i="1"/>
  <c r="AE2698" i="1"/>
  <c r="AJ2698" i="1"/>
  <c r="AL2698" i="1"/>
  <c r="AD2698" i="1"/>
  <c r="AF2698" i="1"/>
  <c r="AG2697" i="1"/>
  <c r="AH2697" i="1"/>
  <c r="AI2697" i="1"/>
  <c r="AF2697" i="1"/>
  <c r="AL2697" i="1"/>
  <c r="AJ2697" i="1"/>
  <c r="AE2697" i="1"/>
  <c r="AC2697" i="1"/>
  <c r="AD2697" i="1"/>
  <c r="AG2696" i="1"/>
  <c r="AI2696" i="1"/>
  <c r="AH2696" i="1"/>
  <c r="AC2696" i="1"/>
  <c r="AE2696" i="1"/>
  <c r="AF2696" i="1"/>
  <c r="AD2696" i="1"/>
  <c r="AJ2696" i="1"/>
  <c r="AL2696" i="1"/>
  <c r="AG2695" i="1"/>
  <c r="AI2695" i="1"/>
  <c r="AH2695" i="1"/>
  <c r="AC2695" i="1"/>
  <c r="AE2695" i="1"/>
  <c r="AD2695" i="1"/>
  <c r="AF2695" i="1"/>
  <c r="AJ2695" i="1"/>
  <c r="AL2695" i="1"/>
  <c r="AH2694" i="1"/>
  <c r="AI2694" i="1"/>
  <c r="AG2694" i="1"/>
  <c r="AD2694" i="1"/>
  <c r="AF2694" i="1"/>
  <c r="AL2694" i="1"/>
  <c r="AJ2694" i="1"/>
  <c r="AC2694" i="1"/>
  <c r="AE2694" i="1"/>
  <c r="AI2693" i="1"/>
  <c r="AH2693" i="1"/>
  <c r="AG2693" i="1"/>
  <c r="AJ2693" i="1"/>
  <c r="AF2693" i="1"/>
  <c r="AE2693" i="1"/>
  <c r="AD2693" i="1"/>
  <c r="AC2693" i="1"/>
  <c r="AL2693" i="1"/>
  <c r="AH2692" i="1"/>
  <c r="AG2692" i="1"/>
  <c r="AI2692" i="1"/>
  <c r="AL2692" i="1"/>
  <c r="AF2692" i="1"/>
  <c r="AE2692" i="1"/>
  <c r="AD2692" i="1"/>
  <c r="AC2692" i="1"/>
  <c r="AJ2692" i="1"/>
  <c r="AM2692" i="1" s="1"/>
  <c r="AI2691" i="1"/>
  <c r="AH2691" i="1"/>
  <c r="AG2691" i="1"/>
  <c r="AD2691" i="1"/>
  <c r="AJ2691" i="1"/>
  <c r="AL2691" i="1"/>
  <c r="AC2691" i="1"/>
  <c r="AF2691" i="1"/>
  <c r="AE2691" i="1"/>
  <c r="AG2690" i="1"/>
  <c r="AH2690" i="1"/>
  <c r="AI2690" i="1"/>
  <c r="AD2690" i="1"/>
  <c r="AF2690" i="1"/>
  <c r="AL2690" i="1"/>
  <c r="AC2690" i="1"/>
  <c r="AE2690" i="1"/>
  <c r="AJ2690" i="1"/>
  <c r="AM2690" i="1" s="1"/>
  <c r="AH2689" i="1"/>
  <c r="AI2689" i="1"/>
  <c r="AG2689" i="1"/>
  <c r="AD2689" i="1"/>
  <c r="AL2689" i="1"/>
  <c r="AJ2689" i="1"/>
  <c r="AM2689" i="1" s="1"/>
  <c r="AC2689" i="1"/>
  <c r="AE2689" i="1"/>
  <c r="AF2689" i="1"/>
  <c r="AH2688" i="1"/>
  <c r="AI2688" i="1"/>
  <c r="AG2688" i="1"/>
  <c r="AC2688" i="1"/>
  <c r="AE2688" i="1"/>
  <c r="AD2688" i="1"/>
  <c r="AF2688" i="1"/>
  <c r="AL2688" i="1"/>
  <c r="AJ2688" i="1"/>
  <c r="AI2687" i="1"/>
  <c r="AG2687" i="1"/>
  <c r="AH2687" i="1"/>
  <c r="AD2687" i="1"/>
  <c r="AF2687" i="1"/>
  <c r="AJ2687" i="1"/>
  <c r="AE2687" i="1"/>
  <c r="AC2687" i="1"/>
  <c r="AL2687" i="1"/>
  <c r="AI2686" i="1"/>
  <c r="AH2686" i="1"/>
  <c r="AG2686" i="1"/>
  <c r="AC2686" i="1"/>
  <c r="AD2686" i="1"/>
  <c r="AL2686" i="1"/>
  <c r="AJ2686" i="1"/>
  <c r="AF2686" i="1"/>
  <c r="AE2686" i="1"/>
  <c r="AH2685" i="1"/>
  <c r="AI2685" i="1"/>
  <c r="AG2685" i="1"/>
  <c r="AC2685" i="1"/>
  <c r="AD2685" i="1"/>
  <c r="AF2685" i="1"/>
  <c r="AJ2685" i="1"/>
  <c r="AL2685" i="1"/>
  <c r="AE2685" i="1"/>
  <c r="AG2684" i="1"/>
  <c r="AH2684" i="1"/>
  <c r="AI2684" i="1"/>
  <c r="AD2684" i="1"/>
  <c r="AC2684" i="1"/>
  <c r="AE2684" i="1"/>
  <c r="AF2684" i="1"/>
  <c r="AJ2684" i="1"/>
  <c r="AL2684" i="1"/>
  <c r="AH2683" i="1"/>
  <c r="AI2683" i="1"/>
  <c r="AG2683" i="1"/>
  <c r="AD2683" i="1"/>
  <c r="AE2683" i="1"/>
  <c r="AJ2683" i="1"/>
  <c r="AL2683" i="1"/>
  <c r="AF2683" i="1"/>
  <c r="AC2683" i="1"/>
  <c r="AG2682" i="1"/>
  <c r="AI2682" i="1"/>
  <c r="AH2682" i="1"/>
  <c r="AJ2682" i="1"/>
  <c r="AD2682" i="1"/>
  <c r="AF2682" i="1"/>
  <c r="AL2682" i="1"/>
  <c r="AC2682" i="1"/>
  <c r="AE2682" i="1"/>
  <c r="AH2681" i="1"/>
  <c r="AI2681" i="1"/>
  <c r="AG2681" i="1"/>
  <c r="AE2681" i="1"/>
  <c r="AC2681" i="1"/>
  <c r="AD2681" i="1"/>
  <c r="AF2681" i="1"/>
  <c r="AL2681" i="1"/>
  <c r="AJ2681" i="1"/>
  <c r="AI2680" i="1"/>
  <c r="AH2680" i="1"/>
  <c r="AG2680" i="1"/>
  <c r="AJ2680" i="1"/>
  <c r="AD2680" i="1"/>
  <c r="AL2680" i="1"/>
  <c r="AE2680" i="1"/>
  <c r="AF2680" i="1"/>
  <c r="AC2680" i="1"/>
  <c r="AI2679" i="1"/>
  <c r="AG2679" i="1"/>
  <c r="AH2679" i="1"/>
  <c r="AF2679" i="1"/>
  <c r="AC2679" i="1"/>
  <c r="AL2679" i="1"/>
  <c r="AJ2679" i="1"/>
  <c r="AM2679" i="1" s="1"/>
  <c r="AE2679" i="1"/>
  <c r="AD2679" i="1"/>
  <c r="AI2678" i="1"/>
  <c r="AG2678" i="1"/>
  <c r="AH2678" i="1"/>
  <c r="AE2678" i="1"/>
  <c r="AF2678" i="1"/>
  <c r="AD2678" i="1"/>
  <c r="AL2678" i="1"/>
  <c r="AJ2678" i="1"/>
  <c r="AC2678" i="1"/>
  <c r="AG2677" i="1"/>
  <c r="AI2677" i="1"/>
  <c r="AH2677" i="1"/>
  <c r="AJ2677" i="1"/>
  <c r="AF2677" i="1"/>
  <c r="AE2677" i="1"/>
  <c r="AC2677" i="1"/>
  <c r="AL2677" i="1"/>
  <c r="AD2677" i="1"/>
  <c r="AG2676" i="1"/>
  <c r="AH2676" i="1"/>
  <c r="AI2676" i="1"/>
  <c r="AF2676" i="1"/>
  <c r="AL2676" i="1"/>
  <c r="AJ2676" i="1"/>
  <c r="AE2676" i="1"/>
  <c r="AC2676" i="1"/>
  <c r="AD2676" i="1"/>
  <c r="AI2675" i="1"/>
  <c r="AG2675" i="1"/>
  <c r="AH2675" i="1"/>
  <c r="AD2675" i="1"/>
  <c r="AF2675" i="1"/>
  <c r="AC2675" i="1"/>
  <c r="AE2675" i="1"/>
  <c r="AJ2675" i="1"/>
  <c r="AL2675" i="1"/>
  <c r="AH2674" i="1"/>
  <c r="AI2674" i="1"/>
  <c r="AG2674" i="1"/>
  <c r="AL2674" i="1"/>
  <c r="AF2674" i="1"/>
  <c r="AD2674" i="1"/>
  <c r="AC2674" i="1"/>
  <c r="AJ2674" i="1"/>
  <c r="AM2674" i="1" s="1"/>
  <c r="AE2674" i="1"/>
  <c r="AG2673" i="1"/>
  <c r="AI2673" i="1"/>
  <c r="AH2673" i="1"/>
  <c r="AD2673" i="1"/>
  <c r="AF2673" i="1"/>
  <c r="AE2673" i="1"/>
  <c r="AC2673" i="1"/>
  <c r="AL2673" i="1"/>
  <c r="AJ2673" i="1"/>
  <c r="AH2672" i="1"/>
  <c r="AI2672" i="1"/>
  <c r="AG2672" i="1"/>
  <c r="AJ2672" i="1"/>
  <c r="AL2672" i="1"/>
  <c r="AE2672" i="1"/>
  <c r="AC2672" i="1"/>
  <c r="AF2672" i="1"/>
  <c r="AD2672" i="1"/>
  <c r="AH2671" i="1"/>
  <c r="AI2671" i="1"/>
  <c r="AG2671" i="1"/>
  <c r="AC2671" i="1"/>
  <c r="AE2671" i="1"/>
  <c r="AL2671" i="1"/>
  <c r="AJ2671" i="1"/>
  <c r="AF2671" i="1"/>
  <c r="AD2671" i="1"/>
  <c r="AI2670" i="1"/>
  <c r="AG2670" i="1"/>
  <c r="AH2670" i="1"/>
  <c r="AE2670" i="1"/>
  <c r="AL2670" i="1"/>
  <c r="AJ2670" i="1"/>
  <c r="AM2670" i="1" s="1"/>
  <c r="AF2670" i="1"/>
  <c r="AD2670" i="1"/>
  <c r="AC2670" i="1"/>
  <c r="AI2669" i="1"/>
  <c r="AG2669" i="1"/>
  <c r="AH2669" i="1"/>
  <c r="AE2669" i="1"/>
  <c r="AL2669" i="1"/>
  <c r="AD2669" i="1"/>
  <c r="AJ2669" i="1"/>
  <c r="AF2669" i="1"/>
  <c r="AC2669" i="1"/>
  <c r="AI2668" i="1"/>
  <c r="AH2668" i="1"/>
  <c r="AG2668" i="1"/>
  <c r="AC2668" i="1"/>
  <c r="AE2668" i="1"/>
  <c r="AF2668" i="1"/>
  <c r="AJ2668" i="1"/>
  <c r="AD2668" i="1"/>
  <c r="AL2668" i="1"/>
  <c r="AH2667" i="1"/>
  <c r="AG2667" i="1"/>
  <c r="AI2667" i="1"/>
  <c r="AL2667" i="1"/>
  <c r="AF2667" i="1"/>
  <c r="AE2667" i="1"/>
  <c r="AJ2667" i="1"/>
  <c r="AM2667" i="1" s="1"/>
  <c r="AC2667" i="1"/>
  <c r="AD2667" i="1"/>
  <c r="AG2666" i="1"/>
  <c r="AH2666" i="1"/>
  <c r="AI2666" i="1"/>
  <c r="AF2666" i="1"/>
  <c r="AJ2666" i="1"/>
  <c r="AC2666" i="1"/>
  <c r="AD2666" i="1"/>
  <c r="AL2666" i="1"/>
  <c r="AE2666" i="1"/>
  <c r="AI2665" i="1"/>
  <c r="AG2665" i="1"/>
  <c r="AH2665" i="1"/>
  <c r="AL2665" i="1"/>
  <c r="AJ2665" i="1"/>
  <c r="AD2665" i="1"/>
  <c r="AC2665" i="1"/>
  <c r="AE2665" i="1"/>
  <c r="AF2665" i="1"/>
  <c r="AG2664" i="1"/>
  <c r="AH2664" i="1"/>
  <c r="AI2664" i="1"/>
  <c r="AJ2664" i="1"/>
  <c r="AF2664" i="1"/>
  <c r="AL2664" i="1"/>
  <c r="AD2664" i="1"/>
  <c r="AE2664" i="1"/>
  <c r="AC2664" i="1"/>
  <c r="AH2663" i="1"/>
  <c r="AI2663" i="1"/>
  <c r="AG2663" i="1"/>
  <c r="AL2663" i="1"/>
  <c r="AD2663" i="1"/>
  <c r="AF2663" i="1"/>
  <c r="AC2663" i="1"/>
  <c r="AJ2663" i="1"/>
  <c r="AM2663" i="1" s="1"/>
  <c r="AE2663" i="1"/>
  <c r="AG2662" i="1"/>
  <c r="AI2662" i="1"/>
  <c r="AH2662" i="1"/>
  <c r="AF2662" i="1"/>
  <c r="AC2662" i="1"/>
  <c r="AD2662" i="1"/>
  <c r="AE2662" i="1"/>
  <c r="AL2662" i="1"/>
  <c r="AJ2662" i="1"/>
  <c r="AM2662" i="1" s="1"/>
  <c r="AH2661" i="1"/>
  <c r="AI2661" i="1"/>
  <c r="AG2661" i="1"/>
  <c r="AL2661" i="1"/>
  <c r="AJ2661" i="1"/>
  <c r="AM2661" i="1" s="1"/>
  <c r="AC2661" i="1"/>
  <c r="AF2661" i="1"/>
  <c r="AE2661" i="1"/>
  <c r="AD2661" i="1"/>
  <c r="AH2660" i="1"/>
  <c r="AG2660" i="1"/>
  <c r="AI2660" i="1"/>
  <c r="AC2660" i="1"/>
  <c r="AL2660" i="1"/>
  <c r="AE2660" i="1"/>
  <c r="AF2660" i="1"/>
  <c r="AJ2660" i="1"/>
  <c r="AM2660" i="1" s="1"/>
  <c r="AD2660" i="1"/>
  <c r="AG2659" i="1"/>
  <c r="AH2659" i="1"/>
  <c r="AI2659" i="1"/>
  <c r="AL2659" i="1"/>
  <c r="AC2659" i="1"/>
  <c r="AJ2659" i="1"/>
  <c r="AM2659" i="1" s="1"/>
  <c r="AF2659" i="1"/>
  <c r="AE2659" i="1"/>
  <c r="AD2659" i="1"/>
  <c r="AH2658" i="1"/>
  <c r="AG2658" i="1"/>
  <c r="AI2658" i="1"/>
  <c r="AJ2658" i="1"/>
  <c r="AD2658" i="1"/>
  <c r="AE2658" i="1"/>
  <c r="AL2658" i="1"/>
  <c r="AF2658" i="1"/>
  <c r="AC2658" i="1"/>
  <c r="AI2657" i="1"/>
  <c r="AG2657" i="1"/>
  <c r="AH2657" i="1"/>
  <c r="AC2657" i="1"/>
  <c r="AL2657" i="1"/>
  <c r="AF2657" i="1"/>
  <c r="AJ2657" i="1"/>
  <c r="AM2657" i="1" s="1"/>
  <c r="AE2657" i="1"/>
  <c r="AD2657" i="1"/>
  <c r="AG2656" i="1"/>
  <c r="AI2656" i="1"/>
  <c r="AH2656" i="1"/>
  <c r="AD2656" i="1"/>
  <c r="AL2656" i="1"/>
  <c r="AJ2656" i="1"/>
  <c r="AE2656" i="1"/>
  <c r="AC2656" i="1"/>
  <c r="AF2656" i="1"/>
  <c r="AI2655" i="1"/>
  <c r="AG2655" i="1"/>
  <c r="AH2655" i="1"/>
  <c r="AF2655" i="1"/>
  <c r="AE2655" i="1"/>
  <c r="AC2655" i="1"/>
  <c r="AD2655" i="1"/>
  <c r="AJ2655" i="1"/>
  <c r="AL2655" i="1"/>
  <c r="AG2654" i="1"/>
  <c r="AI2654" i="1"/>
  <c r="AH2654" i="1"/>
  <c r="AL2654" i="1"/>
  <c r="AD2654" i="1"/>
  <c r="AJ2654" i="1"/>
  <c r="AM2654" i="1" s="1"/>
  <c r="AC2654" i="1"/>
  <c r="AE2654" i="1"/>
  <c r="AF2654" i="1"/>
  <c r="AG2653" i="1"/>
  <c r="AI2653" i="1"/>
  <c r="AH2653" i="1"/>
  <c r="AL2653" i="1"/>
  <c r="AE2653" i="1"/>
  <c r="AD2653" i="1"/>
  <c r="AC2653" i="1"/>
  <c r="AF2653" i="1"/>
  <c r="AJ2653" i="1"/>
  <c r="AM2653" i="1" s="1"/>
  <c r="AG2652" i="1"/>
  <c r="AI2652" i="1"/>
  <c r="AH2652" i="1"/>
  <c r="AD2652" i="1"/>
  <c r="AF2652" i="1"/>
  <c r="AJ2652" i="1"/>
  <c r="AC2652" i="1"/>
  <c r="AE2652" i="1"/>
  <c r="AL2652" i="1"/>
  <c r="AI2651" i="1"/>
  <c r="AH2651" i="1"/>
  <c r="AG2651" i="1"/>
  <c r="AC2651" i="1"/>
  <c r="AD2651" i="1"/>
  <c r="AF2651" i="1"/>
  <c r="AJ2651" i="1"/>
  <c r="AL2651" i="1"/>
  <c r="AE2651" i="1"/>
  <c r="AI2650" i="1"/>
  <c r="AG2650" i="1"/>
  <c r="AH2650" i="1"/>
  <c r="AE2650" i="1"/>
  <c r="AC2650" i="1"/>
  <c r="AL2650" i="1"/>
  <c r="AJ2650" i="1"/>
  <c r="AF2650" i="1"/>
  <c r="AD2650" i="1"/>
  <c r="AG2649" i="1"/>
  <c r="AH2649" i="1"/>
  <c r="AI2649" i="1"/>
  <c r="AC2649" i="1"/>
  <c r="AL2649" i="1"/>
  <c r="AF2649" i="1"/>
  <c r="AE2649" i="1"/>
  <c r="AJ2649" i="1"/>
  <c r="AM2649" i="1" s="1"/>
  <c r="AD2649" i="1"/>
  <c r="AI2648" i="1"/>
  <c r="AH2648" i="1"/>
  <c r="AG2648" i="1"/>
  <c r="AD2648" i="1"/>
  <c r="AF2648" i="1"/>
  <c r="AJ2648" i="1"/>
  <c r="AE2648" i="1"/>
  <c r="AC2648" i="1"/>
  <c r="AL2648" i="1"/>
  <c r="AH2647" i="1"/>
  <c r="AI2647" i="1"/>
  <c r="AG2647" i="1"/>
  <c r="AC2647" i="1"/>
  <c r="AE2647" i="1"/>
  <c r="AF2647" i="1"/>
  <c r="AL2647" i="1"/>
  <c r="AJ2647" i="1"/>
  <c r="AD2647" i="1"/>
  <c r="AG2646" i="1"/>
  <c r="AI2646" i="1"/>
  <c r="AH2646" i="1"/>
  <c r="AC2646" i="1"/>
  <c r="AD2646" i="1"/>
  <c r="AL2646" i="1"/>
  <c r="AJ2646" i="1"/>
  <c r="AF2646" i="1"/>
  <c r="AE2646" i="1"/>
  <c r="AH2645" i="1"/>
  <c r="AI2645" i="1"/>
  <c r="AG2645" i="1"/>
  <c r="AF2645" i="1"/>
  <c r="AJ2645" i="1"/>
  <c r="AL2645" i="1"/>
  <c r="AC2645" i="1"/>
  <c r="AE2645" i="1"/>
  <c r="AD2645" i="1"/>
  <c r="AH2644" i="1"/>
  <c r="AI2644" i="1"/>
  <c r="AG2644" i="1"/>
  <c r="AJ2644" i="1"/>
  <c r="AC2644" i="1"/>
  <c r="AL2644" i="1"/>
  <c r="AD2644" i="1"/>
  <c r="AF2644" i="1"/>
  <c r="AE2644" i="1"/>
  <c r="AH2643" i="1"/>
  <c r="AG2643" i="1"/>
  <c r="AI2643" i="1"/>
  <c r="AE2643" i="1"/>
  <c r="AJ2643" i="1"/>
  <c r="AF2643" i="1"/>
  <c r="AD2643" i="1"/>
  <c r="AL2643" i="1"/>
  <c r="AC2643" i="1"/>
  <c r="AI2642" i="1"/>
  <c r="AG2642" i="1"/>
  <c r="AH2642" i="1"/>
  <c r="AF2642" i="1"/>
  <c r="AD2642" i="1"/>
  <c r="AC2642" i="1"/>
  <c r="AE2642" i="1"/>
  <c r="AJ2642" i="1"/>
  <c r="AL2642" i="1"/>
  <c r="AI2641" i="1"/>
  <c r="AG2641" i="1"/>
  <c r="AH2641" i="1"/>
  <c r="AL2641" i="1"/>
  <c r="AE2641" i="1"/>
  <c r="AC2641" i="1"/>
  <c r="AD2641" i="1"/>
  <c r="AF2641" i="1"/>
  <c r="AJ2641" i="1"/>
  <c r="AG2640" i="1"/>
  <c r="AH2640" i="1"/>
  <c r="AI2640" i="1"/>
  <c r="AE2640" i="1"/>
  <c r="AD2640" i="1"/>
  <c r="AF2640" i="1"/>
  <c r="AC2640" i="1"/>
  <c r="AL2640" i="1"/>
  <c r="AJ2640" i="1"/>
  <c r="AH2639" i="1"/>
  <c r="AG2639" i="1"/>
  <c r="AI2639" i="1"/>
  <c r="AJ2639" i="1"/>
  <c r="AF2639" i="1"/>
  <c r="AD2639" i="1"/>
  <c r="AE2639" i="1"/>
  <c r="AL2639" i="1"/>
  <c r="AC2639" i="1"/>
  <c r="AI2638" i="1"/>
  <c r="AG2638" i="1"/>
  <c r="AH2638" i="1"/>
  <c r="AL2638" i="1"/>
  <c r="AF2638" i="1"/>
  <c r="AD2638" i="1"/>
  <c r="AJ2638" i="1"/>
  <c r="AM2638" i="1" s="1"/>
  <c r="AE2638" i="1"/>
  <c r="AC2638" i="1"/>
  <c r="AI2637" i="1"/>
  <c r="AH2637" i="1"/>
  <c r="AG2637" i="1"/>
  <c r="AC2637" i="1"/>
  <c r="AD2637" i="1"/>
  <c r="AF2637" i="1"/>
  <c r="AJ2637" i="1"/>
  <c r="AL2637" i="1"/>
  <c r="AE2637" i="1"/>
  <c r="AI2636" i="1"/>
  <c r="AG2636" i="1"/>
  <c r="AH2636" i="1"/>
  <c r="AD2636" i="1"/>
  <c r="AC2636" i="1"/>
  <c r="AE2636" i="1"/>
  <c r="AJ2636" i="1"/>
  <c r="AL2636" i="1"/>
  <c r="AF2636" i="1"/>
  <c r="AH2635" i="1"/>
  <c r="AI2635" i="1"/>
  <c r="AG2635" i="1"/>
  <c r="AD2635" i="1"/>
  <c r="AF2635" i="1"/>
  <c r="AJ2635" i="1"/>
  <c r="AL2635" i="1"/>
  <c r="AC2635" i="1"/>
  <c r="AE2635" i="1"/>
  <c r="AH2634" i="1"/>
  <c r="AG2634" i="1"/>
  <c r="AI2634" i="1"/>
  <c r="AJ2634" i="1"/>
  <c r="AL2634" i="1"/>
  <c r="AE2634" i="1"/>
  <c r="AC2634" i="1"/>
  <c r="AD2634" i="1"/>
  <c r="AF2634" i="1"/>
  <c r="AI2633" i="1"/>
  <c r="AH2633" i="1"/>
  <c r="AG2633" i="1"/>
  <c r="AD2633" i="1"/>
  <c r="AL2633" i="1"/>
  <c r="AJ2633" i="1"/>
  <c r="AE2633" i="1"/>
  <c r="AF2633" i="1"/>
  <c r="AC2633" i="1"/>
  <c r="AI2632" i="1"/>
  <c r="AH2632" i="1"/>
  <c r="AG2632" i="1"/>
  <c r="AL2632" i="1"/>
  <c r="AF2632" i="1"/>
  <c r="AD2632" i="1"/>
  <c r="AJ2632" i="1"/>
  <c r="AE2632" i="1"/>
  <c r="AC2632" i="1"/>
  <c r="AI2631" i="1"/>
  <c r="AG2631" i="1"/>
  <c r="AH2631" i="1"/>
  <c r="AF2631" i="1"/>
  <c r="AL2631" i="1"/>
  <c r="AD2631" i="1"/>
  <c r="AJ2631" i="1"/>
  <c r="AE2631" i="1"/>
  <c r="AC2631" i="1"/>
  <c r="AH2630" i="1"/>
  <c r="AI2630" i="1"/>
  <c r="AG2630" i="1"/>
  <c r="AF2630" i="1"/>
  <c r="AD2630" i="1"/>
  <c r="AE2630" i="1"/>
  <c r="AC2630" i="1"/>
  <c r="AL2630" i="1"/>
  <c r="AJ2630" i="1"/>
  <c r="AM2630" i="1" s="1"/>
  <c r="AH2629" i="1"/>
  <c r="AG2629" i="1"/>
  <c r="AI2629" i="1"/>
  <c r="AF2629" i="1"/>
  <c r="AJ2629" i="1"/>
  <c r="AL2629" i="1"/>
  <c r="AE2629" i="1"/>
  <c r="AC2629" i="1"/>
  <c r="AD2629" i="1"/>
  <c r="AI2628" i="1"/>
  <c r="AG2628" i="1"/>
  <c r="AH2628" i="1"/>
  <c r="AF2628" i="1"/>
  <c r="AD2628" i="1"/>
  <c r="AC2628" i="1"/>
  <c r="AL2628" i="1"/>
  <c r="AJ2628" i="1"/>
  <c r="AE2628" i="1"/>
  <c r="AH2627" i="1"/>
  <c r="AI2627" i="1"/>
  <c r="AG2627" i="1"/>
  <c r="AF2627" i="1"/>
  <c r="AD2627" i="1"/>
  <c r="AJ2627" i="1"/>
  <c r="AC2627" i="1"/>
  <c r="AE2627" i="1"/>
  <c r="AL2627" i="1"/>
  <c r="AI2626" i="1"/>
  <c r="AH2626" i="1"/>
  <c r="AG2626" i="1"/>
  <c r="AF2626" i="1"/>
  <c r="AL2626" i="1"/>
  <c r="AC2626" i="1"/>
  <c r="AJ2626" i="1"/>
  <c r="AD2626" i="1"/>
  <c r="AE2626" i="1"/>
  <c r="AH2625" i="1"/>
  <c r="AI2625" i="1"/>
  <c r="AG2625" i="1"/>
  <c r="AJ2625" i="1"/>
  <c r="AF2625" i="1"/>
  <c r="AD2625" i="1"/>
  <c r="AL2625" i="1"/>
  <c r="AE2625" i="1"/>
  <c r="AC2625" i="1"/>
  <c r="AI2624" i="1"/>
  <c r="AG2624" i="1"/>
  <c r="AH2624" i="1"/>
  <c r="AC2624" i="1"/>
  <c r="AD2624" i="1"/>
  <c r="AE2624" i="1"/>
  <c r="AJ2624" i="1"/>
  <c r="AL2624" i="1"/>
  <c r="AF2624" i="1"/>
  <c r="AI2623" i="1"/>
  <c r="AG2623" i="1"/>
  <c r="AH2623" i="1"/>
  <c r="AL2623" i="1"/>
  <c r="AJ2623" i="1"/>
  <c r="AE2623" i="1"/>
  <c r="AF2623" i="1"/>
  <c r="AD2623" i="1"/>
  <c r="AC2623" i="1"/>
  <c r="AI2622" i="1"/>
  <c r="AH2622" i="1"/>
  <c r="AG2622" i="1"/>
  <c r="AF2622" i="1"/>
  <c r="AD2622" i="1"/>
  <c r="AL2622" i="1"/>
  <c r="AE2622" i="1"/>
  <c r="AC2622" i="1"/>
  <c r="AJ2622" i="1"/>
  <c r="AM2622" i="1" s="1"/>
  <c r="AH2621" i="1"/>
  <c r="AI2621" i="1"/>
  <c r="AG2621" i="1"/>
  <c r="AD2621" i="1"/>
  <c r="AL2621" i="1"/>
  <c r="AJ2621" i="1"/>
  <c r="AE2621" i="1"/>
  <c r="AF2621" i="1"/>
  <c r="AC2621" i="1"/>
  <c r="AI2620" i="1"/>
  <c r="AH2620" i="1"/>
  <c r="AG2620" i="1"/>
  <c r="AF2620" i="1"/>
  <c r="AD2620" i="1"/>
  <c r="AE2620" i="1"/>
  <c r="AC2620" i="1"/>
  <c r="AJ2620" i="1"/>
  <c r="AL2620" i="1"/>
  <c r="AG2619" i="1"/>
  <c r="AH2619" i="1"/>
  <c r="AI2619" i="1"/>
  <c r="AE2619" i="1"/>
  <c r="AC2619" i="1"/>
  <c r="AD2619" i="1"/>
  <c r="AF2619" i="1"/>
  <c r="AJ2619" i="1"/>
  <c r="AL2619" i="1"/>
  <c r="AI2618" i="1"/>
  <c r="AH2618" i="1"/>
  <c r="AG2618" i="1"/>
  <c r="AL2618" i="1"/>
  <c r="AD2618" i="1"/>
  <c r="AC2618" i="1"/>
  <c r="AF2618" i="1"/>
  <c r="AJ2618" i="1"/>
  <c r="AM2618" i="1" s="1"/>
  <c r="AE2618" i="1"/>
  <c r="AI2617" i="1"/>
  <c r="AH2617" i="1"/>
  <c r="AG2617" i="1"/>
  <c r="AD2617" i="1"/>
  <c r="AC2617" i="1"/>
  <c r="AL2617" i="1"/>
  <c r="AJ2617" i="1"/>
  <c r="AF2617" i="1"/>
  <c r="AE2617" i="1"/>
  <c r="AG2616" i="1"/>
  <c r="AH2616" i="1"/>
  <c r="AI2616" i="1"/>
  <c r="AD2616" i="1"/>
  <c r="AJ2616" i="1"/>
  <c r="AF2616" i="1"/>
  <c r="AE2616" i="1"/>
  <c r="AL2616" i="1"/>
  <c r="AC2616" i="1"/>
  <c r="AG2615" i="1"/>
  <c r="AH2615" i="1"/>
  <c r="AI2615" i="1"/>
  <c r="AJ2615" i="1"/>
  <c r="AL2615" i="1"/>
  <c r="AD2615" i="1"/>
  <c r="AF2615" i="1"/>
  <c r="AC2615" i="1"/>
  <c r="AE2615" i="1"/>
  <c r="AH2614" i="1"/>
  <c r="AI2614" i="1"/>
  <c r="AG2614" i="1"/>
  <c r="AD2614" i="1"/>
  <c r="AF2614" i="1"/>
  <c r="AJ2614" i="1"/>
  <c r="AC2614" i="1"/>
  <c r="AL2614" i="1"/>
  <c r="AE2614" i="1"/>
  <c r="AH2613" i="1"/>
  <c r="AG2613" i="1"/>
  <c r="AI2613" i="1"/>
  <c r="AL2613" i="1"/>
  <c r="AD2613" i="1"/>
  <c r="AF2613" i="1"/>
  <c r="AC2613" i="1"/>
  <c r="AE2613" i="1"/>
  <c r="AJ2613" i="1"/>
  <c r="AM2613" i="1" s="1"/>
  <c r="AH2612" i="1"/>
  <c r="AI2612" i="1"/>
  <c r="AG2612" i="1"/>
  <c r="AD2612" i="1"/>
  <c r="AC2612" i="1"/>
  <c r="AE2612" i="1"/>
  <c r="AL2612" i="1"/>
  <c r="AJ2612" i="1"/>
  <c r="AF2612" i="1"/>
  <c r="AI2611" i="1"/>
  <c r="AG2611" i="1"/>
  <c r="AH2611" i="1"/>
  <c r="AL2611" i="1"/>
  <c r="AJ2611" i="1"/>
  <c r="AF2611" i="1"/>
  <c r="AD2611" i="1"/>
  <c r="AE2611" i="1"/>
  <c r="AC2611" i="1"/>
  <c r="AI2610" i="1"/>
  <c r="AH2610" i="1"/>
  <c r="AG2610" i="1"/>
  <c r="AL2610" i="1"/>
  <c r="AE2610" i="1"/>
  <c r="AC2610" i="1"/>
  <c r="AJ2610" i="1"/>
  <c r="AM2610" i="1" s="1"/>
  <c r="AD2610" i="1"/>
  <c r="AF2610" i="1"/>
  <c r="AI2609" i="1"/>
  <c r="AH2609" i="1"/>
  <c r="AG2609" i="1"/>
  <c r="AE2609" i="1"/>
  <c r="AJ2609" i="1"/>
  <c r="AL2609" i="1"/>
  <c r="AC2609" i="1"/>
  <c r="AF2609" i="1"/>
  <c r="AD2609" i="1"/>
  <c r="AH2608" i="1"/>
  <c r="AG2608" i="1"/>
  <c r="AI2608" i="1"/>
  <c r="AC2608" i="1"/>
  <c r="AF2608" i="1"/>
  <c r="AE2608" i="1"/>
  <c r="AJ2608" i="1"/>
  <c r="AL2608" i="1"/>
  <c r="AD2608" i="1"/>
  <c r="AH2607" i="1"/>
  <c r="AG2607" i="1"/>
  <c r="AI2607" i="1"/>
  <c r="AE2607" i="1"/>
  <c r="AF2607" i="1"/>
  <c r="AC2607" i="1"/>
  <c r="AJ2607" i="1"/>
  <c r="AL2607" i="1"/>
  <c r="AD2607" i="1"/>
  <c r="AH2606" i="1"/>
  <c r="AI2606" i="1"/>
  <c r="AG2606" i="1"/>
  <c r="AL2606" i="1"/>
  <c r="AF2606" i="1"/>
  <c r="AE2606" i="1"/>
  <c r="AC2606" i="1"/>
  <c r="AJ2606" i="1"/>
  <c r="AD2606" i="1"/>
  <c r="AG2605" i="1"/>
  <c r="AH2605" i="1"/>
  <c r="AI2605" i="1"/>
  <c r="AF2605" i="1"/>
  <c r="AC2605" i="1"/>
  <c r="AD2605" i="1"/>
  <c r="AL2605" i="1"/>
  <c r="AJ2605" i="1"/>
  <c r="AE2605" i="1"/>
  <c r="AI2604" i="1"/>
  <c r="AG2604" i="1"/>
  <c r="AH2604" i="1"/>
  <c r="AD2604" i="1"/>
  <c r="AF2604" i="1"/>
  <c r="AJ2604" i="1"/>
  <c r="AL2604" i="1"/>
  <c r="AC2604" i="1"/>
  <c r="AE2604" i="1"/>
  <c r="AI2603" i="1"/>
  <c r="AH2603" i="1"/>
  <c r="AG2603" i="1"/>
  <c r="AD2603" i="1"/>
  <c r="AC2603" i="1"/>
  <c r="AJ2603" i="1"/>
  <c r="AE2603" i="1"/>
  <c r="AL2603" i="1"/>
  <c r="AF2603" i="1"/>
  <c r="AH2602" i="1"/>
  <c r="AG2602" i="1"/>
  <c r="AI2602" i="1"/>
  <c r="AL2602" i="1"/>
  <c r="AC2602" i="1"/>
  <c r="AD2602" i="1"/>
  <c r="AF2602" i="1"/>
  <c r="AJ2602" i="1"/>
  <c r="AM2602" i="1" s="1"/>
  <c r="AE2602" i="1"/>
  <c r="AI2601" i="1"/>
  <c r="AH2601" i="1"/>
  <c r="AL2601" i="1"/>
  <c r="AC2601" i="1"/>
  <c r="AD2601" i="1"/>
  <c r="AE2601" i="1"/>
  <c r="AF2601" i="1"/>
  <c r="AJ2601" i="1"/>
  <c r="AI2600" i="1"/>
  <c r="AG2600" i="1"/>
  <c r="AH2600" i="1"/>
  <c r="AD2600" i="1"/>
  <c r="AE2600" i="1"/>
  <c r="AJ2600" i="1"/>
  <c r="AF2600" i="1"/>
  <c r="AC2600" i="1"/>
  <c r="AL2600" i="1"/>
  <c r="AG2599" i="1"/>
  <c r="AI2599" i="1"/>
  <c r="AH2599" i="1"/>
  <c r="AF2599" i="1"/>
  <c r="AD2599" i="1"/>
  <c r="AC2599" i="1"/>
  <c r="AL2599" i="1"/>
  <c r="AJ2599" i="1"/>
  <c r="AE2599" i="1"/>
  <c r="AG2598" i="1"/>
  <c r="AI2598" i="1"/>
  <c r="AH2598" i="1"/>
  <c r="AJ2598" i="1"/>
  <c r="AF2598" i="1"/>
  <c r="AE2598" i="1"/>
  <c r="AD2598" i="1"/>
  <c r="AC2598" i="1"/>
  <c r="AL2598" i="1"/>
  <c r="AG2597" i="1"/>
  <c r="AI2597" i="1"/>
  <c r="AH2597" i="1"/>
  <c r="AD2597" i="1"/>
  <c r="AL2597" i="1"/>
  <c r="AF2597" i="1"/>
  <c r="AJ2597" i="1"/>
  <c r="AM2597" i="1" s="1"/>
  <c r="AE2597" i="1"/>
  <c r="AC2597" i="1"/>
  <c r="AI2596" i="1"/>
  <c r="AH2596" i="1"/>
  <c r="AG2596" i="1"/>
  <c r="AJ2596" i="1"/>
  <c r="AD2596" i="1"/>
  <c r="AC2596" i="1"/>
  <c r="AE2596" i="1"/>
  <c r="AL2596" i="1"/>
  <c r="AF2596" i="1"/>
  <c r="AH2595" i="1"/>
  <c r="AG2595" i="1"/>
  <c r="AI2595" i="1"/>
  <c r="AF2595" i="1"/>
  <c r="AC2595" i="1"/>
  <c r="AE2595" i="1"/>
  <c r="AL2595" i="1"/>
  <c r="AJ2595" i="1"/>
  <c r="AD2595" i="1"/>
  <c r="AH2594" i="1"/>
  <c r="AI2594" i="1"/>
  <c r="AG2594" i="1"/>
  <c r="AJ2594" i="1"/>
  <c r="AD2594" i="1"/>
  <c r="AC2594" i="1"/>
  <c r="AL2594" i="1"/>
  <c r="AE2594" i="1"/>
  <c r="AF2594" i="1"/>
  <c r="AH2593" i="1"/>
  <c r="AG2593" i="1"/>
  <c r="AI2593" i="1"/>
  <c r="AD2593" i="1"/>
  <c r="AC2593" i="1"/>
  <c r="AF2593" i="1"/>
  <c r="AL2593" i="1"/>
  <c r="AE2593" i="1"/>
  <c r="AJ2593" i="1"/>
  <c r="AG2592" i="1"/>
  <c r="AI2592" i="1"/>
  <c r="AH2592" i="1"/>
  <c r="AD2592" i="1"/>
  <c r="AJ2592" i="1"/>
  <c r="AC2592" i="1"/>
  <c r="AE2592" i="1"/>
  <c r="AF2592" i="1"/>
  <c r="AL2592" i="1"/>
  <c r="AG2591" i="1"/>
  <c r="AI2591" i="1"/>
  <c r="AH2591" i="1"/>
  <c r="AJ2591" i="1"/>
  <c r="AL2591" i="1"/>
  <c r="AC2591" i="1"/>
  <c r="AE2591" i="1"/>
  <c r="AF2591" i="1"/>
  <c r="AD2591" i="1"/>
  <c r="AG2590" i="1"/>
  <c r="AH2590" i="1"/>
  <c r="AI2590" i="1"/>
  <c r="AE2590" i="1"/>
  <c r="AC2590" i="1"/>
  <c r="AL2590" i="1"/>
  <c r="AJ2590" i="1"/>
  <c r="AF2590" i="1"/>
  <c r="AD2590" i="1"/>
  <c r="AH2589" i="1"/>
  <c r="AI2589" i="1"/>
  <c r="AG2589" i="1"/>
  <c r="AF2589" i="1"/>
  <c r="AD2589" i="1"/>
  <c r="AJ2589" i="1"/>
  <c r="AC2589" i="1"/>
  <c r="AL2589" i="1"/>
  <c r="AE2589" i="1"/>
  <c r="AG2588" i="1"/>
  <c r="AH2588" i="1"/>
  <c r="AI2588" i="1"/>
  <c r="AD2588" i="1"/>
  <c r="AJ2588" i="1"/>
  <c r="AL2588" i="1"/>
  <c r="AC2588" i="1"/>
  <c r="AE2588" i="1"/>
  <c r="AF2588" i="1"/>
  <c r="AI2587" i="1"/>
  <c r="AH2587" i="1"/>
  <c r="AG2587" i="1"/>
  <c r="AD2587" i="1"/>
  <c r="AJ2587" i="1"/>
  <c r="AC2587" i="1"/>
  <c r="AE2587" i="1"/>
  <c r="AL2587" i="1"/>
  <c r="AF2587" i="1"/>
  <c r="AH2586" i="1"/>
  <c r="AG2586" i="1"/>
  <c r="AI2586" i="1"/>
  <c r="AD2586" i="1"/>
  <c r="AL2586" i="1"/>
  <c r="AF2586" i="1"/>
  <c r="AE2586" i="1"/>
  <c r="AC2586" i="1"/>
  <c r="AJ2586" i="1"/>
  <c r="AH2585" i="1"/>
  <c r="AI2585" i="1"/>
  <c r="AG2585" i="1"/>
  <c r="AF2585" i="1"/>
  <c r="AJ2585" i="1"/>
  <c r="AL2585" i="1"/>
  <c r="AE2585" i="1"/>
  <c r="AD2585" i="1"/>
  <c r="AC2585" i="1"/>
  <c r="AH2584" i="1"/>
  <c r="AI2584" i="1"/>
  <c r="AG2584" i="1"/>
  <c r="AL2584" i="1"/>
  <c r="AF2584" i="1"/>
  <c r="AC2584" i="1"/>
  <c r="AD2584" i="1"/>
  <c r="AJ2584" i="1"/>
  <c r="AM2584" i="1" s="1"/>
  <c r="AE2584" i="1"/>
  <c r="AH2583" i="1"/>
  <c r="AI2583" i="1"/>
  <c r="AG2583" i="1"/>
  <c r="AD2583" i="1"/>
  <c r="AJ2583" i="1"/>
  <c r="AL2583" i="1"/>
  <c r="AE2583" i="1"/>
  <c r="AF2583" i="1"/>
  <c r="AC2583" i="1"/>
  <c r="AH2582" i="1"/>
  <c r="AI2582" i="1"/>
  <c r="AG2582" i="1"/>
  <c r="AD2582" i="1"/>
  <c r="AF2582" i="1"/>
  <c r="AJ2582" i="1"/>
  <c r="AL2582" i="1"/>
  <c r="AE2582" i="1"/>
  <c r="AC2582" i="1"/>
  <c r="AI2581" i="1"/>
  <c r="AG2581" i="1"/>
  <c r="AH2581" i="1"/>
  <c r="AJ2581" i="1"/>
  <c r="AL2581" i="1"/>
  <c r="AE2581" i="1"/>
  <c r="AC2581" i="1"/>
  <c r="AD2581" i="1"/>
  <c r="AF2581" i="1"/>
  <c r="AH2580" i="1"/>
  <c r="AI2580" i="1"/>
  <c r="AG2580" i="1"/>
  <c r="AL2580" i="1"/>
  <c r="AF2580" i="1"/>
  <c r="AD2580" i="1"/>
  <c r="AC2580" i="1"/>
  <c r="AE2580" i="1"/>
  <c r="AJ2580" i="1"/>
  <c r="AM2580" i="1" s="1"/>
  <c r="AH2579" i="1"/>
  <c r="AI2579" i="1"/>
  <c r="AG2579" i="1"/>
  <c r="AE2579" i="1"/>
  <c r="AF2579" i="1"/>
  <c r="AD2579" i="1"/>
  <c r="AL2579" i="1"/>
  <c r="AJ2579" i="1"/>
  <c r="AC2579" i="1"/>
  <c r="AI2578" i="1"/>
  <c r="AG2578" i="1"/>
  <c r="AH2578" i="1"/>
  <c r="AL2578" i="1"/>
  <c r="AJ2578" i="1"/>
  <c r="AD2578" i="1"/>
  <c r="AF2578" i="1"/>
  <c r="AC2578" i="1"/>
  <c r="AE2578" i="1"/>
  <c r="AI2577" i="1"/>
  <c r="AG2577" i="1"/>
  <c r="AH2577" i="1"/>
  <c r="AL2577" i="1"/>
  <c r="AE2577" i="1"/>
  <c r="AJ2577" i="1"/>
  <c r="AM2577" i="1" s="1"/>
  <c r="AC2577" i="1"/>
  <c r="AD2577" i="1"/>
  <c r="AF2577" i="1"/>
  <c r="AI2576" i="1"/>
  <c r="AG2576" i="1"/>
  <c r="AH2576" i="1"/>
  <c r="AL2576" i="1"/>
  <c r="AE2576" i="1"/>
  <c r="AC2576" i="1"/>
  <c r="AD2576" i="1"/>
  <c r="AF2576" i="1"/>
  <c r="AJ2576" i="1"/>
  <c r="AM2576" i="1" s="1"/>
  <c r="AH2575" i="1"/>
  <c r="AG2575" i="1"/>
  <c r="AI2575" i="1"/>
  <c r="AJ2575" i="1"/>
  <c r="AF2575" i="1"/>
  <c r="AC2575" i="1"/>
  <c r="AE2575" i="1"/>
  <c r="AL2575" i="1"/>
  <c r="AD2575" i="1"/>
  <c r="AG2574" i="1"/>
  <c r="AI2574" i="1"/>
  <c r="AH2574" i="1"/>
  <c r="AD2574" i="1"/>
  <c r="AF2574" i="1"/>
  <c r="AE2574" i="1"/>
  <c r="AJ2574" i="1"/>
  <c r="AL2574" i="1"/>
  <c r="AC2574" i="1"/>
  <c r="AG2573" i="1"/>
  <c r="AI2573" i="1"/>
  <c r="AH2573" i="1"/>
  <c r="AF2573" i="1"/>
  <c r="AC2573" i="1"/>
  <c r="AL2573" i="1"/>
  <c r="AJ2573" i="1"/>
  <c r="AM2573" i="1" s="1"/>
  <c r="AD2573" i="1"/>
  <c r="AE2573" i="1"/>
  <c r="AI2572" i="1"/>
  <c r="AH2572" i="1"/>
  <c r="AG2572" i="1"/>
  <c r="AD2572" i="1"/>
  <c r="AE2572" i="1"/>
  <c r="AF2572" i="1"/>
  <c r="AL2572" i="1"/>
  <c r="AJ2572" i="1"/>
  <c r="AC2572" i="1"/>
  <c r="AH2571" i="1"/>
  <c r="AI2571" i="1"/>
  <c r="AG2571" i="1"/>
  <c r="AF2571" i="1"/>
  <c r="AC2571" i="1"/>
  <c r="AE2571" i="1"/>
  <c r="AD2571" i="1"/>
  <c r="AL2571" i="1"/>
  <c r="AJ2571" i="1"/>
  <c r="AI2570" i="1"/>
  <c r="AG2570" i="1"/>
  <c r="AH2570" i="1"/>
  <c r="AL2570" i="1"/>
  <c r="AF2570" i="1"/>
  <c r="AD2570" i="1"/>
  <c r="AJ2570" i="1"/>
  <c r="AM2570" i="1" s="1"/>
  <c r="AE2570" i="1"/>
  <c r="AC2570" i="1"/>
  <c r="AI2569" i="1"/>
  <c r="AG2569" i="1"/>
  <c r="AH2569" i="1"/>
  <c r="AL2569" i="1"/>
  <c r="AE2569" i="1"/>
  <c r="AC2569" i="1"/>
  <c r="AJ2569" i="1"/>
  <c r="AF2569" i="1"/>
  <c r="AD2569" i="1"/>
  <c r="AH2568" i="1"/>
  <c r="AG2568" i="1"/>
  <c r="AI2568" i="1"/>
  <c r="AL2568" i="1"/>
  <c r="AJ2568" i="1"/>
  <c r="AC2568" i="1"/>
  <c r="AF2568" i="1"/>
  <c r="AD2568" i="1"/>
  <c r="AE2568" i="1"/>
  <c r="AH2567" i="1"/>
  <c r="AI2567" i="1"/>
  <c r="AG2567" i="1"/>
  <c r="AJ2567" i="1"/>
  <c r="AL2567" i="1"/>
  <c r="AF2567" i="1"/>
  <c r="AE2567" i="1"/>
  <c r="AC2567" i="1"/>
  <c r="AD2567" i="1"/>
  <c r="AG2566" i="1"/>
  <c r="AH2566" i="1"/>
  <c r="AI2566" i="1"/>
  <c r="AE2566" i="1"/>
  <c r="AF2566" i="1"/>
  <c r="AD2566" i="1"/>
  <c r="AC2566" i="1"/>
  <c r="AJ2566" i="1"/>
  <c r="AL2566" i="1"/>
  <c r="AI2565" i="1"/>
  <c r="AG2565" i="1"/>
  <c r="AH2565" i="1"/>
  <c r="AE2565" i="1"/>
  <c r="AC2565" i="1"/>
  <c r="AJ2565" i="1"/>
  <c r="AF2565" i="1"/>
  <c r="AL2565" i="1"/>
  <c r="AD2565" i="1"/>
  <c r="AG2564" i="1"/>
  <c r="AH2564" i="1"/>
  <c r="AI2564" i="1"/>
  <c r="AC2564" i="1"/>
  <c r="AJ2564" i="1"/>
  <c r="AL2564" i="1"/>
  <c r="AE2564" i="1"/>
  <c r="AD2564" i="1"/>
  <c r="AF2564" i="1"/>
  <c r="AG2563" i="1"/>
  <c r="AH2563" i="1"/>
  <c r="AI2563" i="1"/>
  <c r="AF2563" i="1"/>
  <c r="AD2563" i="1"/>
  <c r="AL2563" i="1"/>
  <c r="AE2563" i="1"/>
  <c r="AC2563" i="1"/>
  <c r="AJ2563" i="1"/>
  <c r="AG2562" i="1"/>
  <c r="AI2562" i="1"/>
  <c r="AH2562" i="1"/>
  <c r="AC2562" i="1"/>
  <c r="AJ2562" i="1"/>
  <c r="AF2562" i="1"/>
  <c r="AE2562" i="1"/>
  <c r="AD2562" i="1"/>
  <c r="AL2562" i="1"/>
  <c r="AI2561" i="1"/>
  <c r="AH2561" i="1"/>
  <c r="AG2561" i="1"/>
  <c r="AJ2561" i="1"/>
  <c r="AL2561" i="1"/>
  <c r="AF2561" i="1"/>
  <c r="AE2561" i="1"/>
  <c r="AD2561" i="1"/>
  <c r="AC2561" i="1"/>
  <c r="AH2560" i="1"/>
  <c r="AG2560" i="1"/>
  <c r="AI2560" i="1"/>
  <c r="AF2560" i="1"/>
  <c r="AD2560" i="1"/>
  <c r="AE2560" i="1"/>
  <c r="AC2560" i="1"/>
  <c r="AL2560" i="1"/>
  <c r="AJ2560" i="1"/>
  <c r="AI2559" i="1"/>
  <c r="AH2559" i="1"/>
  <c r="AG2559" i="1"/>
  <c r="AL2559" i="1"/>
  <c r="AJ2559" i="1"/>
  <c r="AF2559" i="1"/>
  <c r="AE2559" i="1"/>
  <c r="AC2559" i="1"/>
  <c r="AD2559" i="1"/>
  <c r="AI2558" i="1"/>
  <c r="AG2558" i="1"/>
  <c r="AH2558" i="1"/>
  <c r="AE2558" i="1"/>
  <c r="AC2558" i="1"/>
  <c r="AF2558" i="1"/>
  <c r="AD2558" i="1"/>
  <c r="AJ2558" i="1"/>
  <c r="AL2558" i="1"/>
  <c r="AI2557" i="1"/>
  <c r="AG2557" i="1"/>
  <c r="AH2557" i="1"/>
  <c r="AE2557" i="1"/>
  <c r="AC2557" i="1"/>
  <c r="AL2557" i="1"/>
  <c r="AJ2557" i="1"/>
  <c r="AD2557" i="1"/>
  <c r="AF2557" i="1"/>
  <c r="AI2556" i="1"/>
  <c r="AG2556" i="1"/>
  <c r="AH2556" i="1"/>
  <c r="AJ2556" i="1"/>
  <c r="AE2556" i="1"/>
  <c r="AD2556" i="1"/>
  <c r="AC2556" i="1"/>
  <c r="AF2556" i="1"/>
  <c r="AL2556" i="1"/>
  <c r="AG2555" i="1"/>
  <c r="AI2555" i="1"/>
  <c r="AH2555" i="1"/>
  <c r="AE2555" i="1"/>
  <c r="AJ2555" i="1"/>
  <c r="AD2555" i="1"/>
  <c r="AF2555" i="1"/>
  <c r="AL2555" i="1"/>
  <c r="AC2555" i="1"/>
  <c r="AH2554" i="1"/>
  <c r="AG2554" i="1"/>
  <c r="AI2554" i="1"/>
  <c r="AD2554" i="1"/>
  <c r="AL2554" i="1"/>
  <c r="AF2554" i="1"/>
  <c r="AJ2554" i="1"/>
  <c r="AC2554" i="1"/>
  <c r="AE2554" i="1"/>
  <c r="AI2553" i="1"/>
  <c r="AG2553" i="1"/>
  <c r="AH2553" i="1"/>
  <c r="AL2553" i="1"/>
  <c r="AE2553" i="1"/>
  <c r="AC2553" i="1"/>
  <c r="AD2553" i="1"/>
  <c r="AJ2553" i="1"/>
  <c r="AF2553" i="1"/>
  <c r="AH2552" i="1"/>
  <c r="AG2552" i="1"/>
  <c r="AI2552" i="1"/>
  <c r="AJ2552" i="1"/>
  <c r="AF2552" i="1"/>
  <c r="AD2552" i="1"/>
  <c r="AL2552" i="1"/>
  <c r="AC2552" i="1"/>
  <c r="AE2552" i="1"/>
  <c r="AH2551" i="1"/>
  <c r="AG2551" i="1"/>
  <c r="AI2551" i="1"/>
  <c r="AL2551" i="1"/>
  <c r="AJ2551" i="1"/>
  <c r="AF2551" i="1"/>
  <c r="AD2551" i="1"/>
  <c r="AE2551" i="1"/>
  <c r="AC2551" i="1"/>
  <c r="AI2550" i="1"/>
  <c r="AH2550" i="1"/>
  <c r="AG2550" i="1"/>
  <c r="AL2550" i="1"/>
  <c r="AC2550" i="1"/>
  <c r="AD2550" i="1"/>
  <c r="AF2550" i="1"/>
  <c r="AJ2550" i="1"/>
  <c r="AM2550" i="1" s="1"/>
  <c r="AE2550" i="1"/>
  <c r="AH2549" i="1"/>
  <c r="AG2549" i="1"/>
  <c r="AI2549" i="1"/>
  <c r="AE2549" i="1"/>
  <c r="AL2549" i="1"/>
  <c r="AC2549" i="1"/>
  <c r="AJ2549" i="1"/>
  <c r="AD2549" i="1"/>
  <c r="AF2549" i="1"/>
  <c r="AG2548" i="1"/>
  <c r="AH2548" i="1"/>
  <c r="AI2548" i="1"/>
  <c r="AD2548" i="1"/>
  <c r="AE2548" i="1"/>
  <c r="AL2548" i="1"/>
  <c r="AJ2548" i="1"/>
  <c r="AF2548" i="1"/>
  <c r="AC2548" i="1"/>
  <c r="AH2547" i="1"/>
  <c r="AI2547" i="1"/>
  <c r="AG2547" i="1"/>
  <c r="AF2547" i="1"/>
  <c r="AD2547" i="1"/>
  <c r="AL2547" i="1"/>
  <c r="AE2547" i="1"/>
  <c r="AC2547" i="1"/>
  <c r="AJ2547" i="1"/>
  <c r="AH2546" i="1"/>
  <c r="AI2546" i="1"/>
  <c r="AG2546" i="1"/>
  <c r="AD2546" i="1"/>
  <c r="AJ2546" i="1"/>
  <c r="AE2546" i="1"/>
  <c r="AC2546" i="1"/>
  <c r="AF2546" i="1"/>
  <c r="AL2546" i="1"/>
  <c r="AH2545" i="1"/>
  <c r="AI2545" i="1"/>
  <c r="AG2545" i="1"/>
  <c r="AF2545" i="1"/>
  <c r="AE2545" i="1"/>
  <c r="AC2545" i="1"/>
  <c r="AL2545" i="1"/>
  <c r="AJ2545" i="1"/>
  <c r="AD2545" i="1"/>
  <c r="AI2544" i="1"/>
  <c r="AH2544" i="1"/>
  <c r="AG2544" i="1"/>
  <c r="AE2544" i="1"/>
  <c r="AC2544" i="1"/>
  <c r="AL2544" i="1"/>
  <c r="AJ2544" i="1"/>
  <c r="AF2544" i="1"/>
  <c r="AD2544" i="1"/>
  <c r="AI2543" i="1"/>
  <c r="AH2543" i="1"/>
  <c r="AG2543" i="1"/>
  <c r="AL2543" i="1"/>
  <c r="AF2543" i="1"/>
  <c r="AE2543" i="1"/>
  <c r="AC2543" i="1"/>
  <c r="AJ2543" i="1"/>
  <c r="AM2543" i="1" s="1"/>
  <c r="AD2543" i="1"/>
  <c r="AH2542" i="1"/>
  <c r="AI2542" i="1"/>
  <c r="AG2542" i="1"/>
  <c r="AL2542" i="1"/>
  <c r="AJ2542" i="1"/>
  <c r="AF2542" i="1"/>
  <c r="AD2542" i="1"/>
  <c r="AC2542" i="1"/>
  <c r="AH2541" i="1"/>
  <c r="AG2541" i="1"/>
  <c r="AI2541" i="1"/>
  <c r="AJ2541" i="1"/>
  <c r="AF2541" i="1"/>
  <c r="AL2541" i="1"/>
  <c r="AE2541" i="1"/>
  <c r="AD2541" i="1"/>
  <c r="AC2541" i="1"/>
  <c r="AG2540" i="1"/>
  <c r="AH2540" i="1"/>
  <c r="AI2540" i="1"/>
  <c r="AL2540" i="1"/>
  <c r="AD2540" i="1"/>
  <c r="AJ2540" i="1"/>
  <c r="AM2540" i="1" s="1"/>
  <c r="AF2540" i="1"/>
  <c r="AC2540" i="1"/>
  <c r="AE2540" i="1"/>
  <c r="AI2539" i="1"/>
  <c r="AH2539" i="1"/>
  <c r="AG2539" i="1"/>
  <c r="AJ2539" i="1"/>
  <c r="AF2539" i="1"/>
  <c r="AE2539" i="1"/>
  <c r="AC2539" i="1"/>
  <c r="AD2539" i="1"/>
  <c r="AL2539" i="1"/>
  <c r="AG2538" i="1"/>
  <c r="AH2538" i="1"/>
  <c r="AI2538" i="1"/>
  <c r="AD2538" i="1"/>
  <c r="AJ2538" i="1"/>
  <c r="AL2538" i="1"/>
  <c r="AE2538" i="1"/>
  <c r="AC2538" i="1"/>
  <c r="AF2538" i="1"/>
  <c r="AH2537" i="1"/>
  <c r="AG2537" i="1"/>
  <c r="AI2537" i="1"/>
  <c r="AJ2537" i="1"/>
  <c r="AF2537" i="1"/>
  <c r="AD2537" i="1"/>
  <c r="AC2537" i="1"/>
  <c r="AE2537" i="1"/>
  <c r="AL2537" i="1"/>
  <c r="AH2536" i="1"/>
  <c r="AG2536" i="1"/>
  <c r="AI2536" i="1"/>
  <c r="AL2536" i="1"/>
  <c r="AF2536" i="1"/>
  <c r="AD2536" i="1"/>
  <c r="AC2536" i="1"/>
  <c r="AJ2536" i="1"/>
  <c r="AE2536" i="1"/>
  <c r="AH2535" i="1"/>
  <c r="AG2535" i="1"/>
  <c r="AI2535" i="1"/>
  <c r="AL2535" i="1"/>
  <c r="AC2535" i="1"/>
  <c r="AJ2535" i="1"/>
  <c r="AE2535" i="1"/>
  <c r="AF2535" i="1"/>
  <c r="AD2535" i="1"/>
  <c r="AI2534" i="1"/>
  <c r="AH2534" i="1"/>
  <c r="AG2534" i="1"/>
  <c r="AF2534" i="1"/>
  <c r="AD2534" i="1"/>
  <c r="AL2534" i="1"/>
  <c r="AJ2534" i="1"/>
  <c r="AE2534" i="1"/>
  <c r="AC2534" i="1"/>
  <c r="AI2533" i="1"/>
  <c r="AG2533" i="1"/>
  <c r="AH2533" i="1"/>
  <c r="AL2533" i="1"/>
  <c r="AF2533" i="1"/>
  <c r="AD2533" i="1"/>
  <c r="AC2533" i="1"/>
  <c r="AE2533" i="1"/>
  <c r="AJ2533" i="1"/>
  <c r="AI2532" i="1"/>
  <c r="AH2532" i="1"/>
  <c r="AG2532" i="1"/>
  <c r="AD2532" i="1"/>
  <c r="AF2532" i="1"/>
  <c r="AL2532" i="1"/>
  <c r="AJ2532" i="1"/>
  <c r="AE2532" i="1"/>
  <c r="AC2532" i="1"/>
  <c r="AH2531" i="1"/>
  <c r="AI2531" i="1"/>
  <c r="AG2531" i="1"/>
  <c r="AD2531" i="1"/>
  <c r="AF2531" i="1"/>
  <c r="AJ2531" i="1"/>
  <c r="AL2531" i="1"/>
  <c r="AE2531" i="1"/>
  <c r="AC2531" i="1"/>
  <c r="AH2530" i="1"/>
  <c r="AG2530" i="1"/>
  <c r="AI2530" i="1"/>
  <c r="AL2530" i="1"/>
  <c r="AJ2530" i="1"/>
  <c r="AF2530" i="1"/>
  <c r="AE2530" i="1"/>
  <c r="AC2530" i="1"/>
  <c r="AD2530" i="1"/>
  <c r="AI2529" i="1"/>
  <c r="AG2529" i="1"/>
  <c r="AH2529" i="1"/>
  <c r="AL2529" i="1"/>
  <c r="AD2529" i="1"/>
  <c r="AE2529" i="1"/>
  <c r="AJ2529" i="1"/>
  <c r="AC2529" i="1"/>
  <c r="AF2529" i="1"/>
  <c r="AI2528" i="1"/>
  <c r="AG2528" i="1"/>
  <c r="AH2528" i="1"/>
  <c r="AD2528" i="1"/>
  <c r="AF2528" i="1"/>
  <c r="AL2528" i="1"/>
  <c r="AJ2528" i="1"/>
  <c r="AE2528" i="1"/>
  <c r="AC2528" i="1"/>
  <c r="AG2527" i="1"/>
  <c r="AH2527" i="1"/>
  <c r="AI2527" i="1"/>
  <c r="AF2527" i="1"/>
  <c r="AE2527" i="1"/>
  <c r="AC2527" i="1"/>
  <c r="AL2527" i="1"/>
  <c r="AD2527" i="1"/>
  <c r="AJ2527" i="1"/>
  <c r="AG2526" i="1"/>
  <c r="AH2526" i="1"/>
  <c r="AI2526" i="1"/>
  <c r="AF2526" i="1"/>
  <c r="AD2526" i="1"/>
  <c r="AJ2526" i="1"/>
  <c r="AL2526" i="1"/>
  <c r="AE2526" i="1"/>
  <c r="AC2526" i="1"/>
  <c r="AH2525" i="1"/>
  <c r="AI2525" i="1"/>
  <c r="AG2525" i="1"/>
  <c r="AL2525" i="1"/>
  <c r="AF2525" i="1"/>
  <c r="AJ2525" i="1"/>
  <c r="AD2525" i="1"/>
  <c r="AE2525" i="1"/>
  <c r="AC2525" i="1"/>
  <c r="AG2524" i="1"/>
  <c r="AI2524" i="1"/>
  <c r="AH2524" i="1"/>
  <c r="AC2524" i="1"/>
  <c r="AD2524" i="1"/>
  <c r="AF2524" i="1"/>
  <c r="AL2524" i="1"/>
  <c r="AJ2524" i="1"/>
  <c r="AE2524" i="1"/>
  <c r="AI2523" i="1"/>
  <c r="AH2523" i="1"/>
  <c r="AG2523" i="1"/>
  <c r="AC2523" i="1"/>
  <c r="AE2523" i="1"/>
  <c r="AD2523" i="1"/>
  <c r="AF2523" i="1"/>
  <c r="AJ2523" i="1"/>
  <c r="AL2523" i="1"/>
  <c r="AI2522" i="1"/>
  <c r="AG2522" i="1"/>
  <c r="AH2522" i="1"/>
  <c r="AC2522" i="1"/>
  <c r="AL2522" i="1"/>
  <c r="AF2522" i="1"/>
  <c r="AJ2522" i="1"/>
  <c r="AE2522" i="1"/>
  <c r="AD2522" i="1"/>
  <c r="AI2521" i="1"/>
  <c r="AG2521" i="1"/>
  <c r="AH2521" i="1"/>
  <c r="AL2521" i="1"/>
  <c r="AJ2521" i="1"/>
  <c r="AE2521" i="1"/>
  <c r="AC2521" i="1"/>
  <c r="AF2521" i="1"/>
  <c r="AD2521" i="1"/>
  <c r="AH2520" i="1"/>
  <c r="AI2520" i="1"/>
  <c r="AG2520" i="1"/>
  <c r="AD2520" i="1"/>
  <c r="AJ2520" i="1"/>
  <c r="AE2520" i="1"/>
  <c r="AF2520" i="1"/>
  <c r="AL2520" i="1"/>
  <c r="AC2520" i="1"/>
  <c r="AI2519" i="1"/>
  <c r="AG2519" i="1"/>
  <c r="AH2519" i="1"/>
  <c r="AJ2519" i="1"/>
  <c r="AF2519" i="1"/>
  <c r="AE2519" i="1"/>
  <c r="AC2519" i="1"/>
  <c r="AD2519" i="1"/>
  <c r="AL2519" i="1"/>
  <c r="AI2518" i="1"/>
  <c r="AH2518" i="1"/>
  <c r="AG2518" i="1"/>
  <c r="AL2518" i="1"/>
  <c r="AJ2518" i="1"/>
  <c r="AF2518" i="1"/>
  <c r="AC2518" i="1"/>
  <c r="AE2518" i="1"/>
  <c r="AD2518" i="1"/>
  <c r="AG2517" i="1"/>
  <c r="AI2517" i="1"/>
  <c r="AH2517" i="1"/>
  <c r="AC2517" i="1"/>
  <c r="AF2517" i="1"/>
  <c r="AD2517" i="1"/>
  <c r="AE2517" i="1"/>
  <c r="AL2517" i="1"/>
  <c r="AJ2517" i="1"/>
  <c r="AH2516" i="1"/>
  <c r="AG2516" i="1"/>
  <c r="AI2516" i="1"/>
  <c r="AE2516" i="1"/>
  <c r="AC2516" i="1"/>
  <c r="AF2516" i="1"/>
  <c r="AD2516" i="1"/>
  <c r="AL2516" i="1"/>
  <c r="AJ2516" i="1"/>
  <c r="AG2515" i="1"/>
  <c r="AI2515" i="1"/>
  <c r="AH2515" i="1"/>
  <c r="AD2515" i="1"/>
  <c r="AJ2515" i="1"/>
  <c r="AL2515" i="1"/>
  <c r="AC2515" i="1"/>
  <c r="AF2515" i="1"/>
  <c r="AE2515" i="1"/>
  <c r="AH2514" i="1"/>
  <c r="AI2514" i="1"/>
  <c r="AG2514" i="1"/>
  <c r="AL2514" i="1"/>
  <c r="AJ2514" i="1"/>
  <c r="AC2514" i="1"/>
  <c r="AD2514" i="1"/>
  <c r="AF2514" i="1"/>
  <c r="AE2514" i="1"/>
  <c r="AG2513" i="1"/>
  <c r="AH2513" i="1"/>
  <c r="AI2513" i="1"/>
  <c r="AD2513" i="1"/>
  <c r="AC2513" i="1"/>
  <c r="AE2513" i="1"/>
  <c r="AL2513" i="1"/>
  <c r="AF2513" i="1"/>
  <c r="AJ2513" i="1"/>
  <c r="AH2512" i="1"/>
  <c r="AG2512" i="1"/>
  <c r="AI2512" i="1"/>
  <c r="AL2512" i="1"/>
  <c r="AJ2512" i="1"/>
  <c r="AC2512" i="1"/>
  <c r="AE2512" i="1"/>
  <c r="AF2512" i="1"/>
  <c r="AD2512" i="1"/>
  <c r="AI2511" i="1"/>
  <c r="AH2511" i="1"/>
  <c r="AG2511" i="1"/>
  <c r="AC2511" i="1"/>
  <c r="AL2511" i="1"/>
  <c r="AF2511" i="1"/>
  <c r="AE2511" i="1"/>
  <c r="AJ2511" i="1"/>
  <c r="AD2511" i="1"/>
  <c r="AG2510" i="1"/>
  <c r="AH2510" i="1"/>
  <c r="AI2510" i="1"/>
  <c r="AE2510" i="1"/>
  <c r="AD2510" i="1"/>
  <c r="AJ2510" i="1"/>
  <c r="AC2510" i="1"/>
  <c r="AF2510" i="1"/>
  <c r="AL2510" i="1"/>
  <c r="AI2509" i="1"/>
  <c r="AG2509" i="1"/>
  <c r="AH2509" i="1"/>
  <c r="AJ2509" i="1"/>
  <c r="AD2509" i="1"/>
  <c r="AF2509" i="1"/>
  <c r="AE2509" i="1"/>
  <c r="AC2509" i="1"/>
  <c r="AL2509" i="1"/>
  <c r="AG2508" i="1"/>
  <c r="AI2508" i="1"/>
  <c r="AH2508" i="1"/>
  <c r="AJ2508" i="1"/>
  <c r="AL2508" i="1"/>
  <c r="AF2508" i="1"/>
  <c r="AE2508" i="1"/>
  <c r="AC2508" i="1"/>
  <c r="AD2508" i="1"/>
  <c r="AH2507" i="1"/>
  <c r="AG2507" i="1"/>
  <c r="AI2507" i="1"/>
  <c r="AE2507" i="1"/>
  <c r="AD2507" i="1"/>
  <c r="AJ2507" i="1"/>
  <c r="AL2507" i="1"/>
  <c r="AC2507" i="1"/>
  <c r="AF2507" i="1"/>
  <c r="AI2506" i="1"/>
  <c r="AG2506" i="1"/>
  <c r="AH2506" i="1"/>
  <c r="AC2506" i="1"/>
  <c r="AL2506" i="1"/>
  <c r="AF2506" i="1"/>
  <c r="AJ2506" i="1"/>
  <c r="AD2506" i="1"/>
  <c r="AE2506" i="1"/>
  <c r="AH2505" i="1"/>
  <c r="AI2505" i="1"/>
  <c r="AG2505" i="1"/>
  <c r="AL2505" i="1"/>
  <c r="AF2505" i="1"/>
  <c r="AC2505" i="1"/>
  <c r="AJ2505" i="1"/>
  <c r="AE2505" i="1"/>
  <c r="AD2505" i="1"/>
  <c r="AG2504" i="1"/>
  <c r="AH2504" i="1"/>
  <c r="AI2504" i="1"/>
  <c r="AE2504" i="1"/>
  <c r="AC2504" i="1"/>
  <c r="AJ2504" i="1"/>
  <c r="AL2504" i="1"/>
  <c r="AD2504" i="1"/>
  <c r="AF2504" i="1"/>
  <c r="AH2503" i="1"/>
  <c r="AG2503" i="1"/>
  <c r="AI2503" i="1"/>
  <c r="AF2503" i="1"/>
  <c r="AD2503" i="1"/>
  <c r="AC2503" i="1"/>
  <c r="AL2503" i="1"/>
  <c r="AE2503" i="1"/>
  <c r="AJ2503" i="1"/>
  <c r="AG2502" i="1"/>
  <c r="AI2502" i="1"/>
  <c r="AH2502" i="1"/>
  <c r="AJ2502" i="1"/>
  <c r="AE2502" i="1"/>
  <c r="AC2502" i="1"/>
  <c r="AL2502" i="1"/>
  <c r="AD2502" i="1"/>
  <c r="AF2502" i="1"/>
  <c r="AG2501" i="1"/>
  <c r="AH2501" i="1"/>
  <c r="AI2501" i="1"/>
  <c r="AC2501" i="1"/>
  <c r="AD2501" i="1"/>
  <c r="AJ2501" i="1"/>
  <c r="AL2501" i="1"/>
  <c r="AE2501" i="1"/>
  <c r="AF2501" i="1"/>
  <c r="AG2500" i="1"/>
  <c r="AI2500" i="1"/>
  <c r="AH2500" i="1"/>
  <c r="AL2500" i="1"/>
  <c r="AJ2500" i="1"/>
  <c r="AM2500" i="1" s="1"/>
  <c r="AF2500" i="1"/>
  <c r="AD2500" i="1"/>
  <c r="AC2500" i="1"/>
  <c r="AE2500" i="1"/>
  <c r="AH2499" i="1"/>
  <c r="AG2499" i="1"/>
  <c r="AI2499" i="1"/>
  <c r="AE2499" i="1"/>
  <c r="AD2499" i="1"/>
  <c r="AC2499" i="1"/>
  <c r="AF2499" i="1"/>
  <c r="AJ2499" i="1"/>
  <c r="AL2499" i="1"/>
  <c r="AG2498" i="1"/>
  <c r="AI2498" i="1"/>
  <c r="AH2498" i="1"/>
  <c r="AJ2498" i="1"/>
  <c r="AD2498" i="1"/>
  <c r="AF2498" i="1"/>
  <c r="AC2498" i="1"/>
  <c r="AE2498" i="1"/>
  <c r="AL2498" i="1"/>
  <c r="AG2497" i="1"/>
  <c r="AH2497" i="1"/>
  <c r="AI2497" i="1"/>
  <c r="AJ2497" i="1"/>
  <c r="AF2497" i="1"/>
  <c r="AD2497" i="1"/>
  <c r="AC2497" i="1"/>
  <c r="AL2497" i="1"/>
  <c r="AE2497" i="1"/>
  <c r="AI2496" i="1"/>
  <c r="AG2496" i="1"/>
  <c r="AH2496" i="1"/>
  <c r="AF2496" i="1"/>
  <c r="AL2496" i="1"/>
  <c r="AJ2496" i="1"/>
  <c r="AM2496" i="1" s="1"/>
  <c r="AE2496" i="1"/>
  <c r="AD2496" i="1"/>
  <c r="AC2496" i="1"/>
  <c r="AF2495" i="1"/>
  <c r="AE2495" i="1"/>
  <c r="AD2495" i="1"/>
  <c r="AC2495" i="1"/>
  <c r="AI2494" i="1"/>
  <c r="AH2494" i="1"/>
  <c r="AG2494" i="1"/>
  <c r="AL2494" i="1"/>
  <c r="AJ2494" i="1"/>
  <c r="AF2494" i="1"/>
  <c r="AE2494" i="1"/>
  <c r="AD2494" i="1"/>
  <c r="AC2494" i="1"/>
  <c r="AI2493" i="1"/>
  <c r="AH2493" i="1"/>
  <c r="AG2493" i="1"/>
  <c r="AL2493" i="1"/>
  <c r="AJ2493" i="1"/>
  <c r="AF2493" i="1"/>
  <c r="AE2493" i="1"/>
  <c r="AD2493" i="1"/>
  <c r="AC2493" i="1"/>
  <c r="AH2492" i="1"/>
  <c r="AG2492" i="1"/>
  <c r="AI2492" i="1"/>
  <c r="AL2492" i="1"/>
  <c r="AJ2492" i="1"/>
  <c r="AF2492" i="1"/>
  <c r="AE2492" i="1"/>
  <c r="AD2492" i="1"/>
  <c r="AC2492" i="1"/>
  <c r="AH2491" i="1"/>
  <c r="AG2491" i="1"/>
  <c r="AI2491" i="1"/>
  <c r="AL2491" i="1"/>
  <c r="AJ2491" i="1"/>
  <c r="AM2491" i="1" s="1"/>
  <c r="AF2491" i="1"/>
  <c r="AE2491" i="1"/>
  <c r="AD2491" i="1"/>
  <c r="AC2491" i="1"/>
  <c r="AI2490" i="1"/>
  <c r="AH2490" i="1"/>
  <c r="AG2490" i="1"/>
  <c r="AL2490" i="1"/>
  <c r="AJ2490" i="1"/>
  <c r="AF2490" i="1"/>
  <c r="AE2490" i="1"/>
  <c r="AD2490" i="1"/>
  <c r="AC2490" i="1"/>
  <c r="AI2489" i="1"/>
  <c r="AH2489" i="1"/>
  <c r="AG2489" i="1"/>
  <c r="AC2489" i="1"/>
  <c r="AL2489" i="1"/>
  <c r="AJ2489" i="1"/>
  <c r="AF2489" i="1"/>
  <c r="AE2489" i="1"/>
  <c r="AD2489" i="1"/>
  <c r="AH2488" i="1"/>
  <c r="AI2488" i="1"/>
  <c r="AG2488" i="1"/>
  <c r="AL2488" i="1"/>
  <c r="AJ2488" i="1"/>
  <c r="AF2488" i="1"/>
  <c r="AE2488" i="1"/>
  <c r="AD2488" i="1"/>
  <c r="AC2488" i="1"/>
  <c r="AI2487" i="1"/>
  <c r="AH2487" i="1"/>
  <c r="AG2487" i="1"/>
  <c r="AF2487" i="1"/>
  <c r="AE2487" i="1"/>
  <c r="AD2487" i="1"/>
  <c r="AC2487" i="1"/>
  <c r="AL2487" i="1"/>
  <c r="AJ2487" i="1"/>
  <c r="AM2487" i="1" s="1"/>
  <c r="AI2486" i="1"/>
  <c r="AH2486" i="1"/>
  <c r="AG2486" i="1"/>
  <c r="AD2486" i="1"/>
  <c r="AC2486" i="1"/>
  <c r="AE2486" i="1"/>
  <c r="AF2486" i="1"/>
  <c r="AJ2486" i="1"/>
  <c r="AL2486" i="1"/>
  <c r="AH2485" i="1"/>
  <c r="AG2485" i="1"/>
  <c r="AI2485" i="1"/>
  <c r="AC2485" i="1"/>
  <c r="AD2485" i="1"/>
  <c r="AE2485" i="1"/>
  <c r="AJ2485" i="1"/>
  <c r="AF2485" i="1"/>
  <c r="AL2485" i="1"/>
  <c r="AI2484" i="1"/>
  <c r="AH2484" i="1"/>
  <c r="AG2484" i="1"/>
  <c r="AL2484" i="1"/>
  <c r="AJ2484" i="1"/>
  <c r="AF2484" i="1"/>
  <c r="AE2484" i="1"/>
  <c r="AD2484" i="1"/>
  <c r="AC2484" i="1"/>
  <c r="AI2483" i="1"/>
  <c r="AG2483" i="1"/>
  <c r="AH2483" i="1"/>
  <c r="AL2483" i="1"/>
  <c r="AJ2483" i="1"/>
  <c r="AM2483" i="1" s="1"/>
  <c r="AC2483" i="1"/>
  <c r="AD2483" i="1"/>
  <c r="AE2483" i="1"/>
  <c r="AF2483" i="1"/>
  <c r="AI2482" i="1"/>
  <c r="AH2482" i="1"/>
  <c r="AG2482" i="1"/>
  <c r="AF2482" i="1"/>
  <c r="AE2482" i="1"/>
  <c r="AD2482" i="1"/>
  <c r="AC2482" i="1"/>
  <c r="AL2482" i="1"/>
  <c r="AJ2482" i="1"/>
  <c r="AG2481" i="1"/>
  <c r="AH2481" i="1"/>
  <c r="AI2481" i="1"/>
  <c r="AD2481" i="1"/>
  <c r="AF2481" i="1"/>
  <c r="AJ2481" i="1"/>
  <c r="AL2481" i="1"/>
  <c r="AE2481" i="1"/>
  <c r="AC2481" i="1"/>
  <c r="AI2480" i="1"/>
  <c r="AH2480" i="1"/>
  <c r="AG2480" i="1"/>
  <c r="AD2480" i="1"/>
  <c r="AC2480" i="1"/>
  <c r="AL2480" i="1"/>
  <c r="AJ2480" i="1"/>
  <c r="AF2480" i="1"/>
  <c r="AE2480" i="1"/>
  <c r="AI2479" i="1"/>
  <c r="AH2479" i="1"/>
  <c r="AG2479" i="1"/>
  <c r="AF2479" i="1"/>
  <c r="AJ2479" i="1"/>
  <c r="AD2479" i="1"/>
  <c r="AE2479" i="1"/>
  <c r="AL2479" i="1"/>
  <c r="AC2479" i="1"/>
  <c r="AG2478" i="1"/>
  <c r="AI2478" i="1"/>
  <c r="AH2478" i="1"/>
  <c r="AL2478" i="1"/>
  <c r="AC2478" i="1"/>
  <c r="AD2478" i="1"/>
  <c r="AE2478" i="1"/>
  <c r="AF2478" i="1"/>
  <c r="AJ2478" i="1"/>
  <c r="AI2477" i="1"/>
  <c r="AG2477" i="1"/>
  <c r="AH2477" i="1"/>
  <c r="AL2477" i="1"/>
  <c r="AJ2477" i="1"/>
  <c r="AD2477" i="1"/>
  <c r="AE2477" i="1"/>
  <c r="AF2477" i="1"/>
  <c r="AC2477" i="1"/>
  <c r="AG2476" i="1"/>
  <c r="AH2476" i="1"/>
  <c r="AI2476" i="1"/>
  <c r="AE2476" i="1"/>
  <c r="AF2476" i="1"/>
  <c r="AJ2476" i="1"/>
  <c r="AL2476" i="1"/>
  <c r="AC2476" i="1"/>
  <c r="AD2476" i="1"/>
  <c r="AI2475" i="1"/>
  <c r="AG2475" i="1"/>
  <c r="AH2475" i="1"/>
  <c r="AD2475" i="1"/>
  <c r="AE2475" i="1"/>
  <c r="AF2475" i="1"/>
  <c r="AL2475" i="1"/>
  <c r="AJ2475" i="1"/>
  <c r="AC2475" i="1"/>
  <c r="AG2474" i="1"/>
  <c r="AI2474" i="1"/>
  <c r="AH2474" i="1"/>
  <c r="AJ2474" i="1"/>
  <c r="AE2474" i="1"/>
  <c r="AC2474" i="1"/>
  <c r="AF2474" i="1"/>
  <c r="AD2474" i="1"/>
  <c r="AL2474" i="1"/>
  <c r="AH2473" i="1"/>
  <c r="AI2473" i="1"/>
  <c r="AG2473" i="1"/>
  <c r="AF2473" i="1"/>
  <c r="AC2473" i="1"/>
  <c r="AE2473" i="1"/>
  <c r="AD2473" i="1"/>
  <c r="AL2473" i="1"/>
  <c r="AJ2473" i="1"/>
  <c r="AM2473" i="1" s="1"/>
  <c r="AI2472" i="1"/>
  <c r="AH2472" i="1"/>
  <c r="AG2472" i="1"/>
  <c r="AF2472" i="1"/>
  <c r="AD2472" i="1"/>
  <c r="AC2472" i="1"/>
  <c r="AE2472" i="1"/>
  <c r="AJ2472" i="1"/>
  <c r="AL2472" i="1"/>
  <c r="AG2471" i="1"/>
  <c r="AH2471" i="1"/>
  <c r="AI2471" i="1"/>
  <c r="AD2471" i="1"/>
  <c r="AE2471" i="1"/>
  <c r="AF2471" i="1"/>
  <c r="AL2471" i="1"/>
  <c r="AJ2471" i="1"/>
  <c r="AM2471" i="1" s="1"/>
  <c r="AC2471" i="1"/>
  <c r="AH2470" i="1"/>
  <c r="AI2470" i="1"/>
  <c r="AG2470" i="1"/>
  <c r="AE2470" i="1"/>
  <c r="AD2470" i="1"/>
  <c r="AC2470" i="1"/>
  <c r="AL2470" i="1"/>
  <c r="AF2470" i="1"/>
  <c r="AJ2470" i="1"/>
  <c r="AH2469" i="1"/>
  <c r="AI2469" i="1"/>
  <c r="AG2469" i="1"/>
  <c r="AD2469" i="1"/>
  <c r="AE2469" i="1"/>
  <c r="AF2469" i="1"/>
  <c r="AJ2469" i="1"/>
  <c r="AL2469" i="1"/>
  <c r="AC2469" i="1"/>
  <c r="AI2468" i="1"/>
  <c r="AH2468" i="1"/>
  <c r="AG2468" i="1"/>
  <c r="AJ2468" i="1"/>
  <c r="AC2468" i="1"/>
  <c r="AD2468" i="1"/>
  <c r="AE2468" i="1"/>
  <c r="AF2468" i="1"/>
  <c r="AL2468" i="1"/>
  <c r="AG2467" i="1"/>
  <c r="AH2467" i="1"/>
  <c r="AI2467" i="1"/>
  <c r="AC2467" i="1"/>
  <c r="AD2467" i="1"/>
  <c r="AE2467" i="1"/>
  <c r="AF2467" i="1"/>
  <c r="AJ2467" i="1"/>
  <c r="AL2467" i="1"/>
  <c r="AG2466" i="1"/>
  <c r="AH2466" i="1"/>
  <c r="AI2466" i="1"/>
  <c r="AC2466" i="1"/>
  <c r="AD2466" i="1"/>
  <c r="AE2466" i="1"/>
  <c r="AF2466" i="1"/>
  <c r="AL2466" i="1"/>
  <c r="AJ2466" i="1"/>
  <c r="AG2465" i="1"/>
  <c r="AH2465" i="1"/>
  <c r="AI2465" i="1"/>
  <c r="AJ2465" i="1"/>
  <c r="AF2465" i="1"/>
  <c r="AE2465" i="1"/>
  <c r="AD2465" i="1"/>
  <c r="AC2465" i="1"/>
  <c r="AL2465" i="1"/>
  <c r="AI2464" i="1"/>
  <c r="AH2464" i="1"/>
  <c r="AG2464" i="1"/>
  <c r="AL2464" i="1"/>
  <c r="AJ2464" i="1"/>
  <c r="AF2464" i="1"/>
  <c r="AE2464" i="1"/>
  <c r="AD2464" i="1"/>
  <c r="AC2464" i="1"/>
  <c r="AH2463" i="1"/>
  <c r="AG2463" i="1"/>
  <c r="AI2463" i="1"/>
  <c r="AF2463" i="1"/>
  <c r="AE2463" i="1"/>
  <c r="AD2463" i="1"/>
  <c r="AC2463" i="1"/>
  <c r="AJ2463" i="1"/>
  <c r="AL2463" i="1"/>
  <c r="AI2462" i="1"/>
  <c r="AH2462" i="1"/>
  <c r="AG2462" i="1"/>
  <c r="AJ2462" i="1"/>
  <c r="AL2462" i="1"/>
  <c r="AF2462" i="1"/>
  <c r="AE2462" i="1"/>
  <c r="AD2462" i="1"/>
  <c r="AC2462" i="1"/>
  <c r="AG2461" i="1"/>
  <c r="AH2461" i="1"/>
  <c r="AI2461" i="1"/>
  <c r="AD2461" i="1"/>
  <c r="AC2461" i="1"/>
  <c r="AJ2461" i="1"/>
  <c r="AL2461" i="1"/>
  <c r="AF2461" i="1"/>
  <c r="AE2461" i="1"/>
  <c r="AI2460" i="1"/>
  <c r="AH2460" i="1"/>
  <c r="AG2460" i="1"/>
  <c r="AJ2460" i="1"/>
  <c r="AF2460" i="1"/>
  <c r="AE2460" i="1"/>
  <c r="AD2460" i="1"/>
  <c r="AC2460" i="1"/>
  <c r="AL2460" i="1"/>
  <c r="AI2459" i="1"/>
  <c r="AH2459" i="1"/>
  <c r="AG2459" i="1"/>
  <c r="AL2459" i="1"/>
  <c r="AJ2459" i="1"/>
  <c r="AF2459" i="1"/>
  <c r="AD2459" i="1"/>
  <c r="AC2459" i="1"/>
  <c r="AE2459" i="1"/>
  <c r="AH2458" i="1"/>
  <c r="AI2458" i="1"/>
  <c r="AG2458" i="1"/>
  <c r="AD2458" i="1"/>
  <c r="AC2458" i="1"/>
  <c r="AE2458" i="1"/>
  <c r="AF2458" i="1"/>
  <c r="AL2458" i="1"/>
  <c r="AJ2458" i="1"/>
  <c r="AI2457" i="1"/>
  <c r="AH2457" i="1"/>
  <c r="AG2457" i="1"/>
  <c r="AC2457" i="1"/>
  <c r="AL2457" i="1"/>
  <c r="AJ2457" i="1"/>
  <c r="AF2457" i="1"/>
  <c r="AE2457" i="1"/>
  <c r="AD2457" i="1"/>
  <c r="AI2456" i="1"/>
  <c r="AG2456" i="1"/>
  <c r="AH2456" i="1"/>
  <c r="AE2456" i="1"/>
  <c r="AF2456" i="1"/>
  <c r="AJ2456" i="1"/>
  <c r="AL2456" i="1"/>
  <c r="AC2456" i="1"/>
  <c r="AD2456" i="1"/>
  <c r="AH2455" i="1"/>
  <c r="AI2455" i="1"/>
  <c r="AG2455" i="1"/>
  <c r="AJ2455" i="1"/>
  <c r="AL2455" i="1"/>
  <c r="AF2455" i="1"/>
  <c r="AE2455" i="1"/>
  <c r="AD2455" i="1"/>
  <c r="AC2455" i="1"/>
  <c r="AI2454" i="1"/>
  <c r="AH2454" i="1"/>
  <c r="AG2454" i="1"/>
  <c r="AC2454" i="1"/>
  <c r="AL2454" i="1"/>
  <c r="AJ2454" i="1"/>
  <c r="AD2454" i="1"/>
  <c r="AF2454" i="1"/>
  <c r="AE2454" i="1"/>
  <c r="AI2453" i="1"/>
  <c r="AG2453" i="1"/>
  <c r="AH2453" i="1"/>
  <c r="AJ2453" i="1"/>
  <c r="AF2453" i="1"/>
  <c r="AE2453" i="1"/>
  <c r="AD2453" i="1"/>
  <c r="AC2453" i="1"/>
  <c r="AL2453" i="1"/>
  <c r="AI2452" i="1"/>
  <c r="AH2452" i="1"/>
  <c r="AG2452" i="1"/>
  <c r="AD2452" i="1"/>
  <c r="AL2452" i="1"/>
  <c r="AJ2452" i="1"/>
  <c r="AF2452" i="1"/>
  <c r="AE2452" i="1"/>
  <c r="AC2452" i="1"/>
  <c r="AI2451" i="1"/>
  <c r="AH2451" i="1"/>
  <c r="AG2451" i="1"/>
  <c r="AF2451" i="1"/>
  <c r="AL2451" i="1"/>
  <c r="AJ2451" i="1"/>
  <c r="AC2451" i="1"/>
  <c r="AD2451" i="1"/>
  <c r="AE2451" i="1"/>
  <c r="AH2450" i="1"/>
  <c r="AG2450" i="1"/>
  <c r="AI2450" i="1"/>
  <c r="AF2450" i="1"/>
  <c r="AE2450" i="1"/>
  <c r="AD2450" i="1"/>
  <c r="AC2450" i="1"/>
  <c r="AL2450" i="1"/>
  <c r="AJ2450" i="1"/>
  <c r="AH2449" i="1"/>
  <c r="AG2449" i="1"/>
  <c r="AI2449" i="1"/>
  <c r="AJ2449" i="1"/>
  <c r="AF2449" i="1"/>
  <c r="AE2449" i="1"/>
  <c r="AD2449" i="1"/>
  <c r="AC2449" i="1"/>
  <c r="AL2449" i="1"/>
  <c r="AI2448" i="1"/>
  <c r="AH2448" i="1"/>
  <c r="AG2448" i="1"/>
  <c r="AE2448" i="1"/>
  <c r="AJ2448" i="1"/>
  <c r="AL2448" i="1"/>
  <c r="AC2448" i="1"/>
  <c r="AF2448" i="1"/>
  <c r="AD2448" i="1"/>
  <c r="AG2447" i="1"/>
  <c r="AI2447" i="1"/>
  <c r="AH2447" i="1"/>
  <c r="AC2447" i="1"/>
  <c r="AD2447" i="1"/>
  <c r="AF2447" i="1"/>
  <c r="AJ2447" i="1"/>
  <c r="AL2447" i="1"/>
  <c r="AE2447" i="1"/>
  <c r="AI2446" i="1"/>
  <c r="AH2446" i="1"/>
  <c r="AG2446" i="1"/>
  <c r="AJ2446" i="1"/>
  <c r="AF2446" i="1"/>
  <c r="AE2446" i="1"/>
  <c r="AD2446" i="1"/>
  <c r="AC2446" i="1"/>
  <c r="AL2446" i="1"/>
  <c r="AI2445" i="1"/>
  <c r="AH2445" i="1"/>
  <c r="AG2445" i="1"/>
  <c r="AL2445" i="1"/>
  <c r="AF2445" i="1"/>
  <c r="AE2445" i="1"/>
  <c r="AD2445" i="1"/>
  <c r="AC2445" i="1"/>
  <c r="AJ2445" i="1"/>
  <c r="AM2445" i="1" s="1"/>
  <c r="AI2444" i="1"/>
  <c r="AG2444" i="1"/>
  <c r="AH2444" i="1"/>
  <c r="AL2444" i="1"/>
  <c r="AJ2444" i="1"/>
  <c r="AD2444" i="1"/>
  <c r="AE2444" i="1"/>
  <c r="AF2444" i="1"/>
  <c r="AC2444" i="1"/>
  <c r="AH2443" i="1"/>
  <c r="AI2443" i="1"/>
  <c r="AG2443" i="1"/>
  <c r="AC2443" i="1"/>
  <c r="AD2443" i="1"/>
  <c r="AE2443" i="1"/>
  <c r="AF2443" i="1"/>
  <c r="AJ2443" i="1"/>
  <c r="AL2443" i="1"/>
  <c r="AI2442" i="1"/>
  <c r="AH2442" i="1"/>
  <c r="AG2442" i="1"/>
  <c r="AL2442" i="1"/>
  <c r="AD2442" i="1"/>
  <c r="AE2442" i="1"/>
  <c r="AC2442" i="1"/>
  <c r="AF2442" i="1"/>
  <c r="AJ2442" i="1"/>
  <c r="AI2441" i="1"/>
  <c r="AG2441" i="1"/>
  <c r="AH2441" i="1"/>
  <c r="AJ2441" i="1"/>
  <c r="AF2441" i="1"/>
  <c r="AE2441" i="1"/>
  <c r="AD2441" i="1"/>
  <c r="AC2441" i="1"/>
  <c r="AL2441" i="1"/>
  <c r="AI2440" i="1"/>
  <c r="AH2440" i="1"/>
  <c r="AG2440" i="1"/>
  <c r="AL2440" i="1"/>
  <c r="AJ2440" i="1"/>
  <c r="AM2440" i="1" s="1"/>
  <c r="AF2440" i="1"/>
  <c r="AE2440" i="1"/>
  <c r="AD2440" i="1"/>
  <c r="AC2440" i="1"/>
  <c r="AI2439" i="1"/>
  <c r="AH2439" i="1"/>
  <c r="AG2439" i="1"/>
  <c r="AL2439" i="1"/>
  <c r="AJ2439" i="1"/>
  <c r="AF2439" i="1"/>
  <c r="AE2439" i="1"/>
  <c r="AD2439" i="1"/>
  <c r="AC2439" i="1"/>
  <c r="AH2438" i="1"/>
  <c r="AG2438" i="1"/>
  <c r="AI2438" i="1"/>
  <c r="AL2438" i="1"/>
  <c r="AJ2438" i="1"/>
  <c r="AF2438" i="1"/>
  <c r="AE2438" i="1"/>
  <c r="AD2438" i="1"/>
  <c r="AC2438" i="1"/>
  <c r="AI2437" i="1"/>
  <c r="AH2437" i="1"/>
  <c r="AG2437" i="1"/>
  <c r="AL2437" i="1"/>
  <c r="AJ2437" i="1"/>
  <c r="AF2437" i="1"/>
  <c r="AE2437" i="1"/>
  <c r="AD2437" i="1"/>
  <c r="AC2437" i="1"/>
  <c r="AI2436" i="1"/>
  <c r="AH2436" i="1"/>
  <c r="AG2436" i="1"/>
  <c r="AL2436" i="1"/>
  <c r="AJ2436" i="1"/>
  <c r="AF2436" i="1"/>
  <c r="AE2436" i="1"/>
  <c r="AD2436" i="1"/>
  <c r="AC2436" i="1"/>
  <c r="AI2435" i="1"/>
  <c r="AH2435" i="1"/>
  <c r="AG2435" i="1"/>
  <c r="AJ2435" i="1"/>
  <c r="AL2435" i="1"/>
  <c r="AF2435" i="1"/>
  <c r="AE2435" i="1"/>
  <c r="AD2435" i="1"/>
  <c r="AC2435" i="1"/>
  <c r="AI2434" i="1"/>
  <c r="AH2434" i="1"/>
  <c r="AG2434" i="1"/>
  <c r="AL2434" i="1"/>
  <c r="AJ2434" i="1"/>
  <c r="AF2434" i="1"/>
  <c r="AE2434" i="1"/>
  <c r="AD2434" i="1"/>
  <c r="AC2434" i="1"/>
  <c r="AI2433" i="1"/>
  <c r="AH2433" i="1"/>
  <c r="AG2433" i="1"/>
  <c r="AL2433" i="1"/>
  <c r="AJ2433" i="1"/>
  <c r="AF2433" i="1"/>
  <c r="AE2433" i="1"/>
  <c r="AC2433" i="1"/>
  <c r="AD2433" i="1"/>
  <c r="AG2432" i="1"/>
  <c r="AH2432" i="1"/>
  <c r="AI2432" i="1"/>
  <c r="AE2432" i="1"/>
  <c r="AD2432" i="1"/>
  <c r="AC2432" i="1"/>
  <c r="AF2432" i="1"/>
  <c r="AJ2432" i="1"/>
  <c r="AL2432" i="1"/>
  <c r="AI2431" i="1"/>
  <c r="AH2431" i="1"/>
  <c r="AG2431" i="1"/>
  <c r="AL2431" i="1"/>
  <c r="AC2431" i="1"/>
  <c r="AJ2431" i="1"/>
  <c r="AM2431" i="1" s="1"/>
  <c r="AF2431" i="1"/>
  <c r="AE2431" i="1"/>
  <c r="AD2431" i="1"/>
  <c r="AI2430" i="1"/>
  <c r="AH2430" i="1"/>
  <c r="AG2430" i="1"/>
  <c r="AJ2430" i="1"/>
  <c r="AC2430" i="1"/>
  <c r="AD2430" i="1"/>
  <c r="AE2430" i="1"/>
  <c r="AF2430" i="1"/>
  <c r="AL2430" i="1"/>
  <c r="AI2429" i="1"/>
  <c r="AH2429" i="1"/>
  <c r="AG2429" i="1"/>
  <c r="AC2429" i="1"/>
  <c r="AJ2429" i="1"/>
  <c r="AF2429" i="1"/>
  <c r="AE2429" i="1"/>
  <c r="AD2429" i="1"/>
  <c r="AL2429" i="1"/>
  <c r="AG2428" i="1"/>
  <c r="AH2428" i="1"/>
  <c r="AI2428" i="1"/>
  <c r="AE2428" i="1"/>
  <c r="AF2428" i="1"/>
  <c r="AJ2428" i="1"/>
  <c r="AL2428" i="1"/>
  <c r="AC2428" i="1"/>
  <c r="AD2428" i="1"/>
  <c r="AG2427" i="1"/>
  <c r="AH2427" i="1"/>
  <c r="AI2427" i="1"/>
  <c r="AC2427" i="1"/>
  <c r="AD2427" i="1"/>
  <c r="AE2427" i="1"/>
  <c r="AF2427" i="1"/>
  <c r="AJ2427" i="1"/>
  <c r="AL2427" i="1"/>
  <c r="AI2426" i="1"/>
  <c r="AH2426" i="1"/>
  <c r="AG2426" i="1"/>
  <c r="AL2426" i="1"/>
  <c r="AJ2426" i="1"/>
  <c r="AM2426" i="1" s="1"/>
  <c r="AC2426" i="1"/>
  <c r="AD2426" i="1"/>
  <c r="AE2426" i="1"/>
  <c r="AF2426" i="1"/>
  <c r="AI2425" i="1"/>
  <c r="AG2425" i="1"/>
  <c r="AH2425" i="1"/>
  <c r="AL2425" i="1"/>
  <c r="AF2425" i="1"/>
  <c r="AD2425" i="1"/>
  <c r="AC2425" i="1"/>
  <c r="AE2425" i="1"/>
  <c r="AJ2425" i="1"/>
  <c r="AM2425" i="1" s="1"/>
  <c r="AI2424" i="1"/>
  <c r="AH2424" i="1"/>
  <c r="AG2424" i="1"/>
  <c r="AL2424" i="1"/>
  <c r="AJ2424" i="1"/>
  <c r="AM2424" i="1" s="1"/>
  <c r="AF2424" i="1"/>
  <c r="AE2424" i="1"/>
  <c r="AD2424" i="1"/>
  <c r="AC2424" i="1"/>
  <c r="AI2423" i="1"/>
  <c r="AH2423" i="1"/>
  <c r="AG2423" i="1"/>
  <c r="AF2423" i="1"/>
  <c r="AE2423" i="1"/>
  <c r="AD2423" i="1"/>
  <c r="AC2423" i="1"/>
  <c r="AL2423" i="1"/>
  <c r="AJ2423" i="1"/>
  <c r="AG2422" i="1"/>
  <c r="AH2422" i="1"/>
  <c r="AI2422" i="1"/>
  <c r="AD2422" i="1"/>
  <c r="AE2422" i="1"/>
  <c r="AF2422" i="1"/>
  <c r="AL2422" i="1"/>
  <c r="AJ2422" i="1"/>
  <c r="AM2422" i="1" s="1"/>
  <c r="AC2422" i="1"/>
  <c r="AI2421" i="1"/>
  <c r="AG2421" i="1"/>
  <c r="AH2421" i="1"/>
  <c r="AJ2421" i="1"/>
  <c r="AF2421" i="1"/>
  <c r="AE2421" i="1"/>
  <c r="AD2421" i="1"/>
  <c r="AC2421" i="1"/>
  <c r="AL2421" i="1"/>
  <c r="AI2420" i="1"/>
  <c r="AH2420" i="1"/>
  <c r="AG2420" i="1"/>
  <c r="AD2420" i="1"/>
  <c r="AL2420" i="1"/>
  <c r="AE2420" i="1"/>
  <c r="AC2420" i="1"/>
  <c r="AJ2420" i="1"/>
  <c r="AM2420" i="1" s="1"/>
  <c r="AF2420" i="1"/>
  <c r="AH2419" i="1"/>
  <c r="AG2419" i="1"/>
  <c r="AI2419" i="1"/>
  <c r="AC2419" i="1"/>
  <c r="AL2419" i="1"/>
  <c r="AJ2419" i="1"/>
  <c r="AF2419" i="1"/>
  <c r="AE2419" i="1"/>
  <c r="AD2419" i="1"/>
  <c r="AG2418" i="1"/>
  <c r="AH2418" i="1"/>
  <c r="AI2418" i="1"/>
  <c r="AJ2418" i="1"/>
  <c r="AL2418" i="1"/>
  <c r="AE2418" i="1"/>
  <c r="AC2418" i="1"/>
  <c r="AD2418" i="1"/>
  <c r="AF2418" i="1"/>
  <c r="AI2417" i="1"/>
  <c r="AG2417" i="1"/>
  <c r="AH2417" i="1"/>
  <c r="AL2417" i="1"/>
  <c r="AJ2417" i="1"/>
  <c r="AM2417" i="1" s="1"/>
  <c r="AF2417" i="1"/>
  <c r="AE2417" i="1"/>
  <c r="AD2417" i="1"/>
  <c r="AC2417" i="1"/>
  <c r="AI2416" i="1"/>
  <c r="AH2416" i="1"/>
  <c r="AG2416" i="1"/>
  <c r="AL2416" i="1"/>
  <c r="AJ2416" i="1"/>
  <c r="AF2416" i="1"/>
  <c r="AE2416" i="1"/>
  <c r="AD2416" i="1"/>
  <c r="AC2416" i="1"/>
  <c r="AI2415" i="1"/>
  <c r="AH2415" i="1"/>
  <c r="AG2415" i="1"/>
  <c r="AL2415" i="1"/>
  <c r="AJ2415" i="1"/>
  <c r="AF2415" i="1"/>
  <c r="AE2415" i="1"/>
  <c r="AD2415" i="1"/>
  <c r="AC2415" i="1"/>
  <c r="AG2414" i="1"/>
  <c r="AH2414" i="1"/>
  <c r="AI2414" i="1"/>
  <c r="AF2414" i="1"/>
  <c r="AJ2414" i="1"/>
  <c r="AC2414" i="1"/>
  <c r="AD2414" i="1"/>
  <c r="AL2414" i="1"/>
  <c r="AE2414" i="1"/>
  <c r="AH2413" i="1"/>
  <c r="AI2413" i="1"/>
  <c r="AG2413" i="1"/>
  <c r="AJ2413" i="1"/>
  <c r="AF2413" i="1"/>
  <c r="AE2413" i="1"/>
  <c r="AD2413" i="1"/>
  <c r="AC2413" i="1"/>
  <c r="AL2413" i="1"/>
  <c r="AI2412" i="1"/>
  <c r="AH2412" i="1"/>
  <c r="AG2412" i="1"/>
  <c r="AL2412" i="1"/>
  <c r="AJ2412" i="1"/>
  <c r="AF2412" i="1"/>
  <c r="AE2412" i="1"/>
  <c r="AD2412" i="1"/>
  <c r="AC2412" i="1"/>
  <c r="AH2411" i="1"/>
  <c r="AG2411" i="1"/>
  <c r="AI2411" i="1"/>
  <c r="AC2411" i="1"/>
  <c r="AJ2411" i="1"/>
  <c r="AL2411" i="1"/>
  <c r="AF2411" i="1"/>
  <c r="AD2411" i="1"/>
  <c r="AE2411" i="1"/>
  <c r="AI2410" i="1"/>
  <c r="AH2410" i="1"/>
  <c r="AG2410" i="1"/>
  <c r="AL2410" i="1"/>
  <c r="AJ2410" i="1"/>
  <c r="AM2410" i="1" s="1"/>
  <c r="AE2410" i="1"/>
  <c r="AC2410" i="1"/>
  <c r="AD2410" i="1"/>
  <c r="AF2410" i="1"/>
  <c r="AG2409" i="1"/>
  <c r="AH2409" i="1"/>
  <c r="AI2409" i="1"/>
  <c r="AE2409" i="1"/>
  <c r="AC2409" i="1"/>
  <c r="AF2409" i="1"/>
  <c r="AJ2409" i="1"/>
  <c r="AL2409" i="1"/>
  <c r="AD2409" i="1"/>
  <c r="AI2408" i="1"/>
  <c r="AH2408" i="1"/>
  <c r="AG2408" i="1"/>
  <c r="AF2408" i="1"/>
  <c r="AJ2408" i="1"/>
  <c r="AL2408" i="1"/>
  <c r="AE2408" i="1"/>
  <c r="AC2408" i="1"/>
  <c r="AD2408" i="1"/>
  <c r="AH2407" i="1"/>
  <c r="AI2407" i="1"/>
  <c r="AG2407" i="1"/>
  <c r="AE2407" i="1"/>
  <c r="AD2407" i="1"/>
  <c r="AC2407" i="1"/>
  <c r="AJ2407" i="1"/>
  <c r="AL2407" i="1"/>
  <c r="AF2407" i="1"/>
  <c r="AG2406" i="1"/>
  <c r="AH2406" i="1"/>
  <c r="AI2406" i="1"/>
  <c r="AL2406" i="1"/>
  <c r="AC2406" i="1"/>
  <c r="AJ2406" i="1"/>
  <c r="AM2406" i="1" s="1"/>
  <c r="AD2406" i="1"/>
  <c r="AE2406" i="1"/>
  <c r="AF2406" i="1"/>
  <c r="AG2405" i="1"/>
  <c r="AH2405" i="1"/>
  <c r="AI2405" i="1"/>
  <c r="AJ2405" i="1"/>
  <c r="AC2405" i="1"/>
  <c r="AD2405" i="1"/>
  <c r="AE2405" i="1"/>
  <c r="AF2405" i="1"/>
  <c r="AL2405" i="1"/>
  <c r="AH2404" i="1"/>
  <c r="AG2404" i="1"/>
  <c r="AI2404" i="1"/>
  <c r="AL2404" i="1"/>
  <c r="AJ2404" i="1"/>
  <c r="AF2404" i="1"/>
  <c r="AE2404" i="1"/>
  <c r="AD2404" i="1"/>
  <c r="AC2404" i="1"/>
  <c r="AI2403" i="1"/>
  <c r="AH2403" i="1"/>
  <c r="AG2403" i="1"/>
  <c r="AL2403" i="1"/>
  <c r="AJ2403" i="1"/>
  <c r="AF2403" i="1"/>
  <c r="AE2403" i="1"/>
  <c r="AD2403" i="1"/>
  <c r="AC2403" i="1"/>
  <c r="AI2402" i="1"/>
  <c r="AH2402" i="1"/>
  <c r="AG2402" i="1"/>
  <c r="AF2402" i="1"/>
  <c r="AE2402" i="1"/>
  <c r="AD2402" i="1"/>
  <c r="AC2402" i="1"/>
  <c r="AL2402" i="1"/>
  <c r="AJ2402" i="1"/>
  <c r="AI2401" i="1"/>
  <c r="AH2401" i="1"/>
  <c r="AG2401" i="1"/>
  <c r="AD2401" i="1"/>
  <c r="AE2401" i="1"/>
  <c r="AF2401" i="1"/>
  <c r="AL2401" i="1"/>
  <c r="AJ2401" i="1"/>
  <c r="AM2401" i="1" s="1"/>
  <c r="AC2401" i="1"/>
  <c r="AH2400" i="1"/>
  <c r="AI2400" i="1"/>
  <c r="AG2400" i="1"/>
  <c r="AL2400" i="1"/>
  <c r="AJ2400" i="1"/>
  <c r="AF2400" i="1"/>
  <c r="AE2400" i="1"/>
  <c r="AD2400" i="1"/>
  <c r="AC2400" i="1"/>
  <c r="AI2399" i="1"/>
  <c r="AH2399" i="1"/>
  <c r="AG2399" i="1"/>
  <c r="AL2399" i="1"/>
  <c r="AC2399" i="1"/>
  <c r="AJ2399" i="1"/>
  <c r="AE2399" i="1"/>
  <c r="AF2399" i="1"/>
  <c r="AD2399" i="1"/>
  <c r="AG2398" i="1"/>
  <c r="AH2398" i="1"/>
  <c r="AI2398" i="1"/>
  <c r="AE2398" i="1"/>
  <c r="AC2398" i="1"/>
  <c r="AJ2398" i="1"/>
  <c r="AD2398" i="1"/>
  <c r="AF2398" i="1"/>
  <c r="AL2398" i="1"/>
  <c r="AH2397" i="1"/>
  <c r="AG2397" i="1"/>
  <c r="AI2397" i="1"/>
  <c r="AC2397" i="1"/>
  <c r="AD2397" i="1"/>
  <c r="AE2397" i="1"/>
  <c r="AL2397" i="1"/>
  <c r="AF2397" i="1"/>
  <c r="AJ2397" i="1"/>
  <c r="AI2396" i="1"/>
  <c r="AH2396" i="1"/>
  <c r="AG2396" i="1"/>
  <c r="AL2396" i="1"/>
  <c r="AJ2396" i="1"/>
  <c r="AM2396" i="1" s="1"/>
  <c r="AF2396" i="1"/>
  <c r="AC2396" i="1"/>
  <c r="AE2396" i="1"/>
  <c r="AD2396" i="1"/>
  <c r="AI2395" i="1"/>
  <c r="AH2395" i="1"/>
  <c r="AG2395" i="1"/>
  <c r="AL2395" i="1"/>
  <c r="AC2395" i="1"/>
  <c r="AD2395" i="1"/>
  <c r="AE2395" i="1"/>
  <c r="AF2395" i="1"/>
  <c r="AJ2395" i="1"/>
  <c r="AI2394" i="1"/>
  <c r="AG2394" i="1"/>
  <c r="AH2394" i="1"/>
  <c r="AL2394" i="1"/>
  <c r="AF2394" i="1"/>
  <c r="AJ2394" i="1"/>
  <c r="AC2394" i="1"/>
  <c r="AD2394" i="1"/>
  <c r="AE2394" i="1"/>
  <c r="AI2393" i="1"/>
  <c r="AH2393" i="1"/>
  <c r="AG2393" i="1"/>
  <c r="AJ2393" i="1"/>
  <c r="AF2393" i="1"/>
  <c r="AE2393" i="1"/>
  <c r="AD2393" i="1"/>
  <c r="AC2393" i="1"/>
  <c r="AL2393" i="1"/>
  <c r="AI2392" i="1"/>
  <c r="AH2392" i="1"/>
  <c r="AG2392" i="1"/>
  <c r="AD2392" i="1"/>
  <c r="AL2392" i="1"/>
  <c r="AC2392" i="1"/>
  <c r="AJ2392" i="1"/>
  <c r="AF2392" i="1"/>
  <c r="AE2392" i="1"/>
  <c r="AH2391" i="1"/>
  <c r="AG2391" i="1"/>
  <c r="AI2391" i="1"/>
  <c r="AD2391" i="1"/>
  <c r="AC2391" i="1"/>
  <c r="AL2391" i="1"/>
  <c r="AF2391" i="1"/>
  <c r="AE2391" i="1"/>
  <c r="AJ2391" i="1"/>
  <c r="AM2391" i="1" s="1"/>
  <c r="AI2390" i="1"/>
  <c r="AH2390" i="1"/>
  <c r="AG2390" i="1"/>
  <c r="AJ2390" i="1"/>
  <c r="AE2390" i="1"/>
  <c r="AL2390" i="1"/>
  <c r="AC2390" i="1"/>
  <c r="AD2390" i="1"/>
  <c r="AF2390" i="1"/>
  <c r="AG2389" i="1"/>
  <c r="AH2389" i="1"/>
  <c r="AI2389" i="1"/>
  <c r="AJ2389" i="1"/>
  <c r="AL2389" i="1"/>
  <c r="AE2389" i="1"/>
  <c r="AD2389" i="1"/>
  <c r="AF2389" i="1"/>
  <c r="AC2389" i="1"/>
  <c r="AI2388" i="1"/>
  <c r="AH2388" i="1"/>
  <c r="AG2388" i="1"/>
  <c r="AJ2388" i="1"/>
  <c r="AL2388" i="1"/>
  <c r="AF2388" i="1"/>
  <c r="AE2388" i="1"/>
  <c r="AD2388" i="1"/>
  <c r="AC2388" i="1"/>
  <c r="AI2387" i="1"/>
  <c r="AH2387" i="1"/>
  <c r="AG2387" i="1"/>
  <c r="AL2387" i="1"/>
  <c r="AJ2387" i="1"/>
  <c r="AM2387" i="1" s="1"/>
  <c r="AF2387" i="1"/>
  <c r="AE2387" i="1"/>
  <c r="AD2387" i="1"/>
  <c r="AC2387" i="1"/>
  <c r="AG2386" i="1"/>
  <c r="AH2386" i="1"/>
  <c r="AI2386" i="1"/>
  <c r="AC2386" i="1"/>
  <c r="AD2386" i="1"/>
  <c r="AF2386" i="1"/>
  <c r="AJ2386" i="1"/>
  <c r="AL2386" i="1"/>
  <c r="AE2386" i="1"/>
  <c r="AH2385" i="1"/>
  <c r="AI2385" i="1"/>
  <c r="AG2385" i="1"/>
  <c r="AJ2385" i="1"/>
  <c r="AF2385" i="1"/>
  <c r="AE2385" i="1"/>
  <c r="AD2385" i="1"/>
  <c r="AC2385" i="1"/>
  <c r="AL2385" i="1"/>
  <c r="AI2384" i="1"/>
  <c r="AH2384" i="1"/>
  <c r="AG2384" i="1"/>
  <c r="AL2384" i="1"/>
  <c r="AJ2384" i="1"/>
  <c r="AC2384" i="1"/>
  <c r="AF2384" i="1"/>
  <c r="AD2384" i="1"/>
  <c r="AE2384" i="1"/>
  <c r="AI2383" i="1"/>
  <c r="AH2383" i="1"/>
  <c r="AG2383" i="1"/>
  <c r="AF2383" i="1"/>
  <c r="AE2383" i="1"/>
  <c r="AC2383" i="1"/>
  <c r="AD2383" i="1"/>
  <c r="AL2383" i="1"/>
  <c r="AJ2383" i="1"/>
  <c r="AI2382" i="1"/>
  <c r="AH2382" i="1"/>
  <c r="AG2382" i="1"/>
  <c r="AE2382" i="1"/>
  <c r="AD2382" i="1"/>
  <c r="AC2382" i="1"/>
  <c r="AJ2382" i="1"/>
  <c r="AL2382" i="1"/>
  <c r="AF2382" i="1"/>
  <c r="AG2381" i="1"/>
  <c r="AH2381" i="1"/>
  <c r="AI2381" i="1"/>
  <c r="AC2381" i="1"/>
  <c r="AD2381" i="1"/>
  <c r="AE2381" i="1"/>
  <c r="AF2381" i="1"/>
  <c r="AL2381" i="1"/>
  <c r="AJ2381" i="1"/>
  <c r="AG2380" i="1"/>
  <c r="AH2380" i="1"/>
  <c r="AI2380" i="1"/>
  <c r="AF2380" i="1"/>
  <c r="AE2380" i="1"/>
  <c r="AD2380" i="1"/>
  <c r="AC2380" i="1"/>
  <c r="AL2380" i="1"/>
  <c r="AJ2380" i="1"/>
  <c r="AI2379" i="1"/>
  <c r="AH2379" i="1"/>
  <c r="AG2379" i="1"/>
  <c r="AC2379" i="1"/>
  <c r="AD2379" i="1"/>
  <c r="AE2379" i="1"/>
  <c r="AF2379" i="1"/>
  <c r="AJ2379" i="1"/>
  <c r="AL2379" i="1"/>
  <c r="AG2378" i="1"/>
  <c r="AH2378" i="1"/>
  <c r="AI2378" i="1"/>
  <c r="AC2378" i="1"/>
  <c r="AD2378" i="1"/>
  <c r="AE2378" i="1"/>
  <c r="AF2378" i="1"/>
  <c r="AJ2378" i="1"/>
  <c r="AL2378" i="1"/>
  <c r="AI2377" i="1"/>
  <c r="AG2377" i="1"/>
  <c r="AH2377" i="1"/>
  <c r="AL2377" i="1"/>
  <c r="AJ2377" i="1"/>
  <c r="AC2377" i="1"/>
  <c r="AD2377" i="1"/>
  <c r="AE2377" i="1"/>
  <c r="AF2377" i="1"/>
  <c r="AG2376" i="1"/>
  <c r="AH2376" i="1"/>
  <c r="AI2376" i="1"/>
  <c r="AC2376" i="1"/>
  <c r="AD2376" i="1"/>
  <c r="AE2376" i="1"/>
  <c r="AF2376" i="1"/>
  <c r="AJ2376" i="1"/>
  <c r="AL2376" i="1"/>
  <c r="AI2375" i="1"/>
  <c r="AG2375" i="1"/>
  <c r="AH2375" i="1"/>
  <c r="AE2375" i="1"/>
  <c r="AJ2375" i="1"/>
  <c r="AD2375" i="1"/>
  <c r="AF2375" i="1"/>
  <c r="AL2375" i="1"/>
  <c r="AC2375" i="1"/>
  <c r="AG2374" i="1"/>
  <c r="AI2374" i="1"/>
  <c r="AH2374" i="1"/>
  <c r="AL2374" i="1"/>
  <c r="AJ2374" i="1"/>
  <c r="AM2374" i="1" s="1"/>
  <c r="AF2374" i="1"/>
  <c r="AE2374" i="1"/>
  <c r="AD2374" i="1"/>
  <c r="AC2374" i="1"/>
  <c r="AI2373" i="1"/>
  <c r="AH2373" i="1"/>
  <c r="AG2373" i="1"/>
  <c r="AL2373" i="1"/>
  <c r="AJ2373" i="1"/>
  <c r="AF2373" i="1"/>
  <c r="AE2373" i="1"/>
  <c r="AD2373" i="1"/>
  <c r="AC2373" i="1"/>
  <c r="AI2372" i="1"/>
  <c r="AH2372" i="1"/>
  <c r="AG2372" i="1"/>
  <c r="AL2372" i="1"/>
  <c r="AJ2372" i="1"/>
  <c r="AF2372" i="1"/>
  <c r="AE2372" i="1"/>
  <c r="AD2372" i="1"/>
  <c r="AC2372" i="1"/>
  <c r="AI2371" i="1"/>
  <c r="AH2371" i="1"/>
  <c r="AG2371" i="1"/>
  <c r="AJ2371" i="1"/>
  <c r="AL2371" i="1"/>
  <c r="AF2371" i="1"/>
  <c r="AE2371" i="1"/>
  <c r="AD2371" i="1"/>
  <c r="AC2371" i="1"/>
  <c r="AI2370" i="1"/>
  <c r="AH2370" i="1"/>
  <c r="AG2370" i="1"/>
  <c r="AL2370" i="1"/>
  <c r="AJ2370" i="1"/>
  <c r="AF2370" i="1"/>
  <c r="AE2370" i="1"/>
  <c r="AD2370" i="1"/>
  <c r="AC2370" i="1"/>
  <c r="AI2369" i="1"/>
  <c r="AH2369" i="1"/>
  <c r="AG2369" i="1"/>
  <c r="AL2369" i="1"/>
  <c r="AJ2369" i="1"/>
  <c r="AM2369" i="1" s="1"/>
  <c r="AF2369" i="1"/>
  <c r="AE2369" i="1"/>
  <c r="AD2369" i="1"/>
  <c r="AC2369" i="1"/>
  <c r="AH2368" i="1"/>
  <c r="AG2368" i="1"/>
  <c r="AI2368" i="1"/>
  <c r="AL2368" i="1"/>
  <c r="AJ2368" i="1"/>
  <c r="AM2368" i="1" s="1"/>
  <c r="AF2368" i="1"/>
  <c r="AE2368" i="1"/>
  <c r="AC2368" i="1"/>
  <c r="AD2368" i="1"/>
  <c r="AI2367" i="1"/>
  <c r="AH2367" i="1"/>
  <c r="AG2367" i="1"/>
  <c r="AF2367" i="1"/>
  <c r="AE2367" i="1"/>
  <c r="AD2367" i="1"/>
  <c r="AC2367" i="1"/>
  <c r="AL2367" i="1"/>
  <c r="AJ2367" i="1"/>
  <c r="AI2366" i="1"/>
  <c r="AH2366" i="1"/>
  <c r="AG2366" i="1"/>
  <c r="AL2366" i="1"/>
  <c r="AJ2366" i="1"/>
  <c r="AF2366" i="1"/>
  <c r="AE2366" i="1"/>
  <c r="AD2366" i="1"/>
  <c r="AC2366" i="1"/>
  <c r="AH2365" i="1"/>
  <c r="AG2365" i="1"/>
  <c r="AI2365" i="1"/>
  <c r="AL2365" i="1"/>
  <c r="AC2365" i="1"/>
  <c r="AD2365" i="1"/>
  <c r="AE2365" i="1"/>
  <c r="AF2365" i="1"/>
  <c r="AJ2365" i="1"/>
  <c r="AM2365" i="1" s="1"/>
  <c r="AI2364" i="1"/>
  <c r="AH2364" i="1"/>
  <c r="AG2364" i="1"/>
  <c r="AF2364" i="1"/>
  <c r="AE2364" i="1"/>
  <c r="AD2364" i="1"/>
  <c r="AC2364" i="1"/>
  <c r="AL2364" i="1"/>
  <c r="AJ2364" i="1"/>
  <c r="AI2363" i="1"/>
  <c r="AH2363" i="1"/>
  <c r="AG2363" i="1"/>
  <c r="AL2363" i="1"/>
  <c r="AJ2363" i="1"/>
  <c r="AE2363" i="1"/>
  <c r="AD2363" i="1"/>
  <c r="AC2363" i="1"/>
  <c r="AF2363" i="1"/>
  <c r="AH2362" i="1"/>
  <c r="AI2362" i="1"/>
  <c r="AG2362" i="1"/>
  <c r="AE2362" i="1"/>
  <c r="AJ2362" i="1"/>
  <c r="AF2362" i="1"/>
  <c r="AL2362" i="1"/>
  <c r="AD2362" i="1"/>
  <c r="AC2362" i="1"/>
  <c r="AI2361" i="1"/>
  <c r="AG2361" i="1"/>
  <c r="AH2361" i="1"/>
  <c r="AL2361" i="1"/>
  <c r="AJ2361" i="1"/>
  <c r="AF2361" i="1"/>
  <c r="AE2361" i="1"/>
  <c r="AD2361" i="1"/>
  <c r="AC2361" i="1"/>
  <c r="AI2360" i="1"/>
  <c r="AH2360" i="1"/>
  <c r="AG2360" i="1"/>
  <c r="AE2360" i="1"/>
  <c r="AC2360" i="1"/>
  <c r="AF2360" i="1"/>
  <c r="AL2360" i="1"/>
  <c r="AJ2360" i="1"/>
  <c r="AD2360" i="1"/>
  <c r="AI2359" i="1"/>
  <c r="AH2359" i="1"/>
  <c r="AG2359" i="1"/>
  <c r="AJ2359" i="1"/>
  <c r="AL2359" i="1"/>
  <c r="AF2359" i="1"/>
  <c r="AE2359" i="1"/>
  <c r="AD2359" i="1"/>
  <c r="AC2359" i="1"/>
  <c r="AI2358" i="1"/>
  <c r="AH2358" i="1"/>
  <c r="AG2358" i="1"/>
  <c r="AJ2358" i="1"/>
  <c r="AC2358" i="1"/>
  <c r="AL2358" i="1"/>
  <c r="AF2358" i="1"/>
  <c r="AE2358" i="1"/>
  <c r="AD2358" i="1"/>
  <c r="AI2357" i="1"/>
  <c r="AH2357" i="1"/>
  <c r="AG2357" i="1"/>
  <c r="AF2357" i="1"/>
  <c r="AJ2357" i="1"/>
  <c r="AL2357" i="1"/>
  <c r="AC2357" i="1"/>
  <c r="AD2357" i="1"/>
  <c r="AE2357" i="1"/>
  <c r="AH2356" i="1"/>
  <c r="AI2356" i="1"/>
  <c r="AG2356" i="1"/>
  <c r="AJ2356" i="1"/>
  <c r="AL2356" i="1"/>
  <c r="AF2356" i="1"/>
  <c r="AE2356" i="1"/>
  <c r="AD2356" i="1"/>
  <c r="AC2356" i="1"/>
  <c r="AI2355" i="1"/>
  <c r="AH2355" i="1"/>
  <c r="AG2355" i="1"/>
  <c r="AJ2355" i="1"/>
  <c r="AD2355" i="1"/>
  <c r="AF2355" i="1"/>
  <c r="AE2355" i="1"/>
  <c r="AC2355" i="1"/>
  <c r="AL2355" i="1"/>
  <c r="AH2354" i="1"/>
  <c r="AI2354" i="1"/>
  <c r="AG2354" i="1"/>
  <c r="AE2354" i="1"/>
  <c r="AL2354" i="1"/>
  <c r="AJ2354" i="1"/>
  <c r="AM2354" i="1" s="1"/>
  <c r="AF2354" i="1"/>
  <c r="AD2354" i="1"/>
  <c r="AC2354" i="1"/>
  <c r="AI2353" i="1"/>
  <c r="AG2353" i="1"/>
  <c r="AH2353" i="1"/>
  <c r="AC2353" i="1"/>
  <c r="AF2353" i="1"/>
  <c r="AL2353" i="1"/>
  <c r="AE2353" i="1"/>
  <c r="AD2353" i="1"/>
  <c r="AJ2353" i="1"/>
  <c r="AI2352" i="1"/>
  <c r="AH2352" i="1"/>
  <c r="AG2352" i="1"/>
  <c r="AJ2352" i="1"/>
  <c r="AF2352" i="1"/>
  <c r="AE2352" i="1"/>
  <c r="AD2352" i="1"/>
  <c r="AC2352" i="1"/>
  <c r="AL2352" i="1"/>
  <c r="AH2351" i="1"/>
  <c r="AI2351" i="1"/>
  <c r="AG2351" i="1"/>
  <c r="AJ2351" i="1"/>
  <c r="AF2351" i="1"/>
  <c r="AE2351" i="1"/>
  <c r="AD2351" i="1"/>
  <c r="AC2351" i="1"/>
  <c r="AL2351" i="1"/>
  <c r="AI2350" i="1"/>
  <c r="AH2350" i="1"/>
  <c r="AG2350" i="1"/>
  <c r="AC2350" i="1"/>
  <c r="AD2350" i="1"/>
  <c r="AE2350" i="1"/>
  <c r="AL2350" i="1"/>
  <c r="AJ2350" i="1"/>
  <c r="AF2350" i="1"/>
  <c r="AH2349" i="1"/>
  <c r="AI2349" i="1"/>
  <c r="AG2349" i="1"/>
  <c r="AJ2349" i="1"/>
  <c r="AL2349" i="1"/>
  <c r="AF2349" i="1"/>
  <c r="AC2349" i="1"/>
  <c r="AD2349" i="1"/>
  <c r="AE2349" i="1"/>
  <c r="AI2348" i="1"/>
  <c r="AG2348" i="1"/>
  <c r="AH2348" i="1"/>
  <c r="AF2348" i="1"/>
  <c r="AE2348" i="1"/>
  <c r="AD2348" i="1"/>
  <c r="AC2348" i="1"/>
  <c r="AJ2348" i="1"/>
  <c r="AL2348" i="1"/>
  <c r="AI2347" i="1"/>
  <c r="AH2347" i="1"/>
  <c r="AG2347" i="1"/>
  <c r="AL2347" i="1"/>
  <c r="AF2347" i="1"/>
  <c r="AC2347" i="1"/>
  <c r="AD2347" i="1"/>
  <c r="AE2347" i="1"/>
  <c r="AJ2347" i="1"/>
  <c r="AM2347" i="1" s="1"/>
  <c r="AH2346" i="1"/>
  <c r="AG2346" i="1"/>
  <c r="AI2346" i="1"/>
  <c r="AE2346" i="1"/>
  <c r="AF2346" i="1"/>
  <c r="AJ2346" i="1"/>
  <c r="AL2346" i="1"/>
  <c r="AC2346" i="1"/>
  <c r="AD2346" i="1"/>
  <c r="AG2345" i="1"/>
  <c r="AH2345" i="1"/>
  <c r="AI2345" i="1"/>
  <c r="AC2345" i="1"/>
  <c r="AD2345" i="1"/>
  <c r="AE2345" i="1"/>
  <c r="AF2345" i="1"/>
  <c r="AL2345" i="1"/>
  <c r="AJ2345" i="1"/>
  <c r="AH2344" i="1"/>
  <c r="AG2344" i="1"/>
  <c r="AI2344" i="1"/>
  <c r="AF2344" i="1"/>
  <c r="AE2344" i="1"/>
  <c r="AD2344" i="1"/>
  <c r="AC2344" i="1"/>
  <c r="AJ2344" i="1"/>
  <c r="AL2344" i="1"/>
  <c r="AG2343" i="1"/>
  <c r="AH2343" i="1"/>
  <c r="AI2343" i="1"/>
  <c r="AD2343" i="1"/>
  <c r="AC2343" i="1"/>
  <c r="AE2343" i="1"/>
  <c r="AF2343" i="1"/>
  <c r="AJ2343" i="1"/>
  <c r="AL2343" i="1"/>
  <c r="AG2342" i="1"/>
  <c r="AH2342" i="1"/>
  <c r="AI2342" i="1"/>
  <c r="AL2342" i="1"/>
  <c r="AJ2342" i="1"/>
  <c r="AF2342" i="1"/>
  <c r="AE2342" i="1"/>
  <c r="AC2342" i="1"/>
  <c r="AD2342" i="1"/>
  <c r="AI2341" i="1"/>
  <c r="AH2341" i="1"/>
  <c r="AG2341" i="1"/>
  <c r="AL2341" i="1"/>
  <c r="AJ2341" i="1"/>
  <c r="AF2341" i="1"/>
  <c r="AE2341" i="1"/>
  <c r="AD2341" i="1"/>
  <c r="AC2341" i="1"/>
  <c r="AI2340" i="1"/>
  <c r="AH2340" i="1"/>
  <c r="AG2340" i="1"/>
  <c r="AL2340" i="1"/>
  <c r="AJ2340" i="1"/>
  <c r="AF2340" i="1"/>
  <c r="AE2340" i="1"/>
  <c r="AD2340" i="1"/>
  <c r="AC2340" i="1"/>
  <c r="AI2339" i="1"/>
  <c r="AH2339" i="1"/>
  <c r="AG2339" i="1"/>
  <c r="AJ2339" i="1"/>
  <c r="AF2339" i="1"/>
  <c r="AE2339" i="1"/>
  <c r="AD2339" i="1"/>
  <c r="AC2339" i="1"/>
  <c r="AL2339" i="1"/>
  <c r="AH2338" i="1"/>
  <c r="AG2338" i="1"/>
  <c r="AI2338" i="1"/>
  <c r="AJ2338" i="1"/>
  <c r="AL2338" i="1"/>
  <c r="AC2338" i="1"/>
  <c r="AD2338" i="1"/>
  <c r="AE2338" i="1"/>
  <c r="AF2338" i="1"/>
  <c r="AI2337" i="1"/>
  <c r="AH2337" i="1"/>
  <c r="AG2337" i="1"/>
  <c r="AC2337" i="1"/>
  <c r="AF2337" i="1"/>
  <c r="AD2337" i="1"/>
  <c r="AL2337" i="1"/>
  <c r="AJ2337" i="1"/>
  <c r="AE2337" i="1"/>
  <c r="AG2336" i="1"/>
  <c r="AH2336" i="1"/>
  <c r="AI2336" i="1"/>
  <c r="AL2336" i="1"/>
  <c r="AE2336" i="1"/>
  <c r="AF2336" i="1"/>
  <c r="AC2336" i="1"/>
  <c r="AD2336" i="1"/>
  <c r="AJ2336" i="1"/>
  <c r="AI2335" i="1"/>
  <c r="AH2335" i="1"/>
  <c r="AG2335" i="1"/>
  <c r="AL2335" i="1"/>
  <c r="AJ2335" i="1"/>
  <c r="AM2335" i="1" s="1"/>
  <c r="AC2335" i="1"/>
  <c r="AE2335" i="1"/>
  <c r="AF2335" i="1"/>
  <c r="AD2335" i="1"/>
  <c r="AG2334" i="1"/>
  <c r="AH2334" i="1"/>
  <c r="AI2334" i="1"/>
  <c r="AD2334" i="1"/>
  <c r="AJ2334" i="1"/>
  <c r="AL2334" i="1"/>
  <c r="AE2334" i="1"/>
  <c r="AF2334" i="1"/>
  <c r="AC2334" i="1"/>
  <c r="AG2333" i="1"/>
  <c r="AH2333" i="1"/>
  <c r="AI2333" i="1"/>
  <c r="AJ2333" i="1"/>
  <c r="AF2333" i="1"/>
  <c r="AE2333" i="1"/>
  <c r="AD2333" i="1"/>
  <c r="AC2333" i="1"/>
  <c r="AL2333" i="1"/>
  <c r="AG2332" i="1"/>
  <c r="AH2332" i="1"/>
  <c r="AI2332" i="1"/>
  <c r="AC2332" i="1"/>
  <c r="AD2332" i="1"/>
  <c r="AE2332" i="1"/>
  <c r="AF2332" i="1"/>
  <c r="AJ2332" i="1"/>
  <c r="AL2332" i="1"/>
  <c r="AG2331" i="1"/>
  <c r="AH2331" i="1"/>
  <c r="AI2331" i="1"/>
  <c r="AF2331" i="1"/>
  <c r="AD2331" i="1"/>
  <c r="AJ2331" i="1"/>
  <c r="AC2331" i="1"/>
  <c r="AL2331" i="1"/>
  <c r="AE2331" i="1"/>
  <c r="AG2330" i="1"/>
  <c r="AH2330" i="1"/>
  <c r="AI2330" i="1"/>
  <c r="AC2330" i="1"/>
  <c r="AD2330" i="1"/>
  <c r="AE2330" i="1"/>
  <c r="AJ2330" i="1"/>
  <c r="AL2330" i="1"/>
  <c r="AF2330" i="1"/>
  <c r="AH2329" i="1"/>
  <c r="AG2329" i="1"/>
  <c r="AI2329" i="1"/>
  <c r="AL2329" i="1"/>
  <c r="AF2329" i="1"/>
  <c r="AE2329" i="1"/>
  <c r="AD2329" i="1"/>
  <c r="AC2329" i="1"/>
  <c r="AJ2329" i="1"/>
  <c r="AM2329" i="1" s="1"/>
  <c r="AI2328" i="1"/>
  <c r="AH2328" i="1"/>
  <c r="AG2328" i="1"/>
  <c r="AC2328" i="1"/>
  <c r="AD2328" i="1"/>
  <c r="AL2328" i="1"/>
  <c r="AJ2328" i="1"/>
  <c r="AE2328" i="1"/>
  <c r="AF2328" i="1"/>
  <c r="AI2327" i="1"/>
  <c r="AG2327" i="1"/>
  <c r="AH2327" i="1"/>
  <c r="AJ2327" i="1"/>
  <c r="AL2327" i="1"/>
  <c r="AD2327" i="1"/>
  <c r="AC2327" i="1"/>
  <c r="AE2327" i="1"/>
  <c r="AF2327" i="1"/>
  <c r="AI2326" i="1"/>
  <c r="AH2326" i="1"/>
  <c r="AG2326" i="1"/>
  <c r="AL2326" i="1"/>
  <c r="AC2326" i="1"/>
  <c r="AD2326" i="1"/>
  <c r="AE2326" i="1"/>
  <c r="AF2326" i="1"/>
  <c r="AJ2326" i="1"/>
  <c r="AM2326" i="1" s="1"/>
  <c r="AG2325" i="1"/>
  <c r="AI2325" i="1"/>
  <c r="AH2325" i="1"/>
  <c r="AF2325" i="1"/>
  <c r="AE2325" i="1"/>
  <c r="AD2325" i="1"/>
  <c r="AC2325" i="1"/>
  <c r="AL2325" i="1"/>
  <c r="AJ2325" i="1"/>
  <c r="AI2324" i="1"/>
  <c r="AH2324" i="1"/>
  <c r="AG2324" i="1"/>
  <c r="AL2324" i="1"/>
  <c r="AJ2324" i="1"/>
  <c r="AF2324" i="1"/>
  <c r="AE2324" i="1"/>
  <c r="AD2324" i="1"/>
  <c r="AC2324" i="1"/>
  <c r="AI2323" i="1"/>
  <c r="AG2323" i="1"/>
  <c r="AH2323" i="1"/>
  <c r="AJ2323" i="1"/>
  <c r="AL2323" i="1"/>
  <c r="AF2323" i="1"/>
  <c r="AE2323" i="1"/>
  <c r="AD2323" i="1"/>
  <c r="AC2323" i="1"/>
  <c r="AI2322" i="1"/>
  <c r="AH2322" i="1"/>
  <c r="AG2322" i="1"/>
  <c r="AJ2322" i="1"/>
  <c r="AF2322" i="1"/>
  <c r="AE2322" i="1"/>
  <c r="AD2322" i="1"/>
  <c r="AC2322" i="1"/>
  <c r="AL2322" i="1"/>
  <c r="AI2321" i="1"/>
  <c r="AG2321" i="1"/>
  <c r="AH2321" i="1"/>
  <c r="AJ2321" i="1"/>
  <c r="AF2321" i="1"/>
  <c r="AE2321" i="1"/>
  <c r="AD2321" i="1"/>
  <c r="AC2321" i="1"/>
  <c r="AL2321" i="1"/>
  <c r="AI2320" i="1"/>
  <c r="AH2320" i="1"/>
  <c r="AG2320" i="1"/>
  <c r="AE2320" i="1"/>
  <c r="AJ2320" i="1"/>
  <c r="AL2320" i="1"/>
  <c r="AC2320" i="1"/>
  <c r="AF2320" i="1"/>
  <c r="AD2320" i="1"/>
  <c r="AG2319" i="1"/>
  <c r="AH2319" i="1"/>
  <c r="AI2319" i="1"/>
  <c r="AF2319" i="1"/>
  <c r="AD2319" i="1"/>
  <c r="AE2319" i="1"/>
  <c r="AC2319" i="1"/>
  <c r="AJ2319" i="1"/>
  <c r="AL2319" i="1"/>
  <c r="AG2318" i="1"/>
  <c r="AI2318" i="1"/>
  <c r="AH2318" i="1"/>
  <c r="AL2318" i="1"/>
  <c r="AJ2318" i="1"/>
  <c r="AE2318" i="1"/>
  <c r="AD2318" i="1"/>
  <c r="AC2318" i="1"/>
  <c r="AF2318" i="1"/>
  <c r="AI2317" i="1"/>
  <c r="AH2317" i="1"/>
  <c r="AG2317" i="1"/>
  <c r="AL2317" i="1"/>
  <c r="AJ2317" i="1"/>
  <c r="AF2317" i="1"/>
  <c r="AE2317" i="1"/>
  <c r="AD2317" i="1"/>
  <c r="AC2317" i="1"/>
  <c r="AI2316" i="1"/>
  <c r="AH2316" i="1"/>
  <c r="AG2316" i="1"/>
  <c r="AL2316" i="1"/>
  <c r="AJ2316" i="1"/>
  <c r="AF2316" i="1"/>
  <c r="AE2316" i="1"/>
  <c r="AD2316" i="1"/>
  <c r="AC2316" i="1"/>
  <c r="AI2315" i="1"/>
  <c r="AH2315" i="1"/>
  <c r="AG2315" i="1"/>
  <c r="AJ2315" i="1"/>
  <c r="AL2315" i="1"/>
  <c r="AF2315" i="1"/>
  <c r="AE2315" i="1"/>
  <c r="AD2315" i="1"/>
  <c r="AC2315" i="1"/>
  <c r="AI2314" i="1"/>
  <c r="AH2314" i="1"/>
  <c r="AG2314" i="1"/>
  <c r="AL2314" i="1"/>
  <c r="AJ2314" i="1"/>
  <c r="AF2314" i="1"/>
  <c r="AE2314" i="1"/>
  <c r="AD2314" i="1"/>
  <c r="AC2314" i="1"/>
  <c r="AH2313" i="1"/>
  <c r="AG2313" i="1"/>
  <c r="AI2313" i="1"/>
  <c r="AL2313" i="1"/>
  <c r="AJ2313" i="1"/>
  <c r="AF2313" i="1"/>
  <c r="AE2313" i="1"/>
  <c r="AD2313" i="1"/>
  <c r="AC2313" i="1"/>
  <c r="AI2312" i="1"/>
  <c r="AH2312" i="1"/>
  <c r="AG2312" i="1"/>
  <c r="AL2312" i="1"/>
  <c r="AJ2312" i="1"/>
  <c r="AF2312" i="1"/>
  <c r="AE2312" i="1"/>
  <c r="AD2312" i="1"/>
  <c r="AC2312" i="1"/>
  <c r="AH2311" i="1"/>
  <c r="AG2311" i="1"/>
  <c r="AI2311" i="1"/>
  <c r="AL2311" i="1"/>
  <c r="AJ2311" i="1"/>
  <c r="AF2311" i="1"/>
  <c r="AE2311" i="1"/>
  <c r="AD2311" i="1"/>
  <c r="AC2311" i="1"/>
  <c r="AI2310" i="1"/>
  <c r="AH2310" i="1"/>
  <c r="AG2310" i="1"/>
  <c r="AL2310" i="1"/>
  <c r="AJ2310" i="1"/>
  <c r="AF2310" i="1"/>
  <c r="AE2310" i="1"/>
  <c r="AD2310" i="1"/>
  <c r="AC2310" i="1"/>
  <c r="AI2309" i="1"/>
  <c r="AH2309" i="1"/>
  <c r="AG2309" i="1"/>
  <c r="AL2309" i="1"/>
  <c r="AJ2309" i="1"/>
  <c r="AF2309" i="1"/>
  <c r="AE2309" i="1"/>
  <c r="AD2309" i="1"/>
  <c r="AC2309" i="1"/>
  <c r="AI2308" i="1"/>
  <c r="AG2308" i="1"/>
  <c r="AH2308" i="1"/>
  <c r="AJ2308" i="1"/>
  <c r="AL2308" i="1"/>
  <c r="AF2308" i="1"/>
  <c r="AE2308" i="1"/>
  <c r="AD2308" i="1"/>
  <c r="AC2308" i="1"/>
  <c r="AI2307" i="1"/>
  <c r="AH2307" i="1"/>
  <c r="AG2307" i="1"/>
  <c r="AL2307" i="1"/>
  <c r="AJ2307" i="1"/>
  <c r="AF2307" i="1"/>
  <c r="AD2307" i="1"/>
  <c r="AC2307" i="1"/>
  <c r="AE2307" i="1"/>
  <c r="AG2306" i="1"/>
  <c r="AI2306" i="1"/>
  <c r="AH2306" i="1"/>
  <c r="AF2306" i="1"/>
  <c r="AE2306" i="1"/>
  <c r="AL2306" i="1"/>
  <c r="AJ2306" i="1"/>
  <c r="AC2306" i="1"/>
  <c r="AD2306" i="1"/>
  <c r="AG2305" i="1"/>
  <c r="AH2305" i="1"/>
  <c r="AI2305" i="1"/>
  <c r="AD2305" i="1"/>
  <c r="AE2305" i="1"/>
  <c r="AJ2305" i="1"/>
  <c r="AL2305" i="1"/>
  <c r="AF2305" i="1"/>
  <c r="AC2305" i="1"/>
  <c r="AH2304" i="1"/>
  <c r="AI2304" i="1"/>
  <c r="AG2304" i="1"/>
  <c r="AJ2304" i="1"/>
  <c r="AE2304" i="1"/>
  <c r="AL2304" i="1"/>
  <c r="AC2304" i="1"/>
  <c r="AD2304" i="1"/>
  <c r="AF2304" i="1"/>
  <c r="AI2303" i="1"/>
  <c r="AG2303" i="1"/>
  <c r="AH2303" i="1"/>
  <c r="AJ2303" i="1"/>
  <c r="AF2303" i="1"/>
  <c r="AE2303" i="1"/>
  <c r="AD2303" i="1"/>
  <c r="AC2303" i="1"/>
  <c r="AL2303" i="1"/>
  <c r="AI2302" i="1"/>
  <c r="AG2302" i="1"/>
  <c r="AH2302" i="1"/>
  <c r="AJ2302" i="1"/>
  <c r="AL2302" i="1"/>
  <c r="AC2302" i="1"/>
  <c r="AD2302" i="1"/>
  <c r="AE2302" i="1"/>
  <c r="AF2302" i="1"/>
  <c r="AI2301" i="1"/>
  <c r="AG2301" i="1"/>
  <c r="AH2301" i="1"/>
  <c r="AL2301" i="1"/>
  <c r="AF2301" i="1"/>
  <c r="AC2301" i="1"/>
  <c r="AD2301" i="1"/>
  <c r="AE2301" i="1"/>
  <c r="AJ2301" i="1"/>
  <c r="AM2301" i="1" s="1"/>
  <c r="AI2300" i="1"/>
  <c r="AH2300" i="1"/>
  <c r="AG2300" i="1"/>
  <c r="AF2300" i="1"/>
  <c r="AL2300" i="1"/>
  <c r="AE2300" i="1"/>
  <c r="AJ2300" i="1"/>
  <c r="AC2300" i="1"/>
  <c r="AD2300" i="1"/>
  <c r="AI2299" i="1"/>
  <c r="AG2299" i="1"/>
  <c r="AH2299" i="1"/>
  <c r="AJ2299" i="1"/>
  <c r="AF2299" i="1"/>
  <c r="AE2299" i="1"/>
  <c r="AD2299" i="1"/>
  <c r="AC2299" i="1"/>
  <c r="AL2299" i="1"/>
  <c r="AI2298" i="1"/>
  <c r="AH2298" i="1"/>
  <c r="AG2298" i="1"/>
  <c r="AJ2298" i="1"/>
  <c r="AL2298" i="1"/>
  <c r="AF2298" i="1"/>
  <c r="AE2298" i="1"/>
  <c r="AD2298" i="1"/>
  <c r="AC2298" i="1"/>
  <c r="AI2297" i="1"/>
  <c r="AH2297" i="1"/>
  <c r="AG2297" i="1"/>
  <c r="AL2297" i="1"/>
  <c r="AJ2297" i="1"/>
  <c r="AM2297" i="1" s="1"/>
  <c r="AF2297" i="1"/>
  <c r="AE2297" i="1"/>
  <c r="AD2297" i="1"/>
  <c r="AC2297" i="1"/>
  <c r="AI2296" i="1"/>
  <c r="AH2296" i="1"/>
  <c r="AG2296" i="1"/>
  <c r="AL2296" i="1"/>
  <c r="AJ2296" i="1"/>
  <c r="AM2296" i="1" s="1"/>
  <c r="AF2296" i="1"/>
  <c r="AE2296" i="1"/>
  <c r="AD2296" i="1"/>
  <c r="AC2296" i="1"/>
  <c r="AH2295" i="1"/>
  <c r="AG2295" i="1"/>
  <c r="AI2295" i="1"/>
  <c r="AJ2295" i="1"/>
  <c r="AL2295" i="1"/>
  <c r="AF2295" i="1"/>
  <c r="AE2295" i="1"/>
  <c r="AD2295" i="1"/>
  <c r="AC2295" i="1"/>
  <c r="AI2294" i="1"/>
  <c r="AH2294" i="1"/>
  <c r="AG2294" i="1"/>
  <c r="AL2294" i="1"/>
  <c r="AJ2294" i="1"/>
  <c r="AF2294" i="1"/>
  <c r="AE2294" i="1"/>
  <c r="AD2294" i="1"/>
  <c r="AC2294" i="1"/>
  <c r="AI2293" i="1"/>
  <c r="AH2293" i="1"/>
  <c r="AG2293" i="1"/>
  <c r="AL2293" i="1"/>
  <c r="AJ2293" i="1"/>
  <c r="AM2293" i="1" s="1"/>
  <c r="AF2293" i="1"/>
  <c r="AE2293" i="1"/>
  <c r="AD2293" i="1"/>
  <c r="AC2293" i="1"/>
  <c r="AI2292" i="1"/>
  <c r="AH2292" i="1"/>
  <c r="AG2292" i="1"/>
  <c r="AJ2292" i="1"/>
  <c r="AF2292" i="1"/>
  <c r="AE2292" i="1"/>
  <c r="AD2292" i="1"/>
  <c r="AC2292" i="1"/>
  <c r="AL2292" i="1"/>
  <c r="AI2291" i="1"/>
  <c r="AG2291" i="1"/>
  <c r="AH2291" i="1"/>
  <c r="AE2291" i="1"/>
  <c r="AC2291" i="1"/>
  <c r="AF2291" i="1"/>
  <c r="AL2291" i="1"/>
  <c r="AJ2291" i="1"/>
  <c r="AD2291" i="1"/>
  <c r="AG2290" i="1"/>
  <c r="AH2290" i="1"/>
  <c r="AI2290" i="1"/>
  <c r="AC2290" i="1"/>
  <c r="AF2290" i="1"/>
  <c r="AD2290" i="1"/>
  <c r="AE2290" i="1"/>
  <c r="AJ2290" i="1"/>
  <c r="AL2290" i="1"/>
  <c r="AH2289" i="1"/>
  <c r="AG2289" i="1"/>
  <c r="AI2289" i="1"/>
  <c r="AF2289" i="1"/>
  <c r="AE2289" i="1"/>
  <c r="AD2289" i="1"/>
  <c r="AJ2289" i="1"/>
  <c r="AL2289" i="1"/>
  <c r="AC2289" i="1"/>
  <c r="AI2288" i="1"/>
  <c r="AH2288" i="1"/>
  <c r="AG2288" i="1"/>
  <c r="AF2288" i="1"/>
  <c r="AL2288" i="1"/>
  <c r="AE2288" i="1"/>
  <c r="AC2288" i="1"/>
  <c r="AJ2288" i="1"/>
  <c r="AM2288" i="1" s="1"/>
  <c r="AD2288" i="1"/>
  <c r="AG2287" i="1"/>
  <c r="AH2287" i="1"/>
  <c r="AI2287" i="1"/>
  <c r="AD2287" i="1"/>
  <c r="AE2287" i="1"/>
  <c r="AL2287" i="1"/>
  <c r="AC2287" i="1"/>
  <c r="AF2287" i="1"/>
  <c r="AJ2287" i="1"/>
  <c r="AM2287" i="1" s="1"/>
  <c r="AI2286" i="1"/>
  <c r="AG2286" i="1"/>
  <c r="AH2286" i="1"/>
  <c r="AL2286" i="1"/>
  <c r="AC2286" i="1"/>
  <c r="AD2286" i="1"/>
  <c r="AE2286" i="1"/>
  <c r="AF2286" i="1"/>
  <c r="AJ2286" i="1"/>
  <c r="AG2285" i="1"/>
  <c r="AH2285" i="1"/>
  <c r="AI2285" i="1"/>
  <c r="AJ2285" i="1"/>
  <c r="AL2285" i="1"/>
  <c r="AC2285" i="1"/>
  <c r="AD2285" i="1"/>
  <c r="AE2285" i="1"/>
  <c r="AF2285" i="1"/>
  <c r="AG2284" i="1"/>
  <c r="AH2284" i="1"/>
  <c r="AI2284" i="1"/>
  <c r="AJ2284" i="1"/>
  <c r="AC2284" i="1"/>
  <c r="AD2284" i="1"/>
  <c r="AE2284" i="1"/>
  <c r="AF2284" i="1"/>
  <c r="AL2284" i="1"/>
  <c r="AG2283" i="1"/>
  <c r="AH2283" i="1"/>
  <c r="AI2283" i="1"/>
  <c r="AL2283" i="1"/>
  <c r="AJ2283" i="1"/>
  <c r="AM2283" i="1" s="1"/>
  <c r="AF2283" i="1"/>
  <c r="AE2283" i="1"/>
  <c r="AD2283" i="1"/>
  <c r="AC2283" i="1"/>
  <c r="AI2282" i="1"/>
  <c r="AG2282" i="1"/>
  <c r="AH2282" i="1"/>
  <c r="AL2282" i="1"/>
  <c r="AF2282" i="1"/>
  <c r="AE2282" i="1"/>
  <c r="AD2282" i="1"/>
  <c r="AC2282" i="1"/>
  <c r="AJ2282" i="1"/>
  <c r="AI2281" i="1"/>
  <c r="AH2281" i="1"/>
  <c r="AG2281" i="1"/>
  <c r="AL2281" i="1"/>
  <c r="AJ2281" i="1"/>
  <c r="AF2281" i="1"/>
  <c r="AE2281" i="1"/>
  <c r="AD2281" i="1"/>
  <c r="AC2281" i="1"/>
  <c r="AG2280" i="1"/>
  <c r="AI2280" i="1"/>
  <c r="AH2280" i="1"/>
  <c r="AE2280" i="1"/>
  <c r="AD2280" i="1"/>
  <c r="AC2280" i="1"/>
  <c r="AL2280" i="1"/>
  <c r="AJ2280" i="1"/>
  <c r="AF2280" i="1"/>
  <c r="AI2279" i="1"/>
  <c r="AG2279" i="1"/>
  <c r="AH2279" i="1"/>
  <c r="AL2279" i="1"/>
  <c r="AJ2279" i="1"/>
  <c r="AE2279" i="1"/>
  <c r="AF2279" i="1"/>
  <c r="AD2279" i="1"/>
  <c r="AC2279" i="1"/>
  <c r="AH2278" i="1"/>
  <c r="AG2278" i="1"/>
  <c r="AI2278" i="1"/>
  <c r="AF2278" i="1"/>
  <c r="AJ2278" i="1"/>
  <c r="AL2278" i="1"/>
  <c r="AC2278" i="1"/>
  <c r="AD2278" i="1"/>
  <c r="AE2278" i="1"/>
  <c r="AH2277" i="1"/>
  <c r="AG2277" i="1"/>
  <c r="AI2277" i="1"/>
  <c r="AC2277" i="1"/>
  <c r="AF2277" i="1"/>
  <c r="AE2277" i="1"/>
  <c r="AD2277" i="1"/>
  <c r="AJ2277" i="1"/>
  <c r="AL2277" i="1"/>
  <c r="AI2276" i="1"/>
  <c r="AH2276" i="1"/>
  <c r="AG2276" i="1"/>
  <c r="AL2276" i="1"/>
  <c r="AJ2276" i="1"/>
  <c r="AF2276" i="1"/>
  <c r="AC2276" i="1"/>
  <c r="AD2276" i="1"/>
  <c r="AE2276" i="1"/>
  <c r="AG2275" i="1"/>
  <c r="AH2275" i="1"/>
  <c r="AI2275" i="1"/>
  <c r="AJ2275" i="1"/>
  <c r="AL2275" i="1"/>
  <c r="AF2275" i="1"/>
  <c r="AD2275" i="1"/>
  <c r="AC2275" i="1"/>
  <c r="AE2275" i="1"/>
  <c r="AG2274" i="1"/>
  <c r="AI2274" i="1"/>
  <c r="AH2274" i="1"/>
  <c r="AC2274" i="1"/>
  <c r="AD2274" i="1"/>
  <c r="AE2274" i="1"/>
  <c r="AF2274" i="1"/>
  <c r="AL2274" i="1"/>
  <c r="AJ2274" i="1"/>
  <c r="AM2274" i="1" s="1"/>
  <c r="AG2273" i="1"/>
  <c r="AI2273" i="1"/>
  <c r="AH2273" i="1"/>
  <c r="AE2273" i="1"/>
  <c r="AD2273" i="1"/>
  <c r="AC2273" i="1"/>
  <c r="AJ2273" i="1"/>
  <c r="AL2273" i="1"/>
  <c r="AF2273" i="1"/>
  <c r="AI2272" i="1"/>
  <c r="AH2272" i="1"/>
  <c r="AG2272" i="1"/>
  <c r="AL2272" i="1"/>
  <c r="AJ2272" i="1"/>
  <c r="AM2272" i="1" s="1"/>
  <c r="AF2272" i="1"/>
  <c r="AE2272" i="1"/>
  <c r="AD2272" i="1"/>
  <c r="AC2272" i="1"/>
  <c r="AI2271" i="1"/>
  <c r="AH2271" i="1"/>
  <c r="AG2271" i="1"/>
  <c r="AL2271" i="1"/>
  <c r="AJ2271" i="1"/>
  <c r="AM2271" i="1" s="1"/>
  <c r="AE2271" i="1"/>
  <c r="AD2271" i="1"/>
  <c r="AC2271" i="1"/>
  <c r="AF2271" i="1"/>
  <c r="AG2270" i="1"/>
  <c r="AI2270" i="1"/>
  <c r="AH2270" i="1"/>
  <c r="AF2270" i="1"/>
  <c r="AE2270" i="1"/>
  <c r="AD2270" i="1"/>
  <c r="AC2270" i="1"/>
  <c r="AL2270" i="1"/>
  <c r="AJ2270" i="1"/>
  <c r="AI2269" i="1"/>
  <c r="AH2269" i="1"/>
  <c r="AG2269" i="1"/>
  <c r="AF2269" i="1"/>
  <c r="AL2269" i="1"/>
  <c r="AD2269" i="1"/>
  <c r="AC2269" i="1"/>
  <c r="AE2269" i="1"/>
  <c r="AJ2269" i="1"/>
  <c r="AI2268" i="1"/>
  <c r="AH2268" i="1"/>
  <c r="AG2268" i="1"/>
  <c r="AL2268" i="1"/>
  <c r="AF2268" i="1"/>
  <c r="AE2268" i="1"/>
  <c r="AJ2268" i="1"/>
  <c r="AM2268" i="1" s="1"/>
  <c r="AC2268" i="1"/>
  <c r="AD2268" i="1"/>
  <c r="AI2267" i="1"/>
  <c r="AH2267" i="1"/>
  <c r="AG2267" i="1"/>
  <c r="AL2267" i="1"/>
  <c r="AF2267" i="1"/>
  <c r="AE2267" i="1"/>
  <c r="AD2267" i="1"/>
  <c r="AC2267" i="1"/>
  <c r="AJ2267" i="1"/>
  <c r="AM2267" i="1" s="1"/>
  <c r="AI2266" i="1"/>
  <c r="AH2266" i="1"/>
  <c r="AG2266" i="1"/>
  <c r="AL2266" i="1"/>
  <c r="AJ2266" i="1"/>
  <c r="AF2266" i="1"/>
  <c r="AE2266" i="1"/>
  <c r="AC2266" i="1"/>
  <c r="AD2266" i="1"/>
  <c r="AH2265" i="1"/>
  <c r="AG2265" i="1"/>
  <c r="AI2265" i="1"/>
  <c r="AD2265" i="1"/>
  <c r="AE2265" i="1"/>
  <c r="AF2265" i="1"/>
  <c r="AC2265" i="1"/>
  <c r="AL2265" i="1"/>
  <c r="AJ2265" i="1"/>
  <c r="AI2264" i="1"/>
  <c r="AH2264" i="1"/>
  <c r="AG2264" i="1"/>
  <c r="AL2264" i="1"/>
  <c r="AJ2264" i="1"/>
  <c r="AF2264" i="1"/>
  <c r="AE2264" i="1"/>
  <c r="AD2264" i="1"/>
  <c r="AC2264" i="1"/>
  <c r="AG2263" i="1"/>
  <c r="AI2263" i="1"/>
  <c r="AH2263" i="1"/>
  <c r="AF2263" i="1"/>
  <c r="AC2263" i="1"/>
  <c r="AD2263" i="1"/>
  <c r="AL2263" i="1"/>
  <c r="AJ2263" i="1"/>
  <c r="AE2263" i="1"/>
  <c r="AH2262" i="1"/>
  <c r="AI2262" i="1"/>
  <c r="AG2262" i="1"/>
  <c r="AJ2262" i="1"/>
  <c r="AC2262" i="1"/>
  <c r="AL2262" i="1"/>
  <c r="AF2262" i="1"/>
  <c r="AE2262" i="1"/>
  <c r="AD2262" i="1"/>
  <c r="AH2261" i="1"/>
  <c r="AI2261" i="1"/>
  <c r="AG2261" i="1"/>
  <c r="AL2261" i="1"/>
  <c r="AJ2261" i="1"/>
  <c r="AD2261" i="1"/>
  <c r="AF2261" i="1"/>
  <c r="AE2261" i="1"/>
  <c r="AC2261" i="1"/>
  <c r="AI2260" i="1"/>
  <c r="AH2260" i="1"/>
  <c r="AG2260" i="1"/>
  <c r="AF2260" i="1"/>
  <c r="AJ2260" i="1"/>
  <c r="AL2260" i="1"/>
  <c r="AD2260" i="1"/>
  <c r="AC2260" i="1"/>
  <c r="AE2260" i="1"/>
  <c r="AH2259" i="1"/>
  <c r="AI2259" i="1"/>
  <c r="AG2259" i="1"/>
  <c r="AC2259" i="1"/>
  <c r="AD2259" i="1"/>
  <c r="AE2259" i="1"/>
  <c r="AF2259" i="1"/>
  <c r="AJ2259" i="1"/>
  <c r="AL2259" i="1"/>
  <c r="AI2258" i="1"/>
  <c r="AH2258" i="1"/>
  <c r="AG2258" i="1"/>
  <c r="AJ2258" i="1"/>
  <c r="AL2258" i="1"/>
  <c r="AD2258" i="1"/>
  <c r="AE2258" i="1"/>
  <c r="AC2258" i="1"/>
  <c r="AF2258" i="1"/>
  <c r="AG2257" i="1"/>
  <c r="AI2257" i="1"/>
  <c r="AH2257" i="1"/>
  <c r="AL2257" i="1"/>
  <c r="AJ2257" i="1"/>
  <c r="AM2257" i="1" s="1"/>
  <c r="AF2257" i="1"/>
  <c r="AE2257" i="1"/>
  <c r="AD2257" i="1"/>
  <c r="AC2257" i="1"/>
  <c r="AI2256" i="1"/>
  <c r="AH2256" i="1"/>
  <c r="AG2256" i="1"/>
  <c r="AL2256" i="1"/>
  <c r="AJ2256" i="1"/>
  <c r="AF2256" i="1"/>
  <c r="AE2256" i="1"/>
  <c r="AD2256" i="1"/>
  <c r="AC2256" i="1"/>
  <c r="AI2255" i="1"/>
  <c r="AH2255" i="1"/>
  <c r="AG2255" i="1"/>
  <c r="AL2255" i="1"/>
  <c r="AJ2255" i="1"/>
  <c r="AF2255" i="1"/>
  <c r="AE2255" i="1"/>
  <c r="AD2255" i="1"/>
  <c r="AC2255" i="1"/>
  <c r="AI2254" i="1"/>
  <c r="AH2254" i="1"/>
  <c r="AG2254" i="1"/>
  <c r="AJ2254" i="1"/>
  <c r="AL2254" i="1"/>
  <c r="AF2254" i="1"/>
  <c r="AE2254" i="1"/>
  <c r="AD2254" i="1"/>
  <c r="AC2254" i="1"/>
  <c r="AI2253" i="1"/>
  <c r="AH2253" i="1"/>
  <c r="AG2253" i="1"/>
  <c r="AL2253" i="1"/>
  <c r="AJ2253" i="1"/>
  <c r="AM2253" i="1" s="1"/>
  <c r="AF2253" i="1"/>
  <c r="AE2253" i="1"/>
  <c r="AD2253" i="1"/>
  <c r="AC2253" i="1"/>
  <c r="AH2252" i="1"/>
  <c r="AG2252" i="1"/>
  <c r="AI2252" i="1"/>
  <c r="AL2252" i="1"/>
  <c r="AJ2252" i="1"/>
  <c r="AF2252" i="1"/>
  <c r="AE2252" i="1"/>
  <c r="AD2252" i="1"/>
  <c r="AC2252" i="1"/>
  <c r="AI2251" i="1"/>
  <c r="AH2251" i="1"/>
  <c r="AG2251" i="1"/>
  <c r="AL2251" i="1"/>
  <c r="AJ2251" i="1"/>
  <c r="AF2251" i="1"/>
  <c r="AE2251" i="1"/>
  <c r="AD2251" i="1"/>
  <c r="AC2251" i="1"/>
  <c r="AI2250" i="1"/>
  <c r="AH2250" i="1"/>
  <c r="AG2250" i="1"/>
  <c r="AL2250" i="1"/>
  <c r="AJ2250" i="1"/>
  <c r="AF2250" i="1"/>
  <c r="AE2250" i="1"/>
  <c r="AD2250" i="1"/>
  <c r="AC2250" i="1"/>
  <c r="AI2249" i="1"/>
  <c r="AH2249" i="1"/>
  <c r="AG2249" i="1"/>
  <c r="AF2249" i="1"/>
  <c r="AL2249" i="1"/>
  <c r="AJ2249" i="1"/>
  <c r="AE2249" i="1"/>
  <c r="AD2249" i="1"/>
  <c r="AC2249" i="1"/>
  <c r="AI2248" i="1"/>
  <c r="AH2248" i="1"/>
  <c r="AG2248" i="1"/>
  <c r="AE2248" i="1"/>
  <c r="AD2248" i="1"/>
  <c r="AC2248" i="1"/>
  <c r="AL2248" i="1"/>
  <c r="AJ2248" i="1"/>
  <c r="AF2248" i="1"/>
  <c r="AI2247" i="1"/>
  <c r="AH2247" i="1"/>
  <c r="AG2247" i="1"/>
  <c r="AL2247" i="1"/>
  <c r="AC2247" i="1"/>
  <c r="AD2247" i="1"/>
  <c r="AE2247" i="1"/>
  <c r="AF2247" i="1"/>
  <c r="AJ2247" i="1"/>
  <c r="AM2247" i="1" s="1"/>
  <c r="AI2246" i="1"/>
  <c r="AH2246" i="1"/>
  <c r="AG2246" i="1"/>
  <c r="AL2246" i="1"/>
  <c r="AC2246" i="1"/>
  <c r="AJ2246" i="1"/>
  <c r="AM2246" i="1" s="1"/>
  <c r="AF2246" i="1"/>
  <c r="AE2246" i="1"/>
  <c r="AD2246" i="1"/>
  <c r="AH2245" i="1"/>
  <c r="AG2245" i="1"/>
  <c r="AI2245" i="1"/>
  <c r="AF2245" i="1"/>
  <c r="AE2245" i="1"/>
  <c r="AD2245" i="1"/>
  <c r="AC2245" i="1"/>
  <c r="AL2245" i="1"/>
  <c r="AJ2245" i="1"/>
  <c r="AI2244" i="1"/>
  <c r="AH2244" i="1"/>
  <c r="AG2244" i="1"/>
  <c r="AL2244" i="1"/>
  <c r="AD2244" i="1"/>
  <c r="AC2244" i="1"/>
  <c r="AE2244" i="1"/>
  <c r="AF2244" i="1"/>
  <c r="AJ2244" i="1"/>
  <c r="AM2244" i="1" s="1"/>
  <c r="AH2243" i="1"/>
  <c r="AG2243" i="1"/>
  <c r="AI2243" i="1"/>
  <c r="AL2243" i="1"/>
  <c r="AJ2243" i="1"/>
  <c r="AC2243" i="1"/>
  <c r="AD2243" i="1"/>
  <c r="AE2243" i="1"/>
  <c r="AF2243" i="1"/>
  <c r="AH2242" i="1"/>
  <c r="AI2242" i="1"/>
  <c r="AG2242" i="1"/>
  <c r="AD2242" i="1"/>
  <c r="AC2242" i="1"/>
  <c r="AE2242" i="1"/>
  <c r="AF2242" i="1"/>
  <c r="AJ2242" i="1"/>
  <c r="AL2242" i="1"/>
  <c r="AI2241" i="1"/>
  <c r="AH2241" i="1"/>
  <c r="AG2241" i="1"/>
  <c r="AE2241" i="1"/>
  <c r="AF2241" i="1"/>
  <c r="AL2241" i="1"/>
  <c r="AC2241" i="1"/>
  <c r="AD2241" i="1"/>
  <c r="AJ2241" i="1"/>
  <c r="AM2241" i="1" s="1"/>
  <c r="AG2240" i="1"/>
  <c r="AI2240" i="1"/>
  <c r="AH2240" i="1"/>
  <c r="AC2240" i="1"/>
  <c r="AE2240" i="1"/>
  <c r="AJ2240" i="1"/>
  <c r="AF2240" i="1"/>
  <c r="AL2240" i="1"/>
  <c r="AD2240" i="1"/>
  <c r="AH2239" i="1"/>
  <c r="AI2239" i="1"/>
  <c r="AG2239" i="1"/>
  <c r="AD2239" i="1"/>
  <c r="AL2239" i="1"/>
  <c r="AJ2239" i="1"/>
  <c r="AF2239" i="1"/>
  <c r="AE2239" i="1"/>
  <c r="AC2239" i="1"/>
  <c r="AH2238" i="1"/>
  <c r="AI2238" i="1"/>
  <c r="AG2238" i="1"/>
  <c r="AD2238" i="1"/>
  <c r="AC2238" i="1"/>
  <c r="AE2238" i="1"/>
  <c r="AF2238" i="1"/>
  <c r="AJ2238" i="1"/>
  <c r="AL2238" i="1"/>
  <c r="AI2237" i="1"/>
  <c r="AH2237" i="1"/>
  <c r="AG2237" i="1"/>
  <c r="AF2237" i="1"/>
  <c r="AE2237" i="1"/>
  <c r="AD2237" i="1"/>
  <c r="AL2237" i="1"/>
  <c r="AJ2237" i="1"/>
  <c r="AM2237" i="1" s="1"/>
  <c r="AC2237" i="1"/>
  <c r="AG2236" i="1"/>
  <c r="AH2236" i="1"/>
  <c r="AI2236" i="1"/>
  <c r="AL2236" i="1"/>
  <c r="AF2236" i="1"/>
  <c r="AE2236" i="1"/>
  <c r="AD2236" i="1"/>
  <c r="AC2236" i="1"/>
  <c r="AJ2236" i="1"/>
  <c r="AM2236" i="1" s="1"/>
  <c r="AG2235" i="1"/>
  <c r="AH2235" i="1"/>
  <c r="AI2235" i="1"/>
  <c r="AF2235" i="1"/>
  <c r="AJ2235" i="1"/>
  <c r="AE2235" i="1"/>
  <c r="AL2235" i="1"/>
  <c r="AC2235" i="1"/>
  <c r="AD2235" i="1"/>
  <c r="AG2234" i="1"/>
  <c r="AH2234" i="1"/>
  <c r="AI2234" i="1"/>
  <c r="AF2234" i="1"/>
  <c r="AD2234" i="1"/>
  <c r="AC2234" i="1"/>
  <c r="AE2234" i="1"/>
  <c r="AJ2234" i="1"/>
  <c r="AL2234" i="1"/>
  <c r="AI2233" i="1"/>
  <c r="AH2233" i="1"/>
  <c r="AG2233" i="1"/>
  <c r="AJ2233" i="1"/>
  <c r="AF2233" i="1"/>
  <c r="AD2233" i="1"/>
  <c r="AC2233" i="1"/>
  <c r="AE2233" i="1"/>
  <c r="AL2233" i="1"/>
  <c r="AI2232" i="1"/>
  <c r="AH2232" i="1"/>
  <c r="AG2232" i="1"/>
  <c r="AF2232" i="1"/>
  <c r="AC2232" i="1"/>
  <c r="AJ2232" i="1"/>
  <c r="AL2232" i="1"/>
  <c r="AE2232" i="1"/>
  <c r="AD2232" i="1"/>
  <c r="AI2231" i="1"/>
  <c r="AH2231" i="1"/>
  <c r="AG2231" i="1"/>
  <c r="AC2231" i="1"/>
  <c r="AD2231" i="1"/>
  <c r="AE2231" i="1"/>
  <c r="AF2231" i="1"/>
  <c r="AJ2231" i="1"/>
  <c r="AL2231" i="1"/>
  <c r="AG2230" i="1"/>
  <c r="AI2230" i="1"/>
  <c r="AH2230" i="1"/>
  <c r="AC2230" i="1"/>
  <c r="AJ2230" i="1"/>
  <c r="AL2230" i="1"/>
  <c r="AF2230" i="1"/>
  <c r="AE2230" i="1"/>
  <c r="AD2230" i="1"/>
  <c r="AG2229" i="1"/>
  <c r="AH2229" i="1"/>
  <c r="AI2229" i="1"/>
  <c r="AL2229" i="1"/>
  <c r="AC2229" i="1"/>
  <c r="AD2229" i="1"/>
  <c r="AE2229" i="1"/>
  <c r="AF2229" i="1"/>
  <c r="AJ2229" i="1"/>
  <c r="AG2228" i="1"/>
  <c r="AH2228" i="1"/>
  <c r="AI2228" i="1"/>
  <c r="AJ2228" i="1"/>
  <c r="AC2228" i="1"/>
  <c r="AD2228" i="1"/>
  <c r="AE2228" i="1"/>
  <c r="AF2228" i="1"/>
  <c r="AL2228" i="1"/>
  <c r="AG2227" i="1"/>
  <c r="AI2227" i="1"/>
  <c r="AH2227" i="1"/>
  <c r="AL2227" i="1"/>
  <c r="AJ2227" i="1"/>
  <c r="AF2227" i="1"/>
  <c r="AE2227" i="1"/>
  <c r="AD2227" i="1"/>
  <c r="AC2227" i="1"/>
  <c r="AI2226" i="1"/>
  <c r="AG2226" i="1"/>
  <c r="AH2226" i="1"/>
  <c r="AC2226" i="1"/>
  <c r="AL2226" i="1"/>
  <c r="AJ2226" i="1"/>
  <c r="AE2226" i="1"/>
  <c r="AD2226" i="1"/>
  <c r="AF2226" i="1"/>
  <c r="AG2225" i="1"/>
  <c r="AH2225" i="1"/>
  <c r="AI2225" i="1"/>
  <c r="AJ2225" i="1"/>
  <c r="AF2225" i="1"/>
  <c r="AL2225" i="1"/>
  <c r="AE2225" i="1"/>
  <c r="AD2225" i="1"/>
  <c r="AC2225" i="1"/>
  <c r="AI2224" i="1"/>
  <c r="AH2224" i="1"/>
  <c r="AG2224" i="1"/>
  <c r="AL2224" i="1"/>
  <c r="AJ2224" i="1"/>
  <c r="AD2224" i="1"/>
  <c r="AF2224" i="1"/>
  <c r="AE2224" i="1"/>
  <c r="AC2224" i="1"/>
  <c r="AH2223" i="1"/>
  <c r="AG2223" i="1"/>
  <c r="AI2223" i="1"/>
  <c r="AJ2223" i="1"/>
  <c r="AL2223" i="1"/>
  <c r="AC2223" i="1"/>
  <c r="AD2223" i="1"/>
  <c r="AE2223" i="1"/>
  <c r="AF2223" i="1"/>
  <c r="AI2222" i="1"/>
  <c r="AH2222" i="1"/>
  <c r="AG2222" i="1"/>
  <c r="AL2222" i="1"/>
  <c r="AJ2222" i="1"/>
  <c r="AM2222" i="1" s="1"/>
  <c r="AD2222" i="1"/>
  <c r="AF2222" i="1"/>
  <c r="AE2222" i="1"/>
  <c r="AC2222" i="1"/>
  <c r="AI2221" i="1"/>
  <c r="AH2221" i="1"/>
  <c r="AG2221" i="1"/>
  <c r="AE2221" i="1"/>
  <c r="AD2221" i="1"/>
  <c r="AJ2221" i="1"/>
  <c r="AL2221" i="1"/>
  <c r="AF2221" i="1"/>
  <c r="AC2221" i="1"/>
  <c r="AG2220" i="1"/>
  <c r="AH2220" i="1"/>
  <c r="AI2220" i="1"/>
  <c r="AC2220" i="1"/>
  <c r="AD2220" i="1"/>
  <c r="AE2220" i="1"/>
  <c r="AF2220" i="1"/>
  <c r="AJ2220" i="1"/>
  <c r="AL2220" i="1"/>
  <c r="AG2219" i="1"/>
  <c r="AH2219" i="1"/>
  <c r="AI2219" i="1"/>
  <c r="AC2219" i="1"/>
  <c r="AE2219" i="1"/>
  <c r="AF2219" i="1"/>
  <c r="AJ2219" i="1"/>
  <c r="AL2219" i="1"/>
  <c r="AD2219" i="1"/>
  <c r="AG2218" i="1"/>
  <c r="AI2218" i="1"/>
  <c r="AH2218" i="1"/>
  <c r="AF2218" i="1"/>
  <c r="AL2218" i="1"/>
  <c r="AJ2218" i="1"/>
  <c r="AC2218" i="1"/>
  <c r="AD2218" i="1"/>
  <c r="AE2218" i="1"/>
  <c r="AI2217" i="1"/>
  <c r="AG2217" i="1"/>
  <c r="AH2217" i="1"/>
  <c r="AL2217" i="1"/>
  <c r="AJ2217" i="1"/>
  <c r="AM2217" i="1" s="1"/>
  <c r="AE2217" i="1"/>
  <c r="AF2217" i="1"/>
  <c r="AD2217" i="1"/>
  <c r="AC2217" i="1"/>
  <c r="AG2216" i="1"/>
  <c r="AH2216" i="1"/>
  <c r="AI2216" i="1"/>
  <c r="AF2216" i="1"/>
  <c r="AE2216" i="1"/>
  <c r="AD2216" i="1"/>
  <c r="AC2216" i="1"/>
  <c r="AJ2216" i="1"/>
  <c r="AL2216" i="1"/>
  <c r="AI2215" i="1"/>
  <c r="AH2215" i="1"/>
  <c r="AG2215" i="1"/>
  <c r="AJ2215" i="1"/>
  <c r="AL2215" i="1"/>
  <c r="AF2215" i="1"/>
  <c r="AE2215" i="1"/>
  <c r="AD2215" i="1"/>
  <c r="AC2215" i="1"/>
  <c r="AG2214" i="1"/>
  <c r="AH2214" i="1"/>
  <c r="AI2214" i="1"/>
  <c r="AC2214" i="1"/>
  <c r="AD2214" i="1"/>
  <c r="AE2214" i="1"/>
  <c r="AJ2214" i="1"/>
  <c r="AL2214" i="1"/>
  <c r="AF2214" i="1"/>
  <c r="AI2213" i="1"/>
  <c r="AG2213" i="1"/>
  <c r="AH2213" i="1"/>
  <c r="AJ2213" i="1"/>
  <c r="AL2213" i="1"/>
  <c r="AF2213" i="1"/>
  <c r="AE2213" i="1"/>
  <c r="AD2213" i="1"/>
  <c r="AC2213" i="1"/>
  <c r="AH2212" i="1"/>
  <c r="AI2212" i="1"/>
  <c r="AG2212" i="1"/>
  <c r="AJ2212" i="1"/>
  <c r="AL2212" i="1"/>
  <c r="AF2212" i="1"/>
  <c r="AE2212" i="1"/>
  <c r="AD2212" i="1"/>
  <c r="AC2212" i="1"/>
  <c r="AG2211" i="1"/>
  <c r="AH2211" i="1"/>
  <c r="AI2211" i="1"/>
  <c r="AC2211" i="1"/>
  <c r="AE2211" i="1"/>
  <c r="AF2211" i="1"/>
  <c r="AD2211" i="1"/>
  <c r="AJ2211" i="1"/>
  <c r="AL2211" i="1"/>
  <c r="AG2210" i="1"/>
  <c r="AH2210" i="1"/>
  <c r="AI2210" i="1"/>
  <c r="AL2210" i="1"/>
  <c r="AJ2210" i="1"/>
  <c r="AM2210" i="1" s="1"/>
  <c r="AC2210" i="1"/>
  <c r="AD2210" i="1"/>
  <c r="AE2210" i="1"/>
  <c r="AF2210" i="1"/>
  <c r="AG2209" i="1"/>
  <c r="AH2209" i="1"/>
  <c r="AI2209" i="1"/>
  <c r="AC2209" i="1"/>
  <c r="AD2209" i="1"/>
  <c r="AE2209" i="1"/>
  <c r="AF2209" i="1"/>
  <c r="AJ2209" i="1"/>
  <c r="AL2209" i="1"/>
  <c r="AG2208" i="1"/>
  <c r="AH2208" i="1"/>
  <c r="AI2208" i="1"/>
  <c r="AD2208" i="1"/>
  <c r="AE2208" i="1"/>
  <c r="AL2208" i="1"/>
  <c r="AF2208" i="1"/>
  <c r="AC2208" i="1"/>
  <c r="AJ2208" i="1"/>
  <c r="AM2208" i="1" s="1"/>
  <c r="AH2207" i="1"/>
  <c r="AI2207" i="1"/>
  <c r="AG2207" i="1"/>
  <c r="AL2207" i="1"/>
  <c r="AF2207" i="1"/>
  <c r="AE2207" i="1"/>
  <c r="AD2207" i="1"/>
  <c r="AC2207" i="1"/>
  <c r="AJ2207" i="1"/>
  <c r="AM2207" i="1" s="1"/>
  <c r="AI2206" i="1"/>
  <c r="AH2206" i="1"/>
  <c r="AG2206" i="1"/>
  <c r="AL2206" i="1"/>
  <c r="AJ2206" i="1"/>
  <c r="AF2206" i="1"/>
  <c r="AE2206" i="1"/>
  <c r="AD2206" i="1"/>
  <c r="AC2206" i="1"/>
  <c r="AI2205" i="1"/>
  <c r="AH2205" i="1"/>
  <c r="AG2205" i="1"/>
  <c r="AL2205" i="1"/>
  <c r="AJ2205" i="1"/>
  <c r="AF2205" i="1"/>
  <c r="AE2205" i="1"/>
  <c r="AD2205" i="1"/>
  <c r="AC2205" i="1"/>
  <c r="AI2204" i="1"/>
  <c r="AH2204" i="1"/>
  <c r="AG2204" i="1"/>
  <c r="AJ2204" i="1"/>
  <c r="AL2204" i="1"/>
  <c r="AF2204" i="1"/>
  <c r="AE2204" i="1"/>
  <c r="AD2204" i="1"/>
  <c r="AC2204" i="1"/>
  <c r="AI2203" i="1"/>
  <c r="AH2203" i="1"/>
  <c r="AG2203" i="1"/>
  <c r="AL2203" i="1"/>
  <c r="AJ2203" i="1"/>
  <c r="AF2203" i="1"/>
  <c r="AE2203" i="1"/>
  <c r="AD2203" i="1"/>
  <c r="AC2203" i="1"/>
  <c r="AH2202" i="1"/>
  <c r="AG2202" i="1"/>
  <c r="AI2202" i="1"/>
  <c r="AL2202" i="1"/>
  <c r="AJ2202" i="1"/>
  <c r="AM2202" i="1" s="1"/>
  <c r="AF2202" i="1"/>
  <c r="AE2202" i="1"/>
  <c r="AD2202" i="1"/>
  <c r="AC2202" i="1"/>
  <c r="AI2201" i="1"/>
  <c r="AH2201" i="1"/>
  <c r="AG2201" i="1"/>
  <c r="AL2201" i="1"/>
  <c r="AJ2201" i="1"/>
  <c r="AF2201" i="1"/>
  <c r="AE2201" i="1"/>
  <c r="AD2201" i="1"/>
  <c r="AC2201" i="1"/>
  <c r="AI2200" i="1"/>
  <c r="AH2200" i="1"/>
  <c r="AG2200" i="1"/>
  <c r="AL2200" i="1"/>
  <c r="AJ2200" i="1"/>
  <c r="AM2200" i="1" s="1"/>
  <c r="AF2200" i="1"/>
  <c r="AE2200" i="1"/>
  <c r="AD2200" i="1"/>
  <c r="AC2200" i="1"/>
  <c r="AI2199" i="1"/>
  <c r="AH2199" i="1"/>
  <c r="AG2199" i="1"/>
  <c r="AJ2199" i="1"/>
  <c r="AL2199" i="1"/>
  <c r="AF2199" i="1"/>
  <c r="AE2199" i="1"/>
  <c r="AD2199" i="1"/>
  <c r="AC2199" i="1"/>
  <c r="AI2198" i="1"/>
  <c r="AH2198" i="1"/>
  <c r="AG2198" i="1"/>
  <c r="AL2198" i="1"/>
  <c r="AJ2198" i="1"/>
  <c r="AF2198" i="1"/>
  <c r="AE2198" i="1"/>
  <c r="AD2198" i="1"/>
  <c r="AC2198" i="1"/>
  <c r="AG2197" i="1"/>
  <c r="AH2197" i="1"/>
  <c r="AI2197" i="1"/>
  <c r="AE2197" i="1"/>
  <c r="AJ2197" i="1"/>
  <c r="AL2197" i="1"/>
  <c r="AF2197" i="1"/>
  <c r="AC2197" i="1"/>
  <c r="AD2197" i="1"/>
  <c r="AH2196" i="1"/>
  <c r="AI2196" i="1"/>
  <c r="AG2196" i="1"/>
  <c r="AE2196" i="1"/>
  <c r="AF2196" i="1"/>
  <c r="AD2196" i="1"/>
  <c r="AC2196" i="1"/>
  <c r="AL2196" i="1"/>
  <c r="AJ2196" i="1"/>
  <c r="AG2195" i="1"/>
  <c r="AH2195" i="1"/>
  <c r="AI2195" i="1"/>
  <c r="AE2195" i="1"/>
  <c r="AF2195" i="1"/>
  <c r="AJ2195" i="1"/>
  <c r="AD2195" i="1"/>
  <c r="AL2195" i="1"/>
  <c r="AC2195" i="1"/>
  <c r="AH2194" i="1"/>
  <c r="AI2194" i="1"/>
  <c r="AG2194" i="1"/>
  <c r="AL2194" i="1"/>
  <c r="AJ2194" i="1"/>
  <c r="AD2194" i="1"/>
  <c r="AE2194" i="1"/>
  <c r="AF2194" i="1"/>
  <c r="AC2194" i="1"/>
  <c r="AG2193" i="1"/>
  <c r="AI2193" i="1"/>
  <c r="AH2193" i="1"/>
  <c r="AC2193" i="1"/>
  <c r="AD2193" i="1"/>
  <c r="AE2193" i="1"/>
  <c r="AJ2193" i="1"/>
  <c r="AL2193" i="1"/>
  <c r="AF2193" i="1"/>
  <c r="AH2192" i="1"/>
  <c r="AI2192" i="1"/>
  <c r="AG2192" i="1"/>
  <c r="AF2192" i="1"/>
  <c r="AJ2192" i="1"/>
  <c r="AL2192" i="1"/>
  <c r="AE2192" i="1"/>
  <c r="AC2192" i="1"/>
  <c r="AD2192" i="1"/>
  <c r="AG2191" i="1"/>
  <c r="AH2191" i="1"/>
  <c r="AI2191" i="1"/>
  <c r="AL2191" i="1"/>
  <c r="AC2191" i="1"/>
  <c r="AE2191" i="1"/>
  <c r="AD2191" i="1"/>
  <c r="AF2191" i="1"/>
  <c r="AJ2191" i="1"/>
  <c r="AM2191" i="1" s="1"/>
  <c r="AI2190" i="1"/>
  <c r="AH2190" i="1"/>
  <c r="AG2190" i="1"/>
  <c r="AF2190" i="1"/>
  <c r="AE2190" i="1"/>
  <c r="AL2190" i="1"/>
  <c r="AJ2190" i="1"/>
  <c r="AC2190" i="1"/>
  <c r="AD2190" i="1"/>
  <c r="AI2189" i="1"/>
  <c r="AG2189" i="1"/>
  <c r="AH2189" i="1"/>
  <c r="AC2189" i="1"/>
  <c r="AD2189" i="1"/>
  <c r="AE2189" i="1"/>
  <c r="AF2189" i="1"/>
  <c r="AJ2189" i="1"/>
  <c r="AL2189" i="1"/>
  <c r="AG2188" i="1"/>
  <c r="AH2188" i="1"/>
  <c r="AI2188" i="1"/>
  <c r="AD2188" i="1"/>
  <c r="AE2188" i="1"/>
  <c r="AF2188" i="1"/>
  <c r="AJ2188" i="1"/>
  <c r="AL2188" i="1"/>
  <c r="AC2188" i="1"/>
  <c r="AG2187" i="1"/>
  <c r="AH2187" i="1"/>
  <c r="AI2187" i="1"/>
  <c r="AL2187" i="1"/>
  <c r="AF2187" i="1"/>
  <c r="AE2187" i="1"/>
  <c r="AD2187" i="1"/>
  <c r="AC2187" i="1"/>
  <c r="AJ2187" i="1"/>
  <c r="AM2187" i="1" s="1"/>
  <c r="AH2186" i="1"/>
  <c r="AG2186" i="1"/>
  <c r="AI2186" i="1"/>
  <c r="AF2186" i="1"/>
  <c r="AE2186" i="1"/>
  <c r="AD2186" i="1"/>
  <c r="AC2186" i="1"/>
  <c r="AL2186" i="1"/>
  <c r="AJ2186" i="1"/>
  <c r="AI2185" i="1"/>
  <c r="AH2185" i="1"/>
  <c r="AG2185" i="1"/>
  <c r="AL2185" i="1"/>
  <c r="AJ2185" i="1"/>
  <c r="AF2185" i="1"/>
  <c r="AE2185" i="1"/>
  <c r="AD2185" i="1"/>
  <c r="AC2185" i="1"/>
  <c r="AI2184" i="1"/>
  <c r="AH2184" i="1"/>
  <c r="AG2184" i="1"/>
  <c r="AL2184" i="1"/>
  <c r="AJ2184" i="1"/>
  <c r="AM2184" i="1" s="1"/>
  <c r="AF2184" i="1"/>
  <c r="AD2184" i="1"/>
  <c r="AC2184" i="1"/>
  <c r="AE2184" i="1"/>
  <c r="AI2183" i="1"/>
  <c r="AH2183" i="1"/>
  <c r="AG2183" i="1"/>
  <c r="AF2183" i="1"/>
  <c r="AE2183" i="1"/>
  <c r="AD2183" i="1"/>
  <c r="AC2183" i="1"/>
  <c r="AJ2183" i="1"/>
  <c r="AL2183" i="1"/>
  <c r="AI2182" i="1"/>
  <c r="AH2182" i="1"/>
  <c r="AG2182" i="1"/>
  <c r="AL2182" i="1"/>
  <c r="AJ2182" i="1"/>
  <c r="AF2182" i="1"/>
  <c r="AE2182" i="1"/>
  <c r="AD2182" i="1"/>
  <c r="AC2182" i="1"/>
  <c r="AI2181" i="1"/>
  <c r="AH2181" i="1"/>
  <c r="AG2181" i="1"/>
  <c r="AL2181" i="1"/>
  <c r="AJ2181" i="1"/>
  <c r="AE2181" i="1"/>
  <c r="AD2181" i="1"/>
  <c r="AC2181" i="1"/>
  <c r="AF2181" i="1"/>
  <c r="AG2180" i="1"/>
  <c r="AI2180" i="1"/>
  <c r="AH2180" i="1"/>
  <c r="AC2180" i="1"/>
  <c r="AD2180" i="1"/>
  <c r="AE2180" i="1"/>
  <c r="AF2180" i="1"/>
  <c r="AL2180" i="1"/>
  <c r="AJ2180" i="1"/>
  <c r="AG2179" i="1"/>
  <c r="AH2179" i="1"/>
  <c r="AI2179" i="1"/>
  <c r="AE2179" i="1"/>
  <c r="AD2179" i="1"/>
  <c r="AC2179" i="1"/>
  <c r="AJ2179" i="1"/>
  <c r="AL2179" i="1"/>
  <c r="AF2179" i="1"/>
  <c r="AI2178" i="1"/>
  <c r="AH2178" i="1"/>
  <c r="AG2178" i="1"/>
  <c r="AL2178" i="1"/>
  <c r="AJ2178" i="1"/>
  <c r="AM2178" i="1" s="1"/>
  <c r="AE2178" i="1"/>
  <c r="AF2178" i="1"/>
  <c r="AD2178" i="1"/>
  <c r="AC2178" i="1"/>
  <c r="AH2177" i="1"/>
  <c r="AG2177" i="1"/>
  <c r="AI2177" i="1"/>
  <c r="AF2177" i="1"/>
  <c r="AL2177" i="1"/>
  <c r="AJ2177" i="1"/>
  <c r="AD2177" i="1"/>
  <c r="AC2177" i="1"/>
  <c r="AE2177" i="1"/>
  <c r="AI2176" i="1"/>
  <c r="AH2176" i="1"/>
  <c r="AG2176" i="1"/>
  <c r="AE2176" i="1"/>
  <c r="AC2176" i="1"/>
  <c r="AD2176" i="1"/>
  <c r="AF2176" i="1"/>
  <c r="AJ2176" i="1"/>
  <c r="AL2176" i="1"/>
  <c r="AG2175" i="1"/>
  <c r="AH2175" i="1"/>
  <c r="AI2175" i="1"/>
  <c r="AL2175" i="1"/>
  <c r="AF2175" i="1"/>
  <c r="AE2175" i="1"/>
  <c r="AD2175" i="1"/>
  <c r="AC2175" i="1"/>
  <c r="AJ2175" i="1"/>
  <c r="AM2175" i="1" s="1"/>
  <c r="AI2174" i="1"/>
  <c r="AH2174" i="1"/>
  <c r="AG2174" i="1"/>
  <c r="AL2174" i="1"/>
  <c r="AJ2174" i="1"/>
  <c r="AC2174" i="1"/>
  <c r="AD2174" i="1"/>
  <c r="AE2174" i="1"/>
  <c r="AF2174" i="1"/>
  <c r="AH2173" i="1"/>
  <c r="AG2173" i="1"/>
  <c r="AI2173" i="1"/>
  <c r="AC2173" i="1"/>
  <c r="AD2173" i="1"/>
  <c r="AE2173" i="1"/>
  <c r="AF2173" i="1"/>
  <c r="AJ2173" i="1"/>
  <c r="AL2173" i="1"/>
  <c r="AG2172" i="1"/>
  <c r="AH2172" i="1"/>
  <c r="AI2172" i="1"/>
  <c r="AL2172" i="1"/>
  <c r="AJ2172" i="1"/>
  <c r="AM2172" i="1" s="1"/>
  <c r="AF2172" i="1"/>
  <c r="AE2172" i="1"/>
  <c r="AC2172" i="1"/>
  <c r="AD2172" i="1"/>
  <c r="AI2171" i="1"/>
  <c r="AH2171" i="1"/>
  <c r="AG2171" i="1"/>
  <c r="AL2171" i="1"/>
  <c r="AJ2171" i="1"/>
  <c r="AF2171" i="1"/>
  <c r="AE2171" i="1"/>
  <c r="AD2171" i="1"/>
  <c r="AC2171" i="1"/>
  <c r="AG2170" i="1"/>
  <c r="AH2170" i="1"/>
  <c r="AI2170" i="1"/>
  <c r="AF2170" i="1"/>
  <c r="AE2170" i="1"/>
  <c r="AD2170" i="1"/>
  <c r="AC2170" i="1"/>
  <c r="AJ2170" i="1"/>
  <c r="AL2170" i="1"/>
  <c r="AI2169" i="1"/>
  <c r="AH2169" i="1"/>
  <c r="AG2169" i="1"/>
  <c r="AL2169" i="1"/>
  <c r="AJ2169" i="1"/>
  <c r="AF2169" i="1"/>
  <c r="AE2169" i="1"/>
  <c r="AD2169" i="1"/>
  <c r="AC2169" i="1"/>
  <c r="AH2168" i="1"/>
  <c r="AG2168" i="1"/>
  <c r="AI2168" i="1"/>
  <c r="AJ2168" i="1"/>
  <c r="AL2168" i="1"/>
  <c r="AF2168" i="1"/>
  <c r="AE2168" i="1"/>
  <c r="AD2168" i="1"/>
  <c r="AC2168" i="1"/>
  <c r="AI2167" i="1"/>
  <c r="AG2167" i="1"/>
  <c r="AH2167" i="1"/>
  <c r="AL2167" i="1"/>
  <c r="AJ2167" i="1"/>
  <c r="AE2167" i="1"/>
  <c r="AD2167" i="1"/>
  <c r="AC2167" i="1"/>
  <c r="AF2167" i="1"/>
  <c r="AI2166" i="1"/>
  <c r="AH2166" i="1"/>
  <c r="AG2166" i="1"/>
  <c r="AC2166" i="1"/>
  <c r="AD2166" i="1"/>
  <c r="AE2166" i="1"/>
  <c r="AF2166" i="1"/>
  <c r="AJ2166" i="1"/>
  <c r="AL2166" i="1"/>
  <c r="AG2165" i="1"/>
  <c r="AH2165" i="1"/>
  <c r="AI2165" i="1"/>
  <c r="AF2165" i="1"/>
  <c r="AE2165" i="1"/>
  <c r="AJ2165" i="1"/>
  <c r="AL2165" i="1"/>
  <c r="AD2165" i="1"/>
  <c r="AC2165" i="1"/>
  <c r="AH2164" i="1"/>
  <c r="AG2164" i="1"/>
  <c r="AI2164" i="1"/>
  <c r="AD2164" i="1"/>
  <c r="AE2164" i="1"/>
  <c r="AF2164" i="1"/>
  <c r="AC2164" i="1"/>
  <c r="AJ2164" i="1"/>
  <c r="AL2164" i="1"/>
  <c r="AI2163" i="1"/>
  <c r="AH2163" i="1"/>
  <c r="AG2163" i="1"/>
  <c r="AL2163" i="1"/>
  <c r="AF2163" i="1"/>
  <c r="AE2163" i="1"/>
  <c r="AD2163" i="1"/>
  <c r="AC2163" i="1"/>
  <c r="AJ2163" i="1"/>
  <c r="AM2163" i="1" s="1"/>
  <c r="AG2162" i="1"/>
  <c r="AH2162" i="1"/>
  <c r="AI2162" i="1"/>
  <c r="AD2162" i="1"/>
  <c r="AC2162" i="1"/>
  <c r="AE2162" i="1"/>
  <c r="AF2162" i="1"/>
  <c r="AJ2162" i="1"/>
  <c r="AL2162" i="1"/>
  <c r="AG2161" i="1"/>
  <c r="AI2161" i="1"/>
  <c r="AH2161" i="1"/>
  <c r="AD2161" i="1"/>
  <c r="AL2161" i="1"/>
  <c r="AJ2161" i="1"/>
  <c r="AM2161" i="1" s="1"/>
  <c r="AF2161" i="1"/>
  <c r="AE2161" i="1"/>
  <c r="AC2161" i="1"/>
  <c r="AI2160" i="1"/>
  <c r="AH2160" i="1"/>
  <c r="AG2160" i="1"/>
  <c r="AE2160" i="1"/>
  <c r="AD2160" i="1"/>
  <c r="AC2160" i="1"/>
  <c r="AL2160" i="1"/>
  <c r="AJ2160" i="1"/>
  <c r="AM2160" i="1" s="1"/>
  <c r="AF2160" i="1"/>
  <c r="AG2159" i="1"/>
  <c r="AH2159" i="1"/>
  <c r="AI2159" i="1"/>
  <c r="AE2159" i="1"/>
  <c r="AD2159" i="1"/>
  <c r="AC2159" i="1"/>
  <c r="AL2159" i="1"/>
  <c r="AJ2159" i="1"/>
  <c r="AF2159" i="1"/>
  <c r="AG2158" i="1"/>
  <c r="AH2158" i="1"/>
  <c r="AI2158" i="1"/>
  <c r="AE2158" i="1"/>
  <c r="AF2158" i="1"/>
  <c r="AJ2158" i="1"/>
  <c r="AL2158" i="1"/>
  <c r="AD2158" i="1"/>
  <c r="AC2158" i="1"/>
  <c r="AI2157" i="1"/>
  <c r="AH2157" i="1"/>
  <c r="AG2157" i="1"/>
  <c r="AL2157" i="1"/>
  <c r="AJ2157" i="1"/>
  <c r="AF2157" i="1"/>
  <c r="AE2157" i="1"/>
  <c r="AD2157" i="1"/>
  <c r="AC2157" i="1"/>
  <c r="AI2156" i="1"/>
  <c r="AH2156" i="1"/>
  <c r="AG2156" i="1"/>
  <c r="AE2156" i="1"/>
  <c r="AL2156" i="1"/>
  <c r="AJ2156" i="1"/>
  <c r="AF2156" i="1"/>
  <c r="AD2156" i="1"/>
  <c r="AC2156" i="1"/>
  <c r="AG2155" i="1"/>
  <c r="AI2155" i="1"/>
  <c r="AH2155" i="1"/>
  <c r="AD2155" i="1"/>
  <c r="AE2155" i="1"/>
  <c r="AF2155" i="1"/>
  <c r="AL2155" i="1"/>
  <c r="AJ2155" i="1"/>
  <c r="AM2155" i="1" s="1"/>
  <c r="AC2155" i="1"/>
  <c r="AG2154" i="1"/>
  <c r="AH2154" i="1"/>
  <c r="AI2154" i="1"/>
  <c r="AJ2154" i="1"/>
  <c r="AF2154" i="1"/>
  <c r="AE2154" i="1"/>
  <c r="AD2154" i="1"/>
  <c r="AC2154" i="1"/>
  <c r="AL2154" i="1"/>
  <c r="AI2153" i="1"/>
  <c r="AH2153" i="1"/>
  <c r="AG2153" i="1"/>
  <c r="AL2153" i="1"/>
  <c r="AJ2153" i="1"/>
  <c r="AF2153" i="1"/>
  <c r="AE2153" i="1"/>
  <c r="AD2153" i="1"/>
  <c r="AC2153" i="1"/>
  <c r="AI2152" i="1"/>
  <c r="AG2152" i="1"/>
  <c r="AH2152" i="1"/>
  <c r="AC2152" i="1"/>
  <c r="AD2152" i="1"/>
  <c r="AE2152" i="1"/>
  <c r="AF2152" i="1"/>
  <c r="AL2152" i="1"/>
  <c r="AJ2152" i="1"/>
  <c r="AI2151" i="1"/>
  <c r="AH2151" i="1"/>
  <c r="AG2151" i="1"/>
  <c r="AL2151" i="1"/>
  <c r="AJ2151" i="1"/>
  <c r="AF2151" i="1"/>
  <c r="AE2151" i="1"/>
  <c r="AD2151" i="1"/>
  <c r="AC2151" i="1"/>
  <c r="AG2150" i="1"/>
  <c r="AI2150" i="1"/>
  <c r="AH2150" i="1"/>
  <c r="AD2150" i="1"/>
  <c r="AF2150" i="1"/>
  <c r="AL2150" i="1"/>
  <c r="AE2150" i="1"/>
  <c r="AJ2150" i="1"/>
  <c r="AM2150" i="1" s="1"/>
  <c r="AC2150" i="1"/>
  <c r="AG2149" i="1"/>
  <c r="AH2149" i="1"/>
  <c r="AI2149" i="1"/>
  <c r="AL2149" i="1"/>
  <c r="AC2149" i="1"/>
  <c r="AD2149" i="1"/>
  <c r="AE2149" i="1"/>
  <c r="AF2149" i="1"/>
  <c r="AJ2149" i="1"/>
  <c r="AM2149" i="1" s="1"/>
  <c r="AI2148" i="1"/>
  <c r="AH2148" i="1"/>
  <c r="AG2148" i="1"/>
  <c r="AE2148" i="1"/>
  <c r="AL2148" i="1"/>
  <c r="AJ2148" i="1"/>
  <c r="AF2148" i="1"/>
  <c r="AC2148" i="1"/>
  <c r="AD2148" i="1"/>
  <c r="AI2147" i="1"/>
  <c r="AH2147" i="1"/>
  <c r="AG2147" i="1"/>
  <c r="AF2147" i="1"/>
  <c r="AE2147" i="1"/>
  <c r="AJ2147" i="1"/>
  <c r="AD2147" i="1"/>
  <c r="AC2147" i="1"/>
  <c r="AL2147" i="1"/>
  <c r="AG2146" i="1"/>
  <c r="AH2146" i="1"/>
  <c r="AI2146" i="1"/>
  <c r="AC2146" i="1"/>
  <c r="AD2146" i="1"/>
  <c r="AE2146" i="1"/>
  <c r="AF2146" i="1"/>
  <c r="AJ2146" i="1"/>
  <c r="AL2146" i="1"/>
  <c r="AG2145" i="1"/>
  <c r="AH2145" i="1"/>
  <c r="AI2145" i="1"/>
  <c r="AF2145" i="1"/>
  <c r="AC2145" i="1"/>
  <c r="AD2145" i="1"/>
  <c r="AE2145" i="1"/>
  <c r="AJ2145" i="1"/>
  <c r="AL2145" i="1"/>
  <c r="AH2144" i="1"/>
  <c r="AI2144" i="1"/>
  <c r="AG2144" i="1"/>
  <c r="AD2144" i="1"/>
  <c r="AE2144" i="1"/>
  <c r="AC2144" i="1"/>
  <c r="AJ2144" i="1"/>
  <c r="AL2144" i="1"/>
  <c r="AF2144" i="1"/>
  <c r="AG2143" i="1"/>
  <c r="AH2143" i="1"/>
  <c r="AI2143" i="1"/>
  <c r="AL2143" i="1"/>
  <c r="AF2143" i="1"/>
  <c r="AE2143" i="1"/>
  <c r="AD2143" i="1"/>
  <c r="AC2143" i="1"/>
  <c r="AJ2143" i="1"/>
  <c r="AM2143" i="1" s="1"/>
  <c r="AI2142" i="1"/>
  <c r="AH2142" i="1"/>
  <c r="AG2142" i="1"/>
  <c r="AL2142" i="1"/>
  <c r="AJ2142" i="1"/>
  <c r="AF2142" i="1"/>
  <c r="AE2142" i="1"/>
  <c r="AD2142" i="1"/>
  <c r="AC2142" i="1"/>
  <c r="AI2141" i="1"/>
  <c r="AH2141" i="1"/>
  <c r="AG2141" i="1"/>
  <c r="AL2141" i="1"/>
  <c r="AJ2141" i="1"/>
  <c r="AF2141" i="1"/>
  <c r="AE2141" i="1"/>
  <c r="AD2141" i="1"/>
  <c r="AC2141" i="1"/>
  <c r="AH2140" i="1"/>
  <c r="AG2140" i="1"/>
  <c r="AI2140" i="1"/>
  <c r="AL2140" i="1"/>
  <c r="AJ2140" i="1"/>
  <c r="AF2140" i="1"/>
  <c r="AE2140" i="1"/>
  <c r="AD2140" i="1"/>
  <c r="AC2140" i="1"/>
  <c r="AI2139" i="1"/>
  <c r="AH2139" i="1"/>
  <c r="AG2139" i="1"/>
  <c r="AL2139" i="1"/>
  <c r="AJ2139" i="1"/>
  <c r="AF2139" i="1"/>
  <c r="AE2139" i="1"/>
  <c r="AD2139" i="1"/>
  <c r="AC2139" i="1"/>
  <c r="AI2138" i="1"/>
  <c r="AH2138" i="1"/>
  <c r="AG2138" i="1"/>
  <c r="AL2138" i="1"/>
  <c r="AJ2138" i="1"/>
  <c r="AM2138" i="1" s="1"/>
  <c r="AF2138" i="1"/>
  <c r="AE2138" i="1"/>
  <c r="AD2138" i="1"/>
  <c r="AC2138" i="1"/>
  <c r="AI2137" i="1"/>
  <c r="AH2137" i="1"/>
  <c r="AG2137" i="1"/>
  <c r="AJ2137" i="1"/>
  <c r="AL2137" i="1"/>
  <c r="AF2137" i="1"/>
  <c r="AE2137" i="1"/>
  <c r="AD2137" i="1"/>
  <c r="AC2137" i="1"/>
  <c r="AI2136" i="1"/>
  <c r="AH2136" i="1"/>
  <c r="AG2136" i="1"/>
  <c r="AL2136" i="1"/>
  <c r="AJ2136" i="1"/>
  <c r="AF2136" i="1"/>
  <c r="AE2136" i="1"/>
  <c r="AD2136" i="1"/>
  <c r="AC2136" i="1"/>
  <c r="AH2135" i="1"/>
  <c r="AG2135" i="1"/>
  <c r="AI2135" i="1"/>
  <c r="AE2135" i="1"/>
  <c r="AF2135" i="1"/>
  <c r="AD2135" i="1"/>
  <c r="AL2135" i="1"/>
  <c r="AJ2135" i="1"/>
  <c r="AC2135" i="1"/>
  <c r="AI2134" i="1"/>
  <c r="AH2134" i="1"/>
  <c r="AG2134" i="1"/>
  <c r="AL2134" i="1"/>
  <c r="AJ2134" i="1"/>
  <c r="AF2134" i="1"/>
  <c r="AE2134" i="1"/>
  <c r="AD2134" i="1"/>
  <c r="AC2134" i="1"/>
  <c r="AG2133" i="1"/>
  <c r="AH2133" i="1"/>
  <c r="AI2133" i="1"/>
  <c r="AE2133" i="1"/>
  <c r="AC2133" i="1"/>
  <c r="AL2133" i="1"/>
  <c r="AJ2133" i="1"/>
  <c r="AD2133" i="1"/>
  <c r="AF2133" i="1"/>
  <c r="AH2132" i="1"/>
  <c r="AG2132" i="1"/>
  <c r="AI2132" i="1"/>
  <c r="AF2132" i="1"/>
  <c r="AD2132" i="1"/>
  <c r="AC2132" i="1"/>
  <c r="AJ2132" i="1"/>
  <c r="AL2132" i="1"/>
  <c r="AE2132" i="1"/>
  <c r="AG2131" i="1"/>
  <c r="AH2131" i="1"/>
  <c r="AI2131" i="1"/>
  <c r="AF2131" i="1"/>
  <c r="AE2131" i="1"/>
  <c r="AD2131" i="1"/>
  <c r="AC2131" i="1"/>
  <c r="AJ2131" i="1"/>
  <c r="AL2131" i="1"/>
  <c r="AH2130" i="1"/>
  <c r="AG2130" i="1"/>
  <c r="AI2130" i="1"/>
  <c r="AD2130" i="1"/>
  <c r="AC2130" i="1"/>
  <c r="AL2130" i="1"/>
  <c r="AF2130" i="1"/>
  <c r="AJ2130" i="1"/>
  <c r="AM2130" i="1" s="1"/>
  <c r="AE2130" i="1"/>
  <c r="AH2129" i="1"/>
  <c r="AG2129" i="1"/>
  <c r="AI2129" i="1"/>
  <c r="AL2129" i="1"/>
  <c r="AJ2129" i="1"/>
  <c r="AF2129" i="1"/>
  <c r="AE2129" i="1"/>
  <c r="AC2129" i="1"/>
  <c r="AD2129" i="1"/>
  <c r="AG2128" i="1"/>
  <c r="AH2128" i="1"/>
  <c r="AI2128" i="1"/>
  <c r="AF2128" i="1"/>
  <c r="AJ2128" i="1"/>
  <c r="AE2128" i="1"/>
  <c r="AD2128" i="1"/>
  <c r="AL2128" i="1"/>
  <c r="AC2128" i="1"/>
  <c r="AI2127" i="1"/>
  <c r="AH2127" i="1"/>
  <c r="AG2127" i="1"/>
  <c r="AL2127" i="1"/>
  <c r="AJ2127" i="1"/>
  <c r="AF2127" i="1"/>
  <c r="AE2127" i="1"/>
  <c r="AD2127" i="1"/>
  <c r="AC2127" i="1"/>
  <c r="AI2126" i="1"/>
  <c r="AG2126" i="1"/>
  <c r="AH2126" i="1"/>
  <c r="AC2126" i="1"/>
  <c r="AD2126" i="1"/>
  <c r="AE2126" i="1"/>
  <c r="AF2126" i="1"/>
  <c r="AJ2126" i="1"/>
  <c r="AL2126" i="1"/>
  <c r="AI2125" i="1"/>
  <c r="AH2125" i="1"/>
  <c r="AG2125" i="1"/>
  <c r="AL2125" i="1"/>
  <c r="AJ2125" i="1"/>
  <c r="AM2125" i="1" s="1"/>
  <c r="AF2125" i="1"/>
  <c r="AD2125" i="1"/>
  <c r="AE2125" i="1"/>
  <c r="AC2125" i="1"/>
  <c r="AI2124" i="1"/>
  <c r="AH2124" i="1"/>
  <c r="AG2124" i="1"/>
  <c r="AF2124" i="1"/>
  <c r="AL2124" i="1"/>
  <c r="AJ2124" i="1"/>
  <c r="AD2124" i="1"/>
  <c r="AE2124" i="1"/>
  <c r="AC2124" i="1"/>
  <c r="AI2123" i="1"/>
  <c r="AH2123" i="1"/>
  <c r="AG2123" i="1"/>
  <c r="AJ2123" i="1"/>
  <c r="AF2123" i="1"/>
  <c r="AE2123" i="1"/>
  <c r="AD2123" i="1"/>
  <c r="AC2123" i="1"/>
  <c r="AL2123" i="1"/>
  <c r="AI2122" i="1"/>
  <c r="AH2122" i="1"/>
  <c r="AG2122" i="1"/>
  <c r="AL2122" i="1"/>
  <c r="AJ2122" i="1"/>
  <c r="AE2122" i="1"/>
  <c r="AF2122" i="1"/>
  <c r="AC2122" i="1"/>
  <c r="AD2122" i="1"/>
  <c r="AH2121" i="1"/>
  <c r="AI2121" i="1"/>
  <c r="AG2121" i="1"/>
  <c r="AL2121" i="1"/>
  <c r="AF2121" i="1"/>
  <c r="AE2121" i="1"/>
  <c r="AD2121" i="1"/>
  <c r="AC2121" i="1"/>
  <c r="AJ2121" i="1"/>
  <c r="AM2121" i="1" s="1"/>
  <c r="AI2120" i="1"/>
  <c r="AH2120" i="1"/>
  <c r="AG2120" i="1"/>
  <c r="AL2120" i="1"/>
  <c r="AF2120" i="1"/>
  <c r="AE2120" i="1"/>
  <c r="AD2120" i="1"/>
  <c r="AC2120" i="1"/>
  <c r="AJ2120" i="1"/>
  <c r="AM2120" i="1" s="1"/>
  <c r="AH2119" i="1"/>
  <c r="AG2119" i="1"/>
  <c r="AI2119" i="1"/>
  <c r="AC2119" i="1"/>
  <c r="AJ2119" i="1"/>
  <c r="AL2119" i="1"/>
  <c r="AF2119" i="1"/>
  <c r="AD2119" i="1"/>
  <c r="AE2119" i="1"/>
  <c r="AI2118" i="1"/>
  <c r="AH2118" i="1"/>
  <c r="AG2118" i="1"/>
  <c r="AL2118" i="1"/>
  <c r="AJ2118" i="1"/>
  <c r="AE2118" i="1"/>
  <c r="AD2118" i="1"/>
  <c r="AC2118" i="1"/>
  <c r="AF2118" i="1"/>
  <c r="AG2117" i="1"/>
  <c r="AH2117" i="1"/>
  <c r="AI2117" i="1"/>
  <c r="AD2117" i="1"/>
  <c r="AE2117" i="1"/>
  <c r="AJ2117" i="1"/>
  <c r="AL2117" i="1"/>
  <c r="AC2117" i="1"/>
  <c r="AF2117" i="1"/>
  <c r="AI2116" i="1"/>
  <c r="AH2116" i="1"/>
  <c r="AG2116" i="1"/>
  <c r="AE2116" i="1"/>
  <c r="AJ2116" i="1"/>
  <c r="AL2116" i="1"/>
  <c r="AF2116" i="1"/>
  <c r="AC2116" i="1"/>
  <c r="AD2116" i="1"/>
  <c r="AG2115" i="1"/>
  <c r="AH2115" i="1"/>
  <c r="AI2115" i="1"/>
  <c r="AE2115" i="1"/>
  <c r="AD2115" i="1"/>
  <c r="AC2115" i="1"/>
  <c r="AJ2115" i="1"/>
  <c r="AL2115" i="1"/>
  <c r="AF2115" i="1"/>
  <c r="AG2114" i="1"/>
  <c r="AH2114" i="1"/>
  <c r="AI2114" i="1"/>
  <c r="AL2114" i="1"/>
  <c r="AC2114" i="1"/>
  <c r="AJ2114" i="1"/>
  <c r="AM2114" i="1" s="1"/>
  <c r="AD2114" i="1"/>
  <c r="AE2114" i="1"/>
  <c r="AF2114" i="1"/>
  <c r="AG2113" i="1"/>
  <c r="AH2113" i="1"/>
  <c r="AI2113" i="1"/>
  <c r="AJ2113" i="1"/>
  <c r="AC2113" i="1"/>
  <c r="AD2113" i="1"/>
  <c r="AE2113" i="1"/>
  <c r="AF2113" i="1"/>
  <c r="AL2113" i="1"/>
  <c r="AH2112" i="1"/>
  <c r="AG2112" i="1"/>
  <c r="AI2112" i="1"/>
  <c r="AL2112" i="1"/>
  <c r="AJ2112" i="1"/>
  <c r="AF2112" i="1"/>
  <c r="AE2112" i="1"/>
  <c r="AD2112" i="1"/>
  <c r="AC2112" i="1"/>
  <c r="AI2111" i="1"/>
  <c r="AH2111" i="1"/>
  <c r="AG2111" i="1"/>
  <c r="AL2111" i="1"/>
  <c r="AJ2111" i="1"/>
  <c r="AD2111" i="1"/>
  <c r="AC2111" i="1"/>
  <c r="AF2111" i="1"/>
  <c r="AE2111" i="1"/>
  <c r="AI2110" i="1"/>
  <c r="AH2110" i="1"/>
  <c r="AG2110" i="1"/>
  <c r="AF2110" i="1"/>
  <c r="AC2110" i="1"/>
  <c r="AE2110" i="1"/>
  <c r="AD2110" i="1"/>
  <c r="AJ2110" i="1"/>
  <c r="AL2110" i="1"/>
  <c r="AI2109" i="1"/>
  <c r="AH2109" i="1"/>
  <c r="AG2109" i="1"/>
  <c r="AL2109" i="1"/>
  <c r="AJ2109" i="1"/>
  <c r="AF2109" i="1"/>
  <c r="AC2109" i="1"/>
  <c r="AD2109" i="1"/>
  <c r="AE2109" i="1"/>
  <c r="AH2108" i="1"/>
  <c r="AG2108" i="1"/>
  <c r="AI2108" i="1"/>
  <c r="AF2108" i="1"/>
  <c r="AE2108" i="1"/>
  <c r="AD2108" i="1"/>
  <c r="AC2108" i="1"/>
  <c r="AL2108" i="1"/>
  <c r="AJ2108" i="1"/>
  <c r="AH2107" i="1"/>
  <c r="AI2107" i="1"/>
  <c r="AG2107" i="1"/>
  <c r="AJ2107" i="1"/>
  <c r="AF2107" i="1"/>
  <c r="AL2107" i="1"/>
  <c r="AD2107" i="1"/>
  <c r="AC2107" i="1"/>
  <c r="AE2107" i="1"/>
  <c r="AH2106" i="1"/>
  <c r="AG2106" i="1"/>
  <c r="AI2106" i="1"/>
  <c r="AD2106" i="1"/>
  <c r="AF2106" i="1"/>
  <c r="AJ2106" i="1"/>
  <c r="AL2106" i="1"/>
  <c r="AE2106" i="1"/>
  <c r="AC2106" i="1"/>
  <c r="AI2105" i="1"/>
  <c r="AH2105" i="1"/>
  <c r="AG2105" i="1"/>
  <c r="AF2105" i="1"/>
  <c r="AD2105" i="1"/>
  <c r="AC2105" i="1"/>
  <c r="AE2105" i="1"/>
  <c r="AL2105" i="1"/>
  <c r="AJ2105" i="1"/>
  <c r="AM2105" i="1" s="1"/>
  <c r="AI2104" i="1"/>
  <c r="AG2104" i="1"/>
  <c r="AH2104" i="1"/>
  <c r="AE2104" i="1"/>
  <c r="AC2104" i="1"/>
  <c r="AD2104" i="1"/>
  <c r="AF2104" i="1"/>
  <c r="AJ2104" i="1"/>
  <c r="AL2104" i="1"/>
  <c r="AG2103" i="1"/>
  <c r="AH2103" i="1"/>
  <c r="AI2103" i="1"/>
  <c r="AC2103" i="1"/>
  <c r="AD2103" i="1"/>
  <c r="AE2103" i="1"/>
  <c r="AF2103" i="1"/>
  <c r="AJ2103" i="1"/>
  <c r="AL2103" i="1"/>
  <c r="AG2102" i="1"/>
  <c r="AH2102" i="1"/>
  <c r="AI2102" i="1"/>
  <c r="AE2102" i="1"/>
  <c r="AL2102" i="1"/>
  <c r="AJ2102" i="1"/>
  <c r="AC2102" i="1"/>
  <c r="AD2102" i="1"/>
  <c r="AF2102" i="1"/>
  <c r="AG2101" i="1"/>
  <c r="AI2101" i="1"/>
  <c r="AH2101" i="1"/>
  <c r="AF2101" i="1"/>
  <c r="AJ2101" i="1"/>
  <c r="AD2101" i="1"/>
  <c r="AC2101" i="1"/>
  <c r="AL2101" i="1"/>
  <c r="AE2101" i="1"/>
  <c r="AI2100" i="1"/>
  <c r="AH2100" i="1"/>
  <c r="AG2100" i="1"/>
  <c r="AJ2100" i="1"/>
  <c r="AC2100" i="1"/>
  <c r="AL2100" i="1"/>
  <c r="AD2100" i="1"/>
  <c r="AE2100" i="1"/>
  <c r="AF2100" i="1"/>
  <c r="AG2099" i="1"/>
  <c r="AI2099" i="1"/>
  <c r="AH2099" i="1"/>
  <c r="AF2099" i="1"/>
  <c r="AE2099" i="1"/>
  <c r="AC2099" i="1"/>
  <c r="AD2099" i="1"/>
  <c r="AJ2099" i="1"/>
  <c r="AL2099" i="1"/>
  <c r="AI2098" i="1"/>
  <c r="AH2098" i="1"/>
  <c r="AG2098" i="1"/>
  <c r="AF2098" i="1"/>
  <c r="AE2098" i="1"/>
  <c r="AD2098" i="1"/>
  <c r="AC2098" i="1"/>
  <c r="AJ2098" i="1"/>
  <c r="AL2098" i="1"/>
  <c r="AG2097" i="1"/>
  <c r="AH2097" i="1"/>
  <c r="AI2097" i="1"/>
  <c r="AC2097" i="1"/>
  <c r="AD2097" i="1"/>
  <c r="AE2097" i="1"/>
  <c r="AF2097" i="1"/>
  <c r="AJ2097" i="1"/>
  <c r="AL2097" i="1"/>
  <c r="AI2096" i="1"/>
  <c r="AH2096" i="1"/>
  <c r="AG2096" i="1"/>
  <c r="AJ2096" i="1"/>
  <c r="AF2096" i="1"/>
  <c r="AE2096" i="1"/>
  <c r="AD2096" i="1"/>
  <c r="AC2096" i="1"/>
  <c r="AL2096" i="1"/>
  <c r="AH2095" i="1"/>
  <c r="AG2095" i="1"/>
  <c r="AI2095" i="1"/>
  <c r="AC2095" i="1"/>
  <c r="AD2095" i="1"/>
  <c r="AE2095" i="1"/>
  <c r="AF2095" i="1"/>
  <c r="AJ2095" i="1"/>
  <c r="AL2095" i="1"/>
  <c r="AG2094" i="1"/>
  <c r="AI2094" i="1"/>
  <c r="AH2094" i="1"/>
  <c r="AD2094" i="1"/>
  <c r="AJ2094" i="1"/>
  <c r="AF2094" i="1"/>
  <c r="AC2094" i="1"/>
  <c r="AL2094" i="1"/>
  <c r="AE2094" i="1"/>
  <c r="AG2093" i="1"/>
  <c r="AH2093" i="1"/>
  <c r="AI2093" i="1"/>
  <c r="AC2093" i="1"/>
  <c r="AD2093" i="1"/>
  <c r="AE2093" i="1"/>
  <c r="AF2093" i="1"/>
  <c r="AJ2093" i="1"/>
  <c r="AL2093" i="1"/>
  <c r="AG2092" i="1"/>
  <c r="AH2092" i="1"/>
  <c r="AI2092" i="1"/>
  <c r="AL2092" i="1"/>
  <c r="AJ2092" i="1"/>
  <c r="AC2092" i="1"/>
  <c r="AD2092" i="1"/>
  <c r="AE2092" i="1"/>
  <c r="AF2092" i="1"/>
  <c r="AI2091" i="1"/>
  <c r="AG2091" i="1"/>
  <c r="AH2091" i="1"/>
  <c r="AL2091" i="1"/>
  <c r="AJ2091" i="1"/>
  <c r="AF2091" i="1"/>
  <c r="AE2091" i="1"/>
  <c r="AC2091" i="1"/>
  <c r="AD2091" i="1"/>
  <c r="AI2090" i="1"/>
  <c r="AH2090" i="1"/>
  <c r="AG2090" i="1"/>
  <c r="AL2090" i="1"/>
  <c r="AJ2090" i="1"/>
  <c r="AF2090" i="1"/>
  <c r="AE2090" i="1"/>
  <c r="AD2090" i="1"/>
  <c r="AC2090" i="1"/>
  <c r="AI2089" i="1"/>
  <c r="AH2089" i="1"/>
  <c r="AG2089" i="1"/>
  <c r="AL2089" i="1"/>
  <c r="AJ2089" i="1"/>
  <c r="AF2089" i="1"/>
  <c r="AE2089" i="1"/>
  <c r="AD2089" i="1"/>
  <c r="AC2089" i="1"/>
  <c r="AI2088" i="1"/>
  <c r="AH2088" i="1"/>
  <c r="AG2088" i="1"/>
  <c r="AL2088" i="1"/>
  <c r="AJ2088" i="1"/>
  <c r="AF2088" i="1"/>
  <c r="AE2088" i="1"/>
  <c r="AD2088" i="1"/>
  <c r="AC2088" i="1"/>
  <c r="AI2087" i="1"/>
  <c r="AH2087" i="1"/>
  <c r="AG2087" i="1"/>
  <c r="AJ2087" i="1"/>
  <c r="AL2087" i="1"/>
  <c r="AF2087" i="1"/>
  <c r="AE2087" i="1"/>
  <c r="AD2087" i="1"/>
  <c r="AC2087" i="1"/>
  <c r="AI2086" i="1"/>
  <c r="AH2086" i="1"/>
  <c r="AG2086" i="1"/>
  <c r="AL2086" i="1"/>
  <c r="AJ2086" i="1"/>
  <c r="AM2086" i="1" s="1"/>
  <c r="AF2086" i="1"/>
  <c r="AE2086" i="1"/>
  <c r="AD2086" i="1"/>
  <c r="AC2086" i="1"/>
  <c r="AI2085" i="1"/>
  <c r="AH2085" i="1"/>
  <c r="AG2085" i="1"/>
  <c r="AL2085" i="1"/>
  <c r="AJ2085" i="1"/>
  <c r="AF2085" i="1"/>
  <c r="AE2085" i="1"/>
  <c r="AD2085" i="1"/>
  <c r="AC2085" i="1"/>
  <c r="AI2084" i="1"/>
  <c r="AH2084" i="1"/>
  <c r="AG2084" i="1"/>
  <c r="AJ2084" i="1"/>
  <c r="AL2084" i="1"/>
  <c r="AF2084" i="1"/>
  <c r="AE2084" i="1"/>
  <c r="AD2084" i="1"/>
  <c r="AC2084" i="1"/>
  <c r="AH2083" i="1"/>
  <c r="AG2083" i="1"/>
  <c r="AI2083" i="1"/>
  <c r="AF2083" i="1"/>
  <c r="AE2083" i="1"/>
  <c r="AD2083" i="1"/>
  <c r="AC2083" i="1"/>
  <c r="AJ2083" i="1"/>
  <c r="AL2083" i="1"/>
  <c r="AI2082" i="1"/>
  <c r="AH2082" i="1"/>
  <c r="AG2082" i="1"/>
  <c r="AL2082" i="1"/>
  <c r="AJ2082" i="1"/>
  <c r="AF2082" i="1"/>
  <c r="AE2082" i="1"/>
  <c r="AD2082" i="1"/>
  <c r="AC2082" i="1"/>
  <c r="AI2081" i="1"/>
  <c r="AH2081" i="1"/>
  <c r="AG2081" i="1"/>
  <c r="AL2081" i="1"/>
  <c r="AJ2081" i="1"/>
  <c r="AF2081" i="1"/>
  <c r="AE2081" i="1"/>
  <c r="AC2081" i="1"/>
  <c r="AD2081" i="1"/>
  <c r="AI2080" i="1"/>
  <c r="AH2080" i="1"/>
  <c r="AG2080" i="1"/>
  <c r="AD2080" i="1"/>
  <c r="AC2080" i="1"/>
  <c r="AJ2080" i="1"/>
  <c r="AL2080" i="1"/>
  <c r="AF2080" i="1"/>
  <c r="AE2080" i="1"/>
  <c r="AG2079" i="1"/>
  <c r="AI2079" i="1"/>
  <c r="AH2079" i="1"/>
  <c r="AF2079" i="1"/>
  <c r="AE2079" i="1"/>
  <c r="AD2079" i="1"/>
  <c r="AC2079" i="1"/>
  <c r="AJ2079" i="1"/>
  <c r="AL2079" i="1"/>
  <c r="AH2078" i="1"/>
  <c r="AG2078" i="1"/>
  <c r="AI2078" i="1"/>
  <c r="AL2078" i="1"/>
  <c r="AD2078" i="1"/>
  <c r="AC2078" i="1"/>
  <c r="AF2078" i="1"/>
  <c r="AE2078" i="1"/>
  <c r="AJ2078" i="1"/>
  <c r="AM2078" i="1" s="1"/>
  <c r="AH2077" i="1"/>
  <c r="AI2077" i="1"/>
  <c r="AG2077" i="1"/>
  <c r="AD2077" i="1"/>
  <c r="AL2077" i="1"/>
  <c r="AJ2077" i="1"/>
  <c r="AM2077" i="1" s="1"/>
  <c r="AF2077" i="1"/>
  <c r="AE2077" i="1"/>
  <c r="AC2077" i="1"/>
  <c r="AI2076" i="1"/>
  <c r="AH2076" i="1"/>
  <c r="AG2076" i="1"/>
  <c r="AD2076" i="1"/>
  <c r="AL2076" i="1"/>
  <c r="AC2076" i="1"/>
  <c r="AJ2076" i="1"/>
  <c r="AE2076" i="1"/>
  <c r="AF2076" i="1"/>
  <c r="AI2075" i="1"/>
  <c r="AH2075" i="1"/>
  <c r="AG2075" i="1"/>
  <c r="AJ2075" i="1"/>
  <c r="AL2075" i="1"/>
  <c r="AF2075" i="1"/>
  <c r="AE2075" i="1"/>
  <c r="AD2075" i="1"/>
  <c r="AC2075" i="1"/>
  <c r="AI2074" i="1"/>
  <c r="AH2074" i="1"/>
  <c r="AG2074" i="1"/>
  <c r="AL2074" i="1"/>
  <c r="AJ2074" i="1"/>
  <c r="AF2074" i="1"/>
  <c r="AE2074" i="1"/>
  <c r="AD2074" i="1"/>
  <c r="AC2074" i="1"/>
  <c r="AI2073" i="1"/>
  <c r="AH2073" i="1"/>
  <c r="AG2073" i="1"/>
  <c r="AD2073" i="1"/>
  <c r="AC2073" i="1"/>
  <c r="AE2073" i="1"/>
  <c r="AL2073" i="1"/>
  <c r="AJ2073" i="1"/>
  <c r="AM2073" i="1" s="1"/>
  <c r="AF2073" i="1"/>
  <c r="AH2072" i="1"/>
  <c r="AG2072" i="1"/>
  <c r="AI2072" i="1"/>
  <c r="AL2072" i="1"/>
  <c r="AE2072" i="1"/>
  <c r="AF2072" i="1"/>
  <c r="AJ2072" i="1"/>
  <c r="AM2072" i="1" s="1"/>
  <c r="AD2072" i="1"/>
  <c r="AC2072" i="1"/>
  <c r="AI2071" i="1"/>
  <c r="AH2071" i="1"/>
  <c r="AG2071" i="1"/>
  <c r="AJ2071" i="1"/>
  <c r="AF2071" i="1"/>
  <c r="AE2071" i="1"/>
  <c r="AD2071" i="1"/>
  <c r="AC2071" i="1"/>
  <c r="AL2071" i="1"/>
  <c r="AG2070" i="1"/>
  <c r="AI2070" i="1"/>
  <c r="AH2070" i="1"/>
  <c r="AL2070" i="1"/>
  <c r="AJ2070" i="1"/>
  <c r="AM2070" i="1" s="1"/>
  <c r="AF2070" i="1"/>
  <c r="AE2070" i="1"/>
  <c r="AD2070" i="1"/>
  <c r="AC2070" i="1"/>
  <c r="AI2069" i="1"/>
  <c r="AG2069" i="1"/>
  <c r="AH2069" i="1"/>
  <c r="AJ2069" i="1"/>
  <c r="AL2069" i="1"/>
  <c r="AC2069" i="1"/>
  <c r="AD2069" i="1"/>
  <c r="AE2069" i="1"/>
  <c r="AF2069" i="1"/>
  <c r="AG2068" i="1"/>
  <c r="AI2068" i="1"/>
  <c r="AH2068" i="1"/>
  <c r="AF2068" i="1"/>
  <c r="AE2068" i="1"/>
  <c r="AD2068" i="1"/>
  <c r="AC2068" i="1"/>
  <c r="AL2068" i="1"/>
  <c r="AJ2068" i="1"/>
  <c r="AI2067" i="1"/>
  <c r="AH2067" i="1"/>
  <c r="AG2067" i="1"/>
  <c r="AF2067" i="1"/>
  <c r="AL2067" i="1"/>
  <c r="AJ2067" i="1"/>
  <c r="AE2067" i="1"/>
  <c r="AD2067" i="1"/>
  <c r="AC2067" i="1"/>
  <c r="AG2066" i="1"/>
  <c r="AI2066" i="1"/>
  <c r="AH2066" i="1"/>
  <c r="AE2066" i="1"/>
  <c r="AL2066" i="1"/>
  <c r="AJ2066" i="1"/>
  <c r="AC2066" i="1"/>
  <c r="AD2066" i="1"/>
  <c r="AF2066" i="1"/>
  <c r="AH2065" i="1"/>
  <c r="AI2065" i="1"/>
  <c r="AG2065" i="1"/>
  <c r="AC2065" i="1"/>
  <c r="AD2065" i="1"/>
  <c r="AE2065" i="1"/>
  <c r="AF2065" i="1"/>
  <c r="AJ2065" i="1"/>
  <c r="AL2065" i="1"/>
  <c r="AG2064" i="1"/>
  <c r="AI2064" i="1"/>
  <c r="AH2064" i="1"/>
  <c r="AC2064" i="1"/>
  <c r="AD2064" i="1"/>
  <c r="AE2064" i="1"/>
  <c r="AF2064" i="1"/>
  <c r="AL2064" i="1"/>
  <c r="AJ2064" i="1"/>
  <c r="AG2063" i="1"/>
  <c r="AH2063" i="1"/>
  <c r="AI2063" i="1"/>
  <c r="AC2063" i="1"/>
  <c r="AD2063" i="1"/>
  <c r="AF2063" i="1"/>
  <c r="AJ2063" i="1"/>
  <c r="AL2063" i="1"/>
  <c r="AE2063" i="1"/>
  <c r="AI2062" i="1"/>
  <c r="AG2062" i="1"/>
  <c r="AH2062" i="1"/>
  <c r="AF2062" i="1"/>
  <c r="AE2062" i="1"/>
  <c r="AD2062" i="1"/>
  <c r="AC2062" i="1"/>
  <c r="AJ2062" i="1"/>
  <c r="AL2062" i="1"/>
  <c r="AG2061" i="1"/>
  <c r="AH2061" i="1"/>
  <c r="AI2061" i="1"/>
  <c r="AL2061" i="1"/>
  <c r="AJ2061" i="1"/>
  <c r="AC2061" i="1"/>
  <c r="AD2061" i="1"/>
  <c r="AE2061" i="1"/>
  <c r="AF2061" i="1"/>
  <c r="AG2060" i="1"/>
  <c r="AH2060" i="1"/>
  <c r="AI2060" i="1"/>
  <c r="AF2060" i="1"/>
  <c r="AE2060" i="1"/>
  <c r="AD2060" i="1"/>
  <c r="AC2060" i="1"/>
  <c r="AL2060" i="1"/>
  <c r="AJ2060" i="1"/>
  <c r="AG2059" i="1"/>
  <c r="AH2059" i="1"/>
  <c r="AI2059" i="1"/>
  <c r="AD2059" i="1"/>
  <c r="AE2059" i="1"/>
  <c r="AF2059" i="1"/>
  <c r="AL2059" i="1"/>
  <c r="AC2059" i="1"/>
  <c r="AJ2059" i="1"/>
  <c r="AM2059" i="1" s="1"/>
  <c r="AI2058" i="1"/>
  <c r="AH2058" i="1"/>
  <c r="AG2058" i="1"/>
  <c r="AF2058" i="1"/>
  <c r="AE2058" i="1"/>
  <c r="AC2058" i="1"/>
  <c r="AL2058" i="1"/>
  <c r="AJ2058" i="1"/>
  <c r="AD2058" i="1"/>
  <c r="AG2057" i="1"/>
  <c r="AI2057" i="1"/>
  <c r="AH2057" i="1"/>
  <c r="AL2057" i="1"/>
  <c r="AJ2057" i="1"/>
  <c r="AF2057" i="1"/>
  <c r="AE2057" i="1"/>
  <c r="AD2057" i="1"/>
  <c r="AC2057" i="1"/>
  <c r="AI2056" i="1"/>
  <c r="AH2056" i="1"/>
  <c r="AG2056" i="1"/>
  <c r="AL2056" i="1"/>
  <c r="AJ2056" i="1"/>
  <c r="AF2056" i="1"/>
  <c r="AE2056" i="1"/>
  <c r="AD2056" i="1"/>
  <c r="AC2056" i="1"/>
  <c r="AI2055" i="1"/>
  <c r="AH2055" i="1"/>
  <c r="AG2055" i="1"/>
  <c r="AL2055" i="1"/>
  <c r="AJ2055" i="1"/>
  <c r="AF2055" i="1"/>
  <c r="AE2055" i="1"/>
  <c r="AD2055" i="1"/>
  <c r="AC2055" i="1"/>
  <c r="AG2054" i="1"/>
  <c r="AH2054" i="1"/>
  <c r="AI2054" i="1"/>
  <c r="AL2054" i="1"/>
  <c r="AJ2054" i="1"/>
  <c r="AF2054" i="1"/>
  <c r="AE2054" i="1"/>
  <c r="AD2054" i="1"/>
  <c r="AC2054" i="1"/>
  <c r="AG2053" i="1"/>
  <c r="AI2053" i="1"/>
  <c r="AH2053" i="1"/>
  <c r="AL2053" i="1"/>
  <c r="AJ2053" i="1"/>
  <c r="AF2053" i="1"/>
  <c r="AE2053" i="1"/>
  <c r="AD2053" i="1"/>
  <c r="AC2053" i="1"/>
  <c r="AG2052" i="1"/>
  <c r="AI2052" i="1"/>
  <c r="AH2052" i="1"/>
  <c r="AE2052" i="1"/>
  <c r="AF2052" i="1"/>
  <c r="AC2052" i="1"/>
  <c r="AD2052" i="1"/>
  <c r="AL2052" i="1"/>
  <c r="AJ2052" i="1"/>
  <c r="AI2051" i="1"/>
  <c r="AH2051" i="1"/>
  <c r="AG2051" i="1"/>
  <c r="AE2051" i="1"/>
  <c r="AF2051" i="1"/>
  <c r="AL2051" i="1"/>
  <c r="AJ2051" i="1"/>
  <c r="AC2051" i="1"/>
  <c r="AD2051" i="1"/>
  <c r="AI2050" i="1"/>
  <c r="AH2050" i="1"/>
  <c r="AG2050" i="1"/>
  <c r="AC2050" i="1"/>
  <c r="AL2050" i="1"/>
  <c r="AJ2050" i="1"/>
  <c r="AE2050" i="1"/>
  <c r="AD2050" i="1"/>
  <c r="AF2050" i="1"/>
  <c r="AH2049" i="1"/>
  <c r="AI2049" i="1"/>
  <c r="AG2049" i="1"/>
  <c r="AJ2049" i="1"/>
  <c r="AF2049" i="1"/>
  <c r="AE2049" i="1"/>
  <c r="AL2049" i="1"/>
  <c r="AC2049" i="1"/>
  <c r="AD2049" i="1"/>
  <c r="AI2048" i="1"/>
  <c r="AH2048" i="1"/>
  <c r="AG2048" i="1"/>
  <c r="AJ2048" i="1"/>
  <c r="AF2048" i="1"/>
  <c r="AE2048" i="1"/>
  <c r="AD2048" i="1"/>
  <c r="AL2048" i="1"/>
  <c r="AC2048" i="1"/>
  <c r="AH2047" i="1"/>
  <c r="AG2047" i="1"/>
  <c r="AI2047" i="1"/>
  <c r="AC2047" i="1"/>
  <c r="AE2047" i="1"/>
  <c r="AD2047" i="1"/>
  <c r="AF2047" i="1"/>
  <c r="AJ2047" i="1"/>
  <c r="AL2047" i="1"/>
  <c r="AH2046" i="1"/>
  <c r="AI2046" i="1"/>
  <c r="AG2046" i="1"/>
  <c r="AF2046" i="1"/>
  <c r="AC2046" i="1"/>
  <c r="AE2046" i="1"/>
  <c r="AD2046" i="1"/>
  <c r="AJ2046" i="1"/>
  <c r="AL2046" i="1"/>
  <c r="AG2045" i="1"/>
  <c r="AH2045" i="1"/>
  <c r="AI2045" i="1"/>
  <c r="AC2045" i="1"/>
  <c r="AL2045" i="1"/>
  <c r="AD2045" i="1"/>
  <c r="AE2045" i="1"/>
  <c r="AF2045" i="1"/>
  <c r="AJ2045" i="1"/>
  <c r="AM2045" i="1" s="1"/>
  <c r="AG2044" i="1"/>
  <c r="AH2044" i="1"/>
  <c r="AI2044" i="1"/>
  <c r="AC2044" i="1"/>
  <c r="AL2044" i="1"/>
  <c r="AD2044" i="1"/>
  <c r="AE2044" i="1"/>
  <c r="AF2044" i="1"/>
  <c r="AJ2044" i="1"/>
  <c r="AM2044" i="1" s="1"/>
  <c r="AH2043" i="1"/>
  <c r="AI2043" i="1"/>
  <c r="AG2043" i="1"/>
  <c r="AJ2043" i="1"/>
  <c r="AF2043" i="1"/>
  <c r="AE2043" i="1"/>
  <c r="AD2043" i="1"/>
  <c r="AC2043" i="1"/>
  <c r="AL2043" i="1"/>
  <c r="AI2042" i="1"/>
  <c r="AG2042" i="1"/>
  <c r="AH2042" i="1"/>
  <c r="AL2042" i="1"/>
  <c r="AJ2042" i="1"/>
  <c r="AF2042" i="1"/>
  <c r="AE2042" i="1"/>
  <c r="AD2042" i="1"/>
  <c r="AC2042" i="1"/>
  <c r="AI2041" i="1"/>
  <c r="AH2041" i="1"/>
  <c r="AG2041" i="1"/>
  <c r="AL2041" i="1"/>
  <c r="AJ2041" i="1"/>
  <c r="AF2041" i="1"/>
  <c r="AE2041" i="1"/>
  <c r="AD2041" i="1"/>
  <c r="AC2041" i="1"/>
  <c r="AI2040" i="1"/>
  <c r="AH2040" i="1"/>
  <c r="AG2040" i="1"/>
  <c r="AJ2040" i="1"/>
  <c r="AF2040" i="1"/>
  <c r="AE2040" i="1"/>
  <c r="AD2040" i="1"/>
  <c r="AC2040" i="1"/>
  <c r="AL2040" i="1"/>
  <c r="AI2039" i="1"/>
  <c r="AH2039" i="1"/>
  <c r="AG2039" i="1"/>
  <c r="AE2039" i="1"/>
  <c r="AF2039" i="1"/>
  <c r="AJ2039" i="1"/>
  <c r="AL2039" i="1"/>
  <c r="AC2039" i="1"/>
  <c r="AD2039" i="1"/>
  <c r="AI2038" i="1"/>
  <c r="AH2038" i="1"/>
  <c r="AG2038" i="1"/>
  <c r="AJ2038" i="1"/>
  <c r="AL2038" i="1"/>
  <c r="AC2038" i="1"/>
  <c r="AF2038" i="1"/>
  <c r="AE2038" i="1"/>
  <c r="AD2038" i="1"/>
  <c r="AG2037" i="1"/>
  <c r="AH2037" i="1"/>
  <c r="AI2037" i="1"/>
  <c r="AE2037" i="1"/>
  <c r="AC2037" i="1"/>
  <c r="AJ2037" i="1"/>
  <c r="AD2037" i="1"/>
  <c r="AF2037" i="1"/>
  <c r="AL2037" i="1"/>
  <c r="AI2036" i="1"/>
  <c r="AH2036" i="1"/>
  <c r="AG2036" i="1"/>
  <c r="AC2036" i="1"/>
  <c r="AD2036" i="1"/>
  <c r="AL2036" i="1"/>
  <c r="AJ2036" i="1"/>
  <c r="AF2036" i="1"/>
  <c r="AE2036" i="1"/>
  <c r="AI2035" i="1"/>
  <c r="AG2035" i="1"/>
  <c r="AH2035" i="1"/>
  <c r="AC2035" i="1"/>
  <c r="AD2035" i="1"/>
  <c r="AF2035" i="1"/>
  <c r="AJ2035" i="1"/>
  <c r="AL2035" i="1"/>
  <c r="AE2035" i="1"/>
  <c r="AG2034" i="1"/>
  <c r="AH2034" i="1"/>
  <c r="AI2034" i="1"/>
  <c r="AF2034" i="1"/>
  <c r="AC2034" i="1"/>
  <c r="AJ2034" i="1"/>
  <c r="AL2034" i="1"/>
  <c r="AD2034" i="1"/>
  <c r="AE2034" i="1"/>
  <c r="AI2033" i="1"/>
  <c r="AH2033" i="1"/>
  <c r="AG2033" i="1"/>
  <c r="AL2033" i="1"/>
  <c r="AJ2033" i="1"/>
  <c r="AF2033" i="1"/>
  <c r="AD2033" i="1"/>
  <c r="AC2033" i="1"/>
  <c r="AE2033" i="1"/>
  <c r="AI2032" i="1"/>
  <c r="AH2032" i="1"/>
  <c r="AG2032" i="1"/>
  <c r="AL2032" i="1"/>
  <c r="AJ2032" i="1"/>
  <c r="AF2032" i="1"/>
  <c r="AE2032" i="1"/>
  <c r="AD2032" i="1"/>
  <c r="AC2032" i="1"/>
  <c r="AI2031" i="1"/>
  <c r="AH2031" i="1"/>
  <c r="AG2031" i="1"/>
  <c r="AL2031" i="1"/>
  <c r="AJ2031" i="1"/>
  <c r="AF2031" i="1"/>
  <c r="AE2031" i="1"/>
  <c r="AD2031" i="1"/>
  <c r="AC2031" i="1"/>
  <c r="AI2030" i="1"/>
  <c r="AH2030" i="1"/>
  <c r="AG2030" i="1"/>
  <c r="AJ2030" i="1"/>
  <c r="AL2030" i="1"/>
  <c r="AF2030" i="1"/>
  <c r="AE2030" i="1"/>
  <c r="AD2030" i="1"/>
  <c r="AC2030" i="1"/>
  <c r="AI2029" i="1"/>
  <c r="AH2029" i="1"/>
  <c r="AG2029" i="1"/>
  <c r="AL2029" i="1"/>
  <c r="AJ2029" i="1"/>
  <c r="AF2029" i="1"/>
  <c r="AE2029" i="1"/>
  <c r="AD2029" i="1"/>
  <c r="AC2029" i="1"/>
  <c r="AH2028" i="1"/>
  <c r="AG2028" i="1"/>
  <c r="AI2028" i="1"/>
  <c r="AL2028" i="1"/>
  <c r="AJ2028" i="1"/>
  <c r="AC2028" i="1"/>
  <c r="AF2028" i="1"/>
  <c r="AE2028" i="1"/>
  <c r="AD2028" i="1"/>
  <c r="AI2027" i="1"/>
  <c r="AH2027" i="1"/>
  <c r="AG2027" i="1"/>
  <c r="AL2027" i="1"/>
  <c r="AJ2027" i="1"/>
  <c r="AF2027" i="1"/>
  <c r="AE2027" i="1"/>
  <c r="AD2027" i="1"/>
  <c r="AC2027" i="1"/>
  <c r="AI2026" i="1"/>
  <c r="AH2026" i="1"/>
  <c r="AG2026" i="1"/>
  <c r="AD2026" i="1"/>
  <c r="AL2026" i="1"/>
  <c r="AJ2026" i="1"/>
  <c r="AF2026" i="1"/>
  <c r="AE2026" i="1"/>
  <c r="AC2026" i="1"/>
  <c r="AI2025" i="1"/>
  <c r="AH2025" i="1"/>
  <c r="AG2025" i="1"/>
  <c r="AJ2025" i="1"/>
  <c r="AF2025" i="1"/>
  <c r="AE2025" i="1"/>
  <c r="AD2025" i="1"/>
  <c r="AC2025" i="1"/>
  <c r="AL2025" i="1"/>
  <c r="AI2024" i="1"/>
  <c r="AH2024" i="1"/>
  <c r="AG2024" i="1"/>
  <c r="AJ2024" i="1"/>
  <c r="AF2024" i="1"/>
  <c r="AE2024" i="1"/>
  <c r="AD2024" i="1"/>
  <c r="AC2024" i="1"/>
  <c r="AL2024" i="1"/>
  <c r="AG2023" i="1"/>
  <c r="AI2023" i="1"/>
  <c r="AH2023" i="1"/>
  <c r="AJ2023" i="1"/>
  <c r="AL2023" i="1"/>
  <c r="AC2023" i="1"/>
  <c r="AD2023" i="1"/>
  <c r="AE2023" i="1"/>
  <c r="AF2023" i="1"/>
  <c r="AH2022" i="1"/>
  <c r="AI2022" i="1"/>
  <c r="AG2022" i="1"/>
  <c r="AE2022" i="1"/>
  <c r="AD2022" i="1"/>
  <c r="AC2022" i="1"/>
  <c r="AJ2022" i="1"/>
  <c r="AL2022" i="1"/>
  <c r="AF2022" i="1"/>
  <c r="AI2021" i="1"/>
  <c r="AH2021" i="1"/>
  <c r="AG2021" i="1"/>
  <c r="AL2021" i="1"/>
  <c r="AJ2021" i="1"/>
  <c r="AF2021" i="1"/>
  <c r="AE2021" i="1"/>
  <c r="AC2021" i="1"/>
  <c r="AD2021" i="1"/>
  <c r="AI2020" i="1"/>
  <c r="AH2020" i="1"/>
  <c r="AG2020" i="1"/>
  <c r="AL2020" i="1"/>
  <c r="AJ2020" i="1"/>
  <c r="AM2020" i="1" s="1"/>
  <c r="AF2020" i="1"/>
  <c r="AE2020" i="1"/>
  <c r="AD2020" i="1"/>
  <c r="AC2020" i="1"/>
  <c r="AG2019" i="1"/>
  <c r="AI2019" i="1"/>
  <c r="AH2019" i="1"/>
  <c r="AJ2019" i="1"/>
  <c r="AC2019" i="1"/>
  <c r="AF2019" i="1"/>
  <c r="AE2019" i="1"/>
  <c r="AD2019" i="1"/>
  <c r="AL2019" i="1"/>
  <c r="AI2018" i="1"/>
  <c r="AH2018" i="1"/>
  <c r="AG2018" i="1"/>
  <c r="AE2018" i="1"/>
  <c r="AC2018" i="1"/>
  <c r="AD2018" i="1"/>
  <c r="AF2018" i="1"/>
  <c r="AJ2018" i="1"/>
  <c r="AL2018" i="1"/>
  <c r="AI2017" i="1"/>
  <c r="AH2017" i="1"/>
  <c r="AG2017" i="1"/>
  <c r="AL2017" i="1"/>
  <c r="AJ2017" i="1"/>
  <c r="AE2017" i="1"/>
  <c r="AC2017" i="1"/>
  <c r="AD2017" i="1"/>
  <c r="AF2017" i="1"/>
  <c r="AG2016" i="1"/>
  <c r="AH2016" i="1"/>
  <c r="AI2016" i="1"/>
  <c r="AL2016" i="1"/>
  <c r="AJ2016" i="1"/>
  <c r="AF2016" i="1"/>
  <c r="AE2016" i="1"/>
  <c r="AD2016" i="1"/>
  <c r="AC2016" i="1"/>
  <c r="AI2015" i="1"/>
  <c r="AH2015" i="1"/>
  <c r="AG2015" i="1"/>
  <c r="AF2015" i="1"/>
  <c r="AJ2015" i="1"/>
  <c r="AL2015" i="1"/>
  <c r="AC2015" i="1"/>
  <c r="AD2015" i="1"/>
  <c r="AE2015" i="1"/>
  <c r="AI2014" i="1"/>
  <c r="AH2014" i="1"/>
  <c r="AG2014" i="1"/>
  <c r="AF2014" i="1"/>
  <c r="AE2014" i="1"/>
  <c r="AD2014" i="1"/>
  <c r="AC2014" i="1"/>
  <c r="AJ2014" i="1"/>
  <c r="AL2014" i="1"/>
  <c r="AG2013" i="1"/>
  <c r="AI2013" i="1"/>
  <c r="AH2013" i="1"/>
  <c r="AD2013" i="1"/>
  <c r="AC2013" i="1"/>
  <c r="AE2013" i="1"/>
  <c r="AF2013" i="1"/>
  <c r="AL2013" i="1"/>
  <c r="AJ2013" i="1"/>
  <c r="AI2012" i="1"/>
  <c r="AH2012" i="1"/>
  <c r="AG2012" i="1"/>
  <c r="AJ2012" i="1"/>
  <c r="AF2012" i="1"/>
  <c r="AE2012" i="1"/>
  <c r="AD2012" i="1"/>
  <c r="AC2012" i="1"/>
  <c r="AL2012" i="1"/>
  <c r="AI2011" i="1"/>
  <c r="AH2011" i="1"/>
  <c r="AG2011" i="1"/>
  <c r="AC2011" i="1"/>
  <c r="AJ2011" i="1"/>
  <c r="AF2011" i="1"/>
  <c r="AL2011" i="1"/>
  <c r="AE2011" i="1"/>
  <c r="AD2011" i="1"/>
  <c r="AI2010" i="1"/>
  <c r="AH2010" i="1"/>
  <c r="AG2010" i="1"/>
  <c r="AJ2010" i="1"/>
  <c r="AD2010" i="1"/>
  <c r="AL2010" i="1"/>
  <c r="AF2010" i="1"/>
  <c r="AE2010" i="1"/>
  <c r="AC2010" i="1"/>
  <c r="AI2009" i="1"/>
  <c r="AH2009" i="1"/>
  <c r="AG2009" i="1"/>
  <c r="AC2009" i="1"/>
  <c r="AD2009" i="1"/>
  <c r="AE2009" i="1"/>
  <c r="AF2009" i="1"/>
  <c r="AJ2009" i="1"/>
  <c r="AL2009" i="1"/>
  <c r="AI2008" i="1"/>
  <c r="AH2008" i="1"/>
  <c r="AG2008" i="1"/>
  <c r="AL2008" i="1"/>
  <c r="AJ2008" i="1"/>
  <c r="AD2008" i="1"/>
  <c r="AF2008" i="1"/>
  <c r="AE2008" i="1"/>
  <c r="AC2008" i="1"/>
  <c r="AI2007" i="1"/>
  <c r="AG2007" i="1"/>
  <c r="AH2007" i="1"/>
  <c r="AL2007" i="1"/>
  <c r="AJ2007" i="1"/>
  <c r="AM2007" i="1" s="1"/>
  <c r="AC2007" i="1"/>
  <c r="AD2007" i="1"/>
  <c r="AE2007" i="1"/>
  <c r="AF2007" i="1"/>
  <c r="AH2006" i="1"/>
  <c r="AG2006" i="1"/>
  <c r="AI2006" i="1"/>
  <c r="AC2006" i="1"/>
  <c r="AD2006" i="1"/>
  <c r="AE2006" i="1"/>
  <c r="AF2006" i="1"/>
  <c r="AJ2006" i="1"/>
  <c r="AL2006" i="1"/>
  <c r="AG2005" i="1"/>
  <c r="AH2005" i="1"/>
  <c r="AI2005" i="1"/>
  <c r="AJ2005" i="1"/>
  <c r="AE2005" i="1"/>
  <c r="AD2005" i="1"/>
  <c r="AC2005" i="1"/>
  <c r="AF2005" i="1"/>
  <c r="AL2005" i="1"/>
  <c r="AG2004" i="1"/>
  <c r="AH2004" i="1"/>
  <c r="AI2004" i="1"/>
  <c r="AE2004" i="1"/>
  <c r="AC2004" i="1"/>
  <c r="AD2004" i="1"/>
  <c r="AF2004" i="1"/>
  <c r="AJ2004" i="1"/>
  <c r="AL2004" i="1"/>
  <c r="AH2003" i="1"/>
  <c r="AG2003" i="1"/>
  <c r="AI2003" i="1"/>
  <c r="AL2003" i="1"/>
  <c r="AJ2003" i="1"/>
  <c r="AM2003" i="1" s="1"/>
  <c r="AF2003" i="1"/>
  <c r="AE2003" i="1"/>
  <c r="AD2003" i="1"/>
  <c r="AC2003" i="1"/>
  <c r="AH2002" i="1"/>
  <c r="AG2002" i="1"/>
  <c r="AI2002" i="1"/>
  <c r="AJ2002" i="1"/>
  <c r="AF2002" i="1"/>
  <c r="AE2002" i="1"/>
  <c r="AC2002" i="1"/>
  <c r="AD2002" i="1"/>
  <c r="AL2002" i="1"/>
  <c r="AH2001" i="1"/>
  <c r="AI2001" i="1"/>
  <c r="AG2001" i="1"/>
  <c r="AC2001" i="1"/>
  <c r="AL2001" i="1"/>
  <c r="AF2001" i="1"/>
  <c r="AE2001" i="1"/>
  <c r="AD2001" i="1"/>
  <c r="AJ2001" i="1"/>
  <c r="AM2001" i="1" s="1"/>
  <c r="AI2000" i="1"/>
  <c r="AG2000" i="1"/>
  <c r="AH2000" i="1"/>
  <c r="AD2000" i="1"/>
  <c r="AE2000" i="1"/>
  <c r="AF2000" i="1"/>
  <c r="AJ2000" i="1"/>
  <c r="AL2000" i="1"/>
  <c r="AC2000" i="1"/>
  <c r="AI1999" i="1"/>
  <c r="AH1999" i="1"/>
  <c r="AG1999" i="1"/>
  <c r="AL1999" i="1"/>
  <c r="AC1999" i="1"/>
  <c r="AJ1999" i="1"/>
  <c r="AF1999" i="1"/>
  <c r="AE1999" i="1"/>
  <c r="AD1999" i="1"/>
  <c r="AG1998" i="1"/>
  <c r="AH1998" i="1"/>
  <c r="AI1998" i="1"/>
  <c r="AC1998" i="1"/>
  <c r="AD1998" i="1"/>
  <c r="AE1998" i="1"/>
  <c r="AF1998" i="1"/>
  <c r="AJ1998" i="1"/>
  <c r="AL1998" i="1"/>
  <c r="AG1997" i="1"/>
  <c r="AH1997" i="1"/>
  <c r="AI1997" i="1"/>
  <c r="AC1997" i="1"/>
  <c r="AD1997" i="1"/>
  <c r="AE1997" i="1"/>
  <c r="AF1997" i="1"/>
  <c r="AL1997" i="1"/>
  <c r="AJ1997" i="1"/>
  <c r="AI1996" i="1"/>
  <c r="AG1996" i="1"/>
  <c r="AH1996" i="1"/>
  <c r="AJ1996" i="1"/>
  <c r="AF1996" i="1"/>
  <c r="AE1996" i="1"/>
  <c r="AD1996" i="1"/>
  <c r="AC1996" i="1"/>
  <c r="AL1996" i="1"/>
  <c r="AG1995" i="1"/>
  <c r="AH1995" i="1"/>
  <c r="AI1995" i="1"/>
  <c r="AL1995" i="1"/>
  <c r="AC1995" i="1"/>
  <c r="AD1995" i="1"/>
  <c r="AE1995" i="1"/>
  <c r="AF1995" i="1"/>
  <c r="AJ1995" i="1"/>
  <c r="AM1995" i="1" s="1"/>
  <c r="AG1994" i="1"/>
  <c r="AH1994" i="1"/>
  <c r="AI1994" i="1"/>
  <c r="AF1994" i="1"/>
  <c r="AJ1994" i="1"/>
  <c r="AL1994" i="1"/>
  <c r="AC1994" i="1"/>
  <c r="AD1994" i="1"/>
  <c r="AE1994" i="1"/>
  <c r="AD1993" i="1"/>
  <c r="AE1993" i="1"/>
  <c r="AC1993" i="1"/>
  <c r="AI1992" i="1"/>
  <c r="AH1992" i="1"/>
  <c r="AG1992" i="1"/>
  <c r="AC1992" i="1"/>
  <c r="AL1992" i="1"/>
  <c r="AJ1992" i="1"/>
  <c r="AM1992" i="1" s="1"/>
  <c r="AF1992" i="1"/>
  <c r="AE1992" i="1"/>
  <c r="AD1992" i="1"/>
  <c r="AI1991" i="1"/>
  <c r="AG1991" i="1"/>
  <c r="AH1991" i="1"/>
  <c r="AJ1991" i="1"/>
  <c r="AL1991" i="1"/>
  <c r="AC1991" i="1"/>
  <c r="AD1991" i="1"/>
  <c r="AE1991" i="1"/>
  <c r="AF1991" i="1"/>
  <c r="AH1990" i="1"/>
  <c r="AI1990" i="1"/>
  <c r="AG1990" i="1"/>
  <c r="AJ1990" i="1"/>
  <c r="AL1990" i="1"/>
  <c r="AF1990" i="1"/>
  <c r="AE1990" i="1"/>
  <c r="AD1990" i="1"/>
  <c r="AC1990" i="1"/>
  <c r="AI1989" i="1"/>
  <c r="AH1989" i="1"/>
  <c r="AG1989" i="1"/>
  <c r="AJ1989" i="1"/>
  <c r="AL1989" i="1"/>
  <c r="AD1989" i="1"/>
  <c r="AC1989" i="1"/>
  <c r="AF1989" i="1"/>
  <c r="AE1989" i="1"/>
  <c r="AG1988" i="1"/>
  <c r="AH1988" i="1"/>
  <c r="AI1988" i="1"/>
  <c r="AF1988" i="1"/>
  <c r="AC1988" i="1"/>
  <c r="AD1988" i="1"/>
  <c r="AE1988" i="1"/>
  <c r="AJ1988" i="1"/>
  <c r="AL1988" i="1"/>
  <c r="AI1987" i="1"/>
  <c r="AG1987" i="1"/>
  <c r="AH1987" i="1"/>
  <c r="AL1987" i="1"/>
  <c r="AJ1987" i="1"/>
  <c r="AF1987" i="1"/>
  <c r="AE1987" i="1"/>
  <c r="AD1987" i="1"/>
  <c r="AC1987" i="1"/>
  <c r="AG1986" i="1"/>
  <c r="AI1986" i="1"/>
  <c r="AH1986" i="1"/>
  <c r="AL1986" i="1"/>
  <c r="AJ1986" i="1"/>
  <c r="AM1986" i="1" s="1"/>
  <c r="AF1986" i="1"/>
  <c r="AE1986" i="1"/>
  <c r="AD1986" i="1"/>
  <c r="AC1986" i="1"/>
  <c r="AI1985" i="1"/>
  <c r="AH1985" i="1"/>
  <c r="AG1985" i="1"/>
  <c r="AF1985" i="1"/>
  <c r="AC1985" i="1"/>
  <c r="AE1985" i="1"/>
  <c r="AD1985" i="1"/>
  <c r="AJ1985" i="1"/>
  <c r="AL1985" i="1"/>
  <c r="AI1984" i="1"/>
  <c r="AH1984" i="1"/>
  <c r="AG1984" i="1"/>
  <c r="AF1984" i="1"/>
  <c r="AE1984" i="1"/>
  <c r="AC1984" i="1"/>
  <c r="AD1984" i="1"/>
  <c r="AJ1984" i="1"/>
  <c r="AL1984" i="1"/>
  <c r="AH1983" i="1"/>
  <c r="AG1983" i="1"/>
  <c r="AI1983" i="1"/>
  <c r="AF1983" i="1"/>
  <c r="AE1983" i="1"/>
  <c r="AD1983" i="1"/>
  <c r="AC1983" i="1"/>
  <c r="AL1983" i="1"/>
  <c r="AJ1983" i="1"/>
  <c r="AM1983" i="1" s="1"/>
  <c r="AG1982" i="1"/>
  <c r="AH1982" i="1"/>
  <c r="AI1982" i="1"/>
  <c r="AD1982" i="1"/>
  <c r="AC1982" i="1"/>
  <c r="AE1982" i="1"/>
  <c r="AF1982" i="1"/>
  <c r="AJ1982" i="1"/>
  <c r="AL1982" i="1"/>
  <c r="AG1981" i="1"/>
  <c r="AH1981" i="1"/>
  <c r="AI1981" i="1"/>
  <c r="AD1981" i="1"/>
  <c r="AE1981" i="1"/>
  <c r="AF1981" i="1"/>
  <c r="AL1981" i="1"/>
  <c r="AJ1981" i="1"/>
  <c r="AM1981" i="1" s="1"/>
  <c r="AC1981" i="1"/>
  <c r="AI1980" i="1"/>
  <c r="AH1980" i="1"/>
  <c r="AG1980" i="1"/>
  <c r="AD1980" i="1"/>
  <c r="AL1980" i="1"/>
  <c r="AC1980" i="1"/>
  <c r="AJ1980" i="1"/>
  <c r="AM1980" i="1" s="1"/>
  <c r="AE1980" i="1"/>
  <c r="AF1980" i="1"/>
  <c r="AI1979" i="1"/>
  <c r="AH1979" i="1"/>
  <c r="AG1979" i="1"/>
  <c r="AL1979" i="1"/>
  <c r="AJ1979" i="1"/>
  <c r="AF1979" i="1"/>
  <c r="AE1979" i="1"/>
  <c r="AC1979" i="1"/>
  <c r="AD1979" i="1"/>
  <c r="AH1978" i="1"/>
  <c r="AG1978" i="1"/>
  <c r="AI1978" i="1"/>
  <c r="AJ1978" i="1"/>
  <c r="AF1978" i="1"/>
  <c r="AE1978" i="1"/>
  <c r="AD1978" i="1"/>
  <c r="AC1978" i="1"/>
  <c r="AL1978" i="1"/>
  <c r="AI1977" i="1"/>
  <c r="AH1977" i="1"/>
  <c r="AG1977" i="1"/>
  <c r="AJ1977" i="1"/>
  <c r="AL1977" i="1"/>
  <c r="AF1977" i="1"/>
  <c r="AE1977" i="1"/>
  <c r="AD1977" i="1"/>
  <c r="AC1977" i="1"/>
  <c r="AI1976" i="1"/>
  <c r="AH1976" i="1"/>
  <c r="AG1976" i="1"/>
  <c r="AC1976" i="1"/>
  <c r="AJ1976" i="1"/>
  <c r="AL1976" i="1"/>
  <c r="AF1976" i="1"/>
  <c r="AE1976" i="1"/>
  <c r="AD1976" i="1"/>
  <c r="AG1975" i="1"/>
  <c r="AH1975" i="1"/>
  <c r="AI1975" i="1"/>
  <c r="AJ1975" i="1"/>
  <c r="AL1975" i="1"/>
  <c r="AC1975" i="1"/>
  <c r="AE1975" i="1"/>
  <c r="AF1975" i="1"/>
  <c r="AD1975" i="1"/>
  <c r="AI1974" i="1"/>
  <c r="AH1974" i="1"/>
  <c r="AG1974" i="1"/>
  <c r="AL1974" i="1"/>
  <c r="AD1974" i="1"/>
  <c r="AC1974" i="1"/>
  <c r="AF1974" i="1"/>
  <c r="AE1974" i="1"/>
  <c r="AJ1974" i="1"/>
  <c r="AM1974" i="1" s="1"/>
  <c r="AH1973" i="1"/>
  <c r="AI1973" i="1"/>
  <c r="AG1973" i="1"/>
  <c r="AD1973" i="1"/>
  <c r="AE1973" i="1"/>
  <c r="AF1973" i="1"/>
  <c r="AJ1973" i="1"/>
  <c r="AL1973" i="1"/>
  <c r="AC1973" i="1"/>
  <c r="AG1972" i="1"/>
  <c r="AH1972" i="1"/>
  <c r="AI1972" i="1"/>
  <c r="AJ1972" i="1"/>
  <c r="AL1972" i="1"/>
  <c r="AD1972" i="1"/>
  <c r="AC1972" i="1"/>
  <c r="AF1972" i="1"/>
  <c r="AE1972" i="1"/>
  <c r="AH1971" i="1"/>
  <c r="AG1971" i="1"/>
  <c r="AI1971" i="1"/>
  <c r="AJ1971" i="1"/>
  <c r="AF1971" i="1"/>
  <c r="AE1971" i="1"/>
  <c r="AD1971" i="1"/>
  <c r="AC1971" i="1"/>
  <c r="AL1971" i="1"/>
  <c r="AI1970" i="1"/>
  <c r="AH1970" i="1"/>
  <c r="AG1970" i="1"/>
  <c r="AJ1970" i="1"/>
  <c r="AC1970" i="1"/>
  <c r="AD1970" i="1"/>
  <c r="AE1970" i="1"/>
  <c r="AF1970" i="1"/>
  <c r="AL1970" i="1"/>
  <c r="AH1969" i="1"/>
  <c r="AI1969" i="1"/>
  <c r="AG1969" i="1"/>
  <c r="AL1969" i="1"/>
  <c r="AC1969" i="1"/>
  <c r="AF1969" i="1"/>
  <c r="AD1969" i="1"/>
  <c r="AE1969" i="1"/>
  <c r="AJ1969" i="1"/>
  <c r="AM1969" i="1" s="1"/>
  <c r="AI1968" i="1"/>
  <c r="AH1968" i="1"/>
  <c r="AG1968" i="1"/>
  <c r="AJ1968" i="1"/>
  <c r="AD1968" i="1"/>
  <c r="AL1968" i="1"/>
  <c r="AF1968" i="1"/>
  <c r="AE1968" i="1"/>
  <c r="AC1968" i="1"/>
  <c r="AI1967" i="1"/>
  <c r="AH1967" i="1"/>
  <c r="AG1967" i="1"/>
  <c r="AE1967" i="1"/>
  <c r="AD1967" i="1"/>
  <c r="AC1967" i="1"/>
  <c r="AF1967" i="1"/>
  <c r="AL1967" i="1"/>
  <c r="AJ1967" i="1"/>
  <c r="AH1966" i="1"/>
  <c r="AG1966" i="1"/>
  <c r="AI1966" i="1"/>
  <c r="AL1966" i="1"/>
  <c r="AJ1966" i="1"/>
  <c r="AM1966" i="1" s="1"/>
  <c r="AE1966" i="1"/>
  <c r="AF1966" i="1"/>
  <c r="AD1966" i="1"/>
  <c r="AC1966" i="1"/>
  <c r="AI1965" i="1"/>
  <c r="AH1965" i="1"/>
  <c r="AG1965" i="1"/>
  <c r="AF1965" i="1"/>
  <c r="AC1965" i="1"/>
  <c r="AD1965" i="1"/>
  <c r="AE1965" i="1"/>
  <c r="AL1965" i="1"/>
  <c r="AJ1965" i="1"/>
  <c r="AI1964" i="1"/>
  <c r="AH1964" i="1"/>
  <c r="AG1964" i="1"/>
  <c r="AJ1964" i="1"/>
  <c r="AL1964" i="1"/>
  <c r="AF1964" i="1"/>
  <c r="AE1964" i="1"/>
  <c r="AD1964" i="1"/>
  <c r="AC1964" i="1"/>
  <c r="AG1963" i="1"/>
  <c r="AI1963" i="1"/>
  <c r="AH1963" i="1"/>
  <c r="AC1963" i="1"/>
  <c r="AL1963" i="1"/>
  <c r="AJ1963" i="1"/>
  <c r="AM1963" i="1" s="1"/>
  <c r="AF1963" i="1"/>
  <c r="AE1963" i="1"/>
  <c r="AD1963" i="1"/>
  <c r="AG1962" i="1"/>
  <c r="AH1962" i="1"/>
  <c r="AI1962" i="1"/>
  <c r="AF1962" i="1"/>
  <c r="AJ1962" i="1"/>
  <c r="AL1962" i="1"/>
  <c r="AE1962" i="1"/>
  <c r="AC1962" i="1"/>
  <c r="AD1962" i="1"/>
  <c r="AI1961" i="1"/>
  <c r="AH1961" i="1"/>
  <c r="AG1961" i="1"/>
  <c r="AL1961" i="1"/>
  <c r="AJ1961" i="1"/>
  <c r="AM1961" i="1" s="1"/>
  <c r="AF1961" i="1"/>
  <c r="AE1961" i="1"/>
  <c r="AD1961" i="1"/>
  <c r="AC1961" i="1"/>
  <c r="AI1960" i="1"/>
  <c r="AH1960" i="1"/>
  <c r="AG1960" i="1"/>
  <c r="AL1960" i="1"/>
  <c r="AJ1960" i="1"/>
  <c r="AM1960" i="1" s="1"/>
  <c r="AF1960" i="1"/>
  <c r="AE1960" i="1"/>
  <c r="AD1960" i="1"/>
  <c r="AC1960" i="1"/>
  <c r="AI1959" i="1"/>
  <c r="AH1959" i="1"/>
  <c r="AG1959" i="1"/>
  <c r="AJ1959" i="1"/>
  <c r="AF1959" i="1"/>
  <c r="AE1959" i="1"/>
  <c r="AD1959" i="1"/>
  <c r="AC1959" i="1"/>
  <c r="AL1959" i="1"/>
  <c r="AG1958" i="1"/>
  <c r="AI1958" i="1"/>
  <c r="AH1958" i="1"/>
  <c r="AJ1958" i="1"/>
  <c r="AL1958" i="1"/>
  <c r="AF1958" i="1"/>
  <c r="AC1958" i="1"/>
  <c r="AE1958" i="1"/>
  <c r="AD1958" i="1"/>
  <c r="AI1957" i="1"/>
  <c r="AG1957" i="1"/>
  <c r="AH1957" i="1"/>
  <c r="AJ1957" i="1"/>
  <c r="AF1957" i="1"/>
  <c r="AE1957" i="1"/>
  <c r="AD1957" i="1"/>
  <c r="AL1957" i="1"/>
  <c r="AC1957" i="1"/>
  <c r="AI1956" i="1"/>
  <c r="AH1956" i="1"/>
  <c r="AG1956" i="1"/>
  <c r="AL1956" i="1"/>
  <c r="AJ1956" i="1"/>
  <c r="AM1956" i="1" s="1"/>
  <c r="AF1956" i="1"/>
  <c r="AE1956" i="1"/>
  <c r="AD1956" i="1"/>
  <c r="AC1956" i="1"/>
  <c r="AG1955" i="1"/>
  <c r="AI1955" i="1"/>
  <c r="AH1955" i="1"/>
  <c r="AD1955" i="1"/>
  <c r="AC1955" i="1"/>
  <c r="AE1955" i="1"/>
  <c r="AL1955" i="1"/>
  <c r="AF1955" i="1"/>
  <c r="AJ1955" i="1"/>
  <c r="AM1955" i="1" s="1"/>
  <c r="AI1954" i="1"/>
  <c r="AH1954" i="1"/>
  <c r="AG1954" i="1"/>
  <c r="AL1954" i="1"/>
  <c r="AJ1954" i="1"/>
  <c r="AF1954" i="1"/>
  <c r="AD1954" i="1"/>
  <c r="AC1954" i="1"/>
  <c r="AE1954" i="1"/>
  <c r="AH1953" i="1"/>
  <c r="AI1953" i="1"/>
  <c r="AG1953" i="1"/>
  <c r="AD1953" i="1"/>
  <c r="AC1953" i="1"/>
  <c r="AL1953" i="1"/>
  <c r="AJ1953" i="1"/>
  <c r="AM1953" i="1" s="1"/>
  <c r="AF1953" i="1"/>
  <c r="AE1953" i="1"/>
  <c r="AG1952" i="1"/>
  <c r="AH1952" i="1"/>
  <c r="AI1952" i="1"/>
  <c r="AF1952" i="1"/>
  <c r="AE1952" i="1"/>
  <c r="AD1952" i="1"/>
  <c r="AC1952" i="1"/>
  <c r="AL1952" i="1"/>
  <c r="AJ1952" i="1"/>
  <c r="AM1952" i="1" s="1"/>
  <c r="AH1951" i="1"/>
  <c r="AG1951" i="1"/>
  <c r="AI1951" i="1"/>
  <c r="AL1951" i="1"/>
  <c r="AJ1951" i="1"/>
  <c r="AM1951" i="1" s="1"/>
  <c r="AF1951" i="1"/>
  <c r="AE1951" i="1"/>
  <c r="AD1951" i="1"/>
  <c r="AC1951" i="1"/>
  <c r="AI1950" i="1"/>
  <c r="AH1950" i="1"/>
  <c r="AG1950" i="1"/>
  <c r="AL1950" i="1"/>
  <c r="AJ1950" i="1"/>
  <c r="AC1950" i="1"/>
  <c r="AF1950" i="1"/>
  <c r="AE1950" i="1"/>
  <c r="AD1950" i="1"/>
  <c r="AI1949" i="1"/>
  <c r="AH1949" i="1"/>
  <c r="AG1949" i="1"/>
  <c r="AL1949" i="1"/>
  <c r="AJ1949" i="1"/>
  <c r="AM1949" i="1" s="1"/>
  <c r="AF1949" i="1"/>
  <c r="AD1949" i="1"/>
  <c r="AC1949" i="1"/>
  <c r="AE1949" i="1"/>
  <c r="AI1948" i="1"/>
  <c r="AH1948" i="1"/>
  <c r="AG1948" i="1"/>
  <c r="AD1948" i="1"/>
  <c r="AC1948" i="1"/>
  <c r="AJ1948" i="1"/>
  <c r="AL1948" i="1"/>
  <c r="AF1948" i="1"/>
  <c r="AE1948" i="1"/>
  <c r="AG1947" i="1"/>
  <c r="AI1947" i="1"/>
  <c r="AH1947" i="1"/>
  <c r="AF1947" i="1"/>
  <c r="AL1947" i="1"/>
  <c r="AD1947" i="1"/>
  <c r="AC1947" i="1"/>
  <c r="AE1947" i="1"/>
  <c r="AJ1947" i="1"/>
  <c r="AM1947" i="1" s="1"/>
  <c r="AI1946" i="1"/>
  <c r="AH1946" i="1"/>
  <c r="AG1946" i="1"/>
  <c r="AL1946" i="1"/>
  <c r="AJ1946" i="1"/>
  <c r="AM1946" i="1" s="1"/>
  <c r="AF1946" i="1"/>
  <c r="AE1946" i="1"/>
  <c r="AC1946" i="1"/>
  <c r="AD1946" i="1"/>
  <c r="AI1945" i="1"/>
  <c r="AH1945" i="1"/>
  <c r="AG1945" i="1"/>
  <c r="AD1945" i="1"/>
  <c r="AC1945" i="1"/>
  <c r="AJ1945" i="1"/>
  <c r="AL1945" i="1"/>
  <c r="AF1945" i="1"/>
  <c r="AE1945" i="1"/>
  <c r="AH1944" i="1"/>
  <c r="AG1944" i="1"/>
  <c r="AI1944" i="1"/>
  <c r="AC1944" i="1"/>
  <c r="AE1944" i="1"/>
  <c r="AD1944" i="1"/>
  <c r="AF1944" i="1"/>
  <c r="AJ1944" i="1"/>
  <c r="AL1944" i="1"/>
  <c r="AH1943" i="1"/>
  <c r="AG1943" i="1"/>
  <c r="AI1943" i="1"/>
  <c r="AE1943" i="1"/>
  <c r="AD1943" i="1"/>
  <c r="AL1943" i="1"/>
  <c r="AJ1943" i="1"/>
  <c r="AM1943" i="1" s="1"/>
  <c r="AC1943" i="1"/>
  <c r="AF1943" i="1"/>
  <c r="AH1942" i="1"/>
  <c r="AG1942" i="1"/>
  <c r="AI1942" i="1"/>
  <c r="AC1942" i="1"/>
  <c r="AD1942" i="1"/>
  <c r="AE1942" i="1"/>
  <c r="AF1942" i="1"/>
  <c r="AJ1942" i="1"/>
  <c r="AL1942" i="1"/>
  <c r="AI1941" i="1"/>
  <c r="AH1941" i="1"/>
  <c r="AG1941" i="1"/>
  <c r="AD1941" i="1"/>
  <c r="AC1941" i="1"/>
  <c r="AL1941" i="1"/>
  <c r="AF1941" i="1"/>
  <c r="AE1941" i="1"/>
  <c r="AJ1941" i="1"/>
  <c r="AM1941" i="1" s="1"/>
  <c r="AI1940" i="1"/>
  <c r="AG1940" i="1"/>
  <c r="AH1940" i="1"/>
  <c r="AC1940" i="1"/>
  <c r="AJ1940" i="1"/>
  <c r="AL1940" i="1"/>
  <c r="AF1940" i="1"/>
  <c r="AE1940" i="1"/>
  <c r="AD1940" i="1"/>
  <c r="AI1939" i="1"/>
  <c r="AH1939" i="1"/>
  <c r="AG1939" i="1"/>
  <c r="AL1939" i="1"/>
  <c r="AJ1939" i="1"/>
  <c r="AM1939" i="1" s="1"/>
  <c r="AF1939" i="1"/>
  <c r="AE1939" i="1"/>
  <c r="AD1939" i="1"/>
  <c r="AC1939" i="1"/>
  <c r="AH1938" i="1"/>
  <c r="AG1938" i="1"/>
  <c r="AI1938" i="1"/>
  <c r="AL1938" i="1"/>
  <c r="AJ1938" i="1"/>
  <c r="AF1938" i="1"/>
  <c r="AE1938" i="1"/>
  <c r="AD1938" i="1"/>
  <c r="AC1938" i="1"/>
  <c r="AI1937" i="1"/>
  <c r="AH1937" i="1"/>
  <c r="AG1937" i="1"/>
  <c r="AJ1937" i="1"/>
  <c r="AE1937" i="1"/>
  <c r="AD1937" i="1"/>
  <c r="AC1937" i="1"/>
  <c r="AF1937" i="1"/>
  <c r="AL1937" i="1"/>
  <c r="AG1936" i="1"/>
  <c r="AH1936" i="1"/>
  <c r="AI1936" i="1"/>
  <c r="AJ1936" i="1"/>
  <c r="AE1936" i="1"/>
  <c r="AD1936" i="1"/>
  <c r="AF1936" i="1"/>
  <c r="AL1936" i="1"/>
  <c r="AC1936" i="1"/>
  <c r="AI1935" i="1"/>
  <c r="AH1935" i="1"/>
  <c r="AG1935" i="1"/>
  <c r="AF1935" i="1"/>
  <c r="AL1935" i="1"/>
  <c r="AJ1935" i="1"/>
  <c r="AM1935" i="1" s="1"/>
  <c r="AE1935" i="1"/>
  <c r="AD1935" i="1"/>
  <c r="AC1935" i="1"/>
  <c r="AI1934" i="1"/>
  <c r="AH1934" i="1"/>
  <c r="AG1934" i="1"/>
  <c r="AE1934" i="1"/>
  <c r="AF1934" i="1"/>
  <c r="AD1934" i="1"/>
  <c r="AC1934" i="1"/>
  <c r="AJ1934" i="1"/>
  <c r="AL1934" i="1"/>
  <c r="AG1933" i="1"/>
  <c r="AI1933" i="1"/>
  <c r="AH1933" i="1"/>
  <c r="AD1933" i="1"/>
  <c r="AF1933" i="1"/>
  <c r="AE1933" i="1"/>
  <c r="AJ1933" i="1"/>
  <c r="AL1933" i="1"/>
  <c r="AC1933" i="1"/>
  <c r="AG1932" i="1"/>
  <c r="AH1932" i="1"/>
  <c r="AI1932" i="1"/>
  <c r="AC1932" i="1"/>
  <c r="AF1932" i="1"/>
  <c r="AE1932" i="1"/>
  <c r="AL1932" i="1"/>
  <c r="AJ1932" i="1"/>
  <c r="AM1932" i="1" s="1"/>
  <c r="AD1932" i="1"/>
  <c r="AI1931" i="1"/>
  <c r="AG1931" i="1"/>
  <c r="AH1931" i="1"/>
  <c r="AJ1931" i="1"/>
  <c r="AL1931" i="1"/>
  <c r="AF1931" i="1"/>
  <c r="AE1931" i="1"/>
  <c r="AC1931" i="1"/>
  <c r="AD1931" i="1"/>
  <c r="AI1930" i="1"/>
  <c r="AG1930" i="1"/>
  <c r="AH1930" i="1"/>
  <c r="AL1930" i="1"/>
  <c r="AC1930" i="1"/>
  <c r="AD1930" i="1"/>
  <c r="AE1930" i="1"/>
  <c r="AJ1930" i="1"/>
  <c r="AM1930" i="1" s="1"/>
  <c r="AF1930" i="1"/>
  <c r="AG1929" i="1"/>
  <c r="AH1929" i="1"/>
  <c r="AI1929" i="1"/>
  <c r="AF1929" i="1"/>
  <c r="AJ1929" i="1"/>
  <c r="AL1929" i="1"/>
  <c r="AE1929" i="1"/>
  <c r="AC1929" i="1"/>
  <c r="AD1929" i="1"/>
  <c r="AH1928" i="1"/>
  <c r="AI1928" i="1"/>
  <c r="AG1928" i="1"/>
  <c r="AC1928" i="1"/>
  <c r="AD1928" i="1"/>
  <c r="AE1928" i="1"/>
  <c r="AF1928" i="1"/>
  <c r="AL1928" i="1"/>
  <c r="AJ1928" i="1"/>
  <c r="AM1928" i="1" s="1"/>
  <c r="AG1927" i="1"/>
  <c r="AH1927" i="1"/>
  <c r="AI1927" i="1"/>
  <c r="AL1927" i="1"/>
  <c r="AF1927" i="1"/>
  <c r="AE1927" i="1"/>
  <c r="AD1927" i="1"/>
  <c r="AC1927" i="1"/>
  <c r="AJ1927" i="1"/>
  <c r="AM1927" i="1" s="1"/>
  <c r="AI1926" i="1"/>
  <c r="AH1926" i="1"/>
  <c r="AG1926" i="1"/>
  <c r="AJ1926" i="1"/>
  <c r="AF1926" i="1"/>
  <c r="AE1926" i="1"/>
  <c r="AD1926" i="1"/>
  <c r="AC1926" i="1"/>
  <c r="AL1926" i="1"/>
  <c r="AH1925" i="1"/>
  <c r="AI1925" i="1"/>
  <c r="AG1925" i="1"/>
  <c r="AC1925" i="1"/>
  <c r="AL1925" i="1"/>
  <c r="AJ1925" i="1"/>
  <c r="AM1925" i="1" s="1"/>
  <c r="AF1925" i="1"/>
  <c r="AE1925" i="1"/>
  <c r="AD1925" i="1"/>
  <c r="AI1924" i="1"/>
  <c r="AH1924" i="1"/>
  <c r="AG1924" i="1"/>
  <c r="AF1924" i="1"/>
  <c r="AE1924" i="1"/>
  <c r="AC1924" i="1"/>
  <c r="AD1924" i="1"/>
  <c r="AL1924" i="1"/>
  <c r="AJ1924" i="1"/>
  <c r="AM1924" i="1" s="1"/>
  <c r="AI1923" i="1"/>
  <c r="AH1923" i="1"/>
  <c r="AG1923" i="1"/>
  <c r="AL1923" i="1"/>
  <c r="AJ1923" i="1"/>
  <c r="AM1923" i="1" s="1"/>
  <c r="AF1923" i="1"/>
  <c r="AE1923" i="1"/>
  <c r="AD1923" i="1"/>
  <c r="AC1923" i="1"/>
  <c r="AI1922" i="1"/>
  <c r="AG1922" i="1"/>
  <c r="AH1922" i="1"/>
  <c r="AL1922" i="1"/>
  <c r="AJ1922" i="1"/>
  <c r="AM1922" i="1" s="1"/>
  <c r="AF1922" i="1"/>
  <c r="AE1922" i="1"/>
  <c r="AD1922" i="1"/>
  <c r="AC1922" i="1"/>
  <c r="AH1921" i="1"/>
  <c r="AG1921" i="1"/>
  <c r="AI1921" i="1"/>
  <c r="AL1921" i="1"/>
  <c r="AJ1921" i="1"/>
  <c r="AM1921" i="1" s="1"/>
  <c r="AF1921" i="1"/>
  <c r="AE1921" i="1"/>
  <c r="AD1921" i="1"/>
  <c r="AC1921" i="1"/>
  <c r="AI1920" i="1"/>
  <c r="AH1920" i="1"/>
  <c r="AG1920" i="1"/>
  <c r="AL1920" i="1"/>
  <c r="AJ1920" i="1"/>
  <c r="AM1920" i="1" s="1"/>
  <c r="AE1920" i="1"/>
  <c r="AD1920" i="1"/>
  <c r="AC1920" i="1"/>
  <c r="AF1920" i="1"/>
  <c r="AI1919" i="1"/>
  <c r="AH1919" i="1"/>
  <c r="AG1919" i="1"/>
  <c r="AE1919" i="1"/>
  <c r="AC1919" i="1"/>
  <c r="AD1919" i="1"/>
  <c r="AL1919" i="1"/>
  <c r="AJ1919" i="1"/>
  <c r="AM1919" i="1" s="1"/>
  <c r="AF1919" i="1"/>
  <c r="AG1918" i="1"/>
  <c r="AI1918" i="1"/>
  <c r="AH1918" i="1"/>
  <c r="AF1918" i="1"/>
  <c r="AE1918" i="1"/>
  <c r="AD1918" i="1"/>
  <c r="AC1918" i="1"/>
  <c r="AJ1918" i="1"/>
  <c r="AL1918" i="1"/>
  <c r="AI1917" i="1"/>
  <c r="AH1917" i="1"/>
  <c r="AG1917" i="1"/>
  <c r="AC1917" i="1"/>
  <c r="AL1917" i="1"/>
  <c r="AJ1917" i="1"/>
  <c r="AD1917" i="1"/>
  <c r="AF1917" i="1"/>
  <c r="AE1917" i="1"/>
  <c r="AH1916" i="1"/>
  <c r="AG1916" i="1"/>
  <c r="AI1916" i="1"/>
  <c r="AF1916" i="1"/>
  <c r="AD1916" i="1"/>
  <c r="AJ1916" i="1"/>
  <c r="AE1916" i="1"/>
  <c r="AL1916" i="1"/>
  <c r="AC1916" i="1"/>
  <c r="AI1915" i="1"/>
  <c r="AH1915" i="1"/>
  <c r="AG1915" i="1"/>
  <c r="AD1915" i="1"/>
  <c r="AE1915" i="1"/>
  <c r="AL1915" i="1"/>
  <c r="AF1915" i="1"/>
  <c r="AC1915" i="1"/>
  <c r="AJ1915" i="1"/>
  <c r="AM1915" i="1" s="1"/>
  <c r="AI1914" i="1"/>
  <c r="AG1914" i="1"/>
  <c r="AH1914" i="1"/>
  <c r="AJ1914" i="1"/>
  <c r="AL1914" i="1"/>
  <c r="AC1914" i="1"/>
  <c r="AD1914" i="1"/>
  <c r="AF1914" i="1"/>
  <c r="AE1914" i="1"/>
  <c r="AI1913" i="1"/>
  <c r="AH1913" i="1"/>
  <c r="AG1913" i="1"/>
  <c r="AL1913" i="1"/>
  <c r="AF1913" i="1"/>
  <c r="AE1913" i="1"/>
  <c r="AD1913" i="1"/>
  <c r="AC1913" i="1"/>
  <c r="AJ1913" i="1"/>
  <c r="AM1913" i="1" s="1"/>
  <c r="AH1912" i="1"/>
  <c r="AG1912" i="1"/>
  <c r="AI1912" i="1"/>
  <c r="AD1912" i="1"/>
  <c r="AC1912" i="1"/>
  <c r="AL1912" i="1"/>
  <c r="AJ1912" i="1"/>
  <c r="AF1912" i="1"/>
  <c r="AE1912" i="1"/>
  <c r="AG1911" i="1"/>
  <c r="AI1911" i="1"/>
  <c r="AH1911" i="1"/>
  <c r="AF1911" i="1"/>
  <c r="AE1911" i="1"/>
  <c r="AD1911" i="1"/>
  <c r="AC1911" i="1"/>
  <c r="AJ1911" i="1"/>
  <c r="AL1911" i="1"/>
  <c r="AH1910" i="1"/>
  <c r="AI1910" i="1"/>
  <c r="AG1910" i="1"/>
  <c r="AE1910" i="1"/>
  <c r="AL1910" i="1"/>
  <c r="AJ1910" i="1"/>
  <c r="AM1910" i="1" s="1"/>
  <c r="AF1910" i="1"/>
  <c r="AD1910" i="1"/>
  <c r="AC1910" i="1"/>
  <c r="AH1909" i="1"/>
  <c r="AG1909" i="1"/>
  <c r="AI1909" i="1"/>
  <c r="AF1909" i="1"/>
  <c r="AE1909" i="1"/>
  <c r="AD1909" i="1"/>
  <c r="AL1909" i="1"/>
  <c r="AJ1909" i="1"/>
  <c r="AM1909" i="1" s="1"/>
  <c r="AC1909" i="1"/>
  <c r="AI1908" i="1"/>
  <c r="AH1908" i="1"/>
  <c r="AG1908" i="1"/>
  <c r="AE1908" i="1"/>
  <c r="AJ1908" i="1"/>
  <c r="AL1908" i="1"/>
  <c r="AF1908" i="1"/>
  <c r="AC1908" i="1"/>
  <c r="AD1908" i="1"/>
  <c r="AG1907" i="1"/>
  <c r="AH1907" i="1"/>
  <c r="AI1907" i="1"/>
  <c r="AL1907" i="1"/>
  <c r="AC1907" i="1"/>
  <c r="AD1907" i="1"/>
  <c r="AE1907" i="1"/>
  <c r="AF1907" i="1"/>
  <c r="AJ1907" i="1"/>
  <c r="AM1907" i="1" s="1"/>
  <c r="AH1906" i="1"/>
  <c r="AI1906" i="1"/>
  <c r="AG1906" i="1"/>
  <c r="AL1906" i="1"/>
  <c r="AC1906" i="1"/>
  <c r="AD1906" i="1"/>
  <c r="AJ1906" i="1"/>
  <c r="AM1906" i="1" s="1"/>
  <c r="AE1906" i="1"/>
  <c r="AF1906" i="1"/>
  <c r="AI1905" i="1"/>
  <c r="AH1905" i="1"/>
  <c r="AG1905" i="1"/>
  <c r="AJ1905" i="1"/>
  <c r="AL1905" i="1"/>
  <c r="AF1905" i="1"/>
  <c r="AE1905" i="1"/>
  <c r="AD1905" i="1"/>
  <c r="AC1905" i="1"/>
  <c r="AG1904" i="1"/>
  <c r="AH1904" i="1"/>
  <c r="AI1904" i="1"/>
  <c r="AC1904" i="1"/>
  <c r="AJ1904" i="1"/>
  <c r="AL1904" i="1"/>
  <c r="AF1904" i="1"/>
  <c r="AE1904" i="1"/>
  <c r="AD1904" i="1"/>
  <c r="AI1903" i="1"/>
  <c r="AH1903" i="1"/>
  <c r="AG1903" i="1"/>
  <c r="AC1903" i="1"/>
  <c r="AD1903" i="1"/>
  <c r="AL1903" i="1"/>
  <c r="AJ1903" i="1"/>
  <c r="AM1903" i="1" s="1"/>
  <c r="AF1903" i="1"/>
  <c r="AE1903" i="1"/>
  <c r="AG1902" i="1"/>
  <c r="AH1902" i="1"/>
  <c r="AI1902" i="1"/>
  <c r="AF1902" i="1"/>
  <c r="AJ1902" i="1"/>
  <c r="AD1902" i="1"/>
  <c r="AC1902" i="1"/>
  <c r="AL1902" i="1"/>
  <c r="AE1902" i="1"/>
  <c r="AG1901" i="1"/>
  <c r="AI1901" i="1"/>
  <c r="AH1901" i="1"/>
  <c r="AL1901" i="1"/>
  <c r="AJ1901" i="1"/>
  <c r="AM1901" i="1" s="1"/>
  <c r="AF1901" i="1"/>
  <c r="AE1901" i="1"/>
  <c r="AD1901" i="1"/>
  <c r="AC1901" i="1"/>
  <c r="AI1900" i="1"/>
  <c r="AH1900" i="1"/>
  <c r="AG1900" i="1"/>
  <c r="AJ1900" i="1"/>
  <c r="AL1900" i="1"/>
  <c r="AC1900" i="1"/>
  <c r="AD1900" i="1"/>
  <c r="AE1900" i="1"/>
  <c r="AF1900" i="1"/>
  <c r="AI1899" i="1"/>
  <c r="AH1899" i="1"/>
  <c r="AG1899" i="1"/>
  <c r="AC1899" i="1"/>
  <c r="AL1899" i="1"/>
  <c r="AJ1899" i="1"/>
  <c r="AF1899" i="1"/>
  <c r="AE1899" i="1"/>
  <c r="AD1899" i="1"/>
  <c r="AH1898" i="1"/>
  <c r="AI1898" i="1"/>
  <c r="AG1898" i="1"/>
  <c r="AJ1898" i="1"/>
  <c r="AF1898" i="1"/>
  <c r="AL1898" i="1"/>
  <c r="AC1898" i="1"/>
  <c r="AD1898" i="1"/>
  <c r="AE1898" i="1"/>
  <c r="AG1897" i="1"/>
  <c r="AH1897" i="1"/>
  <c r="AI1897" i="1"/>
  <c r="AD1897" i="1"/>
  <c r="AC1897" i="1"/>
  <c r="AE1897" i="1"/>
  <c r="AF1897" i="1"/>
  <c r="AJ1897" i="1"/>
  <c r="AL1897" i="1"/>
  <c r="AI1896" i="1"/>
  <c r="AH1896" i="1"/>
  <c r="AG1896" i="1"/>
  <c r="AF1896" i="1"/>
  <c r="AE1896" i="1"/>
  <c r="AC1896" i="1"/>
  <c r="AD1896" i="1"/>
  <c r="AL1896" i="1"/>
  <c r="AJ1896" i="1"/>
  <c r="AM1896" i="1" s="1"/>
  <c r="AG1895" i="1"/>
  <c r="AH1895" i="1"/>
  <c r="AI1895" i="1"/>
  <c r="AJ1895" i="1"/>
  <c r="AC1895" i="1"/>
  <c r="AD1895" i="1"/>
  <c r="AF1895" i="1"/>
  <c r="AE1895" i="1"/>
  <c r="AL1895" i="1"/>
  <c r="AG1894" i="1"/>
  <c r="AH1894" i="1"/>
  <c r="AI1894" i="1"/>
  <c r="AC1894" i="1"/>
  <c r="AD1894" i="1"/>
  <c r="AE1894" i="1"/>
  <c r="AF1894" i="1"/>
  <c r="AJ1894" i="1"/>
  <c r="AL1894" i="1"/>
  <c r="AG1893" i="1"/>
  <c r="AH1893" i="1"/>
  <c r="AI1893" i="1"/>
  <c r="AD1893" i="1"/>
  <c r="AJ1893" i="1"/>
  <c r="AL1893" i="1"/>
  <c r="AC1893" i="1"/>
  <c r="AE1893" i="1"/>
  <c r="AF1893" i="1"/>
  <c r="AI1892" i="1"/>
  <c r="AG1892" i="1"/>
  <c r="AH1892" i="1"/>
  <c r="AC1892" i="1"/>
  <c r="AD1892" i="1"/>
  <c r="AE1892" i="1"/>
  <c r="AF1892" i="1"/>
  <c r="AJ1892" i="1"/>
  <c r="AL1892" i="1"/>
  <c r="AI1891" i="1"/>
  <c r="AH1891" i="1"/>
  <c r="AG1891" i="1"/>
  <c r="AL1891" i="1"/>
  <c r="AC1891" i="1"/>
  <c r="AD1891" i="1"/>
  <c r="AJ1891" i="1"/>
  <c r="AM1891" i="1" s="1"/>
  <c r="AF1891" i="1"/>
  <c r="AE1891" i="1"/>
  <c r="AH1890" i="1"/>
  <c r="AG1890" i="1"/>
  <c r="AI1890" i="1"/>
  <c r="AF1890" i="1"/>
  <c r="AL1890" i="1"/>
  <c r="AC1890" i="1"/>
  <c r="AD1890" i="1"/>
  <c r="AE1890" i="1"/>
  <c r="AJ1890" i="1"/>
  <c r="AM1890" i="1" s="1"/>
  <c r="AG1889" i="1"/>
  <c r="AH1889" i="1"/>
  <c r="AI1889" i="1"/>
  <c r="AL1889" i="1"/>
  <c r="AJ1889" i="1"/>
  <c r="AM1889" i="1" s="1"/>
  <c r="AC1889" i="1"/>
  <c r="AD1889" i="1"/>
  <c r="AE1889" i="1"/>
  <c r="AF1889" i="1"/>
  <c r="AG1888" i="1"/>
  <c r="AH1888" i="1"/>
  <c r="AI1888" i="1"/>
  <c r="AF1888" i="1"/>
  <c r="AJ1888" i="1"/>
  <c r="AL1888" i="1"/>
  <c r="AE1888" i="1"/>
  <c r="AD1888" i="1"/>
  <c r="AC1888" i="1"/>
  <c r="AH1887" i="1"/>
  <c r="AI1887" i="1"/>
  <c r="AG1887" i="1"/>
  <c r="AC1887" i="1"/>
  <c r="AE1887" i="1"/>
  <c r="AF1887" i="1"/>
  <c r="AD1887" i="1"/>
  <c r="AJ1887" i="1"/>
  <c r="AL1887" i="1"/>
  <c r="AG1886" i="1"/>
  <c r="AH1886" i="1"/>
  <c r="AI1886" i="1"/>
  <c r="AC1886" i="1"/>
  <c r="AD1886" i="1"/>
  <c r="AE1886" i="1"/>
  <c r="AF1886" i="1"/>
  <c r="AJ1886" i="1"/>
  <c r="AL1886" i="1"/>
  <c r="AG1885" i="1"/>
  <c r="AH1885" i="1"/>
  <c r="AI1885" i="1"/>
  <c r="AC1885" i="1"/>
  <c r="AF1885" i="1"/>
  <c r="AD1885" i="1"/>
  <c r="AJ1885" i="1"/>
  <c r="AL1885" i="1"/>
  <c r="AE1885" i="1"/>
  <c r="AH1884" i="1"/>
  <c r="AG1884" i="1"/>
  <c r="AI1884" i="1"/>
  <c r="AL1884" i="1"/>
  <c r="AJ1884" i="1"/>
  <c r="AM1884" i="1" s="1"/>
  <c r="AF1884" i="1"/>
  <c r="AE1884" i="1"/>
  <c r="AC1884" i="1"/>
  <c r="AD1884" i="1"/>
  <c r="AH1883" i="1"/>
  <c r="AG1883" i="1"/>
  <c r="AI1883" i="1"/>
  <c r="AC1883" i="1"/>
  <c r="AD1883" i="1"/>
  <c r="AE1883" i="1"/>
  <c r="AF1883" i="1"/>
  <c r="AL1883" i="1"/>
  <c r="AJ1883" i="1"/>
  <c r="AM1883" i="1" s="1"/>
  <c r="AG1882" i="1"/>
  <c r="AH1882" i="1"/>
  <c r="AI1882" i="1"/>
  <c r="AF1882" i="1"/>
  <c r="AD1882" i="1"/>
  <c r="AC1882" i="1"/>
  <c r="AJ1882" i="1"/>
  <c r="AE1882" i="1"/>
  <c r="AL1882" i="1"/>
  <c r="AG1881" i="1"/>
  <c r="AI1881" i="1"/>
  <c r="AH1881" i="1"/>
  <c r="AL1881" i="1"/>
  <c r="AJ1881" i="1"/>
  <c r="AM1881" i="1" s="1"/>
  <c r="AF1881" i="1"/>
  <c r="AE1881" i="1"/>
  <c r="AD1881" i="1"/>
  <c r="AC1881" i="1"/>
  <c r="AG1880" i="1"/>
  <c r="AH1880" i="1"/>
  <c r="AI1880" i="1"/>
  <c r="AC1880" i="1"/>
  <c r="AD1880" i="1"/>
  <c r="AF1880" i="1"/>
  <c r="AE1880" i="1"/>
  <c r="AL1880" i="1"/>
  <c r="AJ1880" i="1"/>
  <c r="AM1880" i="1" s="1"/>
  <c r="AI1879" i="1"/>
  <c r="AH1879" i="1"/>
  <c r="AG1879" i="1"/>
  <c r="AD1879" i="1"/>
  <c r="AE1879" i="1"/>
  <c r="AF1879" i="1"/>
  <c r="AJ1879" i="1"/>
  <c r="AL1879" i="1"/>
  <c r="AC1879" i="1"/>
  <c r="AG1878" i="1"/>
  <c r="AI1878" i="1"/>
  <c r="AH1878" i="1"/>
  <c r="AE1878" i="1"/>
  <c r="AD1878" i="1"/>
  <c r="AC1878" i="1"/>
  <c r="AL1878" i="1"/>
  <c r="AJ1878" i="1"/>
  <c r="AF1878" i="1"/>
  <c r="AI1877" i="1"/>
  <c r="AH1877" i="1"/>
  <c r="AG1877" i="1"/>
  <c r="AL1877" i="1"/>
  <c r="AJ1877" i="1"/>
  <c r="AM1877" i="1" s="1"/>
  <c r="AF1877" i="1"/>
  <c r="AE1877" i="1"/>
  <c r="AD1877" i="1"/>
  <c r="AC1877" i="1"/>
  <c r="AH1876" i="1"/>
  <c r="AG1876" i="1"/>
  <c r="AI1876" i="1"/>
  <c r="AF1876" i="1"/>
  <c r="AE1876" i="1"/>
  <c r="AD1876" i="1"/>
  <c r="AC1876" i="1"/>
  <c r="AL1876" i="1"/>
  <c r="AJ1876" i="1"/>
  <c r="AI1875" i="1"/>
  <c r="AH1875" i="1"/>
  <c r="AG1875" i="1"/>
  <c r="AL1875" i="1"/>
  <c r="AJ1875" i="1"/>
  <c r="AM1875" i="1" s="1"/>
  <c r="AF1875" i="1"/>
  <c r="AE1875" i="1"/>
  <c r="AD1875" i="1"/>
  <c r="AC1875" i="1"/>
  <c r="AI1874" i="1"/>
  <c r="AH1874" i="1"/>
  <c r="AG1874" i="1"/>
  <c r="AL1874" i="1"/>
  <c r="AJ1874" i="1"/>
  <c r="AM1874" i="1" s="1"/>
  <c r="AF1874" i="1"/>
  <c r="AE1874" i="1"/>
  <c r="AC1874" i="1"/>
  <c r="AD1874" i="1"/>
  <c r="AI1873" i="1"/>
  <c r="AH1873" i="1"/>
  <c r="AG1873" i="1"/>
  <c r="AL1873" i="1"/>
  <c r="AJ1873" i="1"/>
  <c r="AF1873" i="1"/>
  <c r="AE1873" i="1"/>
  <c r="AD1873" i="1"/>
  <c r="AC1873" i="1"/>
  <c r="AI1872" i="1"/>
  <c r="AH1872" i="1"/>
  <c r="AG1872" i="1"/>
  <c r="AL1872" i="1"/>
  <c r="AJ1872" i="1"/>
  <c r="AM1872" i="1" s="1"/>
  <c r="AD1872" i="1"/>
  <c r="AF1872" i="1"/>
  <c r="AC1872" i="1"/>
  <c r="AE1872" i="1"/>
  <c r="AG1871" i="1"/>
  <c r="AH1871" i="1"/>
  <c r="AI1871" i="1"/>
  <c r="AF1871" i="1"/>
  <c r="AC1871" i="1"/>
  <c r="AD1871" i="1"/>
  <c r="AE1871" i="1"/>
  <c r="AJ1871" i="1"/>
  <c r="AL1871" i="1"/>
  <c r="AI1870" i="1"/>
  <c r="AH1870" i="1"/>
  <c r="AG1870" i="1"/>
  <c r="AJ1870" i="1"/>
  <c r="AF1870" i="1"/>
  <c r="AE1870" i="1"/>
  <c r="AD1870" i="1"/>
  <c r="AL1870" i="1"/>
  <c r="AC1870" i="1"/>
  <c r="AH1869" i="1"/>
  <c r="AG1869" i="1"/>
  <c r="AI1869" i="1"/>
  <c r="AL1869" i="1"/>
  <c r="AE1869" i="1"/>
  <c r="AF1869" i="1"/>
  <c r="AJ1869" i="1"/>
  <c r="AM1869" i="1" s="1"/>
  <c r="AD1869" i="1"/>
  <c r="AC1869" i="1"/>
  <c r="AG1868" i="1"/>
  <c r="AH1868" i="1"/>
  <c r="AI1868" i="1"/>
  <c r="AC1868" i="1"/>
  <c r="AD1868" i="1"/>
  <c r="AE1868" i="1"/>
  <c r="AF1868" i="1"/>
  <c r="AJ1868" i="1"/>
  <c r="AL1868" i="1"/>
  <c r="AG1867" i="1"/>
  <c r="AI1867" i="1"/>
  <c r="AH1867" i="1"/>
  <c r="AC1867" i="1"/>
  <c r="AJ1867" i="1"/>
  <c r="AD1867" i="1"/>
  <c r="AE1867" i="1"/>
  <c r="AF1867" i="1"/>
  <c r="AL1867" i="1"/>
  <c r="AG1866" i="1"/>
  <c r="AH1866" i="1"/>
  <c r="AI1866" i="1"/>
  <c r="AJ1866" i="1"/>
  <c r="AL1866" i="1"/>
  <c r="AC1866" i="1"/>
  <c r="AD1866" i="1"/>
  <c r="AE1866" i="1"/>
  <c r="AF1866" i="1"/>
  <c r="AG1865" i="1"/>
  <c r="AH1865" i="1"/>
  <c r="AI1865" i="1"/>
  <c r="AJ1865" i="1"/>
  <c r="AF1865" i="1"/>
  <c r="AE1865" i="1"/>
  <c r="AD1865" i="1"/>
  <c r="AC1865" i="1"/>
  <c r="AL1865" i="1"/>
  <c r="AG1864" i="1"/>
  <c r="AI1864" i="1"/>
  <c r="AH1864" i="1"/>
  <c r="AC1864" i="1"/>
  <c r="AF1864" i="1"/>
  <c r="AE1864" i="1"/>
  <c r="AL1864" i="1"/>
  <c r="AJ1864" i="1"/>
  <c r="AM1864" i="1" s="1"/>
  <c r="AD1864" i="1"/>
  <c r="AI1863" i="1"/>
  <c r="AG1863" i="1"/>
  <c r="AH1863" i="1"/>
  <c r="AJ1863" i="1"/>
  <c r="AF1863" i="1"/>
  <c r="AL1863" i="1"/>
  <c r="AC1863" i="1"/>
  <c r="AD1863" i="1"/>
  <c r="AE1863" i="1"/>
  <c r="AG1862" i="1"/>
  <c r="AH1862" i="1"/>
  <c r="AI1862" i="1"/>
  <c r="AC1862" i="1"/>
  <c r="AD1862" i="1"/>
  <c r="AE1862" i="1"/>
  <c r="AF1862" i="1"/>
  <c r="AJ1862" i="1"/>
  <c r="AL1862" i="1"/>
  <c r="AH1861" i="1"/>
  <c r="AI1861" i="1"/>
  <c r="AG1861" i="1"/>
  <c r="AJ1861" i="1"/>
  <c r="AL1861" i="1"/>
  <c r="AD1861" i="1"/>
  <c r="AC1861" i="1"/>
  <c r="AE1861" i="1"/>
  <c r="AF1861" i="1"/>
  <c r="AH1860" i="1"/>
  <c r="AG1860" i="1"/>
  <c r="AI1860" i="1"/>
  <c r="AL1860" i="1"/>
  <c r="AF1860" i="1"/>
  <c r="AE1860" i="1"/>
  <c r="AD1860" i="1"/>
  <c r="AC1860" i="1"/>
  <c r="AJ1860" i="1"/>
  <c r="AM1860" i="1" s="1"/>
  <c r="AH1859" i="1"/>
  <c r="AG1859" i="1"/>
  <c r="AI1859" i="1"/>
  <c r="AE1859" i="1"/>
  <c r="AD1859" i="1"/>
  <c r="AC1859" i="1"/>
  <c r="AJ1859" i="1"/>
  <c r="AL1859" i="1"/>
  <c r="AF1859" i="1"/>
  <c r="AI1858" i="1"/>
  <c r="AH1858" i="1"/>
  <c r="AG1858" i="1"/>
  <c r="AL1858" i="1"/>
  <c r="AJ1858" i="1"/>
  <c r="AE1858" i="1"/>
  <c r="AD1858" i="1"/>
  <c r="AC1858" i="1"/>
  <c r="AF1858" i="1"/>
  <c r="AI1857" i="1"/>
  <c r="AG1857" i="1"/>
  <c r="AH1857" i="1"/>
  <c r="AE1857" i="1"/>
  <c r="AD1857" i="1"/>
  <c r="AJ1857" i="1"/>
  <c r="AL1857" i="1"/>
  <c r="AF1857" i="1"/>
  <c r="AC1857" i="1"/>
  <c r="AG1856" i="1"/>
  <c r="AH1856" i="1"/>
  <c r="AI1856" i="1"/>
  <c r="AE1856" i="1"/>
  <c r="AF1856" i="1"/>
  <c r="AJ1856" i="1"/>
  <c r="AC1856" i="1"/>
  <c r="AL1856" i="1"/>
  <c r="AD1856" i="1"/>
  <c r="AG1855" i="1"/>
  <c r="AH1855" i="1"/>
  <c r="AI1855" i="1"/>
  <c r="AF1855" i="1"/>
  <c r="AC1855" i="1"/>
  <c r="AD1855" i="1"/>
  <c r="AE1855" i="1"/>
  <c r="AJ1855" i="1"/>
  <c r="AL1855" i="1"/>
  <c r="AH1854" i="1"/>
  <c r="AG1854" i="1"/>
  <c r="AI1854" i="1"/>
  <c r="AJ1854" i="1"/>
  <c r="AF1854" i="1"/>
  <c r="AL1854" i="1"/>
  <c r="AE1854" i="1"/>
  <c r="AD1854" i="1"/>
  <c r="AC1854" i="1"/>
  <c r="AI1853" i="1"/>
  <c r="AH1853" i="1"/>
  <c r="AG1853" i="1"/>
  <c r="AC1853" i="1"/>
  <c r="AF1853" i="1"/>
  <c r="AL1853" i="1"/>
  <c r="AJ1853" i="1"/>
  <c r="AM1853" i="1" s="1"/>
  <c r="AD1853" i="1"/>
  <c r="AE1853" i="1"/>
  <c r="AH1852" i="1"/>
  <c r="AG1852" i="1"/>
  <c r="AI1852" i="1"/>
  <c r="AJ1852" i="1"/>
  <c r="AL1852" i="1"/>
  <c r="AF1852" i="1"/>
  <c r="AE1852" i="1"/>
  <c r="AD1852" i="1"/>
  <c r="AC1852" i="1"/>
  <c r="AG1851" i="1"/>
  <c r="AI1851" i="1"/>
  <c r="AH1851" i="1"/>
  <c r="AF1851" i="1"/>
  <c r="AE1851" i="1"/>
  <c r="AD1851" i="1"/>
  <c r="AC1851" i="1"/>
  <c r="AL1851" i="1"/>
  <c r="AJ1851" i="1"/>
  <c r="AI1850" i="1"/>
  <c r="AH1850" i="1"/>
  <c r="AG1850" i="1"/>
  <c r="AC1850" i="1"/>
  <c r="AD1850" i="1"/>
  <c r="AE1850" i="1"/>
  <c r="AF1850" i="1"/>
  <c r="AJ1850" i="1"/>
  <c r="AL1850" i="1"/>
  <c r="AI1849" i="1"/>
  <c r="AG1849" i="1"/>
  <c r="AH1849" i="1"/>
  <c r="AC1849" i="1"/>
  <c r="AD1849" i="1"/>
  <c r="AE1849" i="1"/>
  <c r="AF1849" i="1"/>
  <c r="AJ1849" i="1"/>
  <c r="AL1849" i="1"/>
  <c r="AH1848" i="1"/>
  <c r="AG1848" i="1"/>
  <c r="AI1848" i="1"/>
  <c r="AF1848" i="1"/>
  <c r="AE1848" i="1"/>
  <c r="AD1848" i="1"/>
  <c r="AC1848" i="1"/>
  <c r="AJ1848" i="1"/>
  <c r="AL1848" i="1"/>
  <c r="AI1847" i="1"/>
  <c r="AH1847" i="1"/>
  <c r="AG1847" i="1"/>
  <c r="AL1847" i="1"/>
  <c r="AJ1847" i="1"/>
  <c r="AC1847" i="1"/>
  <c r="AD1847" i="1"/>
  <c r="AE1847" i="1"/>
  <c r="AF1847" i="1"/>
  <c r="AG1846" i="1"/>
  <c r="AH1846" i="1"/>
  <c r="AI1846" i="1"/>
  <c r="AE1846" i="1"/>
  <c r="AD1846" i="1"/>
  <c r="AC1846" i="1"/>
  <c r="AJ1846" i="1"/>
  <c r="AL1846" i="1"/>
  <c r="AF1846" i="1"/>
  <c r="AI1845" i="1"/>
  <c r="AH1845" i="1"/>
  <c r="AG1845" i="1"/>
  <c r="AF1845" i="1"/>
  <c r="AJ1845" i="1"/>
  <c r="AL1845" i="1"/>
  <c r="AC1845" i="1"/>
  <c r="AD1845" i="1"/>
  <c r="AE1845" i="1"/>
  <c r="AI1844" i="1"/>
  <c r="AH1844" i="1"/>
  <c r="AG1844" i="1"/>
  <c r="AE1844" i="1"/>
  <c r="AL1844" i="1"/>
  <c r="AJ1844" i="1"/>
  <c r="AM1844" i="1" s="1"/>
  <c r="AC1844" i="1"/>
  <c r="AD1844" i="1"/>
  <c r="AF1844" i="1"/>
  <c r="AH1843" i="1"/>
  <c r="AI1843" i="1"/>
  <c r="AG1843" i="1"/>
  <c r="AE1843" i="1"/>
  <c r="AF1843" i="1"/>
  <c r="AD1843" i="1"/>
  <c r="AC1843" i="1"/>
  <c r="AJ1843" i="1"/>
  <c r="AL1843" i="1"/>
  <c r="AH1842" i="1"/>
  <c r="AG1842" i="1"/>
  <c r="AI1842" i="1"/>
  <c r="AE1842" i="1"/>
  <c r="AL1842" i="1"/>
  <c r="AJ1842" i="1"/>
  <c r="AM1842" i="1" s="1"/>
  <c r="AC1842" i="1"/>
  <c r="AD1842" i="1"/>
  <c r="AF1842" i="1"/>
  <c r="AI1841" i="1"/>
  <c r="AG1841" i="1"/>
  <c r="AH1841" i="1"/>
  <c r="AF1841" i="1"/>
  <c r="AE1841" i="1"/>
  <c r="AD1841" i="1"/>
  <c r="AC1841" i="1"/>
  <c r="AL1841" i="1"/>
  <c r="AJ1841" i="1"/>
  <c r="AM1841" i="1" s="1"/>
  <c r="AG1840" i="1"/>
  <c r="AI1840" i="1"/>
  <c r="AH1840" i="1"/>
  <c r="AD1840" i="1"/>
  <c r="AE1840" i="1"/>
  <c r="AF1840" i="1"/>
  <c r="AC1840" i="1"/>
  <c r="AJ1840" i="1"/>
  <c r="AL1840" i="1"/>
  <c r="AG1839" i="1"/>
  <c r="AH1839" i="1"/>
  <c r="AI1839" i="1"/>
  <c r="AC1839" i="1"/>
  <c r="AL1839" i="1"/>
  <c r="AD1839" i="1"/>
  <c r="AE1839" i="1"/>
  <c r="AF1839" i="1"/>
  <c r="AJ1839" i="1"/>
  <c r="AM1839" i="1" s="1"/>
  <c r="AG1838" i="1"/>
  <c r="AH1838" i="1"/>
  <c r="AI1838" i="1"/>
  <c r="AJ1838" i="1"/>
  <c r="AD1838" i="1"/>
  <c r="AE1838" i="1"/>
  <c r="AF1838" i="1"/>
  <c r="AL1838" i="1"/>
  <c r="AC1838" i="1"/>
  <c r="AG1837" i="1"/>
  <c r="AH1837" i="1"/>
  <c r="AI1837" i="1"/>
  <c r="AL1837" i="1"/>
  <c r="AC1837" i="1"/>
  <c r="AD1837" i="1"/>
  <c r="AE1837" i="1"/>
  <c r="AF1837" i="1"/>
  <c r="AJ1837" i="1"/>
  <c r="AM1837" i="1" s="1"/>
  <c r="AH1836" i="1"/>
  <c r="AG1836" i="1"/>
  <c r="AI1836" i="1"/>
  <c r="AE1836" i="1"/>
  <c r="AC1836" i="1"/>
  <c r="AL1836" i="1"/>
  <c r="AD1836" i="1"/>
  <c r="AJ1836" i="1"/>
  <c r="AM1836" i="1" s="1"/>
  <c r="AF1836" i="1"/>
  <c r="AH1835" i="1"/>
  <c r="AG1835" i="1"/>
  <c r="AI1835" i="1"/>
  <c r="AC1835" i="1"/>
  <c r="AD1835" i="1"/>
  <c r="AF1835" i="1"/>
  <c r="AJ1835" i="1"/>
  <c r="AL1835" i="1"/>
  <c r="AE1835" i="1"/>
  <c r="AG1834" i="1"/>
  <c r="AH1834" i="1"/>
  <c r="AI1834" i="1"/>
  <c r="AD1834" i="1"/>
  <c r="AF1834" i="1"/>
  <c r="AJ1834" i="1"/>
  <c r="AL1834" i="1"/>
  <c r="AE1834" i="1"/>
  <c r="AC1834" i="1"/>
  <c r="AG1833" i="1"/>
  <c r="AI1833" i="1"/>
  <c r="AH1833" i="1"/>
  <c r="AF1833" i="1"/>
  <c r="AC1833" i="1"/>
  <c r="AD1833" i="1"/>
  <c r="AE1833" i="1"/>
  <c r="AL1833" i="1"/>
  <c r="AJ1833" i="1"/>
  <c r="AG1832" i="1"/>
  <c r="AI1832" i="1"/>
  <c r="AH1832" i="1"/>
  <c r="AJ1832" i="1"/>
  <c r="AL1832" i="1"/>
  <c r="AF1832" i="1"/>
  <c r="AC1832" i="1"/>
  <c r="AD1832" i="1"/>
  <c r="AE1832" i="1"/>
  <c r="AG1831" i="1"/>
  <c r="AH1831" i="1"/>
  <c r="AI1831" i="1"/>
  <c r="AF1831" i="1"/>
  <c r="AE1831" i="1"/>
  <c r="AD1831" i="1"/>
  <c r="AL1831" i="1"/>
  <c r="AC1831" i="1"/>
  <c r="AJ1831" i="1"/>
  <c r="AM1831" i="1" s="1"/>
  <c r="AH1830" i="1"/>
  <c r="AG1830" i="1"/>
  <c r="AI1830" i="1"/>
  <c r="AF1830" i="1"/>
  <c r="AE1830" i="1"/>
  <c r="AJ1830" i="1"/>
  <c r="AC1830" i="1"/>
  <c r="AL1830" i="1"/>
  <c r="AD1830" i="1"/>
  <c r="AH1829" i="1"/>
  <c r="AG1829" i="1"/>
  <c r="AI1829" i="1"/>
  <c r="AE1829" i="1"/>
  <c r="AC1829" i="1"/>
  <c r="AD1829" i="1"/>
  <c r="AL1829" i="1"/>
  <c r="AF1829" i="1"/>
  <c r="AJ1829" i="1"/>
  <c r="AM1829" i="1" s="1"/>
  <c r="AI1828" i="1"/>
  <c r="AG1828" i="1"/>
  <c r="AH1828" i="1"/>
  <c r="AJ1828" i="1"/>
  <c r="AL1828" i="1"/>
  <c r="AF1828" i="1"/>
  <c r="AD1828" i="1"/>
  <c r="AC1828" i="1"/>
  <c r="AE1828" i="1"/>
  <c r="AG1827" i="1"/>
  <c r="AH1827" i="1"/>
  <c r="AI1827" i="1"/>
  <c r="AL1827" i="1"/>
  <c r="AD1827" i="1"/>
  <c r="AC1827" i="1"/>
  <c r="AJ1827" i="1"/>
  <c r="AM1827" i="1" s="1"/>
  <c r="AF1827" i="1"/>
  <c r="AE1827" i="1"/>
  <c r="AI1826" i="1"/>
  <c r="AH1826" i="1"/>
  <c r="AG1826" i="1"/>
  <c r="AL1826" i="1"/>
  <c r="AF1826" i="1"/>
  <c r="AE1826" i="1"/>
  <c r="AD1826" i="1"/>
  <c r="AC1826" i="1"/>
  <c r="AJ1826" i="1"/>
  <c r="AM1826" i="1" s="1"/>
  <c r="AI1825" i="1"/>
  <c r="AH1825" i="1"/>
  <c r="AG1825" i="1"/>
  <c r="AC1825" i="1"/>
  <c r="AD1825" i="1"/>
  <c r="AL1825" i="1"/>
  <c r="AF1825" i="1"/>
  <c r="AE1825" i="1"/>
  <c r="AJ1825" i="1"/>
  <c r="AM1825" i="1" s="1"/>
  <c r="AI1824" i="1"/>
  <c r="AG1824" i="1"/>
  <c r="AH1824" i="1"/>
  <c r="AC1824" i="1"/>
  <c r="AD1824" i="1"/>
  <c r="AE1824" i="1"/>
  <c r="AF1824" i="1"/>
  <c r="AL1824" i="1"/>
  <c r="AJ1824" i="1"/>
  <c r="AG1823" i="1"/>
  <c r="AH1823" i="1"/>
  <c r="AI1823" i="1"/>
  <c r="AJ1823" i="1"/>
  <c r="AE1823" i="1"/>
  <c r="AD1823" i="1"/>
  <c r="AC1823" i="1"/>
  <c r="AF1823" i="1"/>
  <c r="AL1823" i="1"/>
  <c r="AG1822" i="1"/>
  <c r="AI1822" i="1"/>
  <c r="AH1822" i="1"/>
  <c r="AF1822" i="1"/>
  <c r="AE1822" i="1"/>
  <c r="AC1822" i="1"/>
  <c r="AD1822" i="1"/>
  <c r="AJ1822" i="1"/>
  <c r="AL1822" i="1"/>
  <c r="AI1821" i="1"/>
  <c r="AH1821" i="1"/>
  <c r="AG1821" i="1"/>
  <c r="AL1821" i="1"/>
  <c r="AJ1821" i="1"/>
  <c r="AM1821" i="1" s="1"/>
  <c r="AE1821" i="1"/>
  <c r="AC1821" i="1"/>
  <c r="AD1821" i="1"/>
  <c r="AF1821" i="1"/>
  <c r="AI1820" i="1"/>
  <c r="AG1820" i="1"/>
  <c r="AH1820" i="1"/>
  <c r="AF1820" i="1"/>
  <c r="AJ1820" i="1"/>
  <c r="AL1820" i="1"/>
  <c r="AC1820" i="1"/>
  <c r="AD1820" i="1"/>
  <c r="AE1820" i="1"/>
  <c r="AG1819" i="1"/>
  <c r="AH1819" i="1"/>
  <c r="AI1819" i="1"/>
  <c r="AC1819" i="1"/>
  <c r="AF1819" i="1"/>
  <c r="AE1819" i="1"/>
  <c r="AD1819" i="1"/>
  <c r="AJ1819" i="1"/>
  <c r="AL1819" i="1"/>
  <c r="AH1818" i="1"/>
  <c r="AI1818" i="1"/>
  <c r="AG1818" i="1"/>
  <c r="AL1818" i="1"/>
  <c r="AJ1818" i="1"/>
  <c r="AM1818" i="1" s="1"/>
  <c r="AE1818" i="1"/>
  <c r="AD1818" i="1"/>
  <c r="AF1818" i="1"/>
  <c r="AC1818" i="1"/>
  <c r="AI1817" i="1"/>
  <c r="AG1817" i="1"/>
  <c r="AH1817" i="1"/>
  <c r="AF1817" i="1"/>
  <c r="AC1817" i="1"/>
  <c r="AD1817" i="1"/>
  <c r="AE1817" i="1"/>
  <c r="AJ1817" i="1"/>
  <c r="AL1817" i="1"/>
  <c r="AG1816" i="1"/>
  <c r="AH1816" i="1"/>
  <c r="AI1816" i="1"/>
  <c r="AJ1816" i="1"/>
  <c r="AL1816" i="1"/>
  <c r="AD1816" i="1"/>
  <c r="AE1816" i="1"/>
  <c r="AF1816" i="1"/>
  <c r="AC1816" i="1"/>
  <c r="AI1815" i="1"/>
  <c r="AH1815" i="1"/>
  <c r="AG1815" i="1"/>
  <c r="AJ1815" i="1"/>
  <c r="AL1815" i="1"/>
  <c r="AC1815" i="1"/>
  <c r="AF1815" i="1"/>
  <c r="AD1815" i="1"/>
  <c r="AE1815" i="1"/>
  <c r="AH1814" i="1"/>
  <c r="AG1814" i="1"/>
  <c r="AI1814" i="1"/>
  <c r="AE1814" i="1"/>
  <c r="AF1814" i="1"/>
  <c r="AJ1814" i="1"/>
  <c r="AL1814" i="1"/>
  <c r="AC1814" i="1"/>
  <c r="AD1814" i="1"/>
  <c r="AH1813" i="1"/>
  <c r="AI1813" i="1"/>
  <c r="AG1813" i="1"/>
  <c r="AF1813" i="1"/>
  <c r="AJ1813" i="1"/>
  <c r="AL1813" i="1"/>
  <c r="AD1813" i="1"/>
  <c r="AC1813" i="1"/>
  <c r="AE1813" i="1"/>
  <c r="AI1812" i="1"/>
  <c r="AG1812" i="1"/>
  <c r="AH1812" i="1"/>
  <c r="AC1812" i="1"/>
  <c r="AJ1812" i="1"/>
  <c r="AD1812" i="1"/>
  <c r="AL1812" i="1"/>
  <c r="AF1812" i="1"/>
  <c r="AE1812" i="1"/>
  <c r="AI1811" i="1"/>
  <c r="AG1811" i="1"/>
  <c r="AH1811" i="1"/>
  <c r="AD1811" i="1"/>
  <c r="AC1811" i="1"/>
  <c r="AE1811" i="1"/>
  <c r="AF1811" i="1"/>
  <c r="AJ1811" i="1"/>
  <c r="AL1811" i="1"/>
  <c r="AI1810" i="1"/>
  <c r="AH1810" i="1"/>
  <c r="AG1810" i="1"/>
  <c r="AJ1810" i="1"/>
  <c r="AL1810" i="1"/>
  <c r="AD1810" i="1"/>
  <c r="AC1810" i="1"/>
  <c r="AF1810" i="1"/>
  <c r="AE1810" i="1"/>
  <c r="AI1809" i="1"/>
  <c r="AG1809" i="1"/>
  <c r="AH1809" i="1"/>
  <c r="AF1809" i="1"/>
  <c r="AC1809" i="1"/>
  <c r="AE1809" i="1"/>
  <c r="AJ1809" i="1"/>
  <c r="AL1809" i="1"/>
  <c r="AD1809" i="1"/>
  <c r="AH1808" i="1"/>
  <c r="AG1808" i="1"/>
  <c r="AI1808" i="1"/>
  <c r="AJ1808" i="1"/>
  <c r="AL1808" i="1"/>
  <c r="AD1808" i="1"/>
  <c r="AF1808" i="1"/>
  <c r="AE1808" i="1"/>
  <c r="AC1808" i="1"/>
  <c r="AG1807" i="1"/>
  <c r="AH1807" i="1"/>
  <c r="AI1807" i="1"/>
  <c r="AD1807" i="1"/>
  <c r="AC1807" i="1"/>
  <c r="AE1807" i="1"/>
  <c r="AF1807" i="1"/>
  <c r="AL1807" i="1"/>
  <c r="AJ1807" i="1"/>
  <c r="AG1806" i="1"/>
  <c r="AH1806" i="1"/>
  <c r="AI1806" i="1"/>
  <c r="AE1806" i="1"/>
  <c r="AF1806" i="1"/>
  <c r="AL1806" i="1"/>
  <c r="AJ1806" i="1"/>
  <c r="AM1806" i="1" s="1"/>
  <c r="AC1806" i="1"/>
  <c r="AD1806" i="1"/>
  <c r="AG1805" i="1"/>
  <c r="AI1805" i="1"/>
  <c r="AH1805" i="1"/>
  <c r="AF1805" i="1"/>
  <c r="AC1805" i="1"/>
  <c r="AD1805" i="1"/>
  <c r="AE1805" i="1"/>
  <c r="AJ1805" i="1"/>
  <c r="AL1805" i="1"/>
  <c r="AG1804" i="1"/>
  <c r="AI1804" i="1"/>
  <c r="AH1804" i="1"/>
  <c r="AE1804" i="1"/>
  <c r="AF1804" i="1"/>
  <c r="AJ1804" i="1"/>
  <c r="AL1804" i="1"/>
  <c r="AD1804" i="1"/>
  <c r="AC1804" i="1"/>
  <c r="AI1803" i="1"/>
  <c r="AH1803" i="1"/>
  <c r="AG1803" i="1"/>
  <c r="AE1803" i="1"/>
  <c r="AJ1803" i="1"/>
  <c r="AL1803" i="1"/>
  <c r="AF1803" i="1"/>
  <c r="AD1803" i="1"/>
  <c r="AC1803" i="1"/>
  <c r="AH1802" i="1"/>
  <c r="AG1802" i="1"/>
  <c r="AI1802" i="1"/>
  <c r="AJ1802" i="1"/>
  <c r="AL1802" i="1"/>
  <c r="AE1802" i="1"/>
  <c r="AF1802" i="1"/>
  <c r="AD1802" i="1"/>
  <c r="AC1802" i="1"/>
  <c r="AH1801" i="1"/>
  <c r="AI1801" i="1"/>
  <c r="AG1801" i="1"/>
  <c r="AE1801" i="1"/>
  <c r="AC1801" i="1"/>
  <c r="AD1801" i="1"/>
  <c r="AF1801" i="1"/>
  <c r="AJ1801" i="1"/>
  <c r="AL1801" i="1"/>
  <c r="AG1800" i="1"/>
  <c r="AH1800" i="1"/>
  <c r="AI1800" i="1"/>
  <c r="AF1800" i="1"/>
  <c r="AE1800" i="1"/>
  <c r="AD1800" i="1"/>
  <c r="AC1800" i="1"/>
  <c r="AJ1800" i="1"/>
  <c r="AL1800" i="1"/>
  <c r="AI1799" i="1"/>
  <c r="AH1799" i="1"/>
  <c r="AG1799" i="1"/>
  <c r="AL1799" i="1"/>
  <c r="AJ1799" i="1"/>
  <c r="AM1799" i="1" s="1"/>
  <c r="AD1799" i="1"/>
  <c r="AF1799" i="1"/>
  <c r="AE1799" i="1"/>
  <c r="AC1799" i="1"/>
  <c r="AH1798" i="1"/>
  <c r="AG1798" i="1"/>
  <c r="AI1798" i="1"/>
  <c r="AL1798" i="1"/>
  <c r="AD1798" i="1"/>
  <c r="AJ1798" i="1"/>
  <c r="AM1798" i="1" s="1"/>
  <c r="AF1798" i="1"/>
  <c r="AC1798" i="1"/>
  <c r="AE1798" i="1"/>
  <c r="AH1797" i="1"/>
  <c r="AI1797" i="1"/>
  <c r="AG1797" i="1"/>
  <c r="AC1797" i="1"/>
  <c r="AD1797" i="1"/>
  <c r="AE1797" i="1"/>
  <c r="AF1797" i="1"/>
  <c r="AJ1797" i="1"/>
  <c r="AL1797" i="1"/>
  <c r="AI1796" i="1"/>
  <c r="AG1796" i="1"/>
  <c r="AH1796" i="1"/>
  <c r="AD1796" i="1"/>
  <c r="AF1796" i="1"/>
  <c r="AL1796" i="1"/>
  <c r="AE1796" i="1"/>
  <c r="AJ1796" i="1"/>
  <c r="AM1796" i="1" s="1"/>
  <c r="AC1796" i="1"/>
  <c r="AG1795" i="1"/>
  <c r="AH1795" i="1"/>
  <c r="AI1795" i="1"/>
  <c r="AF1795" i="1"/>
  <c r="AJ1795" i="1"/>
  <c r="AD1795" i="1"/>
  <c r="AC1795" i="1"/>
  <c r="AE1795" i="1"/>
  <c r="AL1795" i="1"/>
  <c r="AI1794" i="1"/>
  <c r="AH1794" i="1"/>
  <c r="AG1794" i="1"/>
  <c r="AJ1794" i="1"/>
  <c r="AL1794" i="1"/>
  <c r="AF1794" i="1"/>
  <c r="AE1794" i="1"/>
  <c r="AD1794" i="1"/>
  <c r="AC1794" i="1"/>
  <c r="AH1793" i="1"/>
  <c r="AI1793" i="1"/>
  <c r="AG1793" i="1"/>
  <c r="AJ1793" i="1"/>
  <c r="AL1793" i="1"/>
  <c r="AF1793" i="1"/>
  <c r="AE1793" i="1"/>
  <c r="AD1793" i="1"/>
  <c r="AC1793" i="1"/>
  <c r="AG1792" i="1"/>
  <c r="AI1792" i="1"/>
  <c r="AH1792" i="1"/>
  <c r="AF1792" i="1"/>
  <c r="AE1792" i="1"/>
  <c r="AL1792" i="1"/>
  <c r="AD1792" i="1"/>
  <c r="AC1792" i="1"/>
  <c r="AJ1792" i="1"/>
  <c r="AM1792" i="1" s="1"/>
  <c r="AG1791" i="1"/>
  <c r="AH1791" i="1"/>
  <c r="AI1791" i="1"/>
  <c r="AJ1791" i="1"/>
  <c r="AC1791" i="1"/>
  <c r="AE1791" i="1"/>
  <c r="AF1791" i="1"/>
  <c r="AL1791" i="1"/>
  <c r="AD1791" i="1"/>
  <c r="AI1790" i="1"/>
  <c r="AG1790" i="1"/>
  <c r="AH1790" i="1"/>
  <c r="AD1790" i="1"/>
  <c r="AC1790" i="1"/>
  <c r="AL1790" i="1"/>
  <c r="AJ1790" i="1"/>
  <c r="AF1790" i="1"/>
  <c r="AE1790" i="1"/>
  <c r="AG1789" i="1"/>
  <c r="AH1789" i="1"/>
  <c r="AI1789" i="1"/>
  <c r="AL1789" i="1"/>
  <c r="AC1789" i="1"/>
  <c r="AD1789" i="1"/>
  <c r="AE1789" i="1"/>
  <c r="AF1789" i="1"/>
  <c r="AJ1789" i="1"/>
  <c r="AM1789" i="1" s="1"/>
  <c r="AH1788" i="1"/>
  <c r="AG1788" i="1"/>
  <c r="AI1788" i="1"/>
  <c r="AF1788" i="1"/>
  <c r="AC1788" i="1"/>
  <c r="AD1788" i="1"/>
  <c r="AE1788" i="1"/>
  <c r="AJ1788" i="1"/>
  <c r="AL1788" i="1"/>
  <c r="AH1787" i="1"/>
  <c r="AI1787" i="1"/>
  <c r="AG1787" i="1"/>
  <c r="AC1787" i="1"/>
  <c r="AF1787" i="1"/>
  <c r="AE1787" i="1"/>
  <c r="AD1787" i="1"/>
  <c r="AL1787" i="1"/>
  <c r="AJ1787" i="1"/>
  <c r="AG1786" i="1"/>
  <c r="AI1786" i="1"/>
  <c r="AH1786" i="1"/>
  <c r="AD1786" i="1"/>
  <c r="AC1786" i="1"/>
  <c r="AL1786" i="1"/>
  <c r="AJ1786" i="1"/>
  <c r="AM1786" i="1" s="1"/>
  <c r="AF1786" i="1"/>
  <c r="AE1786" i="1"/>
  <c r="AH1785" i="1"/>
  <c r="AG1785" i="1"/>
  <c r="AI1785" i="1"/>
  <c r="AJ1785" i="1"/>
  <c r="AF1785" i="1"/>
  <c r="AE1785" i="1"/>
  <c r="AC1785" i="1"/>
  <c r="AD1785" i="1"/>
  <c r="AL1785" i="1"/>
  <c r="AG1784" i="1"/>
  <c r="AH1784" i="1"/>
  <c r="AI1784" i="1"/>
  <c r="AC1784" i="1"/>
  <c r="AD1784" i="1"/>
  <c r="AE1784" i="1"/>
  <c r="AF1784" i="1"/>
  <c r="AJ1784" i="1"/>
  <c r="AL1784" i="1"/>
  <c r="AG1783" i="1"/>
  <c r="AH1783" i="1"/>
  <c r="AI1783" i="1"/>
  <c r="AC1783" i="1"/>
  <c r="AJ1783" i="1"/>
  <c r="AL1783" i="1"/>
  <c r="AD1783" i="1"/>
  <c r="AE1783" i="1"/>
  <c r="AF1783" i="1"/>
  <c r="AG1782" i="1"/>
  <c r="AH1782" i="1"/>
  <c r="AI1782" i="1"/>
  <c r="AE1782" i="1"/>
  <c r="AF1782" i="1"/>
  <c r="AD1782" i="1"/>
  <c r="AL1782" i="1"/>
  <c r="AJ1782" i="1"/>
  <c r="AM1782" i="1" s="1"/>
  <c r="AC1782" i="1"/>
  <c r="AG1781" i="1"/>
  <c r="AI1781" i="1"/>
  <c r="AH1781" i="1"/>
  <c r="AD1781" i="1"/>
  <c r="AL1781" i="1"/>
  <c r="AJ1781" i="1"/>
  <c r="AM1781" i="1" s="1"/>
  <c r="AE1781" i="1"/>
  <c r="AC1781" i="1"/>
  <c r="AF1781" i="1"/>
  <c r="AI1780" i="1"/>
  <c r="AH1780" i="1"/>
  <c r="AG1780" i="1"/>
  <c r="AL1780" i="1"/>
  <c r="AJ1780" i="1"/>
  <c r="AM1780" i="1" s="1"/>
  <c r="AF1780" i="1"/>
  <c r="AE1780" i="1"/>
  <c r="AD1780" i="1"/>
  <c r="AC1780" i="1"/>
  <c r="AI1779" i="1"/>
  <c r="AG1779" i="1"/>
  <c r="AH1779" i="1"/>
  <c r="AC1779" i="1"/>
  <c r="AD1779" i="1"/>
  <c r="AE1779" i="1"/>
  <c r="AF1779" i="1"/>
  <c r="AJ1779" i="1"/>
  <c r="AL1779" i="1"/>
  <c r="AG1778" i="1"/>
  <c r="AI1778" i="1"/>
  <c r="AH1778" i="1"/>
  <c r="AC1778" i="1"/>
  <c r="AD1778" i="1"/>
  <c r="AE1778" i="1"/>
  <c r="AF1778" i="1"/>
  <c r="AJ1778" i="1"/>
  <c r="AL1778" i="1"/>
  <c r="AH1777" i="1"/>
  <c r="AG1777" i="1"/>
  <c r="AI1777" i="1"/>
  <c r="AC1777" i="1"/>
  <c r="AD1777" i="1"/>
  <c r="AJ1777" i="1"/>
  <c r="AE1777" i="1"/>
  <c r="AF1777" i="1"/>
  <c r="AL1777" i="1"/>
  <c r="AH1776" i="1"/>
  <c r="AG1776" i="1"/>
  <c r="AI1776" i="1"/>
  <c r="AC1776" i="1"/>
  <c r="AD1776" i="1"/>
  <c r="AE1776" i="1"/>
  <c r="AF1776" i="1"/>
  <c r="AJ1776" i="1"/>
  <c r="AL1776" i="1"/>
  <c r="AI1775" i="1"/>
  <c r="AH1775" i="1"/>
  <c r="AG1775" i="1"/>
  <c r="AJ1775" i="1"/>
  <c r="AF1775" i="1"/>
  <c r="AE1775" i="1"/>
  <c r="AC1775" i="1"/>
  <c r="AD1775" i="1"/>
  <c r="AL1775" i="1"/>
  <c r="AG1774" i="1"/>
  <c r="AH1774" i="1"/>
  <c r="AI1774" i="1"/>
  <c r="AC1774" i="1"/>
  <c r="AE1774" i="1"/>
  <c r="AF1774" i="1"/>
  <c r="AJ1774" i="1"/>
  <c r="AL1774" i="1"/>
  <c r="AD1774" i="1"/>
  <c r="AG1773" i="1"/>
  <c r="AH1773" i="1"/>
  <c r="AI1773" i="1"/>
  <c r="AC1773" i="1"/>
  <c r="AD1773" i="1"/>
  <c r="AL1773" i="1"/>
  <c r="AE1773" i="1"/>
  <c r="AF1773" i="1"/>
  <c r="AJ1773" i="1"/>
  <c r="AM1773" i="1" s="1"/>
  <c r="AI1772" i="1"/>
  <c r="AH1772" i="1"/>
  <c r="AG1772" i="1"/>
  <c r="AD1772" i="1"/>
  <c r="AE1772" i="1"/>
  <c r="AL1772" i="1"/>
  <c r="AJ1772" i="1"/>
  <c r="AM1772" i="1" s="1"/>
  <c r="AC1772" i="1"/>
  <c r="AF1772" i="1"/>
  <c r="AH1771" i="1"/>
  <c r="AG1771" i="1"/>
  <c r="AI1771" i="1"/>
  <c r="AJ1771" i="1"/>
  <c r="AF1771" i="1"/>
  <c r="AE1771" i="1"/>
  <c r="AL1771" i="1"/>
  <c r="AD1771" i="1"/>
  <c r="AC1771" i="1"/>
  <c r="AG1770" i="1"/>
  <c r="AI1770" i="1"/>
  <c r="AH1770" i="1"/>
  <c r="AE1770" i="1"/>
  <c r="AC1770" i="1"/>
  <c r="AD1770" i="1"/>
  <c r="AL1770" i="1"/>
  <c r="AJ1770" i="1"/>
  <c r="AM1770" i="1" s="1"/>
  <c r="AF1770" i="1"/>
  <c r="AI1769" i="1"/>
  <c r="AH1769" i="1"/>
  <c r="AG1769" i="1"/>
  <c r="AL1769" i="1"/>
  <c r="AJ1769" i="1"/>
  <c r="AF1769" i="1"/>
  <c r="AE1769" i="1"/>
  <c r="AD1769" i="1"/>
  <c r="AC1769" i="1"/>
  <c r="AI1768" i="1"/>
  <c r="AH1768" i="1"/>
  <c r="AG1768" i="1"/>
  <c r="AL1768" i="1"/>
  <c r="AJ1768" i="1"/>
  <c r="AF1768" i="1"/>
  <c r="AE1768" i="1"/>
  <c r="AD1768" i="1"/>
  <c r="AC1768" i="1"/>
  <c r="AG1767" i="1"/>
  <c r="AI1767" i="1"/>
  <c r="AH1767" i="1"/>
  <c r="AD1767" i="1"/>
  <c r="AC1767" i="1"/>
  <c r="AE1767" i="1"/>
  <c r="AF1767" i="1"/>
  <c r="AJ1767" i="1"/>
  <c r="AL1767" i="1"/>
  <c r="AI1766" i="1"/>
  <c r="AH1766" i="1"/>
  <c r="AG1766" i="1"/>
  <c r="AJ1766" i="1"/>
  <c r="AL1766" i="1"/>
  <c r="AD1766" i="1"/>
  <c r="AF1766" i="1"/>
  <c r="AE1766" i="1"/>
  <c r="AC1766" i="1"/>
  <c r="AH1765" i="1"/>
  <c r="AG1765" i="1"/>
  <c r="AI1765" i="1"/>
  <c r="AC1765" i="1"/>
  <c r="AD1765" i="1"/>
  <c r="AL1765" i="1"/>
  <c r="AJ1765" i="1"/>
  <c r="AM1765" i="1" s="1"/>
  <c r="AF1765" i="1"/>
  <c r="AE1765" i="1"/>
  <c r="AG1764" i="1"/>
  <c r="AH1764" i="1"/>
  <c r="AI1764" i="1"/>
  <c r="AD1764" i="1"/>
  <c r="AL1764" i="1"/>
  <c r="AF1764" i="1"/>
  <c r="AC1764" i="1"/>
  <c r="AJ1764" i="1"/>
  <c r="AE1764" i="1"/>
  <c r="AH1763" i="1"/>
  <c r="AG1763" i="1"/>
  <c r="AI1763" i="1"/>
  <c r="AL1763" i="1"/>
  <c r="AJ1763" i="1"/>
  <c r="AM1763" i="1" s="1"/>
  <c r="AF1763" i="1"/>
  <c r="AE1763" i="1"/>
  <c r="AC1763" i="1"/>
  <c r="AD1763" i="1"/>
  <c r="AI1762" i="1"/>
  <c r="AH1762" i="1"/>
  <c r="AG1762" i="1"/>
  <c r="AC1762" i="1"/>
  <c r="AL1762" i="1"/>
  <c r="AF1762" i="1"/>
  <c r="AE1762" i="1"/>
  <c r="AD1762" i="1"/>
  <c r="AJ1762" i="1"/>
  <c r="AM1762" i="1" s="1"/>
  <c r="AG1761" i="1"/>
  <c r="AI1761" i="1"/>
  <c r="AH1761" i="1"/>
  <c r="AL1761" i="1"/>
  <c r="AJ1761" i="1"/>
  <c r="AM1761" i="1" s="1"/>
  <c r="AF1761" i="1"/>
  <c r="AE1761" i="1"/>
  <c r="AD1761" i="1"/>
  <c r="AC1761" i="1"/>
  <c r="AH1760" i="1"/>
  <c r="AG1760" i="1"/>
  <c r="AI1760" i="1"/>
  <c r="AE1760" i="1"/>
  <c r="AL1760" i="1"/>
  <c r="AJ1760" i="1"/>
  <c r="AF1760" i="1"/>
  <c r="AD1760" i="1"/>
  <c r="AC1760" i="1"/>
  <c r="AI1759" i="1"/>
  <c r="AH1759" i="1"/>
  <c r="AG1759" i="1"/>
  <c r="AL1759" i="1"/>
  <c r="AJ1759" i="1"/>
  <c r="AM1759" i="1" s="1"/>
  <c r="AF1759" i="1"/>
  <c r="AE1759" i="1"/>
  <c r="AD1759" i="1"/>
  <c r="AC1759" i="1"/>
  <c r="AH1758" i="1"/>
  <c r="AG1758" i="1"/>
  <c r="AI1758" i="1"/>
  <c r="AL1758" i="1"/>
  <c r="AD1758" i="1"/>
  <c r="AC1758" i="1"/>
  <c r="AJ1758" i="1"/>
  <c r="AM1758" i="1" s="1"/>
  <c r="AF1758" i="1"/>
  <c r="AE1758" i="1"/>
  <c r="AG1757" i="1"/>
  <c r="AH1757" i="1"/>
  <c r="AI1757" i="1"/>
  <c r="AC1757" i="1"/>
  <c r="AD1757" i="1"/>
  <c r="AE1757" i="1"/>
  <c r="AF1757" i="1"/>
  <c r="AJ1757" i="1"/>
  <c r="AL1757" i="1"/>
  <c r="AI1756" i="1"/>
  <c r="AH1756" i="1"/>
  <c r="AG1756" i="1"/>
  <c r="AC1756" i="1"/>
  <c r="AD1756" i="1"/>
  <c r="AF1756" i="1"/>
  <c r="AJ1756" i="1"/>
  <c r="AL1756" i="1"/>
  <c r="AE1756" i="1"/>
  <c r="AI1755" i="1"/>
  <c r="AG1755" i="1"/>
  <c r="AH1755" i="1"/>
  <c r="AJ1755" i="1"/>
  <c r="AL1755" i="1"/>
  <c r="AD1755" i="1"/>
  <c r="AE1755" i="1"/>
  <c r="AF1755" i="1"/>
  <c r="AC1755" i="1"/>
  <c r="AG1754" i="1"/>
  <c r="AH1754" i="1"/>
  <c r="AI1754" i="1"/>
  <c r="AL1754" i="1"/>
  <c r="AF1754" i="1"/>
  <c r="AD1754" i="1"/>
  <c r="AC1754" i="1"/>
  <c r="AE1754" i="1"/>
  <c r="AJ1754" i="1"/>
  <c r="AM1754" i="1" s="1"/>
  <c r="AI1753" i="1"/>
  <c r="AH1753" i="1"/>
  <c r="AG1753" i="1"/>
  <c r="AL1753" i="1"/>
  <c r="AJ1753" i="1"/>
  <c r="AM1753" i="1" s="1"/>
  <c r="AE1753" i="1"/>
  <c r="AD1753" i="1"/>
  <c r="AC1753" i="1"/>
  <c r="AF1753" i="1"/>
  <c r="AH1752" i="1"/>
  <c r="AG1752" i="1"/>
  <c r="AI1752" i="1"/>
  <c r="AJ1752" i="1"/>
  <c r="AF1752" i="1"/>
  <c r="AE1752" i="1"/>
  <c r="AD1752" i="1"/>
  <c r="AC1752" i="1"/>
  <c r="AL1752" i="1"/>
  <c r="AI1751" i="1"/>
  <c r="AH1751" i="1"/>
  <c r="AG1751" i="1"/>
  <c r="AL1751" i="1"/>
  <c r="AJ1751" i="1"/>
  <c r="AE1751" i="1"/>
  <c r="AD1751" i="1"/>
  <c r="AC1751" i="1"/>
  <c r="AF1751" i="1"/>
  <c r="AG1750" i="1"/>
  <c r="AI1750" i="1"/>
  <c r="AH1750" i="1"/>
  <c r="AL1750" i="1"/>
  <c r="AJ1750" i="1"/>
  <c r="AF1750" i="1"/>
  <c r="AE1750" i="1"/>
  <c r="AD1750" i="1"/>
  <c r="AC1750" i="1"/>
  <c r="AG1749" i="1"/>
  <c r="AI1749" i="1"/>
  <c r="AH1749" i="1"/>
  <c r="AE1749" i="1"/>
  <c r="AD1749" i="1"/>
  <c r="AC1749" i="1"/>
  <c r="AL1749" i="1"/>
  <c r="AJ1749" i="1"/>
  <c r="AF1749" i="1"/>
  <c r="AI1748" i="1"/>
  <c r="AH1748" i="1"/>
  <c r="AG1748" i="1"/>
  <c r="AC1748" i="1"/>
  <c r="AD1748" i="1"/>
  <c r="AE1748" i="1"/>
  <c r="AF1748" i="1"/>
  <c r="AJ1748" i="1"/>
  <c r="AL1748" i="1"/>
  <c r="AG1747" i="1"/>
  <c r="AI1747" i="1"/>
  <c r="AH1747" i="1"/>
  <c r="AD1747" i="1"/>
  <c r="AE1747" i="1"/>
  <c r="AL1747" i="1"/>
  <c r="AC1747" i="1"/>
  <c r="AF1747" i="1"/>
  <c r="AJ1747" i="1"/>
  <c r="AM1747" i="1" s="1"/>
  <c r="AI1746" i="1"/>
  <c r="AH1746" i="1"/>
  <c r="AG1746" i="1"/>
  <c r="AL1746" i="1"/>
  <c r="AJ1746" i="1"/>
  <c r="AM1746" i="1" s="1"/>
  <c r="AF1746" i="1"/>
  <c r="AE1746" i="1"/>
  <c r="AD1746" i="1"/>
  <c r="AC1746" i="1"/>
  <c r="AG1745" i="1"/>
  <c r="AH1745" i="1"/>
  <c r="AI1745" i="1"/>
  <c r="AF1745" i="1"/>
  <c r="AC1745" i="1"/>
  <c r="AD1745" i="1"/>
  <c r="AE1745" i="1"/>
  <c r="AL1745" i="1"/>
  <c r="AJ1745" i="1"/>
  <c r="AM1745" i="1" s="1"/>
  <c r="AG1744" i="1"/>
  <c r="AI1744" i="1"/>
  <c r="AH1744" i="1"/>
  <c r="AE1744" i="1"/>
  <c r="AF1744" i="1"/>
  <c r="AL1744" i="1"/>
  <c r="AJ1744" i="1"/>
  <c r="AM1744" i="1" s="1"/>
  <c r="AD1744" i="1"/>
  <c r="AC1744" i="1"/>
  <c r="AI1743" i="1"/>
  <c r="AG1743" i="1"/>
  <c r="AH1743" i="1"/>
  <c r="AJ1743" i="1"/>
  <c r="AC1743" i="1"/>
  <c r="AD1743" i="1"/>
  <c r="AE1743" i="1"/>
  <c r="AF1743" i="1"/>
  <c r="AL1743" i="1"/>
  <c r="AG1742" i="1"/>
  <c r="AI1742" i="1"/>
  <c r="AH1742" i="1"/>
  <c r="AL1742" i="1"/>
  <c r="AJ1742" i="1"/>
  <c r="AF1742" i="1"/>
  <c r="AE1742" i="1"/>
  <c r="AD1742" i="1"/>
  <c r="AC1742" i="1"/>
  <c r="AI1741" i="1"/>
  <c r="AH1741" i="1"/>
  <c r="AG1741" i="1"/>
  <c r="AC1741" i="1"/>
  <c r="AL1741" i="1"/>
  <c r="AJ1741" i="1"/>
  <c r="AM1741" i="1" s="1"/>
  <c r="AF1741" i="1"/>
  <c r="AE1741" i="1"/>
  <c r="AD1741" i="1"/>
  <c r="AG1740" i="1"/>
  <c r="AI1740" i="1"/>
  <c r="AH1740" i="1"/>
  <c r="AF1740" i="1"/>
  <c r="AE1740" i="1"/>
  <c r="AD1740" i="1"/>
  <c r="AC1740" i="1"/>
  <c r="AL1740" i="1"/>
  <c r="AJ1740" i="1"/>
  <c r="AG1739" i="1"/>
  <c r="AI1739" i="1"/>
  <c r="AH1739" i="1"/>
  <c r="AJ1739" i="1"/>
  <c r="AL1739" i="1"/>
  <c r="AF1739" i="1"/>
  <c r="AE1739" i="1"/>
  <c r="AD1739" i="1"/>
  <c r="AC1739" i="1"/>
  <c r="AI1738" i="1"/>
  <c r="AH1738" i="1"/>
  <c r="AG1738" i="1"/>
  <c r="AC1738" i="1"/>
  <c r="AD1738" i="1"/>
  <c r="AE1738" i="1"/>
  <c r="AF1738" i="1"/>
  <c r="AJ1738" i="1"/>
  <c r="AL1738" i="1"/>
  <c r="AH1737" i="1"/>
  <c r="AG1737" i="1"/>
  <c r="AI1737" i="1"/>
  <c r="AJ1737" i="1"/>
  <c r="AL1737" i="1"/>
  <c r="AD1737" i="1"/>
  <c r="AC1737" i="1"/>
  <c r="AE1737" i="1"/>
  <c r="AF1737" i="1"/>
  <c r="AG1736" i="1"/>
  <c r="AH1736" i="1"/>
  <c r="AI1736" i="1"/>
  <c r="AC1736" i="1"/>
  <c r="AD1736" i="1"/>
  <c r="AE1736" i="1"/>
  <c r="AF1736" i="1"/>
  <c r="AJ1736" i="1"/>
  <c r="AL1736" i="1"/>
  <c r="AG1735" i="1"/>
  <c r="AI1735" i="1"/>
  <c r="AH1735" i="1"/>
  <c r="AC1735" i="1"/>
  <c r="AE1735" i="1"/>
  <c r="AD1735" i="1"/>
  <c r="AF1735" i="1"/>
  <c r="AJ1735" i="1"/>
  <c r="AL1735" i="1"/>
  <c r="AH1734" i="1"/>
  <c r="AG1734" i="1"/>
  <c r="AI1734" i="1"/>
  <c r="AF1734" i="1"/>
  <c r="AJ1734" i="1"/>
  <c r="AL1734" i="1"/>
  <c r="AE1734" i="1"/>
  <c r="AC1734" i="1"/>
  <c r="AD1734" i="1"/>
  <c r="AG1733" i="1"/>
  <c r="AI1733" i="1"/>
  <c r="AH1733" i="1"/>
  <c r="AL1733" i="1"/>
  <c r="AJ1733" i="1"/>
  <c r="AD1733" i="1"/>
  <c r="AF1733" i="1"/>
  <c r="AE1733" i="1"/>
  <c r="AC1733" i="1"/>
  <c r="AI1732" i="1"/>
  <c r="AH1732" i="1"/>
  <c r="AG1732" i="1"/>
  <c r="AD1732" i="1"/>
  <c r="AL1732" i="1"/>
  <c r="AJ1732" i="1"/>
  <c r="AF1732" i="1"/>
  <c r="AE1732" i="1"/>
  <c r="AC1732" i="1"/>
  <c r="AG1731" i="1"/>
  <c r="AI1731" i="1"/>
  <c r="AH1731" i="1"/>
  <c r="AE1731" i="1"/>
  <c r="AF1731" i="1"/>
  <c r="AL1731" i="1"/>
  <c r="AJ1731" i="1"/>
  <c r="AC1731" i="1"/>
  <c r="AD1731" i="1"/>
  <c r="AH1730" i="1"/>
  <c r="AG1730" i="1"/>
  <c r="AI1730" i="1"/>
  <c r="AF1730" i="1"/>
  <c r="AE1730" i="1"/>
  <c r="AD1730" i="1"/>
  <c r="AL1730" i="1"/>
  <c r="AC1730" i="1"/>
  <c r="AJ1730" i="1"/>
  <c r="AM1730" i="1" s="1"/>
  <c r="AG1729" i="1"/>
  <c r="AI1729" i="1"/>
  <c r="AH1729" i="1"/>
  <c r="AC1729" i="1"/>
  <c r="AE1729" i="1"/>
  <c r="AL1729" i="1"/>
  <c r="AD1729" i="1"/>
  <c r="AF1729" i="1"/>
  <c r="AJ1729" i="1"/>
  <c r="AM1729" i="1" s="1"/>
  <c r="AH1728" i="1"/>
  <c r="AG1728" i="1"/>
  <c r="AI1728" i="1"/>
  <c r="AC1728" i="1"/>
  <c r="AD1728" i="1"/>
  <c r="AF1728" i="1"/>
  <c r="AJ1728" i="1"/>
  <c r="AE1728" i="1"/>
  <c r="AL1728" i="1"/>
  <c r="AH1727" i="1"/>
  <c r="AG1727" i="1"/>
  <c r="AI1727" i="1"/>
  <c r="AL1727" i="1"/>
  <c r="AJ1727" i="1"/>
  <c r="AF1727" i="1"/>
  <c r="AE1727" i="1"/>
  <c r="AD1727" i="1"/>
  <c r="AC1727" i="1"/>
  <c r="AH1726" i="1"/>
  <c r="AG1726" i="1"/>
  <c r="AI1726" i="1"/>
  <c r="AF1726" i="1"/>
  <c r="AD1726" i="1"/>
  <c r="AC1726" i="1"/>
  <c r="AE1726" i="1"/>
  <c r="AJ1726" i="1"/>
  <c r="AL1726" i="1"/>
  <c r="AI1725" i="1"/>
  <c r="AH1725" i="1"/>
  <c r="AG1725" i="1"/>
  <c r="AL1725" i="1"/>
  <c r="AF1725" i="1"/>
  <c r="AE1725" i="1"/>
  <c r="AD1725" i="1"/>
  <c r="AC1725" i="1"/>
  <c r="AJ1725" i="1"/>
  <c r="AM1725" i="1" s="1"/>
  <c r="AI1724" i="1"/>
  <c r="AH1724" i="1"/>
  <c r="AG1724" i="1"/>
  <c r="AJ1724" i="1"/>
  <c r="AF1724" i="1"/>
  <c r="AE1724" i="1"/>
  <c r="AD1724" i="1"/>
  <c r="AC1724" i="1"/>
  <c r="AL1724" i="1"/>
  <c r="AI1723" i="1"/>
  <c r="AH1723" i="1"/>
  <c r="AG1723" i="1"/>
  <c r="AJ1723" i="1"/>
  <c r="AD1723" i="1"/>
  <c r="AF1723" i="1"/>
  <c r="AE1723" i="1"/>
  <c r="AC1723" i="1"/>
  <c r="AL1723" i="1"/>
  <c r="AI1722" i="1"/>
  <c r="AG1722" i="1"/>
  <c r="AH1722" i="1"/>
  <c r="AJ1722" i="1"/>
  <c r="AF1722" i="1"/>
  <c r="AE1722" i="1"/>
  <c r="AD1722" i="1"/>
  <c r="AC1722" i="1"/>
  <c r="AL1722" i="1"/>
  <c r="AH1721" i="1"/>
  <c r="AG1721" i="1"/>
  <c r="AI1721" i="1"/>
  <c r="AL1721" i="1"/>
  <c r="AD1721" i="1"/>
  <c r="AJ1721" i="1"/>
  <c r="AM1721" i="1" s="1"/>
  <c r="AF1721" i="1"/>
  <c r="AE1721" i="1"/>
  <c r="AC1721" i="1"/>
  <c r="AG1720" i="1"/>
  <c r="AH1720" i="1"/>
  <c r="AI1720" i="1"/>
  <c r="AD1720" i="1"/>
  <c r="AE1720" i="1"/>
  <c r="AF1720" i="1"/>
  <c r="AJ1720" i="1"/>
  <c r="AL1720" i="1"/>
  <c r="AC1720" i="1"/>
  <c r="AH1719" i="1"/>
  <c r="AG1719" i="1"/>
  <c r="AI1719" i="1"/>
  <c r="AF1719" i="1"/>
  <c r="AE1719" i="1"/>
  <c r="AC1719" i="1"/>
  <c r="AJ1719" i="1"/>
  <c r="AL1719" i="1"/>
  <c r="AD1719" i="1"/>
  <c r="AH1718" i="1"/>
  <c r="AG1718" i="1"/>
  <c r="AI1718" i="1"/>
  <c r="AL1718" i="1"/>
  <c r="AJ1718" i="1"/>
  <c r="AE1718" i="1"/>
  <c r="AC1718" i="1"/>
  <c r="AF1718" i="1"/>
  <c r="AD1718" i="1"/>
  <c r="AI1717" i="1"/>
  <c r="AH1717" i="1"/>
  <c r="AG1717" i="1"/>
  <c r="AL1717" i="1"/>
  <c r="AJ1717" i="1"/>
  <c r="AF1717" i="1"/>
  <c r="AE1717" i="1"/>
  <c r="AD1717" i="1"/>
  <c r="AC1717" i="1"/>
  <c r="AI1716" i="1"/>
  <c r="AH1716" i="1"/>
  <c r="AG1716" i="1"/>
  <c r="AL1716" i="1"/>
  <c r="AJ1716" i="1"/>
  <c r="AF1716" i="1"/>
  <c r="AE1716" i="1"/>
  <c r="AD1716" i="1"/>
  <c r="AC1716" i="1"/>
  <c r="AI1715" i="1"/>
  <c r="AH1715" i="1"/>
  <c r="AG1715" i="1"/>
  <c r="AE1715" i="1"/>
  <c r="AD1715" i="1"/>
  <c r="AC1715" i="1"/>
  <c r="AJ1715" i="1"/>
  <c r="AL1715" i="1"/>
  <c r="AF1715" i="1"/>
  <c r="AG1714" i="1"/>
  <c r="AH1714" i="1"/>
  <c r="AI1714" i="1"/>
  <c r="AF1714" i="1"/>
  <c r="AE1714" i="1"/>
  <c r="AD1714" i="1"/>
  <c r="AC1714" i="1"/>
  <c r="AJ1714" i="1"/>
  <c r="AL1714" i="1"/>
  <c r="AH1713" i="1"/>
  <c r="AG1713" i="1"/>
  <c r="AI1713" i="1"/>
  <c r="AD1713" i="1"/>
  <c r="AC1713" i="1"/>
  <c r="AJ1713" i="1"/>
  <c r="AL1713" i="1"/>
  <c r="AF1713" i="1"/>
  <c r="AE1713" i="1"/>
  <c r="AI1712" i="1"/>
  <c r="AH1712" i="1"/>
  <c r="AG1712" i="1"/>
  <c r="AD1712" i="1"/>
  <c r="AC1712" i="1"/>
  <c r="AJ1712" i="1"/>
  <c r="AF1712" i="1"/>
  <c r="AL1712" i="1"/>
  <c r="AE1712" i="1"/>
  <c r="AI1711" i="1"/>
  <c r="AH1711" i="1"/>
  <c r="AG1711" i="1"/>
  <c r="AL1711" i="1"/>
  <c r="AF1711" i="1"/>
  <c r="AE1711" i="1"/>
  <c r="AC1711" i="1"/>
  <c r="AD1711" i="1"/>
  <c r="AJ1711" i="1"/>
  <c r="AM1711" i="1" s="1"/>
  <c r="AI1710" i="1"/>
  <c r="AH1710" i="1"/>
  <c r="AG1710" i="1"/>
  <c r="AL1710" i="1"/>
  <c r="AF1710" i="1"/>
  <c r="AE1710" i="1"/>
  <c r="AD1710" i="1"/>
  <c r="AC1710" i="1"/>
  <c r="AJ1710" i="1"/>
  <c r="AM1710" i="1" s="1"/>
  <c r="AI1709" i="1"/>
  <c r="AH1709" i="1"/>
  <c r="AG1709" i="1"/>
  <c r="AJ1709" i="1"/>
  <c r="AL1709" i="1"/>
  <c r="AE1709" i="1"/>
  <c r="AD1709" i="1"/>
  <c r="AC1709" i="1"/>
  <c r="AF1709" i="1"/>
  <c r="AG1708" i="1"/>
  <c r="AH1708" i="1"/>
  <c r="AI1708" i="1"/>
  <c r="AJ1708" i="1"/>
  <c r="AF1708" i="1"/>
  <c r="AD1708" i="1"/>
  <c r="AE1708" i="1"/>
  <c r="AL1708" i="1"/>
  <c r="AC1708" i="1"/>
  <c r="AI1707" i="1"/>
  <c r="AH1707" i="1"/>
  <c r="AG1707" i="1"/>
  <c r="AL1707" i="1"/>
  <c r="AF1707" i="1"/>
  <c r="AE1707" i="1"/>
  <c r="AJ1707" i="1"/>
  <c r="AM1707" i="1" s="1"/>
  <c r="AC1707" i="1"/>
  <c r="AD1707" i="1"/>
  <c r="AI1706" i="1"/>
  <c r="AH1706" i="1"/>
  <c r="AG1706" i="1"/>
  <c r="AL1706" i="1"/>
  <c r="AJ1706" i="1"/>
  <c r="AF1706" i="1"/>
  <c r="AD1706" i="1"/>
  <c r="AC1706" i="1"/>
  <c r="AE1706" i="1"/>
  <c r="AG1705" i="1"/>
  <c r="AH1705" i="1"/>
  <c r="AI1705" i="1"/>
  <c r="AL1705" i="1"/>
  <c r="AC1705" i="1"/>
  <c r="AE1705" i="1"/>
  <c r="AF1705" i="1"/>
  <c r="AJ1705" i="1"/>
  <c r="AM1705" i="1" s="1"/>
  <c r="AD1705" i="1"/>
  <c r="AH1704" i="1"/>
  <c r="AI1704" i="1"/>
  <c r="AG1704" i="1"/>
  <c r="AL1704" i="1"/>
  <c r="AC1704" i="1"/>
  <c r="AD1704" i="1"/>
  <c r="AE1704" i="1"/>
  <c r="AF1704" i="1"/>
  <c r="AJ1704" i="1"/>
  <c r="AM1704" i="1" s="1"/>
  <c r="AH1703" i="1"/>
  <c r="AG1703" i="1"/>
  <c r="AI1703" i="1"/>
  <c r="AF1703" i="1"/>
  <c r="AE1703" i="1"/>
  <c r="AC1703" i="1"/>
  <c r="AL1703" i="1"/>
  <c r="AJ1703" i="1"/>
  <c r="AD1703" i="1"/>
  <c r="AH1702" i="1"/>
  <c r="AG1702" i="1"/>
  <c r="AI1702" i="1"/>
  <c r="AF1702" i="1"/>
  <c r="AC1702" i="1"/>
  <c r="AD1702" i="1"/>
  <c r="AE1702" i="1"/>
  <c r="AJ1702" i="1"/>
  <c r="AL1702" i="1"/>
  <c r="AG1701" i="1"/>
  <c r="AH1701" i="1"/>
  <c r="AI1701" i="1"/>
  <c r="AD1701" i="1"/>
  <c r="AE1701" i="1"/>
  <c r="AF1701" i="1"/>
  <c r="AJ1701" i="1"/>
  <c r="AL1701" i="1"/>
  <c r="AC1701" i="1"/>
  <c r="AG1700" i="1"/>
  <c r="AI1700" i="1"/>
  <c r="AH1700" i="1"/>
  <c r="AD1700" i="1"/>
  <c r="AC1700" i="1"/>
  <c r="AF1700" i="1"/>
  <c r="AJ1700" i="1"/>
  <c r="AL1700" i="1"/>
  <c r="AE1700" i="1"/>
  <c r="AH1699" i="1"/>
  <c r="AG1699" i="1"/>
  <c r="AI1699" i="1"/>
  <c r="AC1699" i="1"/>
  <c r="AF1699" i="1"/>
  <c r="AE1699" i="1"/>
  <c r="AD1699" i="1"/>
  <c r="AL1699" i="1"/>
  <c r="AJ1699" i="1"/>
  <c r="AI1698" i="1"/>
  <c r="AH1698" i="1"/>
  <c r="AG1698" i="1"/>
  <c r="AJ1698" i="1"/>
  <c r="AD1698" i="1"/>
  <c r="AL1698" i="1"/>
  <c r="AC1698" i="1"/>
  <c r="AE1698" i="1"/>
  <c r="AF1698" i="1"/>
  <c r="AI1697" i="1"/>
  <c r="AH1697" i="1"/>
  <c r="AG1697" i="1"/>
  <c r="AL1697" i="1"/>
  <c r="AF1697" i="1"/>
  <c r="AE1697" i="1"/>
  <c r="AD1697" i="1"/>
  <c r="AJ1697" i="1"/>
  <c r="AM1697" i="1" s="1"/>
  <c r="AC1697" i="1"/>
  <c r="AI1696" i="1"/>
  <c r="AH1696" i="1"/>
  <c r="AG1696" i="1"/>
  <c r="AD1696" i="1"/>
  <c r="AL1696" i="1"/>
  <c r="AJ1696" i="1"/>
  <c r="AF1696" i="1"/>
  <c r="AE1696" i="1"/>
  <c r="AC1696" i="1"/>
  <c r="AG1695" i="1"/>
  <c r="AH1695" i="1"/>
  <c r="AI1695" i="1"/>
  <c r="AE1695" i="1"/>
  <c r="AF1695" i="1"/>
  <c r="AJ1695" i="1"/>
  <c r="AL1695" i="1"/>
  <c r="AD1695" i="1"/>
  <c r="AC1695" i="1"/>
  <c r="AH1694" i="1"/>
  <c r="AG1694" i="1"/>
  <c r="AI1694" i="1"/>
  <c r="AC1694" i="1"/>
  <c r="AE1694" i="1"/>
  <c r="AF1694" i="1"/>
  <c r="AD1694" i="1"/>
  <c r="AL1694" i="1"/>
  <c r="AJ1694" i="1"/>
  <c r="AI1693" i="1"/>
  <c r="AG1693" i="1"/>
  <c r="AH1693" i="1"/>
  <c r="AD1693" i="1"/>
  <c r="AJ1693" i="1"/>
  <c r="AC1693" i="1"/>
  <c r="AE1693" i="1"/>
  <c r="AF1693" i="1"/>
  <c r="AL1693" i="1"/>
  <c r="AH1692" i="1"/>
  <c r="AI1692" i="1"/>
  <c r="AG1692" i="1"/>
  <c r="AD1692" i="1"/>
  <c r="AC1692" i="1"/>
  <c r="AF1692" i="1"/>
  <c r="AL1692" i="1"/>
  <c r="AJ1692" i="1"/>
  <c r="AE1692" i="1"/>
  <c r="AG1691" i="1"/>
  <c r="AI1691" i="1"/>
  <c r="AH1691" i="1"/>
  <c r="AJ1691" i="1"/>
  <c r="AF1691" i="1"/>
  <c r="AD1691" i="1"/>
  <c r="AL1691" i="1"/>
  <c r="AE1691" i="1"/>
  <c r="AC1691" i="1"/>
  <c r="AI1690" i="1"/>
  <c r="AH1690" i="1"/>
  <c r="AG1690" i="1"/>
  <c r="AC1690" i="1"/>
  <c r="AL1690" i="1"/>
  <c r="AJ1690" i="1"/>
  <c r="AM1690" i="1" s="1"/>
  <c r="AF1690" i="1"/>
  <c r="AE1690" i="1"/>
  <c r="AD1690" i="1"/>
  <c r="AH1689" i="1"/>
  <c r="AG1689" i="1"/>
  <c r="AI1689" i="1"/>
  <c r="AJ1689" i="1"/>
  <c r="AL1689" i="1"/>
  <c r="AC1689" i="1"/>
  <c r="AD1689" i="1"/>
  <c r="AF1689" i="1"/>
  <c r="AE1689" i="1"/>
  <c r="AH1688" i="1"/>
  <c r="AG1688" i="1"/>
  <c r="AI1688" i="1"/>
  <c r="AF1688" i="1"/>
  <c r="AE1688" i="1"/>
  <c r="AC1688" i="1"/>
  <c r="AD1688" i="1"/>
  <c r="AL1688" i="1"/>
  <c r="AJ1688" i="1"/>
  <c r="AI1687" i="1"/>
  <c r="AG1687" i="1"/>
  <c r="AH1687" i="1"/>
  <c r="AC1687" i="1"/>
  <c r="AJ1687" i="1"/>
  <c r="AL1687" i="1"/>
  <c r="AD1687" i="1"/>
  <c r="AE1687" i="1"/>
  <c r="AF1687" i="1"/>
  <c r="AI1686" i="1"/>
  <c r="AG1686" i="1"/>
  <c r="AH1686" i="1"/>
  <c r="AC1686" i="1"/>
  <c r="AD1686" i="1"/>
  <c r="AE1686" i="1"/>
  <c r="AF1686" i="1"/>
  <c r="AJ1686" i="1"/>
  <c r="AL1686" i="1"/>
  <c r="AI1685" i="1"/>
  <c r="AG1685" i="1"/>
  <c r="AH1685" i="1"/>
  <c r="AL1685" i="1"/>
  <c r="AJ1685" i="1"/>
  <c r="AM1685" i="1" s="1"/>
  <c r="AC1685" i="1"/>
  <c r="AF1685" i="1"/>
  <c r="AE1685" i="1"/>
  <c r="AD1685" i="1"/>
  <c r="AH1684" i="1"/>
  <c r="AG1684" i="1"/>
  <c r="AI1684" i="1"/>
  <c r="AJ1684" i="1"/>
  <c r="AC1684" i="1"/>
  <c r="AE1684" i="1"/>
  <c r="AF1684" i="1"/>
  <c r="AL1684" i="1"/>
  <c r="AD1684" i="1"/>
  <c r="AI1683" i="1"/>
  <c r="AH1683" i="1"/>
  <c r="AG1683" i="1"/>
  <c r="AL1683" i="1"/>
  <c r="AJ1683" i="1"/>
  <c r="AF1683" i="1"/>
  <c r="AE1683" i="1"/>
  <c r="AD1683" i="1"/>
  <c r="AC1683" i="1"/>
  <c r="AI1682" i="1"/>
  <c r="AH1682" i="1"/>
  <c r="AG1682" i="1"/>
  <c r="AC1682" i="1"/>
  <c r="AD1682" i="1"/>
  <c r="AL1682" i="1"/>
  <c r="AJ1682" i="1"/>
  <c r="AF1682" i="1"/>
  <c r="AE1682" i="1"/>
  <c r="AH1681" i="1"/>
  <c r="AI1681" i="1"/>
  <c r="AG1681" i="1"/>
  <c r="AC1681" i="1"/>
  <c r="AD1681" i="1"/>
  <c r="AL1681" i="1"/>
  <c r="AJ1681" i="1"/>
  <c r="AF1681" i="1"/>
  <c r="AE1681" i="1"/>
  <c r="AH1680" i="1"/>
  <c r="AI1680" i="1"/>
  <c r="AG1680" i="1"/>
  <c r="AL1680" i="1"/>
  <c r="AJ1680" i="1"/>
  <c r="AC1680" i="1"/>
  <c r="AD1680" i="1"/>
  <c r="AF1680" i="1"/>
  <c r="AE1680" i="1"/>
  <c r="AI1679" i="1"/>
  <c r="AH1679" i="1"/>
  <c r="AG1679" i="1"/>
  <c r="AJ1679" i="1"/>
  <c r="AM1679" i="1" s="1"/>
  <c r="AF1679" i="1"/>
  <c r="AE1679" i="1"/>
  <c r="AD1679" i="1"/>
  <c r="AC1679" i="1"/>
  <c r="AI1678" i="1"/>
  <c r="AH1678" i="1"/>
  <c r="AG1678" i="1"/>
  <c r="AL1678" i="1"/>
  <c r="AJ1678" i="1"/>
  <c r="AE1678" i="1"/>
  <c r="AD1678" i="1"/>
  <c r="AC1678" i="1"/>
  <c r="AF1678" i="1"/>
  <c r="AI1677" i="1"/>
  <c r="AH1677" i="1"/>
  <c r="AG1677" i="1"/>
  <c r="AJ1677" i="1"/>
  <c r="AF1677" i="1"/>
  <c r="AE1677" i="1"/>
  <c r="AD1677" i="1"/>
  <c r="AC1677" i="1"/>
  <c r="AL1677" i="1"/>
  <c r="AG1676" i="1"/>
  <c r="AI1676" i="1"/>
  <c r="AH1676" i="1"/>
  <c r="AL1676" i="1"/>
  <c r="AF1676" i="1"/>
  <c r="AE1676" i="1"/>
  <c r="AD1676" i="1"/>
  <c r="AC1676" i="1"/>
  <c r="AJ1676" i="1"/>
  <c r="AM1676" i="1" s="1"/>
  <c r="AI1675" i="1"/>
  <c r="AH1675" i="1"/>
  <c r="AG1675" i="1"/>
  <c r="AL1675" i="1"/>
  <c r="AJ1675" i="1"/>
  <c r="AF1675" i="1"/>
  <c r="AE1675" i="1"/>
  <c r="AD1675" i="1"/>
  <c r="AC1675" i="1"/>
  <c r="AG1674" i="1"/>
  <c r="AI1674" i="1"/>
  <c r="AH1674" i="1"/>
  <c r="AL1674" i="1"/>
  <c r="AJ1674" i="1"/>
  <c r="AE1674" i="1"/>
  <c r="AD1674" i="1"/>
  <c r="AC1674" i="1"/>
  <c r="AF1674" i="1"/>
  <c r="AI1673" i="1"/>
  <c r="AG1673" i="1"/>
  <c r="AH1673" i="1"/>
  <c r="AL1673" i="1"/>
  <c r="AJ1673" i="1"/>
  <c r="AF1673" i="1"/>
  <c r="AE1673" i="1"/>
  <c r="AD1673" i="1"/>
  <c r="AC1673" i="1"/>
  <c r="AI1672" i="1"/>
  <c r="AH1672" i="1"/>
  <c r="AG1672" i="1"/>
  <c r="AL1672" i="1"/>
  <c r="AJ1672" i="1"/>
  <c r="AF1672" i="1"/>
  <c r="AD1672" i="1"/>
  <c r="AC1672" i="1"/>
  <c r="AE1672" i="1"/>
  <c r="AG1671" i="1"/>
  <c r="AH1671" i="1"/>
  <c r="AI1671" i="1"/>
  <c r="AL1671" i="1"/>
  <c r="AE1671" i="1"/>
  <c r="AD1671" i="1"/>
  <c r="AC1671" i="1"/>
  <c r="AF1671" i="1"/>
  <c r="AJ1671" i="1"/>
  <c r="AM1671" i="1" s="1"/>
  <c r="AH1670" i="1"/>
  <c r="AI1670" i="1"/>
  <c r="AG1670" i="1"/>
  <c r="AL1670" i="1"/>
  <c r="AJ1670" i="1"/>
  <c r="AF1670" i="1"/>
  <c r="AE1670" i="1"/>
  <c r="AD1670" i="1"/>
  <c r="AC1670" i="1"/>
  <c r="AI1669" i="1"/>
  <c r="AH1669" i="1"/>
  <c r="AG1669" i="1"/>
  <c r="AL1669" i="1"/>
  <c r="AJ1669" i="1"/>
  <c r="AF1669" i="1"/>
  <c r="AE1669" i="1"/>
  <c r="AD1669" i="1"/>
  <c r="AC1669" i="1"/>
  <c r="AG1668" i="1"/>
  <c r="AH1668" i="1"/>
  <c r="AI1668" i="1"/>
  <c r="AF1668" i="1"/>
  <c r="AD1668" i="1"/>
  <c r="AJ1668" i="1"/>
  <c r="AL1668" i="1"/>
  <c r="AC1668" i="1"/>
  <c r="AE1668" i="1"/>
  <c r="AI1667" i="1"/>
  <c r="AH1667" i="1"/>
  <c r="AG1667" i="1"/>
  <c r="AJ1667" i="1"/>
  <c r="AF1667" i="1"/>
  <c r="AE1667" i="1"/>
  <c r="AD1667" i="1"/>
  <c r="AC1667" i="1"/>
  <c r="AL1667" i="1"/>
  <c r="AI1666" i="1"/>
  <c r="AH1666" i="1"/>
  <c r="AG1666" i="1"/>
  <c r="AD1666" i="1"/>
  <c r="AL1666" i="1"/>
  <c r="AF1666" i="1"/>
  <c r="AE1666" i="1"/>
  <c r="AC1666" i="1"/>
  <c r="AJ1666" i="1"/>
  <c r="AM1666" i="1" s="1"/>
  <c r="AI1665" i="1"/>
  <c r="AH1665" i="1"/>
  <c r="AG1665" i="1"/>
  <c r="AJ1665" i="1"/>
  <c r="AC1665" i="1"/>
  <c r="AL1665" i="1"/>
  <c r="AD1665" i="1"/>
  <c r="AE1665" i="1"/>
  <c r="AF1665" i="1"/>
  <c r="AH1664" i="1"/>
  <c r="AG1664" i="1"/>
  <c r="AI1664" i="1"/>
  <c r="AL1664" i="1"/>
  <c r="AJ1664" i="1"/>
  <c r="AF1664" i="1"/>
  <c r="AE1664" i="1"/>
  <c r="AD1664" i="1"/>
  <c r="AC1664" i="1"/>
  <c r="AI1663" i="1"/>
  <c r="AH1663" i="1"/>
  <c r="AG1663" i="1"/>
  <c r="AC1663" i="1"/>
  <c r="AL1663" i="1"/>
  <c r="AJ1663" i="1"/>
  <c r="AF1663" i="1"/>
  <c r="AE1663" i="1"/>
  <c r="AD1663" i="1"/>
  <c r="AH1662" i="1"/>
  <c r="AI1662" i="1"/>
  <c r="AG1662" i="1"/>
  <c r="AL1662" i="1"/>
  <c r="AC1662" i="1"/>
  <c r="AJ1662" i="1"/>
  <c r="AM1662" i="1" s="1"/>
  <c r="AD1662" i="1"/>
  <c r="AE1662" i="1"/>
  <c r="AF1662" i="1"/>
  <c r="AI1661" i="1"/>
  <c r="AH1661" i="1"/>
  <c r="AG1661" i="1"/>
  <c r="AD1661" i="1"/>
  <c r="AJ1661" i="1"/>
  <c r="AE1661" i="1"/>
  <c r="AL1661" i="1"/>
  <c r="AF1661" i="1"/>
  <c r="AC1661" i="1"/>
  <c r="AG1660" i="1"/>
  <c r="AH1660" i="1"/>
  <c r="AI1660" i="1"/>
  <c r="AF1660" i="1"/>
  <c r="AD1660" i="1"/>
  <c r="AC1660" i="1"/>
  <c r="AE1660" i="1"/>
  <c r="AJ1660" i="1"/>
  <c r="AL1660" i="1"/>
  <c r="AG1659" i="1"/>
  <c r="AH1659" i="1"/>
  <c r="AI1659" i="1"/>
  <c r="AC1659" i="1"/>
  <c r="AE1659" i="1"/>
  <c r="AJ1659" i="1"/>
  <c r="AL1659" i="1"/>
  <c r="AF1659" i="1"/>
  <c r="AD1659" i="1"/>
  <c r="AG1658" i="1"/>
  <c r="AH1658" i="1"/>
  <c r="AI1658" i="1"/>
  <c r="AC1658" i="1"/>
  <c r="AD1658" i="1"/>
  <c r="AE1658" i="1"/>
  <c r="AF1658" i="1"/>
  <c r="AJ1658" i="1"/>
  <c r="AL1658" i="1"/>
  <c r="AI1657" i="1"/>
  <c r="AH1657" i="1"/>
  <c r="AG1657" i="1"/>
  <c r="AJ1657" i="1"/>
  <c r="AL1657" i="1"/>
  <c r="AC1657" i="1"/>
  <c r="AD1657" i="1"/>
  <c r="AE1657" i="1"/>
  <c r="AF1657" i="1"/>
  <c r="AG1656" i="1"/>
  <c r="AH1656" i="1"/>
  <c r="AI1656" i="1"/>
  <c r="AC1656" i="1"/>
  <c r="AD1656" i="1"/>
  <c r="AE1656" i="1"/>
  <c r="AF1656" i="1"/>
  <c r="AJ1656" i="1"/>
  <c r="AL1656" i="1"/>
  <c r="AG1655" i="1"/>
  <c r="AH1655" i="1"/>
  <c r="AI1655" i="1"/>
  <c r="AF1655" i="1"/>
  <c r="AJ1655" i="1"/>
  <c r="AL1655" i="1"/>
  <c r="AC1655" i="1"/>
  <c r="AD1655" i="1"/>
  <c r="AE1655" i="1"/>
  <c r="AG1654" i="1"/>
  <c r="AH1654" i="1"/>
  <c r="AI1654" i="1"/>
  <c r="AJ1654" i="1"/>
  <c r="AF1654" i="1"/>
  <c r="AE1654" i="1"/>
  <c r="AD1654" i="1"/>
  <c r="AC1654" i="1"/>
  <c r="AL1654" i="1"/>
  <c r="AG1653" i="1"/>
  <c r="AI1653" i="1"/>
  <c r="AH1653" i="1"/>
  <c r="AC1653" i="1"/>
  <c r="AF1653" i="1"/>
  <c r="AE1653" i="1"/>
  <c r="AJ1653" i="1"/>
  <c r="AL1653" i="1"/>
  <c r="AD1653" i="1"/>
  <c r="AI1652" i="1"/>
  <c r="AH1652" i="1"/>
  <c r="AG1652" i="1"/>
  <c r="AJ1652" i="1"/>
  <c r="AL1652" i="1"/>
  <c r="AF1652" i="1"/>
  <c r="AE1652" i="1"/>
  <c r="AD1652" i="1"/>
  <c r="AC1652" i="1"/>
  <c r="AG1651" i="1"/>
  <c r="AH1651" i="1"/>
  <c r="AI1651" i="1"/>
  <c r="AL1651" i="1"/>
  <c r="AJ1651" i="1"/>
  <c r="AF1651" i="1"/>
  <c r="AD1651" i="1"/>
  <c r="AC1651" i="1"/>
  <c r="AE1651" i="1"/>
  <c r="AI1650" i="1"/>
  <c r="AH1650" i="1"/>
  <c r="AG1650" i="1"/>
  <c r="AE1650" i="1"/>
  <c r="AL1650" i="1"/>
  <c r="AF1650" i="1"/>
  <c r="AD1650" i="1"/>
  <c r="AJ1650" i="1"/>
  <c r="AM1650" i="1" s="1"/>
  <c r="AC1650" i="1"/>
  <c r="AG1649" i="1"/>
  <c r="AI1649" i="1"/>
  <c r="AH1649" i="1"/>
  <c r="AJ1649" i="1"/>
  <c r="AL1649" i="1"/>
  <c r="AF1649" i="1"/>
  <c r="AC1649" i="1"/>
  <c r="AD1649" i="1"/>
  <c r="AE1649" i="1"/>
  <c r="AI1648" i="1"/>
  <c r="AG1648" i="1"/>
  <c r="AH1648" i="1"/>
  <c r="AE1648" i="1"/>
  <c r="AC1648" i="1"/>
  <c r="AD1648" i="1"/>
  <c r="AF1648" i="1"/>
  <c r="AJ1648" i="1"/>
  <c r="AL1648" i="1"/>
  <c r="AH1647" i="1"/>
  <c r="AI1647" i="1"/>
  <c r="AG1647" i="1"/>
  <c r="AJ1647" i="1"/>
  <c r="AL1647" i="1"/>
  <c r="AC1647" i="1"/>
  <c r="AD1647" i="1"/>
  <c r="AE1647" i="1"/>
  <c r="AF1647" i="1"/>
  <c r="AI1646" i="1"/>
  <c r="AH1646" i="1"/>
  <c r="AG1646" i="1"/>
  <c r="AL1646" i="1"/>
  <c r="AJ1646" i="1"/>
  <c r="AF1646" i="1"/>
  <c r="AE1646" i="1"/>
  <c r="AD1646" i="1"/>
  <c r="AC1646" i="1"/>
  <c r="AH1645" i="1"/>
  <c r="AG1645" i="1"/>
  <c r="AI1645" i="1"/>
  <c r="AL1645" i="1"/>
  <c r="AJ1645" i="1"/>
  <c r="AF1645" i="1"/>
  <c r="AE1645" i="1"/>
  <c r="AD1645" i="1"/>
  <c r="AC1645" i="1"/>
  <c r="AI1644" i="1"/>
  <c r="AH1644" i="1"/>
  <c r="AG1644" i="1"/>
  <c r="AL1644" i="1"/>
  <c r="AJ1644" i="1"/>
  <c r="AF1644" i="1"/>
  <c r="AE1644" i="1"/>
  <c r="AD1644" i="1"/>
  <c r="AC1644" i="1"/>
  <c r="AI1643" i="1"/>
  <c r="AH1643" i="1"/>
  <c r="AG1643" i="1"/>
  <c r="AL1643" i="1"/>
  <c r="AJ1643" i="1"/>
  <c r="AF1643" i="1"/>
  <c r="AE1643" i="1"/>
  <c r="AD1643" i="1"/>
  <c r="AC1643" i="1"/>
  <c r="AI1642" i="1"/>
  <c r="AH1642" i="1"/>
  <c r="AG1642" i="1"/>
  <c r="AL1642" i="1"/>
  <c r="AJ1642" i="1"/>
  <c r="AF1642" i="1"/>
  <c r="AE1642" i="1"/>
  <c r="AD1642" i="1"/>
  <c r="AC1642" i="1"/>
  <c r="AI1641" i="1"/>
  <c r="AH1641" i="1"/>
  <c r="AG1641" i="1"/>
  <c r="AC1641" i="1"/>
  <c r="AL1641" i="1"/>
  <c r="AJ1641" i="1"/>
  <c r="AM1641" i="1" s="1"/>
  <c r="AF1641" i="1"/>
  <c r="AE1641" i="1"/>
  <c r="AD1641" i="1"/>
  <c r="AG1640" i="1"/>
  <c r="AI1640" i="1"/>
  <c r="AH1640" i="1"/>
  <c r="AE1640" i="1"/>
  <c r="AD1640" i="1"/>
  <c r="AL1640" i="1"/>
  <c r="AJ1640" i="1"/>
  <c r="AM1640" i="1" s="1"/>
  <c r="AF1640" i="1"/>
  <c r="AC1640" i="1"/>
  <c r="AH1639" i="1"/>
  <c r="AG1639" i="1"/>
  <c r="AI1639" i="1"/>
  <c r="AL1639" i="1"/>
  <c r="AF1639" i="1"/>
  <c r="AD1639" i="1"/>
  <c r="AC1639" i="1"/>
  <c r="AE1639" i="1"/>
  <c r="AJ1639" i="1"/>
  <c r="AM1639" i="1" s="1"/>
  <c r="AI1638" i="1"/>
  <c r="AH1638" i="1"/>
  <c r="AG1638" i="1"/>
  <c r="AC1638" i="1"/>
  <c r="AL1638" i="1"/>
  <c r="AF1638" i="1"/>
  <c r="AE1638" i="1"/>
  <c r="AD1638" i="1"/>
  <c r="AJ1638" i="1"/>
  <c r="AM1638" i="1" s="1"/>
  <c r="AG1637" i="1"/>
  <c r="AI1637" i="1"/>
  <c r="AH1637" i="1"/>
  <c r="AE1637" i="1"/>
  <c r="AL1637" i="1"/>
  <c r="AC1637" i="1"/>
  <c r="AD1637" i="1"/>
  <c r="AF1637" i="1"/>
  <c r="AJ1637" i="1"/>
  <c r="AM1637" i="1" s="1"/>
  <c r="AG1636" i="1"/>
  <c r="AH1636" i="1"/>
  <c r="AI1636" i="1"/>
  <c r="AE1636" i="1"/>
  <c r="AD1636" i="1"/>
  <c r="AL1636" i="1"/>
  <c r="AF1636" i="1"/>
  <c r="AJ1636" i="1"/>
  <c r="AM1636" i="1" s="1"/>
  <c r="AC1636" i="1"/>
  <c r="AG1635" i="1"/>
  <c r="AI1635" i="1"/>
  <c r="AH1635" i="1"/>
  <c r="AC1635" i="1"/>
  <c r="AE1635" i="1"/>
  <c r="AF1635" i="1"/>
  <c r="AJ1635" i="1"/>
  <c r="AL1635" i="1"/>
  <c r="AD1635" i="1"/>
  <c r="AI1634" i="1"/>
  <c r="AH1634" i="1"/>
  <c r="AG1634" i="1"/>
  <c r="AC1634" i="1"/>
  <c r="AF1634" i="1"/>
  <c r="AL1634" i="1"/>
  <c r="AD1634" i="1"/>
  <c r="AJ1634" i="1"/>
  <c r="AM1634" i="1" s="1"/>
  <c r="AE1634" i="1"/>
  <c r="AG1633" i="1"/>
  <c r="AI1633" i="1"/>
  <c r="AH1633" i="1"/>
  <c r="AJ1633" i="1"/>
  <c r="AL1633" i="1"/>
  <c r="AE1633" i="1"/>
  <c r="AC1633" i="1"/>
  <c r="AD1633" i="1"/>
  <c r="AF1633" i="1"/>
  <c r="AI1632" i="1"/>
  <c r="AH1632" i="1"/>
  <c r="AG1632" i="1"/>
  <c r="AF1632" i="1"/>
  <c r="AD1632" i="1"/>
  <c r="AJ1632" i="1"/>
  <c r="AC1632" i="1"/>
  <c r="AE1632" i="1"/>
  <c r="AL1632" i="1"/>
  <c r="AH1631" i="1"/>
  <c r="AG1631" i="1"/>
  <c r="AI1631" i="1"/>
  <c r="AF1631" i="1"/>
  <c r="AD1631" i="1"/>
  <c r="AJ1631" i="1"/>
  <c r="AL1631" i="1"/>
  <c r="AC1631" i="1"/>
  <c r="AE1631" i="1"/>
  <c r="AG1630" i="1"/>
  <c r="AI1630" i="1"/>
  <c r="AH1630" i="1"/>
  <c r="AL1630" i="1"/>
  <c r="AJ1630" i="1"/>
  <c r="AF1630" i="1"/>
  <c r="AE1630" i="1"/>
  <c r="AD1630" i="1"/>
  <c r="AC1630" i="1"/>
  <c r="AG1629" i="1"/>
  <c r="AI1629" i="1"/>
  <c r="AH1629" i="1"/>
  <c r="AD1629" i="1"/>
  <c r="AJ1629" i="1"/>
  <c r="AF1629" i="1"/>
  <c r="AC1629" i="1"/>
  <c r="AL1629" i="1"/>
  <c r="AE1629" i="1"/>
  <c r="AG1628" i="1"/>
  <c r="AH1628" i="1"/>
  <c r="AI1628" i="1"/>
  <c r="AC1628" i="1"/>
  <c r="AD1628" i="1"/>
  <c r="AE1628" i="1"/>
  <c r="AF1628" i="1"/>
  <c r="AJ1628" i="1"/>
  <c r="AL1628" i="1"/>
  <c r="AH1627" i="1"/>
  <c r="AG1627" i="1"/>
  <c r="AI1627" i="1"/>
  <c r="AL1627" i="1"/>
  <c r="AE1627" i="1"/>
  <c r="AF1627" i="1"/>
  <c r="AJ1627" i="1"/>
  <c r="AD1627" i="1"/>
  <c r="AC1627" i="1"/>
  <c r="AG1626" i="1"/>
  <c r="AH1626" i="1"/>
  <c r="AI1626" i="1"/>
  <c r="AC1626" i="1"/>
  <c r="AE1626" i="1"/>
  <c r="AF1626" i="1"/>
  <c r="AJ1626" i="1"/>
  <c r="AL1626" i="1"/>
  <c r="AD1626" i="1"/>
  <c r="AG1625" i="1"/>
  <c r="AI1625" i="1"/>
  <c r="AH1625" i="1"/>
  <c r="AL1625" i="1"/>
  <c r="AF1625" i="1"/>
  <c r="AJ1625" i="1"/>
  <c r="AM1625" i="1" s="1"/>
  <c r="AE1625" i="1"/>
  <c r="AD1625" i="1"/>
  <c r="AC1625" i="1"/>
  <c r="AG1624" i="1"/>
  <c r="AH1624" i="1"/>
  <c r="AI1624" i="1"/>
  <c r="AE1624" i="1"/>
  <c r="AD1624" i="1"/>
  <c r="AF1624" i="1"/>
  <c r="AC1624" i="1"/>
  <c r="AJ1624" i="1"/>
  <c r="AL1624" i="1"/>
  <c r="AG1623" i="1"/>
  <c r="AH1623" i="1"/>
  <c r="AI1623" i="1"/>
  <c r="AJ1623" i="1"/>
  <c r="AF1623" i="1"/>
  <c r="AE1623" i="1"/>
  <c r="AD1623" i="1"/>
  <c r="AC1623" i="1"/>
  <c r="AL1623" i="1"/>
  <c r="AI1622" i="1"/>
  <c r="AH1622" i="1"/>
  <c r="AG1622" i="1"/>
  <c r="AJ1622" i="1"/>
  <c r="AF1622" i="1"/>
  <c r="AE1622" i="1"/>
  <c r="AC1622" i="1"/>
  <c r="AL1622" i="1"/>
  <c r="AD1622" i="1"/>
  <c r="AI1621" i="1"/>
  <c r="AH1621" i="1"/>
  <c r="AG1621" i="1"/>
  <c r="AL1621" i="1"/>
  <c r="AF1621" i="1"/>
  <c r="AE1621" i="1"/>
  <c r="AC1621" i="1"/>
  <c r="AJ1621" i="1"/>
  <c r="AD1621" i="1"/>
  <c r="AI1620" i="1"/>
  <c r="AH1620" i="1"/>
  <c r="AG1620" i="1"/>
  <c r="AL1620" i="1"/>
  <c r="AC1620" i="1"/>
  <c r="AJ1620" i="1"/>
  <c r="AM1620" i="1" s="1"/>
  <c r="AF1620" i="1"/>
  <c r="AE1620" i="1"/>
  <c r="AD1620" i="1"/>
  <c r="AH1619" i="1"/>
  <c r="AI1619" i="1"/>
  <c r="AG1619" i="1"/>
  <c r="AJ1619" i="1"/>
  <c r="AF1619" i="1"/>
  <c r="AE1619" i="1"/>
  <c r="AD1619" i="1"/>
  <c r="AC1619" i="1"/>
  <c r="AL1619" i="1"/>
  <c r="AI1618" i="1"/>
  <c r="AH1618" i="1"/>
  <c r="AG1618" i="1"/>
  <c r="AJ1618" i="1"/>
  <c r="AL1618" i="1"/>
  <c r="AE1618" i="1"/>
  <c r="AD1618" i="1"/>
  <c r="AC1618" i="1"/>
  <c r="AF1618" i="1"/>
  <c r="AG1617" i="1"/>
  <c r="AI1617" i="1"/>
  <c r="AH1617" i="1"/>
  <c r="AE1617" i="1"/>
  <c r="AD1617" i="1"/>
  <c r="AC1617" i="1"/>
  <c r="AL1617" i="1"/>
  <c r="AJ1617" i="1"/>
  <c r="AF1617" i="1"/>
  <c r="AI1616" i="1"/>
  <c r="AH1616" i="1"/>
  <c r="AG1616" i="1"/>
  <c r="AJ1616" i="1"/>
  <c r="AC1616" i="1"/>
  <c r="AL1616" i="1"/>
  <c r="AD1616" i="1"/>
  <c r="AE1616" i="1"/>
  <c r="AF1616" i="1"/>
  <c r="AG1615" i="1"/>
  <c r="AH1615" i="1"/>
  <c r="AI1615" i="1"/>
  <c r="AC1615" i="1"/>
  <c r="AD1615" i="1"/>
  <c r="AE1615" i="1"/>
  <c r="AJ1615" i="1"/>
  <c r="AL1615" i="1"/>
  <c r="AF1615" i="1"/>
  <c r="AI1614" i="1"/>
  <c r="AG1614" i="1"/>
  <c r="AH1614" i="1"/>
  <c r="AF1614" i="1"/>
  <c r="AL1614" i="1"/>
  <c r="AJ1614" i="1"/>
  <c r="AC1614" i="1"/>
  <c r="AE1614" i="1"/>
  <c r="AD1614" i="1"/>
  <c r="AG1613" i="1"/>
  <c r="AH1613" i="1"/>
  <c r="AI1613" i="1"/>
  <c r="AE1613" i="1"/>
  <c r="AL1613" i="1"/>
  <c r="AJ1613" i="1"/>
  <c r="AF1613" i="1"/>
  <c r="AC1613" i="1"/>
  <c r="AD1613" i="1"/>
  <c r="AH1612" i="1"/>
  <c r="AG1612" i="1"/>
  <c r="AI1612" i="1"/>
  <c r="AF1612" i="1"/>
  <c r="AC1612" i="1"/>
  <c r="AD1612" i="1"/>
  <c r="AE1612" i="1"/>
  <c r="AJ1612" i="1"/>
  <c r="AL1612" i="1"/>
  <c r="AG1611" i="1"/>
  <c r="AH1611" i="1"/>
  <c r="AI1611" i="1"/>
  <c r="AJ1611" i="1"/>
  <c r="AD1611" i="1"/>
  <c r="AC1611" i="1"/>
  <c r="AE1611" i="1"/>
  <c r="AF1611" i="1"/>
  <c r="AL1611" i="1"/>
  <c r="AG1610" i="1"/>
  <c r="AH1610" i="1"/>
  <c r="AI1610" i="1"/>
  <c r="AD1610" i="1"/>
  <c r="AF1610" i="1"/>
  <c r="AC1610" i="1"/>
  <c r="AE1610" i="1"/>
  <c r="AL1610" i="1"/>
  <c r="AJ1610" i="1"/>
  <c r="AM1610" i="1" s="1"/>
  <c r="AI1609" i="1"/>
  <c r="AH1609" i="1"/>
  <c r="AG1609" i="1"/>
  <c r="AE1609" i="1"/>
  <c r="AC1609" i="1"/>
  <c r="AD1609" i="1"/>
  <c r="AL1609" i="1"/>
  <c r="AJ1609" i="1"/>
  <c r="AF1609" i="1"/>
  <c r="AG1608" i="1"/>
  <c r="AH1608" i="1"/>
  <c r="AI1608" i="1"/>
  <c r="AE1608" i="1"/>
  <c r="AF1608" i="1"/>
  <c r="AD1608" i="1"/>
  <c r="AJ1608" i="1"/>
  <c r="AL1608" i="1"/>
  <c r="AC1608" i="1"/>
  <c r="AI1607" i="1"/>
  <c r="AH1607" i="1"/>
  <c r="AG1607" i="1"/>
  <c r="AE1607" i="1"/>
  <c r="AL1607" i="1"/>
  <c r="AJ1607" i="1"/>
  <c r="AF1607" i="1"/>
  <c r="AD1607" i="1"/>
  <c r="AC1607" i="1"/>
  <c r="AH1606" i="1"/>
  <c r="AI1606" i="1"/>
  <c r="AG1606" i="1"/>
  <c r="AJ1606" i="1"/>
  <c r="AC1606" i="1"/>
  <c r="AD1606" i="1"/>
  <c r="AF1606" i="1"/>
  <c r="AE1606" i="1"/>
  <c r="AL1606" i="1"/>
  <c r="AG1605" i="1"/>
  <c r="AI1605" i="1"/>
  <c r="AH1605" i="1"/>
  <c r="AD1605" i="1"/>
  <c r="AE1605" i="1"/>
  <c r="AC1605" i="1"/>
  <c r="AL1605" i="1"/>
  <c r="AJ1605" i="1"/>
  <c r="AF1605" i="1"/>
  <c r="AI1604" i="1"/>
  <c r="AH1604" i="1"/>
  <c r="AG1604" i="1"/>
  <c r="AL1604" i="1"/>
  <c r="AJ1604" i="1"/>
  <c r="AF1604" i="1"/>
  <c r="AE1604" i="1"/>
  <c r="AD1604" i="1"/>
  <c r="AC1604" i="1"/>
  <c r="AG1603" i="1"/>
  <c r="AI1603" i="1"/>
  <c r="AH1603" i="1"/>
  <c r="AD1603" i="1"/>
  <c r="AJ1603" i="1"/>
  <c r="AL1603" i="1"/>
  <c r="AF1603" i="1"/>
  <c r="AE1603" i="1"/>
  <c r="AC1603" i="1"/>
  <c r="AH1602" i="1"/>
  <c r="AG1602" i="1"/>
  <c r="AI1602" i="1"/>
  <c r="AE1602" i="1"/>
  <c r="AL1602" i="1"/>
  <c r="AJ1602" i="1"/>
  <c r="AM1602" i="1" s="1"/>
  <c r="AF1602" i="1"/>
  <c r="AD1602" i="1"/>
  <c r="AC1602" i="1"/>
  <c r="AG1601" i="1"/>
  <c r="AI1601" i="1"/>
  <c r="AH1601" i="1"/>
  <c r="AD1601" i="1"/>
  <c r="AC1601" i="1"/>
  <c r="AF1601" i="1"/>
  <c r="AE1601" i="1"/>
  <c r="AL1601" i="1"/>
  <c r="AJ1601" i="1"/>
  <c r="AM1601" i="1" s="1"/>
  <c r="AG1600" i="1"/>
  <c r="AH1600" i="1"/>
  <c r="AI1600" i="1"/>
  <c r="AL1600" i="1"/>
  <c r="AC1600" i="1"/>
  <c r="AE1600" i="1"/>
  <c r="AF1600" i="1"/>
  <c r="AJ1600" i="1"/>
  <c r="AM1600" i="1" s="1"/>
  <c r="AD1600" i="1"/>
  <c r="AG1599" i="1"/>
  <c r="AI1599" i="1"/>
  <c r="AH1599" i="1"/>
  <c r="AE1599" i="1"/>
  <c r="AC1599" i="1"/>
  <c r="AF1599" i="1"/>
  <c r="AJ1599" i="1"/>
  <c r="AL1599" i="1"/>
  <c r="AD1599" i="1"/>
  <c r="AI1598" i="1"/>
  <c r="AH1598" i="1"/>
  <c r="AG1598" i="1"/>
  <c r="AC1598" i="1"/>
  <c r="AD1598" i="1"/>
  <c r="AE1598" i="1"/>
  <c r="AF1598" i="1"/>
  <c r="AJ1598" i="1"/>
  <c r="AL1598" i="1"/>
  <c r="AG1597" i="1"/>
  <c r="AH1597" i="1"/>
  <c r="AI1597" i="1"/>
  <c r="AE1597" i="1"/>
  <c r="AF1597" i="1"/>
  <c r="AJ1597" i="1"/>
  <c r="AL1597" i="1"/>
  <c r="AD1597" i="1"/>
  <c r="AC1597" i="1"/>
  <c r="AG1596" i="1"/>
  <c r="AH1596" i="1"/>
  <c r="AI1596" i="1"/>
  <c r="AF1596" i="1"/>
  <c r="AJ1596" i="1"/>
  <c r="AL1596" i="1"/>
  <c r="AC1596" i="1"/>
  <c r="AE1596" i="1"/>
  <c r="AD1596" i="1"/>
  <c r="AI1595" i="1"/>
  <c r="AH1595" i="1"/>
  <c r="AG1595" i="1"/>
  <c r="AJ1595" i="1"/>
  <c r="AF1595" i="1"/>
  <c r="AE1595" i="1"/>
  <c r="AD1595" i="1"/>
  <c r="AC1595" i="1"/>
  <c r="AL1595" i="1"/>
  <c r="AH1594" i="1"/>
  <c r="AI1594" i="1"/>
  <c r="AG1594" i="1"/>
  <c r="AL1594" i="1"/>
  <c r="AJ1594" i="1"/>
  <c r="AE1594" i="1"/>
  <c r="AD1594" i="1"/>
  <c r="AF1594" i="1"/>
  <c r="AC1594" i="1"/>
  <c r="AI1593" i="1"/>
  <c r="AH1593" i="1"/>
  <c r="AG1593" i="1"/>
  <c r="AL1593" i="1"/>
  <c r="AJ1593" i="1"/>
  <c r="AF1593" i="1"/>
  <c r="AD1593" i="1"/>
  <c r="AC1593" i="1"/>
  <c r="AE1593" i="1"/>
  <c r="AI1592" i="1"/>
  <c r="AG1592" i="1"/>
  <c r="AH1592" i="1"/>
  <c r="AJ1592" i="1"/>
  <c r="AF1592" i="1"/>
  <c r="AL1592" i="1"/>
  <c r="AE1592" i="1"/>
  <c r="AC1592" i="1"/>
  <c r="AD1592" i="1"/>
  <c r="AI1591" i="1"/>
  <c r="AG1591" i="1"/>
  <c r="AH1591" i="1"/>
  <c r="AF1591" i="1"/>
  <c r="AC1591" i="1"/>
  <c r="AE1591" i="1"/>
  <c r="AD1591" i="1"/>
  <c r="AJ1591" i="1"/>
  <c r="AL1591" i="1"/>
  <c r="AH1590" i="1"/>
  <c r="AI1590" i="1"/>
  <c r="AG1590" i="1"/>
  <c r="AE1590" i="1"/>
  <c r="AJ1590" i="1"/>
  <c r="AL1590" i="1"/>
  <c r="AC1590" i="1"/>
  <c r="AF1590" i="1"/>
  <c r="AD1590" i="1"/>
  <c r="AG1589" i="1"/>
  <c r="AH1589" i="1"/>
  <c r="AI1589" i="1"/>
  <c r="AE1589" i="1"/>
  <c r="AC1589" i="1"/>
  <c r="AF1589" i="1"/>
  <c r="AD1589" i="1"/>
  <c r="AJ1589" i="1"/>
  <c r="AL1589" i="1"/>
  <c r="AG1588" i="1"/>
  <c r="AH1588" i="1"/>
  <c r="AI1588" i="1"/>
  <c r="AF1588" i="1"/>
  <c r="AE1588" i="1"/>
  <c r="AD1588" i="1"/>
  <c r="AC1588" i="1"/>
  <c r="AJ1588" i="1"/>
  <c r="AL1588" i="1"/>
  <c r="AI1587" i="1"/>
  <c r="AH1587" i="1"/>
  <c r="AG1587" i="1"/>
  <c r="AD1587" i="1"/>
  <c r="AF1587" i="1"/>
  <c r="AE1587" i="1"/>
  <c r="AC1587" i="1"/>
  <c r="AJ1587" i="1"/>
  <c r="AL1587" i="1"/>
  <c r="AI1586" i="1"/>
  <c r="AH1586" i="1"/>
  <c r="AG1586" i="1"/>
  <c r="AL1586" i="1"/>
  <c r="AJ1586" i="1"/>
  <c r="AM1586" i="1" s="1"/>
  <c r="AD1586" i="1"/>
  <c r="AF1586" i="1"/>
  <c r="AE1586" i="1"/>
  <c r="AC1586" i="1"/>
  <c r="AH1585" i="1"/>
  <c r="AI1585" i="1"/>
  <c r="AG1585" i="1"/>
  <c r="AD1585" i="1"/>
  <c r="AJ1585" i="1"/>
  <c r="AF1585" i="1"/>
  <c r="AL1585" i="1"/>
  <c r="AC1585" i="1"/>
  <c r="AE1585" i="1"/>
  <c r="AI1584" i="1"/>
  <c r="AH1584" i="1"/>
  <c r="AG1584" i="1"/>
  <c r="AF1584" i="1"/>
  <c r="AD1584" i="1"/>
  <c r="AE1584" i="1"/>
  <c r="AJ1584" i="1"/>
  <c r="AL1584" i="1"/>
  <c r="AC1584" i="1"/>
  <c r="AH1583" i="1"/>
  <c r="AG1583" i="1"/>
  <c r="AI1583" i="1"/>
  <c r="AD1583" i="1"/>
  <c r="AC1583" i="1"/>
  <c r="AJ1583" i="1"/>
  <c r="AF1583" i="1"/>
  <c r="AE1583" i="1"/>
  <c r="AL1583" i="1"/>
  <c r="AG1582" i="1"/>
  <c r="AI1582" i="1"/>
  <c r="AH1582" i="1"/>
  <c r="AE1582" i="1"/>
  <c r="AJ1582" i="1"/>
  <c r="AC1582" i="1"/>
  <c r="AD1582" i="1"/>
  <c r="AL1582" i="1"/>
  <c r="AF1582" i="1"/>
  <c r="AG1581" i="1"/>
  <c r="AH1581" i="1"/>
  <c r="AI1581" i="1"/>
  <c r="AD1581" i="1"/>
  <c r="AE1581" i="1"/>
  <c r="AF1581" i="1"/>
  <c r="AJ1581" i="1"/>
  <c r="AL1581" i="1"/>
  <c r="AC1581" i="1"/>
  <c r="AG1580" i="1"/>
  <c r="AH1580" i="1"/>
  <c r="AI1580" i="1"/>
  <c r="AD1580" i="1"/>
  <c r="AE1580" i="1"/>
  <c r="AC1580" i="1"/>
  <c r="AJ1580" i="1"/>
  <c r="AL1580" i="1"/>
  <c r="AF1580" i="1"/>
  <c r="AG1579" i="1"/>
  <c r="AI1579" i="1"/>
  <c r="AH1579" i="1"/>
  <c r="AJ1579" i="1"/>
  <c r="AL1579" i="1"/>
  <c r="AC1579" i="1"/>
  <c r="AD1579" i="1"/>
  <c r="AE1579" i="1"/>
  <c r="AF1579" i="1"/>
  <c r="AH1578" i="1"/>
  <c r="AI1578" i="1"/>
  <c r="AG1578" i="1"/>
  <c r="AE1578" i="1"/>
  <c r="AF1578" i="1"/>
  <c r="AJ1578" i="1"/>
  <c r="AL1578" i="1"/>
  <c r="AD1578" i="1"/>
  <c r="AC1578" i="1"/>
  <c r="AH1577" i="1"/>
  <c r="AG1577" i="1"/>
  <c r="AI1577" i="1"/>
  <c r="AD1577" i="1"/>
  <c r="AL1577" i="1"/>
  <c r="AF1577" i="1"/>
  <c r="AJ1577" i="1"/>
  <c r="AC1577" i="1"/>
  <c r="AE1577" i="1"/>
  <c r="AI1576" i="1"/>
  <c r="AH1576" i="1"/>
  <c r="AG1576" i="1"/>
  <c r="AC1576" i="1"/>
  <c r="AE1576" i="1"/>
  <c r="AD1576" i="1"/>
  <c r="AF1576" i="1"/>
  <c r="AJ1576" i="1"/>
  <c r="AL1576" i="1"/>
  <c r="AI1575" i="1"/>
  <c r="AH1575" i="1"/>
  <c r="AG1575" i="1"/>
  <c r="AL1575" i="1"/>
  <c r="AD1575" i="1"/>
  <c r="AE1575" i="1"/>
  <c r="AC1575" i="1"/>
  <c r="AJ1575" i="1"/>
  <c r="AM1575" i="1" s="1"/>
  <c r="AF1575" i="1"/>
  <c r="AI1574" i="1"/>
  <c r="AG1574" i="1"/>
  <c r="AH1574" i="1"/>
  <c r="AJ1574" i="1"/>
  <c r="AD1574" i="1"/>
  <c r="AF1574" i="1"/>
  <c r="AL1574" i="1"/>
  <c r="AC1574" i="1"/>
  <c r="AE1574" i="1"/>
  <c r="AI1573" i="1"/>
  <c r="AH1573" i="1"/>
  <c r="AG1573" i="1"/>
  <c r="AJ1573" i="1"/>
  <c r="AF1573" i="1"/>
  <c r="AE1573" i="1"/>
  <c r="AD1573" i="1"/>
  <c r="AC1573" i="1"/>
  <c r="AL1573" i="1"/>
  <c r="AI1572" i="1"/>
  <c r="AG1572" i="1"/>
  <c r="AH1572" i="1"/>
  <c r="AF1572" i="1"/>
  <c r="AE1572" i="1"/>
  <c r="AD1572" i="1"/>
  <c r="AL1572" i="1"/>
  <c r="AC1572" i="1"/>
  <c r="AJ1572" i="1"/>
  <c r="AM1572" i="1" s="1"/>
  <c r="AG1571" i="1"/>
  <c r="AI1571" i="1"/>
  <c r="AH1571" i="1"/>
  <c r="AF1571" i="1"/>
  <c r="AD1571" i="1"/>
  <c r="AE1571" i="1"/>
  <c r="AC1571" i="1"/>
  <c r="AL1571" i="1"/>
  <c r="AJ1571" i="1"/>
  <c r="AI1570" i="1"/>
  <c r="AG1570" i="1"/>
  <c r="AH1570" i="1"/>
  <c r="AJ1570" i="1"/>
  <c r="AE1570" i="1"/>
  <c r="AF1570" i="1"/>
  <c r="AL1570" i="1"/>
  <c r="AC1570" i="1"/>
  <c r="AD1570" i="1"/>
  <c r="AG1569" i="1"/>
  <c r="AH1569" i="1"/>
  <c r="AI1569" i="1"/>
  <c r="AC1569" i="1"/>
  <c r="AJ1569" i="1"/>
  <c r="AL1569" i="1"/>
  <c r="AE1569" i="1"/>
  <c r="AF1569" i="1"/>
  <c r="AD1569" i="1"/>
  <c r="AG1568" i="1"/>
  <c r="AI1568" i="1"/>
  <c r="AH1568" i="1"/>
  <c r="AE1568" i="1"/>
  <c r="AC1568" i="1"/>
  <c r="AD1568" i="1"/>
  <c r="AF1568" i="1"/>
  <c r="AJ1568" i="1"/>
  <c r="AL1568" i="1"/>
  <c r="AG1567" i="1"/>
  <c r="AI1567" i="1"/>
  <c r="AH1567" i="1"/>
  <c r="AF1567" i="1"/>
  <c r="AE1567" i="1"/>
  <c r="AD1567" i="1"/>
  <c r="AC1567" i="1"/>
  <c r="AJ1567" i="1"/>
  <c r="AL1567" i="1"/>
  <c r="AI1566" i="1"/>
  <c r="AH1566" i="1"/>
  <c r="AG1566" i="1"/>
  <c r="AL1566" i="1"/>
  <c r="AE1566" i="1"/>
  <c r="AJ1566" i="1"/>
  <c r="AM1566" i="1" s="1"/>
  <c r="AF1566" i="1"/>
  <c r="AD1566" i="1"/>
  <c r="AC1566" i="1"/>
  <c r="AI1565" i="1"/>
  <c r="AH1565" i="1"/>
  <c r="AG1565" i="1"/>
  <c r="AJ1565" i="1"/>
  <c r="AF1565" i="1"/>
  <c r="AE1565" i="1"/>
  <c r="AC1565" i="1"/>
  <c r="AL1565" i="1"/>
  <c r="AD1565" i="1"/>
  <c r="AH1564" i="1"/>
  <c r="AG1564" i="1"/>
  <c r="AI1564" i="1"/>
  <c r="AL1564" i="1"/>
  <c r="AJ1564" i="1"/>
  <c r="AC1564" i="1"/>
  <c r="AD1564" i="1"/>
  <c r="AE1564" i="1"/>
  <c r="AF1564" i="1"/>
  <c r="AH1563" i="1"/>
  <c r="AG1563" i="1"/>
  <c r="AI1563" i="1"/>
  <c r="AD1563" i="1"/>
  <c r="AC1563" i="1"/>
  <c r="AJ1563" i="1"/>
  <c r="AF1563" i="1"/>
  <c r="AE1563" i="1"/>
  <c r="AL1563" i="1"/>
  <c r="AI1562" i="1"/>
  <c r="AG1562" i="1"/>
  <c r="AH1562" i="1"/>
  <c r="AL1562" i="1"/>
  <c r="AJ1562" i="1"/>
  <c r="AM1562" i="1" s="1"/>
  <c r="AE1562" i="1"/>
  <c r="AD1562" i="1"/>
  <c r="AC1562" i="1"/>
  <c r="AF1562" i="1"/>
  <c r="AG1561" i="1"/>
  <c r="AH1561" i="1"/>
  <c r="AI1561" i="1"/>
  <c r="AD1561" i="1"/>
  <c r="AE1561" i="1"/>
  <c r="AF1561" i="1"/>
  <c r="AC1561" i="1"/>
  <c r="AJ1561" i="1"/>
  <c r="AL1561" i="1"/>
  <c r="AI1560" i="1"/>
  <c r="AH1560" i="1"/>
  <c r="AG1560" i="1"/>
  <c r="AD1560" i="1"/>
  <c r="AC1560" i="1"/>
  <c r="AE1560" i="1"/>
  <c r="AL1560" i="1"/>
  <c r="AJ1560" i="1"/>
  <c r="AF1560" i="1"/>
  <c r="AG1559" i="1"/>
  <c r="AH1559" i="1"/>
  <c r="AI1559" i="1"/>
  <c r="AL1559" i="1"/>
  <c r="AJ1559" i="1"/>
  <c r="AE1559" i="1"/>
  <c r="AD1559" i="1"/>
  <c r="AC1559" i="1"/>
  <c r="AF1559" i="1"/>
  <c r="AI1558" i="1"/>
  <c r="AH1558" i="1"/>
  <c r="AG1558" i="1"/>
  <c r="AL1558" i="1"/>
  <c r="AC1558" i="1"/>
  <c r="AE1558" i="1"/>
  <c r="AD1558" i="1"/>
  <c r="AF1558" i="1"/>
  <c r="AJ1558" i="1"/>
  <c r="AM1558" i="1" s="1"/>
  <c r="AG1557" i="1"/>
  <c r="AI1557" i="1"/>
  <c r="AH1557" i="1"/>
  <c r="AC1557" i="1"/>
  <c r="AL1557" i="1"/>
  <c r="AD1557" i="1"/>
  <c r="AJ1557" i="1"/>
  <c r="AE1557" i="1"/>
  <c r="AF1557" i="1"/>
  <c r="AG1556" i="1"/>
  <c r="AH1556" i="1"/>
  <c r="AI1556" i="1"/>
  <c r="AF1556" i="1"/>
  <c r="AJ1556" i="1"/>
  <c r="AL1556" i="1"/>
  <c r="AE1556" i="1"/>
  <c r="AD1556" i="1"/>
  <c r="AC1556" i="1"/>
  <c r="AH1555" i="1"/>
  <c r="AG1555" i="1"/>
  <c r="AI1555" i="1"/>
  <c r="AL1555" i="1"/>
  <c r="AJ1555" i="1"/>
  <c r="AF1555" i="1"/>
  <c r="AD1555" i="1"/>
  <c r="AC1555" i="1"/>
  <c r="AE1555" i="1"/>
  <c r="AG1554" i="1"/>
  <c r="AI1554" i="1"/>
  <c r="AH1554" i="1"/>
  <c r="AL1554" i="1"/>
  <c r="AC1554" i="1"/>
  <c r="AD1554" i="1"/>
  <c r="AF1554" i="1"/>
  <c r="AJ1554" i="1"/>
  <c r="AE1554" i="1"/>
  <c r="AH1553" i="1"/>
  <c r="AG1553" i="1"/>
  <c r="AI1553" i="1"/>
  <c r="AE1553" i="1"/>
  <c r="AJ1553" i="1"/>
  <c r="AL1553" i="1"/>
  <c r="AC1553" i="1"/>
  <c r="AD1553" i="1"/>
  <c r="AF1553" i="1"/>
  <c r="AG1552" i="1"/>
  <c r="AH1552" i="1"/>
  <c r="AI1552" i="1"/>
  <c r="AF1552" i="1"/>
  <c r="AE1552" i="1"/>
  <c r="AD1552" i="1"/>
  <c r="AC1552" i="1"/>
  <c r="AL1552" i="1"/>
  <c r="AJ1552" i="1"/>
  <c r="AG1551" i="1"/>
  <c r="AH1551" i="1"/>
  <c r="AI1551" i="1"/>
  <c r="AF1551" i="1"/>
  <c r="AL1551" i="1"/>
  <c r="AJ1551" i="1"/>
  <c r="AC1551" i="1"/>
  <c r="AD1551" i="1"/>
  <c r="AE1551" i="1"/>
  <c r="AH1550" i="1"/>
  <c r="AI1550" i="1"/>
  <c r="AG1550" i="1"/>
  <c r="AF1550" i="1"/>
  <c r="AC1550" i="1"/>
  <c r="AD1550" i="1"/>
  <c r="AE1550" i="1"/>
  <c r="AJ1550" i="1"/>
  <c r="AL1550" i="1"/>
  <c r="AG1549" i="1"/>
  <c r="AH1549" i="1"/>
  <c r="AI1549" i="1"/>
  <c r="AD1549" i="1"/>
  <c r="AE1549" i="1"/>
  <c r="AF1549" i="1"/>
  <c r="AJ1549" i="1"/>
  <c r="AL1549" i="1"/>
  <c r="AC1549" i="1"/>
  <c r="AI1548" i="1"/>
  <c r="AG1548" i="1"/>
  <c r="AH1548" i="1"/>
  <c r="AC1548" i="1"/>
  <c r="AF1548" i="1"/>
  <c r="AJ1548" i="1"/>
  <c r="AL1548" i="1"/>
  <c r="AD1548" i="1"/>
  <c r="AE1548" i="1"/>
  <c r="AG1547" i="1"/>
  <c r="AH1547" i="1"/>
  <c r="AI1547" i="1"/>
  <c r="AE1547" i="1"/>
  <c r="AD1547" i="1"/>
  <c r="AF1547" i="1"/>
  <c r="AJ1547" i="1"/>
  <c r="AL1547" i="1"/>
  <c r="AC1547" i="1"/>
  <c r="AI1546" i="1"/>
  <c r="AH1546" i="1"/>
  <c r="AG1546" i="1"/>
  <c r="AE1546" i="1"/>
  <c r="AC1546" i="1"/>
  <c r="AD1546" i="1"/>
  <c r="AJ1546" i="1"/>
  <c r="AF1546" i="1"/>
  <c r="AL1546" i="1"/>
  <c r="AG1545" i="1"/>
  <c r="AH1545" i="1"/>
  <c r="AI1545" i="1"/>
  <c r="AD1545" i="1"/>
  <c r="AE1545" i="1"/>
  <c r="AF1545" i="1"/>
  <c r="AJ1545" i="1"/>
  <c r="AC1545" i="1"/>
  <c r="AL1545" i="1"/>
  <c r="AG1544" i="1"/>
  <c r="AH1544" i="1"/>
  <c r="AI1544" i="1"/>
  <c r="AC1544" i="1"/>
  <c r="AF1544" i="1"/>
  <c r="AJ1544" i="1"/>
  <c r="AL1544" i="1"/>
  <c r="AE1544" i="1"/>
  <c r="AD1544" i="1"/>
  <c r="AI1543" i="1"/>
  <c r="AH1543" i="1"/>
  <c r="AG1543" i="1"/>
  <c r="AL1543" i="1"/>
  <c r="AE1543" i="1"/>
  <c r="AF1543" i="1"/>
  <c r="AJ1543" i="1"/>
  <c r="AM1543" i="1" s="1"/>
  <c r="AC1543" i="1"/>
  <c r="AD1543" i="1"/>
  <c r="AH1542" i="1"/>
  <c r="AI1542" i="1"/>
  <c r="AG1542" i="1"/>
  <c r="AJ1542" i="1"/>
  <c r="AL1542" i="1"/>
  <c r="AC1542" i="1"/>
  <c r="AD1542" i="1"/>
  <c r="AE1542" i="1"/>
  <c r="AF1542" i="1"/>
  <c r="AI1541" i="1"/>
  <c r="AH1541" i="1"/>
  <c r="AG1541" i="1"/>
  <c r="AJ1541" i="1"/>
  <c r="AF1541" i="1"/>
  <c r="AE1541" i="1"/>
  <c r="AC1541" i="1"/>
  <c r="AD1541" i="1"/>
  <c r="AL1541" i="1"/>
  <c r="AI1540" i="1"/>
  <c r="AH1540" i="1"/>
  <c r="AG1540" i="1"/>
  <c r="AL1540" i="1"/>
  <c r="AJ1540" i="1"/>
  <c r="AF1540" i="1"/>
  <c r="AE1540" i="1"/>
  <c r="AD1540" i="1"/>
  <c r="AC1540" i="1"/>
  <c r="AG1539" i="1"/>
  <c r="AH1539" i="1"/>
  <c r="AI1539" i="1"/>
  <c r="AE1539" i="1"/>
  <c r="AF1539" i="1"/>
  <c r="AC1539" i="1"/>
  <c r="AD1539" i="1"/>
  <c r="AJ1539" i="1"/>
  <c r="AL1539" i="1"/>
  <c r="AI1538" i="1"/>
  <c r="AH1538" i="1"/>
  <c r="AG1538" i="1"/>
  <c r="AL1538" i="1"/>
  <c r="AJ1538" i="1"/>
  <c r="AF1538" i="1"/>
  <c r="AE1538" i="1"/>
  <c r="AD1538" i="1"/>
  <c r="AC1538" i="1"/>
  <c r="AG1537" i="1"/>
  <c r="AI1537" i="1"/>
  <c r="AH1537" i="1"/>
  <c r="AD1537" i="1"/>
  <c r="AC1537" i="1"/>
  <c r="AL1537" i="1"/>
  <c r="AJ1537" i="1"/>
  <c r="AF1537" i="1"/>
  <c r="AE1537" i="1"/>
  <c r="AI1536" i="1"/>
  <c r="AG1536" i="1"/>
  <c r="AH1536" i="1"/>
  <c r="AL1536" i="1"/>
  <c r="AC1536" i="1"/>
  <c r="AJ1536" i="1"/>
  <c r="AM1536" i="1" s="1"/>
  <c r="AE1536" i="1"/>
  <c r="AF1536" i="1"/>
  <c r="AD1536" i="1"/>
  <c r="AG1535" i="1"/>
  <c r="AI1535" i="1"/>
  <c r="AH1535" i="1"/>
  <c r="AF1535" i="1"/>
  <c r="AE1535" i="1"/>
  <c r="AD1535" i="1"/>
  <c r="AL1535" i="1"/>
  <c r="AJ1535" i="1"/>
  <c r="AM1535" i="1" s="1"/>
  <c r="AC1535" i="1"/>
  <c r="AI1534" i="1"/>
  <c r="AH1534" i="1"/>
  <c r="AG1534" i="1"/>
  <c r="AL1534" i="1"/>
  <c r="AJ1534" i="1"/>
  <c r="AF1534" i="1"/>
  <c r="AE1534" i="1"/>
  <c r="AD1534" i="1"/>
  <c r="AC1534" i="1"/>
  <c r="AI1533" i="1"/>
  <c r="AH1533" i="1"/>
  <c r="AG1533" i="1"/>
  <c r="AF1533" i="1"/>
  <c r="AE1533" i="1"/>
  <c r="AD1533" i="1"/>
  <c r="AC1533" i="1"/>
  <c r="AJ1533" i="1"/>
  <c r="AL1533" i="1"/>
  <c r="AI1532" i="1"/>
  <c r="AH1532" i="1"/>
  <c r="AG1532" i="1"/>
  <c r="AC1532" i="1"/>
  <c r="AD1532" i="1"/>
  <c r="AL1532" i="1"/>
  <c r="AJ1532" i="1"/>
  <c r="AF1532" i="1"/>
  <c r="AE1532" i="1"/>
  <c r="AI1531" i="1"/>
  <c r="AH1531" i="1"/>
  <c r="AG1531" i="1"/>
  <c r="AC1531" i="1"/>
  <c r="AL1531" i="1"/>
  <c r="AD1531" i="1"/>
  <c r="AE1531" i="1"/>
  <c r="AJ1531" i="1"/>
  <c r="AM1531" i="1" s="1"/>
  <c r="AF1531" i="1"/>
  <c r="AG1530" i="1"/>
  <c r="AH1530" i="1"/>
  <c r="AI1530" i="1"/>
  <c r="AD1530" i="1"/>
  <c r="AL1530" i="1"/>
  <c r="AJ1530" i="1"/>
  <c r="AF1530" i="1"/>
  <c r="AE1530" i="1"/>
  <c r="AC1530" i="1"/>
  <c r="AI1529" i="1"/>
  <c r="AG1529" i="1"/>
  <c r="AH1529" i="1"/>
  <c r="AC1529" i="1"/>
  <c r="AD1529" i="1"/>
  <c r="AL1529" i="1"/>
  <c r="AJ1529" i="1"/>
  <c r="AM1529" i="1" s="1"/>
  <c r="AF1529" i="1"/>
  <c r="AE1529" i="1"/>
  <c r="AH1528" i="1"/>
  <c r="AI1528" i="1"/>
  <c r="AG1528" i="1"/>
  <c r="AC1528" i="1"/>
  <c r="AJ1528" i="1"/>
  <c r="AL1528" i="1"/>
  <c r="AD1528" i="1"/>
  <c r="AE1528" i="1"/>
  <c r="AF1528" i="1"/>
  <c r="AG1527" i="1"/>
  <c r="AH1527" i="1"/>
  <c r="AI1527" i="1"/>
  <c r="AC1527" i="1"/>
  <c r="AE1527" i="1"/>
  <c r="AJ1527" i="1"/>
  <c r="AL1527" i="1"/>
  <c r="AF1527" i="1"/>
  <c r="AD1527" i="1"/>
  <c r="AG1526" i="1"/>
  <c r="AH1526" i="1"/>
  <c r="AI1526" i="1"/>
  <c r="AE1526" i="1"/>
  <c r="AJ1526" i="1"/>
  <c r="AL1526" i="1"/>
  <c r="AC1526" i="1"/>
  <c r="AF1526" i="1"/>
  <c r="AD1526" i="1"/>
  <c r="AI1525" i="1"/>
  <c r="AH1525" i="1"/>
  <c r="AG1525" i="1"/>
  <c r="AJ1525" i="1"/>
  <c r="AC1525" i="1"/>
  <c r="AD1525" i="1"/>
  <c r="AL1525" i="1"/>
  <c r="AF1525" i="1"/>
  <c r="AE1525" i="1"/>
  <c r="AI1524" i="1"/>
  <c r="AG1524" i="1"/>
  <c r="AH1524" i="1"/>
  <c r="AL1524" i="1"/>
  <c r="AJ1524" i="1"/>
  <c r="AF1524" i="1"/>
  <c r="AE1524" i="1"/>
  <c r="AD1524" i="1"/>
  <c r="AC1524" i="1"/>
  <c r="AH1523" i="1"/>
  <c r="AG1523" i="1"/>
  <c r="AI1523" i="1"/>
  <c r="AJ1523" i="1"/>
  <c r="AE1523" i="1"/>
  <c r="AC1523" i="1"/>
  <c r="AF1523" i="1"/>
  <c r="AL1523" i="1"/>
  <c r="AD1523" i="1"/>
  <c r="AI1522" i="1"/>
  <c r="AH1522" i="1"/>
  <c r="AG1522" i="1"/>
  <c r="AE1522" i="1"/>
  <c r="AC1522" i="1"/>
  <c r="AD1522" i="1"/>
  <c r="AF1522" i="1"/>
  <c r="AJ1522" i="1"/>
  <c r="AL1522" i="1"/>
  <c r="AI1521" i="1"/>
  <c r="AH1521" i="1"/>
  <c r="AG1521" i="1"/>
  <c r="AL1521" i="1"/>
  <c r="AJ1521" i="1"/>
  <c r="AF1521" i="1"/>
  <c r="AD1521" i="1"/>
  <c r="AC1521" i="1"/>
  <c r="AE1521" i="1"/>
  <c r="AG1520" i="1"/>
  <c r="AH1520" i="1"/>
  <c r="AI1520" i="1"/>
  <c r="AD1520" i="1"/>
  <c r="AE1520" i="1"/>
  <c r="AF1520" i="1"/>
  <c r="AL1520" i="1"/>
  <c r="AC1520" i="1"/>
  <c r="AJ1520" i="1"/>
  <c r="AG1519" i="1"/>
  <c r="AI1519" i="1"/>
  <c r="AH1519" i="1"/>
  <c r="AF1519" i="1"/>
  <c r="AD1519" i="1"/>
  <c r="AE1519" i="1"/>
  <c r="AC1519" i="1"/>
  <c r="AJ1519" i="1"/>
  <c r="AL1519" i="1"/>
  <c r="AI1518" i="1"/>
  <c r="AG1518" i="1"/>
  <c r="AH1518" i="1"/>
  <c r="AF1518" i="1"/>
  <c r="AJ1518" i="1"/>
  <c r="AL1518" i="1"/>
  <c r="AE1518" i="1"/>
  <c r="AC1518" i="1"/>
  <c r="AD1518" i="1"/>
  <c r="AG1517" i="1"/>
  <c r="AH1517" i="1"/>
  <c r="AI1517" i="1"/>
  <c r="AE1517" i="1"/>
  <c r="AC1517" i="1"/>
  <c r="AD1517" i="1"/>
  <c r="AF1517" i="1"/>
  <c r="AJ1517" i="1"/>
  <c r="AL1517" i="1"/>
  <c r="AG1516" i="1"/>
  <c r="AI1516" i="1"/>
  <c r="AH1516" i="1"/>
  <c r="AJ1516" i="1"/>
  <c r="AF1516" i="1"/>
  <c r="AL1516" i="1"/>
  <c r="AE1516" i="1"/>
  <c r="AC1516" i="1"/>
  <c r="AD1516" i="1"/>
  <c r="AI1515" i="1"/>
  <c r="AG1515" i="1"/>
  <c r="AH1515" i="1"/>
  <c r="AE1515" i="1"/>
  <c r="AD1515" i="1"/>
  <c r="AC1515" i="1"/>
  <c r="AL1515" i="1"/>
  <c r="AJ1515" i="1"/>
  <c r="AF1515" i="1"/>
  <c r="AI1514" i="1"/>
  <c r="AG1514" i="1"/>
  <c r="AH1514" i="1"/>
  <c r="AL1514" i="1"/>
  <c r="AD1514" i="1"/>
  <c r="AE1514" i="1"/>
  <c r="AF1514" i="1"/>
  <c r="AC1514" i="1"/>
  <c r="AJ1514" i="1"/>
  <c r="AM1514" i="1" s="1"/>
  <c r="AH1513" i="1"/>
  <c r="AI1513" i="1"/>
  <c r="AG1513" i="1"/>
  <c r="AL1513" i="1"/>
  <c r="AD1513" i="1"/>
  <c r="AE1513" i="1"/>
  <c r="AJ1513" i="1"/>
  <c r="AF1513" i="1"/>
  <c r="AC1513" i="1"/>
  <c r="AH1512" i="1"/>
  <c r="AI1512" i="1"/>
  <c r="AG1512" i="1"/>
  <c r="AC1512" i="1"/>
  <c r="AF1512" i="1"/>
  <c r="AE1512" i="1"/>
  <c r="AJ1512" i="1"/>
  <c r="AL1512" i="1"/>
  <c r="AD1512" i="1"/>
  <c r="AG1511" i="1"/>
  <c r="AH1511" i="1"/>
  <c r="AI1511" i="1"/>
  <c r="AF1511" i="1"/>
  <c r="AL1511" i="1"/>
  <c r="AC1511" i="1"/>
  <c r="AE1511" i="1"/>
  <c r="AD1511" i="1"/>
  <c r="AJ1511" i="1"/>
  <c r="AM1511" i="1" s="1"/>
  <c r="AI1510" i="1"/>
  <c r="AG1510" i="1"/>
  <c r="AH1510" i="1"/>
  <c r="AJ1510" i="1"/>
  <c r="AF1510" i="1"/>
  <c r="AE1510" i="1"/>
  <c r="AD1510" i="1"/>
  <c r="AC1510" i="1"/>
  <c r="AL1510" i="1"/>
  <c r="AH1509" i="1"/>
  <c r="AG1509" i="1"/>
  <c r="AI1509" i="1"/>
  <c r="AJ1509" i="1"/>
  <c r="AF1509" i="1"/>
  <c r="AD1509" i="1"/>
  <c r="AL1509" i="1"/>
  <c r="AC1509" i="1"/>
  <c r="AE1509" i="1"/>
  <c r="AG1508" i="1"/>
  <c r="AI1508" i="1"/>
  <c r="AH1508" i="1"/>
  <c r="AF1508" i="1"/>
  <c r="AJ1508" i="1"/>
  <c r="AL1508" i="1"/>
  <c r="AE1508" i="1"/>
  <c r="AD1508" i="1"/>
  <c r="AC1508" i="1"/>
  <c r="AI1507" i="1"/>
  <c r="AH1507" i="1"/>
  <c r="AG1507" i="1"/>
  <c r="AJ1507" i="1"/>
  <c r="AE1507" i="1"/>
  <c r="AC1507" i="1"/>
  <c r="AL1507" i="1"/>
  <c r="AF1507" i="1"/>
  <c r="AD1507" i="1"/>
  <c r="AH1506" i="1"/>
  <c r="AG1506" i="1"/>
  <c r="AI1506" i="1"/>
  <c r="AC1506" i="1"/>
  <c r="AF1506" i="1"/>
  <c r="AD1506" i="1"/>
  <c r="AE1506" i="1"/>
  <c r="AL1506" i="1"/>
  <c r="AJ1506" i="1"/>
  <c r="AI1505" i="1"/>
  <c r="AG1505" i="1"/>
  <c r="AH1505" i="1"/>
  <c r="AJ1505" i="1"/>
  <c r="AF1505" i="1"/>
  <c r="AD1505" i="1"/>
  <c r="AL1505" i="1"/>
  <c r="AE1505" i="1"/>
  <c r="AC1505" i="1"/>
  <c r="AG1504" i="1"/>
  <c r="AH1504" i="1"/>
  <c r="AI1504" i="1"/>
  <c r="AJ1504" i="1"/>
  <c r="AC1504" i="1"/>
  <c r="AD1504" i="1"/>
  <c r="AE1504" i="1"/>
  <c r="AL1504" i="1"/>
  <c r="AF1504" i="1"/>
  <c r="AI1503" i="1"/>
  <c r="AH1503" i="1"/>
  <c r="AG1503" i="1"/>
  <c r="AL1503" i="1"/>
  <c r="AJ1503" i="1"/>
  <c r="AE1503" i="1"/>
  <c r="AD1503" i="1"/>
  <c r="AC1503" i="1"/>
  <c r="AF1503" i="1"/>
  <c r="AI1502" i="1"/>
  <c r="AH1502" i="1"/>
  <c r="AG1502" i="1"/>
  <c r="F70" i="1" s="1"/>
  <c r="AL1502" i="1"/>
  <c r="AJ1502" i="1"/>
  <c r="AD1502" i="1"/>
  <c r="AE1502" i="1"/>
  <c r="AF1502" i="1" s="1"/>
  <c r="AC1502" i="1"/>
  <c r="AH1501" i="1"/>
  <c r="AI1501" i="1"/>
  <c r="AG1501" i="1"/>
  <c r="AJ1501" i="1"/>
  <c r="AL1501" i="1"/>
  <c r="AF1501" i="1"/>
  <c r="AE1501" i="1"/>
  <c r="AC1501" i="1"/>
  <c r="AD1501" i="1"/>
  <c r="AH1500" i="1"/>
  <c r="AI1500" i="1"/>
  <c r="AG1500" i="1"/>
  <c r="AJ1500" i="1"/>
  <c r="AE1500" i="1"/>
  <c r="AD1500" i="1"/>
  <c r="AC1500" i="1"/>
  <c r="AF1500" i="1"/>
  <c r="AL1500" i="1"/>
  <c r="AI1499" i="1"/>
  <c r="AH1499" i="1"/>
  <c r="AG1499" i="1"/>
  <c r="AJ1499" i="1"/>
  <c r="AF1499" i="1"/>
  <c r="AD1499" i="1"/>
  <c r="AL1499" i="1"/>
  <c r="AC1499" i="1"/>
  <c r="AE1499" i="1"/>
  <c r="AI1498" i="1"/>
  <c r="AH1498" i="1"/>
  <c r="AG1498" i="1"/>
  <c r="AL1498" i="1"/>
  <c r="AD1498" i="1"/>
  <c r="AC1498" i="1"/>
  <c r="AF1498" i="1"/>
  <c r="AJ1498" i="1"/>
  <c r="AM1498" i="1" s="1"/>
  <c r="AE1498" i="1"/>
  <c r="AH1497" i="1"/>
  <c r="AG1497" i="1"/>
  <c r="AI1497" i="1"/>
  <c r="AL1497" i="1"/>
  <c r="AC1497" i="1"/>
  <c r="AD1497" i="1"/>
  <c r="AF1497" i="1"/>
  <c r="AJ1497" i="1"/>
  <c r="AM1497" i="1" s="1"/>
  <c r="AE1497" i="1"/>
  <c r="AI1496" i="1"/>
  <c r="AH1496" i="1"/>
  <c r="AG1496" i="1"/>
  <c r="AJ1496" i="1"/>
  <c r="AF1496" i="1"/>
  <c r="AD1496" i="1"/>
  <c r="AC1496" i="1"/>
  <c r="AL1496" i="1"/>
  <c r="AE1496" i="1"/>
  <c r="AH1495" i="1"/>
  <c r="AI1495" i="1"/>
  <c r="AG1495" i="1"/>
  <c r="AC1495" i="1"/>
  <c r="AD1495" i="1"/>
  <c r="AE1495" i="1"/>
  <c r="AJ1495" i="1"/>
  <c r="AL1495" i="1"/>
  <c r="AF1495" i="1"/>
  <c r="AG1494" i="1"/>
  <c r="AH1494" i="1"/>
  <c r="AI1494" i="1"/>
  <c r="AF1494" i="1"/>
  <c r="AE1494" i="1"/>
  <c r="AC1494" i="1"/>
  <c r="AD1494" i="1"/>
  <c r="AL1494" i="1"/>
  <c r="AJ1494" i="1"/>
  <c r="AI1493" i="1"/>
  <c r="AG1493" i="1"/>
  <c r="AH1493" i="1"/>
  <c r="AL1493" i="1"/>
  <c r="AJ1493" i="1"/>
  <c r="AC1493" i="1"/>
  <c r="AE1493" i="1"/>
  <c r="AD1493" i="1"/>
  <c r="AF1493" i="1"/>
  <c r="AI1492" i="1"/>
  <c r="AG1492" i="1"/>
  <c r="AH1492" i="1"/>
  <c r="AE1492" i="1"/>
  <c r="AJ1492" i="1"/>
  <c r="AL1492" i="1"/>
  <c r="AF1492" i="1"/>
  <c r="AD1492" i="1"/>
  <c r="AC1492" i="1"/>
  <c r="AG1490" i="1"/>
  <c r="AH1490" i="1"/>
  <c r="AI1490" i="1"/>
  <c r="AC1490" i="1"/>
  <c r="AL1490" i="1"/>
  <c r="AJ1490" i="1"/>
  <c r="AF1490" i="1"/>
  <c r="AE1490" i="1"/>
  <c r="AD1490" i="1"/>
  <c r="AH1489" i="1"/>
  <c r="AG1489" i="1"/>
  <c r="AI1489" i="1"/>
  <c r="AL1489" i="1"/>
  <c r="AE1489" i="1"/>
  <c r="AF1489" i="1"/>
  <c r="AJ1489" i="1"/>
  <c r="AM1489" i="1" s="1"/>
  <c r="AC1489" i="1"/>
  <c r="AD1489" i="1"/>
  <c r="AG1488" i="1"/>
  <c r="AH1488" i="1"/>
  <c r="AI1488" i="1"/>
  <c r="AE1488" i="1"/>
  <c r="AF1488" i="1"/>
  <c r="AC1488" i="1"/>
  <c r="AD1488" i="1"/>
  <c r="AL1488" i="1"/>
  <c r="AJ1488" i="1"/>
  <c r="AH1487" i="1"/>
  <c r="AG1487" i="1"/>
  <c r="AI1487" i="1"/>
  <c r="AF1487" i="1"/>
  <c r="AE1487" i="1"/>
  <c r="AD1487" i="1"/>
  <c r="AC1487" i="1"/>
  <c r="AL1487" i="1"/>
  <c r="AJ1487" i="1"/>
  <c r="AM1487" i="1" s="1"/>
  <c r="AI1486" i="1"/>
  <c r="AH1486" i="1"/>
  <c r="AG1486" i="1"/>
  <c r="AJ1486" i="1"/>
  <c r="AL1486" i="1"/>
  <c r="AE1486" i="1"/>
  <c r="AD1486" i="1"/>
  <c r="AC1486" i="1"/>
  <c r="AF1486" i="1"/>
  <c r="AI1485" i="1"/>
  <c r="AH1485" i="1"/>
  <c r="AG1485" i="1"/>
  <c r="AF1485" i="1"/>
  <c r="AC1485" i="1"/>
  <c r="AE1485" i="1"/>
  <c r="AL1485" i="1"/>
  <c r="AJ1485" i="1"/>
  <c r="AM1485" i="1" s="1"/>
  <c r="AD1485" i="1"/>
  <c r="AH1484" i="1"/>
  <c r="AI1484" i="1"/>
  <c r="AG1484" i="1"/>
  <c r="AL1484" i="1"/>
  <c r="AJ1484" i="1"/>
  <c r="AM1484" i="1" s="1"/>
  <c r="AF1484" i="1"/>
  <c r="AE1484" i="1"/>
  <c r="AC1484" i="1"/>
  <c r="AD1484" i="1"/>
  <c r="AI1483" i="1"/>
  <c r="AG1483" i="1"/>
  <c r="AH1483" i="1"/>
  <c r="AC1483" i="1"/>
  <c r="AL1483" i="1"/>
  <c r="AJ1483" i="1"/>
  <c r="AM1483" i="1" s="1"/>
  <c r="AF1483" i="1"/>
  <c r="AE1483" i="1"/>
  <c r="AD1483" i="1"/>
  <c r="AG1482" i="1"/>
  <c r="AI1482" i="1"/>
  <c r="AH1482" i="1"/>
  <c r="AJ1482" i="1"/>
  <c r="AL1482" i="1"/>
  <c r="AF1482" i="1"/>
  <c r="AC1482" i="1"/>
  <c r="AD1482" i="1"/>
  <c r="AE1482" i="1"/>
  <c r="AI1481" i="1"/>
  <c r="AG1481" i="1"/>
  <c r="AH1481" i="1"/>
  <c r="AL1481" i="1"/>
  <c r="AJ1481" i="1"/>
  <c r="AF1481" i="1"/>
  <c r="AE1481" i="1"/>
  <c r="AD1481" i="1"/>
  <c r="AC1481" i="1"/>
  <c r="AG1480" i="1"/>
  <c r="AH1480" i="1"/>
  <c r="AI1480" i="1"/>
  <c r="AD1480" i="1"/>
  <c r="AC1480" i="1"/>
  <c r="AL1480" i="1"/>
  <c r="AF1480" i="1"/>
  <c r="AE1480" i="1"/>
  <c r="AJ1480" i="1"/>
  <c r="AM1480" i="1" s="1"/>
  <c r="AG1479" i="1"/>
  <c r="AI1479" i="1"/>
  <c r="AH1479" i="1"/>
  <c r="AF1479" i="1"/>
  <c r="AE1479" i="1"/>
  <c r="AD1479" i="1"/>
  <c r="AC1479" i="1"/>
  <c r="AL1479" i="1"/>
  <c r="AJ1479" i="1"/>
  <c r="AM1479" i="1" s="1"/>
  <c r="AH1478" i="1"/>
  <c r="AI1478" i="1"/>
  <c r="AG1478" i="1"/>
  <c r="AD1478" i="1"/>
  <c r="AC1478" i="1"/>
  <c r="AJ1478" i="1"/>
  <c r="AL1478" i="1"/>
  <c r="AF1478" i="1"/>
  <c r="AE1478" i="1"/>
  <c r="AG1477" i="1"/>
  <c r="AH1477" i="1"/>
  <c r="AI1477" i="1"/>
  <c r="AC1477" i="1"/>
  <c r="AD1477" i="1"/>
  <c r="AE1477" i="1"/>
  <c r="AF1477" i="1"/>
  <c r="AJ1477" i="1"/>
  <c r="AL1477" i="1"/>
  <c r="AG1476" i="1"/>
  <c r="AH1476" i="1"/>
  <c r="AI1476" i="1"/>
  <c r="AC1476" i="1"/>
  <c r="AD1476" i="1"/>
  <c r="AE1476" i="1"/>
  <c r="AF1476" i="1"/>
  <c r="AJ1476" i="1"/>
  <c r="AL1476" i="1"/>
  <c r="AG1475" i="1"/>
  <c r="AH1475" i="1"/>
  <c r="AI1475" i="1"/>
  <c r="AE1475" i="1"/>
  <c r="AF1475" i="1"/>
  <c r="AJ1475" i="1"/>
  <c r="AL1475" i="1"/>
  <c r="AD1475" i="1"/>
  <c r="AC1475" i="1"/>
  <c r="AH1474" i="1"/>
  <c r="AG1474" i="1"/>
  <c r="AI1474" i="1"/>
  <c r="AL1474" i="1"/>
  <c r="AF1474" i="1"/>
  <c r="AJ1474" i="1"/>
  <c r="AM1474" i="1" s="1"/>
  <c r="AC1474" i="1"/>
  <c r="AD1474" i="1"/>
  <c r="AE1474" i="1"/>
  <c r="AI1473" i="1"/>
  <c r="AG1473" i="1"/>
  <c r="AH1473" i="1"/>
  <c r="AF1473" i="1"/>
  <c r="AE1473" i="1"/>
  <c r="AC1473" i="1"/>
  <c r="AD1473" i="1"/>
  <c r="AJ1473" i="1"/>
  <c r="AL1473" i="1"/>
  <c r="AG1472" i="1"/>
  <c r="AH1472" i="1"/>
  <c r="AI1472" i="1"/>
  <c r="AL1472" i="1"/>
  <c r="AF1472" i="1"/>
  <c r="AJ1472" i="1"/>
  <c r="AM1472" i="1" s="1"/>
  <c r="AE1472" i="1"/>
  <c r="AD1472" i="1"/>
  <c r="AC1472" i="1"/>
  <c r="AG1471" i="1"/>
  <c r="AI1471" i="1"/>
  <c r="AH1471" i="1"/>
  <c r="AC1471" i="1"/>
  <c r="AE1471" i="1"/>
  <c r="AF1471" i="1"/>
  <c r="AL1471" i="1"/>
  <c r="AJ1471" i="1"/>
  <c r="AM1471" i="1" s="1"/>
  <c r="AD1471" i="1"/>
  <c r="AH1470" i="1"/>
  <c r="AI1470" i="1"/>
  <c r="AG1470" i="1"/>
  <c r="AC1470" i="1"/>
  <c r="AJ1470" i="1"/>
  <c r="AF1470" i="1"/>
  <c r="AE1470" i="1"/>
  <c r="AL1470" i="1"/>
  <c r="AD1470" i="1"/>
  <c r="AI1469" i="1"/>
  <c r="AH1469" i="1"/>
  <c r="AG1469" i="1"/>
  <c r="AJ1469" i="1"/>
  <c r="AF1469" i="1"/>
  <c r="AE1469" i="1"/>
  <c r="AL1469" i="1"/>
  <c r="AD1469" i="1"/>
  <c r="AC1469" i="1"/>
  <c r="AI1468" i="1"/>
  <c r="AH1468" i="1"/>
  <c r="AG1468" i="1"/>
  <c r="AL1468" i="1"/>
  <c r="AJ1468" i="1"/>
  <c r="AM1468" i="1" s="1"/>
  <c r="AD1468" i="1"/>
  <c r="AF1468" i="1"/>
  <c r="AE1468" i="1"/>
  <c r="AC1468" i="1"/>
  <c r="AI1467" i="1"/>
  <c r="AH1467" i="1"/>
  <c r="AG1467" i="1"/>
  <c r="AC1467" i="1"/>
  <c r="AD1467" i="1"/>
  <c r="AE1467" i="1"/>
  <c r="AF1467" i="1"/>
  <c r="AJ1467" i="1"/>
  <c r="AL1467" i="1"/>
  <c r="AI1466" i="1"/>
  <c r="AH1466" i="1"/>
  <c r="AG1466" i="1"/>
  <c r="AF1466" i="1"/>
  <c r="AL1466" i="1"/>
  <c r="AE1466" i="1"/>
  <c r="AD1466" i="1"/>
  <c r="AC1466" i="1"/>
  <c r="AJ1466" i="1"/>
  <c r="AM1466" i="1" s="1"/>
  <c r="AH1465" i="1"/>
  <c r="AI1465" i="1"/>
  <c r="AG1465" i="1"/>
  <c r="AJ1465" i="1"/>
  <c r="AC1465" i="1"/>
  <c r="AL1465" i="1"/>
  <c r="AF1465" i="1"/>
  <c r="AE1465" i="1"/>
  <c r="AD1465" i="1"/>
  <c r="AI1464" i="1"/>
  <c r="AH1464" i="1"/>
  <c r="AG1464" i="1"/>
  <c r="AC1464" i="1"/>
  <c r="AD1464" i="1"/>
  <c r="AE1464" i="1"/>
  <c r="AF1464" i="1"/>
  <c r="AL1464" i="1"/>
  <c r="AJ1464" i="1"/>
  <c r="AM1464" i="1" s="1"/>
  <c r="AI1463" i="1"/>
  <c r="AG1463" i="1"/>
  <c r="AH1463" i="1"/>
  <c r="AF1463" i="1"/>
  <c r="AD1463" i="1"/>
  <c r="AC1463" i="1"/>
  <c r="AE1463" i="1"/>
  <c r="AL1463" i="1"/>
  <c r="AJ1463" i="1"/>
  <c r="AM1463" i="1" s="1"/>
  <c r="AG1462" i="1"/>
  <c r="AH1462" i="1"/>
  <c r="AI1462" i="1"/>
  <c r="AE1462" i="1"/>
  <c r="AC1462" i="1"/>
  <c r="AD1462" i="1"/>
  <c r="AF1462" i="1"/>
  <c r="AJ1462" i="1"/>
  <c r="AL1462" i="1"/>
  <c r="AG1461" i="1"/>
  <c r="AH1461" i="1"/>
  <c r="AI1461" i="1"/>
  <c r="AC1461" i="1"/>
  <c r="AD1461" i="1"/>
  <c r="AE1461" i="1"/>
  <c r="AJ1461" i="1"/>
  <c r="AL1461" i="1"/>
  <c r="AF1461" i="1"/>
  <c r="AH1460" i="1"/>
  <c r="AI1460" i="1"/>
  <c r="AG1460" i="1"/>
  <c r="AD1460" i="1"/>
  <c r="AL1460" i="1"/>
  <c r="AJ1460" i="1"/>
  <c r="AM1460" i="1" s="1"/>
  <c r="AC1460" i="1"/>
  <c r="AE1460" i="1"/>
  <c r="AF1460" i="1"/>
  <c r="AG1459" i="1"/>
  <c r="AH1459" i="1"/>
  <c r="AI1459" i="1"/>
  <c r="AF1459" i="1"/>
  <c r="AE1459" i="1"/>
  <c r="AD1459" i="1"/>
  <c r="AC1459" i="1"/>
  <c r="AL1459" i="1"/>
  <c r="AJ1459" i="1"/>
  <c r="AM1459" i="1" s="1"/>
  <c r="AI1458" i="1"/>
  <c r="AG1458" i="1"/>
  <c r="AH1458" i="1"/>
  <c r="AJ1458" i="1"/>
  <c r="AC1458" i="1"/>
  <c r="AD1458" i="1"/>
  <c r="AE1458" i="1"/>
  <c r="AF1458" i="1"/>
  <c r="AL1458" i="1"/>
  <c r="AI1457" i="1"/>
  <c r="AH1457" i="1"/>
  <c r="AG1457" i="1"/>
  <c r="AE1457" i="1"/>
  <c r="AD1457" i="1"/>
  <c r="AJ1457" i="1"/>
  <c r="AC1457" i="1"/>
  <c r="AL1457" i="1"/>
  <c r="AF1457" i="1"/>
  <c r="AI1456" i="1"/>
  <c r="AH1456" i="1"/>
  <c r="AG1456" i="1"/>
  <c r="AL1456" i="1"/>
  <c r="AJ1456" i="1"/>
  <c r="AF1456" i="1"/>
  <c r="AE1456" i="1"/>
  <c r="AD1456" i="1"/>
  <c r="AC1456" i="1"/>
  <c r="AH1455" i="1"/>
  <c r="AI1455" i="1"/>
  <c r="AG1455" i="1"/>
  <c r="AD1455" i="1"/>
  <c r="AC1455" i="1"/>
  <c r="AL1455" i="1"/>
  <c r="AJ1455" i="1"/>
  <c r="AM1455" i="1" s="1"/>
  <c r="AF1455" i="1"/>
  <c r="AE1455" i="1"/>
  <c r="AI1454" i="1"/>
  <c r="AH1454" i="1"/>
  <c r="AG1454" i="1"/>
  <c r="AC1454" i="1"/>
  <c r="AD1454" i="1"/>
  <c r="AF1454" i="1"/>
  <c r="AL1454" i="1"/>
  <c r="AJ1454" i="1"/>
  <c r="AM1454" i="1" s="1"/>
  <c r="AE1454" i="1"/>
  <c r="AG1453" i="1"/>
  <c r="AH1453" i="1"/>
  <c r="AI1453" i="1"/>
  <c r="AC1453" i="1"/>
  <c r="AD1453" i="1"/>
  <c r="AE1453" i="1"/>
  <c r="AJ1453" i="1"/>
  <c r="AL1453" i="1"/>
  <c r="AF1453" i="1"/>
  <c r="AG1452" i="1"/>
  <c r="AH1452" i="1"/>
  <c r="AI1452" i="1"/>
  <c r="AJ1452" i="1"/>
  <c r="AL1452" i="1"/>
  <c r="AC1452" i="1"/>
  <c r="AD1452" i="1"/>
  <c r="AE1452" i="1"/>
  <c r="AF1452" i="1"/>
  <c r="AG1451" i="1"/>
  <c r="AH1451" i="1"/>
  <c r="AI1451" i="1"/>
  <c r="AE1451" i="1"/>
  <c r="AD1451" i="1"/>
  <c r="AC1451" i="1"/>
  <c r="AF1451" i="1"/>
  <c r="AJ1451" i="1"/>
  <c r="AL1451" i="1"/>
  <c r="AG1450" i="1"/>
  <c r="AH1450" i="1"/>
  <c r="AI1450" i="1"/>
  <c r="AC1450" i="1"/>
  <c r="AJ1450" i="1"/>
  <c r="AD1450" i="1"/>
  <c r="AF1450" i="1"/>
  <c r="AE1450" i="1"/>
  <c r="AL1450" i="1"/>
  <c r="AG1449" i="1"/>
  <c r="AH1449" i="1"/>
  <c r="AI1449" i="1"/>
  <c r="AL1449" i="1"/>
  <c r="AF1449" i="1"/>
  <c r="AC1449" i="1"/>
  <c r="AJ1449" i="1"/>
  <c r="AM1449" i="1" s="1"/>
  <c r="AE1449" i="1"/>
  <c r="AD1449" i="1"/>
  <c r="AI1448" i="1"/>
  <c r="AG1448" i="1"/>
  <c r="AH1448" i="1"/>
  <c r="AL1448" i="1"/>
  <c r="AJ1448" i="1"/>
  <c r="AM1448" i="1" s="1"/>
  <c r="AC1448" i="1"/>
  <c r="AD1448" i="1"/>
  <c r="AE1448" i="1"/>
  <c r="AF1448" i="1"/>
  <c r="AH1447" i="1"/>
  <c r="AG1447" i="1"/>
  <c r="AI1447" i="1"/>
  <c r="AD1447" i="1"/>
  <c r="AC1447" i="1"/>
  <c r="AL1447" i="1"/>
  <c r="AJ1447" i="1"/>
  <c r="AM1447" i="1" s="1"/>
  <c r="AF1447" i="1"/>
  <c r="AE1447" i="1"/>
  <c r="AG1446" i="1"/>
  <c r="AH1446" i="1"/>
  <c r="AI1446" i="1"/>
  <c r="AC1446" i="1"/>
  <c r="AE1446" i="1"/>
  <c r="AF1446" i="1"/>
  <c r="AL1446" i="1"/>
  <c r="AJ1446" i="1"/>
  <c r="AM1446" i="1" s="1"/>
  <c r="AD1446" i="1"/>
  <c r="AG1445" i="1"/>
  <c r="AH1445" i="1"/>
  <c r="AI1445" i="1"/>
  <c r="AC1445" i="1"/>
  <c r="AD1445" i="1"/>
  <c r="AE1445" i="1"/>
  <c r="AJ1445" i="1"/>
  <c r="AL1445" i="1"/>
  <c r="AF1445" i="1"/>
  <c r="AG1444" i="1"/>
  <c r="AH1444" i="1"/>
  <c r="AI1444" i="1"/>
  <c r="AC1444" i="1"/>
  <c r="AE1444" i="1"/>
  <c r="AJ1444" i="1"/>
  <c r="AF1444" i="1"/>
  <c r="AL1444" i="1"/>
  <c r="AD1444" i="1"/>
  <c r="AH1443" i="1"/>
  <c r="AG1443" i="1"/>
  <c r="AI1443" i="1"/>
  <c r="AL1443" i="1"/>
  <c r="AC1443" i="1"/>
  <c r="AD1443" i="1"/>
  <c r="AE1443" i="1"/>
  <c r="AF1443" i="1"/>
  <c r="AJ1443" i="1"/>
  <c r="AM1443" i="1" s="1"/>
  <c r="AG1442" i="1"/>
  <c r="AH1442" i="1"/>
  <c r="AI1442" i="1"/>
  <c r="AF1442" i="1"/>
  <c r="AJ1442" i="1"/>
  <c r="AL1442" i="1"/>
  <c r="AC1442" i="1"/>
  <c r="AE1442" i="1"/>
  <c r="AD1442" i="1"/>
  <c r="AI1441" i="1"/>
  <c r="AH1441" i="1"/>
  <c r="AG1441" i="1"/>
  <c r="AC1441" i="1"/>
  <c r="AL1441" i="1"/>
  <c r="AD1441" i="1"/>
  <c r="AE1441" i="1"/>
  <c r="AF1441" i="1"/>
  <c r="AJ1441" i="1"/>
  <c r="AM1441" i="1" s="1"/>
  <c r="AI1440" i="1"/>
  <c r="AH1440" i="1"/>
  <c r="AG1440" i="1"/>
  <c r="AJ1440" i="1"/>
  <c r="AF1440" i="1"/>
  <c r="AE1440" i="1"/>
  <c r="AD1440" i="1"/>
  <c r="AC1440" i="1"/>
  <c r="AL1440" i="1"/>
  <c r="AI1439" i="1"/>
  <c r="AH1439" i="1"/>
  <c r="AG1439" i="1"/>
  <c r="AL1439" i="1"/>
  <c r="AJ1439" i="1"/>
  <c r="AM1439" i="1" s="1"/>
  <c r="AF1439" i="1"/>
  <c r="AE1439" i="1"/>
  <c r="AD1439" i="1"/>
  <c r="AC1439" i="1"/>
  <c r="AG1438" i="1"/>
  <c r="AH1438" i="1"/>
  <c r="AI1438" i="1"/>
  <c r="AJ1438" i="1"/>
  <c r="AL1438" i="1"/>
  <c r="AE1438" i="1"/>
  <c r="AC1438" i="1"/>
  <c r="AF1438" i="1"/>
  <c r="AD1438" i="1"/>
  <c r="AG1437" i="1"/>
  <c r="AI1437" i="1"/>
  <c r="AH1437" i="1"/>
  <c r="AD1437" i="1"/>
  <c r="AC1437" i="1"/>
  <c r="AE1437" i="1"/>
  <c r="AL1437" i="1"/>
  <c r="AJ1437" i="1"/>
  <c r="AM1437" i="1" s="1"/>
  <c r="AF1437" i="1"/>
  <c r="AI1436" i="1"/>
  <c r="AH1436" i="1"/>
  <c r="AG1436" i="1"/>
  <c r="AE1436" i="1"/>
  <c r="AJ1436" i="1"/>
  <c r="AD1436" i="1"/>
  <c r="AL1436" i="1"/>
  <c r="AC1436" i="1"/>
  <c r="AF1436" i="1"/>
  <c r="AG1435" i="1"/>
  <c r="AH1435" i="1"/>
  <c r="AI1435" i="1"/>
  <c r="AJ1435" i="1"/>
  <c r="AL1435" i="1"/>
  <c r="AF1435" i="1"/>
  <c r="AE1435" i="1"/>
  <c r="AD1435" i="1"/>
  <c r="AC1435" i="1"/>
  <c r="AG1434" i="1"/>
  <c r="AH1434" i="1"/>
  <c r="AI1434" i="1"/>
  <c r="AJ1434" i="1"/>
  <c r="AF1434" i="1"/>
  <c r="AC1434" i="1"/>
  <c r="AD1434" i="1"/>
  <c r="AL1434" i="1"/>
  <c r="AE1434" i="1"/>
  <c r="AI1433" i="1"/>
  <c r="AH1433" i="1"/>
  <c r="AG1433" i="1"/>
  <c r="AF1433" i="1"/>
  <c r="AE1433" i="1"/>
  <c r="AD1433" i="1"/>
  <c r="AC1433" i="1"/>
  <c r="AL1433" i="1"/>
  <c r="AJ1433" i="1"/>
  <c r="AM1433" i="1" s="1"/>
  <c r="AH1432" i="1"/>
  <c r="AI1432" i="1"/>
  <c r="AG1432" i="1"/>
  <c r="AF1432" i="1"/>
  <c r="AD1432" i="1"/>
  <c r="AC1432" i="1"/>
  <c r="AE1432" i="1"/>
  <c r="AL1432" i="1"/>
  <c r="AJ1432" i="1"/>
  <c r="AM1432" i="1" s="1"/>
  <c r="AI1431" i="1"/>
  <c r="AG1431" i="1"/>
  <c r="AH1431" i="1"/>
  <c r="AD1431" i="1"/>
  <c r="AE1431" i="1"/>
  <c r="AF1431" i="1"/>
  <c r="AC1431" i="1"/>
  <c r="AJ1431" i="1"/>
  <c r="AL1431" i="1"/>
  <c r="AG1430" i="1"/>
  <c r="AI1430" i="1"/>
  <c r="AH1430" i="1"/>
  <c r="AF1430" i="1"/>
  <c r="AE1430" i="1"/>
  <c r="AD1430" i="1"/>
  <c r="AC1430" i="1"/>
  <c r="AL1430" i="1"/>
  <c r="AJ1430" i="1"/>
  <c r="AM1430" i="1" s="1"/>
  <c r="AH1429" i="1"/>
  <c r="AG1429" i="1"/>
  <c r="AI1429" i="1"/>
  <c r="AD1429" i="1"/>
  <c r="AE1429" i="1"/>
  <c r="AF1429" i="1"/>
  <c r="AJ1429" i="1"/>
  <c r="AL1429" i="1"/>
  <c r="AC1429" i="1"/>
  <c r="AI1428" i="1"/>
  <c r="AH1428" i="1"/>
  <c r="AG1428" i="1"/>
  <c r="AJ1428" i="1"/>
  <c r="AL1428" i="1"/>
  <c r="AC1428" i="1"/>
  <c r="AD1428" i="1"/>
  <c r="AE1428" i="1"/>
  <c r="AF1428" i="1"/>
  <c r="AH1427" i="1"/>
  <c r="AG1427" i="1"/>
  <c r="AI1427" i="1"/>
  <c r="AF1427" i="1"/>
  <c r="AE1427" i="1"/>
  <c r="AD1427" i="1"/>
  <c r="AC1427" i="1"/>
  <c r="AJ1427" i="1"/>
  <c r="AL1427" i="1"/>
  <c r="AI1426" i="1"/>
  <c r="AG1426" i="1"/>
  <c r="AH1426" i="1"/>
  <c r="AL1426" i="1"/>
  <c r="AJ1426" i="1"/>
  <c r="AM1426" i="1" s="1"/>
  <c r="AF1426" i="1"/>
  <c r="AD1426" i="1"/>
  <c r="AE1426" i="1"/>
  <c r="AC1426" i="1"/>
  <c r="AI1425" i="1"/>
  <c r="AH1425" i="1"/>
  <c r="AG1425" i="1"/>
  <c r="AL1425" i="1"/>
  <c r="AJ1425" i="1"/>
  <c r="AM1425" i="1" s="1"/>
  <c r="AF1425" i="1"/>
  <c r="AC1425" i="1"/>
  <c r="AD1425" i="1"/>
  <c r="AE1425" i="1"/>
  <c r="AI1424" i="1"/>
  <c r="AG1424" i="1"/>
  <c r="AH1424" i="1"/>
  <c r="AD1424" i="1"/>
  <c r="AC1424" i="1"/>
  <c r="AL1424" i="1"/>
  <c r="AE1424" i="1"/>
  <c r="AF1424" i="1"/>
  <c r="AJ1424" i="1"/>
  <c r="AM1424" i="1" s="1"/>
  <c r="AH1423" i="1"/>
  <c r="AI1423" i="1"/>
  <c r="AG1423" i="1"/>
  <c r="AF1423" i="1"/>
  <c r="AJ1423" i="1"/>
  <c r="AE1423" i="1"/>
  <c r="AD1423" i="1"/>
  <c r="AC1423" i="1"/>
  <c r="AL1423" i="1"/>
  <c r="AH1422" i="1"/>
  <c r="AI1422" i="1"/>
  <c r="AG1422" i="1"/>
  <c r="AD1422" i="1"/>
  <c r="AF1422" i="1"/>
  <c r="AL1422" i="1"/>
  <c r="AE1422" i="1"/>
  <c r="AC1422" i="1"/>
  <c r="AJ1422" i="1"/>
  <c r="AM1422" i="1" s="1"/>
  <c r="AG1421" i="1"/>
  <c r="AI1421" i="1"/>
  <c r="AH1421" i="1"/>
  <c r="AL1421" i="1"/>
  <c r="AD1421" i="1"/>
  <c r="AE1421" i="1"/>
  <c r="AJ1421" i="1"/>
  <c r="AM1421" i="1" s="1"/>
  <c r="AF1421" i="1"/>
  <c r="AC1421" i="1"/>
  <c r="AH1420" i="1"/>
  <c r="AG1420" i="1"/>
  <c r="AF1420" i="1"/>
  <c r="AE1420" i="1"/>
  <c r="AC1420" i="1"/>
  <c r="AL1420" i="1"/>
  <c r="AD1420" i="1"/>
  <c r="AJ1420" i="1"/>
  <c r="AM1420" i="1" s="1"/>
  <c r="AI1419" i="1"/>
  <c r="AH1419" i="1"/>
  <c r="AG1419" i="1"/>
  <c r="AL1419" i="1"/>
  <c r="AJ1419" i="1"/>
  <c r="AM1419" i="1" s="1"/>
  <c r="AF1419" i="1"/>
  <c r="AD1419" i="1"/>
  <c r="AC1419" i="1"/>
  <c r="AE1419" i="1"/>
  <c r="AH1418" i="1"/>
  <c r="AI1418" i="1"/>
  <c r="AG1418" i="1"/>
  <c r="AL1418" i="1"/>
  <c r="AC1418" i="1"/>
  <c r="AJ1418" i="1"/>
  <c r="AM1418" i="1" s="1"/>
  <c r="AE1418" i="1"/>
  <c r="AF1418" i="1"/>
  <c r="AD1418" i="1"/>
  <c r="AI1417" i="1"/>
  <c r="AG1417" i="1"/>
  <c r="AH1417" i="1"/>
  <c r="AC1417" i="1"/>
  <c r="AE1417" i="1"/>
  <c r="AL1417" i="1"/>
  <c r="AJ1417" i="1"/>
  <c r="AM1417" i="1" s="1"/>
  <c r="AD1417" i="1"/>
  <c r="AF1417" i="1"/>
  <c r="AI1416" i="1"/>
  <c r="AH1416" i="1"/>
  <c r="AG1416" i="1"/>
  <c r="AC1416" i="1"/>
  <c r="AF1416" i="1"/>
  <c r="AL1416" i="1"/>
  <c r="AD1416" i="1"/>
  <c r="AJ1416" i="1"/>
  <c r="AM1416" i="1" s="1"/>
  <c r="AE1416" i="1"/>
  <c r="AH1415" i="1"/>
  <c r="AG1415" i="1"/>
  <c r="AI1415" i="1"/>
  <c r="AE1415" i="1"/>
  <c r="AL1415" i="1"/>
  <c r="AD1415" i="1"/>
  <c r="AF1415" i="1"/>
  <c r="AJ1415" i="1"/>
  <c r="AM1415" i="1" s="1"/>
  <c r="AC1415" i="1"/>
  <c r="AI1414" i="1"/>
  <c r="AG1414" i="1"/>
  <c r="AH1414" i="1"/>
  <c r="AJ1414" i="1"/>
  <c r="AF1414" i="1"/>
  <c r="AL1414" i="1"/>
  <c r="AD1414" i="1"/>
  <c r="AC1414" i="1"/>
  <c r="AE1414" i="1"/>
  <c r="AH1413" i="1"/>
  <c r="AI1413" i="1"/>
  <c r="AG1413" i="1"/>
  <c r="AF1413" i="1"/>
  <c r="AL1413" i="1"/>
  <c r="AJ1413" i="1"/>
  <c r="AM1413" i="1" s="1"/>
  <c r="AE1413" i="1"/>
  <c r="AC1413" i="1"/>
  <c r="AD1413" i="1"/>
  <c r="AG1412" i="1"/>
  <c r="AI1412" i="1"/>
  <c r="AH1412" i="1"/>
  <c r="AC1412" i="1"/>
  <c r="AE1412" i="1"/>
  <c r="AJ1412" i="1"/>
  <c r="AD1412" i="1"/>
  <c r="AL1412" i="1"/>
  <c r="AF1412" i="1"/>
  <c r="AI1411" i="1"/>
  <c r="AH1411" i="1"/>
  <c r="AG1411" i="1"/>
  <c r="AJ1411" i="1"/>
  <c r="AF1411" i="1"/>
  <c r="AC1411" i="1"/>
  <c r="AD1411" i="1"/>
  <c r="AE1411" i="1"/>
  <c r="AL1411" i="1"/>
  <c r="AG1410" i="1"/>
  <c r="AI1410" i="1"/>
  <c r="AH1410" i="1"/>
  <c r="AD1410" i="1"/>
  <c r="AF1410" i="1"/>
  <c r="AE1410" i="1"/>
  <c r="AJ1410" i="1"/>
  <c r="AL1410" i="1"/>
  <c r="AC1410" i="1"/>
  <c r="AH1409" i="1"/>
  <c r="AG1409" i="1"/>
  <c r="AI1409" i="1"/>
  <c r="AJ1409" i="1"/>
  <c r="AL1409" i="1"/>
  <c r="AD1409" i="1"/>
  <c r="AC1409" i="1"/>
  <c r="AE1409" i="1"/>
  <c r="AF1409" i="1"/>
  <c r="AH1408" i="1"/>
  <c r="AI1408" i="1"/>
  <c r="AG1408" i="1"/>
  <c r="AE1408" i="1"/>
  <c r="AC1408" i="1"/>
  <c r="AF1408" i="1"/>
  <c r="AD1408" i="1"/>
  <c r="AJ1408" i="1"/>
  <c r="AL1408" i="1"/>
  <c r="AH1407" i="1"/>
  <c r="AI1407" i="1"/>
  <c r="AG1407" i="1"/>
  <c r="AL1407" i="1"/>
  <c r="AD1407" i="1"/>
  <c r="AJ1407" i="1"/>
  <c r="AM1407" i="1" s="1"/>
  <c r="AF1407" i="1"/>
  <c r="AC1407" i="1"/>
  <c r="AE1407" i="1"/>
  <c r="AG1406" i="1"/>
  <c r="AI1406" i="1"/>
  <c r="AH1406" i="1"/>
  <c r="AC1406" i="1"/>
  <c r="AL1406" i="1"/>
  <c r="AJ1406" i="1"/>
  <c r="AM1406" i="1" s="1"/>
  <c r="AF1406" i="1"/>
  <c r="AD1406" i="1"/>
  <c r="AE1406" i="1"/>
  <c r="AG1405" i="1"/>
  <c r="AH1405" i="1"/>
  <c r="AI1405" i="1"/>
  <c r="AL1405" i="1"/>
  <c r="AD1405" i="1"/>
  <c r="AF1405" i="1"/>
  <c r="AJ1405" i="1"/>
  <c r="AM1405" i="1" s="1"/>
  <c r="AE1405" i="1"/>
  <c r="AC1405" i="1"/>
  <c r="AH1404" i="1"/>
  <c r="AI1404" i="1"/>
  <c r="AG1404" i="1"/>
  <c r="AE1404" i="1"/>
  <c r="AD1404" i="1"/>
  <c r="AC1404" i="1"/>
  <c r="AJ1404" i="1"/>
  <c r="AL1404" i="1"/>
  <c r="AF1404" i="1"/>
  <c r="AI1403" i="1"/>
  <c r="AG1403" i="1"/>
  <c r="AH1403" i="1"/>
  <c r="AF1403" i="1"/>
  <c r="AD1403" i="1"/>
  <c r="AE1403" i="1"/>
  <c r="AL1403" i="1"/>
  <c r="AJ1403" i="1"/>
  <c r="AM1403" i="1" s="1"/>
  <c r="AC1403" i="1"/>
  <c r="AI1402" i="1"/>
  <c r="AH1402" i="1"/>
  <c r="AG1402" i="1"/>
  <c r="AL1402" i="1"/>
  <c r="AF1402" i="1"/>
  <c r="AJ1402" i="1"/>
  <c r="AM1402" i="1" s="1"/>
  <c r="AE1402" i="1"/>
  <c r="AC1402" i="1"/>
  <c r="AD1402" i="1"/>
  <c r="AH1401" i="1"/>
  <c r="AI1401" i="1"/>
  <c r="AG1401" i="1"/>
  <c r="AL1401" i="1"/>
  <c r="AC1401" i="1"/>
  <c r="AJ1401" i="1"/>
  <c r="AM1401" i="1" s="1"/>
  <c r="AD1401" i="1"/>
  <c r="AF1401" i="1"/>
  <c r="AE1401" i="1"/>
  <c r="AG1400" i="1"/>
  <c r="AI1400" i="1"/>
  <c r="AH1400" i="1"/>
  <c r="AE1400" i="1"/>
  <c r="AL1400" i="1"/>
  <c r="AJ1400" i="1"/>
  <c r="AM1400" i="1" s="1"/>
  <c r="AF1400" i="1"/>
  <c r="AD1400" i="1"/>
  <c r="AC1400" i="1"/>
  <c r="AH1399" i="1"/>
  <c r="AG1399" i="1"/>
  <c r="AI1399" i="1"/>
  <c r="AE1399" i="1"/>
  <c r="AC1399" i="1"/>
  <c r="AD1399" i="1"/>
  <c r="AF1399" i="1"/>
  <c r="AL1399" i="1"/>
  <c r="AJ1399" i="1"/>
  <c r="AM1399" i="1" s="1"/>
  <c r="AH1398" i="1"/>
  <c r="AI1398" i="1"/>
  <c r="AG1398" i="1"/>
  <c r="AD1398" i="1"/>
  <c r="AC1398" i="1"/>
  <c r="AL1398" i="1"/>
  <c r="AJ1398" i="1"/>
  <c r="AM1398" i="1" s="1"/>
  <c r="AF1398" i="1"/>
  <c r="AE1398" i="1"/>
  <c r="AG1397" i="1"/>
  <c r="AI1397" i="1"/>
  <c r="AH1397" i="1"/>
  <c r="AJ1397" i="1"/>
  <c r="AF1397" i="1"/>
  <c r="AD1397" i="1"/>
  <c r="AC1397" i="1"/>
  <c r="AL1397" i="1"/>
  <c r="AE1397" i="1"/>
  <c r="AG1396" i="1"/>
  <c r="AH1396" i="1"/>
  <c r="AI1396" i="1"/>
  <c r="AF1396" i="1"/>
  <c r="AC1396" i="1"/>
  <c r="AE1396" i="1"/>
  <c r="AD1396" i="1"/>
  <c r="AJ1396" i="1"/>
  <c r="AL1396" i="1"/>
  <c r="AI1395" i="1"/>
  <c r="AG1395" i="1"/>
  <c r="AH1395" i="1"/>
  <c r="AF1395" i="1"/>
  <c r="AJ1395" i="1"/>
  <c r="AE1395" i="1"/>
  <c r="AC1395" i="1"/>
  <c r="AD1395" i="1"/>
  <c r="AL1395" i="1"/>
  <c r="AI1394" i="1"/>
  <c r="AH1394" i="1"/>
  <c r="AG1394" i="1"/>
  <c r="AJ1394" i="1"/>
  <c r="AF1394" i="1"/>
  <c r="AD1394" i="1"/>
  <c r="AE1394" i="1"/>
  <c r="AC1394" i="1"/>
  <c r="AL1394" i="1"/>
  <c r="AH1393" i="1"/>
  <c r="AG1393" i="1"/>
  <c r="AI1393" i="1"/>
  <c r="AF1393" i="1"/>
  <c r="AC1393" i="1"/>
  <c r="AJ1393" i="1"/>
  <c r="AE1393" i="1"/>
  <c r="AL1393" i="1"/>
  <c r="AD1393" i="1"/>
  <c r="AH1392" i="1"/>
  <c r="AG1392" i="1"/>
  <c r="AI1392" i="1"/>
  <c r="AJ1392" i="1"/>
  <c r="AE1392" i="1"/>
  <c r="AD1392" i="1"/>
  <c r="AF1392" i="1"/>
  <c r="AC1392" i="1"/>
  <c r="AL1392" i="1"/>
  <c r="AG1391" i="1"/>
  <c r="AI1391" i="1"/>
  <c r="AH1391" i="1"/>
  <c r="AD1391" i="1"/>
  <c r="AF1391" i="1"/>
  <c r="AC1391" i="1"/>
  <c r="AL1391" i="1"/>
  <c r="AJ1391" i="1"/>
  <c r="AM1391" i="1" s="1"/>
  <c r="AE1391" i="1"/>
  <c r="AI1390" i="1"/>
  <c r="AH1390" i="1"/>
  <c r="AG1390" i="1"/>
  <c r="AE1390" i="1"/>
  <c r="AJ1390" i="1"/>
  <c r="AD1390" i="1"/>
  <c r="AL1390" i="1"/>
  <c r="AC1390" i="1"/>
  <c r="AF1390" i="1"/>
  <c r="AH1389" i="1"/>
  <c r="AI1389" i="1"/>
  <c r="AG1389" i="1"/>
  <c r="AD1389" i="1"/>
  <c r="AF1389" i="1"/>
  <c r="AJ1389" i="1"/>
  <c r="AL1389" i="1"/>
  <c r="AE1389" i="1"/>
  <c r="AC1389" i="1"/>
  <c r="AG1388" i="1"/>
  <c r="AH1388" i="1"/>
  <c r="AI1388" i="1"/>
  <c r="AE1388" i="1"/>
  <c r="AD1388" i="1"/>
  <c r="AF1388" i="1"/>
  <c r="AC1388" i="1"/>
  <c r="AL1388" i="1"/>
  <c r="AJ1388" i="1"/>
  <c r="AM1388" i="1" s="1"/>
  <c r="AH1387" i="1"/>
  <c r="AG1387" i="1"/>
  <c r="AI1387" i="1"/>
  <c r="AF1387" i="1"/>
  <c r="AC1387" i="1"/>
  <c r="AD1387" i="1"/>
  <c r="AJ1387" i="1"/>
  <c r="AE1387" i="1"/>
  <c r="AL1387" i="1"/>
  <c r="AH1386" i="1"/>
  <c r="AI1386" i="1"/>
  <c r="AG1386" i="1"/>
  <c r="AL1386" i="1"/>
  <c r="AC1386" i="1"/>
  <c r="AE1386" i="1"/>
  <c r="AF1386" i="1"/>
  <c r="AJ1386" i="1"/>
  <c r="AM1386" i="1" s="1"/>
  <c r="AD1386" i="1"/>
  <c r="AI1385" i="1"/>
  <c r="AH1385" i="1"/>
  <c r="AG1385" i="1"/>
  <c r="AD1385" i="1"/>
  <c r="AJ1385" i="1"/>
  <c r="AE1385" i="1"/>
  <c r="AF1385" i="1"/>
  <c r="AL1385" i="1"/>
  <c r="AC1385" i="1"/>
  <c r="AG1384" i="1"/>
  <c r="AI1384" i="1"/>
  <c r="AH1384" i="1"/>
  <c r="AF1384" i="1"/>
  <c r="AJ1384" i="1"/>
  <c r="AL1384" i="1"/>
  <c r="AC1384" i="1"/>
  <c r="AD1384" i="1"/>
  <c r="AE1384" i="1"/>
  <c r="AH1383" i="1"/>
  <c r="AI1383" i="1"/>
  <c r="AG1383" i="1"/>
  <c r="AC1383" i="1"/>
  <c r="AF1383" i="1"/>
  <c r="AL1383" i="1"/>
  <c r="AD1383" i="1"/>
  <c r="AE1383" i="1"/>
  <c r="AJ1383" i="1"/>
  <c r="AM1383" i="1" s="1"/>
  <c r="AG1382" i="1"/>
  <c r="AI1382" i="1"/>
  <c r="AH1382" i="1"/>
  <c r="AJ1382" i="1"/>
  <c r="AE1382" i="1"/>
  <c r="AC1382" i="1"/>
  <c r="AF1382" i="1"/>
  <c r="AL1382" i="1"/>
  <c r="AD1382" i="1"/>
  <c r="AH1381" i="1"/>
  <c r="AG1381" i="1"/>
  <c r="AI1381" i="1"/>
  <c r="AE1381" i="1"/>
  <c r="AD1381" i="1"/>
  <c r="AJ1381" i="1"/>
  <c r="AL1381" i="1"/>
  <c r="AF1381" i="1"/>
  <c r="AC1381" i="1"/>
  <c r="AH1380" i="1"/>
  <c r="AG1380" i="1"/>
  <c r="AI1380" i="1"/>
  <c r="AJ1380" i="1"/>
  <c r="AL1380" i="1"/>
  <c r="AC1380" i="1"/>
  <c r="AD1380" i="1"/>
  <c r="AF1380" i="1"/>
  <c r="AE1380" i="1"/>
  <c r="AI1379" i="1"/>
  <c r="AH1379" i="1"/>
  <c r="AG1379" i="1"/>
  <c r="AL1379" i="1"/>
  <c r="AF1379" i="1"/>
  <c r="AC1379" i="1"/>
  <c r="AJ1379" i="1"/>
  <c r="AM1379" i="1" s="1"/>
  <c r="AD1379" i="1"/>
  <c r="AE1379" i="1"/>
  <c r="AI1378" i="1"/>
  <c r="AG1378" i="1"/>
  <c r="AH1378" i="1"/>
  <c r="AF1378" i="1"/>
  <c r="AE1378" i="1"/>
  <c r="AL1378" i="1"/>
  <c r="AD1378" i="1"/>
  <c r="AC1378" i="1"/>
  <c r="AJ1378" i="1"/>
  <c r="AM1378" i="1" s="1"/>
  <c r="AI1377" i="1"/>
  <c r="AH1377" i="1"/>
  <c r="AG1377" i="1"/>
  <c r="AJ1377" i="1"/>
  <c r="AF1377" i="1"/>
  <c r="AD1377" i="1"/>
  <c r="AC1377" i="1"/>
  <c r="AE1377" i="1"/>
  <c r="AL1377" i="1"/>
  <c r="AI1376" i="1"/>
  <c r="AG1376" i="1"/>
  <c r="AH1376" i="1"/>
  <c r="AD1376" i="1"/>
  <c r="AF1376" i="1"/>
  <c r="AC1376" i="1"/>
  <c r="AL1376" i="1"/>
  <c r="AJ1376" i="1"/>
  <c r="AM1376" i="1" s="1"/>
  <c r="AE1376" i="1"/>
  <c r="AI1375" i="1"/>
  <c r="AH1375" i="1"/>
  <c r="AG1375" i="1"/>
  <c r="AL1375" i="1"/>
  <c r="AE1375" i="1"/>
  <c r="AC1375" i="1"/>
  <c r="AJ1375" i="1"/>
  <c r="AM1375" i="1" s="1"/>
  <c r="AF1375" i="1"/>
  <c r="AD1375" i="1"/>
  <c r="AH1374" i="1"/>
  <c r="AG1374" i="1"/>
  <c r="AI1374" i="1"/>
  <c r="AD1374" i="1"/>
  <c r="AJ1374" i="1"/>
  <c r="AC1374" i="1"/>
  <c r="AF1374" i="1"/>
  <c r="AL1374" i="1"/>
  <c r="AE1374" i="1"/>
  <c r="AG1373" i="1"/>
  <c r="AH1373" i="1"/>
  <c r="AI1373" i="1"/>
  <c r="AJ1373" i="1"/>
  <c r="AF1373" i="1"/>
  <c r="AL1373" i="1"/>
  <c r="AC1373" i="1"/>
  <c r="AE1373" i="1"/>
  <c r="AD1373" i="1"/>
  <c r="AH1372" i="1"/>
  <c r="AG1372" i="1"/>
  <c r="AI1372" i="1"/>
  <c r="AE1372" i="1"/>
  <c r="AD1372" i="1"/>
  <c r="AJ1372" i="1"/>
  <c r="AF1372" i="1"/>
  <c r="AL1372" i="1"/>
  <c r="AC1372" i="1"/>
  <c r="AH1371" i="1"/>
  <c r="AI1371" i="1"/>
  <c r="AG1371" i="1"/>
  <c r="AD1371" i="1"/>
  <c r="AC1371" i="1"/>
  <c r="AL1371" i="1"/>
  <c r="AF1371" i="1"/>
  <c r="AE1371" i="1"/>
  <c r="AJ1371" i="1"/>
  <c r="AM1371" i="1" s="1"/>
  <c r="AH1370" i="1"/>
  <c r="AI1370" i="1"/>
  <c r="AG1370" i="1"/>
  <c r="AD1370" i="1"/>
  <c r="AL1370" i="1"/>
  <c r="AF1370" i="1"/>
  <c r="AC1370" i="1"/>
  <c r="AE1370" i="1"/>
  <c r="AJ1370" i="1"/>
  <c r="AM1370" i="1" s="1"/>
  <c r="AI1369" i="1"/>
  <c r="AH1369" i="1"/>
  <c r="AG1369" i="1"/>
  <c r="AD1369" i="1"/>
  <c r="AJ1369" i="1"/>
  <c r="AC1369" i="1"/>
  <c r="AE1369" i="1"/>
  <c r="AF1369" i="1"/>
  <c r="AL1369" i="1"/>
  <c r="AG1368" i="1"/>
  <c r="AH1368" i="1"/>
  <c r="AI1368" i="1"/>
  <c r="AD1368" i="1"/>
  <c r="AC1368" i="1"/>
  <c r="AL1368" i="1"/>
  <c r="AF1368" i="1"/>
  <c r="AJ1368" i="1"/>
  <c r="AM1368" i="1" s="1"/>
  <c r="AE1368" i="1"/>
  <c r="AI1367" i="1"/>
  <c r="AH1367" i="1"/>
  <c r="AG1367" i="1"/>
  <c r="AF1367" i="1"/>
  <c r="AE1367" i="1"/>
  <c r="AL1367" i="1"/>
  <c r="AJ1367" i="1"/>
  <c r="AD1367" i="1"/>
  <c r="AC1367" i="1"/>
  <c r="AG1366" i="1"/>
  <c r="AI1366" i="1"/>
  <c r="AH1366" i="1"/>
  <c r="AF1366" i="1"/>
  <c r="AL1366" i="1"/>
  <c r="AC1366" i="1"/>
  <c r="AE1366" i="1"/>
  <c r="AJ1366" i="1"/>
  <c r="AM1366" i="1" s="1"/>
  <c r="AD1366" i="1"/>
  <c r="AI1365" i="1"/>
  <c r="AG1365" i="1"/>
  <c r="AH1365" i="1"/>
  <c r="AC1365" i="1"/>
  <c r="AE1365" i="1"/>
  <c r="AF1365" i="1"/>
  <c r="AL1365" i="1"/>
  <c r="AD1365" i="1"/>
  <c r="AJ1365" i="1"/>
  <c r="AM1365" i="1" s="1"/>
  <c r="AG1364" i="1"/>
  <c r="AH1364" i="1"/>
  <c r="AI1364" i="1"/>
  <c r="AC1364" i="1"/>
  <c r="AE1364" i="1"/>
  <c r="AF1364" i="1"/>
  <c r="AJ1364" i="1"/>
  <c r="AD1364" i="1"/>
  <c r="AL1364" i="1"/>
  <c r="AG1363" i="1"/>
  <c r="AH1363" i="1"/>
  <c r="AI1363" i="1"/>
  <c r="AC1363" i="1"/>
  <c r="AE1363" i="1"/>
  <c r="AL1363" i="1"/>
  <c r="AJ1363" i="1"/>
  <c r="AM1363" i="1" s="1"/>
  <c r="AF1363" i="1"/>
  <c r="AD1363" i="1"/>
  <c r="AG1362" i="1"/>
  <c r="AH1362" i="1"/>
  <c r="AI1362" i="1"/>
  <c r="AJ1362" i="1"/>
  <c r="AD1362" i="1"/>
  <c r="AL1362" i="1"/>
  <c r="AE1362" i="1"/>
  <c r="AC1362" i="1"/>
  <c r="AF1362" i="1"/>
  <c r="AH1361" i="1"/>
  <c r="AG1361" i="1"/>
  <c r="AI1361" i="1"/>
  <c r="AC1361" i="1"/>
  <c r="AF1361" i="1"/>
  <c r="AJ1361" i="1"/>
  <c r="AL1361" i="1"/>
  <c r="AE1361" i="1"/>
  <c r="AD1361" i="1"/>
  <c r="AI1360" i="1"/>
  <c r="AG1360" i="1"/>
  <c r="AH1360" i="1"/>
  <c r="AJ1360" i="1"/>
  <c r="AL1360" i="1"/>
  <c r="AE1360" i="1"/>
  <c r="AC1360" i="1"/>
  <c r="AD1360" i="1"/>
  <c r="AF1360" i="1"/>
  <c r="AG1359" i="1"/>
  <c r="AH1359" i="1"/>
  <c r="AI1359" i="1"/>
  <c r="AE1359" i="1"/>
  <c r="AF1359" i="1"/>
  <c r="AJ1359" i="1"/>
  <c r="AL1359" i="1"/>
  <c r="AC1359" i="1"/>
  <c r="AD1359" i="1"/>
  <c r="AG1358" i="1"/>
  <c r="AI1358" i="1"/>
  <c r="AH1358" i="1"/>
  <c r="AJ1358" i="1"/>
  <c r="AL1358" i="1"/>
  <c r="AC1358" i="1"/>
  <c r="AE1358" i="1"/>
  <c r="AD1358" i="1"/>
  <c r="AF1358" i="1"/>
  <c r="AI1357" i="1"/>
  <c r="AG1357" i="1"/>
  <c r="AH1357" i="1"/>
  <c r="AL1357" i="1"/>
  <c r="AD1357" i="1"/>
  <c r="AF1357" i="1"/>
  <c r="AJ1357" i="1"/>
  <c r="AM1357" i="1" s="1"/>
  <c r="AE1357" i="1"/>
  <c r="AC1357" i="1"/>
  <c r="AH1356" i="1"/>
  <c r="AG1356" i="1"/>
  <c r="AI1356" i="1"/>
  <c r="AD1356" i="1"/>
  <c r="AL1356" i="1"/>
  <c r="AF1356" i="1"/>
  <c r="AJ1356" i="1"/>
  <c r="AM1356" i="1" s="1"/>
  <c r="AE1356" i="1"/>
  <c r="AC1356" i="1"/>
  <c r="AG1355" i="1"/>
  <c r="AI1355" i="1"/>
  <c r="AH1355" i="1"/>
  <c r="AF1355" i="1"/>
  <c r="AC1355" i="1"/>
  <c r="AE1355" i="1"/>
  <c r="AL1355" i="1"/>
  <c r="AD1355" i="1"/>
  <c r="AJ1355" i="1"/>
  <c r="AM1355" i="1" s="1"/>
  <c r="AG1354" i="1"/>
  <c r="AH1354" i="1"/>
  <c r="AI1354" i="1"/>
  <c r="AE1354" i="1"/>
  <c r="AD1354" i="1"/>
  <c r="AF1354" i="1"/>
  <c r="AL1354" i="1"/>
  <c r="AJ1354" i="1"/>
  <c r="AM1354" i="1" s="1"/>
  <c r="AC1354" i="1"/>
  <c r="AG1353" i="1"/>
  <c r="AI1353" i="1"/>
  <c r="AH1353" i="1"/>
  <c r="AE1353" i="1"/>
  <c r="AL1353" i="1"/>
  <c r="AJ1353" i="1"/>
  <c r="AM1353" i="1" s="1"/>
  <c r="AD1353" i="1"/>
  <c r="AC1353" i="1"/>
  <c r="AF1353" i="1"/>
  <c r="AH1352" i="1"/>
  <c r="AI1352" i="1"/>
  <c r="AG1352" i="1"/>
  <c r="AE1352" i="1"/>
  <c r="AC1352" i="1"/>
  <c r="AJ1352" i="1"/>
  <c r="AF1352" i="1"/>
  <c r="AL1352" i="1"/>
  <c r="AD1352" i="1"/>
  <c r="AG1351" i="1"/>
  <c r="AH1351" i="1"/>
  <c r="AI1351" i="1"/>
  <c r="AE1351" i="1"/>
  <c r="AL1351" i="1"/>
  <c r="AJ1351" i="1"/>
  <c r="AF1351" i="1"/>
  <c r="AD1351" i="1"/>
  <c r="AC1351" i="1"/>
  <c r="AG1350" i="1"/>
  <c r="AI1350" i="1"/>
  <c r="AH1350" i="1"/>
  <c r="AE1350" i="1"/>
  <c r="AC1350" i="1"/>
  <c r="AL1350" i="1"/>
  <c r="AJ1350" i="1"/>
  <c r="AF1350" i="1"/>
  <c r="AD1350" i="1"/>
  <c r="AH1349" i="1"/>
  <c r="AG1349" i="1"/>
  <c r="AI1349" i="1"/>
  <c r="AE1349" i="1"/>
  <c r="AL1349" i="1"/>
  <c r="AD1349" i="1"/>
  <c r="AJ1349" i="1"/>
  <c r="AF1349" i="1"/>
  <c r="AC1349" i="1"/>
  <c r="AH1348" i="1"/>
  <c r="AI1348" i="1"/>
  <c r="AG1348" i="1"/>
  <c r="AF1348" i="1"/>
  <c r="AD1348" i="1"/>
  <c r="AE1348" i="1"/>
  <c r="AL1348" i="1"/>
  <c r="AJ1348" i="1"/>
  <c r="AM1348" i="1" s="1"/>
  <c r="AC1348" i="1"/>
  <c r="AH1347" i="1"/>
  <c r="AI1347" i="1"/>
  <c r="AG1347" i="1"/>
  <c r="AL1347" i="1"/>
  <c r="AJ1347" i="1"/>
  <c r="AM1347" i="1" s="1"/>
  <c r="AF1347" i="1"/>
  <c r="AD1347" i="1"/>
  <c r="AC1347" i="1"/>
  <c r="AE1347" i="1"/>
  <c r="AI1346" i="1"/>
  <c r="AG1346" i="1"/>
  <c r="AH1346" i="1"/>
  <c r="AL1346" i="1"/>
  <c r="AE1346" i="1"/>
  <c r="AD1346" i="1"/>
  <c r="AF1346" i="1"/>
  <c r="AJ1346" i="1"/>
  <c r="AM1346" i="1" s="1"/>
  <c r="AC1346" i="1"/>
  <c r="AI1345" i="1"/>
  <c r="AG1345" i="1"/>
  <c r="AH1345" i="1"/>
  <c r="AC1345" i="1"/>
  <c r="AE1345" i="1"/>
  <c r="AD1345" i="1"/>
  <c r="AL1345" i="1"/>
  <c r="AF1345" i="1"/>
  <c r="AJ1345" i="1"/>
  <c r="AM1345" i="1" s="1"/>
  <c r="AI1344" i="1"/>
  <c r="AH1344" i="1"/>
  <c r="AG1344" i="1"/>
  <c r="AJ1344" i="1"/>
  <c r="AE1344" i="1"/>
  <c r="AC1344" i="1"/>
  <c r="AF1344" i="1"/>
  <c r="AD1344" i="1"/>
  <c r="AL1344" i="1"/>
  <c r="AH1343" i="1"/>
  <c r="AG1343" i="1"/>
  <c r="AI1343" i="1"/>
  <c r="AF1343" i="1"/>
  <c r="AC1343" i="1"/>
  <c r="AE1343" i="1"/>
  <c r="AD1343" i="1"/>
  <c r="AJ1343" i="1"/>
  <c r="AL1343" i="1"/>
  <c r="AH1342" i="1"/>
  <c r="AG1342" i="1"/>
  <c r="AI1342" i="1"/>
  <c r="AD1342" i="1"/>
  <c r="AL1342" i="1"/>
  <c r="AJ1342" i="1"/>
  <c r="AE1342" i="1"/>
  <c r="AF1342" i="1"/>
  <c r="AC1342" i="1"/>
  <c r="AH1341" i="1"/>
  <c r="AI1341" i="1"/>
  <c r="AG1341" i="1"/>
  <c r="AL1341" i="1"/>
  <c r="AE1341" i="1"/>
  <c r="AJ1341" i="1"/>
  <c r="AM1341" i="1" s="1"/>
  <c r="AD1341" i="1"/>
  <c r="AF1341" i="1"/>
  <c r="AC1341" i="1"/>
  <c r="AI1340" i="1"/>
  <c r="AH1340" i="1"/>
  <c r="AG1340" i="1"/>
  <c r="AE1340" i="1"/>
  <c r="AD1340" i="1"/>
  <c r="AC1340" i="1"/>
  <c r="AJ1340" i="1"/>
  <c r="AL1340" i="1"/>
  <c r="AF1340" i="1"/>
  <c r="AG1339" i="1"/>
  <c r="AH1339" i="1"/>
  <c r="AI1339" i="1"/>
  <c r="AD1339" i="1"/>
  <c r="AE1339" i="1"/>
  <c r="AC1339" i="1"/>
  <c r="AL1339" i="1"/>
  <c r="AJ1339" i="1"/>
  <c r="AM1339" i="1" s="1"/>
  <c r="AF1339" i="1"/>
  <c r="AH1338" i="1"/>
  <c r="AI1338" i="1"/>
  <c r="AG1338" i="1"/>
  <c r="AL1338" i="1"/>
  <c r="AJ1338" i="1"/>
  <c r="AM1338" i="1" s="1"/>
  <c r="AD1338" i="1"/>
  <c r="AE1338" i="1"/>
  <c r="AC1338" i="1"/>
  <c r="AF1338" i="1"/>
  <c r="AH1337" i="1"/>
  <c r="AI1337" i="1"/>
  <c r="AG1337" i="1"/>
  <c r="AF1337" i="1"/>
  <c r="AD1337" i="1"/>
  <c r="AJ1337" i="1"/>
  <c r="AC1337" i="1"/>
  <c r="AL1337" i="1"/>
  <c r="AE1337" i="1"/>
  <c r="AH1336" i="1"/>
  <c r="AI1336" i="1"/>
  <c r="AG1336" i="1"/>
  <c r="AJ1336" i="1"/>
  <c r="AF1336" i="1"/>
  <c r="AE1336" i="1"/>
  <c r="AC1336" i="1"/>
  <c r="AL1336" i="1"/>
  <c r="AD1336" i="1"/>
  <c r="AH1335" i="1"/>
  <c r="AG1335" i="1"/>
  <c r="AI1335" i="1"/>
  <c r="AF1335" i="1"/>
  <c r="AL1335" i="1"/>
  <c r="AE1335" i="1"/>
  <c r="AJ1335" i="1"/>
  <c r="AM1335" i="1" s="1"/>
  <c r="AC1335" i="1"/>
  <c r="AD1335" i="1"/>
  <c r="AI1334" i="1"/>
  <c r="AG1334" i="1"/>
  <c r="AH1334" i="1"/>
  <c r="AF1334" i="1"/>
  <c r="AE1334" i="1"/>
  <c r="AD1334" i="1"/>
  <c r="AJ1334" i="1"/>
  <c r="AC1334" i="1"/>
  <c r="AL1334" i="1"/>
  <c r="AH1333" i="1"/>
  <c r="AG1333" i="1"/>
  <c r="AI1333" i="1"/>
  <c r="AE1333" i="1"/>
  <c r="AD1333" i="1"/>
  <c r="AC1333" i="1"/>
  <c r="AL1333" i="1"/>
  <c r="AJ1333" i="1"/>
  <c r="AM1333" i="1" s="1"/>
  <c r="AF1333" i="1"/>
  <c r="AI1332" i="1"/>
  <c r="AH1332" i="1"/>
  <c r="AG1332" i="1"/>
  <c r="AC1332" i="1"/>
  <c r="AL1332" i="1"/>
  <c r="AJ1332" i="1"/>
  <c r="AM1332" i="1" s="1"/>
  <c r="AE1332" i="1"/>
  <c r="AD1332" i="1"/>
  <c r="AF1332" i="1"/>
  <c r="AG1331" i="1"/>
  <c r="AI1331" i="1"/>
  <c r="AH1331" i="1"/>
  <c r="AF1331" i="1"/>
  <c r="AC1331" i="1"/>
  <c r="AE1331" i="1"/>
  <c r="AJ1331" i="1"/>
  <c r="AL1331" i="1"/>
  <c r="AD1331" i="1"/>
  <c r="AH1330" i="1"/>
  <c r="AG1330" i="1"/>
  <c r="AI1330" i="1"/>
  <c r="AE1330" i="1"/>
  <c r="AJ1330" i="1"/>
  <c r="AF1330" i="1"/>
  <c r="AL1330" i="1"/>
  <c r="AC1330" i="1"/>
  <c r="AD1330" i="1"/>
  <c r="AG1329" i="1"/>
  <c r="AI1329" i="1"/>
  <c r="AH1329" i="1"/>
  <c r="AE1329" i="1"/>
  <c r="AC1329" i="1"/>
  <c r="AL1329" i="1"/>
  <c r="AJ1329" i="1"/>
  <c r="AM1329" i="1" s="1"/>
  <c r="AF1329" i="1"/>
  <c r="AD1329" i="1"/>
  <c r="AI1328" i="1"/>
  <c r="AH1328" i="1"/>
  <c r="AG1328" i="1"/>
  <c r="AD1328" i="1"/>
  <c r="AC1328" i="1"/>
  <c r="AJ1328" i="1"/>
  <c r="AE1328" i="1"/>
  <c r="AL1328" i="1"/>
  <c r="AF1328" i="1"/>
  <c r="AG1327" i="1"/>
  <c r="AI1327" i="1"/>
  <c r="AH1327" i="1"/>
  <c r="AD1327" i="1"/>
  <c r="AF1327" i="1"/>
  <c r="AL1327" i="1"/>
  <c r="AC1327" i="1"/>
  <c r="AJ1327" i="1"/>
  <c r="AM1327" i="1" s="1"/>
  <c r="AE1327" i="1"/>
  <c r="AG1326" i="1"/>
  <c r="AH1326" i="1"/>
  <c r="AI1326" i="1"/>
  <c r="AC1326" i="1"/>
  <c r="AD1326" i="1"/>
  <c r="AF1326" i="1"/>
  <c r="AL1326" i="1"/>
  <c r="AJ1326" i="1"/>
  <c r="AM1326" i="1" s="1"/>
  <c r="AE1326" i="1"/>
  <c r="AG1325" i="1"/>
  <c r="AI1325" i="1"/>
  <c r="AH1325" i="1"/>
  <c r="AE1325" i="1"/>
  <c r="AC1325" i="1"/>
  <c r="AD1325" i="1"/>
  <c r="AL1325" i="1"/>
  <c r="AF1325" i="1"/>
  <c r="AJ1325" i="1"/>
  <c r="AH1324" i="1"/>
  <c r="AG1324" i="1"/>
  <c r="AI1324" i="1"/>
  <c r="AC1324" i="1"/>
  <c r="AF1324" i="1"/>
  <c r="AJ1324" i="1"/>
  <c r="AE1324" i="1"/>
  <c r="AD1324" i="1"/>
  <c r="AL1324" i="1"/>
  <c r="AI1323" i="1"/>
  <c r="AG1323" i="1"/>
  <c r="AH1323" i="1"/>
  <c r="AJ1323" i="1"/>
  <c r="AL1323" i="1"/>
  <c r="AF1323" i="1"/>
  <c r="AC1323" i="1"/>
  <c r="AD1323" i="1"/>
  <c r="AE1323" i="1"/>
  <c r="AH1322" i="1"/>
  <c r="AI1322" i="1"/>
  <c r="AG1322" i="1"/>
  <c r="AE1322" i="1"/>
  <c r="AC1322" i="1"/>
  <c r="AD1322" i="1"/>
  <c r="AJ1322" i="1"/>
  <c r="AF1322" i="1"/>
  <c r="AL1322" i="1"/>
  <c r="AI1321" i="1"/>
  <c r="AG1321" i="1"/>
  <c r="AH1321" i="1"/>
  <c r="AJ1321" i="1"/>
  <c r="AL1321" i="1"/>
  <c r="AC1321" i="1"/>
  <c r="AF1321" i="1"/>
  <c r="AE1321" i="1"/>
  <c r="AD1321" i="1"/>
  <c r="AG1320" i="1"/>
  <c r="AI1320" i="1"/>
  <c r="AH1320" i="1"/>
  <c r="AL1320" i="1"/>
  <c r="AC1320" i="1"/>
  <c r="AE1320" i="1"/>
  <c r="AF1320" i="1"/>
  <c r="AJ1320" i="1"/>
  <c r="AM1320" i="1" s="1"/>
  <c r="AD1320" i="1"/>
  <c r="AI1319" i="1"/>
  <c r="AH1319" i="1"/>
  <c r="AG1319" i="1"/>
  <c r="AF1319" i="1"/>
  <c r="AC1319" i="1"/>
  <c r="AE1319" i="1"/>
  <c r="AD1319" i="1"/>
  <c r="AJ1319" i="1"/>
  <c r="AL1319" i="1"/>
  <c r="AI1318" i="1"/>
  <c r="AG1318" i="1"/>
  <c r="AH1318" i="1"/>
  <c r="AD1318" i="1"/>
  <c r="AF1318" i="1"/>
  <c r="AJ1318" i="1"/>
  <c r="AL1318" i="1"/>
  <c r="AC1318" i="1"/>
  <c r="AE1318" i="1"/>
  <c r="AH1317" i="1"/>
  <c r="AI1317" i="1"/>
  <c r="AG1317" i="1"/>
  <c r="AC1317" i="1"/>
  <c r="AF1317" i="1"/>
  <c r="AJ1317" i="1"/>
  <c r="AL1317" i="1"/>
  <c r="AD1317" i="1"/>
  <c r="AE1317" i="1"/>
  <c r="AG1316" i="1"/>
  <c r="AI1316" i="1"/>
  <c r="AH1316" i="1"/>
  <c r="AL1316" i="1"/>
  <c r="AC1316" i="1"/>
  <c r="AE1316" i="1"/>
  <c r="AF1316" i="1"/>
  <c r="AD1316" i="1"/>
  <c r="AJ1316" i="1"/>
  <c r="AM1316" i="1" s="1"/>
  <c r="AI1315" i="1"/>
  <c r="AG1315" i="1"/>
  <c r="AH1315" i="1"/>
  <c r="AL1315" i="1"/>
  <c r="AC1315" i="1"/>
  <c r="AF1315" i="1"/>
  <c r="AD1315" i="1"/>
  <c r="AE1315" i="1"/>
  <c r="AJ1315" i="1"/>
  <c r="AM1315" i="1" s="1"/>
  <c r="AG1314" i="1"/>
  <c r="AH1314" i="1"/>
  <c r="AI1314" i="1"/>
  <c r="AC1314" i="1"/>
  <c r="AE1314" i="1"/>
  <c r="AJ1314" i="1"/>
  <c r="AD1314" i="1"/>
  <c r="AF1314" i="1"/>
  <c r="AL1314" i="1"/>
  <c r="AI1313" i="1"/>
  <c r="AH1313" i="1"/>
  <c r="AG1313" i="1"/>
  <c r="AD1313" i="1"/>
  <c r="AF1313" i="1"/>
  <c r="AJ1313" i="1"/>
  <c r="AL1313" i="1"/>
  <c r="AC1313" i="1"/>
  <c r="AE1313" i="1"/>
  <c r="AH1312" i="1"/>
  <c r="AG1312" i="1"/>
  <c r="AI1312" i="1"/>
  <c r="AC1312" i="1"/>
  <c r="AE1312" i="1"/>
  <c r="AJ1312" i="1"/>
  <c r="AL1312" i="1"/>
  <c r="AF1312" i="1"/>
  <c r="AD1312" i="1"/>
  <c r="AG1311" i="1"/>
  <c r="AI1311" i="1"/>
  <c r="AH1311" i="1"/>
  <c r="AJ1311" i="1"/>
  <c r="AD1311" i="1"/>
  <c r="AC1311" i="1"/>
  <c r="AE1311" i="1"/>
  <c r="AF1311" i="1"/>
  <c r="AL1311" i="1"/>
  <c r="AH1310" i="1"/>
  <c r="AG1310" i="1"/>
  <c r="AI1310" i="1"/>
  <c r="AF1310" i="1"/>
  <c r="AC1310" i="1"/>
  <c r="AL1310" i="1"/>
  <c r="AD1310" i="1"/>
  <c r="AE1310" i="1"/>
  <c r="AJ1310" i="1"/>
  <c r="AM1310" i="1" s="1"/>
  <c r="AH1309" i="1"/>
  <c r="AG1309" i="1"/>
  <c r="AI1309" i="1"/>
  <c r="AC1309" i="1"/>
  <c r="AF1309" i="1"/>
  <c r="AJ1309" i="1"/>
  <c r="AD1309" i="1"/>
  <c r="AL1309" i="1"/>
  <c r="AE1309" i="1"/>
  <c r="AG1308" i="1"/>
  <c r="AH1308" i="1"/>
  <c r="AI1308" i="1"/>
  <c r="AC1308" i="1"/>
  <c r="AE1308" i="1"/>
  <c r="AD1308" i="1"/>
  <c r="AF1308" i="1"/>
  <c r="AJ1308" i="1"/>
  <c r="AL1308" i="1"/>
  <c r="AH1307" i="1"/>
  <c r="AI1307" i="1"/>
  <c r="AG1307" i="1"/>
  <c r="AL1307" i="1"/>
  <c r="AC1307" i="1"/>
  <c r="AD1307" i="1"/>
  <c r="AE1307" i="1"/>
  <c r="AF1307" i="1"/>
  <c r="AJ1307" i="1"/>
  <c r="AM1307" i="1" s="1"/>
  <c r="AH1306" i="1"/>
  <c r="AG1306" i="1"/>
  <c r="AI1306" i="1"/>
  <c r="AD1306" i="1"/>
  <c r="AJ1306" i="1"/>
  <c r="AC1306" i="1"/>
  <c r="AE1306" i="1"/>
  <c r="AL1306" i="1"/>
  <c r="AF1306" i="1"/>
  <c r="AH1305" i="1"/>
  <c r="AI1305" i="1"/>
  <c r="AG1305" i="1"/>
  <c r="AE1305" i="1"/>
  <c r="AL1305" i="1"/>
  <c r="AJ1305" i="1"/>
  <c r="AM1305" i="1" s="1"/>
  <c r="AF1305" i="1"/>
  <c r="AD1305" i="1"/>
  <c r="AC1305" i="1"/>
  <c r="AI1304" i="1"/>
  <c r="AG1304" i="1"/>
  <c r="AH1304" i="1"/>
  <c r="AL1304" i="1"/>
  <c r="AD1304" i="1"/>
  <c r="AE1304" i="1"/>
  <c r="AF1304" i="1"/>
  <c r="AC1304" i="1"/>
  <c r="AJ1304" i="1"/>
  <c r="AM1304" i="1" s="1"/>
  <c r="AG1303" i="1"/>
  <c r="AI1303" i="1"/>
  <c r="AH1303" i="1"/>
  <c r="AL1303" i="1"/>
  <c r="AF1303" i="1"/>
  <c r="AE1303" i="1"/>
  <c r="AC1303" i="1"/>
  <c r="AD1303" i="1"/>
  <c r="AJ1303" i="1"/>
  <c r="AM1303" i="1" s="1"/>
  <c r="AH1302" i="1"/>
  <c r="AI1302" i="1"/>
  <c r="AG1302" i="1"/>
  <c r="AJ1302" i="1"/>
  <c r="AD1302" i="1"/>
  <c r="AF1302" i="1"/>
  <c r="AL1302" i="1"/>
  <c r="AC1302" i="1"/>
  <c r="AE1302" i="1"/>
  <c r="AH1301" i="1"/>
  <c r="AG1301" i="1"/>
  <c r="AI1301" i="1"/>
  <c r="AL1301" i="1"/>
  <c r="AJ1301" i="1"/>
  <c r="AM1301" i="1" s="1"/>
  <c r="AD1301" i="1"/>
  <c r="AF1301" i="1"/>
  <c r="AE1301" i="1"/>
  <c r="AC1301" i="1"/>
  <c r="AI1300" i="1"/>
  <c r="AG1300" i="1"/>
  <c r="AH1300" i="1"/>
  <c r="AJ1300" i="1"/>
  <c r="AD1300" i="1"/>
  <c r="AE1300" i="1"/>
  <c r="AL1300" i="1"/>
  <c r="AC1300" i="1"/>
  <c r="AF1300" i="1"/>
  <c r="AH1299" i="1"/>
  <c r="AI1299" i="1"/>
  <c r="AG1299" i="1"/>
  <c r="AF1299" i="1"/>
  <c r="AD1299" i="1"/>
  <c r="AE1299" i="1"/>
  <c r="AC1299" i="1"/>
  <c r="AL1299" i="1"/>
  <c r="AJ1299" i="1"/>
  <c r="AH1298" i="1"/>
  <c r="AI1298" i="1"/>
  <c r="AG1298" i="1"/>
  <c r="AC1298" i="1"/>
  <c r="AD1298" i="1"/>
  <c r="AF1298" i="1"/>
  <c r="AE1298" i="1"/>
  <c r="AJ1298" i="1"/>
  <c r="AL1298" i="1"/>
  <c r="AI1297" i="1"/>
  <c r="AG1297" i="1"/>
  <c r="AH1297" i="1"/>
  <c r="AL1297" i="1"/>
  <c r="AE1297" i="1"/>
  <c r="AC1297" i="1"/>
  <c r="AF1297" i="1"/>
  <c r="AJ1297" i="1"/>
  <c r="AM1297" i="1" s="1"/>
  <c r="AD1297" i="1"/>
  <c r="AH1296" i="1"/>
  <c r="AG1296" i="1"/>
  <c r="AI1296" i="1"/>
  <c r="AL1296" i="1"/>
  <c r="AD1296" i="1"/>
  <c r="AF1296" i="1"/>
  <c r="AE1296" i="1"/>
  <c r="AJ1296" i="1"/>
  <c r="AM1296" i="1" s="1"/>
  <c r="AC1296" i="1"/>
  <c r="AI1295" i="1"/>
  <c r="AH1295" i="1"/>
  <c r="AG1295" i="1"/>
  <c r="AD1295" i="1"/>
  <c r="AE1295" i="1"/>
  <c r="AF1295" i="1"/>
  <c r="AL1295" i="1"/>
  <c r="AJ1295" i="1"/>
  <c r="AM1295" i="1" s="1"/>
  <c r="AC1295" i="1"/>
  <c r="AG1294" i="1"/>
  <c r="AI1294" i="1"/>
  <c r="AH1294" i="1"/>
  <c r="AL1294" i="1"/>
  <c r="AJ1294" i="1"/>
  <c r="AF1294" i="1"/>
  <c r="AD1294" i="1"/>
  <c r="AE1294" i="1"/>
  <c r="AC1294" i="1"/>
  <c r="AI1293" i="1"/>
  <c r="AH1293" i="1"/>
  <c r="AG1293" i="1"/>
  <c r="AL1293" i="1"/>
  <c r="AF1293" i="1"/>
  <c r="AE1293" i="1"/>
  <c r="AD1293" i="1"/>
  <c r="AC1293" i="1"/>
  <c r="AJ1293" i="1"/>
  <c r="AM1293" i="1" s="1"/>
  <c r="AH1292" i="1"/>
  <c r="AI1292" i="1"/>
  <c r="AG1292" i="1"/>
  <c r="AJ1292" i="1"/>
  <c r="AL1292" i="1"/>
  <c r="AE1292" i="1"/>
  <c r="AC1292" i="1"/>
  <c r="AD1292" i="1"/>
  <c r="AF1292" i="1"/>
  <c r="AH1291" i="1"/>
  <c r="AI1291" i="1"/>
  <c r="AG1291" i="1"/>
  <c r="AJ1291" i="1"/>
  <c r="AE1291" i="1"/>
  <c r="AC1291" i="1"/>
  <c r="AF1291" i="1"/>
  <c r="AL1291" i="1"/>
  <c r="AD1291" i="1"/>
  <c r="AG1290" i="1"/>
  <c r="AH1290" i="1"/>
  <c r="AI1290" i="1"/>
  <c r="AD1290" i="1"/>
  <c r="AE1290" i="1"/>
  <c r="AC1290" i="1"/>
  <c r="AF1290" i="1"/>
  <c r="AJ1290" i="1"/>
  <c r="AL1290" i="1"/>
  <c r="AI1289" i="1"/>
  <c r="AH1289" i="1"/>
  <c r="AG1289" i="1"/>
  <c r="AC1289" i="1"/>
  <c r="AE1289" i="1"/>
  <c r="AJ1289" i="1"/>
  <c r="AL1289" i="1"/>
  <c r="AD1289" i="1"/>
  <c r="AF1289" i="1"/>
  <c r="AH1288" i="1"/>
  <c r="AI1288" i="1"/>
  <c r="AG1288" i="1"/>
  <c r="AE1288" i="1"/>
  <c r="AF1288" i="1"/>
  <c r="AJ1288" i="1"/>
  <c r="AL1288" i="1"/>
  <c r="AC1288" i="1"/>
  <c r="AD1288" i="1"/>
  <c r="AH1287" i="1"/>
  <c r="AI1287" i="1"/>
  <c r="AG1287" i="1"/>
  <c r="AF1287" i="1"/>
  <c r="AD1287" i="1"/>
  <c r="AL1287" i="1"/>
  <c r="AJ1287" i="1"/>
  <c r="AM1287" i="1" s="1"/>
  <c r="AE1287" i="1"/>
  <c r="AC1287" i="1"/>
  <c r="AI1286" i="1"/>
  <c r="AH1286" i="1"/>
  <c r="AG1286" i="1"/>
  <c r="AF1286" i="1"/>
  <c r="AC1286" i="1"/>
  <c r="AJ1286" i="1"/>
  <c r="AE1286" i="1"/>
  <c r="AD1286" i="1"/>
  <c r="AL1286" i="1"/>
  <c r="AH1285" i="1"/>
  <c r="AG1285" i="1"/>
  <c r="AI1285" i="1"/>
  <c r="AF1285" i="1"/>
  <c r="AJ1285" i="1"/>
  <c r="AC1285" i="1"/>
  <c r="AD1285" i="1"/>
  <c r="AL1285" i="1"/>
  <c r="AE1285" i="1"/>
  <c r="AI1284" i="1"/>
  <c r="AG1284" i="1"/>
  <c r="AH1284" i="1"/>
  <c r="AJ1284" i="1"/>
  <c r="AF1284" i="1"/>
  <c r="AL1284" i="1"/>
  <c r="AD1284" i="1"/>
  <c r="AC1284" i="1"/>
  <c r="AE1284" i="1"/>
  <c r="AH1283" i="1"/>
  <c r="AI1283" i="1"/>
  <c r="AG1283" i="1"/>
  <c r="AF1283" i="1"/>
  <c r="AL1283" i="1"/>
  <c r="AC1283" i="1"/>
  <c r="AD1283" i="1"/>
  <c r="AJ1283" i="1"/>
  <c r="AE1283" i="1"/>
  <c r="AG1282" i="1"/>
  <c r="AI1282" i="1"/>
  <c r="AH1282" i="1"/>
  <c r="AJ1282" i="1"/>
  <c r="AE1282" i="1"/>
  <c r="AD1282" i="1"/>
  <c r="AC1282" i="1"/>
  <c r="AL1282" i="1"/>
  <c r="AF1282" i="1"/>
  <c r="AG1281" i="1"/>
  <c r="AH1281" i="1"/>
  <c r="AI1281" i="1"/>
  <c r="AD1281" i="1"/>
  <c r="AL1281" i="1"/>
  <c r="AE1281" i="1"/>
  <c r="AC1281" i="1"/>
  <c r="AF1281" i="1"/>
  <c r="AJ1281" i="1"/>
  <c r="AM1281" i="1" s="1"/>
  <c r="AI1280" i="1"/>
  <c r="AG1280" i="1"/>
  <c r="AH1280" i="1"/>
  <c r="AL1280" i="1"/>
  <c r="AJ1280" i="1"/>
  <c r="AM1280" i="1" s="1"/>
  <c r="AF1280" i="1"/>
  <c r="AC1280" i="1"/>
  <c r="AD1280" i="1"/>
  <c r="AE1280" i="1"/>
  <c r="AI1279" i="1"/>
  <c r="AH1279" i="1"/>
  <c r="AG1279" i="1"/>
  <c r="AD1279" i="1"/>
  <c r="AF1279" i="1"/>
  <c r="AE1279" i="1"/>
  <c r="AL1279" i="1"/>
  <c r="AJ1279" i="1"/>
  <c r="AM1279" i="1" s="1"/>
  <c r="AC1279" i="1"/>
  <c r="AG1278" i="1"/>
  <c r="AI1278" i="1"/>
  <c r="AH1278" i="1"/>
  <c r="AC1278" i="1"/>
  <c r="AE1278" i="1"/>
  <c r="AL1278" i="1"/>
  <c r="AF1278" i="1"/>
  <c r="AJ1278" i="1"/>
  <c r="AM1278" i="1" s="1"/>
  <c r="AD1278" i="1"/>
  <c r="AH1277" i="1"/>
  <c r="AI1277" i="1"/>
  <c r="AG1277" i="1"/>
  <c r="AJ1277" i="1"/>
  <c r="AE1277" i="1"/>
  <c r="AL1277" i="1"/>
  <c r="AC1277" i="1"/>
  <c r="AD1277" i="1"/>
  <c r="AF1277" i="1"/>
  <c r="AI1276" i="1"/>
  <c r="AG1276" i="1"/>
  <c r="AH1276" i="1"/>
  <c r="AD1276" i="1"/>
  <c r="AJ1276" i="1"/>
  <c r="AF1276" i="1"/>
  <c r="AL1276" i="1"/>
  <c r="AE1276" i="1"/>
  <c r="AC1276" i="1"/>
  <c r="AH1275" i="1"/>
  <c r="AI1275" i="1"/>
  <c r="AG1275" i="1"/>
  <c r="AC1275" i="1"/>
  <c r="AE1275" i="1"/>
  <c r="AL1275" i="1"/>
  <c r="AJ1275" i="1"/>
  <c r="AM1275" i="1" s="1"/>
  <c r="AD1275" i="1"/>
  <c r="AF1275" i="1"/>
  <c r="AH1274" i="1"/>
  <c r="AG1274" i="1"/>
  <c r="AI1274" i="1"/>
  <c r="AF1274" i="1"/>
  <c r="AJ1274" i="1"/>
  <c r="AD1274" i="1"/>
  <c r="AL1274" i="1"/>
  <c r="AE1274" i="1"/>
  <c r="AC1274" i="1"/>
  <c r="AG1273" i="1"/>
  <c r="AH1273" i="1"/>
  <c r="AI1273" i="1"/>
  <c r="AC1273" i="1"/>
  <c r="AJ1273" i="1"/>
  <c r="AF1273" i="1"/>
  <c r="AE1273" i="1"/>
  <c r="AD1273" i="1"/>
  <c r="AL1273" i="1"/>
  <c r="AI1272" i="1"/>
  <c r="AG1272" i="1"/>
  <c r="AH1272" i="1"/>
  <c r="AL1272" i="1"/>
  <c r="AD1272" i="1"/>
  <c r="AC1272" i="1"/>
  <c r="AJ1272" i="1"/>
  <c r="AM1272" i="1" s="1"/>
  <c r="AF1272" i="1"/>
  <c r="AE1272" i="1"/>
  <c r="AH1271" i="1"/>
  <c r="AG1271" i="1"/>
  <c r="AI1271" i="1"/>
  <c r="AJ1271" i="1"/>
  <c r="AD1271" i="1"/>
  <c r="AF1271" i="1"/>
  <c r="AL1271" i="1"/>
  <c r="AC1271" i="1"/>
  <c r="AE1271" i="1"/>
  <c r="AH1270" i="1"/>
  <c r="AG1270" i="1"/>
  <c r="AI1270" i="1"/>
  <c r="AE1270" i="1"/>
  <c r="AC1270" i="1"/>
  <c r="AL1270" i="1"/>
  <c r="AF1270" i="1"/>
  <c r="AJ1270" i="1"/>
  <c r="AM1270" i="1" s="1"/>
  <c r="AD1270" i="1"/>
  <c r="AI1269" i="1"/>
  <c r="AG1269" i="1"/>
  <c r="AH1269" i="1"/>
  <c r="AF1269" i="1"/>
  <c r="AD1269" i="1"/>
  <c r="AC1269" i="1"/>
  <c r="AJ1269" i="1"/>
  <c r="AL1269" i="1"/>
  <c r="AE1269" i="1"/>
  <c r="AG1268" i="1"/>
  <c r="AH1268" i="1"/>
  <c r="AI1268" i="1"/>
  <c r="AD1268" i="1"/>
  <c r="AJ1268" i="1"/>
  <c r="AF1268" i="1"/>
  <c r="AE1268" i="1"/>
  <c r="AC1268" i="1"/>
  <c r="AL1268" i="1"/>
  <c r="AI1267" i="1"/>
  <c r="AH1267" i="1"/>
  <c r="AG1267" i="1"/>
  <c r="AF1267" i="1"/>
  <c r="AJ1267" i="1"/>
  <c r="AE1267" i="1"/>
  <c r="AC1267" i="1"/>
  <c r="AL1267" i="1"/>
  <c r="AD1267" i="1"/>
  <c r="AI1266" i="1"/>
  <c r="AG1266" i="1"/>
  <c r="AH1266" i="1"/>
  <c r="AF1266" i="1"/>
  <c r="AJ1266" i="1"/>
  <c r="AL1266" i="1"/>
  <c r="AE1266" i="1"/>
  <c r="AC1266" i="1"/>
  <c r="AD1266" i="1"/>
  <c r="AG1265" i="1"/>
  <c r="AI1265" i="1"/>
  <c r="AH1265" i="1"/>
  <c r="AC1265" i="1"/>
  <c r="AE1265" i="1"/>
  <c r="AF1265" i="1"/>
  <c r="AL1265" i="1"/>
  <c r="AJ1265" i="1"/>
  <c r="AM1265" i="1" s="1"/>
  <c r="AD1265" i="1"/>
  <c r="AG1264" i="1"/>
  <c r="AI1264" i="1"/>
  <c r="AH1264" i="1"/>
  <c r="AL1264" i="1"/>
  <c r="AD1264" i="1"/>
  <c r="AJ1264" i="1"/>
  <c r="AM1264" i="1" s="1"/>
  <c r="AE1264" i="1"/>
  <c r="AC1264" i="1"/>
  <c r="AF1264" i="1"/>
  <c r="AI1263" i="1"/>
  <c r="AG1263" i="1"/>
  <c r="AH1263" i="1"/>
  <c r="AF1263" i="1"/>
  <c r="AC1263" i="1"/>
  <c r="AE1263" i="1"/>
  <c r="AL1263" i="1"/>
  <c r="AD1263" i="1"/>
  <c r="AJ1263" i="1"/>
  <c r="AM1263" i="1" s="1"/>
  <c r="AH1262" i="1"/>
  <c r="AG1262" i="1"/>
  <c r="AI1262" i="1"/>
  <c r="AD1262" i="1"/>
  <c r="AJ1262" i="1"/>
  <c r="AE1262" i="1"/>
  <c r="AC1262" i="1"/>
  <c r="AL1262" i="1"/>
  <c r="AF1262" i="1"/>
  <c r="AH1261" i="1"/>
  <c r="AI1261" i="1"/>
  <c r="AG1261" i="1"/>
  <c r="AD1261" i="1"/>
  <c r="AF1261" i="1"/>
  <c r="AE1261" i="1"/>
  <c r="AC1261" i="1"/>
  <c r="AJ1261" i="1"/>
  <c r="AL1261" i="1"/>
  <c r="AI1260" i="1"/>
  <c r="AH1260" i="1"/>
  <c r="AG1260" i="1"/>
  <c r="AE1260" i="1"/>
  <c r="AD1260" i="1"/>
  <c r="AL1260" i="1"/>
  <c r="AJ1260" i="1"/>
  <c r="AM1260" i="1" s="1"/>
  <c r="AF1260" i="1"/>
  <c r="AC1260" i="1"/>
  <c r="AH1259" i="1"/>
  <c r="AG1259" i="1"/>
  <c r="AI1259" i="1"/>
  <c r="AJ1259" i="1"/>
  <c r="AL1259" i="1"/>
  <c r="AF1259" i="1"/>
  <c r="AD1259" i="1"/>
  <c r="AE1259" i="1"/>
  <c r="AC1259" i="1"/>
  <c r="AG1258" i="1"/>
  <c r="AH1258" i="1"/>
  <c r="AI1258" i="1"/>
  <c r="AF1258" i="1"/>
  <c r="AD1258" i="1"/>
  <c r="AC1258" i="1"/>
  <c r="AJ1258" i="1"/>
  <c r="AL1258" i="1"/>
  <c r="AE1258" i="1"/>
  <c r="AG1257" i="1"/>
  <c r="AI1257" i="1"/>
  <c r="AH1257" i="1"/>
  <c r="AE1257" i="1"/>
  <c r="AC1257" i="1"/>
  <c r="AL1257" i="1"/>
  <c r="AJ1257" i="1"/>
  <c r="AF1257" i="1"/>
  <c r="AD1257" i="1"/>
  <c r="AH1256" i="1"/>
  <c r="AG1256" i="1"/>
  <c r="AI1256" i="1"/>
  <c r="AD1256" i="1"/>
  <c r="AJ1256" i="1"/>
  <c r="AC1256" i="1"/>
  <c r="AE1256" i="1"/>
  <c r="AF1256" i="1"/>
  <c r="AL1256" i="1"/>
  <c r="AG1255" i="1"/>
  <c r="AH1255" i="1"/>
  <c r="AI1255" i="1"/>
  <c r="AJ1255" i="1"/>
  <c r="AC1255" i="1"/>
  <c r="AF1255" i="1"/>
  <c r="AE1255" i="1"/>
  <c r="AL1255" i="1"/>
  <c r="AD1255" i="1"/>
  <c r="AI1254" i="1"/>
  <c r="AG1254" i="1"/>
  <c r="AH1254" i="1"/>
  <c r="AL1254" i="1"/>
  <c r="AC1254" i="1"/>
  <c r="AE1254" i="1"/>
  <c r="AD1254" i="1"/>
  <c r="AF1254" i="1"/>
  <c r="AJ1254" i="1"/>
  <c r="AM1254" i="1" s="1"/>
  <c r="AG1253" i="1"/>
  <c r="AH1253" i="1"/>
  <c r="AI1253" i="1"/>
  <c r="AC1253" i="1"/>
  <c r="AJ1253" i="1"/>
  <c r="AE1253" i="1"/>
  <c r="AF1253" i="1"/>
  <c r="AL1253" i="1"/>
  <c r="AD1253" i="1"/>
  <c r="AH1252" i="1"/>
  <c r="AI1252" i="1"/>
  <c r="AG1252" i="1"/>
  <c r="AD1252" i="1"/>
  <c r="AJ1252" i="1"/>
  <c r="AC1252" i="1"/>
  <c r="AE1252" i="1"/>
  <c r="AF1252" i="1"/>
  <c r="AL1252" i="1"/>
  <c r="AG1251" i="1"/>
  <c r="AI1251" i="1"/>
  <c r="AH1251" i="1"/>
  <c r="AE1251" i="1"/>
  <c r="AJ1251" i="1"/>
  <c r="AD1251" i="1"/>
  <c r="AL1251" i="1"/>
  <c r="AF1251" i="1"/>
  <c r="AC1251" i="1"/>
  <c r="AI1250" i="1"/>
  <c r="AG1250" i="1"/>
  <c r="AH1250" i="1"/>
  <c r="AD1250" i="1"/>
  <c r="AF1250" i="1"/>
  <c r="AE1250" i="1"/>
  <c r="AL1250" i="1"/>
  <c r="AJ1250" i="1"/>
  <c r="AC1250" i="1"/>
  <c r="AH1249" i="1"/>
  <c r="AG1249" i="1"/>
  <c r="AI1249" i="1"/>
  <c r="AJ1249" i="1"/>
  <c r="AF1249" i="1"/>
  <c r="AD1249" i="1"/>
  <c r="AL1249" i="1"/>
  <c r="AE1249" i="1"/>
  <c r="AC1249" i="1"/>
  <c r="AH1248" i="1"/>
  <c r="AG1248" i="1"/>
  <c r="AI1248" i="1"/>
  <c r="AF1248" i="1"/>
  <c r="AD1248" i="1"/>
  <c r="AJ1248" i="1"/>
  <c r="AE1248" i="1"/>
  <c r="AL1248" i="1"/>
  <c r="AC1248" i="1"/>
  <c r="AH1247" i="1"/>
  <c r="AG1247" i="1"/>
  <c r="AI1247" i="1"/>
  <c r="AL1247" i="1"/>
  <c r="AJ1247" i="1"/>
  <c r="AE1247" i="1"/>
  <c r="AC1247" i="1"/>
  <c r="AD1247" i="1"/>
  <c r="AF1247" i="1"/>
  <c r="AG1246" i="1"/>
  <c r="AI1246" i="1"/>
  <c r="AH1246" i="1"/>
  <c r="AJ1246" i="1"/>
  <c r="AC1246" i="1"/>
  <c r="AD1246" i="1"/>
  <c r="AE1246" i="1"/>
  <c r="AF1246" i="1"/>
  <c r="AL1246" i="1"/>
  <c r="AG1245" i="1"/>
  <c r="AH1245" i="1"/>
  <c r="AI1245" i="1"/>
  <c r="AF1245" i="1"/>
  <c r="AD1245" i="1"/>
  <c r="AC1245" i="1"/>
  <c r="AE1245" i="1"/>
  <c r="AJ1245" i="1"/>
  <c r="AL1245" i="1"/>
  <c r="AG1244" i="1"/>
  <c r="AH1244" i="1"/>
  <c r="AI1244" i="1"/>
  <c r="AJ1244" i="1"/>
  <c r="AD1244" i="1"/>
  <c r="AF1244" i="1"/>
  <c r="AE1244" i="1"/>
  <c r="AC1244" i="1"/>
  <c r="AL1244" i="1"/>
  <c r="AG1243" i="1"/>
  <c r="AH1243" i="1"/>
  <c r="AI1243" i="1"/>
  <c r="AD1243" i="1"/>
  <c r="AF1243" i="1"/>
  <c r="AC1243" i="1"/>
  <c r="AJ1243" i="1"/>
  <c r="AL1243" i="1"/>
  <c r="AE1243" i="1"/>
  <c r="AG1242" i="1"/>
  <c r="AH1242" i="1"/>
  <c r="AI1242" i="1"/>
  <c r="AE1242" i="1"/>
  <c r="AF1242" i="1"/>
  <c r="AD1242" i="1"/>
  <c r="AJ1242" i="1"/>
  <c r="AC1242" i="1"/>
  <c r="AL1242" i="1"/>
  <c r="AH1241" i="1"/>
  <c r="AI1241" i="1"/>
  <c r="AG1241" i="1"/>
  <c r="AJ1241" i="1"/>
  <c r="AC1241" i="1"/>
  <c r="AL1241" i="1"/>
  <c r="AE1241" i="1"/>
  <c r="AD1241" i="1"/>
  <c r="AF1241" i="1"/>
  <c r="AI1240" i="1"/>
  <c r="AG1240" i="1"/>
  <c r="AH1240" i="1"/>
  <c r="AF1240" i="1"/>
  <c r="AL1240" i="1"/>
  <c r="AD1240" i="1"/>
  <c r="AC1240" i="1"/>
  <c r="AE1240" i="1"/>
  <c r="AJ1240" i="1"/>
  <c r="AM1240" i="1" s="1"/>
  <c r="AI1239" i="1"/>
  <c r="AG1239" i="1"/>
  <c r="AH1239" i="1"/>
  <c r="AL1239" i="1"/>
  <c r="AE1239" i="1"/>
  <c r="AC1239" i="1"/>
  <c r="AD1239" i="1"/>
  <c r="AF1239" i="1"/>
  <c r="AJ1239" i="1"/>
  <c r="AM1239" i="1" s="1"/>
  <c r="AI1238" i="1"/>
  <c r="AH1238" i="1"/>
  <c r="AG1238" i="1"/>
  <c r="AE1238" i="1"/>
  <c r="AD1238" i="1"/>
  <c r="AC1238" i="1"/>
  <c r="AL1238" i="1"/>
  <c r="AJ1238" i="1"/>
  <c r="AF1238" i="1"/>
  <c r="AH1237" i="1"/>
  <c r="AI1237" i="1"/>
  <c r="AG1237" i="1"/>
  <c r="AD1237" i="1"/>
  <c r="AC1237" i="1"/>
  <c r="AJ1237" i="1"/>
  <c r="AE1237" i="1"/>
  <c r="AL1237" i="1"/>
  <c r="AF1237" i="1"/>
  <c r="AI1236" i="1"/>
  <c r="AH1236" i="1"/>
  <c r="AG1236" i="1"/>
  <c r="AL1236" i="1"/>
  <c r="AJ1236" i="1"/>
  <c r="AD1236" i="1"/>
  <c r="AE1236" i="1"/>
  <c r="AC1236" i="1"/>
  <c r="AF1236" i="1"/>
  <c r="AI1235" i="1"/>
  <c r="AG1235" i="1"/>
  <c r="AH1235" i="1"/>
  <c r="AD1235" i="1"/>
  <c r="AE1235" i="1"/>
  <c r="AF1235" i="1"/>
  <c r="AJ1235" i="1"/>
  <c r="AL1235" i="1"/>
  <c r="AC1235" i="1"/>
  <c r="AH1234" i="1"/>
  <c r="AI1234" i="1"/>
  <c r="AG1234" i="1"/>
  <c r="AJ1234" i="1"/>
  <c r="AL1234" i="1"/>
  <c r="AC1234" i="1"/>
  <c r="AE1234" i="1"/>
  <c r="AD1234" i="1"/>
  <c r="AF1234" i="1"/>
  <c r="AG1233" i="1"/>
  <c r="AI1233" i="1"/>
  <c r="AH1233" i="1"/>
  <c r="AJ1233" i="1"/>
  <c r="AF1233" i="1"/>
  <c r="AE1233" i="1"/>
  <c r="AD1233" i="1"/>
  <c r="AC1233" i="1"/>
  <c r="AL1233" i="1"/>
  <c r="AG1232" i="1"/>
  <c r="AI1232" i="1"/>
  <c r="AH1232" i="1"/>
  <c r="AJ1232" i="1"/>
  <c r="AC1232" i="1"/>
  <c r="AE1232" i="1"/>
  <c r="AD1232" i="1"/>
  <c r="AF1232" i="1"/>
  <c r="AL1232" i="1"/>
  <c r="AG1231" i="1"/>
  <c r="AH1231" i="1"/>
  <c r="AI1231" i="1"/>
  <c r="AL1231" i="1"/>
  <c r="AF1231" i="1"/>
  <c r="AD1231" i="1"/>
  <c r="AC1231" i="1"/>
  <c r="AE1231" i="1"/>
  <c r="AJ1231" i="1"/>
  <c r="AM1231" i="1" s="1"/>
  <c r="AG1230" i="1"/>
  <c r="AH1230" i="1"/>
  <c r="AI1230" i="1"/>
  <c r="AD1230" i="1"/>
  <c r="AJ1230" i="1"/>
  <c r="AE1230" i="1"/>
  <c r="AC1230" i="1"/>
  <c r="AF1230" i="1"/>
  <c r="AL1230" i="1"/>
  <c r="AH1229" i="1"/>
  <c r="AG1229" i="1"/>
  <c r="AI1229" i="1"/>
  <c r="AE1229" i="1"/>
  <c r="AL1229" i="1"/>
  <c r="AJ1229" i="1"/>
  <c r="AF1229" i="1"/>
  <c r="AD1229" i="1"/>
  <c r="AC1229" i="1"/>
  <c r="AH1228" i="1"/>
  <c r="AI1228" i="1"/>
  <c r="AG1228" i="1"/>
  <c r="AJ1228" i="1"/>
  <c r="AL1228" i="1"/>
  <c r="AE1228" i="1"/>
  <c r="AC1228" i="1"/>
  <c r="AF1228" i="1"/>
  <c r="AD1228" i="1"/>
  <c r="AI1227" i="1"/>
  <c r="AH1227" i="1"/>
  <c r="AG1227" i="1"/>
  <c r="AL1227" i="1"/>
  <c r="AJ1227" i="1"/>
  <c r="AE1227" i="1"/>
  <c r="AC1227" i="1"/>
  <c r="AF1227" i="1"/>
  <c r="AD1227" i="1"/>
  <c r="AH1226" i="1"/>
  <c r="AI1226" i="1"/>
  <c r="AG1226" i="1"/>
  <c r="AD1226" i="1"/>
  <c r="AF1226" i="1"/>
  <c r="AJ1226" i="1"/>
  <c r="AC1226" i="1"/>
  <c r="AL1226" i="1"/>
  <c r="AE1226" i="1"/>
  <c r="AH1225" i="1"/>
  <c r="AI1225" i="1"/>
  <c r="AG1225" i="1"/>
  <c r="AL1225" i="1"/>
  <c r="AJ1225" i="1"/>
  <c r="AF1225" i="1"/>
  <c r="AD1225" i="1"/>
  <c r="AE1225" i="1"/>
  <c r="AC1225" i="1"/>
  <c r="AH1224" i="1"/>
  <c r="AG1224" i="1"/>
  <c r="AI1224" i="1"/>
  <c r="AL1224" i="1"/>
  <c r="AJ1224" i="1"/>
  <c r="AC1224" i="1"/>
  <c r="AD1224" i="1"/>
  <c r="AF1224" i="1"/>
  <c r="AE1224" i="1"/>
  <c r="AG1223" i="1"/>
  <c r="AH1223" i="1"/>
  <c r="AI1223" i="1"/>
  <c r="AE1223" i="1"/>
  <c r="AJ1223" i="1"/>
  <c r="AL1223" i="1"/>
  <c r="AD1223" i="1"/>
  <c r="AF1223" i="1"/>
  <c r="AC1223" i="1"/>
  <c r="AH1222" i="1"/>
  <c r="AG1222" i="1"/>
  <c r="AI1222" i="1"/>
  <c r="AJ1222" i="1"/>
  <c r="AE1222" i="1"/>
  <c r="AC1222" i="1"/>
  <c r="AL1222" i="1"/>
  <c r="AF1222" i="1"/>
  <c r="AD1222" i="1"/>
  <c r="AG1221" i="1"/>
  <c r="AH1221" i="1"/>
  <c r="AI1221" i="1"/>
  <c r="AL1221" i="1"/>
  <c r="AF1221" i="1"/>
  <c r="AD1221" i="1"/>
  <c r="AE1221" i="1"/>
  <c r="AJ1221" i="1"/>
  <c r="AM1221" i="1" s="1"/>
  <c r="AC1221" i="1"/>
  <c r="AI1220" i="1"/>
  <c r="AG1220" i="1"/>
  <c r="AH1220" i="1"/>
  <c r="AJ1220" i="1"/>
  <c r="AL1220" i="1"/>
  <c r="AC1220" i="1"/>
  <c r="AF1220" i="1"/>
  <c r="AE1220" i="1"/>
  <c r="AD1220" i="1"/>
  <c r="AG1219" i="1"/>
  <c r="AI1219" i="1"/>
  <c r="AH1219" i="1"/>
  <c r="AD1219" i="1"/>
  <c r="AF1219" i="1"/>
  <c r="AJ1219" i="1"/>
  <c r="AL1219" i="1"/>
  <c r="AC1219" i="1"/>
  <c r="AE1219" i="1"/>
  <c r="AI1218" i="1"/>
  <c r="AG1218" i="1"/>
  <c r="AH1218" i="1"/>
  <c r="AL1218" i="1"/>
  <c r="AD1218" i="1"/>
  <c r="AE1218" i="1"/>
  <c r="AJ1218" i="1"/>
  <c r="AM1218" i="1" s="1"/>
  <c r="AC1218" i="1"/>
  <c r="AF1218" i="1"/>
  <c r="AI1217" i="1"/>
  <c r="AG1217" i="1"/>
  <c r="AH1217" i="1"/>
  <c r="AL1217" i="1"/>
  <c r="AC1217" i="1"/>
  <c r="AE1217" i="1"/>
  <c r="AJ1217" i="1"/>
  <c r="AM1217" i="1" s="1"/>
  <c r="AF1217" i="1"/>
  <c r="AD1217" i="1"/>
  <c r="AI1216" i="1"/>
  <c r="AH1216" i="1"/>
  <c r="AG1216" i="1"/>
  <c r="AL1216" i="1"/>
  <c r="AF1216" i="1"/>
  <c r="AC1216" i="1"/>
  <c r="AJ1216" i="1"/>
  <c r="AM1216" i="1" s="1"/>
  <c r="AE1216" i="1"/>
  <c r="AD1216" i="1"/>
  <c r="AI1215" i="1"/>
  <c r="AH1215" i="1"/>
  <c r="AG1215" i="1"/>
  <c r="AD1215" i="1"/>
  <c r="AF1215" i="1"/>
  <c r="AJ1215" i="1"/>
  <c r="AC1215" i="1"/>
  <c r="AE1215" i="1"/>
  <c r="AL1215" i="1"/>
  <c r="AI1214" i="1"/>
  <c r="AH1214" i="1"/>
  <c r="AG1214" i="1"/>
  <c r="AC1214" i="1"/>
  <c r="AF1214" i="1"/>
  <c r="AD1214" i="1"/>
  <c r="AJ1214" i="1"/>
  <c r="AL1214" i="1"/>
  <c r="AE1214" i="1"/>
  <c r="AI1213" i="1"/>
  <c r="AH1213" i="1"/>
  <c r="AG1213" i="1"/>
  <c r="AL1213" i="1"/>
  <c r="AE1213" i="1"/>
  <c r="AD1213" i="1"/>
  <c r="AC1213" i="1"/>
  <c r="AF1213" i="1"/>
  <c r="AJ1213" i="1"/>
  <c r="AM1213" i="1" s="1"/>
  <c r="AH1212" i="1"/>
  <c r="AI1212" i="1"/>
  <c r="AG1212" i="1"/>
  <c r="AE1212" i="1"/>
  <c r="AL1212" i="1"/>
  <c r="AD1212" i="1"/>
  <c r="AF1212" i="1"/>
  <c r="AC1212" i="1"/>
  <c r="AJ1212" i="1"/>
  <c r="AM1212" i="1" s="1"/>
  <c r="AG1211" i="1"/>
  <c r="AH1211" i="1"/>
  <c r="AI1211" i="1"/>
  <c r="AC1211" i="1"/>
  <c r="AL1211" i="1"/>
  <c r="AD1211" i="1"/>
  <c r="AJ1211" i="1"/>
  <c r="AM1211" i="1" s="1"/>
  <c r="AE1211" i="1"/>
  <c r="AF1211" i="1"/>
  <c r="AI1210" i="1"/>
  <c r="AH1210" i="1"/>
  <c r="AG1210" i="1"/>
  <c r="AF1210" i="1"/>
  <c r="AD1210" i="1"/>
  <c r="AC1210" i="1"/>
  <c r="AL1210" i="1"/>
  <c r="AJ1210" i="1"/>
  <c r="AE1210" i="1"/>
  <c r="AH1209" i="1"/>
  <c r="AI1209" i="1"/>
  <c r="AG1209" i="1"/>
  <c r="AL1209" i="1"/>
  <c r="AE1209" i="1"/>
  <c r="AC1209" i="1"/>
  <c r="AD1209" i="1"/>
  <c r="AF1209" i="1"/>
  <c r="AJ1209" i="1"/>
  <c r="AM1209" i="1" s="1"/>
  <c r="AI1208" i="1"/>
  <c r="AH1208" i="1"/>
  <c r="AG1208" i="1"/>
  <c r="AJ1208" i="1"/>
  <c r="AF1208" i="1"/>
  <c r="AD1208" i="1"/>
  <c r="AC1208" i="1"/>
  <c r="AL1208" i="1"/>
  <c r="AE1208" i="1"/>
  <c r="AI1207" i="1"/>
  <c r="AG1207" i="1"/>
  <c r="AH1207" i="1"/>
  <c r="AL1207" i="1"/>
  <c r="AE1207" i="1"/>
  <c r="AC1207" i="1"/>
  <c r="AJ1207" i="1"/>
  <c r="AM1207" i="1" s="1"/>
  <c r="AD1207" i="1"/>
  <c r="AF1207" i="1"/>
  <c r="AG1206" i="1"/>
  <c r="AI1206" i="1"/>
  <c r="AH1206" i="1"/>
  <c r="AJ1206" i="1"/>
  <c r="AE1206" i="1"/>
  <c r="AC1206" i="1"/>
  <c r="AL1206" i="1"/>
  <c r="AD1206" i="1"/>
  <c r="AF1206" i="1"/>
  <c r="AH1205" i="1"/>
  <c r="AG1205" i="1"/>
  <c r="AI1205" i="1"/>
  <c r="AJ1205" i="1"/>
  <c r="AF1205" i="1"/>
  <c r="AE1205" i="1"/>
  <c r="AC1205" i="1"/>
  <c r="AL1205" i="1"/>
  <c r="AD1205" i="1"/>
  <c r="AH1204" i="1"/>
  <c r="AI1204" i="1"/>
  <c r="AG1204" i="1"/>
  <c r="AE1204" i="1"/>
  <c r="AC1204" i="1"/>
  <c r="AL1204" i="1"/>
  <c r="AJ1204" i="1"/>
  <c r="AF1204" i="1"/>
  <c r="AD1204" i="1"/>
  <c r="AG1203" i="1"/>
  <c r="AH1203" i="1"/>
  <c r="AI1203" i="1"/>
  <c r="AE1203" i="1"/>
  <c r="AL1203" i="1"/>
  <c r="AJ1203" i="1"/>
  <c r="AM1203" i="1" s="1"/>
  <c r="AD1203" i="1"/>
  <c r="AC1203" i="1"/>
  <c r="AF1203" i="1"/>
  <c r="AG1202" i="1"/>
  <c r="AI1202" i="1"/>
  <c r="AH1202" i="1"/>
  <c r="AF1202" i="1"/>
  <c r="AE1202" i="1"/>
  <c r="AL1202" i="1"/>
  <c r="AJ1202" i="1"/>
  <c r="AC1202" i="1"/>
  <c r="AD1202" i="1"/>
  <c r="AH1201" i="1"/>
  <c r="AI1201" i="1"/>
  <c r="AG1201" i="1"/>
  <c r="AL1201" i="1"/>
  <c r="AF1201" i="1"/>
  <c r="AJ1201" i="1"/>
  <c r="AD1201" i="1"/>
  <c r="AC1201" i="1"/>
  <c r="AE1201" i="1"/>
  <c r="AH1200" i="1"/>
  <c r="AG1200" i="1"/>
  <c r="AI1200" i="1"/>
  <c r="AC1200" i="1"/>
  <c r="AD1200" i="1"/>
  <c r="AJ1200" i="1"/>
  <c r="AL1200" i="1"/>
  <c r="AE1200" i="1"/>
  <c r="AF1200" i="1"/>
  <c r="AI1199" i="1"/>
  <c r="AH1199" i="1"/>
  <c r="AG1199" i="1"/>
  <c r="AC1199" i="1"/>
  <c r="AE1199" i="1"/>
  <c r="AJ1199" i="1"/>
  <c r="AL1199" i="1"/>
  <c r="AF1199" i="1"/>
  <c r="AD1199" i="1"/>
  <c r="AI1198" i="1"/>
  <c r="AH1198" i="1"/>
  <c r="AG1198" i="1"/>
  <c r="AE1198" i="1"/>
  <c r="AC1198" i="1"/>
  <c r="AJ1198" i="1"/>
  <c r="AL1198" i="1"/>
  <c r="AD1198" i="1"/>
  <c r="AF1198" i="1"/>
  <c r="AI1197" i="1"/>
  <c r="AG1197" i="1"/>
  <c r="AH1197" i="1"/>
  <c r="AL1197" i="1"/>
  <c r="AD1197" i="1"/>
  <c r="AE1197" i="1"/>
  <c r="AJ1197" i="1"/>
  <c r="AC1197" i="1"/>
  <c r="AF1197" i="1"/>
  <c r="AH1196" i="1"/>
  <c r="AG1196" i="1"/>
  <c r="AI1196" i="1"/>
  <c r="AF1196" i="1"/>
  <c r="AC1196" i="1"/>
  <c r="AJ1196" i="1"/>
  <c r="AL1196" i="1"/>
  <c r="AE1196" i="1"/>
  <c r="AD1196" i="1"/>
  <c r="AI1195" i="1"/>
  <c r="AG1195" i="1"/>
  <c r="AH1195" i="1"/>
  <c r="AL1195" i="1"/>
  <c r="AC1195" i="1"/>
  <c r="AJ1195" i="1"/>
  <c r="AM1195" i="1" s="1"/>
  <c r="AF1195" i="1"/>
  <c r="AD1195" i="1"/>
  <c r="AE1195" i="1"/>
  <c r="AH1194" i="1"/>
  <c r="AI1194" i="1"/>
  <c r="AG1194" i="1"/>
  <c r="AJ1194" i="1"/>
  <c r="AC1194" i="1"/>
  <c r="AE1194" i="1"/>
  <c r="AD1194" i="1"/>
  <c r="AL1194" i="1"/>
  <c r="AF1194" i="1"/>
  <c r="AG1193" i="1"/>
  <c r="AH1193" i="1"/>
  <c r="AI1193" i="1"/>
  <c r="AD1193" i="1"/>
  <c r="AF1193" i="1"/>
  <c r="AE1193" i="1"/>
  <c r="AC1193" i="1"/>
  <c r="AL1193" i="1"/>
  <c r="AJ1193" i="1"/>
  <c r="AI1192" i="1"/>
  <c r="AH1192" i="1"/>
  <c r="AG1192" i="1"/>
  <c r="AE1192" i="1"/>
  <c r="AC1192" i="1"/>
  <c r="AJ1192" i="1"/>
  <c r="AL1192" i="1"/>
  <c r="AF1192" i="1"/>
  <c r="AD1192" i="1"/>
  <c r="AH1191" i="1"/>
  <c r="AI1191" i="1"/>
  <c r="AG1191" i="1"/>
  <c r="AC1191" i="1"/>
  <c r="AF1191" i="1"/>
  <c r="AJ1191" i="1"/>
  <c r="AE1191" i="1"/>
  <c r="AL1191" i="1"/>
  <c r="AD1191" i="1"/>
  <c r="AH1190" i="1"/>
  <c r="AG1190" i="1"/>
  <c r="AI1190" i="1"/>
  <c r="AC1190" i="1"/>
  <c r="AL1190" i="1"/>
  <c r="AD1190" i="1"/>
  <c r="AF1190" i="1"/>
  <c r="AJ1190" i="1"/>
  <c r="AM1190" i="1" s="1"/>
  <c r="AE1190" i="1"/>
  <c r="AG1189" i="1"/>
  <c r="AI1189" i="1"/>
  <c r="AH1189" i="1"/>
  <c r="AL1189" i="1"/>
  <c r="AF1189" i="1"/>
  <c r="AE1189" i="1"/>
  <c r="AJ1189" i="1"/>
  <c r="AD1189" i="1"/>
  <c r="AC1189" i="1"/>
  <c r="AI1188" i="1"/>
  <c r="AH1188" i="1"/>
  <c r="AG1188" i="1"/>
  <c r="AJ1188" i="1"/>
  <c r="AL1188" i="1"/>
  <c r="AF1188" i="1"/>
  <c r="AE1188" i="1"/>
  <c r="AD1188" i="1"/>
  <c r="AC1188" i="1"/>
  <c r="AI1187" i="1"/>
  <c r="AH1187" i="1"/>
  <c r="AG1187" i="1"/>
  <c r="AE1187" i="1"/>
  <c r="AD1187" i="1"/>
  <c r="AJ1187" i="1"/>
  <c r="AF1187" i="1"/>
  <c r="AC1187" i="1"/>
  <c r="AL1187" i="1"/>
  <c r="AI1186" i="1"/>
  <c r="AG1186" i="1"/>
  <c r="AH1186" i="1"/>
  <c r="AF1186" i="1"/>
  <c r="AC1186" i="1"/>
  <c r="AD1186" i="1"/>
  <c r="AE1186" i="1"/>
  <c r="AL1186" i="1"/>
  <c r="AJ1186" i="1"/>
  <c r="AG1185" i="1"/>
  <c r="AH1185" i="1"/>
  <c r="AI1185" i="1"/>
  <c r="AD1185" i="1"/>
  <c r="AE1185" i="1"/>
  <c r="AL1185" i="1"/>
  <c r="AJ1185" i="1"/>
  <c r="AF1185" i="1"/>
  <c r="AC1185" i="1"/>
  <c r="AI1184" i="1"/>
  <c r="AH1184" i="1"/>
  <c r="AG1184" i="1"/>
  <c r="AL1184" i="1"/>
  <c r="AF1184" i="1"/>
  <c r="AD1184" i="1"/>
  <c r="AJ1184" i="1"/>
  <c r="AE1184" i="1"/>
  <c r="AC1184" i="1"/>
  <c r="AG1183" i="1"/>
  <c r="AH1183" i="1"/>
  <c r="AI1183" i="1"/>
  <c r="AF1183" i="1"/>
  <c r="AD1183" i="1"/>
  <c r="AJ1183" i="1"/>
  <c r="AC1183" i="1"/>
  <c r="AE1183" i="1"/>
  <c r="AL1183" i="1"/>
  <c r="AG1182" i="1"/>
  <c r="AH1182" i="1"/>
  <c r="AI1182" i="1"/>
  <c r="AD1182" i="1"/>
  <c r="AF1182" i="1"/>
  <c r="AC1182" i="1"/>
  <c r="AE1182" i="1"/>
  <c r="AJ1182" i="1"/>
  <c r="AL1182" i="1"/>
  <c r="AI1181" i="1"/>
  <c r="AG1181" i="1"/>
  <c r="AH1181" i="1"/>
  <c r="AJ1181" i="1"/>
  <c r="AE1181" i="1"/>
  <c r="AC1181" i="1"/>
  <c r="AD1181" i="1"/>
  <c r="AL1181" i="1"/>
  <c r="AF1181" i="1"/>
  <c r="AI1180" i="1"/>
  <c r="AH1180" i="1"/>
  <c r="AG1180" i="1"/>
  <c r="AL1180" i="1"/>
  <c r="AF1180" i="1"/>
  <c r="AD1180" i="1"/>
  <c r="AC1180" i="1"/>
  <c r="AJ1180" i="1"/>
  <c r="AM1180" i="1" s="1"/>
  <c r="AE1180" i="1"/>
  <c r="AI1179" i="1"/>
  <c r="AG1179" i="1"/>
  <c r="AH1179" i="1"/>
  <c r="AF1179" i="1"/>
  <c r="AD1179" i="1"/>
  <c r="AC1179" i="1"/>
  <c r="AE1179" i="1"/>
  <c r="AL1179" i="1"/>
  <c r="AJ1179" i="1"/>
  <c r="AH1178" i="1"/>
  <c r="AG1178" i="1"/>
  <c r="AI1178" i="1"/>
  <c r="AE1178" i="1"/>
  <c r="AF1178" i="1"/>
  <c r="AD1178" i="1"/>
  <c r="AL1178" i="1"/>
  <c r="AC1178" i="1"/>
  <c r="AJ1178" i="1"/>
  <c r="AI1177" i="1"/>
  <c r="AH1177" i="1"/>
  <c r="AG1177" i="1"/>
  <c r="AJ1177" i="1"/>
  <c r="AC1177" i="1"/>
  <c r="AF1177" i="1"/>
  <c r="AE1177" i="1"/>
  <c r="AD1177" i="1"/>
  <c r="AL1177" i="1"/>
  <c r="AI1176" i="1"/>
  <c r="AH1176" i="1"/>
  <c r="AG1176" i="1"/>
  <c r="AD1176" i="1"/>
  <c r="AC1176" i="1"/>
  <c r="AL1176" i="1"/>
  <c r="AE1176" i="1"/>
  <c r="AJ1176" i="1"/>
  <c r="AF1176" i="1"/>
  <c r="AG1175" i="1"/>
  <c r="AH1175" i="1"/>
  <c r="AI1175" i="1"/>
  <c r="AE1175" i="1"/>
  <c r="AF1175" i="1"/>
  <c r="AL1175" i="1"/>
  <c r="AD1175" i="1"/>
  <c r="AJ1175" i="1"/>
  <c r="AC1175" i="1"/>
  <c r="AH1174" i="1"/>
  <c r="AG1174" i="1"/>
  <c r="AI1174" i="1"/>
  <c r="AC1174" i="1"/>
  <c r="AE1174" i="1"/>
  <c r="AD1174" i="1"/>
  <c r="AJ1174" i="1"/>
  <c r="AL1174" i="1"/>
  <c r="AF1174" i="1"/>
  <c r="AG1173" i="1"/>
  <c r="AI1173" i="1"/>
  <c r="AH1173" i="1"/>
  <c r="AJ1173" i="1"/>
  <c r="AE1173" i="1"/>
  <c r="AC1173" i="1"/>
  <c r="AL1173" i="1"/>
  <c r="AF1173" i="1"/>
  <c r="AD1173" i="1"/>
  <c r="AG1172" i="1"/>
  <c r="AI1172" i="1"/>
  <c r="AH1172" i="1"/>
  <c r="AE1172" i="1"/>
  <c r="AC1172" i="1"/>
  <c r="AD1172" i="1"/>
  <c r="AF1172" i="1"/>
  <c r="AJ1172" i="1"/>
  <c r="AL1172" i="1"/>
  <c r="AI1171" i="1"/>
  <c r="AG1171" i="1"/>
  <c r="AH1171" i="1"/>
  <c r="AJ1171" i="1"/>
  <c r="AE1171" i="1"/>
  <c r="AL1171" i="1"/>
  <c r="AC1171" i="1"/>
  <c r="AF1171" i="1"/>
  <c r="AD1171" i="1"/>
  <c r="AI1170" i="1"/>
  <c r="AH1170" i="1"/>
  <c r="AG1170" i="1"/>
  <c r="AC1170" i="1"/>
  <c r="AD1170" i="1"/>
  <c r="AE1170" i="1"/>
  <c r="AL1170" i="1"/>
  <c r="AJ1170" i="1"/>
  <c r="AF1170" i="1"/>
  <c r="AG1169" i="1"/>
  <c r="AI1169" i="1"/>
  <c r="AH1169" i="1"/>
  <c r="AL1169" i="1"/>
  <c r="AF1169" i="1"/>
  <c r="AD1169" i="1"/>
  <c r="AJ1169" i="1"/>
  <c r="AC1169" i="1"/>
  <c r="AE1169" i="1"/>
  <c r="AI1168" i="1"/>
  <c r="AG1168" i="1"/>
  <c r="AH1168" i="1"/>
  <c r="AE1168" i="1"/>
  <c r="AL1168" i="1"/>
  <c r="AC1168" i="1"/>
  <c r="AD1168" i="1"/>
  <c r="AF1168" i="1"/>
  <c r="AJ1168" i="1"/>
  <c r="AM1168" i="1" s="1"/>
  <c r="AG1167" i="1"/>
  <c r="AI1167" i="1"/>
  <c r="AH1167" i="1"/>
  <c r="AL1167" i="1"/>
  <c r="AD1167" i="1"/>
  <c r="AJ1167" i="1"/>
  <c r="AC1167" i="1"/>
  <c r="AF1167" i="1"/>
  <c r="AE1167" i="1"/>
  <c r="AG1166" i="1"/>
  <c r="AI1166" i="1"/>
  <c r="AH1166" i="1"/>
  <c r="AJ1166" i="1"/>
  <c r="AL1166" i="1"/>
  <c r="AF1166" i="1"/>
  <c r="AD1166" i="1"/>
  <c r="AC1166" i="1"/>
  <c r="AE1166" i="1"/>
  <c r="AG1165" i="1"/>
  <c r="AH1165" i="1"/>
  <c r="AI1165" i="1"/>
  <c r="AD1165" i="1"/>
  <c r="AF1165" i="1"/>
  <c r="AC1165" i="1"/>
  <c r="AE1165" i="1"/>
  <c r="AL1165" i="1"/>
  <c r="AJ1165" i="1"/>
  <c r="AH1164" i="1"/>
  <c r="AG1164" i="1"/>
  <c r="AI1164" i="1"/>
  <c r="AE1164" i="1"/>
  <c r="AF1164" i="1"/>
  <c r="AL1164" i="1"/>
  <c r="AJ1164" i="1"/>
  <c r="AD1164" i="1"/>
  <c r="AC1164" i="1"/>
  <c r="AI1163" i="1"/>
  <c r="AH1163" i="1"/>
  <c r="AG1163" i="1"/>
  <c r="AC1163" i="1"/>
  <c r="AE1163" i="1"/>
  <c r="AD1163" i="1"/>
  <c r="AL1163" i="1"/>
  <c r="AF1163" i="1"/>
  <c r="AJ1163" i="1"/>
  <c r="AI1162" i="1"/>
  <c r="AH1162" i="1"/>
  <c r="AG1162" i="1"/>
  <c r="AJ1162" i="1"/>
  <c r="AL1162" i="1"/>
  <c r="AF1162" i="1"/>
  <c r="AE1162" i="1"/>
  <c r="AD1162" i="1"/>
  <c r="AC1162" i="1"/>
  <c r="AG1161" i="1"/>
  <c r="AI1161" i="1"/>
  <c r="AH1161" i="1"/>
  <c r="AJ1161" i="1"/>
  <c r="AC1161" i="1"/>
  <c r="AF1161" i="1"/>
  <c r="AL1161" i="1"/>
  <c r="AD1161" i="1"/>
  <c r="AE1161" i="1"/>
  <c r="AH1160" i="1"/>
  <c r="AG1160" i="1"/>
  <c r="AI1160" i="1"/>
  <c r="AJ1160" i="1"/>
  <c r="AL1160" i="1"/>
  <c r="AF1160" i="1"/>
  <c r="AD1160" i="1"/>
  <c r="AC1160" i="1"/>
  <c r="AE1160" i="1"/>
  <c r="AI1159" i="1"/>
  <c r="AG1159" i="1"/>
  <c r="AH1159" i="1"/>
  <c r="AE1159" i="1"/>
  <c r="AF1159" i="1"/>
  <c r="AL1159" i="1"/>
  <c r="AJ1159" i="1"/>
  <c r="AD1159" i="1"/>
  <c r="AC1159" i="1"/>
  <c r="AI1158" i="1"/>
  <c r="AH1158" i="1"/>
  <c r="AG1158" i="1"/>
  <c r="AF1158" i="1"/>
  <c r="AC1158" i="1"/>
  <c r="AJ1158" i="1"/>
  <c r="AE1158" i="1"/>
  <c r="AD1158" i="1"/>
  <c r="AL1158" i="1"/>
  <c r="AI1157" i="1"/>
  <c r="AH1157" i="1"/>
  <c r="AG1157" i="1"/>
  <c r="AL1157" i="1"/>
  <c r="AE1157" i="1"/>
  <c r="AJ1157" i="1"/>
  <c r="AM1157" i="1" s="1"/>
  <c r="AF1157" i="1"/>
  <c r="AD1157" i="1"/>
  <c r="AC1157" i="1"/>
  <c r="AI1156" i="1"/>
  <c r="AG1156" i="1"/>
  <c r="AH1156" i="1"/>
  <c r="AD1156" i="1"/>
  <c r="AF1156" i="1"/>
  <c r="AL1156" i="1"/>
  <c r="AC1156" i="1"/>
  <c r="AE1156" i="1"/>
  <c r="AJ1156" i="1"/>
  <c r="AG1155" i="1"/>
  <c r="AH1155" i="1"/>
  <c r="AI1155" i="1"/>
  <c r="AC1155" i="1"/>
  <c r="AF1155" i="1"/>
  <c r="AJ1155" i="1"/>
  <c r="AL1155" i="1"/>
  <c r="AD1155" i="1"/>
  <c r="AE1155" i="1"/>
  <c r="AI1154" i="1"/>
  <c r="AG1154" i="1"/>
  <c r="AH1154" i="1"/>
  <c r="AC1154" i="1"/>
  <c r="AE1154" i="1"/>
  <c r="AL1154" i="1"/>
  <c r="AD1154" i="1"/>
  <c r="AF1154" i="1"/>
  <c r="AJ1154" i="1"/>
  <c r="AM1154" i="1" s="1"/>
  <c r="AH1153" i="1"/>
  <c r="AI1153" i="1"/>
  <c r="AG1153" i="1"/>
  <c r="AE1153" i="1"/>
  <c r="AJ1153" i="1"/>
  <c r="AL1153" i="1"/>
  <c r="AD1153" i="1"/>
  <c r="AF1153" i="1"/>
  <c r="AC1153" i="1"/>
  <c r="AG1152" i="1"/>
  <c r="AI1152" i="1"/>
  <c r="AH1152" i="1"/>
  <c r="AF1152" i="1"/>
  <c r="AL1152" i="1"/>
  <c r="AE1152" i="1"/>
  <c r="AJ1152" i="1"/>
  <c r="AM1152" i="1" s="1"/>
  <c r="AC1152" i="1"/>
  <c r="AD1152" i="1"/>
  <c r="AG1151" i="1"/>
  <c r="AH1151" i="1"/>
  <c r="AI1151" i="1"/>
  <c r="AJ1151" i="1"/>
  <c r="AD1151" i="1"/>
  <c r="AE1151" i="1"/>
  <c r="AL1151" i="1"/>
  <c r="AF1151" i="1"/>
  <c r="AC1151" i="1"/>
  <c r="AG1150" i="1"/>
  <c r="AI1150" i="1"/>
  <c r="AH1150" i="1"/>
  <c r="AC1150" i="1"/>
  <c r="AF1150" i="1"/>
  <c r="AE1150" i="1"/>
  <c r="AD1150" i="1"/>
  <c r="AJ1150" i="1"/>
  <c r="AL1150" i="1"/>
  <c r="AI1149" i="1"/>
  <c r="AG1149" i="1"/>
  <c r="AH1149" i="1"/>
  <c r="AD1149" i="1"/>
  <c r="AC1149" i="1"/>
  <c r="AF1149" i="1"/>
  <c r="AL1149" i="1"/>
  <c r="AJ1149" i="1"/>
  <c r="AE1149" i="1"/>
  <c r="AI1148" i="1"/>
  <c r="AG1148" i="1"/>
  <c r="AH1148" i="1"/>
  <c r="AF1148" i="1"/>
  <c r="AD1148" i="1"/>
  <c r="AL1148" i="1"/>
  <c r="AE1148" i="1"/>
  <c r="AC1148" i="1"/>
  <c r="AJ1148" i="1"/>
  <c r="AM1148" i="1" s="1"/>
  <c r="AG1147" i="1"/>
  <c r="AH1147" i="1"/>
  <c r="AI1147" i="1"/>
  <c r="AE1147" i="1"/>
  <c r="AD1147" i="1"/>
  <c r="AC1147" i="1"/>
  <c r="AJ1147" i="1"/>
  <c r="AF1147" i="1"/>
  <c r="AL1147" i="1"/>
  <c r="AG1146" i="1"/>
  <c r="AI1146" i="1"/>
  <c r="AH1146" i="1"/>
  <c r="AF1146" i="1"/>
  <c r="AD1146" i="1"/>
  <c r="AC1146" i="1"/>
  <c r="AE1146" i="1"/>
  <c r="AL1146" i="1"/>
  <c r="AJ1146" i="1"/>
  <c r="AI1145" i="1"/>
  <c r="AH1145" i="1"/>
  <c r="AG1145" i="1"/>
  <c r="AL1145" i="1"/>
  <c r="AE1145" i="1"/>
  <c r="AF1145" i="1"/>
  <c r="AC1145" i="1"/>
  <c r="AD1145" i="1"/>
  <c r="AJ1145" i="1"/>
  <c r="AM1145" i="1" s="1"/>
  <c r="AI1144" i="1"/>
  <c r="AG1144" i="1"/>
  <c r="AH1144" i="1"/>
  <c r="AL1144" i="1"/>
  <c r="AJ1144" i="1"/>
  <c r="AC1144" i="1"/>
  <c r="AE1144" i="1"/>
  <c r="AD1144" i="1"/>
  <c r="AF1144" i="1"/>
  <c r="AI1143" i="1"/>
  <c r="AG1143" i="1"/>
  <c r="AH1143" i="1"/>
  <c r="AD1143" i="1"/>
  <c r="AF1143" i="1"/>
  <c r="AL1143" i="1"/>
  <c r="AC1143" i="1"/>
  <c r="AJ1143" i="1"/>
  <c r="AE1143" i="1"/>
  <c r="AI1142" i="1"/>
  <c r="AH1142" i="1"/>
  <c r="AG1142" i="1"/>
  <c r="AE1142" i="1"/>
  <c r="AC1142" i="1"/>
  <c r="AF1142" i="1"/>
  <c r="AJ1142" i="1"/>
  <c r="AD1142" i="1"/>
  <c r="AL1142" i="1"/>
  <c r="AH1141" i="1"/>
  <c r="AG1141" i="1"/>
  <c r="AI1141" i="1"/>
  <c r="AL1141" i="1"/>
  <c r="AF1141" i="1"/>
  <c r="AD1141" i="1"/>
  <c r="AE1141" i="1"/>
  <c r="AJ1141" i="1"/>
  <c r="AM1141" i="1" s="1"/>
  <c r="AC1141" i="1"/>
  <c r="AG1140" i="1"/>
  <c r="AH1140" i="1"/>
  <c r="AI1140" i="1"/>
  <c r="AE1140" i="1"/>
  <c r="AL1140" i="1"/>
  <c r="AD1140" i="1"/>
  <c r="AF1140" i="1"/>
  <c r="AC1140" i="1"/>
  <c r="AJ1140" i="1"/>
  <c r="AM1140" i="1" s="1"/>
  <c r="AH1139" i="1"/>
  <c r="AG1139" i="1"/>
  <c r="AI1139" i="1"/>
  <c r="AD1139" i="1"/>
  <c r="AC1139" i="1"/>
  <c r="AF1139" i="1"/>
  <c r="AE1139" i="1"/>
  <c r="AJ1139" i="1"/>
  <c r="AL1139" i="1"/>
  <c r="AG1138" i="1"/>
  <c r="AH1138" i="1"/>
  <c r="AI1138" i="1"/>
  <c r="AL1138" i="1"/>
  <c r="AJ1138" i="1"/>
  <c r="AD1138" i="1"/>
  <c r="AF1138" i="1"/>
  <c r="AE1138" i="1"/>
  <c r="AC1138" i="1"/>
  <c r="AI1137" i="1"/>
  <c r="AG1137" i="1"/>
  <c r="AH1137" i="1"/>
  <c r="AL1137" i="1"/>
  <c r="AF1137" i="1"/>
  <c r="AD1137" i="1"/>
  <c r="AJ1137" i="1"/>
  <c r="AE1137" i="1"/>
  <c r="AC1137" i="1"/>
  <c r="AI1136" i="1"/>
  <c r="AG1136" i="1"/>
  <c r="AH1136" i="1"/>
  <c r="AF1136" i="1"/>
  <c r="AJ1136" i="1"/>
  <c r="AL1136" i="1"/>
  <c r="AC1136" i="1"/>
  <c r="AD1136" i="1"/>
  <c r="AE1136" i="1"/>
  <c r="AI1135" i="1"/>
  <c r="AG1135" i="1"/>
  <c r="AH1135" i="1"/>
  <c r="AL1135" i="1"/>
  <c r="AC1135" i="1"/>
  <c r="AD1135" i="1"/>
  <c r="AE1135" i="1"/>
  <c r="AF1135" i="1"/>
  <c r="AJ1135" i="1"/>
  <c r="AM1135" i="1" s="1"/>
  <c r="AG1134" i="1"/>
  <c r="AH1134" i="1"/>
  <c r="AI1134" i="1"/>
  <c r="AL1134" i="1"/>
  <c r="AJ1134" i="1"/>
  <c r="AF1134" i="1"/>
  <c r="AD1134" i="1"/>
  <c r="AE1134" i="1"/>
  <c r="AC1134" i="1"/>
  <c r="AG1133" i="1"/>
  <c r="AH1133" i="1"/>
  <c r="AI1133" i="1"/>
  <c r="AE1133" i="1"/>
  <c r="AL1133" i="1"/>
  <c r="AJ1133" i="1"/>
  <c r="AM1133" i="1" s="1"/>
  <c r="AF1133" i="1"/>
  <c r="AC1133" i="1"/>
  <c r="AD1133" i="1"/>
  <c r="AG1132" i="1"/>
  <c r="AH1132" i="1"/>
  <c r="AI1132" i="1"/>
  <c r="AJ1132" i="1"/>
  <c r="AC1132" i="1"/>
  <c r="AL1132" i="1"/>
  <c r="AE1132" i="1"/>
  <c r="AD1132" i="1"/>
  <c r="AF1132" i="1"/>
  <c r="AH1131" i="1"/>
  <c r="AI1131" i="1"/>
  <c r="AG1131" i="1"/>
  <c r="AF1131" i="1"/>
  <c r="AD1131" i="1"/>
  <c r="AJ1131" i="1"/>
  <c r="AE1131" i="1"/>
  <c r="AC1131" i="1"/>
  <c r="AL1131" i="1"/>
  <c r="AG1130" i="1"/>
  <c r="AH1130" i="1"/>
  <c r="AI1130" i="1"/>
  <c r="AE1130" i="1"/>
  <c r="AD1130" i="1"/>
  <c r="AJ1130" i="1"/>
  <c r="AL1130" i="1"/>
  <c r="AF1130" i="1"/>
  <c r="AC1130" i="1"/>
  <c r="AI1129" i="1"/>
  <c r="AH1129" i="1"/>
  <c r="AG1129" i="1"/>
  <c r="AF1129" i="1"/>
  <c r="AD1129" i="1"/>
  <c r="AJ1129" i="1"/>
  <c r="AL1129" i="1"/>
  <c r="AE1129" i="1"/>
  <c r="AC1129" i="1"/>
  <c r="AI1128" i="1"/>
  <c r="AG1128" i="1"/>
  <c r="AH1128" i="1"/>
  <c r="AL1128" i="1"/>
  <c r="AE1128" i="1"/>
  <c r="AC1128" i="1"/>
  <c r="AD1128" i="1"/>
  <c r="AJ1128" i="1"/>
  <c r="AM1128" i="1" s="1"/>
  <c r="AF1128" i="1"/>
  <c r="AG1127" i="1"/>
  <c r="AH1127" i="1"/>
  <c r="AI1127" i="1"/>
  <c r="AD1127" i="1"/>
  <c r="AJ1127" i="1"/>
  <c r="AF1127" i="1"/>
  <c r="AL1127" i="1"/>
  <c r="AC1127" i="1"/>
  <c r="AE1127" i="1"/>
  <c r="AH1126" i="1"/>
  <c r="AI1126" i="1"/>
  <c r="AG1126" i="1"/>
  <c r="AC1126" i="1"/>
  <c r="AD1126" i="1"/>
  <c r="AF1126" i="1"/>
  <c r="AL1126" i="1"/>
  <c r="AJ1126" i="1"/>
  <c r="AE1126" i="1"/>
  <c r="AI1125" i="1"/>
  <c r="AG1125" i="1"/>
  <c r="AH1125" i="1"/>
  <c r="AD1125" i="1"/>
  <c r="AF1125" i="1"/>
  <c r="AC1125" i="1"/>
  <c r="AJ1125" i="1"/>
  <c r="AE1125" i="1"/>
  <c r="AL1125" i="1"/>
  <c r="AG1124" i="1"/>
  <c r="AI1124" i="1"/>
  <c r="AH1124" i="1"/>
  <c r="AE1124" i="1"/>
  <c r="AD1124" i="1"/>
  <c r="AF1124" i="1"/>
  <c r="AJ1124" i="1"/>
  <c r="AL1124" i="1"/>
  <c r="AC1124" i="1"/>
  <c r="AI1123" i="1"/>
  <c r="AG1123" i="1"/>
  <c r="AH1123" i="1"/>
  <c r="AJ1123" i="1"/>
  <c r="AE1123" i="1"/>
  <c r="AC1123" i="1"/>
  <c r="AL1123" i="1"/>
  <c r="AF1123" i="1"/>
  <c r="AD1123" i="1"/>
  <c r="AG1122" i="1"/>
  <c r="AI1122" i="1"/>
  <c r="AH1122" i="1"/>
  <c r="AC1122" i="1"/>
  <c r="AJ1122" i="1"/>
  <c r="AD1122" i="1"/>
  <c r="AE1122" i="1"/>
  <c r="AL1122" i="1"/>
  <c r="AF1122" i="1"/>
  <c r="AG1121" i="1"/>
  <c r="AI1121" i="1"/>
  <c r="AH1121" i="1"/>
  <c r="AF1121" i="1"/>
  <c r="AD1121" i="1"/>
  <c r="AC1121" i="1"/>
  <c r="AL1121" i="1"/>
  <c r="AJ1121" i="1"/>
  <c r="AE1121" i="1"/>
  <c r="AI1120" i="1"/>
  <c r="AG1120" i="1"/>
  <c r="AH1120" i="1"/>
  <c r="AL1120" i="1"/>
  <c r="AJ1120" i="1"/>
  <c r="AM1120" i="1" s="1"/>
  <c r="AE1120" i="1"/>
  <c r="AF1120" i="1"/>
  <c r="AC1120" i="1"/>
  <c r="AD1120" i="1"/>
  <c r="AI1119" i="1"/>
  <c r="AG1119" i="1"/>
  <c r="AH1119" i="1"/>
  <c r="AJ1119" i="1"/>
  <c r="AE1119" i="1"/>
  <c r="AC1119" i="1"/>
  <c r="AF1119" i="1"/>
  <c r="AL1119" i="1"/>
  <c r="AD1119" i="1"/>
  <c r="AI1118" i="1"/>
  <c r="AG1118" i="1"/>
  <c r="AH1118" i="1"/>
  <c r="AF1118" i="1"/>
  <c r="AC1118" i="1"/>
  <c r="AL1118" i="1"/>
  <c r="AJ1118" i="1"/>
  <c r="AE1118" i="1"/>
  <c r="AD1118" i="1"/>
  <c r="AH1117" i="1"/>
  <c r="AG1117" i="1"/>
  <c r="AI1117" i="1"/>
  <c r="AC1117" i="1"/>
  <c r="AE1117" i="1"/>
  <c r="AF1117" i="1"/>
  <c r="AD1117" i="1"/>
  <c r="AL1117" i="1"/>
  <c r="AJ1117" i="1"/>
  <c r="AH1116" i="1"/>
  <c r="AG1116" i="1"/>
  <c r="AI1116" i="1"/>
  <c r="AE1116" i="1"/>
  <c r="AD1116" i="1"/>
  <c r="AF1116" i="1"/>
  <c r="AL1116" i="1"/>
  <c r="AC1116" i="1"/>
  <c r="AJ1116" i="1"/>
  <c r="AH1115" i="1"/>
  <c r="AG1115" i="1"/>
  <c r="AI1115" i="1"/>
  <c r="AF1115" i="1"/>
  <c r="AE1115" i="1"/>
  <c r="AD1115" i="1"/>
  <c r="AC1115" i="1"/>
  <c r="AL1115" i="1"/>
  <c r="AJ1115" i="1"/>
  <c r="AH1114" i="1"/>
  <c r="AG1114" i="1"/>
  <c r="AI1114" i="1"/>
  <c r="AL1114" i="1"/>
  <c r="AD1114" i="1"/>
  <c r="AC1114" i="1"/>
  <c r="AE1114" i="1"/>
  <c r="AJ1114" i="1"/>
  <c r="AM1114" i="1" s="1"/>
  <c r="AF1114" i="1"/>
  <c r="AI1113" i="1"/>
  <c r="AH1113" i="1"/>
  <c r="AG1113" i="1"/>
  <c r="AE1113" i="1"/>
  <c r="AC1113" i="1"/>
  <c r="AJ1113" i="1"/>
  <c r="AL1113" i="1"/>
  <c r="AD1113" i="1"/>
  <c r="AF1113" i="1"/>
  <c r="AI1112" i="1"/>
  <c r="AG1112" i="1"/>
  <c r="AH1112" i="1"/>
  <c r="AL1112" i="1"/>
  <c r="AE1112" i="1"/>
  <c r="AD1112" i="1"/>
  <c r="AC1112" i="1"/>
  <c r="AF1112" i="1"/>
  <c r="AJ1112" i="1"/>
  <c r="AM1112" i="1" s="1"/>
  <c r="AI1111" i="1"/>
  <c r="AG1111" i="1"/>
  <c r="AH1111" i="1"/>
  <c r="AL1111" i="1"/>
  <c r="AD1111" i="1"/>
  <c r="AE1111" i="1"/>
  <c r="AF1111" i="1"/>
  <c r="AC1111" i="1"/>
  <c r="AJ1111" i="1"/>
  <c r="AM1111" i="1" s="1"/>
  <c r="AG1110" i="1"/>
  <c r="AH1110" i="1"/>
  <c r="AI1110" i="1"/>
  <c r="AE1110" i="1"/>
  <c r="AF1110" i="1"/>
  <c r="AC1110" i="1"/>
  <c r="AL1110" i="1"/>
  <c r="AD1110" i="1"/>
  <c r="AJ1110" i="1"/>
  <c r="AG1109" i="1"/>
  <c r="AI1109" i="1"/>
  <c r="AH1109" i="1"/>
  <c r="AF1109" i="1"/>
  <c r="AD1109" i="1"/>
  <c r="AJ1109" i="1"/>
  <c r="AE1109" i="1"/>
  <c r="AL1109" i="1"/>
  <c r="AC1109" i="1"/>
  <c r="AG1108" i="1"/>
  <c r="AH1108" i="1"/>
  <c r="AI1108" i="1"/>
  <c r="AC1108" i="1"/>
  <c r="AL1108" i="1"/>
  <c r="AJ1108" i="1"/>
  <c r="AE1108" i="1"/>
  <c r="AF1108" i="1"/>
  <c r="AD1108" i="1"/>
  <c r="AG1107" i="1"/>
  <c r="AH1107" i="1"/>
  <c r="AI1107" i="1"/>
  <c r="AC1107" i="1"/>
  <c r="AE1107" i="1"/>
  <c r="AD1107" i="1"/>
  <c r="AF1107" i="1"/>
  <c r="AJ1107" i="1"/>
  <c r="AL1107" i="1"/>
  <c r="AG1106" i="1"/>
  <c r="AH1106" i="1"/>
  <c r="AI1106" i="1"/>
  <c r="AF1106" i="1"/>
  <c r="AD1106" i="1"/>
  <c r="AJ1106" i="1"/>
  <c r="AL1106" i="1"/>
  <c r="AC1106" i="1"/>
  <c r="AE1106" i="1"/>
  <c r="AI1105" i="1"/>
  <c r="AH1105" i="1"/>
  <c r="AG1105" i="1"/>
  <c r="AE1105" i="1"/>
  <c r="AL1105" i="1"/>
  <c r="AJ1105" i="1"/>
  <c r="AF1105" i="1"/>
  <c r="AD1105" i="1"/>
  <c r="AC1105" i="1"/>
  <c r="AG1104" i="1"/>
  <c r="AI1104" i="1"/>
  <c r="AH1104" i="1"/>
  <c r="AE1104" i="1"/>
  <c r="AL1104" i="1"/>
  <c r="AJ1104" i="1"/>
  <c r="AD1104" i="1"/>
  <c r="AF1104" i="1"/>
  <c r="AC1104" i="1"/>
  <c r="AG1103" i="1"/>
  <c r="AH1103" i="1"/>
  <c r="AI1103" i="1"/>
  <c r="AJ1103" i="1"/>
  <c r="AL1103" i="1"/>
  <c r="AF1103" i="1"/>
  <c r="AE1103" i="1"/>
  <c r="AC1103" i="1"/>
  <c r="AD1103" i="1"/>
  <c r="AG1102" i="1"/>
  <c r="AI1102" i="1"/>
  <c r="AH1102" i="1"/>
  <c r="AF1102" i="1"/>
  <c r="AJ1102" i="1"/>
  <c r="AL1102" i="1"/>
  <c r="AD1102" i="1"/>
  <c r="AE1102" i="1"/>
  <c r="AC1102" i="1"/>
  <c r="AH1101" i="1"/>
  <c r="AG1101" i="1"/>
  <c r="AI1101" i="1"/>
  <c r="AE1101" i="1"/>
  <c r="AD1101" i="1"/>
  <c r="AC1101" i="1"/>
  <c r="AJ1101" i="1"/>
  <c r="AF1101" i="1"/>
  <c r="AL1101" i="1"/>
  <c r="AH1100" i="1"/>
  <c r="AG1100" i="1"/>
  <c r="AI1100" i="1"/>
  <c r="AJ1100" i="1"/>
  <c r="AC1100" i="1"/>
  <c r="AF1100" i="1"/>
  <c r="AD1100" i="1"/>
  <c r="AL1100" i="1"/>
  <c r="AE1100" i="1"/>
  <c r="AG1099" i="1"/>
  <c r="AI1099" i="1"/>
  <c r="AH1099" i="1"/>
  <c r="AL1099" i="1"/>
  <c r="AJ1099" i="1"/>
  <c r="AF1099" i="1"/>
  <c r="AC1099" i="1"/>
  <c r="AD1099" i="1"/>
  <c r="AE1099" i="1"/>
  <c r="AG1098" i="1"/>
  <c r="AH1098" i="1"/>
  <c r="AI1098" i="1"/>
  <c r="AF1098" i="1"/>
  <c r="AC1098" i="1"/>
  <c r="AL1098" i="1"/>
  <c r="AE1098" i="1"/>
  <c r="AJ1098" i="1"/>
  <c r="AD1098" i="1"/>
  <c r="AG1097" i="1"/>
  <c r="AH1097" i="1"/>
  <c r="AI1097" i="1"/>
  <c r="AD1097" i="1"/>
  <c r="AF1097" i="1"/>
  <c r="AL1097" i="1"/>
  <c r="AC1097" i="1"/>
  <c r="AE1097" i="1"/>
  <c r="AJ1097" i="1"/>
  <c r="AM1097" i="1" s="1"/>
  <c r="AG1096" i="1"/>
  <c r="AI1096" i="1"/>
  <c r="AH1096" i="1"/>
  <c r="AF1096" i="1"/>
  <c r="AD1096" i="1"/>
  <c r="AC1096" i="1"/>
  <c r="AE1096" i="1"/>
  <c r="AJ1096" i="1"/>
  <c r="AL1096" i="1"/>
  <c r="AI1095" i="1"/>
  <c r="AH1095" i="1"/>
  <c r="AG1095" i="1"/>
  <c r="AJ1095" i="1"/>
  <c r="AF1095" i="1"/>
  <c r="AE1095" i="1"/>
  <c r="AD1095" i="1"/>
  <c r="AL1095" i="1"/>
  <c r="AC1095" i="1"/>
  <c r="AI1094" i="1"/>
  <c r="AG1094" i="1"/>
  <c r="AH1094" i="1"/>
  <c r="AF1094" i="1"/>
  <c r="AD1094" i="1"/>
  <c r="AJ1094" i="1"/>
  <c r="AL1094" i="1"/>
  <c r="AE1094" i="1"/>
  <c r="AC1094" i="1"/>
  <c r="AH1093" i="1"/>
  <c r="AG1093" i="1"/>
  <c r="AI1093" i="1"/>
  <c r="AD1093" i="1"/>
  <c r="AL1093" i="1"/>
  <c r="AF1093" i="1"/>
  <c r="AJ1093" i="1"/>
  <c r="AM1093" i="1" s="1"/>
  <c r="AC1093" i="1"/>
  <c r="AE1093" i="1"/>
  <c r="AI1092" i="1"/>
  <c r="AG1092" i="1"/>
  <c r="AH1092" i="1"/>
  <c r="AD1092" i="1"/>
  <c r="AF1092" i="1"/>
  <c r="AE1092" i="1"/>
  <c r="AJ1092" i="1"/>
  <c r="AC1092" i="1"/>
  <c r="AL1092" i="1"/>
  <c r="AI1091" i="1"/>
  <c r="AH1091" i="1"/>
  <c r="AG1091" i="1"/>
  <c r="AJ1091" i="1"/>
  <c r="AC1091" i="1"/>
  <c r="AL1091" i="1"/>
  <c r="AF1091" i="1"/>
  <c r="AD1091" i="1"/>
  <c r="AE1091" i="1"/>
  <c r="AI1090" i="1"/>
  <c r="AG1090" i="1"/>
  <c r="AH1090" i="1"/>
  <c r="AC1090" i="1"/>
  <c r="AL1090" i="1"/>
  <c r="AJ1090" i="1"/>
  <c r="AE1090" i="1"/>
  <c r="AD1090" i="1"/>
  <c r="AF1090" i="1"/>
  <c r="AG1089" i="1"/>
  <c r="AH1089" i="1"/>
  <c r="AI1089" i="1"/>
  <c r="AF1089" i="1"/>
  <c r="AC1089" i="1"/>
  <c r="AJ1089" i="1"/>
  <c r="AD1089" i="1"/>
  <c r="AE1089" i="1"/>
  <c r="AL1089" i="1"/>
  <c r="AH1088" i="1"/>
  <c r="AG1088" i="1"/>
  <c r="AI1088" i="1"/>
  <c r="AJ1088" i="1"/>
  <c r="AC1088" i="1"/>
  <c r="AF1088" i="1"/>
  <c r="AE1088" i="1"/>
  <c r="AD1088" i="1"/>
  <c r="AL1088" i="1"/>
  <c r="AG1087" i="1"/>
  <c r="AI1087" i="1"/>
  <c r="AH1087" i="1"/>
  <c r="AE1087" i="1"/>
  <c r="AL1087" i="1"/>
  <c r="AD1087" i="1"/>
  <c r="AF1087" i="1"/>
  <c r="AC1087" i="1"/>
  <c r="AJ1087" i="1"/>
  <c r="AM1087" i="1" s="1"/>
  <c r="AG1086" i="1"/>
  <c r="AI1086" i="1"/>
  <c r="AH1086" i="1"/>
  <c r="AF1086" i="1"/>
  <c r="AD1086" i="1"/>
  <c r="AC1086" i="1"/>
  <c r="AL1086" i="1"/>
  <c r="AE1086" i="1"/>
  <c r="AJ1086" i="1"/>
  <c r="AM1086" i="1" s="1"/>
  <c r="AH1085" i="1"/>
  <c r="AI1085" i="1"/>
  <c r="AG1085" i="1"/>
  <c r="AF1085" i="1"/>
  <c r="AL1085" i="1"/>
  <c r="AC1085" i="1"/>
  <c r="AE1085" i="1"/>
  <c r="AJ1085" i="1"/>
  <c r="AM1085" i="1" s="1"/>
  <c r="AD1085" i="1"/>
  <c r="AH1084" i="1"/>
  <c r="AG1084" i="1"/>
  <c r="AI1084" i="1"/>
  <c r="AE1084" i="1"/>
  <c r="AF1084" i="1"/>
  <c r="AC1084" i="1"/>
  <c r="AL1084" i="1"/>
  <c r="AD1084" i="1"/>
  <c r="AJ1084" i="1"/>
  <c r="AM1084" i="1" s="1"/>
  <c r="AH1083" i="1"/>
  <c r="AG1083" i="1"/>
  <c r="AI1083" i="1"/>
  <c r="AE1083" i="1"/>
  <c r="AC1083" i="1"/>
  <c r="AD1083" i="1"/>
  <c r="AF1083" i="1"/>
  <c r="AJ1083" i="1"/>
  <c r="AL1083" i="1"/>
  <c r="AH1082" i="1"/>
  <c r="AG1082" i="1"/>
  <c r="AI1082" i="1"/>
  <c r="AD1082" i="1"/>
  <c r="AC1082" i="1"/>
  <c r="AF1082" i="1"/>
  <c r="AE1082" i="1"/>
  <c r="AL1082" i="1"/>
  <c r="AJ1082" i="1"/>
  <c r="AH1081" i="1"/>
  <c r="AI1081" i="1"/>
  <c r="AG1081" i="1"/>
  <c r="AF1081" i="1"/>
  <c r="AE1081" i="1"/>
  <c r="AL1081" i="1"/>
  <c r="AC1081" i="1"/>
  <c r="AD1081" i="1"/>
  <c r="AJ1081" i="1"/>
  <c r="AM1081" i="1" s="1"/>
  <c r="AI1080" i="1"/>
  <c r="AG1080" i="1"/>
  <c r="AH1080" i="1"/>
  <c r="AJ1080" i="1"/>
  <c r="AF1080" i="1"/>
  <c r="AC1080" i="1"/>
  <c r="AE1080" i="1"/>
  <c r="AL1080" i="1"/>
  <c r="AD1080" i="1"/>
  <c r="AH1079" i="1"/>
  <c r="AG1079" i="1"/>
  <c r="AI1079" i="1"/>
  <c r="AF1079" i="1"/>
  <c r="AD1079" i="1"/>
  <c r="AJ1079" i="1"/>
  <c r="AE1079" i="1"/>
  <c r="AL1079" i="1"/>
  <c r="AC1079" i="1"/>
  <c r="AG1078" i="1"/>
  <c r="AI1078" i="1"/>
  <c r="AH1078" i="1"/>
  <c r="AD1078" i="1"/>
  <c r="AE1078" i="1"/>
  <c r="AC1078" i="1"/>
  <c r="AF1078" i="1"/>
  <c r="AL1078" i="1"/>
  <c r="AJ1078" i="1"/>
  <c r="AG1077" i="1"/>
  <c r="AI1077" i="1"/>
  <c r="AH1077" i="1"/>
  <c r="AJ1077" i="1"/>
  <c r="AF1077" i="1"/>
  <c r="AD1077" i="1"/>
  <c r="AE1077" i="1"/>
  <c r="AL1077" i="1"/>
  <c r="AC1077" i="1"/>
  <c r="AI1076" i="1"/>
  <c r="AH1076" i="1"/>
  <c r="AG1076" i="1"/>
  <c r="AJ1076" i="1"/>
  <c r="AE1076" i="1"/>
  <c r="AC1076" i="1"/>
  <c r="AD1076" i="1"/>
  <c r="AF1076" i="1"/>
  <c r="AL1076" i="1"/>
  <c r="AG1075" i="1"/>
  <c r="AH1075" i="1"/>
  <c r="AI1075" i="1"/>
  <c r="AL1075" i="1"/>
  <c r="AD1075" i="1"/>
  <c r="AC1075" i="1"/>
  <c r="AF1075" i="1"/>
  <c r="AE1075" i="1"/>
  <c r="AJ1075" i="1"/>
  <c r="AM1075" i="1" s="1"/>
  <c r="AI1074" i="1"/>
  <c r="AG1074" i="1"/>
  <c r="AH1074" i="1"/>
  <c r="AD1074" i="1"/>
  <c r="AC1074" i="1"/>
  <c r="AJ1074" i="1"/>
  <c r="AF1074" i="1"/>
  <c r="AL1074" i="1"/>
  <c r="AE1074" i="1"/>
  <c r="AG1073" i="1"/>
  <c r="AI1073" i="1"/>
  <c r="AH1073" i="1"/>
  <c r="AL1073" i="1"/>
  <c r="AF1073" i="1"/>
  <c r="AD1073" i="1"/>
  <c r="AC1073" i="1"/>
  <c r="AE1073" i="1"/>
  <c r="AJ1073" i="1"/>
  <c r="AM1073" i="1" s="1"/>
  <c r="AG1072" i="1"/>
  <c r="AI1072" i="1"/>
  <c r="AH1072" i="1"/>
  <c r="AL1072" i="1"/>
  <c r="AE1072" i="1"/>
  <c r="AC1072" i="1"/>
  <c r="AF1072" i="1"/>
  <c r="AJ1072" i="1"/>
  <c r="AM1072" i="1" s="1"/>
  <c r="AD1072" i="1"/>
  <c r="AI1071" i="1"/>
  <c r="AH1071" i="1"/>
  <c r="AG1071" i="1"/>
  <c r="AL1071" i="1"/>
  <c r="AF1071" i="1"/>
  <c r="AD1071" i="1"/>
  <c r="AJ1071" i="1"/>
  <c r="AM1071" i="1" s="1"/>
  <c r="AE1071" i="1"/>
  <c r="AC1071" i="1"/>
  <c r="AG1070" i="1"/>
  <c r="AI1070" i="1"/>
  <c r="AH1070" i="1"/>
  <c r="AJ1070" i="1"/>
  <c r="AD1070" i="1"/>
  <c r="AC1070" i="1"/>
  <c r="AF1070" i="1"/>
  <c r="AL1070" i="1"/>
  <c r="AE1070" i="1"/>
  <c r="AG1069" i="1"/>
  <c r="AI1069" i="1"/>
  <c r="AH1069" i="1"/>
  <c r="AJ1069" i="1"/>
  <c r="AD1069" i="1"/>
  <c r="AL1069" i="1"/>
  <c r="AE1069" i="1"/>
  <c r="AF1069" i="1"/>
  <c r="AC1069" i="1"/>
  <c r="AI1068" i="1"/>
  <c r="AG1068" i="1"/>
  <c r="AH1068" i="1"/>
  <c r="AD1068" i="1"/>
  <c r="AL1068" i="1"/>
  <c r="AE1068" i="1"/>
  <c r="AJ1068" i="1"/>
  <c r="AM1068" i="1" s="1"/>
  <c r="AC1068" i="1"/>
  <c r="AF1068" i="1"/>
  <c r="AH1067" i="1"/>
  <c r="AI1067" i="1"/>
  <c r="AG1067" i="1"/>
  <c r="AJ1067" i="1"/>
  <c r="AD1067" i="1"/>
  <c r="AF1067" i="1"/>
  <c r="AL1067" i="1"/>
  <c r="AC1067" i="1"/>
  <c r="AE1067" i="1"/>
  <c r="AH1066" i="1"/>
  <c r="AG1066" i="1"/>
  <c r="AI1066" i="1"/>
  <c r="AF1066" i="1"/>
  <c r="AC1066" i="1"/>
  <c r="AD1066" i="1"/>
  <c r="AL1066" i="1"/>
  <c r="AE1066" i="1"/>
  <c r="AJ1066" i="1"/>
  <c r="AG1065" i="1"/>
  <c r="AH1065" i="1"/>
  <c r="AI1065" i="1"/>
  <c r="AE1065" i="1"/>
  <c r="AJ1065" i="1"/>
  <c r="AC1065" i="1"/>
  <c r="AD1065" i="1"/>
  <c r="AF1065" i="1"/>
  <c r="AL1065" i="1"/>
  <c r="AH1064" i="1"/>
  <c r="AI1064" i="1"/>
  <c r="AG1064" i="1"/>
  <c r="AC1064" i="1"/>
  <c r="AF1064" i="1"/>
  <c r="AE1064" i="1"/>
  <c r="AL1064" i="1"/>
  <c r="AJ1064" i="1"/>
  <c r="AD1064" i="1"/>
  <c r="AG1063" i="1"/>
  <c r="AI1063" i="1"/>
  <c r="AH1063" i="1"/>
  <c r="AL1063" i="1"/>
  <c r="AF1063" i="1"/>
  <c r="AD1063" i="1"/>
  <c r="AJ1063" i="1"/>
  <c r="AM1063" i="1" s="1"/>
  <c r="AE1063" i="1"/>
  <c r="AC1063" i="1"/>
  <c r="AI1062" i="1"/>
  <c r="AH1062" i="1"/>
  <c r="AG1062" i="1"/>
  <c r="AL1062" i="1"/>
  <c r="AJ1062" i="1"/>
  <c r="AD1062" i="1"/>
  <c r="AC1062" i="1"/>
  <c r="AF1062" i="1"/>
  <c r="AE1062" i="1"/>
  <c r="AH1061" i="1"/>
  <c r="AG1061" i="1"/>
  <c r="AI1061" i="1"/>
  <c r="AJ1061" i="1"/>
  <c r="AE1061" i="1"/>
  <c r="AD1061" i="1"/>
  <c r="AC1061" i="1"/>
  <c r="AF1061" i="1"/>
  <c r="AL1061" i="1"/>
  <c r="AG1060" i="1"/>
  <c r="AH1060" i="1"/>
  <c r="AI1060" i="1"/>
  <c r="AJ1060" i="1"/>
  <c r="AD1060" i="1"/>
  <c r="AL1060" i="1"/>
  <c r="AC1060" i="1"/>
  <c r="AF1060" i="1"/>
  <c r="AE1060" i="1"/>
  <c r="AH1059" i="1"/>
  <c r="AG1059" i="1"/>
  <c r="AI1059" i="1"/>
  <c r="AD1059" i="1"/>
  <c r="AF1059" i="1"/>
  <c r="AL1059" i="1"/>
  <c r="AE1059" i="1"/>
  <c r="AJ1059" i="1"/>
  <c r="AM1059" i="1" s="1"/>
  <c r="AC1059" i="1"/>
  <c r="AI1058" i="1"/>
  <c r="AH1058" i="1"/>
  <c r="AG1058" i="1"/>
  <c r="AJ1058" i="1"/>
  <c r="AD1058" i="1"/>
  <c r="AE1058" i="1"/>
  <c r="AC1058" i="1"/>
  <c r="AL1058" i="1"/>
  <c r="AF1058" i="1"/>
  <c r="AH1057" i="1"/>
  <c r="AG1057" i="1"/>
  <c r="AI1057" i="1"/>
  <c r="AE1057" i="1"/>
  <c r="AF1057" i="1"/>
  <c r="AJ1057" i="1"/>
  <c r="AD1057" i="1"/>
  <c r="AL1057" i="1"/>
  <c r="AC1057" i="1"/>
  <c r="AH1056" i="1"/>
  <c r="AG1056" i="1"/>
  <c r="AI1056" i="1"/>
  <c r="AC1056" i="1"/>
  <c r="AL1056" i="1"/>
  <c r="AD1056" i="1"/>
  <c r="AJ1056" i="1"/>
  <c r="AE1056" i="1"/>
  <c r="AF1056" i="1"/>
  <c r="AG1055" i="1"/>
  <c r="AI1055" i="1"/>
  <c r="AH1055" i="1"/>
  <c r="AJ1055" i="1"/>
  <c r="AC1055" i="1"/>
  <c r="AE1055" i="1"/>
  <c r="AD1055" i="1"/>
  <c r="AF1055" i="1"/>
  <c r="AL1055" i="1"/>
  <c r="AI1054" i="1"/>
  <c r="AH1054" i="1"/>
  <c r="AG1054" i="1"/>
  <c r="AD1054" i="1"/>
  <c r="AF1054" i="1"/>
  <c r="AC1054" i="1"/>
  <c r="AJ1054" i="1"/>
  <c r="AE1054" i="1"/>
  <c r="AL1054" i="1"/>
  <c r="AI1053" i="1"/>
  <c r="AG1053" i="1"/>
  <c r="AH1053" i="1"/>
  <c r="AL1053" i="1"/>
  <c r="AF1053" i="1"/>
  <c r="AE1053" i="1"/>
  <c r="AJ1053" i="1"/>
  <c r="AC1053" i="1"/>
  <c r="AD1053" i="1"/>
  <c r="AH1052" i="1"/>
  <c r="AG1052" i="1"/>
  <c r="AI1052" i="1"/>
  <c r="AL1052" i="1"/>
  <c r="AE1052" i="1"/>
  <c r="AF1052" i="1"/>
  <c r="AC1052" i="1"/>
  <c r="AJ1052" i="1"/>
  <c r="AM1052" i="1" s="1"/>
  <c r="AD1052" i="1"/>
  <c r="AH1051" i="1"/>
  <c r="AI1051" i="1"/>
  <c r="AG1051" i="1"/>
  <c r="AD1051" i="1"/>
  <c r="AF1051" i="1"/>
  <c r="AJ1051" i="1"/>
  <c r="AL1051" i="1"/>
  <c r="AE1051" i="1"/>
  <c r="AC1051" i="1"/>
  <c r="AH1050" i="1"/>
  <c r="AI1050" i="1"/>
  <c r="AG1050" i="1"/>
  <c r="AF1050" i="1"/>
  <c r="AC1050" i="1"/>
  <c r="AD1050" i="1"/>
  <c r="AE1050" i="1"/>
  <c r="AJ1050" i="1"/>
  <c r="AL1050" i="1"/>
  <c r="AI1049" i="1"/>
  <c r="AH1049" i="1"/>
  <c r="AG1049" i="1"/>
  <c r="AD1049" i="1"/>
  <c r="AE1049" i="1"/>
  <c r="AC1049" i="1"/>
  <c r="AF1049" i="1"/>
  <c r="AL1049" i="1"/>
  <c r="AJ1049" i="1"/>
  <c r="AH1048" i="1"/>
  <c r="AG1048" i="1"/>
  <c r="AI1048" i="1"/>
  <c r="AJ1048" i="1"/>
  <c r="AE1048" i="1"/>
  <c r="AC1048" i="1"/>
  <c r="AD1048" i="1"/>
  <c r="AF1048" i="1"/>
  <c r="AL1048" i="1"/>
  <c r="AI1047" i="1"/>
  <c r="AG1047" i="1"/>
  <c r="AH1047" i="1"/>
  <c r="AL1047" i="1"/>
  <c r="AD1047" i="1"/>
  <c r="AJ1047" i="1"/>
  <c r="AM1047" i="1" s="1"/>
  <c r="AE1047" i="1"/>
  <c r="AC1047" i="1"/>
  <c r="AF1047" i="1"/>
  <c r="AG1046" i="1"/>
  <c r="AH1046" i="1"/>
  <c r="AI1046" i="1"/>
  <c r="AD1046" i="1"/>
  <c r="AJ1046" i="1"/>
  <c r="AL1046" i="1"/>
  <c r="AC1046" i="1"/>
  <c r="AF1046" i="1"/>
  <c r="AE1046" i="1"/>
  <c r="AG1045" i="1"/>
  <c r="AI1045" i="1"/>
  <c r="AH1045" i="1"/>
  <c r="AC1045" i="1"/>
  <c r="AJ1045" i="1"/>
  <c r="AD1045" i="1"/>
  <c r="AE1045" i="1"/>
  <c r="AF1045" i="1"/>
  <c r="AL1045" i="1"/>
  <c r="AG1044" i="1"/>
  <c r="AI1044" i="1"/>
  <c r="AH1044" i="1"/>
  <c r="AD1044" i="1"/>
  <c r="AF1044" i="1"/>
  <c r="AL1044" i="1"/>
  <c r="AJ1044" i="1"/>
  <c r="AE1044" i="1"/>
  <c r="AC1044" i="1"/>
  <c r="AH1043" i="1"/>
  <c r="AI1043" i="1"/>
  <c r="AG1043" i="1"/>
  <c r="AE1043" i="1"/>
  <c r="AF1043" i="1"/>
  <c r="AD1043" i="1"/>
  <c r="AJ1043" i="1"/>
  <c r="AL1043" i="1"/>
  <c r="AC1043" i="1"/>
  <c r="AH1042" i="1"/>
  <c r="AI1042" i="1"/>
  <c r="AG1042" i="1"/>
  <c r="AF1042" i="1"/>
  <c r="AJ1042" i="1"/>
  <c r="AD1042" i="1"/>
  <c r="AL1042" i="1"/>
  <c r="AC1042" i="1"/>
  <c r="AE1042" i="1"/>
  <c r="AI1041" i="1"/>
  <c r="AH1041" i="1"/>
  <c r="AG1041" i="1"/>
  <c r="AL1041" i="1"/>
  <c r="AJ1041" i="1"/>
  <c r="AE1041" i="1"/>
  <c r="AF1041" i="1"/>
  <c r="AD1041" i="1"/>
  <c r="AC1041" i="1"/>
  <c r="AH1040" i="1"/>
  <c r="AG1040" i="1"/>
  <c r="AI1040" i="1"/>
  <c r="AE1040" i="1"/>
  <c r="AJ1040" i="1"/>
  <c r="AF1040" i="1"/>
  <c r="AD1040" i="1"/>
  <c r="AL1040" i="1"/>
  <c r="AC1040" i="1"/>
  <c r="AI1039" i="1"/>
  <c r="AG1039" i="1"/>
  <c r="AH1039" i="1"/>
  <c r="AE1039" i="1"/>
  <c r="AL1039" i="1"/>
  <c r="AJ1039" i="1"/>
  <c r="AF1039" i="1"/>
  <c r="AC1039" i="1"/>
  <c r="AD1039" i="1"/>
  <c r="AI1038" i="1"/>
  <c r="AG1038" i="1"/>
  <c r="AH1038" i="1"/>
  <c r="AD1038" i="1"/>
  <c r="AJ1038" i="1"/>
  <c r="AF1038" i="1"/>
  <c r="AL1038" i="1"/>
  <c r="AC1038" i="1"/>
  <c r="AE1038" i="1"/>
  <c r="AH1037" i="1"/>
  <c r="AI1037" i="1"/>
  <c r="AG1037" i="1"/>
  <c r="AL1037" i="1"/>
  <c r="AC1037" i="1"/>
  <c r="AF1037" i="1"/>
  <c r="AJ1037" i="1"/>
  <c r="AM1037" i="1" s="1"/>
  <c r="AD1037" i="1"/>
  <c r="AE1037" i="1"/>
  <c r="AG1036" i="1"/>
  <c r="AH1036" i="1"/>
  <c r="AI1036" i="1"/>
  <c r="AJ1036" i="1"/>
  <c r="AF1036" i="1"/>
  <c r="AD1036" i="1"/>
  <c r="AE1036" i="1"/>
  <c r="AC1036" i="1"/>
  <c r="AL1036" i="1"/>
  <c r="AH1035" i="1"/>
  <c r="AG1035" i="1"/>
  <c r="AI1035" i="1"/>
  <c r="AE1035" i="1"/>
  <c r="AD1035" i="1"/>
  <c r="AF1035" i="1"/>
  <c r="AJ1035" i="1"/>
  <c r="AL1035" i="1"/>
  <c r="AC1035" i="1"/>
  <c r="AH1034" i="1"/>
  <c r="AI1034" i="1"/>
  <c r="AG1034" i="1"/>
  <c r="AF1034" i="1"/>
  <c r="AD1034" i="1"/>
  <c r="AL1034" i="1"/>
  <c r="AC1034" i="1"/>
  <c r="AE1034" i="1"/>
  <c r="AJ1034" i="1"/>
  <c r="AM1034" i="1" s="1"/>
  <c r="AG1033" i="1"/>
  <c r="AH1033" i="1"/>
  <c r="AI1033" i="1"/>
  <c r="AC1033" i="1"/>
  <c r="AD1033" i="1"/>
  <c r="AE1033" i="1"/>
  <c r="AJ1033" i="1"/>
  <c r="AL1033" i="1"/>
  <c r="AF1033" i="1"/>
  <c r="AI1032" i="1"/>
  <c r="AH1032" i="1"/>
  <c r="AG1032" i="1"/>
  <c r="AF1032" i="1"/>
  <c r="AE1032" i="1"/>
  <c r="AC1032" i="1"/>
  <c r="AD1032" i="1"/>
  <c r="AJ1032" i="1"/>
  <c r="AL1032" i="1"/>
  <c r="AG1031" i="1"/>
  <c r="AI1031" i="1"/>
  <c r="AH1031" i="1"/>
  <c r="AL1031" i="1"/>
  <c r="AE1031" i="1"/>
  <c r="AD1031" i="1"/>
  <c r="AC1031" i="1"/>
  <c r="AF1031" i="1"/>
  <c r="AJ1031" i="1"/>
  <c r="AM1031" i="1" s="1"/>
  <c r="AI1030" i="1"/>
  <c r="AH1030" i="1"/>
  <c r="AG1030" i="1"/>
  <c r="AF1030" i="1"/>
  <c r="AD1030" i="1"/>
  <c r="AE1030" i="1"/>
  <c r="AJ1030" i="1"/>
  <c r="AL1030" i="1"/>
  <c r="AC1030" i="1"/>
  <c r="AH1029" i="1"/>
  <c r="AI1029" i="1"/>
  <c r="AG1029" i="1"/>
  <c r="AL1029" i="1"/>
  <c r="AF1029" i="1"/>
  <c r="AJ1029" i="1"/>
  <c r="AM1029" i="1" s="1"/>
  <c r="AD1029" i="1"/>
  <c r="AE1029" i="1"/>
  <c r="AC1029" i="1"/>
  <c r="AI1028" i="1"/>
  <c r="AH1028" i="1"/>
  <c r="AG1028" i="1"/>
  <c r="AL1028" i="1"/>
  <c r="AF1028" i="1"/>
  <c r="AJ1028" i="1"/>
  <c r="AD1028" i="1"/>
  <c r="AC1028" i="1"/>
  <c r="AE1028" i="1"/>
  <c r="AH1027" i="1"/>
  <c r="AG1027" i="1"/>
  <c r="AI1027" i="1"/>
  <c r="AD1027" i="1"/>
  <c r="AE1027" i="1"/>
  <c r="AC1027" i="1"/>
  <c r="AL1027" i="1"/>
  <c r="AF1027" i="1"/>
  <c r="AJ1027" i="1"/>
  <c r="AM1027" i="1" s="1"/>
  <c r="AH1026" i="1"/>
  <c r="AI1026" i="1"/>
  <c r="AG1026" i="1"/>
  <c r="AJ1026" i="1"/>
  <c r="AL1026" i="1"/>
  <c r="AE1026" i="1"/>
  <c r="AF1026" i="1" s="1"/>
  <c r="AC1026" i="1"/>
  <c r="AD1026" i="1"/>
  <c r="AI1025" i="1"/>
  <c r="AH1025" i="1"/>
  <c r="AG1025" i="1"/>
  <c r="AD1025" i="1"/>
  <c r="AC1025" i="1"/>
  <c r="AL1025" i="1"/>
  <c r="AE1025" i="1"/>
  <c r="AF1025" i="1" s="1"/>
  <c r="AJ1025" i="1"/>
  <c r="AG1024" i="1"/>
  <c r="AI1024" i="1"/>
  <c r="AH1024" i="1"/>
  <c r="AL1024" i="1"/>
  <c r="AE1024" i="1"/>
  <c r="AC1024" i="1"/>
  <c r="AD1024" i="1"/>
  <c r="AF1024" i="1"/>
  <c r="AJ1024" i="1"/>
  <c r="AH1023" i="1"/>
  <c r="AG1023" i="1"/>
  <c r="AI1023" i="1"/>
  <c r="AE1023" i="1"/>
  <c r="AF1023" i="1" s="1"/>
  <c r="AC1023" i="1"/>
  <c r="AD1023" i="1"/>
  <c r="AL1023" i="1"/>
  <c r="AJ1023" i="1"/>
  <c r="AI1022" i="1"/>
  <c r="AG1022" i="1"/>
  <c r="AH1022" i="1"/>
  <c r="AE1022" i="1"/>
  <c r="AF1022" i="1" s="1"/>
  <c r="AD1022" i="1"/>
  <c r="AC1022" i="1"/>
  <c r="AJ1022" i="1"/>
  <c r="AL1022" i="1"/>
  <c r="AH1021" i="1"/>
  <c r="AI1021" i="1"/>
  <c r="AG1021" i="1"/>
  <c r="AJ1021" i="1"/>
  <c r="AD1021" i="1"/>
  <c r="AE1021" i="1"/>
  <c r="AF1021" i="1" s="1"/>
  <c r="AC1021" i="1"/>
  <c r="AL1021" i="1"/>
  <c r="AH1020" i="1"/>
  <c r="AG1020" i="1"/>
  <c r="AI1020" i="1"/>
  <c r="AL1020" i="1"/>
  <c r="AE1020" i="1"/>
  <c r="AF1020" i="1" s="1"/>
  <c r="AC1020" i="1"/>
  <c r="AD1020" i="1"/>
  <c r="AJ1020" i="1"/>
  <c r="AI1019" i="1"/>
  <c r="AH1019" i="1"/>
  <c r="AG1019" i="1"/>
  <c r="AL1019" i="1"/>
  <c r="AJ1019" i="1"/>
  <c r="AE1019" i="1"/>
  <c r="AF1019" i="1" s="1"/>
  <c r="AD1019" i="1"/>
  <c r="AC1019" i="1"/>
  <c r="AG1018" i="1"/>
  <c r="AI1018" i="1"/>
  <c r="AH1018" i="1"/>
  <c r="AL1018" i="1"/>
  <c r="AE1018" i="1"/>
  <c r="AF1018" i="1" s="1"/>
  <c r="AD1018" i="1"/>
  <c r="AJ1018" i="1"/>
  <c r="AC1018" i="1"/>
  <c r="AI1017" i="1"/>
  <c r="AH1017" i="1"/>
  <c r="AG1017" i="1"/>
  <c r="AL1017" i="1"/>
  <c r="AC1017" i="1"/>
  <c r="AD1017" i="1"/>
  <c r="AJ1017" i="1"/>
  <c r="AE1017" i="1"/>
  <c r="AF1017" i="1" s="1"/>
  <c r="AI1016" i="1"/>
  <c r="AG1016" i="1"/>
  <c r="AH1016" i="1"/>
  <c r="AL1016" i="1"/>
  <c r="AJ1016" i="1"/>
  <c r="AC1016" i="1"/>
  <c r="AD1016" i="1"/>
  <c r="AE1016" i="1"/>
  <c r="AF1016" i="1" s="1"/>
  <c r="AI1015" i="1"/>
  <c r="AG1015" i="1"/>
  <c r="AH1015" i="1"/>
  <c r="AC1015" i="1"/>
  <c r="AL1015" i="1"/>
  <c r="AD1015" i="1"/>
  <c r="AE1015" i="1"/>
  <c r="AF1015" i="1" s="1"/>
  <c r="AJ1015" i="1"/>
  <c r="AH1014" i="1"/>
  <c r="AG1014" i="1"/>
  <c r="AI1014" i="1"/>
  <c r="AJ1014" i="1"/>
  <c r="AL1014" i="1"/>
  <c r="AC1014" i="1"/>
  <c r="AD1014" i="1"/>
  <c r="AE1014" i="1"/>
  <c r="AF1014" i="1" s="1"/>
  <c r="AI1013" i="1"/>
  <c r="AG1013" i="1"/>
  <c r="AH1013" i="1"/>
  <c r="AJ1013" i="1"/>
  <c r="AE1013" i="1"/>
  <c r="AF1013" i="1" s="1"/>
  <c r="AD1013" i="1"/>
  <c r="AL1013" i="1"/>
  <c r="AC1013" i="1"/>
  <c r="AH1012" i="1"/>
  <c r="AI1012" i="1"/>
  <c r="AG1012" i="1"/>
  <c r="AE1012" i="1"/>
  <c r="AF1012" i="1" s="1"/>
  <c r="AL1012" i="1"/>
  <c r="AJ1012" i="1"/>
  <c r="AD1012" i="1"/>
  <c r="AC1012" i="1"/>
  <c r="AG1011" i="1"/>
  <c r="AH1011" i="1"/>
  <c r="AI1011" i="1"/>
  <c r="AL1011" i="1"/>
  <c r="AC1011" i="1"/>
  <c r="AE1011" i="1"/>
  <c r="AF1011" i="1" s="1"/>
  <c r="AD1011" i="1"/>
  <c r="AJ1011" i="1"/>
  <c r="AG1010" i="1"/>
  <c r="AI1010" i="1"/>
  <c r="AH1010" i="1"/>
  <c r="AE1010" i="1"/>
  <c r="AF1010" i="1" s="1"/>
  <c r="AC1010" i="1"/>
  <c r="AL1010" i="1"/>
  <c r="AJ1010" i="1"/>
  <c r="AD1010" i="1"/>
  <c r="AG1009" i="1"/>
  <c r="AI1009" i="1"/>
  <c r="AH1009" i="1"/>
  <c r="AC1009" i="1"/>
  <c r="AE1009" i="1"/>
  <c r="AF1009" i="1" s="1"/>
  <c r="AD1009" i="1"/>
  <c r="AL1009" i="1"/>
  <c r="AJ1009" i="1"/>
  <c r="AI1008" i="1"/>
  <c r="AH1008" i="1"/>
  <c r="AG1008" i="1"/>
  <c r="AD1008" i="1"/>
  <c r="AJ1008" i="1"/>
  <c r="AL1008" i="1"/>
  <c r="AC1008" i="1"/>
  <c r="AE1008" i="1"/>
  <c r="AF1008" i="1" s="1"/>
  <c r="AI1007" i="1"/>
  <c r="AH1007" i="1"/>
  <c r="AG1007" i="1"/>
  <c r="AL1007" i="1"/>
  <c r="AC1007" i="1"/>
  <c r="AE1007" i="1"/>
  <c r="AF1007" i="1" s="1"/>
  <c r="AD1007" i="1"/>
  <c r="AJ1007" i="1"/>
  <c r="AH1006" i="1"/>
  <c r="AG1006" i="1"/>
  <c r="AI1006" i="1"/>
  <c r="AJ1006" i="1"/>
  <c r="AE1006" i="1"/>
  <c r="AF1006" i="1" s="1"/>
  <c r="AC1006" i="1"/>
  <c r="AD1006" i="1"/>
  <c r="AL1006" i="1"/>
  <c r="AH1005" i="1"/>
  <c r="AG1005" i="1"/>
  <c r="AI1005" i="1"/>
  <c r="AE1005" i="1"/>
  <c r="AC1005" i="1"/>
  <c r="AJ1005" i="1"/>
  <c r="AD1005" i="1"/>
  <c r="AL1005" i="1"/>
  <c r="AF1005" i="1"/>
  <c r="AI1004" i="1"/>
  <c r="AH1004" i="1"/>
  <c r="AG1004" i="1"/>
  <c r="AL1004" i="1"/>
  <c r="AJ1004" i="1"/>
  <c r="AE1004" i="1"/>
  <c r="AF1004" i="1" s="1"/>
  <c r="AD1004" i="1"/>
  <c r="AC1004" i="1"/>
  <c r="AI1003" i="1"/>
  <c r="AH1003" i="1"/>
  <c r="AG1003" i="1"/>
  <c r="AJ1003" i="1"/>
  <c r="AE1003" i="1"/>
  <c r="AF1003" i="1" s="1"/>
  <c r="AC1003" i="1"/>
  <c r="AD1003" i="1"/>
  <c r="AL1003" i="1"/>
  <c r="AG1002" i="1"/>
  <c r="AI1002" i="1"/>
  <c r="AH1002" i="1"/>
  <c r="AD1002" i="1"/>
  <c r="AC1002" i="1"/>
  <c r="AE1002" i="1"/>
  <c r="AF1002" i="1" s="1"/>
  <c r="AJ1002" i="1"/>
  <c r="AL1002" i="1"/>
  <c r="AH1001" i="1"/>
  <c r="AG1001" i="1"/>
  <c r="AI1001" i="1"/>
  <c r="AJ1001" i="1"/>
  <c r="AF1001" i="1"/>
  <c r="AD1001" i="1"/>
  <c r="AE1001" i="1"/>
  <c r="AL1001" i="1"/>
  <c r="AC1001" i="1"/>
  <c r="AI1000" i="1"/>
  <c r="AH1000" i="1"/>
  <c r="AG1000" i="1"/>
  <c r="AJ1000" i="1"/>
  <c r="AF1000" i="1"/>
  <c r="AE1000" i="1"/>
  <c r="AC1000" i="1"/>
  <c r="AD1000" i="1"/>
  <c r="AL1000" i="1"/>
  <c r="AI999" i="1"/>
  <c r="AG999" i="1"/>
  <c r="AH999" i="1"/>
  <c r="AE999" i="1"/>
  <c r="AL999" i="1"/>
  <c r="AJ999" i="1"/>
  <c r="AF999" i="1"/>
  <c r="AD999" i="1"/>
  <c r="AC999" i="1"/>
  <c r="AH998" i="1"/>
  <c r="AG998" i="1"/>
  <c r="AI998" i="1"/>
  <c r="AF998" i="1"/>
  <c r="AJ998" i="1"/>
  <c r="AE998" i="1"/>
  <c r="AC998" i="1"/>
  <c r="AL998" i="1"/>
  <c r="AD998" i="1"/>
  <c r="AG997" i="1"/>
  <c r="AH997" i="1"/>
  <c r="AI997" i="1"/>
  <c r="AJ997" i="1"/>
  <c r="AL997" i="1"/>
  <c r="AC997" i="1"/>
  <c r="AF997" i="1"/>
  <c r="AE997" i="1"/>
  <c r="AD997" i="1"/>
  <c r="AI996" i="1"/>
  <c r="AH996" i="1"/>
  <c r="AG996" i="1"/>
  <c r="AC996" i="1"/>
  <c r="AF996" i="1"/>
  <c r="AE996" i="1"/>
  <c r="AJ996" i="1"/>
  <c r="AD996" i="1"/>
  <c r="AL996" i="1"/>
  <c r="AI995" i="1"/>
  <c r="AG995" i="1"/>
  <c r="AH995" i="1"/>
  <c r="AD995" i="1"/>
  <c r="AC995" i="1"/>
  <c r="AF995" i="1"/>
  <c r="AE995" i="1"/>
  <c r="AJ995" i="1"/>
  <c r="AL995" i="1"/>
  <c r="AI994" i="1"/>
  <c r="AH994" i="1"/>
  <c r="AG994" i="1"/>
  <c r="AC994" i="1"/>
  <c r="AD994" i="1"/>
  <c r="AF994" i="1"/>
  <c r="AJ994" i="1"/>
  <c r="AL994" i="1"/>
  <c r="AE994" i="1"/>
  <c r="AI993" i="1"/>
  <c r="AG993" i="1"/>
  <c r="AH993" i="1"/>
  <c r="AL993" i="1"/>
  <c r="AE993" i="1"/>
  <c r="AC993" i="1"/>
  <c r="AJ993" i="1"/>
  <c r="AF993" i="1"/>
  <c r="AD993" i="1"/>
  <c r="AG992" i="1"/>
  <c r="AH992" i="1"/>
  <c r="AI992" i="1"/>
  <c r="AL992" i="1"/>
  <c r="AC992" i="1"/>
  <c r="AE992" i="1"/>
  <c r="AJ992" i="1"/>
  <c r="AF992" i="1"/>
  <c r="AD992" i="1"/>
  <c r="AH991" i="1"/>
  <c r="AG991" i="1"/>
  <c r="AI991" i="1"/>
  <c r="AL991" i="1"/>
  <c r="AF991" i="1"/>
  <c r="AD991" i="1"/>
  <c r="AC991" i="1"/>
  <c r="AE991" i="1"/>
  <c r="AJ991" i="1"/>
  <c r="AM991" i="1" s="1"/>
  <c r="AI990" i="1"/>
  <c r="AH990" i="1"/>
  <c r="AG990" i="1"/>
  <c r="AD990" i="1"/>
  <c r="AL990" i="1"/>
  <c r="AJ990" i="1"/>
  <c r="AF990" i="1"/>
  <c r="AE990" i="1"/>
  <c r="AC990" i="1"/>
  <c r="AI989" i="1"/>
  <c r="AG989" i="1"/>
  <c r="AH989" i="1"/>
  <c r="AH988" i="1"/>
  <c r="AG988" i="1"/>
  <c r="AI988" i="1"/>
  <c r="AL988" i="1"/>
  <c r="AJ988" i="1"/>
  <c r="AF988" i="1"/>
  <c r="AE988" i="1"/>
  <c r="AD988" i="1"/>
  <c r="AC988" i="1"/>
  <c r="AH987" i="1"/>
  <c r="AG987" i="1"/>
  <c r="AI987" i="1"/>
  <c r="AL987" i="1"/>
  <c r="AJ987" i="1"/>
  <c r="AF987" i="1"/>
  <c r="AE987" i="1"/>
  <c r="AD987" i="1"/>
  <c r="AC987" i="1"/>
  <c r="AI986" i="1"/>
  <c r="AH986" i="1"/>
  <c r="AG986" i="1"/>
  <c r="AL986" i="1"/>
  <c r="AJ986" i="1"/>
  <c r="AF986" i="1"/>
  <c r="AE986" i="1"/>
  <c r="AD986" i="1"/>
  <c r="AC986" i="1"/>
  <c r="AG985" i="1"/>
  <c r="AH985" i="1"/>
  <c r="AI985" i="1"/>
  <c r="AC985" i="1"/>
  <c r="AD985" i="1"/>
  <c r="AE985" i="1"/>
  <c r="AF985" i="1"/>
  <c r="AJ985" i="1"/>
  <c r="AL985" i="1"/>
  <c r="AI984" i="1"/>
  <c r="AG984" i="1"/>
  <c r="AH984" i="1"/>
  <c r="AL984" i="1"/>
  <c r="AJ984" i="1"/>
  <c r="AM984" i="1" s="1"/>
  <c r="AF984" i="1"/>
  <c r="AE984" i="1"/>
  <c r="AD984" i="1"/>
  <c r="AC984" i="1"/>
  <c r="AI983" i="1"/>
  <c r="AH983" i="1"/>
  <c r="AG983" i="1"/>
  <c r="AE983" i="1"/>
  <c r="AL983" i="1"/>
  <c r="AJ983" i="1"/>
  <c r="AM983" i="1" s="1"/>
  <c r="AF983" i="1"/>
  <c r="AD983" i="1"/>
  <c r="AC983" i="1"/>
  <c r="AH982" i="1"/>
  <c r="AG982" i="1"/>
  <c r="AI982" i="1"/>
  <c r="AF982" i="1"/>
  <c r="AE982" i="1"/>
  <c r="AD982" i="1"/>
  <c r="AC982" i="1"/>
  <c r="AL982" i="1"/>
  <c r="AJ982" i="1"/>
  <c r="AM982" i="1" s="1"/>
  <c r="AI981" i="1"/>
  <c r="AH981" i="1"/>
  <c r="AG981" i="1"/>
  <c r="AL981" i="1"/>
  <c r="AJ981" i="1"/>
  <c r="AM981" i="1" s="1"/>
  <c r="AF981" i="1"/>
  <c r="AE981" i="1"/>
  <c r="AC981" i="1"/>
  <c r="AD981" i="1"/>
  <c r="AI980" i="1"/>
  <c r="AG980" i="1"/>
  <c r="AH980" i="1"/>
  <c r="AE980" i="1"/>
  <c r="AC980" i="1"/>
  <c r="AL980" i="1"/>
  <c r="AJ980" i="1"/>
  <c r="AM980" i="1" s="1"/>
  <c r="AF980" i="1"/>
  <c r="AD980" i="1"/>
  <c r="AI979" i="1"/>
  <c r="AH979" i="1"/>
  <c r="AG979" i="1"/>
  <c r="AL979" i="1"/>
  <c r="AJ979" i="1"/>
  <c r="AM979" i="1" s="1"/>
  <c r="AE979" i="1"/>
  <c r="AD979" i="1"/>
  <c r="AC979" i="1"/>
  <c r="AF979" i="1"/>
  <c r="AI978" i="1"/>
  <c r="AG978" i="1"/>
  <c r="AH978" i="1"/>
  <c r="AL978" i="1"/>
  <c r="AJ978" i="1"/>
  <c r="AM978" i="1" s="1"/>
  <c r="AF978" i="1"/>
  <c r="AE978" i="1"/>
  <c r="AD978" i="1"/>
  <c r="AC978" i="1"/>
  <c r="AI977" i="1"/>
  <c r="AH977" i="1"/>
  <c r="AG977" i="1"/>
  <c r="AE977" i="1"/>
  <c r="AC977" i="1"/>
  <c r="AD977" i="1"/>
  <c r="AL977" i="1"/>
  <c r="AJ977" i="1"/>
  <c r="AM977" i="1" s="1"/>
  <c r="AF977" i="1"/>
  <c r="AH976" i="1"/>
  <c r="AI976" i="1"/>
  <c r="AG976" i="1"/>
  <c r="AE976" i="1"/>
  <c r="AL976" i="1"/>
  <c r="AJ976" i="1"/>
  <c r="AM976" i="1" s="1"/>
  <c r="AC976" i="1"/>
  <c r="AF976" i="1"/>
  <c r="AD976" i="1"/>
  <c r="AH975" i="1"/>
  <c r="AI975" i="1"/>
  <c r="AG975" i="1"/>
  <c r="AL975" i="1"/>
  <c r="AD975" i="1"/>
  <c r="AC975" i="1"/>
  <c r="AE975" i="1"/>
  <c r="AF975" i="1"/>
  <c r="AJ975" i="1"/>
  <c r="AM975" i="1" s="1"/>
  <c r="AI974" i="1"/>
  <c r="AH974" i="1"/>
  <c r="AG974" i="1"/>
  <c r="AD974" i="1"/>
  <c r="AE974" i="1"/>
  <c r="AF974" i="1"/>
  <c r="AL974" i="1"/>
  <c r="AC974" i="1"/>
  <c r="AJ974" i="1"/>
  <c r="AM974" i="1" s="1"/>
  <c r="AH973" i="1"/>
  <c r="AG973" i="1"/>
  <c r="AI973" i="1"/>
  <c r="AE973" i="1"/>
  <c r="AF973" i="1"/>
  <c r="AJ973" i="1"/>
  <c r="AL973" i="1"/>
  <c r="AD973" i="1"/>
  <c r="AC973" i="1"/>
  <c r="AG972" i="1"/>
  <c r="AI972" i="1"/>
  <c r="AH972" i="1"/>
  <c r="AC972" i="1"/>
  <c r="AD972" i="1"/>
  <c r="AJ972" i="1"/>
  <c r="AE972" i="1"/>
  <c r="AF972" i="1"/>
  <c r="AL972" i="1"/>
  <c r="AG971" i="1"/>
  <c r="AH971" i="1"/>
  <c r="AI971" i="1"/>
  <c r="AL971" i="1"/>
  <c r="AJ971" i="1"/>
  <c r="AM971" i="1" s="1"/>
  <c r="AF971" i="1"/>
  <c r="AE971" i="1"/>
  <c r="AD971" i="1"/>
  <c r="AC971" i="1"/>
  <c r="AG970" i="1"/>
  <c r="AI970" i="1"/>
  <c r="AH970" i="1"/>
  <c r="AL970" i="1"/>
  <c r="AC970" i="1"/>
  <c r="AD970" i="1"/>
  <c r="AE970" i="1"/>
  <c r="AJ970" i="1"/>
  <c r="AM970" i="1" s="1"/>
  <c r="AF970" i="1"/>
  <c r="AI969" i="1"/>
  <c r="AH969" i="1"/>
  <c r="AG969" i="1"/>
  <c r="AE969" i="1"/>
  <c r="AJ969" i="1"/>
  <c r="AL969" i="1"/>
  <c r="AF969" i="1"/>
  <c r="AD969" i="1"/>
  <c r="AC969" i="1"/>
  <c r="AI968" i="1"/>
  <c r="AH968" i="1"/>
  <c r="AG968" i="1"/>
  <c r="AJ968" i="1"/>
  <c r="AC968" i="1"/>
  <c r="AL968" i="1"/>
  <c r="AD968" i="1"/>
  <c r="AF968" i="1"/>
  <c r="AE968" i="1"/>
  <c r="AH967" i="1"/>
  <c r="AG967" i="1"/>
  <c r="AI967" i="1"/>
  <c r="AJ967" i="1"/>
  <c r="AF967" i="1"/>
  <c r="AE967" i="1"/>
  <c r="AD967" i="1"/>
  <c r="AC967" i="1"/>
  <c r="AL967" i="1"/>
  <c r="AG966" i="1"/>
  <c r="AH966" i="1"/>
  <c r="AI966" i="1"/>
  <c r="AC966" i="1"/>
  <c r="AD966" i="1"/>
  <c r="AE966" i="1"/>
  <c r="AF966" i="1"/>
  <c r="AJ966" i="1"/>
  <c r="AL966" i="1"/>
  <c r="AI965" i="1"/>
  <c r="AG965" i="1"/>
  <c r="AH965" i="1"/>
  <c r="AF965" i="1"/>
  <c r="AJ965" i="1"/>
  <c r="AL965" i="1"/>
  <c r="AC965" i="1"/>
  <c r="AD965" i="1"/>
  <c r="AE965" i="1"/>
  <c r="AH964" i="1"/>
  <c r="AI964" i="1"/>
  <c r="AG964" i="1"/>
  <c r="AF964" i="1"/>
  <c r="AJ964" i="1"/>
  <c r="AL964" i="1"/>
  <c r="AC964" i="1"/>
  <c r="AD964" i="1"/>
  <c r="AE964" i="1"/>
  <c r="AG963" i="1"/>
  <c r="AH963" i="1"/>
  <c r="AI963" i="1"/>
  <c r="AF963" i="1"/>
  <c r="AE963" i="1"/>
  <c r="AD963" i="1"/>
  <c r="AC963" i="1"/>
  <c r="AJ963" i="1"/>
  <c r="AL963" i="1"/>
  <c r="AG962" i="1"/>
  <c r="AI962" i="1"/>
  <c r="AH962" i="1"/>
  <c r="AE962" i="1"/>
  <c r="AD962" i="1"/>
  <c r="AL962" i="1"/>
  <c r="AF962" i="1"/>
  <c r="AJ962" i="1"/>
  <c r="AM962" i="1" s="1"/>
  <c r="AC962" i="1"/>
  <c r="AH961" i="1"/>
  <c r="AG961" i="1"/>
  <c r="AI961" i="1"/>
  <c r="AJ961" i="1"/>
  <c r="AF961" i="1"/>
  <c r="AE961" i="1"/>
  <c r="AD961" i="1"/>
  <c r="AC961" i="1"/>
  <c r="AL961" i="1"/>
  <c r="AI960" i="1"/>
  <c r="AH960" i="1"/>
  <c r="AG960" i="1"/>
  <c r="AC960" i="1"/>
  <c r="AD960" i="1"/>
  <c r="AE960" i="1"/>
  <c r="AF960" i="1"/>
  <c r="AL960" i="1"/>
  <c r="AJ960" i="1"/>
  <c r="AM960" i="1" s="1"/>
  <c r="AI959" i="1"/>
  <c r="AH959" i="1"/>
  <c r="AG959" i="1"/>
  <c r="AE959" i="1"/>
  <c r="AF959" i="1"/>
  <c r="AL959" i="1"/>
  <c r="AJ959" i="1"/>
  <c r="AM959" i="1" s="1"/>
  <c r="AC959" i="1"/>
  <c r="AD959" i="1"/>
  <c r="AI958" i="1"/>
  <c r="AH958" i="1"/>
  <c r="AG958" i="1"/>
  <c r="AC958" i="1"/>
  <c r="AD958" i="1"/>
  <c r="AF958" i="1"/>
  <c r="AJ958" i="1"/>
  <c r="AL958" i="1"/>
  <c r="AE958" i="1"/>
  <c r="AI957" i="1"/>
  <c r="AH957" i="1"/>
  <c r="AG957" i="1"/>
  <c r="AL957" i="1"/>
  <c r="AJ957" i="1"/>
  <c r="AM957" i="1" s="1"/>
  <c r="AF957" i="1"/>
  <c r="AC957" i="1"/>
  <c r="AD957" i="1"/>
  <c r="AE957" i="1"/>
  <c r="AG956" i="1"/>
  <c r="AH956" i="1"/>
  <c r="AI956" i="1"/>
  <c r="AD956" i="1"/>
  <c r="AE956" i="1"/>
  <c r="AF956" i="1"/>
  <c r="AJ956" i="1"/>
  <c r="AL956" i="1"/>
  <c r="AC956" i="1"/>
  <c r="AG955" i="1"/>
  <c r="AH955" i="1"/>
  <c r="AI955" i="1"/>
  <c r="AL955" i="1"/>
  <c r="AJ955" i="1"/>
  <c r="AM955" i="1" s="1"/>
  <c r="AF955" i="1"/>
  <c r="AE955" i="1"/>
  <c r="AD955" i="1"/>
  <c r="AC955" i="1"/>
  <c r="AI954" i="1"/>
  <c r="AH954" i="1"/>
  <c r="AG954" i="1"/>
  <c r="AL954" i="1"/>
  <c r="AJ954" i="1"/>
  <c r="AM954" i="1" s="1"/>
  <c r="AF954" i="1"/>
  <c r="AE954" i="1"/>
  <c r="AD954" i="1"/>
  <c r="AC954" i="1"/>
  <c r="AH953" i="1"/>
  <c r="AG953" i="1"/>
  <c r="AI953" i="1"/>
  <c r="AL953" i="1"/>
  <c r="AJ953" i="1"/>
  <c r="AM953" i="1" s="1"/>
  <c r="AF953" i="1"/>
  <c r="AE953" i="1"/>
  <c r="AD953" i="1"/>
  <c r="AC953" i="1"/>
  <c r="AI952" i="1"/>
  <c r="AH952" i="1"/>
  <c r="AG952" i="1"/>
  <c r="AL952" i="1"/>
  <c r="AJ952" i="1"/>
  <c r="AM952" i="1" s="1"/>
  <c r="AF952" i="1"/>
  <c r="AE952" i="1"/>
  <c r="AD952" i="1"/>
  <c r="AC952" i="1"/>
  <c r="AI951" i="1"/>
  <c r="AH951" i="1"/>
  <c r="AG951" i="1"/>
  <c r="AF951" i="1"/>
  <c r="AE951" i="1"/>
  <c r="AD951" i="1"/>
  <c r="AC951" i="1"/>
  <c r="AJ951" i="1"/>
  <c r="AL951" i="1"/>
  <c r="AI950" i="1"/>
  <c r="AG950" i="1"/>
  <c r="AH950" i="1"/>
  <c r="AE950" i="1"/>
  <c r="AD950" i="1"/>
  <c r="AC950" i="1"/>
  <c r="AL950" i="1"/>
  <c r="AF950" i="1"/>
  <c r="AJ950" i="1"/>
  <c r="AM950" i="1" s="1"/>
  <c r="AI949" i="1"/>
  <c r="AH949" i="1"/>
  <c r="AG949" i="1"/>
  <c r="AL949" i="1"/>
  <c r="AF949" i="1"/>
  <c r="AE949" i="1"/>
  <c r="AD949" i="1"/>
  <c r="AJ949" i="1"/>
  <c r="AM949" i="1" s="1"/>
  <c r="AC949" i="1"/>
  <c r="AI948" i="1"/>
  <c r="AH948" i="1"/>
  <c r="AG948" i="1"/>
  <c r="AD948" i="1"/>
  <c r="AE948" i="1"/>
  <c r="AF948" i="1"/>
  <c r="AJ948" i="1"/>
  <c r="AL948" i="1"/>
  <c r="AC948" i="1"/>
  <c r="AI947" i="1"/>
  <c r="AH947" i="1"/>
  <c r="AG947" i="1"/>
  <c r="AE947" i="1"/>
  <c r="AD947" i="1"/>
  <c r="AC947" i="1"/>
  <c r="AF947" i="1"/>
  <c r="AL947" i="1"/>
  <c r="AJ947" i="1"/>
  <c r="AM947" i="1" s="1"/>
  <c r="AI946" i="1"/>
  <c r="AH946" i="1"/>
  <c r="AG946" i="1"/>
  <c r="AL946" i="1"/>
  <c r="AJ946" i="1"/>
  <c r="AM946" i="1" s="1"/>
  <c r="AC946" i="1"/>
  <c r="AF946" i="1"/>
  <c r="AE946" i="1"/>
  <c r="AD946" i="1"/>
  <c r="AG945" i="1"/>
  <c r="AH945" i="1"/>
  <c r="AI945" i="1"/>
  <c r="AL945" i="1"/>
  <c r="AJ945" i="1"/>
  <c r="AM945" i="1" s="1"/>
  <c r="AF945" i="1"/>
  <c r="AC945" i="1"/>
  <c r="AD945" i="1"/>
  <c r="AE945" i="1"/>
  <c r="AI944" i="1"/>
  <c r="AH944" i="1"/>
  <c r="AG944" i="1"/>
  <c r="AL944" i="1"/>
  <c r="AJ944" i="1"/>
  <c r="AM944" i="1" s="1"/>
  <c r="AC944" i="1"/>
  <c r="AD944" i="1"/>
  <c r="AE944" i="1"/>
  <c r="AF944" i="1"/>
  <c r="AG943" i="1"/>
  <c r="AI943" i="1"/>
  <c r="AH943" i="1"/>
  <c r="AF943" i="1"/>
  <c r="AJ943" i="1"/>
  <c r="AL943" i="1"/>
  <c r="AC943" i="1"/>
  <c r="AD943" i="1"/>
  <c r="AE943" i="1"/>
  <c r="AG942" i="1"/>
  <c r="AH942" i="1"/>
  <c r="AI942" i="1"/>
  <c r="AC942" i="1"/>
  <c r="AD942" i="1"/>
  <c r="AE942" i="1"/>
  <c r="AF942" i="1"/>
  <c r="AL942" i="1"/>
  <c r="AJ942" i="1"/>
  <c r="AM942" i="1" s="1"/>
  <c r="AG941" i="1"/>
  <c r="AI941" i="1"/>
  <c r="AH941" i="1"/>
  <c r="AC941" i="1"/>
  <c r="AD941" i="1"/>
  <c r="AE941" i="1"/>
  <c r="AF941" i="1"/>
  <c r="AL941" i="1"/>
  <c r="AJ941" i="1"/>
  <c r="AM941" i="1" s="1"/>
  <c r="AH940" i="1"/>
  <c r="AG940" i="1"/>
  <c r="AI940" i="1"/>
  <c r="AE940" i="1"/>
  <c r="AD940" i="1"/>
  <c r="AC940" i="1"/>
  <c r="AF940" i="1"/>
  <c r="AJ940" i="1"/>
  <c r="AL940" i="1"/>
  <c r="AH939" i="1"/>
  <c r="AG939" i="1"/>
  <c r="AI939" i="1"/>
  <c r="AL939" i="1"/>
  <c r="AJ939" i="1"/>
  <c r="AM939" i="1" s="1"/>
  <c r="AF939" i="1"/>
  <c r="AE939" i="1"/>
  <c r="AD939" i="1"/>
  <c r="AC939" i="1"/>
  <c r="AH938" i="1"/>
  <c r="AI938" i="1"/>
  <c r="AG938" i="1"/>
  <c r="AJ938" i="1"/>
  <c r="AL938" i="1"/>
  <c r="AC938" i="1"/>
  <c r="AD938" i="1"/>
  <c r="AE938" i="1"/>
  <c r="AF938" i="1"/>
  <c r="AG937" i="1"/>
  <c r="AI937" i="1"/>
  <c r="AH937" i="1"/>
  <c r="AF937" i="1"/>
  <c r="AE937" i="1"/>
  <c r="AC937" i="1"/>
  <c r="AD937" i="1"/>
  <c r="AL937" i="1"/>
  <c r="AJ937" i="1"/>
  <c r="AM937" i="1" s="1"/>
  <c r="AG936" i="1"/>
  <c r="AH936" i="1"/>
  <c r="AI936" i="1"/>
  <c r="AC936" i="1"/>
  <c r="AD936" i="1"/>
  <c r="AE936" i="1"/>
  <c r="AF936" i="1"/>
  <c r="AJ936" i="1"/>
  <c r="AL936" i="1"/>
  <c r="AI935" i="1"/>
  <c r="AH935" i="1"/>
  <c r="AG935" i="1"/>
  <c r="AL935" i="1"/>
  <c r="AJ935" i="1"/>
  <c r="AM935" i="1" s="1"/>
  <c r="AF935" i="1"/>
  <c r="AE935" i="1"/>
  <c r="AD935" i="1"/>
  <c r="AC935" i="1"/>
  <c r="AI934" i="1"/>
  <c r="AG934" i="1"/>
  <c r="AH934" i="1"/>
  <c r="AL934" i="1"/>
  <c r="AJ934" i="1"/>
  <c r="AM934" i="1" s="1"/>
  <c r="AF934" i="1"/>
  <c r="AE934" i="1"/>
  <c r="AD934" i="1"/>
  <c r="AC934" i="1"/>
  <c r="AG933" i="1"/>
  <c r="AI933" i="1"/>
  <c r="AH933" i="1"/>
  <c r="AD933" i="1"/>
  <c r="AC933" i="1"/>
  <c r="AL933" i="1"/>
  <c r="AJ933" i="1"/>
  <c r="AM933" i="1" s="1"/>
  <c r="AE933" i="1"/>
  <c r="AF933" i="1"/>
  <c r="AH932" i="1"/>
  <c r="AI932" i="1"/>
  <c r="AG932" i="1"/>
  <c r="AJ932" i="1"/>
  <c r="AL932" i="1"/>
  <c r="AF932" i="1"/>
  <c r="AE932" i="1"/>
  <c r="AD932" i="1"/>
  <c r="AC932" i="1"/>
  <c r="AI931" i="1"/>
  <c r="AH931" i="1"/>
  <c r="AG931" i="1"/>
  <c r="AC931" i="1"/>
  <c r="AL931" i="1"/>
  <c r="AJ931" i="1"/>
  <c r="AM931" i="1" s="1"/>
  <c r="AD931" i="1"/>
  <c r="AF931" i="1"/>
  <c r="AE931" i="1"/>
  <c r="AG930" i="1"/>
  <c r="AH930" i="1"/>
  <c r="AI930" i="1"/>
  <c r="AL930" i="1"/>
  <c r="AC930" i="1"/>
  <c r="AD930" i="1"/>
  <c r="AE930" i="1"/>
  <c r="AF930" i="1"/>
  <c r="AJ930" i="1"/>
  <c r="AM930" i="1" s="1"/>
  <c r="AG929" i="1"/>
  <c r="AH929" i="1"/>
  <c r="AI929" i="1"/>
  <c r="AF929" i="1"/>
  <c r="AJ929" i="1"/>
  <c r="AL929" i="1"/>
  <c r="AD929" i="1"/>
  <c r="AC929" i="1"/>
  <c r="AE929" i="1"/>
  <c r="AI928" i="1"/>
  <c r="AH928" i="1"/>
  <c r="AG928" i="1"/>
  <c r="AJ928" i="1"/>
  <c r="AL928" i="1"/>
  <c r="AF928" i="1"/>
  <c r="AE928" i="1"/>
  <c r="AD928" i="1"/>
  <c r="AC928" i="1"/>
  <c r="AH927" i="1"/>
  <c r="AI927" i="1"/>
  <c r="AG927" i="1"/>
  <c r="AC927" i="1"/>
  <c r="AL927" i="1"/>
  <c r="AJ927" i="1"/>
  <c r="AM927" i="1" s="1"/>
  <c r="AF927" i="1"/>
  <c r="AE927" i="1"/>
  <c r="AD927" i="1"/>
  <c r="AI926" i="1"/>
  <c r="AH926" i="1"/>
  <c r="AG926" i="1"/>
  <c r="AL926" i="1"/>
  <c r="AJ926" i="1"/>
  <c r="AM926" i="1" s="1"/>
  <c r="AF926" i="1"/>
  <c r="AD926" i="1"/>
  <c r="AC926" i="1"/>
  <c r="AE926" i="1"/>
  <c r="AG925" i="1"/>
  <c r="AH925" i="1"/>
  <c r="AI925" i="1"/>
  <c r="AJ925" i="1"/>
  <c r="AL925" i="1"/>
  <c r="AE925" i="1"/>
  <c r="AD925" i="1"/>
  <c r="AF925" i="1"/>
  <c r="AC925" i="1"/>
  <c r="AH924" i="1"/>
  <c r="AI924" i="1"/>
  <c r="AG924" i="1"/>
  <c r="AD924" i="1"/>
  <c r="AC924" i="1"/>
  <c r="AL924" i="1"/>
  <c r="AJ924" i="1"/>
  <c r="AM924" i="1" s="1"/>
  <c r="AF924" i="1"/>
  <c r="AE924" i="1"/>
  <c r="AG923" i="1"/>
  <c r="AI923" i="1"/>
  <c r="AH923" i="1"/>
  <c r="AF923" i="1"/>
  <c r="AL923" i="1"/>
  <c r="AJ923" i="1"/>
  <c r="AM923" i="1" s="1"/>
  <c r="AD923" i="1"/>
  <c r="AE923" i="1"/>
  <c r="AC923" i="1"/>
  <c r="AG922" i="1"/>
  <c r="AH922" i="1"/>
  <c r="AI922" i="1"/>
  <c r="AF922" i="1"/>
  <c r="AD922" i="1"/>
  <c r="AC922" i="1"/>
  <c r="AE922" i="1"/>
  <c r="AL922" i="1"/>
  <c r="AJ922" i="1"/>
  <c r="AM922" i="1" s="1"/>
  <c r="AG921" i="1"/>
  <c r="AH921" i="1"/>
  <c r="AI921" i="1"/>
  <c r="AL921" i="1"/>
  <c r="AJ921" i="1"/>
  <c r="AM921" i="1" s="1"/>
  <c r="AC921" i="1"/>
  <c r="AD921" i="1"/>
  <c r="AE921" i="1"/>
  <c r="AF921" i="1"/>
  <c r="AH920" i="1"/>
  <c r="AG920" i="1"/>
  <c r="AI920" i="1"/>
  <c r="AC920" i="1"/>
  <c r="AJ920" i="1"/>
  <c r="AL920" i="1"/>
  <c r="AF920" i="1"/>
  <c r="AE920" i="1"/>
  <c r="AD920" i="1"/>
  <c r="AG919" i="1"/>
  <c r="AH919" i="1"/>
  <c r="AI919" i="1"/>
  <c r="AF919" i="1"/>
  <c r="AL919" i="1"/>
  <c r="AJ919" i="1"/>
  <c r="AM919" i="1" s="1"/>
  <c r="AC919" i="1"/>
  <c r="AD919" i="1"/>
  <c r="AE919" i="1"/>
  <c r="AG918" i="1"/>
  <c r="AH918" i="1"/>
  <c r="AI918" i="1"/>
  <c r="AJ918" i="1"/>
  <c r="AL918" i="1"/>
  <c r="AF918" i="1"/>
  <c r="AE918" i="1"/>
  <c r="AD918" i="1"/>
  <c r="AC918" i="1"/>
  <c r="AI917" i="1"/>
  <c r="AH917" i="1"/>
  <c r="AG917" i="1"/>
  <c r="AL917" i="1"/>
  <c r="AJ917" i="1"/>
  <c r="AM917" i="1" s="1"/>
  <c r="AC917" i="1"/>
  <c r="AE917" i="1"/>
  <c r="AD917" i="1"/>
  <c r="AF917" i="1"/>
  <c r="AI916" i="1"/>
  <c r="AG916" i="1"/>
  <c r="AH916" i="1"/>
  <c r="AJ916" i="1"/>
  <c r="AL916" i="1"/>
  <c r="AC916" i="1"/>
  <c r="AD916" i="1"/>
  <c r="AE916" i="1"/>
  <c r="AF916" i="1"/>
  <c r="AI915" i="1"/>
  <c r="AH915" i="1"/>
  <c r="AG915" i="1"/>
  <c r="AE915" i="1"/>
  <c r="AD915" i="1"/>
  <c r="AC915" i="1"/>
  <c r="AL915" i="1"/>
  <c r="AJ915" i="1"/>
  <c r="AM915" i="1" s="1"/>
  <c r="AF915" i="1"/>
  <c r="AI914" i="1"/>
  <c r="AH914" i="1"/>
  <c r="AG914" i="1"/>
  <c r="AL914" i="1"/>
  <c r="AJ914" i="1"/>
  <c r="AM914" i="1" s="1"/>
  <c r="AF914" i="1"/>
  <c r="AE914" i="1"/>
  <c r="AD914" i="1"/>
  <c r="AC914" i="1"/>
  <c r="AI913" i="1"/>
  <c r="AH913" i="1"/>
  <c r="AG913" i="1"/>
  <c r="AL913" i="1"/>
  <c r="AE913" i="1"/>
  <c r="AC913" i="1"/>
  <c r="AD913" i="1"/>
  <c r="AF913" i="1"/>
  <c r="AJ913" i="1"/>
  <c r="AM913" i="1" s="1"/>
  <c r="AH912" i="1"/>
  <c r="AG912" i="1"/>
  <c r="AI912" i="1"/>
  <c r="AJ912" i="1"/>
  <c r="AL912" i="1"/>
  <c r="AC912" i="1"/>
  <c r="AD912" i="1"/>
  <c r="AE912" i="1"/>
  <c r="AF912" i="1"/>
  <c r="AG911" i="1"/>
  <c r="AH911" i="1"/>
  <c r="AI911" i="1"/>
  <c r="AD911" i="1"/>
  <c r="AC911" i="1"/>
  <c r="AE911" i="1"/>
  <c r="AJ911" i="1"/>
  <c r="AL911" i="1"/>
  <c r="AF911" i="1"/>
  <c r="AG910" i="1"/>
  <c r="AI910" i="1"/>
  <c r="AH910" i="1"/>
  <c r="AD910" i="1"/>
  <c r="AJ910" i="1"/>
  <c r="AF910" i="1"/>
  <c r="AL910" i="1"/>
  <c r="AE910" i="1"/>
  <c r="AC910" i="1"/>
  <c r="AG909" i="1"/>
  <c r="AH909" i="1"/>
  <c r="AI909" i="1"/>
  <c r="AF909" i="1"/>
  <c r="AJ909" i="1"/>
  <c r="AL909" i="1"/>
  <c r="AC909" i="1"/>
  <c r="AE909" i="1"/>
  <c r="AD909" i="1"/>
  <c r="AG908" i="1"/>
  <c r="AH908" i="1"/>
  <c r="AI908" i="1"/>
  <c r="AJ908" i="1"/>
  <c r="AD908" i="1"/>
  <c r="AF908" i="1"/>
  <c r="AE908" i="1"/>
  <c r="AL908" i="1"/>
  <c r="AC908" i="1"/>
  <c r="AG907" i="1"/>
  <c r="AH907" i="1"/>
  <c r="AI907" i="1"/>
  <c r="AC907" i="1"/>
  <c r="AD907" i="1"/>
  <c r="AE907" i="1"/>
  <c r="AF907" i="1"/>
  <c r="AL907" i="1"/>
  <c r="AJ907" i="1"/>
  <c r="AM907" i="1" s="1"/>
  <c r="AG906" i="1"/>
  <c r="AH906" i="1"/>
  <c r="AI906" i="1"/>
  <c r="AC906" i="1"/>
  <c r="AD906" i="1"/>
  <c r="AE906" i="1"/>
  <c r="AF906" i="1"/>
  <c r="AJ906" i="1"/>
  <c r="AL906" i="1"/>
  <c r="AI905" i="1"/>
  <c r="AH905" i="1"/>
  <c r="AG905" i="1"/>
  <c r="AF905" i="1"/>
  <c r="AE905" i="1"/>
  <c r="AJ905" i="1"/>
  <c r="AC905" i="1"/>
  <c r="AL905" i="1"/>
  <c r="AD905" i="1"/>
  <c r="AI904" i="1"/>
  <c r="AH904" i="1"/>
  <c r="AG904" i="1"/>
  <c r="AL904" i="1"/>
  <c r="AJ904" i="1"/>
  <c r="AM904" i="1" s="1"/>
  <c r="AC904" i="1"/>
  <c r="AF904" i="1"/>
  <c r="AE904" i="1"/>
  <c r="AD904" i="1"/>
  <c r="AI903" i="1"/>
  <c r="AH903" i="1"/>
  <c r="AG903" i="1"/>
  <c r="AF903" i="1"/>
  <c r="AD903" i="1"/>
  <c r="AJ903" i="1"/>
  <c r="AL903" i="1"/>
  <c r="AC903" i="1"/>
  <c r="AE903" i="1"/>
  <c r="AH902" i="1"/>
  <c r="AG902" i="1"/>
  <c r="AI902" i="1"/>
  <c r="AJ902" i="1"/>
  <c r="AC902" i="1"/>
  <c r="AF902" i="1"/>
  <c r="AE902" i="1"/>
  <c r="AD902" i="1"/>
  <c r="AL902" i="1"/>
  <c r="AI901" i="1"/>
  <c r="AH901" i="1"/>
  <c r="AG901" i="1"/>
  <c r="AL901" i="1"/>
  <c r="AJ901" i="1"/>
  <c r="AM901" i="1" s="1"/>
  <c r="AF901" i="1"/>
  <c r="AE901" i="1"/>
  <c r="AD901" i="1"/>
  <c r="AC901" i="1"/>
  <c r="AI900" i="1"/>
  <c r="AH900" i="1"/>
  <c r="AG900" i="1"/>
  <c r="AL900" i="1"/>
  <c r="AF900" i="1"/>
  <c r="AE900" i="1"/>
  <c r="AD900" i="1"/>
  <c r="AC900" i="1"/>
  <c r="AJ900" i="1"/>
  <c r="AM900" i="1" s="1"/>
  <c r="AH899" i="1"/>
  <c r="AI899" i="1"/>
  <c r="AG899" i="1"/>
  <c r="AE899" i="1"/>
  <c r="AF899" i="1"/>
  <c r="AJ899" i="1"/>
  <c r="AL899" i="1"/>
  <c r="AC899" i="1"/>
  <c r="AD899" i="1"/>
  <c r="AG898" i="1"/>
  <c r="AH898" i="1"/>
  <c r="AI898" i="1"/>
  <c r="AF898" i="1"/>
  <c r="AE898" i="1"/>
  <c r="AD898" i="1"/>
  <c r="AC898" i="1"/>
  <c r="AJ898" i="1"/>
  <c r="AL898" i="1"/>
  <c r="AG897" i="1"/>
  <c r="AH897" i="1"/>
  <c r="AI897" i="1"/>
  <c r="AD897" i="1"/>
  <c r="AJ897" i="1"/>
  <c r="AE897" i="1"/>
  <c r="AC897" i="1"/>
  <c r="AF897" i="1"/>
  <c r="AL897" i="1"/>
  <c r="AI896" i="1"/>
  <c r="AH896" i="1"/>
  <c r="AG896" i="1"/>
  <c r="AJ896" i="1"/>
  <c r="AL896" i="1"/>
  <c r="AF896" i="1"/>
  <c r="AE896" i="1"/>
  <c r="AD896" i="1"/>
  <c r="AC896" i="1"/>
  <c r="AI895" i="1"/>
  <c r="AG895" i="1"/>
  <c r="AH895" i="1"/>
  <c r="AE895" i="1"/>
  <c r="AD895" i="1"/>
  <c r="AC895" i="1"/>
  <c r="AJ895" i="1"/>
  <c r="AF895" i="1"/>
  <c r="AL895" i="1"/>
  <c r="AI894" i="1"/>
  <c r="AH894" i="1"/>
  <c r="AG894" i="1"/>
  <c r="AJ894" i="1"/>
  <c r="AL894" i="1"/>
  <c r="AE894" i="1"/>
  <c r="AD894" i="1"/>
  <c r="AF894" i="1"/>
  <c r="AC894" i="1"/>
  <c r="AG893" i="1"/>
  <c r="AH893" i="1"/>
  <c r="AI893" i="1"/>
  <c r="AC893" i="1"/>
  <c r="AD893" i="1"/>
  <c r="AF893" i="1"/>
  <c r="AJ893" i="1"/>
  <c r="AL893" i="1"/>
  <c r="AE893" i="1"/>
  <c r="AG892" i="1"/>
  <c r="AH892" i="1"/>
  <c r="AI892" i="1"/>
  <c r="AE892" i="1"/>
  <c r="AF892" i="1"/>
  <c r="AC892" i="1"/>
  <c r="AJ892" i="1"/>
  <c r="AL892" i="1"/>
  <c r="AD892" i="1"/>
  <c r="AH891" i="1"/>
  <c r="AG891" i="1"/>
  <c r="AI891" i="1"/>
  <c r="AJ891" i="1"/>
  <c r="AL891" i="1"/>
  <c r="AC891" i="1"/>
  <c r="AD891" i="1"/>
  <c r="AE891" i="1"/>
  <c r="AF891" i="1"/>
  <c r="AH890" i="1"/>
  <c r="AG890" i="1"/>
  <c r="AI890" i="1"/>
  <c r="AJ890" i="1"/>
  <c r="AL890" i="1"/>
  <c r="AF890" i="1"/>
  <c r="AC890" i="1"/>
  <c r="AD890" i="1"/>
  <c r="AE890" i="1"/>
  <c r="AI889" i="1"/>
  <c r="AH889" i="1"/>
  <c r="AG889" i="1"/>
  <c r="AJ889" i="1"/>
  <c r="AF889" i="1"/>
  <c r="AE889" i="1"/>
  <c r="AD889" i="1"/>
  <c r="AC889" i="1"/>
  <c r="AL889" i="1"/>
  <c r="AI888" i="1"/>
  <c r="AH888" i="1"/>
  <c r="AG888" i="1"/>
  <c r="AL888" i="1"/>
  <c r="AJ888" i="1"/>
  <c r="AM888" i="1" s="1"/>
  <c r="AF888" i="1"/>
  <c r="AE888" i="1"/>
  <c r="AD888" i="1"/>
  <c r="AC888" i="1"/>
  <c r="AG887" i="1"/>
  <c r="AI887" i="1"/>
  <c r="AH887" i="1"/>
  <c r="AE887" i="1"/>
  <c r="AD887" i="1"/>
  <c r="AC887" i="1"/>
  <c r="AF887" i="1"/>
  <c r="AJ887" i="1"/>
  <c r="AL887" i="1"/>
  <c r="AI886" i="1"/>
  <c r="AH886" i="1"/>
  <c r="AG886" i="1"/>
  <c r="AL886" i="1"/>
  <c r="AJ886" i="1"/>
  <c r="AM886" i="1" s="1"/>
  <c r="AF886" i="1"/>
  <c r="AE886" i="1"/>
  <c r="AC886" i="1"/>
  <c r="AD886" i="1"/>
  <c r="AG885" i="1"/>
  <c r="AH885" i="1"/>
  <c r="AI885" i="1"/>
  <c r="AC885" i="1"/>
  <c r="AD885" i="1"/>
  <c r="AE885" i="1"/>
  <c r="AF885" i="1"/>
  <c r="AL885" i="1"/>
  <c r="AJ885" i="1"/>
  <c r="AM885" i="1" s="1"/>
  <c r="AH884" i="1"/>
  <c r="AG884" i="1"/>
  <c r="AI884" i="1"/>
  <c r="AL884" i="1"/>
  <c r="AD884" i="1"/>
  <c r="AJ884" i="1"/>
  <c r="AM884" i="1" s="1"/>
  <c r="AE884" i="1"/>
  <c r="AF884" i="1"/>
  <c r="AC884" i="1"/>
  <c r="AG883" i="1"/>
  <c r="AH883" i="1"/>
  <c r="AI883" i="1"/>
  <c r="AC883" i="1"/>
  <c r="AE883" i="1"/>
  <c r="AF883" i="1"/>
  <c r="AD883" i="1"/>
  <c r="AJ883" i="1"/>
  <c r="AL883" i="1"/>
  <c r="AH882" i="1"/>
  <c r="AI882" i="1"/>
  <c r="AG882" i="1"/>
  <c r="AL882" i="1"/>
  <c r="AJ882" i="1"/>
  <c r="AM882" i="1" s="1"/>
  <c r="AF882" i="1"/>
  <c r="AE882" i="1"/>
  <c r="AC882" i="1"/>
  <c r="AD882" i="1"/>
  <c r="AH881" i="1"/>
  <c r="AI881" i="1"/>
  <c r="AG881" i="1"/>
  <c r="AC881" i="1"/>
  <c r="AL881" i="1"/>
  <c r="AJ881" i="1"/>
  <c r="AM881" i="1" s="1"/>
  <c r="AF881" i="1"/>
  <c r="AE881" i="1"/>
  <c r="AD881" i="1"/>
  <c r="AH880" i="1"/>
  <c r="AI880" i="1"/>
  <c r="AG880" i="1"/>
  <c r="AJ880" i="1"/>
  <c r="AE880" i="1"/>
  <c r="AD880" i="1"/>
  <c r="AC880" i="1"/>
  <c r="AF880" i="1"/>
  <c r="AL880" i="1"/>
  <c r="AH879" i="1"/>
  <c r="AI879" i="1"/>
  <c r="AG879" i="1"/>
  <c r="AF879" i="1"/>
  <c r="AE879" i="1"/>
  <c r="AD879" i="1"/>
  <c r="AL879" i="1"/>
  <c r="AC879" i="1"/>
  <c r="AJ879" i="1"/>
  <c r="AM879" i="1" s="1"/>
  <c r="AI878" i="1"/>
  <c r="AH878" i="1"/>
  <c r="AG878" i="1"/>
  <c r="AJ878" i="1"/>
  <c r="AL878" i="1"/>
  <c r="AC878" i="1"/>
  <c r="AF878" i="1"/>
  <c r="AD878" i="1"/>
  <c r="AE878" i="1"/>
  <c r="AH877" i="1"/>
  <c r="AI877" i="1"/>
  <c r="AG877" i="1"/>
  <c r="AC877" i="1"/>
  <c r="AE877" i="1"/>
  <c r="AF877" i="1"/>
  <c r="AL877" i="1"/>
  <c r="AJ877" i="1"/>
  <c r="AM877" i="1" s="1"/>
  <c r="AD877" i="1"/>
  <c r="AG876" i="1"/>
  <c r="AH876" i="1"/>
  <c r="AI876" i="1"/>
  <c r="AL876" i="1"/>
  <c r="AC876" i="1"/>
  <c r="AD876" i="1"/>
  <c r="AE876" i="1"/>
  <c r="AF876" i="1"/>
  <c r="AJ876" i="1"/>
  <c r="AM876" i="1" s="1"/>
  <c r="AG875" i="1"/>
  <c r="AH875" i="1"/>
  <c r="AI875" i="1"/>
  <c r="AC875" i="1"/>
  <c r="AD875" i="1"/>
  <c r="AE875" i="1"/>
  <c r="AF875" i="1"/>
  <c r="AJ875" i="1"/>
  <c r="AL875" i="1"/>
  <c r="AG874" i="1"/>
  <c r="AI874" i="1"/>
  <c r="AH874" i="1"/>
  <c r="AF874" i="1"/>
  <c r="AJ874" i="1"/>
  <c r="AC874" i="1"/>
  <c r="AD874" i="1"/>
  <c r="AE874" i="1"/>
  <c r="AL874" i="1"/>
  <c r="AH873" i="1"/>
  <c r="AI873" i="1"/>
  <c r="AG873" i="1"/>
  <c r="AD873" i="1"/>
  <c r="AC873" i="1"/>
  <c r="AE873" i="1"/>
  <c r="AF873" i="1"/>
  <c r="AJ873" i="1"/>
  <c r="AL873" i="1"/>
  <c r="AH872" i="1"/>
  <c r="AG872" i="1"/>
  <c r="AI872" i="1"/>
  <c r="AC872" i="1"/>
  <c r="AD872" i="1"/>
  <c r="AE872" i="1"/>
  <c r="AF872" i="1"/>
  <c r="AJ872" i="1"/>
  <c r="AL872" i="1"/>
  <c r="AH871" i="1"/>
  <c r="AI871" i="1"/>
  <c r="AG871" i="1"/>
  <c r="AJ871" i="1"/>
  <c r="AF871" i="1"/>
  <c r="AD871" i="1"/>
  <c r="AE871" i="1"/>
  <c r="AC871" i="1"/>
  <c r="AL871" i="1"/>
  <c r="AH870" i="1"/>
  <c r="AI870" i="1"/>
  <c r="AG870" i="1"/>
  <c r="AC870" i="1"/>
  <c r="AD870" i="1"/>
  <c r="AF870" i="1"/>
  <c r="AL870" i="1"/>
  <c r="AJ870" i="1"/>
  <c r="AE870" i="1"/>
  <c r="AG869" i="1"/>
  <c r="AH869" i="1"/>
  <c r="AI869" i="1"/>
  <c r="AD869" i="1"/>
  <c r="AC869" i="1"/>
  <c r="AE869" i="1"/>
  <c r="AF869" i="1"/>
  <c r="AJ869" i="1"/>
  <c r="AL869" i="1"/>
  <c r="AI868" i="1"/>
  <c r="AG868" i="1"/>
  <c r="AH868" i="1"/>
  <c r="AL868" i="1"/>
  <c r="AC868" i="1"/>
  <c r="AE868" i="1"/>
  <c r="AD868" i="1"/>
  <c r="AF868" i="1"/>
  <c r="AJ868" i="1"/>
  <c r="AM868" i="1" s="1"/>
  <c r="AI867" i="1"/>
  <c r="AH867" i="1"/>
  <c r="AG867" i="1"/>
  <c r="AL867" i="1"/>
  <c r="AJ867" i="1"/>
  <c r="AM867" i="1" s="1"/>
  <c r="AD867" i="1"/>
  <c r="AE867" i="1"/>
  <c r="AF867" i="1"/>
  <c r="AC867" i="1"/>
  <c r="AI866" i="1"/>
  <c r="AH866" i="1"/>
  <c r="AG866" i="1"/>
  <c r="AL866" i="1"/>
  <c r="AJ866" i="1"/>
  <c r="AM866" i="1" s="1"/>
  <c r="AF866" i="1"/>
  <c r="AE866" i="1"/>
  <c r="AD866" i="1"/>
  <c r="AC866" i="1"/>
  <c r="AI865" i="1"/>
  <c r="AH865" i="1"/>
  <c r="AG865" i="1"/>
  <c r="AE865" i="1"/>
  <c r="AL865" i="1"/>
  <c r="AJ865" i="1"/>
  <c r="AM865" i="1" s="1"/>
  <c r="AF865" i="1"/>
  <c r="AD865" i="1"/>
  <c r="AC865" i="1"/>
  <c r="AG864" i="1"/>
  <c r="AH864" i="1"/>
  <c r="AI864" i="1"/>
  <c r="AE864" i="1"/>
  <c r="AF864" i="1"/>
  <c r="AJ864" i="1"/>
  <c r="AD864" i="1"/>
  <c r="AC864" i="1"/>
  <c r="AL864" i="1"/>
  <c r="AI863" i="1"/>
  <c r="AH863" i="1"/>
  <c r="AG863" i="1"/>
  <c r="AC863" i="1"/>
  <c r="AD863" i="1"/>
  <c r="AE863" i="1"/>
  <c r="AF863" i="1"/>
  <c r="AL863" i="1"/>
  <c r="AJ863" i="1"/>
  <c r="AM863" i="1" s="1"/>
  <c r="AH862" i="1"/>
  <c r="AG862" i="1"/>
  <c r="AI862" i="1"/>
  <c r="AF862" i="1"/>
  <c r="AJ862" i="1"/>
  <c r="AL862" i="1"/>
  <c r="AE862" i="1"/>
  <c r="AD862" i="1"/>
  <c r="AC862" i="1"/>
  <c r="AI861" i="1"/>
  <c r="AH861" i="1"/>
  <c r="AG861" i="1"/>
  <c r="AL861" i="1"/>
  <c r="AJ861" i="1"/>
  <c r="AM861" i="1" s="1"/>
  <c r="AF861" i="1"/>
  <c r="AD861" i="1"/>
  <c r="AC861" i="1"/>
  <c r="AE861" i="1"/>
  <c r="AI860" i="1"/>
  <c r="AH860" i="1"/>
  <c r="AG860" i="1"/>
  <c r="AJ860" i="1"/>
  <c r="AD860" i="1"/>
  <c r="AF860" i="1"/>
  <c r="AE860" i="1"/>
  <c r="AL860" i="1"/>
  <c r="AC860" i="1"/>
  <c r="AG859" i="1"/>
  <c r="AI859" i="1"/>
  <c r="AH859" i="1"/>
  <c r="AE859" i="1"/>
  <c r="AD859" i="1"/>
  <c r="AC859" i="1"/>
  <c r="AL859" i="1"/>
  <c r="AJ859" i="1"/>
  <c r="AM859" i="1" s="1"/>
  <c r="AF859" i="1"/>
  <c r="AI858" i="1"/>
  <c r="AH858" i="1"/>
  <c r="AG858" i="1"/>
  <c r="AC858" i="1"/>
  <c r="AL858" i="1"/>
  <c r="AJ858" i="1"/>
  <c r="AM858" i="1" s="1"/>
  <c r="AF858" i="1"/>
  <c r="AE858" i="1"/>
  <c r="AD858" i="1"/>
  <c r="AI857" i="1"/>
  <c r="AH857" i="1"/>
  <c r="AG857" i="1"/>
  <c r="AL857" i="1"/>
  <c r="AJ857" i="1"/>
  <c r="AM857" i="1" s="1"/>
  <c r="AF857" i="1"/>
  <c r="AE857" i="1"/>
  <c r="AD857" i="1"/>
  <c r="AC857" i="1"/>
  <c r="AI856" i="1"/>
  <c r="AH856" i="1"/>
  <c r="AG856" i="1"/>
  <c r="AE856" i="1"/>
  <c r="AL856" i="1"/>
  <c r="AJ856" i="1"/>
  <c r="AM856" i="1" s="1"/>
  <c r="AF856" i="1"/>
  <c r="AD856" i="1"/>
  <c r="AC856" i="1"/>
  <c r="AG855" i="1"/>
  <c r="AI855" i="1"/>
  <c r="AH855" i="1"/>
  <c r="AF855" i="1"/>
  <c r="AE855" i="1"/>
  <c r="AD855" i="1"/>
  <c r="AC855" i="1"/>
  <c r="AJ855" i="1"/>
  <c r="AL855" i="1"/>
  <c r="AG854" i="1"/>
  <c r="AI854" i="1"/>
  <c r="AH854" i="1"/>
  <c r="AF854" i="1"/>
  <c r="AC854" i="1"/>
  <c r="AD854" i="1"/>
  <c r="AL854" i="1"/>
  <c r="AJ854" i="1"/>
  <c r="AM854" i="1" s="1"/>
  <c r="AE854" i="1"/>
  <c r="AG853" i="1"/>
  <c r="AH853" i="1"/>
  <c r="AI853" i="1"/>
  <c r="AD853" i="1"/>
  <c r="AF853" i="1"/>
  <c r="AJ853" i="1"/>
  <c r="AL853" i="1"/>
  <c r="AE853" i="1"/>
  <c r="AC853" i="1"/>
  <c r="AH852" i="1"/>
  <c r="AG852" i="1"/>
  <c r="AI852" i="1"/>
  <c r="AE852" i="1"/>
  <c r="AF852" i="1"/>
  <c r="AL852" i="1"/>
  <c r="AJ852" i="1"/>
  <c r="AM852" i="1" s="1"/>
  <c r="AC852" i="1"/>
  <c r="AD852" i="1"/>
  <c r="AG851" i="1"/>
  <c r="AH851" i="1"/>
  <c r="AI851" i="1"/>
  <c r="AE851" i="1"/>
  <c r="AF851" i="1"/>
  <c r="AJ851" i="1"/>
  <c r="AD851" i="1"/>
  <c r="AC851" i="1"/>
  <c r="AL851" i="1"/>
  <c r="AG850" i="1"/>
  <c r="AH850" i="1"/>
  <c r="AI850" i="1"/>
  <c r="AC850" i="1"/>
  <c r="AE850" i="1"/>
  <c r="AF850" i="1"/>
  <c r="AJ850" i="1"/>
  <c r="AL850" i="1"/>
  <c r="AD850" i="1"/>
  <c r="AI849" i="1"/>
  <c r="AG849" i="1"/>
  <c r="AH849" i="1"/>
  <c r="AJ849" i="1"/>
  <c r="AC849" i="1"/>
  <c r="AD849" i="1"/>
  <c r="AE849" i="1"/>
  <c r="AF849" i="1"/>
  <c r="AL849" i="1"/>
  <c r="AG848" i="1"/>
  <c r="AH848" i="1"/>
  <c r="AI848" i="1"/>
  <c r="AD848" i="1"/>
  <c r="AC848" i="1"/>
  <c r="AE848" i="1"/>
  <c r="AF848" i="1"/>
  <c r="AJ848" i="1"/>
  <c r="AL848" i="1"/>
  <c r="AI847" i="1"/>
  <c r="AH847" i="1"/>
  <c r="AG847" i="1"/>
  <c r="AC847" i="1"/>
  <c r="AJ847" i="1"/>
  <c r="AF847" i="1"/>
  <c r="AL847" i="1"/>
  <c r="AD847" i="1"/>
  <c r="AE847" i="1"/>
  <c r="AG846" i="1"/>
  <c r="AI846" i="1"/>
  <c r="AH846" i="1"/>
  <c r="AL846" i="1"/>
  <c r="AD846" i="1"/>
  <c r="AC846" i="1"/>
  <c r="AE846" i="1"/>
  <c r="AF846" i="1"/>
  <c r="AJ846" i="1"/>
  <c r="AM846" i="1" s="1"/>
  <c r="AG845" i="1"/>
  <c r="AH845" i="1"/>
  <c r="AI845" i="1"/>
  <c r="AE845" i="1"/>
  <c r="AF845" i="1"/>
  <c r="AJ845" i="1"/>
  <c r="AL845" i="1"/>
  <c r="AD845" i="1"/>
  <c r="AC845" i="1"/>
  <c r="AG844" i="1"/>
  <c r="AH844" i="1"/>
  <c r="AI844" i="1"/>
  <c r="AD844" i="1"/>
  <c r="AC844" i="1"/>
  <c r="AE844" i="1"/>
  <c r="AF844" i="1"/>
  <c r="AL844" i="1"/>
  <c r="AJ844" i="1"/>
  <c r="AM844" i="1" s="1"/>
  <c r="AI843" i="1"/>
  <c r="AH843" i="1"/>
  <c r="AG843" i="1"/>
  <c r="AL843" i="1"/>
  <c r="AJ843" i="1"/>
  <c r="AM843" i="1" s="1"/>
  <c r="AF843" i="1"/>
  <c r="AE843" i="1"/>
  <c r="AD843" i="1"/>
  <c r="AC843" i="1"/>
  <c r="AH842" i="1"/>
  <c r="AG842" i="1"/>
  <c r="AI842" i="1"/>
  <c r="AE842" i="1"/>
  <c r="AF842" i="1"/>
  <c r="AL842" i="1"/>
  <c r="AJ842" i="1"/>
  <c r="AM842" i="1" s="1"/>
  <c r="AC842" i="1"/>
  <c r="AD842" i="1"/>
  <c r="AG841" i="1"/>
  <c r="AH841" i="1"/>
  <c r="AI841" i="1"/>
  <c r="AE841" i="1"/>
  <c r="AF841" i="1"/>
  <c r="AD841" i="1"/>
  <c r="AJ841" i="1"/>
  <c r="AC841" i="1"/>
  <c r="AL841" i="1"/>
  <c r="AG840" i="1"/>
  <c r="AH840" i="1"/>
  <c r="AI840" i="1"/>
  <c r="AJ840" i="1"/>
  <c r="AL840" i="1"/>
  <c r="AC840" i="1"/>
  <c r="AE840" i="1"/>
  <c r="AF840" i="1"/>
  <c r="AD840" i="1"/>
  <c r="AI839" i="1"/>
  <c r="AH839" i="1"/>
  <c r="AG839" i="1"/>
  <c r="AE839" i="1"/>
  <c r="AL839" i="1"/>
  <c r="AJ839" i="1"/>
  <c r="AM839" i="1" s="1"/>
  <c r="AF839" i="1"/>
  <c r="AD839" i="1"/>
  <c r="AC839" i="1"/>
  <c r="AG838" i="1"/>
  <c r="AH838" i="1"/>
  <c r="AI838" i="1"/>
  <c r="AL838" i="1"/>
  <c r="AJ838" i="1"/>
  <c r="AM838" i="1" s="1"/>
  <c r="AF838" i="1"/>
  <c r="AE838" i="1"/>
  <c r="AD838" i="1"/>
  <c r="AC838" i="1"/>
  <c r="AI837" i="1"/>
  <c r="AH837" i="1"/>
  <c r="AG837" i="1"/>
  <c r="AD837" i="1"/>
  <c r="AL837" i="1"/>
  <c r="AJ837" i="1"/>
  <c r="AM837" i="1" s="1"/>
  <c r="AF837" i="1"/>
  <c r="AE837" i="1"/>
  <c r="AC837" i="1"/>
  <c r="AI836" i="1"/>
  <c r="AH836" i="1"/>
  <c r="AG836" i="1"/>
  <c r="AL836" i="1"/>
  <c r="AJ836" i="1"/>
  <c r="AM836" i="1" s="1"/>
  <c r="AF836" i="1"/>
  <c r="AE836" i="1"/>
  <c r="AC836" i="1"/>
  <c r="AD836" i="1"/>
  <c r="AG835" i="1"/>
  <c r="AI835" i="1"/>
  <c r="AH835" i="1"/>
  <c r="AF835" i="1"/>
  <c r="AE835" i="1"/>
  <c r="AD835" i="1"/>
  <c r="AC835" i="1"/>
  <c r="AL835" i="1"/>
  <c r="AJ835" i="1"/>
  <c r="AM835" i="1" s="1"/>
  <c r="AI834" i="1"/>
  <c r="AH834" i="1"/>
  <c r="AG834" i="1"/>
  <c r="AE834" i="1"/>
  <c r="AJ834" i="1"/>
  <c r="AL834" i="1"/>
  <c r="AD834" i="1"/>
  <c r="AF834" i="1"/>
  <c r="AC834" i="1"/>
  <c r="AG833" i="1"/>
  <c r="AH833" i="1"/>
  <c r="AI833" i="1"/>
  <c r="AL833" i="1"/>
  <c r="AF833" i="1"/>
  <c r="AE833" i="1"/>
  <c r="AD833" i="1"/>
  <c r="AJ833" i="1"/>
  <c r="AM833" i="1" s="1"/>
  <c r="AC833" i="1"/>
  <c r="AI832" i="1"/>
  <c r="AH832" i="1"/>
  <c r="AG832" i="1"/>
  <c r="AL832" i="1"/>
  <c r="AF832" i="1"/>
  <c r="AE832" i="1"/>
  <c r="AD832" i="1"/>
  <c r="AC832" i="1"/>
  <c r="AJ832" i="1"/>
  <c r="AM832" i="1" s="1"/>
  <c r="AG831" i="1"/>
  <c r="AI831" i="1"/>
  <c r="AH831" i="1"/>
  <c r="AE831" i="1"/>
  <c r="AL831" i="1"/>
  <c r="AJ831" i="1"/>
  <c r="AM831" i="1" s="1"/>
  <c r="AF831" i="1"/>
  <c r="AD831" i="1"/>
  <c r="AC831" i="1"/>
  <c r="AG830" i="1"/>
  <c r="AH830" i="1"/>
  <c r="AI830" i="1"/>
  <c r="AF830" i="1"/>
  <c r="AE830" i="1"/>
  <c r="AC830" i="1"/>
  <c r="AD830" i="1"/>
  <c r="AL830" i="1"/>
  <c r="AJ830" i="1"/>
  <c r="AM830" i="1" s="1"/>
  <c r="AI829" i="1"/>
  <c r="AH829" i="1"/>
  <c r="AG829" i="1"/>
  <c r="AL829" i="1"/>
  <c r="AJ829" i="1"/>
  <c r="AF829" i="1"/>
  <c r="AE829" i="1"/>
  <c r="AC829" i="1"/>
  <c r="AD829" i="1"/>
  <c r="AI828" i="1"/>
  <c r="AG828" i="1"/>
  <c r="AH828" i="1"/>
  <c r="AL828" i="1"/>
  <c r="AJ828" i="1"/>
  <c r="AM828" i="1" s="1"/>
  <c r="AC828" i="1"/>
  <c r="AD828" i="1"/>
  <c r="AE828" i="1"/>
  <c r="AF828" i="1"/>
  <c r="AG827" i="1"/>
  <c r="AH827" i="1"/>
  <c r="AI827" i="1"/>
  <c r="AC827" i="1"/>
  <c r="AD827" i="1"/>
  <c r="AE827" i="1"/>
  <c r="AF827" i="1"/>
  <c r="AJ827" i="1"/>
  <c r="AL827" i="1"/>
  <c r="AG826" i="1"/>
  <c r="AI826" i="1"/>
  <c r="AH826" i="1"/>
  <c r="AF826" i="1"/>
  <c r="AE826" i="1"/>
  <c r="AD826" i="1"/>
  <c r="AC826" i="1"/>
  <c r="AJ826" i="1"/>
  <c r="AL826" i="1"/>
  <c r="AG825" i="1"/>
  <c r="AI825" i="1"/>
  <c r="AH825" i="1"/>
  <c r="AF825" i="1"/>
  <c r="AE825" i="1"/>
  <c r="AD825" i="1"/>
  <c r="AC825" i="1"/>
  <c r="AL825" i="1"/>
  <c r="AJ825" i="1"/>
  <c r="AM825" i="1" s="1"/>
  <c r="AG824" i="1"/>
  <c r="AI824" i="1"/>
  <c r="AH824" i="1"/>
  <c r="AE824" i="1"/>
  <c r="AC824" i="1"/>
  <c r="AD824" i="1"/>
  <c r="AF824" i="1"/>
  <c r="AJ824" i="1"/>
  <c r="AL824" i="1"/>
  <c r="AH823" i="1"/>
  <c r="AI823" i="1"/>
  <c r="AG823" i="1"/>
  <c r="AL823" i="1"/>
  <c r="AJ823" i="1"/>
  <c r="AM823" i="1" s="1"/>
  <c r="AF823" i="1"/>
  <c r="AE823" i="1"/>
  <c r="AD823" i="1"/>
  <c r="AC823" i="1"/>
  <c r="AG822" i="1"/>
  <c r="AH822" i="1"/>
  <c r="AI822" i="1"/>
  <c r="AF822" i="1"/>
  <c r="AJ822" i="1"/>
  <c r="AC822" i="1"/>
  <c r="AE822" i="1"/>
  <c r="AD822" i="1"/>
  <c r="AL822" i="1"/>
  <c r="AI821" i="1"/>
  <c r="AG821" i="1"/>
  <c r="AH821" i="1"/>
  <c r="AE821" i="1"/>
  <c r="AL821" i="1"/>
  <c r="AD821" i="1"/>
  <c r="AF821" i="1"/>
  <c r="AJ821" i="1"/>
  <c r="AM821" i="1" s="1"/>
  <c r="AC821" i="1"/>
  <c r="AI820" i="1"/>
  <c r="AH820" i="1"/>
  <c r="AG820" i="1"/>
  <c r="AL820" i="1"/>
  <c r="AJ820" i="1"/>
  <c r="AF820" i="1"/>
  <c r="AE820" i="1"/>
  <c r="AD820" i="1"/>
  <c r="AC820" i="1"/>
  <c r="AI819" i="1"/>
  <c r="AH819" i="1"/>
  <c r="AG819" i="1"/>
  <c r="AE819" i="1"/>
  <c r="AD819" i="1"/>
  <c r="AC819" i="1"/>
  <c r="AL819" i="1"/>
  <c r="AJ819" i="1"/>
  <c r="AM819" i="1" s="1"/>
  <c r="AF819" i="1"/>
  <c r="AG818" i="1"/>
  <c r="AH818" i="1"/>
  <c r="AI818" i="1"/>
  <c r="AF818" i="1"/>
  <c r="AC818" i="1"/>
  <c r="AJ818" i="1"/>
  <c r="AL818" i="1"/>
  <c r="AE818" i="1"/>
  <c r="AD818" i="1"/>
  <c r="AI817" i="1"/>
  <c r="AH817" i="1"/>
  <c r="AG817" i="1"/>
  <c r="AL817" i="1"/>
  <c r="AJ817" i="1"/>
  <c r="AM817" i="1" s="1"/>
  <c r="AF817" i="1"/>
  <c r="AE817" i="1"/>
  <c r="AD817" i="1"/>
  <c r="AC817" i="1"/>
  <c r="AI816" i="1"/>
  <c r="AH816" i="1"/>
  <c r="AG816" i="1"/>
  <c r="AC816" i="1"/>
  <c r="AE816" i="1"/>
  <c r="AD816" i="1"/>
  <c r="AJ816" i="1"/>
  <c r="AF816" i="1"/>
  <c r="AL816" i="1"/>
  <c r="AG815" i="1"/>
  <c r="AH815" i="1"/>
  <c r="AI815" i="1"/>
  <c r="AF815" i="1"/>
  <c r="AL815" i="1"/>
  <c r="AJ815" i="1"/>
  <c r="AM815" i="1" s="1"/>
  <c r="AC815" i="1"/>
  <c r="AD815" i="1"/>
  <c r="AE815" i="1"/>
  <c r="AH814" i="1"/>
  <c r="AG814" i="1"/>
  <c r="AI814" i="1"/>
  <c r="AF814" i="1"/>
  <c r="AE814" i="1"/>
  <c r="AD814" i="1"/>
  <c r="AC814" i="1"/>
  <c r="AJ814" i="1"/>
  <c r="AL814" i="1"/>
  <c r="AH813" i="1"/>
  <c r="AG813" i="1"/>
  <c r="AI813" i="1"/>
  <c r="AL813" i="1"/>
  <c r="AJ813" i="1"/>
  <c r="AM813" i="1" s="1"/>
  <c r="AF813" i="1"/>
  <c r="AE813" i="1"/>
  <c r="AD813" i="1"/>
  <c r="AC813" i="1"/>
  <c r="AI812" i="1"/>
  <c r="AH812" i="1"/>
  <c r="AG812" i="1"/>
  <c r="AF812" i="1"/>
  <c r="AE812" i="1"/>
  <c r="AD812" i="1"/>
  <c r="AL812" i="1"/>
  <c r="AJ812" i="1"/>
  <c r="AM812" i="1" s="1"/>
  <c r="AC812" i="1"/>
  <c r="AI811" i="1"/>
  <c r="AH811" i="1"/>
  <c r="AG811" i="1"/>
  <c r="AC811" i="1"/>
  <c r="AD811" i="1"/>
  <c r="AE811" i="1"/>
  <c r="AF811" i="1"/>
  <c r="AJ811" i="1"/>
  <c r="AL811" i="1"/>
  <c r="AH810" i="1"/>
  <c r="AI810" i="1"/>
  <c r="AG810" i="1"/>
  <c r="AE810" i="1"/>
  <c r="AC810" i="1"/>
  <c r="AD810" i="1"/>
  <c r="AL810" i="1"/>
  <c r="AJ810" i="1"/>
  <c r="AM810" i="1" s="1"/>
  <c r="AF810" i="1"/>
  <c r="AG809" i="1"/>
  <c r="AI809" i="1"/>
  <c r="AH809" i="1"/>
  <c r="AF809" i="1"/>
  <c r="AE809" i="1"/>
  <c r="AD809" i="1"/>
  <c r="AC809" i="1"/>
  <c r="AJ809" i="1"/>
  <c r="AL809" i="1"/>
  <c r="AG808" i="1"/>
  <c r="AH808" i="1"/>
  <c r="AI808" i="1"/>
  <c r="AF808" i="1"/>
  <c r="AD808" i="1"/>
  <c r="AC808" i="1"/>
  <c r="AL808" i="1"/>
  <c r="AE808" i="1"/>
  <c r="AJ808" i="1"/>
  <c r="AM808" i="1" s="1"/>
  <c r="AG807" i="1"/>
  <c r="AH807" i="1"/>
  <c r="AI807" i="1"/>
  <c r="AL807" i="1"/>
  <c r="AC807" i="1"/>
  <c r="AD807" i="1"/>
  <c r="AE807" i="1"/>
  <c r="AF807" i="1"/>
  <c r="AJ807" i="1"/>
  <c r="AM807" i="1" s="1"/>
  <c r="AH806" i="1"/>
  <c r="AG806" i="1"/>
  <c r="AI806" i="1"/>
  <c r="AL806" i="1"/>
  <c r="AJ806" i="1"/>
  <c r="AM806" i="1" s="1"/>
  <c r="AF806" i="1"/>
  <c r="AE806" i="1"/>
  <c r="AC806" i="1"/>
  <c r="AD806" i="1"/>
  <c r="AG805" i="1"/>
  <c r="AH805" i="1"/>
  <c r="AI805" i="1"/>
  <c r="AF805" i="1"/>
  <c r="AE805" i="1"/>
  <c r="AJ805" i="1"/>
  <c r="AC805" i="1"/>
  <c r="AL805" i="1"/>
  <c r="AD805" i="1"/>
  <c r="AG804" i="1"/>
  <c r="AH804" i="1"/>
  <c r="AI804" i="1"/>
  <c r="AF804" i="1"/>
  <c r="AE804" i="1"/>
  <c r="AL804" i="1"/>
  <c r="AJ804" i="1"/>
  <c r="AM804" i="1" s="1"/>
  <c r="AD804" i="1"/>
  <c r="AC804" i="1"/>
  <c r="AG803" i="1"/>
  <c r="AH803" i="1"/>
  <c r="AI803" i="1"/>
  <c r="AC803" i="1"/>
  <c r="AD803" i="1"/>
  <c r="AE803" i="1"/>
  <c r="AF803" i="1"/>
  <c r="AJ803" i="1"/>
  <c r="AL803" i="1"/>
  <c r="AH802" i="1"/>
  <c r="AG802" i="1"/>
  <c r="AI802" i="1"/>
  <c r="AL802" i="1"/>
  <c r="AF802" i="1"/>
  <c r="AE802" i="1"/>
  <c r="AD802" i="1"/>
  <c r="AC802" i="1"/>
  <c r="AJ802" i="1"/>
  <c r="AM802" i="1" s="1"/>
  <c r="AG801" i="1"/>
  <c r="AH801" i="1"/>
  <c r="AI801" i="1"/>
  <c r="AC801" i="1"/>
  <c r="AD801" i="1"/>
  <c r="AE801" i="1"/>
  <c r="AJ801" i="1"/>
  <c r="AL801" i="1"/>
  <c r="AF801" i="1"/>
  <c r="AG800" i="1"/>
  <c r="AH800" i="1"/>
  <c r="AI800" i="1"/>
  <c r="AE800" i="1"/>
  <c r="AF800" i="1"/>
  <c r="AL800" i="1"/>
  <c r="AD800" i="1"/>
  <c r="AJ800" i="1"/>
  <c r="AM800" i="1" s="1"/>
  <c r="AC800" i="1"/>
  <c r="AG799" i="1"/>
  <c r="AI799" i="1"/>
  <c r="AH799" i="1"/>
  <c r="AF799" i="1"/>
  <c r="AE799" i="1"/>
  <c r="AD799" i="1"/>
  <c r="AC799" i="1"/>
  <c r="AL799" i="1"/>
  <c r="AJ799" i="1"/>
  <c r="AM799" i="1" s="1"/>
  <c r="AI798" i="1"/>
  <c r="AH798" i="1"/>
  <c r="AG798" i="1"/>
  <c r="AE798" i="1"/>
  <c r="AJ798" i="1"/>
  <c r="AL798" i="1"/>
  <c r="AF798" i="1"/>
  <c r="AC798" i="1"/>
  <c r="AD798" i="1"/>
  <c r="AG797" i="1"/>
  <c r="AH797" i="1"/>
  <c r="AI797" i="1"/>
  <c r="AL797" i="1"/>
  <c r="AC797" i="1"/>
  <c r="AD797" i="1"/>
  <c r="AE797" i="1"/>
  <c r="AF797" i="1"/>
  <c r="AJ797" i="1"/>
  <c r="AM797" i="1" s="1"/>
  <c r="AG796" i="1"/>
  <c r="AI796" i="1"/>
  <c r="AH796" i="1"/>
  <c r="AF796" i="1"/>
  <c r="AE796" i="1"/>
  <c r="AD796" i="1"/>
  <c r="AJ796" i="1"/>
  <c r="AC796" i="1"/>
  <c r="AL796" i="1"/>
  <c r="AI795" i="1"/>
  <c r="AG795" i="1"/>
  <c r="AH795" i="1"/>
  <c r="AE795" i="1"/>
  <c r="AD795" i="1"/>
  <c r="AC795" i="1"/>
  <c r="AL795" i="1"/>
  <c r="AJ795" i="1"/>
  <c r="AM795" i="1" s="1"/>
  <c r="AF795" i="1"/>
  <c r="AI794" i="1"/>
  <c r="AH794" i="1"/>
  <c r="AG794" i="1"/>
  <c r="AL794" i="1"/>
  <c r="AJ794" i="1"/>
  <c r="AM794" i="1" s="1"/>
  <c r="AF794" i="1"/>
  <c r="AE794" i="1"/>
  <c r="AC794" i="1"/>
  <c r="AD794" i="1"/>
  <c r="AI793" i="1"/>
  <c r="AH793" i="1"/>
  <c r="AG793" i="1"/>
  <c r="AL793" i="1"/>
  <c r="AJ793" i="1"/>
  <c r="AM793" i="1" s="1"/>
  <c r="AF793" i="1"/>
  <c r="AE793" i="1"/>
  <c r="AD793" i="1"/>
  <c r="AC793" i="1"/>
  <c r="AG792" i="1"/>
  <c r="AH792" i="1"/>
  <c r="AI792" i="1"/>
  <c r="AL792" i="1"/>
  <c r="AJ792" i="1"/>
  <c r="AM792" i="1" s="1"/>
  <c r="AF792" i="1"/>
  <c r="AE792" i="1"/>
  <c r="AD792" i="1"/>
  <c r="AC792" i="1"/>
  <c r="AI791" i="1"/>
  <c r="AH791" i="1"/>
  <c r="AG791" i="1"/>
  <c r="AL791" i="1"/>
  <c r="AC791" i="1"/>
  <c r="AD791" i="1"/>
  <c r="AE791" i="1"/>
  <c r="AJ791" i="1"/>
  <c r="AM791" i="1" s="1"/>
  <c r="AF791" i="1"/>
  <c r="AI790" i="1"/>
  <c r="AG790" i="1"/>
  <c r="AH790" i="1"/>
  <c r="AJ790" i="1"/>
  <c r="AD790" i="1"/>
  <c r="AE790" i="1"/>
  <c r="AF790" i="1"/>
  <c r="AC790" i="1"/>
  <c r="AL790" i="1"/>
  <c r="AI789" i="1"/>
  <c r="AH789" i="1"/>
  <c r="AG789" i="1"/>
  <c r="AE789" i="1"/>
  <c r="AF789" i="1"/>
  <c r="AD789" i="1"/>
  <c r="AJ789" i="1"/>
  <c r="AL789" i="1"/>
  <c r="AC789" i="1"/>
  <c r="AI788" i="1"/>
  <c r="AH788" i="1"/>
  <c r="AG788" i="1"/>
  <c r="AD788" i="1"/>
  <c r="AE788" i="1"/>
  <c r="AJ788" i="1"/>
  <c r="AL788" i="1"/>
  <c r="AF788" i="1"/>
  <c r="AC788" i="1"/>
  <c r="AI787" i="1"/>
  <c r="AH787" i="1"/>
  <c r="AG787" i="1"/>
  <c r="AL787" i="1"/>
  <c r="AJ787" i="1"/>
  <c r="AM787" i="1" s="1"/>
  <c r="AC787" i="1"/>
  <c r="AF787" i="1"/>
  <c r="AE787" i="1"/>
  <c r="AD787" i="1"/>
  <c r="AG786" i="1"/>
  <c r="AI786" i="1"/>
  <c r="AH786" i="1"/>
  <c r="AE786" i="1"/>
  <c r="AF786" i="1"/>
  <c r="AL786" i="1"/>
  <c r="AJ786" i="1"/>
  <c r="AM786" i="1" s="1"/>
  <c r="AD786" i="1"/>
  <c r="AC786" i="1"/>
  <c r="AI785" i="1"/>
  <c r="AH785" i="1"/>
  <c r="AG785" i="1"/>
  <c r="AJ785" i="1"/>
  <c r="AL785" i="1"/>
  <c r="AF785" i="1"/>
  <c r="AE785" i="1"/>
  <c r="AD785" i="1"/>
  <c r="AC785" i="1"/>
  <c r="AI784" i="1"/>
  <c r="AH784" i="1"/>
  <c r="AG784" i="1"/>
  <c r="AL784" i="1"/>
  <c r="AJ784" i="1"/>
  <c r="AM784" i="1" s="1"/>
  <c r="AD784" i="1"/>
  <c r="AE784" i="1"/>
  <c r="AC784" i="1"/>
  <c r="AF784" i="1"/>
  <c r="AG783" i="1"/>
  <c r="AH783" i="1"/>
  <c r="AI783" i="1"/>
  <c r="AL783" i="1"/>
  <c r="AD783" i="1"/>
  <c r="AC783" i="1"/>
  <c r="AE783" i="1"/>
  <c r="AF783" i="1"/>
  <c r="AJ783" i="1"/>
  <c r="AM783" i="1" s="1"/>
  <c r="AG782" i="1"/>
  <c r="AH782" i="1"/>
  <c r="AI782" i="1"/>
  <c r="AC782" i="1"/>
  <c r="AD782" i="1"/>
  <c r="AF782" i="1"/>
  <c r="AE782" i="1"/>
  <c r="AL782" i="1"/>
  <c r="AJ782" i="1"/>
  <c r="AM782" i="1" s="1"/>
  <c r="AG781" i="1"/>
  <c r="AH781" i="1"/>
  <c r="AI781" i="1"/>
  <c r="AJ781" i="1"/>
  <c r="AL781" i="1"/>
  <c r="AF781" i="1"/>
  <c r="AE781" i="1"/>
  <c r="AD781" i="1"/>
  <c r="AC781" i="1"/>
  <c r="AH780" i="1"/>
  <c r="AG780" i="1"/>
  <c r="AI780" i="1"/>
  <c r="AE780" i="1"/>
  <c r="AD780" i="1"/>
  <c r="AC780" i="1"/>
  <c r="AL780" i="1"/>
  <c r="AF780" i="1"/>
  <c r="AJ780" i="1"/>
  <c r="AM780" i="1" s="1"/>
  <c r="AG779" i="1"/>
  <c r="AH779" i="1"/>
  <c r="AI779" i="1"/>
  <c r="AF779" i="1"/>
  <c r="AE779" i="1"/>
  <c r="AC779" i="1"/>
  <c r="AD779" i="1"/>
  <c r="AL779" i="1"/>
  <c r="AJ779" i="1"/>
  <c r="AI778" i="1"/>
  <c r="AH778" i="1"/>
  <c r="AG778" i="1"/>
  <c r="AD778" i="1"/>
  <c r="AC778" i="1"/>
  <c r="AL778" i="1"/>
  <c r="AJ778" i="1"/>
  <c r="AM778" i="1" s="1"/>
  <c r="AE778" i="1"/>
  <c r="AF778" i="1"/>
  <c r="AG777" i="1"/>
  <c r="AH777" i="1"/>
  <c r="AI777" i="1"/>
  <c r="AC777" i="1"/>
  <c r="AD777" i="1"/>
  <c r="AE777" i="1"/>
  <c r="AF777" i="1"/>
  <c r="AJ777" i="1"/>
  <c r="AL777" i="1"/>
  <c r="AG776" i="1"/>
  <c r="AH776" i="1"/>
  <c r="AI776" i="1"/>
  <c r="AC776" i="1"/>
  <c r="AD776" i="1"/>
  <c r="AE776" i="1"/>
  <c r="AF776" i="1"/>
  <c r="AJ776" i="1"/>
  <c r="AL776" i="1"/>
  <c r="AI775" i="1"/>
  <c r="AG775" i="1"/>
  <c r="AH775" i="1"/>
  <c r="AC775" i="1"/>
  <c r="AL775" i="1"/>
  <c r="AJ775" i="1"/>
  <c r="AM775" i="1" s="1"/>
  <c r="AF775" i="1"/>
  <c r="AE775" i="1"/>
  <c r="AD775" i="1"/>
  <c r="AG774" i="1"/>
  <c r="AI774" i="1"/>
  <c r="AH774" i="1"/>
  <c r="AJ774" i="1"/>
  <c r="AL774" i="1"/>
  <c r="AF774" i="1"/>
  <c r="AE774" i="1"/>
  <c r="AD774" i="1"/>
  <c r="AC774" i="1"/>
  <c r="AI773" i="1"/>
  <c r="AH773" i="1"/>
  <c r="AG773" i="1"/>
  <c r="AD773" i="1"/>
  <c r="AC773" i="1"/>
  <c r="AJ773" i="1"/>
  <c r="AL773" i="1"/>
  <c r="AF773" i="1"/>
  <c r="AE773" i="1"/>
  <c r="AI772" i="1"/>
  <c r="AH772" i="1"/>
  <c r="AG772" i="1"/>
  <c r="AL772" i="1"/>
  <c r="AF772" i="1"/>
  <c r="AC772" i="1"/>
  <c r="AD772" i="1"/>
  <c r="AE772" i="1"/>
  <c r="AJ772" i="1"/>
  <c r="AM772" i="1" s="1"/>
  <c r="AG771" i="1"/>
  <c r="AH771" i="1"/>
  <c r="AI771" i="1"/>
  <c r="AD771" i="1"/>
  <c r="AL771" i="1"/>
  <c r="AF771" i="1"/>
  <c r="AE771" i="1"/>
  <c r="AC771" i="1"/>
  <c r="AJ771" i="1"/>
  <c r="AM771" i="1" s="1"/>
  <c r="AI770" i="1"/>
  <c r="AG770" i="1"/>
  <c r="AH770" i="1"/>
  <c r="AE770" i="1"/>
  <c r="AD770" i="1"/>
  <c r="AC770" i="1"/>
  <c r="AL770" i="1"/>
  <c r="AJ770" i="1"/>
  <c r="AF770" i="1"/>
  <c r="AI769" i="1"/>
  <c r="AH769" i="1"/>
  <c r="AG769" i="1"/>
  <c r="AL769" i="1"/>
  <c r="AJ769" i="1"/>
  <c r="AM769" i="1" s="1"/>
  <c r="AC769" i="1"/>
  <c r="AD769" i="1"/>
  <c r="AE769" i="1"/>
  <c r="AF769" i="1"/>
  <c r="AG768" i="1"/>
  <c r="AH768" i="1"/>
  <c r="AI768" i="1"/>
  <c r="AE768" i="1"/>
  <c r="AD768" i="1"/>
  <c r="AC768" i="1"/>
  <c r="AL768" i="1"/>
  <c r="AF768" i="1"/>
  <c r="AJ768" i="1"/>
  <c r="AM768" i="1" s="1"/>
  <c r="AI767" i="1"/>
  <c r="AH767" i="1"/>
  <c r="AG767" i="1"/>
  <c r="AJ767" i="1"/>
  <c r="AL767" i="1"/>
  <c r="AF767" i="1"/>
  <c r="AE767" i="1"/>
  <c r="AD767" i="1"/>
  <c r="AC767" i="1"/>
  <c r="AH766" i="1"/>
  <c r="AI766" i="1"/>
  <c r="AG766" i="1"/>
  <c r="AE766" i="1"/>
  <c r="AL766" i="1"/>
  <c r="AJ766" i="1"/>
  <c r="AM766" i="1" s="1"/>
  <c r="AF766" i="1"/>
  <c r="AD766" i="1"/>
  <c r="AC766" i="1"/>
  <c r="AI765" i="1"/>
  <c r="AG765" i="1"/>
  <c r="AH765" i="1"/>
  <c r="AJ765" i="1"/>
  <c r="AC765" i="1"/>
  <c r="AL765" i="1"/>
  <c r="AD765" i="1"/>
  <c r="AE765" i="1"/>
  <c r="AF765" i="1"/>
  <c r="AI764" i="1"/>
  <c r="AH764" i="1"/>
  <c r="AG764" i="1"/>
  <c r="AF764" i="1"/>
  <c r="AJ764" i="1"/>
  <c r="AL764" i="1"/>
  <c r="AE764" i="1"/>
  <c r="AD764" i="1"/>
  <c r="AC764" i="1"/>
  <c r="AG763" i="1"/>
  <c r="AH763" i="1"/>
  <c r="AI763" i="1"/>
  <c r="AF763" i="1"/>
  <c r="AD763" i="1"/>
  <c r="AE763" i="1"/>
  <c r="AC763" i="1"/>
  <c r="AJ763" i="1"/>
  <c r="AL763" i="1"/>
  <c r="AI762" i="1"/>
  <c r="AH762" i="1"/>
  <c r="AG762" i="1"/>
  <c r="AC762" i="1"/>
  <c r="AD762" i="1"/>
  <c r="AE762" i="1"/>
  <c r="AF762" i="1"/>
  <c r="AJ762" i="1"/>
  <c r="AL762" i="1"/>
  <c r="AH761" i="1"/>
  <c r="AI761" i="1"/>
  <c r="AG761" i="1"/>
  <c r="AE761" i="1"/>
  <c r="AF761" i="1"/>
  <c r="AJ761" i="1"/>
  <c r="AL761" i="1"/>
  <c r="AD761" i="1"/>
  <c r="AC761" i="1"/>
  <c r="AG760" i="1"/>
  <c r="AH760" i="1"/>
  <c r="AI760" i="1"/>
  <c r="AE760" i="1"/>
  <c r="AF760" i="1"/>
  <c r="AL760" i="1"/>
  <c r="AD760" i="1"/>
  <c r="AJ760" i="1"/>
  <c r="AM760" i="1" s="1"/>
  <c r="AC760" i="1"/>
  <c r="AH759" i="1"/>
  <c r="AG759" i="1"/>
  <c r="AI759" i="1"/>
  <c r="AF759" i="1"/>
  <c r="AE759" i="1"/>
  <c r="AD759" i="1"/>
  <c r="AC759" i="1"/>
  <c r="AJ759" i="1"/>
  <c r="AL759" i="1"/>
  <c r="AG758" i="1"/>
  <c r="AH758" i="1"/>
  <c r="AI758" i="1"/>
  <c r="AL758" i="1"/>
  <c r="AJ758" i="1"/>
  <c r="AF758" i="1"/>
  <c r="AE758" i="1"/>
  <c r="AD758" i="1"/>
  <c r="AC758" i="1"/>
  <c r="AI757" i="1"/>
  <c r="AH757" i="1"/>
  <c r="AG757" i="1"/>
  <c r="AL757" i="1"/>
  <c r="AJ757" i="1"/>
  <c r="AM757" i="1" s="1"/>
  <c r="AF757" i="1"/>
  <c r="AD757" i="1"/>
  <c r="AE757" i="1"/>
  <c r="AC757" i="1"/>
  <c r="AH756" i="1"/>
  <c r="AI756" i="1"/>
  <c r="AG756" i="1"/>
  <c r="AD756" i="1"/>
  <c r="AC756" i="1"/>
  <c r="AL756" i="1"/>
  <c r="AJ756" i="1"/>
  <c r="AF756" i="1"/>
  <c r="AE756" i="1"/>
  <c r="AI755" i="1"/>
  <c r="AG755" i="1"/>
  <c r="AH755" i="1"/>
  <c r="AL755" i="1"/>
  <c r="AF755" i="1"/>
  <c r="AE755" i="1"/>
  <c r="AC755" i="1"/>
  <c r="AD755" i="1"/>
  <c r="AJ755" i="1"/>
  <c r="AM755" i="1" s="1"/>
  <c r="AI754" i="1"/>
  <c r="AH754" i="1"/>
  <c r="AG754" i="1"/>
  <c r="AF754" i="1"/>
  <c r="AL754" i="1"/>
  <c r="AJ754" i="1"/>
  <c r="AD754" i="1"/>
  <c r="AC754" i="1"/>
  <c r="AE754" i="1"/>
  <c r="AG753" i="1"/>
  <c r="AI753" i="1"/>
  <c r="AH753" i="1"/>
  <c r="AD753" i="1"/>
  <c r="AC753" i="1"/>
  <c r="AL753" i="1"/>
  <c r="AF753" i="1"/>
  <c r="AE753" i="1"/>
  <c r="AJ753" i="1"/>
  <c r="AM753" i="1" s="1"/>
  <c r="AH752" i="1"/>
  <c r="AI752" i="1"/>
  <c r="AG752" i="1"/>
  <c r="AD752" i="1"/>
  <c r="AC752" i="1"/>
  <c r="AE752" i="1"/>
  <c r="AJ752" i="1"/>
  <c r="AL752" i="1"/>
  <c r="AF752" i="1"/>
  <c r="AG751" i="1"/>
  <c r="AH751" i="1"/>
  <c r="AI751" i="1"/>
  <c r="AD751" i="1"/>
  <c r="AF751" i="1"/>
  <c r="AL751" i="1"/>
  <c r="AE751" i="1"/>
  <c r="AJ751" i="1"/>
  <c r="AM751" i="1" s="1"/>
  <c r="AC751" i="1"/>
  <c r="AI750" i="1"/>
  <c r="AG750" i="1"/>
  <c r="AH750" i="1"/>
  <c r="AL750" i="1"/>
  <c r="AE750" i="1"/>
  <c r="AJ750" i="1"/>
  <c r="AM750" i="1" s="1"/>
  <c r="AC750" i="1"/>
  <c r="AF750" i="1"/>
  <c r="AD750" i="1"/>
  <c r="AH749" i="1"/>
  <c r="AI749" i="1"/>
  <c r="AG749" i="1"/>
  <c r="AD749" i="1"/>
  <c r="AL749" i="1"/>
  <c r="AF749" i="1"/>
  <c r="AC749" i="1"/>
  <c r="AJ749" i="1"/>
  <c r="AM749" i="1" s="1"/>
  <c r="AE749" i="1"/>
  <c r="AG748" i="1"/>
  <c r="AH748" i="1"/>
  <c r="AI748" i="1"/>
  <c r="AJ748" i="1"/>
  <c r="AE748" i="1"/>
  <c r="AL748" i="1"/>
  <c r="AC748" i="1"/>
  <c r="AF748" i="1"/>
  <c r="AD748" i="1"/>
  <c r="AH747" i="1"/>
  <c r="AG747" i="1"/>
  <c r="AI747" i="1"/>
  <c r="AD747" i="1"/>
  <c r="AJ747" i="1"/>
  <c r="AE747" i="1"/>
  <c r="AC747" i="1"/>
  <c r="AF747" i="1"/>
  <c r="AL747" i="1"/>
  <c r="AI746" i="1"/>
  <c r="AH746" i="1"/>
  <c r="AG746" i="1"/>
  <c r="AL746" i="1"/>
  <c r="AF746" i="1"/>
  <c r="AD746" i="1"/>
  <c r="AJ746" i="1"/>
  <c r="AM746" i="1" s="1"/>
  <c r="AC746" i="1"/>
  <c r="AE746" i="1"/>
  <c r="AI745" i="1"/>
  <c r="AG745" i="1"/>
  <c r="AH745" i="1"/>
  <c r="AJ745" i="1"/>
  <c r="AE745" i="1"/>
  <c r="AC745" i="1"/>
  <c r="AL745" i="1"/>
  <c r="AD745" i="1"/>
  <c r="AF745" i="1"/>
  <c r="AG744" i="1"/>
  <c r="AI744" i="1"/>
  <c r="AH744" i="1"/>
  <c r="AL744" i="1"/>
  <c r="AC744" i="1"/>
  <c r="AE744" i="1"/>
  <c r="AF744" i="1"/>
  <c r="AJ744" i="1"/>
  <c r="AM744" i="1" s="1"/>
  <c r="AD744" i="1"/>
  <c r="AI743" i="1"/>
  <c r="AG743" i="1"/>
  <c r="AH743" i="1"/>
  <c r="AE743" i="1"/>
  <c r="AD743" i="1"/>
  <c r="AJ743" i="1"/>
  <c r="AF743" i="1"/>
  <c r="AL743" i="1"/>
  <c r="AC743" i="1"/>
  <c r="AI742" i="1"/>
  <c r="AG742" i="1"/>
  <c r="AH742" i="1"/>
  <c r="AE742" i="1"/>
  <c r="AF742" i="1"/>
  <c r="AC742" i="1"/>
  <c r="AJ742" i="1"/>
  <c r="AL742" i="1"/>
  <c r="AD742" i="1"/>
  <c r="AG741" i="1"/>
  <c r="AI741" i="1"/>
  <c r="AH741" i="1"/>
  <c r="AD741" i="1"/>
  <c r="AE741" i="1"/>
  <c r="AC741" i="1"/>
  <c r="AL741" i="1"/>
  <c r="AF741" i="1"/>
  <c r="AJ741" i="1"/>
  <c r="AM741" i="1" s="1"/>
  <c r="AH740" i="1"/>
  <c r="AI740" i="1"/>
  <c r="AG740" i="1"/>
  <c r="AE740" i="1"/>
  <c r="AJ740" i="1"/>
  <c r="AF740" i="1"/>
  <c r="AD740" i="1"/>
  <c r="AL740" i="1"/>
  <c r="AC740" i="1"/>
  <c r="AG739" i="1"/>
  <c r="AH739" i="1"/>
  <c r="AI739" i="1"/>
  <c r="AL739" i="1"/>
  <c r="AE739" i="1"/>
  <c r="AC739" i="1"/>
  <c r="AJ739" i="1"/>
  <c r="AM739" i="1" s="1"/>
  <c r="AD739" i="1"/>
  <c r="AF739" i="1"/>
  <c r="AG738" i="1"/>
  <c r="AI738" i="1"/>
  <c r="AH738" i="1"/>
  <c r="AF738" i="1"/>
  <c r="AC738" i="1"/>
  <c r="AL738" i="1"/>
  <c r="AE738" i="1"/>
  <c r="AD738" i="1"/>
  <c r="AJ738" i="1"/>
  <c r="AM738" i="1" s="1"/>
  <c r="AI737" i="1"/>
  <c r="AH737" i="1"/>
  <c r="AG737" i="1"/>
  <c r="AL737" i="1"/>
  <c r="AD737" i="1"/>
  <c r="AC737" i="1"/>
  <c r="AE737" i="1"/>
  <c r="AJ737" i="1"/>
  <c r="AM737" i="1" s="1"/>
  <c r="AF737" i="1"/>
  <c r="AG736" i="1"/>
  <c r="AH736" i="1"/>
  <c r="AI736" i="1"/>
  <c r="AL736" i="1"/>
  <c r="AF736" i="1"/>
  <c r="AC736" i="1"/>
  <c r="AD736" i="1"/>
  <c r="AE736" i="1"/>
  <c r="AJ736" i="1"/>
  <c r="AM736" i="1" s="1"/>
  <c r="AI735" i="1"/>
  <c r="AG735" i="1"/>
  <c r="AH735" i="1"/>
  <c r="AL735" i="1"/>
  <c r="AC735" i="1"/>
  <c r="AD735" i="1"/>
  <c r="AE735" i="1"/>
  <c r="AF735" i="1"/>
  <c r="AJ735" i="1"/>
  <c r="AM735" i="1" s="1"/>
  <c r="AH734" i="1"/>
  <c r="AI734" i="1"/>
  <c r="AG734" i="1"/>
  <c r="AE734" i="1"/>
  <c r="AD734" i="1"/>
  <c r="AL734" i="1"/>
  <c r="AC734" i="1"/>
  <c r="AJ734" i="1"/>
  <c r="AF734" i="1"/>
  <c r="AH733" i="1"/>
  <c r="AI733" i="1"/>
  <c r="AG733" i="1"/>
  <c r="AJ733" i="1"/>
  <c r="AC733" i="1"/>
  <c r="AF733" i="1"/>
  <c r="AD733" i="1"/>
  <c r="AL733" i="1"/>
  <c r="AE733" i="1"/>
  <c r="AH732" i="1"/>
  <c r="AG732" i="1"/>
  <c r="AI732" i="1"/>
  <c r="AE732" i="1"/>
  <c r="AL732" i="1"/>
  <c r="AJ732" i="1"/>
  <c r="AM732" i="1" s="1"/>
  <c r="AF732" i="1"/>
  <c r="AD732" i="1"/>
  <c r="AC732" i="1"/>
  <c r="AG731" i="1"/>
  <c r="AI731" i="1"/>
  <c r="AH731" i="1"/>
  <c r="AF731" i="1"/>
  <c r="AJ731" i="1"/>
  <c r="AL731" i="1"/>
  <c r="AC731" i="1"/>
  <c r="AE731" i="1"/>
  <c r="AD731" i="1"/>
  <c r="AI730" i="1"/>
  <c r="AG730" i="1"/>
  <c r="AH730" i="1"/>
  <c r="AF730" i="1"/>
  <c r="AD730" i="1"/>
  <c r="AJ730" i="1"/>
  <c r="AL730" i="1"/>
  <c r="AC730" i="1"/>
  <c r="AE730" i="1"/>
  <c r="AG729" i="1"/>
  <c r="AI729" i="1"/>
  <c r="AH729" i="1"/>
  <c r="AL729" i="1"/>
  <c r="AJ729" i="1"/>
  <c r="AM729" i="1" s="1"/>
  <c r="AD729" i="1"/>
  <c r="AE729" i="1"/>
  <c r="AC729" i="1"/>
  <c r="AF729" i="1"/>
  <c r="AH728" i="1"/>
  <c r="AI728" i="1"/>
  <c r="AG728" i="1"/>
  <c r="AD728" i="1"/>
  <c r="AL728" i="1"/>
  <c r="AJ728" i="1"/>
  <c r="AM728" i="1" s="1"/>
  <c r="AF728" i="1"/>
  <c r="AE728" i="1"/>
  <c r="AC728" i="1"/>
  <c r="AH727" i="1"/>
  <c r="AI727" i="1"/>
  <c r="AG727" i="1"/>
  <c r="AD727" i="1"/>
  <c r="AJ727" i="1"/>
  <c r="AL727" i="1"/>
  <c r="AF727" i="1"/>
  <c r="AC727" i="1"/>
  <c r="AE727" i="1"/>
  <c r="AH726" i="1"/>
  <c r="AI726" i="1"/>
  <c r="AG726" i="1"/>
  <c r="AC726" i="1"/>
  <c r="AL726" i="1"/>
  <c r="AJ726" i="1"/>
  <c r="AM726" i="1" s="1"/>
  <c r="AF726" i="1"/>
  <c r="AD726" i="1"/>
  <c r="AE726" i="1"/>
  <c r="AG725" i="1"/>
  <c r="AI725" i="1"/>
  <c r="AH725" i="1"/>
  <c r="AL725" i="1"/>
  <c r="AJ725" i="1"/>
  <c r="AM725" i="1" s="1"/>
  <c r="AF725" i="1"/>
  <c r="AC725" i="1"/>
  <c r="AD725" i="1"/>
  <c r="AE725" i="1"/>
  <c r="AI724" i="1"/>
  <c r="AH724" i="1"/>
  <c r="AG724" i="1"/>
  <c r="AL724" i="1"/>
  <c r="AF724" i="1"/>
  <c r="AJ724" i="1"/>
  <c r="AM724" i="1" s="1"/>
  <c r="AC724" i="1"/>
  <c r="AE724" i="1"/>
  <c r="AD724" i="1"/>
  <c r="AH723" i="1"/>
  <c r="AI723" i="1"/>
  <c r="AG723" i="1"/>
  <c r="AJ723" i="1"/>
  <c r="AF723" i="1"/>
  <c r="AD723" i="1"/>
  <c r="AL723" i="1"/>
  <c r="AC723" i="1"/>
  <c r="AE723" i="1"/>
  <c r="AH722" i="1"/>
  <c r="AG722" i="1"/>
  <c r="AI722" i="1"/>
  <c r="AJ722" i="1"/>
  <c r="AF722" i="1"/>
  <c r="AC722" i="1"/>
  <c r="AE722" i="1"/>
  <c r="AD722" i="1"/>
  <c r="AL722" i="1"/>
  <c r="AI721" i="1"/>
  <c r="AG721" i="1"/>
  <c r="AH721" i="1"/>
  <c r="AJ721" i="1"/>
  <c r="AC721" i="1"/>
  <c r="AL721" i="1"/>
  <c r="AE721" i="1"/>
  <c r="AF721" i="1"/>
  <c r="AD721" i="1"/>
  <c r="AG720" i="1"/>
  <c r="AI720" i="1"/>
  <c r="AH720" i="1"/>
  <c r="AL720" i="1"/>
  <c r="AF720" i="1"/>
  <c r="AD720" i="1"/>
  <c r="AJ720" i="1"/>
  <c r="AM720" i="1" s="1"/>
  <c r="AE720" i="1"/>
  <c r="AC720" i="1"/>
  <c r="AG719" i="1"/>
  <c r="AH719" i="1"/>
  <c r="AI719" i="1"/>
  <c r="AL719" i="1"/>
  <c r="AD719" i="1"/>
  <c r="AJ719" i="1"/>
  <c r="AM719" i="1" s="1"/>
  <c r="AF719" i="1"/>
  <c r="AE719" i="1"/>
  <c r="AC719" i="1"/>
  <c r="AG718" i="1"/>
  <c r="AI718" i="1"/>
  <c r="AH718" i="1"/>
  <c r="AJ718" i="1"/>
  <c r="AL718" i="1"/>
  <c r="AE718" i="1"/>
  <c r="AC718" i="1"/>
  <c r="AD718" i="1"/>
  <c r="AF718" i="1"/>
  <c r="AI717" i="1"/>
  <c r="AH717" i="1"/>
  <c r="AG717" i="1"/>
  <c r="AE717" i="1"/>
  <c r="AC717" i="1"/>
  <c r="AJ717" i="1"/>
  <c r="AF717" i="1"/>
  <c r="AD717" i="1"/>
  <c r="AL717" i="1"/>
  <c r="AI716" i="1"/>
  <c r="AH716" i="1"/>
  <c r="AG716" i="1"/>
  <c r="AF716" i="1"/>
  <c r="AD716" i="1"/>
  <c r="AL716" i="1"/>
  <c r="AE716" i="1"/>
  <c r="AJ716" i="1"/>
  <c r="AM716" i="1" s="1"/>
  <c r="AC716" i="1"/>
  <c r="AG715" i="1"/>
  <c r="AH715" i="1"/>
  <c r="AI715" i="1"/>
  <c r="AF715" i="1"/>
  <c r="AD715" i="1"/>
  <c r="AC715" i="1"/>
  <c r="AE715" i="1"/>
  <c r="AJ715" i="1"/>
  <c r="AL715" i="1"/>
  <c r="AG714" i="1"/>
  <c r="AH714" i="1"/>
  <c r="AI714" i="1"/>
  <c r="AE714" i="1"/>
  <c r="AD714" i="1"/>
  <c r="AJ714" i="1"/>
  <c r="AF714" i="1"/>
  <c r="AC714" i="1"/>
  <c r="AL714" i="1"/>
  <c r="AI713" i="1"/>
  <c r="AG713" i="1"/>
  <c r="AH713" i="1"/>
  <c r="AD713" i="1"/>
  <c r="AL713" i="1"/>
  <c r="AJ713" i="1"/>
  <c r="AE713" i="1"/>
  <c r="AF713" i="1"/>
  <c r="AC713" i="1"/>
  <c r="AH712" i="1"/>
  <c r="AG712" i="1"/>
  <c r="AI712" i="1"/>
  <c r="AD712" i="1"/>
  <c r="AJ712" i="1"/>
  <c r="AC712" i="1"/>
  <c r="AE712" i="1"/>
  <c r="AL712" i="1"/>
  <c r="AF712" i="1"/>
  <c r="AG711" i="1"/>
  <c r="AH711" i="1"/>
  <c r="AI711" i="1"/>
  <c r="AD711" i="1"/>
  <c r="AJ711" i="1"/>
  <c r="AE711" i="1"/>
  <c r="AF711" i="1"/>
  <c r="AL711" i="1"/>
  <c r="AC711" i="1"/>
  <c r="AI710" i="1"/>
  <c r="AG710" i="1"/>
  <c r="AH710" i="1"/>
  <c r="AD710" i="1"/>
  <c r="AJ710" i="1"/>
  <c r="AF710" i="1"/>
  <c r="AC710" i="1"/>
  <c r="AL710" i="1"/>
  <c r="AE710" i="1"/>
  <c r="AI709" i="1"/>
  <c r="AH709" i="1"/>
  <c r="AG709" i="1"/>
  <c r="AC709" i="1"/>
  <c r="AE709" i="1"/>
  <c r="AJ709" i="1"/>
  <c r="AL709" i="1"/>
  <c r="AF709" i="1"/>
  <c r="AD709" i="1"/>
  <c r="AH708" i="1"/>
  <c r="AG708" i="1"/>
  <c r="AD708" i="1"/>
  <c r="AF708" i="1"/>
  <c r="AC708" i="1"/>
  <c r="AJ708" i="1"/>
  <c r="AL708" i="1"/>
  <c r="AE708" i="1"/>
  <c r="AH707" i="1"/>
  <c r="AI707" i="1"/>
  <c r="AG707" i="1"/>
  <c r="AD707" i="1"/>
  <c r="AE707" i="1"/>
  <c r="AL707" i="1"/>
  <c r="AC707" i="1"/>
  <c r="AJ707" i="1"/>
  <c r="AM707" i="1" s="1"/>
  <c r="AF707" i="1"/>
  <c r="AH706" i="1"/>
  <c r="AI706" i="1"/>
  <c r="AG706" i="1"/>
  <c r="AJ706" i="1"/>
  <c r="AL706" i="1"/>
  <c r="AE706" i="1"/>
  <c r="AC706" i="1"/>
  <c r="AD706" i="1"/>
  <c r="AF706" i="1"/>
  <c r="AI705" i="1"/>
  <c r="AH705" i="1"/>
  <c r="AG705" i="1"/>
  <c r="AE705" i="1"/>
  <c r="AD705" i="1"/>
  <c r="AL705" i="1"/>
  <c r="AF705" i="1"/>
  <c r="AJ705" i="1"/>
  <c r="AM705" i="1" s="1"/>
  <c r="AC705" i="1"/>
  <c r="AH704" i="1"/>
  <c r="AI704" i="1"/>
  <c r="AG704" i="1"/>
  <c r="AD704" i="1"/>
  <c r="AE704" i="1"/>
  <c r="AL704" i="1"/>
  <c r="AF704" i="1"/>
  <c r="AC704" i="1"/>
  <c r="AJ704" i="1"/>
  <c r="AM704" i="1" s="1"/>
  <c r="AH703" i="1"/>
  <c r="AG703" i="1"/>
  <c r="AI703" i="1"/>
  <c r="AJ703" i="1"/>
  <c r="AL703" i="1"/>
  <c r="AC703" i="1"/>
  <c r="AD703" i="1"/>
  <c r="AE703" i="1"/>
  <c r="AF703" i="1"/>
  <c r="AH702" i="1"/>
  <c r="AI702" i="1"/>
  <c r="AG702" i="1"/>
  <c r="AD702" i="1"/>
  <c r="AJ702" i="1"/>
  <c r="AC702" i="1"/>
  <c r="AE702" i="1"/>
  <c r="AF702" i="1"/>
  <c r="AL702" i="1"/>
  <c r="AH701" i="1"/>
  <c r="AI701" i="1"/>
  <c r="AG701" i="1"/>
  <c r="AL701" i="1"/>
  <c r="AE701" i="1"/>
  <c r="AC701" i="1"/>
  <c r="AJ701" i="1"/>
  <c r="AM701" i="1" s="1"/>
  <c r="AF701" i="1"/>
  <c r="AD701" i="1"/>
  <c r="AH700" i="1"/>
  <c r="AI700" i="1"/>
  <c r="AG700" i="1"/>
  <c r="AD700" i="1"/>
  <c r="AL700" i="1"/>
  <c r="AE700" i="1"/>
  <c r="AC700" i="1"/>
  <c r="AJ700" i="1"/>
  <c r="AM700" i="1" s="1"/>
  <c r="AF700" i="1"/>
  <c r="AG699" i="1"/>
  <c r="AH699" i="1"/>
  <c r="AI699" i="1"/>
  <c r="AL699" i="1"/>
  <c r="AF699" i="1"/>
  <c r="AD699" i="1"/>
  <c r="AJ699" i="1"/>
  <c r="AM699" i="1" s="1"/>
  <c r="AE699" i="1"/>
  <c r="AC699" i="1"/>
  <c r="AG698" i="1"/>
  <c r="AI698" i="1"/>
  <c r="AH698" i="1"/>
  <c r="AD698" i="1"/>
  <c r="AC698" i="1"/>
  <c r="AF698" i="1"/>
  <c r="AJ698" i="1"/>
  <c r="AE698" i="1"/>
  <c r="AL698" i="1"/>
  <c r="AH697" i="1"/>
  <c r="AG697" i="1"/>
  <c r="AI697" i="1"/>
  <c r="AD697" i="1"/>
  <c r="AL697" i="1"/>
  <c r="AE697" i="1"/>
  <c r="AF697" i="1"/>
  <c r="AC697" i="1"/>
  <c r="AJ697" i="1"/>
  <c r="AM697" i="1" s="1"/>
  <c r="AI696" i="1"/>
  <c r="AG696" i="1"/>
  <c r="AH696" i="1"/>
  <c r="AL696" i="1"/>
  <c r="AD696" i="1"/>
  <c r="AF696" i="1"/>
  <c r="AJ696" i="1"/>
  <c r="AM696" i="1" s="1"/>
  <c r="AE696" i="1"/>
  <c r="AC696" i="1"/>
  <c r="AI695" i="1"/>
  <c r="AG695" i="1"/>
  <c r="AH695" i="1"/>
  <c r="AC695" i="1"/>
  <c r="AL695" i="1"/>
  <c r="AD695" i="1"/>
  <c r="AF695" i="1"/>
  <c r="AJ695" i="1"/>
  <c r="AM695" i="1" s="1"/>
  <c r="AE695" i="1"/>
  <c r="AG694" i="1"/>
  <c r="AI694" i="1"/>
  <c r="AH694" i="1"/>
  <c r="AF694" i="1"/>
  <c r="AC694" i="1"/>
  <c r="AE694" i="1"/>
  <c r="AJ694" i="1"/>
  <c r="AL694" i="1"/>
  <c r="AD694" i="1"/>
  <c r="AI693" i="1"/>
  <c r="AH693" i="1"/>
  <c r="AG693" i="1"/>
  <c r="AE693" i="1"/>
  <c r="AJ693" i="1"/>
  <c r="AC693" i="1"/>
  <c r="AF693" i="1"/>
  <c r="AD693" i="1"/>
  <c r="AL693" i="1"/>
  <c r="AG692" i="1"/>
  <c r="AI692" i="1"/>
  <c r="AH692" i="1"/>
  <c r="AE692" i="1"/>
  <c r="AJ692" i="1"/>
  <c r="AC692" i="1"/>
  <c r="AD692" i="1"/>
  <c r="AF692" i="1"/>
  <c r="AL692" i="1"/>
  <c r="AH691" i="1"/>
  <c r="AG691" i="1"/>
  <c r="AI691" i="1"/>
  <c r="AE691" i="1"/>
  <c r="AC691" i="1"/>
  <c r="AL691" i="1"/>
  <c r="AD691" i="1"/>
  <c r="AJ691" i="1"/>
  <c r="AM691" i="1" s="1"/>
  <c r="AF691" i="1"/>
  <c r="AG690" i="1"/>
  <c r="AH690" i="1"/>
  <c r="AI690" i="1"/>
  <c r="AC690" i="1"/>
  <c r="AF690" i="1"/>
  <c r="AE690" i="1"/>
  <c r="AL690" i="1"/>
  <c r="AJ690" i="1"/>
  <c r="AD690" i="1"/>
  <c r="AI689" i="1"/>
  <c r="AH689" i="1"/>
  <c r="AG689" i="1"/>
  <c r="AD689" i="1"/>
  <c r="AC689" i="1"/>
  <c r="AJ689" i="1"/>
  <c r="AF689" i="1"/>
  <c r="AE689" i="1"/>
  <c r="AL689" i="1"/>
  <c r="AH688" i="1"/>
  <c r="AG688" i="1"/>
  <c r="AI688" i="1"/>
  <c r="AL688" i="1"/>
  <c r="AE688" i="1"/>
  <c r="AC688" i="1"/>
  <c r="AJ688" i="1"/>
  <c r="AM688" i="1" s="1"/>
  <c r="AF688" i="1"/>
  <c r="AD688" i="1"/>
  <c r="AG687" i="1"/>
  <c r="AI687" i="1"/>
  <c r="AH687" i="1"/>
  <c r="AL687" i="1"/>
  <c r="AJ687" i="1"/>
  <c r="AC687" i="1"/>
  <c r="AE687" i="1"/>
  <c r="AD687" i="1"/>
  <c r="AF687" i="1"/>
  <c r="AH686" i="1"/>
  <c r="AI686" i="1"/>
  <c r="AG686" i="1"/>
  <c r="AD686" i="1"/>
  <c r="AF686" i="1"/>
  <c r="AJ686" i="1"/>
  <c r="AC686" i="1"/>
  <c r="AL686" i="1"/>
  <c r="AE686" i="1"/>
  <c r="AG685" i="1"/>
  <c r="AI685" i="1"/>
  <c r="AH685" i="1"/>
  <c r="AF685" i="1"/>
  <c r="AJ685" i="1"/>
  <c r="AE685" i="1"/>
  <c r="AC685" i="1"/>
  <c r="AL685" i="1"/>
  <c r="AD685" i="1"/>
  <c r="AI684" i="1"/>
  <c r="AH684" i="1"/>
  <c r="AG684" i="1"/>
  <c r="AD684" i="1"/>
  <c r="AE684" i="1"/>
  <c r="AJ684" i="1"/>
  <c r="AC684" i="1"/>
  <c r="AL684" i="1"/>
  <c r="AF684" i="1"/>
  <c r="AG683" i="1"/>
  <c r="AH683" i="1"/>
  <c r="AI683" i="1"/>
  <c r="AE683" i="1"/>
  <c r="AD683" i="1"/>
  <c r="AF683" i="1"/>
  <c r="AC683" i="1"/>
  <c r="AL683" i="1"/>
  <c r="AJ683" i="1"/>
  <c r="AM683" i="1" s="1"/>
  <c r="AG682" i="1"/>
  <c r="AH682" i="1"/>
  <c r="AI682" i="1"/>
  <c r="AJ682" i="1"/>
  <c r="AD682" i="1"/>
  <c r="AE682" i="1"/>
  <c r="AL682" i="1"/>
  <c r="AC682" i="1"/>
  <c r="AF682" i="1"/>
  <c r="AI681" i="1"/>
  <c r="AG681" i="1"/>
  <c r="AH681" i="1"/>
  <c r="AD681" i="1"/>
  <c r="AE681" i="1"/>
  <c r="AJ681" i="1"/>
  <c r="AC681" i="1"/>
  <c r="AF681" i="1"/>
  <c r="AL681" i="1"/>
  <c r="AH680" i="1"/>
  <c r="AI680" i="1"/>
  <c r="AG680" i="1"/>
  <c r="AD680" i="1"/>
  <c r="AJ680" i="1"/>
  <c r="AF680" i="1"/>
  <c r="AE680" i="1"/>
  <c r="AC680" i="1"/>
  <c r="AL680" i="1"/>
  <c r="AI679" i="1"/>
  <c r="AG679" i="1"/>
  <c r="AH679" i="1"/>
  <c r="AD679" i="1"/>
  <c r="AC679" i="1"/>
  <c r="AF679" i="1"/>
  <c r="AL679" i="1"/>
  <c r="AJ679" i="1"/>
  <c r="AM679" i="1" s="1"/>
  <c r="AE679" i="1"/>
  <c r="AH678" i="1"/>
  <c r="AG678" i="1"/>
  <c r="AI678" i="1"/>
  <c r="AD678" i="1"/>
  <c r="AJ678" i="1"/>
  <c r="AE678" i="1"/>
  <c r="AL678" i="1"/>
  <c r="AC678" i="1"/>
  <c r="AF678" i="1"/>
  <c r="AI677" i="1"/>
  <c r="AG677" i="1"/>
  <c r="AH677" i="1"/>
  <c r="AD677" i="1"/>
  <c r="AE677" i="1"/>
  <c r="AL677" i="1"/>
  <c r="AC677" i="1"/>
  <c r="AJ677" i="1"/>
  <c r="AM677" i="1" s="1"/>
  <c r="AF677" i="1"/>
  <c r="AI676" i="1"/>
  <c r="AH676" i="1"/>
  <c r="AG676" i="1"/>
  <c r="AD676" i="1"/>
  <c r="AJ676" i="1"/>
  <c r="AL676" i="1"/>
  <c r="AC676" i="1"/>
  <c r="AE676" i="1"/>
  <c r="AF676" i="1"/>
  <c r="AI675" i="1"/>
  <c r="AH675" i="1"/>
  <c r="AG675" i="1"/>
  <c r="AC675" i="1"/>
  <c r="AF675" i="1"/>
  <c r="AE675" i="1"/>
  <c r="AD675" i="1"/>
  <c r="AL675" i="1"/>
  <c r="AJ675" i="1"/>
  <c r="AM675" i="1" s="1"/>
  <c r="AH674" i="1"/>
  <c r="AI674" i="1"/>
  <c r="AG674" i="1"/>
  <c r="AL674" i="1"/>
  <c r="AD674" i="1"/>
  <c r="AF674" i="1"/>
  <c r="AC674" i="1"/>
  <c r="AE674" i="1"/>
  <c r="AJ674" i="1"/>
  <c r="AM674" i="1" s="1"/>
  <c r="AG673" i="1"/>
  <c r="AH673" i="1"/>
  <c r="AI673" i="1"/>
  <c r="AJ673" i="1"/>
  <c r="AC673" i="1"/>
  <c r="AF673" i="1"/>
  <c r="AD673" i="1"/>
  <c r="AE673" i="1"/>
  <c r="AL673" i="1"/>
  <c r="AI672" i="1"/>
  <c r="AH672" i="1"/>
  <c r="AG672" i="1"/>
  <c r="AF672" i="1"/>
  <c r="AL672" i="1"/>
  <c r="AC672" i="1"/>
  <c r="AJ672" i="1"/>
  <c r="AM672" i="1" s="1"/>
  <c r="AE672" i="1"/>
  <c r="AD672" i="1"/>
  <c r="AG671" i="1"/>
  <c r="AH671" i="1"/>
  <c r="AI671" i="1"/>
  <c r="AD671" i="1"/>
  <c r="AF671" i="1"/>
  <c r="AC671" i="1"/>
  <c r="AE671" i="1"/>
  <c r="AJ671" i="1"/>
  <c r="AL671" i="1"/>
  <c r="AG670" i="1"/>
  <c r="AH670" i="1"/>
  <c r="AI670" i="1"/>
  <c r="AF670" i="1"/>
  <c r="AL670" i="1"/>
  <c r="AJ670" i="1"/>
  <c r="AM670" i="1" s="1"/>
  <c r="AC670" i="1"/>
  <c r="AE670" i="1"/>
  <c r="AD670" i="1"/>
  <c r="AG669" i="1"/>
  <c r="AH669" i="1"/>
  <c r="AI669" i="1"/>
  <c r="AD669" i="1"/>
  <c r="AE669" i="1"/>
  <c r="AJ669" i="1"/>
  <c r="AL669" i="1"/>
  <c r="AC669" i="1"/>
  <c r="AF669" i="1"/>
  <c r="AH668" i="1"/>
  <c r="AG668" i="1"/>
  <c r="AI668" i="1"/>
  <c r="AJ668" i="1"/>
  <c r="AD668" i="1"/>
  <c r="AF668" i="1"/>
  <c r="AL668" i="1"/>
  <c r="AE668" i="1"/>
  <c r="AC668" i="1"/>
  <c r="AG667" i="1"/>
  <c r="AI667" i="1"/>
  <c r="AH667" i="1"/>
  <c r="AE667" i="1"/>
  <c r="AC667" i="1"/>
  <c r="AL667" i="1"/>
  <c r="AJ667" i="1"/>
  <c r="AM667" i="1" s="1"/>
  <c r="AF667" i="1"/>
  <c r="AD667" i="1"/>
  <c r="AI666" i="1"/>
  <c r="AG666" i="1"/>
  <c r="AH666" i="1"/>
  <c r="AE666" i="1"/>
  <c r="AJ666" i="1"/>
  <c r="AF666" i="1"/>
  <c r="AC666" i="1"/>
  <c r="AD666" i="1"/>
  <c r="AL666" i="1"/>
  <c r="AI665" i="1"/>
  <c r="AH665" i="1"/>
  <c r="AG665" i="1"/>
  <c r="AJ665" i="1"/>
  <c r="AL665" i="1"/>
  <c r="AC665" i="1"/>
  <c r="AE665" i="1"/>
  <c r="AD665" i="1"/>
  <c r="AF665" i="1"/>
  <c r="AH664" i="1"/>
  <c r="AI664" i="1"/>
  <c r="AG664" i="1"/>
  <c r="AC664" i="1"/>
  <c r="AF664" i="1"/>
  <c r="AL664" i="1"/>
  <c r="AE664" i="1"/>
  <c r="AJ664" i="1"/>
  <c r="AM664" i="1" s="1"/>
  <c r="AD664" i="1"/>
  <c r="AI663" i="1"/>
  <c r="AG663" i="1"/>
  <c r="AH663" i="1"/>
  <c r="AJ663" i="1"/>
  <c r="AF663" i="1"/>
  <c r="AC663" i="1"/>
  <c r="AD663" i="1"/>
  <c r="AL663" i="1"/>
  <c r="AE663" i="1"/>
  <c r="AH662" i="1"/>
  <c r="AG662" i="1"/>
  <c r="AI662" i="1"/>
  <c r="AJ662" i="1"/>
  <c r="AC662" i="1"/>
  <c r="AD662" i="1"/>
  <c r="AF662" i="1"/>
  <c r="AE662" i="1"/>
  <c r="AL662" i="1"/>
  <c r="AH661" i="1"/>
  <c r="AI661" i="1"/>
  <c r="AG661" i="1"/>
  <c r="AC661" i="1"/>
  <c r="AJ661" i="1"/>
  <c r="AE661" i="1"/>
  <c r="AD661" i="1"/>
  <c r="AF661" i="1"/>
  <c r="AL661" i="1"/>
  <c r="AH660" i="1"/>
  <c r="AG660" i="1"/>
  <c r="AI660" i="1"/>
  <c r="AF660" i="1"/>
  <c r="AD660" i="1"/>
  <c r="AC660" i="1"/>
  <c r="AE660" i="1"/>
  <c r="AL660" i="1"/>
  <c r="AJ660" i="1"/>
  <c r="AM660" i="1" s="1"/>
  <c r="AG659" i="1"/>
  <c r="AH659" i="1"/>
  <c r="AI659" i="1"/>
  <c r="AD659" i="1"/>
  <c r="AF659" i="1"/>
  <c r="AL659" i="1"/>
  <c r="AC659" i="1"/>
  <c r="AE659" i="1"/>
  <c r="AJ659" i="1"/>
  <c r="AM659" i="1" s="1"/>
  <c r="AH658" i="1"/>
  <c r="AG658" i="1"/>
  <c r="AI658" i="1"/>
  <c r="AF658" i="1"/>
  <c r="AL658" i="1"/>
  <c r="AC658" i="1"/>
  <c r="AE658" i="1"/>
  <c r="AD658" i="1"/>
  <c r="AJ658" i="1"/>
  <c r="AM658" i="1" s="1"/>
  <c r="AG657" i="1"/>
  <c r="AH657" i="1"/>
  <c r="AI657" i="1"/>
  <c r="AE657" i="1"/>
  <c r="AC657" i="1"/>
  <c r="AF657" i="1"/>
  <c r="AL657" i="1"/>
  <c r="AJ657" i="1"/>
  <c r="AD657" i="1"/>
  <c r="AH656" i="1"/>
  <c r="AI656" i="1"/>
  <c r="AG656" i="1"/>
  <c r="AC656" i="1"/>
  <c r="AE656" i="1"/>
  <c r="AL656" i="1"/>
  <c r="AJ656" i="1"/>
  <c r="AM656" i="1" s="1"/>
  <c r="AF656" i="1"/>
  <c r="AD656" i="1"/>
  <c r="AH655" i="1"/>
  <c r="AI655" i="1"/>
  <c r="AG655" i="1"/>
  <c r="AL655" i="1"/>
  <c r="AD655" i="1"/>
  <c r="AE655" i="1"/>
  <c r="AJ655" i="1"/>
  <c r="AM655" i="1" s="1"/>
  <c r="AC655" i="1"/>
  <c r="AF655" i="1"/>
  <c r="AH654" i="1"/>
  <c r="AI654" i="1"/>
  <c r="AG654" i="1"/>
  <c r="AJ654" i="1"/>
  <c r="AL654" i="1"/>
  <c r="AF654" i="1"/>
  <c r="AE654" i="1"/>
  <c r="AC654" i="1"/>
  <c r="AD654" i="1"/>
  <c r="AG653" i="1"/>
  <c r="AH653" i="1"/>
  <c r="AI653" i="1"/>
  <c r="AC653" i="1"/>
  <c r="AF653" i="1"/>
  <c r="AD653" i="1"/>
  <c r="AL653" i="1"/>
  <c r="AE653" i="1"/>
  <c r="AJ653" i="1"/>
  <c r="AM653" i="1" s="1"/>
  <c r="AI652" i="1"/>
  <c r="AG652" i="1"/>
  <c r="AH652" i="1"/>
  <c r="AD652" i="1"/>
  <c r="AF652" i="1"/>
  <c r="AL652" i="1"/>
  <c r="AC652" i="1"/>
  <c r="AE652" i="1"/>
  <c r="AJ652" i="1"/>
  <c r="AM652" i="1" s="1"/>
  <c r="AI651" i="1"/>
  <c r="AG651" i="1"/>
  <c r="AH651" i="1"/>
  <c r="AE651" i="1"/>
  <c r="AC651" i="1"/>
  <c r="AD651" i="1"/>
  <c r="AL651" i="1"/>
  <c r="AJ651" i="1"/>
  <c r="AM651" i="1" s="1"/>
  <c r="AF651" i="1"/>
  <c r="AI650" i="1"/>
  <c r="AH650" i="1"/>
  <c r="AG650" i="1"/>
  <c r="AC650" i="1"/>
  <c r="AE650" i="1"/>
  <c r="AJ650" i="1"/>
  <c r="AF650" i="1"/>
  <c r="AL650" i="1"/>
  <c r="AD650" i="1"/>
  <c r="AI649" i="1"/>
  <c r="AG649" i="1"/>
  <c r="AH649" i="1"/>
  <c r="AL649" i="1"/>
  <c r="AE649" i="1"/>
  <c r="AJ649" i="1"/>
  <c r="AM649" i="1" s="1"/>
  <c r="AF649" i="1"/>
  <c r="AC649" i="1"/>
  <c r="AD649" i="1"/>
  <c r="AI648" i="1"/>
  <c r="AG648" i="1"/>
  <c r="AH648" i="1"/>
  <c r="AD648" i="1"/>
  <c r="AE648" i="1"/>
  <c r="AC648" i="1"/>
  <c r="AL648" i="1"/>
  <c r="AF648" i="1"/>
  <c r="AJ648" i="1"/>
  <c r="AM648" i="1" s="1"/>
  <c r="AI647" i="1"/>
  <c r="AH647" i="1"/>
  <c r="AG647" i="1"/>
  <c r="AL647" i="1"/>
  <c r="AJ647" i="1"/>
  <c r="AD647" i="1"/>
  <c r="AE647" i="1"/>
  <c r="AF647" i="1"/>
  <c r="AC647" i="1"/>
  <c r="AG646" i="1"/>
  <c r="AH646" i="1"/>
  <c r="AI646" i="1"/>
  <c r="AL646" i="1"/>
  <c r="AC646" i="1"/>
  <c r="AD646" i="1"/>
  <c r="AJ646" i="1"/>
  <c r="AM646" i="1" s="1"/>
  <c r="AF646" i="1"/>
  <c r="AE646" i="1"/>
  <c r="AH645" i="1"/>
  <c r="AG645" i="1"/>
  <c r="AI645" i="1"/>
  <c r="AF645" i="1"/>
  <c r="AJ645" i="1"/>
  <c r="AL645" i="1"/>
  <c r="AE645" i="1"/>
  <c r="AC645" i="1"/>
  <c r="AD645" i="1"/>
  <c r="AI644" i="1"/>
  <c r="AH644" i="1"/>
  <c r="AG644" i="1"/>
  <c r="AE644" i="1"/>
  <c r="AJ644" i="1"/>
  <c r="AF644" i="1"/>
  <c r="AD644" i="1"/>
  <c r="AL644" i="1"/>
  <c r="AC644" i="1"/>
  <c r="AH643" i="1"/>
  <c r="AI643" i="1"/>
  <c r="AG643" i="1"/>
  <c r="AE643" i="1"/>
  <c r="AC643" i="1"/>
  <c r="AL643" i="1"/>
  <c r="AF643" i="1"/>
  <c r="AJ643" i="1"/>
  <c r="AM643" i="1" s="1"/>
  <c r="AD643" i="1"/>
  <c r="AI642" i="1"/>
  <c r="AH642" i="1"/>
  <c r="AG642" i="1"/>
  <c r="AD642" i="1"/>
  <c r="AE642" i="1"/>
  <c r="AC642" i="1"/>
  <c r="AL642" i="1"/>
  <c r="AJ642" i="1"/>
  <c r="AF642" i="1"/>
  <c r="AG641" i="1"/>
  <c r="AH641" i="1"/>
  <c r="AI641" i="1"/>
  <c r="AF641" i="1"/>
  <c r="AJ641" i="1"/>
  <c r="AD641" i="1"/>
  <c r="AL641" i="1"/>
  <c r="AE641" i="1"/>
  <c r="AC641" i="1"/>
  <c r="AI640" i="1"/>
  <c r="AG640" i="1"/>
  <c r="AH640" i="1"/>
  <c r="AF640" i="1"/>
  <c r="AC640" i="1"/>
  <c r="AD640" i="1"/>
  <c r="AE640" i="1"/>
  <c r="AL640" i="1"/>
  <c r="AJ640" i="1"/>
  <c r="AM640" i="1" s="1"/>
  <c r="AH639" i="1"/>
  <c r="AG639" i="1"/>
  <c r="AI639" i="1"/>
  <c r="AF639" i="1"/>
  <c r="AD639" i="1"/>
  <c r="AC639" i="1"/>
  <c r="AL639" i="1"/>
  <c r="AJ639" i="1"/>
  <c r="AM639" i="1" s="1"/>
  <c r="AE639" i="1"/>
  <c r="AI638" i="1"/>
  <c r="AH638" i="1"/>
  <c r="AG638" i="1"/>
  <c r="AD638" i="1"/>
  <c r="AE638" i="1"/>
  <c r="AC638" i="1"/>
  <c r="AL638" i="1"/>
  <c r="AF638" i="1"/>
  <c r="AJ638" i="1"/>
  <c r="AM638" i="1" s="1"/>
  <c r="AH637" i="1"/>
  <c r="AI637" i="1"/>
  <c r="AG637" i="1"/>
  <c r="AL637" i="1"/>
  <c r="AF637" i="1"/>
  <c r="AD637" i="1"/>
  <c r="AC637" i="1"/>
  <c r="AJ637" i="1"/>
  <c r="AM637" i="1" s="1"/>
  <c r="AE637" i="1"/>
  <c r="AG636" i="1"/>
  <c r="AI636" i="1"/>
  <c r="AH636" i="1"/>
  <c r="AJ636" i="1"/>
  <c r="AE636" i="1"/>
  <c r="AC636" i="1"/>
  <c r="AL636" i="1"/>
  <c r="AF636" i="1"/>
  <c r="AD636" i="1"/>
  <c r="AH635" i="1"/>
  <c r="AG635" i="1"/>
  <c r="AI635" i="1"/>
  <c r="AE635" i="1"/>
  <c r="AC635" i="1"/>
  <c r="AL635" i="1"/>
  <c r="AF635" i="1"/>
  <c r="AD635" i="1"/>
  <c r="AJ635" i="1"/>
  <c r="AM635" i="1" s="1"/>
  <c r="AH634" i="1"/>
  <c r="AG634" i="1"/>
  <c r="AI634" i="1"/>
  <c r="AF634" i="1"/>
  <c r="AL634" i="1"/>
  <c r="AJ634" i="1"/>
  <c r="AM634" i="1" s="1"/>
  <c r="AE634" i="1"/>
  <c r="AD634" i="1"/>
  <c r="AC634" i="1"/>
  <c r="AI633" i="1"/>
  <c r="AH633" i="1"/>
  <c r="AG633" i="1"/>
  <c r="AL633" i="1"/>
  <c r="AJ633" i="1"/>
  <c r="AM633" i="1" s="1"/>
  <c r="AD633" i="1"/>
  <c r="AE633" i="1"/>
  <c r="AF633" i="1"/>
  <c r="AC633" i="1"/>
  <c r="AG632" i="1"/>
  <c r="AI632" i="1"/>
  <c r="AH632" i="1"/>
  <c r="AD632" i="1"/>
  <c r="AF632" i="1"/>
  <c r="AJ632" i="1"/>
  <c r="AE632" i="1"/>
  <c r="AL632" i="1"/>
  <c r="AC632" i="1"/>
  <c r="AH631" i="1"/>
  <c r="AI631" i="1"/>
  <c r="AG631" i="1"/>
  <c r="AF631" i="1"/>
  <c r="AC631" i="1"/>
  <c r="AE631" i="1"/>
  <c r="AL631" i="1"/>
  <c r="AD631" i="1"/>
  <c r="AJ631" i="1"/>
  <c r="AM631" i="1" s="1"/>
  <c r="AH630" i="1"/>
  <c r="AG630" i="1"/>
  <c r="AI630" i="1"/>
  <c r="AF630" i="1"/>
  <c r="AJ630" i="1"/>
  <c r="AD630" i="1"/>
  <c r="AC630" i="1"/>
  <c r="AL630" i="1"/>
  <c r="AE630" i="1"/>
  <c r="AH629" i="1"/>
  <c r="AI629" i="1"/>
  <c r="AG629" i="1"/>
  <c r="AF629" i="1"/>
  <c r="AC629" i="1"/>
  <c r="AL629" i="1"/>
  <c r="AJ629" i="1"/>
  <c r="AM629" i="1" s="1"/>
  <c r="AE629" i="1"/>
  <c r="AD629" i="1"/>
  <c r="AH628" i="1"/>
  <c r="AG628" i="1"/>
  <c r="AI628" i="1"/>
  <c r="AE628" i="1"/>
  <c r="AJ628" i="1"/>
  <c r="AF628" i="1"/>
  <c r="AC628" i="1"/>
  <c r="AD628" i="1"/>
  <c r="AL628" i="1"/>
  <c r="AG627" i="1"/>
  <c r="AI627" i="1"/>
  <c r="AH627" i="1"/>
  <c r="AD627" i="1"/>
  <c r="AJ627" i="1"/>
  <c r="AL627" i="1"/>
  <c r="AF627" i="1"/>
  <c r="AC627" i="1"/>
  <c r="AE627" i="1"/>
  <c r="AI626" i="1"/>
  <c r="AG626" i="1"/>
  <c r="AH626" i="1"/>
  <c r="AC626" i="1"/>
  <c r="AJ626" i="1"/>
  <c r="AF626" i="1"/>
  <c r="AE626" i="1"/>
  <c r="AL626" i="1"/>
  <c r="AD626" i="1"/>
  <c r="AH625" i="1"/>
  <c r="AI625" i="1"/>
  <c r="AG625" i="1"/>
  <c r="AL625" i="1"/>
  <c r="AJ625" i="1"/>
  <c r="AM625" i="1" s="1"/>
  <c r="AF625" i="1"/>
  <c r="AC625" i="1"/>
  <c r="AE625" i="1"/>
  <c r="AD625" i="1"/>
  <c r="AH624" i="1"/>
  <c r="AI624" i="1"/>
  <c r="AG624" i="1"/>
  <c r="AD624" i="1"/>
  <c r="AE624" i="1"/>
  <c r="AJ624" i="1"/>
  <c r="AF624" i="1"/>
  <c r="AL624" i="1"/>
  <c r="AC624" i="1"/>
  <c r="AG623" i="1"/>
  <c r="AI623" i="1"/>
  <c r="AH623" i="1"/>
  <c r="AC623" i="1"/>
  <c r="AJ623" i="1"/>
  <c r="AL623" i="1"/>
  <c r="AE623" i="1"/>
  <c r="AD623" i="1"/>
  <c r="AF623" i="1"/>
  <c r="AH622" i="1"/>
  <c r="AG622" i="1"/>
  <c r="AI622" i="1"/>
  <c r="AE622" i="1"/>
  <c r="AD622" i="1"/>
  <c r="AJ622" i="1"/>
  <c r="AC622" i="1"/>
  <c r="AL622" i="1"/>
  <c r="AF622" i="1"/>
  <c r="AI621" i="1"/>
  <c r="AH621" i="1"/>
  <c r="AG621" i="1"/>
  <c r="AE621" i="1"/>
  <c r="AJ621" i="1"/>
  <c r="AC621" i="1"/>
  <c r="AD621" i="1"/>
  <c r="AF621" i="1"/>
  <c r="AL621" i="1"/>
  <c r="AG620" i="1"/>
  <c r="AI620" i="1"/>
  <c r="AH620" i="1"/>
  <c r="AC620" i="1"/>
  <c r="AD620" i="1"/>
  <c r="AE620" i="1"/>
  <c r="AF620" i="1"/>
  <c r="AL620" i="1"/>
  <c r="AJ620" i="1"/>
  <c r="AM620" i="1" s="1"/>
  <c r="AH619" i="1"/>
  <c r="AI619" i="1"/>
  <c r="AG619" i="1"/>
  <c r="AL619" i="1"/>
  <c r="AJ619" i="1"/>
  <c r="AM619" i="1" s="1"/>
  <c r="AF619" i="1"/>
  <c r="AE619" i="1"/>
  <c r="AC619" i="1"/>
  <c r="AD619" i="1"/>
  <c r="AG618" i="1"/>
  <c r="AH618" i="1"/>
  <c r="AI618" i="1"/>
  <c r="AJ618" i="1"/>
  <c r="AL618" i="1"/>
  <c r="AF618" i="1"/>
  <c r="AC618" i="1"/>
  <c r="AE618" i="1"/>
  <c r="AD618" i="1"/>
  <c r="AH617" i="1"/>
  <c r="AI617" i="1"/>
  <c r="AG617" i="1"/>
  <c r="AJ617" i="1"/>
  <c r="AC617" i="1"/>
  <c r="AF617" i="1"/>
  <c r="AE617" i="1"/>
  <c r="AL617" i="1"/>
  <c r="AD617" i="1"/>
  <c r="AI616" i="1"/>
  <c r="AH616" i="1"/>
  <c r="AG616" i="1"/>
  <c r="AD616" i="1"/>
  <c r="AC616" i="1"/>
  <c r="AL616" i="1"/>
  <c r="AE616" i="1"/>
  <c r="AJ616" i="1"/>
  <c r="AM616" i="1" s="1"/>
  <c r="AF616" i="1"/>
  <c r="AG615" i="1"/>
  <c r="AI615" i="1"/>
  <c r="AH615" i="1"/>
  <c r="AC615" i="1"/>
  <c r="AE615" i="1"/>
  <c r="AJ615" i="1"/>
  <c r="AF615" i="1"/>
  <c r="AD615" i="1"/>
  <c r="AL615" i="1"/>
  <c r="AI614" i="1"/>
  <c r="AH614" i="1"/>
  <c r="AG614" i="1"/>
  <c r="AF614" i="1"/>
  <c r="AD614" i="1"/>
  <c r="AC614" i="1"/>
  <c r="AE614" i="1"/>
  <c r="AL614" i="1"/>
  <c r="AJ614" i="1"/>
  <c r="AM614" i="1" s="1"/>
  <c r="AI613" i="1"/>
  <c r="AH613" i="1"/>
  <c r="AG613" i="1"/>
  <c r="AC613" i="1"/>
  <c r="AE613" i="1"/>
  <c r="AJ613" i="1"/>
  <c r="AD613" i="1"/>
  <c r="AL613" i="1"/>
  <c r="AF613" i="1"/>
  <c r="AH612" i="1"/>
  <c r="AG612" i="1"/>
  <c r="AF612" i="1"/>
  <c r="AC612" i="1"/>
  <c r="AE612" i="1"/>
  <c r="AD612" i="1"/>
  <c r="AJ612" i="1"/>
  <c r="AL612" i="1"/>
  <c r="AH611" i="1"/>
  <c r="AG611" i="1"/>
  <c r="AI611" i="1"/>
  <c r="AL611" i="1"/>
  <c r="AD611" i="1"/>
  <c r="AF611" i="1"/>
  <c r="AJ611" i="1"/>
  <c r="AM611" i="1" s="1"/>
  <c r="AE611" i="1"/>
  <c r="AC611" i="1"/>
  <c r="AH610" i="1"/>
  <c r="AI610" i="1"/>
  <c r="AG610" i="1"/>
  <c r="AL610" i="1"/>
  <c r="AE610" i="1"/>
  <c r="AC610" i="1"/>
  <c r="AJ610" i="1"/>
  <c r="AM610" i="1" s="1"/>
  <c r="AF610" i="1"/>
  <c r="AD610" i="1"/>
  <c r="AH609" i="1"/>
  <c r="AI609" i="1"/>
  <c r="AG609" i="1"/>
  <c r="AJ609" i="1"/>
  <c r="AL609" i="1"/>
  <c r="AE609" i="1"/>
  <c r="AD609" i="1"/>
  <c r="AC609" i="1"/>
  <c r="AF609" i="1"/>
  <c r="AG608" i="1"/>
  <c r="AH608" i="1"/>
  <c r="AI608" i="1"/>
  <c r="AD608" i="1"/>
  <c r="AJ608" i="1"/>
  <c r="AF608" i="1"/>
  <c r="AE608" i="1"/>
  <c r="AL608" i="1"/>
  <c r="AC608" i="1"/>
  <c r="AH607" i="1"/>
  <c r="AI607" i="1"/>
  <c r="AG607" i="1"/>
  <c r="AD607" i="1"/>
  <c r="AF607" i="1"/>
  <c r="AJ607" i="1"/>
  <c r="AL607" i="1"/>
  <c r="AE607" i="1"/>
  <c r="AC607" i="1"/>
  <c r="AH606" i="1"/>
  <c r="AG606" i="1"/>
  <c r="AI606" i="1"/>
  <c r="AL606" i="1"/>
  <c r="AE606" i="1"/>
  <c r="AD606" i="1"/>
  <c r="AF606" i="1"/>
  <c r="AJ606" i="1"/>
  <c r="AM606" i="1" s="1"/>
  <c r="AC606" i="1"/>
  <c r="AH605" i="1"/>
  <c r="AG605" i="1"/>
  <c r="AI605" i="1"/>
  <c r="AL605" i="1"/>
  <c r="AJ605" i="1"/>
  <c r="AM605" i="1" s="1"/>
  <c r="AE605" i="1"/>
  <c r="AC605" i="1"/>
  <c r="AF605" i="1"/>
  <c r="AD605" i="1"/>
  <c r="AH604" i="1"/>
  <c r="AG604" i="1"/>
  <c r="AI604" i="1"/>
  <c r="AE604" i="1"/>
  <c r="AJ604" i="1"/>
  <c r="AL604" i="1"/>
  <c r="AD604" i="1"/>
  <c r="AC604" i="1"/>
  <c r="AF604" i="1"/>
  <c r="AG603" i="1"/>
  <c r="AI603" i="1"/>
  <c r="AH603" i="1"/>
  <c r="AC603" i="1"/>
  <c r="AE603" i="1"/>
  <c r="AD603" i="1"/>
  <c r="AF603" i="1"/>
  <c r="AJ603" i="1"/>
  <c r="AL603" i="1"/>
  <c r="AI602" i="1"/>
  <c r="AH602" i="1"/>
  <c r="AG602" i="1"/>
  <c r="AD602" i="1"/>
  <c r="AL602" i="1"/>
  <c r="AE602" i="1"/>
  <c r="AF602" i="1"/>
  <c r="AC602" i="1"/>
  <c r="AJ602" i="1"/>
  <c r="AM602" i="1" s="1"/>
  <c r="AH601" i="1"/>
  <c r="AI601" i="1"/>
  <c r="AG601" i="1"/>
  <c r="AJ601" i="1"/>
  <c r="AF601" i="1"/>
  <c r="AD601" i="1"/>
  <c r="AL601" i="1"/>
  <c r="AE601" i="1"/>
  <c r="AC601" i="1"/>
  <c r="AI600" i="1"/>
  <c r="AH600" i="1"/>
  <c r="AG600" i="1"/>
  <c r="AC600" i="1"/>
  <c r="AE600" i="1"/>
  <c r="AJ600" i="1"/>
  <c r="AF600" i="1"/>
  <c r="AL600" i="1"/>
  <c r="AD600" i="1"/>
  <c r="AG599" i="1"/>
  <c r="AH599" i="1"/>
  <c r="AI599" i="1"/>
  <c r="AF599" i="1"/>
  <c r="AC599" i="1"/>
  <c r="AD599" i="1"/>
  <c r="AJ599" i="1"/>
  <c r="AE599" i="1"/>
  <c r="AL599" i="1"/>
  <c r="AG598" i="1"/>
  <c r="AI598" i="1"/>
  <c r="AH598" i="1"/>
  <c r="AD598" i="1"/>
  <c r="AF598" i="1"/>
  <c r="AE598" i="1"/>
  <c r="AL598" i="1"/>
  <c r="AJ598" i="1"/>
  <c r="AC598" i="1"/>
  <c r="AH597" i="1"/>
  <c r="AG597" i="1"/>
  <c r="AI597" i="1"/>
  <c r="AE597" i="1"/>
  <c r="AJ597" i="1"/>
  <c r="AD597" i="1"/>
  <c r="AL597" i="1"/>
  <c r="AC597" i="1"/>
  <c r="AF597" i="1"/>
  <c r="AH596" i="1"/>
  <c r="AG596" i="1"/>
  <c r="AI596" i="1"/>
  <c r="AL596" i="1"/>
  <c r="AE596" i="1"/>
  <c r="AC596" i="1"/>
  <c r="AD596" i="1"/>
  <c r="AJ596" i="1"/>
  <c r="AM596" i="1" s="1"/>
  <c r="AF596" i="1"/>
  <c r="AI595" i="1"/>
  <c r="AG595" i="1"/>
  <c r="AH595" i="1"/>
  <c r="AF595" i="1"/>
  <c r="AJ595" i="1"/>
  <c r="AL595" i="1"/>
  <c r="AE595" i="1"/>
  <c r="AC595" i="1"/>
  <c r="AD595" i="1"/>
  <c r="AH594" i="1"/>
  <c r="AG594" i="1"/>
  <c r="AI594" i="1"/>
  <c r="AD594" i="1"/>
  <c r="AE594" i="1"/>
  <c r="AL594" i="1"/>
  <c r="AF594" i="1"/>
  <c r="AC594" i="1"/>
  <c r="AJ594" i="1"/>
  <c r="AM594" i="1" s="1"/>
  <c r="AI593" i="1"/>
  <c r="AG593" i="1"/>
  <c r="AH593" i="1"/>
  <c r="AD593" i="1"/>
  <c r="AF593" i="1"/>
  <c r="AJ593" i="1"/>
  <c r="AC593" i="1"/>
  <c r="AE593" i="1"/>
  <c r="AL593" i="1"/>
  <c r="AG592" i="1"/>
  <c r="AH592" i="1"/>
  <c r="AI592" i="1"/>
  <c r="AD592" i="1"/>
  <c r="AE592" i="1"/>
  <c r="AL592" i="1"/>
  <c r="AJ592" i="1"/>
  <c r="AM592" i="1" s="1"/>
  <c r="AF592" i="1"/>
  <c r="AC592" i="1"/>
  <c r="AG591" i="1"/>
  <c r="AI591" i="1"/>
  <c r="AH591" i="1"/>
  <c r="AJ591" i="1"/>
  <c r="AL591" i="1"/>
  <c r="AC591" i="1"/>
  <c r="AE591" i="1"/>
  <c r="AD591" i="1"/>
  <c r="AF591" i="1"/>
  <c r="AH590" i="1"/>
  <c r="AG590" i="1"/>
  <c r="AI590" i="1"/>
  <c r="AF590" i="1"/>
  <c r="AD590" i="1"/>
  <c r="AC590" i="1"/>
  <c r="AE590" i="1"/>
  <c r="AJ590" i="1"/>
  <c r="AL590" i="1"/>
  <c r="AI589" i="1"/>
  <c r="AH589" i="1"/>
  <c r="AG589" i="1"/>
  <c r="AF589" i="1"/>
  <c r="AD589" i="1"/>
  <c r="AJ589" i="1"/>
  <c r="AL589" i="1"/>
  <c r="AC589" i="1"/>
  <c r="AE589" i="1"/>
  <c r="AH588" i="1"/>
  <c r="AG588" i="1"/>
  <c r="AI588" i="1"/>
  <c r="AE588" i="1"/>
  <c r="AC588" i="1"/>
  <c r="AL588" i="1"/>
  <c r="AJ588" i="1"/>
  <c r="AM588" i="1" s="1"/>
  <c r="AD588" i="1"/>
  <c r="AF588" i="1"/>
  <c r="AH587" i="1"/>
  <c r="AG587" i="1"/>
  <c r="AI587" i="1"/>
  <c r="AC587" i="1"/>
  <c r="AF587" i="1"/>
  <c r="AD587" i="1"/>
  <c r="AJ587" i="1"/>
  <c r="AE587" i="1"/>
  <c r="AL587" i="1"/>
  <c r="AG586" i="1"/>
  <c r="AH586" i="1"/>
  <c r="AI586" i="1"/>
  <c r="AL586" i="1"/>
  <c r="AF586" i="1"/>
  <c r="AJ586" i="1"/>
  <c r="AM586" i="1" s="1"/>
  <c r="AD586" i="1"/>
  <c r="AE586" i="1"/>
  <c r="AC586" i="1"/>
  <c r="AH585" i="1"/>
  <c r="AG585" i="1"/>
  <c r="AI585" i="1"/>
  <c r="AD585" i="1"/>
  <c r="AJ585" i="1"/>
  <c r="AC585" i="1"/>
  <c r="AE585" i="1"/>
  <c r="AL585" i="1"/>
  <c r="AF585" i="1"/>
  <c r="AG584" i="1"/>
  <c r="AI584" i="1"/>
  <c r="AH584" i="1"/>
  <c r="AE584" i="1"/>
  <c r="AL584" i="1"/>
  <c r="AF584" i="1"/>
  <c r="AD584" i="1"/>
  <c r="AC584" i="1"/>
  <c r="AJ584" i="1"/>
  <c r="AM584" i="1" s="1"/>
  <c r="AG583" i="1"/>
  <c r="AI583" i="1"/>
  <c r="AH583" i="1"/>
  <c r="AF583" i="1"/>
  <c r="AC583" i="1"/>
  <c r="AE583" i="1"/>
  <c r="AJ583" i="1"/>
  <c r="AL583" i="1"/>
  <c r="AD583" i="1"/>
  <c r="AH582" i="1"/>
  <c r="AG582" i="1"/>
  <c r="AI582" i="1"/>
  <c r="AC582" i="1"/>
  <c r="AE582" i="1"/>
  <c r="AJ582" i="1"/>
  <c r="AD582" i="1"/>
  <c r="AF582" i="1"/>
  <c r="AL582" i="1"/>
  <c r="AG581" i="1"/>
  <c r="AI581" i="1"/>
  <c r="AH581" i="1"/>
  <c r="AC581" i="1"/>
  <c r="AD581" i="1"/>
  <c r="AF581" i="1"/>
  <c r="AL581" i="1"/>
  <c r="AJ581" i="1"/>
  <c r="AM581" i="1" s="1"/>
  <c r="AE581" i="1"/>
  <c r="AH580" i="1"/>
  <c r="AI580" i="1"/>
  <c r="AG580" i="1"/>
  <c r="AJ580" i="1"/>
  <c r="AE580" i="1"/>
  <c r="AC580" i="1"/>
  <c r="AF580" i="1"/>
  <c r="AL580" i="1"/>
  <c r="AD580" i="1"/>
  <c r="AH579" i="1"/>
  <c r="AG579" i="1"/>
  <c r="AI579" i="1"/>
  <c r="AE579" i="1"/>
  <c r="AC579" i="1"/>
  <c r="AD579" i="1"/>
  <c r="AL579" i="1"/>
  <c r="AJ579" i="1"/>
  <c r="AM579" i="1" s="1"/>
  <c r="AF579" i="1"/>
  <c r="AG578" i="1"/>
  <c r="AH578" i="1"/>
  <c r="AI578" i="1"/>
  <c r="AE578" i="1"/>
  <c r="AC578" i="1"/>
  <c r="AF578" i="1"/>
  <c r="AD578" i="1"/>
  <c r="AL578" i="1"/>
  <c r="AJ578" i="1"/>
  <c r="AG577" i="1"/>
  <c r="AI577" i="1"/>
  <c r="AH577" i="1"/>
  <c r="AC577" i="1"/>
  <c r="AJ577" i="1"/>
  <c r="AE577" i="1"/>
  <c r="AL577" i="1"/>
  <c r="AF577" i="1"/>
  <c r="AD577" i="1"/>
  <c r="AH576" i="1"/>
  <c r="AG576" i="1"/>
  <c r="AI576" i="1"/>
  <c r="AL576" i="1"/>
  <c r="AF576" i="1"/>
  <c r="AJ576" i="1"/>
  <c r="AM576" i="1" s="1"/>
  <c r="AE576" i="1"/>
  <c r="AC576" i="1"/>
  <c r="AD576" i="1"/>
  <c r="AI575" i="1"/>
  <c r="AG575" i="1"/>
  <c r="AH575" i="1"/>
  <c r="AL575" i="1"/>
  <c r="AF575" i="1"/>
  <c r="AC575" i="1"/>
  <c r="AD575" i="1"/>
  <c r="AJ575" i="1"/>
  <c r="AM575" i="1" s="1"/>
  <c r="AE575" i="1"/>
  <c r="AG574" i="1"/>
  <c r="AH574" i="1"/>
  <c r="AI574" i="1"/>
  <c r="AL574" i="1"/>
  <c r="AD574" i="1"/>
  <c r="AJ574" i="1"/>
  <c r="AM574" i="1" s="1"/>
  <c r="AC574" i="1"/>
  <c r="AE574" i="1"/>
  <c r="AF574" i="1"/>
  <c r="AH573" i="1"/>
  <c r="AG573" i="1"/>
  <c r="AI573" i="1"/>
  <c r="AD573" i="1"/>
  <c r="AJ573" i="1"/>
  <c r="AL573" i="1"/>
  <c r="AC573" i="1"/>
  <c r="AE573" i="1"/>
  <c r="AF573" i="1"/>
  <c r="AI572" i="1"/>
  <c r="AG572" i="1"/>
  <c r="AH572" i="1"/>
  <c r="AJ572" i="1"/>
  <c r="AE572" i="1"/>
  <c r="AC572" i="1"/>
  <c r="AL572" i="1"/>
  <c r="AD572" i="1"/>
  <c r="AF572" i="1"/>
  <c r="AG571" i="1"/>
  <c r="AI571" i="1"/>
  <c r="AH571" i="1"/>
  <c r="AD571" i="1"/>
  <c r="AL571" i="1"/>
  <c r="AF571" i="1"/>
  <c r="AJ571" i="1"/>
  <c r="AM571" i="1" s="1"/>
  <c r="AE571" i="1"/>
  <c r="AC571" i="1"/>
  <c r="AI570" i="1"/>
  <c r="AH570" i="1"/>
  <c r="AG570" i="1"/>
  <c r="AJ570" i="1"/>
  <c r="AE570" i="1"/>
  <c r="AC570" i="1"/>
  <c r="AD570" i="1"/>
  <c r="AF570" i="1"/>
  <c r="AL570" i="1"/>
  <c r="AI569" i="1"/>
  <c r="AH569" i="1"/>
  <c r="AG569" i="1"/>
  <c r="AE569" i="1"/>
  <c r="AJ569" i="1"/>
  <c r="AD569" i="1"/>
  <c r="AL569" i="1"/>
  <c r="AF569" i="1"/>
  <c r="AC569" i="1"/>
  <c r="AH568" i="1"/>
  <c r="AG568" i="1"/>
  <c r="AI568" i="1"/>
  <c r="AC568" i="1"/>
  <c r="AD568" i="1"/>
  <c r="AJ568" i="1"/>
  <c r="AE568" i="1"/>
  <c r="AF568" i="1"/>
  <c r="AL568" i="1"/>
  <c r="AH567" i="1"/>
  <c r="AI567" i="1"/>
  <c r="AG567" i="1"/>
  <c r="AC567" i="1"/>
  <c r="AD567" i="1"/>
  <c r="AF567" i="1"/>
  <c r="AJ567" i="1"/>
  <c r="AL567" i="1"/>
  <c r="AE567" i="1"/>
  <c r="AI566" i="1"/>
  <c r="AG566" i="1"/>
  <c r="AH566" i="1"/>
  <c r="AC566" i="1"/>
  <c r="AL566" i="1"/>
  <c r="AJ566" i="1"/>
  <c r="AM566" i="1" s="1"/>
  <c r="AE566" i="1"/>
  <c r="AD566" i="1"/>
  <c r="AF566" i="1"/>
  <c r="AH565" i="1"/>
  <c r="AG565" i="1"/>
  <c r="AI565" i="1"/>
  <c r="AF565" i="1"/>
  <c r="AL565" i="1"/>
  <c r="AE565" i="1"/>
  <c r="AC565" i="1"/>
  <c r="AD565" i="1"/>
  <c r="AJ565" i="1"/>
  <c r="AI564" i="1"/>
  <c r="AG564" i="1"/>
  <c r="AH564" i="1"/>
  <c r="AF564" i="1"/>
  <c r="AC564" i="1"/>
  <c r="AJ564" i="1"/>
  <c r="AL564" i="1"/>
  <c r="AD564" i="1"/>
  <c r="AE564" i="1"/>
  <c r="AG563" i="1"/>
  <c r="AI563" i="1"/>
  <c r="AH563" i="1"/>
  <c r="AC563" i="1"/>
  <c r="AJ563" i="1"/>
  <c r="AM563" i="1" s="1"/>
  <c r="AD563" i="1"/>
  <c r="AF563" i="1"/>
  <c r="AE563" i="1"/>
  <c r="AG562" i="1"/>
  <c r="AH562" i="1"/>
  <c r="AI562" i="1"/>
  <c r="AL562" i="1"/>
  <c r="AJ562" i="1"/>
  <c r="AM562" i="1" s="1"/>
  <c r="AF562" i="1"/>
  <c r="AD562" i="1"/>
  <c r="AC562" i="1"/>
  <c r="AE562" i="1"/>
  <c r="AH561" i="1"/>
  <c r="AG561" i="1"/>
  <c r="AI561" i="1"/>
  <c r="AJ561" i="1"/>
  <c r="AF561" i="1"/>
  <c r="AC561" i="1"/>
  <c r="AL561" i="1"/>
  <c r="AD561" i="1"/>
  <c r="AE561" i="1"/>
  <c r="AG560" i="1"/>
  <c r="AI560" i="1"/>
  <c r="AH560" i="1"/>
  <c r="AL560" i="1"/>
  <c r="AJ560" i="1"/>
  <c r="AE560" i="1"/>
  <c r="AD560" i="1"/>
  <c r="AF560" i="1"/>
  <c r="AC560" i="1"/>
  <c r="AI559" i="1"/>
  <c r="AG559" i="1"/>
  <c r="AH559" i="1"/>
  <c r="AF559" i="1"/>
  <c r="AC559" i="1"/>
  <c r="AE559" i="1"/>
  <c r="AL559" i="1"/>
  <c r="AJ559" i="1"/>
  <c r="AD559" i="1"/>
  <c r="AI558" i="1"/>
  <c r="AG558" i="1"/>
  <c r="AH558" i="1"/>
  <c r="AJ558" i="1"/>
  <c r="AF558" i="1"/>
  <c r="AE558" i="1"/>
  <c r="AC558" i="1"/>
  <c r="AL558" i="1"/>
  <c r="AD558" i="1"/>
  <c r="AH557" i="1"/>
  <c r="AI557" i="1"/>
  <c r="AG557" i="1"/>
  <c r="AJ557" i="1"/>
  <c r="AF557" i="1"/>
  <c r="AL557" i="1"/>
  <c r="AE557" i="1"/>
  <c r="AD557" i="1"/>
  <c r="AC557" i="1"/>
  <c r="AI556" i="1"/>
  <c r="AH556" i="1"/>
  <c r="AG556" i="1"/>
  <c r="AC556" i="1"/>
  <c r="AF556" i="1"/>
  <c r="AE556" i="1"/>
  <c r="AL556" i="1"/>
  <c r="AD556" i="1"/>
  <c r="AJ556" i="1"/>
  <c r="AG555" i="1"/>
  <c r="AH555" i="1"/>
  <c r="AI555" i="1"/>
  <c r="AF555" i="1"/>
  <c r="AJ555" i="1"/>
  <c r="AE555" i="1"/>
  <c r="AD555" i="1"/>
  <c r="AC555" i="1"/>
  <c r="AL555" i="1"/>
  <c r="AI554" i="1"/>
  <c r="AH554" i="1"/>
  <c r="AG554" i="1"/>
  <c r="AE554" i="1"/>
  <c r="AC554" i="1"/>
  <c r="AD554" i="1"/>
  <c r="AF554" i="1"/>
  <c r="AJ554" i="1"/>
  <c r="AL554" i="1"/>
  <c r="AG553" i="1"/>
  <c r="AH553" i="1"/>
  <c r="AI553" i="1"/>
  <c r="AD553" i="1"/>
  <c r="AE553" i="1"/>
  <c r="AF553" i="1"/>
  <c r="AJ553" i="1"/>
  <c r="AL553" i="1"/>
  <c r="AC553" i="1"/>
  <c r="AG552" i="1"/>
  <c r="AH552" i="1"/>
  <c r="AI552" i="1"/>
  <c r="AD552" i="1"/>
  <c r="AL552" i="1"/>
  <c r="AC552" i="1"/>
  <c r="AJ552" i="1"/>
  <c r="AM552" i="1" s="1"/>
  <c r="AE552" i="1"/>
  <c r="AF552" i="1"/>
  <c r="AH551" i="1"/>
  <c r="AG551" i="1"/>
  <c r="AI551" i="1"/>
  <c r="AE551" i="1"/>
  <c r="AJ551" i="1"/>
  <c r="AD551" i="1"/>
  <c r="AL551" i="1"/>
  <c r="AF551" i="1"/>
  <c r="AC551" i="1"/>
  <c r="AI550" i="1"/>
  <c r="AH550" i="1"/>
  <c r="AG550" i="1"/>
  <c r="AL550" i="1"/>
  <c r="AF550" i="1"/>
  <c r="AE550" i="1"/>
  <c r="AC550" i="1"/>
  <c r="AD550" i="1"/>
  <c r="AJ550" i="1"/>
  <c r="AM550" i="1" s="1"/>
  <c r="AG549" i="1"/>
  <c r="AI549" i="1"/>
  <c r="AH549" i="1"/>
  <c r="AJ549" i="1"/>
  <c r="AL549" i="1"/>
  <c r="AF549" i="1"/>
  <c r="AE549" i="1"/>
  <c r="AD549" i="1"/>
  <c r="AC549" i="1"/>
  <c r="AG548" i="1"/>
  <c r="AI548" i="1"/>
  <c r="AH548" i="1"/>
  <c r="AC548" i="1"/>
  <c r="AE548" i="1"/>
  <c r="AF548" i="1"/>
  <c r="AJ548" i="1"/>
  <c r="AL548" i="1"/>
  <c r="AD548" i="1"/>
  <c r="AI547" i="1"/>
  <c r="AG547" i="1"/>
  <c r="AH547" i="1"/>
  <c r="AC547" i="1"/>
  <c r="AD547" i="1"/>
  <c r="AF547" i="1"/>
  <c r="AE547" i="1"/>
  <c r="AL547" i="1"/>
  <c r="AJ547" i="1"/>
  <c r="AM547" i="1" s="1"/>
  <c r="AG546" i="1"/>
  <c r="AI546" i="1"/>
  <c r="AH546" i="1"/>
  <c r="AF546" i="1"/>
  <c r="AE546" i="1"/>
  <c r="AC546" i="1"/>
  <c r="AJ546" i="1"/>
  <c r="AL546" i="1"/>
  <c r="AD546" i="1"/>
  <c r="AG545" i="1"/>
  <c r="AI545" i="1"/>
  <c r="AH545" i="1"/>
  <c r="AJ545" i="1"/>
  <c r="AC545" i="1"/>
  <c r="AL545" i="1"/>
  <c r="AD545" i="1"/>
  <c r="AE545" i="1"/>
  <c r="AF545" i="1"/>
  <c r="AH544" i="1"/>
  <c r="AG544" i="1"/>
  <c r="AI544" i="1"/>
  <c r="AL544" i="1"/>
  <c r="AF544" i="1"/>
  <c r="AD544" i="1"/>
  <c r="AC544" i="1"/>
  <c r="AE544" i="1"/>
  <c r="AJ544" i="1"/>
  <c r="AM544" i="1" s="1"/>
  <c r="AG543" i="1"/>
  <c r="AI543" i="1"/>
  <c r="AH543" i="1"/>
  <c r="AD543" i="1"/>
  <c r="AL543" i="1"/>
  <c r="AJ543" i="1"/>
  <c r="AF543" i="1"/>
  <c r="AC543" i="1"/>
  <c r="AE543" i="1"/>
  <c r="AH542" i="1"/>
  <c r="AG542" i="1"/>
  <c r="AI542" i="1"/>
  <c r="AD542" i="1"/>
  <c r="AL542" i="1"/>
  <c r="AJ542" i="1"/>
  <c r="AF542" i="1"/>
  <c r="AC542" i="1"/>
  <c r="AE542" i="1"/>
  <c r="AG541" i="1"/>
  <c r="AI541" i="1"/>
  <c r="AH541" i="1"/>
  <c r="AL541" i="1"/>
  <c r="AJ541" i="1"/>
  <c r="AM541" i="1" s="1"/>
  <c r="AF541" i="1"/>
  <c r="AD541" i="1"/>
  <c r="AC541" i="1"/>
  <c r="AE541" i="1"/>
  <c r="AI540" i="1"/>
  <c r="AG540" i="1"/>
  <c r="AH540" i="1"/>
  <c r="AC540" i="1"/>
  <c r="AL540" i="1"/>
  <c r="AD540" i="1"/>
  <c r="AJ540" i="1"/>
  <c r="AM540" i="1" s="1"/>
  <c r="AF540" i="1"/>
  <c r="AE540" i="1"/>
  <c r="AG539" i="1"/>
  <c r="AH539" i="1"/>
  <c r="AI539" i="1"/>
  <c r="AF539" i="1"/>
  <c r="AL539" i="1"/>
  <c r="AJ539" i="1"/>
  <c r="AE539" i="1"/>
  <c r="AD539" i="1"/>
  <c r="AC539" i="1"/>
  <c r="AI538" i="1"/>
  <c r="AH538" i="1"/>
  <c r="AG538" i="1"/>
  <c r="AE538" i="1"/>
  <c r="AD538" i="1"/>
  <c r="AL538" i="1"/>
  <c r="AJ538" i="1"/>
  <c r="AF538" i="1"/>
  <c r="AC538" i="1"/>
  <c r="AG537" i="1"/>
  <c r="AI537" i="1"/>
  <c r="AH537" i="1"/>
  <c r="AE537" i="1"/>
  <c r="AF537" i="1"/>
  <c r="AJ537" i="1"/>
  <c r="AL537" i="1"/>
  <c r="AC537" i="1"/>
  <c r="AD537" i="1"/>
  <c r="AG536" i="1"/>
  <c r="AH536" i="1"/>
  <c r="AI536" i="1"/>
  <c r="AF536" i="1"/>
  <c r="AE536" i="1"/>
  <c r="AC536" i="1"/>
  <c r="AD536" i="1"/>
  <c r="AJ536" i="1"/>
  <c r="AL536" i="1"/>
  <c r="AI535" i="1"/>
  <c r="AH535" i="1"/>
  <c r="AG535" i="1"/>
  <c r="AL535" i="1"/>
  <c r="AE535" i="1"/>
  <c r="AF535" i="1"/>
  <c r="AD535" i="1"/>
  <c r="AC535" i="1"/>
  <c r="AJ535" i="1"/>
  <c r="AM535" i="1" s="1"/>
  <c r="AH534" i="1"/>
  <c r="AG534" i="1"/>
  <c r="AI534" i="1"/>
  <c r="AE534" i="1"/>
  <c r="AD534" i="1"/>
  <c r="AJ534" i="1"/>
  <c r="AF534" i="1"/>
  <c r="AC534" i="1"/>
  <c r="AL534" i="1"/>
  <c r="AI533" i="1"/>
  <c r="AH533" i="1"/>
  <c r="AG533" i="1"/>
  <c r="AD533" i="1"/>
  <c r="AE533" i="1"/>
  <c r="AC533" i="1"/>
  <c r="AL533" i="1"/>
  <c r="AF533" i="1"/>
  <c r="AJ533" i="1"/>
  <c r="AI532" i="1"/>
  <c r="AG532" i="1"/>
  <c r="AH532" i="1"/>
  <c r="AJ532" i="1"/>
  <c r="AF532" i="1"/>
  <c r="AD532" i="1"/>
  <c r="AC532" i="1"/>
  <c r="AE532" i="1"/>
  <c r="AL532" i="1"/>
  <c r="AH531" i="1"/>
  <c r="AG531" i="1"/>
  <c r="AI531" i="1"/>
  <c r="AE531" i="1"/>
  <c r="AF531" i="1"/>
  <c r="AD531" i="1"/>
  <c r="AJ531" i="1"/>
  <c r="AC531" i="1"/>
  <c r="AL531" i="1"/>
  <c r="AG530" i="1"/>
  <c r="AH530" i="1"/>
  <c r="AI530" i="1"/>
  <c r="AC530" i="1"/>
  <c r="AD530" i="1"/>
  <c r="AF530" i="1"/>
  <c r="AJ530" i="1"/>
  <c r="AL530" i="1"/>
  <c r="AE530" i="1"/>
  <c r="AH529" i="1"/>
  <c r="AI529" i="1"/>
  <c r="AG529" i="1"/>
  <c r="AE529" i="1"/>
  <c r="AJ529" i="1"/>
  <c r="AL529" i="1"/>
  <c r="AF529" i="1"/>
  <c r="AD529" i="1"/>
  <c r="AC529" i="1"/>
  <c r="AG528" i="1"/>
  <c r="AI528" i="1"/>
  <c r="AH528" i="1"/>
  <c r="AF528" i="1"/>
  <c r="AJ528" i="1"/>
  <c r="AC528" i="1"/>
  <c r="AD528" i="1"/>
  <c r="AL528" i="1"/>
  <c r="AE528" i="1"/>
  <c r="AH527" i="1"/>
  <c r="AI527" i="1"/>
  <c r="AG527" i="1"/>
  <c r="AD527" i="1"/>
  <c r="AE527" i="1"/>
  <c r="AL527" i="1"/>
  <c r="AF527" i="1"/>
  <c r="AJ527" i="1"/>
  <c r="AC527" i="1"/>
  <c r="AG526" i="1"/>
  <c r="AI526" i="1"/>
  <c r="AH526" i="1"/>
  <c r="AD526" i="1"/>
  <c r="AC526" i="1"/>
  <c r="AL526" i="1"/>
  <c r="AJ526" i="1"/>
  <c r="AF526" i="1"/>
  <c r="AE526" i="1"/>
  <c r="AG525" i="1"/>
  <c r="AH525" i="1"/>
  <c r="AI525" i="1"/>
  <c r="AD525" i="1"/>
  <c r="AL525" i="1"/>
  <c r="AC525" i="1"/>
  <c r="AE525" i="1"/>
  <c r="AF525" i="1"/>
  <c r="AJ525" i="1"/>
  <c r="AM525" i="1" s="1"/>
  <c r="AH524" i="1"/>
  <c r="AG524" i="1"/>
  <c r="AI524" i="1"/>
  <c r="AD524" i="1"/>
  <c r="AE524" i="1"/>
  <c r="AF524" i="1"/>
  <c r="AC524" i="1"/>
  <c r="AL524" i="1"/>
  <c r="AJ524" i="1"/>
  <c r="AH523" i="1"/>
  <c r="AI523" i="1"/>
  <c r="AG523" i="1"/>
  <c r="AE523" i="1"/>
  <c r="AD523" i="1"/>
  <c r="AC523" i="1"/>
  <c r="AL523" i="1"/>
  <c r="AJ523" i="1"/>
  <c r="AF523" i="1"/>
  <c r="AI522" i="1"/>
  <c r="AG522" i="1"/>
  <c r="AH522" i="1"/>
  <c r="AL522" i="1"/>
  <c r="AJ522" i="1"/>
  <c r="AF522" i="1"/>
  <c r="AE522" i="1"/>
  <c r="AC522" i="1"/>
  <c r="AD522" i="1"/>
  <c r="AH521" i="1"/>
  <c r="AI521" i="1"/>
  <c r="AG521" i="1"/>
  <c r="AL521" i="1"/>
  <c r="AD521" i="1"/>
  <c r="AC521" i="1"/>
  <c r="AJ521" i="1"/>
  <c r="AM521" i="1" s="1"/>
  <c r="AE521" i="1"/>
  <c r="AF521" i="1"/>
  <c r="AG520" i="1"/>
  <c r="AI520" i="1"/>
  <c r="AH520" i="1"/>
  <c r="AJ520" i="1"/>
  <c r="AF520" i="1"/>
  <c r="AE520" i="1"/>
  <c r="AL520" i="1"/>
  <c r="AD520" i="1"/>
  <c r="AC520" i="1"/>
  <c r="AH519" i="1"/>
  <c r="AI519" i="1"/>
  <c r="AG519" i="1"/>
  <c r="AF519" i="1"/>
  <c r="AJ519" i="1"/>
  <c r="AL519" i="1"/>
  <c r="AE519" i="1"/>
  <c r="AC519" i="1"/>
  <c r="AD519" i="1"/>
  <c r="AG518" i="1"/>
  <c r="AH518" i="1"/>
  <c r="AI518" i="1"/>
  <c r="AE518" i="1"/>
  <c r="AF518" i="1"/>
  <c r="AL518" i="1"/>
  <c r="AJ518" i="1"/>
  <c r="AD518" i="1"/>
  <c r="AC518" i="1"/>
  <c r="AG517" i="1"/>
  <c r="AH517" i="1"/>
  <c r="AI517" i="1"/>
  <c r="AL517" i="1"/>
  <c r="AD517" i="1"/>
  <c r="AC517" i="1"/>
  <c r="AF517" i="1"/>
  <c r="AJ517" i="1"/>
  <c r="AM517" i="1" s="1"/>
  <c r="AE517" i="1"/>
  <c r="AH516" i="1"/>
  <c r="AG516" i="1"/>
  <c r="AI516" i="1"/>
  <c r="AL516" i="1"/>
  <c r="AF516" i="1"/>
  <c r="AC516" i="1"/>
  <c r="AE516" i="1"/>
  <c r="AD516" i="1"/>
  <c r="AJ516" i="1"/>
  <c r="AM516" i="1" s="1"/>
  <c r="AI515" i="1"/>
  <c r="AH515" i="1"/>
  <c r="AG515" i="1"/>
  <c r="AF515" i="1"/>
  <c r="AC515" i="1"/>
  <c r="AE515" i="1"/>
  <c r="AL515" i="1"/>
  <c r="AD515" i="1"/>
  <c r="AJ515" i="1"/>
  <c r="AG514" i="1"/>
  <c r="AI514" i="1"/>
  <c r="AH514" i="1"/>
  <c r="AF514" i="1"/>
  <c r="AD514" i="1"/>
  <c r="AC514" i="1"/>
  <c r="AE514" i="1"/>
  <c r="AJ514" i="1"/>
  <c r="AL514" i="1"/>
  <c r="AG513" i="1"/>
  <c r="AH513" i="1"/>
  <c r="AI513" i="1"/>
  <c r="AE513" i="1"/>
  <c r="AF513" i="1" s="1"/>
  <c r="AL513" i="1"/>
  <c r="AD513" i="1"/>
  <c r="AC513" i="1"/>
  <c r="AJ513" i="1"/>
  <c r="AH512" i="1"/>
  <c r="AG512" i="1"/>
  <c r="AI512" i="1"/>
  <c r="AL512" i="1"/>
  <c r="AJ512" i="1"/>
  <c r="AE512" i="1"/>
  <c r="AF512" i="1" s="1"/>
  <c r="AC512" i="1"/>
  <c r="AD512" i="1"/>
  <c r="AG511" i="1"/>
  <c r="AI511" i="1"/>
  <c r="AH511" i="1"/>
  <c r="AL511" i="1"/>
  <c r="AC511" i="1"/>
  <c r="AD511" i="1"/>
  <c r="AE511" i="1"/>
  <c r="AF511" i="1" s="1"/>
  <c r="AJ511" i="1"/>
  <c r="AI510" i="1"/>
  <c r="AG510" i="1"/>
  <c r="AH510" i="1"/>
  <c r="AL510" i="1"/>
  <c r="AE510" i="1"/>
  <c r="AF510" i="1" s="1"/>
  <c r="AC510" i="1"/>
  <c r="AJ510" i="1"/>
  <c r="AD510" i="1"/>
  <c r="AI509" i="1"/>
  <c r="AH509" i="1"/>
  <c r="AG509" i="1"/>
  <c r="AD509" i="1"/>
  <c r="AE509" i="1"/>
  <c r="AC509" i="1"/>
  <c r="AL509" i="1"/>
  <c r="AJ509" i="1"/>
  <c r="AF509" i="1"/>
  <c r="AH508" i="1"/>
  <c r="AG508" i="1"/>
  <c r="AI508" i="1"/>
  <c r="AD508" i="1"/>
  <c r="AC508" i="1"/>
  <c r="AL508" i="1"/>
  <c r="AE508" i="1"/>
  <c r="AF508" i="1" s="1"/>
  <c r="AJ508" i="1"/>
  <c r="AG507" i="1"/>
  <c r="AI507" i="1"/>
  <c r="AH507" i="1"/>
  <c r="AL507" i="1"/>
  <c r="AE507" i="1"/>
  <c r="AF507" i="1" s="1"/>
  <c r="AC507" i="1"/>
  <c r="AD507" i="1"/>
  <c r="AJ507" i="1"/>
  <c r="AG506" i="1"/>
  <c r="AH506" i="1"/>
  <c r="AI506" i="1"/>
  <c r="AL506" i="1"/>
  <c r="AJ506" i="1"/>
  <c r="AD506" i="1"/>
  <c r="AE506" i="1"/>
  <c r="AF506" i="1" s="1"/>
  <c r="AC506" i="1"/>
  <c r="AI505" i="1"/>
  <c r="AG505" i="1"/>
  <c r="AH505" i="1"/>
  <c r="AE505" i="1"/>
  <c r="AF505" i="1" s="1"/>
  <c r="AC505" i="1"/>
  <c r="AD505" i="1"/>
  <c r="AL505" i="1"/>
  <c r="AJ505" i="1"/>
  <c r="AH504" i="1"/>
  <c r="AI504" i="1"/>
  <c r="AG504" i="1"/>
  <c r="AJ504" i="1"/>
  <c r="AL504" i="1"/>
  <c r="AE504" i="1"/>
  <c r="AF504" i="1" s="1"/>
  <c r="AC504" i="1"/>
  <c r="AD504" i="1"/>
  <c r="AG503" i="1"/>
  <c r="AI503" i="1"/>
  <c r="AH503" i="1"/>
  <c r="AD503" i="1"/>
  <c r="AE503" i="1"/>
  <c r="AF503" i="1" s="1"/>
  <c r="AJ503" i="1"/>
  <c r="AL503" i="1"/>
  <c r="AC503" i="1"/>
  <c r="AI502" i="1"/>
  <c r="AG502" i="1"/>
  <c r="AH502" i="1"/>
  <c r="AJ502" i="1"/>
  <c r="AL502" i="1"/>
  <c r="AE502" i="1"/>
  <c r="AF502" i="1" s="1"/>
  <c r="AD502" i="1"/>
  <c r="AC502" i="1"/>
  <c r="AG501" i="1"/>
  <c r="AH501" i="1"/>
  <c r="AI501" i="1"/>
  <c r="AD501" i="1"/>
  <c r="AF501" i="1"/>
  <c r="AE501" i="1"/>
  <c r="AL501" i="1"/>
  <c r="AJ501" i="1"/>
  <c r="AC501" i="1"/>
  <c r="AI500" i="1"/>
  <c r="AH500" i="1"/>
  <c r="AG500" i="1"/>
  <c r="AL500" i="1"/>
  <c r="AE500" i="1"/>
  <c r="AJ500" i="1"/>
  <c r="AF500" i="1"/>
  <c r="AD500" i="1"/>
  <c r="AC500" i="1"/>
  <c r="AG499" i="1"/>
  <c r="AI499" i="1"/>
  <c r="AH499" i="1"/>
  <c r="AD499" i="1"/>
  <c r="AC499" i="1"/>
  <c r="AF499" i="1"/>
  <c r="AL499" i="1"/>
  <c r="AJ499" i="1"/>
  <c r="AE499" i="1"/>
  <c r="AG498" i="1"/>
  <c r="AH498" i="1"/>
  <c r="AI498" i="1"/>
  <c r="AJ498" i="1"/>
  <c r="AE498" i="1"/>
  <c r="AD498" i="1"/>
  <c r="AF498" i="1"/>
  <c r="AL498" i="1"/>
  <c r="AC498" i="1"/>
  <c r="AH497" i="1"/>
  <c r="AI497" i="1"/>
  <c r="AG497" i="1"/>
  <c r="AL497" i="1"/>
  <c r="AD497" i="1"/>
  <c r="AF497" i="1"/>
  <c r="AC497" i="1"/>
  <c r="AE497" i="1"/>
  <c r="AJ497" i="1"/>
  <c r="AM497" i="1" s="1"/>
  <c r="AH496" i="1"/>
  <c r="AG496" i="1"/>
  <c r="AI496" i="1"/>
  <c r="AD496" i="1"/>
  <c r="AF496" i="1"/>
  <c r="AJ496" i="1"/>
  <c r="AL496" i="1"/>
  <c r="AE496" i="1"/>
  <c r="AC496" i="1"/>
  <c r="AH495" i="1"/>
  <c r="AG495" i="1"/>
  <c r="AI495" i="1"/>
  <c r="AL495" i="1"/>
  <c r="AE495" i="1"/>
  <c r="AJ495" i="1"/>
  <c r="AC495" i="1"/>
  <c r="AD495" i="1"/>
  <c r="AF495" i="1"/>
  <c r="AI494" i="1"/>
  <c r="AH494" i="1"/>
  <c r="AG494" i="1"/>
  <c r="AE494" i="1"/>
  <c r="AJ494" i="1"/>
  <c r="AF494" i="1"/>
  <c r="AL494" i="1"/>
  <c r="AC494" i="1"/>
  <c r="AD494" i="1"/>
  <c r="AI493" i="1"/>
  <c r="AH493" i="1"/>
  <c r="AG493" i="1"/>
  <c r="AF493" i="1"/>
  <c r="AE493" i="1"/>
  <c r="AC493" i="1"/>
  <c r="AJ493" i="1"/>
  <c r="AL493" i="1"/>
  <c r="AD493" i="1"/>
  <c r="AH492" i="1"/>
  <c r="AI492" i="1"/>
  <c r="AG492" i="1"/>
  <c r="AJ492" i="1"/>
  <c r="AE492" i="1"/>
  <c r="AL492" i="1"/>
  <c r="AD492" i="1"/>
  <c r="AF492" i="1"/>
  <c r="AC492" i="1"/>
  <c r="AG491" i="1"/>
  <c r="AH491" i="1"/>
  <c r="AI491" i="1"/>
  <c r="AC491" i="1"/>
  <c r="AE491" i="1"/>
  <c r="AL491" i="1"/>
  <c r="AF491" i="1"/>
  <c r="AJ491" i="1"/>
  <c r="AM491" i="1" s="1"/>
  <c r="AD491" i="1"/>
  <c r="AH490" i="1"/>
  <c r="AI490" i="1"/>
  <c r="AG490" i="1"/>
  <c r="AF490" i="1"/>
  <c r="AE490" i="1"/>
  <c r="AJ490" i="1"/>
  <c r="AL490" i="1"/>
  <c r="AD490" i="1"/>
  <c r="AC490" i="1"/>
  <c r="AI489" i="1"/>
  <c r="AH489" i="1"/>
  <c r="AG489" i="1"/>
  <c r="AF489" i="1"/>
  <c r="AE489" i="1"/>
  <c r="AC489" i="1"/>
  <c r="AL489" i="1"/>
  <c r="AJ489" i="1"/>
  <c r="AM489" i="1" s="1"/>
  <c r="AD489" i="1"/>
  <c r="AH488" i="1"/>
  <c r="AI488" i="1"/>
  <c r="AG488" i="1"/>
  <c r="AJ488" i="1"/>
  <c r="AC488" i="1"/>
  <c r="AF488" i="1"/>
  <c r="AE488" i="1"/>
  <c r="AL488" i="1"/>
  <c r="AD488" i="1"/>
  <c r="AG487" i="1"/>
  <c r="AH487" i="1"/>
  <c r="AI487" i="1"/>
  <c r="AD487" i="1"/>
  <c r="AC487" i="1"/>
  <c r="AF487" i="1"/>
  <c r="AJ487" i="1"/>
  <c r="AL487" i="1"/>
  <c r="AE487" i="1"/>
  <c r="AG486" i="1"/>
  <c r="AH486" i="1"/>
  <c r="AI486" i="1"/>
  <c r="AC486" i="1"/>
  <c r="AJ486" i="1"/>
  <c r="AL486" i="1"/>
  <c r="AF486" i="1"/>
  <c r="AE486" i="1"/>
  <c r="AD486" i="1"/>
  <c r="AH485" i="1"/>
  <c r="AG485" i="1"/>
  <c r="AI485" i="1"/>
  <c r="AD485" i="1"/>
  <c r="AL485" i="1"/>
  <c r="AF485" i="1"/>
  <c r="AE485" i="1"/>
  <c r="AC485" i="1"/>
  <c r="AJ485" i="1"/>
  <c r="AM485" i="1" s="1"/>
  <c r="AI484" i="1"/>
  <c r="AH484" i="1"/>
  <c r="AG484" i="1"/>
  <c r="AL484" i="1"/>
  <c r="AD484" i="1"/>
  <c r="AF484" i="1"/>
  <c r="AE484" i="1"/>
  <c r="AC484" i="1"/>
  <c r="AJ484" i="1"/>
  <c r="AM484" i="1" s="1"/>
  <c r="AI483" i="1"/>
  <c r="AH483" i="1"/>
  <c r="AG483" i="1"/>
  <c r="AJ483" i="1"/>
  <c r="AL483" i="1"/>
  <c r="AF483" i="1"/>
  <c r="AE483" i="1"/>
  <c r="AC483" i="1"/>
  <c r="AD483" i="1"/>
  <c r="AH482" i="1"/>
  <c r="AI482" i="1"/>
  <c r="AG482" i="1"/>
  <c r="AC482" i="1"/>
  <c r="AE482" i="1"/>
  <c r="AL482" i="1"/>
  <c r="AF482" i="1"/>
  <c r="AD482" i="1"/>
  <c r="AJ482" i="1"/>
  <c r="AM482" i="1" s="1"/>
  <c r="AG481" i="1"/>
  <c r="AI481" i="1"/>
  <c r="AH481" i="1"/>
  <c r="AD481" i="1"/>
  <c r="AJ481" i="1"/>
  <c r="AE481" i="1"/>
  <c r="AL481" i="1"/>
  <c r="AC481" i="1"/>
  <c r="AF481" i="1"/>
  <c r="AG480" i="1"/>
  <c r="AH480" i="1"/>
  <c r="AI480" i="1"/>
  <c r="AC480" i="1"/>
  <c r="AJ480" i="1"/>
  <c r="AF480" i="1"/>
  <c r="AD480" i="1"/>
  <c r="AL480" i="1"/>
  <c r="AE480" i="1"/>
  <c r="AI479" i="1"/>
  <c r="AH479" i="1"/>
  <c r="AG479" i="1"/>
  <c r="AD479" i="1"/>
  <c r="AC479" i="1"/>
  <c r="AE479" i="1"/>
  <c r="AF479" i="1"/>
  <c r="AJ479" i="1"/>
  <c r="AL479" i="1"/>
  <c r="AI478" i="1"/>
  <c r="AH478" i="1"/>
  <c r="AG478" i="1"/>
  <c r="AJ478" i="1"/>
  <c r="AL478" i="1"/>
  <c r="AE478" i="1"/>
  <c r="AC478" i="1"/>
  <c r="AD478" i="1"/>
  <c r="AF478" i="1"/>
  <c r="AH477" i="1"/>
  <c r="AG477" i="1"/>
  <c r="AI477" i="1"/>
  <c r="AD477" i="1"/>
  <c r="AL477" i="1"/>
  <c r="AE477" i="1"/>
  <c r="AC477" i="1"/>
  <c r="AF477" i="1"/>
  <c r="AJ477" i="1"/>
  <c r="AM477" i="1" s="1"/>
  <c r="AH476" i="1"/>
  <c r="AG476" i="1"/>
  <c r="AI476" i="1"/>
  <c r="AL476" i="1"/>
  <c r="AE476" i="1"/>
  <c r="AF476" i="1"/>
  <c r="AJ476" i="1"/>
  <c r="AM476" i="1" s="1"/>
  <c r="AD476" i="1"/>
  <c r="AC476" i="1"/>
  <c r="AG475" i="1"/>
  <c r="AI475" i="1"/>
  <c r="AH475" i="1"/>
  <c r="AE475" i="1"/>
  <c r="AF475" i="1"/>
  <c r="AJ475" i="1"/>
  <c r="AC475" i="1"/>
  <c r="AD475" i="1"/>
  <c r="AL475" i="1"/>
  <c r="AG474" i="1"/>
  <c r="AI474" i="1"/>
  <c r="AH474" i="1"/>
  <c r="AE474" i="1"/>
  <c r="AL474" i="1"/>
  <c r="AJ474" i="1"/>
  <c r="AM474" i="1" s="1"/>
  <c r="AF474" i="1"/>
  <c r="AD474" i="1"/>
  <c r="AC474" i="1"/>
  <c r="AG473" i="1"/>
  <c r="AI473" i="1"/>
  <c r="AH473" i="1"/>
  <c r="AC473" i="1"/>
  <c r="AJ473" i="1"/>
  <c r="AF473" i="1"/>
  <c r="AD473" i="1"/>
  <c r="AE473" i="1"/>
  <c r="AL473" i="1"/>
  <c r="AG472" i="1"/>
  <c r="AH472" i="1"/>
  <c r="AI472" i="1"/>
  <c r="AL472" i="1"/>
  <c r="AJ472" i="1"/>
  <c r="AM472" i="1" s="1"/>
  <c r="AE472" i="1"/>
  <c r="AC472" i="1"/>
  <c r="AD472" i="1"/>
  <c r="AF472" i="1"/>
  <c r="AG471" i="1"/>
  <c r="AH471" i="1"/>
  <c r="AI471" i="1"/>
  <c r="AC471" i="1"/>
  <c r="AF471" i="1"/>
  <c r="AD471" i="1"/>
  <c r="AJ471" i="1"/>
  <c r="AL471" i="1"/>
  <c r="AE471" i="1"/>
  <c r="AG470" i="1"/>
  <c r="AI470" i="1"/>
  <c r="AH470" i="1"/>
  <c r="AL470" i="1"/>
  <c r="AF470" i="1"/>
  <c r="AC470" i="1"/>
  <c r="AE470" i="1"/>
  <c r="AJ470" i="1"/>
  <c r="AM470" i="1" s="1"/>
  <c r="AD470" i="1"/>
  <c r="AH469" i="1"/>
  <c r="AI469" i="1"/>
  <c r="AG469" i="1"/>
  <c r="AJ469" i="1"/>
  <c r="AF469" i="1"/>
  <c r="AC469" i="1"/>
  <c r="AE469" i="1"/>
  <c r="AL469" i="1"/>
  <c r="AD469" i="1"/>
  <c r="AG468" i="1"/>
  <c r="AI468" i="1"/>
  <c r="AH468" i="1"/>
  <c r="AJ468" i="1"/>
  <c r="AE468" i="1"/>
  <c r="AL468" i="1"/>
  <c r="AD468" i="1"/>
  <c r="AF468" i="1"/>
  <c r="AC468" i="1"/>
  <c r="AI467" i="1"/>
  <c r="AH467" i="1"/>
  <c r="AG467" i="1"/>
  <c r="AJ467" i="1"/>
  <c r="AC467" i="1"/>
  <c r="AE467" i="1"/>
  <c r="AF467" i="1"/>
  <c r="AL467" i="1"/>
  <c r="AD467" i="1"/>
  <c r="AH466" i="1"/>
  <c r="AI466" i="1"/>
  <c r="AG466" i="1"/>
  <c r="AD466" i="1"/>
  <c r="AJ466" i="1"/>
  <c r="AE466" i="1"/>
  <c r="AC466" i="1"/>
  <c r="AF466" i="1"/>
  <c r="AL466" i="1"/>
  <c r="AI465" i="1"/>
  <c r="AH465" i="1"/>
  <c r="AG465" i="1"/>
  <c r="AC465" i="1"/>
  <c r="AL465" i="1"/>
  <c r="AE465" i="1"/>
  <c r="AD465" i="1"/>
  <c r="AF465" i="1"/>
  <c r="AJ465" i="1"/>
  <c r="AM465" i="1" s="1"/>
  <c r="AI464" i="1"/>
  <c r="AG464" i="1"/>
  <c r="AH464" i="1"/>
  <c r="AL464" i="1"/>
  <c r="AJ464" i="1"/>
  <c r="AM464" i="1" s="1"/>
  <c r="AE464" i="1"/>
  <c r="AC464" i="1"/>
  <c r="AD464" i="1"/>
  <c r="AF464" i="1"/>
  <c r="AI463" i="1"/>
  <c r="AH463" i="1"/>
  <c r="AG463" i="1"/>
  <c r="AD463" i="1"/>
  <c r="AF463" i="1"/>
  <c r="AE463" i="1"/>
  <c r="AJ463" i="1"/>
  <c r="AL463" i="1"/>
  <c r="AC463" i="1"/>
  <c r="AI462" i="1"/>
  <c r="AH462" i="1"/>
  <c r="AG462" i="1"/>
  <c r="AD462" i="1"/>
  <c r="AE462" i="1"/>
  <c r="AJ462" i="1"/>
  <c r="AL462" i="1"/>
  <c r="AF462" i="1"/>
  <c r="AC462" i="1"/>
  <c r="AI461" i="1"/>
  <c r="AH461" i="1"/>
  <c r="AG461" i="1"/>
  <c r="AD461" i="1"/>
  <c r="AL461" i="1"/>
  <c r="AE461" i="1"/>
  <c r="AC461" i="1"/>
  <c r="AF461" i="1"/>
  <c r="AJ461" i="1"/>
  <c r="AM461" i="1" s="1"/>
  <c r="AG460" i="1"/>
  <c r="AI460" i="1"/>
  <c r="AH460" i="1"/>
  <c r="AC460" i="1"/>
  <c r="AF460" i="1"/>
  <c r="AL460" i="1"/>
  <c r="AE460" i="1"/>
  <c r="AD460" i="1"/>
  <c r="AJ460" i="1"/>
  <c r="AM460" i="1" s="1"/>
  <c r="AH459" i="1"/>
  <c r="AG459" i="1"/>
  <c r="AI459" i="1"/>
  <c r="AE459" i="1"/>
  <c r="AD459" i="1"/>
  <c r="AJ459" i="1"/>
  <c r="AC459" i="1"/>
  <c r="AL459" i="1"/>
  <c r="AF459" i="1"/>
  <c r="AG458" i="1"/>
  <c r="AH458" i="1"/>
  <c r="AI458" i="1"/>
  <c r="AC458" i="1"/>
  <c r="AJ458" i="1"/>
  <c r="AD458" i="1"/>
  <c r="AE458" i="1"/>
  <c r="AL458" i="1"/>
  <c r="AF458" i="1"/>
  <c r="AI457" i="1"/>
  <c r="AH457" i="1"/>
  <c r="AG457" i="1"/>
  <c r="AD457" i="1"/>
  <c r="AE457" i="1"/>
  <c r="AF457" i="1"/>
  <c r="AJ457" i="1"/>
  <c r="AC457" i="1"/>
  <c r="AL457" i="1"/>
  <c r="AG456" i="1"/>
  <c r="AI456" i="1"/>
  <c r="AH456" i="1"/>
  <c r="AJ456" i="1"/>
  <c r="AC456" i="1"/>
  <c r="AE456" i="1"/>
  <c r="AD456" i="1"/>
  <c r="AF456" i="1"/>
  <c r="AL456" i="1"/>
  <c r="AH455" i="1"/>
  <c r="AI455" i="1"/>
  <c r="AG455" i="1"/>
  <c r="AJ455" i="1"/>
  <c r="AE455" i="1"/>
  <c r="AF455" i="1"/>
  <c r="AL455" i="1"/>
  <c r="AC455" i="1"/>
  <c r="AD455" i="1"/>
  <c r="AH454" i="1"/>
  <c r="AG454" i="1"/>
  <c r="AI454" i="1"/>
  <c r="AL454" i="1"/>
  <c r="AF454" i="1"/>
  <c r="AD454" i="1"/>
  <c r="AC454" i="1"/>
  <c r="AE454" i="1"/>
  <c r="AJ454" i="1"/>
  <c r="AM454" i="1" s="1"/>
  <c r="AI453" i="1"/>
  <c r="AG453" i="1"/>
  <c r="AH453" i="1"/>
  <c r="AD453" i="1"/>
  <c r="AE453" i="1"/>
  <c r="AJ453" i="1"/>
  <c r="AC453" i="1"/>
  <c r="AF453" i="1"/>
  <c r="AL453" i="1"/>
  <c r="AH452" i="1"/>
  <c r="AI452" i="1"/>
  <c r="AG452" i="1"/>
  <c r="AC452" i="1"/>
  <c r="AL452" i="1"/>
  <c r="AF452" i="1"/>
  <c r="AD452" i="1"/>
  <c r="AJ452" i="1"/>
  <c r="AM452" i="1" s="1"/>
  <c r="AE452" i="1"/>
  <c r="AI451" i="1"/>
  <c r="AG451" i="1"/>
  <c r="AH451" i="1"/>
  <c r="AC451" i="1"/>
  <c r="AE451" i="1"/>
  <c r="AD451" i="1"/>
  <c r="AL451" i="1"/>
  <c r="AJ451" i="1"/>
  <c r="AM451" i="1" s="1"/>
  <c r="AF451" i="1"/>
  <c r="AI450" i="1"/>
  <c r="AH450" i="1"/>
  <c r="AG450" i="1"/>
  <c r="AE450" i="1"/>
  <c r="AC450" i="1"/>
  <c r="AD450" i="1"/>
  <c r="AL450" i="1"/>
  <c r="AJ450" i="1"/>
  <c r="AM450" i="1" s="1"/>
  <c r="AF450" i="1"/>
  <c r="AG449" i="1"/>
  <c r="AH449" i="1"/>
  <c r="AI449" i="1"/>
  <c r="AF449" i="1"/>
  <c r="AC449" i="1"/>
  <c r="AE449" i="1"/>
  <c r="AJ449" i="1"/>
  <c r="AD449" i="1"/>
  <c r="AL449" i="1"/>
  <c r="AH448" i="1"/>
  <c r="AG448" i="1"/>
  <c r="AI448" i="1"/>
  <c r="AF448" i="1"/>
  <c r="AJ448" i="1"/>
  <c r="AE448" i="1"/>
  <c r="AD448" i="1"/>
  <c r="AC448" i="1"/>
  <c r="AL448" i="1"/>
  <c r="AH447" i="1"/>
  <c r="AI447" i="1"/>
  <c r="AG447" i="1"/>
  <c r="AJ447" i="1"/>
  <c r="AL447" i="1"/>
  <c r="AD447" i="1"/>
  <c r="AC447" i="1"/>
  <c r="AF447" i="1"/>
  <c r="AE447" i="1"/>
  <c r="AH446" i="1"/>
  <c r="AI446" i="1"/>
  <c r="AG446" i="1"/>
  <c r="AF446" i="1"/>
  <c r="AL446" i="1"/>
  <c r="AE446" i="1"/>
  <c r="AJ446" i="1"/>
  <c r="AM446" i="1" s="1"/>
  <c r="AC446" i="1"/>
  <c r="AD446" i="1"/>
  <c r="AI445" i="1"/>
  <c r="AG445" i="1"/>
  <c r="AH445" i="1"/>
  <c r="AJ445" i="1"/>
  <c r="AL445" i="1"/>
  <c r="AE445" i="1"/>
  <c r="AF445" i="1"/>
  <c r="AD445" i="1"/>
  <c r="AC445" i="1"/>
  <c r="AH444" i="1"/>
  <c r="AI444" i="1"/>
  <c r="AG444" i="1"/>
  <c r="AL444" i="1"/>
  <c r="AE444" i="1"/>
  <c r="AF444" i="1"/>
  <c r="AJ444" i="1"/>
  <c r="AM444" i="1" s="1"/>
  <c r="AD444" i="1"/>
  <c r="AC444" i="1"/>
  <c r="AH443" i="1"/>
  <c r="AI443" i="1"/>
  <c r="AG443" i="1"/>
  <c r="AL443" i="1"/>
  <c r="AC443" i="1"/>
  <c r="AD443" i="1"/>
  <c r="AE443" i="1"/>
  <c r="AJ443" i="1"/>
  <c r="AM443" i="1" s="1"/>
  <c r="AF443" i="1"/>
  <c r="AG442" i="1"/>
  <c r="AH442" i="1"/>
  <c r="AI442" i="1"/>
  <c r="AE442" i="1"/>
  <c r="AL442" i="1"/>
  <c r="AF442" i="1"/>
  <c r="AC442" i="1"/>
  <c r="AD442" i="1"/>
  <c r="AJ442" i="1"/>
  <c r="AM442" i="1" s="1"/>
  <c r="AI441" i="1"/>
  <c r="AH441" i="1"/>
  <c r="AG441" i="1"/>
  <c r="AL441" i="1"/>
  <c r="AF441" i="1"/>
  <c r="AJ441" i="1"/>
  <c r="AM441" i="1" s="1"/>
  <c r="AE441" i="1"/>
  <c r="AD441" i="1"/>
  <c r="AC441" i="1"/>
  <c r="AI440" i="1"/>
  <c r="AG440" i="1"/>
  <c r="AH440" i="1"/>
  <c r="AD440" i="1"/>
  <c r="AJ440" i="1"/>
  <c r="AF440" i="1"/>
  <c r="AE440" i="1"/>
  <c r="AC440" i="1"/>
  <c r="AL440" i="1"/>
  <c r="AI439" i="1"/>
  <c r="AG439" i="1"/>
  <c r="AH439" i="1"/>
  <c r="AJ439" i="1"/>
  <c r="AE439" i="1"/>
  <c r="AL439" i="1"/>
  <c r="AD439" i="1"/>
  <c r="AF439" i="1"/>
  <c r="AC439" i="1"/>
  <c r="AG438" i="1"/>
  <c r="AH438" i="1"/>
  <c r="AI438" i="1"/>
  <c r="AD438" i="1"/>
  <c r="AE438" i="1"/>
  <c r="AJ438" i="1"/>
  <c r="AC438" i="1"/>
  <c r="AL438" i="1"/>
  <c r="AF438" i="1"/>
  <c r="AG437" i="1"/>
  <c r="AI437" i="1"/>
  <c r="AH437" i="1"/>
  <c r="AE437" i="1"/>
  <c r="AL437" i="1"/>
  <c r="AF437" i="1"/>
  <c r="AD437" i="1"/>
  <c r="AC437" i="1"/>
  <c r="AJ437" i="1"/>
  <c r="AM437" i="1" s="1"/>
  <c r="AI436" i="1"/>
  <c r="AG436" i="1"/>
  <c r="AH436" i="1"/>
  <c r="AL436" i="1"/>
  <c r="AJ436" i="1"/>
  <c r="AM436" i="1" s="1"/>
  <c r="AF436" i="1"/>
  <c r="AE436" i="1"/>
  <c r="AD436" i="1"/>
  <c r="AC436" i="1"/>
  <c r="AH435" i="1"/>
  <c r="AI435" i="1"/>
  <c r="AG435" i="1"/>
  <c r="AE435" i="1"/>
  <c r="AL435" i="1"/>
  <c r="AC435" i="1"/>
  <c r="AF435" i="1"/>
  <c r="AJ435" i="1"/>
  <c r="AM435" i="1" s="1"/>
  <c r="AD435" i="1"/>
  <c r="AI434" i="1"/>
  <c r="AG434" i="1"/>
  <c r="AH434" i="1"/>
  <c r="AC434" i="1"/>
  <c r="AL434" i="1"/>
  <c r="AF434" i="1"/>
  <c r="AE434" i="1"/>
  <c r="AD434" i="1"/>
  <c r="AJ434" i="1"/>
  <c r="AM434" i="1" s="1"/>
  <c r="AG433" i="1"/>
  <c r="AI433" i="1"/>
  <c r="AH433" i="1"/>
  <c r="AL433" i="1"/>
  <c r="AF433" i="1"/>
  <c r="AC433" i="1"/>
  <c r="AJ433" i="1"/>
  <c r="AM433" i="1" s="1"/>
  <c r="AE433" i="1"/>
  <c r="AD433" i="1"/>
  <c r="AH432" i="1"/>
  <c r="AI432" i="1"/>
  <c r="AG432" i="1"/>
  <c r="AD432" i="1"/>
  <c r="AF432" i="1"/>
  <c r="AJ432" i="1"/>
  <c r="AL432" i="1"/>
  <c r="AE432" i="1"/>
  <c r="AC432" i="1"/>
  <c r="AI431" i="1"/>
  <c r="AH431" i="1"/>
  <c r="AG431" i="1"/>
  <c r="AL431" i="1"/>
  <c r="AJ431" i="1"/>
  <c r="AM431" i="1" s="1"/>
  <c r="AE431" i="1"/>
  <c r="AF431" i="1"/>
  <c r="AC431" i="1"/>
  <c r="AD431" i="1"/>
  <c r="AG430" i="1"/>
  <c r="AI430" i="1"/>
  <c r="AH430" i="1"/>
  <c r="AC430" i="1"/>
  <c r="AJ430" i="1"/>
  <c r="AF430" i="1"/>
  <c r="AD430" i="1"/>
  <c r="AL430" i="1"/>
  <c r="AE430" i="1"/>
  <c r="AH429" i="1"/>
  <c r="AI429" i="1"/>
  <c r="AG429" i="1"/>
  <c r="AJ429" i="1"/>
  <c r="AF429" i="1"/>
  <c r="AD429" i="1"/>
  <c r="AE429" i="1"/>
  <c r="AC429" i="1"/>
  <c r="AL429" i="1"/>
  <c r="AH428" i="1"/>
  <c r="AI428" i="1"/>
  <c r="AG428" i="1"/>
  <c r="AL428" i="1"/>
  <c r="AF428" i="1"/>
  <c r="AD428" i="1"/>
  <c r="AE428" i="1"/>
  <c r="AJ428" i="1"/>
  <c r="AM428" i="1" s="1"/>
  <c r="AC428" i="1"/>
  <c r="AG427" i="1"/>
  <c r="AI427" i="1"/>
  <c r="AH427" i="1"/>
  <c r="AE427" i="1"/>
  <c r="AD427" i="1"/>
  <c r="AC427" i="1"/>
  <c r="AF427" i="1"/>
  <c r="AJ427" i="1"/>
  <c r="AL427" i="1"/>
  <c r="AI426" i="1"/>
  <c r="AH426" i="1"/>
  <c r="AG426" i="1"/>
  <c r="AD426" i="1"/>
  <c r="AF426" i="1"/>
  <c r="AL426" i="1"/>
  <c r="AE426" i="1"/>
  <c r="AJ426" i="1"/>
  <c r="AM426" i="1" s="1"/>
  <c r="AC426" i="1"/>
  <c r="AI425" i="1"/>
  <c r="AH425" i="1"/>
  <c r="AG425" i="1"/>
  <c r="AL425" i="1"/>
  <c r="AE425" i="1"/>
  <c r="AD425" i="1"/>
  <c r="AC425" i="1"/>
  <c r="AF425" i="1"/>
  <c r="AJ425" i="1"/>
  <c r="AM425" i="1" s="1"/>
  <c r="AI424" i="1"/>
  <c r="AG424" i="1"/>
  <c r="AH424" i="1"/>
  <c r="AD424" i="1"/>
  <c r="AJ424" i="1"/>
  <c r="AF424" i="1"/>
  <c r="AL424" i="1"/>
  <c r="AC424" i="1"/>
  <c r="AE424" i="1"/>
  <c r="AI423" i="1"/>
  <c r="AH423" i="1"/>
  <c r="AG423" i="1"/>
  <c r="AL423" i="1"/>
  <c r="AJ423" i="1"/>
  <c r="AM423" i="1" s="1"/>
  <c r="AC423" i="1"/>
  <c r="AF423" i="1"/>
  <c r="AE423" i="1"/>
  <c r="AD423" i="1"/>
  <c r="AG422" i="1"/>
  <c r="AI422" i="1"/>
  <c r="AH422" i="1"/>
  <c r="AL422" i="1"/>
  <c r="AC422" i="1"/>
  <c r="AE422" i="1"/>
  <c r="AD422" i="1"/>
  <c r="AF422" i="1"/>
  <c r="AJ422" i="1"/>
  <c r="AM422" i="1" s="1"/>
  <c r="AI421" i="1"/>
  <c r="AH421" i="1"/>
  <c r="AG421" i="1"/>
  <c r="AE421" i="1"/>
  <c r="AJ421" i="1"/>
  <c r="AD421" i="1"/>
  <c r="AC421" i="1"/>
  <c r="AL421" i="1"/>
  <c r="AF421" i="1"/>
  <c r="AI420" i="1"/>
  <c r="AG420" i="1"/>
  <c r="AH420" i="1"/>
  <c r="AD420" i="1"/>
  <c r="AL420" i="1"/>
  <c r="AJ420" i="1"/>
  <c r="AM420" i="1" s="1"/>
  <c r="AE420" i="1"/>
  <c r="AF420" i="1"/>
  <c r="AC420" i="1"/>
  <c r="AI419" i="1"/>
  <c r="AG419" i="1"/>
  <c r="AH419" i="1"/>
  <c r="AJ419" i="1"/>
  <c r="AF419" i="1"/>
  <c r="AE419" i="1"/>
  <c r="AD419" i="1"/>
  <c r="AL419" i="1"/>
  <c r="AC419" i="1"/>
  <c r="AI418" i="1"/>
  <c r="AG418" i="1"/>
  <c r="AH418" i="1"/>
  <c r="AF418" i="1"/>
  <c r="AC418" i="1"/>
  <c r="AL418" i="1"/>
  <c r="AE418" i="1"/>
  <c r="AJ418" i="1"/>
  <c r="AM418" i="1" s="1"/>
  <c r="AD418" i="1"/>
  <c r="AH417" i="1"/>
  <c r="AG417" i="1"/>
  <c r="AI417" i="1"/>
  <c r="AC417" i="1"/>
  <c r="AE417" i="1"/>
  <c r="AD417" i="1"/>
  <c r="AL417" i="1"/>
  <c r="AJ417" i="1"/>
  <c r="AM417" i="1" s="1"/>
  <c r="AF417" i="1"/>
  <c r="AI416" i="1"/>
  <c r="AG416" i="1"/>
  <c r="AH416" i="1"/>
  <c r="AL416" i="1"/>
  <c r="AE416" i="1"/>
  <c r="AF416" i="1"/>
  <c r="AC416" i="1"/>
  <c r="AJ416" i="1"/>
  <c r="AM416" i="1" s="1"/>
  <c r="AD416" i="1"/>
  <c r="AI415" i="1"/>
  <c r="AH415" i="1"/>
  <c r="AG415" i="1"/>
  <c r="AL415" i="1"/>
  <c r="AJ415" i="1"/>
  <c r="AM415" i="1" s="1"/>
  <c r="AF415" i="1"/>
  <c r="AC415" i="1"/>
  <c r="AD415" i="1"/>
  <c r="AE415" i="1"/>
  <c r="AI414" i="1"/>
  <c r="AH414" i="1"/>
  <c r="AG414" i="1"/>
  <c r="AJ414" i="1"/>
  <c r="AE414" i="1"/>
  <c r="AF414" i="1"/>
  <c r="AD414" i="1"/>
  <c r="AC414" i="1"/>
  <c r="AL414" i="1"/>
  <c r="AG413" i="1"/>
  <c r="AH413" i="1"/>
  <c r="AI413" i="1"/>
  <c r="AL413" i="1"/>
  <c r="AD413" i="1"/>
  <c r="AE413" i="1"/>
  <c r="AJ413" i="1"/>
  <c r="AM413" i="1" s="1"/>
  <c r="AF413" i="1"/>
  <c r="AC413" i="1"/>
  <c r="AG412" i="1"/>
  <c r="AH412" i="1"/>
  <c r="AI412" i="1"/>
  <c r="AL412" i="1"/>
  <c r="AF412" i="1"/>
  <c r="AD412" i="1"/>
  <c r="AJ412" i="1"/>
  <c r="AM412" i="1" s="1"/>
  <c r="AC412" i="1"/>
  <c r="AE412" i="1"/>
  <c r="AG411" i="1"/>
  <c r="AH411" i="1"/>
  <c r="AI411" i="1"/>
  <c r="AJ411" i="1"/>
  <c r="AL411" i="1"/>
  <c r="AE411" i="1"/>
  <c r="AC411" i="1"/>
  <c r="AD411" i="1"/>
  <c r="AF411" i="1"/>
  <c r="AI410" i="1"/>
  <c r="AH410" i="1"/>
  <c r="AG410" i="1"/>
  <c r="AJ410" i="1"/>
  <c r="AF410" i="1"/>
  <c r="AC410" i="1"/>
  <c r="AL410" i="1"/>
  <c r="AD410" i="1"/>
  <c r="AE410" i="1"/>
  <c r="AG409" i="1"/>
  <c r="AH409" i="1"/>
  <c r="AI409" i="1"/>
  <c r="AJ409" i="1"/>
  <c r="AE409" i="1"/>
  <c r="AL409" i="1"/>
  <c r="AC409" i="1"/>
  <c r="AD409" i="1"/>
  <c r="AF409" i="1"/>
  <c r="AG408" i="1"/>
  <c r="AI408" i="1"/>
  <c r="AH408" i="1"/>
  <c r="AF408" i="1"/>
  <c r="AD408" i="1"/>
  <c r="AC408" i="1"/>
  <c r="AE408" i="1"/>
  <c r="AJ408" i="1"/>
  <c r="AL408" i="1"/>
  <c r="AI407" i="1"/>
  <c r="AH407" i="1"/>
  <c r="AG407" i="1"/>
  <c r="AE407" i="1"/>
  <c r="AJ407" i="1"/>
  <c r="AC407" i="1"/>
  <c r="AF407" i="1"/>
  <c r="AD407" i="1"/>
  <c r="AL407" i="1"/>
  <c r="AI406" i="1"/>
  <c r="AH406" i="1"/>
  <c r="AG406" i="1"/>
  <c r="AF406" i="1"/>
  <c r="AJ406" i="1"/>
  <c r="AE406" i="1"/>
  <c r="AL406" i="1"/>
  <c r="AC406" i="1"/>
  <c r="AD406" i="1"/>
  <c r="AI405" i="1"/>
  <c r="AH405" i="1"/>
  <c r="AG405" i="1"/>
  <c r="AE405" i="1"/>
  <c r="AF405" i="1"/>
  <c r="AD405" i="1"/>
  <c r="AC405" i="1"/>
  <c r="AJ405" i="1"/>
  <c r="AL405" i="1"/>
  <c r="AG404" i="1"/>
  <c r="AI404" i="1"/>
  <c r="AH404" i="1"/>
  <c r="AL404" i="1"/>
  <c r="AF404" i="1"/>
  <c r="AE404" i="1"/>
  <c r="AD404" i="1"/>
  <c r="AC404" i="1"/>
  <c r="AJ404" i="1"/>
  <c r="AM404" i="1" s="1"/>
  <c r="AI403" i="1"/>
  <c r="AG403" i="1"/>
  <c r="AH403" i="1"/>
  <c r="AF403" i="1"/>
  <c r="AC403" i="1"/>
  <c r="AJ403" i="1"/>
  <c r="AL403" i="1"/>
  <c r="AD403" i="1"/>
  <c r="AE403" i="1"/>
  <c r="AI402" i="1"/>
  <c r="AG402" i="1"/>
  <c r="AH402" i="1"/>
  <c r="AL402" i="1"/>
  <c r="AD402" i="1"/>
  <c r="AF402" i="1"/>
  <c r="AJ402" i="1"/>
  <c r="AM402" i="1" s="1"/>
  <c r="AE402" i="1"/>
  <c r="AC402" i="1"/>
  <c r="AG401" i="1"/>
  <c r="AI401" i="1"/>
  <c r="AH401" i="1"/>
  <c r="AD401" i="1"/>
  <c r="AJ401" i="1"/>
  <c r="AF401" i="1"/>
  <c r="AC401" i="1"/>
  <c r="AE401" i="1"/>
  <c r="AL401" i="1"/>
  <c r="AI400" i="1"/>
  <c r="AG400" i="1"/>
  <c r="AH400" i="1"/>
  <c r="AL400" i="1"/>
  <c r="AC400" i="1"/>
  <c r="AD400" i="1"/>
  <c r="AJ400" i="1"/>
  <c r="AM400" i="1" s="1"/>
  <c r="AF400" i="1"/>
  <c r="AE400" i="1"/>
  <c r="AG399" i="1"/>
  <c r="AI399" i="1"/>
  <c r="AH399" i="1"/>
  <c r="AC399" i="1"/>
  <c r="AE399" i="1"/>
  <c r="AJ399" i="1"/>
  <c r="AL399" i="1"/>
  <c r="AF399" i="1"/>
  <c r="AD399" i="1"/>
  <c r="AI398" i="1"/>
  <c r="AG398" i="1"/>
  <c r="AH398" i="1"/>
  <c r="AJ398" i="1"/>
  <c r="AC398" i="1"/>
  <c r="AD398" i="1"/>
  <c r="AE398" i="1"/>
  <c r="AF398" i="1"/>
  <c r="AL398" i="1"/>
  <c r="AH397" i="1"/>
  <c r="AI397" i="1"/>
  <c r="AG397" i="1"/>
  <c r="AL397" i="1"/>
  <c r="AC397" i="1"/>
  <c r="AE397" i="1"/>
  <c r="AJ397" i="1"/>
  <c r="AM397" i="1" s="1"/>
  <c r="AF397" i="1"/>
  <c r="AD397" i="1"/>
  <c r="AH396" i="1"/>
  <c r="AG396" i="1"/>
  <c r="AI396" i="1"/>
  <c r="AC396" i="1"/>
  <c r="AL396" i="1"/>
  <c r="AF396" i="1"/>
  <c r="AE396" i="1"/>
  <c r="AD396" i="1"/>
  <c r="AJ396" i="1"/>
  <c r="AM396" i="1" s="1"/>
  <c r="AI395" i="1"/>
  <c r="AG395" i="1"/>
  <c r="AH395" i="1"/>
  <c r="AE395" i="1"/>
  <c r="AD395" i="1"/>
  <c r="AC395" i="1"/>
  <c r="AL395" i="1"/>
  <c r="AF395" i="1"/>
  <c r="AJ395" i="1"/>
  <c r="AM395" i="1" s="1"/>
  <c r="AI394" i="1"/>
  <c r="AH394" i="1"/>
  <c r="AG394" i="1"/>
  <c r="AJ394" i="1"/>
  <c r="AC394" i="1"/>
  <c r="AD394" i="1"/>
  <c r="AF394" i="1"/>
  <c r="AL394" i="1"/>
  <c r="AE394" i="1"/>
  <c r="AH393" i="1"/>
  <c r="AG393" i="1"/>
  <c r="AI393" i="1"/>
  <c r="AL393" i="1"/>
  <c r="AJ393" i="1"/>
  <c r="AM393" i="1" s="1"/>
  <c r="AD393" i="1"/>
  <c r="AF393" i="1"/>
  <c r="AE393" i="1"/>
  <c r="AC393" i="1"/>
  <c r="AH392" i="1"/>
  <c r="AI392" i="1"/>
  <c r="AG392" i="1"/>
  <c r="AE392" i="1"/>
  <c r="AC392" i="1"/>
  <c r="AL392" i="1"/>
  <c r="AJ392" i="1"/>
  <c r="AM392" i="1" s="1"/>
  <c r="AD392" i="1"/>
  <c r="AF392" i="1"/>
  <c r="AG391" i="1"/>
  <c r="AI391" i="1"/>
  <c r="AH391" i="1"/>
  <c r="AD391" i="1"/>
  <c r="AJ391" i="1"/>
  <c r="AF391" i="1"/>
  <c r="AL391" i="1"/>
  <c r="AE391" i="1"/>
  <c r="AC391" i="1"/>
  <c r="AH390" i="1"/>
  <c r="AI390" i="1"/>
  <c r="AG390" i="1"/>
  <c r="AC390" i="1"/>
  <c r="AD390" i="1"/>
  <c r="AL390" i="1"/>
  <c r="AE390" i="1"/>
  <c r="AJ390" i="1"/>
  <c r="AM390" i="1" s="1"/>
  <c r="AF390" i="1"/>
  <c r="AG389" i="1"/>
  <c r="AH389" i="1"/>
  <c r="AI389" i="1"/>
  <c r="AL389" i="1"/>
  <c r="AE389" i="1"/>
  <c r="AJ389" i="1"/>
  <c r="AM389" i="1" s="1"/>
  <c r="AC389" i="1"/>
  <c r="AD389" i="1"/>
  <c r="AF389" i="1"/>
  <c r="AH388" i="1"/>
  <c r="AI388" i="1"/>
  <c r="AG388" i="1"/>
  <c r="AC388" i="1"/>
  <c r="AL388" i="1"/>
  <c r="AE388" i="1"/>
  <c r="AD388" i="1"/>
  <c r="AJ388" i="1"/>
  <c r="AM388" i="1" s="1"/>
  <c r="AF388" i="1"/>
  <c r="AI387" i="1"/>
  <c r="AH387" i="1"/>
  <c r="AG387" i="1"/>
  <c r="AE387" i="1"/>
  <c r="AF387" i="1"/>
  <c r="AD387" i="1"/>
  <c r="AL387" i="1"/>
  <c r="AC387" i="1"/>
  <c r="AJ387" i="1"/>
  <c r="AM387" i="1" s="1"/>
  <c r="AI386" i="1"/>
  <c r="AG386" i="1"/>
  <c r="AH386" i="1"/>
  <c r="AL386" i="1"/>
  <c r="AC386" i="1"/>
  <c r="AE386" i="1"/>
  <c r="AJ386" i="1"/>
  <c r="AM386" i="1" s="1"/>
  <c r="AF386" i="1"/>
  <c r="AD386" i="1"/>
  <c r="AH385" i="1"/>
  <c r="AG385" i="1"/>
  <c r="AI385" i="1"/>
  <c r="AF385" i="1"/>
  <c r="AD385" i="1"/>
  <c r="AC385" i="1"/>
  <c r="AJ385" i="1"/>
  <c r="AE385" i="1"/>
  <c r="AL385" i="1"/>
  <c r="AH384" i="1"/>
  <c r="AG384" i="1"/>
  <c r="AI384" i="1"/>
  <c r="AJ384" i="1"/>
  <c r="AE384" i="1"/>
  <c r="AL384" i="1"/>
  <c r="AD384" i="1"/>
  <c r="AC384" i="1"/>
  <c r="AF384" i="1"/>
  <c r="AI383" i="1"/>
  <c r="AH383" i="1"/>
  <c r="AG383" i="1"/>
  <c r="AD383" i="1"/>
  <c r="AE383" i="1"/>
  <c r="AJ383" i="1"/>
  <c r="AL383" i="1"/>
  <c r="AC383" i="1"/>
  <c r="AF383" i="1"/>
  <c r="AI382" i="1"/>
  <c r="AH382" i="1"/>
  <c r="AG382" i="1"/>
  <c r="AL382" i="1"/>
  <c r="AJ382" i="1"/>
  <c r="AM382" i="1" s="1"/>
  <c r="AC382" i="1"/>
  <c r="AF382" i="1"/>
  <c r="AE382" i="1"/>
  <c r="AD382" i="1"/>
  <c r="AI381" i="1"/>
  <c r="AG381" i="1"/>
  <c r="AH381" i="1"/>
  <c r="AF381" i="1"/>
  <c r="AC381" i="1"/>
  <c r="AD381" i="1"/>
  <c r="AL381" i="1"/>
  <c r="AE381" i="1"/>
  <c r="AJ381" i="1"/>
  <c r="AM381" i="1" s="1"/>
  <c r="AG380" i="1"/>
  <c r="AI380" i="1"/>
  <c r="AH380" i="1"/>
  <c r="AE380" i="1"/>
  <c r="AF380" i="1"/>
  <c r="AJ380" i="1"/>
  <c r="AD380" i="1"/>
  <c r="AC380" i="1"/>
  <c r="AL380" i="1"/>
  <c r="AG379" i="1"/>
  <c r="AI379" i="1"/>
  <c r="AH379" i="1"/>
  <c r="AD379" i="1"/>
  <c r="AJ379" i="1"/>
  <c r="AF379" i="1"/>
  <c r="AC379" i="1"/>
  <c r="AL379" i="1"/>
  <c r="AE379" i="1"/>
  <c r="AI378" i="1"/>
  <c r="AG378" i="1"/>
  <c r="AH378" i="1"/>
  <c r="AL378" i="1"/>
  <c r="AJ378" i="1"/>
  <c r="AM378" i="1" s="1"/>
  <c r="AC378" i="1"/>
  <c r="AF378" i="1"/>
  <c r="AD378" i="1"/>
  <c r="AE378" i="1"/>
  <c r="AG377" i="1"/>
  <c r="AH377" i="1"/>
  <c r="AI377" i="1"/>
  <c r="AL377" i="1"/>
  <c r="AF377" i="1"/>
  <c r="AE377" i="1"/>
  <c r="AD377" i="1"/>
  <c r="AJ377" i="1"/>
  <c r="AM377" i="1" s="1"/>
  <c r="AC377" i="1"/>
  <c r="AI376" i="1"/>
  <c r="AG376" i="1"/>
  <c r="AH376" i="1"/>
  <c r="AF376" i="1"/>
  <c r="AD376" i="1"/>
  <c r="AC376" i="1"/>
  <c r="AJ376" i="1"/>
  <c r="AL376" i="1"/>
  <c r="AE376" i="1"/>
  <c r="AG375" i="1"/>
  <c r="AI375" i="1"/>
  <c r="AH375" i="1"/>
  <c r="AC375" i="1"/>
  <c r="AD375" i="1"/>
  <c r="AF375" i="1"/>
  <c r="AE375" i="1"/>
  <c r="AJ375" i="1"/>
  <c r="AL375" i="1"/>
  <c r="AH374" i="1"/>
  <c r="AI374" i="1"/>
  <c r="AG374" i="1"/>
  <c r="AD374" i="1"/>
  <c r="AE374" i="1"/>
  <c r="AF374" i="1"/>
  <c r="AC374" i="1"/>
  <c r="AJ374" i="1"/>
  <c r="AL374" i="1"/>
  <c r="AH373" i="1"/>
  <c r="AG373" i="1"/>
  <c r="AI373" i="1"/>
  <c r="AL373" i="1"/>
  <c r="AF373" i="1"/>
  <c r="AD373" i="1"/>
  <c r="AC373" i="1"/>
  <c r="AE373" i="1"/>
  <c r="AJ373" i="1"/>
  <c r="AM373" i="1" s="1"/>
  <c r="AH372" i="1"/>
  <c r="AI372" i="1"/>
  <c r="AG372" i="1"/>
  <c r="AC372" i="1"/>
  <c r="AE372" i="1"/>
  <c r="AJ372" i="1"/>
  <c r="AL372" i="1"/>
  <c r="AF372" i="1"/>
  <c r="AD372" i="1"/>
  <c r="AG371" i="1"/>
  <c r="AH371" i="1"/>
  <c r="AI371" i="1"/>
  <c r="AL371" i="1"/>
  <c r="AF371" i="1"/>
  <c r="AJ371" i="1"/>
  <c r="AM371" i="1" s="1"/>
  <c r="AE371" i="1"/>
  <c r="AC371" i="1"/>
  <c r="AD371" i="1"/>
  <c r="AG370" i="1"/>
  <c r="AI370" i="1"/>
  <c r="AH370" i="1"/>
  <c r="AC370" i="1"/>
  <c r="AD370" i="1"/>
  <c r="AJ370" i="1"/>
  <c r="AE370" i="1"/>
  <c r="AF370" i="1"/>
  <c r="AL370" i="1"/>
  <c r="AG369" i="1"/>
  <c r="AI369" i="1"/>
  <c r="AH369" i="1"/>
  <c r="AF369" i="1"/>
  <c r="AL369" i="1"/>
  <c r="AJ369" i="1"/>
  <c r="AM369" i="1" s="1"/>
  <c r="AC369" i="1"/>
  <c r="AE369" i="1"/>
  <c r="AD369" i="1"/>
  <c r="AH368" i="1"/>
  <c r="AI368" i="1"/>
  <c r="AG368" i="1"/>
  <c r="AF368" i="1"/>
  <c r="AE368" i="1"/>
  <c r="AD368" i="1"/>
  <c r="AC368" i="1"/>
  <c r="AL368" i="1"/>
  <c r="AJ368" i="1"/>
  <c r="AM368" i="1" s="1"/>
  <c r="AI367" i="1"/>
  <c r="AG367" i="1"/>
  <c r="AH367" i="1"/>
  <c r="AL367" i="1"/>
  <c r="AC367" i="1"/>
  <c r="AD367" i="1"/>
  <c r="AJ367" i="1"/>
  <c r="AM367" i="1" s="1"/>
  <c r="AE367" i="1"/>
  <c r="AF367" i="1"/>
  <c r="AI366" i="1"/>
  <c r="AG366" i="1"/>
  <c r="AH366" i="1"/>
  <c r="AJ366" i="1"/>
  <c r="AD366" i="1"/>
  <c r="AE366" i="1"/>
  <c r="AF366" i="1"/>
  <c r="AC366" i="1"/>
  <c r="AL366" i="1"/>
  <c r="AH365" i="1"/>
  <c r="AI365" i="1"/>
  <c r="AG365" i="1"/>
  <c r="AD365" i="1"/>
  <c r="AF365" i="1"/>
  <c r="AE365" i="1"/>
  <c r="AL365" i="1"/>
  <c r="AJ365" i="1"/>
  <c r="AM365" i="1" s="1"/>
  <c r="AC365" i="1"/>
  <c r="AG364" i="1"/>
  <c r="AI364" i="1"/>
  <c r="AH364" i="1"/>
  <c r="AJ364" i="1"/>
  <c r="AC364" i="1"/>
  <c r="AF364" i="1"/>
  <c r="AD364" i="1"/>
  <c r="AE364" i="1"/>
  <c r="AL364" i="1"/>
  <c r="AI363" i="1"/>
  <c r="AG363" i="1"/>
  <c r="AH363" i="1"/>
  <c r="AL363" i="1"/>
  <c r="AF363" i="1"/>
  <c r="AE363" i="1"/>
  <c r="AD363" i="1"/>
  <c r="AJ363" i="1"/>
  <c r="AM363" i="1" s="1"/>
  <c r="AC363" i="1"/>
  <c r="AI362" i="1"/>
  <c r="AH362" i="1"/>
  <c r="AG362" i="1"/>
  <c r="AD362" i="1"/>
  <c r="AF362" i="1"/>
  <c r="AL362" i="1"/>
  <c r="AJ362" i="1"/>
  <c r="AM362" i="1" s="1"/>
  <c r="AE362" i="1"/>
  <c r="AC362" i="1"/>
  <c r="AH361" i="1"/>
  <c r="AG361" i="1"/>
  <c r="AI361" i="1"/>
  <c r="AF361" i="1"/>
  <c r="AD361" i="1"/>
  <c r="AC361" i="1"/>
  <c r="AL361" i="1"/>
  <c r="AE361" i="1"/>
  <c r="AJ361" i="1"/>
  <c r="AM361" i="1" s="1"/>
  <c r="AG360" i="1"/>
  <c r="AH360" i="1"/>
  <c r="AI360" i="1"/>
  <c r="AC360" i="1"/>
  <c r="AF360" i="1"/>
  <c r="AD360" i="1"/>
  <c r="AJ360" i="1"/>
  <c r="AE360" i="1"/>
  <c r="AL360" i="1"/>
  <c r="AI359" i="1"/>
  <c r="AG359" i="1"/>
  <c r="AH359" i="1"/>
  <c r="AC359" i="1"/>
  <c r="AE359" i="1"/>
  <c r="AJ359" i="1"/>
  <c r="AD359" i="1"/>
  <c r="AL359" i="1"/>
  <c r="AF359" i="1"/>
  <c r="AH358" i="1"/>
  <c r="AG358" i="1"/>
  <c r="AI358" i="1"/>
  <c r="AL358" i="1"/>
  <c r="AC358" i="1"/>
  <c r="AE358" i="1"/>
  <c r="AF358" i="1"/>
  <c r="AD358" i="1"/>
  <c r="AJ358" i="1"/>
  <c r="AM358" i="1" s="1"/>
  <c r="AH357" i="1"/>
  <c r="AG357" i="1"/>
  <c r="AI357" i="1"/>
  <c r="AE357" i="1"/>
  <c r="AD357" i="1"/>
  <c r="AL357" i="1"/>
  <c r="AJ357" i="1"/>
  <c r="AM357" i="1" s="1"/>
  <c r="AF357" i="1"/>
  <c r="AC357" i="1"/>
  <c r="AH356" i="1"/>
  <c r="AG356" i="1"/>
  <c r="AI356" i="1"/>
  <c r="AD356" i="1"/>
  <c r="AL356" i="1"/>
  <c r="AJ356" i="1"/>
  <c r="AF356" i="1"/>
  <c r="AC356" i="1"/>
  <c r="AE356" i="1"/>
  <c r="AH355" i="1"/>
  <c r="AG355" i="1"/>
  <c r="AI355" i="1"/>
  <c r="AJ355" i="1"/>
  <c r="AE355" i="1"/>
  <c r="AD355" i="1"/>
  <c r="AL355" i="1"/>
  <c r="AF355" i="1"/>
  <c r="AC355" i="1"/>
  <c r="AH354" i="1"/>
  <c r="AI354" i="1"/>
  <c r="AG354" i="1"/>
  <c r="AJ354" i="1"/>
  <c r="AC354" i="1"/>
  <c r="AE354" i="1"/>
  <c r="AL354" i="1"/>
  <c r="AF354" i="1"/>
  <c r="AD354" i="1"/>
  <c r="AG353" i="1"/>
  <c r="AI353" i="1"/>
  <c r="AH353" i="1"/>
  <c r="AD353" i="1"/>
  <c r="AE353" i="1"/>
  <c r="AF353" i="1"/>
  <c r="AJ353" i="1"/>
  <c r="AC353" i="1"/>
  <c r="AL353" i="1"/>
  <c r="AH352" i="1"/>
  <c r="AI352" i="1"/>
  <c r="AG352" i="1"/>
  <c r="AL352" i="1"/>
  <c r="AC352" i="1"/>
  <c r="AE352" i="1"/>
  <c r="AD352" i="1"/>
  <c r="AF352" i="1"/>
  <c r="AJ352" i="1"/>
  <c r="AM352" i="1" s="1"/>
  <c r="AG351" i="1"/>
  <c r="AH351" i="1"/>
  <c r="AI351" i="1"/>
  <c r="AJ351" i="1"/>
  <c r="AC351" i="1"/>
  <c r="AD351" i="1"/>
  <c r="AF351" i="1"/>
  <c r="AL351" i="1"/>
  <c r="AE351" i="1"/>
  <c r="AI350" i="1"/>
  <c r="AG350" i="1"/>
  <c r="AH350" i="1"/>
  <c r="AC350" i="1"/>
  <c r="AD350" i="1"/>
  <c r="AE350" i="1"/>
  <c r="AL350" i="1"/>
  <c r="AJ350" i="1"/>
  <c r="AF350" i="1"/>
  <c r="AG349" i="1"/>
  <c r="AI349" i="1"/>
  <c r="AH349" i="1"/>
  <c r="AC349" i="1"/>
  <c r="AJ349" i="1"/>
  <c r="AL349" i="1"/>
  <c r="AE349" i="1"/>
  <c r="AF349" i="1"/>
  <c r="AD349" i="1"/>
  <c r="AG348" i="1"/>
  <c r="AH348" i="1"/>
  <c r="AI348" i="1"/>
  <c r="AJ348" i="1"/>
  <c r="AF348" i="1"/>
  <c r="AD348" i="1"/>
  <c r="AE348" i="1"/>
  <c r="AC348" i="1"/>
  <c r="AL348" i="1"/>
  <c r="AH347" i="1"/>
  <c r="AI347" i="1"/>
  <c r="AG347" i="1"/>
  <c r="AE347" i="1"/>
  <c r="AD347" i="1"/>
  <c r="AF347" i="1"/>
  <c r="AL347" i="1"/>
  <c r="AJ347" i="1"/>
  <c r="AM347" i="1" s="1"/>
  <c r="AC347" i="1"/>
  <c r="AG346" i="1"/>
  <c r="AH346" i="1"/>
  <c r="AI346" i="1"/>
  <c r="AC346" i="1"/>
  <c r="AL346" i="1"/>
  <c r="AD346" i="1"/>
  <c r="AF346" i="1"/>
  <c r="AJ346" i="1"/>
  <c r="AM346" i="1" s="1"/>
  <c r="AE346" i="1"/>
  <c r="AH345" i="1"/>
  <c r="AG345" i="1"/>
  <c r="AI345" i="1"/>
  <c r="AJ345" i="1"/>
  <c r="AE345" i="1"/>
  <c r="AD345" i="1"/>
  <c r="AC345" i="1"/>
  <c r="AF345" i="1"/>
  <c r="AL345" i="1"/>
  <c r="AH344" i="1"/>
  <c r="AG344" i="1"/>
  <c r="AI344" i="1"/>
  <c r="AJ344" i="1"/>
  <c r="AD344" i="1"/>
  <c r="AF344" i="1"/>
  <c r="AL344" i="1"/>
  <c r="AE344" i="1"/>
  <c r="AC344" i="1"/>
  <c r="AI343" i="1"/>
  <c r="AG343" i="1"/>
  <c r="AH343" i="1"/>
  <c r="AC343" i="1"/>
  <c r="AE343" i="1"/>
  <c r="AJ343" i="1"/>
  <c r="AL343" i="1"/>
  <c r="AF343" i="1"/>
  <c r="AD343" i="1"/>
  <c r="AI342" i="1"/>
  <c r="AG342" i="1"/>
  <c r="AH342" i="1"/>
  <c r="AL342" i="1"/>
  <c r="AF342" i="1"/>
  <c r="AJ342" i="1"/>
  <c r="AM342" i="1" s="1"/>
  <c r="AE342" i="1"/>
  <c r="AD342" i="1"/>
  <c r="AC342" i="1"/>
  <c r="AG341" i="1"/>
  <c r="AI341" i="1"/>
  <c r="AH341" i="1"/>
  <c r="AE341" i="1"/>
  <c r="AD341" i="1"/>
  <c r="AF341" i="1"/>
  <c r="AC341" i="1"/>
  <c r="AJ341" i="1"/>
  <c r="AL341" i="1"/>
  <c r="AI340" i="1"/>
  <c r="AG340" i="1"/>
  <c r="AH340" i="1"/>
  <c r="AL340" i="1"/>
  <c r="AD340" i="1"/>
  <c r="AE340" i="1"/>
  <c r="AF340" i="1"/>
  <c r="AC340" i="1"/>
  <c r="AJ340" i="1"/>
  <c r="AM340" i="1" s="1"/>
  <c r="AH339" i="1"/>
  <c r="AG339" i="1"/>
  <c r="AI339" i="1"/>
  <c r="AC339" i="1"/>
  <c r="AD339" i="1"/>
  <c r="AE339" i="1"/>
  <c r="AF339" i="1"/>
  <c r="AJ339" i="1"/>
  <c r="AL339" i="1"/>
  <c r="AH338" i="1"/>
  <c r="AG338" i="1"/>
  <c r="AI338" i="1"/>
  <c r="AF338" i="1"/>
  <c r="AE338" i="1"/>
  <c r="AL338" i="1"/>
  <c r="AJ338" i="1"/>
  <c r="AM338" i="1" s="1"/>
  <c r="AC338" i="1"/>
  <c r="AD338" i="1"/>
  <c r="AG337" i="1"/>
  <c r="AI337" i="1"/>
  <c r="AH337" i="1"/>
  <c r="AL337" i="1"/>
  <c r="AC337" i="1"/>
  <c r="AE337" i="1"/>
  <c r="AD337" i="1"/>
  <c r="AJ337" i="1"/>
  <c r="AM337" i="1" s="1"/>
  <c r="AF337" i="1"/>
  <c r="AG336" i="1"/>
  <c r="AH336" i="1"/>
  <c r="AI336" i="1"/>
  <c r="AE336" i="1"/>
  <c r="AD336" i="1"/>
  <c r="AL336" i="1"/>
  <c r="AF336" i="1"/>
  <c r="AJ336" i="1"/>
  <c r="AM336" i="1" s="1"/>
  <c r="AC336" i="1"/>
  <c r="AI335" i="1"/>
  <c r="AG335" i="1"/>
  <c r="AH335" i="1"/>
  <c r="AJ335" i="1"/>
  <c r="AF335" i="1"/>
  <c r="AL335" i="1"/>
  <c r="AC335" i="1"/>
  <c r="AD335" i="1"/>
  <c r="AE335" i="1"/>
  <c r="AG334" i="1"/>
  <c r="AH334" i="1"/>
  <c r="AI334" i="1"/>
  <c r="AC334" i="1"/>
  <c r="AE334" i="1"/>
  <c r="AL334" i="1"/>
  <c r="AD334" i="1"/>
  <c r="AF334" i="1"/>
  <c r="AJ334" i="1"/>
  <c r="AM334" i="1" s="1"/>
  <c r="AG333" i="1"/>
  <c r="AH333" i="1"/>
  <c r="AI333" i="1"/>
  <c r="AC333" i="1"/>
  <c r="AE333" i="1"/>
  <c r="AL333" i="1"/>
  <c r="AF333" i="1"/>
  <c r="AD333" i="1"/>
  <c r="AJ333" i="1"/>
  <c r="AM333" i="1" s="1"/>
  <c r="AH332" i="1"/>
  <c r="AI332" i="1"/>
  <c r="AG332" i="1"/>
  <c r="AL332" i="1"/>
  <c r="AD332" i="1"/>
  <c r="AF332" i="1"/>
  <c r="AE332" i="1"/>
  <c r="AC332" i="1"/>
  <c r="AJ332" i="1"/>
  <c r="AM332" i="1" s="1"/>
  <c r="AH331" i="1"/>
  <c r="AI331" i="1"/>
  <c r="AG331" i="1"/>
  <c r="AF331" i="1"/>
  <c r="AL331" i="1"/>
  <c r="AE331" i="1"/>
  <c r="AD331" i="1"/>
  <c r="AC331" i="1"/>
  <c r="AJ331" i="1"/>
  <c r="AM331" i="1" s="1"/>
  <c r="AH330" i="1"/>
  <c r="AG330" i="1"/>
  <c r="AI330" i="1"/>
  <c r="AE330" i="1"/>
  <c r="AC330" i="1"/>
  <c r="AJ330" i="1"/>
  <c r="AF330" i="1"/>
  <c r="AL330" i="1"/>
  <c r="AD330" i="1"/>
  <c r="AH329" i="1"/>
  <c r="AG329" i="1"/>
  <c r="AI329" i="1"/>
  <c r="AJ329" i="1"/>
  <c r="AE329" i="1"/>
  <c r="AC329" i="1"/>
  <c r="AL329" i="1"/>
  <c r="AF329" i="1"/>
  <c r="AD329" i="1"/>
  <c r="AG328" i="1"/>
  <c r="AI328" i="1"/>
  <c r="AH328" i="1"/>
  <c r="AL328" i="1"/>
  <c r="AF328" i="1"/>
  <c r="AE328" i="1"/>
  <c r="AC328" i="1"/>
  <c r="AD328" i="1"/>
  <c r="AJ328" i="1"/>
  <c r="AM328" i="1" s="1"/>
  <c r="AI327" i="1"/>
  <c r="AG327" i="1"/>
  <c r="AH327" i="1"/>
  <c r="AC327" i="1"/>
  <c r="AJ327" i="1"/>
  <c r="AE327" i="1"/>
  <c r="AF327" i="1"/>
  <c r="AD327" i="1"/>
  <c r="AL327" i="1"/>
  <c r="AG326" i="1"/>
  <c r="AH326" i="1"/>
  <c r="AI326" i="1"/>
  <c r="AJ326" i="1"/>
  <c r="AL326" i="1"/>
  <c r="AF326" i="1"/>
  <c r="AD326" i="1"/>
  <c r="AC326" i="1"/>
  <c r="AE326" i="1"/>
  <c r="AH325" i="1"/>
  <c r="AI325" i="1"/>
  <c r="AG325" i="1"/>
  <c r="AC325" i="1"/>
  <c r="AD325" i="1"/>
  <c r="AL325" i="1"/>
  <c r="AJ325" i="1"/>
  <c r="AM325" i="1" s="1"/>
  <c r="AF325" i="1"/>
  <c r="AE325" i="1"/>
  <c r="AI324" i="1"/>
  <c r="AH324" i="1"/>
  <c r="AG324" i="1"/>
  <c r="AF324" i="1"/>
  <c r="AE324" i="1"/>
  <c r="AC324" i="1"/>
  <c r="AD324" i="1"/>
  <c r="AL324" i="1"/>
  <c r="AJ324" i="1"/>
  <c r="AM324" i="1" s="1"/>
  <c r="AG323" i="1"/>
  <c r="AH323" i="1"/>
  <c r="AI323" i="1"/>
  <c r="AD323" i="1"/>
  <c r="AE323" i="1"/>
  <c r="AF323" i="1"/>
  <c r="AL323" i="1"/>
  <c r="AJ323" i="1"/>
  <c r="AM323" i="1" s="1"/>
  <c r="AC323" i="1"/>
  <c r="AH322" i="1"/>
  <c r="AI322" i="1"/>
  <c r="AG322" i="1"/>
  <c r="AE322" i="1"/>
  <c r="AD322" i="1"/>
  <c r="AF322" i="1"/>
  <c r="AJ322" i="1"/>
  <c r="AL322" i="1"/>
  <c r="AC322" i="1"/>
  <c r="AI321" i="1"/>
  <c r="AG321" i="1"/>
  <c r="AH321" i="1"/>
  <c r="AF321" i="1"/>
  <c r="AD321" i="1"/>
  <c r="AE321" i="1"/>
  <c r="AJ321" i="1"/>
  <c r="AL321" i="1"/>
  <c r="AC321" i="1"/>
  <c r="AH320" i="1"/>
  <c r="AI320" i="1"/>
  <c r="AG320" i="1"/>
  <c r="AF320" i="1"/>
  <c r="AL320" i="1"/>
  <c r="AJ320" i="1"/>
  <c r="AM320" i="1" s="1"/>
  <c r="AE320" i="1"/>
  <c r="AC320" i="1"/>
  <c r="AD320" i="1"/>
  <c r="AH319" i="1"/>
  <c r="AG319" i="1"/>
  <c r="AI319" i="1"/>
  <c r="AE319" i="1"/>
  <c r="AL319" i="1"/>
  <c r="AC319" i="1"/>
  <c r="AD319" i="1"/>
  <c r="AF319" i="1"/>
  <c r="AJ319" i="1"/>
  <c r="AM319" i="1" s="1"/>
  <c r="AI318" i="1"/>
  <c r="AG318" i="1"/>
  <c r="AH318" i="1"/>
  <c r="AL318" i="1"/>
  <c r="AD318" i="1"/>
  <c r="AE318" i="1"/>
  <c r="AC318" i="1"/>
  <c r="AF318" i="1"/>
  <c r="AJ318" i="1"/>
  <c r="AM318" i="1" s="1"/>
  <c r="AH317" i="1"/>
  <c r="AI317" i="1"/>
  <c r="AG317" i="1"/>
  <c r="AE317" i="1"/>
  <c r="AC317" i="1"/>
  <c r="AD317" i="1"/>
  <c r="AF317" i="1"/>
  <c r="AJ317" i="1"/>
  <c r="AL317" i="1"/>
  <c r="AH316" i="1"/>
  <c r="AI316" i="1"/>
  <c r="AG316" i="1"/>
  <c r="AL316" i="1"/>
  <c r="AD316" i="1"/>
  <c r="AJ316" i="1"/>
  <c r="AM316" i="1" s="1"/>
  <c r="AF316" i="1"/>
  <c r="AC316" i="1"/>
  <c r="AE316" i="1"/>
  <c r="AI315" i="1"/>
  <c r="AH315" i="1"/>
  <c r="AG315" i="1"/>
  <c r="AC315" i="1"/>
  <c r="AE315" i="1"/>
  <c r="AF315" i="1"/>
  <c r="AL315" i="1"/>
  <c r="AJ315" i="1"/>
  <c r="AM315" i="1" s="1"/>
  <c r="AD315" i="1"/>
  <c r="AI314" i="1"/>
  <c r="AG314" i="1"/>
  <c r="AH314" i="1"/>
  <c r="AL314" i="1"/>
  <c r="AF314" i="1"/>
  <c r="AJ314" i="1"/>
  <c r="AM314" i="1" s="1"/>
  <c r="AD314" i="1"/>
  <c r="AC314" i="1"/>
  <c r="AE314" i="1"/>
  <c r="AG313" i="1"/>
  <c r="AH313" i="1"/>
  <c r="AI313" i="1"/>
  <c r="AJ313" i="1"/>
  <c r="AD313" i="1"/>
  <c r="AE313" i="1"/>
  <c r="AF313" i="1"/>
  <c r="AC313" i="1"/>
  <c r="AL313" i="1"/>
  <c r="AG312" i="1"/>
  <c r="AH312" i="1"/>
  <c r="AI312" i="1"/>
  <c r="AC312" i="1"/>
  <c r="AF312" i="1"/>
  <c r="AD312" i="1"/>
  <c r="AL312" i="1"/>
  <c r="AE312" i="1"/>
  <c r="AJ312" i="1"/>
  <c r="AH311" i="1"/>
  <c r="AG311" i="1"/>
  <c r="AI311" i="1"/>
  <c r="AE311" i="1"/>
  <c r="AF311" i="1"/>
  <c r="AL311" i="1"/>
  <c r="AC311" i="1"/>
  <c r="AD311" i="1"/>
  <c r="AJ311" i="1"/>
  <c r="AM311" i="1" s="1"/>
  <c r="AH310" i="1"/>
  <c r="AG310" i="1"/>
  <c r="AI310" i="1"/>
  <c r="AF310" i="1"/>
  <c r="AE310" i="1"/>
  <c r="AD310" i="1"/>
  <c r="AL310" i="1"/>
  <c r="AJ310" i="1"/>
  <c r="AM310" i="1" s="1"/>
  <c r="AC310" i="1"/>
  <c r="AI309" i="1"/>
  <c r="AG309" i="1"/>
  <c r="AH309" i="1"/>
  <c r="AE309" i="1"/>
  <c r="AF309" i="1"/>
  <c r="AD309" i="1"/>
  <c r="AJ309" i="1"/>
  <c r="AL309" i="1"/>
  <c r="AC309" i="1"/>
  <c r="AG308" i="1"/>
  <c r="AI308" i="1"/>
  <c r="AH308" i="1"/>
  <c r="AL308" i="1"/>
  <c r="AE308" i="1"/>
  <c r="AD308" i="1"/>
  <c r="AC308" i="1"/>
  <c r="AF308" i="1"/>
  <c r="AJ308" i="1"/>
  <c r="AM308" i="1" s="1"/>
  <c r="AH307" i="1"/>
  <c r="AI307" i="1"/>
  <c r="AG307" i="1"/>
  <c r="AF307" i="1"/>
  <c r="AL307" i="1"/>
  <c r="AJ307" i="1"/>
  <c r="AM307" i="1" s="1"/>
  <c r="AE307" i="1"/>
  <c r="AD307" i="1"/>
  <c r="AC307" i="1"/>
  <c r="AG306" i="1"/>
  <c r="AI306" i="1"/>
  <c r="AH306" i="1"/>
  <c r="AF306" i="1"/>
  <c r="AD306" i="1"/>
  <c r="AC306" i="1"/>
  <c r="AJ306" i="1"/>
  <c r="AE306" i="1"/>
  <c r="AL306" i="1"/>
  <c r="AG305" i="1"/>
  <c r="AI305" i="1"/>
  <c r="AH305" i="1"/>
  <c r="AF305" i="1"/>
  <c r="AE305" i="1"/>
  <c r="AL305" i="1"/>
  <c r="AD305" i="1"/>
  <c r="AJ305" i="1"/>
  <c r="AM305" i="1" s="1"/>
  <c r="AC305" i="1"/>
  <c r="AG304" i="1"/>
  <c r="AI304" i="1"/>
  <c r="AH304" i="1"/>
  <c r="AJ304" i="1"/>
  <c r="AF304" i="1"/>
  <c r="AE304" i="1"/>
  <c r="AD304" i="1"/>
  <c r="AC304" i="1"/>
  <c r="AL304" i="1"/>
  <c r="AH303" i="1"/>
  <c r="AI303" i="1"/>
  <c r="AG303" i="1"/>
  <c r="AD303" i="1"/>
  <c r="AF303" i="1"/>
  <c r="AJ303" i="1"/>
  <c r="AL303" i="1"/>
  <c r="AE303" i="1"/>
  <c r="AC303" i="1"/>
  <c r="AH302" i="1"/>
  <c r="AI302" i="1"/>
  <c r="AG302" i="1"/>
  <c r="AF302" i="1"/>
  <c r="AC302" i="1"/>
  <c r="AJ302" i="1"/>
  <c r="AD302" i="1"/>
  <c r="AE302" i="1"/>
  <c r="AL302" i="1"/>
  <c r="AH301" i="1"/>
  <c r="AI301" i="1"/>
  <c r="AG301" i="1"/>
  <c r="AE301" i="1"/>
  <c r="AL301" i="1"/>
  <c r="AJ301" i="1"/>
  <c r="AM301" i="1" s="1"/>
  <c r="AF301" i="1"/>
  <c r="AC301" i="1"/>
  <c r="AD301" i="1"/>
  <c r="AH300" i="1"/>
  <c r="AG300" i="1"/>
  <c r="AI300" i="1"/>
  <c r="AL300" i="1"/>
  <c r="AJ300" i="1"/>
  <c r="AM300" i="1" s="1"/>
  <c r="AD300" i="1"/>
  <c r="AF300" i="1"/>
  <c r="AE300" i="1"/>
  <c r="AC300" i="1"/>
  <c r="AH299" i="1"/>
  <c r="AG299" i="1"/>
  <c r="AI299" i="1"/>
  <c r="AJ299" i="1"/>
  <c r="AF299" i="1"/>
  <c r="AE299" i="1"/>
  <c r="AD299" i="1"/>
  <c r="AC299" i="1"/>
  <c r="AL299" i="1"/>
  <c r="AG298" i="1"/>
  <c r="AH298" i="1"/>
  <c r="AI298" i="1"/>
  <c r="AL298" i="1"/>
  <c r="AE298" i="1"/>
  <c r="AC298" i="1"/>
  <c r="AD298" i="1"/>
  <c r="AJ298" i="1"/>
  <c r="AM298" i="1" s="1"/>
  <c r="AF298" i="1"/>
  <c r="AH297" i="1"/>
  <c r="AI297" i="1"/>
  <c r="AG297" i="1"/>
  <c r="AL297" i="1"/>
  <c r="AE297" i="1"/>
  <c r="AC297" i="1"/>
  <c r="AD297" i="1"/>
  <c r="AF297" i="1"/>
  <c r="AJ297" i="1"/>
  <c r="AM297" i="1" s="1"/>
  <c r="AH296" i="1"/>
  <c r="AG296" i="1"/>
  <c r="AI296" i="1"/>
  <c r="AF296" i="1"/>
  <c r="AC296" i="1"/>
  <c r="AJ296" i="1"/>
  <c r="AL296" i="1"/>
  <c r="AE296" i="1"/>
  <c r="AD296" i="1"/>
  <c r="AH295" i="1"/>
  <c r="AG295" i="1"/>
  <c r="AI295" i="1"/>
  <c r="AD295" i="1"/>
  <c r="AC295" i="1"/>
  <c r="AE295" i="1"/>
  <c r="AJ295" i="1"/>
  <c r="AL295" i="1"/>
  <c r="AF295" i="1"/>
  <c r="AG294" i="1"/>
  <c r="AI294" i="1"/>
  <c r="AH294" i="1"/>
  <c r="AL294" i="1"/>
  <c r="AC294" i="1"/>
  <c r="AD294" i="1"/>
  <c r="AJ294" i="1"/>
  <c r="AM294" i="1" s="1"/>
  <c r="AE294" i="1"/>
  <c r="AF294" i="1"/>
  <c r="AH293" i="1"/>
  <c r="AI293" i="1"/>
  <c r="AG293" i="1"/>
  <c r="AL293" i="1"/>
  <c r="AF293" i="1"/>
  <c r="AC293" i="1"/>
  <c r="AE293" i="1"/>
  <c r="AD293" i="1"/>
  <c r="AJ293" i="1"/>
  <c r="AM293" i="1" s="1"/>
  <c r="AH292" i="1"/>
  <c r="AG292" i="1"/>
  <c r="AI292" i="1"/>
  <c r="AE292" i="1"/>
  <c r="AD292" i="1"/>
  <c r="AF292" i="1"/>
  <c r="AL292" i="1"/>
  <c r="AC292" i="1"/>
  <c r="AJ292" i="1"/>
  <c r="AM292" i="1" s="1"/>
  <c r="AH291" i="1"/>
  <c r="AG291" i="1"/>
  <c r="AI291" i="1"/>
  <c r="AF291" i="1"/>
  <c r="AD291" i="1"/>
  <c r="AJ291" i="1"/>
  <c r="AC291" i="1"/>
  <c r="AL291" i="1"/>
  <c r="AE291" i="1"/>
  <c r="AG290" i="1"/>
  <c r="AI290" i="1"/>
  <c r="AH290" i="1"/>
  <c r="AE290" i="1"/>
  <c r="AL290" i="1"/>
  <c r="AC290" i="1"/>
  <c r="AF290" i="1"/>
  <c r="AD290" i="1"/>
  <c r="AJ290" i="1"/>
  <c r="AM290" i="1" s="1"/>
  <c r="AI289" i="1"/>
  <c r="AG289" i="1"/>
  <c r="AH289" i="1"/>
  <c r="AL289" i="1"/>
  <c r="AC289" i="1"/>
  <c r="AE289" i="1"/>
  <c r="AF289" i="1"/>
  <c r="AJ289" i="1"/>
  <c r="AM289" i="1" s="1"/>
  <c r="AD289" i="1"/>
  <c r="AH288" i="1"/>
  <c r="AG288" i="1"/>
  <c r="AI288" i="1"/>
  <c r="AC288" i="1"/>
  <c r="AD288" i="1"/>
  <c r="AL288" i="1"/>
  <c r="AE288" i="1"/>
  <c r="AJ288" i="1"/>
  <c r="AM288" i="1" s="1"/>
  <c r="AF288" i="1"/>
  <c r="AI287" i="1"/>
  <c r="AG287" i="1"/>
  <c r="AH287" i="1"/>
  <c r="AC287" i="1"/>
  <c r="AL287" i="1"/>
  <c r="AE287" i="1"/>
  <c r="AJ287" i="1"/>
  <c r="AM287" i="1" s="1"/>
  <c r="AF287" i="1"/>
  <c r="AD287" i="1"/>
  <c r="AH286" i="1"/>
  <c r="AI286" i="1"/>
  <c r="AG286" i="1"/>
  <c r="AE286" i="1"/>
  <c r="AJ286" i="1"/>
  <c r="AL286" i="1"/>
  <c r="AF286" i="1"/>
  <c r="AD286" i="1"/>
  <c r="AC286" i="1"/>
  <c r="AH285" i="1"/>
  <c r="AI285" i="1"/>
  <c r="AG285" i="1"/>
  <c r="AC285" i="1"/>
  <c r="AJ285" i="1"/>
  <c r="AE285" i="1"/>
  <c r="AD285" i="1"/>
  <c r="AL285" i="1"/>
  <c r="AF285" i="1"/>
  <c r="AI284" i="1"/>
  <c r="AG284" i="1"/>
  <c r="AH284" i="1"/>
  <c r="AE284" i="1"/>
  <c r="AF284" i="1"/>
  <c r="AC284" i="1"/>
  <c r="AD284" i="1"/>
  <c r="AJ284" i="1"/>
  <c r="AL284" i="1"/>
  <c r="AG283" i="1"/>
  <c r="AH283" i="1"/>
  <c r="AI283" i="1"/>
  <c r="AJ283" i="1"/>
  <c r="AL283" i="1"/>
  <c r="AF283" i="1"/>
  <c r="AC283" i="1"/>
  <c r="AD283" i="1"/>
  <c r="AE283" i="1"/>
  <c r="AG282" i="1"/>
  <c r="AI282" i="1"/>
  <c r="AH282" i="1"/>
  <c r="AF282" i="1"/>
  <c r="AL282" i="1"/>
  <c r="AC282" i="1"/>
  <c r="AJ282" i="1"/>
  <c r="AM282" i="1" s="1"/>
  <c r="AE282" i="1"/>
  <c r="AD282" i="1"/>
  <c r="AI281" i="1"/>
  <c r="AG281" i="1"/>
  <c r="AH281" i="1"/>
  <c r="AE281" i="1"/>
  <c r="AF281" i="1"/>
  <c r="AJ281" i="1"/>
  <c r="AL281" i="1"/>
  <c r="AC281" i="1"/>
  <c r="AD281" i="1"/>
  <c r="AI280" i="1"/>
  <c r="AH280" i="1"/>
  <c r="AG280" i="1"/>
  <c r="AJ280" i="1"/>
  <c r="AL280" i="1"/>
  <c r="AF280" i="1"/>
  <c r="AC280" i="1"/>
  <c r="AD280" i="1"/>
  <c r="AE280" i="1"/>
  <c r="AH279" i="1"/>
  <c r="AG279" i="1"/>
  <c r="AI279" i="1"/>
  <c r="AL279" i="1"/>
  <c r="AJ279" i="1"/>
  <c r="AM279" i="1" s="1"/>
  <c r="AF279" i="1"/>
  <c r="AD279" i="1"/>
  <c r="AE279" i="1"/>
  <c r="AC279" i="1"/>
  <c r="AG278" i="1"/>
  <c r="AI278" i="1"/>
  <c r="AH278" i="1"/>
  <c r="AJ278" i="1"/>
  <c r="AE278" i="1"/>
  <c r="AL278" i="1"/>
  <c r="AC278" i="1"/>
  <c r="AF278" i="1"/>
  <c r="AD278" i="1"/>
  <c r="AH277" i="1"/>
  <c r="AG277" i="1"/>
  <c r="AI277" i="1"/>
  <c r="AJ277" i="1"/>
  <c r="AC277" i="1"/>
  <c r="AF277" i="1"/>
  <c r="AD277" i="1"/>
  <c r="AL277" i="1"/>
  <c r="AE277" i="1"/>
  <c r="AH276" i="1"/>
  <c r="AG276" i="1"/>
  <c r="AI276" i="1"/>
  <c r="AF276" i="1"/>
  <c r="AC276" i="1"/>
  <c r="AE276" i="1"/>
  <c r="AD276" i="1"/>
  <c r="AJ276" i="1"/>
  <c r="AL276" i="1"/>
  <c r="AI275" i="1"/>
  <c r="AG275" i="1"/>
  <c r="AH275" i="1"/>
  <c r="AF275" i="1"/>
  <c r="AL275" i="1"/>
  <c r="AE275" i="1"/>
  <c r="AC275" i="1"/>
  <c r="AJ275" i="1"/>
  <c r="AM275" i="1" s="1"/>
  <c r="AD275" i="1"/>
  <c r="AI274" i="1"/>
  <c r="AG274" i="1"/>
  <c r="AH274" i="1"/>
  <c r="AF274" i="1"/>
  <c r="AC274" i="1"/>
  <c r="AL274" i="1"/>
  <c r="AE274" i="1"/>
  <c r="AD274" i="1"/>
  <c r="AJ274" i="1"/>
  <c r="AM274" i="1" s="1"/>
  <c r="AI273" i="1"/>
  <c r="AH273" i="1"/>
  <c r="AG273" i="1"/>
  <c r="AJ273" i="1"/>
  <c r="AL273" i="1"/>
  <c r="AF273" i="1"/>
  <c r="AC273" i="1"/>
  <c r="AE273" i="1"/>
  <c r="AD273" i="1"/>
  <c r="AG272" i="1"/>
  <c r="AI272" i="1"/>
  <c r="AH272" i="1"/>
  <c r="AJ272" i="1"/>
  <c r="AD272" i="1"/>
  <c r="AL272" i="1"/>
  <c r="AC272" i="1"/>
  <c r="AF272" i="1"/>
  <c r="AE272" i="1"/>
  <c r="AI271" i="1"/>
  <c r="AH271" i="1"/>
  <c r="AG271" i="1"/>
  <c r="AE271" i="1"/>
  <c r="AC271" i="1"/>
  <c r="AJ271" i="1"/>
  <c r="AD271" i="1"/>
  <c r="AF271" i="1"/>
  <c r="AL271" i="1"/>
  <c r="AH270" i="1"/>
  <c r="AG270" i="1"/>
  <c r="AI270" i="1"/>
  <c r="AE270" i="1"/>
  <c r="AF270" i="1"/>
  <c r="AD270" i="1"/>
  <c r="AL270" i="1"/>
  <c r="AJ270" i="1"/>
  <c r="AM270" i="1" s="1"/>
  <c r="AC270" i="1"/>
  <c r="AG269" i="1"/>
  <c r="AI269" i="1"/>
  <c r="AH269" i="1"/>
  <c r="AD269" i="1"/>
  <c r="AL269" i="1"/>
  <c r="AF269" i="1"/>
  <c r="AC269" i="1"/>
  <c r="AE269" i="1"/>
  <c r="AJ269" i="1"/>
  <c r="AM269" i="1" s="1"/>
  <c r="AG268" i="1"/>
  <c r="AI268" i="1"/>
  <c r="AH268" i="1"/>
  <c r="AE268" i="1"/>
  <c r="AC268" i="1"/>
  <c r="AL268" i="1"/>
  <c r="AF268" i="1"/>
  <c r="AJ268" i="1"/>
  <c r="AM268" i="1" s="1"/>
  <c r="AD268" i="1"/>
  <c r="AH267" i="1"/>
  <c r="AG267" i="1"/>
  <c r="AI267" i="1"/>
  <c r="AE267" i="1"/>
  <c r="AJ267" i="1"/>
  <c r="AD267" i="1"/>
  <c r="AC267" i="1"/>
  <c r="AF267" i="1"/>
  <c r="AL267" i="1"/>
  <c r="AH266" i="1"/>
  <c r="AI266" i="1"/>
  <c r="AG266" i="1"/>
  <c r="AE266" i="1"/>
  <c r="AC266" i="1"/>
  <c r="AL266" i="1"/>
  <c r="AJ266" i="1"/>
  <c r="AM266" i="1" s="1"/>
  <c r="AD266" i="1"/>
  <c r="AF266" i="1"/>
  <c r="AI265" i="1"/>
  <c r="AH265" i="1"/>
  <c r="AG265" i="1"/>
  <c r="AD265" i="1"/>
  <c r="AC265" i="1"/>
  <c r="AL265" i="1"/>
  <c r="AF265" i="1"/>
  <c r="AJ265" i="1"/>
  <c r="AM265" i="1" s="1"/>
  <c r="AE265" i="1"/>
  <c r="AG264" i="1"/>
  <c r="AI264" i="1"/>
  <c r="AH264" i="1"/>
  <c r="AF264" i="1"/>
  <c r="AC264" i="1"/>
  <c r="AL264" i="1"/>
  <c r="AJ264" i="1"/>
  <c r="AM264" i="1" s="1"/>
  <c r="AE264" i="1"/>
  <c r="AD264" i="1"/>
  <c r="AH263" i="1"/>
  <c r="AI263" i="1"/>
  <c r="AG263" i="1"/>
  <c r="AL263" i="1"/>
  <c r="AE263" i="1"/>
  <c r="AJ263" i="1"/>
  <c r="AM263" i="1" s="1"/>
  <c r="AD263" i="1"/>
  <c r="AF263" i="1"/>
  <c r="AC263" i="1"/>
  <c r="AH262" i="1"/>
  <c r="AI262" i="1"/>
  <c r="AG262" i="1"/>
  <c r="AL262" i="1"/>
  <c r="AF262" i="1"/>
  <c r="AE262" i="1"/>
  <c r="AC262" i="1"/>
  <c r="AJ262" i="1"/>
  <c r="AM262" i="1" s="1"/>
  <c r="AD262" i="1"/>
  <c r="AI261" i="1"/>
  <c r="AG261" i="1"/>
  <c r="AH261" i="1"/>
  <c r="AE261" i="1"/>
  <c r="AJ261" i="1"/>
  <c r="AC261" i="1"/>
  <c r="AL261" i="1"/>
  <c r="AF261" i="1"/>
  <c r="AD261" i="1"/>
  <c r="AI260" i="1"/>
  <c r="AH260" i="1"/>
  <c r="AG260" i="1"/>
  <c r="AJ260" i="1"/>
  <c r="AL260" i="1"/>
  <c r="AE260" i="1"/>
  <c r="AC260" i="1"/>
  <c r="AF260" i="1"/>
  <c r="AD260" i="1"/>
  <c r="AH259" i="1"/>
  <c r="AI259" i="1"/>
  <c r="AG259" i="1"/>
  <c r="AL259" i="1"/>
  <c r="AE259" i="1"/>
  <c r="AJ259" i="1"/>
  <c r="AM259" i="1" s="1"/>
  <c r="AF259" i="1"/>
  <c r="AD259" i="1"/>
  <c r="AC259" i="1"/>
  <c r="AI258" i="1"/>
  <c r="AG258" i="1"/>
  <c r="AH258" i="1"/>
  <c r="AL258" i="1"/>
  <c r="AF258" i="1"/>
  <c r="AJ258" i="1"/>
  <c r="AM258" i="1" s="1"/>
  <c r="AE258" i="1"/>
  <c r="AC258" i="1"/>
  <c r="AD258" i="1"/>
  <c r="AH257" i="1"/>
  <c r="AI257" i="1"/>
  <c r="AG257" i="1"/>
  <c r="AC257" i="1"/>
  <c r="AD257" i="1"/>
  <c r="AF257" i="1"/>
  <c r="AJ257" i="1"/>
  <c r="AL257" i="1"/>
  <c r="AE257" i="1"/>
  <c r="AH256" i="1"/>
  <c r="AI256" i="1"/>
  <c r="AG256" i="1"/>
  <c r="AD256" i="1"/>
  <c r="AE256" i="1"/>
  <c r="AC256" i="1"/>
  <c r="AL256" i="1"/>
  <c r="AJ256" i="1"/>
  <c r="AM256" i="1" s="1"/>
  <c r="AF256" i="1"/>
  <c r="AG255" i="1"/>
  <c r="AH255" i="1"/>
  <c r="AI255" i="1"/>
  <c r="AE255" i="1"/>
  <c r="AD255" i="1"/>
  <c r="AF255" i="1"/>
  <c r="AC255" i="1"/>
  <c r="AJ255" i="1"/>
  <c r="AL255" i="1"/>
  <c r="AI254" i="1"/>
  <c r="AH254" i="1"/>
  <c r="AG254" i="1"/>
  <c r="AD254" i="1"/>
  <c r="AL254" i="1"/>
  <c r="AC254" i="1"/>
  <c r="AE254" i="1"/>
  <c r="AJ254" i="1"/>
  <c r="AM254" i="1" s="1"/>
  <c r="AF254" i="1"/>
  <c r="AI253" i="1"/>
  <c r="AH253" i="1"/>
  <c r="AG253" i="1"/>
  <c r="AC253" i="1"/>
  <c r="AJ253" i="1"/>
  <c r="AL253" i="1"/>
  <c r="AE253" i="1"/>
  <c r="AF253" i="1"/>
  <c r="AD253" i="1"/>
  <c r="AG252" i="1"/>
  <c r="AH252" i="1"/>
  <c r="AI252" i="1"/>
  <c r="AE252" i="1"/>
  <c r="AD252" i="1"/>
  <c r="AF252" i="1"/>
  <c r="AL252" i="1"/>
  <c r="AC252" i="1"/>
  <c r="AJ252" i="1"/>
  <c r="AM252" i="1" s="1"/>
  <c r="AH251" i="1"/>
  <c r="AG251" i="1"/>
  <c r="AI251" i="1"/>
  <c r="AD251" i="1"/>
  <c r="AC251" i="1"/>
  <c r="AF251" i="1"/>
  <c r="AE251" i="1"/>
  <c r="AJ251" i="1"/>
  <c r="AL251" i="1"/>
  <c r="AH250" i="1"/>
  <c r="AI250" i="1"/>
  <c r="AG250" i="1"/>
  <c r="AF250" i="1"/>
  <c r="AC250" i="1"/>
  <c r="AD250" i="1"/>
  <c r="AL250" i="1"/>
  <c r="AJ250" i="1"/>
  <c r="AM250" i="1" s="1"/>
  <c r="AE250" i="1"/>
  <c r="AH249" i="1"/>
  <c r="AG249" i="1"/>
  <c r="AI249" i="1"/>
  <c r="AE249" i="1"/>
  <c r="AC249" i="1"/>
  <c r="AL249" i="1"/>
  <c r="AJ249" i="1"/>
  <c r="AM249" i="1" s="1"/>
  <c r="AD249" i="1"/>
  <c r="AF249" i="1"/>
  <c r="AH248" i="1"/>
  <c r="AI248" i="1"/>
  <c r="AG248" i="1"/>
  <c r="AL248" i="1"/>
  <c r="AJ248" i="1"/>
  <c r="AM248" i="1" s="1"/>
  <c r="AE248" i="1"/>
  <c r="AF248" i="1"/>
  <c r="AD248" i="1"/>
  <c r="AC248" i="1"/>
  <c r="AH247" i="1"/>
  <c r="AG247" i="1"/>
  <c r="AI247" i="1"/>
  <c r="AE247" i="1"/>
  <c r="AD247" i="1"/>
  <c r="AF247" i="1"/>
  <c r="AL247" i="1"/>
  <c r="AJ247" i="1"/>
  <c r="AM247" i="1" s="1"/>
  <c r="AC247" i="1"/>
  <c r="AI246" i="1"/>
  <c r="AH246" i="1"/>
  <c r="AG246" i="1"/>
  <c r="AJ246" i="1"/>
  <c r="AE246" i="1"/>
  <c r="AC246" i="1"/>
  <c r="AF246" i="1"/>
  <c r="AD246" i="1"/>
  <c r="AL246" i="1"/>
  <c r="AH245" i="1"/>
  <c r="AI245" i="1"/>
  <c r="AG245" i="1"/>
  <c r="AC245" i="1"/>
  <c r="AJ245" i="1"/>
  <c r="AF245" i="1"/>
  <c r="AD245" i="1"/>
  <c r="AL245" i="1"/>
  <c r="AE245" i="1"/>
  <c r="AH244" i="1"/>
  <c r="AG244" i="1"/>
  <c r="AI244" i="1"/>
  <c r="AD244" i="1"/>
  <c r="AF244" i="1"/>
  <c r="AE244" i="1"/>
  <c r="AJ244" i="1"/>
  <c r="AC244" i="1"/>
  <c r="AL244" i="1"/>
  <c r="AG243" i="1"/>
  <c r="AH243" i="1"/>
  <c r="AI243" i="1"/>
  <c r="AD243" i="1"/>
  <c r="AC243" i="1"/>
  <c r="AF243" i="1"/>
  <c r="AL243" i="1"/>
  <c r="AE243" i="1"/>
  <c r="AJ243" i="1"/>
  <c r="AM243" i="1" s="1"/>
  <c r="AG242" i="1"/>
  <c r="AI242" i="1"/>
  <c r="AH242" i="1"/>
  <c r="AE242" i="1"/>
  <c r="AC242" i="1"/>
  <c r="AJ242" i="1"/>
  <c r="AD242" i="1"/>
  <c r="AF242" i="1"/>
  <c r="AL242" i="1"/>
  <c r="AH241" i="1"/>
  <c r="AI241" i="1"/>
  <c r="AG241" i="1"/>
  <c r="AE241" i="1"/>
  <c r="AJ241" i="1"/>
  <c r="AC241" i="1"/>
  <c r="AD241" i="1"/>
  <c r="AF241" i="1"/>
  <c r="AL241" i="1"/>
  <c r="AH240" i="1"/>
  <c r="AG240" i="1"/>
  <c r="AI240" i="1"/>
  <c r="AJ240" i="1"/>
  <c r="AL240" i="1"/>
  <c r="AE240" i="1"/>
  <c r="AD240" i="1"/>
  <c r="AC240" i="1"/>
  <c r="AF240" i="1"/>
  <c r="AI239" i="1"/>
  <c r="AG239" i="1"/>
  <c r="AH239" i="1"/>
  <c r="AJ239" i="1"/>
  <c r="AE239" i="1"/>
  <c r="AC239" i="1"/>
  <c r="AL239" i="1"/>
  <c r="AF239" i="1"/>
  <c r="AD239" i="1"/>
  <c r="AH238" i="1"/>
  <c r="AI238" i="1"/>
  <c r="AG238" i="1"/>
  <c r="AE238" i="1"/>
  <c r="AD238" i="1"/>
  <c r="AL238" i="1"/>
  <c r="AF238" i="1"/>
  <c r="AC238" i="1"/>
  <c r="AJ238" i="1"/>
  <c r="AM238" i="1" s="1"/>
  <c r="AG237" i="1"/>
  <c r="AI237" i="1"/>
  <c r="AH237" i="1"/>
  <c r="AD237" i="1"/>
  <c r="AE237" i="1"/>
  <c r="AC237" i="1"/>
  <c r="AF237" i="1"/>
  <c r="AL237" i="1"/>
  <c r="AJ237" i="1"/>
  <c r="AM237" i="1" s="1"/>
  <c r="AI236" i="1"/>
  <c r="AH236" i="1"/>
  <c r="AG236" i="1"/>
  <c r="AE236" i="1"/>
  <c r="AD236" i="1"/>
  <c r="AC236" i="1"/>
  <c r="AL236" i="1"/>
  <c r="AJ236" i="1"/>
  <c r="AM236" i="1" s="1"/>
  <c r="AF236" i="1"/>
  <c r="AH235" i="1"/>
  <c r="AI235" i="1"/>
  <c r="AG235" i="1"/>
  <c r="AE235" i="1"/>
  <c r="AL235" i="1"/>
  <c r="AJ235" i="1"/>
  <c r="AM235" i="1" s="1"/>
  <c r="AC235" i="1"/>
  <c r="AF235" i="1"/>
  <c r="AD235" i="1"/>
  <c r="AH234" i="1"/>
  <c r="AG234" i="1"/>
  <c r="AI234" i="1"/>
  <c r="AF234" i="1"/>
  <c r="AL234" i="1"/>
  <c r="AD234" i="1"/>
  <c r="AJ234" i="1"/>
  <c r="AM234" i="1" s="1"/>
  <c r="AE234" i="1"/>
  <c r="AC234" i="1"/>
  <c r="AG233" i="1"/>
  <c r="AH233" i="1"/>
  <c r="AI233" i="1"/>
  <c r="AJ233" i="1"/>
  <c r="AL233" i="1"/>
  <c r="AF233" i="1"/>
  <c r="AD233" i="1"/>
  <c r="AC233" i="1"/>
  <c r="AE233" i="1"/>
  <c r="AG232" i="1"/>
  <c r="AH232" i="1"/>
  <c r="AI232" i="1"/>
  <c r="AL232" i="1"/>
  <c r="AE232" i="1"/>
  <c r="AC232" i="1"/>
  <c r="AF232" i="1"/>
  <c r="AJ232" i="1"/>
  <c r="AM232" i="1" s="1"/>
  <c r="AD232" i="1"/>
  <c r="AI231" i="1"/>
  <c r="AG231" i="1"/>
  <c r="AH231" i="1"/>
  <c r="AL231" i="1"/>
  <c r="AJ231" i="1"/>
  <c r="AM231" i="1" s="1"/>
  <c r="AE231" i="1"/>
  <c r="AC231" i="1"/>
  <c r="AD231" i="1"/>
  <c r="AF231" i="1"/>
  <c r="AG230" i="1"/>
  <c r="AH230" i="1"/>
  <c r="AI230" i="1"/>
  <c r="AD230" i="1"/>
  <c r="AF230" i="1"/>
  <c r="AC230" i="1"/>
  <c r="AL230" i="1"/>
  <c r="AJ230" i="1"/>
  <c r="AM230" i="1" s="1"/>
  <c r="AE230" i="1"/>
  <c r="AH229" i="1"/>
  <c r="AI229" i="1"/>
  <c r="AG229" i="1"/>
  <c r="AJ229" i="1"/>
  <c r="AF229" i="1"/>
  <c r="AD229" i="1"/>
  <c r="AC229" i="1"/>
  <c r="AE229" i="1"/>
  <c r="AL229" i="1"/>
  <c r="AG228" i="1"/>
  <c r="AH228" i="1"/>
  <c r="AI228" i="1"/>
  <c r="AE228" i="1"/>
  <c r="AC228" i="1"/>
  <c r="AD228" i="1"/>
  <c r="AL228" i="1"/>
  <c r="AJ228" i="1"/>
  <c r="AM228" i="1" s="1"/>
  <c r="AF228" i="1"/>
  <c r="AI227" i="1"/>
  <c r="AH227" i="1"/>
  <c r="AG227" i="1"/>
  <c r="AL227" i="1"/>
  <c r="AE227" i="1"/>
  <c r="AC227" i="1"/>
  <c r="AJ227" i="1"/>
  <c r="AM227" i="1" s="1"/>
  <c r="AF227" i="1"/>
  <c r="AD227" i="1"/>
  <c r="AH226" i="1"/>
  <c r="AI226" i="1"/>
  <c r="AG226" i="1"/>
  <c r="AC226" i="1"/>
  <c r="AD226" i="1"/>
  <c r="AF226" i="1"/>
  <c r="AL226" i="1"/>
  <c r="AJ226" i="1"/>
  <c r="AM226" i="1" s="1"/>
  <c r="AE226" i="1"/>
  <c r="AG225" i="1"/>
  <c r="AH225" i="1"/>
  <c r="AI225" i="1"/>
  <c r="AF225" i="1"/>
  <c r="AD225" i="1"/>
  <c r="AJ225" i="1"/>
  <c r="AE225" i="1"/>
  <c r="AC225" i="1"/>
  <c r="AL225" i="1"/>
  <c r="AH224" i="1"/>
  <c r="AI224" i="1"/>
  <c r="AG224" i="1"/>
  <c r="AD224" i="1"/>
  <c r="AC224" i="1"/>
  <c r="AJ224" i="1"/>
  <c r="AL224" i="1"/>
  <c r="AF224" i="1"/>
  <c r="AE224" i="1"/>
  <c r="AI223" i="1"/>
  <c r="AH223" i="1"/>
  <c r="AG223" i="1"/>
  <c r="AL223" i="1"/>
  <c r="AJ223" i="1"/>
  <c r="AM223" i="1" s="1"/>
  <c r="AE223" i="1"/>
  <c r="AC223" i="1"/>
  <c r="AF223" i="1"/>
  <c r="AD223" i="1"/>
  <c r="AG222" i="1"/>
  <c r="AI222" i="1"/>
  <c r="AH222" i="1"/>
  <c r="AJ222" i="1"/>
  <c r="AL222" i="1"/>
  <c r="AE222" i="1"/>
  <c r="AC222" i="1"/>
  <c r="AD222" i="1"/>
  <c r="AF222" i="1"/>
  <c r="AG221" i="1"/>
  <c r="AI221" i="1"/>
  <c r="AH221" i="1"/>
  <c r="AL221" i="1"/>
  <c r="AD221" i="1"/>
  <c r="AF221" i="1"/>
  <c r="AC221" i="1"/>
  <c r="AJ221" i="1"/>
  <c r="AM221" i="1" s="1"/>
  <c r="AE221" i="1"/>
  <c r="AH220" i="1"/>
  <c r="AG220" i="1"/>
  <c r="AI220" i="1"/>
  <c r="AD220" i="1"/>
  <c r="AL220" i="1"/>
  <c r="AF220" i="1"/>
  <c r="AJ220" i="1"/>
  <c r="AM220" i="1" s="1"/>
  <c r="AC220" i="1"/>
  <c r="AE220" i="1"/>
  <c r="AH219" i="1"/>
  <c r="AI219" i="1"/>
  <c r="AG219" i="1"/>
  <c r="AJ219" i="1"/>
  <c r="AC219" i="1"/>
  <c r="AE219" i="1"/>
  <c r="AL219" i="1"/>
  <c r="AF219" i="1"/>
  <c r="AD219" i="1"/>
  <c r="AI218" i="1"/>
  <c r="AH218" i="1"/>
  <c r="AG218" i="1"/>
  <c r="AF218" i="1"/>
  <c r="AL218" i="1"/>
  <c r="AE218" i="1"/>
  <c r="AD218" i="1"/>
  <c r="AJ218" i="1"/>
  <c r="AM218" i="1" s="1"/>
  <c r="AC218" i="1"/>
  <c r="AH217" i="1"/>
  <c r="AI217" i="1"/>
  <c r="AG217" i="1"/>
  <c r="AJ217" i="1"/>
  <c r="AE217" i="1"/>
  <c r="AF217" i="1"/>
  <c r="AC217" i="1"/>
  <c r="AL217" i="1"/>
  <c r="AD217" i="1"/>
  <c r="AG216" i="1"/>
  <c r="AI216" i="1"/>
  <c r="AH216" i="1"/>
  <c r="AL216" i="1"/>
  <c r="AC216" i="1"/>
  <c r="AD216" i="1"/>
  <c r="AF216" i="1"/>
  <c r="AJ216" i="1"/>
  <c r="AM216" i="1" s="1"/>
  <c r="AE216" i="1"/>
  <c r="AI215" i="1"/>
  <c r="AG215" i="1"/>
  <c r="AH215" i="1"/>
  <c r="AF215" i="1"/>
  <c r="AL215" i="1"/>
  <c r="AD215" i="1"/>
  <c r="AE215" i="1"/>
  <c r="AJ215" i="1"/>
  <c r="AM215" i="1" s="1"/>
  <c r="AC215" i="1"/>
  <c r="AI214" i="1"/>
  <c r="AH214" i="1"/>
  <c r="AG214" i="1"/>
  <c r="AE214" i="1"/>
  <c r="AJ214" i="1"/>
  <c r="AD214" i="1"/>
  <c r="AC214" i="1"/>
  <c r="AF214" i="1"/>
  <c r="AL214" i="1"/>
  <c r="AH213" i="1"/>
  <c r="AG213" i="1"/>
  <c r="AI213" i="1"/>
  <c r="AL213" i="1"/>
  <c r="AJ213" i="1"/>
  <c r="AD213" i="1"/>
  <c r="AC213" i="1"/>
  <c r="AF213" i="1"/>
  <c r="AE213" i="1"/>
  <c r="AH212" i="1"/>
  <c r="AG212" i="1"/>
  <c r="AI212" i="1"/>
  <c r="AD212" i="1"/>
  <c r="AJ212" i="1"/>
  <c r="AF212" i="1"/>
  <c r="AL212" i="1"/>
  <c r="AC212" i="1"/>
  <c r="AE212" i="1"/>
  <c r="AH211" i="1"/>
  <c r="AI211" i="1"/>
  <c r="AG211" i="1"/>
  <c r="AD211" i="1"/>
  <c r="AF211" i="1"/>
  <c r="AJ211" i="1"/>
  <c r="AC211" i="1"/>
  <c r="AE211" i="1"/>
  <c r="AL211" i="1"/>
  <c r="AG210" i="1"/>
  <c r="AH210" i="1"/>
  <c r="AI210" i="1"/>
  <c r="AL210" i="1"/>
  <c r="AF210" i="1"/>
  <c r="AD210" i="1"/>
  <c r="AJ210" i="1"/>
  <c r="AM210" i="1" s="1"/>
  <c r="AC210" i="1"/>
  <c r="AE210" i="1"/>
  <c r="AH209" i="1"/>
  <c r="AG209" i="1"/>
  <c r="AI209" i="1"/>
  <c r="AJ209" i="1"/>
  <c r="AF209" i="1"/>
  <c r="AD209" i="1"/>
  <c r="AE209" i="1"/>
  <c r="AL209" i="1"/>
  <c r="AC209" i="1"/>
  <c r="AG208" i="1"/>
  <c r="AI208" i="1"/>
  <c r="AH208" i="1"/>
  <c r="AF208" i="1"/>
  <c r="AD208" i="1"/>
  <c r="AL208" i="1"/>
  <c r="AJ208" i="1"/>
  <c r="AC208" i="1"/>
  <c r="AE208" i="1"/>
  <c r="AG207" i="1"/>
  <c r="AH207" i="1"/>
  <c r="AI207" i="1"/>
  <c r="AC207" i="1"/>
  <c r="AE207" i="1"/>
  <c r="AD207" i="1"/>
  <c r="AL207" i="1"/>
  <c r="AF207" i="1"/>
  <c r="AJ207" i="1"/>
  <c r="AM207" i="1" s="1"/>
  <c r="AG206" i="1"/>
  <c r="AI206" i="1"/>
  <c r="AH206" i="1"/>
  <c r="AE206" i="1"/>
  <c r="AL206" i="1"/>
  <c r="AF206" i="1"/>
  <c r="AD206" i="1"/>
  <c r="AC206" i="1"/>
  <c r="AJ206" i="1"/>
  <c r="AM206" i="1" s="1"/>
  <c r="AG205" i="1"/>
  <c r="AH205" i="1"/>
  <c r="AI205" i="1"/>
  <c r="AD205" i="1"/>
  <c r="AE205" i="1"/>
  <c r="AJ205" i="1"/>
  <c r="AC205" i="1"/>
  <c r="AL205" i="1"/>
  <c r="AF205" i="1"/>
  <c r="AI204" i="1"/>
  <c r="AG204" i="1"/>
  <c r="AH204" i="1"/>
  <c r="AE204" i="1"/>
  <c r="AL204" i="1"/>
  <c r="AJ204" i="1"/>
  <c r="AM204" i="1" s="1"/>
  <c r="AF204" i="1"/>
  <c r="AD204" i="1"/>
  <c r="AC204" i="1"/>
  <c r="AI203" i="1"/>
  <c r="AG203" i="1"/>
  <c r="AH203" i="1"/>
  <c r="AL203" i="1"/>
  <c r="AD203" i="1"/>
  <c r="AC203" i="1"/>
  <c r="AE203" i="1"/>
  <c r="AF203" i="1"/>
  <c r="AJ203" i="1"/>
  <c r="AM203" i="1" s="1"/>
  <c r="AH202" i="1"/>
  <c r="AG202" i="1"/>
  <c r="AI202" i="1"/>
  <c r="AL202" i="1"/>
  <c r="AD202" i="1"/>
  <c r="AF202" i="1"/>
  <c r="AE202" i="1"/>
  <c r="AJ202" i="1"/>
  <c r="AM202" i="1" s="1"/>
  <c r="AC202" i="1"/>
  <c r="AH201" i="1"/>
  <c r="AI201" i="1"/>
  <c r="AG201" i="1"/>
  <c r="AE201" i="1"/>
  <c r="AF201" i="1"/>
  <c r="AC201" i="1"/>
  <c r="AD201" i="1"/>
  <c r="AJ201" i="1"/>
  <c r="AL201" i="1"/>
  <c r="AH200" i="1"/>
  <c r="AI200" i="1"/>
  <c r="AG200" i="1"/>
  <c r="AD200" i="1"/>
  <c r="AJ200" i="1"/>
  <c r="AC200" i="1"/>
  <c r="AF200" i="1"/>
  <c r="AE200" i="1"/>
  <c r="AL200" i="1"/>
  <c r="AH199" i="1"/>
  <c r="AI199" i="1"/>
  <c r="AG199" i="1"/>
  <c r="AF199" i="1"/>
  <c r="AL199" i="1"/>
  <c r="AC199" i="1"/>
  <c r="AE199" i="1"/>
  <c r="AD199" i="1"/>
  <c r="AJ199" i="1"/>
  <c r="AM199" i="1" s="1"/>
  <c r="AH198" i="1"/>
  <c r="AI198" i="1"/>
  <c r="AG198" i="1"/>
  <c r="AC198" i="1"/>
  <c r="AJ198" i="1"/>
  <c r="AL198" i="1"/>
  <c r="AF198" i="1"/>
  <c r="AD198" i="1"/>
  <c r="AE198" i="1"/>
  <c r="AH197" i="1"/>
  <c r="AI197" i="1"/>
  <c r="AG197" i="1"/>
  <c r="AD197" i="1"/>
  <c r="AC197" i="1"/>
  <c r="AF197" i="1"/>
  <c r="AE197" i="1"/>
  <c r="AJ197" i="1"/>
  <c r="AL197" i="1"/>
  <c r="AG196" i="1"/>
  <c r="AI196" i="1"/>
  <c r="AH196" i="1"/>
  <c r="AC196" i="1"/>
  <c r="AL196" i="1"/>
  <c r="AJ196" i="1"/>
  <c r="AD196" i="1"/>
  <c r="AF196" i="1"/>
  <c r="AE196" i="1"/>
  <c r="AG195" i="1"/>
  <c r="AI195" i="1"/>
  <c r="AH195" i="1"/>
  <c r="AF195" i="1"/>
  <c r="AC195" i="1"/>
  <c r="AD195" i="1"/>
  <c r="AL195" i="1"/>
  <c r="AE195" i="1"/>
  <c r="AJ195" i="1"/>
  <c r="AM195" i="1" s="1"/>
  <c r="AI194" i="1"/>
  <c r="AH194" i="1"/>
  <c r="AG194" i="1"/>
  <c r="AD194" i="1"/>
  <c r="AE194" i="1"/>
  <c r="AC194" i="1"/>
  <c r="AL194" i="1"/>
  <c r="AF194" i="1"/>
  <c r="AJ194" i="1"/>
  <c r="AM194" i="1" s="1"/>
  <c r="AG193" i="1"/>
  <c r="AI193" i="1"/>
  <c r="AH193" i="1"/>
  <c r="AC193" i="1"/>
  <c r="AD193" i="1"/>
  <c r="AJ193" i="1"/>
  <c r="AE193" i="1"/>
  <c r="AL193" i="1"/>
  <c r="AF193" i="1"/>
  <c r="AH192" i="1"/>
  <c r="AI192" i="1"/>
  <c r="AG192" i="1"/>
  <c r="AJ192" i="1"/>
  <c r="AC192" i="1"/>
  <c r="AE192" i="1"/>
  <c r="AL192" i="1"/>
  <c r="AD192" i="1"/>
  <c r="AF192" i="1"/>
  <c r="AI191" i="1"/>
  <c r="AH191" i="1"/>
  <c r="AG191" i="1"/>
  <c r="AD191" i="1"/>
  <c r="AF191" i="1"/>
  <c r="AE191" i="1"/>
  <c r="AL191" i="1"/>
  <c r="AJ191" i="1"/>
  <c r="AM191" i="1" s="1"/>
  <c r="AC191" i="1"/>
  <c r="AH190" i="1"/>
  <c r="AG190" i="1"/>
  <c r="AI190" i="1"/>
  <c r="AC190" i="1"/>
  <c r="AE190" i="1"/>
  <c r="AF190" i="1"/>
  <c r="AL190" i="1"/>
  <c r="AD190" i="1"/>
  <c r="AJ190" i="1"/>
  <c r="AM190" i="1" s="1"/>
  <c r="AH189" i="1"/>
  <c r="AI189" i="1"/>
  <c r="AG189" i="1"/>
  <c r="AJ189" i="1"/>
  <c r="AF189" i="1"/>
  <c r="AE189" i="1"/>
  <c r="AC189" i="1"/>
  <c r="AD189" i="1"/>
  <c r="AL189" i="1"/>
  <c r="AI188" i="1"/>
  <c r="AH188" i="1"/>
  <c r="AG188" i="1"/>
  <c r="AJ188" i="1"/>
  <c r="AF188" i="1"/>
  <c r="AC188" i="1"/>
  <c r="AE188" i="1"/>
  <c r="AL188" i="1"/>
  <c r="AD188" i="1"/>
  <c r="AG187" i="1"/>
  <c r="AH187" i="1"/>
  <c r="AI187" i="1"/>
  <c r="AE187" i="1"/>
  <c r="AF187" i="1"/>
  <c r="AL187" i="1"/>
  <c r="AC187" i="1"/>
  <c r="AD187" i="1"/>
  <c r="AJ187" i="1"/>
  <c r="AM187" i="1" s="1"/>
  <c r="AG186" i="1"/>
  <c r="AI186" i="1"/>
  <c r="AH186" i="1"/>
  <c r="AF186" i="1"/>
  <c r="AJ186" i="1"/>
  <c r="AD186" i="1"/>
  <c r="AL186" i="1"/>
  <c r="AC186" i="1"/>
  <c r="AE186" i="1"/>
  <c r="AH185" i="1"/>
  <c r="AI185" i="1"/>
  <c r="AG185" i="1"/>
  <c r="AE185" i="1"/>
  <c r="AD185" i="1"/>
  <c r="AF185" i="1"/>
  <c r="AJ185" i="1"/>
  <c r="AL185" i="1"/>
  <c r="AC185" i="1"/>
  <c r="AI184" i="1"/>
  <c r="AG184" i="1"/>
  <c r="AH184" i="1"/>
  <c r="AL184" i="1"/>
  <c r="AE184" i="1"/>
  <c r="AF184" i="1"/>
  <c r="AC184" i="1"/>
  <c r="AJ184" i="1"/>
  <c r="AM184" i="1" s="1"/>
  <c r="AD184" i="1"/>
  <c r="AG183" i="1"/>
  <c r="AH183" i="1"/>
  <c r="AI183" i="1"/>
  <c r="AC183" i="1"/>
  <c r="AE183" i="1"/>
  <c r="AL183" i="1"/>
  <c r="AD183" i="1"/>
  <c r="AF183" i="1"/>
  <c r="AJ183" i="1"/>
  <c r="AM183" i="1" s="1"/>
  <c r="AG182" i="1"/>
  <c r="AH182" i="1"/>
  <c r="AI182" i="1"/>
  <c r="AC182" i="1"/>
  <c r="AL182" i="1"/>
  <c r="AJ182" i="1"/>
  <c r="AD182" i="1"/>
  <c r="AE182" i="1"/>
  <c r="AF182" i="1"/>
  <c r="AI181" i="1"/>
  <c r="AG181" i="1"/>
  <c r="AH181" i="1"/>
  <c r="AJ181" i="1"/>
  <c r="AC181" i="1"/>
  <c r="AF181" i="1"/>
  <c r="AD181" i="1"/>
  <c r="AE181" i="1"/>
  <c r="AL181" i="1"/>
  <c r="AG180" i="1"/>
  <c r="AH180" i="1"/>
  <c r="AI180" i="1"/>
  <c r="AE180" i="1"/>
  <c r="AJ180" i="1"/>
  <c r="AC180" i="1"/>
  <c r="AD180" i="1"/>
  <c r="AF180" i="1"/>
  <c r="AL180" i="1"/>
  <c r="AG179" i="1"/>
  <c r="AI179" i="1"/>
  <c r="AH179" i="1"/>
  <c r="AJ179" i="1"/>
  <c r="AC179" i="1"/>
  <c r="AD179" i="1"/>
  <c r="AF179" i="1"/>
  <c r="AL179" i="1"/>
  <c r="AE179" i="1"/>
  <c r="AG178" i="1"/>
  <c r="AI178" i="1"/>
  <c r="AH178" i="1"/>
  <c r="AD178" i="1"/>
  <c r="AC178" i="1"/>
  <c r="AF178" i="1"/>
  <c r="AJ178" i="1"/>
  <c r="AE178" i="1"/>
  <c r="AL178" i="1"/>
  <c r="AG177" i="1"/>
  <c r="AI177" i="1"/>
  <c r="AH177" i="1"/>
  <c r="AE177" i="1"/>
  <c r="AC177" i="1"/>
  <c r="AJ177" i="1"/>
  <c r="AL177" i="1"/>
  <c r="AD177" i="1"/>
  <c r="AF177" i="1"/>
  <c r="AG176" i="1"/>
  <c r="AI176" i="1"/>
  <c r="AJ176" i="1"/>
  <c r="AL176" i="1"/>
  <c r="AF176" i="1"/>
  <c r="AC176" i="1"/>
  <c r="AD176" i="1"/>
  <c r="AE176" i="1"/>
  <c r="AG175" i="1"/>
  <c r="AI175" i="1"/>
  <c r="AH175" i="1"/>
  <c r="AL175" i="1"/>
  <c r="AJ175" i="1"/>
  <c r="AD175" i="1"/>
  <c r="AC175" i="1"/>
  <c r="AE175" i="1"/>
  <c r="AF175" i="1"/>
  <c r="AH174" i="1"/>
  <c r="AI174" i="1"/>
  <c r="AG174" i="1"/>
  <c r="AL174" i="1"/>
  <c r="AC174" i="1"/>
  <c r="AJ174" i="1"/>
  <c r="AM174" i="1" s="1"/>
  <c r="AF174" i="1"/>
  <c r="AD174" i="1"/>
  <c r="AE174" i="1"/>
  <c r="AH173" i="1"/>
  <c r="AI173" i="1"/>
  <c r="AG173" i="1"/>
  <c r="AF173" i="1"/>
  <c r="AD173" i="1"/>
  <c r="AE173" i="1"/>
  <c r="AL173" i="1"/>
  <c r="AC173" i="1"/>
  <c r="AJ173" i="1"/>
  <c r="AM173" i="1" s="1"/>
  <c r="AG172" i="1"/>
  <c r="AI172" i="1"/>
  <c r="AH172" i="1"/>
  <c r="AD172" i="1"/>
  <c r="AF172" i="1"/>
  <c r="AE172" i="1"/>
  <c r="AC172" i="1"/>
  <c r="AJ172" i="1"/>
  <c r="AL172" i="1"/>
  <c r="AH171" i="1"/>
  <c r="AI171" i="1"/>
  <c r="AG171" i="1"/>
  <c r="AC171" i="1"/>
  <c r="AJ171" i="1"/>
  <c r="AL171" i="1"/>
  <c r="AF171" i="1"/>
  <c r="AE171" i="1"/>
  <c r="AD171" i="1"/>
  <c r="AI170" i="1"/>
  <c r="AG170" i="1"/>
  <c r="AH170" i="1"/>
  <c r="AJ170" i="1"/>
  <c r="AD170" i="1"/>
  <c r="AF170" i="1"/>
  <c r="AC170" i="1"/>
  <c r="AL170" i="1"/>
  <c r="AE170" i="1"/>
  <c r="AI169" i="1"/>
  <c r="AH169" i="1"/>
  <c r="AG169" i="1"/>
  <c r="AJ169" i="1"/>
  <c r="AC169" i="1"/>
  <c r="AF169" i="1"/>
  <c r="AE169" i="1"/>
  <c r="AL169" i="1"/>
  <c r="AD169" i="1"/>
  <c r="AI168" i="1"/>
  <c r="AH168" i="1"/>
  <c r="AG168" i="1"/>
  <c r="AL168" i="1"/>
  <c r="AJ168" i="1"/>
  <c r="AM168" i="1" s="1"/>
  <c r="AE168" i="1"/>
  <c r="AD168" i="1"/>
  <c r="AC168" i="1"/>
  <c r="AF168" i="1"/>
  <c r="AI167" i="1"/>
  <c r="AG167" i="1"/>
  <c r="AH167" i="1"/>
  <c r="AE167" i="1"/>
  <c r="AC167" i="1"/>
  <c r="AF167" i="1"/>
  <c r="AD167" i="1"/>
  <c r="AJ167" i="1"/>
  <c r="AL167" i="1"/>
  <c r="AH166" i="1"/>
  <c r="AI166" i="1"/>
  <c r="AG166" i="1"/>
  <c r="AF166" i="1"/>
  <c r="AJ166" i="1"/>
  <c r="AC166" i="1"/>
  <c r="AE166" i="1"/>
  <c r="AL166" i="1"/>
  <c r="AD166" i="1"/>
  <c r="AG165" i="1"/>
  <c r="AH165" i="1"/>
  <c r="AI165" i="1"/>
  <c r="AJ165" i="1"/>
  <c r="AD165" i="1"/>
  <c r="AL165" i="1"/>
  <c r="AC165" i="1"/>
  <c r="AF165" i="1"/>
  <c r="AE165" i="1"/>
  <c r="AH164" i="1"/>
  <c r="AG164" i="1"/>
  <c r="AI164" i="1"/>
  <c r="AF164" i="1"/>
  <c r="AD164" i="1"/>
  <c r="AE164" i="1"/>
  <c r="AJ164" i="1"/>
  <c r="AC164" i="1"/>
  <c r="AL164" i="1"/>
  <c r="AG163" i="1"/>
  <c r="AH163" i="1"/>
  <c r="AI163" i="1"/>
  <c r="AE163" i="1"/>
  <c r="AF163" i="1"/>
  <c r="AD163" i="1"/>
  <c r="AJ163" i="1"/>
  <c r="AL163" i="1"/>
  <c r="AC163" i="1"/>
  <c r="AG162" i="1"/>
  <c r="AI162" i="1"/>
  <c r="AH162" i="1"/>
  <c r="AJ162" i="1"/>
  <c r="AE162" i="1"/>
  <c r="AL162" i="1"/>
  <c r="AD162" i="1"/>
  <c r="AC162" i="1"/>
  <c r="AF162" i="1"/>
  <c r="AH161" i="1"/>
  <c r="AG161" i="1"/>
  <c r="AI161" i="1"/>
  <c r="AC161" i="1"/>
  <c r="AL161" i="1"/>
  <c r="AJ161" i="1"/>
  <c r="AM161" i="1" s="1"/>
  <c r="AD161" i="1"/>
  <c r="AE161" i="1"/>
  <c r="AF161" i="1"/>
  <c r="AG160" i="1"/>
  <c r="AI160" i="1"/>
  <c r="AH160" i="1"/>
  <c r="AL160" i="1"/>
  <c r="AE160" i="1"/>
  <c r="AC160" i="1"/>
  <c r="AD160" i="1"/>
  <c r="AJ160" i="1"/>
  <c r="AM160" i="1" s="1"/>
  <c r="AF160" i="1"/>
  <c r="AI159" i="1"/>
  <c r="AG159" i="1"/>
  <c r="AH159" i="1"/>
  <c r="AD159" i="1"/>
  <c r="AE159" i="1"/>
  <c r="AC159" i="1"/>
  <c r="AL159" i="1"/>
  <c r="AJ159" i="1"/>
  <c r="AM159" i="1" s="1"/>
  <c r="AF159" i="1"/>
  <c r="AG158" i="1"/>
  <c r="AI158" i="1"/>
  <c r="AH158" i="1"/>
  <c r="AE158" i="1"/>
  <c r="AL158" i="1"/>
  <c r="AC158" i="1"/>
  <c r="AD158" i="1"/>
  <c r="AF158" i="1"/>
  <c r="AJ158" i="1"/>
  <c r="AM158" i="1" s="1"/>
  <c r="AI157" i="1"/>
  <c r="AG157" i="1"/>
  <c r="AH157" i="1"/>
  <c r="AE157" i="1"/>
  <c r="AL157" i="1"/>
  <c r="AC157" i="1"/>
  <c r="AF157" i="1"/>
  <c r="AJ157" i="1"/>
  <c r="AM157" i="1" s="1"/>
  <c r="AD157" i="1"/>
  <c r="AH156" i="1"/>
  <c r="AG156" i="1"/>
  <c r="AI156" i="1"/>
  <c r="AJ156" i="1"/>
  <c r="AE156" i="1"/>
  <c r="AF156" i="1"/>
  <c r="AC156" i="1"/>
  <c r="AL156" i="1"/>
  <c r="AD156" i="1"/>
  <c r="AG155" i="1"/>
  <c r="AI155" i="1"/>
  <c r="AH155" i="1"/>
  <c r="AL155" i="1"/>
  <c r="AE155" i="1"/>
  <c r="AC155" i="1"/>
  <c r="AF155" i="1"/>
  <c r="AD155" i="1"/>
  <c r="AJ155" i="1"/>
  <c r="AM155" i="1" s="1"/>
  <c r="AI154" i="1"/>
  <c r="AG154" i="1"/>
  <c r="AH154" i="1"/>
  <c r="AJ154" i="1"/>
  <c r="AD154" i="1"/>
  <c r="AE154" i="1"/>
  <c r="AL154" i="1"/>
  <c r="AF154" i="1"/>
  <c r="AC154" i="1"/>
  <c r="AH153" i="1"/>
  <c r="AG153" i="1"/>
  <c r="AI153" i="1"/>
  <c r="AJ153" i="1"/>
  <c r="AL153" i="1"/>
  <c r="AD153" i="1"/>
  <c r="AF153" i="1"/>
  <c r="AE153" i="1"/>
  <c r="AC153" i="1"/>
  <c r="AI152" i="1"/>
  <c r="AG152" i="1"/>
  <c r="AH152" i="1"/>
  <c r="AE152" i="1"/>
  <c r="AC152" i="1"/>
  <c r="AD152" i="1"/>
  <c r="AJ152" i="1"/>
  <c r="AF152" i="1"/>
  <c r="AL152" i="1"/>
  <c r="AG151" i="1"/>
  <c r="AI151" i="1"/>
  <c r="AH151" i="1"/>
  <c r="AD151" i="1"/>
  <c r="AL151" i="1"/>
  <c r="AF151" i="1"/>
  <c r="AJ151" i="1"/>
  <c r="AM151" i="1" s="1"/>
  <c r="AC151" i="1"/>
  <c r="AE151" i="1"/>
  <c r="AG150" i="1"/>
  <c r="AI150" i="1"/>
  <c r="AH150" i="1"/>
  <c r="AD150" i="1"/>
  <c r="AJ150" i="1"/>
  <c r="AE150" i="1"/>
  <c r="AC150" i="1"/>
  <c r="AF150" i="1"/>
  <c r="AL150" i="1"/>
  <c r="AH149" i="1"/>
  <c r="AG149" i="1"/>
  <c r="AI149" i="1"/>
  <c r="AC149" i="1"/>
  <c r="AL149" i="1"/>
  <c r="AJ149" i="1"/>
  <c r="AE149" i="1"/>
  <c r="AF149" i="1"/>
  <c r="AD149" i="1"/>
  <c r="AI148" i="1"/>
  <c r="AH148" i="1"/>
  <c r="AG148" i="1"/>
  <c r="AC148" i="1"/>
  <c r="AL148" i="1"/>
  <c r="AD148" i="1"/>
  <c r="AF148" i="1"/>
  <c r="AJ148" i="1"/>
  <c r="AM148" i="1" s="1"/>
  <c r="AE148" i="1"/>
  <c r="AI147" i="1"/>
  <c r="AG147" i="1"/>
  <c r="AH147" i="1"/>
  <c r="AL147" i="1"/>
  <c r="AD147" i="1"/>
  <c r="AF147" i="1"/>
  <c r="AC147" i="1"/>
  <c r="AE147" i="1"/>
  <c r="AJ147" i="1"/>
  <c r="AM147" i="1" s="1"/>
  <c r="AH146" i="1"/>
  <c r="AG146" i="1"/>
  <c r="AI146" i="1"/>
  <c r="AF146" i="1"/>
  <c r="AC146" i="1"/>
  <c r="AL146" i="1"/>
  <c r="AE146" i="1"/>
  <c r="AJ146" i="1"/>
  <c r="AM146" i="1" s="1"/>
  <c r="AD146" i="1"/>
  <c r="AH145" i="1"/>
  <c r="AG145" i="1"/>
  <c r="AI145" i="1"/>
  <c r="AE145" i="1"/>
  <c r="AL145" i="1"/>
  <c r="AC145" i="1"/>
  <c r="AD145" i="1"/>
  <c r="AF145" i="1"/>
  <c r="AJ145" i="1"/>
  <c r="AM145" i="1" s="1"/>
  <c r="AI144" i="1"/>
  <c r="AG144" i="1"/>
  <c r="AH144" i="1"/>
  <c r="AE144" i="1"/>
  <c r="AC144" i="1"/>
  <c r="AF144" i="1"/>
  <c r="AD144" i="1"/>
  <c r="AJ144" i="1"/>
  <c r="AL144" i="1"/>
  <c r="AG143" i="1"/>
  <c r="AH143" i="1"/>
  <c r="AI143" i="1"/>
  <c r="AL143" i="1"/>
  <c r="AF143" i="1"/>
  <c r="AJ143" i="1"/>
  <c r="AM143" i="1" s="1"/>
  <c r="AD143" i="1"/>
  <c r="AE143" i="1"/>
  <c r="AC143" i="1"/>
  <c r="AI142" i="1"/>
  <c r="AH142" i="1"/>
  <c r="AG142" i="1"/>
  <c r="AF142" i="1"/>
  <c r="AE142" i="1"/>
  <c r="AD142" i="1"/>
  <c r="AJ142" i="1"/>
  <c r="AC142" i="1"/>
  <c r="AL142" i="1"/>
  <c r="AI141" i="1"/>
  <c r="AG141" i="1"/>
  <c r="AH141" i="1"/>
  <c r="AJ141" i="1"/>
  <c r="AC141" i="1"/>
  <c r="AF141" i="1"/>
  <c r="AL141" i="1"/>
  <c r="AD141" i="1"/>
  <c r="AE141" i="1"/>
  <c r="AH140" i="1"/>
  <c r="AI140" i="1"/>
  <c r="AG140" i="1"/>
  <c r="AE140" i="1"/>
  <c r="AC140" i="1"/>
  <c r="AJ140" i="1"/>
  <c r="AF140" i="1"/>
  <c r="AL140" i="1"/>
  <c r="AD140" i="1"/>
  <c r="AI139" i="1"/>
  <c r="AG139" i="1"/>
  <c r="AH139" i="1"/>
  <c r="AL139" i="1"/>
  <c r="AC139" i="1"/>
  <c r="AF139" i="1"/>
  <c r="AD139" i="1"/>
  <c r="AJ139" i="1"/>
  <c r="AM139" i="1" s="1"/>
  <c r="AE139" i="1"/>
  <c r="AH138" i="1"/>
  <c r="AI138" i="1"/>
  <c r="AG138" i="1"/>
  <c r="AD138" i="1"/>
  <c r="AJ138" i="1"/>
  <c r="AF138" i="1"/>
  <c r="AE138" i="1"/>
  <c r="AL138" i="1"/>
  <c r="AC138" i="1"/>
  <c r="AI137" i="1"/>
  <c r="AG137" i="1"/>
  <c r="AH137" i="1"/>
  <c r="AF137" i="1"/>
  <c r="AL137" i="1"/>
  <c r="AE137" i="1"/>
  <c r="AC137" i="1"/>
  <c r="AJ137" i="1"/>
  <c r="AM137" i="1" s="1"/>
  <c r="AD137" i="1"/>
  <c r="AG136" i="1"/>
  <c r="AI136" i="1"/>
  <c r="AH136" i="1"/>
  <c r="AD136" i="1"/>
  <c r="AF136" i="1"/>
  <c r="AL136" i="1"/>
  <c r="AJ136" i="1"/>
  <c r="AE136" i="1"/>
  <c r="AC136" i="1"/>
  <c r="AI135" i="1"/>
  <c r="AG135" i="1"/>
  <c r="AH135" i="1"/>
  <c r="AL135" i="1"/>
  <c r="AE135" i="1"/>
  <c r="AC135" i="1"/>
  <c r="AD135" i="1"/>
  <c r="AJ135" i="1"/>
  <c r="AM135" i="1" s="1"/>
  <c r="AF135" i="1"/>
  <c r="AH134" i="1"/>
  <c r="AG134" i="1"/>
  <c r="AI134" i="1"/>
  <c r="AF134" i="1"/>
  <c r="AD134" i="1"/>
  <c r="AC134" i="1"/>
  <c r="AL134" i="1"/>
  <c r="AE134" i="1"/>
  <c r="AJ134" i="1"/>
  <c r="AM134" i="1" s="1"/>
  <c r="AI133" i="1"/>
  <c r="AG133" i="1"/>
  <c r="AH133" i="1"/>
  <c r="AL133" i="1"/>
  <c r="AE133" i="1"/>
  <c r="AC133" i="1"/>
  <c r="AD133" i="1"/>
  <c r="AJ133" i="1"/>
  <c r="AM133" i="1" s="1"/>
  <c r="AF133" i="1"/>
  <c r="AG132" i="1"/>
  <c r="AI132" i="1"/>
  <c r="AH132" i="1"/>
  <c r="AE132" i="1"/>
  <c r="AC132" i="1"/>
  <c r="AJ132" i="1"/>
  <c r="AD132" i="1"/>
  <c r="AF132" i="1"/>
  <c r="AL132" i="1"/>
  <c r="AG131" i="1"/>
  <c r="AH131" i="1"/>
  <c r="AI131" i="1"/>
  <c r="AL131" i="1"/>
  <c r="AC131" i="1"/>
  <c r="AE131" i="1"/>
  <c r="AJ131" i="1"/>
  <c r="AM131" i="1" s="1"/>
  <c r="AD131" i="1"/>
  <c r="AF131" i="1"/>
  <c r="AG130" i="1"/>
  <c r="AI130" i="1"/>
  <c r="AH130" i="1"/>
  <c r="AL130" i="1"/>
  <c r="AF130" i="1"/>
  <c r="AC130" i="1"/>
  <c r="AD130" i="1"/>
  <c r="AJ130" i="1"/>
  <c r="AM130" i="1" s="1"/>
  <c r="AE130" i="1"/>
  <c r="AG129" i="1"/>
  <c r="AI129" i="1"/>
  <c r="AH129" i="1"/>
  <c r="AJ129" i="1"/>
  <c r="AD129" i="1"/>
  <c r="AF129" i="1"/>
  <c r="AL129" i="1"/>
  <c r="AE129" i="1"/>
  <c r="AC129" i="1"/>
  <c r="AH128" i="1"/>
  <c r="AG128" i="1"/>
  <c r="AI128" i="1"/>
  <c r="AD128" i="1"/>
  <c r="AF128" i="1"/>
  <c r="AJ128" i="1"/>
  <c r="AL128" i="1"/>
  <c r="AC128" i="1"/>
  <c r="AE128" i="1"/>
  <c r="AI127" i="1"/>
  <c r="AG127" i="1"/>
  <c r="AH127" i="1"/>
  <c r="AC127" i="1"/>
  <c r="AF127" i="1"/>
  <c r="AE127" i="1"/>
  <c r="AL127" i="1"/>
  <c r="AD127" i="1"/>
  <c r="AJ127" i="1"/>
  <c r="AM127" i="1" s="1"/>
  <c r="AI126" i="1"/>
  <c r="AG126" i="1"/>
  <c r="AH126" i="1"/>
  <c r="AE126" i="1"/>
  <c r="AC126" i="1"/>
  <c r="AL126" i="1"/>
  <c r="AF126" i="1"/>
  <c r="AD126" i="1"/>
  <c r="AJ126" i="1"/>
  <c r="AM126" i="1" s="1"/>
  <c r="AG125" i="1"/>
  <c r="AI125" i="1"/>
  <c r="AH125" i="1"/>
  <c r="AE125" i="1"/>
  <c r="AC125" i="1"/>
  <c r="AL125" i="1"/>
  <c r="AF125" i="1"/>
  <c r="AD125" i="1"/>
  <c r="AJ125" i="1"/>
  <c r="AM125" i="1" s="1"/>
  <c r="AI124" i="1"/>
  <c r="AG124" i="1"/>
  <c r="AH124" i="1"/>
  <c r="AJ124" i="1"/>
  <c r="AE124" i="1"/>
  <c r="AF124" i="1"/>
  <c r="AC124" i="1"/>
  <c r="AL124" i="1"/>
  <c r="AD124" i="1"/>
  <c r="AG123" i="1"/>
  <c r="AI123" i="1"/>
  <c r="AH123" i="1"/>
  <c r="AF123" i="1"/>
  <c r="AC123" i="1"/>
  <c r="AD123" i="1"/>
  <c r="AL123" i="1"/>
  <c r="AJ123" i="1"/>
  <c r="AM123" i="1" s="1"/>
  <c r="AE123" i="1"/>
  <c r="AG122" i="1"/>
  <c r="AI122" i="1"/>
  <c r="AH122" i="1"/>
  <c r="AD122" i="1"/>
  <c r="AL122" i="1"/>
  <c r="AF122" i="1"/>
  <c r="AJ122" i="1"/>
  <c r="AM122" i="1" s="1"/>
  <c r="AC122" i="1"/>
  <c r="AE122" i="1"/>
  <c r="AG121" i="1"/>
  <c r="AI121" i="1"/>
  <c r="AH121" i="1"/>
  <c r="AJ121" i="1"/>
  <c r="AC121" i="1"/>
  <c r="AE121" i="1"/>
  <c r="AF121" i="1"/>
  <c r="AD121" i="1"/>
  <c r="AL121" i="1"/>
  <c r="AG120" i="1"/>
  <c r="AH120" i="1"/>
  <c r="AI120" i="1"/>
  <c r="AF120" i="1"/>
  <c r="AC120" i="1"/>
  <c r="AL120" i="1"/>
  <c r="AD120" i="1"/>
  <c r="AE120" i="1"/>
  <c r="AJ120" i="1"/>
  <c r="AM120" i="1" s="1"/>
  <c r="AH119" i="1"/>
  <c r="AI119" i="1"/>
  <c r="AG119" i="1"/>
  <c r="AE119" i="1"/>
  <c r="AD119" i="1"/>
  <c r="AJ119" i="1"/>
  <c r="AF119" i="1"/>
  <c r="AC119" i="1"/>
  <c r="AL119" i="1"/>
  <c r="AH118" i="1"/>
  <c r="AI118" i="1"/>
  <c r="AG118" i="1"/>
  <c r="AF118" i="1"/>
  <c r="AD118" i="1"/>
  <c r="AC118" i="1"/>
  <c r="AL118" i="1"/>
  <c r="AE118" i="1"/>
  <c r="AJ118" i="1"/>
  <c r="AM118" i="1" s="1"/>
  <c r="AI117" i="1"/>
  <c r="AH117" i="1"/>
  <c r="AG117" i="1"/>
  <c r="AF117" i="1"/>
  <c r="AC117" i="1"/>
  <c r="AL117" i="1"/>
  <c r="AD117" i="1"/>
  <c r="AJ117" i="1"/>
  <c r="AM117" i="1" s="1"/>
  <c r="AE117" i="1"/>
  <c r="AH116" i="1"/>
  <c r="AI116" i="1"/>
  <c r="AG116" i="1"/>
  <c r="AJ116" i="1"/>
  <c r="AC116" i="1"/>
  <c r="AE116" i="1"/>
  <c r="AF116" i="1"/>
  <c r="AL116" i="1"/>
  <c r="AD116" i="1"/>
  <c r="AH115" i="1"/>
  <c r="AG115" i="1"/>
  <c r="AI115" i="1"/>
  <c r="AF115" i="1"/>
  <c r="AE115" i="1"/>
  <c r="AJ115" i="1"/>
  <c r="AD115" i="1"/>
  <c r="AC115" i="1"/>
  <c r="AL115" i="1"/>
  <c r="AH114" i="1"/>
  <c r="AG114" i="1"/>
  <c r="AI114" i="1"/>
  <c r="AD114" i="1"/>
  <c r="AL114" i="1"/>
  <c r="AJ114" i="1"/>
  <c r="AE114" i="1"/>
  <c r="AC114" i="1"/>
  <c r="AF114" i="1"/>
  <c r="AH113" i="1"/>
  <c r="AI113" i="1"/>
  <c r="AG113" i="1"/>
  <c r="AF113" i="1"/>
  <c r="AD113" i="1"/>
  <c r="AC113" i="1"/>
  <c r="AE113" i="1"/>
  <c r="AL113" i="1"/>
  <c r="AJ113" i="1"/>
  <c r="AM113" i="1" s="1"/>
  <c r="AI112" i="1"/>
  <c r="AG112" i="1"/>
  <c r="AH112" i="1"/>
  <c r="AC112" i="1"/>
  <c r="AL112" i="1"/>
  <c r="AJ112" i="1"/>
  <c r="AE112" i="1"/>
  <c r="AD112" i="1"/>
  <c r="AF112" i="1"/>
  <c r="AH111" i="1"/>
  <c r="AI111" i="1"/>
  <c r="AG111" i="1"/>
  <c r="AE111" i="1"/>
  <c r="AL111" i="1"/>
  <c r="AJ111" i="1"/>
  <c r="AC111" i="1"/>
  <c r="AD111" i="1"/>
  <c r="AF111" i="1"/>
  <c r="AH110" i="1"/>
  <c r="AG110" i="1"/>
  <c r="AI110" i="1"/>
  <c r="AC110" i="1"/>
  <c r="AJ110" i="1"/>
  <c r="AE110" i="1"/>
  <c r="AD110" i="1"/>
  <c r="AL110" i="1"/>
  <c r="AF110" i="1"/>
  <c r="AH109" i="1"/>
  <c r="AI109" i="1"/>
  <c r="AG109" i="1"/>
  <c r="AD109" i="1"/>
  <c r="AF109" i="1"/>
  <c r="AJ109" i="1"/>
  <c r="AL109" i="1"/>
  <c r="AE109" i="1"/>
  <c r="AC109" i="1"/>
  <c r="AI108" i="1"/>
  <c r="AH108" i="1"/>
  <c r="AG108" i="1"/>
  <c r="AE108" i="1"/>
  <c r="AL108" i="1"/>
  <c r="AD108" i="1"/>
  <c r="AJ108" i="1"/>
  <c r="AF108" i="1"/>
  <c r="AC108" i="1"/>
  <c r="AG107" i="1"/>
  <c r="AI107" i="1"/>
  <c r="AH107" i="1"/>
  <c r="AC107" i="1"/>
  <c r="AL107" i="1"/>
  <c r="AJ107" i="1"/>
  <c r="AD107" i="1"/>
  <c r="AE107" i="1"/>
  <c r="AF107" i="1"/>
  <c r="AG106" i="1"/>
  <c r="AI106" i="1"/>
  <c r="AH106" i="1"/>
  <c r="AD106" i="1"/>
  <c r="AL106" i="1"/>
  <c r="AC106" i="1"/>
  <c r="AF106" i="1"/>
  <c r="AE106" i="1"/>
  <c r="AJ106" i="1"/>
  <c r="AM106" i="1" s="1"/>
  <c r="AH105" i="1"/>
  <c r="AG105" i="1"/>
  <c r="AI105" i="1"/>
  <c r="AJ105" i="1"/>
  <c r="AC105" i="1"/>
  <c r="AF105" i="1"/>
  <c r="AL105" i="1"/>
  <c r="AE105" i="1"/>
  <c r="AD105" i="1"/>
  <c r="AH104" i="1"/>
  <c r="AI104" i="1"/>
  <c r="AG104" i="1"/>
  <c r="AJ104" i="1"/>
  <c r="AD104" i="1"/>
  <c r="AF104" i="1"/>
  <c r="AC104" i="1"/>
  <c r="AL104" i="1"/>
  <c r="AE104" i="1"/>
  <c r="AH103" i="1"/>
  <c r="AG103" i="1"/>
  <c r="AI103" i="1"/>
  <c r="AJ103" i="1"/>
  <c r="AE103" i="1"/>
  <c r="AC103" i="1"/>
  <c r="AF103" i="1"/>
  <c r="AD103" i="1"/>
  <c r="AL103" i="1"/>
  <c r="AH102" i="1"/>
  <c r="AG102" i="1"/>
  <c r="AI102" i="1"/>
  <c r="AE102" i="1"/>
  <c r="AC102" i="1"/>
  <c r="AF102" i="1"/>
  <c r="AD102" i="1"/>
  <c r="AJ102" i="1"/>
  <c r="AL102" i="1"/>
  <c r="AI101" i="1"/>
  <c r="AG101" i="1"/>
  <c r="AH101" i="1"/>
  <c r="AJ101" i="1"/>
  <c r="AF101" i="1"/>
  <c r="AD101" i="1"/>
  <c r="AL101" i="1"/>
  <c r="AC101" i="1"/>
  <c r="AE101" i="1"/>
  <c r="AH100" i="1"/>
  <c r="AG100" i="1"/>
  <c r="AI100" i="1"/>
  <c r="AJ100" i="1"/>
  <c r="AF100" i="1"/>
  <c r="AL100" i="1"/>
  <c r="AD100" i="1"/>
  <c r="AE100" i="1"/>
  <c r="AC100" i="1"/>
  <c r="AH99" i="1"/>
  <c r="AI99" i="1"/>
  <c r="AG99" i="1"/>
  <c r="AJ99" i="1"/>
  <c r="AL99" i="1"/>
  <c r="AC99" i="1"/>
  <c r="AE99" i="1"/>
  <c r="AF99" i="1"/>
  <c r="AD99" i="1"/>
  <c r="AG98" i="1"/>
  <c r="AH98" i="1"/>
  <c r="AI98" i="1"/>
  <c r="AE98" i="1"/>
  <c r="AL98" i="1"/>
  <c r="AJ98" i="1"/>
  <c r="AF98" i="1"/>
  <c r="AC98" i="1"/>
  <c r="AD98" i="1"/>
  <c r="AI97" i="1"/>
  <c r="AH97" i="1"/>
  <c r="AG97" i="1"/>
  <c r="AD97" i="1"/>
  <c r="AL97" i="1"/>
  <c r="AF97" i="1"/>
  <c r="AC97" i="1"/>
  <c r="AJ97" i="1"/>
  <c r="AM97" i="1" s="1"/>
  <c r="AE97" i="1"/>
  <c r="AI96" i="1"/>
  <c r="AG96" i="1"/>
  <c r="AH96" i="1"/>
  <c r="AJ96" i="1"/>
  <c r="AE96" i="1"/>
  <c r="AC96" i="1"/>
  <c r="AD96" i="1"/>
  <c r="AF96" i="1"/>
  <c r="AL96" i="1"/>
  <c r="AI95" i="1"/>
  <c r="AG95" i="1"/>
  <c r="AH95" i="1"/>
  <c r="AE95" i="1"/>
  <c r="AL95" i="1"/>
  <c r="AJ95" i="1"/>
  <c r="AC95" i="1"/>
  <c r="AF95" i="1"/>
  <c r="AD95" i="1"/>
  <c r="AH94" i="1"/>
  <c r="AG94" i="1"/>
  <c r="AI94" i="1"/>
  <c r="AJ94" i="1"/>
  <c r="AL94" i="1"/>
  <c r="AF94" i="1"/>
  <c r="AD94" i="1"/>
  <c r="AC94" i="1"/>
  <c r="AE94" i="1"/>
  <c r="AH93" i="1"/>
  <c r="AI93" i="1"/>
  <c r="AG93" i="1"/>
  <c r="AL93" i="1"/>
  <c r="AJ93" i="1"/>
  <c r="AC93" i="1"/>
  <c r="AF93" i="1"/>
  <c r="AD93" i="1"/>
  <c r="AE93" i="1"/>
  <c r="AH92" i="1"/>
  <c r="AG92" i="1"/>
  <c r="AI92" i="1"/>
  <c r="AC92" i="1"/>
  <c r="AF92" i="1"/>
  <c r="AJ92" i="1"/>
  <c r="AL92" i="1"/>
  <c r="AD92" i="1"/>
  <c r="AE92" i="1"/>
  <c r="AI91" i="1"/>
  <c r="AH91" i="1"/>
  <c r="AG91" i="1"/>
  <c r="AF91" i="1"/>
  <c r="AD91" i="1"/>
  <c r="AC91" i="1"/>
  <c r="AJ91" i="1"/>
  <c r="AE91" i="1"/>
  <c r="AL91" i="1"/>
  <c r="AH90" i="1"/>
  <c r="AI90" i="1"/>
  <c r="AG90" i="1"/>
  <c r="AL90" i="1"/>
  <c r="AD90" i="1"/>
  <c r="AJ90" i="1"/>
  <c r="AF90" i="1"/>
  <c r="AE90" i="1"/>
  <c r="AC90" i="1"/>
  <c r="AG89" i="1"/>
  <c r="AH89" i="1"/>
  <c r="AI89" i="1"/>
  <c r="AD89" i="1"/>
  <c r="AJ89" i="1"/>
  <c r="AC89" i="1"/>
  <c r="AE89" i="1"/>
  <c r="AL89" i="1"/>
  <c r="AF89" i="1"/>
  <c r="AH88" i="1"/>
  <c r="AG88" i="1"/>
  <c r="AI88" i="1"/>
  <c r="AL88" i="1"/>
  <c r="AE88" i="1"/>
  <c r="AD88" i="1"/>
  <c r="AJ88" i="1"/>
  <c r="AM88" i="1" s="1"/>
  <c r="AF88" i="1"/>
  <c r="AC88" i="1"/>
  <c r="AH87" i="1"/>
  <c r="AI87" i="1"/>
  <c r="AG87" i="1"/>
  <c r="AC87" i="1"/>
  <c r="AD87" i="1"/>
  <c r="AJ87" i="1"/>
  <c r="AL87" i="1"/>
  <c r="AF87" i="1"/>
  <c r="AE87" i="1"/>
  <c r="AG86" i="1"/>
  <c r="AI86" i="1"/>
  <c r="AH86" i="1"/>
  <c r="AD86" i="1"/>
  <c r="AF86" i="1"/>
  <c r="AJ86" i="1"/>
  <c r="AC86" i="1"/>
  <c r="AL86" i="1"/>
  <c r="AE86" i="1"/>
  <c r="AG85" i="1"/>
  <c r="AI85" i="1"/>
  <c r="AH85" i="1"/>
  <c r="AD85" i="1"/>
  <c r="AF85" i="1"/>
  <c r="AJ85" i="1"/>
  <c r="AC85" i="1"/>
  <c r="AE85" i="1"/>
  <c r="AL85" i="1"/>
  <c r="AI84" i="1"/>
  <c r="AH84" i="1"/>
  <c r="AG84" i="1"/>
  <c r="AE84" i="1"/>
  <c r="AC84" i="1"/>
  <c r="AD84" i="1"/>
  <c r="AF84" i="1"/>
  <c r="AL84" i="1"/>
  <c r="AJ84" i="1"/>
  <c r="AM84" i="1" s="1"/>
  <c r="AI83" i="1"/>
  <c r="AH83" i="1"/>
  <c r="AG83" i="1"/>
  <c r="AF83" i="1"/>
  <c r="AD83" i="1"/>
  <c r="AC83" i="1"/>
  <c r="AE83" i="1"/>
  <c r="AL83" i="1"/>
  <c r="AJ83" i="1"/>
  <c r="AI82" i="1"/>
  <c r="AH82" i="1"/>
  <c r="AG82" i="1"/>
  <c r="AJ82" i="1"/>
  <c r="AF82" i="1"/>
  <c r="AC82" i="1"/>
  <c r="AE82" i="1"/>
  <c r="AL82" i="1"/>
  <c r="AD82" i="1"/>
  <c r="AI81" i="1"/>
  <c r="AH81" i="1"/>
  <c r="AG81" i="1"/>
  <c r="AL81" i="1"/>
  <c r="AJ81" i="1"/>
  <c r="AF81" i="1"/>
  <c r="AD81" i="1"/>
  <c r="AE81" i="1"/>
  <c r="AC81" i="1"/>
  <c r="AI80" i="1"/>
  <c r="AG80" i="1"/>
  <c r="AH80" i="1"/>
  <c r="AL80" i="1"/>
  <c r="AC80" i="1"/>
  <c r="AJ80" i="1"/>
  <c r="AD80" i="1"/>
  <c r="AF80" i="1"/>
  <c r="AE80" i="1"/>
  <c r="AG79" i="1"/>
  <c r="AI79" i="1"/>
  <c r="AH79" i="1"/>
  <c r="AL79" i="1"/>
  <c r="AE79" i="1"/>
  <c r="AD79" i="1"/>
  <c r="AF79" i="1"/>
  <c r="AJ79" i="1"/>
  <c r="AM79" i="1" s="1"/>
  <c r="AC79" i="1"/>
  <c r="AG78" i="1"/>
  <c r="AH78" i="1"/>
  <c r="AI78" i="1"/>
  <c r="AC78" i="1"/>
  <c r="AL78" i="1"/>
  <c r="AE78" i="1"/>
  <c r="AD78" i="1"/>
  <c r="AJ78" i="1"/>
  <c r="AM78" i="1" s="1"/>
  <c r="AF78" i="1"/>
  <c r="AG77" i="1"/>
  <c r="AI77" i="1"/>
  <c r="AH77" i="1"/>
  <c r="AF77" i="1"/>
  <c r="AE77" i="1"/>
  <c r="AL77" i="1"/>
  <c r="AC77" i="1"/>
  <c r="AJ77" i="1"/>
  <c r="AM77" i="1" s="1"/>
  <c r="AD77" i="1"/>
  <c r="AG76" i="1"/>
  <c r="AH76" i="1"/>
  <c r="AI76" i="1"/>
  <c r="AJ76" i="1"/>
  <c r="AD76" i="1"/>
  <c r="AL76" i="1"/>
  <c r="AF76" i="1"/>
  <c r="AE76" i="1"/>
  <c r="AC76" i="1"/>
  <c r="AI75" i="1"/>
  <c r="AG75" i="1"/>
  <c r="AH75" i="1"/>
  <c r="AL75" i="1"/>
  <c r="AF75" i="1"/>
  <c r="AD75" i="1"/>
  <c r="AJ75" i="1"/>
  <c r="AM75" i="1" s="1"/>
  <c r="AE75" i="1"/>
  <c r="AC75" i="1"/>
  <c r="AI74" i="1"/>
  <c r="AG74" i="1"/>
  <c r="AH74" i="1"/>
  <c r="AC74" i="1"/>
  <c r="AF74" i="1"/>
  <c r="AD74" i="1"/>
  <c r="AJ74" i="1"/>
  <c r="AL74" i="1"/>
  <c r="AE74" i="1"/>
  <c r="AI73" i="1"/>
  <c r="AH73" i="1"/>
  <c r="AG73" i="1"/>
  <c r="AL73" i="1"/>
  <c r="AJ73" i="1"/>
  <c r="AM73" i="1" s="1"/>
  <c r="AF73" i="1"/>
  <c r="AC73" i="1"/>
  <c r="AD73" i="1"/>
  <c r="AE73" i="1"/>
  <c r="AI72" i="1"/>
  <c r="AG72" i="1"/>
  <c r="AH72" i="1"/>
  <c r="AC72" i="1"/>
  <c r="AJ72" i="1"/>
  <c r="AE72" i="1"/>
  <c r="AL72" i="1"/>
  <c r="AF72" i="1"/>
  <c r="AD72" i="1"/>
  <c r="AI71" i="1"/>
  <c r="AH71" i="1"/>
  <c r="AG71" i="1"/>
  <c r="AL71" i="1"/>
  <c r="AJ71" i="1"/>
  <c r="AF71" i="1"/>
  <c r="AE71" i="1"/>
  <c r="AC71" i="1"/>
  <c r="AD71" i="1"/>
  <c r="AH70" i="1"/>
  <c r="AG70" i="1"/>
  <c r="AI70" i="1"/>
  <c r="AF70" i="1"/>
  <c r="AC70" i="1"/>
  <c r="AJ70" i="1"/>
  <c r="AL70" i="1"/>
  <c r="AE70" i="1"/>
  <c r="AD70" i="1"/>
  <c r="AH69" i="1"/>
  <c r="AI69" i="1"/>
  <c r="AG69" i="1"/>
  <c r="AE69" i="1"/>
  <c r="AL69" i="1"/>
  <c r="AJ69" i="1"/>
  <c r="AF69" i="1"/>
  <c r="AC69" i="1"/>
  <c r="AD69" i="1"/>
  <c r="AH68" i="1"/>
  <c r="AG68" i="1"/>
  <c r="AI68" i="1"/>
  <c r="AD68" i="1"/>
  <c r="AC68" i="1"/>
  <c r="AJ68" i="1"/>
  <c r="AL68" i="1"/>
  <c r="AE68" i="1"/>
  <c r="AF68" i="1"/>
  <c r="AI67" i="1"/>
  <c r="AH67" i="1"/>
  <c r="AG67" i="1"/>
  <c r="AJ67" i="1"/>
  <c r="AL67" i="1"/>
  <c r="AF67" i="1"/>
  <c r="AC67" i="1"/>
  <c r="AE67" i="1"/>
  <c r="AD67" i="1"/>
  <c r="AH66" i="1"/>
  <c r="AI66" i="1"/>
  <c r="AG66" i="1"/>
  <c r="AJ66" i="1"/>
  <c r="AL66" i="1"/>
  <c r="AC66" i="1"/>
  <c r="AD66" i="1"/>
  <c r="AE66" i="1"/>
  <c r="AF66" i="1"/>
  <c r="AI65" i="1"/>
  <c r="AH65" i="1"/>
  <c r="AG65" i="1"/>
  <c r="AL65" i="1"/>
  <c r="AD65" i="1"/>
  <c r="AE65" i="1"/>
  <c r="AC65" i="1"/>
  <c r="AJ65" i="1"/>
  <c r="AM65" i="1" s="1"/>
  <c r="AF65" i="1"/>
  <c r="AI64" i="1"/>
  <c r="AG64" i="1"/>
  <c r="AH64" i="1"/>
  <c r="AL64" i="1"/>
  <c r="AF64" i="1"/>
  <c r="AD64" i="1"/>
  <c r="AC64" i="1"/>
  <c r="AE64" i="1"/>
  <c r="AJ64" i="1"/>
  <c r="AM64" i="1" s="1"/>
  <c r="AI63" i="1"/>
  <c r="AG63" i="1"/>
  <c r="AH63" i="1"/>
  <c r="AF63" i="1"/>
  <c r="AC63" i="1"/>
  <c r="AJ63" i="1"/>
  <c r="AE63" i="1"/>
  <c r="AL63" i="1"/>
  <c r="AD63" i="1"/>
  <c r="AI62" i="1"/>
  <c r="AG62" i="1"/>
  <c r="AH62" i="1"/>
  <c r="AL62" i="1"/>
  <c r="AF62" i="1"/>
  <c r="AC62" i="1"/>
  <c r="AJ62" i="1"/>
  <c r="AM62" i="1" s="1"/>
  <c r="AD62" i="1"/>
  <c r="AE62" i="1"/>
  <c r="AI61" i="1"/>
  <c r="AG61" i="1"/>
  <c r="AH61" i="1"/>
  <c r="AC61" i="1"/>
  <c r="AJ61" i="1"/>
  <c r="AL61" i="1"/>
  <c r="AE61" i="1"/>
  <c r="AF61" i="1"/>
  <c r="AD61" i="1"/>
  <c r="AG60" i="1"/>
  <c r="AI60" i="1"/>
  <c r="AH60" i="1"/>
  <c r="AJ60" i="1"/>
  <c r="AC60" i="1"/>
  <c r="AL60" i="1"/>
  <c r="AE60" i="1"/>
  <c r="AF60" i="1"/>
  <c r="AD60" i="1"/>
  <c r="AG59" i="1"/>
  <c r="AI59" i="1"/>
  <c r="AH59" i="1"/>
  <c r="AE59" i="1"/>
  <c r="AL59" i="1"/>
  <c r="AJ59" i="1"/>
  <c r="AF59" i="1"/>
  <c r="AD59" i="1"/>
  <c r="AC59" i="1"/>
  <c r="AG58" i="1"/>
  <c r="AH58" i="1"/>
  <c r="AI58" i="1"/>
  <c r="AF58" i="1"/>
  <c r="AE58" i="1"/>
  <c r="AL58" i="1"/>
  <c r="AC58" i="1"/>
  <c r="AJ58" i="1"/>
  <c r="AM58" i="1" s="1"/>
  <c r="AD58" i="1"/>
  <c r="AG57" i="1"/>
  <c r="AI57" i="1"/>
  <c r="AH57" i="1"/>
  <c r="AE57" i="1"/>
  <c r="AF57" i="1"/>
  <c r="AC57" i="1"/>
  <c r="AJ57" i="1"/>
  <c r="AD57" i="1"/>
  <c r="AL57" i="1"/>
  <c r="AG56" i="1"/>
  <c r="AI56" i="1"/>
  <c r="AH56" i="1"/>
  <c r="AD56" i="1"/>
  <c r="AC56" i="1"/>
  <c r="AL56" i="1"/>
  <c r="AF56" i="1"/>
  <c r="AE56" i="1"/>
  <c r="AJ56" i="1"/>
  <c r="AM56" i="1" s="1"/>
  <c r="AG55" i="1"/>
  <c r="AH55" i="1"/>
  <c r="AI55" i="1"/>
  <c r="AE55" i="1"/>
  <c r="AL55" i="1"/>
  <c r="AJ55" i="1"/>
  <c r="AC55" i="1"/>
  <c r="AF55" i="1"/>
  <c r="AD55" i="1"/>
  <c r="AG54" i="1"/>
  <c r="AH54" i="1"/>
  <c r="AI54" i="1"/>
  <c r="AL54" i="1"/>
  <c r="AE54" i="1"/>
  <c r="AC54" i="1"/>
  <c r="AF54" i="1"/>
  <c r="AD54" i="1"/>
  <c r="AJ54" i="1"/>
  <c r="AM54" i="1" s="1"/>
  <c r="AH53" i="1"/>
  <c r="AG53" i="1"/>
  <c r="AI53" i="1"/>
  <c r="AE53" i="1"/>
  <c r="AD53" i="1"/>
  <c r="AL53" i="1"/>
  <c r="AC53" i="1"/>
  <c r="AJ53" i="1"/>
  <c r="AM53" i="1" s="1"/>
  <c r="AF53" i="1"/>
  <c r="AG52" i="1"/>
  <c r="AH52" i="1"/>
  <c r="AI52" i="1"/>
  <c r="AL52" i="1"/>
  <c r="AC52" i="1"/>
  <c r="AE52" i="1"/>
  <c r="AJ52" i="1"/>
  <c r="AM52" i="1" s="1"/>
  <c r="AF52" i="1"/>
  <c r="AD52" i="1"/>
  <c r="AG51" i="1"/>
  <c r="AI51" i="1"/>
  <c r="AH51" i="1"/>
  <c r="AE51" i="1"/>
  <c r="AL51" i="1"/>
  <c r="AC51" i="1"/>
  <c r="AF51" i="1"/>
  <c r="AD51" i="1"/>
  <c r="AJ51" i="1"/>
  <c r="AM51" i="1" s="1"/>
  <c r="AI50" i="1"/>
  <c r="AH50" i="1"/>
  <c r="AG50" i="1"/>
  <c r="AL50" i="1"/>
  <c r="AJ50" i="1"/>
  <c r="AF50" i="1"/>
  <c r="AE50" i="1"/>
  <c r="AD50" i="1"/>
  <c r="AC50" i="1"/>
  <c r="AG49" i="1"/>
  <c r="AH49" i="1"/>
  <c r="AI49" i="1"/>
  <c r="AC49" i="1"/>
  <c r="AJ49" i="1"/>
  <c r="AL49" i="1"/>
  <c r="AD49" i="1"/>
  <c r="AE49" i="1"/>
  <c r="AF49" i="1"/>
  <c r="AH48" i="1"/>
  <c r="AI48" i="1"/>
  <c r="AG48" i="1"/>
  <c r="AF48" i="1"/>
  <c r="AE48" i="1"/>
  <c r="AJ48" i="1"/>
  <c r="AD48" i="1"/>
  <c r="AL48" i="1"/>
  <c r="AC48" i="1"/>
  <c r="AI47" i="1"/>
  <c r="AH47" i="1"/>
  <c r="AG47" i="1"/>
  <c r="AD47" i="1"/>
  <c r="AE47" i="1"/>
  <c r="AF47" i="1"/>
  <c r="AJ47" i="1"/>
  <c r="AL47" i="1"/>
  <c r="AC47" i="1"/>
  <c r="AH46" i="1"/>
  <c r="AI46" i="1"/>
  <c r="AG46" i="1"/>
  <c r="AL46" i="1"/>
  <c r="AF46" i="1"/>
  <c r="AD46" i="1"/>
  <c r="AC46" i="1"/>
  <c r="AJ46" i="1"/>
  <c r="AM46" i="1" s="1"/>
  <c r="AE46" i="1"/>
  <c r="AH45" i="1"/>
  <c r="AG45" i="1"/>
  <c r="AI45" i="1"/>
  <c r="AC45" i="1"/>
  <c r="AD45" i="1"/>
  <c r="AE45" i="1"/>
  <c r="AL45" i="1"/>
  <c r="AJ45" i="1"/>
  <c r="AM45" i="1" s="1"/>
  <c r="AF45" i="1"/>
  <c r="AH44" i="1"/>
  <c r="AI44" i="1"/>
  <c r="AG44" i="1"/>
  <c r="AL44" i="1"/>
  <c r="AJ44" i="1"/>
  <c r="AF44" i="1"/>
  <c r="AC44" i="1"/>
  <c r="AE44" i="1"/>
  <c r="AD44" i="1"/>
  <c r="AG43" i="1"/>
  <c r="AH43" i="1"/>
  <c r="AI43" i="1"/>
  <c r="AC43" i="1"/>
  <c r="AL43" i="1"/>
  <c r="AJ43" i="1"/>
  <c r="AF43" i="1"/>
  <c r="AE43" i="1"/>
  <c r="AD43" i="1"/>
  <c r="AI42" i="1"/>
  <c r="AH42" i="1"/>
  <c r="AG42" i="1"/>
  <c r="AL42" i="1"/>
  <c r="AJ42" i="1"/>
  <c r="AF42" i="1"/>
  <c r="AE42" i="1"/>
  <c r="AD42" i="1"/>
  <c r="AC42" i="1"/>
  <c r="AG41" i="1"/>
  <c r="AI41" i="1"/>
  <c r="AH41" i="1"/>
  <c r="AC41" i="1"/>
  <c r="AD41" i="1"/>
  <c r="AE41" i="1"/>
  <c r="AF41" i="1"/>
  <c r="AJ41" i="1"/>
  <c r="AL41" i="1"/>
  <c r="AG40" i="1"/>
  <c r="AH40" i="1"/>
  <c r="AI40" i="1"/>
  <c r="AJ40" i="1"/>
  <c r="AF40" i="1"/>
  <c r="AD40" i="1"/>
  <c r="AE40" i="1"/>
  <c r="AL40" i="1"/>
  <c r="AC40" i="1"/>
  <c r="AG39" i="1"/>
  <c r="AH39" i="1"/>
  <c r="AI39" i="1"/>
  <c r="AC39" i="1"/>
  <c r="AL39" i="1"/>
  <c r="AJ39" i="1"/>
  <c r="AF39" i="1"/>
  <c r="AE39" i="1"/>
  <c r="AD39" i="1"/>
  <c r="AI38" i="1"/>
  <c r="AH38" i="1"/>
  <c r="AG38" i="1"/>
  <c r="AL38" i="1"/>
  <c r="AJ38" i="1"/>
  <c r="AF38" i="1"/>
  <c r="AE38" i="1"/>
  <c r="AD38" i="1"/>
  <c r="AC38" i="1"/>
  <c r="AI37" i="1"/>
  <c r="AH37" i="1"/>
  <c r="AG37" i="1"/>
  <c r="AD37" i="1"/>
  <c r="AL37" i="1"/>
  <c r="AE37" i="1"/>
  <c r="AC37" i="1"/>
  <c r="AF37" i="1"/>
  <c r="AJ37" i="1"/>
  <c r="AI36" i="1"/>
  <c r="AG36" i="1"/>
  <c r="AH36" i="1"/>
  <c r="AE36" i="1"/>
  <c r="AD36" i="1"/>
  <c r="AF36" i="1"/>
  <c r="AL36" i="1"/>
  <c r="AJ36" i="1"/>
  <c r="AM36" i="1" s="1"/>
  <c r="AC36" i="1"/>
  <c r="AI35" i="1"/>
  <c r="AH35" i="1"/>
  <c r="AG35" i="1"/>
  <c r="AC35" i="1"/>
  <c r="AJ35" i="1"/>
  <c r="AF35" i="1"/>
  <c r="AD35" i="1"/>
  <c r="AE35" i="1"/>
  <c r="AL35" i="1"/>
  <c r="AI34" i="1"/>
  <c r="AH34" i="1"/>
  <c r="AG34" i="1"/>
  <c r="AD34" i="1"/>
  <c r="AL34" i="1"/>
  <c r="AJ34" i="1"/>
  <c r="AM34" i="1" s="1"/>
  <c r="AF34" i="1"/>
  <c r="AE34" i="1"/>
  <c r="AC34" i="1"/>
  <c r="AH33" i="1"/>
  <c r="AI33" i="1"/>
  <c r="AG33" i="1"/>
  <c r="AD33" i="1"/>
  <c r="AF33" i="1"/>
  <c r="AL33" i="1"/>
  <c r="AJ33" i="1"/>
  <c r="AM33" i="1" s="1"/>
  <c r="AE33" i="1"/>
  <c r="AC33" i="1"/>
  <c r="AI32" i="1"/>
  <c r="AH32" i="1"/>
  <c r="AG32" i="1"/>
  <c r="AL32" i="1"/>
  <c r="AJ32" i="1"/>
  <c r="AM32" i="1" s="1"/>
  <c r="AF32" i="1"/>
  <c r="AE32" i="1"/>
  <c r="AD32" i="1"/>
  <c r="AC32" i="1"/>
  <c r="AI31" i="1"/>
  <c r="AH31" i="1"/>
  <c r="AG31" i="1"/>
  <c r="AE31" i="1"/>
  <c r="AF31" i="1"/>
  <c r="AJ31" i="1"/>
  <c r="AL31" i="1"/>
  <c r="AC31" i="1"/>
  <c r="AD31" i="1"/>
  <c r="AI30" i="1"/>
  <c r="AG30" i="1"/>
  <c r="AH30" i="1"/>
  <c r="AD30" i="1"/>
  <c r="AL30" i="1"/>
  <c r="AC30" i="1"/>
  <c r="AF30" i="1"/>
  <c r="AJ30" i="1"/>
  <c r="AM30" i="1" s="1"/>
  <c r="AE30" i="1"/>
  <c r="AH29" i="1"/>
  <c r="AG29" i="1"/>
  <c r="AI29" i="1"/>
  <c r="AC29" i="1"/>
  <c r="AE29" i="1"/>
  <c r="AF29" i="1"/>
  <c r="AD29" i="1"/>
  <c r="AJ29" i="1"/>
  <c r="AL29" i="1"/>
  <c r="AH28" i="1"/>
  <c r="AI28" i="1"/>
  <c r="AG28" i="1"/>
  <c r="AC28" i="1"/>
  <c r="AD28" i="1"/>
  <c r="AE28" i="1"/>
  <c r="AF28" i="1"/>
  <c r="AL28" i="1"/>
  <c r="AJ28" i="1"/>
  <c r="AM28" i="1" s="1"/>
  <c r="AH27" i="1"/>
  <c r="AI27" i="1"/>
  <c r="AG27" i="1"/>
  <c r="AJ27" i="1"/>
  <c r="AL27" i="1"/>
  <c r="AD27" i="1"/>
  <c r="AF27" i="1"/>
  <c r="AC27" i="1"/>
  <c r="AE27" i="1"/>
  <c r="AH26" i="1"/>
  <c r="AG26" i="1"/>
  <c r="AI26" i="1"/>
  <c r="AC26" i="1"/>
  <c r="AJ26" i="1"/>
  <c r="AF26" i="1"/>
  <c r="AE26" i="1"/>
  <c r="AD26" i="1"/>
  <c r="AL26" i="1"/>
  <c r="AG25" i="1"/>
  <c r="AH25" i="1"/>
  <c r="AI25" i="1"/>
  <c r="AJ25" i="1"/>
  <c r="AC25" i="1"/>
  <c r="AD25" i="1"/>
  <c r="AL25" i="1"/>
  <c r="AF25" i="1"/>
  <c r="AE25" i="1"/>
  <c r="AG24" i="1"/>
  <c r="AH24" i="1"/>
  <c r="AI24" i="1"/>
  <c r="AC24" i="1"/>
  <c r="AL24" i="1"/>
  <c r="AD24" i="1"/>
  <c r="AF24" i="1"/>
  <c r="AJ24" i="1"/>
  <c r="AM24" i="1" s="1"/>
  <c r="AE24" i="1"/>
  <c r="AG23" i="1"/>
  <c r="AH23" i="1"/>
  <c r="AI23" i="1"/>
  <c r="AC23" i="1"/>
  <c r="AD23" i="1"/>
  <c r="AF23" i="1"/>
  <c r="AJ23" i="1"/>
  <c r="AE23" i="1"/>
  <c r="AL23" i="1"/>
  <c r="AG22" i="1"/>
  <c r="AH22" i="1"/>
  <c r="AI22" i="1"/>
  <c r="AC22" i="1"/>
  <c r="AJ22" i="1"/>
  <c r="AF22" i="1"/>
  <c r="AL22" i="1"/>
  <c r="AE22" i="1"/>
  <c r="AD22" i="1"/>
  <c r="AI21" i="1"/>
  <c r="AH21" i="1"/>
  <c r="AG21" i="1"/>
  <c r="AC21" i="1"/>
  <c r="AD21" i="1"/>
  <c r="AE21" i="1"/>
  <c r="AF21" i="1"/>
  <c r="AL21" i="1"/>
  <c r="AJ21" i="1"/>
  <c r="AG20" i="1"/>
  <c r="AI20" i="1"/>
  <c r="AH20" i="1"/>
  <c r="AJ20" i="1"/>
  <c r="AL20" i="1"/>
  <c r="AF20" i="1"/>
  <c r="AD20" i="1"/>
  <c r="AC20" i="1"/>
  <c r="AH19" i="1"/>
  <c r="AG19" i="1"/>
  <c r="AI19" i="1"/>
  <c r="AF19" i="1"/>
  <c r="AE19" i="1"/>
  <c r="AD19" i="1"/>
  <c r="AC19" i="1"/>
  <c r="AL19" i="1"/>
  <c r="AJ19" i="1"/>
  <c r="AM19" i="1" s="1"/>
  <c r="AG18" i="1"/>
  <c r="AI18" i="1"/>
  <c r="AH18" i="1"/>
  <c r="AL18" i="1"/>
  <c r="AC18" i="1"/>
  <c r="AE18" i="1"/>
  <c r="AJ18" i="1"/>
  <c r="AD18" i="1"/>
  <c r="AF18" i="1"/>
  <c r="AG17" i="1"/>
  <c r="AH17" i="1"/>
  <c r="AI17" i="1"/>
  <c r="AD17" i="1"/>
  <c r="AF17" i="1"/>
  <c r="AC17" i="1"/>
  <c r="AE17" i="1"/>
  <c r="AJ17" i="1"/>
  <c r="AL17" i="1"/>
  <c r="AG16" i="1"/>
  <c r="AH16" i="1"/>
  <c r="AI16" i="1"/>
  <c r="AJ16" i="1"/>
  <c r="AL16" i="1"/>
  <c r="AD16" i="1"/>
  <c r="AC16" i="1"/>
  <c r="AE16" i="1"/>
  <c r="AF16" i="1"/>
  <c r="AG15" i="1"/>
  <c r="AH15" i="1"/>
  <c r="AI15" i="1"/>
  <c r="AE15" i="1"/>
  <c r="AC15" i="1"/>
  <c r="AD15" i="1"/>
  <c r="AL15" i="1"/>
  <c r="AJ15" i="1"/>
  <c r="AM15" i="1" s="1"/>
  <c r="AF15" i="1"/>
  <c r="AH14" i="1"/>
  <c r="AI14" i="1"/>
  <c r="AG14" i="1"/>
  <c r="AE14" i="1"/>
  <c r="AC14" i="1"/>
  <c r="AF14" i="1"/>
  <c r="AL14" i="1"/>
  <c r="AJ14" i="1"/>
  <c r="AD14" i="1"/>
  <c r="AH13" i="1"/>
  <c r="AI13" i="1"/>
  <c r="AG13" i="1"/>
  <c r="AF13" i="1"/>
  <c r="AJ13" i="1"/>
  <c r="AL13" i="1"/>
  <c r="AE13" i="1"/>
  <c r="AC13" i="1"/>
  <c r="AD13" i="1"/>
  <c r="AH12" i="1"/>
  <c r="AG12" i="1"/>
  <c r="AI12" i="1"/>
  <c r="AE12" i="1"/>
  <c r="AJ12" i="1"/>
  <c r="AD12" i="1"/>
  <c r="AC12" i="1"/>
  <c r="AL12" i="1"/>
  <c r="AF12" i="1"/>
  <c r="AG11" i="1"/>
  <c r="AH11" i="1"/>
  <c r="AI11" i="1"/>
  <c r="AD11" i="1"/>
  <c r="AE11" i="1"/>
  <c r="AF11" i="1" s="1"/>
  <c r="AJ11" i="1"/>
  <c r="AL11" i="1"/>
  <c r="AC11" i="1"/>
  <c r="AH10" i="1"/>
  <c r="AG10" i="1"/>
  <c r="AI10" i="1"/>
  <c r="AL10" i="1"/>
  <c r="AJ10" i="1"/>
  <c r="AD10" i="1"/>
  <c r="AC10" i="1"/>
  <c r="AE10" i="1"/>
  <c r="AF10" i="1" s="1"/>
  <c r="AI9" i="1"/>
  <c r="AH9" i="1"/>
  <c r="AG9" i="1"/>
  <c r="AC9" i="1"/>
  <c r="AL9" i="1"/>
  <c r="AJ9" i="1"/>
  <c r="AE9" i="1"/>
  <c r="AF9" i="1" s="1"/>
  <c r="AD9" i="1"/>
  <c r="AH8" i="1"/>
  <c r="AI8" i="1"/>
  <c r="AG8" i="1"/>
  <c r="AC8" i="1"/>
  <c r="AL8" i="1"/>
  <c r="AJ8" i="1"/>
  <c r="AE8" i="1"/>
  <c r="AF8" i="1" s="1"/>
  <c r="AD8" i="1"/>
  <c r="AI7" i="1"/>
  <c r="AH7" i="1"/>
  <c r="AG7" i="1"/>
  <c r="AL7" i="1"/>
  <c r="AD7" i="1"/>
  <c r="AJ7" i="1"/>
  <c r="AE7" i="1"/>
  <c r="AF7" i="1" s="1"/>
  <c r="AC7" i="1"/>
  <c r="AH6" i="1"/>
  <c r="AI6" i="1"/>
  <c r="AG6" i="1"/>
  <c r="AE6" i="1"/>
  <c r="AF6" i="1" s="1"/>
  <c r="AD6" i="1"/>
  <c r="AC6" i="1"/>
  <c r="AL6" i="1"/>
  <c r="AJ6" i="1"/>
  <c r="AH5" i="1"/>
  <c r="AG5" i="1"/>
  <c r="AI5" i="1"/>
  <c r="AJ5" i="1"/>
  <c r="AL5" i="1"/>
  <c r="AE5" i="1"/>
  <c r="AF5" i="1" s="1"/>
  <c r="AD5" i="1"/>
  <c r="AC5" i="1"/>
  <c r="AI4" i="1"/>
  <c r="AH4" i="1"/>
  <c r="AG4" i="1"/>
  <c r="AC4" i="1"/>
  <c r="AL4" i="1"/>
  <c r="AJ4" i="1"/>
  <c r="AE4" i="1"/>
  <c r="AF4" i="1" s="1"/>
  <c r="AD4" i="1"/>
  <c r="AG3" i="1"/>
  <c r="AH3" i="1"/>
  <c r="AI3" i="1"/>
  <c r="AL3" i="1"/>
  <c r="AE3" i="1"/>
  <c r="AF3" i="1" s="1"/>
  <c r="AJ3" i="1"/>
  <c r="AD3" i="1"/>
  <c r="AC3" i="1"/>
  <c r="AH2" i="1"/>
  <c r="AI2" i="1"/>
  <c r="AG2" i="1"/>
  <c r="AJ2" i="1"/>
  <c r="AL2" i="1"/>
  <c r="AC2" i="1"/>
  <c r="F74" i="1"/>
  <c r="K74" i="1" s="1"/>
  <c r="F73" i="1"/>
  <c r="K73" i="1" s="1"/>
  <c r="F71" i="1"/>
  <c r="K71" i="1" s="1"/>
  <c r="F72" i="1"/>
  <c r="K72" i="1" s="1"/>
  <c r="AD2" i="1"/>
  <c r="AE2" i="1"/>
  <c r="AF2" i="1" s="1"/>
  <c r="F68" i="1"/>
  <c r="F67" i="1"/>
  <c r="AM3058" i="1" l="1"/>
  <c r="AM3918" i="1"/>
  <c r="AM3888" i="1"/>
  <c r="AM3867" i="1"/>
  <c r="AM3833" i="1"/>
  <c r="AM3772" i="1"/>
  <c r="AM3745" i="1"/>
  <c r="AM3664" i="1"/>
  <c r="AM3551" i="1"/>
  <c r="AM3946" i="1"/>
  <c r="AM3943" i="1"/>
  <c r="AM3880" i="1"/>
  <c r="AM3831" i="1"/>
  <c r="AM3818" i="1"/>
  <c r="AM3686" i="1"/>
  <c r="AM3640" i="1"/>
  <c r="AM3523" i="1"/>
  <c r="AM1490" i="1"/>
  <c r="AM3982" i="1"/>
  <c r="AM3937" i="1"/>
  <c r="AM3808" i="1"/>
  <c r="AM3768" i="1"/>
  <c r="AM3746" i="1"/>
  <c r="AM3717" i="1"/>
  <c r="AM3630" i="1"/>
  <c r="AM3511" i="1"/>
  <c r="AM3948" i="1"/>
  <c r="AM3891" i="1"/>
  <c r="AM3862" i="1"/>
  <c r="AM3817" i="1"/>
  <c r="AM3754" i="1"/>
  <c r="AM3748" i="1"/>
  <c r="AM3742" i="1"/>
  <c r="AM107" i="1"/>
  <c r="AM93" i="1"/>
  <c r="AM55" i="1"/>
  <c r="AM3863" i="1"/>
  <c r="AM3793" i="1"/>
  <c r="AM3764" i="1"/>
  <c r="AM3719" i="1"/>
  <c r="AM3591" i="1"/>
  <c r="AM3588" i="1"/>
  <c r="AM3556" i="1"/>
  <c r="AM3516" i="1"/>
  <c r="AM3165" i="1"/>
  <c r="AM3099" i="1"/>
  <c r="AM3884" i="1"/>
  <c r="AM3513" i="1"/>
  <c r="AM3503" i="1"/>
  <c r="AM3501" i="1"/>
  <c r="AM2702" i="1"/>
  <c r="AM2676" i="1"/>
  <c r="AM2673" i="1"/>
  <c r="AM2617" i="1"/>
  <c r="AM2688" i="1"/>
  <c r="AM2669" i="1"/>
  <c r="AM1257" i="1"/>
  <c r="AM1247" i="1"/>
  <c r="AM1227" i="1"/>
  <c r="AM1210" i="1"/>
  <c r="AM1197" i="1"/>
  <c r="AM1116" i="1"/>
  <c r="AM1056" i="1"/>
  <c r="AM987" i="1"/>
  <c r="AM2571" i="1"/>
  <c r="AM2549" i="1"/>
  <c r="AM1367" i="1"/>
  <c r="AM1351" i="1"/>
  <c r="AM1350" i="1"/>
  <c r="AM1349" i="1"/>
  <c r="AM1342" i="1"/>
  <c r="AM1325" i="1"/>
  <c r="AM1299" i="1"/>
  <c r="AM1294" i="1"/>
  <c r="AM1250" i="1"/>
  <c r="AM1225" i="1"/>
  <c r="AM986" i="1"/>
  <c r="AM1159" i="1"/>
  <c r="AM3504" i="1"/>
  <c r="AM2641" i="1"/>
  <c r="AM2612" i="1"/>
  <c r="AM2681" i="1"/>
  <c r="AM2506" i="1"/>
  <c r="AM3120" i="1"/>
  <c r="AM3057" i="1"/>
  <c r="AM1204" i="1"/>
  <c r="AM1185" i="1"/>
  <c r="AM1178" i="1"/>
  <c r="AM1163" i="1"/>
  <c r="AM1156" i="1"/>
  <c r="AM1144" i="1"/>
  <c r="AM1137" i="1"/>
  <c r="AM1121" i="1"/>
  <c r="AM992" i="1"/>
  <c r="AM2999" i="1"/>
  <c r="AM2996" i="1"/>
  <c r="AM1189" i="1"/>
  <c r="AM1184" i="1"/>
  <c r="AM1176" i="1"/>
  <c r="AM1175" i="1"/>
  <c r="AM1169" i="1"/>
  <c r="AM1117" i="1"/>
  <c r="AM2008" i="1"/>
  <c r="AM2050" i="1"/>
  <c r="AM2033" i="1"/>
  <c r="AM1997" i="1"/>
  <c r="AM1987" i="1"/>
  <c r="AM1236" i="1"/>
  <c r="AM1202" i="1"/>
  <c r="AM1201" i="1"/>
  <c r="AM1179" i="1"/>
  <c r="AM1164" i="1"/>
  <c r="AM1146" i="1"/>
  <c r="AM1115" i="1"/>
  <c r="AM1098" i="1"/>
  <c r="AM1028" i="1"/>
  <c r="AM1149" i="1"/>
  <c r="AM1143" i="1"/>
  <c r="AM1104" i="1"/>
  <c r="AM1099" i="1"/>
  <c r="AM993" i="1"/>
  <c r="AM990" i="1"/>
  <c r="AM3209" i="1"/>
  <c r="AM3025" i="1"/>
  <c r="AM3003" i="1"/>
  <c r="AM3121" i="1"/>
  <c r="AM3004" i="1"/>
  <c r="AM1999" i="1"/>
  <c r="AM1493" i="1"/>
  <c r="AM1118" i="1"/>
  <c r="AM1066" i="1"/>
  <c r="AM1053" i="1"/>
  <c r="AM999" i="1"/>
  <c r="AM1494" i="1"/>
  <c r="AM1064" i="1"/>
  <c r="AM1062" i="1"/>
  <c r="AM988" i="1"/>
  <c r="AM1126" i="1"/>
  <c r="AM1108" i="1"/>
  <c r="AM1090" i="1"/>
  <c r="AM1082" i="1"/>
  <c r="AM2484" i="1"/>
  <c r="AM2458" i="1"/>
  <c r="AM2437" i="1"/>
  <c r="AM2434" i="1"/>
  <c r="AM2404" i="1"/>
  <c r="AM2377" i="1"/>
  <c r="AM2366" i="1"/>
  <c r="AM2342" i="1"/>
  <c r="AM2328" i="1"/>
  <c r="AM2324" i="1"/>
  <c r="AM2317" i="1"/>
  <c r="AM2250" i="1"/>
  <c r="AM2203" i="1"/>
  <c r="AM2181" i="1"/>
  <c r="AM2156" i="1"/>
  <c r="AM2152" i="1"/>
  <c r="AM2102" i="1"/>
  <c r="AM2067" i="1"/>
  <c r="AM2060" i="1"/>
  <c r="AM3698" i="1"/>
  <c r="AM3684" i="1"/>
  <c r="AM3673" i="1"/>
  <c r="AM3662" i="1"/>
  <c r="AM3647" i="1"/>
  <c r="AM3644" i="1"/>
  <c r="AM3625" i="1"/>
  <c r="AM3582" i="1"/>
  <c r="AM3581" i="1"/>
  <c r="AM3536" i="1"/>
  <c r="AM3514" i="1"/>
  <c r="AM3509" i="1"/>
  <c r="AM3508" i="1"/>
  <c r="AM2493" i="1"/>
  <c r="AM2400" i="1"/>
  <c r="AM2345" i="1"/>
  <c r="AM2341" i="1"/>
  <c r="AM2261" i="1"/>
  <c r="AM2185" i="1"/>
  <c r="AM2028" i="1"/>
  <c r="AM3718" i="1"/>
  <c r="AM3708" i="1"/>
  <c r="AM3617" i="1"/>
  <c r="AM3594" i="1"/>
  <c r="AM1049" i="1"/>
  <c r="AM3977" i="1"/>
  <c r="AM3968" i="1"/>
  <c r="AM3963" i="1"/>
  <c r="AM3953" i="1"/>
  <c r="AM3942" i="1"/>
  <c r="AM3936" i="1"/>
  <c r="AM3935" i="1"/>
  <c r="AM3866" i="1"/>
  <c r="AM3828" i="1"/>
  <c r="AM3823" i="1"/>
  <c r="AM3815" i="1"/>
  <c r="AM3799" i="1"/>
  <c r="AM3771" i="1"/>
  <c r="AM3761" i="1"/>
  <c r="AM3744" i="1"/>
  <c r="AM3740" i="1"/>
  <c r="AM3738" i="1"/>
  <c r="AM3729" i="1"/>
  <c r="AM3710" i="1"/>
  <c r="AM3564" i="1"/>
  <c r="AM3993" i="1"/>
  <c r="AM3986" i="1"/>
  <c r="AM3985" i="1"/>
  <c r="AM3978" i="1"/>
  <c r="AM3976" i="1"/>
  <c r="AM3973" i="1"/>
  <c r="AM3939" i="1"/>
  <c r="AM3932" i="1"/>
  <c r="AM3931" i="1"/>
  <c r="AM3916" i="1"/>
  <c r="AM3802" i="1"/>
  <c r="AM3797" i="1"/>
  <c r="AM3788" i="1"/>
  <c r="AM3787" i="1"/>
  <c r="AM3778" i="1"/>
  <c r="AM3774" i="1"/>
  <c r="AM3770" i="1"/>
  <c r="AM3733" i="1"/>
  <c r="AM3732" i="1"/>
  <c r="AM3731" i="1"/>
  <c r="AM3730" i="1"/>
  <c r="AM3720" i="1"/>
  <c r="AM3711" i="1"/>
  <c r="AM3697" i="1"/>
  <c r="AM3695" i="1"/>
  <c r="AM3623" i="1"/>
  <c r="AM3583" i="1"/>
  <c r="AM3603" i="1"/>
  <c r="AM3558" i="1"/>
  <c r="AM3549" i="1"/>
  <c r="AM3541" i="1"/>
  <c r="AM495" i="1"/>
  <c r="AM3924" i="1"/>
  <c r="AM3920" i="1"/>
  <c r="AM3907" i="1"/>
  <c r="AM3904" i="1"/>
  <c r="AM3885" i="1"/>
  <c r="AM3877" i="1"/>
  <c r="AM3874" i="1"/>
  <c r="AM3873" i="1"/>
  <c r="AM3869" i="1"/>
  <c r="AM3865" i="1"/>
  <c r="AM3860" i="1"/>
  <c r="AM3857" i="1"/>
  <c r="AM3853" i="1"/>
  <c r="AM3845" i="1"/>
  <c r="AM3840" i="1"/>
  <c r="AM3667" i="1"/>
  <c r="AM3660" i="1"/>
  <c r="AM3650" i="1"/>
  <c r="AM3605" i="1"/>
  <c r="AM3571" i="1"/>
  <c r="AM3545" i="1"/>
  <c r="AM3538" i="1"/>
  <c r="AM3531" i="1"/>
  <c r="AM3530" i="1"/>
  <c r="AM3518" i="1"/>
  <c r="AM3517" i="1"/>
  <c r="AM2977" i="1"/>
  <c r="AM2972" i="1"/>
  <c r="AM2964" i="1"/>
  <c r="AM2945" i="1"/>
  <c r="AM2940" i="1"/>
  <c r="AM2933" i="1"/>
  <c r="AM2878" i="1"/>
  <c r="AM2858" i="1"/>
  <c r="AM2845" i="1"/>
  <c r="AM2839" i="1"/>
  <c r="AM2816" i="1"/>
  <c r="AM2775" i="1"/>
  <c r="AM2732" i="1"/>
  <c r="AM2723" i="1"/>
  <c r="AM2716" i="1"/>
  <c r="AM2686" i="1"/>
  <c r="AM2640" i="1"/>
  <c r="AM2626" i="1"/>
  <c r="AM2623" i="1"/>
  <c r="AM2611" i="1"/>
  <c r="AM2969" i="1"/>
  <c r="AM2968" i="1"/>
  <c r="AM2967" i="1"/>
  <c r="AM2965" i="1"/>
  <c r="AM2959" i="1"/>
  <c r="AM2955" i="1"/>
  <c r="AM2950" i="1"/>
  <c r="AM2948" i="1"/>
  <c r="AM2944" i="1"/>
  <c r="AM2943" i="1"/>
  <c r="AM2941" i="1"/>
  <c r="AM2931" i="1"/>
  <c r="AM2909" i="1"/>
  <c r="AM2896" i="1"/>
  <c r="AM2881" i="1"/>
  <c r="AM2877" i="1"/>
  <c r="AM2861" i="1"/>
  <c r="AM2854" i="1"/>
  <c r="AM2852" i="1"/>
  <c r="AM2844" i="1"/>
  <c r="AM2833" i="1"/>
  <c r="AM2807" i="1"/>
  <c r="AM2805" i="1"/>
  <c r="AM2797" i="1"/>
  <c r="AM2796" i="1"/>
  <c r="AM2792" i="1"/>
  <c r="AM2779" i="1"/>
  <c r="AM2776" i="1"/>
  <c r="AM2771" i="1"/>
  <c r="AM2766" i="1"/>
  <c r="AM2751" i="1"/>
  <c r="AM2730" i="1"/>
  <c r="AM2678" i="1"/>
  <c r="AM2646" i="1"/>
  <c r="AM2633" i="1"/>
  <c r="AM2632" i="1"/>
  <c r="AM80" i="1"/>
  <c r="AM1534" i="1"/>
  <c r="AM83" i="1"/>
  <c r="AM69" i="1"/>
  <c r="AM43" i="1"/>
  <c r="AM2536" i="1"/>
  <c r="AM1488" i="1"/>
  <c r="AM59" i="1"/>
  <c r="AM2650" i="1"/>
  <c r="AM90" i="1"/>
  <c r="AM37" i="1"/>
  <c r="AM2511" i="1"/>
  <c r="AM2505" i="1"/>
  <c r="AM2503" i="1"/>
  <c r="AM2457" i="1"/>
  <c r="AM2436" i="1"/>
  <c r="AM2363" i="1"/>
  <c r="AM2314" i="1"/>
  <c r="AM2306" i="1"/>
  <c r="AM2281" i="1"/>
  <c r="AM2205" i="1"/>
  <c r="AM2169" i="1"/>
  <c r="AM2055" i="1"/>
  <c r="AM3980" i="1"/>
  <c r="AM3960" i="1"/>
  <c r="AM3944" i="1"/>
  <c r="AM3934" i="1"/>
  <c r="AM3929" i="1"/>
  <c r="AM3908" i="1"/>
  <c r="AM3903" i="1"/>
  <c r="AM3897" i="1"/>
  <c r="AM3886" i="1"/>
  <c r="AM3838" i="1"/>
  <c r="AM3806" i="1"/>
  <c r="AM3800" i="1"/>
  <c r="AM3747" i="1"/>
  <c r="AM3723" i="1"/>
  <c r="AM3712" i="1"/>
  <c r="AM3677" i="1"/>
  <c r="AM3607" i="1"/>
  <c r="AM3580" i="1"/>
  <c r="AM3574" i="1"/>
  <c r="AM2477" i="1"/>
  <c r="AM2475" i="1"/>
  <c r="AM2452" i="1"/>
  <c r="AM2415" i="1"/>
  <c r="AM2412" i="1"/>
  <c r="AM2263" i="1"/>
  <c r="AM2245" i="1"/>
  <c r="AM2226" i="1"/>
  <c r="AM2058" i="1"/>
  <c r="AM578" i="1"/>
  <c r="AM565" i="1"/>
  <c r="AM542" i="1"/>
  <c r="AM533" i="1"/>
  <c r="AM3974" i="1"/>
  <c r="AM3971" i="1"/>
  <c r="AM3970" i="1"/>
  <c r="AM3966" i="1"/>
  <c r="AM3959" i="1"/>
  <c r="AM3956" i="1"/>
  <c r="AM3955" i="1"/>
  <c r="AM3954" i="1"/>
  <c r="AM3952" i="1"/>
  <c r="AM3951" i="1"/>
  <c r="AM3950" i="1"/>
  <c r="AM3949" i="1"/>
  <c r="AM3938" i="1"/>
  <c r="AM3927" i="1"/>
  <c r="AM3923" i="1"/>
  <c r="AM3917" i="1"/>
  <c r="AM3911" i="1"/>
  <c r="AM3901" i="1"/>
  <c r="AM3899" i="1"/>
  <c r="AM3890" i="1"/>
  <c r="AM3887" i="1"/>
  <c r="AM3879" i="1"/>
  <c r="AM3868" i="1"/>
  <c r="AM3855" i="1"/>
  <c r="AM3844" i="1"/>
  <c r="AM3842" i="1"/>
  <c r="AM3835" i="1"/>
  <c r="AM3827" i="1"/>
  <c r="AM3822" i="1"/>
  <c r="AM3821" i="1"/>
  <c r="AM3814" i="1"/>
  <c r="AM3810" i="1"/>
  <c r="AM3801" i="1"/>
  <c r="AM3784" i="1"/>
  <c r="AM3767" i="1"/>
  <c r="AM3762" i="1"/>
  <c r="AM3755" i="1"/>
  <c r="AM3753" i="1"/>
  <c r="AM3737" i="1"/>
  <c r="AM3736" i="1"/>
  <c r="AM3726" i="1"/>
  <c r="AM3725" i="1"/>
  <c r="AM3716" i="1"/>
  <c r="AM3701" i="1"/>
  <c r="AM3693" i="1"/>
  <c r="AM3674" i="1"/>
  <c r="AM3665" i="1"/>
  <c r="AM3648" i="1"/>
  <c r="AM3643" i="1"/>
  <c r="AM3641" i="1"/>
  <c r="AM3639" i="1"/>
  <c r="AM3635" i="1"/>
  <c r="AM3629" i="1"/>
  <c r="AM3622" i="1"/>
  <c r="AM3620" i="1"/>
  <c r="AM3616" i="1"/>
  <c r="AM3613" i="1"/>
  <c r="AM3612" i="1"/>
  <c r="AM3611" i="1"/>
  <c r="AM3610" i="1"/>
  <c r="AM3608" i="1"/>
  <c r="AM3596" i="1"/>
  <c r="AM3595" i="1"/>
  <c r="AM3586" i="1"/>
  <c r="AM3570" i="1"/>
  <c r="AM3568" i="1"/>
  <c r="AM3557" i="1"/>
  <c r="AM3548" i="1"/>
  <c r="AM3547" i="1"/>
  <c r="AM3544" i="1"/>
  <c r="AM3542" i="1"/>
  <c r="AM3539" i="1"/>
  <c r="AM3534" i="1"/>
  <c r="AM3528" i="1"/>
  <c r="AM3527" i="1"/>
  <c r="AM3522" i="1"/>
  <c r="AM2494" i="1"/>
  <c r="AM2492" i="1"/>
  <c r="AM2489" i="1"/>
  <c r="AM2470" i="1"/>
  <c r="AM2466" i="1"/>
  <c r="AM2444" i="1"/>
  <c r="AM2438" i="1"/>
  <c r="AM2397" i="1"/>
  <c r="AM2392" i="1"/>
  <c r="AM2383" i="1"/>
  <c r="AM2373" i="1"/>
  <c r="AM2360" i="1"/>
  <c r="AM2353" i="1"/>
  <c r="AM2337" i="1"/>
  <c r="AM2325" i="1"/>
  <c r="AM2318" i="1"/>
  <c r="AM2310" i="1"/>
  <c r="AM2276" i="1"/>
  <c r="AM2256" i="1"/>
  <c r="AM2255" i="1"/>
  <c r="AM2198" i="1"/>
  <c r="AM2186" i="1"/>
  <c r="AM2177" i="1"/>
  <c r="AM2171" i="1"/>
  <c r="AM2157" i="1"/>
  <c r="AM2142" i="1"/>
  <c r="AM2141" i="1"/>
  <c r="AM2091" i="1"/>
  <c r="AM2074" i="1"/>
  <c r="AM2064" i="1"/>
  <c r="AM2056" i="1"/>
  <c r="AM2029" i="1"/>
  <c r="AM2016" i="1"/>
  <c r="AM556" i="1"/>
  <c r="AM539" i="1"/>
  <c r="AM526" i="1"/>
  <c r="AM522" i="1"/>
  <c r="AM515" i="1"/>
  <c r="AM3940" i="1"/>
  <c r="AM3926" i="1"/>
  <c r="AM3925" i="1"/>
  <c r="AM3922" i="1"/>
  <c r="AM3914" i="1"/>
  <c r="AM3909" i="1"/>
  <c r="AM3894" i="1"/>
  <c r="AM3881" i="1"/>
  <c r="AM3875" i="1"/>
  <c r="AM3871" i="1"/>
  <c r="AM3858" i="1"/>
  <c r="AM3848" i="1"/>
  <c r="AM3839" i="1"/>
  <c r="AM3836" i="1"/>
  <c r="AM3834" i="1"/>
  <c r="AM3832" i="1"/>
  <c r="AM3825" i="1"/>
  <c r="AM3819" i="1"/>
  <c r="AM3816" i="1"/>
  <c r="AM3812" i="1"/>
  <c r="AM3798" i="1"/>
  <c r="AM3796" i="1"/>
  <c r="AM3794" i="1"/>
  <c r="AM3789" i="1"/>
  <c r="AM3783" i="1"/>
  <c r="AM3782" i="1"/>
  <c r="AM3766" i="1"/>
  <c r="AM3760" i="1"/>
  <c r="AM3757" i="1"/>
  <c r="AM3743" i="1"/>
  <c r="AM3714" i="1"/>
  <c r="AM3707" i="1"/>
  <c r="AM3705" i="1"/>
  <c r="AM3703" i="1"/>
  <c r="AM3702" i="1"/>
  <c r="AM3699" i="1"/>
  <c r="AM3691" i="1"/>
  <c r="AM3688" i="1"/>
  <c r="AM3682" i="1"/>
  <c r="AM3679" i="1"/>
  <c r="AM3675" i="1"/>
  <c r="AM3661" i="1"/>
  <c r="AM3659" i="1"/>
  <c r="AM3657" i="1"/>
  <c r="AM3654" i="1"/>
  <c r="AM3651" i="1"/>
  <c r="AM3646" i="1"/>
  <c r="AM3642" i="1"/>
  <c r="AM3637" i="1"/>
  <c r="AM3634" i="1"/>
  <c r="AM3633" i="1"/>
  <c r="AM3631" i="1"/>
  <c r="AM3628" i="1"/>
  <c r="AM3627" i="1"/>
  <c r="AM3624" i="1"/>
  <c r="AM3606" i="1"/>
  <c r="AM3601" i="1"/>
  <c r="AM3597" i="1"/>
  <c r="AM3593" i="1"/>
  <c r="AM3592" i="1"/>
  <c r="AM3584" i="1"/>
  <c r="AM3575" i="1"/>
  <c r="AM3573" i="1"/>
  <c r="AM3566" i="1"/>
  <c r="AM3561" i="1"/>
  <c r="AM3560" i="1"/>
  <c r="AM3559" i="1"/>
  <c r="AM3554" i="1"/>
  <c r="AM3540" i="1"/>
  <c r="AM3537" i="1"/>
  <c r="AM3526" i="1"/>
  <c r="AM3525" i="1"/>
  <c r="AM2490" i="1"/>
  <c r="AM2488" i="1"/>
  <c r="AM2480" i="1"/>
  <c r="AM2478" i="1"/>
  <c r="AM2451" i="1"/>
  <c r="AM2450" i="1"/>
  <c r="AM2439" i="1"/>
  <c r="AM2433" i="1"/>
  <c r="AM2423" i="1"/>
  <c r="AM2403" i="1"/>
  <c r="AM2399" i="1"/>
  <c r="AM2395" i="1"/>
  <c r="AM2394" i="1"/>
  <c r="AM2370" i="1"/>
  <c r="AM2336" i="1"/>
  <c r="AM2316" i="1"/>
  <c r="AM2312" i="1"/>
  <c r="AM2311" i="1"/>
  <c r="AM2309" i="1"/>
  <c r="AM2286" i="1"/>
  <c r="AM2282" i="1"/>
  <c r="AM2280" i="1"/>
  <c r="AM2279" i="1"/>
  <c r="AM2252" i="1"/>
  <c r="AM2239" i="1"/>
  <c r="AM2229" i="1"/>
  <c r="AM2224" i="1"/>
  <c r="AM2194" i="1"/>
  <c r="AM2190" i="1"/>
  <c r="AM2182" i="1"/>
  <c r="AM2153" i="1"/>
  <c r="AM2135" i="1"/>
  <c r="AM2134" i="1"/>
  <c r="AM2129" i="1"/>
  <c r="AM2082" i="1"/>
  <c r="AM2054" i="1"/>
  <c r="AM2053" i="1"/>
  <c r="AM2021" i="1"/>
  <c r="AM499" i="1"/>
  <c r="AM3913" i="1"/>
  <c r="AM3896" i="1"/>
  <c r="AM3892" i="1"/>
  <c r="AM3883" i="1"/>
  <c r="AM3870" i="1"/>
  <c r="AM3856" i="1"/>
  <c r="AM3854" i="1"/>
  <c r="AM3849" i="1"/>
  <c r="AM3847" i="1"/>
  <c r="AM3830" i="1"/>
  <c r="AM3811" i="1"/>
  <c r="AM3805" i="1"/>
  <c r="AM3791" i="1"/>
  <c r="AM3785" i="1"/>
  <c r="AM3781" i="1"/>
  <c r="AM3780" i="1"/>
  <c r="AM3779" i="1"/>
  <c r="AM3776" i="1"/>
  <c r="AM3759" i="1"/>
  <c r="AM3751" i="1"/>
  <c r="AM3750" i="1"/>
  <c r="AM3749" i="1"/>
  <c r="AM3734" i="1"/>
  <c r="AM3721" i="1"/>
  <c r="AM3694" i="1"/>
  <c r="AM3690" i="1"/>
  <c r="AM3681" i="1"/>
  <c r="AM3680" i="1"/>
  <c r="AM3676" i="1"/>
  <c r="AM3671" i="1"/>
  <c r="AM3669" i="1"/>
  <c r="AM3668" i="1"/>
  <c r="AM3652" i="1"/>
  <c r="AM3600" i="1"/>
  <c r="AM3579" i="1"/>
  <c r="AM3577" i="1"/>
  <c r="AM3565" i="1"/>
  <c r="AM3543" i="1"/>
  <c r="AM2482" i="1"/>
  <c r="AM2367" i="1"/>
  <c r="AM2294" i="1"/>
  <c r="AM2269" i="1"/>
  <c r="AM2266" i="1"/>
  <c r="AM2265" i="1"/>
  <c r="AM2264" i="1"/>
  <c r="AM2249" i="1"/>
  <c r="AM2151" i="1"/>
  <c r="AM2140" i="1"/>
  <c r="AM2133" i="1"/>
  <c r="AM3362" i="1"/>
  <c r="AM3346" i="1"/>
  <c r="AM3326" i="1"/>
  <c r="AM3324" i="1"/>
  <c r="AM3314" i="1"/>
  <c r="AM3286" i="1"/>
  <c r="AM3285" i="1"/>
  <c r="AM3281" i="1"/>
  <c r="AM3185" i="1"/>
  <c r="AM3174" i="1"/>
  <c r="AM3088" i="1"/>
  <c r="AM3077" i="1"/>
  <c r="AM3055" i="1"/>
  <c r="AM3051" i="1"/>
  <c r="AM2586" i="1"/>
  <c r="AM2572" i="1"/>
  <c r="AM2529" i="1"/>
  <c r="AM2514" i="1"/>
  <c r="AM3290" i="1"/>
  <c r="AM3211" i="1"/>
  <c r="AM3194" i="1"/>
  <c r="AM3150" i="1"/>
  <c r="AM3117" i="1"/>
  <c r="AM3116" i="1"/>
  <c r="AM3089" i="1"/>
  <c r="AM3050" i="1"/>
  <c r="AM3029" i="1"/>
  <c r="AM3017" i="1"/>
  <c r="AM2606" i="1"/>
  <c r="AM2578" i="1"/>
  <c r="AM2544" i="1"/>
  <c r="AM2533" i="1"/>
  <c r="AM2530" i="1"/>
  <c r="AM2601" i="1"/>
  <c r="AM2595" i="1"/>
  <c r="AM2590" i="1"/>
  <c r="AM2554" i="1"/>
  <c r="AM2535" i="1"/>
  <c r="AM1733" i="1"/>
  <c r="AM1703" i="1"/>
  <c r="AM1682" i="1"/>
  <c r="AM1681" i="1"/>
  <c r="AM1680" i="1"/>
  <c r="AM1555" i="1"/>
  <c r="AM3214" i="1"/>
  <c r="AM3198" i="1"/>
  <c r="AM3182" i="1"/>
  <c r="AM2605" i="1"/>
  <c r="AM2569" i="1"/>
  <c r="AM2560" i="1"/>
  <c r="AM2551" i="1"/>
  <c r="AM1706" i="1"/>
  <c r="AM1669" i="1"/>
  <c r="AM1642" i="1"/>
  <c r="AM1607" i="1"/>
  <c r="AM1577" i="1"/>
  <c r="AM1571" i="1"/>
  <c r="AM1552" i="1"/>
  <c r="AM1538" i="1"/>
  <c r="AM3124" i="1"/>
  <c r="AM3113" i="1"/>
  <c r="AM3031" i="1"/>
  <c r="AM2593" i="1"/>
  <c r="AM2557" i="1"/>
  <c r="AM2545" i="1"/>
  <c r="AM2542" i="1"/>
  <c r="AM2525" i="1"/>
  <c r="AM3178" i="1"/>
  <c r="AM3112" i="1"/>
  <c r="AM2563" i="1"/>
  <c r="AM2534" i="1"/>
  <c r="AM560" i="1"/>
  <c r="AM538" i="1"/>
  <c r="AM3049" i="1"/>
  <c r="AM2553" i="1"/>
  <c r="AM1732" i="1"/>
  <c r="AM2167" i="1"/>
  <c r="AM2127" i="1"/>
  <c r="AM2111" i="1"/>
  <c r="AM1742" i="1"/>
  <c r="AM3013" i="1"/>
  <c r="AM2031" i="1"/>
  <c r="AM1878" i="1"/>
  <c r="AM1876" i="1"/>
  <c r="AM1847" i="1"/>
  <c r="AM1672" i="1"/>
  <c r="AM1557" i="1"/>
  <c r="AM1515" i="1"/>
  <c r="AM989" i="1"/>
  <c r="AM3082" i="1"/>
  <c r="AM1186" i="1"/>
  <c r="AM350" i="1"/>
  <c r="AM95" i="1"/>
  <c r="AM356" i="1"/>
  <c r="AM312" i="1"/>
  <c r="AM1627" i="1"/>
  <c r="AM1560" i="1"/>
  <c r="AM1044" i="1"/>
  <c r="AM213" i="1"/>
  <c r="AM44" i="1"/>
  <c r="AM1503" i="1"/>
  <c r="AM1110" i="1"/>
  <c r="AM81" i="1"/>
  <c r="AM2180" i="1"/>
  <c r="AM2124" i="1"/>
  <c r="AM3520" i="1"/>
  <c r="AM2118" i="1"/>
  <c r="AM500" i="1"/>
  <c r="AM3087" i="1"/>
  <c r="AM2992" i="1"/>
  <c r="AM2857" i="1"/>
  <c r="AM2516" i="1"/>
  <c r="AM1238" i="1"/>
  <c r="AM1229" i="1"/>
  <c r="AM1224" i="1"/>
  <c r="AM1193" i="1"/>
  <c r="AM1078" i="1"/>
  <c r="AM1041" i="1"/>
  <c r="AM3166" i="1"/>
  <c r="AM3152" i="1"/>
  <c r="AM3123" i="1"/>
  <c r="AM3122" i="1"/>
  <c r="AM2924" i="1"/>
  <c r="AM2879" i="1"/>
  <c r="AM2862" i="1"/>
  <c r="AM2793" i="1"/>
  <c r="AM2785" i="1"/>
  <c r="AM2738" i="1"/>
  <c r="AM2599" i="1"/>
  <c r="AM1170" i="1"/>
  <c r="AM1167" i="1"/>
  <c r="AM1165" i="1"/>
  <c r="AM1138" i="1"/>
  <c r="AM1105" i="1"/>
  <c r="AM1039" i="1"/>
  <c r="AM518" i="1"/>
  <c r="AM3524" i="1"/>
  <c r="AM3274" i="1"/>
  <c r="AM527" i="1"/>
  <c r="AM524" i="1"/>
  <c r="AM2874" i="1"/>
  <c r="AM3260" i="1"/>
  <c r="AM3249" i="1"/>
  <c r="AM3245" i="1"/>
  <c r="AM3223" i="1"/>
  <c r="AM3179" i="1"/>
  <c r="AM3157" i="1"/>
  <c r="AM3011" i="1"/>
  <c r="AM2993" i="1"/>
  <c r="AM2962" i="1"/>
  <c r="AM2951" i="1"/>
  <c r="AM2949" i="1"/>
  <c r="AM2946" i="1"/>
  <c r="AM2939" i="1"/>
  <c r="AM2934" i="1"/>
  <c r="AM2932" i="1"/>
  <c r="AM2928" i="1"/>
  <c r="AM2911" i="1"/>
  <c r="AM2910" i="1"/>
  <c r="AM2908" i="1"/>
  <c r="AM2884" i="1"/>
  <c r="AM2848" i="1"/>
  <c r="AM2846" i="1"/>
  <c r="AM2838" i="1"/>
  <c r="AM2825" i="1"/>
  <c r="AM2824" i="1"/>
  <c r="AM2791" i="1"/>
  <c r="AM2788" i="1"/>
  <c r="AM2763" i="1"/>
  <c r="AM2750" i="1"/>
  <c r="AM2656" i="1"/>
  <c r="AM2631" i="1"/>
  <c r="AM2548" i="1"/>
  <c r="AM2547" i="1"/>
  <c r="AM2532" i="1"/>
  <c r="AM2527" i="1"/>
  <c r="AM3079" i="1"/>
  <c r="AM2454" i="1"/>
  <c r="AM2442" i="1"/>
  <c r="AM2419" i="1"/>
  <c r="AM2384" i="1"/>
  <c r="AM2381" i="1"/>
  <c r="AM2380" i="1"/>
  <c r="AM2372" i="1"/>
  <c r="AM2364" i="1"/>
  <c r="AM2361" i="1"/>
  <c r="AM2350" i="1"/>
  <c r="AM2340" i="1"/>
  <c r="AM2313" i="1"/>
  <c r="AM2307" i="1"/>
  <c r="AM2291" i="1"/>
  <c r="AM2251" i="1"/>
  <c r="AM2248" i="1"/>
  <c r="AM2218" i="1"/>
  <c r="AM2206" i="1"/>
  <c r="AM2201" i="1"/>
  <c r="AM2148" i="1"/>
  <c r="AM2139" i="1"/>
  <c r="AM2136" i="1"/>
  <c r="AM2122" i="1"/>
  <c r="AM2090" i="1"/>
  <c r="AM2088" i="1"/>
  <c r="AM2051" i="1"/>
  <c r="AM2026" i="1"/>
  <c r="AM1917" i="1"/>
  <c r="AM1899" i="1"/>
  <c r="AM1873" i="1"/>
  <c r="AM1858" i="1"/>
  <c r="AM1851" i="1"/>
  <c r="AM1833" i="1"/>
  <c r="AM1824" i="1"/>
  <c r="AM1787" i="1"/>
  <c r="AM1768" i="1"/>
  <c r="AM1751" i="1"/>
  <c r="AM1718" i="1"/>
  <c r="AM1692" i="1"/>
  <c r="AM1674" i="1"/>
  <c r="AM1673" i="1"/>
  <c r="AM1646" i="1"/>
  <c r="AM1564" i="1"/>
  <c r="F69" i="1"/>
  <c r="AM1967" i="1"/>
  <c r="AM1764" i="1"/>
  <c r="AM208" i="1"/>
  <c r="AM196" i="1"/>
  <c r="AM182" i="1"/>
  <c r="AM175" i="1"/>
  <c r="AM149" i="1"/>
  <c r="AM136" i="1"/>
  <c r="AM114" i="1"/>
  <c r="AM112" i="1"/>
  <c r="AM111" i="1"/>
  <c r="AM98" i="1"/>
  <c r="AM71" i="1"/>
  <c r="AM50" i="1"/>
  <c r="AM42" i="1"/>
  <c r="AM39" i="1"/>
  <c r="AM3084" i="1"/>
  <c r="AM3075" i="1"/>
  <c r="AM2464" i="1"/>
  <c r="AM2459" i="1"/>
  <c r="AM2416" i="1"/>
  <c r="AM2402" i="1"/>
  <c r="AM2300" i="1"/>
  <c r="AM2270" i="1"/>
  <c r="AM2243" i="1"/>
  <c r="AM2227" i="1"/>
  <c r="AM2196" i="1"/>
  <c r="AM2174" i="1"/>
  <c r="AM2109" i="1"/>
  <c r="AM2108" i="1"/>
  <c r="AM2092" i="1"/>
  <c r="AM2085" i="1"/>
  <c r="AM2081" i="1"/>
  <c r="AM2066" i="1"/>
  <c r="AM2052" i="1"/>
  <c r="AM1979" i="1"/>
  <c r="AM1965" i="1"/>
  <c r="AM1954" i="1"/>
  <c r="AM1950" i="1"/>
  <c r="AM1938" i="1"/>
  <c r="AM1912" i="1"/>
  <c r="AM1790" i="1"/>
  <c r="AM1727" i="1"/>
  <c r="AM1696" i="1"/>
  <c r="AM1630" i="1"/>
  <c r="AM1594" i="1"/>
  <c r="AM1621" i="1"/>
  <c r="AM2956" i="1"/>
  <c r="AM2942" i="1"/>
  <c r="AM2892" i="1"/>
  <c r="AM2822" i="1"/>
  <c r="AM1134" i="1"/>
  <c r="AM2976" i="1"/>
  <c r="AM2803" i="1"/>
  <c r="AM2789" i="1"/>
  <c r="AM2764" i="1"/>
  <c r="AM2703" i="1"/>
  <c r="AM2694" i="1"/>
  <c r="AM2628" i="1"/>
  <c r="AM2524" i="1"/>
  <c r="AM2513" i="1"/>
  <c r="AM1551" i="1"/>
  <c r="AM1481" i="1"/>
  <c r="AM1456" i="1"/>
  <c r="AM1283" i="1"/>
  <c r="AM1020" i="1"/>
  <c r="AM108" i="1"/>
  <c r="AM38" i="1"/>
  <c r="AM2720" i="1"/>
  <c r="AM2568" i="1"/>
  <c r="AM1018" i="1"/>
  <c r="AM1012" i="1"/>
  <c r="AM18" i="1"/>
  <c r="AM1025" i="1"/>
  <c r="AM1023" i="1"/>
  <c r="AM1016" i="1"/>
  <c r="AM1009" i="1"/>
  <c r="AM2013" i="1"/>
  <c r="AM1015" i="1"/>
  <c r="AM1011" i="1"/>
  <c r="AM1004" i="1"/>
  <c r="AM1506" i="1"/>
  <c r="AM1024" i="1"/>
  <c r="AM1019" i="1"/>
  <c r="AM1017" i="1"/>
  <c r="AM1010" i="1"/>
  <c r="AM21" i="1"/>
  <c r="AM2997" i="1"/>
  <c r="AM2159" i="1"/>
  <c r="AM2112" i="1"/>
  <c r="AM2089" i="1"/>
  <c r="AM2076" i="1"/>
  <c r="AM2068" i="1"/>
  <c r="AM2061" i="1"/>
  <c r="AM2057" i="1"/>
  <c r="AM2042" i="1"/>
  <c r="AM2041" i="1"/>
  <c r="AM2036" i="1"/>
  <c r="AM2032" i="1"/>
  <c r="AM2027" i="1"/>
  <c r="AM1513" i="1"/>
  <c r="AM3344" i="1"/>
  <c r="AM3254" i="1"/>
  <c r="AM3231" i="1"/>
  <c r="AM3219" i="1"/>
  <c r="AM3159" i="1"/>
  <c r="AM3054" i="1"/>
  <c r="AM1559" i="1"/>
  <c r="AM1537" i="1"/>
  <c r="AM510" i="1"/>
  <c r="AM3356" i="1"/>
  <c r="AM559" i="1"/>
  <c r="AM543" i="1"/>
  <c r="AM501" i="1"/>
  <c r="AM3419" i="1"/>
  <c r="AM3418" i="1"/>
  <c r="AM3392" i="1"/>
  <c r="AM3390" i="1"/>
  <c r="AM3321" i="1"/>
  <c r="AM3315" i="1"/>
  <c r="AM3305" i="1"/>
  <c r="AM3289" i="1"/>
  <c r="AM3256" i="1"/>
  <c r="AM3221" i="1"/>
  <c r="AM3190" i="1"/>
  <c r="AM3184" i="1"/>
  <c r="AM3139" i="1"/>
  <c r="AM3119" i="1"/>
  <c r="AM3046" i="1"/>
  <c r="AM2827" i="1"/>
  <c r="AM2746" i="1"/>
  <c r="AM2743" i="1"/>
  <c r="AM2737" i="1"/>
  <c r="AM2722" i="1"/>
  <c r="AM2695" i="1"/>
  <c r="AM2675" i="1"/>
  <c r="AM2672" i="1"/>
  <c r="AM2655" i="1"/>
  <c r="AM2642" i="1"/>
  <c r="AM2620" i="1"/>
  <c r="AM2616" i="1"/>
  <c r="AM2609" i="1"/>
  <c r="AM2585" i="1"/>
  <c r="AM2582" i="1"/>
  <c r="AM2581" i="1"/>
  <c r="AM2574" i="1"/>
  <c r="AM2564" i="1"/>
  <c r="AM2531" i="1"/>
  <c r="AM2518" i="1"/>
  <c r="AM2504" i="1"/>
  <c r="AM2502" i="1"/>
  <c r="AM1769" i="1"/>
  <c r="AM1715" i="1"/>
  <c r="AM1683" i="1"/>
  <c r="AM1678" i="1"/>
  <c r="AM1668" i="1"/>
  <c r="AM1652" i="1"/>
  <c r="AM1645" i="1"/>
  <c r="AM1644" i="1"/>
  <c r="AM1643" i="1"/>
  <c r="AM1635" i="1"/>
  <c r="AM1624" i="1"/>
  <c r="AM1618" i="1"/>
  <c r="AM1604" i="1"/>
  <c r="AM1598" i="1"/>
  <c r="AM1596" i="1"/>
  <c r="AM1589" i="1"/>
  <c r="AM1567" i="1"/>
  <c r="AM1520" i="1"/>
  <c r="AM3306" i="1"/>
  <c r="AM3293" i="1"/>
  <c r="AM3291" i="1"/>
  <c r="AM3273" i="1"/>
  <c r="AM3272" i="1"/>
  <c r="AM3250" i="1"/>
  <c r="AM3236" i="1"/>
  <c r="AM3218" i="1"/>
  <c r="AM3191" i="1"/>
  <c r="AM3187" i="1"/>
  <c r="AM3177" i="1"/>
  <c r="AM3176" i="1"/>
  <c r="AM3171" i="1"/>
  <c r="AM3164" i="1"/>
  <c r="AM3142" i="1"/>
  <c r="AM3141" i="1"/>
  <c r="AM3137" i="1"/>
  <c r="AM2017" i="1"/>
  <c r="AM2002" i="1"/>
  <c r="AM1808" i="1"/>
  <c r="AM1803" i="1"/>
  <c r="AM1797" i="1"/>
  <c r="AM1793" i="1"/>
  <c r="AM1784" i="1"/>
  <c r="AM1776" i="1"/>
  <c r="AM1757" i="1"/>
  <c r="AM1749" i="1"/>
  <c r="AM1748" i="1"/>
  <c r="AM1731" i="1"/>
  <c r="AM1726" i="1"/>
  <c r="AM1717" i="1"/>
  <c r="AM1695" i="1"/>
  <c r="AM1670" i="1"/>
  <c r="AM1656" i="1"/>
  <c r="AM1648" i="1"/>
  <c r="AM1617" i="1"/>
  <c r="AM1615" i="1"/>
  <c r="AM1614" i="1"/>
  <c r="AM1609" i="1"/>
  <c r="AM1605" i="1"/>
  <c r="AM1603" i="1"/>
  <c r="AM1561" i="1"/>
  <c r="AM1554" i="1"/>
  <c r="AM1550" i="1"/>
  <c r="AM1547" i="1"/>
  <c r="AM1542" i="1"/>
  <c r="AM1519" i="1"/>
  <c r="AM3388" i="1"/>
  <c r="AM3385" i="1"/>
  <c r="AM3369" i="1"/>
  <c r="AM3349" i="1"/>
  <c r="AM3319" i="1"/>
  <c r="AM3298" i="1"/>
  <c r="AM3282" i="1"/>
  <c r="AM3278" i="1"/>
  <c r="AM3262" i="1"/>
  <c r="AM3259" i="1"/>
  <c r="AM3248" i="1"/>
  <c r="AM3247" i="1"/>
  <c r="AM3243" i="1"/>
  <c r="AM3233" i="1"/>
  <c r="AM3212" i="1"/>
  <c r="AM3210" i="1"/>
  <c r="AM3146" i="1"/>
  <c r="AM3118" i="1"/>
  <c r="AM3106" i="1"/>
  <c r="AM3101" i="1"/>
  <c r="AM3094" i="1"/>
  <c r="AM3073" i="1"/>
  <c r="AM3064" i="1"/>
  <c r="AM3043" i="1"/>
  <c r="AM3041" i="1"/>
  <c r="AM3040" i="1"/>
  <c r="AM3023" i="1"/>
  <c r="AM3022" i="1"/>
  <c r="AM2526" i="1"/>
  <c r="AM2521" i="1"/>
  <c r="AM529" i="1"/>
  <c r="AM514" i="1"/>
  <c r="AM513" i="1"/>
  <c r="AM508" i="1"/>
  <c r="AM507" i="1"/>
  <c r="AM3358" i="1"/>
  <c r="AM3350" i="1"/>
  <c r="AM3342" i="1"/>
  <c r="AM3332" i="1"/>
  <c r="AM3325" i="1"/>
  <c r="AM3318" i="1"/>
  <c r="AM3310" i="1"/>
  <c r="AM3302" i="1"/>
  <c r="AM3275" i="1"/>
  <c r="AM3267" i="1"/>
  <c r="AM3240" i="1"/>
  <c r="AM3217" i="1"/>
  <c r="AM3189" i="1"/>
  <c r="AM3169" i="1"/>
  <c r="AM3158" i="1"/>
  <c r="AM3154" i="1"/>
  <c r="AM3149" i="1"/>
  <c r="AM3128" i="1"/>
  <c r="AM3115" i="1"/>
  <c r="AM3108" i="1"/>
  <c r="AM3100" i="1"/>
  <c r="AM3095" i="1"/>
  <c r="AM3081" i="1"/>
  <c r="AM1007" i="1"/>
  <c r="AM906" i="1"/>
  <c r="AM892" i="1"/>
  <c r="AM890" i="1"/>
  <c r="AM887" i="1"/>
  <c r="AM824" i="1"/>
  <c r="AM818" i="1"/>
  <c r="AM814" i="1"/>
  <c r="AM767" i="1"/>
  <c r="AM727" i="1"/>
  <c r="AM717" i="1"/>
  <c r="AM715" i="1"/>
  <c r="AM706" i="1"/>
  <c r="AM618" i="1"/>
  <c r="AM589" i="1"/>
  <c r="AM569" i="1"/>
  <c r="AM564" i="1"/>
  <c r="AM554" i="1"/>
  <c r="AM531" i="1"/>
  <c r="AM3303" i="1"/>
  <c r="AM3287" i="1"/>
  <c r="AM3202" i="1"/>
  <c r="AM3201" i="1"/>
  <c r="AM3173" i="1"/>
  <c r="AM3161" i="1"/>
  <c r="AM3144" i="1"/>
  <c r="AM3091" i="1"/>
  <c r="AM3085" i="1"/>
  <c r="AM3065" i="1"/>
  <c r="AM3056" i="1"/>
  <c r="AM3045" i="1"/>
  <c r="AM3028" i="1"/>
  <c r="AM3027" i="1"/>
  <c r="AM3026" i="1"/>
  <c r="AM2528" i="1"/>
  <c r="AM2522" i="1"/>
  <c r="AM3280" i="1"/>
  <c r="AM3244" i="1"/>
  <c r="AM3232" i="1"/>
  <c r="AM3220" i="1"/>
  <c r="AM3216" i="1"/>
  <c r="AM3205" i="1"/>
  <c r="AM3196" i="1"/>
  <c r="AM3163" i="1"/>
  <c r="AM3147" i="1"/>
  <c r="AM3090" i="1"/>
  <c r="AM3086" i="1"/>
  <c r="AM3076" i="1"/>
  <c r="AM3074" i="1"/>
  <c r="AM3062" i="1"/>
  <c r="AM3060" i="1"/>
  <c r="AM3044" i="1"/>
  <c r="AM3036" i="1"/>
  <c r="AM3020" i="1"/>
  <c r="Q33" i="1"/>
  <c r="Q34" i="1"/>
  <c r="Q35" i="1"/>
  <c r="Q36" i="1"/>
  <c r="Q43" i="1"/>
  <c r="Q37" i="1"/>
  <c r="Q39" i="1"/>
  <c r="Q41" i="1"/>
  <c r="Q38" i="1"/>
  <c r="Q44" i="1"/>
  <c r="E7" i="1"/>
  <c r="Q40" i="1"/>
  <c r="Q42" i="1"/>
  <c r="AM2" i="1"/>
  <c r="Q7" i="1"/>
  <c r="R37" i="1"/>
  <c r="S40" i="1"/>
  <c r="R41" i="1"/>
  <c r="S42" i="1"/>
  <c r="T42" i="1" s="1"/>
  <c r="S44" i="1"/>
  <c r="N52" i="1"/>
  <c r="G67" i="1"/>
  <c r="H70" i="1"/>
  <c r="I70" i="1" s="1"/>
  <c r="K70" i="1" s="1"/>
  <c r="H72" i="1"/>
  <c r="I72" i="1" s="1"/>
  <c r="G73" i="1"/>
  <c r="M7" i="1"/>
  <c r="R33" i="1"/>
  <c r="R34" i="1"/>
  <c r="R35" i="1"/>
  <c r="S38" i="1"/>
  <c r="S39" i="1"/>
  <c r="R43" i="1"/>
  <c r="R44" i="1"/>
  <c r="G68" i="1"/>
  <c r="H69" i="1"/>
  <c r="I69" i="1" s="1"/>
  <c r="K69" i="1" s="1"/>
  <c r="G71" i="1"/>
  <c r="H74" i="1"/>
  <c r="I74" i="1" s="1"/>
  <c r="R36" i="1"/>
  <c r="R38" i="1"/>
  <c r="R40" i="1"/>
  <c r="R42" i="1"/>
  <c r="N53" i="1"/>
  <c r="G74" i="1"/>
  <c r="I7" i="1"/>
  <c r="S33" i="1"/>
  <c r="S34" i="1"/>
  <c r="S35" i="1"/>
  <c r="T35" i="1" s="1"/>
  <c r="S36" i="1"/>
  <c r="T36" i="1" s="1"/>
  <c r="S37" i="1"/>
  <c r="T37" i="1" s="1"/>
  <c r="R39" i="1"/>
  <c r="S41" i="1"/>
  <c r="T41" i="1" s="1"/>
  <c r="S43" i="1"/>
  <c r="N51" i="1"/>
  <c r="O51" i="1" s="1"/>
  <c r="H67" i="1"/>
  <c r="I67" i="1" s="1"/>
  <c r="K67" i="1" s="1"/>
  <c r="H68" i="1"/>
  <c r="I68" i="1" s="1"/>
  <c r="K68" i="1" s="1"/>
  <c r="G69" i="1"/>
  <c r="H71" i="1"/>
  <c r="I71" i="1" s="1"/>
  <c r="H73" i="1"/>
  <c r="I73" i="1" s="1"/>
  <c r="G70" i="1"/>
  <c r="G72" i="1"/>
  <c r="AM3999" i="1"/>
  <c r="AM3997" i="1"/>
  <c r="AM3990" i="1"/>
  <c r="AM3988" i="1"/>
  <c r="AM3984" i="1"/>
  <c r="AM3981" i="1"/>
  <c r="AM3979" i="1"/>
  <c r="AM3975" i="1"/>
  <c r="AM3967" i="1"/>
  <c r="AM3964" i="1"/>
  <c r="AM3962" i="1"/>
  <c r="AM3958" i="1"/>
  <c r="AM3947" i="1"/>
  <c r="AM3945" i="1"/>
  <c r="AM3941" i="1"/>
  <c r="AM3930" i="1"/>
  <c r="AM3928" i="1"/>
  <c r="AM3921" i="1"/>
  <c r="AM3919" i="1"/>
  <c r="AM3915" i="1"/>
  <c r="AM3912" i="1"/>
  <c r="AM3910" i="1"/>
  <c r="AM3906" i="1"/>
  <c r="AM3898" i="1"/>
  <c r="AM3895" i="1"/>
  <c r="AM3893" i="1"/>
  <c r="AM3889" i="1"/>
  <c r="AM3878" i="1"/>
  <c r="AM3876" i="1"/>
  <c r="AM3872" i="1"/>
  <c r="AM3864" i="1"/>
  <c r="AM3861" i="1"/>
  <c r="AM3859" i="1"/>
  <c r="AM3852" i="1"/>
  <c r="AM3850" i="1"/>
  <c r="AM3846" i="1"/>
  <c r="AM3843" i="1"/>
  <c r="AM3841" i="1"/>
  <c r="AM3837" i="1"/>
  <c r="AM3829" i="1"/>
  <c r="AM3826" i="1"/>
  <c r="AM3824" i="1"/>
  <c r="AM3820" i="1"/>
  <c r="AM3809" i="1"/>
  <c r="AM3807" i="1"/>
  <c r="AM3803" i="1"/>
  <c r="AM3795" i="1"/>
  <c r="AM3792" i="1"/>
  <c r="AM3790" i="1"/>
  <c r="AM3786" i="1"/>
  <c r="AM3775" i="1"/>
  <c r="AM3773" i="1"/>
  <c r="AM3769" i="1"/>
  <c r="AM3758" i="1"/>
  <c r="AM3756" i="1"/>
  <c r="AM3752" i="1"/>
  <c r="AM3741" i="1"/>
  <c r="AM3739" i="1"/>
  <c r="AM3735" i="1"/>
  <c r="AM3727" i="1"/>
  <c r="AM3724" i="1"/>
  <c r="AM3722" i="1"/>
  <c r="AM3715" i="1"/>
  <c r="AM3713" i="1"/>
  <c r="AM3709" i="1"/>
  <c r="AM3706" i="1"/>
  <c r="AM3704" i="1"/>
  <c r="AM3700" i="1"/>
  <c r="AM3692" i="1"/>
  <c r="AM3689" i="1"/>
  <c r="AM3687" i="1"/>
  <c r="AM3683" i="1"/>
  <c r="AM3672" i="1"/>
  <c r="AM3670" i="1"/>
  <c r="AM3666" i="1"/>
  <c r="AM3658" i="1"/>
  <c r="AM3655" i="1"/>
  <c r="AM3653" i="1"/>
  <c r="AM3649" i="1"/>
  <c r="AM3638" i="1"/>
  <c r="AM3636" i="1"/>
  <c r="AM3632" i="1"/>
  <c r="AM3621" i="1"/>
  <c r="AM3619" i="1"/>
  <c r="AM3615" i="1"/>
  <c r="AM3604" i="1"/>
  <c r="AM3602" i="1"/>
  <c r="AM3598" i="1"/>
  <c r="AM3587" i="1"/>
  <c r="AM3585" i="1"/>
  <c r="AM3578" i="1"/>
  <c r="AM3576" i="1"/>
  <c r="AM3572" i="1"/>
  <c r="AM3569" i="1"/>
  <c r="AM3567" i="1"/>
  <c r="AM3563" i="1"/>
  <c r="AM3555" i="1"/>
  <c r="AM3552" i="1"/>
  <c r="AM3550" i="1"/>
  <c r="AM3546" i="1"/>
  <c r="AM3535" i="1"/>
  <c r="AM3533" i="1"/>
  <c r="AM3529" i="1"/>
  <c r="AM3521" i="1"/>
  <c r="AM3515" i="1"/>
  <c r="AM3512" i="1"/>
  <c r="AM3510" i="1"/>
  <c r="AM3507" i="1"/>
  <c r="AM3502" i="1"/>
  <c r="AM2906" i="1"/>
  <c r="AM2902" i="1"/>
  <c r="AM2901" i="1"/>
  <c r="AM2899" i="1"/>
  <c r="AM2897" i="1"/>
  <c r="AM2893" i="1"/>
  <c r="AM2883" i="1"/>
  <c r="AM2880" i="1"/>
  <c r="AM2870" i="1"/>
  <c r="AM2869" i="1"/>
  <c r="AM2863" i="1"/>
  <c r="AM2851" i="1"/>
  <c r="AM2847" i="1"/>
  <c r="AM2821" i="1"/>
  <c r="AM2820" i="1"/>
  <c r="AM2818" i="1"/>
  <c r="AM2815" i="1"/>
  <c r="AM2814" i="1"/>
  <c r="AM2810" i="1"/>
  <c r="AM2801" i="1"/>
  <c r="AM2800" i="1"/>
  <c r="AM2799" i="1"/>
  <c r="AM2790" i="1"/>
  <c r="AM2786" i="1"/>
  <c r="AM2783" i="1"/>
  <c r="AM2781" i="1"/>
  <c r="AM2777" i="1"/>
  <c r="AM2767" i="1"/>
  <c r="AM2742" i="1"/>
  <c r="AM2739" i="1"/>
  <c r="AM2731" i="1"/>
  <c r="AM2684" i="1"/>
  <c r="AM2682" i="1"/>
  <c r="AM2658" i="1"/>
  <c r="AM2603" i="1"/>
  <c r="AM2592" i="1"/>
  <c r="AM2552" i="1"/>
  <c r="AM2539" i="1"/>
  <c r="AM3499" i="1"/>
  <c r="AM3498" i="1"/>
  <c r="AM3497" i="1"/>
  <c r="AM3492" i="1"/>
  <c r="AM3491" i="1"/>
  <c r="AM3490" i="1"/>
  <c r="AM3485" i="1"/>
  <c r="AM3484" i="1"/>
  <c r="AM3482" i="1"/>
  <c r="AM3480" i="1"/>
  <c r="AM3472" i="1"/>
  <c r="AM3469" i="1"/>
  <c r="AM3468" i="1"/>
  <c r="AM3467" i="1"/>
  <c r="AM3465" i="1"/>
  <c r="AM3461" i="1"/>
  <c r="AM3459" i="1"/>
  <c r="AM3456" i="1"/>
  <c r="AM3454" i="1"/>
  <c r="AM3453" i="1"/>
  <c r="AM3450" i="1"/>
  <c r="AM3447" i="1"/>
  <c r="AM3442" i="1"/>
  <c r="AM3435" i="1"/>
  <c r="AM3430" i="1"/>
  <c r="AM3428" i="1"/>
  <c r="AM3424" i="1"/>
  <c r="AM3423" i="1"/>
  <c r="AM3422" i="1"/>
  <c r="AM3420" i="1"/>
  <c r="AM3417" i="1"/>
  <c r="AM3416" i="1"/>
  <c r="AM3414" i="1"/>
  <c r="AM3411" i="1"/>
  <c r="AM3408" i="1"/>
  <c r="AM3406" i="1"/>
  <c r="AM3405" i="1"/>
  <c r="AM3403" i="1"/>
  <c r="AM3402" i="1"/>
  <c r="AM3401" i="1"/>
  <c r="AM3400" i="1"/>
  <c r="AM3396" i="1"/>
  <c r="AM3395" i="1"/>
  <c r="AM3394" i="1"/>
  <c r="AM3391" i="1"/>
  <c r="AM3383" i="1"/>
  <c r="AM3382" i="1"/>
  <c r="AM3379" i="1"/>
  <c r="AM3378" i="1"/>
  <c r="AM3377" i="1"/>
  <c r="AM3376" i="1"/>
  <c r="AM3375" i="1"/>
  <c r="AM3374" i="1"/>
  <c r="AM3373" i="1"/>
  <c r="AM3372" i="1"/>
  <c r="AM3370" i="1"/>
  <c r="AM3367" i="1"/>
  <c r="AM3366" i="1"/>
  <c r="AM3363" i="1"/>
  <c r="AM3359" i="1"/>
  <c r="AM3354" i="1"/>
  <c r="AM3351" i="1"/>
  <c r="AM3348" i="1"/>
  <c r="AM3343" i="1"/>
  <c r="AM3341" i="1"/>
  <c r="AM3340" i="1"/>
  <c r="AM3339" i="1"/>
  <c r="AM3338" i="1"/>
  <c r="AM3337" i="1"/>
  <c r="AM3336" i="1"/>
  <c r="AM3334" i="1"/>
  <c r="AM3333" i="1"/>
  <c r="AM3330" i="1"/>
  <c r="AM3329" i="1"/>
  <c r="AM3327" i="1"/>
  <c r="AM3323" i="1"/>
  <c r="AM3320" i="1"/>
  <c r="AM3313" i="1"/>
  <c r="AM3312" i="1"/>
  <c r="AM3311" i="1"/>
  <c r="AM3309" i="1"/>
  <c r="AM3308" i="1"/>
  <c r="AM3307" i="1"/>
  <c r="AM3304" i="1"/>
  <c r="AM3301" i="1"/>
  <c r="AM3300" i="1"/>
  <c r="AM3296" i="1"/>
  <c r="AM3295" i="1"/>
  <c r="AM3294" i="1"/>
  <c r="AM3292" i="1"/>
  <c r="AM3284" i="1"/>
  <c r="AM3277" i="1"/>
  <c r="AM3271" i="1"/>
  <c r="AM3270" i="1"/>
  <c r="AM3269" i="1"/>
  <c r="AM3268" i="1"/>
  <c r="AM3265" i="1"/>
  <c r="AM3261" i="1"/>
  <c r="AM3258" i="1"/>
  <c r="AM3255" i="1"/>
  <c r="AM3253" i="1"/>
  <c r="AM3252" i="1"/>
  <c r="AM3251" i="1"/>
  <c r="AM3246" i="1"/>
  <c r="AM3242" i="1"/>
  <c r="AM3239" i="1"/>
  <c r="AM3237" i="1"/>
  <c r="AM3235" i="1"/>
  <c r="AM3234" i="1"/>
  <c r="AM3230" i="1"/>
  <c r="AM3229" i="1"/>
  <c r="AM3228" i="1"/>
  <c r="AM3227" i="1"/>
  <c r="AM3226" i="1"/>
  <c r="AM3225" i="1"/>
  <c r="AM3224" i="1"/>
  <c r="AM3215" i="1"/>
  <c r="AM3213" i="1"/>
  <c r="AM3206" i="1"/>
  <c r="AM3204" i="1"/>
  <c r="AM3203" i="1"/>
  <c r="AM3200" i="1"/>
  <c r="AM3199" i="1"/>
  <c r="AM3197" i="1"/>
  <c r="AM3195" i="1"/>
  <c r="AM3192" i="1"/>
  <c r="AM3188" i="1"/>
  <c r="AM3186" i="1"/>
  <c r="AM3183" i="1"/>
  <c r="AM3181" i="1"/>
  <c r="AM3180" i="1"/>
  <c r="AM3175" i="1"/>
  <c r="AM3172" i="1"/>
  <c r="AM3170" i="1"/>
  <c r="AM3168" i="1"/>
  <c r="AM3167" i="1"/>
  <c r="AM3162" i="1"/>
  <c r="AM3160" i="1"/>
  <c r="AM3156" i="1"/>
  <c r="AM3155" i="1"/>
  <c r="AM3151" i="1"/>
  <c r="AM3148" i="1"/>
  <c r="AM3145" i="1"/>
  <c r="AM3143" i="1"/>
  <c r="AM3138" i="1"/>
  <c r="AM3136" i="1"/>
  <c r="AM3133" i="1"/>
  <c r="AM3132" i="1"/>
  <c r="AM3131" i="1"/>
  <c r="AM3130" i="1"/>
  <c r="AM3129" i="1"/>
  <c r="AM3127" i="1"/>
  <c r="AM3126" i="1"/>
  <c r="AM3125" i="1"/>
  <c r="AM3111" i="1"/>
  <c r="AM3110" i="1"/>
  <c r="AM3109" i="1"/>
  <c r="AM3107" i="1"/>
  <c r="AM3105" i="1"/>
  <c r="AM3104" i="1"/>
  <c r="AM3103" i="1"/>
  <c r="AM3102" i="1"/>
  <c r="AM3098" i="1"/>
  <c r="AM3097" i="1"/>
  <c r="AM3096" i="1"/>
  <c r="AM3093" i="1"/>
  <c r="AM3092" i="1"/>
  <c r="AM3083" i="1"/>
  <c r="AM3080" i="1"/>
  <c r="AM3078" i="1"/>
  <c r="AM3072" i="1"/>
  <c r="AM3071" i="1"/>
  <c r="AM3070" i="1"/>
  <c r="AM3069" i="1"/>
  <c r="AM3067" i="1"/>
  <c r="AM3066" i="1"/>
  <c r="AM3063" i="1"/>
  <c r="AM3061" i="1"/>
  <c r="AM3059" i="1"/>
  <c r="AM3053" i="1"/>
  <c r="AM3047" i="1"/>
  <c r="AM3042" i="1"/>
  <c r="AM3039" i="1"/>
  <c r="AM3037" i="1"/>
  <c r="AM3035" i="1"/>
  <c r="AM3034" i="1"/>
  <c r="AM3033" i="1"/>
  <c r="AM3032" i="1"/>
  <c r="AM3030" i="1"/>
  <c r="AM3024" i="1"/>
  <c r="AM3019" i="1"/>
  <c r="AM3018" i="1"/>
  <c r="AM3016" i="1"/>
  <c r="AM3015" i="1"/>
  <c r="AM3014" i="1"/>
  <c r="AM3012" i="1"/>
  <c r="AM3010" i="1"/>
  <c r="AM3009" i="1"/>
  <c r="AM3007" i="1"/>
  <c r="AM3002" i="1"/>
  <c r="AM3001" i="1"/>
  <c r="AM3000" i="1"/>
  <c r="AM2998" i="1"/>
  <c r="AM2974" i="1"/>
  <c r="AM2970" i="1"/>
  <c r="AM2954" i="1"/>
  <c r="AM2937" i="1"/>
  <c r="AM2929" i="1"/>
  <c r="AM2925" i="1"/>
  <c r="AM2921" i="1"/>
  <c r="AM2920" i="1"/>
  <c r="AM2918" i="1"/>
  <c r="AM2917" i="1"/>
  <c r="AM2916" i="1"/>
  <c r="AM2915" i="1"/>
  <c r="AM2914" i="1"/>
  <c r="AM2913" i="1"/>
  <c r="AM2912" i="1"/>
  <c r="AM2900" i="1"/>
  <c r="AM2898" i="1"/>
  <c r="AM2894" i="1"/>
  <c r="AM2890" i="1"/>
  <c r="AM2889" i="1"/>
  <c r="AM2886" i="1"/>
  <c r="AM2875" i="1"/>
  <c r="AM2871" i="1"/>
  <c r="AM2843" i="1"/>
  <c r="AM2837" i="1"/>
  <c r="AM2836" i="1"/>
  <c r="AM2835" i="1"/>
  <c r="AM2834" i="1"/>
  <c r="AM2831" i="1"/>
  <c r="AM2830" i="1"/>
  <c r="AM2823" i="1"/>
  <c r="AM2812" i="1"/>
  <c r="AM2808" i="1"/>
  <c r="AM2804" i="1"/>
  <c r="AM2794" i="1"/>
  <c r="AM2780" i="1"/>
  <c r="AM2753" i="1"/>
  <c r="AM2745" i="1"/>
  <c r="AM2741" i="1"/>
  <c r="AM2740" i="1"/>
  <c r="AM2687" i="1"/>
  <c r="AM2647" i="1"/>
  <c r="AM2645" i="1"/>
  <c r="AM2643" i="1"/>
  <c r="AM2537" i="1"/>
  <c r="AM2501" i="1"/>
  <c r="AM2499" i="1"/>
  <c r="AM2498" i="1"/>
  <c r="AM2497" i="1"/>
  <c r="AM2486" i="1"/>
  <c r="AM2485" i="1"/>
  <c r="AM2481" i="1"/>
  <c r="AM2479" i="1"/>
  <c r="AM2476" i="1"/>
  <c r="AM2474" i="1"/>
  <c r="AM2472" i="1"/>
  <c r="AM2469" i="1"/>
  <c r="AM2468" i="1"/>
  <c r="AM2467" i="1"/>
  <c r="AM2465" i="1"/>
  <c r="AM2463" i="1"/>
  <c r="AM2462" i="1"/>
  <c r="AM2461" i="1"/>
  <c r="AM2460" i="1"/>
  <c r="AM2456" i="1"/>
  <c r="AM2455" i="1"/>
  <c r="AM2453" i="1"/>
  <c r="AM2449" i="1"/>
  <c r="AM2448" i="1"/>
  <c r="AM2447" i="1"/>
  <c r="AM2446" i="1"/>
  <c r="AM2443" i="1"/>
  <c r="AM2441" i="1"/>
  <c r="AM2435" i="1"/>
  <c r="AM2432" i="1"/>
  <c r="AM2430" i="1"/>
  <c r="AM2429" i="1"/>
  <c r="AM2428" i="1"/>
  <c r="AM2427" i="1"/>
  <c r="AM2421" i="1"/>
  <c r="AM2418" i="1"/>
  <c r="AM2414" i="1"/>
  <c r="AM2413" i="1"/>
  <c r="AM2411" i="1"/>
  <c r="AM2409" i="1"/>
  <c r="AM2408" i="1"/>
  <c r="AM2407" i="1"/>
  <c r="AM2405" i="1"/>
  <c r="AM2398" i="1"/>
  <c r="AM2393" i="1"/>
  <c r="AM2390" i="1"/>
  <c r="AM2389" i="1"/>
  <c r="AM2388" i="1"/>
  <c r="AM2386" i="1"/>
  <c r="AM2385" i="1"/>
  <c r="AM2382" i="1"/>
  <c r="AM2379" i="1"/>
  <c r="AM2378" i="1"/>
  <c r="AM2376" i="1"/>
  <c r="AM2375" i="1"/>
  <c r="AM2371" i="1"/>
  <c r="AM2362" i="1"/>
  <c r="AM2359" i="1"/>
  <c r="AM2358" i="1"/>
  <c r="AM2357" i="1"/>
  <c r="AM2356" i="1"/>
  <c r="AM2355" i="1"/>
  <c r="AM2352" i="1"/>
  <c r="AM2351" i="1"/>
  <c r="AM2349" i="1"/>
  <c r="AM2348" i="1"/>
  <c r="AM2346" i="1"/>
  <c r="AM2344" i="1"/>
  <c r="AM2343" i="1"/>
  <c r="AM2339" i="1"/>
  <c r="AM2338" i="1"/>
  <c r="AM2334" i="1"/>
  <c r="AM2333" i="1"/>
  <c r="AM2332" i="1"/>
  <c r="AM2331" i="1"/>
  <c r="AM2330" i="1"/>
  <c r="AM2327" i="1"/>
  <c r="AM2323" i="1"/>
  <c r="AM2322" i="1"/>
  <c r="AM2321" i="1"/>
  <c r="AM2320" i="1"/>
  <c r="AM2319" i="1"/>
  <c r="AM2315" i="1"/>
  <c r="AM2308" i="1"/>
  <c r="AM2305" i="1"/>
  <c r="AM2304" i="1"/>
  <c r="AM2303" i="1"/>
  <c r="AM2302" i="1"/>
  <c r="AM2299" i="1"/>
  <c r="AM2298" i="1"/>
  <c r="AM2295" i="1"/>
  <c r="AM2292" i="1"/>
  <c r="AM2290" i="1"/>
  <c r="AM2289" i="1"/>
  <c r="AM2285" i="1"/>
  <c r="AM2284" i="1"/>
  <c r="AM2278" i="1"/>
  <c r="AM2277" i="1"/>
  <c r="AM2275" i="1"/>
  <c r="AM2273" i="1"/>
  <c r="AM2262" i="1"/>
  <c r="AM2260" i="1"/>
  <c r="AM2259" i="1"/>
  <c r="AM2258" i="1"/>
  <c r="AM2254" i="1"/>
  <c r="AM2242" i="1"/>
  <c r="AM2240" i="1"/>
  <c r="AM2238" i="1"/>
  <c r="AM2235" i="1"/>
  <c r="AM2234" i="1"/>
  <c r="AM2233" i="1"/>
  <c r="AM2232" i="1"/>
  <c r="AM2231" i="1"/>
  <c r="AM2230" i="1"/>
  <c r="AM2228" i="1"/>
  <c r="AM2225" i="1"/>
  <c r="AM2223" i="1"/>
  <c r="AM2221" i="1"/>
  <c r="AM2220" i="1"/>
  <c r="AM2219" i="1"/>
  <c r="AM2216" i="1"/>
  <c r="AM2215" i="1"/>
  <c r="AM2214" i="1"/>
  <c r="AM2213" i="1"/>
  <c r="AM2212" i="1"/>
  <c r="AM2211" i="1"/>
  <c r="AM2209" i="1"/>
  <c r="AM2204" i="1"/>
  <c r="AM2199" i="1"/>
  <c r="AM2197" i="1"/>
  <c r="AM2195" i="1"/>
  <c r="AM2193" i="1"/>
  <c r="AM2192" i="1"/>
  <c r="AM2189" i="1"/>
  <c r="AM2188" i="1"/>
  <c r="AM2183" i="1"/>
  <c r="AM2179" i="1"/>
  <c r="AM2176" i="1"/>
  <c r="AM2173" i="1"/>
  <c r="AM2170" i="1"/>
  <c r="AM2168" i="1"/>
  <c r="AM2166" i="1"/>
  <c r="AM2165" i="1"/>
  <c r="AM2164" i="1"/>
  <c r="AM2162" i="1"/>
  <c r="AM2158" i="1"/>
  <c r="AM2154" i="1"/>
  <c r="AM2147" i="1"/>
  <c r="AM2146" i="1"/>
  <c r="AM2145" i="1"/>
  <c r="AM2144" i="1"/>
  <c r="AM2137" i="1"/>
  <c r="AM2132" i="1"/>
  <c r="AM2131" i="1"/>
  <c r="AM2128" i="1"/>
  <c r="AM2126" i="1"/>
  <c r="AM2123" i="1"/>
  <c r="AM2119" i="1"/>
  <c r="AM2117" i="1"/>
  <c r="AM2116" i="1"/>
  <c r="AM2115" i="1"/>
  <c r="AM2113" i="1"/>
  <c r="AM2110" i="1"/>
  <c r="AM2107" i="1"/>
  <c r="AM2106" i="1"/>
  <c r="AM2104" i="1"/>
  <c r="AM2103" i="1"/>
  <c r="AM2101" i="1"/>
  <c r="AM2100" i="1"/>
  <c r="AM2099" i="1"/>
  <c r="AM2098" i="1"/>
  <c r="AM2097" i="1"/>
  <c r="AM2096" i="1"/>
  <c r="AM2095" i="1"/>
  <c r="AM2094" i="1"/>
  <c r="AM2093" i="1"/>
  <c r="AM2087" i="1"/>
  <c r="AM2084" i="1"/>
  <c r="AM2083" i="1"/>
  <c r="AM2080" i="1"/>
  <c r="AM2079" i="1"/>
  <c r="AM2075" i="1"/>
  <c r="AM2071" i="1"/>
  <c r="AM2069" i="1"/>
  <c r="AM2065" i="1"/>
  <c r="AM2063" i="1"/>
  <c r="AM2062" i="1"/>
  <c r="AM2049" i="1"/>
  <c r="AM2048" i="1"/>
  <c r="AM2047" i="1"/>
  <c r="AM2046" i="1"/>
  <c r="AM2043" i="1"/>
  <c r="AM2040" i="1"/>
  <c r="AM2039" i="1"/>
  <c r="AM2038" i="1"/>
  <c r="AM2037" i="1"/>
  <c r="AM2035" i="1"/>
  <c r="AM2034" i="1"/>
  <c r="AM2030" i="1"/>
  <c r="AM2025" i="1"/>
  <c r="AM2024" i="1"/>
  <c r="AM2023" i="1"/>
  <c r="AM2022" i="1"/>
  <c r="AM2019" i="1"/>
  <c r="AM2018" i="1"/>
  <c r="AM2015" i="1"/>
  <c r="AM2014" i="1"/>
  <c r="AM2012" i="1"/>
  <c r="AM2011" i="1"/>
  <c r="AM2010" i="1"/>
  <c r="AM2009" i="1"/>
  <c r="AM2006" i="1"/>
  <c r="AM2005" i="1"/>
  <c r="AM2004" i="1"/>
  <c r="AM1813" i="1"/>
  <c r="AM1811" i="1"/>
  <c r="AM1809" i="1"/>
  <c r="AM1807" i="1"/>
  <c r="AM1805" i="1"/>
  <c r="AM1804" i="1"/>
  <c r="AM1802" i="1"/>
  <c r="AM1801" i="1"/>
  <c r="AM1800" i="1"/>
  <c r="AM1795" i="1"/>
  <c r="AM1794" i="1"/>
  <c r="AM1785" i="1"/>
  <c r="AM1783" i="1"/>
  <c r="AM1779" i="1"/>
  <c r="AM1778" i="1"/>
  <c r="AM1777" i="1"/>
  <c r="AM1775" i="1"/>
  <c r="AM1774" i="1"/>
  <c r="AM1771" i="1"/>
  <c r="AM1767" i="1"/>
  <c r="AM1766" i="1"/>
  <c r="AM1760" i="1"/>
  <c r="AM1756" i="1"/>
  <c r="AM1755" i="1"/>
  <c r="AM1752" i="1"/>
  <c r="AM1750" i="1"/>
  <c r="AM1743" i="1"/>
  <c r="AM1740" i="1"/>
  <c r="AM1738" i="1"/>
  <c r="AM1737" i="1"/>
  <c r="AM1736" i="1"/>
  <c r="AM1735" i="1"/>
  <c r="AM1734" i="1"/>
  <c r="AM1728" i="1"/>
  <c r="AM1724" i="1"/>
  <c r="AM1723" i="1"/>
  <c r="AM1720" i="1"/>
  <c r="AM1719" i="1"/>
  <c r="AM1716" i="1"/>
  <c r="AM1713" i="1"/>
  <c r="AM1708" i="1"/>
  <c r="AM1702" i="1"/>
  <c r="AM1701" i="1"/>
  <c r="AM1700" i="1"/>
  <c r="AM1699" i="1"/>
  <c r="AM1698" i="1"/>
  <c r="AM1694" i="1"/>
  <c r="AM1693" i="1"/>
  <c r="AM1691" i="1"/>
  <c r="AM1689" i="1"/>
  <c r="AM1688" i="1"/>
  <c r="AM1687" i="1"/>
  <c r="AM1686" i="1"/>
  <c r="AM1684" i="1"/>
  <c r="AM1677" i="1"/>
  <c r="AM1675" i="1"/>
  <c r="AM1665" i="1"/>
  <c r="AM1664" i="1"/>
  <c r="AM1663" i="1"/>
  <c r="AM1661" i="1"/>
  <c r="AM1660" i="1"/>
  <c r="AM1659" i="1"/>
  <c r="AM1658" i="1"/>
  <c r="AM1657" i="1"/>
  <c r="AM1655" i="1"/>
  <c r="AM1653" i="1"/>
  <c r="AM1651" i="1"/>
  <c r="AM1649" i="1"/>
  <c r="AM1647" i="1"/>
  <c r="AM1633" i="1"/>
  <c r="AM1631" i="1"/>
  <c r="AM1629" i="1"/>
  <c r="AM1628" i="1"/>
  <c r="AM1626" i="1"/>
  <c r="AM1623" i="1"/>
  <c r="AM1622" i="1"/>
  <c r="AM1619" i="1"/>
  <c r="AM1616" i="1"/>
  <c r="AM1613" i="1"/>
  <c r="AM1611" i="1"/>
  <c r="AM1608" i="1"/>
  <c r="AM1606" i="1"/>
  <c r="AM1599" i="1"/>
  <c r="AM1597" i="1"/>
  <c r="AM1595" i="1"/>
  <c r="AM1593" i="1"/>
  <c r="AM1592" i="1"/>
  <c r="AM1591" i="1"/>
  <c r="AM1590" i="1"/>
  <c r="AM1588" i="1"/>
  <c r="AM1587" i="1"/>
  <c r="AM1585" i="1"/>
  <c r="AM1584" i="1"/>
  <c r="AM1583" i="1"/>
  <c r="AM1582" i="1"/>
  <c r="AM1581" i="1"/>
  <c r="AM1580" i="1"/>
  <c r="AM1578" i="1"/>
  <c r="AM1576" i="1"/>
  <c r="AM1570" i="1"/>
  <c r="AM1568" i="1"/>
  <c r="AM1565" i="1"/>
  <c r="AM1563" i="1"/>
  <c r="AM1556" i="1"/>
  <c r="AM1549" i="1"/>
  <c r="AM1548" i="1"/>
  <c r="AM1546" i="1"/>
  <c r="AM1545" i="1"/>
  <c r="AM1544" i="1"/>
  <c r="AM1541" i="1"/>
  <c r="AM1540" i="1"/>
  <c r="AM1539" i="1"/>
  <c r="AM1533" i="1"/>
  <c r="AM1532" i="1"/>
  <c r="AM1530" i="1"/>
  <c r="AM1528" i="1"/>
  <c r="AM1526" i="1"/>
  <c r="AM1525" i="1"/>
  <c r="AM1524" i="1"/>
  <c r="AM1523" i="1"/>
  <c r="AM1522" i="1"/>
  <c r="AM1521" i="1"/>
  <c r="AM1518" i="1"/>
  <c r="AM1517" i="1"/>
  <c r="AM1516" i="1"/>
  <c r="AM1512" i="1"/>
  <c r="AM1510" i="1"/>
  <c r="AM1507" i="1"/>
  <c r="AM1504" i="1"/>
  <c r="AM899" i="1"/>
  <c r="AM898" i="1"/>
  <c r="AM897" i="1"/>
  <c r="AM894" i="1"/>
  <c r="AM889" i="1"/>
  <c r="AM883" i="1"/>
  <c r="AM880" i="1"/>
  <c r="AM873" i="1"/>
  <c r="AM872" i="1"/>
  <c r="AM870" i="1"/>
  <c r="AM869" i="1"/>
  <c r="AM864" i="1"/>
  <c r="AM862" i="1"/>
  <c r="AM860" i="1"/>
  <c r="AM855" i="1"/>
  <c r="AM853" i="1"/>
  <c r="AM851" i="1"/>
  <c r="AM850" i="1"/>
  <c r="AM849" i="1"/>
  <c r="AM848" i="1"/>
  <c r="AM847" i="1"/>
  <c r="AM845" i="1"/>
  <c r="AM841" i="1"/>
  <c r="AM840" i="1"/>
  <c r="AM834" i="1"/>
  <c r="AM829" i="1"/>
  <c r="AM827" i="1"/>
  <c r="AM826" i="1"/>
  <c r="AM822" i="1"/>
  <c r="AM820" i="1"/>
  <c r="AM816" i="1"/>
  <c r="AM811" i="1"/>
  <c r="AM805" i="1"/>
  <c r="AM798" i="1"/>
  <c r="AM790" i="1"/>
  <c r="AM789" i="1"/>
  <c r="AM788" i="1"/>
  <c r="AM785" i="1"/>
  <c r="AM776" i="1"/>
  <c r="AM774" i="1"/>
  <c r="AM773" i="1"/>
  <c r="AM765" i="1"/>
  <c r="AM763" i="1"/>
  <c r="AM761" i="1"/>
  <c r="AM759" i="1"/>
  <c r="AM754" i="1"/>
  <c r="AM748" i="1"/>
  <c r="AM745" i="1"/>
  <c r="AM734" i="1"/>
  <c r="AM733" i="1"/>
  <c r="AM731" i="1"/>
  <c r="AM723" i="1"/>
  <c r="AM722" i="1"/>
  <c r="AM721" i="1"/>
  <c r="AM712" i="1"/>
  <c r="AM615" i="1"/>
  <c r="AM609" i="1"/>
  <c r="AM608" i="1"/>
  <c r="AM604" i="1"/>
  <c r="AM597" i="1"/>
  <c r="AM593" i="1"/>
  <c r="AM590" i="1"/>
  <c r="AM587" i="1"/>
  <c r="AM585" i="1"/>
  <c r="AM580" i="1"/>
  <c r="AM577" i="1"/>
  <c r="AM570" i="1"/>
  <c r="AM568" i="1"/>
  <c r="AM567" i="1"/>
  <c r="AM558" i="1"/>
  <c r="AM555" i="1"/>
  <c r="AM551" i="1"/>
  <c r="AM545" i="1"/>
  <c r="AM536" i="1"/>
  <c r="AM534" i="1"/>
  <c r="AM532" i="1"/>
  <c r="AM512" i="1"/>
  <c r="AM505" i="1"/>
  <c r="AM504" i="1"/>
  <c r="AM503" i="1"/>
  <c r="AM14" i="1"/>
  <c r="AM13" i="1"/>
  <c r="AM2772" i="1"/>
  <c r="AM2765" i="1"/>
  <c r="AM2762" i="1"/>
  <c r="AM2761" i="1"/>
  <c r="AM2758" i="1"/>
  <c r="AM2749" i="1"/>
  <c r="AM2747" i="1"/>
  <c r="AM2744" i="1"/>
  <c r="AM2736" i="1"/>
  <c r="AM2734" i="1"/>
  <c r="AM2725" i="1"/>
  <c r="AM2721" i="1"/>
  <c r="AM2717" i="1"/>
  <c r="AM2715" i="1"/>
  <c r="AM2711" i="1"/>
  <c r="AM2707" i="1"/>
  <c r="AM2706" i="1"/>
  <c r="AM2700" i="1"/>
  <c r="AM2698" i="1"/>
  <c r="AM2697" i="1"/>
  <c r="AM2696" i="1"/>
  <c r="AM2693" i="1"/>
  <c r="AM2691" i="1"/>
  <c r="AM2685" i="1"/>
  <c r="AM2683" i="1"/>
  <c r="AM2680" i="1"/>
  <c r="AM2671" i="1"/>
  <c r="AM2637" i="1"/>
  <c r="AM2634" i="1"/>
  <c r="AM2629" i="1"/>
  <c r="AM2627" i="1"/>
  <c r="AM2624" i="1"/>
  <c r="AM2621" i="1"/>
  <c r="AM2619" i="1"/>
  <c r="AM2615" i="1"/>
  <c r="AM2614" i="1"/>
  <c r="AM2591" i="1"/>
  <c r="AM2589" i="1"/>
  <c r="AM2588" i="1"/>
  <c r="AM2583" i="1"/>
  <c r="AM2579" i="1"/>
  <c r="AM2566" i="1"/>
  <c r="AM2565" i="1"/>
  <c r="AM2561" i="1"/>
  <c r="AM2555" i="1"/>
  <c r="AM2546" i="1"/>
  <c r="AM2523" i="1"/>
  <c r="AM2520" i="1"/>
  <c r="AM2517" i="1"/>
  <c r="AM2000" i="1"/>
  <c r="AM1998" i="1"/>
  <c r="AM1996" i="1"/>
  <c r="AM1994" i="1"/>
  <c r="AM1991" i="1"/>
  <c r="AM1990" i="1"/>
  <c r="AM1989" i="1"/>
  <c r="AM1988" i="1"/>
  <c r="AM1985" i="1"/>
  <c r="AM1984" i="1"/>
  <c r="AM1982" i="1"/>
  <c r="AM1978" i="1"/>
  <c r="AM1977" i="1"/>
  <c r="AM1976" i="1"/>
  <c r="AM1975" i="1"/>
  <c r="AM1973" i="1"/>
  <c r="AM1972" i="1"/>
  <c r="AM1971" i="1"/>
  <c r="AM1970" i="1"/>
  <c r="AM1968" i="1"/>
  <c r="AM1964" i="1"/>
  <c r="AM1962" i="1"/>
  <c r="AM1959" i="1"/>
  <c r="AM1958" i="1"/>
  <c r="AM1957" i="1"/>
  <c r="AM1948" i="1"/>
  <c r="AM1945" i="1"/>
  <c r="AM1944" i="1"/>
  <c r="AM1942" i="1"/>
  <c r="AM1940" i="1"/>
  <c r="AM1937" i="1"/>
  <c r="AM1936" i="1"/>
  <c r="AM1934" i="1"/>
  <c r="AM1933" i="1"/>
  <c r="AM1931" i="1"/>
  <c r="AM1929" i="1"/>
  <c r="AM1926" i="1"/>
  <c r="AM1918" i="1"/>
  <c r="AM1916" i="1"/>
  <c r="AM1914" i="1"/>
  <c r="AM1911" i="1"/>
  <c r="AM1908" i="1"/>
  <c r="AM1905" i="1"/>
  <c r="AM1904" i="1"/>
  <c r="AM1902" i="1"/>
  <c r="AM1900" i="1"/>
  <c r="AM1898" i="1"/>
  <c r="AM1897" i="1"/>
  <c r="AM1895" i="1"/>
  <c r="AM1894" i="1"/>
  <c r="AM1893" i="1"/>
  <c r="AM1892" i="1"/>
  <c r="AM1888" i="1"/>
  <c r="AM1887" i="1"/>
  <c r="AM1886" i="1"/>
  <c r="AM1885" i="1"/>
  <c r="AM1882" i="1"/>
  <c r="AM1879" i="1"/>
  <c r="AM1871" i="1"/>
  <c r="AM1870" i="1"/>
  <c r="AM1868" i="1"/>
  <c r="AM1867" i="1"/>
  <c r="AM1866" i="1"/>
  <c r="AM1865" i="1"/>
  <c r="AM1863" i="1"/>
  <c r="AM1862" i="1"/>
  <c r="AM1861" i="1"/>
  <c r="AM1859" i="1"/>
  <c r="AM1857" i="1"/>
  <c r="AM1856" i="1"/>
  <c r="AM1855" i="1"/>
  <c r="AM1854" i="1"/>
  <c r="AM1852" i="1"/>
  <c r="AM1850" i="1"/>
  <c r="AM1849" i="1"/>
  <c r="AM1848" i="1"/>
  <c r="AM1846" i="1"/>
  <c r="AM1845" i="1"/>
  <c r="AM1843" i="1"/>
  <c r="AM1840" i="1"/>
  <c r="AM1838" i="1"/>
  <c r="AM1835" i="1"/>
  <c r="AM1834" i="1"/>
  <c r="AM1832" i="1"/>
  <c r="AM1830" i="1"/>
  <c r="AM1828" i="1"/>
  <c r="AM1823" i="1"/>
  <c r="AM1822" i="1"/>
  <c r="AM1820" i="1"/>
  <c r="AM1819" i="1"/>
  <c r="AM1817" i="1"/>
  <c r="AM1816" i="1"/>
  <c r="AM1815" i="1"/>
  <c r="AM1814" i="1"/>
  <c r="AM1812" i="1"/>
  <c r="AM1810" i="1"/>
  <c r="AM1791" i="1"/>
  <c r="AM1788" i="1"/>
  <c r="AM1739" i="1"/>
  <c r="AM1722" i="1"/>
  <c r="AM1714" i="1"/>
  <c r="AM1712" i="1"/>
  <c r="AM1709" i="1"/>
  <c r="AM1667" i="1"/>
  <c r="AM1654" i="1"/>
  <c r="AM1632" i="1"/>
  <c r="AM1612" i="1"/>
  <c r="AM1579" i="1"/>
  <c r="AM1574" i="1"/>
  <c r="AM1573" i="1"/>
  <c r="AM1569" i="1"/>
  <c r="AM1553" i="1"/>
  <c r="AM1527" i="1"/>
  <c r="AM1509" i="1"/>
  <c r="AM1508" i="1"/>
  <c r="AM1505" i="1"/>
  <c r="AM1502" i="1"/>
  <c r="AM796" i="1"/>
  <c r="AM758" i="1"/>
  <c r="AM742" i="1"/>
  <c r="AM740" i="1"/>
  <c r="AM710" i="1"/>
  <c r="AM682" i="1"/>
  <c r="AM681" i="1"/>
  <c r="AM680" i="1"/>
  <c r="AM673" i="1"/>
  <c r="AM666" i="1"/>
  <c r="AM661" i="1"/>
  <c r="AM636" i="1"/>
  <c r="AM632" i="1"/>
  <c r="AM627" i="1"/>
  <c r="AM626" i="1"/>
  <c r="AM617" i="1"/>
  <c r="AM591" i="1"/>
  <c r="AM557" i="1"/>
  <c r="AM519" i="1"/>
  <c r="AM506" i="1"/>
  <c r="AM12" i="1"/>
  <c r="AM11" i="1"/>
  <c r="AM8" i="1"/>
  <c r="AM2754" i="1"/>
  <c r="AM2733" i="1"/>
  <c r="AM2677" i="1"/>
  <c r="AM2600" i="1"/>
  <c r="AM2598" i="1"/>
  <c r="AM2562" i="1"/>
  <c r="AM1501" i="1"/>
  <c r="AM1500" i="1"/>
  <c r="AM1499" i="1"/>
  <c r="AM1496" i="1"/>
  <c r="AM1495" i="1"/>
  <c r="AM1492" i="1"/>
  <c r="AM1486" i="1"/>
  <c r="AM1482" i="1"/>
  <c r="AM1478" i="1"/>
  <c r="AM1477" i="1"/>
  <c r="AM1476" i="1"/>
  <c r="AM1475" i="1"/>
  <c r="AM1473" i="1"/>
  <c r="AM1470" i="1"/>
  <c r="AM1469" i="1"/>
  <c r="AM1467" i="1"/>
  <c r="AM1465" i="1"/>
  <c r="AM1462" i="1"/>
  <c r="AM1461" i="1"/>
  <c r="AM1458" i="1"/>
  <c r="AM1457" i="1"/>
  <c r="AM1453" i="1"/>
  <c r="AM1452" i="1"/>
  <c r="AM1451" i="1"/>
  <c r="AM1450" i="1"/>
  <c r="AM1445" i="1"/>
  <c r="AM1444" i="1"/>
  <c r="AM1442" i="1"/>
  <c r="AM1440" i="1"/>
  <c r="AM1438" i="1"/>
  <c r="AM1436" i="1"/>
  <c r="AM1435" i="1"/>
  <c r="AM1434" i="1"/>
  <c r="AM1431" i="1"/>
  <c r="AM1429" i="1"/>
  <c r="AM1428" i="1"/>
  <c r="AM1427" i="1"/>
  <c r="AM1423" i="1"/>
  <c r="AM1414" i="1"/>
  <c r="AM1412" i="1"/>
  <c r="AM1411" i="1"/>
  <c r="AM1410" i="1"/>
  <c r="AM1409" i="1"/>
  <c r="AM1408" i="1"/>
  <c r="AM1404" i="1"/>
  <c r="AM1397" i="1"/>
  <c r="AM1396" i="1"/>
  <c r="AM1395" i="1"/>
  <c r="AM1394" i="1"/>
  <c r="AM1393" i="1"/>
  <c r="AM1392" i="1"/>
  <c r="AM1390" i="1"/>
  <c r="AM1389" i="1"/>
  <c r="AM1387" i="1"/>
  <c r="AM1385" i="1"/>
  <c r="AM1384" i="1"/>
  <c r="AM1382" i="1"/>
  <c r="AM1381" i="1"/>
  <c r="AM1380" i="1"/>
  <c r="AM1377" i="1"/>
  <c r="AM1374" i="1"/>
  <c r="AM1373" i="1"/>
  <c r="AM1372" i="1"/>
  <c r="AM1369" i="1"/>
  <c r="AM1364" i="1"/>
  <c r="AM1362" i="1"/>
  <c r="AM1361" i="1"/>
  <c r="AM1360" i="1"/>
  <c r="AM1359" i="1"/>
  <c r="AM1358" i="1"/>
  <c r="AM1352" i="1"/>
  <c r="AM1344" i="1"/>
  <c r="AM1343" i="1"/>
  <c r="AM1340" i="1"/>
  <c r="AM1337" i="1"/>
  <c r="AM1336" i="1"/>
  <c r="AM1334" i="1"/>
  <c r="AM1331" i="1"/>
  <c r="AM1330" i="1"/>
  <c r="AM1328" i="1"/>
  <c r="AM1324" i="1"/>
  <c r="AM1323" i="1"/>
  <c r="AM1322" i="1"/>
  <c r="AM1321" i="1"/>
  <c r="AM1319" i="1"/>
  <c r="AM1318" i="1"/>
  <c r="AM1317" i="1"/>
  <c r="AM1314" i="1"/>
  <c r="AM1313" i="1"/>
  <c r="AM1312" i="1"/>
  <c r="AM1311" i="1"/>
  <c r="AM1309" i="1"/>
  <c r="AM1308" i="1"/>
  <c r="AM1306" i="1"/>
  <c r="AM1302" i="1"/>
  <c r="AM1300" i="1"/>
  <c r="AM1298" i="1"/>
  <c r="AM1292" i="1"/>
  <c r="AM1291" i="1"/>
  <c r="AM1290" i="1"/>
  <c r="AM1289" i="1"/>
  <c r="AM1288" i="1"/>
  <c r="AM1286" i="1"/>
  <c r="AM1285" i="1"/>
  <c r="AM1284" i="1"/>
  <c r="AM1282" i="1"/>
  <c r="AM1277" i="1"/>
  <c r="AM1276" i="1"/>
  <c r="AM1274" i="1"/>
  <c r="AM1273" i="1"/>
  <c r="AM1271" i="1"/>
  <c r="AM1269" i="1"/>
  <c r="AM1268" i="1"/>
  <c r="AM1267" i="1"/>
  <c r="AM1266" i="1"/>
  <c r="AM1262" i="1"/>
  <c r="AM1261" i="1"/>
  <c r="AM1259" i="1"/>
  <c r="AM1258" i="1"/>
  <c r="AM1256" i="1"/>
  <c r="AM1255" i="1"/>
  <c r="AM1253" i="1"/>
  <c r="AM1252" i="1"/>
  <c r="AM1251" i="1"/>
  <c r="AM1249" i="1"/>
  <c r="AM1248" i="1"/>
  <c r="AM1246" i="1"/>
  <c r="AM1245" i="1"/>
  <c r="AM1244" i="1"/>
  <c r="AM1243" i="1"/>
  <c r="AM1242" i="1"/>
  <c r="AM1241" i="1"/>
  <c r="AM1237" i="1"/>
  <c r="AM1235" i="1"/>
  <c r="AM1234" i="1"/>
  <c r="AM1233" i="1"/>
  <c r="AM1232" i="1"/>
  <c r="AM1230" i="1"/>
  <c r="AM1228" i="1"/>
  <c r="AM1226" i="1"/>
  <c r="AM1223" i="1"/>
  <c r="AM1222" i="1"/>
  <c r="AM1220" i="1"/>
  <c r="AM1219" i="1"/>
  <c r="AM1215" i="1"/>
  <c r="AM1214" i="1"/>
  <c r="AM1208" i="1"/>
  <c r="AM1206" i="1"/>
  <c r="AM1205" i="1"/>
  <c r="AM1200" i="1"/>
  <c r="AM1199" i="1"/>
  <c r="AM1198" i="1"/>
  <c r="AM1196" i="1"/>
  <c r="AM1194" i="1"/>
  <c r="AM1192" i="1"/>
  <c r="AM1191" i="1"/>
  <c r="AM1188" i="1"/>
  <c r="AM1187" i="1"/>
  <c r="AM1183" i="1"/>
  <c r="AM1182" i="1"/>
  <c r="AM1181" i="1"/>
  <c r="AM1177" i="1"/>
  <c r="AM1174" i="1"/>
  <c r="AM1173" i="1"/>
  <c r="AM1172" i="1"/>
  <c r="AM1171" i="1"/>
  <c r="AM1166" i="1"/>
  <c r="AM1162" i="1"/>
  <c r="AM1161" i="1"/>
  <c r="AM1160" i="1"/>
  <c r="AM1158" i="1"/>
  <c r="AM1155" i="1"/>
  <c r="AM1153" i="1"/>
  <c r="AM1151" i="1"/>
  <c r="AM1150" i="1"/>
  <c r="AM1147" i="1"/>
  <c r="AM1142" i="1"/>
  <c r="AM1139" i="1"/>
  <c r="AM1136" i="1"/>
  <c r="AM1132" i="1"/>
  <c r="AM1131" i="1"/>
  <c r="AM1130" i="1"/>
  <c r="AM1129" i="1"/>
  <c r="AM1127" i="1"/>
  <c r="AM1125" i="1"/>
  <c r="AM1124" i="1"/>
  <c r="AM1123" i="1"/>
  <c r="AM1122" i="1"/>
  <c r="AM1119" i="1"/>
  <c r="AM1113" i="1"/>
  <c r="AM1109" i="1"/>
  <c r="AM1107" i="1"/>
  <c r="AM1106" i="1"/>
  <c r="AM1103" i="1"/>
  <c r="AM1102" i="1"/>
  <c r="AM1101" i="1"/>
  <c r="AM1100" i="1"/>
  <c r="AM1096" i="1"/>
  <c r="AM1095" i="1"/>
  <c r="AM1094" i="1"/>
  <c r="AM1092" i="1"/>
  <c r="AM1091" i="1"/>
  <c r="AM1089" i="1"/>
  <c r="AM1088" i="1"/>
  <c r="AM1083" i="1"/>
  <c r="AM1080" i="1"/>
  <c r="AM1079" i="1"/>
  <c r="AM1077" i="1"/>
  <c r="AM1076" i="1"/>
  <c r="AM1074" i="1"/>
  <c r="AM1070" i="1"/>
  <c r="AM1069" i="1"/>
  <c r="AM1067" i="1"/>
  <c r="AM1065" i="1"/>
  <c r="AM1061" i="1"/>
  <c r="AM1060" i="1"/>
  <c r="AM1058" i="1"/>
  <c r="AM1057" i="1"/>
  <c r="AM1055" i="1"/>
  <c r="AM1054" i="1"/>
  <c r="AM1051" i="1"/>
  <c r="AM1050" i="1"/>
  <c r="AM1048" i="1"/>
  <c r="AM1046" i="1"/>
  <c r="AM1045" i="1"/>
  <c r="AM1043" i="1"/>
  <c r="AM1042" i="1"/>
  <c r="AM1040" i="1"/>
  <c r="AM1038" i="1"/>
  <c r="AM1036" i="1"/>
  <c r="AM1035" i="1"/>
  <c r="AM1033" i="1"/>
  <c r="AM1032" i="1"/>
  <c r="AM1030" i="1"/>
  <c r="AM1026" i="1"/>
  <c r="AM1022" i="1"/>
  <c r="AM1021" i="1"/>
  <c r="AM1014" i="1"/>
  <c r="AM1013" i="1"/>
  <c r="AM1008" i="1"/>
  <c r="AM1006" i="1"/>
  <c r="AM1005" i="1"/>
  <c r="AM1003" i="1"/>
  <c r="AM1002" i="1"/>
  <c r="AM1001" i="1"/>
  <c r="AM1000" i="1"/>
  <c r="AM998" i="1"/>
  <c r="AM997" i="1"/>
  <c r="AM996" i="1"/>
  <c r="AM995" i="1"/>
  <c r="AM994" i="1"/>
  <c r="AM985" i="1"/>
  <c r="AM973" i="1"/>
  <c r="AM972" i="1"/>
  <c r="AM969" i="1"/>
  <c r="AM968" i="1"/>
  <c r="AM967" i="1"/>
  <c r="AM966" i="1"/>
  <c r="AM965" i="1"/>
  <c r="AM964" i="1"/>
  <c r="AM963" i="1"/>
  <c r="AM961" i="1"/>
  <c r="AM958" i="1"/>
  <c r="AM956" i="1"/>
  <c r="AM951" i="1"/>
  <c r="AM948" i="1"/>
  <c r="AM943" i="1"/>
  <c r="AM940" i="1"/>
  <c r="AM938" i="1"/>
  <c r="AM936" i="1"/>
  <c r="AM932" i="1"/>
  <c r="AM929" i="1"/>
  <c r="AM928" i="1"/>
  <c r="AM925" i="1"/>
  <c r="AM920" i="1"/>
  <c r="AM918" i="1"/>
  <c r="AM916" i="1"/>
  <c r="AM912" i="1"/>
  <c r="AM911" i="1"/>
  <c r="AM910" i="1"/>
  <c r="AM909" i="1"/>
  <c r="AM908" i="1"/>
  <c r="AM905" i="1"/>
  <c r="AM903" i="1"/>
  <c r="AM902" i="1"/>
  <c r="AM896" i="1"/>
  <c r="AM895" i="1"/>
  <c r="AM893" i="1"/>
  <c r="AM891" i="1"/>
  <c r="AM878" i="1"/>
  <c r="AM875" i="1"/>
  <c r="AM874" i="1"/>
  <c r="AM871" i="1"/>
  <c r="AM809" i="1"/>
  <c r="AM803" i="1"/>
  <c r="AM801" i="1"/>
  <c r="AM781" i="1"/>
  <c r="AM779" i="1"/>
  <c r="AM777" i="1"/>
  <c r="AM770" i="1"/>
  <c r="AM764" i="1"/>
  <c r="AM762" i="1"/>
  <c r="AM756" i="1"/>
  <c r="AM752" i="1"/>
  <c r="AM747" i="1"/>
  <c r="AM743" i="1"/>
  <c r="AM730" i="1"/>
  <c r="AM718" i="1"/>
  <c r="AM714" i="1"/>
  <c r="AM713" i="1"/>
  <c r="AM711" i="1"/>
  <c r="AM709" i="1"/>
  <c r="AM708" i="1"/>
  <c r="AM703" i="1"/>
  <c r="AM702" i="1"/>
  <c r="AM698" i="1"/>
  <c r="AM694" i="1"/>
  <c r="AM693" i="1"/>
  <c r="AM692" i="1"/>
  <c r="AM690" i="1"/>
  <c r="AM689" i="1"/>
  <c r="AM687" i="1"/>
  <c r="AM686" i="1"/>
  <c r="AM685" i="1"/>
  <c r="AM684" i="1"/>
  <c r="AM678" i="1"/>
  <c r="AM676" i="1"/>
  <c r="AM671" i="1"/>
  <c r="AM669" i="1"/>
  <c r="AM668" i="1"/>
  <c r="AM665" i="1"/>
  <c r="AM663" i="1"/>
  <c r="AM662" i="1"/>
  <c r="AM657" i="1"/>
  <c r="AM654" i="1"/>
  <c r="AM650" i="1"/>
  <c r="AM647" i="1"/>
  <c r="AM645" i="1"/>
  <c r="AM644" i="1"/>
  <c r="AM642" i="1"/>
  <c r="AM641" i="1"/>
  <c r="AM630" i="1"/>
  <c r="AM628" i="1"/>
  <c r="AM624" i="1"/>
  <c r="AM623" i="1"/>
  <c r="AM622" i="1"/>
  <c r="AM621" i="1"/>
  <c r="AM613" i="1"/>
  <c r="AM612" i="1"/>
  <c r="AM607" i="1"/>
  <c r="AM603" i="1"/>
  <c r="AM601" i="1"/>
  <c r="AM600" i="1"/>
  <c r="AM599" i="1"/>
  <c r="AM598" i="1"/>
  <c r="AM595" i="1"/>
  <c r="AM583" i="1"/>
  <c r="AM582" i="1"/>
  <c r="AM573" i="1"/>
  <c r="AM572" i="1"/>
  <c r="AM561" i="1"/>
  <c r="AM553" i="1"/>
  <c r="AM549" i="1"/>
  <c r="AM548" i="1"/>
  <c r="AM546" i="1"/>
  <c r="AM537" i="1"/>
  <c r="AM530" i="1"/>
  <c r="AM528" i="1"/>
  <c r="AM523" i="1"/>
  <c r="AM520" i="1"/>
  <c r="AM511" i="1"/>
  <c r="AM509" i="1"/>
  <c r="AM502" i="1"/>
  <c r="AM10" i="1"/>
  <c r="AM9" i="1"/>
  <c r="AM7" i="1"/>
  <c r="AM6" i="1"/>
  <c r="AM5" i="1"/>
  <c r="AM4" i="1"/>
  <c r="AM3" i="1"/>
  <c r="AM2668" i="1"/>
  <c r="AM2666" i="1"/>
  <c r="AM2665" i="1"/>
  <c r="AM2664" i="1"/>
  <c r="AM2652" i="1"/>
  <c r="AM2651" i="1"/>
  <c r="AM2648" i="1"/>
  <c r="AM2639" i="1"/>
  <c r="AM2636" i="1"/>
  <c r="AM2635" i="1"/>
  <c r="AM2625" i="1"/>
  <c r="AM2608" i="1"/>
  <c r="AM2604" i="1"/>
  <c r="AM2596" i="1"/>
  <c r="AM2594" i="1"/>
  <c r="AM2587" i="1"/>
  <c r="AM2575" i="1"/>
  <c r="AM2567" i="1"/>
  <c r="AM2559" i="1"/>
  <c r="AM2558" i="1"/>
  <c r="AM2556" i="1"/>
  <c r="AM2538" i="1"/>
  <c r="AM2519" i="1"/>
  <c r="AM2515" i="1"/>
  <c r="AM2512" i="1"/>
  <c r="AM2510" i="1"/>
  <c r="AM2509" i="1"/>
  <c r="AM2508" i="1"/>
  <c r="AM2507" i="1"/>
  <c r="AM498" i="1"/>
  <c r="AM496" i="1"/>
  <c r="AM494" i="1"/>
  <c r="AM493" i="1"/>
  <c r="AM492" i="1"/>
  <c r="AM490" i="1"/>
  <c r="AM488" i="1"/>
  <c r="AM487" i="1"/>
  <c r="AM486" i="1"/>
  <c r="AM483" i="1"/>
  <c r="AM481" i="1"/>
  <c r="AM480" i="1"/>
  <c r="AM479" i="1"/>
  <c r="AM478" i="1"/>
  <c r="AM475" i="1"/>
  <c r="AM473" i="1"/>
  <c r="AM471" i="1"/>
  <c r="AM469" i="1"/>
  <c r="AM468" i="1"/>
  <c r="AM467" i="1"/>
  <c r="AM466" i="1"/>
  <c r="AM463" i="1"/>
  <c r="AM462" i="1"/>
  <c r="AM459" i="1"/>
  <c r="AM458" i="1"/>
  <c r="AM457" i="1"/>
  <c r="AM456" i="1"/>
  <c r="AM455" i="1"/>
  <c r="AM453" i="1"/>
  <c r="AM449" i="1"/>
  <c r="AM448" i="1"/>
  <c r="AM447" i="1"/>
  <c r="AM445" i="1"/>
  <c r="AM440" i="1"/>
  <c r="AM439" i="1"/>
  <c r="AM438" i="1"/>
  <c r="AM432" i="1"/>
  <c r="AM430" i="1"/>
  <c r="AM429" i="1"/>
  <c r="AM427" i="1"/>
  <c r="AM424" i="1"/>
  <c r="AM421" i="1"/>
  <c r="AM419" i="1"/>
  <c r="AM414" i="1"/>
  <c r="AM411" i="1"/>
  <c r="AM410" i="1"/>
  <c r="AM409" i="1"/>
  <c r="AM408" i="1"/>
  <c r="AM407" i="1"/>
  <c r="AM406" i="1"/>
  <c r="AM405" i="1"/>
  <c r="AM403" i="1"/>
  <c r="AM401" i="1"/>
  <c r="AM399" i="1"/>
  <c r="AM398" i="1"/>
  <c r="AM394" i="1"/>
  <c r="AM391" i="1"/>
  <c r="AM385" i="1"/>
  <c r="AM384" i="1"/>
  <c r="AM383" i="1"/>
  <c r="AM380" i="1"/>
  <c r="AM379" i="1"/>
  <c r="AM376" i="1"/>
  <c r="AM375" i="1"/>
  <c r="AM374" i="1"/>
  <c r="AM372" i="1"/>
  <c r="AM370" i="1"/>
  <c r="AM366" i="1"/>
  <c r="AM364" i="1"/>
  <c r="AM360" i="1"/>
  <c r="AM359" i="1"/>
  <c r="AM355" i="1"/>
  <c r="AM354" i="1"/>
  <c r="AM353" i="1"/>
  <c r="AM351" i="1"/>
  <c r="AM349" i="1"/>
  <c r="AM348" i="1"/>
  <c r="AM345" i="1"/>
  <c r="AM344" i="1"/>
  <c r="AM343" i="1"/>
  <c r="AM341" i="1"/>
  <c r="AM339" i="1"/>
  <c r="AM335" i="1"/>
  <c r="AM330" i="1"/>
  <c r="AM329" i="1"/>
  <c r="AM327" i="1"/>
  <c r="AM326" i="1"/>
  <c r="AM322" i="1"/>
  <c r="AM321" i="1"/>
  <c r="AM317" i="1"/>
  <c r="AM313" i="1"/>
  <c r="AM309" i="1"/>
  <c r="AM306" i="1"/>
  <c r="AM304" i="1"/>
  <c r="AM303" i="1"/>
  <c r="AM302" i="1"/>
  <c r="AM299" i="1"/>
  <c r="AM296" i="1"/>
  <c r="AM295" i="1"/>
  <c r="AM291" i="1"/>
  <c r="AM286" i="1"/>
  <c r="AM285" i="1"/>
  <c r="AM284" i="1"/>
  <c r="AM283" i="1"/>
  <c r="AM281" i="1"/>
  <c r="AM280" i="1"/>
  <c r="AM278" i="1"/>
  <c r="AM277" i="1"/>
  <c r="AM276" i="1"/>
  <c r="AM273" i="1"/>
  <c r="AM272" i="1"/>
  <c r="AM271" i="1"/>
  <c r="AM267" i="1"/>
  <c r="AM261" i="1"/>
  <c r="AM260" i="1"/>
  <c r="AM257" i="1"/>
  <c r="AM255" i="1"/>
  <c r="AM253" i="1"/>
  <c r="AM251" i="1"/>
  <c r="AM246" i="1"/>
  <c r="AM245" i="1"/>
  <c r="AM244" i="1"/>
  <c r="AM242" i="1"/>
  <c r="AM241" i="1"/>
  <c r="AM240" i="1"/>
  <c r="AM239" i="1"/>
  <c r="AM233" i="1"/>
  <c r="AM229" i="1"/>
  <c r="AM225" i="1"/>
  <c r="AM224" i="1"/>
  <c r="AM222" i="1"/>
  <c r="AM219" i="1"/>
  <c r="AM217" i="1"/>
  <c r="AM214" i="1"/>
  <c r="AM212" i="1"/>
  <c r="AM211" i="1"/>
  <c r="AM209" i="1"/>
  <c r="AM205" i="1"/>
  <c r="AM201" i="1"/>
  <c r="AM200" i="1"/>
  <c r="AM198" i="1"/>
  <c r="AM197" i="1"/>
  <c r="AM193" i="1"/>
  <c r="AM192" i="1"/>
  <c r="AM189" i="1"/>
  <c r="AM188" i="1"/>
  <c r="AM186" i="1"/>
  <c r="AM185" i="1"/>
  <c r="AM181" i="1"/>
  <c r="AM180" i="1"/>
  <c r="AM179" i="1"/>
  <c r="AM178" i="1"/>
  <c r="AM177" i="1"/>
  <c r="AM176" i="1"/>
  <c r="AM172" i="1"/>
  <c r="AM171" i="1"/>
  <c r="AM170" i="1"/>
  <c r="AM169" i="1"/>
  <c r="AM167" i="1"/>
  <c r="AM166" i="1"/>
  <c r="AM165" i="1"/>
  <c r="AM164" i="1"/>
  <c r="AM163" i="1"/>
  <c r="AM162" i="1"/>
  <c r="AM156" i="1"/>
  <c r="AM154" i="1"/>
  <c r="AM153" i="1"/>
  <c r="AM152" i="1"/>
  <c r="AM150" i="1"/>
  <c r="AM144" i="1"/>
  <c r="AM142" i="1"/>
  <c r="AM141" i="1"/>
  <c r="AM140" i="1"/>
  <c r="AM138" i="1"/>
  <c r="AM132" i="1"/>
  <c r="AM129" i="1"/>
  <c r="AM128" i="1"/>
  <c r="AM124" i="1"/>
  <c r="AM121" i="1"/>
  <c r="AM119" i="1"/>
  <c r="AM116" i="1"/>
  <c r="AM115" i="1"/>
  <c r="AM110" i="1"/>
  <c r="AM109" i="1"/>
  <c r="AM105" i="1"/>
  <c r="AM104" i="1"/>
  <c r="AM103" i="1"/>
  <c r="AM102" i="1"/>
  <c r="AM101" i="1"/>
  <c r="AM100" i="1"/>
  <c r="AM99" i="1"/>
  <c r="AM96" i="1"/>
  <c r="AM94" i="1"/>
  <c r="AM92" i="1"/>
  <c r="AM91" i="1"/>
  <c r="AM89" i="1"/>
  <c r="AM87" i="1"/>
  <c r="AM86" i="1"/>
  <c r="AM85" i="1"/>
  <c r="AM82" i="1"/>
  <c r="AM76" i="1"/>
  <c r="AM74" i="1"/>
  <c r="AM72" i="1"/>
  <c r="AM70" i="1"/>
  <c r="AM68" i="1"/>
  <c r="AM67" i="1"/>
  <c r="AM66" i="1"/>
  <c r="AM63" i="1"/>
  <c r="AM61" i="1"/>
  <c r="AM60" i="1"/>
  <c r="AM57" i="1"/>
  <c r="AM49" i="1"/>
  <c r="AM48" i="1"/>
  <c r="AM47" i="1"/>
  <c r="AM41" i="1"/>
  <c r="AM40" i="1"/>
  <c r="AM35" i="1"/>
  <c r="AM31" i="1"/>
  <c r="AM29" i="1"/>
  <c r="AM27" i="1"/>
  <c r="AM26" i="1"/>
  <c r="AM25" i="1"/>
  <c r="AM23" i="1"/>
  <c r="AM22" i="1"/>
  <c r="AM20" i="1"/>
  <c r="AM17" i="1"/>
  <c r="AM16" i="1"/>
  <c r="AM2713" i="1"/>
  <c r="AM2701" i="1"/>
  <c r="AM2644" i="1"/>
  <c r="AM2607" i="1"/>
  <c r="AM2541" i="1"/>
  <c r="T43" i="1" l="1"/>
  <c r="O52" i="1"/>
  <c r="O53" i="1"/>
  <c r="T33" i="1"/>
  <c r="T44" i="1"/>
  <c r="T38" i="1"/>
  <c r="T39" i="1"/>
  <c r="T52" i="1"/>
  <c r="V52" i="1"/>
  <c r="W52" i="1" s="1"/>
  <c r="U54" i="1"/>
  <c r="V55" i="1"/>
  <c r="W55" i="1" s="1"/>
  <c r="V57" i="1"/>
  <c r="W57" i="1" s="1"/>
  <c r="U58" i="1"/>
  <c r="U59" i="1"/>
  <c r="T51" i="1"/>
  <c r="V51" i="1"/>
  <c r="W51" i="1" s="1"/>
  <c r="U53" i="1"/>
  <c r="V54" i="1"/>
  <c r="W54" i="1" s="1"/>
  <c r="U55" i="1"/>
  <c r="U56" i="1"/>
  <c r="T57" i="1"/>
  <c r="V58" i="1"/>
  <c r="W58" i="1" s="1"/>
  <c r="T59" i="1"/>
  <c r="T60" i="1"/>
  <c r="T54" i="1"/>
  <c r="V56" i="1"/>
  <c r="W56" i="1" s="1"/>
  <c r="U57" i="1"/>
  <c r="T58" i="1"/>
  <c r="U60" i="1"/>
  <c r="U51" i="1"/>
  <c r="U52" i="1"/>
  <c r="T53" i="1"/>
  <c r="V53" i="1"/>
  <c r="W53" i="1" s="1"/>
  <c r="T55" i="1"/>
  <c r="T56" i="1"/>
  <c r="V60" i="1"/>
  <c r="W60" i="1" s="1"/>
  <c r="V59" i="1"/>
  <c r="W59" i="1" s="1"/>
  <c r="AO67" i="1"/>
  <c r="J67" i="1"/>
  <c r="J73" i="1"/>
  <c r="AO73" i="1"/>
  <c r="AO68" i="1"/>
  <c r="J68" i="1"/>
  <c r="J71" i="1"/>
  <c r="AO71" i="1"/>
  <c r="AO74" i="1"/>
  <c r="J74" i="1"/>
  <c r="J69" i="1"/>
  <c r="AO69" i="1"/>
  <c r="J70" i="1"/>
  <c r="AO70" i="1"/>
  <c r="J72" i="1"/>
  <c r="AO72" i="1"/>
  <c r="T40" i="1"/>
  <c r="T34" i="1"/>
  <c r="Q17" i="1" l="1"/>
  <c r="Q18" i="1"/>
  <c r="Q19" i="1"/>
  <c r="Q20" i="1"/>
  <c r="Q21" i="1"/>
  <c r="Q22" i="1"/>
  <c r="Q23" i="1"/>
  <c r="Q24" i="1"/>
  <c r="Q25" i="1"/>
  <c r="Q16" i="1"/>
  <c r="R17" i="1" l="1"/>
  <c r="T17" i="1"/>
  <c r="U17" i="1" s="1"/>
  <c r="S17" i="1"/>
  <c r="R18" i="1"/>
  <c r="S18" i="1"/>
  <c r="T18" i="1"/>
  <c r="U18" i="1" s="1"/>
  <c r="R19" i="1"/>
  <c r="S19" i="1"/>
  <c r="T19" i="1"/>
  <c r="U19" i="1"/>
  <c r="R20" i="1"/>
  <c r="S20" i="1"/>
  <c r="T20" i="1"/>
  <c r="U20" i="1"/>
  <c r="R21" i="1"/>
  <c r="S21" i="1"/>
  <c r="T21" i="1"/>
  <c r="U21" i="1"/>
  <c r="R22" i="1"/>
  <c r="S22" i="1"/>
  <c r="T22" i="1"/>
  <c r="U22" i="1"/>
  <c r="R23" i="1"/>
  <c r="S23" i="1"/>
  <c r="T23" i="1"/>
  <c r="U23" i="1"/>
  <c r="R24" i="1"/>
  <c r="S24" i="1"/>
  <c r="T24" i="1"/>
  <c r="U24" i="1"/>
  <c r="R25" i="1"/>
  <c r="S25" i="1"/>
  <c r="T25" i="1"/>
  <c r="U25" i="1"/>
  <c r="S16" i="1"/>
  <c r="R16" i="1"/>
  <c r="T16" i="1"/>
  <c r="U16" i="1" s="1"/>
</calcChain>
</file>

<file path=xl/sharedStrings.xml><?xml version="1.0" encoding="utf-8"?>
<sst xmlns="http://schemas.openxmlformats.org/spreadsheetml/2006/main" count="599" uniqueCount="206">
  <si>
    <t>Produto</t>
  </si>
  <si>
    <t>Data</t>
  </si>
  <si>
    <t>Lote</t>
  </si>
  <si>
    <t>Quantidade</t>
  </si>
  <si>
    <t>Status</t>
  </si>
  <si>
    <t>Aprovado</t>
  </si>
  <si>
    <t>Ano</t>
  </si>
  <si>
    <t>Mês</t>
  </si>
  <si>
    <t>Ordenação</t>
  </si>
  <si>
    <t>Linha válida</t>
  </si>
  <si>
    <t>Flag</t>
  </si>
  <si>
    <t>Validade calc.</t>
  </si>
  <si>
    <t>Vencimento ordenado</t>
  </si>
  <si>
    <t>PROCYFLOC</t>
  </si>
  <si>
    <t>Dashboard de Produto Acabado</t>
  </si>
  <si>
    <t>ANO</t>
  </si>
  <si>
    <t>Selecionado</t>
  </si>
  <si>
    <t>Controle de qualidade</t>
  </si>
  <si>
    <t>base</t>
  </si>
  <si>
    <t>TOTAL DE LOTES</t>
  </si>
  <si>
    <t>QUANTIDADE TOTAL</t>
  </si>
  <si>
    <t>LOTES APROVADOS</t>
  </si>
  <si>
    <t>TAXA DE APROVAÇÃO</t>
  </si>
  <si>
    <t>PRODUTOS</t>
  </si>
  <si>
    <t>produtos cadastrados</t>
  </si>
  <si>
    <t>Visão geral</t>
  </si>
  <si>
    <t>Top 10 por quantidade</t>
  </si>
  <si>
    <t>Ranking detalhado</t>
  </si>
  <si>
    <t>Ranking</t>
  </si>
  <si>
    <t>#</t>
  </si>
  <si>
    <t>Quantidade (kg)</t>
  </si>
  <si>
    <t>Lotes</t>
  </si>
  <si>
    <t>% Aprov.</t>
  </si>
  <si>
    <t>Situação</t>
  </si>
  <si>
    <t>Mensal</t>
  </si>
  <si>
    <t>Produtos</t>
  </si>
  <si>
    <t>Produção mensal</t>
  </si>
  <si>
    <t>Detalhe mensal</t>
  </si>
  <si>
    <t>Aprovados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</si>
  <si>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</si>
  <si>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</si>
  <si>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</si>
  <si>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</si>
  <si>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</si>
  <si>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</si>
  <si>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</si>
  <si>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</si>
  <si>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</si>
  <si>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</si>
  <si>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</si>
  <si>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</si>
  <si>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Distribuição de status</t>
  </si>
  <si>
    <t>Status dos lotes</t>
  </si>
  <si>
    <t>Próximos vencimentos</t>
  </si>
  <si>
    <t>%</t>
  </si>
  <si>
    <t>Validade</t>
  </si>
  <si>
    <t>Dias</t>
  </si>
  <si>
    <t>Em andamento</t>
  </si>
  <si>
    <t>Reprovado</t>
  </si>
  <si>
    <t>Resumo por produto</t>
  </si>
  <si>
    <t>Rank</t>
  </si>
  <si>
    <t>Ordenacao produto</t>
  </si>
  <si>
    <t>GS50</t>
  </si>
  <si>
    <t>27TC</t>
  </si>
  <si>
    <t>500</t>
  </si>
  <si>
    <t>700</t>
  </si>
  <si>
    <t>956A</t>
  </si>
  <si>
    <t>1009</t>
  </si>
  <si>
    <t>4800</t>
  </si>
  <si>
    <t>AL200</t>
  </si>
  <si>
    <t>PROCYFLOC GS50</t>
  </si>
  <si>
    <t>Quantidade (Kg)</t>
  </si>
  <si>
    <t xml:space="preserve">Validade 
</t>
  </si>
  <si>
    <t>Aspecto
(Líquido)</t>
  </si>
  <si>
    <t>Cor
(Incolor)</t>
  </si>
  <si>
    <t>Densidade a 20ºC (g/cm³)
(1,1 - 1,3)</t>
  </si>
  <si>
    <t>Ph Puro
(2,0 - 3,0)</t>
  </si>
  <si>
    <t>pH 1%</t>
  </si>
  <si>
    <t>Observação</t>
  </si>
  <si>
    <t>Responsável</t>
  </si>
  <si>
    <t>8179/24</t>
  </si>
  <si>
    <t>6 meses</t>
  </si>
  <si>
    <t>Líquido</t>
  </si>
  <si>
    <t>Incolor</t>
  </si>
  <si>
    <t>-</t>
  </si>
  <si>
    <t>Mariana</t>
  </si>
  <si>
    <t>8513/24</t>
  </si>
  <si>
    <t>Henrique</t>
  </si>
  <si>
    <t>8594/24</t>
  </si>
  <si>
    <t>8794/24</t>
  </si>
  <si>
    <t>9090/25</t>
  </si>
  <si>
    <t>9255/25</t>
  </si>
  <si>
    <t>Thamires</t>
  </si>
  <si>
    <t>9391/25</t>
  </si>
  <si>
    <t>9557/25</t>
  </si>
  <si>
    <t>9839/26</t>
  </si>
  <si>
    <t>PROCYFLOC 27TC</t>
  </si>
  <si>
    <t>Cor
(Marrom)</t>
  </si>
  <si>
    <t>Densidade a 20ºC (g/cm³)
(1,1 - 1,2)</t>
  </si>
  <si>
    <t>Ph Puro
(1,1 - 2,3)</t>
  </si>
  <si>
    <t>PH 1%         (3,0 - 4,5)</t>
  </si>
  <si>
    <t>Viscosidade copo Ford (segundos)
(máx 50)</t>
  </si>
  <si>
    <t>Característica iônica
(catiônico)</t>
  </si>
  <si>
    <t>Solubilidade em água (%)
(100)</t>
  </si>
  <si>
    <t>8468/24</t>
  </si>
  <si>
    <t xml:space="preserve">12 meses </t>
  </si>
  <si>
    <t>sim</t>
  </si>
  <si>
    <t>9246/25</t>
  </si>
  <si>
    <t>12  meses</t>
  </si>
  <si>
    <t>Catiônico</t>
  </si>
  <si>
    <t>9277/25</t>
  </si>
  <si>
    <t>9477/25</t>
  </si>
  <si>
    <t>9533/25</t>
  </si>
  <si>
    <t>9587/25</t>
  </si>
  <si>
    <t>9635/26</t>
  </si>
  <si>
    <t>9690/26</t>
  </si>
  <si>
    <t>9749/26</t>
  </si>
  <si>
    <t>9811/26</t>
  </si>
  <si>
    <t>9884/26</t>
  </si>
  <si>
    <t>9938/26</t>
  </si>
  <si>
    <t>PROCYFLOC 500</t>
  </si>
  <si>
    <t>Aspecto
(Líquido viscoso)</t>
  </si>
  <si>
    <t>Odor
(característico neutro)</t>
  </si>
  <si>
    <t>Densidade a 20ºC (g/cm³)
(1,020 - 1,070)</t>
  </si>
  <si>
    <t>pH puro 
(4,0 - 6,0)</t>
  </si>
  <si>
    <t>pH 5% 
(4,0 - 6,0)</t>
  </si>
  <si>
    <t>Viscosidade
(&gt;35s)</t>
  </si>
  <si>
    <t>8919/25</t>
  </si>
  <si>
    <t>12 meses</t>
  </si>
  <si>
    <t>Líquido viscoso</t>
  </si>
  <si>
    <t>Neutro</t>
  </si>
  <si>
    <t>8969/25</t>
  </si>
  <si>
    <t>8998/25</t>
  </si>
  <si>
    <t>9018/25</t>
  </si>
  <si>
    <t>9026/25</t>
  </si>
  <si>
    <t>9028/25</t>
  </si>
  <si>
    <t>9091/25</t>
  </si>
  <si>
    <t>9123/25</t>
  </si>
  <si>
    <t>9143/25</t>
  </si>
  <si>
    <t>9206/25</t>
  </si>
  <si>
    <t>9208/25</t>
  </si>
  <si>
    <t>9254/25</t>
  </si>
  <si>
    <t>9289/25</t>
  </si>
  <si>
    <t>9304/25</t>
  </si>
  <si>
    <t>9345/25</t>
  </si>
  <si>
    <t>9438/25</t>
  </si>
  <si>
    <t>9502/25</t>
  </si>
  <si>
    <t>9556/25</t>
  </si>
  <si>
    <t>9612/25</t>
  </si>
  <si>
    <t>9651/26</t>
  </si>
  <si>
    <t>9706/26</t>
  </si>
  <si>
    <t>9742/26</t>
  </si>
  <si>
    <t>9801/26</t>
  </si>
  <si>
    <t>9871/26</t>
  </si>
  <si>
    <t>9913/26</t>
  </si>
  <si>
    <t>neutro</t>
  </si>
  <si>
    <t>368 cps</t>
  </si>
  <si>
    <t>PROCYFLOC 700</t>
  </si>
  <si>
    <t>Cor
(Branco)</t>
  </si>
  <si>
    <t>Odor
(Neutro)</t>
  </si>
  <si>
    <t>Densidade (g/cm3)
(1,05)</t>
  </si>
  <si>
    <t>pH 
(7,0 - 9,0)</t>
  </si>
  <si>
    <t>Viscosidade (cps)
(190 - 900)</t>
  </si>
  <si>
    <t>Solubilidade em água
(Emulsionável)</t>
  </si>
  <si>
    <t>Caráter iônico
(Aniônico)</t>
  </si>
  <si>
    <t>Estabilidade 
(Estável)</t>
  </si>
  <si>
    <t>8962/25</t>
  </si>
  <si>
    <t>ok</t>
  </si>
  <si>
    <t>Ok</t>
  </si>
  <si>
    <t>Aprovação</t>
  </si>
  <si>
    <t>PROCYFLOC 956A</t>
  </si>
  <si>
    <t>Aspecto
(Cristais)</t>
  </si>
  <si>
    <t>Odor
(neutro característico)</t>
  </si>
  <si>
    <t>pH 0,1%
(5,5 - 8,5)</t>
  </si>
  <si>
    <t>Estabilidade
(Estável)</t>
  </si>
  <si>
    <t>Solubilidade em água
(emulsionável)</t>
  </si>
  <si>
    <t>Cratér iônico
(Aniônico)</t>
  </si>
  <si>
    <t>PROCYFLOC 1009</t>
  </si>
  <si>
    <t>Odor
(Neutro característico)</t>
  </si>
  <si>
    <t>pH 0,1% 
(4,0 - 6,0)</t>
  </si>
  <si>
    <t>Estabilidade
(estãvel)</t>
  </si>
  <si>
    <t>Carater iônico
(catiônico)</t>
  </si>
  <si>
    <t>PROCYFLOC 4800C</t>
  </si>
  <si>
    <t>pH 0,1%
(3,5 - 5,0)</t>
  </si>
  <si>
    <t>Carater iônico
(Catiônico)</t>
  </si>
  <si>
    <t>Solubilidade em água 
(emulsionável)</t>
  </si>
  <si>
    <t>PROCYFLOC AL200</t>
  </si>
  <si>
    <t>Cor
(Marrom escuro)</t>
  </si>
  <si>
    <t>Odor
(Característico)</t>
  </si>
  <si>
    <t>Densidade a 20ºC (g/cm³)
(1,500 - 1,600)</t>
  </si>
  <si>
    <t>pH 10% 
(12 - 14)</t>
  </si>
  <si>
    <t>Al2O3 (%)
(19 - 25)</t>
  </si>
  <si>
    <t>PADRÃO</t>
  </si>
  <si>
    <t>Aspecto
()</t>
  </si>
  <si>
    <t>Cor
()</t>
  </si>
  <si>
    <t>Densidade a 20ºC (g/cm³)
()</t>
  </si>
  <si>
    <t>Ph Puro
()</t>
  </si>
  <si>
    <t>pH % 
()</t>
  </si>
  <si>
    <t>Cloreto (%)
()</t>
  </si>
  <si>
    <t>Al2O3 (%)
()</t>
  </si>
  <si>
    <t>Basicidade
()</t>
  </si>
  <si>
    <t>Refratômetro 
()</t>
  </si>
  <si>
    <t>Colunas1</t>
  </si>
  <si>
    <t>Colunas2</t>
  </si>
  <si>
    <t>Colunas3</t>
  </si>
  <si>
    <t>Colunas4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</si>
</sst>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kg&quot;"/>
    <numFmt numFmtId="165" formatCode="0.0%"/>
  </numFmts>
  <fonts count="2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65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000000"/>
      <name val="Aptos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</font>
    <font>
      <b/>
      <sz val="16"/>
      <color rgb="FFFFFFFF"/>
      <name val="Segoe UI"/>
    </font>
    <font>
      <sz val="9"/>
      <color rgb="FFB8C4D6"/>
      <name val="Segoe UI"/>
    </font>
    <font>
      <b/>
      <sz val="22"/>
      <color rgb="FFFFFFFF"/>
      <name val="Segoe UI"/>
    </font>
    <font>
      <b/>
      <sz val="9"/>
      <color rgb="FFB8C4D6"/>
      <name val="Segoe UI"/>
    </font>
    <font>
      <b/>
      <sz val="10"/>
      <color rgb="FFDDE6F3"/>
      <name val="Segoe UI"/>
    </font>
    <font>
      <b/>
      <sz val="22"/>
      <color rgb="FF111827"/>
      <name val="Segoe UI"/>
    </font>
    <font>
      <sz val="10"/>
      <color rgb="FF667085"/>
      <name val="Segoe UI"/>
    </font>
    <font>
      <b/>
      <sz val="9"/>
      <color rgb="FF667085"/>
      <name val="Segoe UI"/>
    </font>
    <font>
      <sz val="9"/>
      <color rgb="FF667085"/>
      <name val="Segoe UI"/>
    </font>
    <font>
      <b/>
      <sz val="11"/>
      <color rgb="FF111827"/>
      <name val="Segoe UI"/>
    </font>
    <font>
      <b/>
      <sz val="19"/>
      <color rgb="FF2563EB"/>
      <name val="Segoe UI"/>
    </font>
    <font>
      <b/>
      <sz val="19"/>
      <color rgb="FF0F766E"/>
      <name val="Segoe UI"/>
    </font>
    <font>
      <b/>
      <sz val="19"/>
      <color rgb="FF16A34A"/>
      <name val="Segoe UI"/>
    </font>
    <font>
      <b/>
      <sz val="19"/>
      <color rgb="FFD97706"/>
      <name val="Segoe UI"/>
    </font>
    <font>
      <b/>
      <sz val="19"/>
      <color rgb="FF7C3AED"/>
      <name val="Segoe UI"/>
    </font>
    <font>
      <b/>
      <sz val="11"/>
      <color rgb="FFFFFFFF"/>
      <name val="Segoe UI"/>
    </font>
    <font>
      <b/>
      <sz val="9"/>
      <color rgb="FFFFFFFF"/>
      <name val="Segoe UI"/>
    </font>
    <font>
      <sz val="9"/>
      <color rgb="FF111827"/>
      <name val="Segoe UI"/>
    </font>
    <font>
      <b/>
      <sz val="11"/>
      <name val="Segoe UI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3F6FA"/>
      </patternFill>
    </fill>
    <fill>
      <patternFill patternType="solid">
        <fgColor rgb="FF17212B"/>
      </patternFill>
    </fill>
    <fill>
      <patternFill patternType="solid">
        <fgColor rgb="FF213043"/>
      </patternFill>
    </fill>
    <fill>
      <patternFill patternType="solid">
        <fgColor rgb="FFFFFFFF"/>
      </patternFill>
    </fill>
    <fill>
      <patternFill patternType="solid">
        <fgColor rgb="FFFFF4D6"/>
      </patternFill>
    </fill>
    <fill>
      <patternFill patternType="solid">
        <fgColor rgb="FF2563EB"/>
      </patternFill>
    </fill>
    <fill>
      <patternFill patternType="solid">
        <fgColor rgb="FF0F766E"/>
      </patternFill>
    </fill>
    <fill>
      <patternFill patternType="solid">
        <fgColor rgb="FF16A34A"/>
      </patternFill>
    </fill>
    <fill>
      <patternFill patternType="solid">
        <fgColor rgb="FFD97706"/>
      </patternFill>
    </fill>
    <fill>
      <patternFill patternType="solid">
        <fgColor rgb="FF7C3AED"/>
      </patternFill>
    </fill>
    <fill>
      <patternFill patternType="solid">
        <fgColor rgb="FFF8FAFC"/>
      </patternFill>
    </fill>
    <fill>
      <patternFill patternType="solid">
        <fgColor rgb="FFBE123C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 style="thin">
        <color rgb="FF213043"/>
      </left>
      <right style="thin">
        <color rgb="FF213043"/>
      </right>
      <top style="thin">
        <color rgb="FF213043"/>
      </top>
      <bottom style="thin">
        <color rgb="FF213043"/>
      </bottom>
      <diagonal/>
    </border>
    <border>
      <left style="thin">
        <color rgb="FFD7DEE8"/>
      </left>
      <right style="thin">
        <color rgb="FFD7DEE8"/>
      </right>
      <top style="thin">
        <color rgb="FFD7DEE8"/>
      </top>
      <bottom style="thin">
        <color rgb="FFD7DEE8"/>
      </bottom>
      <diagonal/>
    </border>
    <border>
      <left style="thin">
        <color rgb="FFD7DEE8"/>
      </left>
      <right/>
      <top/>
      <bottom/>
      <diagonal/>
    </border>
    <border>
      <left/>
      <right/>
      <top/>
      <bottom/>
      <diagonal/>
    </border>
    <border>
      <left/>
      <right style="thin">
        <color rgb="FFD7DEE8"/>
      </right>
      <top/>
      <bottom/>
      <diagonal/>
    </border>
    <border>
      <left style="thin">
        <color rgb="FFD7DEE8"/>
      </left>
      <right/>
      <top/>
      <bottom style="thin">
        <color rgb="FFD7DEE8"/>
      </bottom>
      <diagonal/>
    </border>
    <border>
      <left/>
      <right/>
      <top/>
      <bottom style="thin">
        <color rgb="FFD7DEE8"/>
      </bottom>
      <diagonal/>
    </border>
    <border>
      <left/>
      <right style="thin">
        <color rgb="FFD7DEE8"/>
      </right>
      <top/>
      <bottom style="thin">
        <color rgb="FFD7DEE8"/>
      </bottom>
      <diagonal/>
    </border>
    <border>
      <left style="thin">
        <color rgb="FF2563EB"/>
      </left>
      <right style="thin">
        <color rgb="FF2563EB"/>
      </right>
      <top style="thin">
        <color rgb="FF2563EB"/>
      </top>
      <bottom style="thin">
        <color rgb="FF2563EB"/>
      </bottom>
      <diagonal/>
    </border>
    <border>
      <left/>
      <right style="thin">
        <color rgb="FFD7DEE8"/>
      </right>
      <top/>
      <bottom/>
      <diagonal/>
    </border>
    <border>
      <left style="thin">
        <color rgb="FFD7DEE8"/>
      </left>
      <right/>
      <top/>
      <bottom/>
      <diagonal/>
    </border>
    <border>
      <left style="thin">
        <color rgb="FFD7DEE8"/>
      </left>
      <right/>
      <top/>
      <bottom style="thin">
        <color rgb="FFD7DEE8"/>
      </bottom>
      <diagonal/>
    </border>
    <border>
      <left/>
      <right/>
      <top/>
      <bottom style="thin">
        <color rgb="FFD7DEE8"/>
      </bottom>
      <diagonal/>
    </border>
    <border>
      <left/>
      <right style="thin">
        <color rgb="FFD7DEE8"/>
      </right>
      <top/>
      <bottom style="thin">
        <color rgb="FFD7DEE8"/>
      </bottom>
      <diagonal/>
    </border>
    <border>
      <left style="thin">
        <color rgb="FF0F766E"/>
      </left>
      <right style="thin">
        <color rgb="FF0F766E"/>
      </right>
      <top style="thin">
        <color rgb="FF0F766E"/>
      </top>
      <bottom style="thin">
        <color rgb="FF0F766E"/>
      </bottom>
      <diagonal/>
    </border>
    <border>
      <left style="thin">
        <color rgb="FF16A34A"/>
      </left>
      <right style="thin">
        <color rgb="FF16A34A"/>
      </right>
      <top style="thin">
        <color rgb="FF16A34A"/>
      </top>
      <bottom style="thin">
        <color rgb="FF16A34A"/>
      </bottom>
      <diagonal/>
    </border>
    <border>
      <left style="thin">
        <color rgb="FFD97706"/>
      </left>
      <right style="thin">
        <color rgb="FFD97706"/>
      </right>
      <top style="thin">
        <color rgb="FFD97706"/>
      </top>
      <bottom style="thin">
        <color rgb="FFD97706"/>
      </bottom>
      <diagonal/>
    </border>
    <border>
      <left style="thin">
        <color rgb="FF7C3AED"/>
      </left>
      <right style="thin">
        <color rgb="FF7C3AED"/>
      </right>
      <top style="thin">
        <color rgb="FF7C3AED"/>
      </top>
      <bottom style="thin">
        <color rgb="FF7C3AED"/>
      </bottom>
      <diagonal/>
    </border>
    <border>
      <left/>
      <right/>
      <top style="thin">
        <color rgb="FFD7DEE8"/>
      </top>
      <bottom/>
      <diagonal/>
    </border>
    <border>
      <left/>
      <right style="thin">
        <color rgb="FFD7DEE8"/>
      </right>
      <top style="thin">
        <color rgb="FFD7DEE8"/>
      </top>
      <bottom/>
      <diagonal/>
    </border>
    <border>
      <left style="thin">
        <color rgb="FFE7EDF4"/>
      </left>
      <right style="thin">
        <color rgb="FFE7EDF4"/>
      </right>
      <top style="thin">
        <color rgb="FFE7EDF4"/>
      </top>
      <bottom style="thin">
        <color rgb="FFE7EDF4"/>
      </bottom>
      <diagonal/>
    </border>
    <border>
      <left style="thin">
        <color rgb="FFBE123C"/>
      </left>
      <right style="thin">
        <color rgb="FFBE123C"/>
      </right>
      <top style="thin">
        <color rgb="FFBE123C"/>
      </top>
      <bottom style="thin">
        <color rgb="FFBE123C"/>
      </bottom>
      <diagonal/>
    </border>
    <border>
      <left/>
      <right/>
      <top/>
      <bottom/>
      <diagonal/>
    </border>
    <border>
      <left/>
      <right/>
      <top style="thin">
        <color rgb="FF213043"/>
      </top>
      <bottom/>
      <diagonal/>
    </border>
    <border>
      <left/>
      <right style="thin">
        <color rgb="FF213043"/>
      </right>
      <top style="thin">
        <color rgb="FF213043"/>
      </top>
      <bottom/>
      <diagonal/>
    </border>
    <border>
      <left style="thin">
        <color rgb="FF213043"/>
      </left>
      <right/>
      <top/>
      <bottom style="thin">
        <color rgb="FF213043"/>
      </bottom>
      <diagonal/>
    </border>
    <border>
      <left/>
      <right style="thin">
        <color rgb="FF213043"/>
      </right>
      <top/>
      <bottom style="thin">
        <color rgb="FF213043"/>
      </bottom>
      <diagonal/>
    </border>
    <border>
      <left/>
      <right/>
      <top/>
      <bottom style="thin">
        <color rgb="FF213043"/>
      </bottom>
      <diagonal/>
    </border>
    <border>
      <left/>
      <right style="thin">
        <color rgb="FFD7DEE8"/>
      </right>
      <top style="thin">
        <color rgb="FFD7DEE8"/>
      </top>
      <bottom style="thin">
        <color rgb="FFD7DEE8"/>
      </bottom>
      <diagonal/>
    </border>
    <border>
      <left/>
      <right/>
      <top style="thin">
        <color rgb="FFD7DEE8"/>
      </top>
      <bottom style="thin">
        <color rgb="FFD7DEE8"/>
      </bottom>
      <diagonal/>
    </border>
    <border>
      <left/>
      <right style="thin">
        <color rgb="FF213043"/>
      </right>
      <top style="thin">
        <color rgb="FF213043"/>
      </top>
      <bottom style="thin">
        <color rgb="FF213043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3" borderId="0" xfId="0" applyFill="1"/>
    <xf numFmtId="14" fontId="0" fillId="0" borderId="0" xfId="0" applyNumberFormat="1"/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14" fontId="1" fillId="2" borderId="3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0" fillId="0" borderId="3" xfId="0" applyBorder="1"/>
    <xf numFmtId="14" fontId="1" fillId="0" borderId="3" xfId="0" applyNumberFormat="1" applyFont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14" fontId="4" fillId="2" borderId="3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 wrapText="1"/>
    </xf>
    <xf numFmtId="14" fontId="7" fillId="2" borderId="3" xfId="0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/>
    <xf numFmtId="0" fontId="8" fillId="2" borderId="3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 wrapText="1"/>
    </xf>
    <xf numFmtId="14" fontId="8" fillId="2" borderId="3" xfId="0" applyNumberFormat="1" applyFont="1" applyFill="1" applyBorder="1" applyAlignment="1">
      <alignment horizontal="center" vertical="center"/>
    </xf>
    <xf numFmtId="0" fontId="6" fillId="0" borderId="3" xfId="0" applyFont="1" applyBorder="1"/>
    <xf numFmtId="14" fontId="9" fillId="2" borderId="4" xfId="0" applyNumberFormat="1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0" fillId="6" borderId="10" xfId="0" applyFill="1" applyBorder="1" applyAlignment="1">
      <alignment vertical="center"/>
    </xf>
    <xf numFmtId="0" fontId="0" fillId="5" borderId="10" xfId="0" applyFill="1" applyBorder="1" applyAlignment="1">
      <alignment vertical="center"/>
    </xf>
    <xf numFmtId="0" fontId="28" fillId="0" borderId="0" xfId="0" applyFont="1"/>
    <xf numFmtId="0" fontId="17" fillId="8" borderId="12" xfId="0" applyFont="1" applyFill="1" applyBorder="1" applyAlignment="1">
      <alignment horizontal="center" vertical="center"/>
    </xf>
    <xf numFmtId="0" fontId="19" fillId="9" borderId="12" xfId="0" applyFont="1" applyFill="1" applyBorder="1" applyAlignment="1">
      <alignment horizontal="center" vertical="center"/>
    </xf>
    <xf numFmtId="0" fontId="0" fillId="10" borderId="19" xfId="0" applyFill="1" applyBorder="1" applyAlignment="1">
      <alignment vertical="center"/>
    </xf>
    <xf numFmtId="0" fontId="0" fillId="11" borderId="25" xfId="0" applyFill="1" applyBorder="1" applyAlignment="1">
      <alignment vertical="center"/>
    </xf>
    <xf numFmtId="0" fontId="0" fillId="12" borderId="26" xfId="0" applyFill="1" applyBorder="1" applyAlignment="1">
      <alignment vertical="center"/>
    </xf>
    <xf numFmtId="0" fontId="0" fillId="13" borderId="27" xfId="0" applyFill="1" applyBorder="1" applyAlignment="1">
      <alignment vertical="center"/>
    </xf>
    <xf numFmtId="0" fontId="0" fillId="14" borderId="28" xfId="0" applyFill="1" applyBorder="1" applyAlignment="1">
      <alignment vertical="center"/>
    </xf>
    <xf numFmtId="0" fontId="0" fillId="8" borderId="13" xfId="0" applyFill="1" applyBorder="1" applyAlignment="1">
      <alignment vertical="center"/>
    </xf>
    <xf numFmtId="0" fontId="0" fillId="8" borderId="14" xfId="0" applyFill="1" applyBorder="1" applyAlignment="1">
      <alignment vertical="center"/>
    </xf>
    <xf numFmtId="0" fontId="0" fillId="8" borderId="15" xfId="0" applyFill="1" applyBorder="1" applyAlignment="1">
      <alignment vertical="center"/>
    </xf>
    <xf numFmtId="0" fontId="26" fillId="10" borderId="19" xfId="0" applyFont="1" applyFill="1" applyBorder="1" applyAlignment="1">
      <alignment horizontal="center" vertical="center" wrapText="1"/>
    </xf>
    <xf numFmtId="0" fontId="27" fillId="15" borderId="31" xfId="0" applyFont="1" applyFill="1" applyBorder="1" applyAlignment="1">
      <alignment horizontal="center" vertical="center"/>
    </xf>
    <xf numFmtId="0" fontId="27" fillId="15" borderId="31" xfId="0" applyFont="1" applyFill="1" applyBorder="1" applyAlignment="1">
      <alignment vertical="center" wrapText="1"/>
    </xf>
    <xf numFmtId="164" fontId="27" fillId="15" borderId="31" xfId="0" applyNumberFormat="1" applyFont="1" applyFill="1" applyBorder="1" applyAlignment="1">
      <alignment horizontal="right" vertical="center"/>
    </xf>
    <xf numFmtId="165" fontId="27" fillId="15" borderId="31" xfId="0" applyNumberFormat="1" applyFont="1" applyFill="1" applyBorder="1" applyAlignment="1">
      <alignment horizontal="right" vertical="center"/>
    </xf>
    <xf numFmtId="0" fontId="27" fillId="8" borderId="31" xfId="0" applyFont="1" applyFill="1" applyBorder="1" applyAlignment="1">
      <alignment horizontal="center" vertical="center"/>
    </xf>
    <xf numFmtId="0" fontId="27" fillId="8" borderId="31" xfId="0" applyFont="1" applyFill="1" applyBorder="1" applyAlignment="1">
      <alignment vertical="center" wrapText="1"/>
    </xf>
    <xf numFmtId="164" fontId="27" fillId="8" borderId="31" xfId="0" applyNumberFormat="1" applyFont="1" applyFill="1" applyBorder="1" applyAlignment="1">
      <alignment horizontal="right" vertical="center"/>
    </xf>
    <xf numFmtId="165" fontId="27" fillId="8" borderId="31" xfId="0" applyNumberFormat="1" applyFont="1" applyFill="1" applyBorder="1" applyAlignment="1">
      <alignment horizontal="right" vertical="center"/>
    </xf>
    <xf numFmtId="0" fontId="0" fillId="8" borderId="16" xfId="0" applyFill="1" applyBorder="1" applyAlignment="1">
      <alignment vertical="center"/>
    </xf>
    <xf numFmtId="0" fontId="0" fillId="8" borderId="17" xfId="0" applyFill="1" applyBorder="1" applyAlignment="1">
      <alignment vertical="center"/>
    </xf>
    <xf numFmtId="0" fontId="0" fillId="8" borderId="18" xfId="0" applyFill="1" applyBorder="1" applyAlignment="1">
      <alignment vertical="center"/>
    </xf>
    <xf numFmtId="0" fontId="26" fillId="11" borderId="25" xfId="0" applyFont="1" applyFill="1" applyBorder="1" applyAlignment="1">
      <alignment horizontal="center" vertical="center" wrapText="1"/>
    </xf>
    <xf numFmtId="165" fontId="27" fillId="8" borderId="31" xfId="0" applyNumberFormat="1" applyFont="1" applyFill="1" applyBorder="1" applyAlignment="1">
      <alignment vertical="center" wrapText="1"/>
    </xf>
    <xf numFmtId="165" fontId="27" fillId="15" borderId="31" xfId="0" applyNumberFormat="1" applyFont="1" applyFill="1" applyBorder="1" applyAlignment="1">
      <alignment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6" borderId="32" xfId="0" applyFont="1" applyFill="1" applyBorder="1" applyAlignment="1">
      <alignment horizontal="center" vertical="center" wrapText="1"/>
    </xf>
    <xf numFmtId="0" fontId="26" fillId="12" borderId="31" xfId="0" applyFont="1" applyFill="1" applyBorder="1" applyAlignment="1">
      <alignment horizontal="left" vertical="center" indent="1"/>
    </xf>
    <xf numFmtId="0" fontId="27" fillId="8" borderId="31" xfId="0" applyFont="1" applyFill="1" applyBorder="1" applyAlignment="1">
      <alignment horizontal="right" vertical="center"/>
    </xf>
    <xf numFmtId="14" fontId="27" fillId="8" borderId="31" xfId="0" applyNumberFormat="1" applyFont="1" applyFill="1" applyBorder="1" applyAlignment="1">
      <alignment horizontal="center" vertical="center"/>
    </xf>
    <xf numFmtId="1" fontId="27" fillId="8" borderId="31" xfId="0" applyNumberFormat="1" applyFont="1" applyFill="1" applyBorder="1" applyAlignment="1">
      <alignment horizontal="right" vertical="center"/>
    </xf>
    <xf numFmtId="0" fontId="26" fillId="13" borderId="31" xfId="0" applyFont="1" applyFill="1" applyBorder="1" applyAlignment="1">
      <alignment horizontal="left" vertical="center" indent="1"/>
    </xf>
    <xf numFmtId="0" fontId="27" fillId="15" borderId="31" xfId="0" applyFont="1" applyFill="1" applyBorder="1" applyAlignment="1">
      <alignment horizontal="right" vertical="center"/>
    </xf>
    <xf numFmtId="14" fontId="27" fillId="15" borderId="31" xfId="0" applyNumberFormat="1" applyFont="1" applyFill="1" applyBorder="1" applyAlignment="1">
      <alignment horizontal="center" vertical="center"/>
    </xf>
    <xf numFmtId="1" fontId="27" fillId="15" borderId="31" xfId="0" applyNumberFormat="1" applyFont="1" applyFill="1" applyBorder="1" applyAlignment="1">
      <alignment horizontal="right" vertical="center"/>
    </xf>
    <xf numFmtId="0" fontId="26" fillId="16" borderId="31" xfId="0" applyFont="1" applyFill="1" applyBorder="1" applyAlignment="1">
      <alignment horizontal="left" vertical="center" indent="1"/>
    </xf>
    <xf numFmtId="0" fontId="0" fillId="8" borderId="14" xfId="0" applyFill="1" applyBorder="1" applyAlignment="1">
      <alignment horizontal="right" vertical="center"/>
    </xf>
    <xf numFmtId="0" fontId="26" fillId="14" borderId="28" xfId="0" applyFont="1" applyFill="1" applyBorder="1" applyAlignment="1">
      <alignment horizontal="center" vertical="center" wrapText="1"/>
    </xf>
    <xf numFmtId="164" fontId="27" fillId="8" borderId="31" xfId="0" applyNumberFormat="1" applyFont="1" applyFill="1" applyBorder="1" applyAlignment="1">
      <alignment vertical="center" wrapText="1"/>
    </xf>
    <xf numFmtId="164" fontId="27" fillId="15" borderId="31" xfId="0" applyNumberFormat="1" applyFont="1" applyFill="1" applyBorder="1" applyAlignment="1">
      <alignment vertical="center" wrapText="1"/>
    </xf>
    <xf numFmtId="0" fontId="14" fillId="6" borderId="33" xfId="0" applyFont="1" applyFill="1" applyBorder="1" applyAlignment="1">
      <alignment horizontal="left" vertical="center" indent="1"/>
    </xf>
    <xf numFmtId="0" fontId="0" fillId="0" borderId="0" xfId="0"/>
    <xf numFmtId="0" fontId="11" fillId="6" borderId="33" xfId="0" applyFont="1" applyFill="1" applyBorder="1" applyAlignment="1">
      <alignment horizontal="left" vertical="center"/>
    </xf>
    <xf numFmtId="1" fontId="12" fillId="7" borderId="11" xfId="0" applyNumberFormat="1" applyFont="1" applyFill="1" applyBorder="1" applyAlignment="1">
      <alignment horizontal="center" vertical="center"/>
    </xf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25" fillId="7" borderId="11" xfId="0" applyFont="1" applyFill="1" applyBorder="1" applyAlignment="1">
      <alignment horizontal="left" vertical="center" indent="1"/>
    </xf>
    <xf numFmtId="0" fontId="0" fillId="0" borderId="34" xfId="0" applyBorder="1"/>
    <xf numFmtId="0" fontId="0" fillId="0" borderId="38" xfId="0" applyBorder="1"/>
    <xf numFmtId="1" fontId="24" fillId="8" borderId="12" xfId="0" applyNumberFormat="1" applyFont="1" applyFill="1" applyBorder="1" applyAlignment="1">
      <alignment horizontal="left" vertical="center" indent="1"/>
    </xf>
    <xf numFmtId="0" fontId="0" fillId="0" borderId="29" xfId="0" applyBorder="1"/>
    <xf numFmtId="0" fontId="0" fillId="0" borderId="30" xfId="0" applyBorder="1"/>
    <xf numFmtId="0" fontId="0" fillId="0" borderId="21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17" fillId="8" borderId="12" xfId="0" applyFont="1" applyFill="1" applyBorder="1" applyAlignment="1">
      <alignment horizontal="left" vertical="center" indent="1"/>
    </xf>
    <xf numFmtId="0" fontId="0" fillId="0" borderId="40" xfId="0" applyBorder="1"/>
    <xf numFmtId="0" fontId="0" fillId="0" borderId="39" xfId="0" applyBorder="1"/>
    <xf numFmtId="0" fontId="10" fillId="6" borderId="33" xfId="0" applyFont="1" applyFill="1" applyBorder="1" applyAlignment="1">
      <alignment horizontal="left" vertical="center"/>
    </xf>
    <xf numFmtId="0" fontId="17" fillId="8" borderId="12" xfId="0" applyFont="1" applyFill="1" applyBorder="1" applyAlignment="1">
      <alignment horizontal="center" vertical="center"/>
    </xf>
    <xf numFmtId="1" fontId="20" fillId="8" borderId="12" xfId="0" applyNumberFormat="1" applyFont="1" applyFill="1" applyBorder="1" applyAlignment="1">
      <alignment horizontal="left" vertical="center" indent="1"/>
    </xf>
    <xf numFmtId="0" fontId="15" fillId="5" borderId="33" xfId="0" applyFont="1" applyFill="1" applyBorder="1" applyAlignment="1">
      <alignment horizontal="left" vertical="center"/>
    </xf>
    <xf numFmtId="165" fontId="23" fillId="8" borderId="12" xfId="0" applyNumberFormat="1" applyFont="1" applyFill="1" applyBorder="1" applyAlignment="1">
      <alignment horizontal="left" vertical="center" indent="1"/>
    </xf>
    <xf numFmtId="0" fontId="13" fillId="7" borderId="11" xfId="0" applyFont="1" applyFill="1" applyBorder="1" applyAlignment="1">
      <alignment horizontal="center" vertical="center"/>
    </xf>
    <xf numFmtId="0" fontId="0" fillId="0" borderId="41" xfId="0" applyBorder="1"/>
    <xf numFmtId="0" fontId="18" fillId="8" borderId="12" xfId="0" applyFont="1" applyFill="1" applyBorder="1" applyAlignment="1">
      <alignment horizontal="center" vertical="center"/>
    </xf>
    <xf numFmtId="0" fontId="16" fillId="5" borderId="33" xfId="0" applyFont="1" applyFill="1" applyBorder="1" applyAlignment="1">
      <alignment horizontal="left" vertical="center"/>
    </xf>
    <xf numFmtId="164" fontId="21" fillId="8" borderId="12" xfId="0" applyNumberFormat="1" applyFont="1" applyFill="1" applyBorder="1" applyAlignment="1">
      <alignment horizontal="left" vertical="center" indent="1"/>
    </xf>
    <xf numFmtId="1" fontId="22" fillId="8" borderId="12" xfId="0" applyNumberFormat="1" applyFont="1" applyFill="1" applyBorder="1" applyAlignment="1">
      <alignment horizontal="left" vertical="center" indent="1"/>
    </xf>
    <xf numFmtId="0" fontId="2" fillId="4" borderId="3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2" fillId="4" borderId="1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</cellXfs>
  <cellStyles count="1">
    <cellStyle name="Normal" xfId="0" builtinId="0"/>
  </cellStyles>
  <dxfs count="163"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FFE4E8"/>
        </patternFill>
      </fill>
    </dxf>
    <dxf>
      <fill>
        <patternFill patternType="solid">
          <fgColor rgb="FFFFF4D6"/>
        </patternFill>
      </fill>
    </dxf>
    <dxf>
      <fill>
        <patternFill patternType="solid">
          <fgColor rgb="FFE8F8EF"/>
        </patternFill>
      </fill>
    </dxf>
    <dxf>
      <fill>
        <patternFill patternType="solid">
          <fgColor rgb="FFE8F8EF"/>
        </patternFill>
      </fill>
    </dxf>
    <dxf>
      <fill>
        <patternFill patternType="solid">
          <fgColor rgb="FFFFE4E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Quantidade (kg)</c:v>
          </c:tx>
          <c:spPr>
            <a:solidFill>
              <a:srgbClr val="2563E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E46-4BE4-842D-C39C06CC363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46-4BE4-842D-C39C06CC363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46-4BE4-842D-C39C06CC363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46-4BE4-842D-C39C06CC363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E46-4BE4-842D-C39C06CC363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46-4BE4-842D-C39C06CC363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46-4BE4-842D-C39C06CC3637}"/>
                </c:ext>
              </c:extLst>
            </c:dLbl>
            <c:numFmt formatCode="#,##0\ &quot;kg&quot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rgbClr val="334155"/>
                    </a:solidFill>
                    <a:latin typeface="Segoe UI"/>
                    <a:ea typeface="Segoe UI"/>
                    <a:cs typeface="Segoe U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Dashboard2!$Q$16:$Q$25</c:f>
              <c:strCache>
                <c:ptCount val="3"/>
                <c:pt idx="0">
                  <c:v>27TC</c:v>
                </c:pt>
                <c:pt idx="1">
                  <c:v>500</c:v>
                </c:pt>
                <c:pt idx="2">
                  <c:v>GS50</c:v>
                </c:pt>
              </c:strCache>
            </c:strRef>
          </c:cat>
          <c:val>
            <c:numRef>
              <c:f>Dashboard2!$R$16:$R$25</c:f>
              <c:numCache>
                <c:formatCode>#,##0\ "kg"</c:formatCode>
                <c:ptCount val="10"/>
                <c:pt idx="0">
                  <c:v>156000</c:v>
                </c:pt>
                <c:pt idx="1">
                  <c:v>12000</c:v>
                </c:pt>
                <c:pt idx="2">
                  <c:v>100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46-4BE4-842D-C39C06CC3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2054335"/>
        <c:axId val="812061535"/>
      </c:barChart>
      <c:catAx>
        <c:axId val="81205433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334155"/>
                </a:solidFill>
                <a:latin typeface="Segoe UI"/>
                <a:ea typeface="Segoe UI"/>
                <a:cs typeface="Segoe UI"/>
              </a:defRPr>
            </a:pPr>
            <a:endParaRPr lang="pt-BR"/>
          </a:p>
        </c:txPr>
        <c:crossAx val="812061535"/>
        <c:crosses val="autoZero"/>
        <c:auto val="1"/>
        <c:lblAlgn val="ctr"/>
        <c:lblOffset val="100"/>
        <c:noMultiLvlLbl val="0"/>
      </c:catAx>
      <c:valAx>
        <c:axId val="812061535"/>
        <c:scaling>
          <c:orientation val="minMax"/>
        </c:scaling>
        <c:delete val="0"/>
        <c:axPos val="b"/>
        <c:majorGridlines>
          <c:spPr>
            <a:ln>
              <a:solidFill>
                <a:srgbClr val="E7EDF4"/>
              </a:solidFill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667085"/>
                </a:solidFill>
                <a:latin typeface="Segoe UI"/>
                <a:ea typeface="Segoe UI"/>
                <a:cs typeface="Segoe UI"/>
              </a:defRPr>
            </a:pPr>
            <a:endParaRPr lang="pt-BR"/>
          </a:p>
        </c:txPr>
        <c:crossAx val="812054335"/>
        <c:crosses val="autoZero"/>
        <c:crossBetween val="between"/>
      </c:valAx>
      <c:spPr>
        <a:solidFill>
          <a:srgbClr val="FFFFFF"/>
        </a:solidFill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7DEE8"/>
      </a:solidFill>
    </a:ln>
  </c:spPr>
  <c:txPr>
    <a:bodyPr/>
    <a:lstStyle/>
    <a:p>
      <a:pPr>
        <a:defRPr sz="800">
          <a:latin typeface="Segoe UI"/>
          <a:ea typeface="Segoe UI"/>
          <a:cs typeface="Segoe U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Quantidade (kg)</c:v>
          </c:tx>
          <c:spPr>
            <a:solidFill>
              <a:srgbClr val="0F766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5C2-4A9E-9108-E2C13C9B14AA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C2-4A9E-9108-E2C13C9B14AA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C2-4A9E-9108-E2C13C9B14AA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5C2-4A9E-9108-E2C13C9B14AA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5C2-4A9E-9108-E2C13C9B14AA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5C2-4A9E-9108-E2C13C9B14AA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5C2-4A9E-9108-E2C13C9B14AA}"/>
                </c:ext>
              </c:extLst>
            </c:dLbl>
            <c:numFmt formatCode="#,##0\ &quot;kg&quot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rgbClr val="334155"/>
                    </a:solidFill>
                    <a:latin typeface="Segoe UI"/>
                    <a:ea typeface="Segoe UI"/>
                    <a:cs typeface="Segoe U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Dashboard2!$P$33:$P$44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Dashboard2!$R$33:$R$44</c:f>
              <c:numCache>
                <c:formatCode>#,##0\ "kg"</c:formatCode>
                <c:ptCount val="12"/>
                <c:pt idx="0">
                  <c:v>28000</c:v>
                </c:pt>
                <c:pt idx="1">
                  <c:v>28000</c:v>
                </c:pt>
                <c:pt idx="2">
                  <c:v>56000</c:v>
                </c:pt>
                <c:pt idx="3">
                  <c:v>28100</c:v>
                </c:pt>
                <c:pt idx="4">
                  <c:v>28000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2-4A9E-9108-E2C13C9B1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2046175"/>
        <c:axId val="812058175"/>
      </c:barChart>
      <c:catAx>
        <c:axId val="8120461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334155"/>
                </a:solidFill>
                <a:latin typeface="Segoe UI"/>
                <a:ea typeface="Segoe UI"/>
                <a:cs typeface="Segoe UI"/>
              </a:defRPr>
            </a:pPr>
            <a:endParaRPr lang="pt-BR"/>
          </a:p>
        </c:txPr>
        <c:crossAx val="812058175"/>
        <c:crosses val="autoZero"/>
        <c:auto val="1"/>
        <c:lblAlgn val="ctr"/>
        <c:lblOffset val="100"/>
        <c:noMultiLvlLbl val="0"/>
      </c:catAx>
      <c:valAx>
        <c:axId val="812058175"/>
        <c:scaling>
          <c:orientation val="minMax"/>
        </c:scaling>
        <c:delete val="0"/>
        <c:axPos val="l"/>
        <c:majorGridlines>
          <c:spPr>
            <a:ln>
              <a:solidFill>
                <a:srgbClr val="E7EDF4"/>
              </a:solidFill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667085"/>
                </a:solidFill>
                <a:latin typeface="Segoe UI"/>
                <a:ea typeface="Segoe UI"/>
                <a:cs typeface="Segoe UI"/>
              </a:defRPr>
            </a:pPr>
            <a:endParaRPr lang="pt-BR"/>
          </a:p>
        </c:txPr>
        <c:crossAx val="812046175"/>
        <c:crosses val="autoZero"/>
        <c:crossBetween val="between"/>
      </c:valAx>
      <c:spPr>
        <a:solidFill>
          <a:srgbClr val="FFFFFF"/>
        </a:solidFill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7DEE8"/>
      </a:solidFill>
    </a:ln>
  </c:spPr>
  <c:txPr>
    <a:bodyPr/>
    <a:lstStyle/>
    <a:p>
      <a:pPr>
        <a:defRPr sz="800">
          <a:latin typeface="Segoe UI"/>
          <a:ea typeface="Segoe UI"/>
          <a:cs typeface="Segoe U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doughnutChart>
        <c:varyColors val="1"/>
        <c:ser>
          <c:idx val="0"/>
          <c:order val="0"/>
          <c:tx>
            <c:v>Recebimentos</c:v>
          </c:tx>
          <c:dPt>
            <c:idx val="0"/>
            <c:bubble3D val="0"/>
            <c:spPr>
              <a:solidFill>
                <a:srgbClr val="16A34A"/>
              </a:solidFill>
            </c:spPr>
            <c:extLst>
              <c:ext xmlns:c16="http://schemas.microsoft.com/office/drawing/2014/chart" uri="{C3380CC4-5D6E-409C-BE32-E72D297353CC}">
                <c16:uniqueId val="{00000001-ACD6-433D-B021-D0A0FA0D07F1}"/>
              </c:ext>
            </c:extLst>
          </c:dPt>
          <c:dPt>
            <c:idx val="1"/>
            <c:bubble3D val="0"/>
            <c:spPr>
              <a:solidFill>
                <a:srgbClr val="D97706"/>
              </a:solidFill>
            </c:spPr>
            <c:extLst>
              <c:ext xmlns:c16="http://schemas.microsoft.com/office/drawing/2014/chart" uri="{C3380CC4-5D6E-409C-BE32-E72D297353CC}">
                <c16:uniqueId val="{00000002-ACD6-433D-B021-D0A0FA0D07F1}"/>
              </c:ext>
            </c:extLst>
          </c:dPt>
          <c:dPt>
            <c:idx val="2"/>
            <c:bubble3D val="0"/>
            <c:spPr>
              <a:solidFill>
                <a:srgbClr val="BE123C"/>
              </a:solidFill>
            </c:spPr>
            <c:extLst>
              <c:ext xmlns:c16="http://schemas.microsoft.com/office/drawing/2014/chart" uri="{C3380CC4-5D6E-409C-BE32-E72D297353CC}">
                <c16:uniqueId val="{00000003-ACD6-433D-B021-D0A0FA0D07F1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D6-433D-B021-D0A0FA0D07F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D6-433D-B021-D0A0FA0D07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rgbClr val="334155"/>
                    </a:solidFill>
                    <a:latin typeface="Segoe UI"/>
                    <a:ea typeface="Segoe UI"/>
                    <a:cs typeface="Segoe UI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Dashboard2!$M$51:$M$53</c:f>
              <c:strCache>
                <c:ptCount val="3"/>
                <c:pt idx="0">
                  <c:v>Aprovado</c:v>
                </c:pt>
                <c:pt idx="1">
                  <c:v>Em andamento</c:v>
                </c:pt>
                <c:pt idx="2">
                  <c:v>Reprovado</c:v>
                </c:pt>
              </c:strCache>
            </c:strRef>
          </c:cat>
          <c:val>
            <c:numRef>
              <c:f>Dashboard2!$N$51:$N$53</c:f>
              <c:numCache>
                <c:formatCode>General</c:formatCode>
                <c:ptCount val="3"/>
                <c:pt idx="0">
                  <c:v>13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6-433D-B021-D0A0FA0D0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rgbClr val="FFFFFF"/>
        </a:solidFill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7DEE8"/>
      </a:solidFill>
    </a:ln>
  </c:spPr>
  <c:txPr>
    <a:bodyPr/>
    <a:lstStyle/>
    <a:p>
      <a:pPr>
        <a:defRPr sz="800">
          <a:latin typeface="Segoe UI"/>
          <a:ea typeface="Segoe UI"/>
          <a:cs typeface="Segoe U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101599</xdr:colOff>
      <xdr:row>13</xdr:row>
      <xdr:rowOff>101600</xdr:rowOff>
    </xdr:from>
    <xdr:to>
      <xdr:col>13</xdr:col>
      <xdr:colOff>721359</xdr:colOff>
      <xdr:row>25</xdr:row>
      <xdr:rowOff>172720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37A423-CA3D-FF6F-E921-15846EFA96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4</xdr:col>
      <xdr:colOff>74705</xdr:colOff>
      <xdr:row>31</xdr:row>
      <xdr:rowOff>38847</xdr:rowOff>
    </xdr:from>
    <xdr:to>
      <xdr:col>13</xdr:col>
      <xdr:colOff>694465</xdr:colOff>
      <xdr:row>43</xdr:row>
      <xdr:rowOff>109967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D060736-28A9-4390-B8A2-03403CCB6F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4</xdr:col>
      <xdr:colOff>515471</xdr:colOff>
      <xdr:row>48</xdr:row>
      <xdr:rowOff>242047</xdr:rowOff>
    </xdr:from>
    <xdr:to>
      <xdr:col>10</xdr:col>
      <xdr:colOff>271631</xdr:colOff>
      <xdr:row>61</xdr:row>
      <xdr:rowOff>211567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03D0AC4-2F44-8E82-3AA4-87BCFE86B4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8</xdr:row>
      <xdr:rowOff>9525</xdr:rowOff>
    </xdr:from>
    <xdr:to>
      <xdr:col>5</xdr:col>
      <xdr:colOff>409575</xdr:colOff>
      <xdr:row>9</xdr:row>
      <xdr:rowOff>171450</xdr:rowOff>
    </xdr:to>
    <xdr:sp macro="[0]!Macro500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FF1F2BF-31CD-4437-BA7D-F538A46AD4EB}"/>
            </a:ext>
          </a:extLst>
        </xdr:cNvPr>
        <xdr:cNvSpPr/>
      </xdr:nvSpPr>
      <xdr:spPr>
        <a:xfrm>
          <a:off x="2047875" y="1533525"/>
          <a:ext cx="14097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Procyfloc 500</a:t>
          </a:r>
        </a:p>
      </xdr:txBody>
    </xdr:sp>
    <xdr:clientData/>
  </xdr:twoCellAnchor>
  <xdr:twoCellAnchor>
    <xdr:from>
      <xdr:col>0</xdr:col>
      <xdr:colOff>295275</xdr:colOff>
      <xdr:row>8</xdr:row>
      <xdr:rowOff>9525</xdr:rowOff>
    </xdr:from>
    <xdr:to>
      <xdr:col>2</xdr:col>
      <xdr:colOff>485775</xdr:colOff>
      <xdr:row>9</xdr:row>
      <xdr:rowOff>171450</xdr:rowOff>
    </xdr:to>
    <xdr:sp macro="[0]!Macro956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2A05CAE-FFFC-41D3-831D-16358297FAB7}"/>
            </a:ext>
          </a:extLst>
        </xdr:cNvPr>
        <xdr:cNvSpPr/>
      </xdr:nvSpPr>
      <xdr:spPr>
        <a:xfrm>
          <a:off x="295275" y="1533525"/>
          <a:ext cx="14097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Procyfloc 956A</a:t>
          </a:r>
        </a:p>
      </xdr:txBody>
    </xdr:sp>
    <xdr:clientData/>
  </xdr:twoCellAnchor>
  <xdr:twoCellAnchor>
    <xdr:from>
      <xdr:col>0</xdr:col>
      <xdr:colOff>285750</xdr:colOff>
      <xdr:row>13</xdr:row>
      <xdr:rowOff>76200</xdr:rowOff>
    </xdr:from>
    <xdr:to>
      <xdr:col>2</xdr:col>
      <xdr:colOff>476250</xdr:colOff>
      <xdr:row>15</xdr:row>
      <xdr:rowOff>47625</xdr:rowOff>
    </xdr:to>
    <xdr:sp macro="[0]!Macro1009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66E7FC8-0E90-48BF-B5C1-FC1A512F9896}"/>
            </a:ext>
          </a:extLst>
        </xdr:cNvPr>
        <xdr:cNvSpPr/>
      </xdr:nvSpPr>
      <xdr:spPr>
        <a:xfrm>
          <a:off x="285750" y="2552700"/>
          <a:ext cx="14097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Procyfloc 1009</a:t>
          </a:r>
        </a:p>
      </xdr:txBody>
    </xdr:sp>
    <xdr:clientData/>
  </xdr:twoCellAnchor>
  <xdr:twoCellAnchor>
    <xdr:from>
      <xdr:col>0</xdr:col>
      <xdr:colOff>295275</xdr:colOff>
      <xdr:row>10</xdr:row>
      <xdr:rowOff>180975</xdr:rowOff>
    </xdr:from>
    <xdr:to>
      <xdr:col>2</xdr:col>
      <xdr:colOff>485775</xdr:colOff>
      <xdr:row>12</xdr:row>
      <xdr:rowOff>152400</xdr:rowOff>
    </xdr:to>
    <xdr:sp macro="[0]!Macro4800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E5192576-263C-4861-86A6-02491EA50956}"/>
            </a:ext>
          </a:extLst>
        </xdr:cNvPr>
        <xdr:cNvSpPr/>
      </xdr:nvSpPr>
      <xdr:spPr>
        <a:xfrm>
          <a:off x="295275" y="2085975"/>
          <a:ext cx="14097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Procyfloc 4800</a:t>
          </a:r>
        </a:p>
      </xdr:txBody>
    </xdr:sp>
    <xdr:clientData/>
  </xdr:twoCellAnchor>
  <xdr:twoCellAnchor>
    <xdr:from>
      <xdr:col>6</xdr:col>
      <xdr:colOff>238125</xdr:colOff>
      <xdr:row>11</xdr:row>
      <xdr:rowOff>28575</xdr:rowOff>
    </xdr:from>
    <xdr:to>
      <xdr:col>8</xdr:col>
      <xdr:colOff>428625</xdr:colOff>
      <xdr:row>13</xdr:row>
      <xdr:rowOff>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FDDD78E-42DE-401A-B9B4-C5F03C0A5BD5}"/>
            </a:ext>
          </a:extLst>
        </xdr:cNvPr>
        <xdr:cNvSpPr/>
      </xdr:nvSpPr>
      <xdr:spPr>
        <a:xfrm>
          <a:off x="3895725" y="2124075"/>
          <a:ext cx="14097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295275</xdr:colOff>
      <xdr:row>15</xdr:row>
      <xdr:rowOff>180975</xdr:rowOff>
    </xdr:from>
    <xdr:to>
      <xdr:col>2</xdr:col>
      <xdr:colOff>485775</xdr:colOff>
      <xdr:row>17</xdr:row>
      <xdr:rowOff>152400</xdr:rowOff>
    </xdr:to>
    <xdr:sp macro="[0]!Macro27TC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F02A7F7F-29F3-4295-AB67-2B46C8987608}"/>
            </a:ext>
          </a:extLst>
        </xdr:cNvPr>
        <xdr:cNvSpPr/>
      </xdr:nvSpPr>
      <xdr:spPr>
        <a:xfrm>
          <a:off x="295275" y="3038475"/>
          <a:ext cx="14097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Procyfloc 27TC</a:t>
          </a:r>
        </a:p>
      </xdr:txBody>
    </xdr:sp>
    <xdr:clientData/>
  </xdr:twoCellAnchor>
  <xdr:twoCellAnchor>
    <xdr:from>
      <xdr:col>6</xdr:col>
      <xdr:colOff>266700</xdr:colOff>
      <xdr:row>8</xdr:row>
      <xdr:rowOff>28575</xdr:rowOff>
    </xdr:from>
    <xdr:to>
      <xdr:col>8</xdr:col>
      <xdr:colOff>457200</xdr:colOff>
      <xdr:row>10</xdr:row>
      <xdr:rowOff>0</xdr:rowOff>
    </xdr:to>
    <xdr:sp macro="[0]!MacroMODEL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CBAAAF53-2DA0-4BF2-A269-1B5752DEBAD0}"/>
            </a:ext>
          </a:extLst>
        </xdr:cNvPr>
        <xdr:cNvSpPr/>
      </xdr:nvSpPr>
      <xdr:spPr>
        <a:xfrm>
          <a:off x="3924300" y="1552575"/>
          <a:ext cx="14097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MODELO</a:t>
          </a:r>
        </a:p>
      </xdr:txBody>
    </xdr:sp>
    <xdr:clientData/>
  </xdr:twoCellAnchor>
  <xdr:twoCellAnchor>
    <xdr:from>
      <xdr:col>3</xdr:col>
      <xdr:colOff>228600</xdr:colOff>
      <xdr:row>16</xdr:row>
      <xdr:rowOff>9525</xdr:rowOff>
    </xdr:from>
    <xdr:to>
      <xdr:col>5</xdr:col>
      <xdr:colOff>419100</xdr:colOff>
      <xdr:row>17</xdr:row>
      <xdr:rowOff>171450</xdr:rowOff>
    </xdr:to>
    <xdr:sp macro="[0]!Macro700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45E921A2-3C21-4367-9E16-F66C47640B7F}"/>
            </a:ext>
          </a:extLst>
        </xdr:cNvPr>
        <xdr:cNvSpPr/>
      </xdr:nvSpPr>
      <xdr:spPr>
        <a:xfrm>
          <a:off x="2057400" y="3057525"/>
          <a:ext cx="14097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Procyfloc 700A</a:t>
          </a:r>
        </a:p>
      </xdr:txBody>
    </xdr:sp>
    <xdr:clientData/>
  </xdr:twoCellAnchor>
  <xdr:twoCellAnchor>
    <xdr:from>
      <xdr:col>3</xdr:col>
      <xdr:colOff>219075</xdr:colOff>
      <xdr:row>13</xdr:row>
      <xdr:rowOff>114300</xdr:rowOff>
    </xdr:from>
    <xdr:to>
      <xdr:col>5</xdr:col>
      <xdr:colOff>409575</xdr:colOff>
      <xdr:row>15</xdr:row>
      <xdr:rowOff>85725</xdr:rowOff>
    </xdr:to>
    <xdr:sp macro="[0]!MacroAL200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1A066E78-2504-474C-82DD-13B07BD3B144}"/>
            </a:ext>
          </a:extLst>
        </xdr:cNvPr>
        <xdr:cNvSpPr/>
      </xdr:nvSpPr>
      <xdr:spPr>
        <a:xfrm>
          <a:off x="2047875" y="2590800"/>
          <a:ext cx="14097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Procyfloc AL200</a:t>
          </a:r>
        </a:p>
      </xdr:txBody>
    </xdr:sp>
    <xdr:clientData/>
  </xdr:twoCellAnchor>
  <xdr:twoCellAnchor>
    <xdr:from>
      <xdr:col>3</xdr:col>
      <xdr:colOff>266700</xdr:colOff>
      <xdr:row>11</xdr:row>
      <xdr:rowOff>0</xdr:rowOff>
    </xdr:from>
    <xdr:to>
      <xdr:col>5</xdr:col>
      <xdr:colOff>457200</xdr:colOff>
      <xdr:row>12</xdr:row>
      <xdr:rowOff>161925</xdr:rowOff>
    </xdr:to>
    <xdr:sp macro="[0]!MacroGS50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38D71CF4-1170-472B-86DB-8503AC934415}"/>
            </a:ext>
          </a:extLst>
        </xdr:cNvPr>
        <xdr:cNvSpPr/>
      </xdr:nvSpPr>
      <xdr:spPr>
        <a:xfrm>
          <a:off x="2095500" y="2095500"/>
          <a:ext cx="14097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Procyfloc GS50</a:t>
          </a:r>
        </a:p>
      </xdr:txBody>
    </xdr:sp>
    <xdr:clientData/>
  </xdr:twoCellAnchor>
  <xdr:twoCellAnchor editAs="oneCell">
    <xdr:from>
      <xdr:col>0</xdr:col>
      <xdr:colOff>266700</xdr:colOff>
      <xdr:row>1</xdr:row>
      <xdr:rowOff>104775</xdr:rowOff>
    </xdr:from>
    <xdr:to>
      <xdr:col>8</xdr:col>
      <xdr:colOff>371475</xdr:colOff>
      <xdr:row>6</xdr:row>
      <xdr:rowOff>66675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58048030-D071-37F7-63DE-C928A05A0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295275"/>
          <a:ext cx="4981575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361950</xdr:colOff>
      <xdr:row>0</xdr:row>
      <xdr:rowOff>219075</xdr:rowOff>
    </xdr:from>
    <xdr:to>
      <xdr:col>2</xdr:col>
      <xdr:colOff>409575</xdr:colOff>
      <xdr:row>0</xdr:row>
      <xdr:rowOff>942975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6124B22B-F299-49B3-A825-980F54D45C2D}"/>
            </a:ext>
          </a:extLst>
        </xdr:cNvPr>
        <xdr:cNvSpPr/>
      </xdr:nvSpPr>
      <xdr:spPr>
        <a:xfrm>
          <a:off x="1038225" y="219075"/>
          <a:ext cx="657225" cy="72390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0</xdr:row>
      <xdr:rowOff>152400</xdr:rowOff>
    </xdr:from>
    <xdr:to>
      <xdr:col>3</xdr:col>
      <xdr:colOff>1066800</xdr:colOff>
      <xdr:row>0</xdr:row>
      <xdr:rowOff>885825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8E6F351A-F6FA-43C9-9DDC-5ED58B0F89F3}"/>
            </a:ext>
          </a:extLst>
        </xdr:cNvPr>
        <xdr:cNvSpPr/>
      </xdr:nvSpPr>
      <xdr:spPr>
        <a:xfrm>
          <a:off x="1809750" y="342900"/>
          <a:ext cx="800100" cy="733425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504825</xdr:colOff>
      <xdr:row>0</xdr:row>
      <xdr:rowOff>200025</xdr:rowOff>
    </xdr:from>
    <xdr:to>
      <xdr:col>3</xdr:col>
      <xdr:colOff>28575</xdr:colOff>
      <xdr:row>0</xdr:row>
      <xdr:rowOff>904875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7FFE37A6-F9F0-4868-AF68-CB052F7E6774}"/>
            </a:ext>
          </a:extLst>
        </xdr:cNvPr>
        <xdr:cNvSpPr/>
      </xdr:nvSpPr>
      <xdr:spPr>
        <a:xfrm>
          <a:off x="1819275" y="200025"/>
          <a:ext cx="885825" cy="7048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133350</xdr:rowOff>
    </xdr:from>
    <xdr:to>
      <xdr:col>2</xdr:col>
      <xdr:colOff>838200</xdr:colOff>
      <xdr:row>0</xdr:row>
      <xdr:rowOff>838200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ED094DBE-CF46-4A0D-82EF-C15C84BDAC7C}"/>
            </a:ext>
          </a:extLst>
        </xdr:cNvPr>
        <xdr:cNvSpPr/>
      </xdr:nvSpPr>
      <xdr:spPr>
        <a:xfrm>
          <a:off x="1419225" y="133350"/>
          <a:ext cx="704850" cy="7048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0</xdr:row>
      <xdr:rowOff>123825</xdr:rowOff>
    </xdr:from>
    <xdr:to>
      <xdr:col>2</xdr:col>
      <xdr:colOff>600075</xdr:colOff>
      <xdr:row>0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FE988401-223A-4D15-B1C6-5CB789492D37}"/>
            </a:ext>
          </a:extLst>
        </xdr:cNvPr>
        <xdr:cNvSpPr/>
      </xdr:nvSpPr>
      <xdr:spPr>
        <a:xfrm>
          <a:off x="1333500" y="123825"/>
          <a:ext cx="552450" cy="7048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0</xdr:row>
      <xdr:rowOff>133350</xdr:rowOff>
    </xdr:from>
    <xdr:to>
      <xdr:col>2</xdr:col>
      <xdr:colOff>342900</xdr:colOff>
      <xdr:row>0</xdr:row>
      <xdr:rowOff>838200</xdr:rowOff>
    </xdr:to>
    <xdr:sp macro="[0]!MacroVOLTAR" textlink="">
      <xdr:nvSpPr>
        <xdr:cNvPr id="3" name="Seta: Curva para a Esquerda 2">
          <a:extLst>
            <a:ext uri="{FF2B5EF4-FFF2-40B4-BE49-F238E27FC236}">
              <a16:creationId xmlns:a16="http://schemas.microsoft.com/office/drawing/2014/main" id="{0E8DCF5C-1322-4C1C-993F-6F3678748072}"/>
            </a:ext>
          </a:extLst>
        </xdr:cNvPr>
        <xdr:cNvSpPr/>
      </xdr:nvSpPr>
      <xdr:spPr>
        <a:xfrm>
          <a:off x="1076325" y="133350"/>
          <a:ext cx="552450" cy="7048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0</xdr:row>
      <xdr:rowOff>152400</xdr:rowOff>
    </xdr:from>
    <xdr:to>
      <xdr:col>2</xdr:col>
      <xdr:colOff>819150</xdr:colOff>
      <xdr:row>0</xdr:row>
      <xdr:rowOff>857250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4AD9983D-2A60-4F8C-A45B-0A8C70F0C1AC}"/>
            </a:ext>
          </a:extLst>
        </xdr:cNvPr>
        <xdr:cNvSpPr/>
      </xdr:nvSpPr>
      <xdr:spPr>
        <a:xfrm>
          <a:off x="1333500" y="152400"/>
          <a:ext cx="771525" cy="7048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447675</xdr:colOff>
      <xdr:row>0</xdr:row>
      <xdr:rowOff>152400</xdr:rowOff>
    </xdr:from>
    <xdr:to>
      <xdr:col>2</xdr:col>
      <xdr:colOff>752475</xdr:colOff>
      <xdr:row>0</xdr:row>
      <xdr:rowOff>857250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69FE392F-7CF9-4FBF-956C-1F6DBB47BCE5}"/>
            </a:ext>
          </a:extLst>
        </xdr:cNvPr>
        <xdr:cNvSpPr/>
      </xdr:nvSpPr>
      <xdr:spPr>
        <a:xfrm>
          <a:off x="1381125" y="342900"/>
          <a:ext cx="914400" cy="7048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</xdr:row>
      <xdr:rowOff>133350</xdr:rowOff>
    </xdr:from>
    <xdr:to>
      <xdr:col>2</xdr:col>
      <xdr:colOff>552450</xdr:colOff>
      <xdr:row>1</xdr:row>
      <xdr:rowOff>838200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8C026558-EF9B-4062-83D9-C5FED9679BDD}"/>
            </a:ext>
          </a:extLst>
        </xdr:cNvPr>
        <xdr:cNvSpPr/>
      </xdr:nvSpPr>
      <xdr:spPr>
        <a:xfrm>
          <a:off x="904875" y="323850"/>
          <a:ext cx="923925" cy="704850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3639" displayName="Tabela13639" ref="A2:L12" totalsRowShown="0" headerRowDxfId="156" dataDxfId="155">
  <autoFilter ref="A2:L12" xr:uid="{00000000-0009-0000-0100-000001000000}"/>
  <tableColumns count="12">
    <tableColumn id="1" xr3:uid="{00000000-0010-0000-0000-000001000000}" name="Data" dataDxfId="154"/>
    <tableColumn id="2" xr3:uid="{00000000-0010-0000-0000-000002000000}" name="Lote" dataDxfId="153"/>
    <tableColumn id="3" xr3:uid="{00000000-0010-0000-0000-000003000000}" name="Quantidade (Kg)" dataDxfId="152"/>
    <tableColumn id="4" xr3:uid="{00000000-0010-0000-0000-000004000000}" name="Validade _x000a_" dataDxfId="151"/>
    <tableColumn id="5" xr3:uid="{00000000-0010-0000-0000-000005000000}" name="Aspecto_x000a_(Líquido)" dataDxfId="150"/>
    <tableColumn id="6" xr3:uid="{00000000-0010-0000-0000-000006000000}" name="Cor_x000a_(Incolor)" dataDxfId="149"/>
    <tableColumn id="7" xr3:uid="{00000000-0010-0000-0000-000007000000}" name="Densidade a 20ºC (g/cm³)_x000a_(1,1 - 1,3)" dataDxfId="148"/>
    <tableColumn id="20" xr3:uid="{00000000-0010-0000-0000-000014000000}" name="Ph Puro_x000a_(2,0 - 3,0)" dataDxfId="147"/>
    <tableColumn id="8" xr3:uid="{00000000-0010-0000-0000-000008000000}" name="pH 1%" dataDxfId="146"/>
    <tableColumn id="9" xr3:uid="{00000000-0010-0000-0000-000009000000}" name="Status" dataDxfId="145"/>
    <tableColumn id="15" xr3:uid="{00000000-0010-0000-0000-00000F000000}" name="Observação" dataDxfId="144"/>
    <tableColumn id="16" xr3:uid="{00000000-0010-0000-0000-000010000000}" name="Responsável" dataDxfId="14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13635" displayName="Tabela13635" ref="B2:P14" totalsRowShown="0" headerRowDxfId="141" dataDxfId="140">
  <autoFilter ref="B2:P14" xr:uid="{00000000-0009-0000-0100-000002000000}"/>
  <tableColumns count="15">
    <tableColumn id="1" xr3:uid="{00000000-0010-0000-0100-000001000000}" name="Data" dataDxfId="139"/>
    <tableColumn id="2" xr3:uid="{00000000-0010-0000-0100-000002000000}" name="Lote" dataDxfId="138"/>
    <tableColumn id="3" xr3:uid="{00000000-0010-0000-0100-000003000000}" name="Quantidade (Kg)" dataDxfId="137"/>
    <tableColumn id="4" xr3:uid="{00000000-0010-0000-0100-000004000000}" name="Validade _x000a_" dataDxfId="136"/>
    <tableColumn id="5" xr3:uid="{00000000-0010-0000-0100-000005000000}" name="Aspecto_x000a_(Líquido)" dataDxfId="135"/>
    <tableColumn id="6" xr3:uid="{00000000-0010-0000-0100-000006000000}" name="Cor_x000a_(Marrom)" dataDxfId="134"/>
    <tableColumn id="7" xr3:uid="{00000000-0010-0000-0100-000007000000}" name="Densidade a 20ºC (g/cm³)_x000a_(1,1 - 1,2)" dataDxfId="133"/>
    <tableColumn id="20" xr3:uid="{00000000-0010-0000-0100-000014000000}" name="Ph Puro_x000a_(1,1 - 2,3)" dataDxfId="132"/>
    <tableColumn id="11" xr3:uid="{00000000-0010-0000-0100-00000B000000}" name="PH 1%         (3,0 - 4,5)" dataDxfId="131"/>
    <tableColumn id="8" xr3:uid="{00000000-0010-0000-0100-000008000000}" name="Viscosidade copo Ford (segundos)_x000a_(máx 50)" dataDxfId="130"/>
    <tableColumn id="9" xr3:uid="{00000000-0010-0000-0100-000009000000}" name="Característica iônica_x000a_(catiônico)" dataDxfId="129"/>
    <tableColumn id="18" xr3:uid="{00000000-0010-0000-0100-000012000000}" name="Solubilidade em água (%)_x000a_(100)" dataDxfId="128"/>
    <tableColumn id="10" xr3:uid="{00000000-0010-0000-0100-00000A000000}" name="Status" dataDxfId="127"/>
    <tableColumn id="13" xr3:uid="{00000000-0010-0000-0100-00000D000000}" name="Observação" dataDxfId="126"/>
    <tableColumn id="14" xr3:uid="{00000000-0010-0000-0100-00000E000000}" name="Responsável" dataDxfId="12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34511" displayName="Tabela134511" ref="A2:N27" totalsRowShown="0" headerRowDxfId="120" dataDxfId="119">
  <autoFilter ref="A2:N27" xr:uid="{00000000-0009-0000-0100-000003000000}"/>
  <tableColumns count="14">
    <tableColumn id="1" xr3:uid="{00000000-0010-0000-0200-000001000000}" name="Data" dataDxfId="118"/>
    <tableColumn id="2" xr3:uid="{00000000-0010-0000-0200-000002000000}" name="Lote" dataDxfId="117"/>
    <tableColumn id="3" xr3:uid="{00000000-0010-0000-0200-000003000000}" name="Quantidade (Kg)" dataDxfId="116"/>
    <tableColumn id="4" xr3:uid="{00000000-0010-0000-0200-000004000000}" name="Validade _x000a_" dataDxfId="115"/>
    <tableColumn id="5" xr3:uid="{00000000-0010-0000-0200-000005000000}" name="Aspecto_x000a_(Líquido viscoso)" dataDxfId="114"/>
    <tableColumn id="6" xr3:uid="{00000000-0010-0000-0200-000006000000}" name="Cor_x000a_(Incolor)" dataDxfId="113"/>
    <tableColumn id="11" xr3:uid="{00000000-0010-0000-0200-00000B000000}" name="Odor_x000a_(característico neutro)" dataDxfId="112"/>
    <tableColumn id="7" xr3:uid="{00000000-0010-0000-0200-000007000000}" name="Densidade a 20ºC (g/cm³)_x000a_(1,020 - 1,070)" dataDxfId="111"/>
    <tableColumn id="8" xr3:uid="{00000000-0010-0000-0200-000008000000}" name="pH puro _x000a_(4,0 - 6,0)" dataDxfId="110"/>
    <tableColumn id="9" xr3:uid="{00000000-0010-0000-0200-000009000000}" name="pH 5% _x000a_(4,0 - 6,0)" dataDxfId="109"/>
    <tableColumn id="10" xr3:uid="{00000000-0010-0000-0200-00000A000000}" name="Viscosidade_x000a_(&gt;35s)" dataDxfId="108"/>
    <tableColumn id="12" xr3:uid="{00000000-0010-0000-0200-00000C000000}" name="Status" dataDxfId="107"/>
    <tableColumn id="15" xr3:uid="{00000000-0010-0000-0200-00000F000000}" name="Observação" dataDxfId="106"/>
    <tableColumn id="16" xr3:uid="{00000000-0010-0000-0200-000010000000}" name="Responsável" dataDxfId="10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13637" displayName="Tabela13637" ref="A2:P4" totalsRowShown="0" headerRowDxfId="103" dataDxfId="102">
  <autoFilter ref="A2:P4" xr:uid="{00000000-0009-0000-0100-000004000000}"/>
  <tableColumns count="16">
    <tableColumn id="1" xr3:uid="{00000000-0010-0000-0300-000001000000}" name="Data" dataDxfId="101"/>
    <tableColumn id="2" xr3:uid="{00000000-0010-0000-0300-000002000000}" name="Lote" dataDxfId="100"/>
    <tableColumn id="3" xr3:uid="{00000000-0010-0000-0300-000003000000}" name="Quantidade (Kg)" dataDxfId="99"/>
    <tableColumn id="4" xr3:uid="{00000000-0010-0000-0300-000004000000}" name="Validade _x000a_" dataDxfId="98"/>
    <tableColumn id="5" xr3:uid="{00000000-0010-0000-0300-000005000000}" name="Aspecto_x000a_(Líquido viscoso)" dataDxfId="97"/>
    <tableColumn id="6" xr3:uid="{00000000-0010-0000-0300-000006000000}" name="Cor_x000a_(Branco)" dataDxfId="96"/>
    <tableColumn id="7" xr3:uid="{00000000-0010-0000-0300-000007000000}" name="Odor_x000a_(Neutro)" dataDxfId="95"/>
    <tableColumn id="20" xr3:uid="{00000000-0010-0000-0300-000014000000}" name="Densidade (g/cm3)_x000a_(1,05)" dataDxfId="94"/>
    <tableColumn id="8" xr3:uid="{00000000-0010-0000-0300-000008000000}" name="pH _x000a_(7,0 - 9,0)" dataDxfId="93"/>
    <tableColumn id="9" xr3:uid="{00000000-0010-0000-0300-000009000000}" name="Viscosidade (cps)_x000a_(190 - 900)" dataDxfId="92"/>
    <tableColumn id="10" xr3:uid="{00000000-0010-0000-0300-00000A000000}" name="Solubilidade em água_x000a_(Emulsionável)" dataDxfId="91"/>
    <tableColumn id="11" xr3:uid="{00000000-0010-0000-0300-00000B000000}" name="Caráter iônico_x000a_(Aniônico)" dataDxfId="90"/>
    <tableColumn id="12" xr3:uid="{00000000-0010-0000-0300-00000C000000}" name="Estabilidade _x000a_(Estável)" dataDxfId="89"/>
    <tableColumn id="13" xr3:uid="{00000000-0010-0000-0300-00000D000000}" name="Status" dataDxfId="88"/>
    <tableColumn id="19" xr3:uid="{00000000-0010-0000-0300-000013000000}" name="Observação" dataDxfId="87"/>
    <tableColumn id="18" xr3:uid="{00000000-0010-0000-0300-000012000000}" name="Responsável" dataDxfId="86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1362" displayName="Tabela1362" ref="A2:N4" totalsRowShown="0" headerRowDxfId="84" dataDxfId="83">
  <autoFilter ref="A2:N4" xr:uid="{00000000-0009-0000-0100-000005000000}"/>
  <tableColumns count="14">
    <tableColumn id="1" xr3:uid="{00000000-0010-0000-0400-000001000000}" name="Data" dataDxfId="82"/>
    <tableColumn id="2" xr3:uid="{00000000-0010-0000-0400-000002000000}" name="Lote" dataDxfId="81"/>
    <tableColumn id="3" xr3:uid="{00000000-0010-0000-0400-000003000000}" name="Quantidade (Kg)" dataDxfId="80"/>
    <tableColumn id="4" xr3:uid="{00000000-0010-0000-0400-000004000000}" name="Validade _x000a_" dataDxfId="79"/>
    <tableColumn id="5" xr3:uid="{00000000-0010-0000-0400-000005000000}" name="Aspecto_x000a_(Cristais)" dataDxfId="78"/>
    <tableColumn id="6" xr3:uid="{00000000-0010-0000-0400-000006000000}" name="Cor_x000a_(Branco)" dataDxfId="77"/>
    <tableColumn id="7" xr3:uid="{00000000-0010-0000-0400-000007000000}" name="Odor_x000a_(neutro característico)" dataDxfId="76"/>
    <tableColumn id="20" xr3:uid="{00000000-0010-0000-0400-000014000000}" name="pH 0,1%_x000a_(5,5 - 8,5)" dataDxfId="75"/>
    <tableColumn id="8" xr3:uid="{00000000-0010-0000-0400-000008000000}" name="Estabilidade_x000a_(Estável)" dataDxfId="74"/>
    <tableColumn id="9" xr3:uid="{00000000-0010-0000-0400-000009000000}" name="Solubilidade em água_x000a_(emulsionável)" dataDxfId="73"/>
    <tableColumn id="10" xr3:uid="{00000000-0010-0000-0400-00000A000000}" name="Cratér iônico_x000a_(Aniônico)" dataDxfId="72"/>
    <tableColumn id="11" xr3:uid="{00000000-0010-0000-0400-00000B000000}" name="Status"/>
    <tableColumn id="15" xr3:uid="{00000000-0010-0000-0400-00000F000000}" name="Observação" dataDxfId="71"/>
    <tableColumn id="16" xr3:uid="{00000000-0010-0000-0400-000010000000}" name="Responsável" dataDxfId="70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136" displayName="Tabela136" ref="A2:N4" totalsRowShown="0" headerRowDxfId="68" dataDxfId="67">
  <autoFilter ref="A2:N4" xr:uid="{00000000-0009-0000-0100-000006000000}"/>
  <tableColumns count="14">
    <tableColumn id="1" xr3:uid="{00000000-0010-0000-0500-000001000000}" name="Data" dataDxfId="66"/>
    <tableColumn id="2" xr3:uid="{00000000-0010-0000-0500-000002000000}" name="Lote" dataDxfId="65"/>
    <tableColumn id="3" xr3:uid="{00000000-0010-0000-0500-000003000000}" name="Quantidade (Kg)" dataDxfId="64"/>
    <tableColumn id="4" xr3:uid="{00000000-0010-0000-0500-000004000000}" name="Validade _x000a_" dataDxfId="63"/>
    <tableColumn id="5" xr3:uid="{00000000-0010-0000-0500-000005000000}" name="Aspecto_x000a_(Cristais)" dataDxfId="62"/>
    <tableColumn id="6" xr3:uid="{00000000-0010-0000-0500-000006000000}" name="Cor_x000a_(Branco)" dataDxfId="61"/>
    <tableColumn id="7" xr3:uid="{00000000-0010-0000-0500-000007000000}" name="Odor_x000a_(Neutro característico)" dataDxfId="60"/>
    <tableColumn id="8" xr3:uid="{00000000-0010-0000-0500-000008000000}" name="pH 0,1% _x000a_(4,0 - 6,0)" dataDxfId="59"/>
    <tableColumn id="9" xr3:uid="{00000000-0010-0000-0500-000009000000}" name="Estabilidade_x000a_(estãvel)" dataDxfId="58"/>
    <tableColumn id="10" xr3:uid="{00000000-0010-0000-0500-00000A000000}" name="Solubilidade em água_x000a_(emulsionável)" dataDxfId="57"/>
    <tableColumn id="11" xr3:uid="{00000000-0010-0000-0500-00000B000000}" name="Carater iônico_x000a_(catiônico)" dataDxfId="56"/>
    <tableColumn id="12" xr3:uid="{00000000-0010-0000-0500-00000C000000}" name="Status" dataDxfId="55"/>
    <tableColumn id="15" xr3:uid="{00000000-0010-0000-0500-00000F000000}" name="Observação" dataDxfId="54"/>
    <tableColumn id="16" xr3:uid="{00000000-0010-0000-0500-000010000000}" name="Responsável" dataDxfId="53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13634" displayName="Tabela13634" ref="A2:L4" totalsRowShown="0" headerRowDxfId="51" dataDxfId="50">
  <autoFilter ref="A2:L4" xr:uid="{00000000-0009-0000-0100-000007000000}"/>
  <tableColumns count="12">
    <tableColumn id="1" xr3:uid="{00000000-0010-0000-0600-000001000000}" name="Data" dataDxfId="49"/>
    <tableColumn id="2" xr3:uid="{00000000-0010-0000-0600-000002000000}" name="Lote" dataDxfId="48"/>
    <tableColumn id="3" xr3:uid="{00000000-0010-0000-0600-000003000000}" name="Quantidade (Kg)" dataDxfId="47"/>
    <tableColumn id="4" xr3:uid="{00000000-0010-0000-0600-000004000000}" name="Validade _x000a_" dataDxfId="46"/>
    <tableColumn id="5" xr3:uid="{00000000-0010-0000-0600-000005000000}" name="Aspecto_x000a_(Cristais)" dataDxfId="45"/>
    <tableColumn id="6" xr3:uid="{00000000-0010-0000-0600-000006000000}" name="Cor_x000a_(Branco)" dataDxfId="44"/>
    <tableColumn id="21" xr3:uid="{00000000-0010-0000-0600-000015000000}" name="pH 0,1%_x000a_(3,5 - 5,0)" dataDxfId="43"/>
    <tableColumn id="7" xr3:uid="{00000000-0010-0000-0600-000007000000}" name="Carater iônico_x000a_(Catiônico)" dataDxfId="42"/>
    <tableColumn id="20" xr3:uid="{00000000-0010-0000-0600-000014000000}" name="Solubilidade em água _x000a_(emulsionável)" dataDxfId="41"/>
    <tableColumn id="8" xr3:uid="{00000000-0010-0000-0600-000008000000}" name="Status" dataDxfId="40"/>
    <tableColumn id="15" xr3:uid="{00000000-0010-0000-0600-00000F000000}" name="Observação" dataDxfId="39"/>
    <tableColumn id="16" xr3:uid="{00000000-0010-0000-0600-000010000000}" name="Responsável" dataDxfId="38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13638" displayName="Tabela13638" ref="A2:M4" totalsRowShown="0" headerRowDxfId="36" dataDxfId="35">
  <autoFilter ref="A2:M4" xr:uid="{00000000-0009-0000-0100-000008000000}"/>
  <tableColumns count="13">
    <tableColumn id="1" xr3:uid="{00000000-0010-0000-0700-000001000000}" name="Data" dataDxfId="34"/>
    <tableColumn id="2" xr3:uid="{00000000-0010-0000-0700-000002000000}" name="Lote" dataDxfId="33"/>
    <tableColumn id="3" xr3:uid="{00000000-0010-0000-0700-000003000000}" name="Quantidade (Kg)" dataDxfId="32"/>
    <tableColumn id="4" xr3:uid="{00000000-0010-0000-0700-000004000000}" name="Validade _x000a_" dataDxfId="31"/>
    <tableColumn id="5" xr3:uid="{00000000-0010-0000-0700-000005000000}" name="Aspecto_x000a_(Líquido viscoso)" dataDxfId="30"/>
    <tableColumn id="6" xr3:uid="{00000000-0010-0000-0700-000006000000}" name="Cor_x000a_(Marrom escuro)" dataDxfId="29"/>
    <tableColumn id="21" xr3:uid="{00000000-0010-0000-0700-000015000000}" name="Odor_x000a_(Característico)" dataDxfId="28"/>
    <tableColumn id="7" xr3:uid="{00000000-0010-0000-0700-000007000000}" name="Densidade a 20ºC (g/cm³)_x000a_(1,500 - 1,600)" dataDxfId="27"/>
    <tableColumn id="8" xr3:uid="{00000000-0010-0000-0700-000008000000}" name="pH 10% _x000a_(12 - 14)" dataDxfId="26"/>
    <tableColumn id="10" xr3:uid="{00000000-0010-0000-0700-00000A000000}" name="Al2O3 (%)_x000a_(19 - 25)" dataDxfId="25"/>
    <tableColumn id="9" xr3:uid="{00000000-0010-0000-0700-000009000000}" name="Status" dataDxfId="24"/>
    <tableColumn id="15" xr3:uid="{00000000-0010-0000-0700-00000F000000}" name="Observação" dataDxfId="23"/>
    <tableColumn id="16" xr3:uid="{00000000-0010-0000-0700-000010000000}" name="Responsável" dataDxfId="22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1363" displayName="Tabela1363" ref="B3:U5" totalsRowShown="0" headerRowDxfId="21" dataDxfId="20">
  <autoFilter ref="B3:U5" xr:uid="{00000000-0009-0000-0100-000009000000}"/>
  <tableColumns count="20">
    <tableColumn id="17" xr3:uid="{00000000-0010-0000-0800-000011000000}" name="Aprovação" dataDxfId="19"/>
    <tableColumn id="1" xr3:uid="{00000000-0010-0000-0800-000001000000}" name="Data" dataDxfId="18"/>
    <tableColumn id="2" xr3:uid="{00000000-0010-0000-0800-000002000000}" name="Lote" dataDxfId="17"/>
    <tableColumn id="3" xr3:uid="{00000000-0010-0000-0800-000003000000}" name="Quantidade (Kg)" dataDxfId="16"/>
    <tableColumn id="4" xr3:uid="{00000000-0010-0000-0800-000004000000}" name="Validade _x000a_" dataDxfId="15"/>
    <tableColumn id="5" xr3:uid="{00000000-0010-0000-0800-000005000000}" name="Aspecto_x000a_()" dataDxfId="14"/>
    <tableColumn id="6" xr3:uid="{00000000-0010-0000-0800-000006000000}" name="Cor_x000a_()" dataDxfId="13"/>
    <tableColumn id="7" xr3:uid="{00000000-0010-0000-0800-000007000000}" name="Densidade a 20ºC (g/cm³)_x000a_()" dataDxfId="12"/>
    <tableColumn id="20" xr3:uid="{00000000-0010-0000-0800-000014000000}" name="Ph Puro_x000a_()" dataDxfId="11"/>
    <tableColumn id="8" xr3:uid="{00000000-0010-0000-0800-000008000000}" name="pH % _x000a_()" dataDxfId="10"/>
    <tableColumn id="9" xr3:uid="{00000000-0010-0000-0800-000009000000}" name="Cloreto (%)_x000a_()" dataDxfId="9"/>
    <tableColumn id="10" xr3:uid="{00000000-0010-0000-0800-00000A000000}" name="Al2O3 (%)_x000a_()" dataDxfId="8"/>
    <tableColumn id="11" xr3:uid="{00000000-0010-0000-0800-00000B000000}" name="Basicidade_x000a_()" dataDxfId="7"/>
    <tableColumn id="12" xr3:uid="{00000000-0010-0000-0800-00000C000000}" name="Refratômetro _x000a_()" dataDxfId="6"/>
    <tableColumn id="19" xr3:uid="{00000000-0010-0000-0800-000013000000}" name="Colunas1" dataDxfId="5"/>
    <tableColumn id="18" xr3:uid="{00000000-0010-0000-0800-000012000000}" name="Colunas2" dataDxfId="4"/>
    <tableColumn id="13" xr3:uid="{00000000-0010-0000-0800-00000D000000}" name="Colunas3" dataDxfId="3"/>
    <tableColumn id="14" xr3:uid="{00000000-0010-0000-0800-00000E000000}" name="Colunas4" dataDxfId="2"/>
    <tableColumn id="15" xr3:uid="{00000000-0010-0000-0800-00000F000000}" name="Observação" dataDxfId="1"/>
    <tableColumn id="16" xr3:uid="{00000000-0010-0000-0800-000010000000}" name="Responsável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O4001"/>
  <sheetViews>
    <sheetView showGridLines="0" tabSelected="1" zoomScale="85" workbookViewId="0">
      <selection activeCell="AP6" sqref="AP6"/>
    </sheetView>
  </sheetViews>
  <sheetFormatPr defaultRowHeight="14.4" x14ac:dyDescent="0.3"/>
  <cols>
    <col min="1" max="1" width="2.44140625" customWidth="1"/>
    <col min="2" max="3" width="13" customWidth="1"/>
    <col min="4" max="4" width="2.44140625" customWidth="1"/>
    <col min="5" max="6" width="11" customWidth="1"/>
    <col min="7" max="14" width="12" customWidth="1"/>
    <col min="15" max="15" width="9" customWidth="1"/>
    <col min="16" max="16" width="7" customWidth="1"/>
    <col min="17" max="17" width="17" customWidth="1"/>
    <col min="18" max="18" width="15" customWidth="1"/>
    <col min="19" max="19" width="9" customWidth="1"/>
    <col min="20" max="20" width="10" customWidth="1"/>
    <col min="21" max="21" width="11" customWidth="1"/>
    <col min="22" max="22" width="10" customWidth="1"/>
    <col min="23" max="23" width="12" customWidth="1"/>
    <col min="24" max="41" width="13" hidden="1" customWidth="1"/>
  </cols>
  <sheetData>
    <row r="1" spans="1:40" ht="24" customHeight="1" x14ac:dyDescent="0.4">
      <c r="A1" s="40"/>
      <c r="B1" s="40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AA1" s="42" t="s">
        <v>0</v>
      </c>
      <c r="AB1" s="42" t="s">
        <v>1</v>
      </c>
      <c r="AC1" s="42" t="s">
        <v>2</v>
      </c>
      <c r="AD1" s="42" t="s">
        <v>3</v>
      </c>
      <c r="AE1" s="42" t="s">
        <v>4</v>
      </c>
      <c r="AF1" s="42" t="s">
        <v>5</v>
      </c>
      <c r="AG1" s="42" t="s">
        <v>6</v>
      </c>
      <c r="AH1" s="42" t="s">
        <v>7</v>
      </c>
      <c r="AI1" s="42" t="s">
        <v>8</v>
      </c>
      <c r="AJ1" s="42" t="s">
        <v>9</v>
      </c>
      <c r="AK1" s="42" t="s">
        <v>10</v>
      </c>
      <c r="AL1" s="42" t="s">
        <v>11</v>
      </c>
      <c r="AM1" s="42" t="s">
        <v>12</v>
      </c>
    </row>
    <row r="2" spans="1:40" ht="30" customHeight="1" x14ac:dyDescent="0.3">
      <c r="A2" s="40"/>
      <c r="B2" s="104" t="s">
        <v>13</v>
      </c>
      <c r="C2" s="84"/>
      <c r="D2" s="41"/>
      <c r="E2" s="107" t="s">
        <v>14</v>
      </c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41"/>
      <c r="U2" s="105" t="s">
        <v>15</v>
      </c>
      <c r="V2" s="103"/>
      <c r="W2" s="43" t="s">
        <v>16</v>
      </c>
      <c r="AA2" t="str">
        <f>IF(COUNTA('Procyfloc GS50'!A3,'Procyfloc GS50'!B3,'Procyfloc GS50'!C3)&gt;0,"GS50","")</f>
        <v>GS50</v>
      </c>
      <c r="AB2">
        <f>IFERROR(IF(ISNUMBER('Procyfloc GS50'!A3),'Procyfloc GS50'!A3,DATEVALUE('Procyfloc GS50'!A3)),"")</f>
        <v>45320</v>
      </c>
      <c r="AC2" t="str">
        <f>IF(AA2="","",'Procyfloc GS50'!B3)</f>
        <v>8179/24</v>
      </c>
      <c r="AD2">
        <f>IF(AA2="","",IFERROR(1*'Procyfloc GS50'!C3,IFERROR(_xludf.NUMBERVALUE('Procyfloc GS50'!C3,".",","),IFERROR(_xludf.NUMBERVALUE('Procyfloc GS50'!C3,",","."),0))))</f>
        <v>200</v>
      </c>
      <c r="AE2" t="str">
        <f>IF(AA2="","",'Procyfloc GS50'!J3)</f>
        <v>Aprovado</v>
      </c>
      <c r="AF2">
        <f t="shared" ref="AF2:AF65" si="0">IF(AA2="",0,--AND(ISNUMBER(SEARCH("aprov",AE2)),NOT(ISNUMBER(SEARCH("reprov",AE2)))))</f>
        <v>1</v>
      </c>
      <c r="AG2">
        <f t="shared" ref="AG2:AG65" si="1">IF(AB2="","",YEAR(AB2))</f>
        <v>2024</v>
      </c>
      <c r="AH2">
        <f t="shared" ref="AH2:AH65" si="2">IF(AB2="","",MONTH(AB2))</f>
        <v>1</v>
      </c>
      <c r="AI2">
        <f t="shared" ref="AI2:AI65" si="3">IF(AB2="",0,AB2+ROW()/1000000)</f>
        <v>45320.000002000001</v>
      </c>
      <c r="AJ2">
        <f t="shared" ref="AJ2:AJ65" si="4">--(AA2&lt;&gt;"")</f>
        <v>1</v>
      </c>
      <c r="AK2">
        <v>0</v>
      </c>
      <c r="AL2">
        <f>IF(AA2="","",IFERROR(IF(ISNUMBER('Procyfloc GS50'!D3),'Procyfloc GS50'!D3,IF(ISNUMBER(SEARCH("12",'Procyfloc GS50'!D3)),EDATE(AB2,12),IF(ISNUMBER(SEARCH("6",'Procyfloc GS50'!D3)),EDATE(AB2,6),IF(ISNUMBER(SEARCH("3",'Procyfloc GS50'!D3)),EDATE(AB2,3),DATEVALUE('Procyfloc GS50'!D3))))),""))</f>
        <v>45502</v>
      </c>
      <c r="AM2" t="str">
        <f t="shared" ref="AM2:AM65" ca="1" si="5">IF(AND(AJ2=1,AL2&lt;&gt;"",AL2&gt;=TODAY(),AG2=$W$3),AL2+ROW()/1000000,"")</f>
        <v/>
      </c>
      <c r="AN2">
        <v>2022</v>
      </c>
    </row>
    <row r="3" spans="1:40" ht="24" customHeight="1" x14ac:dyDescent="0.3">
      <c r="A3" s="40"/>
      <c r="B3" s="85" t="s">
        <v>17</v>
      </c>
      <c r="C3" s="84"/>
      <c r="D3" s="41"/>
      <c r="E3" s="112" t="str">
        <f ca="1">"Atualizado: "&amp;TEXT(NOW(),"dd/mm/aaaa hh:mm")&amp;"  |  Ano selecionado: "&amp;$W$3</f>
        <v>Atualizado: 29/05/2026 10:17  |  Ano selecionado: 2026</v>
      </c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41"/>
      <c r="U3" s="111" t="s">
        <v>18</v>
      </c>
      <c r="V3" s="103"/>
      <c r="W3" s="44">
        <v>2026</v>
      </c>
      <c r="AA3" t="str">
        <f>IF(COUNTA('Procyfloc GS50'!A4,'Procyfloc GS50'!B4,'Procyfloc GS50'!C4)&gt;0,"GS50","")</f>
        <v>GS50</v>
      </c>
      <c r="AB3">
        <f>IFERROR(IF(ISNUMBER('Procyfloc GS50'!A4),'Procyfloc GS50'!A4,DATEVALUE('Procyfloc GS50'!A4)),"")</f>
        <v>45420</v>
      </c>
      <c r="AC3">
        <f>IF(AA3="","",'Procyfloc GS50'!B4)</f>
        <v>8394</v>
      </c>
      <c r="AD3">
        <f>IF(AA3="","",IFERROR(1*'Procyfloc GS50'!C4,IFERROR(_xludf.NUMBERVALUE('Procyfloc GS50'!C4,".",","),IFERROR(_xludf.NUMBERVALUE('Procyfloc GS50'!C4,",","."),0))))</f>
        <v>200</v>
      </c>
      <c r="AE3" t="str">
        <f>IF(AA3="","",'Procyfloc GS50'!J4)</f>
        <v>Aprovado</v>
      </c>
      <c r="AF3">
        <f t="shared" si="0"/>
        <v>1</v>
      </c>
      <c r="AG3">
        <f t="shared" si="1"/>
        <v>2024</v>
      </c>
      <c r="AH3">
        <f t="shared" si="2"/>
        <v>5</v>
      </c>
      <c r="AI3">
        <f t="shared" si="3"/>
        <v>45420.000003000001</v>
      </c>
      <c r="AJ3">
        <f t="shared" si="4"/>
        <v>1</v>
      </c>
      <c r="AK3">
        <v>0</v>
      </c>
      <c r="AL3">
        <f>IF(AA3="","",IFERROR(IF(ISNUMBER('Procyfloc GS50'!D4),'Procyfloc GS50'!D4,IF(ISNUMBER(SEARCH("12",'Procyfloc GS50'!D4)),EDATE(AB3,12),IF(ISNUMBER(SEARCH("6",'Procyfloc GS50'!D4)),EDATE(AB3,6),IF(ISNUMBER(SEARCH("3",'Procyfloc GS50'!D4)),EDATE(AB3,3),DATEVALUE('Procyfloc GS50'!D4))))),""))</f>
        <v>45604</v>
      </c>
      <c r="AM3" t="str">
        <f t="shared" ca="1" si="5"/>
        <v/>
      </c>
      <c r="AN3">
        <v>2023</v>
      </c>
    </row>
    <row r="4" spans="1:40" ht="22.05" customHeight="1" x14ac:dyDescent="0.3">
      <c r="A4" s="40"/>
      <c r="B4" s="40"/>
      <c r="C4" s="40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AA4" t="str">
        <f>IF(COUNTA('Procyfloc GS50'!A5,'Procyfloc GS50'!B5,'Procyfloc GS50'!C5)&gt;0,"GS50","")</f>
        <v>GS50</v>
      </c>
      <c r="AB4">
        <f>IFERROR(IF(ISNUMBER('Procyfloc GS50'!A5),'Procyfloc GS50'!A5,DATEVALUE('Procyfloc GS50'!A5)),"")</f>
        <v>45475</v>
      </c>
      <c r="AC4" t="str">
        <f>IF(AA4="","",'Procyfloc GS50'!B5)</f>
        <v>8513/24</v>
      </c>
      <c r="AD4">
        <f>IF(AA4="","",IFERROR(1*'Procyfloc GS50'!C5,IFERROR(_xludf.NUMBERVALUE('Procyfloc GS50'!C5,".",","),IFERROR(_xludf.NUMBERVALUE('Procyfloc GS50'!C5,",","."),0))))</f>
        <v>200</v>
      </c>
      <c r="AE4" t="str">
        <f>IF(AA4="","",'Procyfloc GS50'!J5)</f>
        <v>Aprovado</v>
      </c>
      <c r="AF4">
        <f t="shared" si="0"/>
        <v>1</v>
      </c>
      <c r="AG4">
        <f t="shared" si="1"/>
        <v>2024</v>
      </c>
      <c r="AH4">
        <f t="shared" si="2"/>
        <v>7</v>
      </c>
      <c r="AI4">
        <f t="shared" si="3"/>
        <v>45475.000004000001</v>
      </c>
      <c r="AJ4">
        <f t="shared" si="4"/>
        <v>1</v>
      </c>
      <c r="AK4">
        <v>0</v>
      </c>
      <c r="AL4">
        <f>IF(AA4="","",IFERROR(IF(ISNUMBER('Procyfloc GS50'!D5),'Procyfloc GS50'!D5,IF(ISNUMBER(SEARCH("12",'Procyfloc GS50'!D5)),EDATE(AB4,12),IF(ISNUMBER(SEARCH("6",'Procyfloc GS50'!D5)),EDATE(AB4,6),IF(ISNUMBER(SEARCH("3",'Procyfloc GS50'!D5)),EDATE(AB4,3),DATEVALUE('Procyfloc GS50'!D5))))),""))</f>
        <v>45659</v>
      </c>
      <c r="AM4" t="str">
        <f t="shared" ca="1" si="5"/>
        <v/>
      </c>
      <c r="AN4">
        <v>2024</v>
      </c>
    </row>
    <row r="5" spans="1:40" ht="24" customHeight="1" x14ac:dyDescent="0.3">
      <c r="A5" s="40"/>
      <c r="B5" s="40"/>
      <c r="C5" s="40"/>
      <c r="D5" s="41"/>
      <c r="E5" s="45"/>
      <c r="F5" s="45"/>
      <c r="G5" s="45"/>
      <c r="H5" s="45"/>
      <c r="I5" s="46"/>
      <c r="J5" s="46"/>
      <c r="K5" s="46"/>
      <c r="L5" s="46"/>
      <c r="M5" s="47"/>
      <c r="N5" s="47"/>
      <c r="O5" s="47"/>
      <c r="P5" s="47"/>
      <c r="Q5" s="48"/>
      <c r="R5" s="48"/>
      <c r="S5" s="48"/>
      <c r="T5" s="48"/>
      <c r="U5" s="49"/>
      <c r="V5" s="49"/>
      <c r="W5" s="49"/>
      <c r="AA5" t="str">
        <f>IF(COUNTA('Procyfloc GS50'!A6,'Procyfloc GS50'!B6,'Procyfloc GS50'!C6)&gt;0,"GS50","")</f>
        <v>GS50</v>
      </c>
      <c r="AB5">
        <f>IFERROR(IF(ISNUMBER('Procyfloc GS50'!A6),'Procyfloc GS50'!A6,DATEVALUE('Procyfloc GS50'!A6)),"")</f>
        <v>45504</v>
      </c>
      <c r="AC5" t="str">
        <f>IF(AA5="","",'Procyfloc GS50'!B6)</f>
        <v>8594/24</v>
      </c>
      <c r="AD5">
        <f>IF(AA5="","",IFERROR(1*'Procyfloc GS50'!C6,IFERROR(_xludf.NUMBERVALUE('Procyfloc GS50'!C6,".",","),IFERROR(_xludf.NUMBERVALUE('Procyfloc GS50'!C6,",","."),0))))</f>
        <v>200</v>
      </c>
      <c r="AE5" t="str">
        <f>IF(AA5="","",'Procyfloc GS50'!J6)</f>
        <v>Aprovado</v>
      </c>
      <c r="AF5">
        <f t="shared" si="0"/>
        <v>1</v>
      </c>
      <c r="AG5">
        <f t="shared" si="1"/>
        <v>2024</v>
      </c>
      <c r="AH5">
        <f t="shared" si="2"/>
        <v>7</v>
      </c>
      <c r="AI5">
        <f t="shared" si="3"/>
        <v>45504.000005000002</v>
      </c>
      <c r="AJ5">
        <f t="shared" si="4"/>
        <v>1</v>
      </c>
      <c r="AK5">
        <v>0</v>
      </c>
      <c r="AL5">
        <f>IF(AA5="","",IFERROR(IF(ISNUMBER('Procyfloc GS50'!D6),'Procyfloc GS50'!D6,IF(ISNUMBER(SEARCH("12",'Procyfloc GS50'!D6)),EDATE(AB5,12),IF(ISNUMBER(SEARCH("6",'Procyfloc GS50'!D6)),EDATE(AB5,6),IF(ISNUMBER(SEARCH("3",'Procyfloc GS50'!D6)),EDATE(AB5,3),DATEVALUE('Procyfloc GS50'!D6))))),""))</f>
        <v>45688</v>
      </c>
      <c r="AM5" t="str">
        <f t="shared" ca="1" si="5"/>
        <v/>
      </c>
      <c r="AN5">
        <v>2025</v>
      </c>
    </row>
    <row r="6" spans="1:40" ht="24" customHeight="1" x14ac:dyDescent="0.3">
      <c r="A6" s="40"/>
      <c r="B6" s="86">
        <f>COUNTA($E$67:$E$86)</f>
        <v>8</v>
      </c>
      <c r="C6" s="87"/>
      <c r="D6" s="41"/>
      <c r="E6" s="101" t="s">
        <v>19</v>
      </c>
      <c r="F6" s="102"/>
      <c r="G6" s="102"/>
      <c r="H6" s="103"/>
      <c r="I6" s="101" t="s">
        <v>20</v>
      </c>
      <c r="J6" s="102"/>
      <c r="K6" s="102"/>
      <c r="L6" s="103"/>
      <c r="M6" s="101" t="s">
        <v>21</v>
      </c>
      <c r="N6" s="102"/>
      <c r="O6" s="102"/>
      <c r="P6" s="103"/>
      <c r="Q6" s="101" t="s">
        <v>22</v>
      </c>
      <c r="R6" s="102"/>
      <c r="S6" s="102"/>
      <c r="T6" s="103"/>
      <c r="U6" s="101" t="s">
        <v>23</v>
      </c>
      <c r="V6" s="102"/>
      <c r="W6" s="103"/>
      <c r="AA6" t="str">
        <f>IF(COUNTA('Procyfloc GS50'!A7,'Procyfloc GS50'!B7,'Procyfloc GS50'!C7)&gt;0,"GS50","")</f>
        <v>GS50</v>
      </c>
      <c r="AB6">
        <f>IFERROR(IF(ISNUMBER('Procyfloc GS50'!A7),'Procyfloc GS50'!A7,DATEVALUE('Procyfloc GS50'!A7)),"")</f>
        <v>45603</v>
      </c>
      <c r="AC6" t="str">
        <f>IF(AA6="","",'Procyfloc GS50'!B7)</f>
        <v>8794/24</v>
      </c>
      <c r="AD6">
        <f>IF(AA6="","",IFERROR(1*'Procyfloc GS50'!C7,IFERROR(_xludf.NUMBERVALUE('Procyfloc GS50'!C7,".",","),IFERROR(_xludf.NUMBERVALUE('Procyfloc GS50'!C7,",","."),0))))</f>
        <v>250</v>
      </c>
      <c r="AE6" t="str">
        <f>IF(AA6="","",'Procyfloc GS50'!J7)</f>
        <v>Aprovado</v>
      </c>
      <c r="AF6">
        <f t="shared" si="0"/>
        <v>1</v>
      </c>
      <c r="AG6">
        <f t="shared" si="1"/>
        <v>2024</v>
      </c>
      <c r="AH6">
        <f t="shared" si="2"/>
        <v>11</v>
      </c>
      <c r="AI6">
        <f t="shared" si="3"/>
        <v>45603.000006000002</v>
      </c>
      <c r="AJ6">
        <f t="shared" si="4"/>
        <v>1</v>
      </c>
      <c r="AK6">
        <v>0</v>
      </c>
      <c r="AL6">
        <f>IF(AA6="","",IFERROR(IF(ISNUMBER('Procyfloc GS50'!D7),'Procyfloc GS50'!D7,IF(ISNUMBER(SEARCH("12",'Procyfloc GS50'!D7)),EDATE(AB6,12),IF(ISNUMBER(SEARCH("6",'Procyfloc GS50'!D7)),EDATE(AB6,6),IF(ISNUMBER(SEARCH("3",'Procyfloc GS50'!D7)),EDATE(AB6,3),DATEVALUE('Procyfloc GS50'!D7))))),""))</f>
        <v>45784</v>
      </c>
      <c r="AM6" t="str">
        <f t="shared" ca="1" si="5"/>
        <v/>
      </c>
      <c r="AN6">
        <v>2026</v>
      </c>
    </row>
    <row r="7" spans="1:40" ht="24" customHeight="1" x14ac:dyDescent="0.3">
      <c r="A7" s="40"/>
      <c r="B7" s="88"/>
      <c r="C7" s="89"/>
      <c r="D7" s="41"/>
      <c r="E7" s="106">
        <f>SUMIFS($AJ$2:$AJ$12001,$AG$2:$AG$12001,$W$3)</f>
        <v>13</v>
      </c>
      <c r="F7" s="94"/>
      <c r="G7" s="94"/>
      <c r="H7" s="95"/>
      <c r="I7" s="113">
        <f>SUMIFS($AD$2:$AD$12001,$AJ$2:$AJ$12001,1,$AG$2:$AG$12001,$W$3)</f>
        <v>168100</v>
      </c>
      <c r="J7" s="94"/>
      <c r="K7" s="94"/>
      <c r="L7" s="95"/>
      <c r="M7" s="114">
        <f>SUMIFS($AF$2:$AF$12001,$AJ$2:$AJ$12001,1,$AG$2:$AG$12001,$W$3)</f>
        <v>13</v>
      </c>
      <c r="N7" s="94"/>
      <c r="O7" s="94"/>
      <c r="P7" s="95"/>
      <c r="Q7" s="108">
        <f>IFERROR(SUMIFS($AF$2:$AF$12001,$AJ$2:$AJ$12001,1,$AG$2:$AG$12001,$W$3)/SUMIFS($AJ$2:$AJ$12001,$AG$2:$AG$12001,$W$3),0)</f>
        <v>1</v>
      </c>
      <c r="R7" s="94"/>
      <c r="S7" s="94"/>
      <c r="T7" s="95"/>
      <c r="U7" s="93">
        <f>COUNTA($E$67:$E$86)</f>
        <v>8</v>
      </c>
      <c r="V7" s="94"/>
      <c r="W7" s="95"/>
      <c r="AA7" t="str">
        <f>IF(COUNTA('Procyfloc GS50'!A8,'Procyfloc GS50'!B8,'Procyfloc GS50'!C8)&gt;0,"GS50","")</f>
        <v>GS50</v>
      </c>
      <c r="AB7">
        <f>IFERROR(IF(ISNUMBER('Procyfloc GS50'!A8),'Procyfloc GS50'!A8,DATEVALUE('Procyfloc GS50'!A8)),"")</f>
        <v>45755</v>
      </c>
      <c r="AC7" t="str">
        <f>IF(AA7="","",'Procyfloc GS50'!B8)</f>
        <v>9090/25</v>
      </c>
      <c r="AD7">
        <f>IF(AA7="","",IFERROR(1*'Procyfloc GS50'!C8,IFERROR(_xludf.NUMBERVALUE('Procyfloc GS50'!C8,".",","),IFERROR(_xludf.NUMBERVALUE('Procyfloc GS50'!C8,",","."),0))))</f>
        <v>200</v>
      </c>
      <c r="AE7" t="str">
        <f>IF(AA7="","",'Procyfloc GS50'!J8)</f>
        <v>Aprovado</v>
      </c>
      <c r="AF7">
        <f t="shared" si="0"/>
        <v>1</v>
      </c>
      <c r="AG7">
        <f t="shared" si="1"/>
        <v>2025</v>
      </c>
      <c r="AH7">
        <f t="shared" si="2"/>
        <v>4</v>
      </c>
      <c r="AI7">
        <f t="shared" si="3"/>
        <v>45755.000007000002</v>
      </c>
      <c r="AJ7">
        <f t="shared" si="4"/>
        <v>1</v>
      </c>
      <c r="AK7">
        <v>0</v>
      </c>
      <c r="AL7">
        <f>IF(AA7="","",IFERROR(IF(ISNUMBER('Procyfloc GS50'!D8),'Procyfloc GS50'!D8,IF(ISNUMBER(SEARCH("12",'Procyfloc GS50'!D8)),EDATE(AB7,12),IF(ISNUMBER(SEARCH("6",'Procyfloc GS50'!D8)),EDATE(AB7,6),IF(ISNUMBER(SEARCH("3",'Procyfloc GS50'!D8)),EDATE(AB7,3),DATEVALUE('Procyfloc GS50'!D8))))),""))</f>
        <v>45938</v>
      </c>
      <c r="AM7" t="str">
        <f t="shared" ca="1" si="5"/>
        <v/>
      </c>
      <c r="AN7">
        <v>2027</v>
      </c>
    </row>
    <row r="8" spans="1:40" ht="24" customHeight="1" x14ac:dyDescent="0.3">
      <c r="A8" s="40"/>
      <c r="B8" s="109" t="s">
        <v>24</v>
      </c>
      <c r="C8" s="110"/>
      <c r="D8" s="41"/>
      <c r="E8" s="96"/>
      <c r="F8" s="84"/>
      <c r="G8" s="84"/>
      <c r="H8" s="97"/>
      <c r="I8" s="96"/>
      <c r="J8" s="84"/>
      <c r="K8" s="84"/>
      <c r="L8" s="97"/>
      <c r="M8" s="96"/>
      <c r="N8" s="84"/>
      <c r="O8" s="84"/>
      <c r="P8" s="97"/>
      <c r="Q8" s="96"/>
      <c r="R8" s="84"/>
      <c r="S8" s="84"/>
      <c r="T8" s="97"/>
      <c r="U8" s="96"/>
      <c r="V8" s="84"/>
      <c r="W8" s="97"/>
      <c r="AA8" t="str">
        <f>IF(COUNTA('Procyfloc GS50'!A9,'Procyfloc GS50'!B9,'Procyfloc GS50'!C9)&gt;0,"GS50","")</f>
        <v>GS50</v>
      </c>
      <c r="AB8">
        <f>IFERROR(IF(ISNUMBER('Procyfloc GS50'!A9),'Procyfloc GS50'!A9,DATEVALUE('Procyfloc GS50'!A9)),"")</f>
        <v>45842</v>
      </c>
      <c r="AC8" t="str">
        <f>IF(AA8="","",'Procyfloc GS50'!B9)</f>
        <v>9255/25</v>
      </c>
      <c r="AD8">
        <f>IF(AA8="","",IFERROR(1*'Procyfloc GS50'!C9,IFERROR(_xludf.NUMBERVALUE('Procyfloc GS50'!C9,".",","),IFERROR(_xludf.NUMBERVALUE('Procyfloc GS50'!C9,",","."),0))))</f>
        <v>100</v>
      </c>
      <c r="AE8" t="str">
        <f>IF(AA8="","",'Procyfloc GS50'!J9)</f>
        <v>Aprovado</v>
      </c>
      <c r="AF8">
        <f t="shared" si="0"/>
        <v>1</v>
      </c>
      <c r="AG8">
        <f t="shared" si="1"/>
        <v>2025</v>
      </c>
      <c r="AH8">
        <f t="shared" si="2"/>
        <v>7</v>
      </c>
      <c r="AI8">
        <f t="shared" si="3"/>
        <v>45842.000008000003</v>
      </c>
      <c r="AJ8">
        <f t="shared" si="4"/>
        <v>1</v>
      </c>
      <c r="AK8">
        <v>0</v>
      </c>
      <c r="AL8">
        <f>IF(AA8="","",IFERROR(IF(ISNUMBER('Procyfloc GS50'!D9),'Procyfloc GS50'!D9,IF(ISNUMBER(SEARCH("12",'Procyfloc GS50'!D9)),EDATE(AB8,12),IF(ISNUMBER(SEARCH("6",'Procyfloc GS50'!D9)),EDATE(AB8,6),IF(ISNUMBER(SEARCH("3",'Procyfloc GS50'!D9)),EDATE(AB8,3),DATEVALUE('Procyfloc GS50'!D9))))),""))</f>
        <v>46026</v>
      </c>
      <c r="AM8" t="str">
        <f t="shared" ca="1" si="5"/>
        <v/>
      </c>
      <c r="AN8">
        <v>2028</v>
      </c>
    </row>
    <row r="9" spans="1:40" ht="24" customHeight="1" x14ac:dyDescent="0.3">
      <c r="A9" s="40"/>
      <c r="B9" s="40"/>
      <c r="C9" s="40"/>
      <c r="D9" s="41"/>
      <c r="E9" s="98"/>
      <c r="F9" s="99"/>
      <c r="G9" s="99"/>
      <c r="H9" s="100"/>
      <c r="I9" s="98"/>
      <c r="J9" s="99"/>
      <c r="K9" s="99"/>
      <c r="L9" s="100"/>
      <c r="M9" s="98"/>
      <c r="N9" s="99"/>
      <c r="O9" s="99"/>
      <c r="P9" s="100"/>
      <c r="Q9" s="98"/>
      <c r="R9" s="99"/>
      <c r="S9" s="99"/>
      <c r="T9" s="100"/>
      <c r="U9" s="98"/>
      <c r="V9" s="99"/>
      <c r="W9" s="100"/>
      <c r="AA9" t="str">
        <f>IF(COUNTA('Procyfloc GS50'!A10,'Procyfloc GS50'!B10,'Procyfloc GS50'!C10)&gt;0,"GS50","")</f>
        <v>GS50</v>
      </c>
      <c r="AB9">
        <f>IFERROR(IF(ISNUMBER('Procyfloc GS50'!A10),'Procyfloc GS50'!A10,DATEVALUE('Procyfloc GS50'!A10)),"")</f>
        <v>45908</v>
      </c>
      <c r="AC9" t="str">
        <f>IF(AA9="","",'Procyfloc GS50'!B10)</f>
        <v>9391/25</v>
      </c>
      <c r="AD9">
        <f>IF(AA9="","",IFERROR(1*'Procyfloc GS50'!C10,IFERROR(_xludf.NUMBERVALUE('Procyfloc GS50'!C10,".",","),IFERROR(_xludf.NUMBERVALUE('Procyfloc GS50'!C10,",","."),0))))</f>
        <v>100</v>
      </c>
      <c r="AE9" t="str">
        <f>IF(AA9="","",'Procyfloc GS50'!J10)</f>
        <v>Aprovado</v>
      </c>
      <c r="AF9">
        <f t="shared" si="0"/>
        <v>1</v>
      </c>
      <c r="AG9">
        <f t="shared" si="1"/>
        <v>2025</v>
      </c>
      <c r="AH9">
        <f t="shared" si="2"/>
        <v>9</v>
      </c>
      <c r="AI9">
        <f t="shared" si="3"/>
        <v>45908.000009000003</v>
      </c>
      <c r="AJ9">
        <f t="shared" si="4"/>
        <v>1</v>
      </c>
      <c r="AK9">
        <v>0</v>
      </c>
      <c r="AL9">
        <f>IF(AA9="","",IFERROR(IF(ISNUMBER('Procyfloc GS50'!D10),'Procyfloc GS50'!D10,IF(ISNUMBER(SEARCH("12",'Procyfloc GS50'!D10)),EDATE(AB9,12),IF(ISNUMBER(SEARCH("6",'Procyfloc GS50'!D10)),EDATE(AB9,6),IF(ISNUMBER(SEARCH("3",'Procyfloc GS50'!D10)),EDATE(AB9,3),DATEVALUE('Procyfloc GS50'!D10))))),""))</f>
        <v>46089</v>
      </c>
      <c r="AM9" t="str">
        <f t="shared" ca="1" si="5"/>
        <v/>
      </c>
      <c r="AN9">
        <v>2029</v>
      </c>
    </row>
    <row r="10" spans="1:40" ht="22.05" customHeight="1" x14ac:dyDescent="0.3">
      <c r="A10" s="40"/>
      <c r="B10" s="40"/>
      <c r="C10" s="40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AA10" t="str">
        <f>IF(COUNTA('Procyfloc GS50'!A11,'Procyfloc GS50'!B11,'Procyfloc GS50'!C11)&gt;0,"GS50","")</f>
        <v>GS50</v>
      </c>
      <c r="AB10">
        <f>IFERROR(IF(ISNUMBER('Procyfloc GS50'!A11),'Procyfloc GS50'!A11,DATEVALUE('Procyfloc GS50'!A11)),"")</f>
        <v>45985</v>
      </c>
      <c r="AC10" t="str">
        <f>IF(AA10="","",'Procyfloc GS50'!B11)</f>
        <v>9557/25</v>
      </c>
      <c r="AD10">
        <f>IF(AA10="","",IFERROR(1*'Procyfloc GS50'!C11,IFERROR(_xludf.NUMBERVALUE('Procyfloc GS50'!C11,".",","),IFERROR(_xludf.NUMBERVALUE('Procyfloc GS50'!C11,",","."),0))))</f>
        <v>100</v>
      </c>
      <c r="AE10" t="str">
        <f>IF(AA10="","",'Procyfloc GS50'!J11)</f>
        <v>Aprovado</v>
      </c>
      <c r="AF10">
        <f t="shared" si="0"/>
        <v>1</v>
      </c>
      <c r="AG10">
        <f t="shared" si="1"/>
        <v>2025</v>
      </c>
      <c r="AH10">
        <f t="shared" si="2"/>
        <v>11</v>
      </c>
      <c r="AI10">
        <f t="shared" si="3"/>
        <v>45985.000010000003</v>
      </c>
      <c r="AJ10">
        <f t="shared" si="4"/>
        <v>1</v>
      </c>
      <c r="AK10">
        <v>0</v>
      </c>
      <c r="AL10">
        <f>IF(AA10="","",IFERROR(IF(ISNUMBER('Procyfloc GS50'!D11),'Procyfloc GS50'!D11,IF(ISNUMBER(SEARCH("12",'Procyfloc GS50'!D11)),EDATE(AB10,12),IF(ISNUMBER(SEARCH("6",'Procyfloc GS50'!D11)),EDATE(AB10,6),IF(ISNUMBER(SEARCH("3",'Procyfloc GS50'!D11)),EDATE(AB10,3),DATEVALUE('Procyfloc GS50'!D11))))),""))</f>
        <v>46166</v>
      </c>
      <c r="AM10" t="str">
        <f t="shared" ca="1" si="5"/>
        <v/>
      </c>
      <c r="AN10">
        <v>2030</v>
      </c>
    </row>
    <row r="11" spans="1:40" ht="22.05" customHeight="1" x14ac:dyDescent="0.3">
      <c r="A11" s="40"/>
      <c r="B11" s="40"/>
      <c r="C11" s="40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AA11" t="str">
        <f>IF(COUNTA('Procyfloc GS50'!A12,'Procyfloc GS50'!B12,'Procyfloc GS50'!C12)&gt;0,"GS50","")</f>
        <v>GS50</v>
      </c>
      <c r="AB11">
        <f>IFERROR(IF(ISNUMBER('Procyfloc GS50'!A12),'Procyfloc GS50'!A12,DATEVALUE('Procyfloc GS50'!A12)),"")</f>
        <v>46125</v>
      </c>
      <c r="AC11" t="str">
        <f>IF(AA11="","",'Procyfloc GS50'!B12)</f>
        <v>9839/26</v>
      </c>
      <c r="AD11">
        <f>IF(AA11="","",IFERROR(1*'Procyfloc GS50'!C12,IFERROR(_xludf.NUMBERVALUE('Procyfloc GS50'!C12,".",","),IFERROR(_xludf.NUMBERVALUE('Procyfloc GS50'!C12,",","."),0))))</f>
        <v>100</v>
      </c>
      <c r="AE11" t="str">
        <f>IF(AA11="","",'Procyfloc GS50'!J12)</f>
        <v>Aprovado</v>
      </c>
      <c r="AF11">
        <f t="shared" si="0"/>
        <v>1</v>
      </c>
      <c r="AG11">
        <f t="shared" si="1"/>
        <v>2026</v>
      </c>
      <c r="AH11">
        <f t="shared" si="2"/>
        <v>4</v>
      </c>
      <c r="AI11">
        <f t="shared" si="3"/>
        <v>46125.000010999996</v>
      </c>
      <c r="AJ11">
        <f t="shared" si="4"/>
        <v>1</v>
      </c>
      <c r="AK11">
        <v>0</v>
      </c>
      <c r="AL11">
        <f>IF(AA11="","",IFERROR(IF(ISNUMBER('Procyfloc GS50'!D12),'Procyfloc GS50'!D12,IF(ISNUMBER(SEARCH("12",'Procyfloc GS50'!D12)),EDATE(AB11,12),IF(ISNUMBER(SEARCH("6",'Procyfloc GS50'!D12)),EDATE(AB11,6),IF(ISNUMBER(SEARCH("3",'Procyfloc GS50'!D12)),EDATE(AB11,3),DATEVALUE('Procyfloc GS50'!D12))))),""))</f>
        <v>46308</v>
      </c>
      <c r="AM11">
        <f t="shared" ca="1" si="5"/>
        <v>46308.000010999996</v>
      </c>
    </row>
    <row r="12" spans="1:40" ht="22.05" customHeight="1" x14ac:dyDescent="0.3">
      <c r="A12" s="40"/>
      <c r="B12" s="83" t="s">
        <v>25</v>
      </c>
      <c r="C12" s="84"/>
      <c r="D12" s="41"/>
      <c r="E12" s="90" t="s">
        <v>26</v>
      </c>
      <c r="F12" s="91"/>
      <c r="G12" s="91"/>
      <c r="H12" s="91"/>
      <c r="I12" s="91"/>
      <c r="J12" s="91"/>
      <c r="K12" s="91"/>
      <c r="L12" s="91"/>
      <c r="M12" s="91"/>
      <c r="N12" s="87"/>
      <c r="O12" s="41"/>
      <c r="P12" s="90" t="s">
        <v>27</v>
      </c>
      <c r="Q12" s="91"/>
      <c r="R12" s="91"/>
      <c r="S12" s="91"/>
      <c r="T12" s="91"/>
      <c r="U12" s="91"/>
      <c r="V12" s="91"/>
      <c r="W12" s="87"/>
      <c r="AA12" t="str">
        <f>IF(COUNTA('Procyfloc GS50'!A13,'Procyfloc GS50'!B13,'Procyfloc GS50'!C13)&gt;0,"GS50","")</f>
        <v/>
      </c>
      <c r="AB12" t="str">
        <f>IFERROR(IF(ISNUMBER('Procyfloc GS50'!A13),'Procyfloc GS50'!A13,DATEVALUE('Procyfloc GS50'!A13)),"")</f>
        <v/>
      </c>
      <c r="AC12" t="str">
        <f>IF(AA12="","",'Procyfloc GS50'!B13)</f>
        <v/>
      </c>
      <c r="AD12" t="str">
        <f>IF(AA12="","",IFERROR(1*'Procyfloc GS50'!C13,IFERROR(_xludf.NUMBERVALUE('Procyfloc GS50'!C13,".",","),IFERROR(_xludf.NUMBERVALUE('Procyfloc GS50'!C13,",","."),0))))</f>
        <v/>
      </c>
      <c r="AE12" t="str">
        <f>IF(AA12="","",'Procyfloc GS50'!J13)</f>
        <v/>
      </c>
      <c r="AF12">
        <f t="shared" si="0"/>
        <v>0</v>
      </c>
      <c r="AG12" t="str">
        <f t="shared" si="1"/>
        <v/>
      </c>
      <c r="AH12" t="str">
        <f t="shared" si="2"/>
        <v/>
      </c>
      <c r="AI12">
        <f t="shared" si="3"/>
        <v>0</v>
      </c>
      <c r="AJ12">
        <f t="shared" si="4"/>
        <v>0</v>
      </c>
      <c r="AK12">
        <v>0</v>
      </c>
      <c r="AL12" t="str">
        <f>IF(AA12="","",IFERROR(IF(ISNUMBER('Procyfloc GS50'!D13),'Procyfloc GS50'!D13,IF(ISNUMBER(SEARCH("12",'Procyfloc GS50'!D13)),EDATE(AB12,12),IF(ISNUMBER(SEARCH("6",'Procyfloc GS50'!D13)),EDATE(AB12,6),IF(ISNUMBER(SEARCH("3",'Procyfloc GS50'!D13)),EDATE(AB12,3),DATEVALUE('Procyfloc GS50'!D13))))),""))</f>
        <v/>
      </c>
      <c r="AM12" t="str">
        <f t="shared" ca="1" si="5"/>
        <v/>
      </c>
    </row>
    <row r="13" spans="1:40" ht="22.05" customHeight="1" x14ac:dyDescent="0.3">
      <c r="A13" s="40"/>
      <c r="B13" s="40"/>
      <c r="C13" s="40"/>
      <c r="D13" s="41"/>
      <c r="E13" s="88"/>
      <c r="F13" s="92"/>
      <c r="G13" s="92"/>
      <c r="H13" s="92"/>
      <c r="I13" s="92"/>
      <c r="J13" s="92"/>
      <c r="K13" s="92"/>
      <c r="L13" s="92"/>
      <c r="M13" s="92"/>
      <c r="N13" s="89"/>
      <c r="O13" s="41"/>
      <c r="P13" s="88"/>
      <c r="Q13" s="92"/>
      <c r="R13" s="92"/>
      <c r="S13" s="92"/>
      <c r="T13" s="92"/>
      <c r="U13" s="92"/>
      <c r="V13" s="92"/>
      <c r="W13" s="89"/>
      <c r="AA13" t="str">
        <f>IF(COUNTA('Procyfloc GS50'!A14,'Procyfloc GS50'!B14,'Procyfloc GS50'!C14)&gt;0,"GS50","")</f>
        <v/>
      </c>
      <c r="AB13" t="str">
        <f>IFERROR(IF(ISNUMBER('Procyfloc GS50'!A14),'Procyfloc GS50'!A14,DATEVALUE('Procyfloc GS50'!A14)),"")</f>
        <v/>
      </c>
      <c r="AC13" t="str">
        <f>IF(AA13="","",'Procyfloc GS50'!B14)</f>
        <v/>
      </c>
      <c r="AD13" t="str">
        <f>IF(AA13="","",IFERROR(1*'Procyfloc GS50'!C14,IFERROR(_xludf.NUMBERVALUE('Procyfloc GS50'!C14,".",","),IFERROR(_xludf.NUMBERVALUE('Procyfloc GS50'!C14,",","."),0))))</f>
        <v/>
      </c>
      <c r="AE13" t="str">
        <f>IF(AA13="","",'Procyfloc GS50'!J14)</f>
        <v/>
      </c>
      <c r="AF13">
        <f t="shared" si="0"/>
        <v>0</v>
      </c>
      <c r="AG13" t="str">
        <f t="shared" si="1"/>
        <v/>
      </c>
      <c r="AH13" t="str">
        <f t="shared" si="2"/>
        <v/>
      </c>
      <c r="AI13">
        <f t="shared" si="3"/>
        <v>0</v>
      </c>
      <c r="AJ13">
        <f t="shared" si="4"/>
        <v>0</v>
      </c>
      <c r="AK13">
        <v>0</v>
      </c>
      <c r="AL13" t="str">
        <f>IF(AA13="","",IFERROR(IF(ISNUMBER('Procyfloc GS50'!D14),'Procyfloc GS50'!D14,IF(ISNUMBER(SEARCH("12",'Procyfloc GS50'!D14)),EDATE(AB13,12),IF(ISNUMBER(SEARCH("6",'Procyfloc GS50'!D14)),EDATE(AB13,6),IF(ISNUMBER(SEARCH("3",'Procyfloc GS50'!D14)),EDATE(AB13,3),DATEVALUE('Procyfloc GS50'!D14))))),""))</f>
        <v/>
      </c>
      <c r="AM13" t="str">
        <f t="shared" ca="1" si="5"/>
        <v/>
      </c>
    </row>
    <row r="14" spans="1:40" ht="22.05" customHeight="1" x14ac:dyDescent="0.3">
      <c r="A14" s="40"/>
      <c r="B14" s="83" t="s">
        <v>28</v>
      </c>
      <c r="C14" s="84"/>
      <c r="D14" s="41"/>
      <c r="E14" s="50"/>
      <c r="F14" s="51"/>
      <c r="G14" s="51"/>
      <c r="H14" s="51"/>
      <c r="I14" s="51"/>
      <c r="J14" s="51"/>
      <c r="K14" s="51"/>
      <c r="L14" s="51"/>
      <c r="M14" s="51"/>
      <c r="N14" s="52"/>
      <c r="O14" s="41"/>
      <c r="P14" s="50"/>
      <c r="Q14" s="51"/>
      <c r="R14" s="51"/>
      <c r="S14" s="51"/>
      <c r="T14" s="51"/>
      <c r="U14" s="51"/>
      <c r="V14" s="51"/>
      <c r="W14" s="52"/>
      <c r="AA14" t="str">
        <f>IF(COUNTA('Procyfloc GS50'!A15,'Procyfloc GS50'!B15,'Procyfloc GS50'!C15)&gt;0,"GS50","")</f>
        <v/>
      </c>
      <c r="AB14" t="str">
        <f>IFERROR(IF(ISNUMBER('Procyfloc GS50'!A15),'Procyfloc GS50'!A15,DATEVALUE('Procyfloc GS50'!A15)),"")</f>
        <v/>
      </c>
      <c r="AC14" t="str">
        <f>IF(AA14="","",'Procyfloc GS50'!B15)</f>
        <v/>
      </c>
      <c r="AD14" t="str">
        <f>IF(AA14="","",IFERROR(1*'Procyfloc GS50'!C15,IFERROR(_xludf.NUMBERVALUE('Procyfloc GS50'!C15,".",","),IFERROR(_xludf.NUMBERVALUE('Procyfloc GS50'!C15,",","."),0))))</f>
        <v/>
      </c>
      <c r="AE14" t="str">
        <f>IF(AA14="","",'Procyfloc GS50'!J15)</f>
        <v/>
      </c>
      <c r="AF14">
        <f t="shared" si="0"/>
        <v>0</v>
      </c>
      <c r="AG14" t="str">
        <f t="shared" si="1"/>
        <v/>
      </c>
      <c r="AH14" t="str">
        <f t="shared" si="2"/>
        <v/>
      </c>
      <c r="AI14">
        <f t="shared" si="3"/>
        <v>0</v>
      </c>
      <c r="AJ14">
        <f t="shared" si="4"/>
        <v>0</v>
      </c>
      <c r="AK14">
        <v>0</v>
      </c>
      <c r="AL14" t="str">
        <f>IF(AA14="","",IFERROR(IF(ISNUMBER('Procyfloc GS50'!D15),'Procyfloc GS50'!D15,IF(ISNUMBER(SEARCH("12",'Procyfloc GS50'!D15)),EDATE(AB14,12),IF(ISNUMBER(SEARCH("6",'Procyfloc GS50'!D15)),EDATE(AB14,6),IF(ISNUMBER(SEARCH("3",'Procyfloc GS50'!D15)),EDATE(AB14,3),DATEVALUE('Procyfloc GS50'!D15))))),""))</f>
        <v/>
      </c>
      <c r="AM14" t="str">
        <f t="shared" ca="1" si="5"/>
        <v/>
      </c>
    </row>
    <row r="15" spans="1:40" ht="22.05" customHeight="1" x14ac:dyDescent="0.3">
      <c r="A15" s="40"/>
      <c r="B15" s="40"/>
      <c r="C15" s="40"/>
      <c r="D15" s="41"/>
      <c r="E15" s="50"/>
      <c r="F15" s="51"/>
      <c r="G15" s="51"/>
      <c r="H15" s="51"/>
      <c r="I15" s="51"/>
      <c r="J15" s="51"/>
      <c r="K15" s="51"/>
      <c r="L15" s="51"/>
      <c r="M15" s="51"/>
      <c r="N15" s="52"/>
      <c r="O15" s="41"/>
      <c r="P15" s="53" t="s">
        <v>29</v>
      </c>
      <c r="Q15" s="53" t="s">
        <v>0</v>
      </c>
      <c r="R15" s="53" t="s">
        <v>30</v>
      </c>
      <c r="S15" s="53" t="s">
        <v>31</v>
      </c>
      <c r="T15" s="53" t="s">
        <v>32</v>
      </c>
      <c r="U15" s="53" t="s">
        <v>33</v>
      </c>
      <c r="V15" s="51"/>
      <c r="W15" s="52"/>
      <c r="AA15" t="str">
        <f>IF(COUNTA('Procyfloc GS50'!A16,'Procyfloc GS50'!B16,'Procyfloc GS50'!C16)&gt;0,"GS50","")</f>
        <v/>
      </c>
      <c r="AB15" t="str">
        <f>IFERROR(IF(ISNUMBER('Procyfloc GS50'!A16),'Procyfloc GS50'!A16,DATEVALUE('Procyfloc GS50'!A16)),"")</f>
        <v/>
      </c>
      <c r="AC15" t="str">
        <f>IF(AA15="","",'Procyfloc GS50'!B16)</f>
        <v/>
      </c>
      <c r="AD15" t="str">
        <f>IF(AA15="","",IFERROR(1*'Procyfloc GS50'!C16,IFERROR(_xludf.NUMBERVALUE('Procyfloc GS50'!C16,".",","),IFERROR(_xludf.NUMBERVALUE('Procyfloc GS50'!C16,",","."),0))))</f>
        <v/>
      </c>
      <c r="AE15" t="str">
        <f>IF(AA15="","",'Procyfloc GS50'!J16)</f>
        <v/>
      </c>
      <c r="AF15">
        <f t="shared" si="0"/>
        <v>0</v>
      </c>
      <c r="AG15" t="str">
        <f t="shared" si="1"/>
        <v/>
      </c>
      <c r="AH15" t="str">
        <f t="shared" si="2"/>
        <v/>
      </c>
      <c r="AI15">
        <f t="shared" si="3"/>
        <v>0</v>
      </c>
      <c r="AJ15">
        <f t="shared" si="4"/>
        <v>0</v>
      </c>
      <c r="AK15">
        <v>0</v>
      </c>
      <c r="AL15" t="str">
        <f>IF(AA15="","",IFERROR(IF(ISNUMBER('Procyfloc GS50'!D16),'Procyfloc GS50'!D16,IF(ISNUMBER(SEARCH("12",'Procyfloc GS50'!D16)),EDATE(AB15,12),IF(ISNUMBER(SEARCH("6",'Procyfloc GS50'!D16)),EDATE(AB15,6),IF(ISNUMBER(SEARCH("3",'Procyfloc GS50'!D16)),EDATE(AB15,3),DATEVALUE('Procyfloc GS50'!D16))))),""))</f>
        <v/>
      </c>
      <c r="AM15" t="str">
        <f t="shared" ca="1" si="5"/>
        <v/>
      </c>
    </row>
    <row r="16" spans="1:40" ht="22.05" customHeight="1" x14ac:dyDescent="0.3">
      <c r="A16" s="40"/>
      <c r="B16" s="83" t="s">
        <v>34</v>
      </c>
      <c r="C16" s="84"/>
      <c r="D16" s="41"/>
      <c r="E16" s="50"/>
      <c r="F16" s="51"/>
      <c r="G16" s="51"/>
      <c r="H16" s="51"/>
      <c r="I16" s="51"/>
      <c r="J16" s="51"/>
      <c r="K16" s="51"/>
      <c r="L16" s="51"/>
      <c r="M16" s="51"/>
      <c r="N16" s="52"/>
      <c r="O16" s="41"/>
      <c r="P16" s="54">
        <v>1</v>
      </c>
      <c r="Q16" s="55" t="str">
        <f t="shared" ref="Q16:Q25" si="6">IFERROR(IF(LARGE($AO$67:$AO$86,P16)=0,"",INDEX($E$67:$E$86,MATCH(LARGE($AO$67:$AO$86,P16),$AO$67:$AO$86,0))),"")</f>
        <v>27TC</v>
      </c>
      <c r="R16" s="56">
        <f t="shared" ref="R16:R25" si="7">IF(Q16="","",INDEX($G$67:$G$86,MATCH(Q16,$E$67:$E$86,0)))</f>
        <v>156000</v>
      </c>
      <c r="S16" s="55">
        <f t="shared" ref="S16:S25" si="8">IFERROR(INDEX($F$67:$F$86,MATCH(Q16,$E$67:$E$86,0)),"")</f>
        <v>6</v>
      </c>
      <c r="T16" s="57">
        <f t="shared" ref="T16:T25" si="9">IFERROR(INDEX($I$67:$I$86,MATCH(Q16,$E$67:$E$86,0)),"")</f>
        <v>1</v>
      </c>
      <c r="U16" s="55" t="str">
        <f t="shared" ref="U16:U25" si="10">IF(Q16="","",IF(T16&gt;=0.95,"Excelente",IF(T16&gt;=0.8,"Atenção","Crítico")))</f>
        <v>Excelente</v>
      </c>
      <c r="V16" s="51"/>
      <c r="W16" s="52"/>
      <c r="AA16" t="str">
        <f>IF(COUNTA('Procyfloc GS50'!A17,'Procyfloc GS50'!B17,'Procyfloc GS50'!C17)&gt;0,"GS50","")</f>
        <v/>
      </c>
      <c r="AB16" t="str">
        <f>IFERROR(IF(ISNUMBER('Procyfloc GS50'!A17),'Procyfloc GS50'!A17,DATEVALUE('Procyfloc GS50'!A17)),"")</f>
        <v/>
      </c>
      <c r="AC16" t="str">
        <f>IF(AA16="","",'Procyfloc GS50'!B17)</f>
        <v/>
      </c>
      <c r="AD16" t="str">
        <f>IF(AA16="","",IFERROR(1*'Procyfloc GS50'!C17,IFERROR(_xludf.NUMBERVALUE('Procyfloc GS50'!C17,".",","),IFERROR(_xludf.NUMBERVALUE('Procyfloc GS50'!C17,",","."),0))))</f>
        <v/>
      </c>
      <c r="AE16" t="str">
        <f>IF(AA16="","",'Procyfloc GS50'!J17)</f>
        <v/>
      </c>
      <c r="AF16">
        <f t="shared" si="0"/>
        <v>0</v>
      </c>
      <c r="AG16" t="str">
        <f t="shared" si="1"/>
        <v/>
      </c>
      <c r="AH16" t="str">
        <f t="shared" si="2"/>
        <v/>
      </c>
      <c r="AI16">
        <f t="shared" si="3"/>
        <v>0</v>
      </c>
      <c r="AJ16">
        <f t="shared" si="4"/>
        <v>0</v>
      </c>
      <c r="AK16">
        <v>0</v>
      </c>
      <c r="AL16" t="str">
        <f>IF(AA16="","",IFERROR(IF(ISNUMBER('Procyfloc GS50'!D17),'Procyfloc GS50'!D17,IF(ISNUMBER(SEARCH("12",'Procyfloc GS50'!D17)),EDATE(AB16,12),IF(ISNUMBER(SEARCH("6",'Procyfloc GS50'!D17)),EDATE(AB16,6),IF(ISNUMBER(SEARCH("3",'Procyfloc GS50'!D17)),EDATE(AB16,3),DATEVALUE('Procyfloc GS50'!D17))))),""))</f>
        <v/>
      </c>
      <c r="AM16" t="str">
        <f t="shared" ca="1" si="5"/>
        <v/>
      </c>
    </row>
    <row r="17" spans="1:39" ht="22.05" customHeight="1" x14ac:dyDescent="0.3">
      <c r="A17" s="40"/>
      <c r="B17" s="40"/>
      <c r="C17" s="40"/>
      <c r="D17" s="41"/>
      <c r="E17" s="50"/>
      <c r="F17" s="51"/>
      <c r="G17" s="51"/>
      <c r="H17" s="51"/>
      <c r="I17" s="51"/>
      <c r="J17" s="51"/>
      <c r="K17" s="51"/>
      <c r="L17" s="51"/>
      <c r="M17" s="51"/>
      <c r="N17" s="52"/>
      <c r="O17" s="41"/>
      <c r="P17" s="58">
        <v>2</v>
      </c>
      <c r="Q17" s="59" t="str">
        <f t="shared" si="6"/>
        <v>500</v>
      </c>
      <c r="R17" s="60">
        <f t="shared" si="7"/>
        <v>12000</v>
      </c>
      <c r="S17" s="59">
        <f t="shared" si="8"/>
        <v>6</v>
      </c>
      <c r="T17" s="61">
        <f t="shared" si="9"/>
        <v>1</v>
      </c>
      <c r="U17" s="59" t="str">
        <f t="shared" si="10"/>
        <v>Excelente</v>
      </c>
      <c r="V17" s="51"/>
      <c r="W17" s="52"/>
      <c r="AA17" t="str">
        <f>IF(COUNTA('Procyfloc GS50'!A18,'Procyfloc GS50'!B18,'Procyfloc GS50'!C18)&gt;0,"GS50","")</f>
        <v/>
      </c>
      <c r="AB17" t="str">
        <f>IFERROR(IF(ISNUMBER('Procyfloc GS50'!A18),'Procyfloc GS50'!A18,DATEVALUE('Procyfloc GS50'!A18)),"")</f>
        <v/>
      </c>
      <c r="AC17" t="str">
        <f>IF(AA17="","",'Procyfloc GS50'!B18)</f>
        <v/>
      </c>
      <c r="AD17" t="str">
        <f>IF(AA17="","",IFERROR(1*'Procyfloc GS50'!C18,IFERROR(_xludf.NUMBERVALUE('Procyfloc GS50'!C18,".",","),IFERROR(_xludf.NUMBERVALUE('Procyfloc GS50'!C18,",","."),0))))</f>
        <v/>
      </c>
      <c r="AE17" t="str">
        <f>IF(AA17="","",'Procyfloc GS50'!J18)</f>
        <v/>
      </c>
      <c r="AF17">
        <f t="shared" si="0"/>
        <v>0</v>
      </c>
      <c r="AG17" t="str">
        <f t="shared" si="1"/>
        <v/>
      </c>
      <c r="AH17" t="str">
        <f t="shared" si="2"/>
        <v/>
      </c>
      <c r="AI17">
        <f t="shared" si="3"/>
        <v>0</v>
      </c>
      <c r="AJ17">
        <f t="shared" si="4"/>
        <v>0</v>
      </c>
      <c r="AK17">
        <v>0</v>
      </c>
      <c r="AL17" t="str">
        <f>IF(AA17="","",IFERROR(IF(ISNUMBER('Procyfloc GS50'!D18),'Procyfloc GS50'!D18,IF(ISNUMBER(SEARCH("12",'Procyfloc GS50'!D18)),EDATE(AB17,12),IF(ISNUMBER(SEARCH("6",'Procyfloc GS50'!D18)),EDATE(AB17,6),IF(ISNUMBER(SEARCH("3",'Procyfloc GS50'!D18)),EDATE(AB17,3),DATEVALUE('Procyfloc GS50'!D18))))),""))</f>
        <v/>
      </c>
      <c r="AM17" t="str">
        <f t="shared" ca="1" si="5"/>
        <v/>
      </c>
    </row>
    <row r="18" spans="1:39" ht="22.05" customHeight="1" x14ac:dyDescent="0.3">
      <c r="A18" s="40"/>
      <c r="B18" s="83" t="s">
        <v>4</v>
      </c>
      <c r="C18" s="84"/>
      <c r="D18" s="41"/>
      <c r="E18" s="50"/>
      <c r="F18" s="51"/>
      <c r="G18" s="51"/>
      <c r="H18" s="51"/>
      <c r="I18" s="51"/>
      <c r="J18" s="51"/>
      <c r="K18" s="51"/>
      <c r="L18" s="51"/>
      <c r="M18" s="51"/>
      <c r="N18" s="52"/>
      <c r="O18" s="41"/>
      <c r="P18" s="54">
        <v>3</v>
      </c>
      <c r="Q18" s="55" t="str">
        <f t="shared" si="6"/>
        <v>GS50</v>
      </c>
      <c r="R18" s="56">
        <f t="shared" si="7"/>
        <v>100</v>
      </c>
      <c r="S18" s="55">
        <f t="shared" si="8"/>
        <v>1</v>
      </c>
      <c r="T18" s="57">
        <f t="shared" si="9"/>
        <v>1</v>
      </c>
      <c r="U18" s="55" t="str">
        <f t="shared" si="10"/>
        <v>Excelente</v>
      </c>
      <c r="V18" s="51"/>
      <c r="W18" s="52"/>
      <c r="AA18" t="str">
        <f>IF(COUNTA('Procyfloc GS50'!A19,'Procyfloc GS50'!B19,'Procyfloc GS50'!C19)&gt;0,"GS50","")</f>
        <v/>
      </c>
      <c r="AB18" t="str">
        <f>IFERROR(IF(ISNUMBER('Procyfloc GS50'!A19),'Procyfloc GS50'!A19,DATEVALUE('Procyfloc GS50'!A19)),"")</f>
        <v/>
      </c>
      <c r="AC18" t="str">
        <f>IF(AA18="","",'Procyfloc GS50'!B19)</f>
        <v/>
      </c>
      <c r="AD18" t="str">
        <f>IF(AA18="","",IFERROR(1*'Procyfloc GS50'!C19,IFERROR(_xludf.NUMBERVALUE('Procyfloc GS50'!C19,".",","),IFERROR(_xludf.NUMBERVALUE('Procyfloc GS50'!C19,",","."),0))))</f>
        <v/>
      </c>
      <c r="AE18" t="str">
        <f>IF(AA18="","",'Procyfloc GS50'!J19)</f>
        <v/>
      </c>
      <c r="AF18">
        <f t="shared" si="0"/>
        <v>0</v>
      </c>
      <c r="AG18" t="str">
        <f t="shared" si="1"/>
        <v/>
      </c>
      <c r="AH18" t="str">
        <f t="shared" si="2"/>
        <v/>
      </c>
      <c r="AI18">
        <f t="shared" si="3"/>
        <v>0</v>
      </c>
      <c r="AJ18">
        <f t="shared" si="4"/>
        <v>0</v>
      </c>
      <c r="AK18">
        <v>0</v>
      </c>
      <c r="AL18" t="str">
        <f>IF(AA18="","",IFERROR(IF(ISNUMBER('Procyfloc GS50'!D19),'Procyfloc GS50'!D19,IF(ISNUMBER(SEARCH("12",'Procyfloc GS50'!D19)),EDATE(AB18,12),IF(ISNUMBER(SEARCH("6",'Procyfloc GS50'!D19)),EDATE(AB18,6),IF(ISNUMBER(SEARCH("3",'Procyfloc GS50'!D19)),EDATE(AB18,3),DATEVALUE('Procyfloc GS50'!D19))))),""))</f>
        <v/>
      </c>
      <c r="AM18" t="str">
        <f t="shared" ca="1" si="5"/>
        <v/>
      </c>
    </row>
    <row r="19" spans="1:39" ht="22.05" customHeight="1" x14ac:dyDescent="0.3">
      <c r="A19" s="40"/>
      <c r="B19" s="40"/>
      <c r="C19" s="40"/>
      <c r="D19" s="41"/>
      <c r="E19" s="50"/>
      <c r="F19" s="51"/>
      <c r="G19" s="51"/>
      <c r="H19" s="51"/>
      <c r="I19" s="51"/>
      <c r="J19" s="51"/>
      <c r="K19" s="51"/>
      <c r="L19" s="51"/>
      <c r="M19" s="51"/>
      <c r="N19" s="52"/>
      <c r="O19" s="41"/>
      <c r="P19" s="58">
        <v>4</v>
      </c>
      <c r="Q19" s="59" t="str">
        <f t="shared" si="6"/>
        <v/>
      </c>
      <c r="R19" s="60" t="str">
        <f t="shared" si="7"/>
        <v/>
      </c>
      <c r="S19" s="59" t="str">
        <f t="shared" si="8"/>
        <v/>
      </c>
      <c r="T19" s="61" t="str">
        <f t="shared" si="9"/>
        <v/>
      </c>
      <c r="U19" s="59" t="str">
        <f t="shared" si="10"/>
        <v/>
      </c>
      <c r="V19" s="51"/>
      <c r="W19" s="52"/>
      <c r="AA19" t="str">
        <f>IF(COUNTA('Procyfloc GS50'!A20,'Procyfloc GS50'!B20,'Procyfloc GS50'!C20)&gt;0,"GS50","")</f>
        <v/>
      </c>
      <c r="AB19" t="str">
        <f>IFERROR(IF(ISNUMBER('Procyfloc GS50'!A20),'Procyfloc GS50'!A20,DATEVALUE('Procyfloc GS50'!A20)),"")</f>
        <v/>
      </c>
      <c r="AC19" t="str">
        <f>IF(AA19="","",'Procyfloc GS50'!B20)</f>
        <v/>
      </c>
      <c r="AD19" t="str">
        <f>IF(AA19="","",IFERROR(1*'Procyfloc GS50'!C20,IFERROR(_xludf.NUMBERVALUE('Procyfloc GS50'!C20,".",","),IFERROR(_xludf.NUMBERVALUE('Procyfloc GS50'!C20,",","."),0))))</f>
        <v/>
      </c>
      <c r="AE19" t="str">
        <f>IF(AA19="","",'Procyfloc GS50'!J20)</f>
        <v/>
      </c>
      <c r="AF19">
        <f t="shared" si="0"/>
        <v>0</v>
      </c>
      <c r="AG19" t="str">
        <f t="shared" si="1"/>
        <v/>
      </c>
      <c r="AH19" t="str">
        <f t="shared" si="2"/>
        <v/>
      </c>
      <c r="AI19">
        <f t="shared" si="3"/>
        <v>0</v>
      </c>
      <c r="AJ19">
        <f t="shared" si="4"/>
        <v>0</v>
      </c>
      <c r="AK19">
        <v>0</v>
      </c>
      <c r="AL19" t="str">
        <f>IF(AA19="","",IFERROR(IF(ISNUMBER('Procyfloc GS50'!D20),'Procyfloc GS50'!D20,IF(ISNUMBER(SEARCH("12",'Procyfloc GS50'!D20)),EDATE(AB19,12),IF(ISNUMBER(SEARCH("6",'Procyfloc GS50'!D20)),EDATE(AB19,6),IF(ISNUMBER(SEARCH("3",'Procyfloc GS50'!D20)),EDATE(AB19,3),DATEVALUE('Procyfloc GS50'!D20))))),""))</f>
        <v/>
      </c>
      <c r="AM19" t="str">
        <f t="shared" ca="1" si="5"/>
        <v/>
      </c>
    </row>
    <row r="20" spans="1:39" ht="22.05" customHeight="1" x14ac:dyDescent="0.3">
      <c r="A20" s="40"/>
      <c r="B20" s="83" t="s">
        <v>35</v>
      </c>
      <c r="C20" s="84"/>
      <c r="D20" s="41"/>
      <c r="E20" s="50"/>
      <c r="F20" s="51"/>
      <c r="G20" s="51"/>
      <c r="H20" s="51"/>
      <c r="I20" s="51"/>
      <c r="J20" s="51"/>
      <c r="K20" s="51"/>
      <c r="L20" s="51"/>
      <c r="M20" s="51"/>
      <c r="N20" s="52"/>
      <c r="O20" s="41"/>
      <c r="P20" s="54">
        <v>5</v>
      </c>
      <c r="Q20" s="55" t="str">
        <f t="shared" si="6"/>
        <v/>
      </c>
      <c r="R20" s="56" t="str">
        <f t="shared" si="7"/>
        <v/>
      </c>
      <c r="S20" s="55" t="str">
        <f t="shared" si="8"/>
        <v/>
      </c>
      <c r="T20" s="57" t="str">
        <f t="shared" si="9"/>
        <v/>
      </c>
      <c r="U20" s="55" t="str">
        <f t="shared" si="10"/>
        <v/>
      </c>
      <c r="V20" s="51"/>
      <c r="W20" s="52"/>
      <c r="AA20" t="str">
        <f>IF(COUNTA('Procyfloc GS50'!A21,'Procyfloc GS50'!B21,'Procyfloc GS50'!C21)&gt;0,"GS50","")</f>
        <v/>
      </c>
      <c r="AB20" t="str">
        <f>IFERROR(IF(ISNUMBER('Procyfloc GS50'!A21),'Procyfloc GS50'!A21,DATEVALUE('Procyfloc GS50'!A21)),"")</f>
        <v/>
      </c>
      <c r="AC20" t="str">
        <f>IF(AA20="","",'Procyfloc GS50'!B21)</f>
        <v/>
      </c>
      <c r="AD20" t="str">
        <f>IF(AA20="","",IFERROR(1*'Procyfloc GS50'!C21,IFERROR(_xludf.NUMBERVALUE('Procyfloc GS50'!C21,".",","),IFERROR(_xludf.NUMBERVALUE('Procyfloc GS50'!C21,",","."),0))))</f>
        <v/>
      </c>
      <c r="AE20" t="str">
        <f>IF(AA20="","",'Procyfloc GS50'!J21)</f>
        <v/>
      </c>
      <c r="AF20">
        <f t="shared" si="0"/>
        <v>0</v>
      </c>
      <c r="AG20" t="str">
        <f t="shared" si="1"/>
        <v/>
      </c>
      <c r="AH20" t="str">
        <f t="shared" si="2"/>
        <v/>
      </c>
      <c r="AI20">
        <f t="shared" si="3"/>
        <v>0</v>
      </c>
      <c r="AJ20">
        <f t="shared" si="4"/>
        <v>0</v>
      </c>
      <c r="AK20">
        <v>0</v>
      </c>
      <c r="AL20" t="str">
        <f>IF(AA20="","",IFERROR(IF(ISNUMBER('Procyfloc GS50'!D21),'Procyfloc GS50'!D21,IF(ISNUMBER(SEARCH("12",'Procyfloc GS50'!D21)),EDATE(AB20,12),IF(ISNUMBER(SEARCH("6",'Procyfloc GS50'!D21)),EDATE(AB20,6),IF(ISNUMBER(SEARCH("3",'Procyfloc GS50'!D21)),EDATE(AB20,3),DATEVALUE('Procyfloc GS50'!D21))))),""))</f>
        <v/>
      </c>
      <c r="AM20" t="str">
        <f t="shared" ca="1" si="5"/>
        <v/>
      </c>
    </row>
    <row r="21" spans="1:39" ht="22.05" customHeight="1" x14ac:dyDescent="0.3">
      <c r="A21" s="40"/>
      <c r="B21" s="40"/>
      <c r="C21" s="40"/>
      <c r="D21" s="41"/>
      <c r="E21" s="50"/>
      <c r="F21" s="51"/>
      <c r="G21" s="51"/>
      <c r="H21" s="51"/>
      <c r="I21" s="51"/>
      <c r="J21" s="51"/>
      <c r="K21" s="51"/>
      <c r="L21" s="51"/>
      <c r="M21" s="51"/>
      <c r="N21" s="52"/>
      <c r="O21" s="41"/>
      <c r="P21" s="58">
        <v>6</v>
      </c>
      <c r="Q21" s="59" t="str">
        <f t="shared" si="6"/>
        <v/>
      </c>
      <c r="R21" s="60" t="str">
        <f t="shared" si="7"/>
        <v/>
      </c>
      <c r="S21" s="59" t="str">
        <f t="shared" si="8"/>
        <v/>
      </c>
      <c r="T21" s="61" t="str">
        <f t="shared" si="9"/>
        <v/>
      </c>
      <c r="U21" s="59" t="str">
        <f t="shared" si="10"/>
        <v/>
      </c>
      <c r="V21" s="51"/>
      <c r="W21" s="52"/>
      <c r="AA21" t="str">
        <f>IF(COUNTA('Procyfloc GS50'!A22,'Procyfloc GS50'!B22,'Procyfloc GS50'!C22)&gt;0,"GS50","")</f>
        <v/>
      </c>
      <c r="AB21" t="str">
        <f>IFERROR(IF(ISNUMBER('Procyfloc GS50'!A22),'Procyfloc GS50'!A22,DATEVALUE('Procyfloc GS50'!A22)),"")</f>
        <v/>
      </c>
      <c r="AC21" t="str">
        <f>IF(AA21="","",'Procyfloc GS50'!B22)</f>
        <v/>
      </c>
      <c r="AD21" t="str">
        <f>IF(AA21="","",IFERROR(1*'Procyfloc GS50'!C22,IFERROR(_xludf.NUMBERVALUE('Procyfloc GS50'!C22,".",","),IFERROR(_xludf.NUMBERVALUE('Procyfloc GS50'!C22,",","."),0))))</f>
        <v/>
      </c>
      <c r="AE21" t="str">
        <f>IF(AA21="","",'Procyfloc GS50'!J22)</f>
        <v/>
      </c>
      <c r="AF21">
        <f t="shared" si="0"/>
        <v>0</v>
      </c>
      <c r="AG21" t="str">
        <f t="shared" si="1"/>
        <v/>
      </c>
      <c r="AH21" t="str">
        <f t="shared" si="2"/>
        <v/>
      </c>
      <c r="AI21">
        <f t="shared" si="3"/>
        <v>0</v>
      </c>
      <c r="AJ21">
        <f t="shared" si="4"/>
        <v>0</v>
      </c>
      <c r="AK21">
        <v>0</v>
      </c>
      <c r="AL21" t="str">
        <f>IF(AA21="","",IFERROR(IF(ISNUMBER('Procyfloc GS50'!D22),'Procyfloc GS50'!D22,IF(ISNUMBER(SEARCH("12",'Procyfloc GS50'!D22)),EDATE(AB21,12),IF(ISNUMBER(SEARCH("6",'Procyfloc GS50'!D22)),EDATE(AB21,6),IF(ISNUMBER(SEARCH("3",'Procyfloc GS50'!D22)),EDATE(AB21,3),DATEVALUE('Procyfloc GS50'!D22))))),""))</f>
        <v/>
      </c>
      <c r="AM21" t="str">
        <f t="shared" ca="1" si="5"/>
        <v/>
      </c>
    </row>
    <row r="22" spans="1:39" ht="22.05" customHeight="1" x14ac:dyDescent="0.3">
      <c r="A22" s="40"/>
      <c r="B22" s="40"/>
      <c r="C22" s="40"/>
      <c r="D22" s="41"/>
      <c r="E22" s="50"/>
      <c r="F22" s="51"/>
      <c r="G22" s="51"/>
      <c r="H22" s="51"/>
      <c r="I22" s="51"/>
      <c r="J22" s="51"/>
      <c r="K22" s="51"/>
      <c r="L22" s="51"/>
      <c r="M22" s="51"/>
      <c r="N22" s="52"/>
      <c r="O22" s="41"/>
      <c r="P22" s="54">
        <v>7</v>
      </c>
      <c r="Q22" s="55" t="str">
        <f t="shared" si="6"/>
        <v/>
      </c>
      <c r="R22" s="56" t="str">
        <f t="shared" si="7"/>
        <v/>
      </c>
      <c r="S22" s="55" t="str">
        <f t="shared" si="8"/>
        <v/>
      </c>
      <c r="T22" s="57" t="str">
        <f t="shared" si="9"/>
        <v/>
      </c>
      <c r="U22" s="55" t="str">
        <f t="shared" si="10"/>
        <v/>
      </c>
      <c r="V22" s="51"/>
      <c r="W22" s="52"/>
      <c r="AA22" t="str">
        <f>IF(COUNTA('Procyfloc GS50'!A23,'Procyfloc GS50'!B23,'Procyfloc GS50'!C23)&gt;0,"GS50","")</f>
        <v/>
      </c>
      <c r="AB22" t="str">
        <f>IFERROR(IF(ISNUMBER('Procyfloc GS50'!A23),'Procyfloc GS50'!A23,DATEVALUE('Procyfloc GS50'!A23)),"")</f>
        <v/>
      </c>
      <c r="AC22" t="str">
        <f>IF(AA22="","",'Procyfloc GS50'!B23)</f>
        <v/>
      </c>
      <c r="AD22" t="str">
        <f>IF(AA22="","",IFERROR(1*'Procyfloc GS50'!C23,IFERROR(_xludf.NUMBERVALUE('Procyfloc GS50'!C23,".",","),IFERROR(_xludf.NUMBERVALUE('Procyfloc GS50'!C23,",","."),0))))</f>
        <v/>
      </c>
      <c r="AE22" t="str">
        <f>IF(AA22="","",'Procyfloc GS50'!J23)</f>
        <v/>
      </c>
      <c r="AF22">
        <f t="shared" si="0"/>
        <v>0</v>
      </c>
      <c r="AG22" t="str">
        <f t="shared" si="1"/>
        <v/>
      </c>
      <c r="AH22" t="str">
        <f t="shared" si="2"/>
        <v/>
      </c>
      <c r="AI22">
        <f t="shared" si="3"/>
        <v>0</v>
      </c>
      <c r="AJ22">
        <f t="shared" si="4"/>
        <v>0</v>
      </c>
      <c r="AK22">
        <v>0</v>
      </c>
      <c r="AL22" t="str">
        <f>IF(AA22="","",IFERROR(IF(ISNUMBER('Procyfloc GS50'!D23),'Procyfloc GS50'!D23,IF(ISNUMBER(SEARCH("12",'Procyfloc GS50'!D23)),EDATE(AB22,12),IF(ISNUMBER(SEARCH("6",'Procyfloc GS50'!D23)),EDATE(AB22,6),IF(ISNUMBER(SEARCH("3",'Procyfloc GS50'!D23)),EDATE(AB22,3),DATEVALUE('Procyfloc GS50'!D23))))),""))</f>
        <v/>
      </c>
      <c r="AM22" t="str">
        <f t="shared" ca="1" si="5"/>
        <v/>
      </c>
    </row>
    <row r="23" spans="1:39" ht="22.05" customHeight="1" x14ac:dyDescent="0.3">
      <c r="A23" s="40"/>
      <c r="B23" s="40"/>
      <c r="C23" s="40"/>
      <c r="D23" s="41"/>
      <c r="E23" s="50"/>
      <c r="F23" s="51"/>
      <c r="G23" s="51"/>
      <c r="H23" s="51"/>
      <c r="I23" s="51"/>
      <c r="J23" s="51"/>
      <c r="K23" s="51"/>
      <c r="L23" s="51"/>
      <c r="M23" s="51"/>
      <c r="N23" s="52"/>
      <c r="O23" s="41"/>
      <c r="P23" s="58">
        <v>8</v>
      </c>
      <c r="Q23" s="59" t="str">
        <f t="shared" si="6"/>
        <v/>
      </c>
      <c r="R23" s="60" t="str">
        <f t="shared" si="7"/>
        <v/>
      </c>
      <c r="S23" s="59" t="str">
        <f t="shared" si="8"/>
        <v/>
      </c>
      <c r="T23" s="61" t="str">
        <f t="shared" si="9"/>
        <v/>
      </c>
      <c r="U23" s="59" t="str">
        <f t="shared" si="10"/>
        <v/>
      </c>
      <c r="V23" s="51"/>
      <c r="W23" s="52"/>
      <c r="AA23" t="str">
        <f>IF(COUNTA('Procyfloc GS50'!A24,'Procyfloc GS50'!B24,'Procyfloc GS50'!C24)&gt;0,"GS50","")</f>
        <v/>
      </c>
      <c r="AB23" t="str">
        <f>IFERROR(IF(ISNUMBER('Procyfloc GS50'!A24),'Procyfloc GS50'!A24,DATEVALUE('Procyfloc GS50'!A24)),"")</f>
        <v/>
      </c>
      <c r="AC23" t="str">
        <f>IF(AA23="","",'Procyfloc GS50'!B24)</f>
        <v/>
      </c>
      <c r="AD23" t="str">
        <f>IF(AA23="","",IFERROR(1*'Procyfloc GS50'!C24,IFERROR(_xludf.NUMBERVALUE('Procyfloc GS50'!C24,".",","),IFERROR(_xludf.NUMBERVALUE('Procyfloc GS50'!C24,",","."),0))))</f>
        <v/>
      </c>
      <c r="AE23" t="str">
        <f>IF(AA23="","",'Procyfloc GS50'!J24)</f>
        <v/>
      </c>
      <c r="AF23">
        <f t="shared" si="0"/>
        <v>0</v>
      </c>
      <c r="AG23" t="str">
        <f t="shared" si="1"/>
        <v/>
      </c>
      <c r="AH23" t="str">
        <f t="shared" si="2"/>
        <v/>
      </c>
      <c r="AI23">
        <f t="shared" si="3"/>
        <v>0</v>
      </c>
      <c r="AJ23">
        <f t="shared" si="4"/>
        <v>0</v>
      </c>
      <c r="AK23">
        <v>0</v>
      </c>
      <c r="AL23" t="str">
        <f>IF(AA23="","",IFERROR(IF(ISNUMBER('Procyfloc GS50'!D24),'Procyfloc GS50'!D24,IF(ISNUMBER(SEARCH("12",'Procyfloc GS50'!D24)),EDATE(AB23,12),IF(ISNUMBER(SEARCH("6",'Procyfloc GS50'!D24)),EDATE(AB23,6),IF(ISNUMBER(SEARCH("3",'Procyfloc GS50'!D24)),EDATE(AB23,3),DATEVALUE('Procyfloc GS50'!D24))))),""))</f>
        <v/>
      </c>
      <c r="AM23" t="str">
        <f t="shared" ca="1" si="5"/>
        <v/>
      </c>
    </row>
    <row r="24" spans="1:39" ht="22.05" customHeight="1" x14ac:dyDescent="0.3">
      <c r="A24" s="40"/>
      <c r="B24" s="40"/>
      <c r="C24" s="40"/>
      <c r="D24" s="41"/>
      <c r="E24" s="50"/>
      <c r="F24" s="51"/>
      <c r="G24" s="51"/>
      <c r="H24" s="51"/>
      <c r="I24" s="51"/>
      <c r="J24" s="51"/>
      <c r="K24" s="51"/>
      <c r="L24" s="51"/>
      <c r="M24" s="51"/>
      <c r="N24" s="52"/>
      <c r="O24" s="41"/>
      <c r="P24" s="54">
        <v>9</v>
      </c>
      <c r="Q24" s="55" t="str">
        <f t="shared" si="6"/>
        <v/>
      </c>
      <c r="R24" s="56" t="str">
        <f t="shared" si="7"/>
        <v/>
      </c>
      <c r="S24" s="55" t="str">
        <f t="shared" si="8"/>
        <v/>
      </c>
      <c r="T24" s="57" t="str">
        <f t="shared" si="9"/>
        <v/>
      </c>
      <c r="U24" s="55" t="str">
        <f t="shared" si="10"/>
        <v/>
      </c>
      <c r="V24" s="51"/>
      <c r="W24" s="52"/>
      <c r="AA24" t="str">
        <f>IF(COUNTA('Procyfloc GS50'!A25,'Procyfloc GS50'!B25,'Procyfloc GS50'!C25)&gt;0,"GS50","")</f>
        <v/>
      </c>
      <c r="AB24" t="str">
        <f>IFERROR(IF(ISNUMBER('Procyfloc GS50'!A25),'Procyfloc GS50'!A25,DATEVALUE('Procyfloc GS50'!A25)),"")</f>
        <v/>
      </c>
      <c r="AC24" t="str">
        <f>IF(AA24="","",'Procyfloc GS50'!B25)</f>
        <v/>
      </c>
      <c r="AD24" t="str">
        <f>IF(AA24="","",IFERROR(1*'Procyfloc GS50'!C25,IFERROR(_xludf.NUMBERVALUE('Procyfloc GS50'!C25,".",","),IFERROR(_xludf.NUMBERVALUE('Procyfloc GS50'!C25,",","."),0))))</f>
        <v/>
      </c>
      <c r="AE24" t="str">
        <f>IF(AA24="","",'Procyfloc GS50'!J25)</f>
        <v/>
      </c>
      <c r="AF24">
        <f t="shared" si="0"/>
        <v>0</v>
      </c>
      <c r="AG24" t="str">
        <f t="shared" si="1"/>
        <v/>
      </c>
      <c r="AH24" t="str">
        <f t="shared" si="2"/>
        <v/>
      </c>
      <c r="AI24">
        <f t="shared" si="3"/>
        <v>0</v>
      </c>
      <c r="AJ24">
        <f t="shared" si="4"/>
        <v>0</v>
      </c>
      <c r="AK24">
        <v>0</v>
      </c>
      <c r="AL24" t="str">
        <f>IF(AA24="","",IFERROR(IF(ISNUMBER('Procyfloc GS50'!D25),'Procyfloc GS50'!D25,IF(ISNUMBER(SEARCH("12",'Procyfloc GS50'!D25)),EDATE(AB24,12),IF(ISNUMBER(SEARCH("6",'Procyfloc GS50'!D25)),EDATE(AB24,6),IF(ISNUMBER(SEARCH("3",'Procyfloc GS50'!D25)),EDATE(AB24,3),DATEVALUE('Procyfloc GS50'!D25))))),""))</f>
        <v/>
      </c>
      <c r="AM24" t="str">
        <f t="shared" ca="1" si="5"/>
        <v/>
      </c>
    </row>
    <row r="25" spans="1:39" ht="22.05" customHeight="1" x14ac:dyDescent="0.3">
      <c r="A25" s="40"/>
      <c r="B25" s="40"/>
      <c r="C25" s="40"/>
      <c r="D25" s="41"/>
      <c r="E25" s="50"/>
      <c r="F25" s="51"/>
      <c r="G25" s="51"/>
      <c r="H25" s="51"/>
      <c r="I25" s="51"/>
      <c r="J25" s="51"/>
      <c r="K25" s="51"/>
      <c r="L25" s="51"/>
      <c r="M25" s="51"/>
      <c r="N25" s="52"/>
      <c r="O25" s="41"/>
      <c r="P25" s="58">
        <v>10</v>
      </c>
      <c r="Q25" s="59" t="str">
        <f t="shared" si="6"/>
        <v/>
      </c>
      <c r="R25" s="60" t="str">
        <f t="shared" si="7"/>
        <v/>
      </c>
      <c r="S25" s="59" t="str">
        <f t="shared" si="8"/>
        <v/>
      </c>
      <c r="T25" s="61" t="str">
        <f t="shared" si="9"/>
        <v/>
      </c>
      <c r="U25" s="59" t="str">
        <f t="shared" si="10"/>
        <v/>
      </c>
      <c r="V25" s="51"/>
      <c r="W25" s="52"/>
      <c r="AA25" t="str">
        <f>IF(COUNTA('Procyfloc GS50'!A26,'Procyfloc GS50'!B26,'Procyfloc GS50'!C26)&gt;0,"GS50","")</f>
        <v/>
      </c>
      <c r="AB25" t="str">
        <f>IFERROR(IF(ISNUMBER('Procyfloc GS50'!A26),'Procyfloc GS50'!A26,DATEVALUE('Procyfloc GS50'!A26)),"")</f>
        <v/>
      </c>
      <c r="AC25" t="str">
        <f>IF(AA25="","",'Procyfloc GS50'!B26)</f>
        <v/>
      </c>
      <c r="AD25" t="str">
        <f>IF(AA25="","",IFERROR(1*'Procyfloc GS50'!C26,IFERROR(_xludf.NUMBERVALUE('Procyfloc GS50'!C26,".",","),IFERROR(_xludf.NUMBERVALUE('Procyfloc GS50'!C26,",","."),0))))</f>
        <v/>
      </c>
      <c r="AE25" t="str">
        <f>IF(AA25="","",'Procyfloc GS50'!J26)</f>
        <v/>
      </c>
      <c r="AF25">
        <f t="shared" si="0"/>
        <v>0</v>
      </c>
      <c r="AG25" t="str">
        <f t="shared" si="1"/>
        <v/>
      </c>
      <c r="AH25" t="str">
        <f t="shared" si="2"/>
        <v/>
      </c>
      <c r="AI25">
        <f t="shared" si="3"/>
        <v>0</v>
      </c>
      <c r="AJ25">
        <f t="shared" si="4"/>
        <v>0</v>
      </c>
      <c r="AK25">
        <v>0</v>
      </c>
      <c r="AL25" t="str">
        <f>IF(AA25="","",IFERROR(IF(ISNUMBER('Procyfloc GS50'!D26),'Procyfloc GS50'!D26,IF(ISNUMBER(SEARCH("12",'Procyfloc GS50'!D26)),EDATE(AB25,12),IF(ISNUMBER(SEARCH("6",'Procyfloc GS50'!D26)),EDATE(AB25,6),IF(ISNUMBER(SEARCH("3",'Procyfloc GS50'!D26)),EDATE(AB25,3),DATEVALUE('Procyfloc GS50'!D26))))),""))</f>
        <v/>
      </c>
      <c r="AM25" t="str">
        <f t="shared" ca="1" si="5"/>
        <v/>
      </c>
    </row>
    <row r="26" spans="1:39" ht="22.05" customHeight="1" x14ac:dyDescent="0.3">
      <c r="A26" s="40"/>
      <c r="B26" s="40"/>
      <c r="C26" s="40"/>
      <c r="D26" s="41"/>
      <c r="E26" s="50"/>
      <c r="F26" s="51"/>
      <c r="G26" s="51"/>
      <c r="H26" s="51"/>
      <c r="I26" s="51"/>
      <c r="J26" s="51"/>
      <c r="K26" s="51"/>
      <c r="L26" s="51"/>
      <c r="M26" s="51"/>
      <c r="N26" s="52"/>
      <c r="O26" s="41"/>
      <c r="P26" s="50"/>
      <c r="Q26" s="51"/>
      <c r="R26" s="51"/>
      <c r="S26" s="51"/>
      <c r="T26" s="51"/>
      <c r="U26" s="51"/>
      <c r="V26" s="51"/>
      <c r="W26" s="52"/>
      <c r="AA26" t="str">
        <f>IF(COUNTA('Procyfloc GS50'!A27,'Procyfloc GS50'!B27,'Procyfloc GS50'!C27)&gt;0,"GS50","")</f>
        <v/>
      </c>
      <c r="AB26" t="str">
        <f>IFERROR(IF(ISNUMBER('Procyfloc GS50'!A27),'Procyfloc GS50'!A27,DATEVALUE('Procyfloc GS50'!A27)),"")</f>
        <v/>
      </c>
      <c r="AC26" t="str">
        <f>IF(AA26="","",'Procyfloc GS50'!B27)</f>
        <v/>
      </c>
      <c r="AD26" t="str">
        <f>IF(AA26="","",IFERROR(1*'Procyfloc GS50'!C27,IFERROR(_xludf.NUMBERVALUE('Procyfloc GS50'!C27,".",","),IFERROR(_xludf.NUMBERVALUE('Procyfloc GS50'!C27,",","."),0))))</f>
        <v/>
      </c>
      <c r="AE26" t="str">
        <f>IF(AA26="","",'Procyfloc GS50'!J27)</f>
        <v/>
      </c>
      <c r="AF26">
        <f t="shared" si="0"/>
        <v>0</v>
      </c>
      <c r="AG26" t="str">
        <f t="shared" si="1"/>
        <v/>
      </c>
      <c r="AH26" t="str">
        <f t="shared" si="2"/>
        <v/>
      </c>
      <c r="AI26">
        <f t="shared" si="3"/>
        <v>0</v>
      </c>
      <c r="AJ26">
        <f t="shared" si="4"/>
        <v>0</v>
      </c>
      <c r="AK26">
        <v>0</v>
      </c>
      <c r="AL26" t="str">
        <f>IF(AA26="","",IFERROR(IF(ISNUMBER('Procyfloc GS50'!D27),'Procyfloc GS50'!D27,IF(ISNUMBER(SEARCH("12",'Procyfloc GS50'!D27)),EDATE(AB26,12),IF(ISNUMBER(SEARCH("6",'Procyfloc GS50'!D27)),EDATE(AB26,6),IF(ISNUMBER(SEARCH("3",'Procyfloc GS50'!D27)),EDATE(AB26,3),DATEVALUE('Procyfloc GS50'!D27))))),""))</f>
        <v/>
      </c>
      <c r="AM26" t="str">
        <f t="shared" ca="1" si="5"/>
        <v/>
      </c>
    </row>
    <row r="27" spans="1:39" ht="22.05" customHeight="1" x14ac:dyDescent="0.3">
      <c r="A27" s="40"/>
      <c r="B27" s="40"/>
      <c r="C27" s="40"/>
      <c r="D27" s="41"/>
      <c r="E27" s="62"/>
      <c r="F27" s="63"/>
      <c r="G27" s="63"/>
      <c r="H27" s="63"/>
      <c r="I27" s="63"/>
      <c r="J27" s="63"/>
      <c r="K27" s="63"/>
      <c r="L27" s="63"/>
      <c r="M27" s="63"/>
      <c r="N27" s="64"/>
      <c r="O27" s="41"/>
      <c r="P27" s="62"/>
      <c r="Q27" s="63"/>
      <c r="R27" s="63"/>
      <c r="S27" s="63"/>
      <c r="T27" s="63"/>
      <c r="U27" s="63"/>
      <c r="V27" s="63"/>
      <c r="W27" s="64"/>
      <c r="AA27" t="str">
        <f>IF(COUNTA('Procyfloc GS50'!A28,'Procyfloc GS50'!B28,'Procyfloc GS50'!C28)&gt;0,"GS50","")</f>
        <v/>
      </c>
      <c r="AB27" t="str">
        <f>IFERROR(IF(ISNUMBER('Procyfloc GS50'!A28),'Procyfloc GS50'!A28,DATEVALUE('Procyfloc GS50'!A28)),"")</f>
        <v/>
      </c>
      <c r="AC27" t="str">
        <f>IF(AA27="","",'Procyfloc GS50'!B28)</f>
        <v/>
      </c>
      <c r="AD27" t="str">
        <f>IF(AA27="","",IFERROR(1*'Procyfloc GS50'!C28,IFERROR(_xludf.NUMBERVALUE('Procyfloc GS50'!C28,".",","),IFERROR(_xludf.NUMBERVALUE('Procyfloc GS50'!C28,",","."),0))))</f>
        <v/>
      </c>
      <c r="AE27" t="str">
        <f>IF(AA27="","",'Procyfloc GS50'!J28)</f>
        <v/>
      </c>
      <c r="AF27">
        <f t="shared" si="0"/>
        <v>0</v>
      </c>
      <c r="AG27" t="str">
        <f t="shared" si="1"/>
        <v/>
      </c>
      <c r="AH27" t="str">
        <f t="shared" si="2"/>
        <v/>
      </c>
      <c r="AI27">
        <f t="shared" si="3"/>
        <v>0</v>
      </c>
      <c r="AJ27">
        <f t="shared" si="4"/>
        <v>0</v>
      </c>
      <c r="AK27">
        <v>0</v>
      </c>
      <c r="AL27" t="str">
        <f>IF(AA27="","",IFERROR(IF(ISNUMBER('Procyfloc GS50'!D28),'Procyfloc GS50'!D28,IF(ISNUMBER(SEARCH("12",'Procyfloc GS50'!D28)),EDATE(AB27,12),IF(ISNUMBER(SEARCH("6",'Procyfloc GS50'!D28)),EDATE(AB27,6),IF(ISNUMBER(SEARCH("3",'Procyfloc GS50'!D28)),EDATE(AB27,3),DATEVALUE('Procyfloc GS50'!D28))))),""))</f>
        <v/>
      </c>
      <c r="AM27" t="str">
        <f t="shared" ca="1" si="5"/>
        <v/>
      </c>
    </row>
    <row r="28" spans="1:39" ht="22.05" customHeight="1" x14ac:dyDescent="0.3">
      <c r="A28" s="40"/>
      <c r="B28" s="40"/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AA28" t="str">
        <f>IF(COUNTA('Procyfloc GS50'!A29,'Procyfloc GS50'!B29,'Procyfloc GS50'!C29)&gt;0,"GS50","")</f>
        <v/>
      </c>
      <c r="AB28" t="str">
        <f>IFERROR(IF(ISNUMBER('Procyfloc GS50'!A29),'Procyfloc GS50'!A29,DATEVALUE('Procyfloc GS50'!A29)),"")</f>
        <v/>
      </c>
      <c r="AC28" t="str">
        <f>IF(AA28="","",'Procyfloc GS50'!B29)</f>
        <v/>
      </c>
      <c r="AD28" t="str">
        <f>IF(AA28="","",IFERROR(1*'Procyfloc GS50'!C29,IFERROR(_xludf.NUMBERVALUE('Procyfloc GS50'!C29,".",","),IFERROR(_xludf.NUMBERVALUE('Procyfloc GS50'!C29,",","."),0))))</f>
        <v/>
      </c>
      <c r="AE28" t="str">
        <f>IF(AA28="","",'Procyfloc GS50'!J29)</f>
        <v/>
      </c>
      <c r="AF28">
        <f t="shared" si="0"/>
        <v>0</v>
      </c>
      <c r="AG28" t="str">
        <f t="shared" si="1"/>
        <v/>
      </c>
      <c r="AH28" t="str">
        <f t="shared" si="2"/>
        <v/>
      </c>
      <c r="AI28">
        <f t="shared" si="3"/>
        <v>0</v>
      </c>
      <c r="AJ28">
        <f t="shared" si="4"/>
        <v>0</v>
      </c>
      <c r="AK28">
        <v>0</v>
      </c>
      <c r="AL28" t="str">
        <f>IF(AA28="","",IFERROR(IF(ISNUMBER('Procyfloc GS50'!D29),'Procyfloc GS50'!D29,IF(ISNUMBER(SEARCH("12",'Procyfloc GS50'!D29)),EDATE(AB28,12),IF(ISNUMBER(SEARCH("6",'Procyfloc GS50'!D29)),EDATE(AB28,6),IF(ISNUMBER(SEARCH("3",'Procyfloc GS50'!D29)),EDATE(AB28,3),DATEVALUE('Procyfloc GS50'!D29))))),""))</f>
        <v/>
      </c>
      <c r="AM28" t="str">
        <f t="shared" ca="1" si="5"/>
        <v/>
      </c>
    </row>
    <row r="29" spans="1:39" ht="22.05" customHeight="1" x14ac:dyDescent="0.3">
      <c r="A29" s="40"/>
      <c r="B29" s="40"/>
      <c r="C29" s="40"/>
      <c r="D29" s="41"/>
      <c r="E29" s="90" t="s">
        <v>36</v>
      </c>
      <c r="F29" s="91"/>
      <c r="G29" s="91"/>
      <c r="H29" s="91"/>
      <c r="I29" s="91"/>
      <c r="J29" s="91"/>
      <c r="K29" s="91"/>
      <c r="L29" s="91"/>
      <c r="M29" s="91"/>
      <c r="N29" s="87"/>
      <c r="O29" s="41"/>
      <c r="P29" s="90" t="s">
        <v>37</v>
      </c>
      <c r="Q29" s="91"/>
      <c r="R29" s="91"/>
      <c r="S29" s="91"/>
      <c r="T29" s="91"/>
      <c r="U29" s="91"/>
      <c r="V29" s="91"/>
      <c r="W29" s="87"/>
      <c r="AA29" t="str">
        <f>IF(COUNTA('Procyfloc GS50'!A30,'Procyfloc GS50'!B30,'Procyfloc GS50'!C30)&gt;0,"GS50","")</f>
        <v/>
      </c>
      <c r="AB29" t="str">
        <f>IFERROR(IF(ISNUMBER('Procyfloc GS50'!A30),'Procyfloc GS50'!A30,DATEVALUE('Procyfloc GS50'!A30)),"")</f>
        <v/>
      </c>
      <c r="AC29" t="str">
        <f>IF(AA29="","",'Procyfloc GS50'!B30)</f>
        <v/>
      </c>
      <c r="AD29" t="str">
        <f>IF(AA29="","",IFERROR(1*'Procyfloc GS50'!C30,IFERROR(_xludf.NUMBERVALUE('Procyfloc GS50'!C30,".",","),IFERROR(_xludf.NUMBERVALUE('Procyfloc GS50'!C30,",","."),0))))</f>
        <v/>
      </c>
      <c r="AE29" t="str">
        <f>IF(AA29="","",'Procyfloc GS50'!J30)</f>
        <v/>
      </c>
      <c r="AF29">
        <f t="shared" si="0"/>
        <v>0</v>
      </c>
      <c r="AG29" t="str">
        <f t="shared" si="1"/>
        <v/>
      </c>
      <c r="AH29" t="str">
        <f t="shared" si="2"/>
        <v/>
      </c>
      <c r="AI29">
        <f t="shared" si="3"/>
        <v>0</v>
      </c>
      <c r="AJ29">
        <f t="shared" si="4"/>
        <v>0</v>
      </c>
      <c r="AK29">
        <v>0</v>
      </c>
      <c r="AL29" t="str">
        <f>IF(AA29="","",IFERROR(IF(ISNUMBER('Procyfloc GS50'!D30),'Procyfloc GS50'!D30,IF(ISNUMBER(SEARCH("12",'Procyfloc GS50'!D30)),EDATE(AB29,12),IF(ISNUMBER(SEARCH("6",'Procyfloc GS50'!D30)),EDATE(AB29,6),IF(ISNUMBER(SEARCH("3",'Procyfloc GS50'!D30)),EDATE(AB29,3),DATEVALUE('Procyfloc GS50'!D30))))),""))</f>
        <v/>
      </c>
      <c r="AM29" t="str">
        <f t="shared" ca="1" si="5"/>
        <v/>
      </c>
    </row>
    <row r="30" spans="1:39" ht="22.05" customHeight="1" x14ac:dyDescent="0.3">
      <c r="A30" s="40"/>
      <c r="B30" s="40"/>
      <c r="C30" s="40"/>
      <c r="D30" s="41"/>
      <c r="E30" s="88"/>
      <c r="F30" s="92"/>
      <c r="G30" s="92"/>
      <c r="H30" s="92"/>
      <c r="I30" s="92"/>
      <c r="J30" s="92"/>
      <c r="K30" s="92"/>
      <c r="L30" s="92"/>
      <c r="M30" s="92"/>
      <c r="N30" s="89"/>
      <c r="O30" s="41"/>
      <c r="P30" s="88"/>
      <c r="Q30" s="92"/>
      <c r="R30" s="92"/>
      <c r="S30" s="92"/>
      <c r="T30" s="92"/>
      <c r="U30" s="92"/>
      <c r="V30" s="92"/>
      <c r="W30" s="89"/>
      <c r="AA30" t="str">
        <f>IF(COUNTA('Procyfloc GS50'!A31,'Procyfloc GS50'!B31,'Procyfloc GS50'!C31)&gt;0,"GS50","")</f>
        <v/>
      </c>
      <c r="AB30" t="str">
        <f>IFERROR(IF(ISNUMBER('Procyfloc GS50'!A31),'Procyfloc GS50'!A31,DATEVALUE('Procyfloc GS50'!A31)),"")</f>
        <v/>
      </c>
      <c r="AC30" t="str">
        <f>IF(AA30="","",'Procyfloc GS50'!B31)</f>
        <v/>
      </c>
      <c r="AD30" t="str">
        <f>IF(AA30="","",IFERROR(1*'Procyfloc GS50'!C31,IFERROR(_xludf.NUMBERVALUE('Procyfloc GS50'!C31,".",","),IFERROR(_xludf.NUMBERVALUE('Procyfloc GS50'!C31,",","."),0))))</f>
        <v/>
      </c>
      <c r="AE30" t="str">
        <f>IF(AA30="","",'Procyfloc GS50'!J31)</f>
        <v/>
      </c>
      <c r="AF30">
        <f t="shared" si="0"/>
        <v>0</v>
      </c>
      <c r="AG30" t="str">
        <f t="shared" si="1"/>
        <v/>
      </c>
      <c r="AH30" t="str">
        <f t="shared" si="2"/>
        <v/>
      </c>
      <c r="AI30">
        <f t="shared" si="3"/>
        <v>0</v>
      </c>
      <c r="AJ30">
        <f t="shared" si="4"/>
        <v>0</v>
      </c>
      <c r="AK30">
        <v>0</v>
      </c>
      <c r="AL30" t="str">
        <f>IF(AA30="","",IFERROR(IF(ISNUMBER('Procyfloc GS50'!D31),'Procyfloc GS50'!D31,IF(ISNUMBER(SEARCH("12",'Procyfloc GS50'!D31)),EDATE(AB30,12),IF(ISNUMBER(SEARCH("6",'Procyfloc GS50'!D31)),EDATE(AB30,6),IF(ISNUMBER(SEARCH("3",'Procyfloc GS50'!D31)),EDATE(AB30,3),DATEVALUE('Procyfloc GS50'!D31))))),""))</f>
        <v/>
      </c>
      <c r="AM30" t="str">
        <f t="shared" ca="1" si="5"/>
        <v/>
      </c>
    </row>
    <row r="31" spans="1:39" ht="22.05" customHeight="1" x14ac:dyDescent="0.3">
      <c r="A31" s="40"/>
      <c r="B31" s="40"/>
      <c r="C31" s="40"/>
      <c r="D31" s="41"/>
      <c r="E31" s="50"/>
      <c r="F31" s="51"/>
      <c r="G31" s="51"/>
      <c r="H31" s="51"/>
      <c r="I31" s="51"/>
      <c r="J31" s="51"/>
      <c r="K31" s="51"/>
      <c r="L31" s="51"/>
      <c r="M31" s="51"/>
      <c r="N31" s="52"/>
      <c r="O31" s="41"/>
      <c r="P31" s="50"/>
      <c r="Q31" s="51"/>
      <c r="R31" s="51"/>
      <c r="S31" s="51"/>
      <c r="T31" s="51"/>
      <c r="U31" s="51"/>
      <c r="V31" s="51"/>
      <c r="W31" s="52"/>
      <c r="AA31" t="str">
        <f>IF(COUNTA('Procyfloc GS50'!A32,'Procyfloc GS50'!B32,'Procyfloc GS50'!C32)&gt;0,"GS50","")</f>
        <v/>
      </c>
      <c r="AB31" t="str">
        <f>IFERROR(IF(ISNUMBER('Procyfloc GS50'!A32),'Procyfloc GS50'!A32,DATEVALUE('Procyfloc GS50'!A32)),"")</f>
        <v/>
      </c>
      <c r="AC31" t="str">
        <f>IF(AA31="","",'Procyfloc GS50'!B32)</f>
        <v/>
      </c>
      <c r="AD31" t="str">
        <f>IF(AA31="","",IFERROR(1*'Procyfloc GS50'!C32,IFERROR(_xludf.NUMBERVALUE('Procyfloc GS50'!C32,".",","),IFERROR(_xludf.NUMBERVALUE('Procyfloc GS50'!C32,",","."),0))))</f>
        <v/>
      </c>
      <c r="AE31" t="str">
        <f>IF(AA31="","",'Procyfloc GS50'!J32)</f>
        <v/>
      </c>
      <c r="AF31">
        <f t="shared" si="0"/>
        <v>0</v>
      </c>
      <c r="AG31" t="str">
        <f t="shared" si="1"/>
        <v/>
      </c>
      <c r="AH31" t="str">
        <f t="shared" si="2"/>
        <v/>
      </c>
      <c r="AI31">
        <f t="shared" si="3"/>
        <v>0</v>
      </c>
      <c r="AJ31">
        <f t="shared" si="4"/>
        <v>0</v>
      </c>
      <c r="AK31">
        <v>0</v>
      </c>
      <c r="AL31" t="str">
        <f>IF(AA31="","",IFERROR(IF(ISNUMBER('Procyfloc GS50'!D32),'Procyfloc GS50'!D32,IF(ISNUMBER(SEARCH("12",'Procyfloc GS50'!D32)),EDATE(AB31,12),IF(ISNUMBER(SEARCH("6",'Procyfloc GS50'!D32)),EDATE(AB31,6),IF(ISNUMBER(SEARCH("3",'Procyfloc GS50'!D32)),EDATE(AB31,3),DATEVALUE('Procyfloc GS50'!D32))))),""))</f>
        <v/>
      </c>
      <c r="AM31" t="str">
        <f t="shared" ca="1" si="5"/>
        <v/>
      </c>
    </row>
    <row r="32" spans="1:39" ht="22.05" customHeight="1" x14ac:dyDescent="0.3">
      <c r="A32" s="40"/>
      <c r="B32" s="40"/>
      <c r="C32" s="40"/>
      <c r="D32" s="41"/>
      <c r="E32" s="50"/>
      <c r="F32" s="51"/>
      <c r="G32" s="51"/>
      <c r="H32" s="51"/>
      <c r="I32" s="51"/>
      <c r="J32" s="51"/>
      <c r="K32" s="51"/>
      <c r="L32" s="51"/>
      <c r="M32" s="51"/>
      <c r="N32" s="52"/>
      <c r="O32" s="41"/>
      <c r="P32" s="65" t="s">
        <v>7</v>
      </c>
      <c r="Q32" s="65" t="s">
        <v>31</v>
      </c>
      <c r="R32" s="65" t="s">
        <v>30</v>
      </c>
      <c r="S32" s="65" t="s">
        <v>38</v>
      </c>
      <c r="T32" s="65" t="s">
        <v>32</v>
      </c>
      <c r="U32" s="51"/>
      <c r="V32" s="51"/>
      <c r="W32" s="52"/>
      <c r="AA32" t="str">
        <f>IF(COUNTA('Procyfloc GS50'!A33,'Procyfloc GS50'!B33,'Procyfloc GS50'!C33)&gt;0,"GS50","")</f>
        <v/>
      </c>
      <c r="AB32" t="str">
        <f>IFERROR(IF(ISNUMBER('Procyfloc GS50'!A33),'Procyfloc GS50'!A33,DATEVALUE('Procyfloc GS50'!A33)),"")</f>
        <v/>
      </c>
      <c r="AC32" t="str">
        <f>IF(AA32="","",'Procyfloc GS50'!B33)</f>
        <v/>
      </c>
      <c r="AD32" t="str">
        <f>IF(AA32="","",IFERROR(1*'Procyfloc GS50'!C33,IFERROR(_xludf.NUMBERVALUE('Procyfloc GS50'!C33,".",","),IFERROR(_xludf.NUMBERVALUE('Procyfloc GS50'!C33,",","."),0))))</f>
        <v/>
      </c>
      <c r="AE32" t="str">
        <f>IF(AA32="","",'Procyfloc GS50'!J33)</f>
        <v/>
      </c>
      <c r="AF32">
        <f t="shared" si="0"/>
        <v>0</v>
      </c>
      <c r="AG32" t="str">
        <f t="shared" si="1"/>
        <v/>
      </c>
      <c r="AH32" t="str">
        <f t="shared" si="2"/>
        <v/>
      </c>
      <c r="AI32">
        <f t="shared" si="3"/>
        <v>0</v>
      </c>
      <c r="AJ32">
        <f t="shared" si="4"/>
        <v>0</v>
      </c>
      <c r="AK32">
        <v>0</v>
      </c>
      <c r="AL32" t="str">
        <f>IF(AA32="","",IFERROR(IF(ISNUMBER('Procyfloc GS50'!D33),'Procyfloc GS50'!D33,IF(ISNUMBER(SEARCH("12",'Procyfloc GS50'!D33)),EDATE(AB32,12),IF(ISNUMBER(SEARCH("6",'Procyfloc GS50'!D33)),EDATE(AB32,6),IF(ISNUMBER(SEARCH("3",'Procyfloc GS50'!D33)),EDATE(AB32,3),DATEVALUE('Procyfloc GS50'!D33))))),""))</f>
        <v/>
      </c>
      <c r="AM32" t="str">
        <f t="shared" ca="1" si="5"/>
        <v/>
      </c>
    </row>
    <row r="33" spans="1:39" ht="22.05" customHeight="1" x14ac:dyDescent="0.3">
      <c r="A33" s="40"/>
      <c r="B33" s="40"/>
      <c r="C33" s="40"/>
      <c r="D33" s="41"/>
      <c r="E33" s="50"/>
      <c r="F33" s="51"/>
      <c r="G33" s="51"/>
      <c r="H33" s="51"/>
      <c r="I33" s="51"/>
      <c r="J33" s="51"/>
      <c r="K33" s="51"/>
      <c r="L33" s="51"/>
      <c r="M33" s="51"/>
      <c r="N33" s="52"/>
      <c r="O33" s="41"/>
      <c r="P33" s="59" t="s">
        <v>39</v>
      </c>
      <c r="Q33" s="59">
        <f>SUMIFS($AJ$2:$AJ$12001,$AG$2:$AG$12001,$W$3,$AH$2:$AH$12001,1)</f>
        <v>2</v>
      </c>
      <c r="R33" s="60">
        <f>SUMIFS($AD$2:$AD$12001,$AJ$2:$AJ$12001,1,$AG$2:$AG$12001,$W$3,$AH$2:$AH$12001,1)</f>
        <v>28000</v>
      </c>
      <c r="S33" s="59">
        <f>SUMIFS($AF$2:$AF$12001,$AJ$2:$AJ$12001,1,$AG$2:$AG$12001,$W$3,$AH$2:$AH$12001,1)</f>
        <v>2</v>
      </c>
      <c r="T33" s="66">
        <f t="shared" ref="T33:T44" si="11">IFERROR(S33/Q33,0)</f>
        <v>1</v>
      </c>
      <c r="U33" s="51"/>
      <c r="V33" s="51"/>
      <c r="W33" s="52"/>
      <c r="AA33" t="str">
        <f>IF(COUNTA('Procyfloc GS50'!A34,'Procyfloc GS50'!B34,'Procyfloc GS50'!C34)&gt;0,"GS50","")</f>
        <v/>
      </c>
      <c r="AB33" t="str">
        <f>IFERROR(IF(ISNUMBER('Procyfloc GS50'!A34),'Procyfloc GS50'!A34,DATEVALUE('Procyfloc GS50'!A34)),"")</f>
        <v/>
      </c>
      <c r="AC33" t="str">
        <f>IF(AA33="","",'Procyfloc GS50'!B34)</f>
        <v/>
      </c>
      <c r="AD33" t="str">
        <f>IF(AA33="","",IFERROR(1*'Procyfloc GS50'!C34,IFERROR(_xludf.NUMBERVALUE('Procyfloc GS50'!C34,".",","),IFERROR(_xludf.NUMBERVALUE('Procyfloc GS50'!C34,",","."),0))))</f>
        <v/>
      </c>
      <c r="AE33" t="str">
        <f>IF(AA33="","",'Procyfloc GS50'!J34)</f>
        <v/>
      </c>
      <c r="AF33">
        <f t="shared" si="0"/>
        <v>0</v>
      </c>
      <c r="AG33" t="str">
        <f t="shared" si="1"/>
        <v/>
      </c>
      <c r="AH33" t="str">
        <f t="shared" si="2"/>
        <v/>
      </c>
      <c r="AI33">
        <f t="shared" si="3"/>
        <v>0</v>
      </c>
      <c r="AJ33">
        <f t="shared" si="4"/>
        <v>0</v>
      </c>
      <c r="AK33">
        <v>0</v>
      </c>
      <c r="AL33" t="str">
        <f>IF(AA33="","",IFERROR(IF(ISNUMBER('Procyfloc GS50'!D34),'Procyfloc GS50'!D34,IF(ISNUMBER(SEARCH("12",'Procyfloc GS50'!D34)),EDATE(AB33,12),IF(ISNUMBER(SEARCH("6",'Procyfloc GS50'!D34)),EDATE(AB33,6),IF(ISNUMBER(SEARCH("3",'Procyfloc GS50'!D34)),EDATE(AB33,3),DATEVALUE('Procyfloc GS50'!D34))))),""))</f>
        <v/>
      </c>
      <c r="AM33" t="str">
        <f t="shared" ca="1" si="5"/>
        <v/>
      </c>
    </row>
    <row r="34" spans="1:39" ht="22.05" customHeight="1" x14ac:dyDescent="0.3">
      <c r="A34" s="40"/>
      <c r="B34" s="40"/>
      <c r="C34" s="40"/>
      <c r="D34" s="41"/>
      <c r="E34" s="50"/>
      <c r="F34" s="51"/>
      <c r="G34" s="51"/>
      <c r="H34" s="51"/>
      <c r="I34" s="51"/>
      <c r="J34" s="51"/>
      <c r="K34" s="51"/>
      <c r="L34" s="51"/>
      <c r="M34" s="51"/>
      <c r="N34" s="52"/>
      <c r="O34" s="41"/>
      <c r="P34" s="55" t="s">
        <v>40</v>
      </c>
      <c r="Q34" s="55">
        <f>SUMIFS($AJ$2:$AJ$12001,$AG$2:$AG$12001,$W$3,$AH$2:$AH$12001,2)</f>
        <v>2</v>
      </c>
      <c r="R34" s="56">
        <f>SUMIFS($AD$2:$AD$12001,$AJ$2:$AJ$12001,1,$AG$2:$AG$12001,$W$3,$AH$2:$AH$12001,2)</f>
        <v>28000</v>
      </c>
      <c r="S34" s="55">
        <f>SUMIFS($AF$2:$AF$12001,$AJ$2:$AJ$12001,1,$AG$2:$AG$12001,$W$3,$AH$2:$AH$12001,2)</f>
        <v>2</v>
      </c>
      <c r="T34" s="67">
        <f t="shared" si="11"/>
        <v>1</v>
      </c>
      <c r="U34" s="51"/>
      <c r="V34" s="51"/>
      <c r="W34" s="52"/>
      <c r="AA34" t="str">
        <f>IF(COUNTA('Procyfloc GS50'!A35,'Procyfloc GS50'!B35,'Procyfloc GS50'!C35)&gt;0,"GS50","")</f>
        <v/>
      </c>
      <c r="AB34" t="str">
        <f>IFERROR(IF(ISNUMBER('Procyfloc GS50'!A35),'Procyfloc GS50'!A35,DATEVALUE('Procyfloc GS50'!A35)),"")</f>
        <v/>
      </c>
      <c r="AC34" t="str">
        <f>IF(AA34="","",'Procyfloc GS50'!B35)</f>
        <v/>
      </c>
      <c r="AD34" t="str">
        <f>IF(AA34="","",IFERROR(1*'Procyfloc GS50'!C35,IFERROR(_xludf.NUMBERVALUE('Procyfloc GS50'!C35,".",","),IFERROR(_xludf.NUMBERVALUE('Procyfloc GS50'!C35,",","."),0))))</f>
        <v/>
      </c>
      <c r="AE34" t="str">
        <f>IF(AA34="","",'Procyfloc GS50'!J35)</f>
        <v/>
      </c>
      <c r="AF34">
        <f t="shared" si="0"/>
        <v>0</v>
      </c>
      <c r="AG34" t="str">
        <f t="shared" si="1"/>
        <v/>
      </c>
      <c r="AH34" t="str">
        <f t="shared" si="2"/>
        <v/>
      </c>
      <c r="AI34">
        <f t="shared" si="3"/>
        <v>0</v>
      </c>
      <c r="AJ34">
        <f t="shared" si="4"/>
        <v>0</v>
      </c>
      <c r="AK34">
        <v>0</v>
      </c>
      <c r="AL34" t="str">
        <f>IF(AA34="","",IFERROR(IF(ISNUMBER('Procyfloc GS50'!D35),'Procyfloc GS50'!D35,IF(ISNUMBER(SEARCH("12",'Procyfloc GS50'!D35)),EDATE(AB34,12),IF(ISNUMBER(SEARCH("6",'Procyfloc GS50'!D35)),EDATE(AB34,6),IF(ISNUMBER(SEARCH("3",'Procyfloc GS50'!D35)),EDATE(AB34,3),DATEVALUE('Procyfloc GS50'!D35))))),""))</f>
        <v/>
      </c>
      <c r="AM34" t="str">
        <f t="shared" ca="1" si="5"/>
        <v/>
      </c>
    </row>
    <row r="35" spans="1:39" ht="22.05" customHeight="1" x14ac:dyDescent="0.3">
      <c r="A35" s="40"/>
      <c r="B35" s="40"/>
      <c r="C35" s="40"/>
      <c r="D35" s="41"/>
      <c r="E35" s="50"/>
      <c r="F35" s="51"/>
      <c r="G35" s="51"/>
      <c r="H35" s="51"/>
      <c r="I35" s="51"/>
      <c r="J35" s="51"/>
      <c r="K35" s="51"/>
      <c r="L35" s="51"/>
      <c r="M35" s="51"/>
      <c r="N35" s="52"/>
      <c r="O35" s="41"/>
      <c r="P35" s="59" t="s">
        <v>41</v>
      </c>
      <c r="Q35" s="59">
        <f>SUMIFS($AJ$2:$AJ$12001,$AG$2:$AG$12001,$W$3,$AH$2:$AH$12001,3)</f>
        <v>4</v>
      </c>
      <c r="R35" s="60">
        <f>SUMIFS($AD$2:$AD$12001,$AJ$2:$AJ$12001,1,$AG$2:$AG$12001,$W$3,$AH$2:$AH$12001,3)</f>
        <v>56000</v>
      </c>
      <c r="S35" s="59">
        <f>SUMIFS($AF$2:$AF$12001,$AJ$2:$AJ$12001,1,$AG$2:$AG$12001,$W$3,$AH$2:$AH$12001,3)</f>
        <v>4</v>
      </c>
      <c r="T35" s="66">
        <f t="shared" si="11"/>
        <v>1</v>
      </c>
      <c r="U35" s="51"/>
      <c r="V35" s="51"/>
      <c r="W35" s="52"/>
      <c r="AA35" t="str">
        <f>IF(COUNTA('Procyfloc GS50'!A36,'Procyfloc GS50'!B36,'Procyfloc GS50'!C36)&gt;0,"GS50","")</f>
        <v/>
      </c>
      <c r="AB35" t="str">
        <f>IFERROR(IF(ISNUMBER('Procyfloc GS50'!A36),'Procyfloc GS50'!A36,DATEVALUE('Procyfloc GS50'!A36)),"")</f>
        <v/>
      </c>
      <c r="AC35" t="str">
        <f>IF(AA35="","",'Procyfloc GS50'!B36)</f>
        <v/>
      </c>
      <c r="AD35" t="str">
        <f>IF(AA35="","",IFERROR(1*'Procyfloc GS50'!C36,IFERROR(_xludf.NUMBERVALUE('Procyfloc GS50'!C36,".",","),IFERROR(_xludf.NUMBERVALUE('Procyfloc GS50'!C36,",","."),0))))</f>
        <v/>
      </c>
      <c r="AE35" t="str">
        <f>IF(AA35="","",'Procyfloc GS50'!J36)</f>
        <v/>
      </c>
      <c r="AF35">
        <f t="shared" si="0"/>
        <v>0</v>
      </c>
      <c r="AG35" t="str">
        <f t="shared" si="1"/>
        <v/>
      </c>
      <c r="AH35" t="str">
        <f t="shared" si="2"/>
        <v/>
      </c>
      <c r="AI35">
        <f t="shared" si="3"/>
        <v>0</v>
      </c>
      <c r="AJ35">
        <f t="shared" si="4"/>
        <v>0</v>
      </c>
      <c r="AK35">
        <v>0</v>
      </c>
      <c r="AL35" t="str">
        <f>IF(AA35="","",IFERROR(IF(ISNUMBER('Procyfloc GS50'!D36),'Procyfloc GS50'!D36,IF(ISNUMBER(SEARCH("12",'Procyfloc GS50'!D36)),EDATE(AB35,12),IF(ISNUMBER(SEARCH("6",'Procyfloc GS50'!D36)),EDATE(AB35,6),IF(ISNUMBER(SEARCH("3",'Procyfloc GS50'!D36)),EDATE(AB35,3),DATEVALUE('Procyfloc GS50'!D36))))),""))</f>
        <v/>
      </c>
      <c r="AM35" t="str">
        <f t="shared" ca="1" si="5"/>
        <v/>
      </c>
    </row>
    <row r="36" spans="1:39" ht="22.05" customHeight="1" x14ac:dyDescent="0.3">
      <c r="A36" s="40"/>
      <c r="B36" s="40"/>
      <c r="C36" s="40"/>
      <c r="D36" s="41"/>
      <c r="E36" s="50"/>
      <c r="F36" s="51"/>
      <c r="G36" s="51"/>
      <c r="H36" s="51"/>
      <c r="I36" s="51"/>
      <c r="J36" s="51"/>
      <c r="K36" s="51"/>
      <c r="L36" s="51"/>
      <c r="M36" s="51"/>
      <c r="N36" s="52"/>
      <c r="O36" s="41"/>
      <c r="P36" s="55" t="s">
        <v>42</v>
      </c>
      <c r="Q36" s="55">
        <f>SUMIFS($AJ$2:$AJ$12001,$AG$2:$AG$12001,$W$3,$AH$2:$AH$12001,4)</f>
        <v>3</v>
      </c>
      <c r="R36" s="56">
        <f>SUMIFS($AD$2:$AD$12001,$AJ$2:$AJ$12001,1,$AG$2:$AG$12001,$W$3,$AH$2:$AH$12001,4)</f>
        <v>28100</v>
      </c>
      <c r="S36" s="55">
        <f>SUMIFS($AF$2:$AF$12001,$AJ$2:$AJ$12001,1,$AG$2:$AG$12001,$W$3,$AH$2:$AH$12001,4)</f>
        <v>3</v>
      </c>
      <c r="T36" s="67">
        <f t="shared" si="11"/>
        <v>1</v>
      </c>
      <c r="U36" s="51"/>
      <c r="V36" s="51"/>
      <c r="W36" s="52"/>
      <c r="AA36" t="str">
        <f>IF(COUNTA('Procyfloc GS50'!A37,'Procyfloc GS50'!B37,'Procyfloc GS50'!C37)&gt;0,"GS50","")</f>
        <v/>
      </c>
      <c r="AB36" t="str">
        <f>IFERROR(IF(ISNUMBER('Procyfloc GS50'!A37),'Procyfloc GS50'!A37,DATEVALUE('Procyfloc GS50'!A37)),"")</f>
        <v/>
      </c>
      <c r="AC36" t="str">
        <f>IF(AA36="","",'Procyfloc GS50'!B37)</f>
        <v/>
      </c>
      <c r="AD36" t="str">
        <f>IF(AA36="","",IFERROR(1*'Procyfloc GS50'!C37,IFERROR(_xludf.NUMBERVALUE('Procyfloc GS50'!C37,".",","),IFERROR(_xludf.NUMBERVALUE('Procyfloc GS50'!C37,",","."),0))))</f>
        <v/>
      </c>
      <c r="AE36" t="str">
        <f>IF(AA36="","",'Procyfloc GS50'!J37)</f>
        <v/>
      </c>
      <c r="AF36">
        <f t="shared" si="0"/>
        <v>0</v>
      </c>
      <c r="AG36" t="str">
        <f t="shared" si="1"/>
        <v/>
      </c>
      <c r="AH36" t="str">
        <f t="shared" si="2"/>
        <v/>
      </c>
      <c r="AI36">
        <f t="shared" si="3"/>
        <v>0</v>
      </c>
      <c r="AJ36">
        <f t="shared" si="4"/>
        <v>0</v>
      </c>
      <c r="AK36">
        <v>0</v>
      </c>
      <c r="AL36" t="str">
        <f>IF(AA36="","",IFERROR(IF(ISNUMBER('Procyfloc GS50'!D37),'Procyfloc GS50'!D37,IF(ISNUMBER(SEARCH("12",'Procyfloc GS50'!D37)),EDATE(AB36,12),IF(ISNUMBER(SEARCH("6",'Procyfloc GS50'!D37)),EDATE(AB36,6),IF(ISNUMBER(SEARCH("3",'Procyfloc GS50'!D37)),EDATE(AB36,3),DATEVALUE('Procyfloc GS50'!D37))))),""))</f>
        <v/>
      </c>
      <c r="AM36" t="str">
        <f t="shared" ca="1" si="5"/>
        <v/>
      </c>
    </row>
    <row r="37" spans="1:39" ht="22.05" customHeight="1" x14ac:dyDescent="0.3">
      <c r="A37" s="40"/>
      <c r="B37" s="40"/>
      <c r="C37" s="40"/>
      <c r="D37" s="41"/>
      <c r="E37" s="50"/>
      <c r="F37" s="51"/>
      <c r="G37" s="51"/>
      <c r="H37" s="51"/>
      <c r="I37" s="51"/>
      <c r="J37" s="51"/>
      <c r="K37" s="51"/>
      <c r="L37" s="51"/>
      <c r="M37" s="51"/>
      <c r="N37" s="52"/>
      <c r="O37" s="41"/>
      <c r="P37" s="59" t="s">
        <v>43</v>
      </c>
      <c r="Q37" s="59">
        <f>SUMIFS($AJ$2:$AJ$12001,$AG$2:$AG$12001,$W$3,$AH$2:$AH$12001,5)</f>
        <v>2</v>
      </c>
      <c r="R37" s="60">
        <f>SUMIFS($AD$2:$AD$12001,$AJ$2:$AJ$12001,1,$AG$2:$AG$12001,$W$3,$AH$2:$AH$12001,5)</f>
        <v>28000</v>
      </c>
      <c r="S37" s="59">
        <f>SUMIFS($AF$2:$AF$12001,$AJ$2:$AJ$12001,1,$AG$2:$AG$12001,$W$3,$AH$2:$AH$12001,5)</f>
        <v>2</v>
      </c>
      <c r="T37" s="66">
        <f t="shared" si="11"/>
        <v>1</v>
      </c>
      <c r="U37" s="51"/>
      <c r="V37" s="51"/>
      <c r="W37" s="52"/>
      <c r="AA37" t="str">
        <f>IF(COUNTA('Procyfloc GS50'!A38,'Procyfloc GS50'!B38,'Procyfloc GS50'!C38)&gt;0,"GS50","")</f>
        <v/>
      </c>
      <c r="AB37" t="str">
        <f>IFERROR(IF(ISNUMBER('Procyfloc GS50'!A38),'Procyfloc GS50'!A38,DATEVALUE('Procyfloc GS50'!A38)),"")</f>
        <v/>
      </c>
      <c r="AC37" t="str">
        <f>IF(AA37="","",'Procyfloc GS50'!B38)</f>
        <v/>
      </c>
      <c r="AD37" t="str">
        <f>IF(AA37="","",IFERROR(1*'Procyfloc GS50'!C38,IFERROR(_xludf.NUMBERVALUE('Procyfloc GS50'!C38,".",","),IFERROR(_xludf.NUMBERVALUE('Procyfloc GS50'!C38,",","."),0))))</f>
        <v/>
      </c>
      <c r="AE37" t="str">
        <f>IF(AA37="","",'Procyfloc GS50'!J38)</f>
        <v/>
      </c>
      <c r="AF37">
        <f t="shared" si="0"/>
        <v>0</v>
      </c>
      <c r="AG37" t="str">
        <f t="shared" si="1"/>
        <v/>
      </c>
      <c r="AH37" t="str">
        <f t="shared" si="2"/>
        <v/>
      </c>
      <c r="AI37">
        <f t="shared" si="3"/>
        <v>0</v>
      </c>
      <c r="AJ37">
        <f t="shared" si="4"/>
        <v>0</v>
      </c>
      <c r="AK37">
        <v>0</v>
      </c>
      <c r="AL37" t="str">
        <f>IF(AA37="","",IFERROR(IF(ISNUMBER('Procyfloc GS50'!D38),'Procyfloc GS50'!D38,IF(ISNUMBER(SEARCH("12",'Procyfloc GS50'!D38)),EDATE(AB37,12),IF(ISNUMBER(SEARCH("6",'Procyfloc GS50'!D38)),EDATE(AB37,6),IF(ISNUMBER(SEARCH("3",'Procyfloc GS50'!D38)),EDATE(AB37,3),DATEVALUE('Procyfloc GS50'!D38))))),""))</f>
        <v/>
      </c>
      <c r="AM37" t="str">
        <f t="shared" ca="1" si="5"/>
        <v/>
      </c>
    </row>
    <row r="38" spans="1:39" ht="22.05" customHeight="1" x14ac:dyDescent="0.3">
      <c r="A38" s="40"/>
      <c r="B38" s="40"/>
      <c r="C38" s="40"/>
      <c r="D38" s="41"/>
      <c r="E38" s="50"/>
      <c r="F38" s="51"/>
      <c r="G38" s="51"/>
      <c r="H38" s="51"/>
      <c r="I38" s="51"/>
      <c r="J38" s="51"/>
      <c r="K38" s="51"/>
      <c r="L38" s="51"/>
      <c r="M38" s="51"/>
      <c r="N38" s="52"/>
      <c r="O38" s="41"/>
      <c r="P38" s="55" t="s">
        <v>44</v>
      </c>
      <c r="Q38" s="55">
        <f>SUMIFS($AJ$2:$AJ$12001,$AG$2:$AG$12001,$W$3,$AH$2:$AH$12001,6)</f>
        <v>0</v>
      </c>
      <c r="R38" s="56">
        <f>SUMIFS($AD$2:$AD$12001,$AJ$2:$AJ$12001,1,$AG$2:$AG$12001,$W$3,$AH$2:$AH$12001,6)</f>
        <v>0</v>
      </c>
      <c r="S38" s="55">
        <f>SUMIFS($AF$2:$AF$12001,$AJ$2:$AJ$12001,1,$AG$2:$AG$12001,$W$3,$AH$2:$AH$12001,6)</f>
        <v>0</v>
      </c>
      <c r="T38" s="67">
        <f t="shared" si="11"/>
        <v>0</v>
      </c>
      <c r="U38" s="51"/>
      <c r="V38" s="51"/>
      <c r="W38" s="52"/>
      <c r="AA38" t="str">
        <f>IF(COUNTA('Procyfloc GS50'!A39,'Procyfloc GS50'!B39,'Procyfloc GS50'!C39)&gt;0,"GS50","")</f>
        <v/>
      </c>
      <c r="AB38" t="str">
        <f>IFERROR(IF(ISNUMBER('Procyfloc GS50'!A39),'Procyfloc GS50'!A39,DATEVALUE('Procyfloc GS50'!A39)),"")</f>
        <v/>
      </c>
      <c r="AC38" t="str">
        <f>IF(AA38="","",'Procyfloc GS50'!B39)</f>
        <v/>
      </c>
      <c r="AD38" t="str">
        <f>IF(AA38="","",IFERROR(1*'Procyfloc GS50'!C39,IFERROR(_xludf.NUMBERVALUE('Procyfloc GS50'!C39,".",","),IFERROR(_xludf.NUMBERVALUE('Procyfloc GS50'!C39,",","."),0))))</f>
        <v/>
      </c>
      <c r="AE38" t="str">
        <f>IF(AA38="","",'Procyfloc GS50'!J39)</f>
        <v/>
      </c>
      <c r="AF38">
        <f t="shared" si="0"/>
        <v>0</v>
      </c>
      <c r="AG38" t="str">
        <f t="shared" si="1"/>
        <v/>
      </c>
      <c r="AH38" t="str">
        <f t="shared" si="2"/>
        <v/>
      </c>
      <c r="AI38">
        <f t="shared" si="3"/>
        <v>0</v>
      </c>
      <c r="AJ38">
        <f t="shared" si="4"/>
        <v>0</v>
      </c>
      <c r="AK38">
        <v>0</v>
      </c>
      <c r="AL38" t="str">
        <f>IF(AA38="","",IFERROR(IF(ISNUMBER('Procyfloc GS50'!D39),'Procyfloc GS50'!D39,IF(ISNUMBER(SEARCH("12",'Procyfloc GS50'!D39)),EDATE(AB38,12),IF(ISNUMBER(SEARCH("6",'Procyfloc GS50'!D39)),EDATE(AB38,6),IF(ISNUMBER(SEARCH("3",'Procyfloc GS50'!D39)),EDATE(AB38,3),DATEVALUE('Procyfloc GS50'!D39))))),""))</f>
        <v/>
      </c>
      <c r="AM38" t="str">
        <f t="shared" ca="1" si="5"/>
        <v/>
      </c>
    </row>
    <row r="39" spans="1:39" ht="22.05" customHeight="1" x14ac:dyDescent="0.3">
      <c r="A39" s="40"/>
      <c r="B39" s="40"/>
      <c r="C39" s="40"/>
      <c r="D39" s="41"/>
      <c r="E39" s="50"/>
      <c r="F39" s="51"/>
      <c r="G39" s="51"/>
      <c r="H39" s="51"/>
      <c r="I39" s="51"/>
      <c r="J39" s="51"/>
      <c r="K39" s="51"/>
      <c r="L39" s="51"/>
      <c r="M39" s="51"/>
      <c r="N39" s="52"/>
      <c r="O39" s="41"/>
      <c r="P39" s="59" t="s">
        <v>45</v>
      </c>
      <c r="Q39" s="59">
        <f>SUMIFS($AJ$2:$AJ$12001,$AG$2:$AG$12001,$W$3,$AH$2:$AH$12001,7)</f>
        <v>0</v>
      </c>
      <c r="R39" s="60">
        <f>SUMIFS($AD$2:$AD$12001,$AJ$2:$AJ$12001,1,$AG$2:$AG$12001,$W$3,$AH$2:$AH$12001,7)</f>
        <v>0</v>
      </c>
      <c r="S39" s="59">
        <f>SUMIFS($AF$2:$AF$12001,$AJ$2:$AJ$12001,1,$AG$2:$AG$12001,$W$3,$AH$2:$AH$12001,7)</f>
        <v>0</v>
      </c>
      <c r="T39" s="66">
        <f t="shared" si="11"/>
        <v>0</v>
      </c>
      <c r="U39" s="51"/>
      <c r="V39" s="51"/>
      <c r="W39" s="52"/>
      <c r="AA39" t="str">
        <f>IF(COUNTA('Procyfloc GS50'!A40,'Procyfloc GS50'!B40,'Procyfloc GS50'!C40)&gt;0,"GS50","")</f>
        <v/>
      </c>
      <c r="AB39" t="str">
        <f>IFERROR(IF(ISNUMBER('Procyfloc GS50'!A40),'Procyfloc GS50'!A40,DATEVALUE('Procyfloc GS50'!A40)),"")</f>
        <v/>
      </c>
      <c r="AC39" t="str">
        <f>IF(AA39="","",'Procyfloc GS50'!B40)</f>
        <v/>
      </c>
      <c r="AD39" t="str">
        <f>IF(AA39="","",IFERROR(1*'Procyfloc GS50'!C40,IFERROR(_xludf.NUMBERVALUE('Procyfloc GS50'!C40,".",","),IFERROR(_xludf.NUMBERVALUE('Procyfloc GS50'!C40,",","."),0))))</f>
        <v/>
      </c>
      <c r="AE39" t="str">
        <f>IF(AA39="","",'Procyfloc GS50'!J40)</f>
        <v/>
      </c>
      <c r="AF39">
        <f t="shared" si="0"/>
        <v>0</v>
      </c>
      <c r="AG39" t="str">
        <f t="shared" si="1"/>
        <v/>
      </c>
      <c r="AH39" t="str">
        <f t="shared" si="2"/>
        <v/>
      </c>
      <c r="AI39">
        <f t="shared" si="3"/>
        <v>0</v>
      </c>
      <c r="AJ39">
        <f t="shared" si="4"/>
        <v>0</v>
      </c>
      <c r="AK39">
        <v>0</v>
      </c>
      <c r="AL39" t="str">
        <f>IF(AA39="","",IFERROR(IF(ISNUMBER('Procyfloc GS50'!D40),'Procyfloc GS50'!D40,IF(ISNUMBER(SEARCH("12",'Procyfloc GS50'!D40)),EDATE(AB39,12),IF(ISNUMBER(SEARCH("6",'Procyfloc GS50'!D40)),EDATE(AB39,6),IF(ISNUMBER(SEARCH("3",'Procyfloc GS50'!D40)),EDATE(AB39,3),DATEVALUE('Procyfloc GS50'!D40))))),""))</f>
        <v/>
      </c>
      <c r="AM39" t="str">
        <f t="shared" ca="1" si="5"/>
        <v/>
      </c>
    </row>
    <row r="40" spans="1:39" ht="22.05" customHeight="1" x14ac:dyDescent="0.3">
      <c r="A40" s="40"/>
      <c r="B40" s="40"/>
      <c r="C40" s="40"/>
      <c r="D40" s="41"/>
      <c r="E40" s="50"/>
      <c r="F40" s="51"/>
      <c r="G40" s="51"/>
      <c r="H40" s="51"/>
      <c r="I40" s="51"/>
      <c r="J40" s="51"/>
      <c r="K40" s="51"/>
      <c r="L40" s="51"/>
      <c r="M40" s="51"/>
      <c r="N40" s="52"/>
      <c r="O40" s="41"/>
      <c r="P40" s="55" t="s">
        <v>46</v>
      </c>
      <c r="Q40" s="55">
        <f>SUMIFS($AJ$2:$AJ$12001,$AG$2:$AG$12001,$W$3,$AH$2:$AH$12001,8)</f>
        <v>0</v>
      </c>
      <c r="R40" s="56">
        <f>SUMIFS($AD$2:$AD$12001,$AJ$2:$AJ$12001,1,$AG$2:$AG$12001,$W$3,$AH$2:$AH$12001,8)</f>
        <v>0</v>
      </c>
      <c r="S40" s="55">
        <f>SUMIFS($AF$2:$AF$12001,$AJ$2:$AJ$12001,1,$AG$2:$AG$12001,$W$3,$AH$2:$AH$12001,8)</f>
        <v>0</v>
      </c>
      <c r="T40" s="67">
        <f t="shared" si="11"/>
        <v>0</v>
      </c>
      <c r="U40" s="51"/>
      <c r="V40" s="51"/>
      <c r="W40" s="52"/>
      <c r="AA40" t="str">
        <f>IF(COUNTA('Procyfloc GS50'!A41,'Procyfloc GS50'!B41,'Procyfloc GS50'!C41)&gt;0,"GS50","")</f>
        <v/>
      </c>
      <c r="AB40" t="str">
        <f>IFERROR(IF(ISNUMBER('Procyfloc GS50'!A41),'Procyfloc GS50'!A41,DATEVALUE('Procyfloc GS50'!A41)),"")</f>
        <v/>
      </c>
      <c r="AC40" t="str">
        <f>IF(AA40="","",'Procyfloc GS50'!B41)</f>
        <v/>
      </c>
      <c r="AD40" t="str">
        <f>IF(AA40="","",IFERROR(1*'Procyfloc GS50'!C41,IFERROR(_xludf.NUMBERVALUE('Procyfloc GS50'!C41,".",","),IFERROR(_xludf.NUMBERVALUE('Procyfloc GS50'!C41,",","."),0))))</f>
        <v/>
      </c>
      <c r="AE40" t="str">
        <f>IF(AA40="","",'Procyfloc GS50'!J41)</f>
        <v/>
      </c>
      <c r="AF40">
        <f t="shared" si="0"/>
        <v>0</v>
      </c>
      <c r="AG40" t="str">
        <f t="shared" si="1"/>
        <v/>
      </c>
      <c r="AH40" t="str">
        <f t="shared" si="2"/>
        <v/>
      </c>
      <c r="AI40">
        <f t="shared" si="3"/>
        <v>0</v>
      </c>
      <c r="AJ40">
        <f t="shared" si="4"/>
        <v>0</v>
      </c>
      <c r="AK40">
        <v>0</v>
      </c>
      <c r="AL40" t="str">
        <f>IF(AA40="","",IFERROR(IF(ISNUMBER('Procyfloc GS50'!D41),'Procyfloc GS50'!D41,IF(ISNUMBER(SEARCH("12",'Procyfloc GS50'!D41)),EDATE(AB40,12),IF(ISNUMBER(SEARCH("6",'Procyfloc GS50'!D41)),EDATE(AB40,6),IF(ISNUMBER(SEARCH("3",'Procyfloc GS50'!D41)),EDATE(AB40,3),DATEVALUE('Procyfloc GS50'!D41))))),""))</f>
        <v/>
      </c>
      <c r="AM40" t="str">
        <f t="shared" ca="1" si="5"/>
        <v/>
      </c>
    </row>
    <row r="41" spans="1:39" ht="22.05" customHeight="1" x14ac:dyDescent="0.3">
      <c r="A41" s="40"/>
      <c r="B41" s="40"/>
      <c r="C41" s="40"/>
      <c r="D41" s="41"/>
      <c r="E41" s="50"/>
      <c r="F41" s="51"/>
      <c r="G41" s="51"/>
      <c r="H41" s="51"/>
      <c r="I41" s="51"/>
      <c r="J41" s="51"/>
      <c r="K41" s="51"/>
      <c r="L41" s="51"/>
      <c r="M41" s="51"/>
      <c r="N41" s="52"/>
      <c r="O41" s="41"/>
      <c r="P41" s="59" t="s">
        <v>47</v>
      </c>
      <c r="Q41" s="59">
        <f>SUMIFS($AJ$2:$AJ$12001,$AG$2:$AG$12001,$W$3,$AH$2:$AH$12001,9)</f>
        <v>0</v>
      </c>
      <c r="R41" s="60">
        <f>SUMIFS($AD$2:$AD$12001,$AJ$2:$AJ$12001,1,$AG$2:$AG$12001,$W$3,$AH$2:$AH$12001,9)</f>
        <v>0</v>
      </c>
      <c r="S41" s="59">
        <f>SUMIFS($AF$2:$AF$12001,$AJ$2:$AJ$12001,1,$AG$2:$AG$12001,$W$3,$AH$2:$AH$12001,9)</f>
        <v>0</v>
      </c>
      <c r="T41" s="66">
        <f t="shared" si="11"/>
        <v>0</v>
      </c>
      <c r="U41" s="51"/>
      <c r="V41" s="51"/>
      <c r="W41" s="52"/>
      <c r="AA41" t="str">
        <f>IF(COUNTA('Procyfloc GS50'!A42,'Procyfloc GS50'!B42,'Procyfloc GS50'!C42)&gt;0,"GS50","")</f>
        <v/>
      </c>
      <c r="AB41" t="str">
        <f>IFERROR(IF(ISNUMBER('Procyfloc GS50'!A42),'Procyfloc GS50'!A42,DATEVALUE('Procyfloc GS50'!A42)),"")</f>
        <v/>
      </c>
      <c r="AC41" t="str">
        <f>IF(AA41="","",'Procyfloc GS50'!B42)</f>
        <v/>
      </c>
      <c r="AD41" t="str">
        <f>IF(AA41="","",IFERROR(1*'Procyfloc GS50'!C42,IFERROR(_xludf.NUMBERVALUE('Procyfloc GS50'!C42,".",","),IFERROR(_xludf.NUMBERVALUE('Procyfloc GS50'!C42,",","."),0))))</f>
        <v/>
      </c>
      <c r="AE41" t="str">
        <f>IF(AA41="","",'Procyfloc GS50'!J42)</f>
        <v/>
      </c>
      <c r="AF41">
        <f t="shared" si="0"/>
        <v>0</v>
      </c>
      <c r="AG41" t="str">
        <f t="shared" si="1"/>
        <v/>
      </c>
      <c r="AH41" t="str">
        <f t="shared" si="2"/>
        <v/>
      </c>
      <c r="AI41">
        <f t="shared" si="3"/>
        <v>0</v>
      </c>
      <c r="AJ41">
        <f t="shared" si="4"/>
        <v>0</v>
      </c>
      <c r="AK41">
        <v>0</v>
      </c>
      <c r="AL41" t="str">
        <f>IF(AA41="","",IFERROR(IF(ISNUMBER('Procyfloc GS50'!D42),'Procyfloc GS50'!D42,IF(ISNUMBER(SEARCH("12",'Procyfloc GS50'!D42)),EDATE(AB41,12),IF(ISNUMBER(SEARCH("6",'Procyfloc GS50'!D42)),EDATE(AB41,6),IF(ISNUMBER(SEARCH("3",'Procyfloc GS50'!D42)),EDATE(AB41,3),DATEVALUE('Procyfloc GS50'!D42))))),""))</f>
        <v/>
      </c>
      <c r="AM41" t="str">
        <f t="shared" ca="1" si="5"/>
        <v/>
      </c>
    </row>
    <row r="42" spans="1:39" ht="22.05" customHeight="1" x14ac:dyDescent="0.3">
      <c r="A42" s="40"/>
      <c r="B42" s="40"/>
      <c r="C42" s="40"/>
      <c r="D42" s="41"/>
      <c r="E42" s="50"/>
      <c r="F42" s="51"/>
      <c r="G42" s="51"/>
      <c r="H42" s="51"/>
      <c r="I42" s="51"/>
      <c r="J42" s="51"/>
      <c r="K42" s="51"/>
      <c r="L42" s="51"/>
      <c r="M42" s="51"/>
      <c r="N42" s="52"/>
      <c r="O42" s="41"/>
      <c r="P42" s="55" t="s">
        <v>48</v>
      </c>
      <c r="Q42" s="55">
        <f>SUMIFS($AJ$2:$AJ$12001,$AG$2:$AG$12001,$W$3,$AH$2:$AH$12001,10)</f>
        <v>0</v>
      </c>
      <c r="R42" s="56">
        <f>SUMIFS($AD$2:$AD$12001,$AJ$2:$AJ$12001,1,$AG$2:$AG$12001,$W$3,$AH$2:$AH$12001,10)</f>
        <v>0</v>
      </c>
      <c r="S42" s="55">
        <f>SUMIFS($AF$2:$AF$12001,$AJ$2:$AJ$12001,1,$AG$2:$AG$12001,$W$3,$AH$2:$AH$12001,10)</f>
        <v>0</v>
      </c>
      <c r="T42" s="67">
        <f t="shared" si="11"/>
        <v>0</v>
      </c>
      <c r="U42" s="51"/>
      <c r="V42" s="51"/>
      <c r="W42" s="52"/>
      <c r="AA42" t="str">
        <f>IF(COUNTA('Procyfloc GS50'!A43,'Procyfloc GS50'!B43,'Procyfloc GS50'!C43)&gt;0,"GS50","")</f>
        <v/>
      </c>
      <c r="AB42" t="str">
        <f>IFERROR(IF(ISNUMBER('Procyfloc GS50'!A43),'Procyfloc GS50'!A43,DATEVALUE('Procyfloc GS50'!A43)),"")</f>
        <v/>
      </c>
      <c r="AC42" t="str">
        <f>IF(AA42="","",'Procyfloc GS50'!B43)</f>
        <v/>
      </c>
      <c r="AD42" t="str">
        <f>IF(AA42="","",IFERROR(1*'Procyfloc GS50'!C43,IFERROR(_xludf.NUMBERVALUE('Procyfloc GS50'!C43,".",","),IFERROR(_xludf.NUMBERVALUE('Procyfloc GS50'!C43,",","."),0))))</f>
        <v/>
      </c>
      <c r="AE42" t="str">
        <f>IF(AA42="","",'Procyfloc GS50'!J43)</f>
        <v/>
      </c>
      <c r="AF42">
        <f t="shared" si="0"/>
        <v>0</v>
      </c>
      <c r="AG42" t="str">
        <f t="shared" si="1"/>
        <v/>
      </c>
      <c r="AH42" t="str">
        <f t="shared" si="2"/>
        <v/>
      </c>
      <c r="AI42">
        <f t="shared" si="3"/>
        <v>0</v>
      </c>
      <c r="AJ42">
        <f t="shared" si="4"/>
        <v>0</v>
      </c>
      <c r="AK42">
        <v>0</v>
      </c>
      <c r="AL42" t="str">
        <f>IF(AA42="","",IFERROR(IF(ISNUMBER('Procyfloc GS50'!D43),'Procyfloc GS50'!D43,IF(ISNUMBER(SEARCH("12",'Procyfloc GS50'!D43)),EDATE(AB42,12),IF(ISNUMBER(SEARCH("6",'Procyfloc GS50'!D43)),EDATE(AB42,6),IF(ISNUMBER(SEARCH("3",'Procyfloc GS50'!D43)),EDATE(AB42,3),DATEVALUE('Procyfloc GS50'!D43))))),""))</f>
        <v/>
      </c>
      <c r="AM42" t="str">
        <f t="shared" ca="1" si="5"/>
        <v/>
      </c>
    </row>
    <row r="43" spans="1:39" ht="22.05" customHeight="1" x14ac:dyDescent="0.3">
      <c r="A43" s="40"/>
      <c r="B43" s="40"/>
      <c r="C43" s="40"/>
      <c r="D43" s="41"/>
      <c r="E43" s="50"/>
      <c r="F43" s="51"/>
      <c r="G43" s="51"/>
      <c r="H43" s="51"/>
      <c r="I43" s="51"/>
      <c r="J43" s="51"/>
      <c r="K43" s="51"/>
      <c r="L43" s="51"/>
      <c r="M43" s="51"/>
      <c r="N43" s="52"/>
      <c r="O43" s="41"/>
      <c r="P43" s="59" t="s">
        <v>49</v>
      </c>
      <c r="Q43" s="59">
        <f>SUMIFS($AJ$2:$AJ$12001,$AG$2:$AG$12001,$W$3,$AH$2:$AH$12001,11)</f>
        <v>0</v>
      </c>
      <c r="R43" s="60">
        <f>SUMIFS($AD$2:$AD$12001,$AJ$2:$AJ$12001,1,$AG$2:$AG$12001,$W$3,$AH$2:$AH$12001,11)</f>
        <v>0</v>
      </c>
      <c r="S43" s="59">
        <f>SUMIFS($AF$2:$AF$12001,$AJ$2:$AJ$12001,1,$AG$2:$AG$12001,$W$3,$AH$2:$AH$12001,11)</f>
        <v>0</v>
      </c>
      <c r="T43" s="66">
        <f t="shared" si="11"/>
        <v>0</v>
      </c>
      <c r="U43" s="51"/>
      <c r="V43" s="51"/>
      <c r="W43" s="52"/>
      <c r="AA43" t="str">
        <f>IF(COUNTA('Procyfloc GS50'!A44,'Procyfloc GS50'!B44,'Procyfloc GS50'!C44)&gt;0,"GS50","")</f>
        <v/>
      </c>
      <c r="AB43" t="str">
        <f>IFERROR(IF(ISNUMBER('Procyfloc GS50'!A44),'Procyfloc GS50'!A44,DATEVALUE('Procyfloc GS50'!A44)),"")</f>
        <v/>
      </c>
      <c r="AC43" t="str">
        <f>IF(AA43="","",'Procyfloc GS50'!B44)</f>
        <v/>
      </c>
      <c r="AD43" t="str">
        <f>IF(AA43="","",IFERROR(1*'Procyfloc GS50'!C44,IFERROR(_xludf.NUMBERVALUE('Procyfloc GS50'!C44,".",","),IFERROR(_xludf.NUMBERVALUE('Procyfloc GS50'!C44,",","."),0))))</f>
        <v/>
      </c>
      <c r="AE43" t="str">
        <f>IF(AA43="","",'Procyfloc GS50'!J44)</f>
        <v/>
      </c>
      <c r="AF43">
        <f t="shared" si="0"/>
        <v>0</v>
      </c>
      <c r="AG43" t="str">
        <f t="shared" si="1"/>
        <v/>
      </c>
      <c r="AH43" t="str">
        <f t="shared" si="2"/>
        <v/>
      </c>
      <c r="AI43">
        <f t="shared" si="3"/>
        <v>0</v>
      </c>
      <c r="AJ43">
        <f t="shared" si="4"/>
        <v>0</v>
      </c>
      <c r="AK43">
        <v>0</v>
      </c>
      <c r="AL43" t="str">
        <f>IF(AA43="","",IFERROR(IF(ISNUMBER('Procyfloc GS50'!D44),'Procyfloc GS50'!D44,IF(ISNUMBER(SEARCH("12",'Procyfloc GS50'!D44)),EDATE(AB43,12),IF(ISNUMBER(SEARCH("6",'Procyfloc GS50'!D44)),EDATE(AB43,6),IF(ISNUMBER(SEARCH("3",'Procyfloc GS50'!D44)),EDATE(AB43,3),DATEVALUE('Procyfloc GS50'!D44))))),""))</f>
        <v/>
      </c>
      <c r="AM43" t="str">
        <f t="shared" ca="1" si="5"/>
        <v/>
      </c>
    </row>
    <row r="44" spans="1:39" ht="22.05" customHeight="1" x14ac:dyDescent="0.3">
      <c r="A44" s="40"/>
      <c r="B44" s="40"/>
      <c r="C44" s="40"/>
      <c r="D44" s="41"/>
      <c r="E44" s="50"/>
      <c r="F44" s="51"/>
      <c r="G44" s="51"/>
      <c r="H44" s="51"/>
      <c r="I44" s="51"/>
      <c r="J44" s="51"/>
      <c r="K44" s="51"/>
      <c r="L44" s="51"/>
      <c r="M44" s="51"/>
      <c r="N44" s="52"/>
      <c r="O44" s="41"/>
      <c r="P44" s="55" t="s">
        <v>50</v>
      </c>
      <c r="Q44" s="55">
        <f>SUMIFS($AJ$2:$AJ$12001,$AG$2:$AG$12001,$W$3,$AH$2:$AH$12001,12)</f>
        <v>0</v>
      </c>
      <c r="R44" s="56">
        <f>SUMIFS($AD$2:$AD$12001,$AJ$2:$AJ$12001,1,$AG$2:$AG$12001,$W$3,$AH$2:$AH$12001,12)</f>
        <v>0</v>
      </c>
      <c r="S44" s="55">
        <f>SUMIFS($AF$2:$AF$12001,$AJ$2:$AJ$12001,1,$AG$2:$AG$12001,$W$3,$AH$2:$AH$12001,12)</f>
        <v>0</v>
      </c>
      <c r="T44" s="67">
        <f t="shared" si="11"/>
        <v>0</v>
      </c>
      <c r="U44" s="51"/>
      <c r="V44" s="51"/>
      <c r="W44" s="52"/>
      <c r="AA44" t="str">
        <f>IF(COUNTA('Procyfloc GS50'!A45,'Procyfloc GS50'!B45,'Procyfloc GS50'!C45)&gt;0,"GS50","")</f>
        <v/>
      </c>
      <c r="AB44" t="str">
        <f>IFERROR(IF(ISNUMBER('Procyfloc GS50'!A45),'Procyfloc GS50'!A45,DATEVALUE('Procyfloc GS50'!A45)),"")</f>
        <v/>
      </c>
      <c r="AC44" t="str">
        <f>IF(AA44="","",'Procyfloc GS50'!B45)</f>
        <v/>
      </c>
      <c r="AD44" t="str">
        <f>IF(AA44="","",IFERROR(1*'Procyfloc GS50'!C45,IFERROR(_xludf.NUMBERVALUE('Procyfloc GS50'!C45,".",","),IFERROR(_xludf.NUMBERVALUE('Procyfloc GS50'!C45,",","."),0))))</f>
        <v/>
      </c>
      <c r="AE44" t="str">
        <f>IF(AA44="","",'Procyfloc GS50'!J45)</f>
        <v/>
      </c>
      <c r="AF44">
        <f t="shared" si="0"/>
        <v>0</v>
      </c>
      <c r="AG44" t="str">
        <f t="shared" si="1"/>
        <v/>
      </c>
      <c r="AH44" t="str">
        <f t="shared" si="2"/>
        <v/>
      </c>
      <c r="AI44">
        <f t="shared" si="3"/>
        <v>0</v>
      </c>
      <c r="AJ44">
        <f t="shared" si="4"/>
        <v>0</v>
      </c>
      <c r="AK44">
        <v>0</v>
      </c>
      <c r="AL44" t="str">
        <f>IF(AA44="","",IFERROR(IF(ISNUMBER('Procyfloc GS50'!D45),'Procyfloc GS50'!D45,IF(ISNUMBER(SEARCH("12",'Procyfloc GS50'!D45)),EDATE(AB44,12),IF(ISNUMBER(SEARCH("6",'Procyfloc GS50'!D45)),EDATE(AB44,6),IF(ISNUMBER(SEARCH("3",'Procyfloc GS50'!D45)),EDATE(AB44,3),DATEVALUE('Procyfloc GS50'!D45))))),""))</f>
        <v/>
      </c>
      <c r="AM44" t="str">
        <f t="shared" ca="1" si="5"/>
        <v/>
      </c>
    </row>
    <row r="45" spans="1:39" ht="22.05" customHeight="1" x14ac:dyDescent="0.3">
      <c r="A45" s="40"/>
      <c r="B45" s="40"/>
      <c r="C45" s="40"/>
      <c r="D45" s="41"/>
      <c r="E45" s="62"/>
      <c r="F45" s="63"/>
      <c r="G45" s="63"/>
      <c r="H45" s="63"/>
      <c r="I45" s="63"/>
      <c r="J45" s="63"/>
      <c r="K45" s="63"/>
      <c r="L45" s="63"/>
      <c r="M45" s="63"/>
      <c r="N45" s="64"/>
      <c r="O45" s="41"/>
      <c r="P45" s="62"/>
      <c r="Q45" s="63"/>
      <c r="R45" s="63"/>
      <c r="S45" s="63"/>
      <c r="T45" s="63"/>
      <c r="U45" s="63"/>
      <c r="V45" s="63"/>
      <c r="W45" s="64"/>
      <c r="AA45" t="str">
        <f>IF(COUNTA('Procyfloc GS50'!A46,'Procyfloc GS50'!B46,'Procyfloc GS50'!C46)&gt;0,"GS50","")</f>
        <v/>
      </c>
      <c r="AB45" t="str">
        <f>IFERROR(IF(ISNUMBER('Procyfloc GS50'!A46),'Procyfloc GS50'!A46,DATEVALUE('Procyfloc GS50'!A46)),"")</f>
        <v/>
      </c>
      <c r="AC45" t="str">
        <f>IF(AA45="","",'Procyfloc GS50'!B46)</f>
        <v/>
      </c>
      <c r="AD45" t="str">
        <f>IF(AA45="","",IFERROR(1*'Procyfloc GS50'!C46,IFERROR(_xludf.NUMBERVALUE('Procyfloc GS50'!C46,".",","),IFERROR(_xludf.NUMBERVALUE('Procyfloc GS50'!C46,",","."),0))))</f>
        <v/>
      </c>
      <c r="AE45" t="str">
        <f>IF(AA45="","",'Procyfloc GS50'!J46)</f>
        <v/>
      </c>
      <c r="AF45">
        <f t="shared" si="0"/>
        <v>0</v>
      </c>
      <c r="AG45" t="str">
        <f t="shared" si="1"/>
        <v/>
      </c>
      <c r="AH45" t="str">
        <f t="shared" si="2"/>
        <v/>
      </c>
      <c r="AI45">
        <f t="shared" si="3"/>
        <v>0</v>
      </c>
      <c r="AJ45">
        <f t="shared" si="4"/>
        <v>0</v>
      </c>
      <c r="AK45">
        <v>0</v>
      </c>
      <c r="AL45" t="str">
        <f>IF(AA45="","",IFERROR(IF(ISNUMBER('Procyfloc GS50'!D46),'Procyfloc GS50'!D46,IF(ISNUMBER(SEARCH("12",'Procyfloc GS50'!D46)),EDATE(AB45,12),IF(ISNUMBER(SEARCH("6",'Procyfloc GS50'!D46)),EDATE(AB45,6),IF(ISNUMBER(SEARCH("3",'Procyfloc GS50'!D46)),EDATE(AB45,3),DATEVALUE('Procyfloc GS50'!D46))))),""))</f>
        <v/>
      </c>
      <c r="AM45" t="str">
        <f t="shared" ca="1" si="5"/>
        <v/>
      </c>
    </row>
    <row r="46" spans="1:39" ht="22.05" customHeight="1" x14ac:dyDescent="0.3">
      <c r="A46" s="40"/>
      <c r="B46" s="40"/>
      <c r="C46" s="40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AA46" t="str">
        <f>IF(COUNTA('Procyfloc GS50'!A47,'Procyfloc GS50'!B47,'Procyfloc GS50'!C47)&gt;0,"GS50","")</f>
        <v/>
      </c>
      <c r="AB46" t="str">
        <f>IFERROR(IF(ISNUMBER('Procyfloc GS50'!A47),'Procyfloc GS50'!A47,DATEVALUE('Procyfloc GS50'!A47)),"")</f>
        <v/>
      </c>
      <c r="AC46" t="str">
        <f>IF(AA46="","",'Procyfloc GS50'!B47)</f>
        <v/>
      </c>
      <c r="AD46" t="str">
        <f>IF(AA46="","",IFERROR(1*'Procyfloc GS50'!C47,IFERROR(_xludf.NUMBERVALUE('Procyfloc GS50'!C47,".",","),IFERROR(_xludf.NUMBERVALUE('Procyfloc GS50'!C47,",","."),0))))</f>
        <v/>
      </c>
      <c r="AE46" t="str">
        <f>IF(AA46="","",'Procyfloc GS50'!J47)</f>
        <v/>
      </c>
      <c r="AF46">
        <f t="shared" si="0"/>
        <v>0</v>
      </c>
      <c r="AG46" t="str">
        <f t="shared" si="1"/>
        <v/>
      </c>
      <c r="AH46" t="str">
        <f t="shared" si="2"/>
        <v/>
      </c>
      <c r="AI46">
        <f t="shared" si="3"/>
        <v>0</v>
      </c>
      <c r="AJ46">
        <f t="shared" si="4"/>
        <v>0</v>
      </c>
      <c r="AK46">
        <v>0</v>
      </c>
      <c r="AL46" t="str">
        <f>IF(AA46="","",IFERROR(IF(ISNUMBER('Procyfloc GS50'!D47),'Procyfloc GS50'!D47,IF(ISNUMBER(SEARCH("12",'Procyfloc GS50'!D47)),EDATE(AB46,12),IF(ISNUMBER(SEARCH("6",'Procyfloc GS50'!D47)),EDATE(AB46,6),IF(ISNUMBER(SEARCH("3",'Procyfloc GS50'!D47)),EDATE(AB46,3),DATEVALUE('Procyfloc GS50'!D47))))),""))</f>
        <v/>
      </c>
      <c r="AM46" t="str">
        <f t="shared" ca="1" si="5"/>
        <v/>
      </c>
    </row>
    <row r="47" spans="1:39" ht="22.05" customHeight="1" x14ac:dyDescent="0.3">
      <c r="A47" s="40"/>
      <c r="B47" s="40"/>
      <c r="C47" s="40"/>
      <c r="D47" s="41"/>
      <c r="E47" s="90" t="s">
        <v>51</v>
      </c>
      <c r="F47" s="91"/>
      <c r="G47" s="91"/>
      <c r="H47" s="91"/>
      <c r="I47" s="91"/>
      <c r="J47" s="91"/>
      <c r="K47" s="87"/>
      <c r="L47" s="41"/>
      <c r="M47" s="90" t="s">
        <v>52</v>
      </c>
      <c r="N47" s="91"/>
      <c r="O47" s="91"/>
      <c r="P47" s="91"/>
      <c r="Q47" s="87"/>
      <c r="R47" s="41"/>
      <c r="S47" s="90" t="s">
        <v>53</v>
      </c>
      <c r="T47" s="91"/>
      <c r="U47" s="91"/>
      <c r="V47" s="91"/>
      <c r="W47" s="87"/>
      <c r="AA47" t="str">
        <f>IF(COUNTA('Procyfloc GS50'!A48,'Procyfloc GS50'!B48,'Procyfloc GS50'!C48)&gt;0,"GS50","")</f>
        <v/>
      </c>
      <c r="AB47" t="str">
        <f>IFERROR(IF(ISNUMBER('Procyfloc GS50'!A48),'Procyfloc GS50'!A48,DATEVALUE('Procyfloc GS50'!A48)),"")</f>
        <v/>
      </c>
      <c r="AC47" t="str">
        <f>IF(AA47="","",'Procyfloc GS50'!B48)</f>
        <v/>
      </c>
      <c r="AD47" t="str">
        <f>IF(AA47="","",IFERROR(1*'Procyfloc GS50'!C48,IFERROR(_xludf.NUMBERVALUE('Procyfloc GS50'!C48,".",","),IFERROR(_xludf.NUMBERVALUE('Procyfloc GS50'!C48,",","."),0))))</f>
        <v/>
      </c>
      <c r="AE47" t="str">
        <f>IF(AA47="","",'Procyfloc GS50'!J48)</f>
        <v/>
      </c>
      <c r="AF47">
        <f t="shared" si="0"/>
        <v>0</v>
      </c>
      <c r="AG47" t="str">
        <f t="shared" si="1"/>
        <v/>
      </c>
      <c r="AH47" t="str">
        <f t="shared" si="2"/>
        <v/>
      </c>
      <c r="AI47">
        <f t="shared" si="3"/>
        <v>0</v>
      </c>
      <c r="AJ47">
        <f t="shared" si="4"/>
        <v>0</v>
      </c>
      <c r="AK47">
        <v>0</v>
      </c>
      <c r="AL47" t="str">
        <f>IF(AA47="","",IFERROR(IF(ISNUMBER('Procyfloc GS50'!D48),'Procyfloc GS50'!D48,IF(ISNUMBER(SEARCH("12",'Procyfloc GS50'!D48)),EDATE(AB47,12),IF(ISNUMBER(SEARCH("6",'Procyfloc GS50'!D48)),EDATE(AB47,6),IF(ISNUMBER(SEARCH("3",'Procyfloc GS50'!D48)),EDATE(AB47,3),DATEVALUE('Procyfloc GS50'!D48))))),""))</f>
        <v/>
      </c>
      <c r="AM47" t="str">
        <f t="shared" ca="1" si="5"/>
        <v/>
      </c>
    </row>
    <row r="48" spans="1:39" ht="22.05" customHeight="1" x14ac:dyDescent="0.3">
      <c r="A48" s="40"/>
      <c r="B48" s="40"/>
      <c r="C48" s="40"/>
      <c r="D48" s="41"/>
      <c r="E48" s="88"/>
      <c r="F48" s="92"/>
      <c r="G48" s="92"/>
      <c r="H48" s="92"/>
      <c r="I48" s="92"/>
      <c r="J48" s="92"/>
      <c r="K48" s="89"/>
      <c r="L48" s="41"/>
      <c r="M48" s="88"/>
      <c r="N48" s="92"/>
      <c r="O48" s="92"/>
      <c r="P48" s="92"/>
      <c r="Q48" s="89"/>
      <c r="R48" s="41"/>
      <c r="S48" s="88"/>
      <c r="T48" s="92"/>
      <c r="U48" s="92"/>
      <c r="V48" s="92"/>
      <c r="W48" s="89"/>
      <c r="AA48" t="str">
        <f>IF(COUNTA('Procyfloc GS50'!A49,'Procyfloc GS50'!B49,'Procyfloc GS50'!C49)&gt;0,"GS50","")</f>
        <v/>
      </c>
      <c r="AB48" t="str">
        <f>IFERROR(IF(ISNUMBER('Procyfloc GS50'!A49),'Procyfloc GS50'!A49,DATEVALUE('Procyfloc GS50'!A49)),"")</f>
        <v/>
      </c>
      <c r="AC48" t="str">
        <f>IF(AA48="","",'Procyfloc GS50'!B49)</f>
        <v/>
      </c>
      <c r="AD48" t="str">
        <f>IF(AA48="","",IFERROR(1*'Procyfloc GS50'!C49,IFERROR(_xludf.NUMBERVALUE('Procyfloc GS50'!C49,".",","),IFERROR(_xludf.NUMBERVALUE('Procyfloc GS50'!C49,",","."),0))))</f>
        <v/>
      </c>
      <c r="AE48" t="str">
        <f>IF(AA48="","",'Procyfloc GS50'!J49)</f>
        <v/>
      </c>
      <c r="AF48">
        <f t="shared" si="0"/>
        <v>0</v>
      </c>
      <c r="AG48" t="str">
        <f t="shared" si="1"/>
        <v/>
      </c>
      <c r="AH48" t="str">
        <f t="shared" si="2"/>
        <v/>
      </c>
      <c r="AI48">
        <f t="shared" si="3"/>
        <v>0</v>
      </c>
      <c r="AJ48">
        <f t="shared" si="4"/>
        <v>0</v>
      </c>
      <c r="AK48">
        <v>0</v>
      </c>
      <c r="AL48" t="str">
        <f>IF(AA48="","",IFERROR(IF(ISNUMBER('Procyfloc GS50'!D49),'Procyfloc GS50'!D49,IF(ISNUMBER(SEARCH("12",'Procyfloc GS50'!D49)),EDATE(AB48,12),IF(ISNUMBER(SEARCH("6",'Procyfloc GS50'!D49)),EDATE(AB48,6),IF(ISNUMBER(SEARCH("3",'Procyfloc GS50'!D49)),EDATE(AB48,3),DATEVALUE('Procyfloc GS50'!D49))))),""))</f>
        <v/>
      </c>
      <c r="AM48" t="str">
        <f t="shared" ca="1" si="5"/>
        <v/>
      </c>
    </row>
    <row r="49" spans="1:39" ht="22.05" customHeight="1" x14ac:dyDescent="0.3">
      <c r="A49" s="40"/>
      <c r="B49" s="40"/>
      <c r="C49" s="40"/>
      <c r="D49" s="41"/>
      <c r="E49" s="50"/>
      <c r="F49" s="51"/>
      <c r="G49" s="51"/>
      <c r="H49" s="51"/>
      <c r="I49" s="51"/>
      <c r="J49" s="51"/>
      <c r="K49" s="52"/>
      <c r="L49" s="41"/>
      <c r="M49" s="50"/>
      <c r="N49" s="51"/>
      <c r="O49" s="51"/>
      <c r="P49" s="51"/>
      <c r="Q49" s="52"/>
      <c r="R49" s="41"/>
      <c r="S49" s="50"/>
      <c r="T49" s="51"/>
      <c r="U49" s="51"/>
      <c r="V49" s="51"/>
      <c r="W49" s="52"/>
      <c r="AA49" t="str">
        <f>IF(COUNTA('Procyfloc GS50'!A50,'Procyfloc GS50'!B50,'Procyfloc GS50'!C50)&gt;0,"GS50","")</f>
        <v/>
      </c>
      <c r="AB49" t="str">
        <f>IFERROR(IF(ISNUMBER('Procyfloc GS50'!A50),'Procyfloc GS50'!A50,DATEVALUE('Procyfloc GS50'!A50)),"")</f>
        <v/>
      </c>
      <c r="AC49" t="str">
        <f>IF(AA49="","",'Procyfloc GS50'!B50)</f>
        <v/>
      </c>
      <c r="AD49" t="str">
        <f>IF(AA49="","",IFERROR(1*'Procyfloc GS50'!C50,IFERROR(_xludf.NUMBERVALUE('Procyfloc GS50'!C50,".",","),IFERROR(_xludf.NUMBERVALUE('Procyfloc GS50'!C50,",","."),0))))</f>
        <v/>
      </c>
      <c r="AE49" t="str">
        <f>IF(AA49="","",'Procyfloc GS50'!J50)</f>
        <v/>
      </c>
      <c r="AF49">
        <f t="shared" si="0"/>
        <v>0</v>
      </c>
      <c r="AG49" t="str">
        <f t="shared" si="1"/>
        <v/>
      </c>
      <c r="AH49" t="str">
        <f t="shared" si="2"/>
        <v/>
      </c>
      <c r="AI49">
        <f t="shared" si="3"/>
        <v>0</v>
      </c>
      <c r="AJ49">
        <f t="shared" si="4"/>
        <v>0</v>
      </c>
      <c r="AK49">
        <v>0</v>
      </c>
      <c r="AL49" t="str">
        <f>IF(AA49="","",IFERROR(IF(ISNUMBER('Procyfloc GS50'!D50),'Procyfloc GS50'!D50,IF(ISNUMBER(SEARCH("12",'Procyfloc GS50'!D50)),EDATE(AB49,12),IF(ISNUMBER(SEARCH("6",'Procyfloc GS50'!D50)),EDATE(AB49,6),IF(ISNUMBER(SEARCH("3",'Procyfloc GS50'!D50)),EDATE(AB49,3),DATEVALUE('Procyfloc GS50'!D50))))),""))</f>
        <v/>
      </c>
      <c r="AM49" t="str">
        <f t="shared" ca="1" si="5"/>
        <v/>
      </c>
    </row>
    <row r="50" spans="1:39" ht="22.05" customHeight="1" x14ac:dyDescent="0.3">
      <c r="A50" s="40"/>
      <c r="B50" s="40"/>
      <c r="C50" s="40"/>
      <c r="D50" s="41"/>
      <c r="E50" s="50"/>
      <c r="F50" s="51"/>
      <c r="G50" s="51"/>
      <c r="H50" s="51"/>
      <c r="I50" s="51"/>
      <c r="J50" s="51"/>
      <c r="K50" s="52"/>
      <c r="L50" s="41"/>
      <c r="M50" s="68" t="s">
        <v>4</v>
      </c>
      <c r="N50" s="68" t="s">
        <v>31</v>
      </c>
      <c r="O50" s="68" t="s">
        <v>54</v>
      </c>
      <c r="P50" s="51"/>
      <c r="Q50" s="52"/>
      <c r="R50" s="41"/>
      <c r="S50" s="69" t="s">
        <v>29</v>
      </c>
      <c r="T50" s="69" t="s">
        <v>0</v>
      </c>
      <c r="U50" s="69" t="s">
        <v>2</v>
      </c>
      <c r="V50" s="69" t="s">
        <v>55</v>
      </c>
      <c r="W50" s="69" t="s">
        <v>56</v>
      </c>
      <c r="AA50" t="str">
        <f>IF(COUNTA('Procyfloc GS50'!A51,'Procyfloc GS50'!B51,'Procyfloc GS50'!C51)&gt;0,"GS50","")</f>
        <v/>
      </c>
      <c r="AB50" t="str">
        <f>IFERROR(IF(ISNUMBER('Procyfloc GS50'!A51),'Procyfloc GS50'!A51,DATEVALUE('Procyfloc GS50'!A51)),"")</f>
        <v/>
      </c>
      <c r="AC50" t="str">
        <f>IF(AA50="","",'Procyfloc GS50'!B51)</f>
        <v/>
      </c>
      <c r="AD50" t="str">
        <f>IF(AA50="","",IFERROR(1*'Procyfloc GS50'!C51,IFERROR(_xludf.NUMBERVALUE('Procyfloc GS50'!C51,".",","),IFERROR(_xludf.NUMBERVALUE('Procyfloc GS50'!C51,",","."),0))))</f>
        <v/>
      </c>
      <c r="AE50" t="str">
        <f>IF(AA50="","",'Procyfloc GS50'!J51)</f>
        <v/>
      </c>
      <c r="AF50">
        <f t="shared" si="0"/>
        <v>0</v>
      </c>
      <c r="AG50" t="str">
        <f t="shared" si="1"/>
        <v/>
      </c>
      <c r="AH50" t="str">
        <f t="shared" si="2"/>
        <v/>
      </c>
      <c r="AI50">
        <f t="shared" si="3"/>
        <v>0</v>
      </c>
      <c r="AJ50">
        <f t="shared" si="4"/>
        <v>0</v>
      </c>
      <c r="AK50">
        <v>0</v>
      </c>
      <c r="AL50" t="str">
        <f>IF(AA50="","",IFERROR(IF(ISNUMBER('Procyfloc GS50'!D51),'Procyfloc GS50'!D51,IF(ISNUMBER(SEARCH("12",'Procyfloc GS50'!D51)),EDATE(AB50,12),IF(ISNUMBER(SEARCH("6",'Procyfloc GS50'!D51)),EDATE(AB50,6),IF(ISNUMBER(SEARCH("3",'Procyfloc GS50'!D51)),EDATE(AB50,3),DATEVALUE('Procyfloc GS50'!D51))))),""))</f>
        <v/>
      </c>
      <c r="AM50" t="str">
        <f t="shared" ca="1" si="5"/>
        <v/>
      </c>
    </row>
    <row r="51" spans="1:39" ht="22.05" customHeight="1" x14ac:dyDescent="0.3">
      <c r="A51" s="40"/>
      <c r="B51" s="40"/>
      <c r="C51" s="40"/>
      <c r="D51" s="41"/>
      <c r="E51" s="50"/>
      <c r="F51" s="51"/>
      <c r="G51" s="51"/>
      <c r="H51" s="51"/>
      <c r="I51" s="51"/>
      <c r="J51" s="51"/>
      <c r="K51" s="52"/>
      <c r="L51" s="41"/>
      <c r="M51" s="70" t="s">
        <v>5</v>
      </c>
      <c r="N51" s="71">
        <f>SUMIFS($AF$2:$AF$12001,$AJ$2:$AJ$12001,1,$AG$2:$AG$12001,$W$3)</f>
        <v>13</v>
      </c>
      <c r="O51" s="61">
        <f>IFERROR(N51/$E$7,0)</f>
        <v>1</v>
      </c>
      <c r="P51" s="51"/>
      <c r="Q51" s="52"/>
      <c r="R51" s="41"/>
      <c r="S51" s="58">
        <v>1</v>
      </c>
      <c r="T51" s="59" t="str">
        <f t="shared" ref="T51:T60" ca="1" si="12">IFERROR(INDEX($AA$2:$AA$12001,MATCH(SMALL($AM$2:$AM$12001,S51),$AM$2:$AM$12001,0)),"")</f>
        <v>GS50</v>
      </c>
      <c r="U51" s="59" t="str">
        <f t="shared" ref="U51:U60" ca="1" si="13">IFERROR(INDEX($AC$2:$AC$12001,MATCH(SMALL($AM$2:$AM$12001,S51),$AM$2:$AM$12001,0)),"")</f>
        <v>9839/26</v>
      </c>
      <c r="V51" s="72">
        <f t="shared" ref="V51:V60" ca="1" si="14">IFERROR(INDEX($AL$2:$AL$12001,MATCH(SMALL($AM$2:$AM$12001,S51),$AM$2:$AM$12001,0)),"")</f>
        <v>46308</v>
      </c>
      <c r="W51" s="73">
        <f t="shared" ref="W51:W60" ca="1" si="15">IF(V51="","",V51-TODAY())</f>
        <v>137</v>
      </c>
      <c r="AA51" t="str">
        <f>IF(COUNTA('Procyfloc GS50'!A52,'Procyfloc GS50'!B52,'Procyfloc GS50'!C52)&gt;0,"GS50","")</f>
        <v/>
      </c>
      <c r="AB51" t="str">
        <f>IFERROR(IF(ISNUMBER('Procyfloc GS50'!A52),'Procyfloc GS50'!A52,DATEVALUE('Procyfloc GS50'!A52)),"")</f>
        <v/>
      </c>
      <c r="AC51" t="str">
        <f>IF(AA51="","",'Procyfloc GS50'!B52)</f>
        <v/>
      </c>
      <c r="AD51" t="str">
        <f>IF(AA51="","",IFERROR(1*'Procyfloc GS50'!C52,IFERROR(_xludf.NUMBERVALUE('Procyfloc GS50'!C52,".",","),IFERROR(_xludf.NUMBERVALUE('Procyfloc GS50'!C52,",","."),0))))</f>
        <v/>
      </c>
      <c r="AE51" t="str">
        <f>IF(AA51="","",'Procyfloc GS50'!J52)</f>
        <v/>
      </c>
      <c r="AF51">
        <f t="shared" si="0"/>
        <v>0</v>
      </c>
      <c r="AG51" t="str">
        <f t="shared" si="1"/>
        <v/>
      </c>
      <c r="AH51" t="str">
        <f t="shared" si="2"/>
        <v/>
      </c>
      <c r="AI51">
        <f t="shared" si="3"/>
        <v>0</v>
      </c>
      <c r="AJ51">
        <f t="shared" si="4"/>
        <v>0</v>
      </c>
      <c r="AK51">
        <v>0</v>
      </c>
      <c r="AL51" t="str">
        <f>IF(AA51="","",IFERROR(IF(ISNUMBER('Procyfloc GS50'!D52),'Procyfloc GS50'!D52,IF(ISNUMBER(SEARCH("12",'Procyfloc GS50'!D52)),EDATE(AB51,12),IF(ISNUMBER(SEARCH("6",'Procyfloc GS50'!D52)),EDATE(AB51,6),IF(ISNUMBER(SEARCH("3",'Procyfloc GS50'!D52)),EDATE(AB51,3),DATEVALUE('Procyfloc GS50'!D52))))),""))</f>
        <v/>
      </c>
      <c r="AM51" t="str">
        <f t="shared" ca="1" si="5"/>
        <v/>
      </c>
    </row>
    <row r="52" spans="1:39" ht="22.05" customHeight="1" x14ac:dyDescent="0.3">
      <c r="A52" s="40"/>
      <c r="B52" s="40"/>
      <c r="C52" s="40"/>
      <c r="D52" s="41"/>
      <c r="E52" s="50"/>
      <c r="F52" s="51"/>
      <c r="G52" s="51"/>
      <c r="H52" s="51"/>
      <c r="I52" s="51"/>
      <c r="J52" s="51"/>
      <c r="K52" s="52"/>
      <c r="L52" s="41"/>
      <c r="M52" s="74" t="s">
        <v>57</v>
      </c>
      <c r="N52" s="75">
        <f>COUNTIFS($AJ$2:$AJ$12001,1,$AG$2:$AG$12001,$W$3,$AE$2:$AE$12001,"&lt;&gt;",$AE$2:$AE$12001,"&lt;&gt;*aprov*",$AE$2:$AE$12001,"&lt;&gt;*reprov*")</f>
        <v>0</v>
      </c>
      <c r="O52" s="57">
        <f>IFERROR(N52/$E$7,0)</f>
        <v>0</v>
      </c>
      <c r="P52" s="51"/>
      <c r="Q52" s="52"/>
      <c r="R52" s="41"/>
      <c r="S52" s="54">
        <v>2</v>
      </c>
      <c r="T52" s="55" t="str">
        <f t="shared" ca="1" si="12"/>
        <v>27TC</v>
      </c>
      <c r="U52" s="55" t="str">
        <f t="shared" ca="1" si="13"/>
        <v>9635/26</v>
      </c>
      <c r="V52" s="76">
        <f t="shared" ca="1" si="14"/>
        <v>46394</v>
      </c>
      <c r="W52" s="77">
        <f t="shared" ca="1" si="15"/>
        <v>223</v>
      </c>
      <c r="AA52" t="str">
        <f>IF(COUNTA('Procyfloc GS50'!A53,'Procyfloc GS50'!B53,'Procyfloc GS50'!C53)&gt;0,"GS50","")</f>
        <v/>
      </c>
      <c r="AB52" t="str">
        <f>IFERROR(IF(ISNUMBER('Procyfloc GS50'!A53),'Procyfloc GS50'!A53,DATEVALUE('Procyfloc GS50'!A53)),"")</f>
        <v/>
      </c>
      <c r="AC52" t="str">
        <f>IF(AA52="","",'Procyfloc GS50'!B53)</f>
        <v/>
      </c>
      <c r="AD52" t="str">
        <f>IF(AA52="","",IFERROR(1*'Procyfloc GS50'!C53,IFERROR(_xludf.NUMBERVALUE('Procyfloc GS50'!C53,".",","),IFERROR(_xludf.NUMBERVALUE('Procyfloc GS50'!C53,",","."),0))))</f>
        <v/>
      </c>
      <c r="AE52" t="str">
        <f>IF(AA52="","",'Procyfloc GS50'!J53)</f>
        <v/>
      </c>
      <c r="AF52">
        <f t="shared" si="0"/>
        <v>0</v>
      </c>
      <c r="AG52" t="str">
        <f t="shared" si="1"/>
        <v/>
      </c>
      <c r="AH52" t="str">
        <f t="shared" si="2"/>
        <v/>
      </c>
      <c r="AI52">
        <f t="shared" si="3"/>
        <v>0</v>
      </c>
      <c r="AJ52">
        <f t="shared" si="4"/>
        <v>0</v>
      </c>
      <c r="AK52">
        <v>0</v>
      </c>
      <c r="AL52" t="str">
        <f>IF(AA52="","",IFERROR(IF(ISNUMBER('Procyfloc GS50'!D53),'Procyfloc GS50'!D53,IF(ISNUMBER(SEARCH("12",'Procyfloc GS50'!D53)),EDATE(AB52,12),IF(ISNUMBER(SEARCH("6",'Procyfloc GS50'!D53)),EDATE(AB52,6),IF(ISNUMBER(SEARCH("3",'Procyfloc GS50'!D53)),EDATE(AB52,3),DATEVALUE('Procyfloc GS50'!D53))))),""))</f>
        <v/>
      </c>
      <c r="AM52" t="str">
        <f t="shared" ca="1" si="5"/>
        <v/>
      </c>
    </row>
    <row r="53" spans="1:39" ht="22.05" customHeight="1" x14ac:dyDescent="0.3">
      <c r="A53" s="40"/>
      <c r="B53" s="40"/>
      <c r="C53" s="40"/>
      <c r="D53" s="41"/>
      <c r="E53" s="50"/>
      <c r="F53" s="51"/>
      <c r="G53" s="51"/>
      <c r="H53" s="51"/>
      <c r="I53" s="51"/>
      <c r="J53" s="51"/>
      <c r="K53" s="52"/>
      <c r="L53" s="41"/>
      <c r="M53" s="78" t="s">
        <v>58</v>
      </c>
      <c r="N53" s="71">
        <f>COUNTIFS($AJ$2:$AJ$12001,1,$AG$2:$AG$12001,$W$3,$AE$2:$AE$12001,"*reprov*")</f>
        <v>0</v>
      </c>
      <c r="O53" s="61">
        <f>IFERROR(N53/$E$7,0)</f>
        <v>0</v>
      </c>
      <c r="P53" s="51"/>
      <c r="Q53" s="52"/>
      <c r="R53" s="41"/>
      <c r="S53" s="58">
        <v>3</v>
      </c>
      <c r="T53" s="59" t="str">
        <f t="shared" ca="1" si="12"/>
        <v>500</v>
      </c>
      <c r="U53" s="59" t="str">
        <f t="shared" ca="1" si="13"/>
        <v>9651/26</v>
      </c>
      <c r="V53" s="72">
        <f t="shared" ca="1" si="14"/>
        <v>46400</v>
      </c>
      <c r="W53" s="73">
        <f t="shared" ca="1" si="15"/>
        <v>229</v>
      </c>
      <c r="AA53" t="str">
        <f>IF(COUNTA('Procyfloc GS50'!A54,'Procyfloc GS50'!B54,'Procyfloc GS50'!C54)&gt;0,"GS50","")</f>
        <v/>
      </c>
      <c r="AB53" t="str">
        <f>IFERROR(IF(ISNUMBER('Procyfloc GS50'!A54),'Procyfloc GS50'!A54,DATEVALUE('Procyfloc GS50'!A54)),"")</f>
        <v/>
      </c>
      <c r="AC53" t="str">
        <f>IF(AA53="","",'Procyfloc GS50'!B54)</f>
        <v/>
      </c>
      <c r="AD53" t="str">
        <f>IF(AA53="","",IFERROR(1*'Procyfloc GS50'!C54,IFERROR(_xludf.NUMBERVALUE('Procyfloc GS50'!C54,".",","),IFERROR(_xludf.NUMBERVALUE('Procyfloc GS50'!C54,",","."),0))))</f>
        <v/>
      </c>
      <c r="AE53" t="str">
        <f>IF(AA53="","",'Procyfloc GS50'!J54)</f>
        <v/>
      </c>
      <c r="AF53">
        <f t="shared" si="0"/>
        <v>0</v>
      </c>
      <c r="AG53" t="str">
        <f t="shared" si="1"/>
        <v/>
      </c>
      <c r="AH53" t="str">
        <f t="shared" si="2"/>
        <v/>
      </c>
      <c r="AI53">
        <f t="shared" si="3"/>
        <v>0</v>
      </c>
      <c r="AJ53">
        <f t="shared" si="4"/>
        <v>0</v>
      </c>
      <c r="AK53">
        <v>0</v>
      </c>
      <c r="AL53" t="str">
        <f>IF(AA53="","",IFERROR(IF(ISNUMBER('Procyfloc GS50'!D54),'Procyfloc GS50'!D54,IF(ISNUMBER(SEARCH("12",'Procyfloc GS50'!D54)),EDATE(AB53,12),IF(ISNUMBER(SEARCH("6",'Procyfloc GS50'!D54)),EDATE(AB53,6),IF(ISNUMBER(SEARCH("3",'Procyfloc GS50'!D54)),EDATE(AB53,3),DATEVALUE('Procyfloc GS50'!D54))))),""))</f>
        <v/>
      </c>
      <c r="AM53" t="str">
        <f t="shared" ca="1" si="5"/>
        <v/>
      </c>
    </row>
    <row r="54" spans="1:39" ht="22.05" customHeight="1" x14ac:dyDescent="0.3">
      <c r="A54" s="40"/>
      <c r="B54" s="40"/>
      <c r="C54" s="40"/>
      <c r="D54" s="41"/>
      <c r="E54" s="50"/>
      <c r="F54" s="51"/>
      <c r="G54" s="51"/>
      <c r="H54" s="51"/>
      <c r="I54" s="51"/>
      <c r="J54" s="51"/>
      <c r="K54" s="52"/>
      <c r="L54" s="41"/>
      <c r="M54" s="50"/>
      <c r="N54" s="79"/>
      <c r="O54" s="79"/>
      <c r="P54" s="51"/>
      <c r="Q54" s="52"/>
      <c r="R54" s="41"/>
      <c r="S54" s="54">
        <v>4</v>
      </c>
      <c r="T54" s="55" t="str">
        <f t="shared" ca="1" si="12"/>
        <v>27TC</v>
      </c>
      <c r="U54" s="55" t="str">
        <f t="shared" ca="1" si="13"/>
        <v>9690/26</v>
      </c>
      <c r="V54" s="76">
        <f t="shared" ca="1" si="14"/>
        <v>46422</v>
      </c>
      <c r="W54" s="77">
        <f t="shared" ca="1" si="15"/>
        <v>251</v>
      </c>
      <c r="AA54" t="str">
        <f>IF(COUNTA('Procyfloc GS50'!A55,'Procyfloc GS50'!B55,'Procyfloc GS50'!C55)&gt;0,"GS50","")</f>
        <v/>
      </c>
      <c r="AB54" t="str">
        <f>IFERROR(IF(ISNUMBER('Procyfloc GS50'!A55),'Procyfloc GS50'!A55,DATEVALUE('Procyfloc GS50'!A55)),"")</f>
        <v/>
      </c>
      <c r="AC54" t="str">
        <f>IF(AA54="","",'Procyfloc GS50'!B55)</f>
        <v/>
      </c>
      <c r="AD54" t="str">
        <f>IF(AA54="","",IFERROR(1*'Procyfloc GS50'!C55,IFERROR(_xludf.NUMBERVALUE('Procyfloc GS50'!C55,".",","),IFERROR(_xludf.NUMBERVALUE('Procyfloc GS50'!C55,",","."),0))))</f>
        <v/>
      </c>
      <c r="AE54" t="str">
        <f>IF(AA54="","",'Procyfloc GS50'!J55)</f>
        <v/>
      </c>
      <c r="AF54">
        <f t="shared" si="0"/>
        <v>0</v>
      </c>
      <c r="AG54" t="str">
        <f t="shared" si="1"/>
        <v/>
      </c>
      <c r="AH54" t="str">
        <f t="shared" si="2"/>
        <v/>
      </c>
      <c r="AI54">
        <f t="shared" si="3"/>
        <v>0</v>
      </c>
      <c r="AJ54">
        <f t="shared" si="4"/>
        <v>0</v>
      </c>
      <c r="AK54">
        <v>0</v>
      </c>
      <c r="AL54" t="str">
        <f>IF(AA54="","",IFERROR(IF(ISNUMBER('Procyfloc GS50'!D55),'Procyfloc GS50'!D55,IF(ISNUMBER(SEARCH("12",'Procyfloc GS50'!D55)),EDATE(AB54,12),IF(ISNUMBER(SEARCH("6",'Procyfloc GS50'!D55)),EDATE(AB54,6),IF(ISNUMBER(SEARCH("3",'Procyfloc GS50'!D55)),EDATE(AB54,3),DATEVALUE('Procyfloc GS50'!D55))))),""))</f>
        <v/>
      </c>
      <c r="AM54" t="str">
        <f t="shared" ca="1" si="5"/>
        <v/>
      </c>
    </row>
    <row r="55" spans="1:39" ht="22.05" customHeight="1" x14ac:dyDescent="0.3">
      <c r="A55" s="40"/>
      <c r="B55" s="40"/>
      <c r="C55" s="40"/>
      <c r="D55" s="41"/>
      <c r="E55" s="50"/>
      <c r="F55" s="51"/>
      <c r="G55" s="51"/>
      <c r="H55" s="51"/>
      <c r="I55" s="51"/>
      <c r="J55" s="51"/>
      <c r="K55" s="52"/>
      <c r="L55" s="41"/>
      <c r="M55" s="50"/>
      <c r="N55" s="51"/>
      <c r="O55" s="51"/>
      <c r="P55" s="51"/>
      <c r="Q55" s="52"/>
      <c r="R55" s="41"/>
      <c r="S55" s="58">
        <v>5</v>
      </c>
      <c r="T55" s="59" t="str">
        <f t="shared" ca="1" si="12"/>
        <v>500</v>
      </c>
      <c r="U55" s="59" t="str">
        <f t="shared" ca="1" si="13"/>
        <v>9706/26</v>
      </c>
      <c r="V55" s="72">
        <f t="shared" ca="1" si="14"/>
        <v>46427</v>
      </c>
      <c r="W55" s="73">
        <f t="shared" ca="1" si="15"/>
        <v>256</v>
      </c>
      <c r="AA55" t="str">
        <f>IF(COUNTA('Procyfloc GS50'!A56,'Procyfloc GS50'!B56,'Procyfloc GS50'!C56)&gt;0,"GS50","")</f>
        <v/>
      </c>
      <c r="AB55" t="str">
        <f>IFERROR(IF(ISNUMBER('Procyfloc GS50'!A56),'Procyfloc GS50'!A56,DATEVALUE('Procyfloc GS50'!A56)),"")</f>
        <v/>
      </c>
      <c r="AC55" t="str">
        <f>IF(AA55="","",'Procyfloc GS50'!B56)</f>
        <v/>
      </c>
      <c r="AD55" t="str">
        <f>IF(AA55="","",IFERROR(1*'Procyfloc GS50'!C56,IFERROR(_xludf.NUMBERVALUE('Procyfloc GS50'!C56,".",","),IFERROR(_xludf.NUMBERVALUE('Procyfloc GS50'!C56,",","."),0))))</f>
        <v/>
      </c>
      <c r="AE55" t="str">
        <f>IF(AA55="","",'Procyfloc GS50'!J56)</f>
        <v/>
      </c>
      <c r="AF55">
        <f t="shared" si="0"/>
        <v>0</v>
      </c>
      <c r="AG55" t="str">
        <f t="shared" si="1"/>
        <v/>
      </c>
      <c r="AH55" t="str">
        <f t="shared" si="2"/>
        <v/>
      </c>
      <c r="AI55">
        <f t="shared" si="3"/>
        <v>0</v>
      </c>
      <c r="AJ55">
        <f t="shared" si="4"/>
        <v>0</v>
      </c>
      <c r="AK55">
        <v>0</v>
      </c>
      <c r="AL55" t="str">
        <f>IF(AA55="","",IFERROR(IF(ISNUMBER('Procyfloc GS50'!D56),'Procyfloc GS50'!D56,IF(ISNUMBER(SEARCH("12",'Procyfloc GS50'!D56)),EDATE(AB55,12),IF(ISNUMBER(SEARCH("6",'Procyfloc GS50'!D56)),EDATE(AB55,6),IF(ISNUMBER(SEARCH("3",'Procyfloc GS50'!D56)),EDATE(AB55,3),DATEVALUE('Procyfloc GS50'!D56))))),""))</f>
        <v/>
      </c>
      <c r="AM55" t="str">
        <f t="shared" ca="1" si="5"/>
        <v/>
      </c>
    </row>
    <row r="56" spans="1:39" ht="22.05" customHeight="1" x14ac:dyDescent="0.3">
      <c r="A56" s="40"/>
      <c r="B56" s="40"/>
      <c r="C56" s="40"/>
      <c r="D56" s="41"/>
      <c r="E56" s="50"/>
      <c r="F56" s="51"/>
      <c r="G56" s="51"/>
      <c r="H56" s="51"/>
      <c r="I56" s="51"/>
      <c r="J56" s="51"/>
      <c r="K56" s="52"/>
      <c r="L56" s="41"/>
      <c r="M56" s="50"/>
      <c r="N56" s="51"/>
      <c r="O56" s="51"/>
      <c r="P56" s="51"/>
      <c r="Q56" s="52"/>
      <c r="R56" s="41"/>
      <c r="S56" s="54">
        <v>6</v>
      </c>
      <c r="T56" s="55" t="str">
        <f t="shared" ca="1" si="12"/>
        <v>500</v>
      </c>
      <c r="U56" s="55" t="str">
        <f t="shared" ca="1" si="13"/>
        <v>9742/26</v>
      </c>
      <c r="V56" s="76">
        <f t="shared" ca="1" si="14"/>
        <v>46449</v>
      </c>
      <c r="W56" s="77">
        <f t="shared" ca="1" si="15"/>
        <v>278</v>
      </c>
      <c r="AA56" t="str">
        <f>IF(COUNTA('Procyfloc GS50'!A57,'Procyfloc GS50'!B57,'Procyfloc GS50'!C57)&gt;0,"GS50","")</f>
        <v/>
      </c>
      <c r="AB56" t="str">
        <f>IFERROR(IF(ISNUMBER('Procyfloc GS50'!A57),'Procyfloc GS50'!A57,DATEVALUE('Procyfloc GS50'!A57)),"")</f>
        <v/>
      </c>
      <c r="AC56" t="str">
        <f>IF(AA56="","",'Procyfloc GS50'!B57)</f>
        <v/>
      </c>
      <c r="AD56" t="str">
        <f>IF(AA56="","",IFERROR(1*'Procyfloc GS50'!C57,IFERROR(_xludf.NUMBERVALUE('Procyfloc GS50'!C57,".",","),IFERROR(_xludf.NUMBERVALUE('Procyfloc GS50'!C57,",","."),0))))</f>
        <v/>
      </c>
      <c r="AE56" t="str">
        <f>IF(AA56="","",'Procyfloc GS50'!J57)</f>
        <v/>
      </c>
      <c r="AF56">
        <f t="shared" si="0"/>
        <v>0</v>
      </c>
      <c r="AG56" t="str">
        <f t="shared" si="1"/>
        <v/>
      </c>
      <c r="AH56" t="str">
        <f t="shared" si="2"/>
        <v/>
      </c>
      <c r="AI56">
        <f t="shared" si="3"/>
        <v>0</v>
      </c>
      <c r="AJ56">
        <f t="shared" si="4"/>
        <v>0</v>
      </c>
      <c r="AK56">
        <v>0</v>
      </c>
      <c r="AL56" t="str">
        <f>IF(AA56="","",IFERROR(IF(ISNUMBER('Procyfloc GS50'!D57),'Procyfloc GS50'!D57,IF(ISNUMBER(SEARCH("12",'Procyfloc GS50'!D57)),EDATE(AB56,12),IF(ISNUMBER(SEARCH("6",'Procyfloc GS50'!D57)),EDATE(AB56,6),IF(ISNUMBER(SEARCH("3",'Procyfloc GS50'!D57)),EDATE(AB56,3),DATEVALUE('Procyfloc GS50'!D57))))),""))</f>
        <v/>
      </c>
      <c r="AM56" t="str">
        <f t="shared" ca="1" si="5"/>
        <v/>
      </c>
    </row>
    <row r="57" spans="1:39" ht="22.05" customHeight="1" x14ac:dyDescent="0.3">
      <c r="A57" s="40"/>
      <c r="B57" s="40"/>
      <c r="C57" s="40"/>
      <c r="D57" s="41"/>
      <c r="E57" s="50"/>
      <c r="F57" s="51"/>
      <c r="G57" s="51"/>
      <c r="H57" s="51"/>
      <c r="I57" s="51"/>
      <c r="J57" s="51"/>
      <c r="K57" s="52"/>
      <c r="L57" s="41"/>
      <c r="M57" s="50"/>
      <c r="N57" s="51"/>
      <c r="O57" s="51"/>
      <c r="P57" s="51"/>
      <c r="Q57" s="52"/>
      <c r="R57" s="41"/>
      <c r="S57" s="58">
        <v>7</v>
      </c>
      <c r="T57" s="59" t="str">
        <f t="shared" ca="1" si="12"/>
        <v>27TC</v>
      </c>
      <c r="U57" s="59" t="str">
        <f t="shared" ca="1" si="13"/>
        <v>9749/26</v>
      </c>
      <c r="V57" s="72">
        <f t="shared" ca="1" si="14"/>
        <v>46450</v>
      </c>
      <c r="W57" s="73">
        <f t="shared" ca="1" si="15"/>
        <v>279</v>
      </c>
      <c r="AA57" t="str">
        <f>IF(COUNTA('Procyfloc GS50'!A58,'Procyfloc GS50'!B58,'Procyfloc GS50'!C58)&gt;0,"GS50","")</f>
        <v/>
      </c>
      <c r="AB57" t="str">
        <f>IFERROR(IF(ISNUMBER('Procyfloc GS50'!A58),'Procyfloc GS50'!A58,DATEVALUE('Procyfloc GS50'!A58)),"")</f>
        <v/>
      </c>
      <c r="AC57" t="str">
        <f>IF(AA57="","",'Procyfloc GS50'!B58)</f>
        <v/>
      </c>
      <c r="AD57" t="str">
        <f>IF(AA57="","",IFERROR(1*'Procyfloc GS50'!C58,IFERROR(_xludf.NUMBERVALUE('Procyfloc GS50'!C58,".",","),IFERROR(_xludf.NUMBERVALUE('Procyfloc GS50'!C58,",","."),0))))</f>
        <v/>
      </c>
      <c r="AE57" t="str">
        <f>IF(AA57="","",'Procyfloc GS50'!J58)</f>
        <v/>
      </c>
      <c r="AF57">
        <f t="shared" si="0"/>
        <v>0</v>
      </c>
      <c r="AG57" t="str">
        <f t="shared" si="1"/>
        <v/>
      </c>
      <c r="AH57" t="str">
        <f t="shared" si="2"/>
        <v/>
      </c>
      <c r="AI57">
        <f t="shared" si="3"/>
        <v>0</v>
      </c>
      <c r="AJ57">
        <f t="shared" si="4"/>
        <v>0</v>
      </c>
      <c r="AK57">
        <v>0</v>
      </c>
      <c r="AL57" t="str">
        <f>IF(AA57="","",IFERROR(IF(ISNUMBER('Procyfloc GS50'!D58),'Procyfloc GS50'!D58,IF(ISNUMBER(SEARCH("12",'Procyfloc GS50'!D58)),EDATE(AB57,12),IF(ISNUMBER(SEARCH("6",'Procyfloc GS50'!D58)),EDATE(AB57,6),IF(ISNUMBER(SEARCH("3",'Procyfloc GS50'!D58)),EDATE(AB57,3),DATEVALUE('Procyfloc GS50'!D58))))),""))</f>
        <v/>
      </c>
      <c r="AM57" t="str">
        <f t="shared" ca="1" si="5"/>
        <v/>
      </c>
    </row>
    <row r="58" spans="1:39" ht="22.05" customHeight="1" x14ac:dyDescent="0.3">
      <c r="A58" s="40"/>
      <c r="B58" s="40"/>
      <c r="C58" s="40"/>
      <c r="D58" s="41"/>
      <c r="E58" s="50"/>
      <c r="F58" s="51"/>
      <c r="G58" s="51"/>
      <c r="H58" s="51"/>
      <c r="I58" s="51"/>
      <c r="J58" s="51"/>
      <c r="K58" s="52"/>
      <c r="L58" s="41"/>
      <c r="M58" s="50"/>
      <c r="N58" s="51"/>
      <c r="O58" s="51"/>
      <c r="P58" s="51"/>
      <c r="Q58" s="52"/>
      <c r="R58" s="41"/>
      <c r="S58" s="54">
        <v>8</v>
      </c>
      <c r="T58" s="55" t="str">
        <f t="shared" ca="1" si="12"/>
        <v>500</v>
      </c>
      <c r="U58" s="55" t="str">
        <f t="shared" ca="1" si="13"/>
        <v>9801/26</v>
      </c>
      <c r="V58" s="76">
        <f t="shared" ca="1" si="14"/>
        <v>46473</v>
      </c>
      <c r="W58" s="77">
        <f t="shared" ca="1" si="15"/>
        <v>302</v>
      </c>
      <c r="AA58" t="str">
        <f>IF(COUNTA('Procyfloc GS50'!A59,'Procyfloc GS50'!B59,'Procyfloc GS50'!C59)&gt;0,"GS50","")</f>
        <v/>
      </c>
      <c r="AB58" t="str">
        <f>IFERROR(IF(ISNUMBER('Procyfloc GS50'!A59),'Procyfloc GS50'!A59,DATEVALUE('Procyfloc GS50'!A59)),"")</f>
        <v/>
      </c>
      <c r="AC58" t="str">
        <f>IF(AA58="","",'Procyfloc GS50'!B59)</f>
        <v/>
      </c>
      <c r="AD58" t="str">
        <f>IF(AA58="","",IFERROR(1*'Procyfloc GS50'!C59,IFERROR(_xludf.NUMBERVALUE('Procyfloc GS50'!C59,".",","),IFERROR(_xludf.NUMBERVALUE('Procyfloc GS50'!C59,",","."),0))))</f>
        <v/>
      </c>
      <c r="AE58" t="str">
        <f>IF(AA58="","",'Procyfloc GS50'!J59)</f>
        <v/>
      </c>
      <c r="AF58">
        <f t="shared" si="0"/>
        <v>0</v>
      </c>
      <c r="AG58" t="str">
        <f t="shared" si="1"/>
        <v/>
      </c>
      <c r="AH58" t="str">
        <f t="shared" si="2"/>
        <v/>
      </c>
      <c r="AI58">
        <f t="shared" si="3"/>
        <v>0</v>
      </c>
      <c r="AJ58">
        <f t="shared" si="4"/>
        <v>0</v>
      </c>
      <c r="AK58">
        <v>0</v>
      </c>
      <c r="AL58" t="str">
        <f>IF(AA58="","",IFERROR(IF(ISNUMBER('Procyfloc GS50'!D59),'Procyfloc GS50'!D59,IF(ISNUMBER(SEARCH("12",'Procyfloc GS50'!D59)),EDATE(AB58,12),IF(ISNUMBER(SEARCH("6",'Procyfloc GS50'!D59)),EDATE(AB58,6),IF(ISNUMBER(SEARCH("3",'Procyfloc GS50'!D59)),EDATE(AB58,3),DATEVALUE('Procyfloc GS50'!D59))))),""))</f>
        <v/>
      </c>
      <c r="AM58" t="str">
        <f t="shared" ca="1" si="5"/>
        <v/>
      </c>
    </row>
    <row r="59" spans="1:39" ht="22.05" customHeight="1" x14ac:dyDescent="0.3">
      <c r="A59" s="40"/>
      <c r="B59" s="40"/>
      <c r="C59" s="40"/>
      <c r="D59" s="41"/>
      <c r="E59" s="50"/>
      <c r="F59" s="51"/>
      <c r="G59" s="51"/>
      <c r="H59" s="51"/>
      <c r="I59" s="51"/>
      <c r="J59" s="51"/>
      <c r="K59" s="52"/>
      <c r="L59" s="41"/>
      <c r="M59" s="50"/>
      <c r="N59" s="51"/>
      <c r="O59" s="51"/>
      <c r="P59" s="51"/>
      <c r="Q59" s="52"/>
      <c r="R59" s="41"/>
      <c r="S59" s="58">
        <v>9</v>
      </c>
      <c r="T59" s="59" t="str">
        <f t="shared" ca="1" si="12"/>
        <v>27TC</v>
      </c>
      <c r="U59" s="59" t="str">
        <f t="shared" ca="1" si="13"/>
        <v>9811/26</v>
      </c>
      <c r="V59" s="72">
        <f t="shared" ca="1" si="14"/>
        <v>46477</v>
      </c>
      <c r="W59" s="73">
        <f t="shared" ca="1" si="15"/>
        <v>306</v>
      </c>
      <c r="AA59" t="str">
        <f>IF(COUNTA('Procyfloc GS50'!A60,'Procyfloc GS50'!B60,'Procyfloc GS50'!C60)&gt;0,"GS50","")</f>
        <v/>
      </c>
      <c r="AB59" t="str">
        <f>IFERROR(IF(ISNUMBER('Procyfloc GS50'!A60),'Procyfloc GS50'!A60,DATEVALUE('Procyfloc GS50'!A60)),"")</f>
        <v/>
      </c>
      <c r="AC59" t="str">
        <f>IF(AA59="","",'Procyfloc GS50'!B60)</f>
        <v/>
      </c>
      <c r="AD59" t="str">
        <f>IF(AA59="","",IFERROR(1*'Procyfloc GS50'!C60,IFERROR(_xludf.NUMBERVALUE('Procyfloc GS50'!C60,".",","),IFERROR(_xludf.NUMBERVALUE('Procyfloc GS50'!C60,",","."),0))))</f>
        <v/>
      </c>
      <c r="AE59" t="str">
        <f>IF(AA59="","",'Procyfloc GS50'!J60)</f>
        <v/>
      </c>
      <c r="AF59">
        <f t="shared" si="0"/>
        <v>0</v>
      </c>
      <c r="AG59" t="str">
        <f t="shared" si="1"/>
        <v/>
      </c>
      <c r="AH59" t="str">
        <f t="shared" si="2"/>
        <v/>
      </c>
      <c r="AI59">
        <f t="shared" si="3"/>
        <v>0</v>
      </c>
      <c r="AJ59">
        <f t="shared" si="4"/>
        <v>0</v>
      </c>
      <c r="AK59">
        <v>0</v>
      </c>
      <c r="AL59" t="str">
        <f>IF(AA59="","",IFERROR(IF(ISNUMBER('Procyfloc GS50'!D60),'Procyfloc GS50'!D60,IF(ISNUMBER(SEARCH("12",'Procyfloc GS50'!D60)),EDATE(AB59,12),IF(ISNUMBER(SEARCH("6",'Procyfloc GS50'!D60)),EDATE(AB59,6),IF(ISNUMBER(SEARCH("3",'Procyfloc GS50'!D60)),EDATE(AB59,3),DATEVALUE('Procyfloc GS50'!D60))))),""))</f>
        <v/>
      </c>
      <c r="AM59" t="str">
        <f t="shared" ca="1" si="5"/>
        <v/>
      </c>
    </row>
    <row r="60" spans="1:39" ht="22.05" customHeight="1" x14ac:dyDescent="0.3">
      <c r="A60" s="40"/>
      <c r="B60" s="40"/>
      <c r="C60" s="40"/>
      <c r="D60" s="41"/>
      <c r="E60" s="50"/>
      <c r="F60" s="51"/>
      <c r="G60" s="51"/>
      <c r="H60" s="51"/>
      <c r="I60" s="51"/>
      <c r="J60" s="51"/>
      <c r="K60" s="52"/>
      <c r="L60" s="41"/>
      <c r="M60" s="50"/>
      <c r="N60" s="51"/>
      <c r="O60" s="51"/>
      <c r="P60" s="51"/>
      <c r="Q60" s="52"/>
      <c r="R60" s="41"/>
      <c r="S60" s="54">
        <v>10</v>
      </c>
      <c r="T60" s="55" t="str">
        <f t="shared" ca="1" si="12"/>
        <v>500</v>
      </c>
      <c r="U60" s="55" t="str">
        <f t="shared" ca="1" si="13"/>
        <v>9871/26</v>
      </c>
      <c r="V60" s="76">
        <f t="shared" ca="1" si="14"/>
        <v>46501</v>
      </c>
      <c r="W60" s="77">
        <f t="shared" ca="1" si="15"/>
        <v>330</v>
      </c>
      <c r="AA60" t="str">
        <f>IF(COUNTA('Procyfloc GS50'!A61,'Procyfloc GS50'!B61,'Procyfloc GS50'!C61)&gt;0,"GS50","")</f>
        <v/>
      </c>
      <c r="AB60" t="str">
        <f>IFERROR(IF(ISNUMBER('Procyfloc GS50'!A61),'Procyfloc GS50'!A61,DATEVALUE('Procyfloc GS50'!A61)),"")</f>
        <v/>
      </c>
      <c r="AC60" t="str">
        <f>IF(AA60="","",'Procyfloc GS50'!B61)</f>
        <v/>
      </c>
      <c r="AD60" t="str">
        <f>IF(AA60="","",IFERROR(1*'Procyfloc GS50'!C61,IFERROR(_xludf.NUMBERVALUE('Procyfloc GS50'!C61,".",","),IFERROR(_xludf.NUMBERVALUE('Procyfloc GS50'!C61,",","."),0))))</f>
        <v/>
      </c>
      <c r="AE60" t="str">
        <f>IF(AA60="","",'Procyfloc GS50'!J61)</f>
        <v/>
      </c>
      <c r="AF60">
        <f t="shared" si="0"/>
        <v>0</v>
      </c>
      <c r="AG60" t="str">
        <f t="shared" si="1"/>
        <v/>
      </c>
      <c r="AH60" t="str">
        <f t="shared" si="2"/>
        <v/>
      </c>
      <c r="AI60">
        <f t="shared" si="3"/>
        <v>0</v>
      </c>
      <c r="AJ60">
        <f t="shared" si="4"/>
        <v>0</v>
      </c>
      <c r="AK60">
        <v>0</v>
      </c>
      <c r="AL60" t="str">
        <f>IF(AA60="","",IFERROR(IF(ISNUMBER('Procyfloc GS50'!D61),'Procyfloc GS50'!D61,IF(ISNUMBER(SEARCH("12",'Procyfloc GS50'!D61)),EDATE(AB60,12),IF(ISNUMBER(SEARCH("6",'Procyfloc GS50'!D61)),EDATE(AB60,6),IF(ISNUMBER(SEARCH("3",'Procyfloc GS50'!D61)),EDATE(AB60,3),DATEVALUE('Procyfloc GS50'!D61))))),""))</f>
        <v/>
      </c>
      <c r="AM60" t="str">
        <f t="shared" ca="1" si="5"/>
        <v/>
      </c>
    </row>
    <row r="61" spans="1:39" ht="22.05" customHeight="1" x14ac:dyDescent="0.3">
      <c r="A61" s="40"/>
      <c r="B61" s="40"/>
      <c r="C61" s="40"/>
      <c r="D61" s="41"/>
      <c r="E61" s="62"/>
      <c r="F61" s="63"/>
      <c r="G61" s="63"/>
      <c r="H61" s="63"/>
      <c r="I61" s="63"/>
      <c r="J61" s="63"/>
      <c r="K61" s="64"/>
      <c r="L61" s="41"/>
      <c r="M61" s="62"/>
      <c r="N61" s="63"/>
      <c r="O61" s="63"/>
      <c r="P61" s="63"/>
      <c r="Q61" s="64"/>
      <c r="R61" s="41"/>
      <c r="S61" s="62"/>
      <c r="T61" s="63"/>
      <c r="U61" s="63"/>
      <c r="V61" s="63"/>
      <c r="W61" s="64"/>
      <c r="AA61" t="str">
        <f>IF(COUNTA('Procyfloc GS50'!A62,'Procyfloc GS50'!B62,'Procyfloc GS50'!C62)&gt;0,"GS50","")</f>
        <v/>
      </c>
      <c r="AB61" t="str">
        <f>IFERROR(IF(ISNUMBER('Procyfloc GS50'!A62),'Procyfloc GS50'!A62,DATEVALUE('Procyfloc GS50'!A62)),"")</f>
        <v/>
      </c>
      <c r="AC61" t="str">
        <f>IF(AA61="","",'Procyfloc GS50'!B62)</f>
        <v/>
      </c>
      <c r="AD61" t="str">
        <f>IF(AA61="","",IFERROR(1*'Procyfloc GS50'!C62,IFERROR(_xludf.NUMBERVALUE('Procyfloc GS50'!C62,".",","),IFERROR(_xludf.NUMBERVALUE('Procyfloc GS50'!C62,",","."),0))))</f>
        <v/>
      </c>
      <c r="AE61" t="str">
        <f>IF(AA61="","",'Procyfloc GS50'!J62)</f>
        <v/>
      </c>
      <c r="AF61">
        <f t="shared" si="0"/>
        <v>0</v>
      </c>
      <c r="AG61" t="str">
        <f t="shared" si="1"/>
        <v/>
      </c>
      <c r="AH61" t="str">
        <f t="shared" si="2"/>
        <v/>
      </c>
      <c r="AI61">
        <f t="shared" si="3"/>
        <v>0</v>
      </c>
      <c r="AJ61">
        <f t="shared" si="4"/>
        <v>0</v>
      </c>
      <c r="AK61">
        <v>0</v>
      </c>
      <c r="AL61" t="str">
        <f>IF(AA61="","",IFERROR(IF(ISNUMBER('Procyfloc GS50'!D62),'Procyfloc GS50'!D62,IF(ISNUMBER(SEARCH("12",'Procyfloc GS50'!D62)),EDATE(AB61,12),IF(ISNUMBER(SEARCH("6",'Procyfloc GS50'!D62)),EDATE(AB61,6),IF(ISNUMBER(SEARCH("3",'Procyfloc GS50'!D62)),EDATE(AB61,3),DATEVALUE('Procyfloc GS50'!D62))))),""))</f>
        <v/>
      </c>
      <c r="AM61" t="str">
        <f t="shared" ca="1" si="5"/>
        <v/>
      </c>
    </row>
    <row r="62" spans="1:39" ht="22.05" customHeight="1" x14ac:dyDescent="0.3">
      <c r="A62" s="40"/>
      <c r="B62" s="40"/>
      <c r="C62" s="40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AA62" t="str">
        <f>IF(COUNTA('Procyfloc GS50'!A63,'Procyfloc GS50'!B63,'Procyfloc GS50'!C63)&gt;0,"GS50","")</f>
        <v/>
      </c>
      <c r="AB62" t="str">
        <f>IFERROR(IF(ISNUMBER('Procyfloc GS50'!A63),'Procyfloc GS50'!A63,DATEVALUE('Procyfloc GS50'!A63)),"")</f>
        <v/>
      </c>
      <c r="AC62" t="str">
        <f>IF(AA62="","",'Procyfloc GS50'!B63)</f>
        <v/>
      </c>
      <c r="AD62" t="str">
        <f>IF(AA62="","",IFERROR(1*'Procyfloc GS50'!C63,IFERROR(_xludf.NUMBERVALUE('Procyfloc GS50'!C63,".",","),IFERROR(_xludf.NUMBERVALUE('Procyfloc GS50'!C63,",","."),0))))</f>
        <v/>
      </c>
      <c r="AE62" t="str">
        <f>IF(AA62="","",'Procyfloc GS50'!J63)</f>
        <v/>
      </c>
      <c r="AF62">
        <f t="shared" si="0"/>
        <v>0</v>
      </c>
      <c r="AG62" t="str">
        <f t="shared" si="1"/>
        <v/>
      </c>
      <c r="AH62" t="str">
        <f t="shared" si="2"/>
        <v/>
      </c>
      <c r="AI62">
        <f t="shared" si="3"/>
        <v>0</v>
      </c>
      <c r="AJ62">
        <f t="shared" si="4"/>
        <v>0</v>
      </c>
      <c r="AK62">
        <v>0</v>
      </c>
      <c r="AL62" t="str">
        <f>IF(AA62="","",IFERROR(IF(ISNUMBER('Procyfloc GS50'!D63),'Procyfloc GS50'!D63,IF(ISNUMBER(SEARCH("12",'Procyfloc GS50'!D63)),EDATE(AB62,12),IF(ISNUMBER(SEARCH("6",'Procyfloc GS50'!D63)),EDATE(AB62,6),IF(ISNUMBER(SEARCH("3",'Procyfloc GS50'!D63)),EDATE(AB62,3),DATEVALUE('Procyfloc GS50'!D63))))),""))</f>
        <v/>
      </c>
      <c r="AM62" t="str">
        <f t="shared" ca="1" si="5"/>
        <v/>
      </c>
    </row>
    <row r="63" spans="1:39" ht="22.05" customHeight="1" x14ac:dyDescent="0.3">
      <c r="A63" s="40"/>
      <c r="B63" s="40"/>
      <c r="C63" s="40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AA63" t="str">
        <f>IF(COUNTA('Procyfloc GS50'!A64,'Procyfloc GS50'!B64,'Procyfloc GS50'!C64)&gt;0,"GS50","")</f>
        <v/>
      </c>
      <c r="AB63" t="str">
        <f>IFERROR(IF(ISNUMBER('Procyfloc GS50'!A64),'Procyfloc GS50'!A64,DATEVALUE('Procyfloc GS50'!A64)),"")</f>
        <v/>
      </c>
      <c r="AC63" t="str">
        <f>IF(AA63="","",'Procyfloc GS50'!B64)</f>
        <v/>
      </c>
      <c r="AD63" t="str">
        <f>IF(AA63="","",IFERROR(1*'Procyfloc GS50'!C64,IFERROR(_xludf.NUMBERVALUE('Procyfloc GS50'!C64,".",","),IFERROR(_xludf.NUMBERVALUE('Procyfloc GS50'!C64,",","."),0))))</f>
        <v/>
      </c>
      <c r="AE63" t="str">
        <f>IF(AA63="","",'Procyfloc GS50'!J64)</f>
        <v/>
      </c>
      <c r="AF63">
        <f t="shared" si="0"/>
        <v>0</v>
      </c>
      <c r="AG63" t="str">
        <f t="shared" si="1"/>
        <v/>
      </c>
      <c r="AH63" t="str">
        <f t="shared" si="2"/>
        <v/>
      </c>
      <c r="AI63">
        <f t="shared" si="3"/>
        <v>0</v>
      </c>
      <c r="AJ63">
        <f t="shared" si="4"/>
        <v>0</v>
      </c>
      <c r="AK63">
        <v>0</v>
      </c>
      <c r="AL63" t="str">
        <f>IF(AA63="","",IFERROR(IF(ISNUMBER('Procyfloc GS50'!D64),'Procyfloc GS50'!D64,IF(ISNUMBER(SEARCH("12",'Procyfloc GS50'!D64)),EDATE(AB63,12),IF(ISNUMBER(SEARCH("6",'Procyfloc GS50'!D64)),EDATE(AB63,6),IF(ISNUMBER(SEARCH("3",'Procyfloc GS50'!D64)),EDATE(AB63,3),DATEVALUE('Procyfloc GS50'!D64))))),""))</f>
        <v/>
      </c>
      <c r="AM63" t="str">
        <f t="shared" ca="1" si="5"/>
        <v/>
      </c>
    </row>
    <row r="64" spans="1:39" ht="22.05" customHeight="1" x14ac:dyDescent="0.3">
      <c r="A64" s="40"/>
      <c r="B64" s="40"/>
      <c r="C64" s="40"/>
      <c r="D64" s="41"/>
      <c r="E64" s="90" t="s">
        <v>59</v>
      </c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87"/>
      <c r="AA64" t="str">
        <f>IF(COUNTA('Procyfloc GS50'!A65,'Procyfloc GS50'!B65,'Procyfloc GS50'!C65)&gt;0,"GS50","")</f>
        <v/>
      </c>
      <c r="AB64" t="str">
        <f>IFERROR(IF(ISNUMBER('Procyfloc GS50'!A65),'Procyfloc GS50'!A65,DATEVALUE('Procyfloc GS50'!A65)),"")</f>
        <v/>
      </c>
      <c r="AC64" t="str">
        <f>IF(AA64="","",'Procyfloc GS50'!B65)</f>
        <v/>
      </c>
      <c r="AD64" t="str">
        <f>IF(AA64="","",IFERROR(1*'Procyfloc GS50'!C65,IFERROR(_xludf.NUMBERVALUE('Procyfloc GS50'!C65,".",","),IFERROR(_xludf.NUMBERVALUE('Procyfloc GS50'!C65,",","."),0))))</f>
        <v/>
      </c>
      <c r="AE64" t="str">
        <f>IF(AA64="","",'Procyfloc GS50'!J65)</f>
        <v/>
      </c>
      <c r="AF64">
        <f t="shared" si="0"/>
        <v>0</v>
      </c>
      <c r="AG64" t="str">
        <f t="shared" si="1"/>
        <v/>
      </c>
      <c r="AH64" t="str">
        <f t="shared" si="2"/>
        <v/>
      </c>
      <c r="AI64">
        <f t="shared" si="3"/>
        <v>0</v>
      </c>
      <c r="AJ64">
        <f t="shared" si="4"/>
        <v>0</v>
      </c>
      <c r="AK64">
        <v>0</v>
      </c>
      <c r="AL64" t="str">
        <f>IF(AA64="","",IFERROR(IF(ISNUMBER('Procyfloc GS50'!D65),'Procyfloc GS50'!D65,IF(ISNUMBER(SEARCH("12",'Procyfloc GS50'!D65)),EDATE(AB64,12),IF(ISNUMBER(SEARCH("6",'Procyfloc GS50'!D65)),EDATE(AB64,6),IF(ISNUMBER(SEARCH("3",'Procyfloc GS50'!D65)),EDATE(AB64,3),DATEVALUE('Procyfloc GS50'!D65))))),""))</f>
        <v/>
      </c>
      <c r="AM64" t="str">
        <f t="shared" ca="1" si="5"/>
        <v/>
      </c>
    </row>
    <row r="65" spans="1:41" ht="22.05" customHeight="1" x14ac:dyDescent="0.3">
      <c r="A65" s="40"/>
      <c r="B65" s="40"/>
      <c r="C65" s="40"/>
      <c r="D65" s="41"/>
      <c r="E65" s="88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89"/>
      <c r="AA65" t="str">
        <f>IF(COUNTA('Procyfloc GS50'!A66,'Procyfloc GS50'!B66,'Procyfloc GS50'!C66)&gt;0,"GS50","")</f>
        <v/>
      </c>
      <c r="AB65" t="str">
        <f>IFERROR(IF(ISNUMBER('Procyfloc GS50'!A66),'Procyfloc GS50'!A66,DATEVALUE('Procyfloc GS50'!A66)),"")</f>
        <v/>
      </c>
      <c r="AC65" t="str">
        <f>IF(AA65="","",'Procyfloc GS50'!B66)</f>
        <v/>
      </c>
      <c r="AD65" t="str">
        <f>IF(AA65="","",IFERROR(1*'Procyfloc GS50'!C66,IFERROR(_xludf.NUMBERVALUE('Procyfloc GS50'!C66,".",","),IFERROR(_xludf.NUMBERVALUE('Procyfloc GS50'!C66,",","."),0))))</f>
        <v/>
      </c>
      <c r="AE65" t="str">
        <f>IF(AA65="","",'Procyfloc GS50'!J66)</f>
        <v/>
      </c>
      <c r="AF65">
        <f t="shared" si="0"/>
        <v>0</v>
      </c>
      <c r="AG65" t="str">
        <f t="shared" si="1"/>
        <v/>
      </c>
      <c r="AH65" t="str">
        <f t="shared" si="2"/>
        <v/>
      </c>
      <c r="AI65">
        <f t="shared" si="3"/>
        <v>0</v>
      </c>
      <c r="AJ65">
        <f t="shared" si="4"/>
        <v>0</v>
      </c>
      <c r="AK65">
        <v>0</v>
      </c>
      <c r="AL65" t="str">
        <f>IF(AA65="","",IFERROR(IF(ISNUMBER('Procyfloc GS50'!D66),'Procyfloc GS50'!D66,IF(ISNUMBER(SEARCH("12",'Procyfloc GS50'!D66)),EDATE(AB65,12),IF(ISNUMBER(SEARCH("6",'Procyfloc GS50'!D66)),EDATE(AB65,6),IF(ISNUMBER(SEARCH("3",'Procyfloc GS50'!D66)),EDATE(AB65,3),DATEVALUE('Procyfloc GS50'!D66))))),""))</f>
        <v/>
      </c>
      <c r="AM65" t="str">
        <f t="shared" ca="1" si="5"/>
        <v/>
      </c>
    </row>
    <row r="66" spans="1:41" ht="22.05" customHeight="1" x14ac:dyDescent="0.3">
      <c r="A66" s="40"/>
      <c r="B66" s="40"/>
      <c r="C66" s="40"/>
      <c r="D66" s="41"/>
      <c r="E66" s="80" t="s">
        <v>0</v>
      </c>
      <c r="F66" s="80" t="s">
        <v>31</v>
      </c>
      <c r="G66" s="80" t="s">
        <v>30</v>
      </c>
      <c r="H66" s="80" t="s">
        <v>38</v>
      </c>
      <c r="I66" s="80" t="s">
        <v>32</v>
      </c>
      <c r="J66" s="80" t="s">
        <v>60</v>
      </c>
      <c r="K66" s="80" t="s">
        <v>33</v>
      </c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AA66" t="str">
        <f>IF(COUNTA('Procyfloc GS50'!A67,'Procyfloc GS50'!B67,'Procyfloc GS50'!C67)&gt;0,"GS50","")</f>
        <v/>
      </c>
      <c r="AB66" t="str">
        <f>IFERROR(IF(ISNUMBER('Procyfloc GS50'!A67),'Procyfloc GS50'!A67,DATEVALUE('Procyfloc GS50'!A67)),"")</f>
        <v/>
      </c>
      <c r="AC66" t="str">
        <f>IF(AA66="","",'Procyfloc GS50'!B67)</f>
        <v/>
      </c>
      <c r="AD66" t="str">
        <f>IF(AA66="","",IFERROR(1*'Procyfloc GS50'!C67,IFERROR(_xludf.NUMBERVALUE('Procyfloc GS50'!C67,".",","),IFERROR(_xludf.NUMBERVALUE('Procyfloc GS50'!C67,",","."),0))))</f>
        <v/>
      </c>
      <c r="AE66" t="str">
        <f>IF(AA66="","",'Procyfloc GS50'!J67)</f>
        <v/>
      </c>
      <c r="AF66">
        <f t="shared" ref="AF66:AF129" si="16">IF(AA66="",0,--AND(ISNUMBER(SEARCH("aprov",AE66)),NOT(ISNUMBER(SEARCH("reprov",AE66)))))</f>
        <v>0</v>
      </c>
      <c r="AG66" t="str">
        <f t="shared" ref="AG66:AG129" si="17">IF(AB66="","",YEAR(AB66))</f>
        <v/>
      </c>
      <c r="AH66" t="str">
        <f t="shared" ref="AH66:AH129" si="18">IF(AB66="","",MONTH(AB66))</f>
        <v/>
      </c>
      <c r="AI66">
        <f t="shared" ref="AI66:AI129" si="19">IF(AB66="",0,AB66+ROW()/1000000)</f>
        <v>0</v>
      </c>
      <c r="AJ66">
        <f t="shared" ref="AJ66:AJ129" si="20">--(AA66&lt;&gt;"")</f>
        <v>0</v>
      </c>
      <c r="AK66">
        <v>0</v>
      </c>
      <c r="AL66" t="str">
        <f>IF(AA66="","",IFERROR(IF(ISNUMBER('Procyfloc GS50'!D67),'Procyfloc GS50'!D67,IF(ISNUMBER(SEARCH("12",'Procyfloc GS50'!D67)),EDATE(AB66,12),IF(ISNUMBER(SEARCH("6",'Procyfloc GS50'!D67)),EDATE(AB66,6),IF(ISNUMBER(SEARCH("3",'Procyfloc GS50'!D67)),EDATE(AB66,3),DATEVALUE('Procyfloc GS50'!D67))))),""))</f>
        <v/>
      </c>
      <c r="AM66" t="str">
        <f t="shared" ref="AM66:AM129" ca="1" si="21">IF(AND(AJ66=1,AL66&lt;&gt;"",AL66&gt;=TODAY(),AG66=$W$3),AL66+ROW()/1000000,"")</f>
        <v/>
      </c>
      <c r="AO66" t="s">
        <v>61</v>
      </c>
    </row>
    <row r="67" spans="1:41" ht="22.05" customHeight="1" x14ac:dyDescent="0.3">
      <c r="A67" s="40"/>
      <c r="B67" s="40"/>
      <c r="C67" s="40"/>
      <c r="D67" s="41"/>
      <c r="E67" s="59" t="s">
        <v>62</v>
      </c>
      <c r="F67" s="59">
        <f t="shared" ref="F67:F74" si="22">SUMIFS($AJ$2:$AJ$12001,$AA$2:$AA$12001,E67,$AG$2:$AG$12001,$W$3)</f>
        <v>1</v>
      </c>
      <c r="G67" s="81">
        <f t="shared" ref="G67:G74" si="23">SUMIFS($AD$2:$AD$12001,$AJ$2:$AJ$12001,1,$AA$2:$AA$12001,E67,$AG$2:$AG$12001,$W$3)</f>
        <v>100</v>
      </c>
      <c r="H67" s="59">
        <f t="shared" ref="H67:H74" si="24">SUMIFS($AF$2:$AF$12001,$AJ$2:$AJ$12001,1,$AA$2:$AA$12001,E67,$AG$2:$AG$12001,$W$3)</f>
        <v>1</v>
      </c>
      <c r="I67" s="66">
        <f t="shared" ref="I67:I74" si="25">IFERROR(H67/F67,0)</f>
        <v>1</v>
      </c>
      <c r="J67" s="59">
        <f t="shared" ref="J67:J74" si="26">IF(G67&gt;0,RANK(G67,$G$67:$G$86,0),"")</f>
        <v>3</v>
      </c>
      <c r="K67" s="59" t="str">
        <f t="shared" ref="K67:K74" si="27">IF(F67=0,"",IF(I67&gt;=0.95,"Excelente",IF(I67&gt;=0.8,"Atenção","Crítico")))</f>
        <v>Excelente</v>
      </c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AA67" t="str">
        <f>IF(COUNTA('Procyfloc GS50'!A68,'Procyfloc GS50'!B68,'Procyfloc GS50'!C68)&gt;0,"GS50","")</f>
        <v/>
      </c>
      <c r="AB67" t="str">
        <f>IFERROR(IF(ISNUMBER('Procyfloc GS50'!A68),'Procyfloc GS50'!A68,DATEVALUE('Procyfloc GS50'!A68)),"")</f>
        <v/>
      </c>
      <c r="AC67" t="str">
        <f>IF(AA67="","",'Procyfloc GS50'!B68)</f>
        <v/>
      </c>
      <c r="AD67" t="str">
        <f>IF(AA67="","",IFERROR(1*'Procyfloc GS50'!C68,IFERROR(_xludf.NUMBERVALUE('Procyfloc GS50'!C68,".",","),IFERROR(_xludf.NUMBERVALUE('Procyfloc GS50'!C68,",","."),0))))</f>
        <v/>
      </c>
      <c r="AE67" t="str">
        <f>IF(AA67="","",'Procyfloc GS50'!J68)</f>
        <v/>
      </c>
      <c r="AF67">
        <f t="shared" si="16"/>
        <v>0</v>
      </c>
      <c r="AG67" t="str">
        <f t="shared" si="17"/>
        <v/>
      </c>
      <c r="AH67" t="str">
        <f t="shared" si="18"/>
        <v/>
      </c>
      <c r="AI67">
        <f t="shared" si="19"/>
        <v>0</v>
      </c>
      <c r="AJ67">
        <f t="shared" si="20"/>
        <v>0</v>
      </c>
      <c r="AK67">
        <v>0</v>
      </c>
      <c r="AL67" t="str">
        <f>IF(AA67="","",IFERROR(IF(ISNUMBER('Procyfloc GS50'!D68),'Procyfloc GS50'!D68,IF(ISNUMBER(SEARCH("12",'Procyfloc GS50'!D68)),EDATE(AB67,12),IF(ISNUMBER(SEARCH("6",'Procyfloc GS50'!D68)),EDATE(AB67,6),IF(ISNUMBER(SEARCH("3",'Procyfloc GS50'!D68)),EDATE(AB67,3),DATEVALUE('Procyfloc GS50'!D68))))),""))</f>
        <v/>
      </c>
      <c r="AM67" t="str">
        <f t="shared" ca="1" si="21"/>
        <v/>
      </c>
      <c r="AO67">
        <f t="shared" ref="AO67:AO74" si="28">IF(G67&gt;0,G67+ROW()/1000000,0)</f>
        <v>100.000067</v>
      </c>
    </row>
    <row r="68" spans="1:41" ht="22.05" customHeight="1" x14ac:dyDescent="0.3">
      <c r="A68" s="40"/>
      <c r="B68" s="40"/>
      <c r="C68" s="40"/>
      <c r="D68" s="41"/>
      <c r="E68" s="55" t="s">
        <v>63</v>
      </c>
      <c r="F68" s="55">
        <f t="shared" si="22"/>
        <v>6</v>
      </c>
      <c r="G68" s="82">
        <f t="shared" si="23"/>
        <v>156000</v>
      </c>
      <c r="H68" s="55">
        <f t="shared" si="24"/>
        <v>6</v>
      </c>
      <c r="I68" s="67">
        <f t="shared" si="25"/>
        <v>1</v>
      </c>
      <c r="J68" s="55">
        <f t="shared" si="26"/>
        <v>1</v>
      </c>
      <c r="K68" s="55" t="str">
        <f t="shared" si="27"/>
        <v>Excelente</v>
      </c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2"/>
      <c r="AA68" t="str">
        <f>IF(COUNTA('Procyfloc GS50'!A69,'Procyfloc GS50'!B69,'Procyfloc GS50'!C69)&gt;0,"GS50","")</f>
        <v/>
      </c>
      <c r="AB68" t="str">
        <f>IFERROR(IF(ISNUMBER('Procyfloc GS50'!A69),'Procyfloc GS50'!A69,DATEVALUE('Procyfloc GS50'!A69)),"")</f>
        <v/>
      </c>
      <c r="AC68" t="str">
        <f>IF(AA68="","",'Procyfloc GS50'!B69)</f>
        <v/>
      </c>
      <c r="AD68" t="str">
        <f>IF(AA68="","",IFERROR(1*'Procyfloc GS50'!C69,IFERROR(_xludf.NUMBERVALUE('Procyfloc GS50'!C69,".",","),IFERROR(_xludf.NUMBERVALUE('Procyfloc GS50'!C69,",","."),0))))</f>
        <v/>
      </c>
      <c r="AE68" t="str">
        <f>IF(AA68="","",'Procyfloc GS50'!J69)</f>
        <v/>
      </c>
      <c r="AF68">
        <f t="shared" si="16"/>
        <v>0</v>
      </c>
      <c r="AG68" t="str">
        <f t="shared" si="17"/>
        <v/>
      </c>
      <c r="AH68" t="str">
        <f t="shared" si="18"/>
        <v/>
      </c>
      <c r="AI68">
        <f t="shared" si="19"/>
        <v>0</v>
      </c>
      <c r="AJ68">
        <f t="shared" si="20"/>
        <v>0</v>
      </c>
      <c r="AK68">
        <v>0</v>
      </c>
      <c r="AL68" t="str">
        <f>IF(AA68="","",IFERROR(IF(ISNUMBER('Procyfloc GS50'!D69),'Procyfloc GS50'!D69,IF(ISNUMBER(SEARCH("12",'Procyfloc GS50'!D69)),EDATE(AB68,12),IF(ISNUMBER(SEARCH("6",'Procyfloc GS50'!D69)),EDATE(AB68,6),IF(ISNUMBER(SEARCH("3",'Procyfloc GS50'!D69)),EDATE(AB68,3),DATEVALUE('Procyfloc GS50'!D69))))),""))</f>
        <v/>
      </c>
      <c r="AM68" t="str">
        <f t="shared" ca="1" si="21"/>
        <v/>
      </c>
      <c r="AO68">
        <f t="shared" si="28"/>
        <v>156000.00006799999</v>
      </c>
    </row>
    <row r="69" spans="1:41" ht="22.05" customHeight="1" x14ac:dyDescent="0.3">
      <c r="A69" s="40"/>
      <c r="B69" s="40"/>
      <c r="C69" s="40"/>
      <c r="D69" s="41"/>
      <c r="E69" s="59" t="s">
        <v>64</v>
      </c>
      <c r="F69" s="59">
        <f t="shared" si="22"/>
        <v>6</v>
      </c>
      <c r="G69" s="81">
        <f t="shared" si="23"/>
        <v>12000</v>
      </c>
      <c r="H69" s="59">
        <f t="shared" si="24"/>
        <v>6</v>
      </c>
      <c r="I69" s="66">
        <f t="shared" si="25"/>
        <v>1</v>
      </c>
      <c r="J69" s="59">
        <f t="shared" si="26"/>
        <v>2</v>
      </c>
      <c r="K69" s="59" t="str">
        <f t="shared" si="27"/>
        <v>Excelente</v>
      </c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2"/>
      <c r="AA69" t="str">
        <f>IF(COUNTA('Procyfloc GS50'!A70,'Procyfloc GS50'!B70,'Procyfloc GS50'!C70)&gt;0,"GS50","")</f>
        <v/>
      </c>
      <c r="AB69" t="str">
        <f>IFERROR(IF(ISNUMBER('Procyfloc GS50'!A70),'Procyfloc GS50'!A70,DATEVALUE('Procyfloc GS50'!A70)),"")</f>
        <v/>
      </c>
      <c r="AC69" t="str">
        <f>IF(AA69="","",'Procyfloc GS50'!B70)</f>
        <v/>
      </c>
      <c r="AD69" t="str">
        <f>IF(AA69="","",IFERROR(1*'Procyfloc GS50'!C70,IFERROR(_xludf.NUMBERVALUE('Procyfloc GS50'!C70,".",","),IFERROR(_xludf.NUMBERVALUE('Procyfloc GS50'!C70,",","."),0))))</f>
        <v/>
      </c>
      <c r="AE69" t="str">
        <f>IF(AA69="","",'Procyfloc GS50'!J70)</f>
        <v/>
      </c>
      <c r="AF69">
        <f t="shared" si="16"/>
        <v>0</v>
      </c>
      <c r="AG69" t="str">
        <f t="shared" si="17"/>
        <v/>
      </c>
      <c r="AH69" t="str">
        <f t="shared" si="18"/>
        <v/>
      </c>
      <c r="AI69">
        <f t="shared" si="19"/>
        <v>0</v>
      </c>
      <c r="AJ69">
        <f t="shared" si="20"/>
        <v>0</v>
      </c>
      <c r="AK69">
        <v>0</v>
      </c>
      <c r="AL69" t="str">
        <f>IF(AA69="","",IFERROR(IF(ISNUMBER('Procyfloc GS50'!D70),'Procyfloc GS50'!D70,IF(ISNUMBER(SEARCH("12",'Procyfloc GS50'!D70)),EDATE(AB69,12),IF(ISNUMBER(SEARCH("6",'Procyfloc GS50'!D70)),EDATE(AB69,6),IF(ISNUMBER(SEARCH("3",'Procyfloc GS50'!D70)),EDATE(AB69,3),DATEVALUE('Procyfloc GS50'!D70))))),""))</f>
        <v/>
      </c>
      <c r="AM69" t="str">
        <f t="shared" ca="1" si="21"/>
        <v/>
      </c>
      <c r="AO69">
        <f t="shared" si="28"/>
        <v>12000.000069</v>
      </c>
    </row>
    <row r="70" spans="1:41" ht="22.05" customHeight="1" x14ac:dyDescent="0.3">
      <c r="A70" s="40"/>
      <c r="B70" s="40"/>
      <c r="C70" s="40"/>
      <c r="D70" s="41"/>
      <c r="E70" s="55" t="s">
        <v>65</v>
      </c>
      <c r="F70" s="55">
        <f t="shared" si="22"/>
        <v>0</v>
      </c>
      <c r="G70" s="82">
        <f t="shared" si="23"/>
        <v>0</v>
      </c>
      <c r="H70" s="55">
        <f t="shared" si="24"/>
        <v>0</v>
      </c>
      <c r="I70" s="67">
        <f t="shared" si="25"/>
        <v>0</v>
      </c>
      <c r="J70" s="55" t="str">
        <f t="shared" si="26"/>
        <v/>
      </c>
      <c r="K70" s="55" t="str">
        <f t="shared" si="27"/>
        <v/>
      </c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2"/>
      <c r="AA70" t="str">
        <f>IF(COUNTA('Procyfloc GS50'!A71,'Procyfloc GS50'!B71,'Procyfloc GS50'!C71)&gt;0,"GS50","")</f>
        <v/>
      </c>
      <c r="AB70" t="str">
        <f>IFERROR(IF(ISNUMBER('Procyfloc GS50'!A71),'Procyfloc GS50'!A71,DATEVALUE('Procyfloc GS50'!A71)),"")</f>
        <v/>
      </c>
      <c r="AC70" t="str">
        <f>IF(AA70="","",'Procyfloc GS50'!B71)</f>
        <v/>
      </c>
      <c r="AD70" t="str">
        <f>IF(AA70="","",IFERROR(1*'Procyfloc GS50'!C71,IFERROR(_xludf.NUMBERVALUE('Procyfloc GS50'!C71,".",","),IFERROR(_xludf.NUMBERVALUE('Procyfloc GS50'!C71,",","."),0))))</f>
        <v/>
      </c>
      <c r="AE70" t="str">
        <f>IF(AA70="","",'Procyfloc GS50'!J71)</f>
        <v/>
      </c>
      <c r="AF70">
        <f t="shared" si="16"/>
        <v>0</v>
      </c>
      <c r="AG70" t="str">
        <f t="shared" si="17"/>
        <v/>
      </c>
      <c r="AH70" t="str">
        <f t="shared" si="18"/>
        <v/>
      </c>
      <c r="AI70">
        <f t="shared" si="19"/>
        <v>0</v>
      </c>
      <c r="AJ70">
        <f t="shared" si="20"/>
        <v>0</v>
      </c>
      <c r="AK70">
        <v>0</v>
      </c>
      <c r="AL70" t="str">
        <f>IF(AA70="","",IFERROR(IF(ISNUMBER('Procyfloc GS50'!D71),'Procyfloc GS50'!D71,IF(ISNUMBER(SEARCH("12",'Procyfloc GS50'!D71)),EDATE(AB70,12),IF(ISNUMBER(SEARCH("6",'Procyfloc GS50'!D71)),EDATE(AB70,6),IF(ISNUMBER(SEARCH("3",'Procyfloc GS50'!D71)),EDATE(AB70,3),DATEVALUE('Procyfloc GS50'!D71))))),""))</f>
        <v/>
      </c>
      <c r="AM70" t="str">
        <f t="shared" ca="1" si="21"/>
        <v/>
      </c>
      <c r="AO70">
        <f t="shared" si="28"/>
        <v>0</v>
      </c>
    </row>
    <row r="71" spans="1:41" ht="22.05" customHeight="1" x14ac:dyDescent="0.3">
      <c r="A71" s="40"/>
      <c r="B71" s="40"/>
      <c r="C71" s="40"/>
      <c r="D71" s="41"/>
      <c r="E71" s="59" t="s">
        <v>66</v>
      </c>
      <c r="F71" s="59">
        <f t="shared" si="22"/>
        <v>0</v>
      </c>
      <c r="G71" s="81">
        <f t="shared" si="23"/>
        <v>0</v>
      </c>
      <c r="H71" s="59">
        <f t="shared" si="24"/>
        <v>0</v>
      </c>
      <c r="I71" s="66">
        <f t="shared" si="25"/>
        <v>0</v>
      </c>
      <c r="J71" s="59" t="str">
        <f t="shared" si="26"/>
        <v/>
      </c>
      <c r="K71" s="59" t="str">
        <f t="shared" si="27"/>
        <v/>
      </c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2"/>
      <c r="AA71" t="str">
        <f>IF(COUNTA('Procyfloc GS50'!A72,'Procyfloc GS50'!B72,'Procyfloc GS50'!C72)&gt;0,"GS50","")</f>
        <v/>
      </c>
      <c r="AB71" t="str">
        <f>IFERROR(IF(ISNUMBER('Procyfloc GS50'!A72),'Procyfloc GS50'!A72,DATEVALUE('Procyfloc GS50'!A72)),"")</f>
        <v/>
      </c>
      <c r="AC71" t="str">
        <f>IF(AA71="","",'Procyfloc GS50'!B72)</f>
        <v/>
      </c>
      <c r="AD71" t="str">
        <f>IF(AA71="","",IFERROR(1*'Procyfloc GS50'!C72,IFERROR(_xludf.NUMBERVALUE('Procyfloc GS50'!C72,".",","),IFERROR(_xludf.NUMBERVALUE('Procyfloc GS50'!C72,",","."),0))))</f>
        <v/>
      </c>
      <c r="AE71" t="str">
        <f>IF(AA71="","",'Procyfloc GS50'!J72)</f>
        <v/>
      </c>
      <c r="AF71">
        <f t="shared" si="16"/>
        <v>0</v>
      </c>
      <c r="AG71" t="str">
        <f t="shared" si="17"/>
        <v/>
      </c>
      <c r="AH71" t="str">
        <f t="shared" si="18"/>
        <v/>
      </c>
      <c r="AI71">
        <f t="shared" si="19"/>
        <v>0</v>
      </c>
      <c r="AJ71">
        <f t="shared" si="20"/>
        <v>0</v>
      </c>
      <c r="AK71">
        <v>0</v>
      </c>
      <c r="AL71" t="str">
        <f>IF(AA71="","",IFERROR(IF(ISNUMBER('Procyfloc GS50'!D72),'Procyfloc GS50'!D72,IF(ISNUMBER(SEARCH("12",'Procyfloc GS50'!D72)),EDATE(AB71,12),IF(ISNUMBER(SEARCH("6",'Procyfloc GS50'!D72)),EDATE(AB71,6),IF(ISNUMBER(SEARCH("3",'Procyfloc GS50'!D72)),EDATE(AB71,3),DATEVALUE('Procyfloc GS50'!D72))))),""))</f>
        <v/>
      </c>
      <c r="AM71" t="str">
        <f t="shared" ca="1" si="21"/>
        <v/>
      </c>
      <c r="AO71">
        <f t="shared" si="28"/>
        <v>0</v>
      </c>
    </row>
    <row r="72" spans="1:41" ht="22.05" customHeight="1" x14ac:dyDescent="0.3">
      <c r="A72" s="40"/>
      <c r="B72" s="40"/>
      <c r="C72" s="40"/>
      <c r="D72" s="41"/>
      <c r="E72" s="55" t="s">
        <v>67</v>
      </c>
      <c r="F72" s="55">
        <f t="shared" si="22"/>
        <v>0</v>
      </c>
      <c r="G72" s="82">
        <f t="shared" si="23"/>
        <v>0</v>
      </c>
      <c r="H72" s="55">
        <f t="shared" si="24"/>
        <v>0</v>
      </c>
      <c r="I72" s="67">
        <f t="shared" si="25"/>
        <v>0</v>
      </c>
      <c r="J72" s="55" t="str">
        <f t="shared" si="26"/>
        <v/>
      </c>
      <c r="K72" s="55" t="str">
        <f t="shared" si="27"/>
        <v/>
      </c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2"/>
      <c r="AA72" t="str">
        <f>IF(COUNTA('Procyfloc GS50'!A73,'Procyfloc GS50'!B73,'Procyfloc GS50'!C73)&gt;0,"GS50","")</f>
        <v/>
      </c>
      <c r="AB72" t="str">
        <f>IFERROR(IF(ISNUMBER('Procyfloc GS50'!A73),'Procyfloc GS50'!A73,DATEVALUE('Procyfloc GS50'!A73)),"")</f>
        <v/>
      </c>
      <c r="AC72" t="str">
        <f>IF(AA72="","",'Procyfloc GS50'!B73)</f>
        <v/>
      </c>
      <c r="AD72" t="str">
        <f>IF(AA72="","",IFERROR(1*'Procyfloc GS50'!C73,IFERROR(_xludf.NUMBERVALUE('Procyfloc GS50'!C73,".",","),IFERROR(_xludf.NUMBERVALUE('Procyfloc GS50'!C73,",","."),0))))</f>
        <v/>
      </c>
      <c r="AE72" t="str">
        <f>IF(AA72="","",'Procyfloc GS50'!J73)</f>
        <v/>
      </c>
      <c r="AF72">
        <f t="shared" si="16"/>
        <v>0</v>
      </c>
      <c r="AG72" t="str">
        <f t="shared" si="17"/>
        <v/>
      </c>
      <c r="AH72" t="str">
        <f t="shared" si="18"/>
        <v/>
      </c>
      <c r="AI72">
        <f t="shared" si="19"/>
        <v>0</v>
      </c>
      <c r="AJ72">
        <f t="shared" si="20"/>
        <v>0</v>
      </c>
      <c r="AK72">
        <v>0</v>
      </c>
      <c r="AL72" t="str">
        <f>IF(AA72="","",IFERROR(IF(ISNUMBER('Procyfloc GS50'!D73),'Procyfloc GS50'!D73,IF(ISNUMBER(SEARCH("12",'Procyfloc GS50'!D73)),EDATE(AB72,12),IF(ISNUMBER(SEARCH("6",'Procyfloc GS50'!D73)),EDATE(AB72,6),IF(ISNUMBER(SEARCH("3",'Procyfloc GS50'!D73)),EDATE(AB72,3),DATEVALUE('Procyfloc GS50'!D73))))),""))</f>
        <v/>
      </c>
      <c r="AM72" t="str">
        <f t="shared" ca="1" si="21"/>
        <v/>
      </c>
      <c r="AO72">
        <f t="shared" si="28"/>
        <v>0</v>
      </c>
    </row>
    <row r="73" spans="1:41" ht="22.05" customHeight="1" x14ac:dyDescent="0.3">
      <c r="A73" s="40"/>
      <c r="B73" s="40"/>
      <c r="C73" s="40"/>
      <c r="D73" s="41"/>
      <c r="E73" s="59" t="s">
        <v>68</v>
      </c>
      <c r="F73" s="59">
        <f t="shared" si="22"/>
        <v>0</v>
      </c>
      <c r="G73" s="81">
        <f t="shared" si="23"/>
        <v>0</v>
      </c>
      <c r="H73" s="59">
        <f t="shared" si="24"/>
        <v>0</v>
      </c>
      <c r="I73" s="66">
        <f t="shared" si="25"/>
        <v>0</v>
      </c>
      <c r="J73" s="59" t="str">
        <f t="shared" si="26"/>
        <v/>
      </c>
      <c r="K73" s="59" t="str">
        <f t="shared" si="27"/>
        <v/>
      </c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2"/>
      <c r="AA73" t="str">
        <f>IF(COUNTA('Procyfloc GS50'!A74,'Procyfloc GS50'!B74,'Procyfloc GS50'!C74)&gt;0,"GS50","")</f>
        <v/>
      </c>
      <c r="AB73" t="str">
        <f>IFERROR(IF(ISNUMBER('Procyfloc GS50'!A74),'Procyfloc GS50'!A74,DATEVALUE('Procyfloc GS50'!A74)),"")</f>
        <v/>
      </c>
      <c r="AC73" t="str">
        <f>IF(AA73="","",'Procyfloc GS50'!B74)</f>
        <v/>
      </c>
      <c r="AD73" t="str">
        <f>IF(AA73="","",IFERROR(1*'Procyfloc GS50'!C74,IFERROR(_xludf.NUMBERVALUE('Procyfloc GS50'!C74,".",","),IFERROR(_xludf.NUMBERVALUE('Procyfloc GS50'!C74,",","."),0))))</f>
        <v/>
      </c>
      <c r="AE73" t="str">
        <f>IF(AA73="","",'Procyfloc GS50'!J74)</f>
        <v/>
      </c>
      <c r="AF73">
        <f t="shared" si="16"/>
        <v>0</v>
      </c>
      <c r="AG73" t="str">
        <f t="shared" si="17"/>
        <v/>
      </c>
      <c r="AH73" t="str">
        <f t="shared" si="18"/>
        <v/>
      </c>
      <c r="AI73">
        <f t="shared" si="19"/>
        <v>0</v>
      </c>
      <c r="AJ73">
        <f t="shared" si="20"/>
        <v>0</v>
      </c>
      <c r="AK73">
        <v>0</v>
      </c>
      <c r="AL73" t="str">
        <f>IF(AA73="","",IFERROR(IF(ISNUMBER('Procyfloc GS50'!D74),'Procyfloc GS50'!D74,IF(ISNUMBER(SEARCH("12",'Procyfloc GS50'!D74)),EDATE(AB73,12),IF(ISNUMBER(SEARCH("6",'Procyfloc GS50'!D74)),EDATE(AB73,6),IF(ISNUMBER(SEARCH("3",'Procyfloc GS50'!D74)),EDATE(AB73,3),DATEVALUE('Procyfloc GS50'!D74))))),""))</f>
        <v/>
      </c>
      <c r="AM73" t="str">
        <f t="shared" ca="1" si="21"/>
        <v/>
      </c>
      <c r="AO73">
        <f t="shared" si="28"/>
        <v>0</v>
      </c>
    </row>
    <row r="74" spans="1:41" ht="22.05" customHeight="1" x14ac:dyDescent="0.3">
      <c r="A74" s="40"/>
      <c r="B74" s="40"/>
      <c r="C74" s="40"/>
      <c r="D74" s="41"/>
      <c r="E74" s="55" t="s">
        <v>69</v>
      </c>
      <c r="F74" s="55">
        <f t="shared" si="22"/>
        <v>0</v>
      </c>
      <c r="G74" s="82">
        <f t="shared" si="23"/>
        <v>0</v>
      </c>
      <c r="H74" s="55">
        <f t="shared" si="24"/>
        <v>0</v>
      </c>
      <c r="I74" s="67">
        <f t="shared" si="25"/>
        <v>0</v>
      </c>
      <c r="J74" s="55" t="str">
        <f t="shared" si="26"/>
        <v/>
      </c>
      <c r="K74" s="55" t="str">
        <f t="shared" si="27"/>
        <v/>
      </c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2"/>
      <c r="AA74" t="str">
        <f>IF(COUNTA('Procyfloc GS50'!A75,'Procyfloc GS50'!B75,'Procyfloc GS50'!C75)&gt;0,"GS50","")</f>
        <v/>
      </c>
      <c r="AB74" t="str">
        <f>IFERROR(IF(ISNUMBER('Procyfloc GS50'!A75),'Procyfloc GS50'!A75,DATEVALUE('Procyfloc GS50'!A75)),"")</f>
        <v/>
      </c>
      <c r="AC74" t="str">
        <f>IF(AA74="","",'Procyfloc GS50'!B75)</f>
        <v/>
      </c>
      <c r="AD74" t="str">
        <f>IF(AA74="","",IFERROR(1*'Procyfloc GS50'!C75,IFERROR(_xludf.NUMBERVALUE('Procyfloc GS50'!C75,".",","),IFERROR(_xludf.NUMBERVALUE('Procyfloc GS50'!C75,",","."),0))))</f>
        <v/>
      </c>
      <c r="AE74" t="str">
        <f>IF(AA74="","",'Procyfloc GS50'!J75)</f>
        <v/>
      </c>
      <c r="AF74">
        <f t="shared" si="16"/>
        <v>0</v>
      </c>
      <c r="AG74" t="str">
        <f t="shared" si="17"/>
        <v/>
      </c>
      <c r="AH74" t="str">
        <f t="shared" si="18"/>
        <v/>
      </c>
      <c r="AI74">
        <f t="shared" si="19"/>
        <v>0</v>
      </c>
      <c r="AJ74">
        <f t="shared" si="20"/>
        <v>0</v>
      </c>
      <c r="AK74">
        <v>0</v>
      </c>
      <c r="AL74" t="str">
        <f>IF(AA74="","",IFERROR(IF(ISNUMBER('Procyfloc GS50'!D75),'Procyfloc GS50'!D75,IF(ISNUMBER(SEARCH("12",'Procyfloc GS50'!D75)),EDATE(AB74,12),IF(ISNUMBER(SEARCH("6",'Procyfloc GS50'!D75)),EDATE(AB74,6),IF(ISNUMBER(SEARCH("3",'Procyfloc GS50'!D75)),EDATE(AB74,3),DATEVALUE('Procyfloc GS50'!D75))))),""))</f>
        <v/>
      </c>
      <c r="AM74" t="str">
        <f t="shared" ca="1" si="21"/>
        <v/>
      </c>
      <c r="AO74">
        <f t="shared" si="28"/>
        <v>0</v>
      </c>
    </row>
    <row r="75" spans="1:41" ht="22.05" customHeight="1" x14ac:dyDescent="0.3">
      <c r="A75" s="40"/>
      <c r="B75" s="40"/>
      <c r="C75" s="40"/>
      <c r="D75" s="41"/>
      <c r="E75" s="59"/>
      <c r="F75" s="59"/>
      <c r="G75" s="59"/>
      <c r="H75" s="59"/>
      <c r="I75" s="59"/>
      <c r="J75" s="59"/>
      <c r="K75" s="59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2"/>
      <c r="AA75" t="str">
        <f>IF(COUNTA('Procyfloc GS50'!A76,'Procyfloc GS50'!B76,'Procyfloc GS50'!C76)&gt;0,"GS50","")</f>
        <v/>
      </c>
      <c r="AB75" t="str">
        <f>IFERROR(IF(ISNUMBER('Procyfloc GS50'!A76),'Procyfloc GS50'!A76,DATEVALUE('Procyfloc GS50'!A76)),"")</f>
        <v/>
      </c>
      <c r="AC75" t="str">
        <f>IF(AA75="","",'Procyfloc GS50'!B76)</f>
        <v/>
      </c>
      <c r="AD75" t="str">
        <f>IF(AA75="","",IFERROR(1*'Procyfloc GS50'!C76,IFERROR(_xludf.NUMBERVALUE('Procyfloc GS50'!C76,".",","),IFERROR(_xludf.NUMBERVALUE('Procyfloc GS50'!C76,",","."),0))))</f>
        <v/>
      </c>
      <c r="AE75" t="str">
        <f>IF(AA75="","",'Procyfloc GS50'!J76)</f>
        <v/>
      </c>
      <c r="AF75">
        <f t="shared" si="16"/>
        <v>0</v>
      </c>
      <c r="AG75" t="str">
        <f t="shared" si="17"/>
        <v/>
      </c>
      <c r="AH75" t="str">
        <f t="shared" si="18"/>
        <v/>
      </c>
      <c r="AI75">
        <f t="shared" si="19"/>
        <v>0</v>
      </c>
      <c r="AJ75">
        <f t="shared" si="20"/>
        <v>0</v>
      </c>
      <c r="AK75">
        <v>0</v>
      </c>
      <c r="AL75" t="str">
        <f>IF(AA75="","",IFERROR(IF(ISNUMBER('Procyfloc GS50'!D76),'Procyfloc GS50'!D76,IF(ISNUMBER(SEARCH("12",'Procyfloc GS50'!D76)),EDATE(AB75,12),IF(ISNUMBER(SEARCH("6",'Procyfloc GS50'!D76)),EDATE(AB75,6),IF(ISNUMBER(SEARCH("3",'Procyfloc GS50'!D76)),EDATE(AB75,3),DATEVALUE('Procyfloc GS50'!D76))))),""))</f>
        <v/>
      </c>
      <c r="AM75" t="str">
        <f t="shared" ca="1" si="21"/>
        <v/>
      </c>
    </row>
    <row r="76" spans="1:41" ht="22.05" customHeight="1" x14ac:dyDescent="0.3">
      <c r="A76" s="40"/>
      <c r="B76" s="40"/>
      <c r="C76" s="40"/>
      <c r="D76" s="41"/>
      <c r="E76" s="55"/>
      <c r="F76" s="55"/>
      <c r="G76" s="55"/>
      <c r="H76" s="55"/>
      <c r="I76" s="55"/>
      <c r="J76" s="55"/>
      <c r="K76" s="55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2"/>
      <c r="AA76" t="str">
        <f>IF(COUNTA('Procyfloc GS50'!A77,'Procyfloc GS50'!B77,'Procyfloc GS50'!C77)&gt;0,"GS50","")</f>
        <v/>
      </c>
      <c r="AB76" t="str">
        <f>IFERROR(IF(ISNUMBER('Procyfloc GS50'!A77),'Procyfloc GS50'!A77,DATEVALUE('Procyfloc GS50'!A77)),"")</f>
        <v/>
      </c>
      <c r="AC76" t="str">
        <f>IF(AA76="","",'Procyfloc GS50'!B77)</f>
        <v/>
      </c>
      <c r="AD76" t="str">
        <f>IF(AA76="","",IFERROR(1*'Procyfloc GS50'!C77,IFERROR(_xludf.NUMBERVALUE('Procyfloc GS50'!C77,".",","),IFERROR(_xludf.NUMBERVALUE('Procyfloc GS50'!C77,",","."),0))))</f>
        <v/>
      </c>
      <c r="AE76" t="str">
        <f>IF(AA76="","",'Procyfloc GS50'!J77)</f>
        <v/>
      </c>
      <c r="AF76">
        <f t="shared" si="16"/>
        <v>0</v>
      </c>
      <c r="AG76" t="str">
        <f t="shared" si="17"/>
        <v/>
      </c>
      <c r="AH76" t="str">
        <f t="shared" si="18"/>
        <v/>
      </c>
      <c r="AI76">
        <f t="shared" si="19"/>
        <v>0</v>
      </c>
      <c r="AJ76">
        <f t="shared" si="20"/>
        <v>0</v>
      </c>
      <c r="AK76">
        <v>0</v>
      </c>
      <c r="AL76" t="str">
        <f>IF(AA76="","",IFERROR(IF(ISNUMBER('Procyfloc GS50'!D77),'Procyfloc GS50'!D77,IF(ISNUMBER(SEARCH("12",'Procyfloc GS50'!D77)),EDATE(AB76,12),IF(ISNUMBER(SEARCH("6",'Procyfloc GS50'!D77)),EDATE(AB76,6),IF(ISNUMBER(SEARCH("3",'Procyfloc GS50'!D77)),EDATE(AB76,3),DATEVALUE('Procyfloc GS50'!D77))))),""))</f>
        <v/>
      </c>
      <c r="AM76" t="str">
        <f t="shared" ca="1" si="21"/>
        <v/>
      </c>
    </row>
    <row r="77" spans="1:41" ht="22.05" customHeight="1" x14ac:dyDescent="0.3">
      <c r="A77" s="40"/>
      <c r="B77" s="40"/>
      <c r="C77" s="40"/>
      <c r="D77" s="41"/>
      <c r="E77" s="59"/>
      <c r="F77" s="59"/>
      <c r="G77" s="59"/>
      <c r="H77" s="59"/>
      <c r="I77" s="59"/>
      <c r="J77" s="59"/>
      <c r="K77" s="59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2"/>
      <c r="AA77" t="str">
        <f>IF(COUNTA('Procyfloc GS50'!A78,'Procyfloc GS50'!B78,'Procyfloc GS50'!C78)&gt;0,"GS50","")</f>
        <v/>
      </c>
      <c r="AB77" t="str">
        <f>IFERROR(IF(ISNUMBER('Procyfloc GS50'!A78),'Procyfloc GS50'!A78,DATEVALUE('Procyfloc GS50'!A78)),"")</f>
        <v/>
      </c>
      <c r="AC77" t="str">
        <f>IF(AA77="","",'Procyfloc GS50'!B78)</f>
        <v/>
      </c>
      <c r="AD77" t="str">
        <f>IF(AA77="","",IFERROR(1*'Procyfloc GS50'!C78,IFERROR(_xludf.NUMBERVALUE('Procyfloc GS50'!C78,".",","),IFERROR(_xludf.NUMBERVALUE('Procyfloc GS50'!C78,",","."),0))))</f>
        <v/>
      </c>
      <c r="AE77" t="str">
        <f>IF(AA77="","",'Procyfloc GS50'!J78)</f>
        <v/>
      </c>
      <c r="AF77">
        <f t="shared" si="16"/>
        <v>0</v>
      </c>
      <c r="AG77" t="str">
        <f t="shared" si="17"/>
        <v/>
      </c>
      <c r="AH77" t="str">
        <f t="shared" si="18"/>
        <v/>
      </c>
      <c r="AI77">
        <f t="shared" si="19"/>
        <v>0</v>
      </c>
      <c r="AJ77">
        <f t="shared" si="20"/>
        <v>0</v>
      </c>
      <c r="AK77">
        <v>0</v>
      </c>
      <c r="AL77" t="str">
        <f>IF(AA77="","",IFERROR(IF(ISNUMBER('Procyfloc GS50'!D78),'Procyfloc GS50'!D78,IF(ISNUMBER(SEARCH("12",'Procyfloc GS50'!D78)),EDATE(AB77,12),IF(ISNUMBER(SEARCH("6",'Procyfloc GS50'!D78)),EDATE(AB77,6),IF(ISNUMBER(SEARCH("3",'Procyfloc GS50'!D78)),EDATE(AB77,3),DATEVALUE('Procyfloc GS50'!D78))))),""))</f>
        <v/>
      </c>
      <c r="AM77" t="str">
        <f t="shared" ca="1" si="21"/>
        <v/>
      </c>
    </row>
    <row r="78" spans="1:41" ht="22.05" customHeight="1" x14ac:dyDescent="0.3">
      <c r="A78" s="40"/>
      <c r="B78" s="40"/>
      <c r="C78" s="40"/>
      <c r="D78" s="41"/>
      <c r="E78" s="55"/>
      <c r="F78" s="55"/>
      <c r="G78" s="55"/>
      <c r="H78" s="55"/>
      <c r="I78" s="55"/>
      <c r="J78" s="55"/>
      <c r="K78" s="55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2"/>
      <c r="AA78" t="str">
        <f>IF(COUNTA('Procyfloc GS50'!A79,'Procyfloc GS50'!B79,'Procyfloc GS50'!C79)&gt;0,"GS50","")</f>
        <v/>
      </c>
      <c r="AB78" t="str">
        <f>IFERROR(IF(ISNUMBER('Procyfloc GS50'!A79),'Procyfloc GS50'!A79,DATEVALUE('Procyfloc GS50'!A79)),"")</f>
        <v/>
      </c>
      <c r="AC78" t="str">
        <f>IF(AA78="","",'Procyfloc GS50'!B79)</f>
        <v/>
      </c>
      <c r="AD78" t="str">
        <f>IF(AA78="","",IFERROR(1*'Procyfloc GS50'!C79,IFERROR(_xludf.NUMBERVALUE('Procyfloc GS50'!C79,".",","),IFERROR(_xludf.NUMBERVALUE('Procyfloc GS50'!C79,",","."),0))))</f>
        <v/>
      </c>
      <c r="AE78" t="str">
        <f>IF(AA78="","",'Procyfloc GS50'!J79)</f>
        <v/>
      </c>
      <c r="AF78">
        <f t="shared" si="16"/>
        <v>0</v>
      </c>
      <c r="AG78" t="str">
        <f t="shared" si="17"/>
        <v/>
      </c>
      <c r="AH78" t="str">
        <f t="shared" si="18"/>
        <v/>
      </c>
      <c r="AI78">
        <f t="shared" si="19"/>
        <v>0</v>
      </c>
      <c r="AJ78">
        <f t="shared" si="20"/>
        <v>0</v>
      </c>
      <c r="AK78">
        <v>0</v>
      </c>
      <c r="AL78" t="str">
        <f>IF(AA78="","",IFERROR(IF(ISNUMBER('Procyfloc GS50'!D79),'Procyfloc GS50'!D79,IF(ISNUMBER(SEARCH("12",'Procyfloc GS50'!D79)),EDATE(AB78,12),IF(ISNUMBER(SEARCH("6",'Procyfloc GS50'!D79)),EDATE(AB78,6),IF(ISNUMBER(SEARCH("3",'Procyfloc GS50'!D79)),EDATE(AB78,3),DATEVALUE('Procyfloc GS50'!D79))))),""))</f>
        <v/>
      </c>
      <c r="AM78" t="str">
        <f t="shared" ca="1" si="21"/>
        <v/>
      </c>
    </row>
    <row r="79" spans="1:41" ht="22.05" customHeight="1" x14ac:dyDescent="0.3">
      <c r="A79" s="40"/>
      <c r="B79" s="40"/>
      <c r="C79" s="40"/>
      <c r="D79" s="41"/>
      <c r="E79" s="59"/>
      <c r="F79" s="59"/>
      <c r="G79" s="59"/>
      <c r="H79" s="59"/>
      <c r="I79" s="59"/>
      <c r="J79" s="59"/>
      <c r="K79" s="59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2"/>
      <c r="AA79" t="str">
        <f>IF(COUNTA('Procyfloc GS50'!A80,'Procyfloc GS50'!B80,'Procyfloc GS50'!C80)&gt;0,"GS50","")</f>
        <v/>
      </c>
      <c r="AB79" t="str">
        <f>IFERROR(IF(ISNUMBER('Procyfloc GS50'!A80),'Procyfloc GS50'!A80,DATEVALUE('Procyfloc GS50'!A80)),"")</f>
        <v/>
      </c>
      <c r="AC79" t="str">
        <f>IF(AA79="","",'Procyfloc GS50'!B80)</f>
        <v/>
      </c>
      <c r="AD79" t="str">
        <f>IF(AA79="","",IFERROR(1*'Procyfloc GS50'!C80,IFERROR(_xludf.NUMBERVALUE('Procyfloc GS50'!C80,".",","),IFERROR(_xludf.NUMBERVALUE('Procyfloc GS50'!C80,",","."),0))))</f>
        <v/>
      </c>
      <c r="AE79" t="str">
        <f>IF(AA79="","",'Procyfloc GS50'!J80)</f>
        <v/>
      </c>
      <c r="AF79">
        <f t="shared" si="16"/>
        <v>0</v>
      </c>
      <c r="AG79" t="str">
        <f t="shared" si="17"/>
        <v/>
      </c>
      <c r="AH79" t="str">
        <f t="shared" si="18"/>
        <v/>
      </c>
      <c r="AI79">
        <f t="shared" si="19"/>
        <v>0</v>
      </c>
      <c r="AJ79">
        <f t="shared" si="20"/>
        <v>0</v>
      </c>
      <c r="AK79">
        <v>0</v>
      </c>
      <c r="AL79" t="str">
        <f>IF(AA79="","",IFERROR(IF(ISNUMBER('Procyfloc GS50'!D80),'Procyfloc GS50'!D80,IF(ISNUMBER(SEARCH("12",'Procyfloc GS50'!D80)),EDATE(AB79,12),IF(ISNUMBER(SEARCH("6",'Procyfloc GS50'!D80)),EDATE(AB79,6),IF(ISNUMBER(SEARCH("3",'Procyfloc GS50'!D80)),EDATE(AB79,3),DATEVALUE('Procyfloc GS50'!D80))))),""))</f>
        <v/>
      </c>
      <c r="AM79" t="str">
        <f t="shared" ca="1" si="21"/>
        <v/>
      </c>
    </row>
    <row r="80" spans="1:41" ht="22.05" customHeight="1" x14ac:dyDescent="0.3">
      <c r="A80" s="40"/>
      <c r="B80" s="40"/>
      <c r="C80" s="40"/>
      <c r="D80" s="41"/>
      <c r="E80" s="55"/>
      <c r="F80" s="55"/>
      <c r="G80" s="55"/>
      <c r="H80" s="55"/>
      <c r="I80" s="55"/>
      <c r="J80" s="55"/>
      <c r="K80" s="55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2"/>
      <c r="AA80" t="str">
        <f>IF(COUNTA('Procyfloc GS50'!A81,'Procyfloc GS50'!B81,'Procyfloc GS50'!C81)&gt;0,"GS50","")</f>
        <v/>
      </c>
      <c r="AB80" t="str">
        <f>IFERROR(IF(ISNUMBER('Procyfloc GS50'!A81),'Procyfloc GS50'!A81,DATEVALUE('Procyfloc GS50'!A81)),"")</f>
        <v/>
      </c>
      <c r="AC80" t="str">
        <f>IF(AA80="","",'Procyfloc GS50'!B81)</f>
        <v/>
      </c>
      <c r="AD80" t="str">
        <f>IF(AA80="","",IFERROR(1*'Procyfloc GS50'!C81,IFERROR(_xludf.NUMBERVALUE('Procyfloc GS50'!C81,".",","),IFERROR(_xludf.NUMBERVALUE('Procyfloc GS50'!C81,",","."),0))))</f>
        <v/>
      </c>
      <c r="AE80" t="str">
        <f>IF(AA80="","",'Procyfloc GS50'!J81)</f>
        <v/>
      </c>
      <c r="AF80">
        <f t="shared" si="16"/>
        <v>0</v>
      </c>
      <c r="AG80" t="str">
        <f t="shared" si="17"/>
        <v/>
      </c>
      <c r="AH80" t="str">
        <f t="shared" si="18"/>
        <v/>
      </c>
      <c r="AI80">
        <f t="shared" si="19"/>
        <v>0</v>
      </c>
      <c r="AJ80">
        <f t="shared" si="20"/>
        <v>0</v>
      </c>
      <c r="AK80">
        <v>0</v>
      </c>
      <c r="AL80" t="str">
        <f>IF(AA80="","",IFERROR(IF(ISNUMBER('Procyfloc GS50'!D81),'Procyfloc GS50'!D81,IF(ISNUMBER(SEARCH("12",'Procyfloc GS50'!D81)),EDATE(AB80,12),IF(ISNUMBER(SEARCH("6",'Procyfloc GS50'!D81)),EDATE(AB80,6),IF(ISNUMBER(SEARCH("3",'Procyfloc GS50'!D81)),EDATE(AB80,3),DATEVALUE('Procyfloc GS50'!D81))))),""))</f>
        <v/>
      </c>
      <c r="AM80" t="str">
        <f t="shared" ca="1" si="21"/>
        <v/>
      </c>
    </row>
    <row r="81" spans="1:39" ht="22.05" customHeight="1" x14ac:dyDescent="0.3">
      <c r="A81" s="40"/>
      <c r="B81" s="40"/>
      <c r="C81" s="40"/>
      <c r="D81" s="41"/>
      <c r="E81" s="59"/>
      <c r="F81" s="59"/>
      <c r="G81" s="59"/>
      <c r="H81" s="59"/>
      <c r="I81" s="59"/>
      <c r="J81" s="59"/>
      <c r="K81" s="59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2"/>
      <c r="AA81" t="str">
        <f>IF(COUNTA('Procyfloc GS50'!A82,'Procyfloc GS50'!B82,'Procyfloc GS50'!C82)&gt;0,"GS50","")</f>
        <v/>
      </c>
      <c r="AB81" t="str">
        <f>IFERROR(IF(ISNUMBER('Procyfloc GS50'!A82),'Procyfloc GS50'!A82,DATEVALUE('Procyfloc GS50'!A82)),"")</f>
        <v/>
      </c>
      <c r="AC81" t="str">
        <f>IF(AA81="","",'Procyfloc GS50'!B82)</f>
        <v/>
      </c>
      <c r="AD81" t="str">
        <f>IF(AA81="","",IFERROR(1*'Procyfloc GS50'!C82,IFERROR(_xludf.NUMBERVALUE('Procyfloc GS50'!C82,".",","),IFERROR(_xludf.NUMBERVALUE('Procyfloc GS50'!C82,",","."),0))))</f>
        <v/>
      </c>
      <c r="AE81" t="str">
        <f>IF(AA81="","",'Procyfloc GS50'!J82)</f>
        <v/>
      </c>
      <c r="AF81">
        <f t="shared" si="16"/>
        <v>0</v>
      </c>
      <c r="AG81" t="str">
        <f t="shared" si="17"/>
        <v/>
      </c>
      <c r="AH81" t="str">
        <f t="shared" si="18"/>
        <v/>
      </c>
      <c r="AI81">
        <f t="shared" si="19"/>
        <v>0</v>
      </c>
      <c r="AJ81">
        <f t="shared" si="20"/>
        <v>0</v>
      </c>
      <c r="AK81">
        <v>0</v>
      </c>
      <c r="AL81" t="str">
        <f>IF(AA81="","",IFERROR(IF(ISNUMBER('Procyfloc GS50'!D82),'Procyfloc GS50'!D82,IF(ISNUMBER(SEARCH("12",'Procyfloc GS50'!D82)),EDATE(AB81,12),IF(ISNUMBER(SEARCH("6",'Procyfloc GS50'!D82)),EDATE(AB81,6),IF(ISNUMBER(SEARCH("3",'Procyfloc GS50'!D82)),EDATE(AB81,3),DATEVALUE('Procyfloc GS50'!D82))))),""))</f>
        <v/>
      </c>
      <c r="AM81" t="str">
        <f t="shared" ca="1" si="21"/>
        <v/>
      </c>
    </row>
    <row r="82" spans="1:39" ht="22.05" customHeight="1" x14ac:dyDescent="0.3">
      <c r="A82" s="40"/>
      <c r="B82" s="40"/>
      <c r="C82" s="40"/>
      <c r="D82" s="41"/>
      <c r="E82" s="55"/>
      <c r="F82" s="55"/>
      <c r="G82" s="55"/>
      <c r="H82" s="55"/>
      <c r="I82" s="55"/>
      <c r="J82" s="55"/>
      <c r="K82" s="55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2"/>
      <c r="AA82" t="str">
        <f>IF(COUNTA('Procyfloc GS50'!A83,'Procyfloc GS50'!B83,'Procyfloc GS50'!C83)&gt;0,"GS50","")</f>
        <v/>
      </c>
      <c r="AB82" t="str">
        <f>IFERROR(IF(ISNUMBER('Procyfloc GS50'!A83),'Procyfloc GS50'!A83,DATEVALUE('Procyfloc GS50'!A83)),"")</f>
        <v/>
      </c>
      <c r="AC82" t="str">
        <f>IF(AA82="","",'Procyfloc GS50'!B83)</f>
        <v/>
      </c>
      <c r="AD82" t="str">
        <f>IF(AA82="","",IFERROR(1*'Procyfloc GS50'!C83,IFERROR(_xludf.NUMBERVALUE('Procyfloc GS50'!C83,".",","),IFERROR(_xludf.NUMBERVALUE('Procyfloc GS50'!C83,",","."),0))))</f>
        <v/>
      </c>
      <c r="AE82" t="str">
        <f>IF(AA82="","",'Procyfloc GS50'!J83)</f>
        <v/>
      </c>
      <c r="AF82">
        <f t="shared" si="16"/>
        <v>0</v>
      </c>
      <c r="AG82" t="str">
        <f t="shared" si="17"/>
        <v/>
      </c>
      <c r="AH82" t="str">
        <f t="shared" si="18"/>
        <v/>
      </c>
      <c r="AI82">
        <f t="shared" si="19"/>
        <v>0</v>
      </c>
      <c r="AJ82">
        <f t="shared" si="20"/>
        <v>0</v>
      </c>
      <c r="AK82">
        <v>0</v>
      </c>
      <c r="AL82" t="str">
        <f>IF(AA82="","",IFERROR(IF(ISNUMBER('Procyfloc GS50'!D83),'Procyfloc GS50'!D83,IF(ISNUMBER(SEARCH("12",'Procyfloc GS50'!D83)),EDATE(AB82,12),IF(ISNUMBER(SEARCH("6",'Procyfloc GS50'!D83)),EDATE(AB82,6),IF(ISNUMBER(SEARCH("3",'Procyfloc GS50'!D83)),EDATE(AB82,3),DATEVALUE('Procyfloc GS50'!D83))))),""))</f>
        <v/>
      </c>
      <c r="AM82" t="str">
        <f t="shared" ca="1" si="21"/>
        <v/>
      </c>
    </row>
    <row r="83" spans="1:39" ht="22.05" customHeight="1" x14ac:dyDescent="0.3">
      <c r="A83" s="40"/>
      <c r="B83" s="40"/>
      <c r="C83" s="40"/>
      <c r="D83" s="41"/>
      <c r="E83" s="59"/>
      <c r="F83" s="59"/>
      <c r="G83" s="59"/>
      <c r="H83" s="59"/>
      <c r="I83" s="59"/>
      <c r="J83" s="59"/>
      <c r="K83" s="59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2"/>
      <c r="AA83" t="str">
        <f>IF(COUNTA('Procyfloc GS50'!A84,'Procyfloc GS50'!B84,'Procyfloc GS50'!C84)&gt;0,"GS50","")</f>
        <v/>
      </c>
      <c r="AB83" t="str">
        <f>IFERROR(IF(ISNUMBER('Procyfloc GS50'!A84),'Procyfloc GS50'!A84,DATEVALUE('Procyfloc GS50'!A84)),"")</f>
        <v/>
      </c>
      <c r="AC83" t="str">
        <f>IF(AA83="","",'Procyfloc GS50'!B84)</f>
        <v/>
      </c>
      <c r="AD83" t="str">
        <f>IF(AA83="","",IFERROR(1*'Procyfloc GS50'!C84,IFERROR(_xludf.NUMBERVALUE('Procyfloc GS50'!C84,".",","),IFERROR(_xludf.NUMBERVALUE('Procyfloc GS50'!C84,",","."),0))))</f>
        <v/>
      </c>
      <c r="AE83" t="str">
        <f>IF(AA83="","",'Procyfloc GS50'!J84)</f>
        <v/>
      </c>
      <c r="AF83">
        <f t="shared" si="16"/>
        <v>0</v>
      </c>
      <c r="AG83" t="str">
        <f t="shared" si="17"/>
        <v/>
      </c>
      <c r="AH83" t="str">
        <f t="shared" si="18"/>
        <v/>
      </c>
      <c r="AI83">
        <f t="shared" si="19"/>
        <v>0</v>
      </c>
      <c r="AJ83">
        <f t="shared" si="20"/>
        <v>0</v>
      </c>
      <c r="AK83">
        <v>0</v>
      </c>
      <c r="AL83" t="str">
        <f>IF(AA83="","",IFERROR(IF(ISNUMBER('Procyfloc GS50'!D84),'Procyfloc GS50'!D84,IF(ISNUMBER(SEARCH("12",'Procyfloc GS50'!D84)),EDATE(AB83,12),IF(ISNUMBER(SEARCH("6",'Procyfloc GS50'!D84)),EDATE(AB83,6),IF(ISNUMBER(SEARCH("3",'Procyfloc GS50'!D84)),EDATE(AB83,3),DATEVALUE('Procyfloc GS50'!D84))))),""))</f>
        <v/>
      </c>
      <c r="AM83" t="str">
        <f t="shared" ca="1" si="21"/>
        <v/>
      </c>
    </row>
    <row r="84" spans="1:39" ht="22.05" customHeight="1" x14ac:dyDescent="0.3">
      <c r="A84" s="40"/>
      <c r="B84" s="40"/>
      <c r="C84" s="40"/>
      <c r="D84" s="41"/>
      <c r="E84" s="55"/>
      <c r="F84" s="55"/>
      <c r="G84" s="55"/>
      <c r="H84" s="55"/>
      <c r="I84" s="55"/>
      <c r="J84" s="55"/>
      <c r="K84" s="55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2"/>
      <c r="AA84" t="str">
        <f>IF(COUNTA('Procyfloc GS50'!A85,'Procyfloc GS50'!B85,'Procyfloc GS50'!C85)&gt;0,"GS50","")</f>
        <v/>
      </c>
      <c r="AB84" t="str">
        <f>IFERROR(IF(ISNUMBER('Procyfloc GS50'!A85),'Procyfloc GS50'!A85,DATEVALUE('Procyfloc GS50'!A85)),"")</f>
        <v/>
      </c>
      <c r="AC84" t="str">
        <f>IF(AA84="","",'Procyfloc GS50'!B85)</f>
        <v/>
      </c>
      <c r="AD84" t="str">
        <f>IF(AA84="","",IFERROR(1*'Procyfloc GS50'!C85,IFERROR(_xludf.NUMBERVALUE('Procyfloc GS50'!C85,".",","),IFERROR(_xludf.NUMBERVALUE('Procyfloc GS50'!C85,",","."),0))))</f>
        <v/>
      </c>
      <c r="AE84" t="str">
        <f>IF(AA84="","",'Procyfloc GS50'!J85)</f>
        <v/>
      </c>
      <c r="AF84">
        <f t="shared" si="16"/>
        <v>0</v>
      </c>
      <c r="AG84" t="str">
        <f t="shared" si="17"/>
        <v/>
      </c>
      <c r="AH84" t="str">
        <f t="shared" si="18"/>
        <v/>
      </c>
      <c r="AI84">
        <f t="shared" si="19"/>
        <v>0</v>
      </c>
      <c r="AJ84">
        <f t="shared" si="20"/>
        <v>0</v>
      </c>
      <c r="AK84">
        <v>0</v>
      </c>
      <c r="AL84" t="str">
        <f>IF(AA84="","",IFERROR(IF(ISNUMBER('Procyfloc GS50'!D85),'Procyfloc GS50'!D85,IF(ISNUMBER(SEARCH("12",'Procyfloc GS50'!D85)),EDATE(AB84,12),IF(ISNUMBER(SEARCH("6",'Procyfloc GS50'!D85)),EDATE(AB84,6),IF(ISNUMBER(SEARCH("3",'Procyfloc GS50'!D85)),EDATE(AB84,3),DATEVALUE('Procyfloc GS50'!D85))))),""))</f>
        <v/>
      </c>
      <c r="AM84" t="str">
        <f t="shared" ca="1" si="21"/>
        <v/>
      </c>
    </row>
    <row r="85" spans="1:39" ht="22.05" customHeight="1" x14ac:dyDescent="0.3">
      <c r="A85" s="40"/>
      <c r="B85" s="40"/>
      <c r="C85" s="40"/>
      <c r="D85" s="41"/>
      <c r="E85" s="59"/>
      <c r="F85" s="59"/>
      <c r="G85" s="59"/>
      <c r="H85" s="59"/>
      <c r="I85" s="59"/>
      <c r="J85" s="59"/>
      <c r="K85" s="59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2"/>
      <c r="AA85" t="str">
        <f>IF(COUNTA('Procyfloc GS50'!A86,'Procyfloc GS50'!B86,'Procyfloc GS50'!C86)&gt;0,"GS50","")</f>
        <v/>
      </c>
      <c r="AB85" t="str">
        <f>IFERROR(IF(ISNUMBER('Procyfloc GS50'!A86),'Procyfloc GS50'!A86,DATEVALUE('Procyfloc GS50'!A86)),"")</f>
        <v/>
      </c>
      <c r="AC85" t="str">
        <f>IF(AA85="","",'Procyfloc GS50'!B86)</f>
        <v/>
      </c>
      <c r="AD85" t="str">
        <f>IF(AA85="","",IFERROR(1*'Procyfloc GS50'!C86,IFERROR(_xludf.NUMBERVALUE('Procyfloc GS50'!C86,".",","),IFERROR(_xludf.NUMBERVALUE('Procyfloc GS50'!C86,",","."),0))))</f>
        <v/>
      </c>
      <c r="AE85" t="str">
        <f>IF(AA85="","",'Procyfloc GS50'!J86)</f>
        <v/>
      </c>
      <c r="AF85">
        <f t="shared" si="16"/>
        <v>0</v>
      </c>
      <c r="AG85" t="str">
        <f t="shared" si="17"/>
        <v/>
      </c>
      <c r="AH85" t="str">
        <f t="shared" si="18"/>
        <v/>
      </c>
      <c r="AI85">
        <f t="shared" si="19"/>
        <v>0</v>
      </c>
      <c r="AJ85">
        <f t="shared" si="20"/>
        <v>0</v>
      </c>
      <c r="AK85">
        <v>0</v>
      </c>
      <c r="AL85" t="str">
        <f>IF(AA85="","",IFERROR(IF(ISNUMBER('Procyfloc GS50'!D86),'Procyfloc GS50'!D86,IF(ISNUMBER(SEARCH("12",'Procyfloc GS50'!D86)),EDATE(AB85,12),IF(ISNUMBER(SEARCH("6",'Procyfloc GS50'!D86)),EDATE(AB85,6),IF(ISNUMBER(SEARCH("3",'Procyfloc GS50'!D86)),EDATE(AB85,3),DATEVALUE('Procyfloc GS50'!D86))))),""))</f>
        <v/>
      </c>
      <c r="AM85" t="str">
        <f t="shared" ca="1" si="21"/>
        <v/>
      </c>
    </row>
    <row r="86" spans="1:39" ht="22.05" customHeight="1" x14ac:dyDescent="0.3">
      <c r="A86" s="40"/>
      <c r="B86" s="40"/>
      <c r="C86" s="40"/>
      <c r="D86" s="41"/>
      <c r="E86" s="55"/>
      <c r="F86" s="55"/>
      <c r="G86" s="55"/>
      <c r="H86" s="55"/>
      <c r="I86" s="55"/>
      <c r="J86" s="55"/>
      <c r="K86" s="55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2"/>
      <c r="AA86" t="str">
        <f>IF(COUNTA('Procyfloc GS50'!A87,'Procyfloc GS50'!B87,'Procyfloc GS50'!C87)&gt;0,"GS50","")</f>
        <v/>
      </c>
      <c r="AB86" t="str">
        <f>IFERROR(IF(ISNUMBER('Procyfloc GS50'!A87),'Procyfloc GS50'!A87,DATEVALUE('Procyfloc GS50'!A87)),"")</f>
        <v/>
      </c>
      <c r="AC86" t="str">
        <f>IF(AA86="","",'Procyfloc GS50'!B87)</f>
        <v/>
      </c>
      <c r="AD86" t="str">
        <f>IF(AA86="","",IFERROR(1*'Procyfloc GS50'!C87,IFERROR(_xludf.NUMBERVALUE('Procyfloc GS50'!C87,".",","),IFERROR(_xludf.NUMBERVALUE('Procyfloc GS50'!C87,",","."),0))))</f>
        <v/>
      </c>
      <c r="AE86" t="str">
        <f>IF(AA86="","",'Procyfloc GS50'!J87)</f>
        <v/>
      </c>
      <c r="AF86">
        <f t="shared" si="16"/>
        <v>0</v>
      </c>
      <c r="AG86" t="str">
        <f t="shared" si="17"/>
        <v/>
      </c>
      <c r="AH86" t="str">
        <f t="shared" si="18"/>
        <v/>
      </c>
      <c r="AI86">
        <f t="shared" si="19"/>
        <v>0</v>
      </c>
      <c r="AJ86">
        <f t="shared" si="20"/>
        <v>0</v>
      </c>
      <c r="AK86">
        <v>0</v>
      </c>
      <c r="AL86" t="str">
        <f>IF(AA86="","",IFERROR(IF(ISNUMBER('Procyfloc GS50'!D87),'Procyfloc GS50'!D87,IF(ISNUMBER(SEARCH("12",'Procyfloc GS50'!D87)),EDATE(AB86,12),IF(ISNUMBER(SEARCH("6",'Procyfloc GS50'!D87)),EDATE(AB86,6),IF(ISNUMBER(SEARCH("3",'Procyfloc GS50'!D87)),EDATE(AB86,3),DATEVALUE('Procyfloc GS50'!D87))))),""))</f>
        <v/>
      </c>
      <c r="AM86" t="str">
        <f t="shared" ca="1" si="21"/>
        <v/>
      </c>
    </row>
    <row r="87" spans="1:39" ht="22.05" customHeight="1" x14ac:dyDescent="0.3">
      <c r="A87" s="40"/>
      <c r="B87" s="40"/>
      <c r="C87" s="40"/>
      <c r="D87" s="41"/>
      <c r="E87" s="50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2"/>
      <c r="AA87" t="str">
        <f>IF(COUNTA('Procyfloc GS50'!A88,'Procyfloc GS50'!B88,'Procyfloc GS50'!C88)&gt;0,"GS50","")</f>
        <v/>
      </c>
      <c r="AB87" t="str">
        <f>IFERROR(IF(ISNUMBER('Procyfloc GS50'!A88),'Procyfloc GS50'!A88,DATEVALUE('Procyfloc GS50'!A88)),"")</f>
        <v/>
      </c>
      <c r="AC87" t="str">
        <f>IF(AA87="","",'Procyfloc GS50'!B88)</f>
        <v/>
      </c>
      <c r="AD87" t="str">
        <f>IF(AA87="","",IFERROR(1*'Procyfloc GS50'!C88,IFERROR(_xludf.NUMBERVALUE('Procyfloc GS50'!C88,".",","),IFERROR(_xludf.NUMBERVALUE('Procyfloc GS50'!C88,",","."),0))))</f>
        <v/>
      </c>
      <c r="AE87" t="str">
        <f>IF(AA87="","",'Procyfloc GS50'!J88)</f>
        <v/>
      </c>
      <c r="AF87">
        <f t="shared" si="16"/>
        <v>0</v>
      </c>
      <c r="AG87" t="str">
        <f t="shared" si="17"/>
        <v/>
      </c>
      <c r="AH87" t="str">
        <f t="shared" si="18"/>
        <v/>
      </c>
      <c r="AI87">
        <f t="shared" si="19"/>
        <v>0</v>
      </c>
      <c r="AJ87">
        <f t="shared" si="20"/>
        <v>0</v>
      </c>
      <c r="AK87">
        <v>0</v>
      </c>
      <c r="AL87" t="str">
        <f>IF(AA87="","",IFERROR(IF(ISNUMBER('Procyfloc GS50'!D88),'Procyfloc GS50'!D88,IF(ISNUMBER(SEARCH("12",'Procyfloc GS50'!D88)),EDATE(AB87,12),IF(ISNUMBER(SEARCH("6",'Procyfloc GS50'!D88)),EDATE(AB87,6),IF(ISNUMBER(SEARCH("3",'Procyfloc GS50'!D88)),EDATE(AB87,3),DATEVALUE('Procyfloc GS50'!D88))))),""))</f>
        <v/>
      </c>
      <c r="AM87" t="str">
        <f t="shared" ca="1" si="21"/>
        <v/>
      </c>
    </row>
    <row r="88" spans="1:39" ht="22.05" customHeight="1" x14ac:dyDescent="0.3">
      <c r="A88" s="40"/>
      <c r="B88" s="40"/>
      <c r="C88" s="40"/>
      <c r="D88" s="41"/>
      <c r="E88" s="62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4"/>
      <c r="AA88" t="str">
        <f>IF(COUNTA('Procyfloc GS50'!A89,'Procyfloc GS50'!B89,'Procyfloc GS50'!C89)&gt;0,"GS50","")</f>
        <v/>
      </c>
      <c r="AB88" t="str">
        <f>IFERROR(IF(ISNUMBER('Procyfloc GS50'!A89),'Procyfloc GS50'!A89,DATEVALUE('Procyfloc GS50'!A89)),"")</f>
        <v/>
      </c>
      <c r="AC88" t="str">
        <f>IF(AA88="","",'Procyfloc GS50'!B89)</f>
        <v/>
      </c>
      <c r="AD88" t="str">
        <f>IF(AA88="","",IFERROR(1*'Procyfloc GS50'!C89,IFERROR(_xludf.NUMBERVALUE('Procyfloc GS50'!C89,".",","),IFERROR(_xludf.NUMBERVALUE('Procyfloc GS50'!C89,",","."),0))))</f>
        <v/>
      </c>
      <c r="AE88" t="str">
        <f>IF(AA88="","",'Procyfloc GS50'!J89)</f>
        <v/>
      </c>
      <c r="AF88">
        <f t="shared" si="16"/>
        <v>0</v>
      </c>
      <c r="AG88" t="str">
        <f t="shared" si="17"/>
        <v/>
      </c>
      <c r="AH88" t="str">
        <f t="shared" si="18"/>
        <v/>
      </c>
      <c r="AI88">
        <f t="shared" si="19"/>
        <v>0</v>
      </c>
      <c r="AJ88">
        <f t="shared" si="20"/>
        <v>0</v>
      </c>
      <c r="AK88">
        <v>0</v>
      </c>
      <c r="AL88" t="str">
        <f>IF(AA88="","",IFERROR(IF(ISNUMBER('Procyfloc GS50'!D89),'Procyfloc GS50'!D89,IF(ISNUMBER(SEARCH("12",'Procyfloc GS50'!D89)),EDATE(AB88,12),IF(ISNUMBER(SEARCH("6",'Procyfloc GS50'!D89)),EDATE(AB88,6),IF(ISNUMBER(SEARCH("3",'Procyfloc GS50'!D89)),EDATE(AB88,3),DATEVALUE('Procyfloc GS50'!D89))))),""))</f>
        <v/>
      </c>
      <c r="AM88" t="str">
        <f t="shared" ca="1" si="21"/>
        <v/>
      </c>
    </row>
    <row r="89" spans="1:39" ht="22.05" customHeight="1" x14ac:dyDescent="0.3">
      <c r="A89" s="40"/>
      <c r="B89" s="40"/>
      <c r="C89" s="40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AA89" t="str">
        <f>IF(COUNTA('Procyfloc GS50'!A90,'Procyfloc GS50'!B90,'Procyfloc GS50'!C90)&gt;0,"GS50","")</f>
        <v/>
      </c>
      <c r="AB89" t="str">
        <f>IFERROR(IF(ISNUMBER('Procyfloc GS50'!A90),'Procyfloc GS50'!A90,DATEVALUE('Procyfloc GS50'!A90)),"")</f>
        <v/>
      </c>
      <c r="AC89" t="str">
        <f>IF(AA89="","",'Procyfloc GS50'!B90)</f>
        <v/>
      </c>
      <c r="AD89" t="str">
        <f>IF(AA89="","",IFERROR(1*'Procyfloc GS50'!C90,IFERROR(_xludf.NUMBERVALUE('Procyfloc GS50'!C90,".",","),IFERROR(_xludf.NUMBERVALUE('Procyfloc GS50'!C90,",","."),0))))</f>
        <v/>
      </c>
      <c r="AE89" t="str">
        <f>IF(AA89="","",'Procyfloc GS50'!J90)</f>
        <v/>
      </c>
      <c r="AF89">
        <f t="shared" si="16"/>
        <v>0</v>
      </c>
      <c r="AG89" t="str">
        <f t="shared" si="17"/>
        <v/>
      </c>
      <c r="AH89" t="str">
        <f t="shared" si="18"/>
        <v/>
      </c>
      <c r="AI89">
        <f t="shared" si="19"/>
        <v>0</v>
      </c>
      <c r="AJ89">
        <f t="shared" si="20"/>
        <v>0</v>
      </c>
      <c r="AK89">
        <v>0</v>
      </c>
      <c r="AL89" t="str">
        <f>IF(AA89="","",IFERROR(IF(ISNUMBER('Procyfloc GS50'!D90),'Procyfloc GS50'!D90,IF(ISNUMBER(SEARCH("12",'Procyfloc GS50'!D90)),EDATE(AB89,12),IF(ISNUMBER(SEARCH("6",'Procyfloc GS50'!D90)),EDATE(AB89,6),IF(ISNUMBER(SEARCH("3",'Procyfloc GS50'!D90)),EDATE(AB89,3),DATEVALUE('Procyfloc GS50'!D90))))),""))</f>
        <v/>
      </c>
      <c r="AM89" t="str">
        <f t="shared" ca="1" si="21"/>
        <v/>
      </c>
    </row>
    <row r="90" spans="1:39" ht="22.05" customHeight="1" x14ac:dyDescent="0.3">
      <c r="A90" s="40"/>
      <c r="B90" s="40"/>
      <c r="C90" s="40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AA90" t="str">
        <f>IF(COUNTA('Procyfloc GS50'!A91,'Procyfloc GS50'!B91,'Procyfloc GS50'!C91)&gt;0,"GS50","")</f>
        <v/>
      </c>
      <c r="AB90" t="str">
        <f>IFERROR(IF(ISNUMBER('Procyfloc GS50'!A91),'Procyfloc GS50'!A91,DATEVALUE('Procyfloc GS50'!A91)),"")</f>
        <v/>
      </c>
      <c r="AC90" t="str">
        <f>IF(AA90="","",'Procyfloc GS50'!B91)</f>
        <v/>
      </c>
      <c r="AD90" t="str">
        <f>IF(AA90="","",IFERROR(1*'Procyfloc GS50'!C91,IFERROR(_xludf.NUMBERVALUE('Procyfloc GS50'!C91,".",","),IFERROR(_xludf.NUMBERVALUE('Procyfloc GS50'!C91,",","."),0))))</f>
        <v/>
      </c>
      <c r="AE90" t="str">
        <f>IF(AA90="","",'Procyfloc GS50'!J91)</f>
        <v/>
      </c>
      <c r="AF90">
        <f t="shared" si="16"/>
        <v>0</v>
      </c>
      <c r="AG90" t="str">
        <f t="shared" si="17"/>
        <v/>
      </c>
      <c r="AH90" t="str">
        <f t="shared" si="18"/>
        <v/>
      </c>
      <c r="AI90">
        <f t="shared" si="19"/>
        <v>0</v>
      </c>
      <c r="AJ90">
        <f t="shared" si="20"/>
        <v>0</v>
      </c>
      <c r="AK90">
        <v>0</v>
      </c>
      <c r="AL90" t="str">
        <f>IF(AA90="","",IFERROR(IF(ISNUMBER('Procyfloc GS50'!D91),'Procyfloc GS50'!D91,IF(ISNUMBER(SEARCH("12",'Procyfloc GS50'!D91)),EDATE(AB90,12),IF(ISNUMBER(SEARCH("6",'Procyfloc GS50'!D91)),EDATE(AB90,6),IF(ISNUMBER(SEARCH("3",'Procyfloc GS50'!D91)),EDATE(AB90,3),DATEVALUE('Procyfloc GS50'!D91))))),""))</f>
        <v/>
      </c>
      <c r="AM90" t="str">
        <f t="shared" ca="1" si="21"/>
        <v/>
      </c>
    </row>
    <row r="91" spans="1:39" ht="22.05" customHeight="1" x14ac:dyDescent="0.3">
      <c r="A91" s="40"/>
      <c r="B91" s="40"/>
      <c r="C91" s="40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AA91" t="str">
        <f>IF(COUNTA('Procyfloc GS50'!A92,'Procyfloc GS50'!B92,'Procyfloc GS50'!C92)&gt;0,"GS50","")</f>
        <v/>
      </c>
      <c r="AB91" t="str">
        <f>IFERROR(IF(ISNUMBER('Procyfloc GS50'!A92),'Procyfloc GS50'!A92,DATEVALUE('Procyfloc GS50'!A92)),"")</f>
        <v/>
      </c>
      <c r="AC91" t="str">
        <f>IF(AA91="","",'Procyfloc GS50'!B92)</f>
        <v/>
      </c>
      <c r="AD91" t="str">
        <f>IF(AA91="","",IFERROR(1*'Procyfloc GS50'!C92,IFERROR(_xludf.NUMBERVALUE('Procyfloc GS50'!C92,".",","),IFERROR(_xludf.NUMBERVALUE('Procyfloc GS50'!C92,",","."),0))))</f>
        <v/>
      </c>
      <c r="AE91" t="str">
        <f>IF(AA91="","",'Procyfloc GS50'!J92)</f>
        <v/>
      </c>
      <c r="AF91">
        <f t="shared" si="16"/>
        <v>0</v>
      </c>
      <c r="AG91" t="str">
        <f t="shared" si="17"/>
        <v/>
      </c>
      <c r="AH91" t="str">
        <f t="shared" si="18"/>
        <v/>
      </c>
      <c r="AI91">
        <f t="shared" si="19"/>
        <v>0</v>
      </c>
      <c r="AJ91">
        <f t="shared" si="20"/>
        <v>0</v>
      </c>
      <c r="AK91">
        <v>0</v>
      </c>
      <c r="AL91" t="str">
        <f>IF(AA91="","",IFERROR(IF(ISNUMBER('Procyfloc GS50'!D92),'Procyfloc GS50'!D92,IF(ISNUMBER(SEARCH("12",'Procyfloc GS50'!D92)),EDATE(AB91,12),IF(ISNUMBER(SEARCH("6",'Procyfloc GS50'!D92)),EDATE(AB91,6),IF(ISNUMBER(SEARCH("3",'Procyfloc GS50'!D92)),EDATE(AB91,3),DATEVALUE('Procyfloc GS50'!D92))))),""))</f>
        <v/>
      </c>
      <c r="AM91" t="str">
        <f t="shared" ca="1" si="21"/>
        <v/>
      </c>
    </row>
    <row r="92" spans="1:39" ht="22.05" customHeight="1" x14ac:dyDescent="0.3">
      <c r="A92" s="40"/>
      <c r="B92" s="40"/>
      <c r="C92" s="40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AA92" t="str">
        <f>IF(COUNTA('Procyfloc GS50'!A93,'Procyfloc GS50'!B93,'Procyfloc GS50'!C93)&gt;0,"GS50","")</f>
        <v/>
      </c>
      <c r="AB92" t="str">
        <f>IFERROR(IF(ISNUMBER('Procyfloc GS50'!A93),'Procyfloc GS50'!A93,DATEVALUE('Procyfloc GS50'!A93)),"")</f>
        <v/>
      </c>
      <c r="AC92" t="str">
        <f>IF(AA92="","",'Procyfloc GS50'!B93)</f>
        <v/>
      </c>
      <c r="AD92" t="str">
        <f>IF(AA92="","",IFERROR(1*'Procyfloc GS50'!C93,IFERROR(_xludf.NUMBERVALUE('Procyfloc GS50'!C93,".",","),IFERROR(_xludf.NUMBERVALUE('Procyfloc GS50'!C93,",","."),0))))</f>
        <v/>
      </c>
      <c r="AE92" t="str">
        <f>IF(AA92="","",'Procyfloc GS50'!J93)</f>
        <v/>
      </c>
      <c r="AF92">
        <f t="shared" si="16"/>
        <v>0</v>
      </c>
      <c r="AG92" t="str">
        <f t="shared" si="17"/>
        <v/>
      </c>
      <c r="AH92" t="str">
        <f t="shared" si="18"/>
        <v/>
      </c>
      <c r="AI92">
        <f t="shared" si="19"/>
        <v>0</v>
      </c>
      <c r="AJ92">
        <f t="shared" si="20"/>
        <v>0</v>
      </c>
      <c r="AK92">
        <v>0</v>
      </c>
      <c r="AL92" t="str">
        <f>IF(AA92="","",IFERROR(IF(ISNUMBER('Procyfloc GS50'!D93),'Procyfloc GS50'!D93,IF(ISNUMBER(SEARCH("12",'Procyfloc GS50'!D93)),EDATE(AB92,12),IF(ISNUMBER(SEARCH("6",'Procyfloc GS50'!D93)),EDATE(AB92,6),IF(ISNUMBER(SEARCH("3",'Procyfloc GS50'!D93)),EDATE(AB92,3),DATEVALUE('Procyfloc GS50'!D93))))),""))</f>
        <v/>
      </c>
      <c r="AM92" t="str">
        <f t="shared" ca="1" si="21"/>
        <v/>
      </c>
    </row>
    <row r="93" spans="1:39" ht="22.05" customHeight="1" x14ac:dyDescent="0.3">
      <c r="A93" s="40"/>
      <c r="B93" s="40"/>
      <c r="C93" s="40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AA93" t="str">
        <f>IF(COUNTA('Procyfloc GS50'!A94,'Procyfloc GS50'!B94,'Procyfloc GS50'!C94)&gt;0,"GS50","")</f>
        <v/>
      </c>
      <c r="AB93" t="str">
        <f>IFERROR(IF(ISNUMBER('Procyfloc GS50'!A94),'Procyfloc GS50'!A94,DATEVALUE('Procyfloc GS50'!A94)),"")</f>
        <v/>
      </c>
      <c r="AC93" t="str">
        <f>IF(AA93="","",'Procyfloc GS50'!B94)</f>
        <v/>
      </c>
      <c r="AD93" t="str">
        <f>IF(AA93="","",IFERROR(1*'Procyfloc GS50'!C94,IFERROR(_xludf.NUMBERVALUE('Procyfloc GS50'!C94,".",","),IFERROR(_xludf.NUMBERVALUE('Procyfloc GS50'!C94,",","."),0))))</f>
        <v/>
      </c>
      <c r="AE93" t="str">
        <f>IF(AA93="","",'Procyfloc GS50'!J94)</f>
        <v/>
      </c>
      <c r="AF93">
        <f t="shared" si="16"/>
        <v>0</v>
      </c>
      <c r="AG93" t="str">
        <f t="shared" si="17"/>
        <v/>
      </c>
      <c r="AH93" t="str">
        <f t="shared" si="18"/>
        <v/>
      </c>
      <c r="AI93">
        <f t="shared" si="19"/>
        <v>0</v>
      </c>
      <c r="AJ93">
        <f t="shared" si="20"/>
        <v>0</v>
      </c>
      <c r="AK93">
        <v>0</v>
      </c>
      <c r="AL93" t="str">
        <f>IF(AA93="","",IFERROR(IF(ISNUMBER('Procyfloc GS50'!D94),'Procyfloc GS50'!D94,IF(ISNUMBER(SEARCH("12",'Procyfloc GS50'!D94)),EDATE(AB93,12),IF(ISNUMBER(SEARCH("6",'Procyfloc GS50'!D94)),EDATE(AB93,6),IF(ISNUMBER(SEARCH("3",'Procyfloc GS50'!D94)),EDATE(AB93,3),DATEVALUE('Procyfloc GS50'!D94))))),""))</f>
        <v/>
      </c>
      <c r="AM93" t="str">
        <f t="shared" ca="1" si="21"/>
        <v/>
      </c>
    </row>
    <row r="94" spans="1:39" ht="22.05" customHeight="1" x14ac:dyDescent="0.3">
      <c r="A94" s="40"/>
      <c r="B94" s="40"/>
      <c r="C94" s="40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AA94" t="str">
        <f>IF(COUNTA('Procyfloc GS50'!A95,'Procyfloc GS50'!B95,'Procyfloc GS50'!C95)&gt;0,"GS50","")</f>
        <v/>
      </c>
      <c r="AB94" t="str">
        <f>IFERROR(IF(ISNUMBER('Procyfloc GS50'!A95),'Procyfloc GS50'!A95,DATEVALUE('Procyfloc GS50'!A95)),"")</f>
        <v/>
      </c>
      <c r="AC94" t="str">
        <f>IF(AA94="","",'Procyfloc GS50'!B95)</f>
        <v/>
      </c>
      <c r="AD94" t="str">
        <f>IF(AA94="","",IFERROR(1*'Procyfloc GS50'!C95,IFERROR(_xludf.NUMBERVALUE('Procyfloc GS50'!C95,".",","),IFERROR(_xludf.NUMBERVALUE('Procyfloc GS50'!C95,",","."),0))))</f>
        <v/>
      </c>
      <c r="AE94" t="str">
        <f>IF(AA94="","",'Procyfloc GS50'!J95)</f>
        <v/>
      </c>
      <c r="AF94">
        <f t="shared" si="16"/>
        <v>0</v>
      </c>
      <c r="AG94" t="str">
        <f t="shared" si="17"/>
        <v/>
      </c>
      <c r="AH94" t="str">
        <f t="shared" si="18"/>
        <v/>
      </c>
      <c r="AI94">
        <f t="shared" si="19"/>
        <v>0</v>
      </c>
      <c r="AJ94">
        <f t="shared" si="20"/>
        <v>0</v>
      </c>
      <c r="AK94">
        <v>0</v>
      </c>
      <c r="AL94" t="str">
        <f>IF(AA94="","",IFERROR(IF(ISNUMBER('Procyfloc GS50'!D95),'Procyfloc GS50'!D95,IF(ISNUMBER(SEARCH("12",'Procyfloc GS50'!D95)),EDATE(AB94,12),IF(ISNUMBER(SEARCH("6",'Procyfloc GS50'!D95)),EDATE(AB94,6),IF(ISNUMBER(SEARCH("3",'Procyfloc GS50'!D95)),EDATE(AB94,3),DATEVALUE('Procyfloc GS50'!D95))))),""))</f>
        <v/>
      </c>
      <c r="AM94" t="str">
        <f t="shared" ca="1" si="21"/>
        <v/>
      </c>
    </row>
    <row r="95" spans="1:39" ht="22.05" customHeight="1" x14ac:dyDescent="0.3">
      <c r="A95" s="40"/>
      <c r="B95" s="40"/>
      <c r="C95" s="40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AA95" t="str">
        <f>IF(COUNTA('Procyfloc GS50'!A96,'Procyfloc GS50'!B96,'Procyfloc GS50'!C96)&gt;0,"GS50","")</f>
        <v/>
      </c>
      <c r="AB95" t="str">
        <f>IFERROR(IF(ISNUMBER('Procyfloc GS50'!A96),'Procyfloc GS50'!A96,DATEVALUE('Procyfloc GS50'!A96)),"")</f>
        <v/>
      </c>
      <c r="AC95" t="str">
        <f>IF(AA95="","",'Procyfloc GS50'!B96)</f>
        <v/>
      </c>
      <c r="AD95" t="str">
        <f>IF(AA95="","",IFERROR(1*'Procyfloc GS50'!C96,IFERROR(_xludf.NUMBERVALUE('Procyfloc GS50'!C96,".",","),IFERROR(_xludf.NUMBERVALUE('Procyfloc GS50'!C96,",","."),0))))</f>
        <v/>
      </c>
      <c r="AE95" t="str">
        <f>IF(AA95="","",'Procyfloc GS50'!J96)</f>
        <v/>
      </c>
      <c r="AF95">
        <f t="shared" si="16"/>
        <v>0</v>
      </c>
      <c r="AG95" t="str">
        <f t="shared" si="17"/>
        <v/>
      </c>
      <c r="AH95" t="str">
        <f t="shared" si="18"/>
        <v/>
      </c>
      <c r="AI95">
        <f t="shared" si="19"/>
        <v>0</v>
      </c>
      <c r="AJ95">
        <f t="shared" si="20"/>
        <v>0</v>
      </c>
      <c r="AK95">
        <v>0</v>
      </c>
      <c r="AL95" t="str">
        <f>IF(AA95="","",IFERROR(IF(ISNUMBER('Procyfloc GS50'!D96),'Procyfloc GS50'!D96,IF(ISNUMBER(SEARCH("12",'Procyfloc GS50'!D96)),EDATE(AB95,12),IF(ISNUMBER(SEARCH("6",'Procyfloc GS50'!D96)),EDATE(AB95,6),IF(ISNUMBER(SEARCH("3",'Procyfloc GS50'!D96)),EDATE(AB95,3),DATEVALUE('Procyfloc GS50'!D96))))),""))</f>
        <v/>
      </c>
      <c r="AM95" t="str">
        <f t="shared" ca="1" si="21"/>
        <v/>
      </c>
    </row>
    <row r="96" spans="1:39" ht="22.05" customHeight="1" x14ac:dyDescent="0.3">
      <c r="A96" s="40"/>
      <c r="B96" s="40"/>
      <c r="C96" s="40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AA96" t="str">
        <f>IF(COUNTA('Procyfloc GS50'!A97,'Procyfloc GS50'!B97,'Procyfloc GS50'!C97)&gt;0,"GS50","")</f>
        <v/>
      </c>
      <c r="AB96" t="str">
        <f>IFERROR(IF(ISNUMBER('Procyfloc GS50'!A97),'Procyfloc GS50'!A97,DATEVALUE('Procyfloc GS50'!A97)),"")</f>
        <v/>
      </c>
      <c r="AC96" t="str">
        <f>IF(AA96="","",'Procyfloc GS50'!B97)</f>
        <v/>
      </c>
      <c r="AD96" t="str">
        <f>IF(AA96="","",IFERROR(1*'Procyfloc GS50'!C97,IFERROR(_xludf.NUMBERVALUE('Procyfloc GS50'!C97,".",","),IFERROR(_xludf.NUMBERVALUE('Procyfloc GS50'!C97,",","."),0))))</f>
        <v/>
      </c>
      <c r="AE96" t="str">
        <f>IF(AA96="","",'Procyfloc GS50'!J97)</f>
        <v/>
      </c>
      <c r="AF96">
        <f t="shared" si="16"/>
        <v>0</v>
      </c>
      <c r="AG96" t="str">
        <f t="shared" si="17"/>
        <v/>
      </c>
      <c r="AH96" t="str">
        <f t="shared" si="18"/>
        <v/>
      </c>
      <c r="AI96">
        <f t="shared" si="19"/>
        <v>0</v>
      </c>
      <c r="AJ96">
        <f t="shared" si="20"/>
        <v>0</v>
      </c>
      <c r="AK96">
        <v>0</v>
      </c>
      <c r="AL96" t="str">
        <f>IF(AA96="","",IFERROR(IF(ISNUMBER('Procyfloc GS50'!D97),'Procyfloc GS50'!D97,IF(ISNUMBER(SEARCH("12",'Procyfloc GS50'!D97)),EDATE(AB96,12),IF(ISNUMBER(SEARCH("6",'Procyfloc GS50'!D97)),EDATE(AB96,6),IF(ISNUMBER(SEARCH("3",'Procyfloc GS50'!D97)),EDATE(AB96,3),DATEVALUE('Procyfloc GS50'!D97))))),""))</f>
        <v/>
      </c>
      <c r="AM96" t="str">
        <f t="shared" ca="1" si="21"/>
        <v/>
      </c>
    </row>
    <row r="97" spans="1:39" ht="22.05" customHeight="1" x14ac:dyDescent="0.3">
      <c r="A97" s="40"/>
      <c r="B97" s="40"/>
      <c r="C97" s="40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AA97" t="str">
        <f>IF(COUNTA('Procyfloc GS50'!A98,'Procyfloc GS50'!B98,'Procyfloc GS50'!C98)&gt;0,"GS50","")</f>
        <v/>
      </c>
      <c r="AB97" t="str">
        <f>IFERROR(IF(ISNUMBER('Procyfloc GS50'!A98),'Procyfloc GS50'!A98,DATEVALUE('Procyfloc GS50'!A98)),"")</f>
        <v/>
      </c>
      <c r="AC97" t="str">
        <f>IF(AA97="","",'Procyfloc GS50'!B98)</f>
        <v/>
      </c>
      <c r="AD97" t="str">
        <f>IF(AA97="","",IFERROR(1*'Procyfloc GS50'!C98,IFERROR(_xludf.NUMBERVALUE('Procyfloc GS50'!C98,".",","),IFERROR(_xludf.NUMBERVALUE('Procyfloc GS50'!C98,",","."),0))))</f>
        <v/>
      </c>
      <c r="AE97" t="str">
        <f>IF(AA97="","",'Procyfloc GS50'!J98)</f>
        <v/>
      </c>
      <c r="AF97">
        <f t="shared" si="16"/>
        <v>0</v>
      </c>
      <c r="AG97" t="str">
        <f t="shared" si="17"/>
        <v/>
      </c>
      <c r="AH97" t="str">
        <f t="shared" si="18"/>
        <v/>
      </c>
      <c r="AI97">
        <f t="shared" si="19"/>
        <v>0</v>
      </c>
      <c r="AJ97">
        <f t="shared" si="20"/>
        <v>0</v>
      </c>
      <c r="AK97">
        <v>0</v>
      </c>
      <c r="AL97" t="str">
        <f>IF(AA97="","",IFERROR(IF(ISNUMBER('Procyfloc GS50'!D98),'Procyfloc GS50'!D98,IF(ISNUMBER(SEARCH("12",'Procyfloc GS50'!D98)),EDATE(AB97,12),IF(ISNUMBER(SEARCH("6",'Procyfloc GS50'!D98)),EDATE(AB97,6),IF(ISNUMBER(SEARCH("3",'Procyfloc GS50'!D98)),EDATE(AB97,3),DATEVALUE('Procyfloc GS50'!D98))))),""))</f>
        <v/>
      </c>
      <c r="AM97" t="str">
        <f t="shared" ca="1" si="21"/>
        <v/>
      </c>
    </row>
    <row r="98" spans="1:39" ht="22.05" customHeight="1" x14ac:dyDescent="0.3">
      <c r="A98" s="40"/>
      <c r="B98" s="40"/>
      <c r="C98" s="40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AA98" t="str">
        <f>IF(COUNTA('Procyfloc GS50'!A99,'Procyfloc GS50'!B99,'Procyfloc GS50'!C99)&gt;0,"GS50","")</f>
        <v/>
      </c>
      <c r="AB98" t="str">
        <f>IFERROR(IF(ISNUMBER('Procyfloc GS50'!A99),'Procyfloc GS50'!A99,DATEVALUE('Procyfloc GS50'!A99)),"")</f>
        <v/>
      </c>
      <c r="AC98" t="str">
        <f>IF(AA98="","",'Procyfloc GS50'!B99)</f>
        <v/>
      </c>
      <c r="AD98" t="str">
        <f>IF(AA98="","",IFERROR(1*'Procyfloc GS50'!C99,IFERROR(_xludf.NUMBERVALUE('Procyfloc GS50'!C99,".",","),IFERROR(_xludf.NUMBERVALUE('Procyfloc GS50'!C99,",","."),0))))</f>
        <v/>
      </c>
      <c r="AE98" t="str">
        <f>IF(AA98="","",'Procyfloc GS50'!J99)</f>
        <v/>
      </c>
      <c r="AF98">
        <f t="shared" si="16"/>
        <v>0</v>
      </c>
      <c r="AG98" t="str">
        <f t="shared" si="17"/>
        <v/>
      </c>
      <c r="AH98" t="str">
        <f t="shared" si="18"/>
        <v/>
      </c>
      <c r="AI98">
        <f t="shared" si="19"/>
        <v>0</v>
      </c>
      <c r="AJ98">
        <f t="shared" si="20"/>
        <v>0</v>
      </c>
      <c r="AK98">
        <v>0</v>
      </c>
      <c r="AL98" t="str">
        <f>IF(AA98="","",IFERROR(IF(ISNUMBER('Procyfloc GS50'!D99),'Procyfloc GS50'!D99,IF(ISNUMBER(SEARCH("12",'Procyfloc GS50'!D99)),EDATE(AB98,12),IF(ISNUMBER(SEARCH("6",'Procyfloc GS50'!D99)),EDATE(AB98,6),IF(ISNUMBER(SEARCH("3",'Procyfloc GS50'!D99)),EDATE(AB98,3),DATEVALUE('Procyfloc GS50'!D99))))),""))</f>
        <v/>
      </c>
      <c r="AM98" t="str">
        <f t="shared" ca="1" si="21"/>
        <v/>
      </c>
    </row>
    <row r="99" spans="1:39" ht="22.05" customHeight="1" x14ac:dyDescent="0.3">
      <c r="A99" s="40"/>
      <c r="B99" s="40"/>
      <c r="C99" s="40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AA99" t="str">
        <f>IF(COUNTA('Procyfloc GS50'!A100,'Procyfloc GS50'!B100,'Procyfloc GS50'!C100)&gt;0,"GS50","")</f>
        <v/>
      </c>
      <c r="AB99" t="str">
        <f>IFERROR(IF(ISNUMBER('Procyfloc GS50'!A100),'Procyfloc GS50'!A100,DATEVALUE('Procyfloc GS50'!A100)),"")</f>
        <v/>
      </c>
      <c r="AC99" t="str">
        <f>IF(AA99="","",'Procyfloc GS50'!B100)</f>
        <v/>
      </c>
      <c r="AD99" t="str">
        <f>IF(AA99="","",IFERROR(1*'Procyfloc GS50'!C100,IFERROR(_xludf.NUMBERVALUE('Procyfloc GS50'!C100,".",","),IFERROR(_xludf.NUMBERVALUE('Procyfloc GS50'!C100,",","."),0))))</f>
        <v/>
      </c>
      <c r="AE99" t="str">
        <f>IF(AA99="","",'Procyfloc GS50'!J100)</f>
        <v/>
      </c>
      <c r="AF99">
        <f t="shared" si="16"/>
        <v>0</v>
      </c>
      <c r="AG99" t="str">
        <f t="shared" si="17"/>
        <v/>
      </c>
      <c r="AH99" t="str">
        <f t="shared" si="18"/>
        <v/>
      </c>
      <c r="AI99">
        <f t="shared" si="19"/>
        <v>0</v>
      </c>
      <c r="AJ99">
        <f t="shared" si="20"/>
        <v>0</v>
      </c>
      <c r="AK99">
        <v>0</v>
      </c>
      <c r="AL99" t="str">
        <f>IF(AA99="","",IFERROR(IF(ISNUMBER('Procyfloc GS50'!D100),'Procyfloc GS50'!D100,IF(ISNUMBER(SEARCH("12",'Procyfloc GS50'!D100)),EDATE(AB99,12),IF(ISNUMBER(SEARCH("6",'Procyfloc GS50'!D100)),EDATE(AB99,6),IF(ISNUMBER(SEARCH("3",'Procyfloc GS50'!D100)),EDATE(AB99,3),DATEVALUE('Procyfloc GS50'!D100))))),""))</f>
        <v/>
      </c>
      <c r="AM99" t="str">
        <f t="shared" ca="1" si="21"/>
        <v/>
      </c>
    </row>
    <row r="100" spans="1:39" ht="22.05" customHeight="1" x14ac:dyDescent="0.3">
      <c r="A100" s="40"/>
      <c r="B100" s="40"/>
      <c r="C100" s="40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AA100" t="str">
        <f>IF(COUNTA('Procyfloc GS50'!A101,'Procyfloc GS50'!B101,'Procyfloc GS50'!C101)&gt;0,"GS50","")</f>
        <v/>
      </c>
      <c r="AB100" t="str">
        <f>IFERROR(IF(ISNUMBER('Procyfloc GS50'!A101),'Procyfloc GS50'!A101,DATEVALUE('Procyfloc GS50'!A101)),"")</f>
        <v/>
      </c>
      <c r="AC100" t="str">
        <f>IF(AA100="","",'Procyfloc GS50'!B101)</f>
        <v/>
      </c>
      <c r="AD100" t="str">
        <f>IF(AA100="","",IFERROR(1*'Procyfloc GS50'!C101,IFERROR(_xludf.NUMBERVALUE('Procyfloc GS50'!C101,".",","),IFERROR(_xludf.NUMBERVALUE('Procyfloc GS50'!C101,",","."),0))))</f>
        <v/>
      </c>
      <c r="AE100" t="str">
        <f>IF(AA100="","",'Procyfloc GS50'!J101)</f>
        <v/>
      </c>
      <c r="AF100">
        <f t="shared" si="16"/>
        <v>0</v>
      </c>
      <c r="AG100" t="str">
        <f t="shared" si="17"/>
        <v/>
      </c>
      <c r="AH100" t="str">
        <f t="shared" si="18"/>
        <v/>
      </c>
      <c r="AI100">
        <f t="shared" si="19"/>
        <v>0</v>
      </c>
      <c r="AJ100">
        <f t="shared" si="20"/>
        <v>0</v>
      </c>
      <c r="AK100">
        <v>0</v>
      </c>
      <c r="AL100" t="str">
        <f>IF(AA100="","",IFERROR(IF(ISNUMBER('Procyfloc GS50'!D101),'Procyfloc GS50'!D101,IF(ISNUMBER(SEARCH("12",'Procyfloc GS50'!D101)),EDATE(AB100,12),IF(ISNUMBER(SEARCH("6",'Procyfloc GS50'!D101)),EDATE(AB100,6),IF(ISNUMBER(SEARCH("3",'Procyfloc GS50'!D101)),EDATE(AB100,3),DATEVALUE('Procyfloc GS50'!D101))))),""))</f>
        <v/>
      </c>
      <c r="AM100" t="str">
        <f t="shared" ca="1" si="21"/>
        <v/>
      </c>
    </row>
    <row r="101" spans="1:39" x14ac:dyDescent="0.3">
      <c r="AA101" t="str">
        <f>IF(COUNTA('Procyfloc GS50'!A102,'Procyfloc GS50'!B102,'Procyfloc GS50'!C102)&gt;0,"GS50","")</f>
        <v/>
      </c>
      <c r="AB101" t="str">
        <f>IFERROR(IF(ISNUMBER('Procyfloc GS50'!A102),'Procyfloc GS50'!A102,DATEVALUE('Procyfloc GS50'!A102)),"")</f>
        <v/>
      </c>
      <c r="AC101" t="str">
        <f>IF(AA101="","",'Procyfloc GS50'!B102)</f>
        <v/>
      </c>
      <c r="AD101" t="str">
        <f>IF(AA101="","",IFERROR(1*'Procyfloc GS50'!C102,IFERROR(_xludf.NUMBERVALUE('Procyfloc GS50'!C102,".",","),IFERROR(_xludf.NUMBERVALUE('Procyfloc GS50'!C102,",","."),0))))</f>
        <v/>
      </c>
      <c r="AE101" t="str">
        <f>IF(AA101="","",'Procyfloc GS50'!J102)</f>
        <v/>
      </c>
      <c r="AF101">
        <f t="shared" si="16"/>
        <v>0</v>
      </c>
      <c r="AG101" t="str">
        <f t="shared" si="17"/>
        <v/>
      </c>
      <c r="AH101" t="str">
        <f t="shared" si="18"/>
        <v/>
      </c>
      <c r="AI101">
        <f t="shared" si="19"/>
        <v>0</v>
      </c>
      <c r="AJ101">
        <f t="shared" si="20"/>
        <v>0</v>
      </c>
      <c r="AK101">
        <v>0</v>
      </c>
      <c r="AL101" t="str">
        <f>IF(AA101="","",IFERROR(IF(ISNUMBER('Procyfloc GS50'!D102),'Procyfloc GS50'!D102,IF(ISNUMBER(SEARCH("12",'Procyfloc GS50'!D102)),EDATE(AB101,12),IF(ISNUMBER(SEARCH("6",'Procyfloc GS50'!D102)),EDATE(AB101,6),IF(ISNUMBER(SEARCH("3",'Procyfloc GS50'!D102)),EDATE(AB101,3),DATEVALUE('Procyfloc GS50'!D102))))),""))</f>
        <v/>
      </c>
      <c r="AM101" t="str">
        <f t="shared" ca="1" si="21"/>
        <v/>
      </c>
    </row>
    <row r="102" spans="1:39" x14ac:dyDescent="0.3">
      <c r="AA102" t="str">
        <f>IF(COUNTA('Procyfloc GS50'!A103,'Procyfloc GS50'!B103,'Procyfloc GS50'!C103)&gt;0,"GS50","")</f>
        <v/>
      </c>
      <c r="AB102" t="str">
        <f>IFERROR(IF(ISNUMBER('Procyfloc GS50'!A103),'Procyfloc GS50'!A103,DATEVALUE('Procyfloc GS50'!A103)),"")</f>
        <v/>
      </c>
      <c r="AC102" t="str">
        <f>IF(AA102="","",'Procyfloc GS50'!B103)</f>
        <v/>
      </c>
      <c r="AD102" t="str">
        <f>IF(AA102="","",IFERROR(1*'Procyfloc GS50'!C103,IFERROR(_xludf.NUMBERVALUE('Procyfloc GS50'!C103,".",","),IFERROR(_xludf.NUMBERVALUE('Procyfloc GS50'!C103,",","."),0))))</f>
        <v/>
      </c>
      <c r="AE102" t="str">
        <f>IF(AA102="","",'Procyfloc GS50'!J103)</f>
        <v/>
      </c>
      <c r="AF102">
        <f t="shared" si="16"/>
        <v>0</v>
      </c>
      <c r="AG102" t="str">
        <f t="shared" si="17"/>
        <v/>
      </c>
      <c r="AH102" t="str">
        <f t="shared" si="18"/>
        <v/>
      </c>
      <c r="AI102">
        <f t="shared" si="19"/>
        <v>0</v>
      </c>
      <c r="AJ102">
        <f t="shared" si="20"/>
        <v>0</v>
      </c>
      <c r="AK102">
        <v>0</v>
      </c>
      <c r="AL102" t="str">
        <f>IF(AA102="","",IFERROR(IF(ISNUMBER('Procyfloc GS50'!D103),'Procyfloc GS50'!D103,IF(ISNUMBER(SEARCH("12",'Procyfloc GS50'!D103)),EDATE(AB102,12),IF(ISNUMBER(SEARCH("6",'Procyfloc GS50'!D103)),EDATE(AB102,6),IF(ISNUMBER(SEARCH("3",'Procyfloc GS50'!D103)),EDATE(AB102,3),DATEVALUE('Procyfloc GS50'!D103))))),""))</f>
        <v/>
      </c>
      <c r="AM102" t="str">
        <f t="shared" ca="1" si="21"/>
        <v/>
      </c>
    </row>
    <row r="103" spans="1:39" x14ac:dyDescent="0.3">
      <c r="AA103" t="str">
        <f>IF(COUNTA('Procyfloc GS50'!A104,'Procyfloc GS50'!B104,'Procyfloc GS50'!C104)&gt;0,"GS50","")</f>
        <v/>
      </c>
      <c r="AB103" t="str">
        <f>IFERROR(IF(ISNUMBER('Procyfloc GS50'!A104),'Procyfloc GS50'!A104,DATEVALUE('Procyfloc GS50'!A104)),"")</f>
        <v/>
      </c>
      <c r="AC103" t="str">
        <f>IF(AA103="","",'Procyfloc GS50'!B104)</f>
        <v/>
      </c>
      <c r="AD103" t="str">
        <f>IF(AA103="","",IFERROR(1*'Procyfloc GS50'!C104,IFERROR(_xludf.NUMBERVALUE('Procyfloc GS50'!C104,".",","),IFERROR(_xludf.NUMBERVALUE('Procyfloc GS50'!C104,",","."),0))))</f>
        <v/>
      </c>
      <c r="AE103" t="str">
        <f>IF(AA103="","",'Procyfloc GS50'!J104)</f>
        <v/>
      </c>
      <c r="AF103">
        <f t="shared" si="16"/>
        <v>0</v>
      </c>
      <c r="AG103" t="str">
        <f t="shared" si="17"/>
        <v/>
      </c>
      <c r="AH103" t="str">
        <f t="shared" si="18"/>
        <v/>
      </c>
      <c r="AI103">
        <f t="shared" si="19"/>
        <v>0</v>
      </c>
      <c r="AJ103">
        <f t="shared" si="20"/>
        <v>0</v>
      </c>
      <c r="AK103">
        <v>0</v>
      </c>
      <c r="AL103" t="str">
        <f>IF(AA103="","",IFERROR(IF(ISNUMBER('Procyfloc GS50'!D104),'Procyfloc GS50'!D104,IF(ISNUMBER(SEARCH("12",'Procyfloc GS50'!D104)),EDATE(AB103,12),IF(ISNUMBER(SEARCH("6",'Procyfloc GS50'!D104)),EDATE(AB103,6),IF(ISNUMBER(SEARCH("3",'Procyfloc GS50'!D104)),EDATE(AB103,3),DATEVALUE('Procyfloc GS50'!D104))))),""))</f>
        <v/>
      </c>
      <c r="AM103" t="str">
        <f t="shared" ca="1" si="21"/>
        <v/>
      </c>
    </row>
    <row r="104" spans="1:39" x14ac:dyDescent="0.3">
      <c r="AA104" t="str">
        <f>IF(COUNTA('Procyfloc GS50'!A105,'Procyfloc GS50'!B105,'Procyfloc GS50'!C105)&gt;0,"GS50","")</f>
        <v/>
      </c>
      <c r="AB104" t="str">
        <f>IFERROR(IF(ISNUMBER('Procyfloc GS50'!A105),'Procyfloc GS50'!A105,DATEVALUE('Procyfloc GS50'!A105)),"")</f>
        <v/>
      </c>
      <c r="AC104" t="str">
        <f>IF(AA104="","",'Procyfloc GS50'!B105)</f>
        <v/>
      </c>
      <c r="AD104" t="str">
        <f>IF(AA104="","",IFERROR(1*'Procyfloc GS50'!C105,IFERROR(_xludf.NUMBERVALUE('Procyfloc GS50'!C105,".",","),IFERROR(_xludf.NUMBERVALUE('Procyfloc GS50'!C105,",","."),0))))</f>
        <v/>
      </c>
      <c r="AE104" t="str">
        <f>IF(AA104="","",'Procyfloc GS50'!J105)</f>
        <v/>
      </c>
      <c r="AF104">
        <f t="shared" si="16"/>
        <v>0</v>
      </c>
      <c r="AG104" t="str">
        <f t="shared" si="17"/>
        <v/>
      </c>
      <c r="AH104" t="str">
        <f t="shared" si="18"/>
        <v/>
      </c>
      <c r="AI104">
        <f t="shared" si="19"/>
        <v>0</v>
      </c>
      <c r="AJ104">
        <f t="shared" si="20"/>
        <v>0</v>
      </c>
      <c r="AK104">
        <v>0</v>
      </c>
      <c r="AL104" t="str">
        <f>IF(AA104="","",IFERROR(IF(ISNUMBER('Procyfloc GS50'!D105),'Procyfloc GS50'!D105,IF(ISNUMBER(SEARCH("12",'Procyfloc GS50'!D105)),EDATE(AB104,12),IF(ISNUMBER(SEARCH("6",'Procyfloc GS50'!D105)),EDATE(AB104,6),IF(ISNUMBER(SEARCH("3",'Procyfloc GS50'!D105)),EDATE(AB104,3),DATEVALUE('Procyfloc GS50'!D105))))),""))</f>
        <v/>
      </c>
      <c r="AM104" t="str">
        <f t="shared" ca="1" si="21"/>
        <v/>
      </c>
    </row>
    <row r="105" spans="1:39" x14ac:dyDescent="0.3">
      <c r="AA105" t="str">
        <f>IF(COUNTA('Procyfloc GS50'!A106,'Procyfloc GS50'!B106,'Procyfloc GS50'!C106)&gt;0,"GS50","")</f>
        <v/>
      </c>
      <c r="AB105" t="str">
        <f>IFERROR(IF(ISNUMBER('Procyfloc GS50'!A106),'Procyfloc GS50'!A106,DATEVALUE('Procyfloc GS50'!A106)),"")</f>
        <v/>
      </c>
      <c r="AC105" t="str">
        <f>IF(AA105="","",'Procyfloc GS50'!B106)</f>
        <v/>
      </c>
      <c r="AD105" t="str">
        <f>IF(AA105="","",IFERROR(1*'Procyfloc GS50'!C106,IFERROR(_xludf.NUMBERVALUE('Procyfloc GS50'!C106,".",","),IFERROR(_xludf.NUMBERVALUE('Procyfloc GS50'!C106,",","."),0))))</f>
        <v/>
      </c>
      <c r="AE105" t="str">
        <f>IF(AA105="","",'Procyfloc GS50'!J106)</f>
        <v/>
      </c>
      <c r="AF105">
        <f t="shared" si="16"/>
        <v>0</v>
      </c>
      <c r="AG105" t="str">
        <f t="shared" si="17"/>
        <v/>
      </c>
      <c r="AH105" t="str">
        <f t="shared" si="18"/>
        <v/>
      </c>
      <c r="AI105">
        <f t="shared" si="19"/>
        <v>0</v>
      </c>
      <c r="AJ105">
        <f t="shared" si="20"/>
        <v>0</v>
      </c>
      <c r="AK105">
        <v>0</v>
      </c>
      <c r="AL105" t="str">
        <f>IF(AA105="","",IFERROR(IF(ISNUMBER('Procyfloc GS50'!D106),'Procyfloc GS50'!D106,IF(ISNUMBER(SEARCH("12",'Procyfloc GS50'!D106)),EDATE(AB105,12),IF(ISNUMBER(SEARCH("6",'Procyfloc GS50'!D106)),EDATE(AB105,6),IF(ISNUMBER(SEARCH("3",'Procyfloc GS50'!D106)),EDATE(AB105,3),DATEVALUE('Procyfloc GS50'!D106))))),""))</f>
        <v/>
      </c>
      <c r="AM105" t="str">
        <f t="shared" ca="1" si="21"/>
        <v/>
      </c>
    </row>
    <row r="106" spans="1:39" x14ac:dyDescent="0.3">
      <c r="AA106" t="str">
        <f>IF(COUNTA('Procyfloc GS50'!A107,'Procyfloc GS50'!B107,'Procyfloc GS50'!C107)&gt;0,"GS50","")</f>
        <v/>
      </c>
      <c r="AB106" t="str">
        <f>IFERROR(IF(ISNUMBER('Procyfloc GS50'!A107),'Procyfloc GS50'!A107,DATEVALUE('Procyfloc GS50'!A107)),"")</f>
        <v/>
      </c>
      <c r="AC106" t="str">
        <f>IF(AA106="","",'Procyfloc GS50'!B107)</f>
        <v/>
      </c>
      <c r="AD106" t="str">
        <f>IF(AA106="","",IFERROR(1*'Procyfloc GS50'!C107,IFERROR(_xludf.NUMBERVALUE('Procyfloc GS50'!C107,".",","),IFERROR(_xludf.NUMBERVALUE('Procyfloc GS50'!C107,",","."),0))))</f>
        <v/>
      </c>
      <c r="AE106" t="str">
        <f>IF(AA106="","",'Procyfloc GS50'!J107)</f>
        <v/>
      </c>
      <c r="AF106">
        <f t="shared" si="16"/>
        <v>0</v>
      </c>
      <c r="AG106" t="str">
        <f t="shared" si="17"/>
        <v/>
      </c>
      <c r="AH106" t="str">
        <f t="shared" si="18"/>
        <v/>
      </c>
      <c r="AI106">
        <f t="shared" si="19"/>
        <v>0</v>
      </c>
      <c r="AJ106">
        <f t="shared" si="20"/>
        <v>0</v>
      </c>
      <c r="AK106">
        <v>0</v>
      </c>
      <c r="AL106" t="str">
        <f>IF(AA106="","",IFERROR(IF(ISNUMBER('Procyfloc GS50'!D107),'Procyfloc GS50'!D107,IF(ISNUMBER(SEARCH("12",'Procyfloc GS50'!D107)),EDATE(AB106,12),IF(ISNUMBER(SEARCH("6",'Procyfloc GS50'!D107)),EDATE(AB106,6),IF(ISNUMBER(SEARCH("3",'Procyfloc GS50'!D107)),EDATE(AB106,3),DATEVALUE('Procyfloc GS50'!D107))))),""))</f>
        <v/>
      </c>
      <c r="AM106" t="str">
        <f t="shared" ca="1" si="21"/>
        <v/>
      </c>
    </row>
    <row r="107" spans="1:39" x14ac:dyDescent="0.3">
      <c r="AA107" t="str">
        <f>IF(COUNTA('Procyfloc GS50'!A108,'Procyfloc GS50'!B108,'Procyfloc GS50'!C108)&gt;0,"GS50","")</f>
        <v/>
      </c>
      <c r="AB107" t="str">
        <f>IFERROR(IF(ISNUMBER('Procyfloc GS50'!A108),'Procyfloc GS50'!A108,DATEVALUE('Procyfloc GS50'!A108)),"")</f>
        <v/>
      </c>
      <c r="AC107" t="str">
        <f>IF(AA107="","",'Procyfloc GS50'!B108)</f>
        <v/>
      </c>
      <c r="AD107" t="str">
        <f>IF(AA107="","",IFERROR(1*'Procyfloc GS50'!C108,IFERROR(_xludf.NUMBERVALUE('Procyfloc GS50'!C108,".",","),IFERROR(_xludf.NUMBERVALUE('Procyfloc GS50'!C108,",","."),0))))</f>
        <v/>
      </c>
      <c r="AE107" t="str">
        <f>IF(AA107="","",'Procyfloc GS50'!J108)</f>
        <v/>
      </c>
      <c r="AF107">
        <f t="shared" si="16"/>
        <v>0</v>
      </c>
      <c r="AG107" t="str">
        <f t="shared" si="17"/>
        <v/>
      </c>
      <c r="AH107" t="str">
        <f t="shared" si="18"/>
        <v/>
      </c>
      <c r="AI107">
        <f t="shared" si="19"/>
        <v>0</v>
      </c>
      <c r="AJ107">
        <f t="shared" si="20"/>
        <v>0</v>
      </c>
      <c r="AK107">
        <v>0</v>
      </c>
      <c r="AL107" t="str">
        <f>IF(AA107="","",IFERROR(IF(ISNUMBER('Procyfloc GS50'!D108),'Procyfloc GS50'!D108,IF(ISNUMBER(SEARCH("12",'Procyfloc GS50'!D108)),EDATE(AB107,12),IF(ISNUMBER(SEARCH("6",'Procyfloc GS50'!D108)),EDATE(AB107,6),IF(ISNUMBER(SEARCH("3",'Procyfloc GS50'!D108)),EDATE(AB107,3),DATEVALUE('Procyfloc GS50'!D108))))),""))</f>
        <v/>
      </c>
      <c r="AM107" t="str">
        <f t="shared" ca="1" si="21"/>
        <v/>
      </c>
    </row>
    <row r="108" spans="1:39" x14ac:dyDescent="0.3">
      <c r="AA108" t="str">
        <f>IF(COUNTA('Procyfloc GS50'!A109,'Procyfloc GS50'!B109,'Procyfloc GS50'!C109)&gt;0,"GS50","")</f>
        <v/>
      </c>
      <c r="AB108" t="str">
        <f>IFERROR(IF(ISNUMBER('Procyfloc GS50'!A109),'Procyfloc GS50'!A109,DATEVALUE('Procyfloc GS50'!A109)),"")</f>
        <v/>
      </c>
      <c r="AC108" t="str">
        <f>IF(AA108="","",'Procyfloc GS50'!B109)</f>
        <v/>
      </c>
      <c r="AD108" t="str">
        <f>IF(AA108="","",IFERROR(1*'Procyfloc GS50'!C109,IFERROR(_xludf.NUMBERVALUE('Procyfloc GS50'!C109,".",","),IFERROR(_xludf.NUMBERVALUE('Procyfloc GS50'!C109,",","."),0))))</f>
        <v/>
      </c>
      <c r="AE108" t="str">
        <f>IF(AA108="","",'Procyfloc GS50'!J109)</f>
        <v/>
      </c>
      <c r="AF108">
        <f t="shared" si="16"/>
        <v>0</v>
      </c>
      <c r="AG108" t="str">
        <f t="shared" si="17"/>
        <v/>
      </c>
      <c r="AH108" t="str">
        <f t="shared" si="18"/>
        <v/>
      </c>
      <c r="AI108">
        <f t="shared" si="19"/>
        <v>0</v>
      </c>
      <c r="AJ108">
        <f t="shared" si="20"/>
        <v>0</v>
      </c>
      <c r="AK108">
        <v>0</v>
      </c>
      <c r="AL108" t="str">
        <f>IF(AA108="","",IFERROR(IF(ISNUMBER('Procyfloc GS50'!D109),'Procyfloc GS50'!D109,IF(ISNUMBER(SEARCH("12",'Procyfloc GS50'!D109)),EDATE(AB108,12),IF(ISNUMBER(SEARCH("6",'Procyfloc GS50'!D109)),EDATE(AB108,6),IF(ISNUMBER(SEARCH("3",'Procyfloc GS50'!D109)),EDATE(AB108,3),DATEVALUE('Procyfloc GS50'!D109))))),""))</f>
        <v/>
      </c>
      <c r="AM108" t="str">
        <f t="shared" ca="1" si="21"/>
        <v/>
      </c>
    </row>
    <row r="109" spans="1:39" x14ac:dyDescent="0.3">
      <c r="AA109" t="str">
        <f>IF(COUNTA('Procyfloc GS50'!A110,'Procyfloc GS50'!B110,'Procyfloc GS50'!C110)&gt;0,"GS50","")</f>
        <v/>
      </c>
      <c r="AB109" t="str">
        <f>IFERROR(IF(ISNUMBER('Procyfloc GS50'!A110),'Procyfloc GS50'!A110,DATEVALUE('Procyfloc GS50'!A110)),"")</f>
        <v/>
      </c>
      <c r="AC109" t="str">
        <f>IF(AA109="","",'Procyfloc GS50'!B110)</f>
        <v/>
      </c>
      <c r="AD109" t="str">
        <f>IF(AA109="","",IFERROR(1*'Procyfloc GS50'!C110,IFERROR(_xludf.NUMBERVALUE('Procyfloc GS50'!C110,".",","),IFERROR(_xludf.NUMBERVALUE('Procyfloc GS50'!C110,",","."),0))))</f>
        <v/>
      </c>
      <c r="AE109" t="str">
        <f>IF(AA109="","",'Procyfloc GS50'!J110)</f>
        <v/>
      </c>
      <c r="AF109">
        <f t="shared" si="16"/>
        <v>0</v>
      </c>
      <c r="AG109" t="str">
        <f t="shared" si="17"/>
        <v/>
      </c>
      <c r="AH109" t="str">
        <f t="shared" si="18"/>
        <v/>
      </c>
      <c r="AI109">
        <f t="shared" si="19"/>
        <v>0</v>
      </c>
      <c r="AJ109">
        <f t="shared" si="20"/>
        <v>0</v>
      </c>
      <c r="AK109">
        <v>0</v>
      </c>
      <c r="AL109" t="str">
        <f>IF(AA109="","",IFERROR(IF(ISNUMBER('Procyfloc GS50'!D110),'Procyfloc GS50'!D110,IF(ISNUMBER(SEARCH("12",'Procyfloc GS50'!D110)),EDATE(AB109,12),IF(ISNUMBER(SEARCH("6",'Procyfloc GS50'!D110)),EDATE(AB109,6),IF(ISNUMBER(SEARCH("3",'Procyfloc GS50'!D110)),EDATE(AB109,3),DATEVALUE('Procyfloc GS50'!D110))))),""))</f>
        <v/>
      </c>
      <c r="AM109" t="str">
        <f t="shared" ca="1" si="21"/>
        <v/>
      </c>
    </row>
    <row r="110" spans="1:39" x14ac:dyDescent="0.3">
      <c r="AA110" t="str">
        <f>IF(COUNTA('Procyfloc GS50'!A111,'Procyfloc GS50'!B111,'Procyfloc GS50'!C111)&gt;0,"GS50","")</f>
        <v/>
      </c>
      <c r="AB110" t="str">
        <f>IFERROR(IF(ISNUMBER('Procyfloc GS50'!A111),'Procyfloc GS50'!A111,DATEVALUE('Procyfloc GS50'!A111)),"")</f>
        <v/>
      </c>
      <c r="AC110" t="str">
        <f>IF(AA110="","",'Procyfloc GS50'!B111)</f>
        <v/>
      </c>
      <c r="AD110" t="str">
        <f>IF(AA110="","",IFERROR(1*'Procyfloc GS50'!C111,IFERROR(_xludf.NUMBERVALUE('Procyfloc GS50'!C111,".",","),IFERROR(_xludf.NUMBERVALUE('Procyfloc GS50'!C111,",","."),0))))</f>
        <v/>
      </c>
      <c r="AE110" t="str">
        <f>IF(AA110="","",'Procyfloc GS50'!J111)</f>
        <v/>
      </c>
      <c r="AF110">
        <f t="shared" si="16"/>
        <v>0</v>
      </c>
      <c r="AG110" t="str">
        <f t="shared" si="17"/>
        <v/>
      </c>
      <c r="AH110" t="str">
        <f t="shared" si="18"/>
        <v/>
      </c>
      <c r="AI110">
        <f t="shared" si="19"/>
        <v>0</v>
      </c>
      <c r="AJ110">
        <f t="shared" si="20"/>
        <v>0</v>
      </c>
      <c r="AK110">
        <v>0</v>
      </c>
      <c r="AL110" t="str">
        <f>IF(AA110="","",IFERROR(IF(ISNUMBER('Procyfloc GS50'!D111),'Procyfloc GS50'!D111,IF(ISNUMBER(SEARCH("12",'Procyfloc GS50'!D111)),EDATE(AB110,12),IF(ISNUMBER(SEARCH("6",'Procyfloc GS50'!D111)),EDATE(AB110,6),IF(ISNUMBER(SEARCH("3",'Procyfloc GS50'!D111)),EDATE(AB110,3),DATEVALUE('Procyfloc GS50'!D111))))),""))</f>
        <v/>
      </c>
      <c r="AM110" t="str">
        <f t="shared" ca="1" si="21"/>
        <v/>
      </c>
    </row>
    <row r="111" spans="1:39" x14ac:dyDescent="0.3">
      <c r="AA111" t="str">
        <f>IF(COUNTA('Procyfloc GS50'!A112,'Procyfloc GS50'!B112,'Procyfloc GS50'!C112)&gt;0,"GS50","")</f>
        <v/>
      </c>
      <c r="AB111" t="str">
        <f>IFERROR(IF(ISNUMBER('Procyfloc GS50'!A112),'Procyfloc GS50'!A112,DATEVALUE('Procyfloc GS50'!A112)),"")</f>
        <v/>
      </c>
      <c r="AC111" t="str">
        <f>IF(AA111="","",'Procyfloc GS50'!B112)</f>
        <v/>
      </c>
      <c r="AD111" t="str">
        <f>IF(AA111="","",IFERROR(1*'Procyfloc GS50'!C112,IFERROR(_xludf.NUMBERVALUE('Procyfloc GS50'!C112,".",","),IFERROR(_xludf.NUMBERVALUE('Procyfloc GS50'!C112,",","."),0))))</f>
        <v/>
      </c>
      <c r="AE111" t="str">
        <f>IF(AA111="","",'Procyfloc GS50'!J112)</f>
        <v/>
      </c>
      <c r="AF111">
        <f t="shared" si="16"/>
        <v>0</v>
      </c>
      <c r="AG111" t="str">
        <f t="shared" si="17"/>
        <v/>
      </c>
      <c r="AH111" t="str">
        <f t="shared" si="18"/>
        <v/>
      </c>
      <c r="AI111">
        <f t="shared" si="19"/>
        <v>0</v>
      </c>
      <c r="AJ111">
        <f t="shared" si="20"/>
        <v>0</v>
      </c>
      <c r="AK111">
        <v>0</v>
      </c>
      <c r="AL111" t="str">
        <f>IF(AA111="","",IFERROR(IF(ISNUMBER('Procyfloc GS50'!D112),'Procyfloc GS50'!D112,IF(ISNUMBER(SEARCH("12",'Procyfloc GS50'!D112)),EDATE(AB111,12),IF(ISNUMBER(SEARCH("6",'Procyfloc GS50'!D112)),EDATE(AB111,6),IF(ISNUMBER(SEARCH("3",'Procyfloc GS50'!D112)),EDATE(AB111,3),DATEVALUE('Procyfloc GS50'!D112))))),""))</f>
        <v/>
      </c>
      <c r="AM111" t="str">
        <f t="shared" ca="1" si="21"/>
        <v/>
      </c>
    </row>
    <row r="112" spans="1:39" x14ac:dyDescent="0.3">
      <c r="AA112" t="str">
        <f>IF(COUNTA('Procyfloc GS50'!A113,'Procyfloc GS50'!B113,'Procyfloc GS50'!C113)&gt;0,"GS50","")</f>
        <v/>
      </c>
      <c r="AB112" t="str">
        <f>IFERROR(IF(ISNUMBER('Procyfloc GS50'!A113),'Procyfloc GS50'!A113,DATEVALUE('Procyfloc GS50'!A113)),"")</f>
        <v/>
      </c>
      <c r="AC112" t="str">
        <f>IF(AA112="","",'Procyfloc GS50'!B113)</f>
        <v/>
      </c>
      <c r="AD112" t="str">
        <f>IF(AA112="","",IFERROR(1*'Procyfloc GS50'!C113,IFERROR(_xludf.NUMBERVALUE('Procyfloc GS50'!C113,".",","),IFERROR(_xludf.NUMBERVALUE('Procyfloc GS50'!C113,",","."),0))))</f>
        <v/>
      </c>
      <c r="AE112" t="str">
        <f>IF(AA112="","",'Procyfloc GS50'!J113)</f>
        <v/>
      </c>
      <c r="AF112">
        <f t="shared" si="16"/>
        <v>0</v>
      </c>
      <c r="AG112" t="str">
        <f t="shared" si="17"/>
        <v/>
      </c>
      <c r="AH112" t="str">
        <f t="shared" si="18"/>
        <v/>
      </c>
      <c r="AI112">
        <f t="shared" si="19"/>
        <v>0</v>
      </c>
      <c r="AJ112">
        <f t="shared" si="20"/>
        <v>0</v>
      </c>
      <c r="AK112">
        <v>0</v>
      </c>
      <c r="AL112" t="str">
        <f>IF(AA112="","",IFERROR(IF(ISNUMBER('Procyfloc GS50'!D113),'Procyfloc GS50'!D113,IF(ISNUMBER(SEARCH("12",'Procyfloc GS50'!D113)),EDATE(AB112,12),IF(ISNUMBER(SEARCH("6",'Procyfloc GS50'!D113)),EDATE(AB112,6),IF(ISNUMBER(SEARCH("3",'Procyfloc GS50'!D113)),EDATE(AB112,3),DATEVALUE('Procyfloc GS50'!D113))))),""))</f>
        <v/>
      </c>
      <c r="AM112" t="str">
        <f t="shared" ca="1" si="21"/>
        <v/>
      </c>
    </row>
    <row r="113" spans="27:39" x14ac:dyDescent="0.3">
      <c r="AA113" t="str">
        <f>IF(COUNTA('Procyfloc GS50'!A114,'Procyfloc GS50'!B114,'Procyfloc GS50'!C114)&gt;0,"GS50","")</f>
        <v/>
      </c>
      <c r="AB113" t="str">
        <f>IFERROR(IF(ISNUMBER('Procyfloc GS50'!A114),'Procyfloc GS50'!A114,DATEVALUE('Procyfloc GS50'!A114)),"")</f>
        <v/>
      </c>
      <c r="AC113" t="str">
        <f>IF(AA113="","",'Procyfloc GS50'!B114)</f>
        <v/>
      </c>
      <c r="AD113" t="str">
        <f>IF(AA113="","",IFERROR(1*'Procyfloc GS50'!C114,IFERROR(_xludf.NUMBERVALUE('Procyfloc GS50'!C114,".",","),IFERROR(_xludf.NUMBERVALUE('Procyfloc GS50'!C114,",","."),0))))</f>
        <v/>
      </c>
      <c r="AE113" t="str">
        <f>IF(AA113="","",'Procyfloc GS50'!J114)</f>
        <v/>
      </c>
      <c r="AF113">
        <f t="shared" si="16"/>
        <v>0</v>
      </c>
      <c r="AG113" t="str">
        <f t="shared" si="17"/>
        <v/>
      </c>
      <c r="AH113" t="str">
        <f t="shared" si="18"/>
        <v/>
      </c>
      <c r="AI113">
        <f t="shared" si="19"/>
        <v>0</v>
      </c>
      <c r="AJ113">
        <f t="shared" si="20"/>
        <v>0</v>
      </c>
      <c r="AK113">
        <v>0</v>
      </c>
      <c r="AL113" t="str">
        <f>IF(AA113="","",IFERROR(IF(ISNUMBER('Procyfloc GS50'!D114),'Procyfloc GS50'!D114,IF(ISNUMBER(SEARCH("12",'Procyfloc GS50'!D114)),EDATE(AB113,12),IF(ISNUMBER(SEARCH("6",'Procyfloc GS50'!D114)),EDATE(AB113,6),IF(ISNUMBER(SEARCH("3",'Procyfloc GS50'!D114)),EDATE(AB113,3),DATEVALUE('Procyfloc GS50'!D114))))),""))</f>
        <v/>
      </c>
      <c r="AM113" t="str">
        <f t="shared" ca="1" si="21"/>
        <v/>
      </c>
    </row>
    <row r="114" spans="27:39" x14ac:dyDescent="0.3">
      <c r="AA114" t="str">
        <f>IF(COUNTA('Procyfloc GS50'!A115,'Procyfloc GS50'!B115,'Procyfloc GS50'!C115)&gt;0,"GS50","")</f>
        <v/>
      </c>
      <c r="AB114" t="str">
        <f>IFERROR(IF(ISNUMBER('Procyfloc GS50'!A115),'Procyfloc GS50'!A115,DATEVALUE('Procyfloc GS50'!A115)),"")</f>
        <v/>
      </c>
      <c r="AC114" t="str">
        <f>IF(AA114="","",'Procyfloc GS50'!B115)</f>
        <v/>
      </c>
      <c r="AD114" t="str">
        <f>IF(AA114="","",IFERROR(1*'Procyfloc GS50'!C115,IFERROR(_xludf.NUMBERVALUE('Procyfloc GS50'!C115,".",","),IFERROR(_xludf.NUMBERVALUE('Procyfloc GS50'!C115,",","."),0))))</f>
        <v/>
      </c>
      <c r="AE114" t="str">
        <f>IF(AA114="","",'Procyfloc GS50'!J115)</f>
        <v/>
      </c>
      <c r="AF114">
        <f t="shared" si="16"/>
        <v>0</v>
      </c>
      <c r="AG114" t="str">
        <f t="shared" si="17"/>
        <v/>
      </c>
      <c r="AH114" t="str">
        <f t="shared" si="18"/>
        <v/>
      </c>
      <c r="AI114">
        <f t="shared" si="19"/>
        <v>0</v>
      </c>
      <c r="AJ114">
        <f t="shared" si="20"/>
        <v>0</v>
      </c>
      <c r="AK114">
        <v>0</v>
      </c>
      <c r="AL114" t="str">
        <f>IF(AA114="","",IFERROR(IF(ISNUMBER('Procyfloc GS50'!D115),'Procyfloc GS50'!D115,IF(ISNUMBER(SEARCH("12",'Procyfloc GS50'!D115)),EDATE(AB114,12),IF(ISNUMBER(SEARCH("6",'Procyfloc GS50'!D115)),EDATE(AB114,6),IF(ISNUMBER(SEARCH("3",'Procyfloc GS50'!D115)),EDATE(AB114,3),DATEVALUE('Procyfloc GS50'!D115))))),""))</f>
        <v/>
      </c>
      <c r="AM114" t="str">
        <f t="shared" ca="1" si="21"/>
        <v/>
      </c>
    </row>
    <row r="115" spans="27:39" x14ac:dyDescent="0.3">
      <c r="AA115" t="str">
        <f>IF(COUNTA('Procyfloc GS50'!A116,'Procyfloc GS50'!B116,'Procyfloc GS50'!C116)&gt;0,"GS50","")</f>
        <v/>
      </c>
      <c r="AB115" t="str">
        <f>IFERROR(IF(ISNUMBER('Procyfloc GS50'!A116),'Procyfloc GS50'!A116,DATEVALUE('Procyfloc GS50'!A116)),"")</f>
        <v/>
      </c>
      <c r="AC115" t="str">
        <f>IF(AA115="","",'Procyfloc GS50'!B116)</f>
        <v/>
      </c>
      <c r="AD115" t="str">
        <f>IF(AA115="","",IFERROR(1*'Procyfloc GS50'!C116,IFERROR(_xludf.NUMBERVALUE('Procyfloc GS50'!C116,".",","),IFERROR(_xludf.NUMBERVALUE('Procyfloc GS50'!C116,",","."),0))))</f>
        <v/>
      </c>
      <c r="AE115" t="str">
        <f>IF(AA115="","",'Procyfloc GS50'!J116)</f>
        <v/>
      </c>
      <c r="AF115">
        <f t="shared" si="16"/>
        <v>0</v>
      </c>
      <c r="AG115" t="str">
        <f t="shared" si="17"/>
        <v/>
      </c>
      <c r="AH115" t="str">
        <f t="shared" si="18"/>
        <v/>
      </c>
      <c r="AI115">
        <f t="shared" si="19"/>
        <v>0</v>
      </c>
      <c r="AJ115">
        <f t="shared" si="20"/>
        <v>0</v>
      </c>
      <c r="AK115">
        <v>0</v>
      </c>
      <c r="AL115" t="str">
        <f>IF(AA115="","",IFERROR(IF(ISNUMBER('Procyfloc GS50'!D116),'Procyfloc GS50'!D116,IF(ISNUMBER(SEARCH("12",'Procyfloc GS50'!D116)),EDATE(AB115,12),IF(ISNUMBER(SEARCH("6",'Procyfloc GS50'!D116)),EDATE(AB115,6),IF(ISNUMBER(SEARCH("3",'Procyfloc GS50'!D116)),EDATE(AB115,3),DATEVALUE('Procyfloc GS50'!D116))))),""))</f>
        <v/>
      </c>
      <c r="AM115" t="str">
        <f t="shared" ca="1" si="21"/>
        <v/>
      </c>
    </row>
    <row r="116" spans="27:39" x14ac:dyDescent="0.3">
      <c r="AA116" t="str">
        <f>IF(COUNTA('Procyfloc GS50'!A117,'Procyfloc GS50'!B117,'Procyfloc GS50'!C117)&gt;0,"GS50","")</f>
        <v/>
      </c>
      <c r="AB116" t="str">
        <f>IFERROR(IF(ISNUMBER('Procyfloc GS50'!A117),'Procyfloc GS50'!A117,DATEVALUE('Procyfloc GS50'!A117)),"")</f>
        <v/>
      </c>
      <c r="AC116" t="str">
        <f>IF(AA116="","",'Procyfloc GS50'!B117)</f>
        <v/>
      </c>
      <c r="AD116" t="str">
        <f>IF(AA116="","",IFERROR(1*'Procyfloc GS50'!C117,IFERROR(_xludf.NUMBERVALUE('Procyfloc GS50'!C117,".",","),IFERROR(_xludf.NUMBERVALUE('Procyfloc GS50'!C117,",","."),0))))</f>
        <v/>
      </c>
      <c r="AE116" t="str">
        <f>IF(AA116="","",'Procyfloc GS50'!J117)</f>
        <v/>
      </c>
      <c r="AF116">
        <f t="shared" si="16"/>
        <v>0</v>
      </c>
      <c r="AG116" t="str">
        <f t="shared" si="17"/>
        <v/>
      </c>
      <c r="AH116" t="str">
        <f t="shared" si="18"/>
        <v/>
      </c>
      <c r="AI116">
        <f t="shared" si="19"/>
        <v>0</v>
      </c>
      <c r="AJ116">
        <f t="shared" si="20"/>
        <v>0</v>
      </c>
      <c r="AK116">
        <v>0</v>
      </c>
      <c r="AL116" t="str">
        <f>IF(AA116="","",IFERROR(IF(ISNUMBER('Procyfloc GS50'!D117),'Procyfloc GS50'!D117,IF(ISNUMBER(SEARCH("12",'Procyfloc GS50'!D117)),EDATE(AB116,12),IF(ISNUMBER(SEARCH("6",'Procyfloc GS50'!D117)),EDATE(AB116,6),IF(ISNUMBER(SEARCH("3",'Procyfloc GS50'!D117)),EDATE(AB116,3),DATEVALUE('Procyfloc GS50'!D117))))),""))</f>
        <v/>
      </c>
      <c r="AM116" t="str">
        <f t="shared" ca="1" si="21"/>
        <v/>
      </c>
    </row>
    <row r="117" spans="27:39" x14ac:dyDescent="0.3">
      <c r="AA117" t="str">
        <f>IF(COUNTA('Procyfloc GS50'!A118,'Procyfloc GS50'!B118,'Procyfloc GS50'!C118)&gt;0,"GS50","")</f>
        <v/>
      </c>
      <c r="AB117" t="str">
        <f>IFERROR(IF(ISNUMBER('Procyfloc GS50'!A118),'Procyfloc GS50'!A118,DATEVALUE('Procyfloc GS50'!A118)),"")</f>
        <v/>
      </c>
      <c r="AC117" t="str">
        <f>IF(AA117="","",'Procyfloc GS50'!B118)</f>
        <v/>
      </c>
      <c r="AD117" t="str">
        <f>IF(AA117="","",IFERROR(1*'Procyfloc GS50'!C118,IFERROR(_xludf.NUMBERVALUE('Procyfloc GS50'!C118,".",","),IFERROR(_xludf.NUMBERVALUE('Procyfloc GS50'!C118,",","."),0))))</f>
        <v/>
      </c>
      <c r="AE117" t="str">
        <f>IF(AA117="","",'Procyfloc GS50'!J118)</f>
        <v/>
      </c>
      <c r="AF117">
        <f t="shared" si="16"/>
        <v>0</v>
      </c>
      <c r="AG117" t="str">
        <f t="shared" si="17"/>
        <v/>
      </c>
      <c r="AH117" t="str">
        <f t="shared" si="18"/>
        <v/>
      </c>
      <c r="AI117">
        <f t="shared" si="19"/>
        <v>0</v>
      </c>
      <c r="AJ117">
        <f t="shared" si="20"/>
        <v>0</v>
      </c>
      <c r="AK117">
        <v>0</v>
      </c>
      <c r="AL117" t="str">
        <f>IF(AA117="","",IFERROR(IF(ISNUMBER('Procyfloc GS50'!D118),'Procyfloc GS50'!D118,IF(ISNUMBER(SEARCH("12",'Procyfloc GS50'!D118)),EDATE(AB117,12),IF(ISNUMBER(SEARCH("6",'Procyfloc GS50'!D118)),EDATE(AB117,6),IF(ISNUMBER(SEARCH("3",'Procyfloc GS50'!D118)),EDATE(AB117,3),DATEVALUE('Procyfloc GS50'!D118))))),""))</f>
        <v/>
      </c>
      <c r="AM117" t="str">
        <f t="shared" ca="1" si="21"/>
        <v/>
      </c>
    </row>
    <row r="118" spans="27:39" x14ac:dyDescent="0.3">
      <c r="AA118" t="str">
        <f>IF(COUNTA('Procyfloc GS50'!A119,'Procyfloc GS50'!B119,'Procyfloc GS50'!C119)&gt;0,"GS50","")</f>
        <v/>
      </c>
      <c r="AB118" t="str">
        <f>IFERROR(IF(ISNUMBER('Procyfloc GS50'!A119),'Procyfloc GS50'!A119,DATEVALUE('Procyfloc GS50'!A119)),"")</f>
        <v/>
      </c>
      <c r="AC118" t="str">
        <f>IF(AA118="","",'Procyfloc GS50'!B119)</f>
        <v/>
      </c>
      <c r="AD118" t="str">
        <f>IF(AA118="","",IFERROR(1*'Procyfloc GS50'!C119,IFERROR(_xludf.NUMBERVALUE('Procyfloc GS50'!C119,".",","),IFERROR(_xludf.NUMBERVALUE('Procyfloc GS50'!C119,",","."),0))))</f>
        <v/>
      </c>
      <c r="AE118" t="str">
        <f>IF(AA118="","",'Procyfloc GS50'!J119)</f>
        <v/>
      </c>
      <c r="AF118">
        <f t="shared" si="16"/>
        <v>0</v>
      </c>
      <c r="AG118" t="str">
        <f t="shared" si="17"/>
        <v/>
      </c>
      <c r="AH118" t="str">
        <f t="shared" si="18"/>
        <v/>
      </c>
      <c r="AI118">
        <f t="shared" si="19"/>
        <v>0</v>
      </c>
      <c r="AJ118">
        <f t="shared" si="20"/>
        <v>0</v>
      </c>
      <c r="AK118">
        <v>0</v>
      </c>
      <c r="AL118" t="str">
        <f>IF(AA118="","",IFERROR(IF(ISNUMBER('Procyfloc GS50'!D119),'Procyfloc GS50'!D119,IF(ISNUMBER(SEARCH("12",'Procyfloc GS50'!D119)),EDATE(AB118,12),IF(ISNUMBER(SEARCH("6",'Procyfloc GS50'!D119)),EDATE(AB118,6),IF(ISNUMBER(SEARCH("3",'Procyfloc GS50'!D119)),EDATE(AB118,3),DATEVALUE('Procyfloc GS50'!D119))))),""))</f>
        <v/>
      </c>
      <c r="AM118" t="str">
        <f t="shared" ca="1" si="21"/>
        <v/>
      </c>
    </row>
    <row r="119" spans="27:39" x14ac:dyDescent="0.3">
      <c r="AA119" t="str">
        <f>IF(COUNTA('Procyfloc GS50'!A120,'Procyfloc GS50'!B120,'Procyfloc GS50'!C120)&gt;0,"GS50","")</f>
        <v/>
      </c>
      <c r="AB119" t="str">
        <f>IFERROR(IF(ISNUMBER('Procyfloc GS50'!A120),'Procyfloc GS50'!A120,DATEVALUE('Procyfloc GS50'!A120)),"")</f>
        <v/>
      </c>
      <c r="AC119" t="str">
        <f>IF(AA119="","",'Procyfloc GS50'!B120)</f>
        <v/>
      </c>
      <c r="AD119" t="str">
        <f>IF(AA119="","",IFERROR(1*'Procyfloc GS50'!C120,IFERROR(_xludf.NUMBERVALUE('Procyfloc GS50'!C120,".",","),IFERROR(_xludf.NUMBERVALUE('Procyfloc GS50'!C120,",","."),0))))</f>
        <v/>
      </c>
      <c r="AE119" t="str">
        <f>IF(AA119="","",'Procyfloc GS50'!J120)</f>
        <v/>
      </c>
      <c r="AF119">
        <f t="shared" si="16"/>
        <v>0</v>
      </c>
      <c r="AG119" t="str">
        <f t="shared" si="17"/>
        <v/>
      </c>
      <c r="AH119" t="str">
        <f t="shared" si="18"/>
        <v/>
      </c>
      <c r="AI119">
        <f t="shared" si="19"/>
        <v>0</v>
      </c>
      <c r="AJ119">
        <f t="shared" si="20"/>
        <v>0</v>
      </c>
      <c r="AK119">
        <v>0</v>
      </c>
      <c r="AL119" t="str">
        <f>IF(AA119="","",IFERROR(IF(ISNUMBER('Procyfloc GS50'!D120),'Procyfloc GS50'!D120,IF(ISNUMBER(SEARCH("12",'Procyfloc GS50'!D120)),EDATE(AB119,12),IF(ISNUMBER(SEARCH("6",'Procyfloc GS50'!D120)),EDATE(AB119,6),IF(ISNUMBER(SEARCH("3",'Procyfloc GS50'!D120)),EDATE(AB119,3),DATEVALUE('Procyfloc GS50'!D120))))),""))</f>
        <v/>
      </c>
      <c r="AM119" t="str">
        <f t="shared" ca="1" si="21"/>
        <v/>
      </c>
    </row>
    <row r="120" spans="27:39" x14ac:dyDescent="0.3">
      <c r="AA120" t="str">
        <f>IF(COUNTA('Procyfloc GS50'!A121,'Procyfloc GS50'!B121,'Procyfloc GS50'!C121)&gt;0,"GS50","")</f>
        <v/>
      </c>
      <c r="AB120" t="str">
        <f>IFERROR(IF(ISNUMBER('Procyfloc GS50'!A121),'Procyfloc GS50'!A121,DATEVALUE('Procyfloc GS50'!A121)),"")</f>
        <v/>
      </c>
      <c r="AC120" t="str">
        <f>IF(AA120="","",'Procyfloc GS50'!B121)</f>
        <v/>
      </c>
      <c r="AD120" t="str">
        <f>IF(AA120="","",IFERROR(1*'Procyfloc GS50'!C121,IFERROR(_xludf.NUMBERVALUE('Procyfloc GS50'!C121,".",","),IFERROR(_xludf.NUMBERVALUE('Procyfloc GS50'!C121,",","."),0))))</f>
        <v/>
      </c>
      <c r="AE120" t="str">
        <f>IF(AA120="","",'Procyfloc GS50'!J121)</f>
        <v/>
      </c>
      <c r="AF120">
        <f t="shared" si="16"/>
        <v>0</v>
      </c>
      <c r="AG120" t="str">
        <f t="shared" si="17"/>
        <v/>
      </c>
      <c r="AH120" t="str">
        <f t="shared" si="18"/>
        <v/>
      </c>
      <c r="AI120">
        <f t="shared" si="19"/>
        <v>0</v>
      </c>
      <c r="AJ120">
        <f t="shared" si="20"/>
        <v>0</v>
      </c>
      <c r="AK120">
        <v>0</v>
      </c>
      <c r="AL120" t="str">
        <f>IF(AA120="","",IFERROR(IF(ISNUMBER('Procyfloc GS50'!D121),'Procyfloc GS50'!D121,IF(ISNUMBER(SEARCH("12",'Procyfloc GS50'!D121)),EDATE(AB120,12),IF(ISNUMBER(SEARCH("6",'Procyfloc GS50'!D121)),EDATE(AB120,6),IF(ISNUMBER(SEARCH("3",'Procyfloc GS50'!D121)),EDATE(AB120,3),DATEVALUE('Procyfloc GS50'!D121))))),""))</f>
        <v/>
      </c>
      <c r="AM120" t="str">
        <f t="shared" ca="1" si="21"/>
        <v/>
      </c>
    </row>
    <row r="121" spans="27:39" x14ac:dyDescent="0.3">
      <c r="AA121" t="str">
        <f>IF(COUNTA('Procyfloc GS50'!A122,'Procyfloc GS50'!B122,'Procyfloc GS50'!C122)&gt;0,"GS50","")</f>
        <v/>
      </c>
      <c r="AB121" t="str">
        <f>IFERROR(IF(ISNUMBER('Procyfloc GS50'!A122),'Procyfloc GS50'!A122,DATEVALUE('Procyfloc GS50'!A122)),"")</f>
        <v/>
      </c>
      <c r="AC121" t="str">
        <f>IF(AA121="","",'Procyfloc GS50'!B122)</f>
        <v/>
      </c>
      <c r="AD121" t="str">
        <f>IF(AA121="","",IFERROR(1*'Procyfloc GS50'!C122,IFERROR(_xludf.NUMBERVALUE('Procyfloc GS50'!C122,".",","),IFERROR(_xludf.NUMBERVALUE('Procyfloc GS50'!C122,",","."),0))))</f>
        <v/>
      </c>
      <c r="AE121" t="str">
        <f>IF(AA121="","",'Procyfloc GS50'!J122)</f>
        <v/>
      </c>
      <c r="AF121">
        <f t="shared" si="16"/>
        <v>0</v>
      </c>
      <c r="AG121" t="str">
        <f t="shared" si="17"/>
        <v/>
      </c>
      <c r="AH121" t="str">
        <f t="shared" si="18"/>
        <v/>
      </c>
      <c r="AI121">
        <f t="shared" si="19"/>
        <v>0</v>
      </c>
      <c r="AJ121">
        <f t="shared" si="20"/>
        <v>0</v>
      </c>
      <c r="AK121">
        <v>0</v>
      </c>
      <c r="AL121" t="str">
        <f>IF(AA121="","",IFERROR(IF(ISNUMBER('Procyfloc GS50'!D122),'Procyfloc GS50'!D122,IF(ISNUMBER(SEARCH("12",'Procyfloc GS50'!D122)),EDATE(AB121,12),IF(ISNUMBER(SEARCH("6",'Procyfloc GS50'!D122)),EDATE(AB121,6),IF(ISNUMBER(SEARCH("3",'Procyfloc GS50'!D122)),EDATE(AB121,3),DATEVALUE('Procyfloc GS50'!D122))))),""))</f>
        <v/>
      </c>
      <c r="AM121" t="str">
        <f t="shared" ca="1" si="21"/>
        <v/>
      </c>
    </row>
    <row r="122" spans="27:39" x14ac:dyDescent="0.3">
      <c r="AA122" t="str">
        <f>IF(COUNTA('Procyfloc GS50'!A123,'Procyfloc GS50'!B123,'Procyfloc GS50'!C123)&gt;0,"GS50","")</f>
        <v/>
      </c>
      <c r="AB122" t="str">
        <f>IFERROR(IF(ISNUMBER('Procyfloc GS50'!A123),'Procyfloc GS50'!A123,DATEVALUE('Procyfloc GS50'!A123)),"")</f>
        <v/>
      </c>
      <c r="AC122" t="str">
        <f>IF(AA122="","",'Procyfloc GS50'!B123)</f>
        <v/>
      </c>
      <c r="AD122" t="str">
        <f>IF(AA122="","",IFERROR(1*'Procyfloc GS50'!C123,IFERROR(_xludf.NUMBERVALUE('Procyfloc GS50'!C123,".",","),IFERROR(_xludf.NUMBERVALUE('Procyfloc GS50'!C123,",","."),0))))</f>
        <v/>
      </c>
      <c r="AE122" t="str">
        <f>IF(AA122="","",'Procyfloc GS50'!J123)</f>
        <v/>
      </c>
      <c r="AF122">
        <f t="shared" si="16"/>
        <v>0</v>
      </c>
      <c r="AG122" t="str">
        <f t="shared" si="17"/>
        <v/>
      </c>
      <c r="AH122" t="str">
        <f t="shared" si="18"/>
        <v/>
      </c>
      <c r="AI122">
        <f t="shared" si="19"/>
        <v>0</v>
      </c>
      <c r="AJ122">
        <f t="shared" si="20"/>
        <v>0</v>
      </c>
      <c r="AK122">
        <v>0</v>
      </c>
      <c r="AL122" t="str">
        <f>IF(AA122="","",IFERROR(IF(ISNUMBER('Procyfloc GS50'!D123),'Procyfloc GS50'!D123,IF(ISNUMBER(SEARCH("12",'Procyfloc GS50'!D123)),EDATE(AB122,12),IF(ISNUMBER(SEARCH("6",'Procyfloc GS50'!D123)),EDATE(AB122,6),IF(ISNUMBER(SEARCH("3",'Procyfloc GS50'!D123)),EDATE(AB122,3),DATEVALUE('Procyfloc GS50'!D123))))),""))</f>
        <v/>
      </c>
      <c r="AM122" t="str">
        <f t="shared" ca="1" si="21"/>
        <v/>
      </c>
    </row>
    <row r="123" spans="27:39" x14ac:dyDescent="0.3">
      <c r="AA123" t="str">
        <f>IF(COUNTA('Procyfloc GS50'!A124,'Procyfloc GS50'!B124,'Procyfloc GS50'!C124)&gt;0,"GS50","")</f>
        <v/>
      </c>
      <c r="AB123" t="str">
        <f>IFERROR(IF(ISNUMBER('Procyfloc GS50'!A124),'Procyfloc GS50'!A124,DATEVALUE('Procyfloc GS50'!A124)),"")</f>
        <v/>
      </c>
      <c r="AC123" t="str">
        <f>IF(AA123="","",'Procyfloc GS50'!B124)</f>
        <v/>
      </c>
      <c r="AD123" t="str">
        <f>IF(AA123="","",IFERROR(1*'Procyfloc GS50'!C124,IFERROR(_xludf.NUMBERVALUE('Procyfloc GS50'!C124,".",","),IFERROR(_xludf.NUMBERVALUE('Procyfloc GS50'!C124,",","."),0))))</f>
        <v/>
      </c>
      <c r="AE123" t="str">
        <f>IF(AA123="","",'Procyfloc GS50'!J124)</f>
        <v/>
      </c>
      <c r="AF123">
        <f t="shared" si="16"/>
        <v>0</v>
      </c>
      <c r="AG123" t="str">
        <f t="shared" si="17"/>
        <v/>
      </c>
      <c r="AH123" t="str">
        <f t="shared" si="18"/>
        <v/>
      </c>
      <c r="AI123">
        <f t="shared" si="19"/>
        <v>0</v>
      </c>
      <c r="AJ123">
        <f t="shared" si="20"/>
        <v>0</v>
      </c>
      <c r="AK123">
        <v>0</v>
      </c>
      <c r="AL123" t="str">
        <f>IF(AA123="","",IFERROR(IF(ISNUMBER('Procyfloc GS50'!D124),'Procyfloc GS50'!D124,IF(ISNUMBER(SEARCH("12",'Procyfloc GS50'!D124)),EDATE(AB123,12),IF(ISNUMBER(SEARCH("6",'Procyfloc GS50'!D124)),EDATE(AB123,6),IF(ISNUMBER(SEARCH("3",'Procyfloc GS50'!D124)),EDATE(AB123,3),DATEVALUE('Procyfloc GS50'!D124))))),""))</f>
        <v/>
      </c>
      <c r="AM123" t="str">
        <f t="shared" ca="1" si="21"/>
        <v/>
      </c>
    </row>
    <row r="124" spans="27:39" x14ac:dyDescent="0.3">
      <c r="AA124" t="str">
        <f>IF(COUNTA('Procyfloc GS50'!A125,'Procyfloc GS50'!B125,'Procyfloc GS50'!C125)&gt;0,"GS50","")</f>
        <v/>
      </c>
      <c r="AB124" t="str">
        <f>IFERROR(IF(ISNUMBER('Procyfloc GS50'!A125),'Procyfloc GS50'!A125,DATEVALUE('Procyfloc GS50'!A125)),"")</f>
        <v/>
      </c>
      <c r="AC124" t="str">
        <f>IF(AA124="","",'Procyfloc GS50'!B125)</f>
        <v/>
      </c>
      <c r="AD124" t="str">
        <f>IF(AA124="","",IFERROR(1*'Procyfloc GS50'!C125,IFERROR(_xludf.NUMBERVALUE('Procyfloc GS50'!C125,".",","),IFERROR(_xludf.NUMBERVALUE('Procyfloc GS50'!C125,",","."),0))))</f>
        <v/>
      </c>
      <c r="AE124" t="str">
        <f>IF(AA124="","",'Procyfloc GS50'!J125)</f>
        <v/>
      </c>
      <c r="AF124">
        <f t="shared" si="16"/>
        <v>0</v>
      </c>
      <c r="AG124" t="str">
        <f t="shared" si="17"/>
        <v/>
      </c>
      <c r="AH124" t="str">
        <f t="shared" si="18"/>
        <v/>
      </c>
      <c r="AI124">
        <f t="shared" si="19"/>
        <v>0</v>
      </c>
      <c r="AJ124">
        <f t="shared" si="20"/>
        <v>0</v>
      </c>
      <c r="AK124">
        <v>0</v>
      </c>
      <c r="AL124" t="str">
        <f>IF(AA124="","",IFERROR(IF(ISNUMBER('Procyfloc GS50'!D125),'Procyfloc GS50'!D125,IF(ISNUMBER(SEARCH("12",'Procyfloc GS50'!D125)),EDATE(AB124,12),IF(ISNUMBER(SEARCH("6",'Procyfloc GS50'!D125)),EDATE(AB124,6),IF(ISNUMBER(SEARCH("3",'Procyfloc GS50'!D125)),EDATE(AB124,3),DATEVALUE('Procyfloc GS50'!D125))))),""))</f>
        <v/>
      </c>
      <c r="AM124" t="str">
        <f t="shared" ca="1" si="21"/>
        <v/>
      </c>
    </row>
    <row r="125" spans="27:39" x14ac:dyDescent="0.3">
      <c r="AA125" t="str">
        <f>IF(COUNTA('Procyfloc GS50'!A126,'Procyfloc GS50'!B126,'Procyfloc GS50'!C126)&gt;0,"GS50","")</f>
        <v/>
      </c>
      <c r="AB125" t="str">
        <f>IFERROR(IF(ISNUMBER('Procyfloc GS50'!A126),'Procyfloc GS50'!A126,DATEVALUE('Procyfloc GS50'!A126)),"")</f>
        <v/>
      </c>
      <c r="AC125" t="str">
        <f>IF(AA125="","",'Procyfloc GS50'!B126)</f>
        <v/>
      </c>
      <c r="AD125" t="str">
        <f>IF(AA125="","",IFERROR(1*'Procyfloc GS50'!C126,IFERROR(_xludf.NUMBERVALUE('Procyfloc GS50'!C126,".",","),IFERROR(_xludf.NUMBERVALUE('Procyfloc GS50'!C126,",","."),0))))</f>
        <v/>
      </c>
      <c r="AE125" t="str">
        <f>IF(AA125="","",'Procyfloc GS50'!J126)</f>
        <v/>
      </c>
      <c r="AF125">
        <f t="shared" si="16"/>
        <v>0</v>
      </c>
      <c r="AG125" t="str">
        <f t="shared" si="17"/>
        <v/>
      </c>
      <c r="AH125" t="str">
        <f t="shared" si="18"/>
        <v/>
      </c>
      <c r="AI125">
        <f t="shared" si="19"/>
        <v>0</v>
      </c>
      <c r="AJ125">
        <f t="shared" si="20"/>
        <v>0</v>
      </c>
      <c r="AK125">
        <v>0</v>
      </c>
      <c r="AL125" t="str">
        <f>IF(AA125="","",IFERROR(IF(ISNUMBER('Procyfloc GS50'!D126),'Procyfloc GS50'!D126,IF(ISNUMBER(SEARCH("12",'Procyfloc GS50'!D126)),EDATE(AB125,12),IF(ISNUMBER(SEARCH("6",'Procyfloc GS50'!D126)),EDATE(AB125,6),IF(ISNUMBER(SEARCH("3",'Procyfloc GS50'!D126)),EDATE(AB125,3),DATEVALUE('Procyfloc GS50'!D126))))),""))</f>
        <v/>
      </c>
      <c r="AM125" t="str">
        <f t="shared" ca="1" si="21"/>
        <v/>
      </c>
    </row>
    <row r="126" spans="27:39" x14ac:dyDescent="0.3">
      <c r="AA126" t="str">
        <f>IF(COUNTA('Procyfloc GS50'!A127,'Procyfloc GS50'!B127,'Procyfloc GS50'!C127)&gt;0,"GS50","")</f>
        <v/>
      </c>
      <c r="AB126" t="str">
        <f>IFERROR(IF(ISNUMBER('Procyfloc GS50'!A127),'Procyfloc GS50'!A127,DATEVALUE('Procyfloc GS50'!A127)),"")</f>
        <v/>
      </c>
      <c r="AC126" t="str">
        <f>IF(AA126="","",'Procyfloc GS50'!B127)</f>
        <v/>
      </c>
      <c r="AD126" t="str">
        <f>IF(AA126="","",IFERROR(1*'Procyfloc GS50'!C127,IFERROR(_xludf.NUMBERVALUE('Procyfloc GS50'!C127,".",","),IFERROR(_xludf.NUMBERVALUE('Procyfloc GS50'!C127,",","."),0))))</f>
        <v/>
      </c>
      <c r="AE126" t="str">
        <f>IF(AA126="","",'Procyfloc GS50'!J127)</f>
        <v/>
      </c>
      <c r="AF126">
        <f t="shared" si="16"/>
        <v>0</v>
      </c>
      <c r="AG126" t="str">
        <f t="shared" si="17"/>
        <v/>
      </c>
      <c r="AH126" t="str">
        <f t="shared" si="18"/>
        <v/>
      </c>
      <c r="AI126">
        <f t="shared" si="19"/>
        <v>0</v>
      </c>
      <c r="AJ126">
        <f t="shared" si="20"/>
        <v>0</v>
      </c>
      <c r="AK126">
        <v>0</v>
      </c>
      <c r="AL126" t="str">
        <f>IF(AA126="","",IFERROR(IF(ISNUMBER('Procyfloc GS50'!D127),'Procyfloc GS50'!D127,IF(ISNUMBER(SEARCH("12",'Procyfloc GS50'!D127)),EDATE(AB126,12),IF(ISNUMBER(SEARCH("6",'Procyfloc GS50'!D127)),EDATE(AB126,6),IF(ISNUMBER(SEARCH("3",'Procyfloc GS50'!D127)),EDATE(AB126,3),DATEVALUE('Procyfloc GS50'!D127))))),""))</f>
        <v/>
      </c>
      <c r="AM126" t="str">
        <f t="shared" ca="1" si="21"/>
        <v/>
      </c>
    </row>
    <row r="127" spans="27:39" x14ac:dyDescent="0.3">
      <c r="AA127" t="str">
        <f>IF(COUNTA('Procyfloc GS50'!A128,'Procyfloc GS50'!B128,'Procyfloc GS50'!C128)&gt;0,"GS50","")</f>
        <v/>
      </c>
      <c r="AB127" t="str">
        <f>IFERROR(IF(ISNUMBER('Procyfloc GS50'!A128),'Procyfloc GS50'!A128,DATEVALUE('Procyfloc GS50'!A128)),"")</f>
        <v/>
      </c>
      <c r="AC127" t="str">
        <f>IF(AA127="","",'Procyfloc GS50'!B128)</f>
        <v/>
      </c>
      <c r="AD127" t="str">
        <f>IF(AA127="","",IFERROR(1*'Procyfloc GS50'!C128,IFERROR(_xludf.NUMBERVALUE('Procyfloc GS50'!C128,".",","),IFERROR(_xludf.NUMBERVALUE('Procyfloc GS50'!C128,",","."),0))))</f>
        <v/>
      </c>
      <c r="AE127" t="str">
        <f>IF(AA127="","",'Procyfloc GS50'!J128)</f>
        <v/>
      </c>
      <c r="AF127">
        <f t="shared" si="16"/>
        <v>0</v>
      </c>
      <c r="AG127" t="str">
        <f t="shared" si="17"/>
        <v/>
      </c>
      <c r="AH127" t="str">
        <f t="shared" si="18"/>
        <v/>
      </c>
      <c r="AI127">
        <f t="shared" si="19"/>
        <v>0</v>
      </c>
      <c r="AJ127">
        <f t="shared" si="20"/>
        <v>0</v>
      </c>
      <c r="AK127">
        <v>0</v>
      </c>
      <c r="AL127" t="str">
        <f>IF(AA127="","",IFERROR(IF(ISNUMBER('Procyfloc GS50'!D128),'Procyfloc GS50'!D128,IF(ISNUMBER(SEARCH("12",'Procyfloc GS50'!D128)),EDATE(AB127,12),IF(ISNUMBER(SEARCH("6",'Procyfloc GS50'!D128)),EDATE(AB127,6),IF(ISNUMBER(SEARCH("3",'Procyfloc GS50'!D128)),EDATE(AB127,3),DATEVALUE('Procyfloc GS50'!D128))))),""))</f>
        <v/>
      </c>
      <c r="AM127" t="str">
        <f t="shared" ca="1" si="21"/>
        <v/>
      </c>
    </row>
    <row r="128" spans="27:39" x14ac:dyDescent="0.3">
      <c r="AA128" t="str">
        <f>IF(COUNTA('Procyfloc GS50'!A129,'Procyfloc GS50'!B129,'Procyfloc GS50'!C129)&gt;0,"GS50","")</f>
        <v/>
      </c>
      <c r="AB128" t="str">
        <f>IFERROR(IF(ISNUMBER('Procyfloc GS50'!A129),'Procyfloc GS50'!A129,DATEVALUE('Procyfloc GS50'!A129)),"")</f>
        <v/>
      </c>
      <c r="AC128" t="str">
        <f>IF(AA128="","",'Procyfloc GS50'!B129)</f>
        <v/>
      </c>
      <c r="AD128" t="str">
        <f>IF(AA128="","",IFERROR(1*'Procyfloc GS50'!C129,IFERROR(_xludf.NUMBERVALUE('Procyfloc GS50'!C129,".",","),IFERROR(_xludf.NUMBERVALUE('Procyfloc GS50'!C129,",","."),0))))</f>
        <v/>
      </c>
      <c r="AE128" t="str">
        <f>IF(AA128="","",'Procyfloc GS50'!J129)</f>
        <v/>
      </c>
      <c r="AF128">
        <f t="shared" si="16"/>
        <v>0</v>
      </c>
      <c r="AG128" t="str">
        <f t="shared" si="17"/>
        <v/>
      </c>
      <c r="AH128" t="str">
        <f t="shared" si="18"/>
        <v/>
      </c>
      <c r="AI128">
        <f t="shared" si="19"/>
        <v>0</v>
      </c>
      <c r="AJ128">
        <f t="shared" si="20"/>
        <v>0</v>
      </c>
      <c r="AK128">
        <v>0</v>
      </c>
      <c r="AL128" t="str">
        <f>IF(AA128="","",IFERROR(IF(ISNUMBER('Procyfloc GS50'!D129),'Procyfloc GS50'!D129,IF(ISNUMBER(SEARCH("12",'Procyfloc GS50'!D129)),EDATE(AB128,12),IF(ISNUMBER(SEARCH("6",'Procyfloc GS50'!D129)),EDATE(AB128,6),IF(ISNUMBER(SEARCH("3",'Procyfloc GS50'!D129)),EDATE(AB128,3),DATEVALUE('Procyfloc GS50'!D129))))),""))</f>
        <v/>
      </c>
      <c r="AM128" t="str">
        <f t="shared" ca="1" si="21"/>
        <v/>
      </c>
    </row>
    <row r="129" spans="27:39" x14ac:dyDescent="0.3">
      <c r="AA129" t="str">
        <f>IF(COUNTA('Procyfloc GS50'!A130,'Procyfloc GS50'!B130,'Procyfloc GS50'!C130)&gt;0,"GS50","")</f>
        <v/>
      </c>
      <c r="AB129" t="str">
        <f>IFERROR(IF(ISNUMBER('Procyfloc GS50'!A130),'Procyfloc GS50'!A130,DATEVALUE('Procyfloc GS50'!A130)),"")</f>
        <v/>
      </c>
      <c r="AC129" t="str">
        <f>IF(AA129="","",'Procyfloc GS50'!B130)</f>
        <v/>
      </c>
      <c r="AD129" t="str">
        <f>IF(AA129="","",IFERROR(1*'Procyfloc GS50'!C130,IFERROR(_xludf.NUMBERVALUE('Procyfloc GS50'!C130,".",","),IFERROR(_xludf.NUMBERVALUE('Procyfloc GS50'!C130,",","."),0))))</f>
        <v/>
      </c>
      <c r="AE129" t="str">
        <f>IF(AA129="","",'Procyfloc GS50'!J130)</f>
        <v/>
      </c>
      <c r="AF129">
        <f t="shared" si="16"/>
        <v>0</v>
      </c>
      <c r="AG129" t="str">
        <f t="shared" si="17"/>
        <v/>
      </c>
      <c r="AH129" t="str">
        <f t="shared" si="18"/>
        <v/>
      </c>
      <c r="AI129">
        <f t="shared" si="19"/>
        <v>0</v>
      </c>
      <c r="AJ129">
        <f t="shared" si="20"/>
        <v>0</v>
      </c>
      <c r="AK129">
        <v>0</v>
      </c>
      <c r="AL129" t="str">
        <f>IF(AA129="","",IFERROR(IF(ISNUMBER('Procyfloc GS50'!D130),'Procyfloc GS50'!D130,IF(ISNUMBER(SEARCH("12",'Procyfloc GS50'!D130)),EDATE(AB129,12),IF(ISNUMBER(SEARCH("6",'Procyfloc GS50'!D130)),EDATE(AB129,6),IF(ISNUMBER(SEARCH("3",'Procyfloc GS50'!D130)),EDATE(AB129,3),DATEVALUE('Procyfloc GS50'!D130))))),""))</f>
        <v/>
      </c>
      <c r="AM129" t="str">
        <f t="shared" ca="1" si="21"/>
        <v/>
      </c>
    </row>
    <row r="130" spans="27:39" x14ac:dyDescent="0.3">
      <c r="AA130" t="str">
        <f>IF(COUNTA('Procyfloc GS50'!A131,'Procyfloc GS50'!B131,'Procyfloc GS50'!C131)&gt;0,"GS50","")</f>
        <v/>
      </c>
      <c r="AB130" t="str">
        <f>IFERROR(IF(ISNUMBER('Procyfloc GS50'!A131),'Procyfloc GS50'!A131,DATEVALUE('Procyfloc GS50'!A131)),"")</f>
        <v/>
      </c>
      <c r="AC130" t="str">
        <f>IF(AA130="","",'Procyfloc GS50'!B131)</f>
        <v/>
      </c>
      <c r="AD130" t="str">
        <f>IF(AA130="","",IFERROR(1*'Procyfloc GS50'!C131,IFERROR(_xludf.NUMBERVALUE('Procyfloc GS50'!C131,".",","),IFERROR(_xludf.NUMBERVALUE('Procyfloc GS50'!C131,",","."),0))))</f>
        <v/>
      </c>
      <c r="AE130" t="str">
        <f>IF(AA130="","",'Procyfloc GS50'!J131)</f>
        <v/>
      </c>
      <c r="AF130">
        <f t="shared" ref="AF130:AF193" si="29">IF(AA130="",0,--AND(ISNUMBER(SEARCH("aprov",AE130)),NOT(ISNUMBER(SEARCH("reprov",AE130)))))</f>
        <v>0</v>
      </c>
      <c r="AG130" t="str">
        <f t="shared" ref="AG130:AG193" si="30">IF(AB130="","",YEAR(AB130))</f>
        <v/>
      </c>
      <c r="AH130" t="str">
        <f t="shared" ref="AH130:AH193" si="31">IF(AB130="","",MONTH(AB130))</f>
        <v/>
      </c>
      <c r="AI130">
        <f t="shared" ref="AI130:AI193" si="32">IF(AB130="",0,AB130+ROW()/1000000)</f>
        <v>0</v>
      </c>
      <c r="AJ130">
        <f t="shared" ref="AJ130:AJ193" si="33">--(AA130&lt;&gt;"")</f>
        <v>0</v>
      </c>
      <c r="AK130">
        <v>0</v>
      </c>
      <c r="AL130" t="str">
        <f>IF(AA130="","",IFERROR(IF(ISNUMBER('Procyfloc GS50'!D131),'Procyfloc GS50'!D131,IF(ISNUMBER(SEARCH("12",'Procyfloc GS50'!D131)),EDATE(AB130,12),IF(ISNUMBER(SEARCH("6",'Procyfloc GS50'!D131)),EDATE(AB130,6),IF(ISNUMBER(SEARCH("3",'Procyfloc GS50'!D131)),EDATE(AB130,3),DATEVALUE('Procyfloc GS50'!D131))))),""))</f>
        <v/>
      </c>
      <c r="AM130" t="str">
        <f t="shared" ref="AM130:AM193" ca="1" si="34">IF(AND(AJ130=1,AL130&lt;&gt;"",AL130&gt;=TODAY(),AG130=$W$3),AL130+ROW()/1000000,"")</f>
        <v/>
      </c>
    </row>
    <row r="131" spans="27:39" x14ac:dyDescent="0.3">
      <c r="AA131" t="str">
        <f>IF(COUNTA('Procyfloc GS50'!A132,'Procyfloc GS50'!B132,'Procyfloc GS50'!C132)&gt;0,"GS50","")</f>
        <v/>
      </c>
      <c r="AB131" t="str">
        <f>IFERROR(IF(ISNUMBER('Procyfloc GS50'!A132),'Procyfloc GS50'!A132,DATEVALUE('Procyfloc GS50'!A132)),"")</f>
        <v/>
      </c>
      <c r="AC131" t="str">
        <f>IF(AA131="","",'Procyfloc GS50'!B132)</f>
        <v/>
      </c>
      <c r="AD131" t="str">
        <f>IF(AA131="","",IFERROR(1*'Procyfloc GS50'!C132,IFERROR(_xludf.NUMBERVALUE('Procyfloc GS50'!C132,".",","),IFERROR(_xludf.NUMBERVALUE('Procyfloc GS50'!C132,",","."),0))))</f>
        <v/>
      </c>
      <c r="AE131" t="str">
        <f>IF(AA131="","",'Procyfloc GS50'!J132)</f>
        <v/>
      </c>
      <c r="AF131">
        <f t="shared" si="29"/>
        <v>0</v>
      </c>
      <c r="AG131" t="str">
        <f t="shared" si="30"/>
        <v/>
      </c>
      <c r="AH131" t="str">
        <f t="shared" si="31"/>
        <v/>
      </c>
      <c r="AI131">
        <f t="shared" si="32"/>
        <v>0</v>
      </c>
      <c r="AJ131">
        <f t="shared" si="33"/>
        <v>0</v>
      </c>
      <c r="AK131">
        <v>0</v>
      </c>
      <c r="AL131" t="str">
        <f>IF(AA131="","",IFERROR(IF(ISNUMBER('Procyfloc GS50'!D132),'Procyfloc GS50'!D132,IF(ISNUMBER(SEARCH("12",'Procyfloc GS50'!D132)),EDATE(AB131,12),IF(ISNUMBER(SEARCH("6",'Procyfloc GS50'!D132)),EDATE(AB131,6),IF(ISNUMBER(SEARCH("3",'Procyfloc GS50'!D132)),EDATE(AB131,3),DATEVALUE('Procyfloc GS50'!D132))))),""))</f>
        <v/>
      </c>
      <c r="AM131" t="str">
        <f t="shared" ca="1" si="34"/>
        <v/>
      </c>
    </row>
    <row r="132" spans="27:39" x14ac:dyDescent="0.3">
      <c r="AA132" t="str">
        <f>IF(COUNTA('Procyfloc GS50'!A133,'Procyfloc GS50'!B133,'Procyfloc GS50'!C133)&gt;0,"GS50","")</f>
        <v/>
      </c>
      <c r="AB132" t="str">
        <f>IFERROR(IF(ISNUMBER('Procyfloc GS50'!A133),'Procyfloc GS50'!A133,DATEVALUE('Procyfloc GS50'!A133)),"")</f>
        <v/>
      </c>
      <c r="AC132" t="str">
        <f>IF(AA132="","",'Procyfloc GS50'!B133)</f>
        <v/>
      </c>
      <c r="AD132" t="str">
        <f>IF(AA132="","",IFERROR(1*'Procyfloc GS50'!C133,IFERROR(_xludf.NUMBERVALUE('Procyfloc GS50'!C133,".",","),IFERROR(_xludf.NUMBERVALUE('Procyfloc GS50'!C133,",","."),0))))</f>
        <v/>
      </c>
      <c r="AE132" t="str">
        <f>IF(AA132="","",'Procyfloc GS50'!J133)</f>
        <v/>
      </c>
      <c r="AF132">
        <f t="shared" si="29"/>
        <v>0</v>
      </c>
      <c r="AG132" t="str">
        <f t="shared" si="30"/>
        <v/>
      </c>
      <c r="AH132" t="str">
        <f t="shared" si="31"/>
        <v/>
      </c>
      <c r="AI132">
        <f t="shared" si="32"/>
        <v>0</v>
      </c>
      <c r="AJ132">
        <f t="shared" si="33"/>
        <v>0</v>
      </c>
      <c r="AK132">
        <v>0</v>
      </c>
      <c r="AL132" t="str">
        <f>IF(AA132="","",IFERROR(IF(ISNUMBER('Procyfloc GS50'!D133),'Procyfloc GS50'!D133,IF(ISNUMBER(SEARCH("12",'Procyfloc GS50'!D133)),EDATE(AB132,12),IF(ISNUMBER(SEARCH("6",'Procyfloc GS50'!D133)),EDATE(AB132,6),IF(ISNUMBER(SEARCH("3",'Procyfloc GS50'!D133)),EDATE(AB132,3),DATEVALUE('Procyfloc GS50'!D133))))),""))</f>
        <v/>
      </c>
      <c r="AM132" t="str">
        <f t="shared" ca="1" si="34"/>
        <v/>
      </c>
    </row>
    <row r="133" spans="27:39" x14ac:dyDescent="0.3">
      <c r="AA133" t="str">
        <f>IF(COUNTA('Procyfloc GS50'!A134,'Procyfloc GS50'!B134,'Procyfloc GS50'!C134)&gt;0,"GS50","")</f>
        <v/>
      </c>
      <c r="AB133" t="str">
        <f>IFERROR(IF(ISNUMBER('Procyfloc GS50'!A134),'Procyfloc GS50'!A134,DATEVALUE('Procyfloc GS50'!A134)),"")</f>
        <v/>
      </c>
      <c r="AC133" t="str">
        <f>IF(AA133="","",'Procyfloc GS50'!B134)</f>
        <v/>
      </c>
      <c r="AD133" t="str">
        <f>IF(AA133="","",IFERROR(1*'Procyfloc GS50'!C134,IFERROR(_xludf.NUMBERVALUE('Procyfloc GS50'!C134,".",","),IFERROR(_xludf.NUMBERVALUE('Procyfloc GS50'!C134,",","."),0))))</f>
        <v/>
      </c>
      <c r="AE133" t="str">
        <f>IF(AA133="","",'Procyfloc GS50'!J134)</f>
        <v/>
      </c>
      <c r="AF133">
        <f t="shared" si="29"/>
        <v>0</v>
      </c>
      <c r="AG133" t="str">
        <f t="shared" si="30"/>
        <v/>
      </c>
      <c r="AH133" t="str">
        <f t="shared" si="31"/>
        <v/>
      </c>
      <c r="AI133">
        <f t="shared" si="32"/>
        <v>0</v>
      </c>
      <c r="AJ133">
        <f t="shared" si="33"/>
        <v>0</v>
      </c>
      <c r="AK133">
        <v>0</v>
      </c>
      <c r="AL133" t="str">
        <f>IF(AA133="","",IFERROR(IF(ISNUMBER('Procyfloc GS50'!D134),'Procyfloc GS50'!D134,IF(ISNUMBER(SEARCH("12",'Procyfloc GS50'!D134)),EDATE(AB133,12),IF(ISNUMBER(SEARCH("6",'Procyfloc GS50'!D134)),EDATE(AB133,6),IF(ISNUMBER(SEARCH("3",'Procyfloc GS50'!D134)),EDATE(AB133,3),DATEVALUE('Procyfloc GS50'!D134))))),""))</f>
        <v/>
      </c>
      <c r="AM133" t="str">
        <f t="shared" ca="1" si="34"/>
        <v/>
      </c>
    </row>
    <row r="134" spans="27:39" x14ac:dyDescent="0.3">
      <c r="AA134" t="str">
        <f>IF(COUNTA('Procyfloc GS50'!A135,'Procyfloc GS50'!B135,'Procyfloc GS50'!C135)&gt;0,"GS50","")</f>
        <v/>
      </c>
      <c r="AB134" t="str">
        <f>IFERROR(IF(ISNUMBER('Procyfloc GS50'!A135),'Procyfloc GS50'!A135,DATEVALUE('Procyfloc GS50'!A135)),"")</f>
        <v/>
      </c>
      <c r="AC134" t="str">
        <f>IF(AA134="","",'Procyfloc GS50'!B135)</f>
        <v/>
      </c>
      <c r="AD134" t="str">
        <f>IF(AA134="","",IFERROR(1*'Procyfloc GS50'!C135,IFERROR(_xludf.NUMBERVALUE('Procyfloc GS50'!C135,".",","),IFERROR(_xludf.NUMBERVALUE('Procyfloc GS50'!C135,",","."),0))))</f>
        <v/>
      </c>
      <c r="AE134" t="str">
        <f>IF(AA134="","",'Procyfloc GS50'!J135)</f>
        <v/>
      </c>
      <c r="AF134">
        <f t="shared" si="29"/>
        <v>0</v>
      </c>
      <c r="AG134" t="str">
        <f t="shared" si="30"/>
        <v/>
      </c>
      <c r="AH134" t="str">
        <f t="shared" si="31"/>
        <v/>
      </c>
      <c r="AI134">
        <f t="shared" si="32"/>
        <v>0</v>
      </c>
      <c r="AJ134">
        <f t="shared" si="33"/>
        <v>0</v>
      </c>
      <c r="AK134">
        <v>0</v>
      </c>
      <c r="AL134" t="str">
        <f>IF(AA134="","",IFERROR(IF(ISNUMBER('Procyfloc GS50'!D135),'Procyfloc GS50'!D135,IF(ISNUMBER(SEARCH("12",'Procyfloc GS50'!D135)),EDATE(AB134,12),IF(ISNUMBER(SEARCH("6",'Procyfloc GS50'!D135)),EDATE(AB134,6),IF(ISNUMBER(SEARCH("3",'Procyfloc GS50'!D135)),EDATE(AB134,3),DATEVALUE('Procyfloc GS50'!D135))))),""))</f>
        <v/>
      </c>
      <c r="AM134" t="str">
        <f t="shared" ca="1" si="34"/>
        <v/>
      </c>
    </row>
    <row r="135" spans="27:39" x14ac:dyDescent="0.3">
      <c r="AA135" t="str">
        <f>IF(COUNTA('Procyfloc GS50'!A136,'Procyfloc GS50'!B136,'Procyfloc GS50'!C136)&gt;0,"GS50","")</f>
        <v/>
      </c>
      <c r="AB135" t="str">
        <f>IFERROR(IF(ISNUMBER('Procyfloc GS50'!A136),'Procyfloc GS50'!A136,DATEVALUE('Procyfloc GS50'!A136)),"")</f>
        <v/>
      </c>
      <c r="AC135" t="str">
        <f>IF(AA135="","",'Procyfloc GS50'!B136)</f>
        <v/>
      </c>
      <c r="AD135" t="str">
        <f>IF(AA135="","",IFERROR(1*'Procyfloc GS50'!C136,IFERROR(_xludf.NUMBERVALUE('Procyfloc GS50'!C136,".",","),IFERROR(_xludf.NUMBERVALUE('Procyfloc GS50'!C136,",","."),0))))</f>
        <v/>
      </c>
      <c r="AE135" t="str">
        <f>IF(AA135="","",'Procyfloc GS50'!J136)</f>
        <v/>
      </c>
      <c r="AF135">
        <f t="shared" si="29"/>
        <v>0</v>
      </c>
      <c r="AG135" t="str">
        <f t="shared" si="30"/>
        <v/>
      </c>
      <c r="AH135" t="str">
        <f t="shared" si="31"/>
        <v/>
      </c>
      <c r="AI135">
        <f t="shared" si="32"/>
        <v>0</v>
      </c>
      <c r="AJ135">
        <f t="shared" si="33"/>
        <v>0</v>
      </c>
      <c r="AK135">
        <v>0</v>
      </c>
      <c r="AL135" t="str">
        <f>IF(AA135="","",IFERROR(IF(ISNUMBER('Procyfloc GS50'!D136),'Procyfloc GS50'!D136,IF(ISNUMBER(SEARCH("12",'Procyfloc GS50'!D136)),EDATE(AB135,12),IF(ISNUMBER(SEARCH("6",'Procyfloc GS50'!D136)),EDATE(AB135,6),IF(ISNUMBER(SEARCH("3",'Procyfloc GS50'!D136)),EDATE(AB135,3),DATEVALUE('Procyfloc GS50'!D136))))),""))</f>
        <v/>
      </c>
      <c r="AM135" t="str">
        <f t="shared" ca="1" si="34"/>
        <v/>
      </c>
    </row>
    <row r="136" spans="27:39" x14ac:dyDescent="0.3">
      <c r="AA136" t="str">
        <f>IF(COUNTA('Procyfloc GS50'!A137,'Procyfloc GS50'!B137,'Procyfloc GS50'!C137)&gt;0,"GS50","")</f>
        <v/>
      </c>
      <c r="AB136" t="str">
        <f>IFERROR(IF(ISNUMBER('Procyfloc GS50'!A137),'Procyfloc GS50'!A137,DATEVALUE('Procyfloc GS50'!A137)),"")</f>
        <v/>
      </c>
      <c r="AC136" t="str">
        <f>IF(AA136="","",'Procyfloc GS50'!B137)</f>
        <v/>
      </c>
      <c r="AD136" t="str">
        <f>IF(AA136="","",IFERROR(1*'Procyfloc GS50'!C137,IFERROR(_xludf.NUMBERVALUE('Procyfloc GS50'!C137,".",","),IFERROR(_xludf.NUMBERVALUE('Procyfloc GS50'!C137,",","."),0))))</f>
        <v/>
      </c>
      <c r="AE136" t="str">
        <f>IF(AA136="","",'Procyfloc GS50'!J137)</f>
        <v/>
      </c>
      <c r="AF136">
        <f t="shared" si="29"/>
        <v>0</v>
      </c>
      <c r="AG136" t="str">
        <f t="shared" si="30"/>
        <v/>
      </c>
      <c r="AH136" t="str">
        <f t="shared" si="31"/>
        <v/>
      </c>
      <c r="AI136">
        <f t="shared" si="32"/>
        <v>0</v>
      </c>
      <c r="AJ136">
        <f t="shared" si="33"/>
        <v>0</v>
      </c>
      <c r="AK136">
        <v>0</v>
      </c>
      <c r="AL136" t="str">
        <f>IF(AA136="","",IFERROR(IF(ISNUMBER('Procyfloc GS50'!D137),'Procyfloc GS50'!D137,IF(ISNUMBER(SEARCH("12",'Procyfloc GS50'!D137)),EDATE(AB136,12),IF(ISNUMBER(SEARCH("6",'Procyfloc GS50'!D137)),EDATE(AB136,6),IF(ISNUMBER(SEARCH("3",'Procyfloc GS50'!D137)),EDATE(AB136,3),DATEVALUE('Procyfloc GS50'!D137))))),""))</f>
        <v/>
      </c>
      <c r="AM136" t="str">
        <f t="shared" ca="1" si="34"/>
        <v/>
      </c>
    </row>
    <row r="137" spans="27:39" x14ac:dyDescent="0.3">
      <c r="AA137" t="str">
        <f>IF(COUNTA('Procyfloc GS50'!A138,'Procyfloc GS50'!B138,'Procyfloc GS50'!C138)&gt;0,"GS50","")</f>
        <v/>
      </c>
      <c r="AB137" t="str">
        <f>IFERROR(IF(ISNUMBER('Procyfloc GS50'!A138),'Procyfloc GS50'!A138,DATEVALUE('Procyfloc GS50'!A138)),"")</f>
        <v/>
      </c>
      <c r="AC137" t="str">
        <f>IF(AA137="","",'Procyfloc GS50'!B138)</f>
        <v/>
      </c>
      <c r="AD137" t="str">
        <f>IF(AA137="","",IFERROR(1*'Procyfloc GS50'!C138,IFERROR(_xludf.NUMBERVALUE('Procyfloc GS50'!C138,".",","),IFERROR(_xludf.NUMBERVALUE('Procyfloc GS50'!C138,",","."),0))))</f>
        <v/>
      </c>
      <c r="AE137" t="str">
        <f>IF(AA137="","",'Procyfloc GS50'!J138)</f>
        <v/>
      </c>
      <c r="AF137">
        <f t="shared" si="29"/>
        <v>0</v>
      </c>
      <c r="AG137" t="str">
        <f t="shared" si="30"/>
        <v/>
      </c>
      <c r="AH137" t="str">
        <f t="shared" si="31"/>
        <v/>
      </c>
      <c r="AI137">
        <f t="shared" si="32"/>
        <v>0</v>
      </c>
      <c r="AJ137">
        <f t="shared" si="33"/>
        <v>0</v>
      </c>
      <c r="AK137">
        <v>0</v>
      </c>
      <c r="AL137" t="str">
        <f>IF(AA137="","",IFERROR(IF(ISNUMBER('Procyfloc GS50'!D138),'Procyfloc GS50'!D138,IF(ISNUMBER(SEARCH("12",'Procyfloc GS50'!D138)),EDATE(AB137,12),IF(ISNUMBER(SEARCH("6",'Procyfloc GS50'!D138)),EDATE(AB137,6),IF(ISNUMBER(SEARCH("3",'Procyfloc GS50'!D138)),EDATE(AB137,3),DATEVALUE('Procyfloc GS50'!D138))))),""))</f>
        <v/>
      </c>
      <c r="AM137" t="str">
        <f t="shared" ca="1" si="34"/>
        <v/>
      </c>
    </row>
    <row r="138" spans="27:39" x14ac:dyDescent="0.3">
      <c r="AA138" t="str">
        <f>IF(COUNTA('Procyfloc GS50'!A139,'Procyfloc GS50'!B139,'Procyfloc GS50'!C139)&gt;0,"GS50","")</f>
        <v/>
      </c>
      <c r="AB138" t="str">
        <f>IFERROR(IF(ISNUMBER('Procyfloc GS50'!A139),'Procyfloc GS50'!A139,DATEVALUE('Procyfloc GS50'!A139)),"")</f>
        <v/>
      </c>
      <c r="AC138" t="str">
        <f>IF(AA138="","",'Procyfloc GS50'!B139)</f>
        <v/>
      </c>
      <c r="AD138" t="str">
        <f>IF(AA138="","",IFERROR(1*'Procyfloc GS50'!C139,IFERROR(_xludf.NUMBERVALUE('Procyfloc GS50'!C139,".",","),IFERROR(_xludf.NUMBERVALUE('Procyfloc GS50'!C139,",","."),0))))</f>
        <v/>
      </c>
      <c r="AE138" t="str">
        <f>IF(AA138="","",'Procyfloc GS50'!J139)</f>
        <v/>
      </c>
      <c r="AF138">
        <f t="shared" si="29"/>
        <v>0</v>
      </c>
      <c r="AG138" t="str">
        <f t="shared" si="30"/>
        <v/>
      </c>
      <c r="AH138" t="str">
        <f t="shared" si="31"/>
        <v/>
      </c>
      <c r="AI138">
        <f t="shared" si="32"/>
        <v>0</v>
      </c>
      <c r="AJ138">
        <f t="shared" si="33"/>
        <v>0</v>
      </c>
      <c r="AK138">
        <v>0</v>
      </c>
      <c r="AL138" t="str">
        <f>IF(AA138="","",IFERROR(IF(ISNUMBER('Procyfloc GS50'!D139),'Procyfloc GS50'!D139,IF(ISNUMBER(SEARCH("12",'Procyfloc GS50'!D139)),EDATE(AB138,12),IF(ISNUMBER(SEARCH("6",'Procyfloc GS50'!D139)),EDATE(AB138,6),IF(ISNUMBER(SEARCH("3",'Procyfloc GS50'!D139)),EDATE(AB138,3),DATEVALUE('Procyfloc GS50'!D139))))),""))</f>
        <v/>
      </c>
      <c r="AM138" t="str">
        <f t="shared" ca="1" si="34"/>
        <v/>
      </c>
    </row>
    <row r="139" spans="27:39" x14ac:dyDescent="0.3">
      <c r="AA139" t="str">
        <f>IF(COUNTA('Procyfloc GS50'!A140,'Procyfloc GS50'!B140,'Procyfloc GS50'!C140)&gt;0,"GS50","")</f>
        <v/>
      </c>
      <c r="AB139" t="str">
        <f>IFERROR(IF(ISNUMBER('Procyfloc GS50'!A140),'Procyfloc GS50'!A140,DATEVALUE('Procyfloc GS50'!A140)),"")</f>
        <v/>
      </c>
      <c r="AC139" t="str">
        <f>IF(AA139="","",'Procyfloc GS50'!B140)</f>
        <v/>
      </c>
      <c r="AD139" t="str">
        <f>IF(AA139="","",IFERROR(1*'Procyfloc GS50'!C140,IFERROR(_xludf.NUMBERVALUE('Procyfloc GS50'!C140,".",","),IFERROR(_xludf.NUMBERVALUE('Procyfloc GS50'!C140,",","."),0))))</f>
        <v/>
      </c>
      <c r="AE139" t="str">
        <f>IF(AA139="","",'Procyfloc GS50'!J140)</f>
        <v/>
      </c>
      <c r="AF139">
        <f t="shared" si="29"/>
        <v>0</v>
      </c>
      <c r="AG139" t="str">
        <f t="shared" si="30"/>
        <v/>
      </c>
      <c r="AH139" t="str">
        <f t="shared" si="31"/>
        <v/>
      </c>
      <c r="AI139">
        <f t="shared" si="32"/>
        <v>0</v>
      </c>
      <c r="AJ139">
        <f t="shared" si="33"/>
        <v>0</v>
      </c>
      <c r="AK139">
        <v>0</v>
      </c>
      <c r="AL139" t="str">
        <f>IF(AA139="","",IFERROR(IF(ISNUMBER('Procyfloc GS50'!D140),'Procyfloc GS50'!D140,IF(ISNUMBER(SEARCH("12",'Procyfloc GS50'!D140)),EDATE(AB139,12),IF(ISNUMBER(SEARCH("6",'Procyfloc GS50'!D140)),EDATE(AB139,6),IF(ISNUMBER(SEARCH("3",'Procyfloc GS50'!D140)),EDATE(AB139,3),DATEVALUE('Procyfloc GS50'!D140))))),""))</f>
        <v/>
      </c>
      <c r="AM139" t="str">
        <f t="shared" ca="1" si="34"/>
        <v/>
      </c>
    </row>
    <row r="140" spans="27:39" x14ac:dyDescent="0.3">
      <c r="AA140" t="str">
        <f>IF(COUNTA('Procyfloc GS50'!A141,'Procyfloc GS50'!B141,'Procyfloc GS50'!C141)&gt;0,"GS50","")</f>
        <v/>
      </c>
      <c r="AB140" t="str">
        <f>IFERROR(IF(ISNUMBER('Procyfloc GS50'!A141),'Procyfloc GS50'!A141,DATEVALUE('Procyfloc GS50'!A141)),"")</f>
        <v/>
      </c>
      <c r="AC140" t="str">
        <f>IF(AA140="","",'Procyfloc GS50'!B141)</f>
        <v/>
      </c>
      <c r="AD140" t="str">
        <f>IF(AA140="","",IFERROR(1*'Procyfloc GS50'!C141,IFERROR(_xludf.NUMBERVALUE('Procyfloc GS50'!C141,".",","),IFERROR(_xludf.NUMBERVALUE('Procyfloc GS50'!C141,",","."),0))))</f>
        <v/>
      </c>
      <c r="AE140" t="str">
        <f>IF(AA140="","",'Procyfloc GS50'!J141)</f>
        <v/>
      </c>
      <c r="AF140">
        <f t="shared" si="29"/>
        <v>0</v>
      </c>
      <c r="AG140" t="str">
        <f t="shared" si="30"/>
        <v/>
      </c>
      <c r="AH140" t="str">
        <f t="shared" si="31"/>
        <v/>
      </c>
      <c r="AI140">
        <f t="shared" si="32"/>
        <v>0</v>
      </c>
      <c r="AJ140">
        <f t="shared" si="33"/>
        <v>0</v>
      </c>
      <c r="AK140">
        <v>0</v>
      </c>
      <c r="AL140" t="str">
        <f>IF(AA140="","",IFERROR(IF(ISNUMBER('Procyfloc GS50'!D141),'Procyfloc GS50'!D141,IF(ISNUMBER(SEARCH("12",'Procyfloc GS50'!D141)),EDATE(AB140,12),IF(ISNUMBER(SEARCH("6",'Procyfloc GS50'!D141)),EDATE(AB140,6),IF(ISNUMBER(SEARCH("3",'Procyfloc GS50'!D141)),EDATE(AB140,3),DATEVALUE('Procyfloc GS50'!D141))))),""))</f>
        <v/>
      </c>
      <c r="AM140" t="str">
        <f t="shared" ca="1" si="34"/>
        <v/>
      </c>
    </row>
    <row r="141" spans="27:39" x14ac:dyDescent="0.3">
      <c r="AA141" t="str">
        <f>IF(COUNTA('Procyfloc GS50'!A142,'Procyfloc GS50'!B142,'Procyfloc GS50'!C142)&gt;0,"GS50","")</f>
        <v/>
      </c>
      <c r="AB141" t="str">
        <f>IFERROR(IF(ISNUMBER('Procyfloc GS50'!A142),'Procyfloc GS50'!A142,DATEVALUE('Procyfloc GS50'!A142)),"")</f>
        <v/>
      </c>
      <c r="AC141" t="str">
        <f>IF(AA141="","",'Procyfloc GS50'!B142)</f>
        <v/>
      </c>
      <c r="AD141" t="str">
        <f>IF(AA141="","",IFERROR(1*'Procyfloc GS50'!C142,IFERROR(_xludf.NUMBERVALUE('Procyfloc GS50'!C142,".",","),IFERROR(_xludf.NUMBERVALUE('Procyfloc GS50'!C142,",","."),0))))</f>
        <v/>
      </c>
      <c r="AE141" t="str">
        <f>IF(AA141="","",'Procyfloc GS50'!J142)</f>
        <v/>
      </c>
      <c r="AF141">
        <f t="shared" si="29"/>
        <v>0</v>
      </c>
      <c r="AG141" t="str">
        <f t="shared" si="30"/>
        <v/>
      </c>
      <c r="AH141" t="str">
        <f t="shared" si="31"/>
        <v/>
      </c>
      <c r="AI141">
        <f t="shared" si="32"/>
        <v>0</v>
      </c>
      <c r="AJ141">
        <f t="shared" si="33"/>
        <v>0</v>
      </c>
      <c r="AK141">
        <v>0</v>
      </c>
      <c r="AL141" t="str">
        <f>IF(AA141="","",IFERROR(IF(ISNUMBER('Procyfloc GS50'!D142),'Procyfloc GS50'!D142,IF(ISNUMBER(SEARCH("12",'Procyfloc GS50'!D142)),EDATE(AB141,12),IF(ISNUMBER(SEARCH("6",'Procyfloc GS50'!D142)),EDATE(AB141,6),IF(ISNUMBER(SEARCH("3",'Procyfloc GS50'!D142)),EDATE(AB141,3),DATEVALUE('Procyfloc GS50'!D142))))),""))</f>
        <v/>
      </c>
      <c r="AM141" t="str">
        <f t="shared" ca="1" si="34"/>
        <v/>
      </c>
    </row>
    <row r="142" spans="27:39" x14ac:dyDescent="0.3">
      <c r="AA142" t="str">
        <f>IF(COUNTA('Procyfloc GS50'!A143,'Procyfloc GS50'!B143,'Procyfloc GS50'!C143)&gt;0,"GS50","")</f>
        <v/>
      </c>
      <c r="AB142" t="str">
        <f>IFERROR(IF(ISNUMBER('Procyfloc GS50'!A143),'Procyfloc GS50'!A143,DATEVALUE('Procyfloc GS50'!A143)),"")</f>
        <v/>
      </c>
      <c r="AC142" t="str">
        <f>IF(AA142="","",'Procyfloc GS50'!B143)</f>
        <v/>
      </c>
      <c r="AD142" t="str">
        <f>IF(AA142="","",IFERROR(1*'Procyfloc GS50'!C143,IFERROR(_xludf.NUMBERVALUE('Procyfloc GS50'!C143,".",","),IFERROR(_xludf.NUMBERVALUE('Procyfloc GS50'!C143,",","."),0))))</f>
        <v/>
      </c>
      <c r="AE142" t="str">
        <f>IF(AA142="","",'Procyfloc GS50'!J143)</f>
        <v/>
      </c>
      <c r="AF142">
        <f t="shared" si="29"/>
        <v>0</v>
      </c>
      <c r="AG142" t="str">
        <f t="shared" si="30"/>
        <v/>
      </c>
      <c r="AH142" t="str">
        <f t="shared" si="31"/>
        <v/>
      </c>
      <c r="AI142">
        <f t="shared" si="32"/>
        <v>0</v>
      </c>
      <c r="AJ142">
        <f t="shared" si="33"/>
        <v>0</v>
      </c>
      <c r="AK142">
        <v>0</v>
      </c>
      <c r="AL142" t="str">
        <f>IF(AA142="","",IFERROR(IF(ISNUMBER('Procyfloc GS50'!D143),'Procyfloc GS50'!D143,IF(ISNUMBER(SEARCH("12",'Procyfloc GS50'!D143)),EDATE(AB142,12),IF(ISNUMBER(SEARCH("6",'Procyfloc GS50'!D143)),EDATE(AB142,6),IF(ISNUMBER(SEARCH("3",'Procyfloc GS50'!D143)),EDATE(AB142,3),DATEVALUE('Procyfloc GS50'!D143))))),""))</f>
        <v/>
      </c>
      <c r="AM142" t="str">
        <f t="shared" ca="1" si="34"/>
        <v/>
      </c>
    </row>
    <row r="143" spans="27:39" x14ac:dyDescent="0.3">
      <c r="AA143" t="str">
        <f>IF(COUNTA('Procyfloc GS50'!A144,'Procyfloc GS50'!B144,'Procyfloc GS50'!C144)&gt;0,"GS50","")</f>
        <v/>
      </c>
      <c r="AB143" t="str">
        <f>IFERROR(IF(ISNUMBER('Procyfloc GS50'!A144),'Procyfloc GS50'!A144,DATEVALUE('Procyfloc GS50'!A144)),"")</f>
        <v/>
      </c>
      <c r="AC143" t="str">
        <f>IF(AA143="","",'Procyfloc GS50'!B144)</f>
        <v/>
      </c>
      <c r="AD143" t="str">
        <f>IF(AA143="","",IFERROR(1*'Procyfloc GS50'!C144,IFERROR(_xludf.NUMBERVALUE('Procyfloc GS50'!C144,".",","),IFERROR(_xludf.NUMBERVALUE('Procyfloc GS50'!C144,",","."),0))))</f>
        <v/>
      </c>
      <c r="AE143" t="str">
        <f>IF(AA143="","",'Procyfloc GS50'!J144)</f>
        <v/>
      </c>
      <c r="AF143">
        <f t="shared" si="29"/>
        <v>0</v>
      </c>
      <c r="AG143" t="str">
        <f t="shared" si="30"/>
        <v/>
      </c>
      <c r="AH143" t="str">
        <f t="shared" si="31"/>
        <v/>
      </c>
      <c r="AI143">
        <f t="shared" si="32"/>
        <v>0</v>
      </c>
      <c r="AJ143">
        <f t="shared" si="33"/>
        <v>0</v>
      </c>
      <c r="AK143">
        <v>0</v>
      </c>
      <c r="AL143" t="str">
        <f>IF(AA143="","",IFERROR(IF(ISNUMBER('Procyfloc GS50'!D144),'Procyfloc GS50'!D144,IF(ISNUMBER(SEARCH("12",'Procyfloc GS50'!D144)),EDATE(AB143,12),IF(ISNUMBER(SEARCH("6",'Procyfloc GS50'!D144)),EDATE(AB143,6),IF(ISNUMBER(SEARCH("3",'Procyfloc GS50'!D144)),EDATE(AB143,3),DATEVALUE('Procyfloc GS50'!D144))))),""))</f>
        <v/>
      </c>
      <c r="AM143" t="str">
        <f t="shared" ca="1" si="34"/>
        <v/>
      </c>
    </row>
    <row r="144" spans="27:39" x14ac:dyDescent="0.3">
      <c r="AA144" t="str">
        <f>IF(COUNTA('Procyfloc GS50'!A145,'Procyfloc GS50'!B145,'Procyfloc GS50'!C145)&gt;0,"GS50","")</f>
        <v/>
      </c>
      <c r="AB144" t="str">
        <f>IFERROR(IF(ISNUMBER('Procyfloc GS50'!A145),'Procyfloc GS50'!A145,DATEVALUE('Procyfloc GS50'!A145)),"")</f>
        <v/>
      </c>
      <c r="AC144" t="str">
        <f>IF(AA144="","",'Procyfloc GS50'!B145)</f>
        <v/>
      </c>
      <c r="AD144" t="str">
        <f>IF(AA144="","",IFERROR(1*'Procyfloc GS50'!C145,IFERROR(_xludf.NUMBERVALUE('Procyfloc GS50'!C145,".",","),IFERROR(_xludf.NUMBERVALUE('Procyfloc GS50'!C145,",","."),0))))</f>
        <v/>
      </c>
      <c r="AE144" t="str">
        <f>IF(AA144="","",'Procyfloc GS50'!J145)</f>
        <v/>
      </c>
      <c r="AF144">
        <f t="shared" si="29"/>
        <v>0</v>
      </c>
      <c r="AG144" t="str">
        <f t="shared" si="30"/>
        <v/>
      </c>
      <c r="AH144" t="str">
        <f t="shared" si="31"/>
        <v/>
      </c>
      <c r="AI144">
        <f t="shared" si="32"/>
        <v>0</v>
      </c>
      <c r="AJ144">
        <f t="shared" si="33"/>
        <v>0</v>
      </c>
      <c r="AK144">
        <v>0</v>
      </c>
      <c r="AL144" t="str">
        <f>IF(AA144="","",IFERROR(IF(ISNUMBER('Procyfloc GS50'!D145),'Procyfloc GS50'!D145,IF(ISNUMBER(SEARCH("12",'Procyfloc GS50'!D145)),EDATE(AB144,12),IF(ISNUMBER(SEARCH("6",'Procyfloc GS50'!D145)),EDATE(AB144,6),IF(ISNUMBER(SEARCH("3",'Procyfloc GS50'!D145)),EDATE(AB144,3),DATEVALUE('Procyfloc GS50'!D145))))),""))</f>
        <v/>
      </c>
      <c r="AM144" t="str">
        <f t="shared" ca="1" si="34"/>
        <v/>
      </c>
    </row>
    <row r="145" spans="27:39" x14ac:dyDescent="0.3">
      <c r="AA145" t="str">
        <f>IF(COUNTA('Procyfloc GS50'!A146,'Procyfloc GS50'!B146,'Procyfloc GS50'!C146)&gt;0,"GS50","")</f>
        <v/>
      </c>
      <c r="AB145" t="str">
        <f>IFERROR(IF(ISNUMBER('Procyfloc GS50'!A146),'Procyfloc GS50'!A146,DATEVALUE('Procyfloc GS50'!A146)),"")</f>
        <v/>
      </c>
      <c r="AC145" t="str">
        <f>IF(AA145="","",'Procyfloc GS50'!B146)</f>
        <v/>
      </c>
      <c r="AD145" t="str">
        <f>IF(AA145="","",IFERROR(1*'Procyfloc GS50'!C146,IFERROR(_xludf.NUMBERVALUE('Procyfloc GS50'!C146,".",","),IFERROR(_xludf.NUMBERVALUE('Procyfloc GS50'!C146,",","."),0))))</f>
        <v/>
      </c>
      <c r="AE145" t="str">
        <f>IF(AA145="","",'Procyfloc GS50'!J146)</f>
        <v/>
      </c>
      <c r="AF145">
        <f t="shared" si="29"/>
        <v>0</v>
      </c>
      <c r="AG145" t="str">
        <f t="shared" si="30"/>
        <v/>
      </c>
      <c r="AH145" t="str">
        <f t="shared" si="31"/>
        <v/>
      </c>
      <c r="AI145">
        <f t="shared" si="32"/>
        <v>0</v>
      </c>
      <c r="AJ145">
        <f t="shared" si="33"/>
        <v>0</v>
      </c>
      <c r="AK145">
        <v>0</v>
      </c>
      <c r="AL145" t="str">
        <f>IF(AA145="","",IFERROR(IF(ISNUMBER('Procyfloc GS50'!D146),'Procyfloc GS50'!D146,IF(ISNUMBER(SEARCH("12",'Procyfloc GS50'!D146)),EDATE(AB145,12),IF(ISNUMBER(SEARCH("6",'Procyfloc GS50'!D146)),EDATE(AB145,6),IF(ISNUMBER(SEARCH("3",'Procyfloc GS50'!D146)),EDATE(AB145,3),DATEVALUE('Procyfloc GS50'!D146))))),""))</f>
        <v/>
      </c>
      <c r="AM145" t="str">
        <f t="shared" ca="1" si="34"/>
        <v/>
      </c>
    </row>
    <row r="146" spans="27:39" x14ac:dyDescent="0.3">
      <c r="AA146" t="str">
        <f>IF(COUNTA('Procyfloc GS50'!A147,'Procyfloc GS50'!B147,'Procyfloc GS50'!C147)&gt;0,"GS50","")</f>
        <v/>
      </c>
      <c r="AB146" t="str">
        <f>IFERROR(IF(ISNUMBER('Procyfloc GS50'!A147),'Procyfloc GS50'!A147,DATEVALUE('Procyfloc GS50'!A147)),"")</f>
        <v/>
      </c>
      <c r="AC146" t="str">
        <f>IF(AA146="","",'Procyfloc GS50'!B147)</f>
        <v/>
      </c>
      <c r="AD146" t="str">
        <f>IF(AA146="","",IFERROR(1*'Procyfloc GS50'!C147,IFERROR(_xludf.NUMBERVALUE('Procyfloc GS50'!C147,".",","),IFERROR(_xludf.NUMBERVALUE('Procyfloc GS50'!C147,",","."),0))))</f>
        <v/>
      </c>
      <c r="AE146" t="str">
        <f>IF(AA146="","",'Procyfloc GS50'!J147)</f>
        <v/>
      </c>
      <c r="AF146">
        <f t="shared" si="29"/>
        <v>0</v>
      </c>
      <c r="AG146" t="str">
        <f t="shared" si="30"/>
        <v/>
      </c>
      <c r="AH146" t="str">
        <f t="shared" si="31"/>
        <v/>
      </c>
      <c r="AI146">
        <f t="shared" si="32"/>
        <v>0</v>
      </c>
      <c r="AJ146">
        <f t="shared" si="33"/>
        <v>0</v>
      </c>
      <c r="AK146">
        <v>0</v>
      </c>
      <c r="AL146" t="str">
        <f>IF(AA146="","",IFERROR(IF(ISNUMBER('Procyfloc GS50'!D147),'Procyfloc GS50'!D147,IF(ISNUMBER(SEARCH("12",'Procyfloc GS50'!D147)),EDATE(AB146,12),IF(ISNUMBER(SEARCH("6",'Procyfloc GS50'!D147)),EDATE(AB146,6),IF(ISNUMBER(SEARCH("3",'Procyfloc GS50'!D147)),EDATE(AB146,3),DATEVALUE('Procyfloc GS50'!D147))))),""))</f>
        <v/>
      </c>
      <c r="AM146" t="str">
        <f t="shared" ca="1" si="34"/>
        <v/>
      </c>
    </row>
    <row r="147" spans="27:39" x14ac:dyDescent="0.3">
      <c r="AA147" t="str">
        <f>IF(COUNTA('Procyfloc GS50'!A148,'Procyfloc GS50'!B148,'Procyfloc GS50'!C148)&gt;0,"GS50","")</f>
        <v/>
      </c>
      <c r="AB147" t="str">
        <f>IFERROR(IF(ISNUMBER('Procyfloc GS50'!A148),'Procyfloc GS50'!A148,DATEVALUE('Procyfloc GS50'!A148)),"")</f>
        <v/>
      </c>
      <c r="AC147" t="str">
        <f>IF(AA147="","",'Procyfloc GS50'!B148)</f>
        <v/>
      </c>
      <c r="AD147" t="str">
        <f>IF(AA147="","",IFERROR(1*'Procyfloc GS50'!C148,IFERROR(_xludf.NUMBERVALUE('Procyfloc GS50'!C148,".",","),IFERROR(_xludf.NUMBERVALUE('Procyfloc GS50'!C148,",","."),0))))</f>
        <v/>
      </c>
      <c r="AE147" t="str">
        <f>IF(AA147="","",'Procyfloc GS50'!J148)</f>
        <v/>
      </c>
      <c r="AF147">
        <f t="shared" si="29"/>
        <v>0</v>
      </c>
      <c r="AG147" t="str">
        <f t="shared" si="30"/>
        <v/>
      </c>
      <c r="AH147" t="str">
        <f t="shared" si="31"/>
        <v/>
      </c>
      <c r="AI147">
        <f t="shared" si="32"/>
        <v>0</v>
      </c>
      <c r="AJ147">
        <f t="shared" si="33"/>
        <v>0</v>
      </c>
      <c r="AK147">
        <v>0</v>
      </c>
      <c r="AL147" t="str">
        <f>IF(AA147="","",IFERROR(IF(ISNUMBER('Procyfloc GS50'!D148),'Procyfloc GS50'!D148,IF(ISNUMBER(SEARCH("12",'Procyfloc GS50'!D148)),EDATE(AB147,12),IF(ISNUMBER(SEARCH("6",'Procyfloc GS50'!D148)),EDATE(AB147,6),IF(ISNUMBER(SEARCH("3",'Procyfloc GS50'!D148)),EDATE(AB147,3),DATEVALUE('Procyfloc GS50'!D148))))),""))</f>
        <v/>
      </c>
      <c r="AM147" t="str">
        <f t="shared" ca="1" si="34"/>
        <v/>
      </c>
    </row>
    <row r="148" spans="27:39" x14ac:dyDescent="0.3">
      <c r="AA148" t="str">
        <f>IF(COUNTA('Procyfloc GS50'!A149,'Procyfloc GS50'!B149,'Procyfloc GS50'!C149)&gt;0,"GS50","")</f>
        <v/>
      </c>
      <c r="AB148" t="str">
        <f>IFERROR(IF(ISNUMBER('Procyfloc GS50'!A149),'Procyfloc GS50'!A149,DATEVALUE('Procyfloc GS50'!A149)),"")</f>
        <v/>
      </c>
      <c r="AC148" t="str">
        <f>IF(AA148="","",'Procyfloc GS50'!B149)</f>
        <v/>
      </c>
      <c r="AD148" t="str">
        <f>IF(AA148="","",IFERROR(1*'Procyfloc GS50'!C149,IFERROR(_xludf.NUMBERVALUE('Procyfloc GS50'!C149,".",","),IFERROR(_xludf.NUMBERVALUE('Procyfloc GS50'!C149,",","."),0))))</f>
        <v/>
      </c>
      <c r="AE148" t="str">
        <f>IF(AA148="","",'Procyfloc GS50'!J149)</f>
        <v/>
      </c>
      <c r="AF148">
        <f t="shared" si="29"/>
        <v>0</v>
      </c>
      <c r="AG148" t="str">
        <f t="shared" si="30"/>
        <v/>
      </c>
      <c r="AH148" t="str">
        <f t="shared" si="31"/>
        <v/>
      </c>
      <c r="AI148">
        <f t="shared" si="32"/>
        <v>0</v>
      </c>
      <c r="AJ148">
        <f t="shared" si="33"/>
        <v>0</v>
      </c>
      <c r="AK148">
        <v>0</v>
      </c>
      <c r="AL148" t="str">
        <f>IF(AA148="","",IFERROR(IF(ISNUMBER('Procyfloc GS50'!D149),'Procyfloc GS50'!D149,IF(ISNUMBER(SEARCH("12",'Procyfloc GS50'!D149)),EDATE(AB148,12),IF(ISNUMBER(SEARCH("6",'Procyfloc GS50'!D149)),EDATE(AB148,6),IF(ISNUMBER(SEARCH("3",'Procyfloc GS50'!D149)),EDATE(AB148,3),DATEVALUE('Procyfloc GS50'!D149))))),""))</f>
        <v/>
      </c>
      <c r="AM148" t="str">
        <f t="shared" ca="1" si="34"/>
        <v/>
      </c>
    </row>
    <row r="149" spans="27:39" x14ac:dyDescent="0.3">
      <c r="AA149" t="str">
        <f>IF(COUNTA('Procyfloc GS50'!A150,'Procyfloc GS50'!B150,'Procyfloc GS50'!C150)&gt;0,"GS50","")</f>
        <v/>
      </c>
      <c r="AB149" t="str">
        <f>IFERROR(IF(ISNUMBER('Procyfloc GS50'!A150),'Procyfloc GS50'!A150,DATEVALUE('Procyfloc GS50'!A150)),"")</f>
        <v/>
      </c>
      <c r="AC149" t="str">
        <f>IF(AA149="","",'Procyfloc GS50'!B150)</f>
        <v/>
      </c>
      <c r="AD149" t="str">
        <f>IF(AA149="","",IFERROR(1*'Procyfloc GS50'!C150,IFERROR(_xludf.NUMBERVALUE('Procyfloc GS50'!C150,".",","),IFERROR(_xludf.NUMBERVALUE('Procyfloc GS50'!C150,",","."),0))))</f>
        <v/>
      </c>
      <c r="AE149" t="str">
        <f>IF(AA149="","",'Procyfloc GS50'!J150)</f>
        <v/>
      </c>
      <c r="AF149">
        <f t="shared" si="29"/>
        <v>0</v>
      </c>
      <c r="AG149" t="str">
        <f t="shared" si="30"/>
        <v/>
      </c>
      <c r="AH149" t="str">
        <f t="shared" si="31"/>
        <v/>
      </c>
      <c r="AI149">
        <f t="shared" si="32"/>
        <v>0</v>
      </c>
      <c r="AJ149">
        <f t="shared" si="33"/>
        <v>0</v>
      </c>
      <c r="AK149">
        <v>0</v>
      </c>
      <c r="AL149" t="str">
        <f>IF(AA149="","",IFERROR(IF(ISNUMBER('Procyfloc GS50'!D150),'Procyfloc GS50'!D150,IF(ISNUMBER(SEARCH("12",'Procyfloc GS50'!D150)),EDATE(AB149,12),IF(ISNUMBER(SEARCH("6",'Procyfloc GS50'!D150)),EDATE(AB149,6),IF(ISNUMBER(SEARCH("3",'Procyfloc GS50'!D150)),EDATE(AB149,3),DATEVALUE('Procyfloc GS50'!D150))))),""))</f>
        <v/>
      </c>
      <c r="AM149" t="str">
        <f t="shared" ca="1" si="34"/>
        <v/>
      </c>
    </row>
    <row r="150" spans="27:39" x14ac:dyDescent="0.3">
      <c r="AA150" t="str">
        <f>IF(COUNTA('Procyfloc GS50'!A151,'Procyfloc GS50'!B151,'Procyfloc GS50'!C151)&gt;0,"GS50","")</f>
        <v/>
      </c>
      <c r="AB150" t="str">
        <f>IFERROR(IF(ISNUMBER('Procyfloc GS50'!A151),'Procyfloc GS50'!A151,DATEVALUE('Procyfloc GS50'!A151)),"")</f>
        <v/>
      </c>
      <c r="AC150" t="str">
        <f>IF(AA150="","",'Procyfloc GS50'!B151)</f>
        <v/>
      </c>
      <c r="AD150" t="str">
        <f>IF(AA150="","",IFERROR(1*'Procyfloc GS50'!C151,IFERROR(_xludf.NUMBERVALUE('Procyfloc GS50'!C151,".",","),IFERROR(_xludf.NUMBERVALUE('Procyfloc GS50'!C151,",","."),0))))</f>
        <v/>
      </c>
      <c r="AE150" t="str">
        <f>IF(AA150="","",'Procyfloc GS50'!J151)</f>
        <v/>
      </c>
      <c r="AF150">
        <f t="shared" si="29"/>
        <v>0</v>
      </c>
      <c r="AG150" t="str">
        <f t="shared" si="30"/>
        <v/>
      </c>
      <c r="AH150" t="str">
        <f t="shared" si="31"/>
        <v/>
      </c>
      <c r="AI150">
        <f t="shared" si="32"/>
        <v>0</v>
      </c>
      <c r="AJ150">
        <f t="shared" si="33"/>
        <v>0</v>
      </c>
      <c r="AK150">
        <v>0</v>
      </c>
      <c r="AL150" t="str">
        <f>IF(AA150="","",IFERROR(IF(ISNUMBER('Procyfloc GS50'!D151),'Procyfloc GS50'!D151,IF(ISNUMBER(SEARCH("12",'Procyfloc GS50'!D151)),EDATE(AB150,12),IF(ISNUMBER(SEARCH("6",'Procyfloc GS50'!D151)),EDATE(AB150,6),IF(ISNUMBER(SEARCH("3",'Procyfloc GS50'!D151)),EDATE(AB150,3),DATEVALUE('Procyfloc GS50'!D151))))),""))</f>
        <v/>
      </c>
      <c r="AM150" t="str">
        <f t="shared" ca="1" si="34"/>
        <v/>
      </c>
    </row>
    <row r="151" spans="27:39" x14ac:dyDescent="0.3">
      <c r="AA151" t="str">
        <f>IF(COUNTA('Procyfloc GS50'!A152,'Procyfloc GS50'!B152,'Procyfloc GS50'!C152)&gt;0,"GS50","")</f>
        <v/>
      </c>
      <c r="AB151" t="str">
        <f>IFERROR(IF(ISNUMBER('Procyfloc GS50'!A152),'Procyfloc GS50'!A152,DATEVALUE('Procyfloc GS50'!A152)),"")</f>
        <v/>
      </c>
      <c r="AC151" t="str">
        <f>IF(AA151="","",'Procyfloc GS50'!B152)</f>
        <v/>
      </c>
      <c r="AD151" t="str">
        <f>IF(AA151="","",IFERROR(1*'Procyfloc GS50'!C152,IFERROR(_xludf.NUMBERVALUE('Procyfloc GS50'!C152,".",","),IFERROR(_xludf.NUMBERVALUE('Procyfloc GS50'!C152,",","."),0))))</f>
        <v/>
      </c>
      <c r="AE151" t="str">
        <f>IF(AA151="","",'Procyfloc GS50'!J152)</f>
        <v/>
      </c>
      <c r="AF151">
        <f t="shared" si="29"/>
        <v>0</v>
      </c>
      <c r="AG151" t="str">
        <f t="shared" si="30"/>
        <v/>
      </c>
      <c r="AH151" t="str">
        <f t="shared" si="31"/>
        <v/>
      </c>
      <c r="AI151">
        <f t="shared" si="32"/>
        <v>0</v>
      </c>
      <c r="AJ151">
        <f t="shared" si="33"/>
        <v>0</v>
      </c>
      <c r="AK151">
        <v>0</v>
      </c>
      <c r="AL151" t="str">
        <f>IF(AA151="","",IFERROR(IF(ISNUMBER('Procyfloc GS50'!D152),'Procyfloc GS50'!D152,IF(ISNUMBER(SEARCH("12",'Procyfloc GS50'!D152)),EDATE(AB151,12),IF(ISNUMBER(SEARCH("6",'Procyfloc GS50'!D152)),EDATE(AB151,6),IF(ISNUMBER(SEARCH("3",'Procyfloc GS50'!D152)),EDATE(AB151,3),DATEVALUE('Procyfloc GS50'!D152))))),""))</f>
        <v/>
      </c>
      <c r="AM151" t="str">
        <f t="shared" ca="1" si="34"/>
        <v/>
      </c>
    </row>
    <row r="152" spans="27:39" x14ac:dyDescent="0.3">
      <c r="AA152" t="str">
        <f>IF(COUNTA('Procyfloc GS50'!A153,'Procyfloc GS50'!B153,'Procyfloc GS50'!C153)&gt;0,"GS50","")</f>
        <v/>
      </c>
      <c r="AB152" t="str">
        <f>IFERROR(IF(ISNUMBER('Procyfloc GS50'!A153),'Procyfloc GS50'!A153,DATEVALUE('Procyfloc GS50'!A153)),"")</f>
        <v/>
      </c>
      <c r="AC152" t="str">
        <f>IF(AA152="","",'Procyfloc GS50'!B153)</f>
        <v/>
      </c>
      <c r="AD152" t="str">
        <f>IF(AA152="","",IFERROR(1*'Procyfloc GS50'!C153,IFERROR(_xludf.NUMBERVALUE('Procyfloc GS50'!C153,".",","),IFERROR(_xludf.NUMBERVALUE('Procyfloc GS50'!C153,",","."),0))))</f>
        <v/>
      </c>
      <c r="AE152" t="str">
        <f>IF(AA152="","",'Procyfloc GS50'!J153)</f>
        <v/>
      </c>
      <c r="AF152">
        <f t="shared" si="29"/>
        <v>0</v>
      </c>
      <c r="AG152" t="str">
        <f t="shared" si="30"/>
        <v/>
      </c>
      <c r="AH152" t="str">
        <f t="shared" si="31"/>
        <v/>
      </c>
      <c r="AI152">
        <f t="shared" si="32"/>
        <v>0</v>
      </c>
      <c r="AJ152">
        <f t="shared" si="33"/>
        <v>0</v>
      </c>
      <c r="AK152">
        <v>0</v>
      </c>
      <c r="AL152" t="str">
        <f>IF(AA152="","",IFERROR(IF(ISNUMBER('Procyfloc GS50'!D153),'Procyfloc GS50'!D153,IF(ISNUMBER(SEARCH("12",'Procyfloc GS50'!D153)),EDATE(AB152,12),IF(ISNUMBER(SEARCH("6",'Procyfloc GS50'!D153)),EDATE(AB152,6),IF(ISNUMBER(SEARCH("3",'Procyfloc GS50'!D153)),EDATE(AB152,3),DATEVALUE('Procyfloc GS50'!D153))))),""))</f>
        <v/>
      </c>
      <c r="AM152" t="str">
        <f t="shared" ca="1" si="34"/>
        <v/>
      </c>
    </row>
    <row r="153" spans="27:39" x14ac:dyDescent="0.3">
      <c r="AA153" t="str">
        <f>IF(COUNTA('Procyfloc GS50'!A154,'Procyfloc GS50'!B154,'Procyfloc GS50'!C154)&gt;0,"GS50","")</f>
        <v/>
      </c>
      <c r="AB153" t="str">
        <f>IFERROR(IF(ISNUMBER('Procyfloc GS50'!A154),'Procyfloc GS50'!A154,DATEVALUE('Procyfloc GS50'!A154)),"")</f>
        <v/>
      </c>
      <c r="AC153" t="str">
        <f>IF(AA153="","",'Procyfloc GS50'!B154)</f>
        <v/>
      </c>
      <c r="AD153" t="str">
        <f>IF(AA153="","",IFERROR(1*'Procyfloc GS50'!C154,IFERROR(_xludf.NUMBERVALUE('Procyfloc GS50'!C154,".",","),IFERROR(_xludf.NUMBERVALUE('Procyfloc GS50'!C154,",","."),0))))</f>
        <v/>
      </c>
      <c r="AE153" t="str">
        <f>IF(AA153="","",'Procyfloc GS50'!J154)</f>
        <v/>
      </c>
      <c r="AF153">
        <f t="shared" si="29"/>
        <v>0</v>
      </c>
      <c r="AG153" t="str">
        <f t="shared" si="30"/>
        <v/>
      </c>
      <c r="AH153" t="str">
        <f t="shared" si="31"/>
        <v/>
      </c>
      <c r="AI153">
        <f t="shared" si="32"/>
        <v>0</v>
      </c>
      <c r="AJ153">
        <f t="shared" si="33"/>
        <v>0</v>
      </c>
      <c r="AK153">
        <v>0</v>
      </c>
      <c r="AL153" t="str">
        <f>IF(AA153="","",IFERROR(IF(ISNUMBER('Procyfloc GS50'!D154),'Procyfloc GS50'!D154,IF(ISNUMBER(SEARCH("12",'Procyfloc GS50'!D154)),EDATE(AB153,12),IF(ISNUMBER(SEARCH("6",'Procyfloc GS50'!D154)),EDATE(AB153,6),IF(ISNUMBER(SEARCH("3",'Procyfloc GS50'!D154)),EDATE(AB153,3),DATEVALUE('Procyfloc GS50'!D154))))),""))</f>
        <v/>
      </c>
      <c r="AM153" t="str">
        <f t="shared" ca="1" si="34"/>
        <v/>
      </c>
    </row>
    <row r="154" spans="27:39" x14ac:dyDescent="0.3">
      <c r="AA154" t="str">
        <f>IF(COUNTA('Procyfloc GS50'!A155,'Procyfloc GS50'!B155,'Procyfloc GS50'!C155)&gt;0,"GS50","")</f>
        <v/>
      </c>
      <c r="AB154" t="str">
        <f>IFERROR(IF(ISNUMBER('Procyfloc GS50'!A155),'Procyfloc GS50'!A155,DATEVALUE('Procyfloc GS50'!A155)),"")</f>
        <v/>
      </c>
      <c r="AC154" t="str">
        <f>IF(AA154="","",'Procyfloc GS50'!B155)</f>
        <v/>
      </c>
      <c r="AD154" t="str">
        <f>IF(AA154="","",IFERROR(1*'Procyfloc GS50'!C155,IFERROR(_xludf.NUMBERVALUE('Procyfloc GS50'!C155,".",","),IFERROR(_xludf.NUMBERVALUE('Procyfloc GS50'!C155,",","."),0))))</f>
        <v/>
      </c>
      <c r="AE154" t="str">
        <f>IF(AA154="","",'Procyfloc GS50'!J155)</f>
        <v/>
      </c>
      <c r="AF154">
        <f t="shared" si="29"/>
        <v>0</v>
      </c>
      <c r="AG154" t="str">
        <f t="shared" si="30"/>
        <v/>
      </c>
      <c r="AH154" t="str">
        <f t="shared" si="31"/>
        <v/>
      </c>
      <c r="AI154">
        <f t="shared" si="32"/>
        <v>0</v>
      </c>
      <c r="AJ154">
        <f t="shared" si="33"/>
        <v>0</v>
      </c>
      <c r="AK154">
        <v>0</v>
      </c>
      <c r="AL154" t="str">
        <f>IF(AA154="","",IFERROR(IF(ISNUMBER('Procyfloc GS50'!D155),'Procyfloc GS50'!D155,IF(ISNUMBER(SEARCH("12",'Procyfloc GS50'!D155)),EDATE(AB154,12),IF(ISNUMBER(SEARCH("6",'Procyfloc GS50'!D155)),EDATE(AB154,6),IF(ISNUMBER(SEARCH("3",'Procyfloc GS50'!D155)),EDATE(AB154,3),DATEVALUE('Procyfloc GS50'!D155))))),""))</f>
        <v/>
      </c>
      <c r="AM154" t="str">
        <f t="shared" ca="1" si="34"/>
        <v/>
      </c>
    </row>
    <row r="155" spans="27:39" x14ac:dyDescent="0.3">
      <c r="AA155" t="str">
        <f>IF(COUNTA('Procyfloc GS50'!A156,'Procyfloc GS50'!B156,'Procyfloc GS50'!C156)&gt;0,"GS50","")</f>
        <v/>
      </c>
      <c r="AB155" t="str">
        <f>IFERROR(IF(ISNUMBER('Procyfloc GS50'!A156),'Procyfloc GS50'!A156,DATEVALUE('Procyfloc GS50'!A156)),"")</f>
        <v/>
      </c>
      <c r="AC155" t="str">
        <f>IF(AA155="","",'Procyfloc GS50'!B156)</f>
        <v/>
      </c>
      <c r="AD155" t="str">
        <f>IF(AA155="","",IFERROR(1*'Procyfloc GS50'!C156,IFERROR(_xludf.NUMBERVALUE('Procyfloc GS50'!C156,".",","),IFERROR(_xludf.NUMBERVALUE('Procyfloc GS50'!C156,",","."),0))))</f>
        <v/>
      </c>
      <c r="AE155" t="str">
        <f>IF(AA155="","",'Procyfloc GS50'!J156)</f>
        <v/>
      </c>
      <c r="AF155">
        <f t="shared" si="29"/>
        <v>0</v>
      </c>
      <c r="AG155" t="str">
        <f t="shared" si="30"/>
        <v/>
      </c>
      <c r="AH155" t="str">
        <f t="shared" si="31"/>
        <v/>
      </c>
      <c r="AI155">
        <f t="shared" si="32"/>
        <v>0</v>
      </c>
      <c r="AJ155">
        <f t="shared" si="33"/>
        <v>0</v>
      </c>
      <c r="AK155">
        <v>0</v>
      </c>
      <c r="AL155" t="str">
        <f>IF(AA155="","",IFERROR(IF(ISNUMBER('Procyfloc GS50'!D156),'Procyfloc GS50'!D156,IF(ISNUMBER(SEARCH("12",'Procyfloc GS50'!D156)),EDATE(AB155,12),IF(ISNUMBER(SEARCH("6",'Procyfloc GS50'!D156)),EDATE(AB155,6),IF(ISNUMBER(SEARCH("3",'Procyfloc GS50'!D156)),EDATE(AB155,3),DATEVALUE('Procyfloc GS50'!D156))))),""))</f>
        <v/>
      </c>
      <c r="AM155" t="str">
        <f t="shared" ca="1" si="34"/>
        <v/>
      </c>
    </row>
    <row r="156" spans="27:39" x14ac:dyDescent="0.3">
      <c r="AA156" t="str">
        <f>IF(COUNTA('Procyfloc GS50'!A157,'Procyfloc GS50'!B157,'Procyfloc GS50'!C157)&gt;0,"GS50","")</f>
        <v/>
      </c>
      <c r="AB156" t="str">
        <f>IFERROR(IF(ISNUMBER('Procyfloc GS50'!A157),'Procyfloc GS50'!A157,DATEVALUE('Procyfloc GS50'!A157)),"")</f>
        <v/>
      </c>
      <c r="AC156" t="str">
        <f>IF(AA156="","",'Procyfloc GS50'!B157)</f>
        <v/>
      </c>
      <c r="AD156" t="str">
        <f>IF(AA156="","",IFERROR(1*'Procyfloc GS50'!C157,IFERROR(_xludf.NUMBERVALUE('Procyfloc GS50'!C157,".",","),IFERROR(_xludf.NUMBERVALUE('Procyfloc GS50'!C157,",","."),0))))</f>
        <v/>
      </c>
      <c r="AE156" t="str">
        <f>IF(AA156="","",'Procyfloc GS50'!J157)</f>
        <v/>
      </c>
      <c r="AF156">
        <f t="shared" si="29"/>
        <v>0</v>
      </c>
      <c r="AG156" t="str">
        <f t="shared" si="30"/>
        <v/>
      </c>
      <c r="AH156" t="str">
        <f t="shared" si="31"/>
        <v/>
      </c>
      <c r="AI156">
        <f t="shared" si="32"/>
        <v>0</v>
      </c>
      <c r="AJ156">
        <f t="shared" si="33"/>
        <v>0</v>
      </c>
      <c r="AK156">
        <v>0</v>
      </c>
      <c r="AL156" t="str">
        <f>IF(AA156="","",IFERROR(IF(ISNUMBER('Procyfloc GS50'!D157),'Procyfloc GS50'!D157,IF(ISNUMBER(SEARCH("12",'Procyfloc GS50'!D157)),EDATE(AB156,12),IF(ISNUMBER(SEARCH("6",'Procyfloc GS50'!D157)),EDATE(AB156,6),IF(ISNUMBER(SEARCH("3",'Procyfloc GS50'!D157)),EDATE(AB156,3),DATEVALUE('Procyfloc GS50'!D157))))),""))</f>
        <v/>
      </c>
      <c r="AM156" t="str">
        <f t="shared" ca="1" si="34"/>
        <v/>
      </c>
    </row>
    <row r="157" spans="27:39" x14ac:dyDescent="0.3">
      <c r="AA157" t="str">
        <f>IF(COUNTA('Procyfloc GS50'!A158,'Procyfloc GS50'!B158,'Procyfloc GS50'!C158)&gt;0,"GS50","")</f>
        <v/>
      </c>
      <c r="AB157" t="str">
        <f>IFERROR(IF(ISNUMBER('Procyfloc GS50'!A158),'Procyfloc GS50'!A158,DATEVALUE('Procyfloc GS50'!A158)),"")</f>
        <v/>
      </c>
      <c r="AC157" t="str">
        <f>IF(AA157="","",'Procyfloc GS50'!B158)</f>
        <v/>
      </c>
      <c r="AD157" t="str">
        <f>IF(AA157="","",IFERROR(1*'Procyfloc GS50'!C158,IFERROR(_xludf.NUMBERVALUE('Procyfloc GS50'!C158,".",","),IFERROR(_xludf.NUMBERVALUE('Procyfloc GS50'!C158,",","."),0))))</f>
        <v/>
      </c>
      <c r="AE157" t="str">
        <f>IF(AA157="","",'Procyfloc GS50'!J158)</f>
        <v/>
      </c>
      <c r="AF157">
        <f t="shared" si="29"/>
        <v>0</v>
      </c>
      <c r="AG157" t="str">
        <f t="shared" si="30"/>
        <v/>
      </c>
      <c r="AH157" t="str">
        <f t="shared" si="31"/>
        <v/>
      </c>
      <c r="AI157">
        <f t="shared" si="32"/>
        <v>0</v>
      </c>
      <c r="AJ157">
        <f t="shared" si="33"/>
        <v>0</v>
      </c>
      <c r="AK157">
        <v>0</v>
      </c>
      <c r="AL157" t="str">
        <f>IF(AA157="","",IFERROR(IF(ISNUMBER('Procyfloc GS50'!D158),'Procyfloc GS50'!D158,IF(ISNUMBER(SEARCH("12",'Procyfloc GS50'!D158)),EDATE(AB157,12),IF(ISNUMBER(SEARCH("6",'Procyfloc GS50'!D158)),EDATE(AB157,6),IF(ISNUMBER(SEARCH("3",'Procyfloc GS50'!D158)),EDATE(AB157,3),DATEVALUE('Procyfloc GS50'!D158))))),""))</f>
        <v/>
      </c>
      <c r="AM157" t="str">
        <f t="shared" ca="1" si="34"/>
        <v/>
      </c>
    </row>
    <row r="158" spans="27:39" x14ac:dyDescent="0.3">
      <c r="AA158" t="str">
        <f>IF(COUNTA('Procyfloc GS50'!A159,'Procyfloc GS50'!B159,'Procyfloc GS50'!C159)&gt;0,"GS50","")</f>
        <v/>
      </c>
      <c r="AB158" t="str">
        <f>IFERROR(IF(ISNUMBER('Procyfloc GS50'!A159),'Procyfloc GS50'!A159,DATEVALUE('Procyfloc GS50'!A159)),"")</f>
        <v/>
      </c>
      <c r="AC158" t="str">
        <f>IF(AA158="","",'Procyfloc GS50'!B159)</f>
        <v/>
      </c>
      <c r="AD158" t="str">
        <f>IF(AA158="","",IFERROR(1*'Procyfloc GS50'!C159,IFERROR(_xludf.NUMBERVALUE('Procyfloc GS50'!C159,".",","),IFERROR(_xludf.NUMBERVALUE('Procyfloc GS50'!C159,",","."),0))))</f>
        <v/>
      </c>
      <c r="AE158" t="str">
        <f>IF(AA158="","",'Procyfloc GS50'!J159)</f>
        <v/>
      </c>
      <c r="AF158">
        <f t="shared" si="29"/>
        <v>0</v>
      </c>
      <c r="AG158" t="str">
        <f t="shared" si="30"/>
        <v/>
      </c>
      <c r="AH158" t="str">
        <f t="shared" si="31"/>
        <v/>
      </c>
      <c r="AI158">
        <f t="shared" si="32"/>
        <v>0</v>
      </c>
      <c r="AJ158">
        <f t="shared" si="33"/>
        <v>0</v>
      </c>
      <c r="AK158">
        <v>0</v>
      </c>
      <c r="AL158" t="str">
        <f>IF(AA158="","",IFERROR(IF(ISNUMBER('Procyfloc GS50'!D159),'Procyfloc GS50'!D159,IF(ISNUMBER(SEARCH("12",'Procyfloc GS50'!D159)),EDATE(AB158,12),IF(ISNUMBER(SEARCH("6",'Procyfloc GS50'!D159)),EDATE(AB158,6),IF(ISNUMBER(SEARCH("3",'Procyfloc GS50'!D159)),EDATE(AB158,3),DATEVALUE('Procyfloc GS50'!D159))))),""))</f>
        <v/>
      </c>
      <c r="AM158" t="str">
        <f t="shared" ca="1" si="34"/>
        <v/>
      </c>
    </row>
    <row r="159" spans="27:39" x14ac:dyDescent="0.3">
      <c r="AA159" t="str">
        <f>IF(COUNTA('Procyfloc GS50'!A160,'Procyfloc GS50'!B160,'Procyfloc GS50'!C160)&gt;0,"GS50","")</f>
        <v/>
      </c>
      <c r="AB159" t="str">
        <f>IFERROR(IF(ISNUMBER('Procyfloc GS50'!A160),'Procyfloc GS50'!A160,DATEVALUE('Procyfloc GS50'!A160)),"")</f>
        <v/>
      </c>
      <c r="AC159" t="str">
        <f>IF(AA159="","",'Procyfloc GS50'!B160)</f>
        <v/>
      </c>
      <c r="AD159" t="str">
        <f>IF(AA159="","",IFERROR(1*'Procyfloc GS50'!C160,IFERROR(_xludf.NUMBERVALUE('Procyfloc GS50'!C160,".",","),IFERROR(_xludf.NUMBERVALUE('Procyfloc GS50'!C160,",","."),0))))</f>
        <v/>
      </c>
      <c r="AE159" t="str">
        <f>IF(AA159="","",'Procyfloc GS50'!J160)</f>
        <v/>
      </c>
      <c r="AF159">
        <f t="shared" si="29"/>
        <v>0</v>
      </c>
      <c r="AG159" t="str">
        <f t="shared" si="30"/>
        <v/>
      </c>
      <c r="AH159" t="str">
        <f t="shared" si="31"/>
        <v/>
      </c>
      <c r="AI159">
        <f t="shared" si="32"/>
        <v>0</v>
      </c>
      <c r="AJ159">
        <f t="shared" si="33"/>
        <v>0</v>
      </c>
      <c r="AK159">
        <v>0</v>
      </c>
      <c r="AL159" t="str">
        <f>IF(AA159="","",IFERROR(IF(ISNUMBER('Procyfloc GS50'!D160),'Procyfloc GS50'!D160,IF(ISNUMBER(SEARCH("12",'Procyfloc GS50'!D160)),EDATE(AB159,12),IF(ISNUMBER(SEARCH("6",'Procyfloc GS50'!D160)),EDATE(AB159,6),IF(ISNUMBER(SEARCH("3",'Procyfloc GS50'!D160)),EDATE(AB159,3),DATEVALUE('Procyfloc GS50'!D160))))),""))</f>
        <v/>
      </c>
      <c r="AM159" t="str">
        <f t="shared" ca="1" si="34"/>
        <v/>
      </c>
    </row>
    <row r="160" spans="27:39" x14ac:dyDescent="0.3">
      <c r="AA160" t="str">
        <f>IF(COUNTA('Procyfloc GS50'!A161,'Procyfloc GS50'!B161,'Procyfloc GS50'!C161)&gt;0,"GS50","")</f>
        <v/>
      </c>
      <c r="AB160" t="str">
        <f>IFERROR(IF(ISNUMBER('Procyfloc GS50'!A161),'Procyfloc GS50'!A161,DATEVALUE('Procyfloc GS50'!A161)),"")</f>
        <v/>
      </c>
      <c r="AC160" t="str">
        <f>IF(AA160="","",'Procyfloc GS50'!B161)</f>
        <v/>
      </c>
      <c r="AD160" t="str">
        <f>IF(AA160="","",IFERROR(1*'Procyfloc GS50'!C161,IFERROR(_xludf.NUMBERVALUE('Procyfloc GS50'!C161,".",","),IFERROR(_xludf.NUMBERVALUE('Procyfloc GS50'!C161,",","."),0))))</f>
        <v/>
      </c>
      <c r="AE160" t="str">
        <f>IF(AA160="","",'Procyfloc GS50'!J161)</f>
        <v/>
      </c>
      <c r="AF160">
        <f t="shared" si="29"/>
        <v>0</v>
      </c>
      <c r="AG160" t="str">
        <f t="shared" si="30"/>
        <v/>
      </c>
      <c r="AH160" t="str">
        <f t="shared" si="31"/>
        <v/>
      </c>
      <c r="AI160">
        <f t="shared" si="32"/>
        <v>0</v>
      </c>
      <c r="AJ160">
        <f t="shared" si="33"/>
        <v>0</v>
      </c>
      <c r="AK160">
        <v>0</v>
      </c>
      <c r="AL160" t="str">
        <f>IF(AA160="","",IFERROR(IF(ISNUMBER('Procyfloc GS50'!D161),'Procyfloc GS50'!D161,IF(ISNUMBER(SEARCH("12",'Procyfloc GS50'!D161)),EDATE(AB160,12),IF(ISNUMBER(SEARCH("6",'Procyfloc GS50'!D161)),EDATE(AB160,6),IF(ISNUMBER(SEARCH("3",'Procyfloc GS50'!D161)),EDATE(AB160,3),DATEVALUE('Procyfloc GS50'!D161))))),""))</f>
        <v/>
      </c>
      <c r="AM160" t="str">
        <f t="shared" ca="1" si="34"/>
        <v/>
      </c>
    </row>
    <row r="161" spans="27:39" x14ac:dyDescent="0.3">
      <c r="AA161" t="str">
        <f>IF(COUNTA('Procyfloc GS50'!A162,'Procyfloc GS50'!B162,'Procyfloc GS50'!C162)&gt;0,"GS50","")</f>
        <v/>
      </c>
      <c r="AB161" t="str">
        <f>IFERROR(IF(ISNUMBER('Procyfloc GS50'!A162),'Procyfloc GS50'!A162,DATEVALUE('Procyfloc GS50'!A162)),"")</f>
        <v/>
      </c>
      <c r="AC161" t="str">
        <f>IF(AA161="","",'Procyfloc GS50'!B162)</f>
        <v/>
      </c>
      <c r="AD161" t="str">
        <f>IF(AA161="","",IFERROR(1*'Procyfloc GS50'!C162,IFERROR(_xludf.NUMBERVALUE('Procyfloc GS50'!C162,".",","),IFERROR(_xludf.NUMBERVALUE('Procyfloc GS50'!C162,",","."),0))))</f>
        <v/>
      </c>
      <c r="AE161" t="str">
        <f>IF(AA161="","",'Procyfloc GS50'!J162)</f>
        <v/>
      </c>
      <c r="AF161">
        <f t="shared" si="29"/>
        <v>0</v>
      </c>
      <c r="AG161" t="str">
        <f t="shared" si="30"/>
        <v/>
      </c>
      <c r="AH161" t="str">
        <f t="shared" si="31"/>
        <v/>
      </c>
      <c r="AI161">
        <f t="shared" si="32"/>
        <v>0</v>
      </c>
      <c r="AJ161">
        <f t="shared" si="33"/>
        <v>0</v>
      </c>
      <c r="AK161">
        <v>0</v>
      </c>
      <c r="AL161" t="str">
        <f>IF(AA161="","",IFERROR(IF(ISNUMBER('Procyfloc GS50'!D162),'Procyfloc GS50'!D162,IF(ISNUMBER(SEARCH("12",'Procyfloc GS50'!D162)),EDATE(AB161,12),IF(ISNUMBER(SEARCH("6",'Procyfloc GS50'!D162)),EDATE(AB161,6),IF(ISNUMBER(SEARCH("3",'Procyfloc GS50'!D162)),EDATE(AB161,3),DATEVALUE('Procyfloc GS50'!D162))))),""))</f>
        <v/>
      </c>
      <c r="AM161" t="str">
        <f t="shared" ca="1" si="34"/>
        <v/>
      </c>
    </row>
    <row r="162" spans="27:39" x14ac:dyDescent="0.3">
      <c r="AA162" t="str">
        <f>IF(COUNTA('Procyfloc GS50'!A163,'Procyfloc GS50'!B163,'Procyfloc GS50'!C163)&gt;0,"GS50","")</f>
        <v/>
      </c>
      <c r="AB162" t="str">
        <f>IFERROR(IF(ISNUMBER('Procyfloc GS50'!A163),'Procyfloc GS50'!A163,DATEVALUE('Procyfloc GS50'!A163)),"")</f>
        <v/>
      </c>
      <c r="AC162" t="str">
        <f>IF(AA162="","",'Procyfloc GS50'!B163)</f>
        <v/>
      </c>
      <c r="AD162" t="str">
        <f>IF(AA162="","",IFERROR(1*'Procyfloc GS50'!C163,IFERROR(_xludf.NUMBERVALUE('Procyfloc GS50'!C163,".",","),IFERROR(_xludf.NUMBERVALUE('Procyfloc GS50'!C163,",","."),0))))</f>
        <v/>
      </c>
      <c r="AE162" t="str">
        <f>IF(AA162="","",'Procyfloc GS50'!J163)</f>
        <v/>
      </c>
      <c r="AF162">
        <f t="shared" si="29"/>
        <v>0</v>
      </c>
      <c r="AG162" t="str">
        <f t="shared" si="30"/>
        <v/>
      </c>
      <c r="AH162" t="str">
        <f t="shared" si="31"/>
        <v/>
      </c>
      <c r="AI162">
        <f t="shared" si="32"/>
        <v>0</v>
      </c>
      <c r="AJ162">
        <f t="shared" si="33"/>
        <v>0</v>
      </c>
      <c r="AK162">
        <v>0</v>
      </c>
      <c r="AL162" t="str">
        <f>IF(AA162="","",IFERROR(IF(ISNUMBER('Procyfloc GS50'!D163),'Procyfloc GS50'!D163,IF(ISNUMBER(SEARCH("12",'Procyfloc GS50'!D163)),EDATE(AB162,12),IF(ISNUMBER(SEARCH("6",'Procyfloc GS50'!D163)),EDATE(AB162,6),IF(ISNUMBER(SEARCH("3",'Procyfloc GS50'!D163)),EDATE(AB162,3),DATEVALUE('Procyfloc GS50'!D163))))),""))</f>
        <v/>
      </c>
      <c r="AM162" t="str">
        <f t="shared" ca="1" si="34"/>
        <v/>
      </c>
    </row>
    <row r="163" spans="27:39" x14ac:dyDescent="0.3">
      <c r="AA163" t="str">
        <f>IF(COUNTA('Procyfloc GS50'!A164,'Procyfloc GS50'!B164,'Procyfloc GS50'!C164)&gt;0,"GS50","")</f>
        <v/>
      </c>
      <c r="AB163" t="str">
        <f>IFERROR(IF(ISNUMBER('Procyfloc GS50'!A164),'Procyfloc GS50'!A164,DATEVALUE('Procyfloc GS50'!A164)),"")</f>
        <v/>
      </c>
      <c r="AC163" t="str">
        <f>IF(AA163="","",'Procyfloc GS50'!B164)</f>
        <v/>
      </c>
      <c r="AD163" t="str">
        <f>IF(AA163="","",IFERROR(1*'Procyfloc GS50'!C164,IFERROR(_xludf.NUMBERVALUE('Procyfloc GS50'!C164,".",","),IFERROR(_xludf.NUMBERVALUE('Procyfloc GS50'!C164,",","."),0))))</f>
        <v/>
      </c>
      <c r="AE163" t="str">
        <f>IF(AA163="","",'Procyfloc GS50'!J164)</f>
        <v/>
      </c>
      <c r="AF163">
        <f t="shared" si="29"/>
        <v>0</v>
      </c>
      <c r="AG163" t="str">
        <f t="shared" si="30"/>
        <v/>
      </c>
      <c r="AH163" t="str">
        <f t="shared" si="31"/>
        <v/>
      </c>
      <c r="AI163">
        <f t="shared" si="32"/>
        <v>0</v>
      </c>
      <c r="AJ163">
        <f t="shared" si="33"/>
        <v>0</v>
      </c>
      <c r="AK163">
        <v>0</v>
      </c>
      <c r="AL163" t="str">
        <f>IF(AA163="","",IFERROR(IF(ISNUMBER('Procyfloc GS50'!D164),'Procyfloc GS50'!D164,IF(ISNUMBER(SEARCH("12",'Procyfloc GS50'!D164)),EDATE(AB163,12),IF(ISNUMBER(SEARCH("6",'Procyfloc GS50'!D164)),EDATE(AB163,6),IF(ISNUMBER(SEARCH("3",'Procyfloc GS50'!D164)),EDATE(AB163,3),DATEVALUE('Procyfloc GS50'!D164))))),""))</f>
        <v/>
      </c>
      <c r="AM163" t="str">
        <f t="shared" ca="1" si="34"/>
        <v/>
      </c>
    </row>
    <row r="164" spans="27:39" x14ac:dyDescent="0.3">
      <c r="AA164" t="str">
        <f>IF(COUNTA('Procyfloc GS50'!A165,'Procyfloc GS50'!B165,'Procyfloc GS50'!C165)&gt;0,"GS50","")</f>
        <v/>
      </c>
      <c r="AB164" t="str">
        <f>IFERROR(IF(ISNUMBER('Procyfloc GS50'!A165),'Procyfloc GS50'!A165,DATEVALUE('Procyfloc GS50'!A165)),"")</f>
        <v/>
      </c>
      <c r="AC164" t="str">
        <f>IF(AA164="","",'Procyfloc GS50'!B165)</f>
        <v/>
      </c>
      <c r="AD164" t="str">
        <f>IF(AA164="","",IFERROR(1*'Procyfloc GS50'!C165,IFERROR(_xludf.NUMBERVALUE('Procyfloc GS50'!C165,".",","),IFERROR(_xludf.NUMBERVALUE('Procyfloc GS50'!C165,",","."),0))))</f>
        <v/>
      </c>
      <c r="AE164" t="str">
        <f>IF(AA164="","",'Procyfloc GS50'!J165)</f>
        <v/>
      </c>
      <c r="AF164">
        <f t="shared" si="29"/>
        <v>0</v>
      </c>
      <c r="AG164" t="str">
        <f t="shared" si="30"/>
        <v/>
      </c>
      <c r="AH164" t="str">
        <f t="shared" si="31"/>
        <v/>
      </c>
      <c r="AI164">
        <f t="shared" si="32"/>
        <v>0</v>
      </c>
      <c r="AJ164">
        <f t="shared" si="33"/>
        <v>0</v>
      </c>
      <c r="AK164">
        <v>0</v>
      </c>
      <c r="AL164" t="str">
        <f>IF(AA164="","",IFERROR(IF(ISNUMBER('Procyfloc GS50'!D165),'Procyfloc GS50'!D165,IF(ISNUMBER(SEARCH("12",'Procyfloc GS50'!D165)),EDATE(AB164,12),IF(ISNUMBER(SEARCH("6",'Procyfloc GS50'!D165)),EDATE(AB164,6),IF(ISNUMBER(SEARCH("3",'Procyfloc GS50'!D165)),EDATE(AB164,3),DATEVALUE('Procyfloc GS50'!D165))))),""))</f>
        <v/>
      </c>
      <c r="AM164" t="str">
        <f t="shared" ca="1" si="34"/>
        <v/>
      </c>
    </row>
    <row r="165" spans="27:39" x14ac:dyDescent="0.3">
      <c r="AA165" t="str">
        <f>IF(COUNTA('Procyfloc GS50'!A166,'Procyfloc GS50'!B166,'Procyfloc GS50'!C166)&gt;0,"GS50","")</f>
        <v/>
      </c>
      <c r="AB165" t="str">
        <f>IFERROR(IF(ISNUMBER('Procyfloc GS50'!A166),'Procyfloc GS50'!A166,DATEVALUE('Procyfloc GS50'!A166)),"")</f>
        <v/>
      </c>
      <c r="AC165" t="str">
        <f>IF(AA165="","",'Procyfloc GS50'!B166)</f>
        <v/>
      </c>
      <c r="AD165" t="str">
        <f>IF(AA165="","",IFERROR(1*'Procyfloc GS50'!C166,IFERROR(_xludf.NUMBERVALUE('Procyfloc GS50'!C166,".",","),IFERROR(_xludf.NUMBERVALUE('Procyfloc GS50'!C166,",","."),0))))</f>
        <v/>
      </c>
      <c r="AE165" t="str">
        <f>IF(AA165="","",'Procyfloc GS50'!J166)</f>
        <v/>
      </c>
      <c r="AF165">
        <f t="shared" si="29"/>
        <v>0</v>
      </c>
      <c r="AG165" t="str">
        <f t="shared" si="30"/>
        <v/>
      </c>
      <c r="AH165" t="str">
        <f t="shared" si="31"/>
        <v/>
      </c>
      <c r="AI165">
        <f t="shared" si="32"/>
        <v>0</v>
      </c>
      <c r="AJ165">
        <f t="shared" si="33"/>
        <v>0</v>
      </c>
      <c r="AK165">
        <v>0</v>
      </c>
      <c r="AL165" t="str">
        <f>IF(AA165="","",IFERROR(IF(ISNUMBER('Procyfloc GS50'!D166),'Procyfloc GS50'!D166,IF(ISNUMBER(SEARCH("12",'Procyfloc GS50'!D166)),EDATE(AB165,12),IF(ISNUMBER(SEARCH("6",'Procyfloc GS50'!D166)),EDATE(AB165,6),IF(ISNUMBER(SEARCH("3",'Procyfloc GS50'!D166)),EDATE(AB165,3),DATEVALUE('Procyfloc GS50'!D166))))),""))</f>
        <v/>
      </c>
      <c r="AM165" t="str">
        <f t="shared" ca="1" si="34"/>
        <v/>
      </c>
    </row>
    <row r="166" spans="27:39" x14ac:dyDescent="0.3">
      <c r="AA166" t="str">
        <f>IF(COUNTA('Procyfloc GS50'!A167,'Procyfloc GS50'!B167,'Procyfloc GS50'!C167)&gt;0,"GS50","")</f>
        <v/>
      </c>
      <c r="AB166" t="str">
        <f>IFERROR(IF(ISNUMBER('Procyfloc GS50'!A167),'Procyfloc GS50'!A167,DATEVALUE('Procyfloc GS50'!A167)),"")</f>
        <v/>
      </c>
      <c r="AC166" t="str">
        <f>IF(AA166="","",'Procyfloc GS50'!B167)</f>
        <v/>
      </c>
      <c r="AD166" t="str">
        <f>IF(AA166="","",IFERROR(1*'Procyfloc GS50'!C167,IFERROR(_xludf.NUMBERVALUE('Procyfloc GS50'!C167,".",","),IFERROR(_xludf.NUMBERVALUE('Procyfloc GS50'!C167,",","."),0))))</f>
        <v/>
      </c>
      <c r="AE166" t="str">
        <f>IF(AA166="","",'Procyfloc GS50'!J167)</f>
        <v/>
      </c>
      <c r="AF166">
        <f t="shared" si="29"/>
        <v>0</v>
      </c>
      <c r="AG166" t="str">
        <f t="shared" si="30"/>
        <v/>
      </c>
      <c r="AH166" t="str">
        <f t="shared" si="31"/>
        <v/>
      </c>
      <c r="AI166">
        <f t="shared" si="32"/>
        <v>0</v>
      </c>
      <c r="AJ166">
        <f t="shared" si="33"/>
        <v>0</v>
      </c>
      <c r="AK166">
        <v>0</v>
      </c>
      <c r="AL166" t="str">
        <f>IF(AA166="","",IFERROR(IF(ISNUMBER('Procyfloc GS50'!D167),'Procyfloc GS50'!D167,IF(ISNUMBER(SEARCH("12",'Procyfloc GS50'!D167)),EDATE(AB166,12),IF(ISNUMBER(SEARCH("6",'Procyfloc GS50'!D167)),EDATE(AB166,6),IF(ISNUMBER(SEARCH("3",'Procyfloc GS50'!D167)),EDATE(AB166,3),DATEVALUE('Procyfloc GS50'!D167))))),""))</f>
        <v/>
      </c>
      <c r="AM166" t="str">
        <f t="shared" ca="1" si="34"/>
        <v/>
      </c>
    </row>
    <row r="167" spans="27:39" x14ac:dyDescent="0.3">
      <c r="AA167" t="str">
        <f>IF(COUNTA('Procyfloc GS50'!A168,'Procyfloc GS50'!B168,'Procyfloc GS50'!C168)&gt;0,"GS50","")</f>
        <v/>
      </c>
      <c r="AB167" t="str">
        <f>IFERROR(IF(ISNUMBER('Procyfloc GS50'!A168),'Procyfloc GS50'!A168,DATEVALUE('Procyfloc GS50'!A168)),"")</f>
        <v/>
      </c>
      <c r="AC167" t="str">
        <f>IF(AA167="","",'Procyfloc GS50'!B168)</f>
        <v/>
      </c>
      <c r="AD167" t="str">
        <f>IF(AA167="","",IFERROR(1*'Procyfloc GS50'!C168,IFERROR(_xludf.NUMBERVALUE('Procyfloc GS50'!C168,".",","),IFERROR(_xludf.NUMBERVALUE('Procyfloc GS50'!C168,",","."),0))))</f>
        <v/>
      </c>
      <c r="AE167" t="str">
        <f>IF(AA167="","",'Procyfloc GS50'!J168)</f>
        <v/>
      </c>
      <c r="AF167">
        <f t="shared" si="29"/>
        <v>0</v>
      </c>
      <c r="AG167" t="str">
        <f t="shared" si="30"/>
        <v/>
      </c>
      <c r="AH167" t="str">
        <f t="shared" si="31"/>
        <v/>
      </c>
      <c r="AI167">
        <f t="shared" si="32"/>
        <v>0</v>
      </c>
      <c r="AJ167">
        <f t="shared" si="33"/>
        <v>0</v>
      </c>
      <c r="AK167">
        <v>0</v>
      </c>
      <c r="AL167" t="str">
        <f>IF(AA167="","",IFERROR(IF(ISNUMBER('Procyfloc GS50'!D168),'Procyfloc GS50'!D168,IF(ISNUMBER(SEARCH("12",'Procyfloc GS50'!D168)),EDATE(AB167,12),IF(ISNUMBER(SEARCH("6",'Procyfloc GS50'!D168)),EDATE(AB167,6),IF(ISNUMBER(SEARCH("3",'Procyfloc GS50'!D168)),EDATE(AB167,3),DATEVALUE('Procyfloc GS50'!D168))))),""))</f>
        <v/>
      </c>
      <c r="AM167" t="str">
        <f t="shared" ca="1" si="34"/>
        <v/>
      </c>
    </row>
    <row r="168" spans="27:39" x14ac:dyDescent="0.3">
      <c r="AA168" t="str">
        <f>IF(COUNTA('Procyfloc GS50'!A169,'Procyfloc GS50'!B169,'Procyfloc GS50'!C169)&gt;0,"GS50","")</f>
        <v/>
      </c>
      <c r="AB168" t="str">
        <f>IFERROR(IF(ISNUMBER('Procyfloc GS50'!A169),'Procyfloc GS50'!A169,DATEVALUE('Procyfloc GS50'!A169)),"")</f>
        <v/>
      </c>
      <c r="AC168" t="str">
        <f>IF(AA168="","",'Procyfloc GS50'!B169)</f>
        <v/>
      </c>
      <c r="AD168" t="str">
        <f>IF(AA168="","",IFERROR(1*'Procyfloc GS50'!C169,IFERROR(_xludf.NUMBERVALUE('Procyfloc GS50'!C169,".",","),IFERROR(_xludf.NUMBERVALUE('Procyfloc GS50'!C169,",","."),0))))</f>
        <v/>
      </c>
      <c r="AE168" t="str">
        <f>IF(AA168="","",'Procyfloc GS50'!J169)</f>
        <v/>
      </c>
      <c r="AF168">
        <f t="shared" si="29"/>
        <v>0</v>
      </c>
      <c r="AG168" t="str">
        <f t="shared" si="30"/>
        <v/>
      </c>
      <c r="AH168" t="str">
        <f t="shared" si="31"/>
        <v/>
      </c>
      <c r="AI168">
        <f t="shared" si="32"/>
        <v>0</v>
      </c>
      <c r="AJ168">
        <f t="shared" si="33"/>
        <v>0</v>
      </c>
      <c r="AK168">
        <v>0</v>
      </c>
      <c r="AL168" t="str">
        <f>IF(AA168="","",IFERROR(IF(ISNUMBER('Procyfloc GS50'!D169),'Procyfloc GS50'!D169,IF(ISNUMBER(SEARCH("12",'Procyfloc GS50'!D169)),EDATE(AB168,12),IF(ISNUMBER(SEARCH("6",'Procyfloc GS50'!D169)),EDATE(AB168,6),IF(ISNUMBER(SEARCH("3",'Procyfloc GS50'!D169)),EDATE(AB168,3),DATEVALUE('Procyfloc GS50'!D169))))),""))</f>
        <v/>
      </c>
      <c r="AM168" t="str">
        <f t="shared" ca="1" si="34"/>
        <v/>
      </c>
    </row>
    <row r="169" spans="27:39" x14ac:dyDescent="0.3">
      <c r="AA169" t="str">
        <f>IF(COUNTA('Procyfloc GS50'!A170,'Procyfloc GS50'!B170,'Procyfloc GS50'!C170)&gt;0,"GS50","")</f>
        <v/>
      </c>
      <c r="AB169" t="str">
        <f>IFERROR(IF(ISNUMBER('Procyfloc GS50'!A170),'Procyfloc GS50'!A170,DATEVALUE('Procyfloc GS50'!A170)),"")</f>
        <v/>
      </c>
      <c r="AC169" t="str">
        <f>IF(AA169="","",'Procyfloc GS50'!B170)</f>
        <v/>
      </c>
      <c r="AD169" t="str">
        <f>IF(AA169="","",IFERROR(1*'Procyfloc GS50'!C170,IFERROR(_xludf.NUMBERVALUE('Procyfloc GS50'!C170,".",","),IFERROR(_xludf.NUMBERVALUE('Procyfloc GS50'!C170,",","."),0))))</f>
        <v/>
      </c>
      <c r="AE169" t="str">
        <f>IF(AA169="","",'Procyfloc GS50'!J170)</f>
        <v/>
      </c>
      <c r="AF169">
        <f t="shared" si="29"/>
        <v>0</v>
      </c>
      <c r="AG169" t="str">
        <f t="shared" si="30"/>
        <v/>
      </c>
      <c r="AH169" t="str">
        <f t="shared" si="31"/>
        <v/>
      </c>
      <c r="AI169">
        <f t="shared" si="32"/>
        <v>0</v>
      </c>
      <c r="AJ169">
        <f t="shared" si="33"/>
        <v>0</v>
      </c>
      <c r="AK169">
        <v>0</v>
      </c>
      <c r="AL169" t="str">
        <f>IF(AA169="","",IFERROR(IF(ISNUMBER('Procyfloc GS50'!D170),'Procyfloc GS50'!D170,IF(ISNUMBER(SEARCH("12",'Procyfloc GS50'!D170)),EDATE(AB169,12),IF(ISNUMBER(SEARCH("6",'Procyfloc GS50'!D170)),EDATE(AB169,6),IF(ISNUMBER(SEARCH("3",'Procyfloc GS50'!D170)),EDATE(AB169,3),DATEVALUE('Procyfloc GS50'!D170))))),""))</f>
        <v/>
      </c>
      <c r="AM169" t="str">
        <f t="shared" ca="1" si="34"/>
        <v/>
      </c>
    </row>
    <row r="170" spans="27:39" x14ac:dyDescent="0.3">
      <c r="AA170" t="str">
        <f>IF(COUNTA('Procyfloc GS50'!A171,'Procyfloc GS50'!B171,'Procyfloc GS50'!C171)&gt;0,"GS50","")</f>
        <v/>
      </c>
      <c r="AB170" t="str">
        <f>IFERROR(IF(ISNUMBER('Procyfloc GS50'!A171),'Procyfloc GS50'!A171,DATEVALUE('Procyfloc GS50'!A171)),"")</f>
        <v/>
      </c>
      <c r="AC170" t="str">
        <f>IF(AA170="","",'Procyfloc GS50'!B171)</f>
        <v/>
      </c>
      <c r="AD170" t="str">
        <f>IF(AA170="","",IFERROR(1*'Procyfloc GS50'!C171,IFERROR(_xludf.NUMBERVALUE('Procyfloc GS50'!C171,".",","),IFERROR(_xludf.NUMBERVALUE('Procyfloc GS50'!C171,",","."),0))))</f>
        <v/>
      </c>
      <c r="AE170" t="str">
        <f>IF(AA170="","",'Procyfloc GS50'!J171)</f>
        <v/>
      </c>
      <c r="AF170">
        <f t="shared" si="29"/>
        <v>0</v>
      </c>
      <c r="AG170" t="str">
        <f t="shared" si="30"/>
        <v/>
      </c>
      <c r="AH170" t="str">
        <f t="shared" si="31"/>
        <v/>
      </c>
      <c r="AI170">
        <f t="shared" si="32"/>
        <v>0</v>
      </c>
      <c r="AJ170">
        <f t="shared" si="33"/>
        <v>0</v>
      </c>
      <c r="AK170">
        <v>0</v>
      </c>
      <c r="AL170" t="str">
        <f>IF(AA170="","",IFERROR(IF(ISNUMBER('Procyfloc GS50'!D171),'Procyfloc GS50'!D171,IF(ISNUMBER(SEARCH("12",'Procyfloc GS50'!D171)),EDATE(AB170,12),IF(ISNUMBER(SEARCH("6",'Procyfloc GS50'!D171)),EDATE(AB170,6),IF(ISNUMBER(SEARCH("3",'Procyfloc GS50'!D171)),EDATE(AB170,3),DATEVALUE('Procyfloc GS50'!D171))))),""))</f>
        <v/>
      </c>
      <c r="AM170" t="str">
        <f t="shared" ca="1" si="34"/>
        <v/>
      </c>
    </row>
    <row r="171" spans="27:39" x14ac:dyDescent="0.3">
      <c r="AA171" t="str">
        <f>IF(COUNTA('Procyfloc GS50'!A172,'Procyfloc GS50'!B172,'Procyfloc GS50'!C172)&gt;0,"GS50","")</f>
        <v/>
      </c>
      <c r="AB171" t="str">
        <f>IFERROR(IF(ISNUMBER('Procyfloc GS50'!A172),'Procyfloc GS50'!A172,DATEVALUE('Procyfloc GS50'!A172)),"")</f>
        <v/>
      </c>
      <c r="AC171" t="str">
        <f>IF(AA171="","",'Procyfloc GS50'!B172)</f>
        <v/>
      </c>
      <c r="AD171" t="str">
        <f>IF(AA171="","",IFERROR(1*'Procyfloc GS50'!C172,IFERROR(_xludf.NUMBERVALUE('Procyfloc GS50'!C172,".",","),IFERROR(_xludf.NUMBERVALUE('Procyfloc GS50'!C172,",","."),0))))</f>
        <v/>
      </c>
      <c r="AE171" t="str">
        <f>IF(AA171="","",'Procyfloc GS50'!J172)</f>
        <v/>
      </c>
      <c r="AF171">
        <f t="shared" si="29"/>
        <v>0</v>
      </c>
      <c r="AG171" t="str">
        <f t="shared" si="30"/>
        <v/>
      </c>
      <c r="AH171" t="str">
        <f t="shared" si="31"/>
        <v/>
      </c>
      <c r="AI171">
        <f t="shared" si="32"/>
        <v>0</v>
      </c>
      <c r="AJ171">
        <f t="shared" si="33"/>
        <v>0</v>
      </c>
      <c r="AK171">
        <v>0</v>
      </c>
      <c r="AL171" t="str">
        <f>IF(AA171="","",IFERROR(IF(ISNUMBER('Procyfloc GS50'!D172),'Procyfloc GS50'!D172,IF(ISNUMBER(SEARCH("12",'Procyfloc GS50'!D172)),EDATE(AB171,12),IF(ISNUMBER(SEARCH("6",'Procyfloc GS50'!D172)),EDATE(AB171,6),IF(ISNUMBER(SEARCH("3",'Procyfloc GS50'!D172)),EDATE(AB171,3),DATEVALUE('Procyfloc GS50'!D172))))),""))</f>
        <v/>
      </c>
      <c r="AM171" t="str">
        <f t="shared" ca="1" si="34"/>
        <v/>
      </c>
    </row>
    <row r="172" spans="27:39" x14ac:dyDescent="0.3">
      <c r="AA172" t="str">
        <f>IF(COUNTA('Procyfloc GS50'!A173,'Procyfloc GS50'!B173,'Procyfloc GS50'!C173)&gt;0,"GS50","")</f>
        <v/>
      </c>
      <c r="AB172" t="str">
        <f>IFERROR(IF(ISNUMBER('Procyfloc GS50'!A173),'Procyfloc GS50'!A173,DATEVALUE('Procyfloc GS50'!A173)),"")</f>
        <v/>
      </c>
      <c r="AC172" t="str">
        <f>IF(AA172="","",'Procyfloc GS50'!B173)</f>
        <v/>
      </c>
      <c r="AD172" t="str">
        <f>IF(AA172="","",IFERROR(1*'Procyfloc GS50'!C173,IFERROR(_xludf.NUMBERVALUE('Procyfloc GS50'!C173,".",","),IFERROR(_xludf.NUMBERVALUE('Procyfloc GS50'!C173,",","."),0))))</f>
        <v/>
      </c>
      <c r="AE172" t="str">
        <f>IF(AA172="","",'Procyfloc GS50'!J173)</f>
        <v/>
      </c>
      <c r="AF172">
        <f t="shared" si="29"/>
        <v>0</v>
      </c>
      <c r="AG172" t="str">
        <f t="shared" si="30"/>
        <v/>
      </c>
      <c r="AH172" t="str">
        <f t="shared" si="31"/>
        <v/>
      </c>
      <c r="AI172">
        <f t="shared" si="32"/>
        <v>0</v>
      </c>
      <c r="AJ172">
        <f t="shared" si="33"/>
        <v>0</v>
      </c>
      <c r="AK172">
        <v>0</v>
      </c>
      <c r="AL172" t="str">
        <f>IF(AA172="","",IFERROR(IF(ISNUMBER('Procyfloc GS50'!D173),'Procyfloc GS50'!D173,IF(ISNUMBER(SEARCH("12",'Procyfloc GS50'!D173)),EDATE(AB172,12),IF(ISNUMBER(SEARCH("6",'Procyfloc GS50'!D173)),EDATE(AB172,6),IF(ISNUMBER(SEARCH("3",'Procyfloc GS50'!D173)),EDATE(AB172,3),DATEVALUE('Procyfloc GS50'!D173))))),""))</f>
        <v/>
      </c>
      <c r="AM172" t="str">
        <f t="shared" ca="1" si="34"/>
        <v/>
      </c>
    </row>
    <row r="173" spans="27:39" x14ac:dyDescent="0.3">
      <c r="AA173" t="str">
        <f>IF(COUNTA('Procyfloc GS50'!A174,'Procyfloc GS50'!B174,'Procyfloc GS50'!C174)&gt;0,"GS50","")</f>
        <v/>
      </c>
      <c r="AB173" t="str">
        <f>IFERROR(IF(ISNUMBER('Procyfloc GS50'!A174),'Procyfloc GS50'!A174,DATEVALUE('Procyfloc GS50'!A174)),"")</f>
        <v/>
      </c>
      <c r="AC173" t="str">
        <f>IF(AA173="","",'Procyfloc GS50'!B174)</f>
        <v/>
      </c>
      <c r="AD173" t="str">
        <f>IF(AA173="","",IFERROR(1*'Procyfloc GS50'!C174,IFERROR(_xludf.NUMBERVALUE('Procyfloc GS50'!C174,".",","),IFERROR(_xludf.NUMBERVALUE('Procyfloc GS50'!C174,",","."),0))))</f>
        <v/>
      </c>
      <c r="AE173" t="str">
        <f>IF(AA173="","",'Procyfloc GS50'!J174)</f>
        <v/>
      </c>
      <c r="AF173">
        <f t="shared" si="29"/>
        <v>0</v>
      </c>
      <c r="AG173" t="str">
        <f t="shared" si="30"/>
        <v/>
      </c>
      <c r="AH173" t="str">
        <f t="shared" si="31"/>
        <v/>
      </c>
      <c r="AI173">
        <f t="shared" si="32"/>
        <v>0</v>
      </c>
      <c r="AJ173">
        <f t="shared" si="33"/>
        <v>0</v>
      </c>
      <c r="AK173">
        <v>0</v>
      </c>
      <c r="AL173" t="str">
        <f>IF(AA173="","",IFERROR(IF(ISNUMBER('Procyfloc GS50'!D174),'Procyfloc GS50'!D174,IF(ISNUMBER(SEARCH("12",'Procyfloc GS50'!D174)),EDATE(AB173,12),IF(ISNUMBER(SEARCH("6",'Procyfloc GS50'!D174)),EDATE(AB173,6),IF(ISNUMBER(SEARCH("3",'Procyfloc GS50'!D174)),EDATE(AB173,3),DATEVALUE('Procyfloc GS50'!D174))))),""))</f>
        <v/>
      </c>
      <c r="AM173" t="str">
        <f t="shared" ca="1" si="34"/>
        <v/>
      </c>
    </row>
    <row r="174" spans="27:39" x14ac:dyDescent="0.3">
      <c r="AA174" t="str">
        <f>IF(COUNTA('Procyfloc GS50'!A175,'Procyfloc GS50'!B175,'Procyfloc GS50'!C175)&gt;0,"GS50","")</f>
        <v/>
      </c>
      <c r="AB174" t="str">
        <f>IFERROR(IF(ISNUMBER('Procyfloc GS50'!A175),'Procyfloc GS50'!A175,DATEVALUE('Procyfloc GS50'!A175)),"")</f>
        <v/>
      </c>
      <c r="AC174" t="str">
        <f>IF(AA174="","",'Procyfloc GS50'!B175)</f>
        <v/>
      </c>
      <c r="AD174" t="str">
        <f>IF(AA174="","",IFERROR(1*'Procyfloc GS50'!C175,IFERROR(_xludf.NUMBERVALUE('Procyfloc GS50'!C175,".",","),IFERROR(_xludf.NUMBERVALUE('Procyfloc GS50'!C175,",","."),0))))</f>
        <v/>
      </c>
      <c r="AE174" t="str">
        <f>IF(AA174="","",'Procyfloc GS50'!J175)</f>
        <v/>
      </c>
      <c r="AF174">
        <f t="shared" si="29"/>
        <v>0</v>
      </c>
      <c r="AG174" t="str">
        <f t="shared" si="30"/>
        <v/>
      </c>
      <c r="AH174" t="str">
        <f t="shared" si="31"/>
        <v/>
      </c>
      <c r="AI174">
        <f t="shared" si="32"/>
        <v>0</v>
      </c>
      <c r="AJ174">
        <f t="shared" si="33"/>
        <v>0</v>
      </c>
      <c r="AK174">
        <v>0</v>
      </c>
      <c r="AL174" t="str">
        <f>IF(AA174="","",IFERROR(IF(ISNUMBER('Procyfloc GS50'!D175),'Procyfloc GS50'!D175,IF(ISNUMBER(SEARCH("12",'Procyfloc GS50'!D175)),EDATE(AB174,12),IF(ISNUMBER(SEARCH("6",'Procyfloc GS50'!D175)),EDATE(AB174,6),IF(ISNUMBER(SEARCH("3",'Procyfloc GS50'!D175)),EDATE(AB174,3),DATEVALUE('Procyfloc GS50'!D175))))),""))</f>
        <v/>
      </c>
      <c r="AM174" t="str">
        <f t="shared" ca="1" si="34"/>
        <v/>
      </c>
    </row>
    <row r="175" spans="27:39" x14ac:dyDescent="0.3">
      <c r="AA175" t="str">
        <f>IF(COUNTA('Procyfloc GS50'!A176,'Procyfloc GS50'!B176,'Procyfloc GS50'!C176)&gt;0,"GS50","")</f>
        <v/>
      </c>
      <c r="AB175" t="str">
        <f>IFERROR(IF(ISNUMBER('Procyfloc GS50'!A176),'Procyfloc GS50'!A176,DATEVALUE('Procyfloc GS50'!A176)),"")</f>
        <v/>
      </c>
      <c r="AC175" t="str">
        <f>IF(AA175="","",'Procyfloc GS50'!B176)</f>
        <v/>
      </c>
      <c r="AD175" t="str">
        <f>IF(AA175="","",IFERROR(1*'Procyfloc GS50'!C176,IFERROR(_xludf.NUMBERVALUE('Procyfloc GS50'!C176,".",","),IFERROR(_xludf.NUMBERVALUE('Procyfloc GS50'!C176,",","."),0))))</f>
        <v/>
      </c>
      <c r="AE175" t="str">
        <f>IF(AA175="","",'Procyfloc GS50'!J176)</f>
        <v/>
      </c>
      <c r="AF175">
        <f t="shared" si="29"/>
        <v>0</v>
      </c>
      <c r="AG175" t="str">
        <f t="shared" si="30"/>
        <v/>
      </c>
      <c r="AH175" t="str">
        <f t="shared" si="31"/>
        <v/>
      </c>
      <c r="AI175">
        <f t="shared" si="32"/>
        <v>0</v>
      </c>
      <c r="AJ175">
        <f t="shared" si="33"/>
        <v>0</v>
      </c>
      <c r="AK175">
        <v>0</v>
      </c>
      <c r="AL175" t="str">
        <f>IF(AA175="","",IFERROR(IF(ISNUMBER('Procyfloc GS50'!D176),'Procyfloc GS50'!D176,IF(ISNUMBER(SEARCH("12",'Procyfloc GS50'!D176)),EDATE(AB175,12),IF(ISNUMBER(SEARCH("6",'Procyfloc GS50'!D176)),EDATE(AB175,6),IF(ISNUMBER(SEARCH("3",'Procyfloc GS50'!D176)),EDATE(AB175,3),DATEVALUE('Procyfloc GS50'!D176))))),""))</f>
        <v/>
      </c>
      <c r="AM175" t="str">
        <f t="shared" ca="1" si="34"/>
        <v/>
      </c>
    </row>
    <row r="176" spans="27:39" x14ac:dyDescent="0.3">
      <c r="AA176" t="str">
        <f>IF(COUNTA('Procyfloc GS50'!A177,'Procyfloc GS50'!B177,'Procyfloc GS50'!C177)&gt;0,"GS50","")</f>
        <v/>
      </c>
      <c r="AB176" t="str">
        <f>IFERROR(IF(ISNUMBER('Procyfloc GS50'!A177),'Procyfloc GS50'!A177,DATEVALUE('Procyfloc GS50'!A177)),"")</f>
        <v/>
      </c>
      <c r="AC176" t="str">
        <f>IF(AA176="","",'Procyfloc GS50'!B177)</f>
        <v/>
      </c>
      <c r="AD176" t="str">
        <f>IF(AA176="","",IFERROR(1*'Procyfloc GS50'!C177,IFERROR(_xludf.NUMBERVALUE('Procyfloc GS50'!C177,".",","),IFERROR(_xludf.NUMBERVALUE('Procyfloc GS50'!C177,",","."),0))))</f>
        <v/>
      </c>
      <c r="AE176" t="str">
        <f>IF(AA176="","",'Procyfloc GS50'!J177)</f>
        <v/>
      </c>
      <c r="AF176">
        <f t="shared" si="29"/>
        <v>0</v>
      </c>
      <c r="AG176" t="str">
        <f t="shared" si="30"/>
        <v/>
      </c>
      <c r="AH176" t="str">
        <f t="shared" si="31"/>
        <v/>
      </c>
      <c r="AI176">
        <f t="shared" si="32"/>
        <v>0</v>
      </c>
      <c r="AJ176">
        <f t="shared" si="33"/>
        <v>0</v>
      </c>
      <c r="AK176">
        <v>0</v>
      </c>
      <c r="AL176" t="str">
        <f>IF(AA176="","",IFERROR(IF(ISNUMBER('Procyfloc GS50'!D177),'Procyfloc GS50'!D177,IF(ISNUMBER(SEARCH("12",'Procyfloc GS50'!D177)),EDATE(AB176,12),IF(ISNUMBER(SEARCH("6",'Procyfloc GS50'!D177)),EDATE(AB176,6),IF(ISNUMBER(SEARCH("3",'Procyfloc GS50'!D177)),EDATE(AB176,3),DATEVALUE('Procyfloc GS50'!D177))))),""))</f>
        <v/>
      </c>
      <c r="AM176" t="str">
        <f t="shared" ca="1" si="34"/>
        <v/>
      </c>
    </row>
    <row r="177" spans="27:39" x14ac:dyDescent="0.3">
      <c r="AA177" t="str">
        <f>IF(COUNTA('Procyfloc GS50'!A178,'Procyfloc GS50'!B178,'Procyfloc GS50'!C178)&gt;0,"GS50","")</f>
        <v/>
      </c>
      <c r="AB177" t="str">
        <f>IFERROR(IF(ISNUMBER('Procyfloc GS50'!A178),'Procyfloc GS50'!A178,DATEVALUE('Procyfloc GS50'!A178)),"")</f>
        <v/>
      </c>
      <c r="AC177" t="str">
        <f>IF(AA177="","",'Procyfloc GS50'!B178)</f>
        <v/>
      </c>
      <c r="AD177" t="str">
        <f>IF(AA177="","",IFERROR(1*'Procyfloc GS50'!C178,IFERROR(_xludf.NUMBERVALUE('Procyfloc GS50'!C178,".",","),IFERROR(_xludf.NUMBERVALUE('Procyfloc GS50'!C178,",","."),0))))</f>
        <v/>
      </c>
      <c r="AE177" t="str">
        <f>IF(AA177="","",'Procyfloc GS50'!J178)</f>
        <v/>
      </c>
      <c r="AF177">
        <f t="shared" si="29"/>
        <v>0</v>
      </c>
      <c r="AG177" t="str">
        <f t="shared" si="30"/>
        <v/>
      </c>
      <c r="AH177" t="str">
        <f t="shared" si="31"/>
        <v/>
      </c>
      <c r="AI177">
        <f t="shared" si="32"/>
        <v>0</v>
      </c>
      <c r="AJ177">
        <f t="shared" si="33"/>
        <v>0</v>
      </c>
      <c r="AK177">
        <v>0</v>
      </c>
      <c r="AL177" t="str">
        <f>IF(AA177="","",IFERROR(IF(ISNUMBER('Procyfloc GS50'!D178),'Procyfloc GS50'!D178,IF(ISNUMBER(SEARCH("12",'Procyfloc GS50'!D178)),EDATE(AB177,12),IF(ISNUMBER(SEARCH("6",'Procyfloc GS50'!D178)),EDATE(AB177,6),IF(ISNUMBER(SEARCH("3",'Procyfloc GS50'!D178)),EDATE(AB177,3),DATEVALUE('Procyfloc GS50'!D178))))),""))</f>
        <v/>
      </c>
      <c r="AM177" t="str">
        <f t="shared" ca="1" si="34"/>
        <v/>
      </c>
    </row>
    <row r="178" spans="27:39" x14ac:dyDescent="0.3">
      <c r="AA178" t="str">
        <f>IF(COUNTA('Procyfloc GS50'!A179,'Procyfloc GS50'!B179,'Procyfloc GS50'!C179)&gt;0,"GS50","")</f>
        <v/>
      </c>
      <c r="AB178" t="str">
        <f>IFERROR(IF(ISNUMBER('Procyfloc GS50'!A179),'Procyfloc GS50'!A179,DATEVALUE('Procyfloc GS50'!A179)),"")</f>
        <v/>
      </c>
      <c r="AC178" t="str">
        <f>IF(AA178="","",'Procyfloc GS50'!B179)</f>
        <v/>
      </c>
      <c r="AD178" t="str">
        <f>IF(AA178="","",IFERROR(1*'Procyfloc GS50'!C179,IFERROR(_xludf.NUMBERVALUE('Procyfloc GS50'!C179,".",","),IFERROR(_xludf.NUMBERVALUE('Procyfloc GS50'!C179,",","."),0))))</f>
        <v/>
      </c>
      <c r="AE178" t="str">
        <f>IF(AA178="","",'Procyfloc GS50'!J179)</f>
        <v/>
      </c>
      <c r="AF178">
        <f t="shared" si="29"/>
        <v>0</v>
      </c>
      <c r="AG178" t="str">
        <f t="shared" si="30"/>
        <v/>
      </c>
      <c r="AH178" t="str">
        <f t="shared" si="31"/>
        <v/>
      </c>
      <c r="AI178">
        <f t="shared" si="32"/>
        <v>0</v>
      </c>
      <c r="AJ178">
        <f t="shared" si="33"/>
        <v>0</v>
      </c>
      <c r="AK178">
        <v>0</v>
      </c>
      <c r="AL178" t="str">
        <f>IF(AA178="","",IFERROR(IF(ISNUMBER('Procyfloc GS50'!D179),'Procyfloc GS50'!D179,IF(ISNUMBER(SEARCH("12",'Procyfloc GS50'!D179)),EDATE(AB178,12),IF(ISNUMBER(SEARCH("6",'Procyfloc GS50'!D179)),EDATE(AB178,6),IF(ISNUMBER(SEARCH("3",'Procyfloc GS50'!D179)),EDATE(AB178,3),DATEVALUE('Procyfloc GS50'!D179))))),""))</f>
        <v/>
      </c>
      <c r="AM178" t="str">
        <f t="shared" ca="1" si="34"/>
        <v/>
      </c>
    </row>
    <row r="179" spans="27:39" x14ac:dyDescent="0.3">
      <c r="AA179" t="str">
        <f>IF(COUNTA('Procyfloc GS50'!A180,'Procyfloc GS50'!B180,'Procyfloc GS50'!C180)&gt;0,"GS50","")</f>
        <v/>
      </c>
      <c r="AB179" t="str">
        <f>IFERROR(IF(ISNUMBER('Procyfloc GS50'!A180),'Procyfloc GS50'!A180,DATEVALUE('Procyfloc GS50'!A180)),"")</f>
        <v/>
      </c>
      <c r="AC179" t="str">
        <f>IF(AA179="","",'Procyfloc GS50'!B180)</f>
        <v/>
      </c>
      <c r="AD179" t="str">
        <f>IF(AA179="","",IFERROR(1*'Procyfloc GS50'!C180,IFERROR(_xludf.NUMBERVALUE('Procyfloc GS50'!C180,".",","),IFERROR(_xludf.NUMBERVALUE('Procyfloc GS50'!C180,",","."),0))))</f>
        <v/>
      </c>
      <c r="AE179" t="str">
        <f>IF(AA179="","",'Procyfloc GS50'!J180)</f>
        <v/>
      </c>
      <c r="AF179">
        <f t="shared" si="29"/>
        <v>0</v>
      </c>
      <c r="AG179" t="str">
        <f t="shared" si="30"/>
        <v/>
      </c>
      <c r="AH179" t="str">
        <f t="shared" si="31"/>
        <v/>
      </c>
      <c r="AI179">
        <f t="shared" si="32"/>
        <v>0</v>
      </c>
      <c r="AJ179">
        <f t="shared" si="33"/>
        <v>0</v>
      </c>
      <c r="AK179">
        <v>0</v>
      </c>
      <c r="AL179" t="str">
        <f>IF(AA179="","",IFERROR(IF(ISNUMBER('Procyfloc GS50'!D180),'Procyfloc GS50'!D180,IF(ISNUMBER(SEARCH("12",'Procyfloc GS50'!D180)),EDATE(AB179,12),IF(ISNUMBER(SEARCH("6",'Procyfloc GS50'!D180)),EDATE(AB179,6),IF(ISNUMBER(SEARCH("3",'Procyfloc GS50'!D180)),EDATE(AB179,3),DATEVALUE('Procyfloc GS50'!D180))))),""))</f>
        <v/>
      </c>
      <c r="AM179" t="str">
        <f t="shared" ca="1" si="34"/>
        <v/>
      </c>
    </row>
    <row r="180" spans="27:39" x14ac:dyDescent="0.3">
      <c r="AA180" t="str">
        <f>IF(COUNTA('Procyfloc GS50'!A181,'Procyfloc GS50'!B181,'Procyfloc GS50'!C181)&gt;0,"GS50","")</f>
        <v/>
      </c>
      <c r="AB180" t="str">
        <f>IFERROR(IF(ISNUMBER('Procyfloc GS50'!A181),'Procyfloc GS50'!A181,DATEVALUE('Procyfloc GS50'!A181)),"")</f>
        <v/>
      </c>
      <c r="AC180" t="str">
        <f>IF(AA180="","",'Procyfloc GS50'!B181)</f>
        <v/>
      </c>
      <c r="AD180" t="str">
        <f>IF(AA180="","",IFERROR(1*'Procyfloc GS50'!C181,IFERROR(_xludf.NUMBERVALUE('Procyfloc GS50'!C181,".",","),IFERROR(_xludf.NUMBERVALUE('Procyfloc GS50'!C181,",","."),0))))</f>
        <v/>
      </c>
      <c r="AE180" t="str">
        <f>IF(AA180="","",'Procyfloc GS50'!J181)</f>
        <v/>
      </c>
      <c r="AF180">
        <f t="shared" si="29"/>
        <v>0</v>
      </c>
      <c r="AG180" t="str">
        <f t="shared" si="30"/>
        <v/>
      </c>
      <c r="AH180" t="str">
        <f t="shared" si="31"/>
        <v/>
      </c>
      <c r="AI180">
        <f t="shared" si="32"/>
        <v>0</v>
      </c>
      <c r="AJ180">
        <f t="shared" si="33"/>
        <v>0</v>
      </c>
      <c r="AK180">
        <v>0</v>
      </c>
      <c r="AL180" t="str">
        <f>IF(AA180="","",IFERROR(IF(ISNUMBER('Procyfloc GS50'!D181),'Procyfloc GS50'!D181,IF(ISNUMBER(SEARCH("12",'Procyfloc GS50'!D181)),EDATE(AB180,12),IF(ISNUMBER(SEARCH("6",'Procyfloc GS50'!D181)),EDATE(AB180,6),IF(ISNUMBER(SEARCH("3",'Procyfloc GS50'!D181)),EDATE(AB180,3),DATEVALUE('Procyfloc GS50'!D181))))),""))</f>
        <v/>
      </c>
      <c r="AM180" t="str">
        <f t="shared" ca="1" si="34"/>
        <v/>
      </c>
    </row>
    <row r="181" spans="27:39" x14ac:dyDescent="0.3">
      <c r="AA181" t="str">
        <f>IF(COUNTA('Procyfloc GS50'!A182,'Procyfloc GS50'!B182,'Procyfloc GS50'!C182)&gt;0,"GS50","")</f>
        <v/>
      </c>
      <c r="AB181" t="str">
        <f>IFERROR(IF(ISNUMBER('Procyfloc GS50'!A182),'Procyfloc GS50'!A182,DATEVALUE('Procyfloc GS50'!A182)),"")</f>
        <v/>
      </c>
      <c r="AC181" t="str">
        <f>IF(AA181="","",'Procyfloc GS50'!B182)</f>
        <v/>
      </c>
      <c r="AD181" t="str">
        <f>IF(AA181="","",IFERROR(1*'Procyfloc GS50'!C182,IFERROR(_xludf.NUMBERVALUE('Procyfloc GS50'!C182,".",","),IFERROR(_xludf.NUMBERVALUE('Procyfloc GS50'!C182,",","."),0))))</f>
        <v/>
      </c>
      <c r="AE181" t="str">
        <f>IF(AA181="","",'Procyfloc GS50'!J182)</f>
        <v/>
      </c>
      <c r="AF181">
        <f t="shared" si="29"/>
        <v>0</v>
      </c>
      <c r="AG181" t="str">
        <f t="shared" si="30"/>
        <v/>
      </c>
      <c r="AH181" t="str">
        <f t="shared" si="31"/>
        <v/>
      </c>
      <c r="AI181">
        <f t="shared" si="32"/>
        <v>0</v>
      </c>
      <c r="AJ181">
        <f t="shared" si="33"/>
        <v>0</v>
      </c>
      <c r="AK181">
        <v>0</v>
      </c>
      <c r="AL181" t="str">
        <f>IF(AA181="","",IFERROR(IF(ISNUMBER('Procyfloc GS50'!D182),'Procyfloc GS50'!D182,IF(ISNUMBER(SEARCH("12",'Procyfloc GS50'!D182)),EDATE(AB181,12),IF(ISNUMBER(SEARCH("6",'Procyfloc GS50'!D182)),EDATE(AB181,6),IF(ISNUMBER(SEARCH("3",'Procyfloc GS50'!D182)),EDATE(AB181,3),DATEVALUE('Procyfloc GS50'!D182))))),""))</f>
        <v/>
      </c>
      <c r="AM181" t="str">
        <f t="shared" ca="1" si="34"/>
        <v/>
      </c>
    </row>
    <row r="182" spans="27:39" x14ac:dyDescent="0.3">
      <c r="AA182" t="str">
        <f>IF(COUNTA('Procyfloc GS50'!A183,'Procyfloc GS50'!B183,'Procyfloc GS50'!C183)&gt;0,"GS50","")</f>
        <v/>
      </c>
      <c r="AB182" t="str">
        <f>IFERROR(IF(ISNUMBER('Procyfloc GS50'!A183),'Procyfloc GS50'!A183,DATEVALUE('Procyfloc GS50'!A183)),"")</f>
        <v/>
      </c>
      <c r="AC182" t="str">
        <f>IF(AA182="","",'Procyfloc GS50'!B183)</f>
        <v/>
      </c>
      <c r="AD182" t="str">
        <f>IF(AA182="","",IFERROR(1*'Procyfloc GS50'!C183,IFERROR(_xludf.NUMBERVALUE('Procyfloc GS50'!C183,".",","),IFERROR(_xludf.NUMBERVALUE('Procyfloc GS50'!C183,",","."),0))))</f>
        <v/>
      </c>
      <c r="AE182" t="str">
        <f>IF(AA182="","",'Procyfloc GS50'!J183)</f>
        <v/>
      </c>
      <c r="AF182">
        <f t="shared" si="29"/>
        <v>0</v>
      </c>
      <c r="AG182" t="str">
        <f t="shared" si="30"/>
        <v/>
      </c>
      <c r="AH182" t="str">
        <f t="shared" si="31"/>
        <v/>
      </c>
      <c r="AI182">
        <f t="shared" si="32"/>
        <v>0</v>
      </c>
      <c r="AJ182">
        <f t="shared" si="33"/>
        <v>0</v>
      </c>
      <c r="AK182">
        <v>0</v>
      </c>
      <c r="AL182" t="str">
        <f>IF(AA182="","",IFERROR(IF(ISNUMBER('Procyfloc GS50'!D183),'Procyfloc GS50'!D183,IF(ISNUMBER(SEARCH("12",'Procyfloc GS50'!D183)),EDATE(AB182,12),IF(ISNUMBER(SEARCH("6",'Procyfloc GS50'!D183)),EDATE(AB182,6),IF(ISNUMBER(SEARCH("3",'Procyfloc GS50'!D183)),EDATE(AB182,3),DATEVALUE('Procyfloc GS50'!D183))))),""))</f>
        <v/>
      </c>
      <c r="AM182" t="str">
        <f t="shared" ca="1" si="34"/>
        <v/>
      </c>
    </row>
    <row r="183" spans="27:39" x14ac:dyDescent="0.3">
      <c r="AA183" t="str">
        <f>IF(COUNTA('Procyfloc GS50'!A184,'Procyfloc GS50'!B184,'Procyfloc GS50'!C184)&gt;0,"GS50","")</f>
        <v/>
      </c>
      <c r="AB183" t="str">
        <f>IFERROR(IF(ISNUMBER('Procyfloc GS50'!A184),'Procyfloc GS50'!A184,DATEVALUE('Procyfloc GS50'!A184)),"")</f>
        <v/>
      </c>
      <c r="AC183" t="str">
        <f>IF(AA183="","",'Procyfloc GS50'!B184)</f>
        <v/>
      </c>
      <c r="AD183" t="str">
        <f>IF(AA183="","",IFERROR(1*'Procyfloc GS50'!C184,IFERROR(_xludf.NUMBERVALUE('Procyfloc GS50'!C184,".",","),IFERROR(_xludf.NUMBERVALUE('Procyfloc GS50'!C184,",","."),0))))</f>
        <v/>
      </c>
      <c r="AE183" t="str">
        <f>IF(AA183="","",'Procyfloc GS50'!J184)</f>
        <v/>
      </c>
      <c r="AF183">
        <f t="shared" si="29"/>
        <v>0</v>
      </c>
      <c r="AG183" t="str">
        <f t="shared" si="30"/>
        <v/>
      </c>
      <c r="AH183" t="str">
        <f t="shared" si="31"/>
        <v/>
      </c>
      <c r="AI183">
        <f t="shared" si="32"/>
        <v>0</v>
      </c>
      <c r="AJ183">
        <f t="shared" si="33"/>
        <v>0</v>
      </c>
      <c r="AK183">
        <v>0</v>
      </c>
      <c r="AL183" t="str">
        <f>IF(AA183="","",IFERROR(IF(ISNUMBER('Procyfloc GS50'!D184),'Procyfloc GS50'!D184,IF(ISNUMBER(SEARCH("12",'Procyfloc GS50'!D184)),EDATE(AB183,12),IF(ISNUMBER(SEARCH("6",'Procyfloc GS50'!D184)),EDATE(AB183,6),IF(ISNUMBER(SEARCH("3",'Procyfloc GS50'!D184)),EDATE(AB183,3),DATEVALUE('Procyfloc GS50'!D184))))),""))</f>
        <v/>
      </c>
      <c r="AM183" t="str">
        <f t="shared" ca="1" si="34"/>
        <v/>
      </c>
    </row>
    <row r="184" spans="27:39" x14ac:dyDescent="0.3">
      <c r="AA184" t="str">
        <f>IF(COUNTA('Procyfloc GS50'!A185,'Procyfloc GS50'!B185,'Procyfloc GS50'!C185)&gt;0,"GS50","")</f>
        <v/>
      </c>
      <c r="AB184" t="str">
        <f>IFERROR(IF(ISNUMBER('Procyfloc GS50'!A185),'Procyfloc GS50'!A185,DATEVALUE('Procyfloc GS50'!A185)),"")</f>
        <v/>
      </c>
      <c r="AC184" t="str">
        <f>IF(AA184="","",'Procyfloc GS50'!B185)</f>
        <v/>
      </c>
      <c r="AD184" t="str">
        <f>IF(AA184="","",IFERROR(1*'Procyfloc GS50'!C185,IFERROR(_xludf.NUMBERVALUE('Procyfloc GS50'!C185,".",","),IFERROR(_xludf.NUMBERVALUE('Procyfloc GS50'!C185,",","."),0))))</f>
        <v/>
      </c>
      <c r="AE184" t="str">
        <f>IF(AA184="","",'Procyfloc GS50'!J185)</f>
        <v/>
      </c>
      <c r="AF184">
        <f t="shared" si="29"/>
        <v>0</v>
      </c>
      <c r="AG184" t="str">
        <f t="shared" si="30"/>
        <v/>
      </c>
      <c r="AH184" t="str">
        <f t="shared" si="31"/>
        <v/>
      </c>
      <c r="AI184">
        <f t="shared" si="32"/>
        <v>0</v>
      </c>
      <c r="AJ184">
        <f t="shared" si="33"/>
        <v>0</v>
      </c>
      <c r="AK184">
        <v>0</v>
      </c>
      <c r="AL184" t="str">
        <f>IF(AA184="","",IFERROR(IF(ISNUMBER('Procyfloc GS50'!D185),'Procyfloc GS50'!D185,IF(ISNUMBER(SEARCH("12",'Procyfloc GS50'!D185)),EDATE(AB184,12),IF(ISNUMBER(SEARCH("6",'Procyfloc GS50'!D185)),EDATE(AB184,6),IF(ISNUMBER(SEARCH("3",'Procyfloc GS50'!D185)),EDATE(AB184,3),DATEVALUE('Procyfloc GS50'!D185))))),""))</f>
        <v/>
      </c>
      <c r="AM184" t="str">
        <f t="shared" ca="1" si="34"/>
        <v/>
      </c>
    </row>
    <row r="185" spans="27:39" x14ac:dyDescent="0.3">
      <c r="AA185" t="str">
        <f>IF(COUNTA('Procyfloc GS50'!A186,'Procyfloc GS50'!B186,'Procyfloc GS50'!C186)&gt;0,"GS50","")</f>
        <v/>
      </c>
      <c r="AB185" t="str">
        <f>IFERROR(IF(ISNUMBER('Procyfloc GS50'!A186),'Procyfloc GS50'!A186,DATEVALUE('Procyfloc GS50'!A186)),"")</f>
        <v/>
      </c>
      <c r="AC185" t="str">
        <f>IF(AA185="","",'Procyfloc GS50'!B186)</f>
        <v/>
      </c>
      <c r="AD185" t="str">
        <f>IF(AA185="","",IFERROR(1*'Procyfloc GS50'!C186,IFERROR(_xludf.NUMBERVALUE('Procyfloc GS50'!C186,".",","),IFERROR(_xludf.NUMBERVALUE('Procyfloc GS50'!C186,",","."),0))))</f>
        <v/>
      </c>
      <c r="AE185" t="str">
        <f>IF(AA185="","",'Procyfloc GS50'!J186)</f>
        <v/>
      </c>
      <c r="AF185">
        <f t="shared" si="29"/>
        <v>0</v>
      </c>
      <c r="AG185" t="str">
        <f t="shared" si="30"/>
        <v/>
      </c>
      <c r="AH185" t="str">
        <f t="shared" si="31"/>
        <v/>
      </c>
      <c r="AI185">
        <f t="shared" si="32"/>
        <v>0</v>
      </c>
      <c r="AJ185">
        <f t="shared" si="33"/>
        <v>0</v>
      </c>
      <c r="AK185">
        <v>0</v>
      </c>
      <c r="AL185" t="str">
        <f>IF(AA185="","",IFERROR(IF(ISNUMBER('Procyfloc GS50'!D186),'Procyfloc GS50'!D186,IF(ISNUMBER(SEARCH("12",'Procyfloc GS50'!D186)),EDATE(AB185,12),IF(ISNUMBER(SEARCH("6",'Procyfloc GS50'!D186)),EDATE(AB185,6),IF(ISNUMBER(SEARCH("3",'Procyfloc GS50'!D186)),EDATE(AB185,3),DATEVALUE('Procyfloc GS50'!D186))))),""))</f>
        <v/>
      </c>
      <c r="AM185" t="str">
        <f t="shared" ca="1" si="34"/>
        <v/>
      </c>
    </row>
    <row r="186" spans="27:39" x14ac:dyDescent="0.3">
      <c r="AA186" t="str">
        <f>IF(COUNTA('Procyfloc GS50'!A187,'Procyfloc GS50'!B187,'Procyfloc GS50'!C187)&gt;0,"GS50","")</f>
        <v/>
      </c>
      <c r="AB186" t="str">
        <f>IFERROR(IF(ISNUMBER('Procyfloc GS50'!A187),'Procyfloc GS50'!A187,DATEVALUE('Procyfloc GS50'!A187)),"")</f>
        <v/>
      </c>
      <c r="AC186" t="str">
        <f>IF(AA186="","",'Procyfloc GS50'!B187)</f>
        <v/>
      </c>
      <c r="AD186" t="str">
        <f>IF(AA186="","",IFERROR(1*'Procyfloc GS50'!C187,IFERROR(_xludf.NUMBERVALUE('Procyfloc GS50'!C187,".",","),IFERROR(_xludf.NUMBERVALUE('Procyfloc GS50'!C187,",","."),0))))</f>
        <v/>
      </c>
      <c r="AE186" t="str">
        <f>IF(AA186="","",'Procyfloc GS50'!J187)</f>
        <v/>
      </c>
      <c r="AF186">
        <f t="shared" si="29"/>
        <v>0</v>
      </c>
      <c r="AG186" t="str">
        <f t="shared" si="30"/>
        <v/>
      </c>
      <c r="AH186" t="str">
        <f t="shared" si="31"/>
        <v/>
      </c>
      <c r="AI186">
        <f t="shared" si="32"/>
        <v>0</v>
      </c>
      <c r="AJ186">
        <f t="shared" si="33"/>
        <v>0</v>
      </c>
      <c r="AK186">
        <v>0</v>
      </c>
      <c r="AL186" t="str">
        <f>IF(AA186="","",IFERROR(IF(ISNUMBER('Procyfloc GS50'!D187),'Procyfloc GS50'!D187,IF(ISNUMBER(SEARCH("12",'Procyfloc GS50'!D187)),EDATE(AB186,12),IF(ISNUMBER(SEARCH("6",'Procyfloc GS50'!D187)),EDATE(AB186,6),IF(ISNUMBER(SEARCH("3",'Procyfloc GS50'!D187)),EDATE(AB186,3),DATEVALUE('Procyfloc GS50'!D187))))),""))</f>
        <v/>
      </c>
      <c r="AM186" t="str">
        <f t="shared" ca="1" si="34"/>
        <v/>
      </c>
    </row>
    <row r="187" spans="27:39" x14ac:dyDescent="0.3">
      <c r="AA187" t="str">
        <f>IF(COUNTA('Procyfloc GS50'!A188,'Procyfloc GS50'!B188,'Procyfloc GS50'!C188)&gt;0,"GS50","")</f>
        <v/>
      </c>
      <c r="AB187" t="str">
        <f>IFERROR(IF(ISNUMBER('Procyfloc GS50'!A188),'Procyfloc GS50'!A188,DATEVALUE('Procyfloc GS50'!A188)),"")</f>
        <v/>
      </c>
      <c r="AC187" t="str">
        <f>IF(AA187="","",'Procyfloc GS50'!B188)</f>
        <v/>
      </c>
      <c r="AD187" t="str">
        <f>IF(AA187="","",IFERROR(1*'Procyfloc GS50'!C188,IFERROR(_xludf.NUMBERVALUE('Procyfloc GS50'!C188,".",","),IFERROR(_xludf.NUMBERVALUE('Procyfloc GS50'!C188,",","."),0))))</f>
        <v/>
      </c>
      <c r="AE187" t="str">
        <f>IF(AA187="","",'Procyfloc GS50'!J188)</f>
        <v/>
      </c>
      <c r="AF187">
        <f t="shared" si="29"/>
        <v>0</v>
      </c>
      <c r="AG187" t="str">
        <f t="shared" si="30"/>
        <v/>
      </c>
      <c r="AH187" t="str">
        <f t="shared" si="31"/>
        <v/>
      </c>
      <c r="AI187">
        <f t="shared" si="32"/>
        <v>0</v>
      </c>
      <c r="AJ187">
        <f t="shared" si="33"/>
        <v>0</v>
      </c>
      <c r="AK187">
        <v>0</v>
      </c>
      <c r="AL187" t="str">
        <f>IF(AA187="","",IFERROR(IF(ISNUMBER('Procyfloc GS50'!D188),'Procyfloc GS50'!D188,IF(ISNUMBER(SEARCH("12",'Procyfloc GS50'!D188)),EDATE(AB187,12),IF(ISNUMBER(SEARCH("6",'Procyfloc GS50'!D188)),EDATE(AB187,6),IF(ISNUMBER(SEARCH("3",'Procyfloc GS50'!D188)),EDATE(AB187,3),DATEVALUE('Procyfloc GS50'!D188))))),""))</f>
        <v/>
      </c>
      <c r="AM187" t="str">
        <f t="shared" ca="1" si="34"/>
        <v/>
      </c>
    </row>
    <row r="188" spans="27:39" x14ac:dyDescent="0.3">
      <c r="AA188" t="str">
        <f>IF(COUNTA('Procyfloc GS50'!A189,'Procyfloc GS50'!B189,'Procyfloc GS50'!C189)&gt;0,"GS50","")</f>
        <v/>
      </c>
      <c r="AB188" t="str">
        <f>IFERROR(IF(ISNUMBER('Procyfloc GS50'!A189),'Procyfloc GS50'!A189,DATEVALUE('Procyfloc GS50'!A189)),"")</f>
        <v/>
      </c>
      <c r="AC188" t="str">
        <f>IF(AA188="","",'Procyfloc GS50'!B189)</f>
        <v/>
      </c>
      <c r="AD188" t="str">
        <f>IF(AA188="","",IFERROR(1*'Procyfloc GS50'!C189,IFERROR(_xludf.NUMBERVALUE('Procyfloc GS50'!C189,".",","),IFERROR(_xludf.NUMBERVALUE('Procyfloc GS50'!C189,",","."),0))))</f>
        <v/>
      </c>
      <c r="AE188" t="str">
        <f>IF(AA188="","",'Procyfloc GS50'!J189)</f>
        <v/>
      </c>
      <c r="AF188">
        <f t="shared" si="29"/>
        <v>0</v>
      </c>
      <c r="AG188" t="str">
        <f t="shared" si="30"/>
        <v/>
      </c>
      <c r="AH188" t="str">
        <f t="shared" si="31"/>
        <v/>
      </c>
      <c r="AI188">
        <f t="shared" si="32"/>
        <v>0</v>
      </c>
      <c r="AJ188">
        <f t="shared" si="33"/>
        <v>0</v>
      </c>
      <c r="AK188">
        <v>0</v>
      </c>
      <c r="AL188" t="str">
        <f>IF(AA188="","",IFERROR(IF(ISNUMBER('Procyfloc GS50'!D189),'Procyfloc GS50'!D189,IF(ISNUMBER(SEARCH("12",'Procyfloc GS50'!D189)),EDATE(AB188,12),IF(ISNUMBER(SEARCH("6",'Procyfloc GS50'!D189)),EDATE(AB188,6),IF(ISNUMBER(SEARCH("3",'Procyfloc GS50'!D189)),EDATE(AB188,3),DATEVALUE('Procyfloc GS50'!D189))))),""))</f>
        <v/>
      </c>
      <c r="AM188" t="str">
        <f t="shared" ca="1" si="34"/>
        <v/>
      </c>
    </row>
    <row r="189" spans="27:39" x14ac:dyDescent="0.3">
      <c r="AA189" t="str">
        <f>IF(COUNTA('Procyfloc GS50'!A190,'Procyfloc GS50'!B190,'Procyfloc GS50'!C190)&gt;0,"GS50","")</f>
        <v/>
      </c>
      <c r="AB189" t="str">
        <f>IFERROR(IF(ISNUMBER('Procyfloc GS50'!A190),'Procyfloc GS50'!A190,DATEVALUE('Procyfloc GS50'!A190)),"")</f>
        <v/>
      </c>
      <c r="AC189" t="str">
        <f>IF(AA189="","",'Procyfloc GS50'!B190)</f>
        <v/>
      </c>
      <c r="AD189" t="str">
        <f>IF(AA189="","",IFERROR(1*'Procyfloc GS50'!C190,IFERROR(_xludf.NUMBERVALUE('Procyfloc GS50'!C190,".",","),IFERROR(_xludf.NUMBERVALUE('Procyfloc GS50'!C190,",","."),0))))</f>
        <v/>
      </c>
      <c r="AE189" t="str">
        <f>IF(AA189="","",'Procyfloc GS50'!J190)</f>
        <v/>
      </c>
      <c r="AF189">
        <f t="shared" si="29"/>
        <v>0</v>
      </c>
      <c r="AG189" t="str">
        <f t="shared" si="30"/>
        <v/>
      </c>
      <c r="AH189" t="str">
        <f t="shared" si="31"/>
        <v/>
      </c>
      <c r="AI189">
        <f t="shared" si="32"/>
        <v>0</v>
      </c>
      <c r="AJ189">
        <f t="shared" si="33"/>
        <v>0</v>
      </c>
      <c r="AK189">
        <v>0</v>
      </c>
      <c r="AL189" t="str">
        <f>IF(AA189="","",IFERROR(IF(ISNUMBER('Procyfloc GS50'!D190),'Procyfloc GS50'!D190,IF(ISNUMBER(SEARCH("12",'Procyfloc GS50'!D190)),EDATE(AB189,12),IF(ISNUMBER(SEARCH("6",'Procyfloc GS50'!D190)),EDATE(AB189,6),IF(ISNUMBER(SEARCH("3",'Procyfloc GS50'!D190)),EDATE(AB189,3),DATEVALUE('Procyfloc GS50'!D190))))),""))</f>
        <v/>
      </c>
      <c r="AM189" t="str">
        <f t="shared" ca="1" si="34"/>
        <v/>
      </c>
    </row>
    <row r="190" spans="27:39" x14ac:dyDescent="0.3">
      <c r="AA190" t="str">
        <f>IF(COUNTA('Procyfloc GS50'!A191,'Procyfloc GS50'!B191,'Procyfloc GS50'!C191)&gt;0,"GS50","")</f>
        <v/>
      </c>
      <c r="AB190" t="str">
        <f>IFERROR(IF(ISNUMBER('Procyfloc GS50'!A191),'Procyfloc GS50'!A191,DATEVALUE('Procyfloc GS50'!A191)),"")</f>
        <v/>
      </c>
      <c r="AC190" t="str">
        <f>IF(AA190="","",'Procyfloc GS50'!B191)</f>
        <v/>
      </c>
      <c r="AD190" t="str">
        <f>IF(AA190="","",IFERROR(1*'Procyfloc GS50'!C191,IFERROR(_xludf.NUMBERVALUE('Procyfloc GS50'!C191,".",","),IFERROR(_xludf.NUMBERVALUE('Procyfloc GS50'!C191,",","."),0))))</f>
        <v/>
      </c>
      <c r="AE190" t="str">
        <f>IF(AA190="","",'Procyfloc GS50'!J191)</f>
        <v/>
      </c>
      <c r="AF190">
        <f t="shared" si="29"/>
        <v>0</v>
      </c>
      <c r="AG190" t="str">
        <f t="shared" si="30"/>
        <v/>
      </c>
      <c r="AH190" t="str">
        <f t="shared" si="31"/>
        <v/>
      </c>
      <c r="AI190">
        <f t="shared" si="32"/>
        <v>0</v>
      </c>
      <c r="AJ190">
        <f t="shared" si="33"/>
        <v>0</v>
      </c>
      <c r="AK190">
        <v>0</v>
      </c>
      <c r="AL190" t="str">
        <f>IF(AA190="","",IFERROR(IF(ISNUMBER('Procyfloc GS50'!D191),'Procyfloc GS50'!D191,IF(ISNUMBER(SEARCH("12",'Procyfloc GS50'!D191)),EDATE(AB190,12),IF(ISNUMBER(SEARCH("6",'Procyfloc GS50'!D191)),EDATE(AB190,6),IF(ISNUMBER(SEARCH("3",'Procyfloc GS50'!D191)),EDATE(AB190,3),DATEVALUE('Procyfloc GS50'!D191))))),""))</f>
        <v/>
      </c>
      <c r="AM190" t="str">
        <f t="shared" ca="1" si="34"/>
        <v/>
      </c>
    </row>
    <row r="191" spans="27:39" x14ac:dyDescent="0.3">
      <c r="AA191" t="str">
        <f>IF(COUNTA('Procyfloc GS50'!A192,'Procyfloc GS50'!B192,'Procyfloc GS50'!C192)&gt;0,"GS50","")</f>
        <v/>
      </c>
      <c r="AB191" t="str">
        <f>IFERROR(IF(ISNUMBER('Procyfloc GS50'!A192),'Procyfloc GS50'!A192,DATEVALUE('Procyfloc GS50'!A192)),"")</f>
        <v/>
      </c>
      <c r="AC191" t="str">
        <f>IF(AA191="","",'Procyfloc GS50'!B192)</f>
        <v/>
      </c>
      <c r="AD191" t="str">
        <f>IF(AA191="","",IFERROR(1*'Procyfloc GS50'!C192,IFERROR(_xludf.NUMBERVALUE('Procyfloc GS50'!C192,".",","),IFERROR(_xludf.NUMBERVALUE('Procyfloc GS50'!C192,",","."),0))))</f>
        <v/>
      </c>
      <c r="AE191" t="str">
        <f>IF(AA191="","",'Procyfloc GS50'!J192)</f>
        <v/>
      </c>
      <c r="AF191">
        <f t="shared" si="29"/>
        <v>0</v>
      </c>
      <c r="AG191" t="str">
        <f t="shared" si="30"/>
        <v/>
      </c>
      <c r="AH191" t="str">
        <f t="shared" si="31"/>
        <v/>
      </c>
      <c r="AI191">
        <f t="shared" si="32"/>
        <v>0</v>
      </c>
      <c r="AJ191">
        <f t="shared" si="33"/>
        <v>0</v>
      </c>
      <c r="AK191">
        <v>0</v>
      </c>
      <c r="AL191" t="str">
        <f>IF(AA191="","",IFERROR(IF(ISNUMBER('Procyfloc GS50'!D192),'Procyfloc GS50'!D192,IF(ISNUMBER(SEARCH("12",'Procyfloc GS50'!D192)),EDATE(AB191,12),IF(ISNUMBER(SEARCH("6",'Procyfloc GS50'!D192)),EDATE(AB191,6),IF(ISNUMBER(SEARCH("3",'Procyfloc GS50'!D192)),EDATE(AB191,3),DATEVALUE('Procyfloc GS50'!D192))))),""))</f>
        <v/>
      </c>
      <c r="AM191" t="str">
        <f t="shared" ca="1" si="34"/>
        <v/>
      </c>
    </row>
    <row r="192" spans="27:39" x14ac:dyDescent="0.3">
      <c r="AA192" t="str">
        <f>IF(COUNTA('Procyfloc GS50'!A193,'Procyfloc GS50'!B193,'Procyfloc GS50'!C193)&gt;0,"GS50","")</f>
        <v/>
      </c>
      <c r="AB192" t="str">
        <f>IFERROR(IF(ISNUMBER('Procyfloc GS50'!A193),'Procyfloc GS50'!A193,DATEVALUE('Procyfloc GS50'!A193)),"")</f>
        <v/>
      </c>
      <c r="AC192" t="str">
        <f>IF(AA192="","",'Procyfloc GS50'!B193)</f>
        <v/>
      </c>
      <c r="AD192" t="str">
        <f>IF(AA192="","",IFERROR(1*'Procyfloc GS50'!C193,IFERROR(_xludf.NUMBERVALUE('Procyfloc GS50'!C193,".",","),IFERROR(_xludf.NUMBERVALUE('Procyfloc GS50'!C193,",","."),0))))</f>
        <v/>
      </c>
      <c r="AE192" t="str">
        <f>IF(AA192="","",'Procyfloc GS50'!J193)</f>
        <v/>
      </c>
      <c r="AF192">
        <f t="shared" si="29"/>
        <v>0</v>
      </c>
      <c r="AG192" t="str">
        <f t="shared" si="30"/>
        <v/>
      </c>
      <c r="AH192" t="str">
        <f t="shared" si="31"/>
        <v/>
      </c>
      <c r="AI192">
        <f t="shared" si="32"/>
        <v>0</v>
      </c>
      <c r="AJ192">
        <f t="shared" si="33"/>
        <v>0</v>
      </c>
      <c r="AK192">
        <v>0</v>
      </c>
      <c r="AL192" t="str">
        <f>IF(AA192="","",IFERROR(IF(ISNUMBER('Procyfloc GS50'!D193),'Procyfloc GS50'!D193,IF(ISNUMBER(SEARCH("12",'Procyfloc GS50'!D193)),EDATE(AB192,12),IF(ISNUMBER(SEARCH("6",'Procyfloc GS50'!D193)),EDATE(AB192,6),IF(ISNUMBER(SEARCH("3",'Procyfloc GS50'!D193)),EDATE(AB192,3),DATEVALUE('Procyfloc GS50'!D193))))),""))</f>
        <v/>
      </c>
      <c r="AM192" t="str">
        <f t="shared" ca="1" si="34"/>
        <v/>
      </c>
    </row>
    <row r="193" spans="27:39" x14ac:dyDescent="0.3">
      <c r="AA193" t="str">
        <f>IF(COUNTA('Procyfloc GS50'!A194,'Procyfloc GS50'!B194,'Procyfloc GS50'!C194)&gt;0,"GS50","")</f>
        <v/>
      </c>
      <c r="AB193" t="str">
        <f>IFERROR(IF(ISNUMBER('Procyfloc GS50'!A194),'Procyfloc GS50'!A194,DATEVALUE('Procyfloc GS50'!A194)),"")</f>
        <v/>
      </c>
      <c r="AC193" t="str">
        <f>IF(AA193="","",'Procyfloc GS50'!B194)</f>
        <v/>
      </c>
      <c r="AD193" t="str">
        <f>IF(AA193="","",IFERROR(1*'Procyfloc GS50'!C194,IFERROR(_xludf.NUMBERVALUE('Procyfloc GS50'!C194,".",","),IFERROR(_xludf.NUMBERVALUE('Procyfloc GS50'!C194,",","."),0))))</f>
        <v/>
      </c>
      <c r="AE193" t="str">
        <f>IF(AA193="","",'Procyfloc GS50'!J194)</f>
        <v/>
      </c>
      <c r="AF193">
        <f t="shared" si="29"/>
        <v>0</v>
      </c>
      <c r="AG193" t="str">
        <f t="shared" si="30"/>
        <v/>
      </c>
      <c r="AH193" t="str">
        <f t="shared" si="31"/>
        <v/>
      </c>
      <c r="AI193">
        <f t="shared" si="32"/>
        <v>0</v>
      </c>
      <c r="AJ193">
        <f t="shared" si="33"/>
        <v>0</v>
      </c>
      <c r="AK193">
        <v>0</v>
      </c>
      <c r="AL193" t="str">
        <f>IF(AA193="","",IFERROR(IF(ISNUMBER('Procyfloc GS50'!D194),'Procyfloc GS50'!D194,IF(ISNUMBER(SEARCH("12",'Procyfloc GS50'!D194)),EDATE(AB193,12),IF(ISNUMBER(SEARCH("6",'Procyfloc GS50'!D194)),EDATE(AB193,6),IF(ISNUMBER(SEARCH("3",'Procyfloc GS50'!D194)),EDATE(AB193,3),DATEVALUE('Procyfloc GS50'!D194))))),""))</f>
        <v/>
      </c>
      <c r="AM193" t="str">
        <f t="shared" ca="1" si="34"/>
        <v/>
      </c>
    </row>
    <row r="194" spans="27:39" x14ac:dyDescent="0.3">
      <c r="AA194" t="str">
        <f>IF(COUNTA('Procyfloc GS50'!A195,'Procyfloc GS50'!B195,'Procyfloc GS50'!C195)&gt;0,"GS50","")</f>
        <v/>
      </c>
      <c r="AB194" t="str">
        <f>IFERROR(IF(ISNUMBER('Procyfloc GS50'!A195),'Procyfloc GS50'!A195,DATEVALUE('Procyfloc GS50'!A195)),"")</f>
        <v/>
      </c>
      <c r="AC194" t="str">
        <f>IF(AA194="","",'Procyfloc GS50'!B195)</f>
        <v/>
      </c>
      <c r="AD194" t="str">
        <f>IF(AA194="","",IFERROR(1*'Procyfloc GS50'!C195,IFERROR(_xludf.NUMBERVALUE('Procyfloc GS50'!C195,".",","),IFERROR(_xludf.NUMBERVALUE('Procyfloc GS50'!C195,",","."),0))))</f>
        <v/>
      </c>
      <c r="AE194" t="str">
        <f>IF(AA194="","",'Procyfloc GS50'!J195)</f>
        <v/>
      </c>
      <c r="AF194">
        <f t="shared" ref="AF194:AF257" si="35">IF(AA194="",0,--AND(ISNUMBER(SEARCH("aprov",AE194)),NOT(ISNUMBER(SEARCH("reprov",AE194)))))</f>
        <v>0</v>
      </c>
      <c r="AG194" t="str">
        <f t="shared" ref="AG194:AG257" si="36">IF(AB194="","",YEAR(AB194))</f>
        <v/>
      </c>
      <c r="AH194" t="str">
        <f t="shared" ref="AH194:AH257" si="37">IF(AB194="","",MONTH(AB194))</f>
        <v/>
      </c>
      <c r="AI194">
        <f t="shared" ref="AI194:AI257" si="38">IF(AB194="",0,AB194+ROW()/1000000)</f>
        <v>0</v>
      </c>
      <c r="AJ194">
        <f t="shared" ref="AJ194:AJ257" si="39">--(AA194&lt;&gt;"")</f>
        <v>0</v>
      </c>
      <c r="AK194">
        <v>0</v>
      </c>
      <c r="AL194" t="str">
        <f>IF(AA194="","",IFERROR(IF(ISNUMBER('Procyfloc GS50'!D195),'Procyfloc GS50'!D195,IF(ISNUMBER(SEARCH("12",'Procyfloc GS50'!D195)),EDATE(AB194,12),IF(ISNUMBER(SEARCH("6",'Procyfloc GS50'!D195)),EDATE(AB194,6),IF(ISNUMBER(SEARCH("3",'Procyfloc GS50'!D195)),EDATE(AB194,3),DATEVALUE('Procyfloc GS50'!D195))))),""))</f>
        <v/>
      </c>
      <c r="AM194" t="str">
        <f t="shared" ref="AM194:AM257" ca="1" si="40">IF(AND(AJ194=1,AL194&lt;&gt;"",AL194&gt;=TODAY(),AG194=$W$3),AL194+ROW()/1000000,"")</f>
        <v/>
      </c>
    </row>
    <row r="195" spans="27:39" x14ac:dyDescent="0.3">
      <c r="AA195" t="str">
        <f>IF(COUNTA('Procyfloc GS50'!A196,'Procyfloc GS50'!B196,'Procyfloc GS50'!C196)&gt;0,"GS50","")</f>
        <v/>
      </c>
      <c r="AB195" t="str">
        <f>IFERROR(IF(ISNUMBER('Procyfloc GS50'!A196),'Procyfloc GS50'!A196,DATEVALUE('Procyfloc GS50'!A196)),"")</f>
        <v/>
      </c>
      <c r="AC195" t="str">
        <f>IF(AA195="","",'Procyfloc GS50'!B196)</f>
        <v/>
      </c>
      <c r="AD195" t="str">
        <f>IF(AA195="","",IFERROR(1*'Procyfloc GS50'!C196,IFERROR(_xludf.NUMBERVALUE('Procyfloc GS50'!C196,".",","),IFERROR(_xludf.NUMBERVALUE('Procyfloc GS50'!C196,",","."),0))))</f>
        <v/>
      </c>
      <c r="AE195" t="str">
        <f>IF(AA195="","",'Procyfloc GS50'!J196)</f>
        <v/>
      </c>
      <c r="AF195">
        <f t="shared" si="35"/>
        <v>0</v>
      </c>
      <c r="AG195" t="str">
        <f t="shared" si="36"/>
        <v/>
      </c>
      <c r="AH195" t="str">
        <f t="shared" si="37"/>
        <v/>
      </c>
      <c r="AI195">
        <f t="shared" si="38"/>
        <v>0</v>
      </c>
      <c r="AJ195">
        <f t="shared" si="39"/>
        <v>0</v>
      </c>
      <c r="AK195">
        <v>0</v>
      </c>
      <c r="AL195" t="str">
        <f>IF(AA195="","",IFERROR(IF(ISNUMBER('Procyfloc GS50'!D196),'Procyfloc GS50'!D196,IF(ISNUMBER(SEARCH("12",'Procyfloc GS50'!D196)),EDATE(AB195,12),IF(ISNUMBER(SEARCH("6",'Procyfloc GS50'!D196)),EDATE(AB195,6),IF(ISNUMBER(SEARCH("3",'Procyfloc GS50'!D196)),EDATE(AB195,3),DATEVALUE('Procyfloc GS50'!D196))))),""))</f>
        <v/>
      </c>
      <c r="AM195" t="str">
        <f t="shared" ca="1" si="40"/>
        <v/>
      </c>
    </row>
    <row r="196" spans="27:39" x14ac:dyDescent="0.3">
      <c r="AA196" t="str">
        <f>IF(COUNTA('Procyfloc GS50'!A197,'Procyfloc GS50'!B197,'Procyfloc GS50'!C197)&gt;0,"GS50","")</f>
        <v/>
      </c>
      <c r="AB196" t="str">
        <f>IFERROR(IF(ISNUMBER('Procyfloc GS50'!A197),'Procyfloc GS50'!A197,DATEVALUE('Procyfloc GS50'!A197)),"")</f>
        <v/>
      </c>
      <c r="AC196" t="str">
        <f>IF(AA196="","",'Procyfloc GS50'!B197)</f>
        <v/>
      </c>
      <c r="AD196" t="str">
        <f>IF(AA196="","",IFERROR(1*'Procyfloc GS50'!C197,IFERROR(_xludf.NUMBERVALUE('Procyfloc GS50'!C197,".",","),IFERROR(_xludf.NUMBERVALUE('Procyfloc GS50'!C197,",","."),0))))</f>
        <v/>
      </c>
      <c r="AE196" t="str">
        <f>IF(AA196="","",'Procyfloc GS50'!J197)</f>
        <v/>
      </c>
      <c r="AF196">
        <f t="shared" si="35"/>
        <v>0</v>
      </c>
      <c r="AG196" t="str">
        <f t="shared" si="36"/>
        <v/>
      </c>
      <c r="AH196" t="str">
        <f t="shared" si="37"/>
        <v/>
      </c>
      <c r="AI196">
        <f t="shared" si="38"/>
        <v>0</v>
      </c>
      <c r="AJ196">
        <f t="shared" si="39"/>
        <v>0</v>
      </c>
      <c r="AK196">
        <v>0</v>
      </c>
      <c r="AL196" t="str">
        <f>IF(AA196="","",IFERROR(IF(ISNUMBER('Procyfloc GS50'!D197),'Procyfloc GS50'!D197,IF(ISNUMBER(SEARCH("12",'Procyfloc GS50'!D197)),EDATE(AB196,12),IF(ISNUMBER(SEARCH("6",'Procyfloc GS50'!D197)),EDATE(AB196,6),IF(ISNUMBER(SEARCH("3",'Procyfloc GS50'!D197)),EDATE(AB196,3),DATEVALUE('Procyfloc GS50'!D197))))),""))</f>
        <v/>
      </c>
      <c r="AM196" t="str">
        <f t="shared" ca="1" si="40"/>
        <v/>
      </c>
    </row>
    <row r="197" spans="27:39" x14ac:dyDescent="0.3">
      <c r="AA197" t="str">
        <f>IF(COUNTA('Procyfloc GS50'!A198,'Procyfloc GS50'!B198,'Procyfloc GS50'!C198)&gt;0,"GS50","")</f>
        <v/>
      </c>
      <c r="AB197" t="str">
        <f>IFERROR(IF(ISNUMBER('Procyfloc GS50'!A198),'Procyfloc GS50'!A198,DATEVALUE('Procyfloc GS50'!A198)),"")</f>
        <v/>
      </c>
      <c r="AC197" t="str">
        <f>IF(AA197="","",'Procyfloc GS50'!B198)</f>
        <v/>
      </c>
      <c r="AD197" t="str">
        <f>IF(AA197="","",IFERROR(1*'Procyfloc GS50'!C198,IFERROR(_xludf.NUMBERVALUE('Procyfloc GS50'!C198,".",","),IFERROR(_xludf.NUMBERVALUE('Procyfloc GS50'!C198,",","."),0))))</f>
        <v/>
      </c>
      <c r="AE197" t="str">
        <f>IF(AA197="","",'Procyfloc GS50'!J198)</f>
        <v/>
      </c>
      <c r="AF197">
        <f t="shared" si="35"/>
        <v>0</v>
      </c>
      <c r="AG197" t="str">
        <f t="shared" si="36"/>
        <v/>
      </c>
      <c r="AH197" t="str">
        <f t="shared" si="37"/>
        <v/>
      </c>
      <c r="AI197">
        <f t="shared" si="38"/>
        <v>0</v>
      </c>
      <c r="AJ197">
        <f t="shared" si="39"/>
        <v>0</v>
      </c>
      <c r="AK197">
        <v>0</v>
      </c>
      <c r="AL197" t="str">
        <f>IF(AA197="","",IFERROR(IF(ISNUMBER('Procyfloc GS50'!D198),'Procyfloc GS50'!D198,IF(ISNUMBER(SEARCH("12",'Procyfloc GS50'!D198)),EDATE(AB197,12),IF(ISNUMBER(SEARCH("6",'Procyfloc GS50'!D198)),EDATE(AB197,6),IF(ISNUMBER(SEARCH("3",'Procyfloc GS50'!D198)),EDATE(AB197,3),DATEVALUE('Procyfloc GS50'!D198))))),""))</f>
        <v/>
      </c>
      <c r="AM197" t="str">
        <f t="shared" ca="1" si="40"/>
        <v/>
      </c>
    </row>
    <row r="198" spans="27:39" x14ac:dyDescent="0.3">
      <c r="AA198" t="str">
        <f>IF(COUNTA('Procyfloc GS50'!A199,'Procyfloc GS50'!B199,'Procyfloc GS50'!C199)&gt;0,"GS50","")</f>
        <v/>
      </c>
      <c r="AB198" t="str">
        <f>IFERROR(IF(ISNUMBER('Procyfloc GS50'!A199),'Procyfloc GS50'!A199,DATEVALUE('Procyfloc GS50'!A199)),"")</f>
        <v/>
      </c>
      <c r="AC198" t="str">
        <f>IF(AA198="","",'Procyfloc GS50'!B199)</f>
        <v/>
      </c>
      <c r="AD198" t="str">
        <f>IF(AA198="","",IFERROR(1*'Procyfloc GS50'!C199,IFERROR(_xludf.NUMBERVALUE('Procyfloc GS50'!C199,".",","),IFERROR(_xludf.NUMBERVALUE('Procyfloc GS50'!C199,",","."),0))))</f>
        <v/>
      </c>
      <c r="AE198" t="str">
        <f>IF(AA198="","",'Procyfloc GS50'!J199)</f>
        <v/>
      </c>
      <c r="AF198">
        <f t="shared" si="35"/>
        <v>0</v>
      </c>
      <c r="AG198" t="str">
        <f t="shared" si="36"/>
        <v/>
      </c>
      <c r="AH198" t="str">
        <f t="shared" si="37"/>
        <v/>
      </c>
      <c r="AI198">
        <f t="shared" si="38"/>
        <v>0</v>
      </c>
      <c r="AJ198">
        <f t="shared" si="39"/>
        <v>0</v>
      </c>
      <c r="AK198">
        <v>0</v>
      </c>
      <c r="AL198" t="str">
        <f>IF(AA198="","",IFERROR(IF(ISNUMBER('Procyfloc GS50'!D199),'Procyfloc GS50'!D199,IF(ISNUMBER(SEARCH("12",'Procyfloc GS50'!D199)),EDATE(AB198,12),IF(ISNUMBER(SEARCH("6",'Procyfloc GS50'!D199)),EDATE(AB198,6),IF(ISNUMBER(SEARCH("3",'Procyfloc GS50'!D199)),EDATE(AB198,3),DATEVALUE('Procyfloc GS50'!D199))))),""))</f>
        <v/>
      </c>
      <c r="AM198" t="str">
        <f t="shared" ca="1" si="40"/>
        <v/>
      </c>
    </row>
    <row r="199" spans="27:39" x14ac:dyDescent="0.3">
      <c r="AA199" t="str">
        <f>IF(COUNTA('Procyfloc GS50'!A200,'Procyfloc GS50'!B200,'Procyfloc GS50'!C200)&gt;0,"GS50","")</f>
        <v/>
      </c>
      <c r="AB199" t="str">
        <f>IFERROR(IF(ISNUMBER('Procyfloc GS50'!A200),'Procyfloc GS50'!A200,DATEVALUE('Procyfloc GS50'!A200)),"")</f>
        <v/>
      </c>
      <c r="AC199" t="str">
        <f>IF(AA199="","",'Procyfloc GS50'!B200)</f>
        <v/>
      </c>
      <c r="AD199" t="str">
        <f>IF(AA199="","",IFERROR(1*'Procyfloc GS50'!C200,IFERROR(_xludf.NUMBERVALUE('Procyfloc GS50'!C200,".",","),IFERROR(_xludf.NUMBERVALUE('Procyfloc GS50'!C200,",","."),0))))</f>
        <v/>
      </c>
      <c r="AE199" t="str">
        <f>IF(AA199="","",'Procyfloc GS50'!J200)</f>
        <v/>
      </c>
      <c r="AF199">
        <f t="shared" si="35"/>
        <v>0</v>
      </c>
      <c r="AG199" t="str">
        <f t="shared" si="36"/>
        <v/>
      </c>
      <c r="AH199" t="str">
        <f t="shared" si="37"/>
        <v/>
      </c>
      <c r="AI199">
        <f t="shared" si="38"/>
        <v>0</v>
      </c>
      <c r="AJ199">
        <f t="shared" si="39"/>
        <v>0</v>
      </c>
      <c r="AK199">
        <v>0</v>
      </c>
      <c r="AL199" t="str">
        <f>IF(AA199="","",IFERROR(IF(ISNUMBER('Procyfloc GS50'!D200),'Procyfloc GS50'!D200,IF(ISNUMBER(SEARCH("12",'Procyfloc GS50'!D200)),EDATE(AB199,12),IF(ISNUMBER(SEARCH("6",'Procyfloc GS50'!D200)),EDATE(AB199,6),IF(ISNUMBER(SEARCH("3",'Procyfloc GS50'!D200)),EDATE(AB199,3),DATEVALUE('Procyfloc GS50'!D200))))),""))</f>
        <v/>
      </c>
      <c r="AM199" t="str">
        <f t="shared" ca="1" si="40"/>
        <v/>
      </c>
    </row>
    <row r="200" spans="27:39" x14ac:dyDescent="0.3">
      <c r="AA200" t="str">
        <f>IF(COUNTA('Procyfloc GS50'!A201,'Procyfloc GS50'!B201,'Procyfloc GS50'!C201)&gt;0,"GS50","")</f>
        <v/>
      </c>
      <c r="AB200" t="str">
        <f>IFERROR(IF(ISNUMBER('Procyfloc GS50'!A201),'Procyfloc GS50'!A201,DATEVALUE('Procyfloc GS50'!A201)),"")</f>
        <v/>
      </c>
      <c r="AC200" t="str">
        <f>IF(AA200="","",'Procyfloc GS50'!B201)</f>
        <v/>
      </c>
      <c r="AD200" t="str">
        <f>IF(AA200="","",IFERROR(1*'Procyfloc GS50'!C201,IFERROR(_xludf.NUMBERVALUE('Procyfloc GS50'!C201,".",","),IFERROR(_xludf.NUMBERVALUE('Procyfloc GS50'!C201,",","."),0))))</f>
        <v/>
      </c>
      <c r="AE200" t="str">
        <f>IF(AA200="","",'Procyfloc GS50'!J201)</f>
        <v/>
      </c>
      <c r="AF200">
        <f t="shared" si="35"/>
        <v>0</v>
      </c>
      <c r="AG200" t="str">
        <f t="shared" si="36"/>
        <v/>
      </c>
      <c r="AH200" t="str">
        <f t="shared" si="37"/>
        <v/>
      </c>
      <c r="AI200">
        <f t="shared" si="38"/>
        <v>0</v>
      </c>
      <c r="AJ200">
        <f t="shared" si="39"/>
        <v>0</v>
      </c>
      <c r="AK200">
        <v>0</v>
      </c>
      <c r="AL200" t="str">
        <f>IF(AA200="","",IFERROR(IF(ISNUMBER('Procyfloc GS50'!D201),'Procyfloc GS50'!D201,IF(ISNUMBER(SEARCH("12",'Procyfloc GS50'!D201)),EDATE(AB200,12),IF(ISNUMBER(SEARCH("6",'Procyfloc GS50'!D201)),EDATE(AB200,6),IF(ISNUMBER(SEARCH("3",'Procyfloc GS50'!D201)),EDATE(AB200,3),DATEVALUE('Procyfloc GS50'!D201))))),""))</f>
        <v/>
      </c>
      <c r="AM200" t="str">
        <f t="shared" ca="1" si="40"/>
        <v/>
      </c>
    </row>
    <row r="201" spans="27:39" x14ac:dyDescent="0.3">
      <c r="AA201" t="str">
        <f>IF(COUNTA('Procyfloc GS50'!A202,'Procyfloc GS50'!B202,'Procyfloc GS50'!C202)&gt;0,"GS50","")</f>
        <v/>
      </c>
      <c r="AB201" t="str">
        <f>IFERROR(IF(ISNUMBER('Procyfloc GS50'!A202),'Procyfloc GS50'!A202,DATEVALUE('Procyfloc GS50'!A202)),"")</f>
        <v/>
      </c>
      <c r="AC201" t="str">
        <f>IF(AA201="","",'Procyfloc GS50'!B202)</f>
        <v/>
      </c>
      <c r="AD201" t="str">
        <f>IF(AA201="","",IFERROR(1*'Procyfloc GS50'!C202,IFERROR(_xludf.NUMBERVALUE('Procyfloc GS50'!C202,".",","),IFERROR(_xludf.NUMBERVALUE('Procyfloc GS50'!C202,",","."),0))))</f>
        <v/>
      </c>
      <c r="AE201" t="str">
        <f>IF(AA201="","",'Procyfloc GS50'!J202)</f>
        <v/>
      </c>
      <c r="AF201">
        <f t="shared" si="35"/>
        <v>0</v>
      </c>
      <c r="AG201" t="str">
        <f t="shared" si="36"/>
        <v/>
      </c>
      <c r="AH201" t="str">
        <f t="shared" si="37"/>
        <v/>
      </c>
      <c r="AI201">
        <f t="shared" si="38"/>
        <v>0</v>
      </c>
      <c r="AJ201">
        <f t="shared" si="39"/>
        <v>0</v>
      </c>
      <c r="AK201">
        <v>0</v>
      </c>
      <c r="AL201" t="str">
        <f>IF(AA201="","",IFERROR(IF(ISNUMBER('Procyfloc GS50'!D202),'Procyfloc GS50'!D202,IF(ISNUMBER(SEARCH("12",'Procyfloc GS50'!D202)),EDATE(AB201,12),IF(ISNUMBER(SEARCH("6",'Procyfloc GS50'!D202)),EDATE(AB201,6),IF(ISNUMBER(SEARCH("3",'Procyfloc GS50'!D202)),EDATE(AB201,3),DATEVALUE('Procyfloc GS50'!D202))))),""))</f>
        <v/>
      </c>
      <c r="AM201" t="str">
        <f t="shared" ca="1" si="40"/>
        <v/>
      </c>
    </row>
    <row r="202" spans="27:39" x14ac:dyDescent="0.3">
      <c r="AA202" t="str">
        <f>IF(COUNTA('Procyfloc GS50'!A203,'Procyfloc GS50'!B203,'Procyfloc GS50'!C203)&gt;0,"GS50","")</f>
        <v/>
      </c>
      <c r="AB202" t="str">
        <f>IFERROR(IF(ISNUMBER('Procyfloc GS50'!A203),'Procyfloc GS50'!A203,DATEVALUE('Procyfloc GS50'!A203)),"")</f>
        <v/>
      </c>
      <c r="AC202" t="str">
        <f>IF(AA202="","",'Procyfloc GS50'!B203)</f>
        <v/>
      </c>
      <c r="AD202" t="str">
        <f>IF(AA202="","",IFERROR(1*'Procyfloc GS50'!C203,IFERROR(_xludf.NUMBERVALUE('Procyfloc GS50'!C203,".",","),IFERROR(_xludf.NUMBERVALUE('Procyfloc GS50'!C203,",","."),0))))</f>
        <v/>
      </c>
      <c r="AE202" t="str">
        <f>IF(AA202="","",'Procyfloc GS50'!J203)</f>
        <v/>
      </c>
      <c r="AF202">
        <f t="shared" si="35"/>
        <v>0</v>
      </c>
      <c r="AG202" t="str">
        <f t="shared" si="36"/>
        <v/>
      </c>
      <c r="AH202" t="str">
        <f t="shared" si="37"/>
        <v/>
      </c>
      <c r="AI202">
        <f t="shared" si="38"/>
        <v>0</v>
      </c>
      <c r="AJ202">
        <f t="shared" si="39"/>
        <v>0</v>
      </c>
      <c r="AK202">
        <v>0</v>
      </c>
      <c r="AL202" t="str">
        <f>IF(AA202="","",IFERROR(IF(ISNUMBER('Procyfloc GS50'!D203),'Procyfloc GS50'!D203,IF(ISNUMBER(SEARCH("12",'Procyfloc GS50'!D203)),EDATE(AB202,12),IF(ISNUMBER(SEARCH("6",'Procyfloc GS50'!D203)),EDATE(AB202,6),IF(ISNUMBER(SEARCH("3",'Procyfloc GS50'!D203)),EDATE(AB202,3),DATEVALUE('Procyfloc GS50'!D203))))),""))</f>
        <v/>
      </c>
      <c r="AM202" t="str">
        <f t="shared" ca="1" si="40"/>
        <v/>
      </c>
    </row>
    <row r="203" spans="27:39" x14ac:dyDescent="0.3">
      <c r="AA203" t="str">
        <f>IF(COUNTA('Procyfloc GS50'!A204,'Procyfloc GS50'!B204,'Procyfloc GS50'!C204)&gt;0,"GS50","")</f>
        <v/>
      </c>
      <c r="AB203" t="str">
        <f>IFERROR(IF(ISNUMBER('Procyfloc GS50'!A204),'Procyfloc GS50'!A204,DATEVALUE('Procyfloc GS50'!A204)),"")</f>
        <v/>
      </c>
      <c r="AC203" t="str">
        <f>IF(AA203="","",'Procyfloc GS50'!B204)</f>
        <v/>
      </c>
      <c r="AD203" t="str">
        <f>IF(AA203="","",IFERROR(1*'Procyfloc GS50'!C204,IFERROR(_xludf.NUMBERVALUE('Procyfloc GS50'!C204,".",","),IFERROR(_xludf.NUMBERVALUE('Procyfloc GS50'!C204,",","."),0))))</f>
        <v/>
      </c>
      <c r="AE203" t="str">
        <f>IF(AA203="","",'Procyfloc GS50'!J204)</f>
        <v/>
      </c>
      <c r="AF203">
        <f t="shared" si="35"/>
        <v>0</v>
      </c>
      <c r="AG203" t="str">
        <f t="shared" si="36"/>
        <v/>
      </c>
      <c r="AH203" t="str">
        <f t="shared" si="37"/>
        <v/>
      </c>
      <c r="AI203">
        <f t="shared" si="38"/>
        <v>0</v>
      </c>
      <c r="AJ203">
        <f t="shared" si="39"/>
        <v>0</v>
      </c>
      <c r="AK203">
        <v>0</v>
      </c>
      <c r="AL203" t="str">
        <f>IF(AA203="","",IFERROR(IF(ISNUMBER('Procyfloc GS50'!D204),'Procyfloc GS50'!D204,IF(ISNUMBER(SEARCH("12",'Procyfloc GS50'!D204)),EDATE(AB203,12),IF(ISNUMBER(SEARCH("6",'Procyfloc GS50'!D204)),EDATE(AB203,6),IF(ISNUMBER(SEARCH("3",'Procyfloc GS50'!D204)),EDATE(AB203,3),DATEVALUE('Procyfloc GS50'!D204))))),""))</f>
        <v/>
      </c>
      <c r="AM203" t="str">
        <f t="shared" ca="1" si="40"/>
        <v/>
      </c>
    </row>
    <row r="204" spans="27:39" x14ac:dyDescent="0.3">
      <c r="AA204" t="str">
        <f>IF(COUNTA('Procyfloc GS50'!A205,'Procyfloc GS50'!B205,'Procyfloc GS50'!C205)&gt;0,"GS50","")</f>
        <v/>
      </c>
      <c r="AB204" t="str">
        <f>IFERROR(IF(ISNUMBER('Procyfloc GS50'!A205),'Procyfloc GS50'!A205,DATEVALUE('Procyfloc GS50'!A205)),"")</f>
        <v/>
      </c>
      <c r="AC204" t="str">
        <f>IF(AA204="","",'Procyfloc GS50'!B205)</f>
        <v/>
      </c>
      <c r="AD204" t="str">
        <f>IF(AA204="","",IFERROR(1*'Procyfloc GS50'!C205,IFERROR(_xludf.NUMBERVALUE('Procyfloc GS50'!C205,".",","),IFERROR(_xludf.NUMBERVALUE('Procyfloc GS50'!C205,",","."),0))))</f>
        <v/>
      </c>
      <c r="AE204" t="str">
        <f>IF(AA204="","",'Procyfloc GS50'!J205)</f>
        <v/>
      </c>
      <c r="AF204">
        <f t="shared" si="35"/>
        <v>0</v>
      </c>
      <c r="AG204" t="str">
        <f t="shared" si="36"/>
        <v/>
      </c>
      <c r="AH204" t="str">
        <f t="shared" si="37"/>
        <v/>
      </c>
      <c r="AI204">
        <f t="shared" si="38"/>
        <v>0</v>
      </c>
      <c r="AJ204">
        <f t="shared" si="39"/>
        <v>0</v>
      </c>
      <c r="AK204">
        <v>0</v>
      </c>
      <c r="AL204" t="str">
        <f>IF(AA204="","",IFERROR(IF(ISNUMBER('Procyfloc GS50'!D205),'Procyfloc GS50'!D205,IF(ISNUMBER(SEARCH("12",'Procyfloc GS50'!D205)),EDATE(AB204,12),IF(ISNUMBER(SEARCH("6",'Procyfloc GS50'!D205)),EDATE(AB204,6),IF(ISNUMBER(SEARCH("3",'Procyfloc GS50'!D205)),EDATE(AB204,3),DATEVALUE('Procyfloc GS50'!D205))))),""))</f>
        <v/>
      </c>
      <c r="AM204" t="str">
        <f t="shared" ca="1" si="40"/>
        <v/>
      </c>
    </row>
    <row r="205" spans="27:39" x14ac:dyDescent="0.3">
      <c r="AA205" t="str">
        <f>IF(COUNTA('Procyfloc GS50'!A206,'Procyfloc GS50'!B206,'Procyfloc GS50'!C206)&gt;0,"GS50","")</f>
        <v/>
      </c>
      <c r="AB205" t="str">
        <f>IFERROR(IF(ISNUMBER('Procyfloc GS50'!A206),'Procyfloc GS50'!A206,DATEVALUE('Procyfloc GS50'!A206)),"")</f>
        <v/>
      </c>
      <c r="AC205" t="str">
        <f>IF(AA205="","",'Procyfloc GS50'!B206)</f>
        <v/>
      </c>
      <c r="AD205" t="str">
        <f>IF(AA205="","",IFERROR(1*'Procyfloc GS50'!C206,IFERROR(_xludf.NUMBERVALUE('Procyfloc GS50'!C206,".",","),IFERROR(_xludf.NUMBERVALUE('Procyfloc GS50'!C206,",","."),0))))</f>
        <v/>
      </c>
      <c r="AE205" t="str">
        <f>IF(AA205="","",'Procyfloc GS50'!J206)</f>
        <v/>
      </c>
      <c r="AF205">
        <f t="shared" si="35"/>
        <v>0</v>
      </c>
      <c r="AG205" t="str">
        <f t="shared" si="36"/>
        <v/>
      </c>
      <c r="AH205" t="str">
        <f t="shared" si="37"/>
        <v/>
      </c>
      <c r="AI205">
        <f t="shared" si="38"/>
        <v>0</v>
      </c>
      <c r="AJ205">
        <f t="shared" si="39"/>
        <v>0</v>
      </c>
      <c r="AK205">
        <v>0</v>
      </c>
      <c r="AL205" t="str">
        <f>IF(AA205="","",IFERROR(IF(ISNUMBER('Procyfloc GS50'!D206),'Procyfloc GS50'!D206,IF(ISNUMBER(SEARCH("12",'Procyfloc GS50'!D206)),EDATE(AB205,12),IF(ISNUMBER(SEARCH("6",'Procyfloc GS50'!D206)),EDATE(AB205,6),IF(ISNUMBER(SEARCH("3",'Procyfloc GS50'!D206)),EDATE(AB205,3),DATEVALUE('Procyfloc GS50'!D206))))),""))</f>
        <v/>
      </c>
      <c r="AM205" t="str">
        <f t="shared" ca="1" si="40"/>
        <v/>
      </c>
    </row>
    <row r="206" spans="27:39" x14ac:dyDescent="0.3">
      <c r="AA206" t="str">
        <f>IF(COUNTA('Procyfloc GS50'!A207,'Procyfloc GS50'!B207,'Procyfloc GS50'!C207)&gt;0,"GS50","")</f>
        <v/>
      </c>
      <c r="AB206" t="str">
        <f>IFERROR(IF(ISNUMBER('Procyfloc GS50'!A207),'Procyfloc GS50'!A207,DATEVALUE('Procyfloc GS50'!A207)),"")</f>
        <v/>
      </c>
      <c r="AC206" t="str">
        <f>IF(AA206="","",'Procyfloc GS50'!B207)</f>
        <v/>
      </c>
      <c r="AD206" t="str">
        <f>IF(AA206="","",IFERROR(1*'Procyfloc GS50'!C207,IFERROR(_xludf.NUMBERVALUE('Procyfloc GS50'!C207,".",","),IFERROR(_xludf.NUMBERVALUE('Procyfloc GS50'!C207,",","."),0))))</f>
        <v/>
      </c>
      <c r="AE206" t="str">
        <f>IF(AA206="","",'Procyfloc GS50'!J207)</f>
        <v/>
      </c>
      <c r="AF206">
        <f t="shared" si="35"/>
        <v>0</v>
      </c>
      <c r="AG206" t="str">
        <f t="shared" si="36"/>
        <v/>
      </c>
      <c r="AH206" t="str">
        <f t="shared" si="37"/>
        <v/>
      </c>
      <c r="AI206">
        <f t="shared" si="38"/>
        <v>0</v>
      </c>
      <c r="AJ206">
        <f t="shared" si="39"/>
        <v>0</v>
      </c>
      <c r="AK206">
        <v>0</v>
      </c>
      <c r="AL206" t="str">
        <f>IF(AA206="","",IFERROR(IF(ISNUMBER('Procyfloc GS50'!D207),'Procyfloc GS50'!D207,IF(ISNUMBER(SEARCH("12",'Procyfloc GS50'!D207)),EDATE(AB206,12),IF(ISNUMBER(SEARCH("6",'Procyfloc GS50'!D207)),EDATE(AB206,6),IF(ISNUMBER(SEARCH("3",'Procyfloc GS50'!D207)),EDATE(AB206,3),DATEVALUE('Procyfloc GS50'!D207))))),""))</f>
        <v/>
      </c>
      <c r="AM206" t="str">
        <f t="shared" ca="1" si="40"/>
        <v/>
      </c>
    </row>
    <row r="207" spans="27:39" x14ac:dyDescent="0.3">
      <c r="AA207" t="str">
        <f>IF(COUNTA('Procyfloc GS50'!A208,'Procyfloc GS50'!B208,'Procyfloc GS50'!C208)&gt;0,"GS50","")</f>
        <v/>
      </c>
      <c r="AB207" t="str">
        <f>IFERROR(IF(ISNUMBER('Procyfloc GS50'!A208),'Procyfloc GS50'!A208,DATEVALUE('Procyfloc GS50'!A208)),"")</f>
        <v/>
      </c>
      <c r="AC207" t="str">
        <f>IF(AA207="","",'Procyfloc GS50'!B208)</f>
        <v/>
      </c>
      <c r="AD207" t="str">
        <f>IF(AA207="","",IFERROR(1*'Procyfloc GS50'!C208,IFERROR(_xludf.NUMBERVALUE('Procyfloc GS50'!C208,".",","),IFERROR(_xludf.NUMBERVALUE('Procyfloc GS50'!C208,",","."),0))))</f>
        <v/>
      </c>
      <c r="AE207" t="str">
        <f>IF(AA207="","",'Procyfloc GS50'!J208)</f>
        <v/>
      </c>
      <c r="AF207">
        <f t="shared" si="35"/>
        <v>0</v>
      </c>
      <c r="AG207" t="str">
        <f t="shared" si="36"/>
        <v/>
      </c>
      <c r="AH207" t="str">
        <f t="shared" si="37"/>
        <v/>
      </c>
      <c r="AI207">
        <f t="shared" si="38"/>
        <v>0</v>
      </c>
      <c r="AJ207">
        <f t="shared" si="39"/>
        <v>0</v>
      </c>
      <c r="AK207">
        <v>0</v>
      </c>
      <c r="AL207" t="str">
        <f>IF(AA207="","",IFERROR(IF(ISNUMBER('Procyfloc GS50'!D208),'Procyfloc GS50'!D208,IF(ISNUMBER(SEARCH("12",'Procyfloc GS50'!D208)),EDATE(AB207,12),IF(ISNUMBER(SEARCH("6",'Procyfloc GS50'!D208)),EDATE(AB207,6),IF(ISNUMBER(SEARCH("3",'Procyfloc GS50'!D208)),EDATE(AB207,3),DATEVALUE('Procyfloc GS50'!D208))))),""))</f>
        <v/>
      </c>
      <c r="AM207" t="str">
        <f t="shared" ca="1" si="40"/>
        <v/>
      </c>
    </row>
    <row r="208" spans="27:39" x14ac:dyDescent="0.3">
      <c r="AA208" t="str">
        <f>IF(COUNTA('Procyfloc GS50'!A209,'Procyfloc GS50'!B209,'Procyfloc GS50'!C209)&gt;0,"GS50","")</f>
        <v/>
      </c>
      <c r="AB208" t="str">
        <f>IFERROR(IF(ISNUMBER('Procyfloc GS50'!A209),'Procyfloc GS50'!A209,DATEVALUE('Procyfloc GS50'!A209)),"")</f>
        <v/>
      </c>
      <c r="AC208" t="str">
        <f>IF(AA208="","",'Procyfloc GS50'!B209)</f>
        <v/>
      </c>
      <c r="AD208" t="str">
        <f>IF(AA208="","",IFERROR(1*'Procyfloc GS50'!C209,IFERROR(_xludf.NUMBERVALUE('Procyfloc GS50'!C209,".",","),IFERROR(_xludf.NUMBERVALUE('Procyfloc GS50'!C209,",","."),0))))</f>
        <v/>
      </c>
      <c r="AE208" t="str">
        <f>IF(AA208="","",'Procyfloc GS50'!J209)</f>
        <v/>
      </c>
      <c r="AF208">
        <f t="shared" si="35"/>
        <v>0</v>
      </c>
      <c r="AG208" t="str">
        <f t="shared" si="36"/>
        <v/>
      </c>
      <c r="AH208" t="str">
        <f t="shared" si="37"/>
        <v/>
      </c>
      <c r="AI208">
        <f t="shared" si="38"/>
        <v>0</v>
      </c>
      <c r="AJ208">
        <f t="shared" si="39"/>
        <v>0</v>
      </c>
      <c r="AK208">
        <v>0</v>
      </c>
      <c r="AL208" t="str">
        <f>IF(AA208="","",IFERROR(IF(ISNUMBER('Procyfloc GS50'!D209),'Procyfloc GS50'!D209,IF(ISNUMBER(SEARCH("12",'Procyfloc GS50'!D209)),EDATE(AB208,12),IF(ISNUMBER(SEARCH("6",'Procyfloc GS50'!D209)),EDATE(AB208,6),IF(ISNUMBER(SEARCH("3",'Procyfloc GS50'!D209)),EDATE(AB208,3),DATEVALUE('Procyfloc GS50'!D209))))),""))</f>
        <v/>
      </c>
      <c r="AM208" t="str">
        <f t="shared" ca="1" si="40"/>
        <v/>
      </c>
    </row>
    <row r="209" spans="27:39" x14ac:dyDescent="0.3">
      <c r="AA209" t="str">
        <f>IF(COUNTA('Procyfloc GS50'!A210,'Procyfloc GS50'!B210,'Procyfloc GS50'!C210)&gt;0,"GS50","")</f>
        <v/>
      </c>
      <c r="AB209" t="str">
        <f>IFERROR(IF(ISNUMBER('Procyfloc GS50'!A210),'Procyfloc GS50'!A210,DATEVALUE('Procyfloc GS50'!A210)),"")</f>
        <v/>
      </c>
      <c r="AC209" t="str">
        <f>IF(AA209="","",'Procyfloc GS50'!B210)</f>
        <v/>
      </c>
      <c r="AD209" t="str">
        <f>IF(AA209="","",IFERROR(1*'Procyfloc GS50'!C210,IFERROR(_xludf.NUMBERVALUE('Procyfloc GS50'!C210,".",","),IFERROR(_xludf.NUMBERVALUE('Procyfloc GS50'!C210,",","."),0))))</f>
        <v/>
      </c>
      <c r="AE209" t="str">
        <f>IF(AA209="","",'Procyfloc GS50'!J210)</f>
        <v/>
      </c>
      <c r="AF209">
        <f t="shared" si="35"/>
        <v>0</v>
      </c>
      <c r="AG209" t="str">
        <f t="shared" si="36"/>
        <v/>
      </c>
      <c r="AH209" t="str">
        <f t="shared" si="37"/>
        <v/>
      </c>
      <c r="AI209">
        <f t="shared" si="38"/>
        <v>0</v>
      </c>
      <c r="AJ209">
        <f t="shared" si="39"/>
        <v>0</v>
      </c>
      <c r="AK209">
        <v>0</v>
      </c>
      <c r="AL209" t="str">
        <f>IF(AA209="","",IFERROR(IF(ISNUMBER('Procyfloc GS50'!D210),'Procyfloc GS50'!D210,IF(ISNUMBER(SEARCH("12",'Procyfloc GS50'!D210)),EDATE(AB209,12),IF(ISNUMBER(SEARCH("6",'Procyfloc GS50'!D210)),EDATE(AB209,6),IF(ISNUMBER(SEARCH("3",'Procyfloc GS50'!D210)),EDATE(AB209,3),DATEVALUE('Procyfloc GS50'!D210))))),""))</f>
        <v/>
      </c>
      <c r="AM209" t="str">
        <f t="shared" ca="1" si="40"/>
        <v/>
      </c>
    </row>
    <row r="210" spans="27:39" x14ac:dyDescent="0.3">
      <c r="AA210" t="str">
        <f>IF(COUNTA('Procyfloc GS50'!A211,'Procyfloc GS50'!B211,'Procyfloc GS50'!C211)&gt;0,"GS50","")</f>
        <v/>
      </c>
      <c r="AB210" t="str">
        <f>IFERROR(IF(ISNUMBER('Procyfloc GS50'!A211),'Procyfloc GS50'!A211,DATEVALUE('Procyfloc GS50'!A211)),"")</f>
        <v/>
      </c>
      <c r="AC210" t="str">
        <f>IF(AA210="","",'Procyfloc GS50'!B211)</f>
        <v/>
      </c>
      <c r="AD210" t="str">
        <f>IF(AA210="","",IFERROR(1*'Procyfloc GS50'!C211,IFERROR(_xludf.NUMBERVALUE('Procyfloc GS50'!C211,".",","),IFERROR(_xludf.NUMBERVALUE('Procyfloc GS50'!C211,",","."),0))))</f>
        <v/>
      </c>
      <c r="AE210" t="str">
        <f>IF(AA210="","",'Procyfloc GS50'!J211)</f>
        <v/>
      </c>
      <c r="AF210">
        <f t="shared" si="35"/>
        <v>0</v>
      </c>
      <c r="AG210" t="str">
        <f t="shared" si="36"/>
        <v/>
      </c>
      <c r="AH210" t="str">
        <f t="shared" si="37"/>
        <v/>
      </c>
      <c r="AI210">
        <f t="shared" si="38"/>
        <v>0</v>
      </c>
      <c r="AJ210">
        <f t="shared" si="39"/>
        <v>0</v>
      </c>
      <c r="AK210">
        <v>0</v>
      </c>
      <c r="AL210" t="str">
        <f>IF(AA210="","",IFERROR(IF(ISNUMBER('Procyfloc GS50'!D211),'Procyfloc GS50'!D211,IF(ISNUMBER(SEARCH("12",'Procyfloc GS50'!D211)),EDATE(AB210,12),IF(ISNUMBER(SEARCH("6",'Procyfloc GS50'!D211)),EDATE(AB210,6),IF(ISNUMBER(SEARCH("3",'Procyfloc GS50'!D211)),EDATE(AB210,3),DATEVALUE('Procyfloc GS50'!D211))))),""))</f>
        <v/>
      </c>
      <c r="AM210" t="str">
        <f t="shared" ca="1" si="40"/>
        <v/>
      </c>
    </row>
    <row r="211" spans="27:39" x14ac:dyDescent="0.3">
      <c r="AA211" t="str">
        <f>IF(COUNTA('Procyfloc GS50'!A212,'Procyfloc GS50'!B212,'Procyfloc GS50'!C212)&gt;0,"GS50","")</f>
        <v/>
      </c>
      <c r="AB211" t="str">
        <f>IFERROR(IF(ISNUMBER('Procyfloc GS50'!A212),'Procyfloc GS50'!A212,DATEVALUE('Procyfloc GS50'!A212)),"")</f>
        <v/>
      </c>
      <c r="AC211" t="str">
        <f>IF(AA211="","",'Procyfloc GS50'!B212)</f>
        <v/>
      </c>
      <c r="AD211" t="str">
        <f>IF(AA211="","",IFERROR(1*'Procyfloc GS50'!C212,IFERROR(_xludf.NUMBERVALUE('Procyfloc GS50'!C212,".",","),IFERROR(_xludf.NUMBERVALUE('Procyfloc GS50'!C212,",","."),0))))</f>
        <v/>
      </c>
      <c r="AE211" t="str">
        <f>IF(AA211="","",'Procyfloc GS50'!J212)</f>
        <v/>
      </c>
      <c r="AF211">
        <f t="shared" si="35"/>
        <v>0</v>
      </c>
      <c r="AG211" t="str">
        <f t="shared" si="36"/>
        <v/>
      </c>
      <c r="AH211" t="str">
        <f t="shared" si="37"/>
        <v/>
      </c>
      <c r="AI211">
        <f t="shared" si="38"/>
        <v>0</v>
      </c>
      <c r="AJ211">
        <f t="shared" si="39"/>
        <v>0</v>
      </c>
      <c r="AK211">
        <v>0</v>
      </c>
      <c r="AL211" t="str">
        <f>IF(AA211="","",IFERROR(IF(ISNUMBER('Procyfloc GS50'!D212),'Procyfloc GS50'!D212,IF(ISNUMBER(SEARCH("12",'Procyfloc GS50'!D212)),EDATE(AB211,12),IF(ISNUMBER(SEARCH("6",'Procyfloc GS50'!D212)),EDATE(AB211,6),IF(ISNUMBER(SEARCH("3",'Procyfloc GS50'!D212)),EDATE(AB211,3),DATEVALUE('Procyfloc GS50'!D212))))),""))</f>
        <v/>
      </c>
      <c r="AM211" t="str">
        <f t="shared" ca="1" si="40"/>
        <v/>
      </c>
    </row>
    <row r="212" spans="27:39" x14ac:dyDescent="0.3">
      <c r="AA212" t="str">
        <f>IF(COUNTA('Procyfloc GS50'!A213,'Procyfloc GS50'!B213,'Procyfloc GS50'!C213)&gt;0,"GS50","")</f>
        <v/>
      </c>
      <c r="AB212" t="str">
        <f>IFERROR(IF(ISNUMBER('Procyfloc GS50'!A213),'Procyfloc GS50'!A213,DATEVALUE('Procyfloc GS50'!A213)),"")</f>
        <v/>
      </c>
      <c r="AC212" t="str">
        <f>IF(AA212="","",'Procyfloc GS50'!B213)</f>
        <v/>
      </c>
      <c r="AD212" t="str">
        <f>IF(AA212="","",IFERROR(1*'Procyfloc GS50'!C213,IFERROR(_xludf.NUMBERVALUE('Procyfloc GS50'!C213,".",","),IFERROR(_xludf.NUMBERVALUE('Procyfloc GS50'!C213,",","."),0))))</f>
        <v/>
      </c>
      <c r="AE212" t="str">
        <f>IF(AA212="","",'Procyfloc GS50'!J213)</f>
        <v/>
      </c>
      <c r="AF212">
        <f t="shared" si="35"/>
        <v>0</v>
      </c>
      <c r="AG212" t="str">
        <f t="shared" si="36"/>
        <v/>
      </c>
      <c r="AH212" t="str">
        <f t="shared" si="37"/>
        <v/>
      </c>
      <c r="AI212">
        <f t="shared" si="38"/>
        <v>0</v>
      </c>
      <c r="AJ212">
        <f t="shared" si="39"/>
        <v>0</v>
      </c>
      <c r="AK212">
        <v>0</v>
      </c>
      <c r="AL212" t="str">
        <f>IF(AA212="","",IFERROR(IF(ISNUMBER('Procyfloc GS50'!D213),'Procyfloc GS50'!D213,IF(ISNUMBER(SEARCH("12",'Procyfloc GS50'!D213)),EDATE(AB212,12),IF(ISNUMBER(SEARCH("6",'Procyfloc GS50'!D213)),EDATE(AB212,6),IF(ISNUMBER(SEARCH("3",'Procyfloc GS50'!D213)),EDATE(AB212,3),DATEVALUE('Procyfloc GS50'!D213))))),""))</f>
        <v/>
      </c>
      <c r="AM212" t="str">
        <f t="shared" ca="1" si="40"/>
        <v/>
      </c>
    </row>
    <row r="213" spans="27:39" x14ac:dyDescent="0.3">
      <c r="AA213" t="str">
        <f>IF(COUNTA('Procyfloc GS50'!A214,'Procyfloc GS50'!B214,'Procyfloc GS50'!C214)&gt;0,"GS50","")</f>
        <v/>
      </c>
      <c r="AB213" t="str">
        <f>IFERROR(IF(ISNUMBER('Procyfloc GS50'!A214),'Procyfloc GS50'!A214,DATEVALUE('Procyfloc GS50'!A214)),"")</f>
        <v/>
      </c>
      <c r="AC213" t="str">
        <f>IF(AA213="","",'Procyfloc GS50'!B214)</f>
        <v/>
      </c>
      <c r="AD213" t="str">
        <f>IF(AA213="","",IFERROR(1*'Procyfloc GS50'!C214,IFERROR(_xludf.NUMBERVALUE('Procyfloc GS50'!C214,".",","),IFERROR(_xludf.NUMBERVALUE('Procyfloc GS50'!C214,",","."),0))))</f>
        <v/>
      </c>
      <c r="AE213" t="str">
        <f>IF(AA213="","",'Procyfloc GS50'!J214)</f>
        <v/>
      </c>
      <c r="AF213">
        <f t="shared" si="35"/>
        <v>0</v>
      </c>
      <c r="AG213" t="str">
        <f t="shared" si="36"/>
        <v/>
      </c>
      <c r="AH213" t="str">
        <f t="shared" si="37"/>
        <v/>
      </c>
      <c r="AI213">
        <f t="shared" si="38"/>
        <v>0</v>
      </c>
      <c r="AJ213">
        <f t="shared" si="39"/>
        <v>0</v>
      </c>
      <c r="AK213">
        <v>0</v>
      </c>
      <c r="AL213" t="str">
        <f>IF(AA213="","",IFERROR(IF(ISNUMBER('Procyfloc GS50'!D214),'Procyfloc GS50'!D214,IF(ISNUMBER(SEARCH("12",'Procyfloc GS50'!D214)),EDATE(AB213,12),IF(ISNUMBER(SEARCH("6",'Procyfloc GS50'!D214)),EDATE(AB213,6),IF(ISNUMBER(SEARCH("3",'Procyfloc GS50'!D214)),EDATE(AB213,3),DATEVALUE('Procyfloc GS50'!D214))))),""))</f>
        <v/>
      </c>
      <c r="AM213" t="str">
        <f t="shared" ca="1" si="40"/>
        <v/>
      </c>
    </row>
    <row r="214" spans="27:39" x14ac:dyDescent="0.3">
      <c r="AA214" t="str">
        <f>IF(COUNTA('Procyfloc GS50'!A215,'Procyfloc GS50'!B215,'Procyfloc GS50'!C215)&gt;0,"GS50","")</f>
        <v/>
      </c>
      <c r="AB214" t="str">
        <f>IFERROR(IF(ISNUMBER('Procyfloc GS50'!A215),'Procyfloc GS50'!A215,DATEVALUE('Procyfloc GS50'!A215)),"")</f>
        <v/>
      </c>
      <c r="AC214" t="str">
        <f>IF(AA214="","",'Procyfloc GS50'!B215)</f>
        <v/>
      </c>
      <c r="AD214" t="str">
        <f>IF(AA214="","",IFERROR(1*'Procyfloc GS50'!C215,IFERROR(_xludf.NUMBERVALUE('Procyfloc GS50'!C215,".",","),IFERROR(_xludf.NUMBERVALUE('Procyfloc GS50'!C215,",","."),0))))</f>
        <v/>
      </c>
      <c r="AE214" t="str">
        <f>IF(AA214="","",'Procyfloc GS50'!J215)</f>
        <v/>
      </c>
      <c r="AF214">
        <f t="shared" si="35"/>
        <v>0</v>
      </c>
      <c r="AG214" t="str">
        <f t="shared" si="36"/>
        <v/>
      </c>
      <c r="AH214" t="str">
        <f t="shared" si="37"/>
        <v/>
      </c>
      <c r="AI214">
        <f t="shared" si="38"/>
        <v>0</v>
      </c>
      <c r="AJ214">
        <f t="shared" si="39"/>
        <v>0</v>
      </c>
      <c r="AK214">
        <v>0</v>
      </c>
      <c r="AL214" t="str">
        <f>IF(AA214="","",IFERROR(IF(ISNUMBER('Procyfloc GS50'!D215),'Procyfloc GS50'!D215,IF(ISNUMBER(SEARCH("12",'Procyfloc GS50'!D215)),EDATE(AB214,12),IF(ISNUMBER(SEARCH("6",'Procyfloc GS50'!D215)),EDATE(AB214,6),IF(ISNUMBER(SEARCH("3",'Procyfloc GS50'!D215)),EDATE(AB214,3),DATEVALUE('Procyfloc GS50'!D215))))),""))</f>
        <v/>
      </c>
      <c r="AM214" t="str">
        <f t="shared" ca="1" si="40"/>
        <v/>
      </c>
    </row>
    <row r="215" spans="27:39" x14ac:dyDescent="0.3">
      <c r="AA215" t="str">
        <f>IF(COUNTA('Procyfloc GS50'!A216,'Procyfloc GS50'!B216,'Procyfloc GS50'!C216)&gt;0,"GS50","")</f>
        <v/>
      </c>
      <c r="AB215" t="str">
        <f>IFERROR(IF(ISNUMBER('Procyfloc GS50'!A216),'Procyfloc GS50'!A216,DATEVALUE('Procyfloc GS50'!A216)),"")</f>
        <v/>
      </c>
      <c r="AC215" t="str">
        <f>IF(AA215="","",'Procyfloc GS50'!B216)</f>
        <v/>
      </c>
      <c r="AD215" t="str">
        <f>IF(AA215="","",IFERROR(1*'Procyfloc GS50'!C216,IFERROR(_xludf.NUMBERVALUE('Procyfloc GS50'!C216,".",","),IFERROR(_xludf.NUMBERVALUE('Procyfloc GS50'!C216,",","."),0))))</f>
        <v/>
      </c>
      <c r="AE215" t="str">
        <f>IF(AA215="","",'Procyfloc GS50'!J216)</f>
        <v/>
      </c>
      <c r="AF215">
        <f t="shared" si="35"/>
        <v>0</v>
      </c>
      <c r="AG215" t="str">
        <f t="shared" si="36"/>
        <v/>
      </c>
      <c r="AH215" t="str">
        <f t="shared" si="37"/>
        <v/>
      </c>
      <c r="AI215">
        <f t="shared" si="38"/>
        <v>0</v>
      </c>
      <c r="AJ215">
        <f t="shared" si="39"/>
        <v>0</v>
      </c>
      <c r="AK215">
        <v>0</v>
      </c>
      <c r="AL215" t="str">
        <f>IF(AA215="","",IFERROR(IF(ISNUMBER('Procyfloc GS50'!D216),'Procyfloc GS50'!D216,IF(ISNUMBER(SEARCH("12",'Procyfloc GS50'!D216)),EDATE(AB215,12),IF(ISNUMBER(SEARCH("6",'Procyfloc GS50'!D216)),EDATE(AB215,6),IF(ISNUMBER(SEARCH("3",'Procyfloc GS50'!D216)),EDATE(AB215,3),DATEVALUE('Procyfloc GS50'!D216))))),""))</f>
        <v/>
      </c>
      <c r="AM215" t="str">
        <f t="shared" ca="1" si="40"/>
        <v/>
      </c>
    </row>
    <row r="216" spans="27:39" x14ac:dyDescent="0.3">
      <c r="AA216" t="str">
        <f>IF(COUNTA('Procyfloc GS50'!A217,'Procyfloc GS50'!B217,'Procyfloc GS50'!C217)&gt;0,"GS50","")</f>
        <v/>
      </c>
      <c r="AB216" t="str">
        <f>IFERROR(IF(ISNUMBER('Procyfloc GS50'!A217),'Procyfloc GS50'!A217,DATEVALUE('Procyfloc GS50'!A217)),"")</f>
        <v/>
      </c>
      <c r="AC216" t="str">
        <f>IF(AA216="","",'Procyfloc GS50'!B217)</f>
        <v/>
      </c>
      <c r="AD216" t="str">
        <f>IF(AA216="","",IFERROR(1*'Procyfloc GS50'!C217,IFERROR(_xludf.NUMBERVALUE('Procyfloc GS50'!C217,".",","),IFERROR(_xludf.NUMBERVALUE('Procyfloc GS50'!C217,",","."),0))))</f>
        <v/>
      </c>
      <c r="AE216" t="str">
        <f>IF(AA216="","",'Procyfloc GS50'!J217)</f>
        <v/>
      </c>
      <c r="AF216">
        <f t="shared" si="35"/>
        <v>0</v>
      </c>
      <c r="AG216" t="str">
        <f t="shared" si="36"/>
        <v/>
      </c>
      <c r="AH216" t="str">
        <f t="shared" si="37"/>
        <v/>
      </c>
      <c r="AI216">
        <f t="shared" si="38"/>
        <v>0</v>
      </c>
      <c r="AJ216">
        <f t="shared" si="39"/>
        <v>0</v>
      </c>
      <c r="AK216">
        <v>0</v>
      </c>
      <c r="AL216" t="str">
        <f>IF(AA216="","",IFERROR(IF(ISNUMBER('Procyfloc GS50'!D217),'Procyfloc GS50'!D217,IF(ISNUMBER(SEARCH("12",'Procyfloc GS50'!D217)),EDATE(AB216,12),IF(ISNUMBER(SEARCH("6",'Procyfloc GS50'!D217)),EDATE(AB216,6),IF(ISNUMBER(SEARCH("3",'Procyfloc GS50'!D217)),EDATE(AB216,3),DATEVALUE('Procyfloc GS50'!D217))))),""))</f>
        <v/>
      </c>
      <c r="AM216" t="str">
        <f t="shared" ca="1" si="40"/>
        <v/>
      </c>
    </row>
    <row r="217" spans="27:39" x14ac:dyDescent="0.3">
      <c r="AA217" t="str">
        <f>IF(COUNTA('Procyfloc GS50'!A218,'Procyfloc GS50'!B218,'Procyfloc GS50'!C218)&gt;0,"GS50","")</f>
        <v/>
      </c>
      <c r="AB217" t="str">
        <f>IFERROR(IF(ISNUMBER('Procyfloc GS50'!A218),'Procyfloc GS50'!A218,DATEVALUE('Procyfloc GS50'!A218)),"")</f>
        <v/>
      </c>
      <c r="AC217" t="str">
        <f>IF(AA217="","",'Procyfloc GS50'!B218)</f>
        <v/>
      </c>
      <c r="AD217" t="str">
        <f>IF(AA217="","",IFERROR(1*'Procyfloc GS50'!C218,IFERROR(_xludf.NUMBERVALUE('Procyfloc GS50'!C218,".",","),IFERROR(_xludf.NUMBERVALUE('Procyfloc GS50'!C218,",","."),0))))</f>
        <v/>
      </c>
      <c r="AE217" t="str">
        <f>IF(AA217="","",'Procyfloc GS50'!J218)</f>
        <v/>
      </c>
      <c r="AF217">
        <f t="shared" si="35"/>
        <v>0</v>
      </c>
      <c r="AG217" t="str">
        <f t="shared" si="36"/>
        <v/>
      </c>
      <c r="AH217" t="str">
        <f t="shared" si="37"/>
        <v/>
      </c>
      <c r="AI217">
        <f t="shared" si="38"/>
        <v>0</v>
      </c>
      <c r="AJ217">
        <f t="shared" si="39"/>
        <v>0</v>
      </c>
      <c r="AK217">
        <v>0</v>
      </c>
      <c r="AL217" t="str">
        <f>IF(AA217="","",IFERROR(IF(ISNUMBER('Procyfloc GS50'!D218),'Procyfloc GS50'!D218,IF(ISNUMBER(SEARCH("12",'Procyfloc GS50'!D218)),EDATE(AB217,12),IF(ISNUMBER(SEARCH("6",'Procyfloc GS50'!D218)),EDATE(AB217,6),IF(ISNUMBER(SEARCH("3",'Procyfloc GS50'!D218)),EDATE(AB217,3),DATEVALUE('Procyfloc GS50'!D218))))),""))</f>
        <v/>
      </c>
      <c r="AM217" t="str">
        <f t="shared" ca="1" si="40"/>
        <v/>
      </c>
    </row>
    <row r="218" spans="27:39" x14ac:dyDescent="0.3">
      <c r="AA218" t="str">
        <f>IF(COUNTA('Procyfloc GS50'!A219,'Procyfloc GS50'!B219,'Procyfloc GS50'!C219)&gt;0,"GS50","")</f>
        <v/>
      </c>
      <c r="AB218" t="str">
        <f>IFERROR(IF(ISNUMBER('Procyfloc GS50'!A219),'Procyfloc GS50'!A219,DATEVALUE('Procyfloc GS50'!A219)),"")</f>
        <v/>
      </c>
      <c r="AC218" t="str">
        <f>IF(AA218="","",'Procyfloc GS50'!B219)</f>
        <v/>
      </c>
      <c r="AD218" t="str">
        <f>IF(AA218="","",IFERROR(1*'Procyfloc GS50'!C219,IFERROR(_xludf.NUMBERVALUE('Procyfloc GS50'!C219,".",","),IFERROR(_xludf.NUMBERVALUE('Procyfloc GS50'!C219,",","."),0))))</f>
        <v/>
      </c>
      <c r="AE218" t="str">
        <f>IF(AA218="","",'Procyfloc GS50'!J219)</f>
        <v/>
      </c>
      <c r="AF218">
        <f t="shared" si="35"/>
        <v>0</v>
      </c>
      <c r="AG218" t="str">
        <f t="shared" si="36"/>
        <v/>
      </c>
      <c r="AH218" t="str">
        <f t="shared" si="37"/>
        <v/>
      </c>
      <c r="AI218">
        <f t="shared" si="38"/>
        <v>0</v>
      </c>
      <c r="AJ218">
        <f t="shared" si="39"/>
        <v>0</v>
      </c>
      <c r="AK218">
        <v>0</v>
      </c>
      <c r="AL218" t="str">
        <f>IF(AA218="","",IFERROR(IF(ISNUMBER('Procyfloc GS50'!D219),'Procyfloc GS50'!D219,IF(ISNUMBER(SEARCH("12",'Procyfloc GS50'!D219)),EDATE(AB218,12),IF(ISNUMBER(SEARCH("6",'Procyfloc GS50'!D219)),EDATE(AB218,6),IF(ISNUMBER(SEARCH("3",'Procyfloc GS50'!D219)),EDATE(AB218,3),DATEVALUE('Procyfloc GS50'!D219))))),""))</f>
        <v/>
      </c>
      <c r="AM218" t="str">
        <f t="shared" ca="1" si="40"/>
        <v/>
      </c>
    </row>
    <row r="219" spans="27:39" x14ac:dyDescent="0.3">
      <c r="AA219" t="str">
        <f>IF(COUNTA('Procyfloc GS50'!A220,'Procyfloc GS50'!B220,'Procyfloc GS50'!C220)&gt;0,"GS50","")</f>
        <v/>
      </c>
      <c r="AB219" t="str">
        <f>IFERROR(IF(ISNUMBER('Procyfloc GS50'!A220),'Procyfloc GS50'!A220,DATEVALUE('Procyfloc GS50'!A220)),"")</f>
        <v/>
      </c>
      <c r="AC219" t="str">
        <f>IF(AA219="","",'Procyfloc GS50'!B220)</f>
        <v/>
      </c>
      <c r="AD219" t="str">
        <f>IF(AA219="","",IFERROR(1*'Procyfloc GS50'!C220,IFERROR(_xludf.NUMBERVALUE('Procyfloc GS50'!C220,".",","),IFERROR(_xludf.NUMBERVALUE('Procyfloc GS50'!C220,",","."),0))))</f>
        <v/>
      </c>
      <c r="AE219" t="str">
        <f>IF(AA219="","",'Procyfloc GS50'!J220)</f>
        <v/>
      </c>
      <c r="AF219">
        <f t="shared" si="35"/>
        <v>0</v>
      </c>
      <c r="AG219" t="str">
        <f t="shared" si="36"/>
        <v/>
      </c>
      <c r="AH219" t="str">
        <f t="shared" si="37"/>
        <v/>
      </c>
      <c r="AI219">
        <f t="shared" si="38"/>
        <v>0</v>
      </c>
      <c r="AJ219">
        <f t="shared" si="39"/>
        <v>0</v>
      </c>
      <c r="AK219">
        <v>0</v>
      </c>
      <c r="AL219" t="str">
        <f>IF(AA219="","",IFERROR(IF(ISNUMBER('Procyfloc GS50'!D220),'Procyfloc GS50'!D220,IF(ISNUMBER(SEARCH("12",'Procyfloc GS50'!D220)),EDATE(AB219,12),IF(ISNUMBER(SEARCH("6",'Procyfloc GS50'!D220)),EDATE(AB219,6),IF(ISNUMBER(SEARCH("3",'Procyfloc GS50'!D220)),EDATE(AB219,3),DATEVALUE('Procyfloc GS50'!D220))))),""))</f>
        <v/>
      </c>
      <c r="AM219" t="str">
        <f t="shared" ca="1" si="40"/>
        <v/>
      </c>
    </row>
    <row r="220" spans="27:39" x14ac:dyDescent="0.3">
      <c r="AA220" t="str">
        <f>IF(COUNTA('Procyfloc GS50'!A221,'Procyfloc GS50'!B221,'Procyfloc GS50'!C221)&gt;0,"GS50","")</f>
        <v/>
      </c>
      <c r="AB220" t="str">
        <f>IFERROR(IF(ISNUMBER('Procyfloc GS50'!A221),'Procyfloc GS50'!A221,DATEVALUE('Procyfloc GS50'!A221)),"")</f>
        <v/>
      </c>
      <c r="AC220" t="str">
        <f>IF(AA220="","",'Procyfloc GS50'!B221)</f>
        <v/>
      </c>
      <c r="AD220" t="str">
        <f>IF(AA220="","",IFERROR(1*'Procyfloc GS50'!C221,IFERROR(_xludf.NUMBERVALUE('Procyfloc GS50'!C221,".",","),IFERROR(_xludf.NUMBERVALUE('Procyfloc GS50'!C221,",","."),0))))</f>
        <v/>
      </c>
      <c r="AE220" t="str">
        <f>IF(AA220="","",'Procyfloc GS50'!J221)</f>
        <v/>
      </c>
      <c r="AF220">
        <f t="shared" si="35"/>
        <v>0</v>
      </c>
      <c r="AG220" t="str">
        <f t="shared" si="36"/>
        <v/>
      </c>
      <c r="AH220" t="str">
        <f t="shared" si="37"/>
        <v/>
      </c>
      <c r="AI220">
        <f t="shared" si="38"/>
        <v>0</v>
      </c>
      <c r="AJ220">
        <f t="shared" si="39"/>
        <v>0</v>
      </c>
      <c r="AK220">
        <v>0</v>
      </c>
      <c r="AL220" t="str">
        <f>IF(AA220="","",IFERROR(IF(ISNUMBER('Procyfloc GS50'!D221),'Procyfloc GS50'!D221,IF(ISNUMBER(SEARCH("12",'Procyfloc GS50'!D221)),EDATE(AB220,12),IF(ISNUMBER(SEARCH("6",'Procyfloc GS50'!D221)),EDATE(AB220,6),IF(ISNUMBER(SEARCH("3",'Procyfloc GS50'!D221)),EDATE(AB220,3),DATEVALUE('Procyfloc GS50'!D221))))),""))</f>
        <v/>
      </c>
      <c r="AM220" t="str">
        <f t="shared" ca="1" si="40"/>
        <v/>
      </c>
    </row>
    <row r="221" spans="27:39" x14ac:dyDescent="0.3">
      <c r="AA221" t="str">
        <f>IF(COUNTA('Procyfloc GS50'!A222,'Procyfloc GS50'!B222,'Procyfloc GS50'!C222)&gt;0,"GS50","")</f>
        <v/>
      </c>
      <c r="AB221" t="str">
        <f>IFERROR(IF(ISNUMBER('Procyfloc GS50'!A222),'Procyfloc GS50'!A222,DATEVALUE('Procyfloc GS50'!A222)),"")</f>
        <v/>
      </c>
      <c r="AC221" t="str">
        <f>IF(AA221="","",'Procyfloc GS50'!B222)</f>
        <v/>
      </c>
      <c r="AD221" t="str">
        <f>IF(AA221="","",IFERROR(1*'Procyfloc GS50'!C222,IFERROR(_xludf.NUMBERVALUE('Procyfloc GS50'!C222,".",","),IFERROR(_xludf.NUMBERVALUE('Procyfloc GS50'!C222,",","."),0))))</f>
        <v/>
      </c>
      <c r="AE221" t="str">
        <f>IF(AA221="","",'Procyfloc GS50'!J222)</f>
        <v/>
      </c>
      <c r="AF221">
        <f t="shared" si="35"/>
        <v>0</v>
      </c>
      <c r="AG221" t="str">
        <f t="shared" si="36"/>
        <v/>
      </c>
      <c r="AH221" t="str">
        <f t="shared" si="37"/>
        <v/>
      </c>
      <c r="AI221">
        <f t="shared" si="38"/>
        <v>0</v>
      </c>
      <c r="AJ221">
        <f t="shared" si="39"/>
        <v>0</v>
      </c>
      <c r="AK221">
        <v>0</v>
      </c>
      <c r="AL221" t="str">
        <f>IF(AA221="","",IFERROR(IF(ISNUMBER('Procyfloc GS50'!D222),'Procyfloc GS50'!D222,IF(ISNUMBER(SEARCH("12",'Procyfloc GS50'!D222)),EDATE(AB221,12),IF(ISNUMBER(SEARCH("6",'Procyfloc GS50'!D222)),EDATE(AB221,6),IF(ISNUMBER(SEARCH("3",'Procyfloc GS50'!D222)),EDATE(AB221,3),DATEVALUE('Procyfloc GS50'!D222))))),""))</f>
        <v/>
      </c>
      <c r="AM221" t="str">
        <f t="shared" ca="1" si="40"/>
        <v/>
      </c>
    </row>
    <row r="222" spans="27:39" x14ac:dyDescent="0.3">
      <c r="AA222" t="str">
        <f>IF(COUNTA('Procyfloc GS50'!A223,'Procyfloc GS50'!B223,'Procyfloc GS50'!C223)&gt;0,"GS50","")</f>
        <v/>
      </c>
      <c r="AB222" t="str">
        <f>IFERROR(IF(ISNUMBER('Procyfloc GS50'!A223),'Procyfloc GS50'!A223,DATEVALUE('Procyfloc GS50'!A223)),"")</f>
        <v/>
      </c>
      <c r="AC222" t="str">
        <f>IF(AA222="","",'Procyfloc GS50'!B223)</f>
        <v/>
      </c>
      <c r="AD222" t="str">
        <f>IF(AA222="","",IFERROR(1*'Procyfloc GS50'!C223,IFERROR(_xludf.NUMBERVALUE('Procyfloc GS50'!C223,".",","),IFERROR(_xludf.NUMBERVALUE('Procyfloc GS50'!C223,",","."),0))))</f>
        <v/>
      </c>
      <c r="AE222" t="str">
        <f>IF(AA222="","",'Procyfloc GS50'!J223)</f>
        <v/>
      </c>
      <c r="AF222">
        <f t="shared" si="35"/>
        <v>0</v>
      </c>
      <c r="AG222" t="str">
        <f t="shared" si="36"/>
        <v/>
      </c>
      <c r="AH222" t="str">
        <f t="shared" si="37"/>
        <v/>
      </c>
      <c r="AI222">
        <f t="shared" si="38"/>
        <v>0</v>
      </c>
      <c r="AJ222">
        <f t="shared" si="39"/>
        <v>0</v>
      </c>
      <c r="AK222">
        <v>0</v>
      </c>
      <c r="AL222" t="str">
        <f>IF(AA222="","",IFERROR(IF(ISNUMBER('Procyfloc GS50'!D223),'Procyfloc GS50'!D223,IF(ISNUMBER(SEARCH("12",'Procyfloc GS50'!D223)),EDATE(AB222,12),IF(ISNUMBER(SEARCH("6",'Procyfloc GS50'!D223)),EDATE(AB222,6),IF(ISNUMBER(SEARCH("3",'Procyfloc GS50'!D223)),EDATE(AB222,3),DATEVALUE('Procyfloc GS50'!D223))))),""))</f>
        <v/>
      </c>
      <c r="AM222" t="str">
        <f t="shared" ca="1" si="40"/>
        <v/>
      </c>
    </row>
    <row r="223" spans="27:39" x14ac:dyDescent="0.3">
      <c r="AA223" t="str">
        <f>IF(COUNTA('Procyfloc GS50'!A224,'Procyfloc GS50'!B224,'Procyfloc GS50'!C224)&gt;0,"GS50","")</f>
        <v/>
      </c>
      <c r="AB223" t="str">
        <f>IFERROR(IF(ISNUMBER('Procyfloc GS50'!A224),'Procyfloc GS50'!A224,DATEVALUE('Procyfloc GS50'!A224)),"")</f>
        <v/>
      </c>
      <c r="AC223" t="str">
        <f>IF(AA223="","",'Procyfloc GS50'!B224)</f>
        <v/>
      </c>
      <c r="AD223" t="str">
        <f>IF(AA223="","",IFERROR(1*'Procyfloc GS50'!C224,IFERROR(_xludf.NUMBERVALUE('Procyfloc GS50'!C224,".",","),IFERROR(_xludf.NUMBERVALUE('Procyfloc GS50'!C224,",","."),0))))</f>
        <v/>
      </c>
      <c r="AE223" t="str">
        <f>IF(AA223="","",'Procyfloc GS50'!J224)</f>
        <v/>
      </c>
      <c r="AF223">
        <f t="shared" si="35"/>
        <v>0</v>
      </c>
      <c r="AG223" t="str">
        <f t="shared" si="36"/>
        <v/>
      </c>
      <c r="AH223" t="str">
        <f t="shared" si="37"/>
        <v/>
      </c>
      <c r="AI223">
        <f t="shared" si="38"/>
        <v>0</v>
      </c>
      <c r="AJ223">
        <f t="shared" si="39"/>
        <v>0</v>
      </c>
      <c r="AK223">
        <v>0</v>
      </c>
      <c r="AL223" t="str">
        <f>IF(AA223="","",IFERROR(IF(ISNUMBER('Procyfloc GS50'!D224),'Procyfloc GS50'!D224,IF(ISNUMBER(SEARCH("12",'Procyfloc GS50'!D224)),EDATE(AB223,12),IF(ISNUMBER(SEARCH("6",'Procyfloc GS50'!D224)),EDATE(AB223,6),IF(ISNUMBER(SEARCH("3",'Procyfloc GS50'!D224)),EDATE(AB223,3),DATEVALUE('Procyfloc GS50'!D224))))),""))</f>
        <v/>
      </c>
      <c r="AM223" t="str">
        <f t="shared" ca="1" si="40"/>
        <v/>
      </c>
    </row>
    <row r="224" spans="27:39" x14ac:dyDescent="0.3">
      <c r="AA224" t="str">
        <f>IF(COUNTA('Procyfloc GS50'!A225,'Procyfloc GS50'!B225,'Procyfloc GS50'!C225)&gt;0,"GS50","")</f>
        <v/>
      </c>
      <c r="AB224" t="str">
        <f>IFERROR(IF(ISNUMBER('Procyfloc GS50'!A225),'Procyfloc GS50'!A225,DATEVALUE('Procyfloc GS50'!A225)),"")</f>
        <v/>
      </c>
      <c r="AC224" t="str">
        <f>IF(AA224="","",'Procyfloc GS50'!B225)</f>
        <v/>
      </c>
      <c r="AD224" t="str">
        <f>IF(AA224="","",IFERROR(1*'Procyfloc GS50'!C225,IFERROR(_xludf.NUMBERVALUE('Procyfloc GS50'!C225,".",","),IFERROR(_xludf.NUMBERVALUE('Procyfloc GS50'!C225,",","."),0))))</f>
        <v/>
      </c>
      <c r="AE224" t="str">
        <f>IF(AA224="","",'Procyfloc GS50'!J225)</f>
        <v/>
      </c>
      <c r="AF224">
        <f t="shared" si="35"/>
        <v>0</v>
      </c>
      <c r="AG224" t="str">
        <f t="shared" si="36"/>
        <v/>
      </c>
      <c r="AH224" t="str">
        <f t="shared" si="37"/>
        <v/>
      </c>
      <c r="AI224">
        <f t="shared" si="38"/>
        <v>0</v>
      </c>
      <c r="AJ224">
        <f t="shared" si="39"/>
        <v>0</v>
      </c>
      <c r="AK224">
        <v>0</v>
      </c>
      <c r="AL224" t="str">
        <f>IF(AA224="","",IFERROR(IF(ISNUMBER('Procyfloc GS50'!D225),'Procyfloc GS50'!D225,IF(ISNUMBER(SEARCH("12",'Procyfloc GS50'!D225)),EDATE(AB224,12),IF(ISNUMBER(SEARCH("6",'Procyfloc GS50'!D225)),EDATE(AB224,6),IF(ISNUMBER(SEARCH("3",'Procyfloc GS50'!D225)),EDATE(AB224,3),DATEVALUE('Procyfloc GS50'!D225))))),""))</f>
        <v/>
      </c>
      <c r="AM224" t="str">
        <f t="shared" ca="1" si="40"/>
        <v/>
      </c>
    </row>
    <row r="225" spans="27:39" x14ac:dyDescent="0.3">
      <c r="AA225" t="str">
        <f>IF(COUNTA('Procyfloc GS50'!A226,'Procyfloc GS50'!B226,'Procyfloc GS50'!C226)&gt;0,"GS50","")</f>
        <v/>
      </c>
      <c r="AB225" t="str">
        <f>IFERROR(IF(ISNUMBER('Procyfloc GS50'!A226),'Procyfloc GS50'!A226,DATEVALUE('Procyfloc GS50'!A226)),"")</f>
        <v/>
      </c>
      <c r="AC225" t="str">
        <f>IF(AA225="","",'Procyfloc GS50'!B226)</f>
        <v/>
      </c>
      <c r="AD225" t="str">
        <f>IF(AA225="","",IFERROR(1*'Procyfloc GS50'!C226,IFERROR(_xludf.NUMBERVALUE('Procyfloc GS50'!C226,".",","),IFERROR(_xludf.NUMBERVALUE('Procyfloc GS50'!C226,",","."),0))))</f>
        <v/>
      </c>
      <c r="AE225" t="str">
        <f>IF(AA225="","",'Procyfloc GS50'!J226)</f>
        <v/>
      </c>
      <c r="AF225">
        <f t="shared" si="35"/>
        <v>0</v>
      </c>
      <c r="AG225" t="str">
        <f t="shared" si="36"/>
        <v/>
      </c>
      <c r="AH225" t="str">
        <f t="shared" si="37"/>
        <v/>
      </c>
      <c r="AI225">
        <f t="shared" si="38"/>
        <v>0</v>
      </c>
      <c r="AJ225">
        <f t="shared" si="39"/>
        <v>0</v>
      </c>
      <c r="AK225">
        <v>0</v>
      </c>
      <c r="AL225" t="str">
        <f>IF(AA225="","",IFERROR(IF(ISNUMBER('Procyfloc GS50'!D226),'Procyfloc GS50'!D226,IF(ISNUMBER(SEARCH("12",'Procyfloc GS50'!D226)),EDATE(AB225,12),IF(ISNUMBER(SEARCH("6",'Procyfloc GS50'!D226)),EDATE(AB225,6),IF(ISNUMBER(SEARCH("3",'Procyfloc GS50'!D226)),EDATE(AB225,3),DATEVALUE('Procyfloc GS50'!D226))))),""))</f>
        <v/>
      </c>
      <c r="AM225" t="str">
        <f t="shared" ca="1" si="40"/>
        <v/>
      </c>
    </row>
    <row r="226" spans="27:39" x14ac:dyDescent="0.3">
      <c r="AA226" t="str">
        <f>IF(COUNTA('Procyfloc GS50'!A227,'Procyfloc GS50'!B227,'Procyfloc GS50'!C227)&gt;0,"GS50","")</f>
        <v/>
      </c>
      <c r="AB226" t="str">
        <f>IFERROR(IF(ISNUMBER('Procyfloc GS50'!A227),'Procyfloc GS50'!A227,DATEVALUE('Procyfloc GS50'!A227)),"")</f>
        <v/>
      </c>
      <c r="AC226" t="str">
        <f>IF(AA226="","",'Procyfloc GS50'!B227)</f>
        <v/>
      </c>
      <c r="AD226" t="str">
        <f>IF(AA226="","",IFERROR(1*'Procyfloc GS50'!C227,IFERROR(_xludf.NUMBERVALUE('Procyfloc GS50'!C227,".",","),IFERROR(_xludf.NUMBERVALUE('Procyfloc GS50'!C227,",","."),0))))</f>
        <v/>
      </c>
      <c r="AE226" t="str">
        <f>IF(AA226="","",'Procyfloc GS50'!J227)</f>
        <v/>
      </c>
      <c r="AF226">
        <f t="shared" si="35"/>
        <v>0</v>
      </c>
      <c r="AG226" t="str">
        <f t="shared" si="36"/>
        <v/>
      </c>
      <c r="AH226" t="str">
        <f t="shared" si="37"/>
        <v/>
      </c>
      <c r="AI226">
        <f t="shared" si="38"/>
        <v>0</v>
      </c>
      <c r="AJ226">
        <f t="shared" si="39"/>
        <v>0</v>
      </c>
      <c r="AK226">
        <v>0</v>
      </c>
      <c r="AL226" t="str">
        <f>IF(AA226="","",IFERROR(IF(ISNUMBER('Procyfloc GS50'!D227),'Procyfloc GS50'!D227,IF(ISNUMBER(SEARCH("12",'Procyfloc GS50'!D227)),EDATE(AB226,12),IF(ISNUMBER(SEARCH("6",'Procyfloc GS50'!D227)),EDATE(AB226,6),IF(ISNUMBER(SEARCH("3",'Procyfloc GS50'!D227)),EDATE(AB226,3),DATEVALUE('Procyfloc GS50'!D227))))),""))</f>
        <v/>
      </c>
      <c r="AM226" t="str">
        <f t="shared" ca="1" si="40"/>
        <v/>
      </c>
    </row>
    <row r="227" spans="27:39" x14ac:dyDescent="0.3">
      <c r="AA227" t="str">
        <f>IF(COUNTA('Procyfloc GS50'!A228,'Procyfloc GS50'!B228,'Procyfloc GS50'!C228)&gt;0,"GS50","")</f>
        <v/>
      </c>
      <c r="AB227" t="str">
        <f>IFERROR(IF(ISNUMBER('Procyfloc GS50'!A228),'Procyfloc GS50'!A228,DATEVALUE('Procyfloc GS50'!A228)),"")</f>
        <v/>
      </c>
      <c r="AC227" t="str">
        <f>IF(AA227="","",'Procyfloc GS50'!B228)</f>
        <v/>
      </c>
      <c r="AD227" t="str">
        <f>IF(AA227="","",IFERROR(1*'Procyfloc GS50'!C228,IFERROR(_xludf.NUMBERVALUE('Procyfloc GS50'!C228,".",","),IFERROR(_xludf.NUMBERVALUE('Procyfloc GS50'!C228,",","."),0))))</f>
        <v/>
      </c>
      <c r="AE227" t="str">
        <f>IF(AA227="","",'Procyfloc GS50'!J228)</f>
        <v/>
      </c>
      <c r="AF227">
        <f t="shared" si="35"/>
        <v>0</v>
      </c>
      <c r="AG227" t="str">
        <f t="shared" si="36"/>
        <v/>
      </c>
      <c r="AH227" t="str">
        <f t="shared" si="37"/>
        <v/>
      </c>
      <c r="AI227">
        <f t="shared" si="38"/>
        <v>0</v>
      </c>
      <c r="AJ227">
        <f t="shared" si="39"/>
        <v>0</v>
      </c>
      <c r="AK227">
        <v>0</v>
      </c>
      <c r="AL227" t="str">
        <f>IF(AA227="","",IFERROR(IF(ISNUMBER('Procyfloc GS50'!D228),'Procyfloc GS50'!D228,IF(ISNUMBER(SEARCH("12",'Procyfloc GS50'!D228)),EDATE(AB227,12),IF(ISNUMBER(SEARCH("6",'Procyfloc GS50'!D228)),EDATE(AB227,6),IF(ISNUMBER(SEARCH("3",'Procyfloc GS50'!D228)),EDATE(AB227,3),DATEVALUE('Procyfloc GS50'!D228))))),""))</f>
        <v/>
      </c>
      <c r="AM227" t="str">
        <f t="shared" ca="1" si="40"/>
        <v/>
      </c>
    </row>
    <row r="228" spans="27:39" x14ac:dyDescent="0.3">
      <c r="AA228" t="str">
        <f>IF(COUNTA('Procyfloc GS50'!A229,'Procyfloc GS50'!B229,'Procyfloc GS50'!C229)&gt;0,"GS50","")</f>
        <v/>
      </c>
      <c r="AB228" t="str">
        <f>IFERROR(IF(ISNUMBER('Procyfloc GS50'!A229),'Procyfloc GS50'!A229,DATEVALUE('Procyfloc GS50'!A229)),"")</f>
        <v/>
      </c>
      <c r="AC228" t="str">
        <f>IF(AA228="","",'Procyfloc GS50'!B229)</f>
        <v/>
      </c>
      <c r="AD228" t="str">
        <f>IF(AA228="","",IFERROR(1*'Procyfloc GS50'!C229,IFERROR(_xludf.NUMBERVALUE('Procyfloc GS50'!C229,".",","),IFERROR(_xludf.NUMBERVALUE('Procyfloc GS50'!C229,",","."),0))))</f>
        <v/>
      </c>
      <c r="AE228" t="str">
        <f>IF(AA228="","",'Procyfloc GS50'!J229)</f>
        <v/>
      </c>
      <c r="AF228">
        <f t="shared" si="35"/>
        <v>0</v>
      </c>
      <c r="AG228" t="str">
        <f t="shared" si="36"/>
        <v/>
      </c>
      <c r="AH228" t="str">
        <f t="shared" si="37"/>
        <v/>
      </c>
      <c r="AI228">
        <f t="shared" si="38"/>
        <v>0</v>
      </c>
      <c r="AJ228">
        <f t="shared" si="39"/>
        <v>0</v>
      </c>
      <c r="AK228">
        <v>0</v>
      </c>
      <c r="AL228" t="str">
        <f>IF(AA228="","",IFERROR(IF(ISNUMBER('Procyfloc GS50'!D229),'Procyfloc GS50'!D229,IF(ISNUMBER(SEARCH("12",'Procyfloc GS50'!D229)),EDATE(AB228,12),IF(ISNUMBER(SEARCH("6",'Procyfloc GS50'!D229)),EDATE(AB228,6),IF(ISNUMBER(SEARCH("3",'Procyfloc GS50'!D229)),EDATE(AB228,3),DATEVALUE('Procyfloc GS50'!D229))))),""))</f>
        <v/>
      </c>
      <c r="AM228" t="str">
        <f t="shared" ca="1" si="40"/>
        <v/>
      </c>
    </row>
    <row r="229" spans="27:39" x14ac:dyDescent="0.3">
      <c r="AA229" t="str">
        <f>IF(COUNTA('Procyfloc GS50'!A230,'Procyfloc GS50'!B230,'Procyfloc GS50'!C230)&gt;0,"GS50","")</f>
        <v/>
      </c>
      <c r="AB229" t="str">
        <f>IFERROR(IF(ISNUMBER('Procyfloc GS50'!A230),'Procyfloc GS50'!A230,DATEVALUE('Procyfloc GS50'!A230)),"")</f>
        <v/>
      </c>
      <c r="AC229" t="str">
        <f>IF(AA229="","",'Procyfloc GS50'!B230)</f>
        <v/>
      </c>
      <c r="AD229" t="str">
        <f>IF(AA229="","",IFERROR(1*'Procyfloc GS50'!C230,IFERROR(_xludf.NUMBERVALUE('Procyfloc GS50'!C230,".",","),IFERROR(_xludf.NUMBERVALUE('Procyfloc GS50'!C230,",","."),0))))</f>
        <v/>
      </c>
      <c r="AE229" t="str">
        <f>IF(AA229="","",'Procyfloc GS50'!J230)</f>
        <v/>
      </c>
      <c r="AF229">
        <f t="shared" si="35"/>
        <v>0</v>
      </c>
      <c r="AG229" t="str">
        <f t="shared" si="36"/>
        <v/>
      </c>
      <c r="AH229" t="str">
        <f t="shared" si="37"/>
        <v/>
      </c>
      <c r="AI229">
        <f t="shared" si="38"/>
        <v>0</v>
      </c>
      <c r="AJ229">
        <f t="shared" si="39"/>
        <v>0</v>
      </c>
      <c r="AK229">
        <v>0</v>
      </c>
      <c r="AL229" t="str">
        <f>IF(AA229="","",IFERROR(IF(ISNUMBER('Procyfloc GS50'!D230),'Procyfloc GS50'!D230,IF(ISNUMBER(SEARCH("12",'Procyfloc GS50'!D230)),EDATE(AB229,12),IF(ISNUMBER(SEARCH("6",'Procyfloc GS50'!D230)),EDATE(AB229,6),IF(ISNUMBER(SEARCH("3",'Procyfloc GS50'!D230)),EDATE(AB229,3),DATEVALUE('Procyfloc GS50'!D230))))),""))</f>
        <v/>
      </c>
      <c r="AM229" t="str">
        <f t="shared" ca="1" si="40"/>
        <v/>
      </c>
    </row>
    <row r="230" spans="27:39" x14ac:dyDescent="0.3">
      <c r="AA230" t="str">
        <f>IF(COUNTA('Procyfloc GS50'!A231,'Procyfloc GS50'!B231,'Procyfloc GS50'!C231)&gt;0,"GS50","")</f>
        <v/>
      </c>
      <c r="AB230" t="str">
        <f>IFERROR(IF(ISNUMBER('Procyfloc GS50'!A231),'Procyfloc GS50'!A231,DATEVALUE('Procyfloc GS50'!A231)),"")</f>
        <v/>
      </c>
      <c r="AC230" t="str">
        <f>IF(AA230="","",'Procyfloc GS50'!B231)</f>
        <v/>
      </c>
      <c r="AD230" t="str">
        <f>IF(AA230="","",IFERROR(1*'Procyfloc GS50'!C231,IFERROR(_xludf.NUMBERVALUE('Procyfloc GS50'!C231,".",","),IFERROR(_xludf.NUMBERVALUE('Procyfloc GS50'!C231,",","."),0))))</f>
        <v/>
      </c>
      <c r="AE230" t="str">
        <f>IF(AA230="","",'Procyfloc GS50'!J231)</f>
        <v/>
      </c>
      <c r="AF230">
        <f t="shared" si="35"/>
        <v>0</v>
      </c>
      <c r="AG230" t="str">
        <f t="shared" si="36"/>
        <v/>
      </c>
      <c r="AH230" t="str">
        <f t="shared" si="37"/>
        <v/>
      </c>
      <c r="AI230">
        <f t="shared" si="38"/>
        <v>0</v>
      </c>
      <c r="AJ230">
        <f t="shared" si="39"/>
        <v>0</v>
      </c>
      <c r="AK230">
        <v>0</v>
      </c>
      <c r="AL230" t="str">
        <f>IF(AA230="","",IFERROR(IF(ISNUMBER('Procyfloc GS50'!D231),'Procyfloc GS50'!D231,IF(ISNUMBER(SEARCH("12",'Procyfloc GS50'!D231)),EDATE(AB230,12),IF(ISNUMBER(SEARCH("6",'Procyfloc GS50'!D231)),EDATE(AB230,6),IF(ISNUMBER(SEARCH("3",'Procyfloc GS50'!D231)),EDATE(AB230,3),DATEVALUE('Procyfloc GS50'!D231))))),""))</f>
        <v/>
      </c>
      <c r="AM230" t="str">
        <f t="shared" ca="1" si="40"/>
        <v/>
      </c>
    </row>
    <row r="231" spans="27:39" x14ac:dyDescent="0.3">
      <c r="AA231" t="str">
        <f>IF(COUNTA('Procyfloc GS50'!A232,'Procyfloc GS50'!B232,'Procyfloc GS50'!C232)&gt;0,"GS50","")</f>
        <v/>
      </c>
      <c r="AB231" t="str">
        <f>IFERROR(IF(ISNUMBER('Procyfloc GS50'!A232),'Procyfloc GS50'!A232,DATEVALUE('Procyfloc GS50'!A232)),"")</f>
        <v/>
      </c>
      <c r="AC231" t="str">
        <f>IF(AA231="","",'Procyfloc GS50'!B232)</f>
        <v/>
      </c>
      <c r="AD231" t="str">
        <f>IF(AA231="","",IFERROR(1*'Procyfloc GS50'!C232,IFERROR(_xludf.NUMBERVALUE('Procyfloc GS50'!C232,".",","),IFERROR(_xludf.NUMBERVALUE('Procyfloc GS50'!C232,",","."),0))))</f>
        <v/>
      </c>
      <c r="AE231" t="str">
        <f>IF(AA231="","",'Procyfloc GS50'!J232)</f>
        <v/>
      </c>
      <c r="AF231">
        <f t="shared" si="35"/>
        <v>0</v>
      </c>
      <c r="AG231" t="str">
        <f t="shared" si="36"/>
        <v/>
      </c>
      <c r="AH231" t="str">
        <f t="shared" si="37"/>
        <v/>
      </c>
      <c r="AI231">
        <f t="shared" si="38"/>
        <v>0</v>
      </c>
      <c r="AJ231">
        <f t="shared" si="39"/>
        <v>0</v>
      </c>
      <c r="AK231">
        <v>0</v>
      </c>
      <c r="AL231" t="str">
        <f>IF(AA231="","",IFERROR(IF(ISNUMBER('Procyfloc GS50'!D232),'Procyfloc GS50'!D232,IF(ISNUMBER(SEARCH("12",'Procyfloc GS50'!D232)),EDATE(AB231,12),IF(ISNUMBER(SEARCH("6",'Procyfloc GS50'!D232)),EDATE(AB231,6),IF(ISNUMBER(SEARCH("3",'Procyfloc GS50'!D232)),EDATE(AB231,3),DATEVALUE('Procyfloc GS50'!D232))))),""))</f>
        <v/>
      </c>
      <c r="AM231" t="str">
        <f t="shared" ca="1" si="40"/>
        <v/>
      </c>
    </row>
    <row r="232" spans="27:39" x14ac:dyDescent="0.3">
      <c r="AA232" t="str">
        <f>IF(COUNTA('Procyfloc GS50'!A233,'Procyfloc GS50'!B233,'Procyfloc GS50'!C233)&gt;0,"GS50","")</f>
        <v/>
      </c>
      <c r="AB232" t="str">
        <f>IFERROR(IF(ISNUMBER('Procyfloc GS50'!A233),'Procyfloc GS50'!A233,DATEVALUE('Procyfloc GS50'!A233)),"")</f>
        <v/>
      </c>
      <c r="AC232" t="str">
        <f>IF(AA232="","",'Procyfloc GS50'!B233)</f>
        <v/>
      </c>
      <c r="AD232" t="str">
        <f>IF(AA232="","",IFERROR(1*'Procyfloc GS50'!C233,IFERROR(_xludf.NUMBERVALUE('Procyfloc GS50'!C233,".",","),IFERROR(_xludf.NUMBERVALUE('Procyfloc GS50'!C233,",","."),0))))</f>
        <v/>
      </c>
      <c r="AE232" t="str">
        <f>IF(AA232="","",'Procyfloc GS50'!J233)</f>
        <v/>
      </c>
      <c r="AF232">
        <f t="shared" si="35"/>
        <v>0</v>
      </c>
      <c r="AG232" t="str">
        <f t="shared" si="36"/>
        <v/>
      </c>
      <c r="AH232" t="str">
        <f t="shared" si="37"/>
        <v/>
      </c>
      <c r="AI232">
        <f t="shared" si="38"/>
        <v>0</v>
      </c>
      <c r="AJ232">
        <f t="shared" si="39"/>
        <v>0</v>
      </c>
      <c r="AK232">
        <v>0</v>
      </c>
      <c r="AL232" t="str">
        <f>IF(AA232="","",IFERROR(IF(ISNUMBER('Procyfloc GS50'!D233),'Procyfloc GS50'!D233,IF(ISNUMBER(SEARCH("12",'Procyfloc GS50'!D233)),EDATE(AB232,12),IF(ISNUMBER(SEARCH("6",'Procyfloc GS50'!D233)),EDATE(AB232,6),IF(ISNUMBER(SEARCH("3",'Procyfloc GS50'!D233)),EDATE(AB232,3),DATEVALUE('Procyfloc GS50'!D233))))),""))</f>
        <v/>
      </c>
      <c r="AM232" t="str">
        <f t="shared" ca="1" si="40"/>
        <v/>
      </c>
    </row>
    <row r="233" spans="27:39" x14ac:dyDescent="0.3">
      <c r="AA233" t="str">
        <f>IF(COUNTA('Procyfloc GS50'!A234,'Procyfloc GS50'!B234,'Procyfloc GS50'!C234)&gt;0,"GS50","")</f>
        <v/>
      </c>
      <c r="AB233" t="str">
        <f>IFERROR(IF(ISNUMBER('Procyfloc GS50'!A234),'Procyfloc GS50'!A234,DATEVALUE('Procyfloc GS50'!A234)),"")</f>
        <v/>
      </c>
      <c r="AC233" t="str">
        <f>IF(AA233="","",'Procyfloc GS50'!B234)</f>
        <v/>
      </c>
      <c r="AD233" t="str">
        <f>IF(AA233="","",IFERROR(1*'Procyfloc GS50'!C234,IFERROR(_xludf.NUMBERVALUE('Procyfloc GS50'!C234,".",","),IFERROR(_xludf.NUMBERVALUE('Procyfloc GS50'!C234,",","."),0))))</f>
        <v/>
      </c>
      <c r="AE233" t="str">
        <f>IF(AA233="","",'Procyfloc GS50'!J234)</f>
        <v/>
      </c>
      <c r="AF233">
        <f t="shared" si="35"/>
        <v>0</v>
      </c>
      <c r="AG233" t="str">
        <f t="shared" si="36"/>
        <v/>
      </c>
      <c r="AH233" t="str">
        <f t="shared" si="37"/>
        <v/>
      </c>
      <c r="AI233">
        <f t="shared" si="38"/>
        <v>0</v>
      </c>
      <c r="AJ233">
        <f t="shared" si="39"/>
        <v>0</v>
      </c>
      <c r="AK233">
        <v>0</v>
      </c>
      <c r="AL233" t="str">
        <f>IF(AA233="","",IFERROR(IF(ISNUMBER('Procyfloc GS50'!D234),'Procyfloc GS50'!D234,IF(ISNUMBER(SEARCH("12",'Procyfloc GS50'!D234)),EDATE(AB233,12),IF(ISNUMBER(SEARCH("6",'Procyfloc GS50'!D234)),EDATE(AB233,6),IF(ISNUMBER(SEARCH("3",'Procyfloc GS50'!D234)),EDATE(AB233,3),DATEVALUE('Procyfloc GS50'!D234))))),""))</f>
        <v/>
      </c>
      <c r="AM233" t="str">
        <f t="shared" ca="1" si="40"/>
        <v/>
      </c>
    </row>
    <row r="234" spans="27:39" x14ac:dyDescent="0.3">
      <c r="AA234" t="str">
        <f>IF(COUNTA('Procyfloc GS50'!A235,'Procyfloc GS50'!B235,'Procyfloc GS50'!C235)&gt;0,"GS50","")</f>
        <v/>
      </c>
      <c r="AB234" t="str">
        <f>IFERROR(IF(ISNUMBER('Procyfloc GS50'!A235),'Procyfloc GS50'!A235,DATEVALUE('Procyfloc GS50'!A235)),"")</f>
        <v/>
      </c>
      <c r="AC234" t="str">
        <f>IF(AA234="","",'Procyfloc GS50'!B235)</f>
        <v/>
      </c>
      <c r="AD234" t="str">
        <f>IF(AA234="","",IFERROR(1*'Procyfloc GS50'!C235,IFERROR(_xludf.NUMBERVALUE('Procyfloc GS50'!C235,".",","),IFERROR(_xludf.NUMBERVALUE('Procyfloc GS50'!C235,",","."),0))))</f>
        <v/>
      </c>
      <c r="AE234" t="str">
        <f>IF(AA234="","",'Procyfloc GS50'!J235)</f>
        <v/>
      </c>
      <c r="AF234">
        <f t="shared" si="35"/>
        <v>0</v>
      </c>
      <c r="AG234" t="str">
        <f t="shared" si="36"/>
        <v/>
      </c>
      <c r="AH234" t="str">
        <f t="shared" si="37"/>
        <v/>
      </c>
      <c r="AI234">
        <f t="shared" si="38"/>
        <v>0</v>
      </c>
      <c r="AJ234">
        <f t="shared" si="39"/>
        <v>0</v>
      </c>
      <c r="AK234">
        <v>0</v>
      </c>
      <c r="AL234" t="str">
        <f>IF(AA234="","",IFERROR(IF(ISNUMBER('Procyfloc GS50'!D235),'Procyfloc GS50'!D235,IF(ISNUMBER(SEARCH("12",'Procyfloc GS50'!D235)),EDATE(AB234,12),IF(ISNUMBER(SEARCH("6",'Procyfloc GS50'!D235)),EDATE(AB234,6),IF(ISNUMBER(SEARCH("3",'Procyfloc GS50'!D235)),EDATE(AB234,3),DATEVALUE('Procyfloc GS50'!D235))))),""))</f>
        <v/>
      </c>
      <c r="AM234" t="str">
        <f t="shared" ca="1" si="40"/>
        <v/>
      </c>
    </row>
    <row r="235" spans="27:39" x14ac:dyDescent="0.3">
      <c r="AA235" t="str">
        <f>IF(COUNTA('Procyfloc GS50'!A236,'Procyfloc GS50'!B236,'Procyfloc GS50'!C236)&gt;0,"GS50","")</f>
        <v/>
      </c>
      <c r="AB235" t="str">
        <f>IFERROR(IF(ISNUMBER('Procyfloc GS50'!A236),'Procyfloc GS50'!A236,DATEVALUE('Procyfloc GS50'!A236)),"")</f>
        <v/>
      </c>
      <c r="AC235" t="str">
        <f>IF(AA235="","",'Procyfloc GS50'!B236)</f>
        <v/>
      </c>
      <c r="AD235" t="str">
        <f>IF(AA235="","",IFERROR(1*'Procyfloc GS50'!C236,IFERROR(_xludf.NUMBERVALUE('Procyfloc GS50'!C236,".",","),IFERROR(_xludf.NUMBERVALUE('Procyfloc GS50'!C236,",","."),0))))</f>
        <v/>
      </c>
      <c r="AE235" t="str">
        <f>IF(AA235="","",'Procyfloc GS50'!J236)</f>
        <v/>
      </c>
      <c r="AF235">
        <f t="shared" si="35"/>
        <v>0</v>
      </c>
      <c r="AG235" t="str">
        <f t="shared" si="36"/>
        <v/>
      </c>
      <c r="AH235" t="str">
        <f t="shared" si="37"/>
        <v/>
      </c>
      <c r="AI235">
        <f t="shared" si="38"/>
        <v>0</v>
      </c>
      <c r="AJ235">
        <f t="shared" si="39"/>
        <v>0</v>
      </c>
      <c r="AK235">
        <v>0</v>
      </c>
      <c r="AL235" t="str">
        <f>IF(AA235="","",IFERROR(IF(ISNUMBER('Procyfloc GS50'!D236),'Procyfloc GS50'!D236,IF(ISNUMBER(SEARCH("12",'Procyfloc GS50'!D236)),EDATE(AB235,12),IF(ISNUMBER(SEARCH("6",'Procyfloc GS50'!D236)),EDATE(AB235,6),IF(ISNUMBER(SEARCH("3",'Procyfloc GS50'!D236)),EDATE(AB235,3),DATEVALUE('Procyfloc GS50'!D236))))),""))</f>
        <v/>
      </c>
      <c r="AM235" t="str">
        <f t="shared" ca="1" si="40"/>
        <v/>
      </c>
    </row>
    <row r="236" spans="27:39" x14ac:dyDescent="0.3">
      <c r="AA236" t="str">
        <f>IF(COUNTA('Procyfloc GS50'!A237,'Procyfloc GS50'!B237,'Procyfloc GS50'!C237)&gt;0,"GS50","")</f>
        <v/>
      </c>
      <c r="AB236" t="str">
        <f>IFERROR(IF(ISNUMBER('Procyfloc GS50'!A237),'Procyfloc GS50'!A237,DATEVALUE('Procyfloc GS50'!A237)),"")</f>
        <v/>
      </c>
      <c r="AC236" t="str">
        <f>IF(AA236="","",'Procyfloc GS50'!B237)</f>
        <v/>
      </c>
      <c r="AD236" t="str">
        <f>IF(AA236="","",IFERROR(1*'Procyfloc GS50'!C237,IFERROR(_xludf.NUMBERVALUE('Procyfloc GS50'!C237,".",","),IFERROR(_xludf.NUMBERVALUE('Procyfloc GS50'!C237,",","."),0))))</f>
        <v/>
      </c>
      <c r="AE236" t="str">
        <f>IF(AA236="","",'Procyfloc GS50'!J237)</f>
        <v/>
      </c>
      <c r="AF236">
        <f t="shared" si="35"/>
        <v>0</v>
      </c>
      <c r="AG236" t="str">
        <f t="shared" si="36"/>
        <v/>
      </c>
      <c r="AH236" t="str">
        <f t="shared" si="37"/>
        <v/>
      </c>
      <c r="AI236">
        <f t="shared" si="38"/>
        <v>0</v>
      </c>
      <c r="AJ236">
        <f t="shared" si="39"/>
        <v>0</v>
      </c>
      <c r="AK236">
        <v>0</v>
      </c>
      <c r="AL236" t="str">
        <f>IF(AA236="","",IFERROR(IF(ISNUMBER('Procyfloc GS50'!D237),'Procyfloc GS50'!D237,IF(ISNUMBER(SEARCH("12",'Procyfloc GS50'!D237)),EDATE(AB236,12),IF(ISNUMBER(SEARCH("6",'Procyfloc GS50'!D237)),EDATE(AB236,6),IF(ISNUMBER(SEARCH("3",'Procyfloc GS50'!D237)),EDATE(AB236,3),DATEVALUE('Procyfloc GS50'!D237))))),""))</f>
        <v/>
      </c>
      <c r="AM236" t="str">
        <f t="shared" ca="1" si="40"/>
        <v/>
      </c>
    </row>
    <row r="237" spans="27:39" x14ac:dyDescent="0.3">
      <c r="AA237" t="str">
        <f>IF(COUNTA('Procyfloc GS50'!A238,'Procyfloc GS50'!B238,'Procyfloc GS50'!C238)&gt;0,"GS50","")</f>
        <v/>
      </c>
      <c r="AB237" t="str">
        <f>IFERROR(IF(ISNUMBER('Procyfloc GS50'!A238),'Procyfloc GS50'!A238,DATEVALUE('Procyfloc GS50'!A238)),"")</f>
        <v/>
      </c>
      <c r="AC237" t="str">
        <f>IF(AA237="","",'Procyfloc GS50'!B238)</f>
        <v/>
      </c>
      <c r="AD237" t="str">
        <f>IF(AA237="","",IFERROR(1*'Procyfloc GS50'!C238,IFERROR(_xludf.NUMBERVALUE('Procyfloc GS50'!C238,".",","),IFERROR(_xludf.NUMBERVALUE('Procyfloc GS50'!C238,",","."),0))))</f>
        <v/>
      </c>
      <c r="AE237" t="str">
        <f>IF(AA237="","",'Procyfloc GS50'!J238)</f>
        <v/>
      </c>
      <c r="AF237">
        <f t="shared" si="35"/>
        <v>0</v>
      </c>
      <c r="AG237" t="str">
        <f t="shared" si="36"/>
        <v/>
      </c>
      <c r="AH237" t="str">
        <f t="shared" si="37"/>
        <v/>
      </c>
      <c r="AI237">
        <f t="shared" si="38"/>
        <v>0</v>
      </c>
      <c r="AJ237">
        <f t="shared" si="39"/>
        <v>0</v>
      </c>
      <c r="AK237">
        <v>0</v>
      </c>
      <c r="AL237" t="str">
        <f>IF(AA237="","",IFERROR(IF(ISNUMBER('Procyfloc GS50'!D238),'Procyfloc GS50'!D238,IF(ISNUMBER(SEARCH("12",'Procyfloc GS50'!D238)),EDATE(AB237,12),IF(ISNUMBER(SEARCH("6",'Procyfloc GS50'!D238)),EDATE(AB237,6),IF(ISNUMBER(SEARCH("3",'Procyfloc GS50'!D238)),EDATE(AB237,3),DATEVALUE('Procyfloc GS50'!D238))))),""))</f>
        <v/>
      </c>
      <c r="AM237" t="str">
        <f t="shared" ca="1" si="40"/>
        <v/>
      </c>
    </row>
    <row r="238" spans="27:39" x14ac:dyDescent="0.3">
      <c r="AA238" t="str">
        <f>IF(COUNTA('Procyfloc GS50'!A239,'Procyfloc GS50'!B239,'Procyfloc GS50'!C239)&gt;0,"GS50","")</f>
        <v/>
      </c>
      <c r="AB238" t="str">
        <f>IFERROR(IF(ISNUMBER('Procyfloc GS50'!A239),'Procyfloc GS50'!A239,DATEVALUE('Procyfloc GS50'!A239)),"")</f>
        <v/>
      </c>
      <c r="AC238" t="str">
        <f>IF(AA238="","",'Procyfloc GS50'!B239)</f>
        <v/>
      </c>
      <c r="AD238" t="str">
        <f>IF(AA238="","",IFERROR(1*'Procyfloc GS50'!C239,IFERROR(_xludf.NUMBERVALUE('Procyfloc GS50'!C239,".",","),IFERROR(_xludf.NUMBERVALUE('Procyfloc GS50'!C239,",","."),0))))</f>
        <v/>
      </c>
      <c r="AE238" t="str">
        <f>IF(AA238="","",'Procyfloc GS50'!J239)</f>
        <v/>
      </c>
      <c r="AF238">
        <f t="shared" si="35"/>
        <v>0</v>
      </c>
      <c r="AG238" t="str">
        <f t="shared" si="36"/>
        <v/>
      </c>
      <c r="AH238" t="str">
        <f t="shared" si="37"/>
        <v/>
      </c>
      <c r="AI238">
        <f t="shared" si="38"/>
        <v>0</v>
      </c>
      <c r="AJ238">
        <f t="shared" si="39"/>
        <v>0</v>
      </c>
      <c r="AK238">
        <v>0</v>
      </c>
      <c r="AL238" t="str">
        <f>IF(AA238="","",IFERROR(IF(ISNUMBER('Procyfloc GS50'!D239),'Procyfloc GS50'!D239,IF(ISNUMBER(SEARCH("12",'Procyfloc GS50'!D239)),EDATE(AB238,12),IF(ISNUMBER(SEARCH("6",'Procyfloc GS50'!D239)),EDATE(AB238,6),IF(ISNUMBER(SEARCH("3",'Procyfloc GS50'!D239)),EDATE(AB238,3),DATEVALUE('Procyfloc GS50'!D239))))),""))</f>
        <v/>
      </c>
      <c r="AM238" t="str">
        <f t="shared" ca="1" si="40"/>
        <v/>
      </c>
    </row>
    <row r="239" spans="27:39" x14ac:dyDescent="0.3">
      <c r="AA239" t="str">
        <f>IF(COUNTA('Procyfloc GS50'!A240,'Procyfloc GS50'!B240,'Procyfloc GS50'!C240)&gt;0,"GS50","")</f>
        <v/>
      </c>
      <c r="AB239" t="str">
        <f>IFERROR(IF(ISNUMBER('Procyfloc GS50'!A240),'Procyfloc GS50'!A240,DATEVALUE('Procyfloc GS50'!A240)),"")</f>
        <v/>
      </c>
      <c r="AC239" t="str">
        <f>IF(AA239="","",'Procyfloc GS50'!B240)</f>
        <v/>
      </c>
      <c r="AD239" t="str">
        <f>IF(AA239="","",IFERROR(1*'Procyfloc GS50'!C240,IFERROR(_xludf.NUMBERVALUE('Procyfloc GS50'!C240,".",","),IFERROR(_xludf.NUMBERVALUE('Procyfloc GS50'!C240,",","."),0))))</f>
        <v/>
      </c>
      <c r="AE239" t="str">
        <f>IF(AA239="","",'Procyfloc GS50'!J240)</f>
        <v/>
      </c>
      <c r="AF239">
        <f t="shared" si="35"/>
        <v>0</v>
      </c>
      <c r="AG239" t="str">
        <f t="shared" si="36"/>
        <v/>
      </c>
      <c r="AH239" t="str">
        <f t="shared" si="37"/>
        <v/>
      </c>
      <c r="AI239">
        <f t="shared" si="38"/>
        <v>0</v>
      </c>
      <c r="AJ239">
        <f t="shared" si="39"/>
        <v>0</v>
      </c>
      <c r="AK239">
        <v>0</v>
      </c>
      <c r="AL239" t="str">
        <f>IF(AA239="","",IFERROR(IF(ISNUMBER('Procyfloc GS50'!D240),'Procyfloc GS50'!D240,IF(ISNUMBER(SEARCH("12",'Procyfloc GS50'!D240)),EDATE(AB239,12),IF(ISNUMBER(SEARCH("6",'Procyfloc GS50'!D240)),EDATE(AB239,6),IF(ISNUMBER(SEARCH("3",'Procyfloc GS50'!D240)),EDATE(AB239,3),DATEVALUE('Procyfloc GS50'!D240))))),""))</f>
        <v/>
      </c>
      <c r="AM239" t="str">
        <f t="shared" ca="1" si="40"/>
        <v/>
      </c>
    </row>
    <row r="240" spans="27:39" x14ac:dyDescent="0.3">
      <c r="AA240" t="str">
        <f>IF(COUNTA('Procyfloc GS50'!A241,'Procyfloc GS50'!B241,'Procyfloc GS50'!C241)&gt;0,"GS50","")</f>
        <v/>
      </c>
      <c r="AB240" t="str">
        <f>IFERROR(IF(ISNUMBER('Procyfloc GS50'!A241),'Procyfloc GS50'!A241,DATEVALUE('Procyfloc GS50'!A241)),"")</f>
        <v/>
      </c>
      <c r="AC240" t="str">
        <f>IF(AA240="","",'Procyfloc GS50'!B241)</f>
        <v/>
      </c>
      <c r="AD240" t="str">
        <f>IF(AA240="","",IFERROR(1*'Procyfloc GS50'!C241,IFERROR(_xludf.NUMBERVALUE('Procyfloc GS50'!C241,".",","),IFERROR(_xludf.NUMBERVALUE('Procyfloc GS50'!C241,",","."),0))))</f>
        <v/>
      </c>
      <c r="AE240" t="str">
        <f>IF(AA240="","",'Procyfloc GS50'!J241)</f>
        <v/>
      </c>
      <c r="AF240">
        <f t="shared" si="35"/>
        <v>0</v>
      </c>
      <c r="AG240" t="str">
        <f t="shared" si="36"/>
        <v/>
      </c>
      <c r="AH240" t="str">
        <f t="shared" si="37"/>
        <v/>
      </c>
      <c r="AI240">
        <f t="shared" si="38"/>
        <v>0</v>
      </c>
      <c r="AJ240">
        <f t="shared" si="39"/>
        <v>0</v>
      </c>
      <c r="AK240">
        <v>0</v>
      </c>
      <c r="AL240" t="str">
        <f>IF(AA240="","",IFERROR(IF(ISNUMBER('Procyfloc GS50'!D241),'Procyfloc GS50'!D241,IF(ISNUMBER(SEARCH("12",'Procyfloc GS50'!D241)),EDATE(AB240,12),IF(ISNUMBER(SEARCH("6",'Procyfloc GS50'!D241)),EDATE(AB240,6),IF(ISNUMBER(SEARCH("3",'Procyfloc GS50'!D241)),EDATE(AB240,3),DATEVALUE('Procyfloc GS50'!D241))))),""))</f>
        <v/>
      </c>
      <c r="AM240" t="str">
        <f t="shared" ca="1" si="40"/>
        <v/>
      </c>
    </row>
    <row r="241" spans="27:39" x14ac:dyDescent="0.3">
      <c r="AA241" t="str">
        <f>IF(COUNTA('Procyfloc GS50'!A242,'Procyfloc GS50'!B242,'Procyfloc GS50'!C242)&gt;0,"GS50","")</f>
        <v/>
      </c>
      <c r="AB241" t="str">
        <f>IFERROR(IF(ISNUMBER('Procyfloc GS50'!A242),'Procyfloc GS50'!A242,DATEVALUE('Procyfloc GS50'!A242)),"")</f>
        <v/>
      </c>
      <c r="AC241" t="str">
        <f>IF(AA241="","",'Procyfloc GS50'!B242)</f>
        <v/>
      </c>
      <c r="AD241" t="str">
        <f>IF(AA241="","",IFERROR(1*'Procyfloc GS50'!C242,IFERROR(_xludf.NUMBERVALUE('Procyfloc GS50'!C242,".",","),IFERROR(_xludf.NUMBERVALUE('Procyfloc GS50'!C242,",","."),0))))</f>
        <v/>
      </c>
      <c r="AE241" t="str">
        <f>IF(AA241="","",'Procyfloc GS50'!J242)</f>
        <v/>
      </c>
      <c r="AF241">
        <f t="shared" si="35"/>
        <v>0</v>
      </c>
      <c r="AG241" t="str">
        <f t="shared" si="36"/>
        <v/>
      </c>
      <c r="AH241" t="str">
        <f t="shared" si="37"/>
        <v/>
      </c>
      <c r="AI241">
        <f t="shared" si="38"/>
        <v>0</v>
      </c>
      <c r="AJ241">
        <f t="shared" si="39"/>
        <v>0</v>
      </c>
      <c r="AK241">
        <v>0</v>
      </c>
      <c r="AL241" t="str">
        <f>IF(AA241="","",IFERROR(IF(ISNUMBER('Procyfloc GS50'!D242),'Procyfloc GS50'!D242,IF(ISNUMBER(SEARCH("12",'Procyfloc GS50'!D242)),EDATE(AB241,12),IF(ISNUMBER(SEARCH("6",'Procyfloc GS50'!D242)),EDATE(AB241,6),IF(ISNUMBER(SEARCH("3",'Procyfloc GS50'!D242)),EDATE(AB241,3),DATEVALUE('Procyfloc GS50'!D242))))),""))</f>
        <v/>
      </c>
      <c r="AM241" t="str">
        <f t="shared" ca="1" si="40"/>
        <v/>
      </c>
    </row>
    <row r="242" spans="27:39" x14ac:dyDescent="0.3">
      <c r="AA242" t="str">
        <f>IF(COUNTA('Procyfloc GS50'!A243,'Procyfloc GS50'!B243,'Procyfloc GS50'!C243)&gt;0,"GS50","")</f>
        <v/>
      </c>
      <c r="AB242" t="str">
        <f>IFERROR(IF(ISNUMBER('Procyfloc GS50'!A243),'Procyfloc GS50'!A243,DATEVALUE('Procyfloc GS50'!A243)),"")</f>
        <v/>
      </c>
      <c r="AC242" t="str">
        <f>IF(AA242="","",'Procyfloc GS50'!B243)</f>
        <v/>
      </c>
      <c r="AD242" t="str">
        <f>IF(AA242="","",IFERROR(1*'Procyfloc GS50'!C243,IFERROR(_xludf.NUMBERVALUE('Procyfloc GS50'!C243,".",","),IFERROR(_xludf.NUMBERVALUE('Procyfloc GS50'!C243,",","."),0))))</f>
        <v/>
      </c>
      <c r="AE242" t="str">
        <f>IF(AA242="","",'Procyfloc GS50'!J243)</f>
        <v/>
      </c>
      <c r="AF242">
        <f t="shared" si="35"/>
        <v>0</v>
      </c>
      <c r="AG242" t="str">
        <f t="shared" si="36"/>
        <v/>
      </c>
      <c r="AH242" t="str">
        <f t="shared" si="37"/>
        <v/>
      </c>
      <c r="AI242">
        <f t="shared" si="38"/>
        <v>0</v>
      </c>
      <c r="AJ242">
        <f t="shared" si="39"/>
        <v>0</v>
      </c>
      <c r="AK242">
        <v>0</v>
      </c>
      <c r="AL242" t="str">
        <f>IF(AA242="","",IFERROR(IF(ISNUMBER('Procyfloc GS50'!D243),'Procyfloc GS50'!D243,IF(ISNUMBER(SEARCH("12",'Procyfloc GS50'!D243)),EDATE(AB242,12),IF(ISNUMBER(SEARCH("6",'Procyfloc GS50'!D243)),EDATE(AB242,6),IF(ISNUMBER(SEARCH("3",'Procyfloc GS50'!D243)),EDATE(AB242,3),DATEVALUE('Procyfloc GS50'!D243))))),""))</f>
        <v/>
      </c>
      <c r="AM242" t="str">
        <f t="shared" ca="1" si="40"/>
        <v/>
      </c>
    </row>
    <row r="243" spans="27:39" x14ac:dyDescent="0.3">
      <c r="AA243" t="str">
        <f>IF(COUNTA('Procyfloc GS50'!A244,'Procyfloc GS50'!B244,'Procyfloc GS50'!C244)&gt;0,"GS50","")</f>
        <v/>
      </c>
      <c r="AB243" t="str">
        <f>IFERROR(IF(ISNUMBER('Procyfloc GS50'!A244),'Procyfloc GS50'!A244,DATEVALUE('Procyfloc GS50'!A244)),"")</f>
        <v/>
      </c>
      <c r="AC243" t="str">
        <f>IF(AA243="","",'Procyfloc GS50'!B244)</f>
        <v/>
      </c>
      <c r="AD243" t="str">
        <f>IF(AA243="","",IFERROR(1*'Procyfloc GS50'!C244,IFERROR(_xludf.NUMBERVALUE('Procyfloc GS50'!C244,".",","),IFERROR(_xludf.NUMBERVALUE('Procyfloc GS50'!C244,",","."),0))))</f>
        <v/>
      </c>
      <c r="AE243" t="str">
        <f>IF(AA243="","",'Procyfloc GS50'!J244)</f>
        <v/>
      </c>
      <c r="AF243">
        <f t="shared" si="35"/>
        <v>0</v>
      </c>
      <c r="AG243" t="str">
        <f t="shared" si="36"/>
        <v/>
      </c>
      <c r="AH243" t="str">
        <f t="shared" si="37"/>
        <v/>
      </c>
      <c r="AI243">
        <f t="shared" si="38"/>
        <v>0</v>
      </c>
      <c r="AJ243">
        <f t="shared" si="39"/>
        <v>0</v>
      </c>
      <c r="AK243">
        <v>0</v>
      </c>
      <c r="AL243" t="str">
        <f>IF(AA243="","",IFERROR(IF(ISNUMBER('Procyfloc GS50'!D244),'Procyfloc GS50'!D244,IF(ISNUMBER(SEARCH("12",'Procyfloc GS50'!D244)),EDATE(AB243,12),IF(ISNUMBER(SEARCH("6",'Procyfloc GS50'!D244)),EDATE(AB243,6),IF(ISNUMBER(SEARCH("3",'Procyfloc GS50'!D244)),EDATE(AB243,3),DATEVALUE('Procyfloc GS50'!D244))))),""))</f>
        <v/>
      </c>
      <c r="AM243" t="str">
        <f t="shared" ca="1" si="40"/>
        <v/>
      </c>
    </row>
    <row r="244" spans="27:39" x14ac:dyDescent="0.3">
      <c r="AA244" t="str">
        <f>IF(COUNTA('Procyfloc GS50'!A245,'Procyfloc GS50'!B245,'Procyfloc GS50'!C245)&gt;0,"GS50","")</f>
        <v/>
      </c>
      <c r="AB244" t="str">
        <f>IFERROR(IF(ISNUMBER('Procyfloc GS50'!A245),'Procyfloc GS50'!A245,DATEVALUE('Procyfloc GS50'!A245)),"")</f>
        <v/>
      </c>
      <c r="AC244" t="str">
        <f>IF(AA244="","",'Procyfloc GS50'!B245)</f>
        <v/>
      </c>
      <c r="AD244" t="str">
        <f>IF(AA244="","",IFERROR(1*'Procyfloc GS50'!C245,IFERROR(_xludf.NUMBERVALUE('Procyfloc GS50'!C245,".",","),IFERROR(_xludf.NUMBERVALUE('Procyfloc GS50'!C245,",","."),0))))</f>
        <v/>
      </c>
      <c r="AE244" t="str">
        <f>IF(AA244="","",'Procyfloc GS50'!J245)</f>
        <v/>
      </c>
      <c r="AF244">
        <f t="shared" si="35"/>
        <v>0</v>
      </c>
      <c r="AG244" t="str">
        <f t="shared" si="36"/>
        <v/>
      </c>
      <c r="AH244" t="str">
        <f t="shared" si="37"/>
        <v/>
      </c>
      <c r="AI244">
        <f t="shared" si="38"/>
        <v>0</v>
      </c>
      <c r="AJ244">
        <f t="shared" si="39"/>
        <v>0</v>
      </c>
      <c r="AK244">
        <v>0</v>
      </c>
      <c r="AL244" t="str">
        <f>IF(AA244="","",IFERROR(IF(ISNUMBER('Procyfloc GS50'!D245),'Procyfloc GS50'!D245,IF(ISNUMBER(SEARCH("12",'Procyfloc GS50'!D245)),EDATE(AB244,12),IF(ISNUMBER(SEARCH("6",'Procyfloc GS50'!D245)),EDATE(AB244,6),IF(ISNUMBER(SEARCH("3",'Procyfloc GS50'!D245)),EDATE(AB244,3),DATEVALUE('Procyfloc GS50'!D245))))),""))</f>
        <v/>
      </c>
      <c r="AM244" t="str">
        <f t="shared" ca="1" si="40"/>
        <v/>
      </c>
    </row>
    <row r="245" spans="27:39" x14ac:dyDescent="0.3">
      <c r="AA245" t="str">
        <f>IF(COUNTA('Procyfloc GS50'!A246,'Procyfloc GS50'!B246,'Procyfloc GS50'!C246)&gt;0,"GS50","")</f>
        <v/>
      </c>
      <c r="AB245" t="str">
        <f>IFERROR(IF(ISNUMBER('Procyfloc GS50'!A246),'Procyfloc GS50'!A246,DATEVALUE('Procyfloc GS50'!A246)),"")</f>
        <v/>
      </c>
      <c r="AC245" t="str">
        <f>IF(AA245="","",'Procyfloc GS50'!B246)</f>
        <v/>
      </c>
      <c r="AD245" t="str">
        <f>IF(AA245="","",IFERROR(1*'Procyfloc GS50'!C246,IFERROR(_xludf.NUMBERVALUE('Procyfloc GS50'!C246,".",","),IFERROR(_xludf.NUMBERVALUE('Procyfloc GS50'!C246,",","."),0))))</f>
        <v/>
      </c>
      <c r="AE245" t="str">
        <f>IF(AA245="","",'Procyfloc GS50'!J246)</f>
        <v/>
      </c>
      <c r="AF245">
        <f t="shared" si="35"/>
        <v>0</v>
      </c>
      <c r="AG245" t="str">
        <f t="shared" si="36"/>
        <v/>
      </c>
      <c r="AH245" t="str">
        <f t="shared" si="37"/>
        <v/>
      </c>
      <c r="AI245">
        <f t="shared" si="38"/>
        <v>0</v>
      </c>
      <c r="AJ245">
        <f t="shared" si="39"/>
        <v>0</v>
      </c>
      <c r="AK245">
        <v>0</v>
      </c>
      <c r="AL245" t="str">
        <f>IF(AA245="","",IFERROR(IF(ISNUMBER('Procyfloc GS50'!D246),'Procyfloc GS50'!D246,IF(ISNUMBER(SEARCH("12",'Procyfloc GS50'!D246)),EDATE(AB245,12),IF(ISNUMBER(SEARCH("6",'Procyfloc GS50'!D246)),EDATE(AB245,6),IF(ISNUMBER(SEARCH("3",'Procyfloc GS50'!D246)),EDATE(AB245,3),DATEVALUE('Procyfloc GS50'!D246))))),""))</f>
        <v/>
      </c>
      <c r="AM245" t="str">
        <f t="shared" ca="1" si="40"/>
        <v/>
      </c>
    </row>
    <row r="246" spans="27:39" x14ac:dyDescent="0.3">
      <c r="AA246" t="str">
        <f>IF(COUNTA('Procyfloc GS50'!A247,'Procyfloc GS50'!B247,'Procyfloc GS50'!C247)&gt;0,"GS50","")</f>
        <v/>
      </c>
      <c r="AB246" t="str">
        <f>IFERROR(IF(ISNUMBER('Procyfloc GS50'!A247),'Procyfloc GS50'!A247,DATEVALUE('Procyfloc GS50'!A247)),"")</f>
        <v/>
      </c>
      <c r="AC246" t="str">
        <f>IF(AA246="","",'Procyfloc GS50'!B247)</f>
        <v/>
      </c>
      <c r="AD246" t="str">
        <f>IF(AA246="","",IFERROR(1*'Procyfloc GS50'!C247,IFERROR(_xludf.NUMBERVALUE('Procyfloc GS50'!C247,".",","),IFERROR(_xludf.NUMBERVALUE('Procyfloc GS50'!C247,",","."),0))))</f>
        <v/>
      </c>
      <c r="AE246" t="str">
        <f>IF(AA246="","",'Procyfloc GS50'!J247)</f>
        <v/>
      </c>
      <c r="AF246">
        <f t="shared" si="35"/>
        <v>0</v>
      </c>
      <c r="AG246" t="str">
        <f t="shared" si="36"/>
        <v/>
      </c>
      <c r="AH246" t="str">
        <f t="shared" si="37"/>
        <v/>
      </c>
      <c r="AI246">
        <f t="shared" si="38"/>
        <v>0</v>
      </c>
      <c r="AJ246">
        <f t="shared" si="39"/>
        <v>0</v>
      </c>
      <c r="AK246">
        <v>0</v>
      </c>
      <c r="AL246" t="str">
        <f>IF(AA246="","",IFERROR(IF(ISNUMBER('Procyfloc GS50'!D247),'Procyfloc GS50'!D247,IF(ISNUMBER(SEARCH("12",'Procyfloc GS50'!D247)),EDATE(AB246,12),IF(ISNUMBER(SEARCH("6",'Procyfloc GS50'!D247)),EDATE(AB246,6),IF(ISNUMBER(SEARCH("3",'Procyfloc GS50'!D247)),EDATE(AB246,3),DATEVALUE('Procyfloc GS50'!D247))))),""))</f>
        <v/>
      </c>
      <c r="AM246" t="str">
        <f t="shared" ca="1" si="40"/>
        <v/>
      </c>
    </row>
    <row r="247" spans="27:39" x14ac:dyDescent="0.3">
      <c r="AA247" t="str">
        <f>IF(COUNTA('Procyfloc GS50'!A248,'Procyfloc GS50'!B248,'Procyfloc GS50'!C248)&gt;0,"GS50","")</f>
        <v/>
      </c>
      <c r="AB247" t="str">
        <f>IFERROR(IF(ISNUMBER('Procyfloc GS50'!A248),'Procyfloc GS50'!A248,DATEVALUE('Procyfloc GS50'!A248)),"")</f>
        <v/>
      </c>
      <c r="AC247" t="str">
        <f>IF(AA247="","",'Procyfloc GS50'!B248)</f>
        <v/>
      </c>
      <c r="AD247" t="str">
        <f>IF(AA247="","",IFERROR(1*'Procyfloc GS50'!C248,IFERROR(_xludf.NUMBERVALUE('Procyfloc GS50'!C248,".",","),IFERROR(_xludf.NUMBERVALUE('Procyfloc GS50'!C248,",","."),0))))</f>
        <v/>
      </c>
      <c r="AE247" t="str">
        <f>IF(AA247="","",'Procyfloc GS50'!J248)</f>
        <v/>
      </c>
      <c r="AF247">
        <f t="shared" si="35"/>
        <v>0</v>
      </c>
      <c r="AG247" t="str">
        <f t="shared" si="36"/>
        <v/>
      </c>
      <c r="AH247" t="str">
        <f t="shared" si="37"/>
        <v/>
      </c>
      <c r="AI247">
        <f t="shared" si="38"/>
        <v>0</v>
      </c>
      <c r="AJ247">
        <f t="shared" si="39"/>
        <v>0</v>
      </c>
      <c r="AK247">
        <v>0</v>
      </c>
      <c r="AL247" t="str">
        <f>IF(AA247="","",IFERROR(IF(ISNUMBER('Procyfloc GS50'!D248),'Procyfloc GS50'!D248,IF(ISNUMBER(SEARCH("12",'Procyfloc GS50'!D248)),EDATE(AB247,12),IF(ISNUMBER(SEARCH("6",'Procyfloc GS50'!D248)),EDATE(AB247,6),IF(ISNUMBER(SEARCH("3",'Procyfloc GS50'!D248)),EDATE(AB247,3),DATEVALUE('Procyfloc GS50'!D248))))),""))</f>
        <v/>
      </c>
      <c r="AM247" t="str">
        <f t="shared" ca="1" si="40"/>
        <v/>
      </c>
    </row>
    <row r="248" spans="27:39" x14ac:dyDescent="0.3">
      <c r="AA248" t="str">
        <f>IF(COUNTA('Procyfloc GS50'!A249,'Procyfloc GS50'!B249,'Procyfloc GS50'!C249)&gt;0,"GS50","")</f>
        <v/>
      </c>
      <c r="AB248" t="str">
        <f>IFERROR(IF(ISNUMBER('Procyfloc GS50'!A249),'Procyfloc GS50'!A249,DATEVALUE('Procyfloc GS50'!A249)),"")</f>
        <v/>
      </c>
      <c r="AC248" t="str">
        <f>IF(AA248="","",'Procyfloc GS50'!B249)</f>
        <v/>
      </c>
      <c r="AD248" t="str">
        <f>IF(AA248="","",IFERROR(1*'Procyfloc GS50'!C249,IFERROR(_xludf.NUMBERVALUE('Procyfloc GS50'!C249,".",","),IFERROR(_xludf.NUMBERVALUE('Procyfloc GS50'!C249,",","."),0))))</f>
        <v/>
      </c>
      <c r="AE248" t="str">
        <f>IF(AA248="","",'Procyfloc GS50'!J249)</f>
        <v/>
      </c>
      <c r="AF248">
        <f t="shared" si="35"/>
        <v>0</v>
      </c>
      <c r="AG248" t="str">
        <f t="shared" si="36"/>
        <v/>
      </c>
      <c r="AH248" t="str">
        <f t="shared" si="37"/>
        <v/>
      </c>
      <c r="AI248">
        <f t="shared" si="38"/>
        <v>0</v>
      </c>
      <c r="AJ248">
        <f t="shared" si="39"/>
        <v>0</v>
      </c>
      <c r="AK248">
        <v>0</v>
      </c>
      <c r="AL248" t="str">
        <f>IF(AA248="","",IFERROR(IF(ISNUMBER('Procyfloc GS50'!D249),'Procyfloc GS50'!D249,IF(ISNUMBER(SEARCH("12",'Procyfloc GS50'!D249)),EDATE(AB248,12),IF(ISNUMBER(SEARCH("6",'Procyfloc GS50'!D249)),EDATE(AB248,6),IF(ISNUMBER(SEARCH("3",'Procyfloc GS50'!D249)),EDATE(AB248,3),DATEVALUE('Procyfloc GS50'!D249))))),""))</f>
        <v/>
      </c>
      <c r="AM248" t="str">
        <f t="shared" ca="1" si="40"/>
        <v/>
      </c>
    </row>
    <row r="249" spans="27:39" x14ac:dyDescent="0.3">
      <c r="AA249" t="str">
        <f>IF(COUNTA('Procyfloc GS50'!A250,'Procyfloc GS50'!B250,'Procyfloc GS50'!C250)&gt;0,"GS50","")</f>
        <v/>
      </c>
      <c r="AB249" t="str">
        <f>IFERROR(IF(ISNUMBER('Procyfloc GS50'!A250),'Procyfloc GS50'!A250,DATEVALUE('Procyfloc GS50'!A250)),"")</f>
        <v/>
      </c>
      <c r="AC249" t="str">
        <f>IF(AA249="","",'Procyfloc GS50'!B250)</f>
        <v/>
      </c>
      <c r="AD249" t="str">
        <f>IF(AA249="","",IFERROR(1*'Procyfloc GS50'!C250,IFERROR(_xludf.NUMBERVALUE('Procyfloc GS50'!C250,".",","),IFERROR(_xludf.NUMBERVALUE('Procyfloc GS50'!C250,",","."),0))))</f>
        <v/>
      </c>
      <c r="AE249" t="str">
        <f>IF(AA249="","",'Procyfloc GS50'!J250)</f>
        <v/>
      </c>
      <c r="AF249">
        <f t="shared" si="35"/>
        <v>0</v>
      </c>
      <c r="AG249" t="str">
        <f t="shared" si="36"/>
        <v/>
      </c>
      <c r="AH249" t="str">
        <f t="shared" si="37"/>
        <v/>
      </c>
      <c r="AI249">
        <f t="shared" si="38"/>
        <v>0</v>
      </c>
      <c r="AJ249">
        <f t="shared" si="39"/>
        <v>0</v>
      </c>
      <c r="AK249">
        <v>0</v>
      </c>
      <c r="AL249" t="str">
        <f>IF(AA249="","",IFERROR(IF(ISNUMBER('Procyfloc GS50'!D250),'Procyfloc GS50'!D250,IF(ISNUMBER(SEARCH("12",'Procyfloc GS50'!D250)),EDATE(AB249,12),IF(ISNUMBER(SEARCH("6",'Procyfloc GS50'!D250)),EDATE(AB249,6),IF(ISNUMBER(SEARCH("3",'Procyfloc GS50'!D250)),EDATE(AB249,3),DATEVALUE('Procyfloc GS50'!D250))))),""))</f>
        <v/>
      </c>
      <c r="AM249" t="str">
        <f t="shared" ca="1" si="40"/>
        <v/>
      </c>
    </row>
    <row r="250" spans="27:39" x14ac:dyDescent="0.3">
      <c r="AA250" t="str">
        <f>IF(COUNTA('Procyfloc GS50'!A251,'Procyfloc GS50'!B251,'Procyfloc GS50'!C251)&gt;0,"GS50","")</f>
        <v/>
      </c>
      <c r="AB250" t="str">
        <f>IFERROR(IF(ISNUMBER('Procyfloc GS50'!A251),'Procyfloc GS50'!A251,DATEVALUE('Procyfloc GS50'!A251)),"")</f>
        <v/>
      </c>
      <c r="AC250" t="str">
        <f>IF(AA250="","",'Procyfloc GS50'!B251)</f>
        <v/>
      </c>
      <c r="AD250" t="str">
        <f>IF(AA250="","",IFERROR(1*'Procyfloc GS50'!C251,IFERROR(_xludf.NUMBERVALUE('Procyfloc GS50'!C251,".",","),IFERROR(_xludf.NUMBERVALUE('Procyfloc GS50'!C251,",","."),0))))</f>
        <v/>
      </c>
      <c r="AE250" t="str">
        <f>IF(AA250="","",'Procyfloc GS50'!J251)</f>
        <v/>
      </c>
      <c r="AF250">
        <f t="shared" si="35"/>
        <v>0</v>
      </c>
      <c r="AG250" t="str">
        <f t="shared" si="36"/>
        <v/>
      </c>
      <c r="AH250" t="str">
        <f t="shared" si="37"/>
        <v/>
      </c>
      <c r="AI250">
        <f t="shared" si="38"/>
        <v>0</v>
      </c>
      <c r="AJ250">
        <f t="shared" si="39"/>
        <v>0</v>
      </c>
      <c r="AK250">
        <v>0</v>
      </c>
      <c r="AL250" t="str">
        <f>IF(AA250="","",IFERROR(IF(ISNUMBER('Procyfloc GS50'!D251),'Procyfloc GS50'!D251,IF(ISNUMBER(SEARCH("12",'Procyfloc GS50'!D251)),EDATE(AB250,12),IF(ISNUMBER(SEARCH("6",'Procyfloc GS50'!D251)),EDATE(AB250,6),IF(ISNUMBER(SEARCH("3",'Procyfloc GS50'!D251)),EDATE(AB250,3),DATEVALUE('Procyfloc GS50'!D251))))),""))</f>
        <v/>
      </c>
      <c r="AM250" t="str">
        <f t="shared" ca="1" si="40"/>
        <v/>
      </c>
    </row>
    <row r="251" spans="27:39" x14ac:dyDescent="0.3">
      <c r="AA251" t="str">
        <f>IF(COUNTA('Procyfloc GS50'!A252,'Procyfloc GS50'!B252,'Procyfloc GS50'!C252)&gt;0,"GS50","")</f>
        <v/>
      </c>
      <c r="AB251" t="str">
        <f>IFERROR(IF(ISNUMBER('Procyfloc GS50'!A252),'Procyfloc GS50'!A252,DATEVALUE('Procyfloc GS50'!A252)),"")</f>
        <v/>
      </c>
      <c r="AC251" t="str">
        <f>IF(AA251="","",'Procyfloc GS50'!B252)</f>
        <v/>
      </c>
      <c r="AD251" t="str">
        <f>IF(AA251="","",IFERROR(1*'Procyfloc GS50'!C252,IFERROR(_xludf.NUMBERVALUE('Procyfloc GS50'!C252,".",","),IFERROR(_xludf.NUMBERVALUE('Procyfloc GS50'!C252,",","."),0))))</f>
        <v/>
      </c>
      <c r="AE251" t="str">
        <f>IF(AA251="","",'Procyfloc GS50'!J252)</f>
        <v/>
      </c>
      <c r="AF251">
        <f t="shared" si="35"/>
        <v>0</v>
      </c>
      <c r="AG251" t="str">
        <f t="shared" si="36"/>
        <v/>
      </c>
      <c r="AH251" t="str">
        <f t="shared" si="37"/>
        <v/>
      </c>
      <c r="AI251">
        <f t="shared" si="38"/>
        <v>0</v>
      </c>
      <c r="AJ251">
        <f t="shared" si="39"/>
        <v>0</v>
      </c>
      <c r="AK251">
        <v>0</v>
      </c>
      <c r="AL251" t="str">
        <f>IF(AA251="","",IFERROR(IF(ISNUMBER('Procyfloc GS50'!D252),'Procyfloc GS50'!D252,IF(ISNUMBER(SEARCH("12",'Procyfloc GS50'!D252)),EDATE(AB251,12),IF(ISNUMBER(SEARCH("6",'Procyfloc GS50'!D252)),EDATE(AB251,6),IF(ISNUMBER(SEARCH("3",'Procyfloc GS50'!D252)),EDATE(AB251,3),DATEVALUE('Procyfloc GS50'!D252))))),""))</f>
        <v/>
      </c>
      <c r="AM251" t="str">
        <f t="shared" ca="1" si="40"/>
        <v/>
      </c>
    </row>
    <row r="252" spans="27:39" x14ac:dyDescent="0.3">
      <c r="AA252" t="str">
        <f>IF(COUNTA('Procyfloc GS50'!A253,'Procyfloc GS50'!B253,'Procyfloc GS50'!C253)&gt;0,"GS50","")</f>
        <v/>
      </c>
      <c r="AB252" t="str">
        <f>IFERROR(IF(ISNUMBER('Procyfloc GS50'!A253),'Procyfloc GS50'!A253,DATEVALUE('Procyfloc GS50'!A253)),"")</f>
        <v/>
      </c>
      <c r="AC252" t="str">
        <f>IF(AA252="","",'Procyfloc GS50'!B253)</f>
        <v/>
      </c>
      <c r="AD252" t="str">
        <f>IF(AA252="","",IFERROR(1*'Procyfloc GS50'!C253,IFERROR(_xludf.NUMBERVALUE('Procyfloc GS50'!C253,".",","),IFERROR(_xludf.NUMBERVALUE('Procyfloc GS50'!C253,",","."),0))))</f>
        <v/>
      </c>
      <c r="AE252" t="str">
        <f>IF(AA252="","",'Procyfloc GS50'!J253)</f>
        <v/>
      </c>
      <c r="AF252">
        <f t="shared" si="35"/>
        <v>0</v>
      </c>
      <c r="AG252" t="str">
        <f t="shared" si="36"/>
        <v/>
      </c>
      <c r="AH252" t="str">
        <f t="shared" si="37"/>
        <v/>
      </c>
      <c r="AI252">
        <f t="shared" si="38"/>
        <v>0</v>
      </c>
      <c r="AJ252">
        <f t="shared" si="39"/>
        <v>0</v>
      </c>
      <c r="AK252">
        <v>0</v>
      </c>
      <c r="AL252" t="str">
        <f>IF(AA252="","",IFERROR(IF(ISNUMBER('Procyfloc GS50'!D253),'Procyfloc GS50'!D253,IF(ISNUMBER(SEARCH("12",'Procyfloc GS50'!D253)),EDATE(AB252,12),IF(ISNUMBER(SEARCH("6",'Procyfloc GS50'!D253)),EDATE(AB252,6),IF(ISNUMBER(SEARCH("3",'Procyfloc GS50'!D253)),EDATE(AB252,3),DATEVALUE('Procyfloc GS50'!D253))))),""))</f>
        <v/>
      </c>
      <c r="AM252" t="str">
        <f t="shared" ca="1" si="40"/>
        <v/>
      </c>
    </row>
    <row r="253" spans="27:39" x14ac:dyDescent="0.3">
      <c r="AA253" t="str">
        <f>IF(COUNTA('Procyfloc GS50'!A254,'Procyfloc GS50'!B254,'Procyfloc GS50'!C254)&gt;0,"GS50","")</f>
        <v/>
      </c>
      <c r="AB253" t="str">
        <f>IFERROR(IF(ISNUMBER('Procyfloc GS50'!A254),'Procyfloc GS50'!A254,DATEVALUE('Procyfloc GS50'!A254)),"")</f>
        <v/>
      </c>
      <c r="AC253" t="str">
        <f>IF(AA253="","",'Procyfloc GS50'!B254)</f>
        <v/>
      </c>
      <c r="AD253" t="str">
        <f>IF(AA253="","",IFERROR(1*'Procyfloc GS50'!C254,IFERROR(_xludf.NUMBERVALUE('Procyfloc GS50'!C254,".",","),IFERROR(_xludf.NUMBERVALUE('Procyfloc GS50'!C254,",","."),0))))</f>
        <v/>
      </c>
      <c r="AE253" t="str">
        <f>IF(AA253="","",'Procyfloc GS50'!J254)</f>
        <v/>
      </c>
      <c r="AF253">
        <f t="shared" si="35"/>
        <v>0</v>
      </c>
      <c r="AG253" t="str">
        <f t="shared" si="36"/>
        <v/>
      </c>
      <c r="AH253" t="str">
        <f t="shared" si="37"/>
        <v/>
      </c>
      <c r="AI253">
        <f t="shared" si="38"/>
        <v>0</v>
      </c>
      <c r="AJ253">
        <f t="shared" si="39"/>
        <v>0</v>
      </c>
      <c r="AK253">
        <v>0</v>
      </c>
      <c r="AL253" t="str">
        <f>IF(AA253="","",IFERROR(IF(ISNUMBER('Procyfloc GS50'!D254),'Procyfloc GS50'!D254,IF(ISNUMBER(SEARCH("12",'Procyfloc GS50'!D254)),EDATE(AB253,12),IF(ISNUMBER(SEARCH("6",'Procyfloc GS50'!D254)),EDATE(AB253,6),IF(ISNUMBER(SEARCH("3",'Procyfloc GS50'!D254)),EDATE(AB253,3),DATEVALUE('Procyfloc GS50'!D254))))),""))</f>
        <v/>
      </c>
      <c r="AM253" t="str">
        <f t="shared" ca="1" si="40"/>
        <v/>
      </c>
    </row>
    <row r="254" spans="27:39" x14ac:dyDescent="0.3">
      <c r="AA254" t="str">
        <f>IF(COUNTA('Procyfloc GS50'!A255,'Procyfloc GS50'!B255,'Procyfloc GS50'!C255)&gt;0,"GS50","")</f>
        <v/>
      </c>
      <c r="AB254" t="str">
        <f>IFERROR(IF(ISNUMBER('Procyfloc GS50'!A255),'Procyfloc GS50'!A255,DATEVALUE('Procyfloc GS50'!A255)),"")</f>
        <v/>
      </c>
      <c r="AC254" t="str">
        <f>IF(AA254="","",'Procyfloc GS50'!B255)</f>
        <v/>
      </c>
      <c r="AD254" t="str">
        <f>IF(AA254="","",IFERROR(1*'Procyfloc GS50'!C255,IFERROR(_xludf.NUMBERVALUE('Procyfloc GS50'!C255,".",","),IFERROR(_xludf.NUMBERVALUE('Procyfloc GS50'!C255,",","."),0))))</f>
        <v/>
      </c>
      <c r="AE254" t="str">
        <f>IF(AA254="","",'Procyfloc GS50'!J255)</f>
        <v/>
      </c>
      <c r="AF254">
        <f t="shared" si="35"/>
        <v>0</v>
      </c>
      <c r="AG254" t="str">
        <f t="shared" si="36"/>
        <v/>
      </c>
      <c r="AH254" t="str">
        <f t="shared" si="37"/>
        <v/>
      </c>
      <c r="AI254">
        <f t="shared" si="38"/>
        <v>0</v>
      </c>
      <c r="AJ254">
        <f t="shared" si="39"/>
        <v>0</v>
      </c>
      <c r="AK254">
        <v>0</v>
      </c>
      <c r="AL254" t="str">
        <f>IF(AA254="","",IFERROR(IF(ISNUMBER('Procyfloc GS50'!D255),'Procyfloc GS50'!D255,IF(ISNUMBER(SEARCH("12",'Procyfloc GS50'!D255)),EDATE(AB254,12),IF(ISNUMBER(SEARCH("6",'Procyfloc GS50'!D255)),EDATE(AB254,6),IF(ISNUMBER(SEARCH("3",'Procyfloc GS50'!D255)),EDATE(AB254,3),DATEVALUE('Procyfloc GS50'!D255))))),""))</f>
        <v/>
      </c>
      <c r="AM254" t="str">
        <f t="shared" ca="1" si="40"/>
        <v/>
      </c>
    </row>
    <row r="255" spans="27:39" x14ac:dyDescent="0.3">
      <c r="AA255" t="str">
        <f>IF(COUNTA('Procyfloc GS50'!A256,'Procyfloc GS50'!B256,'Procyfloc GS50'!C256)&gt;0,"GS50","")</f>
        <v/>
      </c>
      <c r="AB255" t="str">
        <f>IFERROR(IF(ISNUMBER('Procyfloc GS50'!A256),'Procyfloc GS50'!A256,DATEVALUE('Procyfloc GS50'!A256)),"")</f>
        <v/>
      </c>
      <c r="AC255" t="str">
        <f>IF(AA255="","",'Procyfloc GS50'!B256)</f>
        <v/>
      </c>
      <c r="AD255" t="str">
        <f>IF(AA255="","",IFERROR(1*'Procyfloc GS50'!C256,IFERROR(_xludf.NUMBERVALUE('Procyfloc GS50'!C256,".",","),IFERROR(_xludf.NUMBERVALUE('Procyfloc GS50'!C256,",","."),0))))</f>
        <v/>
      </c>
      <c r="AE255" t="str">
        <f>IF(AA255="","",'Procyfloc GS50'!J256)</f>
        <v/>
      </c>
      <c r="AF255">
        <f t="shared" si="35"/>
        <v>0</v>
      </c>
      <c r="AG255" t="str">
        <f t="shared" si="36"/>
        <v/>
      </c>
      <c r="AH255" t="str">
        <f t="shared" si="37"/>
        <v/>
      </c>
      <c r="AI255">
        <f t="shared" si="38"/>
        <v>0</v>
      </c>
      <c r="AJ255">
        <f t="shared" si="39"/>
        <v>0</v>
      </c>
      <c r="AK255">
        <v>0</v>
      </c>
      <c r="AL255" t="str">
        <f>IF(AA255="","",IFERROR(IF(ISNUMBER('Procyfloc GS50'!D256),'Procyfloc GS50'!D256,IF(ISNUMBER(SEARCH("12",'Procyfloc GS50'!D256)),EDATE(AB255,12),IF(ISNUMBER(SEARCH("6",'Procyfloc GS50'!D256)),EDATE(AB255,6),IF(ISNUMBER(SEARCH("3",'Procyfloc GS50'!D256)),EDATE(AB255,3),DATEVALUE('Procyfloc GS50'!D256))))),""))</f>
        <v/>
      </c>
      <c r="AM255" t="str">
        <f t="shared" ca="1" si="40"/>
        <v/>
      </c>
    </row>
    <row r="256" spans="27:39" x14ac:dyDescent="0.3">
      <c r="AA256" t="str">
        <f>IF(COUNTA('Procyfloc GS50'!A257,'Procyfloc GS50'!B257,'Procyfloc GS50'!C257)&gt;0,"GS50","")</f>
        <v/>
      </c>
      <c r="AB256" t="str">
        <f>IFERROR(IF(ISNUMBER('Procyfloc GS50'!A257),'Procyfloc GS50'!A257,DATEVALUE('Procyfloc GS50'!A257)),"")</f>
        <v/>
      </c>
      <c r="AC256" t="str">
        <f>IF(AA256="","",'Procyfloc GS50'!B257)</f>
        <v/>
      </c>
      <c r="AD256" t="str">
        <f>IF(AA256="","",IFERROR(1*'Procyfloc GS50'!C257,IFERROR(_xludf.NUMBERVALUE('Procyfloc GS50'!C257,".",","),IFERROR(_xludf.NUMBERVALUE('Procyfloc GS50'!C257,",","."),0))))</f>
        <v/>
      </c>
      <c r="AE256" t="str">
        <f>IF(AA256="","",'Procyfloc GS50'!J257)</f>
        <v/>
      </c>
      <c r="AF256">
        <f t="shared" si="35"/>
        <v>0</v>
      </c>
      <c r="AG256" t="str">
        <f t="shared" si="36"/>
        <v/>
      </c>
      <c r="AH256" t="str">
        <f t="shared" si="37"/>
        <v/>
      </c>
      <c r="AI256">
        <f t="shared" si="38"/>
        <v>0</v>
      </c>
      <c r="AJ256">
        <f t="shared" si="39"/>
        <v>0</v>
      </c>
      <c r="AK256">
        <v>0</v>
      </c>
      <c r="AL256" t="str">
        <f>IF(AA256="","",IFERROR(IF(ISNUMBER('Procyfloc GS50'!D257),'Procyfloc GS50'!D257,IF(ISNUMBER(SEARCH("12",'Procyfloc GS50'!D257)),EDATE(AB256,12),IF(ISNUMBER(SEARCH("6",'Procyfloc GS50'!D257)),EDATE(AB256,6),IF(ISNUMBER(SEARCH("3",'Procyfloc GS50'!D257)),EDATE(AB256,3),DATEVALUE('Procyfloc GS50'!D257))))),""))</f>
        <v/>
      </c>
      <c r="AM256" t="str">
        <f t="shared" ca="1" si="40"/>
        <v/>
      </c>
    </row>
    <row r="257" spans="27:39" x14ac:dyDescent="0.3">
      <c r="AA257" t="str">
        <f>IF(COUNTA('Procyfloc GS50'!A258,'Procyfloc GS50'!B258,'Procyfloc GS50'!C258)&gt;0,"GS50","")</f>
        <v/>
      </c>
      <c r="AB257" t="str">
        <f>IFERROR(IF(ISNUMBER('Procyfloc GS50'!A258),'Procyfloc GS50'!A258,DATEVALUE('Procyfloc GS50'!A258)),"")</f>
        <v/>
      </c>
      <c r="AC257" t="str">
        <f>IF(AA257="","",'Procyfloc GS50'!B258)</f>
        <v/>
      </c>
      <c r="AD257" t="str">
        <f>IF(AA257="","",IFERROR(1*'Procyfloc GS50'!C258,IFERROR(_xludf.NUMBERVALUE('Procyfloc GS50'!C258,".",","),IFERROR(_xludf.NUMBERVALUE('Procyfloc GS50'!C258,",","."),0))))</f>
        <v/>
      </c>
      <c r="AE257" t="str">
        <f>IF(AA257="","",'Procyfloc GS50'!J258)</f>
        <v/>
      </c>
      <c r="AF257">
        <f t="shared" si="35"/>
        <v>0</v>
      </c>
      <c r="AG257" t="str">
        <f t="shared" si="36"/>
        <v/>
      </c>
      <c r="AH257" t="str">
        <f t="shared" si="37"/>
        <v/>
      </c>
      <c r="AI257">
        <f t="shared" si="38"/>
        <v>0</v>
      </c>
      <c r="AJ257">
        <f t="shared" si="39"/>
        <v>0</v>
      </c>
      <c r="AK257">
        <v>0</v>
      </c>
      <c r="AL257" t="str">
        <f>IF(AA257="","",IFERROR(IF(ISNUMBER('Procyfloc GS50'!D258),'Procyfloc GS50'!D258,IF(ISNUMBER(SEARCH("12",'Procyfloc GS50'!D258)),EDATE(AB257,12),IF(ISNUMBER(SEARCH("6",'Procyfloc GS50'!D258)),EDATE(AB257,6),IF(ISNUMBER(SEARCH("3",'Procyfloc GS50'!D258)),EDATE(AB257,3),DATEVALUE('Procyfloc GS50'!D258))))),""))</f>
        <v/>
      </c>
      <c r="AM257" t="str">
        <f t="shared" ca="1" si="40"/>
        <v/>
      </c>
    </row>
    <row r="258" spans="27:39" x14ac:dyDescent="0.3">
      <c r="AA258" t="str">
        <f>IF(COUNTA('Procyfloc GS50'!A259,'Procyfloc GS50'!B259,'Procyfloc GS50'!C259)&gt;0,"GS50","")</f>
        <v/>
      </c>
      <c r="AB258" t="str">
        <f>IFERROR(IF(ISNUMBER('Procyfloc GS50'!A259),'Procyfloc GS50'!A259,DATEVALUE('Procyfloc GS50'!A259)),"")</f>
        <v/>
      </c>
      <c r="AC258" t="str">
        <f>IF(AA258="","",'Procyfloc GS50'!B259)</f>
        <v/>
      </c>
      <c r="AD258" t="str">
        <f>IF(AA258="","",IFERROR(1*'Procyfloc GS50'!C259,IFERROR(_xludf.NUMBERVALUE('Procyfloc GS50'!C259,".",","),IFERROR(_xludf.NUMBERVALUE('Procyfloc GS50'!C259,",","."),0))))</f>
        <v/>
      </c>
      <c r="AE258" t="str">
        <f>IF(AA258="","",'Procyfloc GS50'!J259)</f>
        <v/>
      </c>
      <c r="AF258">
        <f t="shared" ref="AF258:AF321" si="41">IF(AA258="",0,--AND(ISNUMBER(SEARCH("aprov",AE258)),NOT(ISNUMBER(SEARCH("reprov",AE258)))))</f>
        <v>0</v>
      </c>
      <c r="AG258" t="str">
        <f t="shared" ref="AG258:AG321" si="42">IF(AB258="","",YEAR(AB258))</f>
        <v/>
      </c>
      <c r="AH258" t="str">
        <f t="shared" ref="AH258:AH321" si="43">IF(AB258="","",MONTH(AB258))</f>
        <v/>
      </c>
      <c r="AI258">
        <f t="shared" ref="AI258:AI321" si="44">IF(AB258="",0,AB258+ROW()/1000000)</f>
        <v>0</v>
      </c>
      <c r="AJ258">
        <f t="shared" ref="AJ258:AJ321" si="45">--(AA258&lt;&gt;"")</f>
        <v>0</v>
      </c>
      <c r="AK258">
        <v>0</v>
      </c>
      <c r="AL258" t="str">
        <f>IF(AA258="","",IFERROR(IF(ISNUMBER('Procyfloc GS50'!D259),'Procyfloc GS50'!D259,IF(ISNUMBER(SEARCH("12",'Procyfloc GS50'!D259)),EDATE(AB258,12),IF(ISNUMBER(SEARCH("6",'Procyfloc GS50'!D259)),EDATE(AB258,6),IF(ISNUMBER(SEARCH("3",'Procyfloc GS50'!D259)),EDATE(AB258,3),DATEVALUE('Procyfloc GS50'!D259))))),""))</f>
        <v/>
      </c>
      <c r="AM258" t="str">
        <f t="shared" ref="AM258:AM321" ca="1" si="46">IF(AND(AJ258=1,AL258&lt;&gt;"",AL258&gt;=TODAY(),AG258=$W$3),AL258+ROW()/1000000,"")</f>
        <v/>
      </c>
    </row>
    <row r="259" spans="27:39" x14ac:dyDescent="0.3">
      <c r="AA259" t="str">
        <f>IF(COUNTA('Procyfloc GS50'!A260,'Procyfloc GS50'!B260,'Procyfloc GS50'!C260)&gt;0,"GS50","")</f>
        <v/>
      </c>
      <c r="AB259" t="str">
        <f>IFERROR(IF(ISNUMBER('Procyfloc GS50'!A260),'Procyfloc GS50'!A260,DATEVALUE('Procyfloc GS50'!A260)),"")</f>
        <v/>
      </c>
      <c r="AC259" t="str">
        <f>IF(AA259="","",'Procyfloc GS50'!B260)</f>
        <v/>
      </c>
      <c r="AD259" t="str">
        <f>IF(AA259="","",IFERROR(1*'Procyfloc GS50'!C260,IFERROR(_xludf.NUMBERVALUE('Procyfloc GS50'!C260,".",","),IFERROR(_xludf.NUMBERVALUE('Procyfloc GS50'!C260,",","."),0))))</f>
        <v/>
      </c>
      <c r="AE259" t="str">
        <f>IF(AA259="","",'Procyfloc GS50'!J260)</f>
        <v/>
      </c>
      <c r="AF259">
        <f t="shared" si="41"/>
        <v>0</v>
      </c>
      <c r="AG259" t="str">
        <f t="shared" si="42"/>
        <v/>
      </c>
      <c r="AH259" t="str">
        <f t="shared" si="43"/>
        <v/>
      </c>
      <c r="AI259">
        <f t="shared" si="44"/>
        <v>0</v>
      </c>
      <c r="AJ259">
        <f t="shared" si="45"/>
        <v>0</v>
      </c>
      <c r="AK259">
        <v>0</v>
      </c>
      <c r="AL259" t="str">
        <f>IF(AA259="","",IFERROR(IF(ISNUMBER('Procyfloc GS50'!D260),'Procyfloc GS50'!D260,IF(ISNUMBER(SEARCH("12",'Procyfloc GS50'!D260)),EDATE(AB259,12),IF(ISNUMBER(SEARCH("6",'Procyfloc GS50'!D260)),EDATE(AB259,6),IF(ISNUMBER(SEARCH("3",'Procyfloc GS50'!D260)),EDATE(AB259,3),DATEVALUE('Procyfloc GS50'!D260))))),""))</f>
        <v/>
      </c>
      <c r="AM259" t="str">
        <f t="shared" ca="1" si="46"/>
        <v/>
      </c>
    </row>
    <row r="260" spans="27:39" x14ac:dyDescent="0.3">
      <c r="AA260" t="str">
        <f>IF(COUNTA('Procyfloc GS50'!A261,'Procyfloc GS50'!B261,'Procyfloc GS50'!C261)&gt;0,"GS50","")</f>
        <v/>
      </c>
      <c r="AB260" t="str">
        <f>IFERROR(IF(ISNUMBER('Procyfloc GS50'!A261),'Procyfloc GS50'!A261,DATEVALUE('Procyfloc GS50'!A261)),"")</f>
        <v/>
      </c>
      <c r="AC260" t="str">
        <f>IF(AA260="","",'Procyfloc GS50'!B261)</f>
        <v/>
      </c>
      <c r="AD260" t="str">
        <f>IF(AA260="","",IFERROR(1*'Procyfloc GS50'!C261,IFERROR(_xludf.NUMBERVALUE('Procyfloc GS50'!C261,".",","),IFERROR(_xludf.NUMBERVALUE('Procyfloc GS50'!C261,",","."),0))))</f>
        <v/>
      </c>
      <c r="AE260" t="str">
        <f>IF(AA260="","",'Procyfloc GS50'!J261)</f>
        <v/>
      </c>
      <c r="AF260">
        <f t="shared" si="41"/>
        <v>0</v>
      </c>
      <c r="AG260" t="str">
        <f t="shared" si="42"/>
        <v/>
      </c>
      <c r="AH260" t="str">
        <f t="shared" si="43"/>
        <v/>
      </c>
      <c r="AI260">
        <f t="shared" si="44"/>
        <v>0</v>
      </c>
      <c r="AJ260">
        <f t="shared" si="45"/>
        <v>0</v>
      </c>
      <c r="AK260">
        <v>0</v>
      </c>
      <c r="AL260" t="str">
        <f>IF(AA260="","",IFERROR(IF(ISNUMBER('Procyfloc GS50'!D261),'Procyfloc GS50'!D261,IF(ISNUMBER(SEARCH("12",'Procyfloc GS50'!D261)),EDATE(AB260,12),IF(ISNUMBER(SEARCH("6",'Procyfloc GS50'!D261)),EDATE(AB260,6),IF(ISNUMBER(SEARCH("3",'Procyfloc GS50'!D261)),EDATE(AB260,3),DATEVALUE('Procyfloc GS50'!D261))))),""))</f>
        <v/>
      </c>
      <c r="AM260" t="str">
        <f t="shared" ca="1" si="46"/>
        <v/>
      </c>
    </row>
    <row r="261" spans="27:39" x14ac:dyDescent="0.3">
      <c r="AA261" t="str">
        <f>IF(COUNTA('Procyfloc GS50'!A262,'Procyfloc GS50'!B262,'Procyfloc GS50'!C262)&gt;0,"GS50","")</f>
        <v/>
      </c>
      <c r="AB261" t="str">
        <f>IFERROR(IF(ISNUMBER('Procyfloc GS50'!A262),'Procyfloc GS50'!A262,DATEVALUE('Procyfloc GS50'!A262)),"")</f>
        <v/>
      </c>
      <c r="AC261" t="str">
        <f>IF(AA261="","",'Procyfloc GS50'!B262)</f>
        <v/>
      </c>
      <c r="AD261" t="str">
        <f>IF(AA261="","",IFERROR(1*'Procyfloc GS50'!C262,IFERROR(_xludf.NUMBERVALUE('Procyfloc GS50'!C262,".",","),IFERROR(_xludf.NUMBERVALUE('Procyfloc GS50'!C262,",","."),0))))</f>
        <v/>
      </c>
      <c r="AE261" t="str">
        <f>IF(AA261="","",'Procyfloc GS50'!J262)</f>
        <v/>
      </c>
      <c r="AF261">
        <f t="shared" si="41"/>
        <v>0</v>
      </c>
      <c r="AG261" t="str">
        <f t="shared" si="42"/>
        <v/>
      </c>
      <c r="AH261" t="str">
        <f t="shared" si="43"/>
        <v/>
      </c>
      <c r="AI261">
        <f t="shared" si="44"/>
        <v>0</v>
      </c>
      <c r="AJ261">
        <f t="shared" si="45"/>
        <v>0</v>
      </c>
      <c r="AK261">
        <v>0</v>
      </c>
      <c r="AL261" t="str">
        <f>IF(AA261="","",IFERROR(IF(ISNUMBER('Procyfloc GS50'!D262),'Procyfloc GS50'!D262,IF(ISNUMBER(SEARCH("12",'Procyfloc GS50'!D262)),EDATE(AB261,12),IF(ISNUMBER(SEARCH("6",'Procyfloc GS50'!D262)),EDATE(AB261,6),IF(ISNUMBER(SEARCH("3",'Procyfloc GS50'!D262)),EDATE(AB261,3),DATEVALUE('Procyfloc GS50'!D262))))),""))</f>
        <v/>
      </c>
      <c r="AM261" t="str">
        <f t="shared" ca="1" si="46"/>
        <v/>
      </c>
    </row>
    <row r="262" spans="27:39" x14ac:dyDescent="0.3">
      <c r="AA262" t="str">
        <f>IF(COUNTA('Procyfloc GS50'!A263,'Procyfloc GS50'!B263,'Procyfloc GS50'!C263)&gt;0,"GS50","")</f>
        <v/>
      </c>
      <c r="AB262" t="str">
        <f>IFERROR(IF(ISNUMBER('Procyfloc GS50'!A263),'Procyfloc GS50'!A263,DATEVALUE('Procyfloc GS50'!A263)),"")</f>
        <v/>
      </c>
      <c r="AC262" t="str">
        <f>IF(AA262="","",'Procyfloc GS50'!B263)</f>
        <v/>
      </c>
      <c r="AD262" t="str">
        <f>IF(AA262="","",IFERROR(1*'Procyfloc GS50'!C263,IFERROR(_xludf.NUMBERVALUE('Procyfloc GS50'!C263,".",","),IFERROR(_xludf.NUMBERVALUE('Procyfloc GS50'!C263,",","."),0))))</f>
        <v/>
      </c>
      <c r="AE262" t="str">
        <f>IF(AA262="","",'Procyfloc GS50'!J263)</f>
        <v/>
      </c>
      <c r="AF262">
        <f t="shared" si="41"/>
        <v>0</v>
      </c>
      <c r="AG262" t="str">
        <f t="shared" si="42"/>
        <v/>
      </c>
      <c r="AH262" t="str">
        <f t="shared" si="43"/>
        <v/>
      </c>
      <c r="AI262">
        <f t="shared" si="44"/>
        <v>0</v>
      </c>
      <c r="AJ262">
        <f t="shared" si="45"/>
        <v>0</v>
      </c>
      <c r="AK262">
        <v>0</v>
      </c>
      <c r="AL262" t="str">
        <f>IF(AA262="","",IFERROR(IF(ISNUMBER('Procyfloc GS50'!D263),'Procyfloc GS50'!D263,IF(ISNUMBER(SEARCH("12",'Procyfloc GS50'!D263)),EDATE(AB262,12),IF(ISNUMBER(SEARCH("6",'Procyfloc GS50'!D263)),EDATE(AB262,6),IF(ISNUMBER(SEARCH("3",'Procyfloc GS50'!D263)),EDATE(AB262,3),DATEVALUE('Procyfloc GS50'!D263))))),""))</f>
        <v/>
      </c>
      <c r="AM262" t="str">
        <f t="shared" ca="1" si="46"/>
        <v/>
      </c>
    </row>
    <row r="263" spans="27:39" x14ac:dyDescent="0.3">
      <c r="AA263" t="str">
        <f>IF(COUNTA('Procyfloc GS50'!A264,'Procyfloc GS50'!B264,'Procyfloc GS50'!C264)&gt;0,"GS50","")</f>
        <v/>
      </c>
      <c r="AB263" t="str">
        <f>IFERROR(IF(ISNUMBER('Procyfloc GS50'!A264),'Procyfloc GS50'!A264,DATEVALUE('Procyfloc GS50'!A264)),"")</f>
        <v/>
      </c>
      <c r="AC263" t="str">
        <f>IF(AA263="","",'Procyfloc GS50'!B264)</f>
        <v/>
      </c>
      <c r="AD263" t="str">
        <f>IF(AA263="","",IFERROR(1*'Procyfloc GS50'!C264,IFERROR(_xludf.NUMBERVALUE('Procyfloc GS50'!C264,".",","),IFERROR(_xludf.NUMBERVALUE('Procyfloc GS50'!C264,",","."),0))))</f>
        <v/>
      </c>
      <c r="AE263" t="str">
        <f>IF(AA263="","",'Procyfloc GS50'!J264)</f>
        <v/>
      </c>
      <c r="AF263">
        <f t="shared" si="41"/>
        <v>0</v>
      </c>
      <c r="AG263" t="str">
        <f t="shared" si="42"/>
        <v/>
      </c>
      <c r="AH263" t="str">
        <f t="shared" si="43"/>
        <v/>
      </c>
      <c r="AI263">
        <f t="shared" si="44"/>
        <v>0</v>
      </c>
      <c r="AJ263">
        <f t="shared" si="45"/>
        <v>0</v>
      </c>
      <c r="AK263">
        <v>0</v>
      </c>
      <c r="AL263" t="str">
        <f>IF(AA263="","",IFERROR(IF(ISNUMBER('Procyfloc GS50'!D264),'Procyfloc GS50'!D264,IF(ISNUMBER(SEARCH("12",'Procyfloc GS50'!D264)),EDATE(AB263,12),IF(ISNUMBER(SEARCH("6",'Procyfloc GS50'!D264)),EDATE(AB263,6),IF(ISNUMBER(SEARCH("3",'Procyfloc GS50'!D264)),EDATE(AB263,3),DATEVALUE('Procyfloc GS50'!D264))))),""))</f>
        <v/>
      </c>
      <c r="AM263" t="str">
        <f t="shared" ca="1" si="46"/>
        <v/>
      </c>
    </row>
    <row r="264" spans="27:39" x14ac:dyDescent="0.3">
      <c r="AA264" t="str">
        <f>IF(COUNTA('Procyfloc GS50'!A265,'Procyfloc GS50'!B265,'Procyfloc GS50'!C265)&gt;0,"GS50","")</f>
        <v/>
      </c>
      <c r="AB264" t="str">
        <f>IFERROR(IF(ISNUMBER('Procyfloc GS50'!A265),'Procyfloc GS50'!A265,DATEVALUE('Procyfloc GS50'!A265)),"")</f>
        <v/>
      </c>
      <c r="AC264" t="str">
        <f>IF(AA264="","",'Procyfloc GS50'!B265)</f>
        <v/>
      </c>
      <c r="AD264" t="str">
        <f>IF(AA264="","",IFERROR(1*'Procyfloc GS50'!C265,IFERROR(_xludf.NUMBERVALUE('Procyfloc GS50'!C265,".",","),IFERROR(_xludf.NUMBERVALUE('Procyfloc GS50'!C265,",","."),0))))</f>
        <v/>
      </c>
      <c r="AE264" t="str">
        <f>IF(AA264="","",'Procyfloc GS50'!J265)</f>
        <v/>
      </c>
      <c r="AF264">
        <f t="shared" si="41"/>
        <v>0</v>
      </c>
      <c r="AG264" t="str">
        <f t="shared" si="42"/>
        <v/>
      </c>
      <c r="AH264" t="str">
        <f t="shared" si="43"/>
        <v/>
      </c>
      <c r="AI264">
        <f t="shared" si="44"/>
        <v>0</v>
      </c>
      <c r="AJ264">
        <f t="shared" si="45"/>
        <v>0</v>
      </c>
      <c r="AK264">
        <v>0</v>
      </c>
      <c r="AL264" t="str">
        <f>IF(AA264="","",IFERROR(IF(ISNUMBER('Procyfloc GS50'!D265),'Procyfloc GS50'!D265,IF(ISNUMBER(SEARCH("12",'Procyfloc GS50'!D265)),EDATE(AB264,12),IF(ISNUMBER(SEARCH("6",'Procyfloc GS50'!D265)),EDATE(AB264,6),IF(ISNUMBER(SEARCH("3",'Procyfloc GS50'!D265)),EDATE(AB264,3),DATEVALUE('Procyfloc GS50'!D265))))),""))</f>
        <v/>
      </c>
      <c r="AM264" t="str">
        <f t="shared" ca="1" si="46"/>
        <v/>
      </c>
    </row>
    <row r="265" spans="27:39" x14ac:dyDescent="0.3">
      <c r="AA265" t="str">
        <f>IF(COUNTA('Procyfloc GS50'!A266,'Procyfloc GS50'!B266,'Procyfloc GS50'!C266)&gt;0,"GS50","")</f>
        <v/>
      </c>
      <c r="AB265" t="str">
        <f>IFERROR(IF(ISNUMBER('Procyfloc GS50'!A266),'Procyfloc GS50'!A266,DATEVALUE('Procyfloc GS50'!A266)),"")</f>
        <v/>
      </c>
      <c r="AC265" t="str">
        <f>IF(AA265="","",'Procyfloc GS50'!B266)</f>
        <v/>
      </c>
      <c r="AD265" t="str">
        <f>IF(AA265="","",IFERROR(1*'Procyfloc GS50'!C266,IFERROR(_xludf.NUMBERVALUE('Procyfloc GS50'!C266,".",","),IFERROR(_xludf.NUMBERVALUE('Procyfloc GS50'!C266,",","."),0))))</f>
        <v/>
      </c>
      <c r="AE265" t="str">
        <f>IF(AA265="","",'Procyfloc GS50'!J266)</f>
        <v/>
      </c>
      <c r="AF265">
        <f t="shared" si="41"/>
        <v>0</v>
      </c>
      <c r="AG265" t="str">
        <f t="shared" si="42"/>
        <v/>
      </c>
      <c r="AH265" t="str">
        <f t="shared" si="43"/>
        <v/>
      </c>
      <c r="AI265">
        <f t="shared" si="44"/>
        <v>0</v>
      </c>
      <c r="AJ265">
        <f t="shared" si="45"/>
        <v>0</v>
      </c>
      <c r="AK265">
        <v>0</v>
      </c>
      <c r="AL265" t="str">
        <f>IF(AA265="","",IFERROR(IF(ISNUMBER('Procyfloc GS50'!D266),'Procyfloc GS50'!D266,IF(ISNUMBER(SEARCH("12",'Procyfloc GS50'!D266)),EDATE(AB265,12),IF(ISNUMBER(SEARCH("6",'Procyfloc GS50'!D266)),EDATE(AB265,6),IF(ISNUMBER(SEARCH("3",'Procyfloc GS50'!D266)),EDATE(AB265,3),DATEVALUE('Procyfloc GS50'!D266))))),""))</f>
        <v/>
      </c>
      <c r="AM265" t="str">
        <f t="shared" ca="1" si="46"/>
        <v/>
      </c>
    </row>
    <row r="266" spans="27:39" x14ac:dyDescent="0.3">
      <c r="AA266" t="str">
        <f>IF(COUNTA('Procyfloc GS50'!A267,'Procyfloc GS50'!B267,'Procyfloc GS50'!C267)&gt;0,"GS50","")</f>
        <v/>
      </c>
      <c r="AB266" t="str">
        <f>IFERROR(IF(ISNUMBER('Procyfloc GS50'!A267),'Procyfloc GS50'!A267,DATEVALUE('Procyfloc GS50'!A267)),"")</f>
        <v/>
      </c>
      <c r="AC266" t="str">
        <f>IF(AA266="","",'Procyfloc GS50'!B267)</f>
        <v/>
      </c>
      <c r="AD266" t="str">
        <f>IF(AA266="","",IFERROR(1*'Procyfloc GS50'!C267,IFERROR(_xludf.NUMBERVALUE('Procyfloc GS50'!C267,".",","),IFERROR(_xludf.NUMBERVALUE('Procyfloc GS50'!C267,",","."),0))))</f>
        <v/>
      </c>
      <c r="AE266" t="str">
        <f>IF(AA266="","",'Procyfloc GS50'!J267)</f>
        <v/>
      </c>
      <c r="AF266">
        <f t="shared" si="41"/>
        <v>0</v>
      </c>
      <c r="AG266" t="str">
        <f t="shared" si="42"/>
        <v/>
      </c>
      <c r="AH266" t="str">
        <f t="shared" si="43"/>
        <v/>
      </c>
      <c r="AI266">
        <f t="shared" si="44"/>
        <v>0</v>
      </c>
      <c r="AJ266">
        <f t="shared" si="45"/>
        <v>0</v>
      </c>
      <c r="AK266">
        <v>0</v>
      </c>
      <c r="AL266" t="str">
        <f>IF(AA266="","",IFERROR(IF(ISNUMBER('Procyfloc GS50'!D267),'Procyfloc GS50'!D267,IF(ISNUMBER(SEARCH("12",'Procyfloc GS50'!D267)),EDATE(AB266,12),IF(ISNUMBER(SEARCH("6",'Procyfloc GS50'!D267)),EDATE(AB266,6),IF(ISNUMBER(SEARCH("3",'Procyfloc GS50'!D267)),EDATE(AB266,3),DATEVALUE('Procyfloc GS50'!D267))))),""))</f>
        <v/>
      </c>
      <c r="AM266" t="str">
        <f t="shared" ca="1" si="46"/>
        <v/>
      </c>
    </row>
    <row r="267" spans="27:39" x14ac:dyDescent="0.3">
      <c r="AA267" t="str">
        <f>IF(COUNTA('Procyfloc GS50'!A268,'Procyfloc GS50'!B268,'Procyfloc GS50'!C268)&gt;0,"GS50","")</f>
        <v/>
      </c>
      <c r="AB267" t="str">
        <f>IFERROR(IF(ISNUMBER('Procyfloc GS50'!A268),'Procyfloc GS50'!A268,DATEVALUE('Procyfloc GS50'!A268)),"")</f>
        <v/>
      </c>
      <c r="AC267" t="str">
        <f>IF(AA267="","",'Procyfloc GS50'!B268)</f>
        <v/>
      </c>
      <c r="AD267" t="str">
        <f>IF(AA267="","",IFERROR(1*'Procyfloc GS50'!C268,IFERROR(_xludf.NUMBERVALUE('Procyfloc GS50'!C268,".",","),IFERROR(_xludf.NUMBERVALUE('Procyfloc GS50'!C268,",","."),0))))</f>
        <v/>
      </c>
      <c r="AE267" t="str">
        <f>IF(AA267="","",'Procyfloc GS50'!J268)</f>
        <v/>
      </c>
      <c r="AF267">
        <f t="shared" si="41"/>
        <v>0</v>
      </c>
      <c r="AG267" t="str">
        <f t="shared" si="42"/>
        <v/>
      </c>
      <c r="AH267" t="str">
        <f t="shared" si="43"/>
        <v/>
      </c>
      <c r="AI267">
        <f t="shared" si="44"/>
        <v>0</v>
      </c>
      <c r="AJ267">
        <f t="shared" si="45"/>
        <v>0</v>
      </c>
      <c r="AK267">
        <v>0</v>
      </c>
      <c r="AL267" t="str">
        <f>IF(AA267="","",IFERROR(IF(ISNUMBER('Procyfloc GS50'!D268),'Procyfloc GS50'!D268,IF(ISNUMBER(SEARCH("12",'Procyfloc GS50'!D268)),EDATE(AB267,12),IF(ISNUMBER(SEARCH("6",'Procyfloc GS50'!D268)),EDATE(AB267,6),IF(ISNUMBER(SEARCH("3",'Procyfloc GS50'!D268)),EDATE(AB267,3),DATEVALUE('Procyfloc GS50'!D268))))),""))</f>
        <v/>
      </c>
      <c r="AM267" t="str">
        <f t="shared" ca="1" si="46"/>
        <v/>
      </c>
    </row>
    <row r="268" spans="27:39" x14ac:dyDescent="0.3">
      <c r="AA268" t="str">
        <f>IF(COUNTA('Procyfloc GS50'!A269,'Procyfloc GS50'!B269,'Procyfloc GS50'!C269)&gt;0,"GS50","")</f>
        <v/>
      </c>
      <c r="AB268" t="str">
        <f>IFERROR(IF(ISNUMBER('Procyfloc GS50'!A269),'Procyfloc GS50'!A269,DATEVALUE('Procyfloc GS50'!A269)),"")</f>
        <v/>
      </c>
      <c r="AC268" t="str">
        <f>IF(AA268="","",'Procyfloc GS50'!B269)</f>
        <v/>
      </c>
      <c r="AD268" t="str">
        <f>IF(AA268="","",IFERROR(1*'Procyfloc GS50'!C269,IFERROR(_xludf.NUMBERVALUE('Procyfloc GS50'!C269,".",","),IFERROR(_xludf.NUMBERVALUE('Procyfloc GS50'!C269,",","."),0))))</f>
        <v/>
      </c>
      <c r="AE268" t="str">
        <f>IF(AA268="","",'Procyfloc GS50'!J269)</f>
        <v/>
      </c>
      <c r="AF268">
        <f t="shared" si="41"/>
        <v>0</v>
      </c>
      <c r="AG268" t="str">
        <f t="shared" si="42"/>
        <v/>
      </c>
      <c r="AH268" t="str">
        <f t="shared" si="43"/>
        <v/>
      </c>
      <c r="AI268">
        <f t="shared" si="44"/>
        <v>0</v>
      </c>
      <c r="AJ268">
        <f t="shared" si="45"/>
        <v>0</v>
      </c>
      <c r="AK268">
        <v>0</v>
      </c>
      <c r="AL268" t="str">
        <f>IF(AA268="","",IFERROR(IF(ISNUMBER('Procyfloc GS50'!D269),'Procyfloc GS50'!D269,IF(ISNUMBER(SEARCH("12",'Procyfloc GS50'!D269)),EDATE(AB268,12),IF(ISNUMBER(SEARCH("6",'Procyfloc GS50'!D269)),EDATE(AB268,6),IF(ISNUMBER(SEARCH("3",'Procyfloc GS50'!D269)),EDATE(AB268,3),DATEVALUE('Procyfloc GS50'!D269))))),""))</f>
        <v/>
      </c>
      <c r="AM268" t="str">
        <f t="shared" ca="1" si="46"/>
        <v/>
      </c>
    </row>
    <row r="269" spans="27:39" x14ac:dyDescent="0.3">
      <c r="AA269" t="str">
        <f>IF(COUNTA('Procyfloc GS50'!A270,'Procyfloc GS50'!B270,'Procyfloc GS50'!C270)&gt;0,"GS50","")</f>
        <v/>
      </c>
      <c r="AB269" t="str">
        <f>IFERROR(IF(ISNUMBER('Procyfloc GS50'!A270),'Procyfloc GS50'!A270,DATEVALUE('Procyfloc GS50'!A270)),"")</f>
        <v/>
      </c>
      <c r="AC269" t="str">
        <f>IF(AA269="","",'Procyfloc GS50'!B270)</f>
        <v/>
      </c>
      <c r="AD269" t="str">
        <f>IF(AA269="","",IFERROR(1*'Procyfloc GS50'!C270,IFERROR(_xludf.NUMBERVALUE('Procyfloc GS50'!C270,".",","),IFERROR(_xludf.NUMBERVALUE('Procyfloc GS50'!C270,",","."),0))))</f>
        <v/>
      </c>
      <c r="AE269" t="str">
        <f>IF(AA269="","",'Procyfloc GS50'!J270)</f>
        <v/>
      </c>
      <c r="AF269">
        <f t="shared" si="41"/>
        <v>0</v>
      </c>
      <c r="AG269" t="str">
        <f t="shared" si="42"/>
        <v/>
      </c>
      <c r="AH269" t="str">
        <f t="shared" si="43"/>
        <v/>
      </c>
      <c r="AI269">
        <f t="shared" si="44"/>
        <v>0</v>
      </c>
      <c r="AJ269">
        <f t="shared" si="45"/>
        <v>0</v>
      </c>
      <c r="AK269">
        <v>0</v>
      </c>
      <c r="AL269" t="str">
        <f>IF(AA269="","",IFERROR(IF(ISNUMBER('Procyfloc GS50'!D270),'Procyfloc GS50'!D270,IF(ISNUMBER(SEARCH("12",'Procyfloc GS50'!D270)),EDATE(AB269,12),IF(ISNUMBER(SEARCH("6",'Procyfloc GS50'!D270)),EDATE(AB269,6),IF(ISNUMBER(SEARCH("3",'Procyfloc GS50'!D270)),EDATE(AB269,3),DATEVALUE('Procyfloc GS50'!D270))))),""))</f>
        <v/>
      </c>
      <c r="AM269" t="str">
        <f t="shared" ca="1" si="46"/>
        <v/>
      </c>
    </row>
    <row r="270" spans="27:39" x14ac:dyDescent="0.3">
      <c r="AA270" t="str">
        <f>IF(COUNTA('Procyfloc GS50'!A271,'Procyfloc GS50'!B271,'Procyfloc GS50'!C271)&gt;0,"GS50","")</f>
        <v/>
      </c>
      <c r="AB270" t="str">
        <f>IFERROR(IF(ISNUMBER('Procyfloc GS50'!A271),'Procyfloc GS50'!A271,DATEVALUE('Procyfloc GS50'!A271)),"")</f>
        <v/>
      </c>
      <c r="AC270" t="str">
        <f>IF(AA270="","",'Procyfloc GS50'!B271)</f>
        <v/>
      </c>
      <c r="AD270" t="str">
        <f>IF(AA270="","",IFERROR(1*'Procyfloc GS50'!C271,IFERROR(_xludf.NUMBERVALUE('Procyfloc GS50'!C271,".",","),IFERROR(_xludf.NUMBERVALUE('Procyfloc GS50'!C271,",","."),0))))</f>
        <v/>
      </c>
      <c r="AE270" t="str">
        <f>IF(AA270="","",'Procyfloc GS50'!J271)</f>
        <v/>
      </c>
      <c r="AF270">
        <f t="shared" si="41"/>
        <v>0</v>
      </c>
      <c r="AG270" t="str">
        <f t="shared" si="42"/>
        <v/>
      </c>
      <c r="AH270" t="str">
        <f t="shared" si="43"/>
        <v/>
      </c>
      <c r="AI270">
        <f t="shared" si="44"/>
        <v>0</v>
      </c>
      <c r="AJ270">
        <f t="shared" si="45"/>
        <v>0</v>
      </c>
      <c r="AK270">
        <v>0</v>
      </c>
      <c r="AL270" t="str">
        <f>IF(AA270="","",IFERROR(IF(ISNUMBER('Procyfloc GS50'!D271),'Procyfloc GS50'!D271,IF(ISNUMBER(SEARCH("12",'Procyfloc GS50'!D271)),EDATE(AB270,12),IF(ISNUMBER(SEARCH("6",'Procyfloc GS50'!D271)),EDATE(AB270,6),IF(ISNUMBER(SEARCH("3",'Procyfloc GS50'!D271)),EDATE(AB270,3),DATEVALUE('Procyfloc GS50'!D271))))),""))</f>
        <v/>
      </c>
      <c r="AM270" t="str">
        <f t="shared" ca="1" si="46"/>
        <v/>
      </c>
    </row>
    <row r="271" spans="27:39" x14ac:dyDescent="0.3">
      <c r="AA271" t="str">
        <f>IF(COUNTA('Procyfloc GS50'!A272,'Procyfloc GS50'!B272,'Procyfloc GS50'!C272)&gt;0,"GS50","")</f>
        <v/>
      </c>
      <c r="AB271" t="str">
        <f>IFERROR(IF(ISNUMBER('Procyfloc GS50'!A272),'Procyfloc GS50'!A272,DATEVALUE('Procyfloc GS50'!A272)),"")</f>
        <v/>
      </c>
      <c r="AC271" t="str">
        <f>IF(AA271="","",'Procyfloc GS50'!B272)</f>
        <v/>
      </c>
      <c r="AD271" t="str">
        <f>IF(AA271="","",IFERROR(1*'Procyfloc GS50'!C272,IFERROR(_xludf.NUMBERVALUE('Procyfloc GS50'!C272,".",","),IFERROR(_xludf.NUMBERVALUE('Procyfloc GS50'!C272,",","."),0))))</f>
        <v/>
      </c>
      <c r="AE271" t="str">
        <f>IF(AA271="","",'Procyfloc GS50'!J272)</f>
        <v/>
      </c>
      <c r="AF271">
        <f t="shared" si="41"/>
        <v>0</v>
      </c>
      <c r="AG271" t="str">
        <f t="shared" si="42"/>
        <v/>
      </c>
      <c r="AH271" t="str">
        <f t="shared" si="43"/>
        <v/>
      </c>
      <c r="AI271">
        <f t="shared" si="44"/>
        <v>0</v>
      </c>
      <c r="AJ271">
        <f t="shared" si="45"/>
        <v>0</v>
      </c>
      <c r="AK271">
        <v>0</v>
      </c>
      <c r="AL271" t="str">
        <f>IF(AA271="","",IFERROR(IF(ISNUMBER('Procyfloc GS50'!D272),'Procyfloc GS50'!D272,IF(ISNUMBER(SEARCH("12",'Procyfloc GS50'!D272)),EDATE(AB271,12),IF(ISNUMBER(SEARCH("6",'Procyfloc GS50'!D272)),EDATE(AB271,6),IF(ISNUMBER(SEARCH("3",'Procyfloc GS50'!D272)),EDATE(AB271,3),DATEVALUE('Procyfloc GS50'!D272))))),""))</f>
        <v/>
      </c>
      <c r="AM271" t="str">
        <f t="shared" ca="1" si="46"/>
        <v/>
      </c>
    </row>
    <row r="272" spans="27:39" x14ac:dyDescent="0.3">
      <c r="AA272" t="str">
        <f>IF(COUNTA('Procyfloc GS50'!A273,'Procyfloc GS50'!B273,'Procyfloc GS50'!C273)&gt;0,"GS50","")</f>
        <v/>
      </c>
      <c r="AB272" t="str">
        <f>IFERROR(IF(ISNUMBER('Procyfloc GS50'!A273),'Procyfloc GS50'!A273,DATEVALUE('Procyfloc GS50'!A273)),"")</f>
        <v/>
      </c>
      <c r="AC272" t="str">
        <f>IF(AA272="","",'Procyfloc GS50'!B273)</f>
        <v/>
      </c>
      <c r="AD272" t="str">
        <f>IF(AA272="","",IFERROR(1*'Procyfloc GS50'!C273,IFERROR(_xludf.NUMBERVALUE('Procyfloc GS50'!C273,".",","),IFERROR(_xludf.NUMBERVALUE('Procyfloc GS50'!C273,",","."),0))))</f>
        <v/>
      </c>
      <c r="AE272" t="str">
        <f>IF(AA272="","",'Procyfloc GS50'!J273)</f>
        <v/>
      </c>
      <c r="AF272">
        <f t="shared" si="41"/>
        <v>0</v>
      </c>
      <c r="AG272" t="str">
        <f t="shared" si="42"/>
        <v/>
      </c>
      <c r="AH272" t="str">
        <f t="shared" si="43"/>
        <v/>
      </c>
      <c r="AI272">
        <f t="shared" si="44"/>
        <v>0</v>
      </c>
      <c r="AJ272">
        <f t="shared" si="45"/>
        <v>0</v>
      </c>
      <c r="AK272">
        <v>0</v>
      </c>
      <c r="AL272" t="str">
        <f>IF(AA272="","",IFERROR(IF(ISNUMBER('Procyfloc GS50'!D273),'Procyfloc GS50'!D273,IF(ISNUMBER(SEARCH("12",'Procyfloc GS50'!D273)),EDATE(AB272,12),IF(ISNUMBER(SEARCH("6",'Procyfloc GS50'!D273)),EDATE(AB272,6),IF(ISNUMBER(SEARCH("3",'Procyfloc GS50'!D273)),EDATE(AB272,3),DATEVALUE('Procyfloc GS50'!D273))))),""))</f>
        <v/>
      </c>
      <c r="AM272" t="str">
        <f t="shared" ca="1" si="46"/>
        <v/>
      </c>
    </row>
    <row r="273" spans="27:39" x14ac:dyDescent="0.3">
      <c r="AA273" t="str">
        <f>IF(COUNTA('Procyfloc GS50'!A274,'Procyfloc GS50'!B274,'Procyfloc GS50'!C274)&gt;0,"GS50","")</f>
        <v/>
      </c>
      <c r="AB273" t="str">
        <f>IFERROR(IF(ISNUMBER('Procyfloc GS50'!A274),'Procyfloc GS50'!A274,DATEVALUE('Procyfloc GS50'!A274)),"")</f>
        <v/>
      </c>
      <c r="AC273" t="str">
        <f>IF(AA273="","",'Procyfloc GS50'!B274)</f>
        <v/>
      </c>
      <c r="AD273" t="str">
        <f>IF(AA273="","",IFERROR(1*'Procyfloc GS50'!C274,IFERROR(_xludf.NUMBERVALUE('Procyfloc GS50'!C274,".",","),IFERROR(_xludf.NUMBERVALUE('Procyfloc GS50'!C274,",","."),0))))</f>
        <v/>
      </c>
      <c r="AE273" t="str">
        <f>IF(AA273="","",'Procyfloc GS50'!J274)</f>
        <v/>
      </c>
      <c r="AF273">
        <f t="shared" si="41"/>
        <v>0</v>
      </c>
      <c r="AG273" t="str">
        <f t="shared" si="42"/>
        <v/>
      </c>
      <c r="AH273" t="str">
        <f t="shared" si="43"/>
        <v/>
      </c>
      <c r="AI273">
        <f t="shared" si="44"/>
        <v>0</v>
      </c>
      <c r="AJ273">
        <f t="shared" si="45"/>
        <v>0</v>
      </c>
      <c r="AK273">
        <v>0</v>
      </c>
      <c r="AL273" t="str">
        <f>IF(AA273="","",IFERROR(IF(ISNUMBER('Procyfloc GS50'!D274),'Procyfloc GS50'!D274,IF(ISNUMBER(SEARCH("12",'Procyfloc GS50'!D274)),EDATE(AB273,12),IF(ISNUMBER(SEARCH("6",'Procyfloc GS50'!D274)),EDATE(AB273,6),IF(ISNUMBER(SEARCH("3",'Procyfloc GS50'!D274)),EDATE(AB273,3),DATEVALUE('Procyfloc GS50'!D274))))),""))</f>
        <v/>
      </c>
      <c r="AM273" t="str">
        <f t="shared" ca="1" si="46"/>
        <v/>
      </c>
    </row>
    <row r="274" spans="27:39" x14ac:dyDescent="0.3">
      <c r="AA274" t="str">
        <f>IF(COUNTA('Procyfloc GS50'!A275,'Procyfloc GS50'!B275,'Procyfloc GS50'!C275)&gt;0,"GS50","")</f>
        <v/>
      </c>
      <c r="AB274" t="str">
        <f>IFERROR(IF(ISNUMBER('Procyfloc GS50'!A275),'Procyfloc GS50'!A275,DATEVALUE('Procyfloc GS50'!A275)),"")</f>
        <v/>
      </c>
      <c r="AC274" t="str">
        <f>IF(AA274="","",'Procyfloc GS50'!B275)</f>
        <v/>
      </c>
      <c r="AD274" t="str">
        <f>IF(AA274="","",IFERROR(1*'Procyfloc GS50'!C275,IFERROR(_xludf.NUMBERVALUE('Procyfloc GS50'!C275,".",","),IFERROR(_xludf.NUMBERVALUE('Procyfloc GS50'!C275,",","."),0))))</f>
        <v/>
      </c>
      <c r="AE274" t="str">
        <f>IF(AA274="","",'Procyfloc GS50'!J275)</f>
        <v/>
      </c>
      <c r="AF274">
        <f t="shared" si="41"/>
        <v>0</v>
      </c>
      <c r="AG274" t="str">
        <f t="shared" si="42"/>
        <v/>
      </c>
      <c r="AH274" t="str">
        <f t="shared" si="43"/>
        <v/>
      </c>
      <c r="AI274">
        <f t="shared" si="44"/>
        <v>0</v>
      </c>
      <c r="AJ274">
        <f t="shared" si="45"/>
        <v>0</v>
      </c>
      <c r="AK274">
        <v>0</v>
      </c>
      <c r="AL274" t="str">
        <f>IF(AA274="","",IFERROR(IF(ISNUMBER('Procyfloc GS50'!D275),'Procyfloc GS50'!D275,IF(ISNUMBER(SEARCH("12",'Procyfloc GS50'!D275)),EDATE(AB274,12),IF(ISNUMBER(SEARCH("6",'Procyfloc GS50'!D275)),EDATE(AB274,6),IF(ISNUMBER(SEARCH("3",'Procyfloc GS50'!D275)),EDATE(AB274,3),DATEVALUE('Procyfloc GS50'!D275))))),""))</f>
        <v/>
      </c>
      <c r="AM274" t="str">
        <f t="shared" ca="1" si="46"/>
        <v/>
      </c>
    </row>
    <row r="275" spans="27:39" x14ac:dyDescent="0.3">
      <c r="AA275" t="str">
        <f>IF(COUNTA('Procyfloc GS50'!A276,'Procyfloc GS50'!B276,'Procyfloc GS50'!C276)&gt;0,"GS50","")</f>
        <v/>
      </c>
      <c r="AB275" t="str">
        <f>IFERROR(IF(ISNUMBER('Procyfloc GS50'!A276),'Procyfloc GS50'!A276,DATEVALUE('Procyfloc GS50'!A276)),"")</f>
        <v/>
      </c>
      <c r="AC275" t="str">
        <f>IF(AA275="","",'Procyfloc GS50'!B276)</f>
        <v/>
      </c>
      <c r="AD275" t="str">
        <f>IF(AA275="","",IFERROR(1*'Procyfloc GS50'!C276,IFERROR(_xludf.NUMBERVALUE('Procyfloc GS50'!C276,".",","),IFERROR(_xludf.NUMBERVALUE('Procyfloc GS50'!C276,",","."),0))))</f>
        <v/>
      </c>
      <c r="AE275" t="str">
        <f>IF(AA275="","",'Procyfloc GS50'!J276)</f>
        <v/>
      </c>
      <c r="AF275">
        <f t="shared" si="41"/>
        <v>0</v>
      </c>
      <c r="AG275" t="str">
        <f t="shared" si="42"/>
        <v/>
      </c>
      <c r="AH275" t="str">
        <f t="shared" si="43"/>
        <v/>
      </c>
      <c r="AI275">
        <f t="shared" si="44"/>
        <v>0</v>
      </c>
      <c r="AJ275">
        <f t="shared" si="45"/>
        <v>0</v>
      </c>
      <c r="AK275">
        <v>0</v>
      </c>
      <c r="AL275" t="str">
        <f>IF(AA275="","",IFERROR(IF(ISNUMBER('Procyfloc GS50'!D276),'Procyfloc GS50'!D276,IF(ISNUMBER(SEARCH("12",'Procyfloc GS50'!D276)),EDATE(AB275,12),IF(ISNUMBER(SEARCH("6",'Procyfloc GS50'!D276)),EDATE(AB275,6),IF(ISNUMBER(SEARCH("3",'Procyfloc GS50'!D276)),EDATE(AB275,3),DATEVALUE('Procyfloc GS50'!D276))))),""))</f>
        <v/>
      </c>
      <c r="AM275" t="str">
        <f t="shared" ca="1" si="46"/>
        <v/>
      </c>
    </row>
    <row r="276" spans="27:39" x14ac:dyDescent="0.3">
      <c r="AA276" t="str">
        <f>IF(COUNTA('Procyfloc GS50'!A277,'Procyfloc GS50'!B277,'Procyfloc GS50'!C277)&gt;0,"GS50","")</f>
        <v/>
      </c>
      <c r="AB276" t="str">
        <f>IFERROR(IF(ISNUMBER('Procyfloc GS50'!A277),'Procyfloc GS50'!A277,DATEVALUE('Procyfloc GS50'!A277)),"")</f>
        <v/>
      </c>
      <c r="AC276" t="str">
        <f>IF(AA276="","",'Procyfloc GS50'!B277)</f>
        <v/>
      </c>
      <c r="AD276" t="str">
        <f>IF(AA276="","",IFERROR(1*'Procyfloc GS50'!C277,IFERROR(_xludf.NUMBERVALUE('Procyfloc GS50'!C277,".",","),IFERROR(_xludf.NUMBERVALUE('Procyfloc GS50'!C277,",","."),0))))</f>
        <v/>
      </c>
      <c r="AE276" t="str">
        <f>IF(AA276="","",'Procyfloc GS50'!J277)</f>
        <v/>
      </c>
      <c r="AF276">
        <f t="shared" si="41"/>
        <v>0</v>
      </c>
      <c r="AG276" t="str">
        <f t="shared" si="42"/>
        <v/>
      </c>
      <c r="AH276" t="str">
        <f t="shared" si="43"/>
        <v/>
      </c>
      <c r="AI276">
        <f t="shared" si="44"/>
        <v>0</v>
      </c>
      <c r="AJ276">
        <f t="shared" si="45"/>
        <v>0</v>
      </c>
      <c r="AK276">
        <v>0</v>
      </c>
      <c r="AL276" t="str">
        <f>IF(AA276="","",IFERROR(IF(ISNUMBER('Procyfloc GS50'!D277),'Procyfloc GS50'!D277,IF(ISNUMBER(SEARCH("12",'Procyfloc GS50'!D277)),EDATE(AB276,12),IF(ISNUMBER(SEARCH("6",'Procyfloc GS50'!D277)),EDATE(AB276,6),IF(ISNUMBER(SEARCH("3",'Procyfloc GS50'!D277)),EDATE(AB276,3),DATEVALUE('Procyfloc GS50'!D277))))),""))</f>
        <v/>
      </c>
      <c r="AM276" t="str">
        <f t="shared" ca="1" si="46"/>
        <v/>
      </c>
    </row>
    <row r="277" spans="27:39" x14ac:dyDescent="0.3">
      <c r="AA277" t="str">
        <f>IF(COUNTA('Procyfloc GS50'!A278,'Procyfloc GS50'!B278,'Procyfloc GS50'!C278)&gt;0,"GS50","")</f>
        <v/>
      </c>
      <c r="AB277" t="str">
        <f>IFERROR(IF(ISNUMBER('Procyfloc GS50'!A278),'Procyfloc GS50'!A278,DATEVALUE('Procyfloc GS50'!A278)),"")</f>
        <v/>
      </c>
      <c r="AC277" t="str">
        <f>IF(AA277="","",'Procyfloc GS50'!B278)</f>
        <v/>
      </c>
      <c r="AD277" t="str">
        <f>IF(AA277="","",IFERROR(1*'Procyfloc GS50'!C278,IFERROR(_xludf.NUMBERVALUE('Procyfloc GS50'!C278,".",","),IFERROR(_xludf.NUMBERVALUE('Procyfloc GS50'!C278,",","."),0))))</f>
        <v/>
      </c>
      <c r="AE277" t="str">
        <f>IF(AA277="","",'Procyfloc GS50'!J278)</f>
        <v/>
      </c>
      <c r="AF277">
        <f t="shared" si="41"/>
        <v>0</v>
      </c>
      <c r="AG277" t="str">
        <f t="shared" si="42"/>
        <v/>
      </c>
      <c r="AH277" t="str">
        <f t="shared" si="43"/>
        <v/>
      </c>
      <c r="AI277">
        <f t="shared" si="44"/>
        <v>0</v>
      </c>
      <c r="AJ277">
        <f t="shared" si="45"/>
        <v>0</v>
      </c>
      <c r="AK277">
        <v>0</v>
      </c>
      <c r="AL277" t="str">
        <f>IF(AA277="","",IFERROR(IF(ISNUMBER('Procyfloc GS50'!D278),'Procyfloc GS50'!D278,IF(ISNUMBER(SEARCH("12",'Procyfloc GS50'!D278)),EDATE(AB277,12),IF(ISNUMBER(SEARCH("6",'Procyfloc GS50'!D278)),EDATE(AB277,6),IF(ISNUMBER(SEARCH("3",'Procyfloc GS50'!D278)),EDATE(AB277,3),DATEVALUE('Procyfloc GS50'!D278))))),""))</f>
        <v/>
      </c>
      <c r="AM277" t="str">
        <f t="shared" ca="1" si="46"/>
        <v/>
      </c>
    </row>
    <row r="278" spans="27:39" x14ac:dyDescent="0.3">
      <c r="AA278" t="str">
        <f>IF(COUNTA('Procyfloc GS50'!A279,'Procyfloc GS50'!B279,'Procyfloc GS50'!C279)&gt;0,"GS50","")</f>
        <v/>
      </c>
      <c r="AB278" t="str">
        <f>IFERROR(IF(ISNUMBER('Procyfloc GS50'!A279),'Procyfloc GS50'!A279,DATEVALUE('Procyfloc GS50'!A279)),"")</f>
        <v/>
      </c>
      <c r="AC278" t="str">
        <f>IF(AA278="","",'Procyfloc GS50'!B279)</f>
        <v/>
      </c>
      <c r="AD278" t="str">
        <f>IF(AA278="","",IFERROR(1*'Procyfloc GS50'!C279,IFERROR(_xludf.NUMBERVALUE('Procyfloc GS50'!C279,".",","),IFERROR(_xludf.NUMBERVALUE('Procyfloc GS50'!C279,",","."),0))))</f>
        <v/>
      </c>
      <c r="AE278" t="str">
        <f>IF(AA278="","",'Procyfloc GS50'!J279)</f>
        <v/>
      </c>
      <c r="AF278">
        <f t="shared" si="41"/>
        <v>0</v>
      </c>
      <c r="AG278" t="str">
        <f t="shared" si="42"/>
        <v/>
      </c>
      <c r="AH278" t="str">
        <f t="shared" si="43"/>
        <v/>
      </c>
      <c r="AI278">
        <f t="shared" si="44"/>
        <v>0</v>
      </c>
      <c r="AJ278">
        <f t="shared" si="45"/>
        <v>0</v>
      </c>
      <c r="AK278">
        <v>0</v>
      </c>
      <c r="AL278" t="str">
        <f>IF(AA278="","",IFERROR(IF(ISNUMBER('Procyfloc GS50'!D279),'Procyfloc GS50'!D279,IF(ISNUMBER(SEARCH("12",'Procyfloc GS50'!D279)),EDATE(AB278,12),IF(ISNUMBER(SEARCH("6",'Procyfloc GS50'!D279)),EDATE(AB278,6),IF(ISNUMBER(SEARCH("3",'Procyfloc GS50'!D279)),EDATE(AB278,3),DATEVALUE('Procyfloc GS50'!D279))))),""))</f>
        <v/>
      </c>
      <c r="AM278" t="str">
        <f t="shared" ca="1" si="46"/>
        <v/>
      </c>
    </row>
    <row r="279" spans="27:39" x14ac:dyDescent="0.3">
      <c r="AA279" t="str">
        <f>IF(COUNTA('Procyfloc GS50'!A280,'Procyfloc GS50'!B280,'Procyfloc GS50'!C280)&gt;0,"GS50","")</f>
        <v/>
      </c>
      <c r="AB279" t="str">
        <f>IFERROR(IF(ISNUMBER('Procyfloc GS50'!A280),'Procyfloc GS50'!A280,DATEVALUE('Procyfloc GS50'!A280)),"")</f>
        <v/>
      </c>
      <c r="AC279" t="str">
        <f>IF(AA279="","",'Procyfloc GS50'!B280)</f>
        <v/>
      </c>
      <c r="AD279" t="str">
        <f>IF(AA279="","",IFERROR(1*'Procyfloc GS50'!C280,IFERROR(_xludf.NUMBERVALUE('Procyfloc GS50'!C280,".",","),IFERROR(_xludf.NUMBERVALUE('Procyfloc GS50'!C280,",","."),0))))</f>
        <v/>
      </c>
      <c r="AE279" t="str">
        <f>IF(AA279="","",'Procyfloc GS50'!J280)</f>
        <v/>
      </c>
      <c r="AF279">
        <f t="shared" si="41"/>
        <v>0</v>
      </c>
      <c r="AG279" t="str">
        <f t="shared" si="42"/>
        <v/>
      </c>
      <c r="AH279" t="str">
        <f t="shared" si="43"/>
        <v/>
      </c>
      <c r="AI279">
        <f t="shared" si="44"/>
        <v>0</v>
      </c>
      <c r="AJ279">
        <f t="shared" si="45"/>
        <v>0</v>
      </c>
      <c r="AK279">
        <v>0</v>
      </c>
      <c r="AL279" t="str">
        <f>IF(AA279="","",IFERROR(IF(ISNUMBER('Procyfloc GS50'!D280),'Procyfloc GS50'!D280,IF(ISNUMBER(SEARCH("12",'Procyfloc GS50'!D280)),EDATE(AB279,12),IF(ISNUMBER(SEARCH("6",'Procyfloc GS50'!D280)),EDATE(AB279,6),IF(ISNUMBER(SEARCH("3",'Procyfloc GS50'!D280)),EDATE(AB279,3),DATEVALUE('Procyfloc GS50'!D280))))),""))</f>
        <v/>
      </c>
      <c r="AM279" t="str">
        <f t="shared" ca="1" si="46"/>
        <v/>
      </c>
    </row>
    <row r="280" spans="27:39" x14ac:dyDescent="0.3">
      <c r="AA280" t="str">
        <f>IF(COUNTA('Procyfloc GS50'!A281,'Procyfloc GS50'!B281,'Procyfloc GS50'!C281)&gt;0,"GS50","")</f>
        <v/>
      </c>
      <c r="AB280" t="str">
        <f>IFERROR(IF(ISNUMBER('Procyfloc GS50'!A281),'Procyfloc GS50'!A281,DATEVALUE('Procyfloc GS50'!A281)),"")</f>
        <v/>
      </c>
      <c r="AC280" t="str">
        <f>IF(AA280="","",'Procyfloc GS50'!B281)</f>
        <v/>
      </c>
      <c r="AD280" t="str">
        <f>IF(AA280="","",IFERROR(1*'Procyfloc GS50'!C281,IFERROR(_xludf.NUMBERVALUE('Procyfloc GS50'!C281,".",","),IFERROR(_xludf.NUMBERVALUE('Procyfloc GS50'!C281,",","."),0))))</f>
        <v/>
      </c>
      <c r="AE280" t="str">
        <f>IF(AA280="","",'Procyfloc GS50'!J281)</f>
        <v/>
      </c>
      <c r="AF280">
        <f t="shared" si="41"/>
        <v>0</v>
      </c>
      <c r="AG280" t="str">
        <f t="shared" si="42"/>
        <v/>
      </c>
      <c r="AH280" t="str">
        <f t="shared" si="43"/>
        <v/>
      </c>
      <c r="AI280">
        <f t="shared" si="44"/>
        <v>0</v>
      </c>
      <c r="AJ280">
        <f t="shared" si="45"/>
        <v>0</v>
      </c>
      <c r="AK280">
        <v>0</v>
      </c>
      <c r="AL280" t="str">
        <f>IF(AA280="","",IFERROR(IF(ISNUMBER('Procyfloc GS50'!D281),'Procyfloc GS50'!D281,IF(ISNUMBER(SEARCH("12",'Procyfloc GS50'!D281)),EDATE(AB280,12),IF(ISNUMBER(SEARCH("6",'Procyfloc GS50'!D281)),EDATE(AB280,6),IF(ISNUMBER(SEARCH("3",'Procyfloc GS50'!D281)),EDATE(AB280,3),DATEVALUE('Procyfloc GS50'!D281))))),""))</f>
        <v/>
      </c>
      <c r="AM280" t="str">
        <f t="shared" ca="1" si="46"/>
        <v/>
      </c>
    </row>
    <row r="281" spans="27:39" x14ac:dyDescent="0.3">
      <c r="AA281" t="str">
        <f>IF(COUNTA('Procyfloc GS50'!A282,'Procyfloc GS50'!B282,'Procyfloc GS50'!C282)&gt;0,"GS50","")</f>
        <v/>
      </c>
      <c r="AB281" t="str">
        <f>IFERROR(IF(ISNUMBER('Procyfloc GS50'!A282),'Procyfloc GS50'!A282,DATEVALUE('Procyfloc GS50'!A282)),"")</f>
        <v/>
      </c>
      <c r="AC281" t="str">
        <f>IF(AA281="","",'Procyfloc GS50'!B282)</f>
        <v/>
      </c>
      <c r="AD281" t="str">
        <f>IF(AA281="","",IFERROR(1*'Procyfloc GS50'!C282,IFERROR(_xludf.NUMBERVALUE('Procyfloc GS50'!C282,".",","),IFERROR(_xludf.NUMBERVALUE('Procyfloc GS50'!C282,",","."),0))))</f>
        <v/>
      </c>
      <c r="AE281" t="str">
        <f>IF(AA281="","",'Procyfloc GS50'!J282)</f>
        <v/>
      </c>
      <c r="AF281">
        <f t="shared" si="41"/>
        <v>0</v>
      </c>
      <c r="AG281" t="str">
        <f t="shared" si="42"/>
        <v/>
      </c>
      <c r="AH281" t="str">
        <f t="shared" si="43"/>
        <v/>
      </c>
      <c r="AI281">
        <f t="shared" si="44"/>
        <v>0</v>
      </c>
      <c r="AJ281">
        <f t="shared" si="45"/>
        <v>0</v>
      </c>
      <c r="AK281">
        <v>0</v>
      </c>
      <c r="AL281" t="str">
        <f>IF(AA281="","",IFERROR(IF(ISNUMBER('Procyfloc GS50'!D282),'Procyfloc GS50'!D282,IF(ISNUMBER(SEARCH("12",'Procyfloc GS50'!D282)),EDATE(AB281,12),IF(ISNUMBER(SEARCH("6",'Procyfloc GS50'!D282)),EDATE(AB281,6),IF(ISNUMBER(SEARCH("3",'Procyfloc GS50'!D282)),EDATE(AB281,3),DATEVALUE('Procyfloc GS50'!D282))))),""))</f>
        <v/>
      </c>
      <c r="AM281" t="str">
        <f t="shared" ca="1" si="46"/>
        <v/>
      </c>
    </row>
    <row r="282" spans="27:39" x14ac:dyDescent="0.3">
      <c r="AA282" t="str">
        <f>IF(COUNTA('Procyfloc GS50'!A283,'Procyfloc GS50'!B283,'Procyfloc GS50'!C283)&gt;0,"GS50","")</f>
        <v/>
      </c>
      <c r="AB282" t="str">
        <f>IFERROR(IF(ISNUMBER('Procyfloc GS50'!A283),'Procyfloc GS50'!A283,DATEVALUE('Procyfloc GS50'!A283)),"")</f>
        <v/>
      </c>
      <c r="AC282" t="str">
        <f>IF(AA282="","",'Procyfloc GS50'!B283)</f>
        <v/>
      </c>
      <c r="AD282" t="str">
        <f>IF(AA282="","",IFERROR(1*'Procyfloc GS50'!C283,IFERROR(_xludf.NUMBERVALUE('Procyfloc GS50'!C283,".",","),IFERROR(_xludf.NUMBERVALUE('Procyfloc GS50'!C283,",","."),0))))</f>
        <v/>
      </c>
      <c r="AE282" t="str">
        <f>IF(AA282="","",'Procyfloc GS50'!J283)</f>
        <v/>
      </c>
      <c r="AF282">
        <f t="shared" si="41"/>
        <v>0</v>
      </c>
      <c r="AG282" t="str">
        <f t="shared" si="42"/>
        <v/>
      </c>
      <c r="AH282" t="str">
        <f t="shared" si="43"/>
        <v/>
      </c>
      <c r="AI282">
        <f t="shared" si="44"/>
        <v>0</v>
      </c>
      <c r="AJ282">
        <f t="shared" si="45"/>
        <v>0</v>
      </c>
      <c r="AK282">
        <v>0</v>
      </c>
      <c r="AL282" t="str">
        <f>IF(AA282="","",IFERROR(IF(ISNUMBER('Procyfloc GS50'!D283),'Procyfloc GS50'!D283,IF(ISNUMBER(SEARCH("12",'Procyfloc GS50'!D283)),EDATE(AB282,12),IF(ISNUMBER(SEARCH("6",'Procyfloc GS50'!D283)),EDATE(AB282,6),IF(ISNUMBER(SEARCH("3",'Procyfloc GS50'!D283)),EDATE(AB282,3),DATEVALUE('Procyfloc GS50'!D283))))),""))</f>
        <v/>
      </c>
      <c r="AM282" t="str">
        <f t="shared" ca="1" si="46"/>
        <v/>
      </c>
    </row>
    <row r="283" spans="27:39" x14ac:dyDescent="0.3">
      <c r="AA283" t="str">
        <f>IF(COUNTA('Procyfloc GS50'!A284,'Procyfloc GS50'!B284,'Procyfloc GS50'!C284)&gt;0,"GS50","")</f>
        <v/>
      </c>
      <c r="AB283" t="str">
        <f>IFERROR(IF(ISNUMBER('Procyfloc GS50'!A284),'Procyfloc GS50'!A284,DATEVALUE('Procyfloc GS50'!A284)),"")</f>
        <v/>
      </c>
      <c r="AC283" t="str">
        <f>IF(AA283="","",'Procyfloc GS50'!B284)</f>
        <v/>
      </c>
      <c r="AD283" t="str">
        <f>IF(AA283="","",IFERROR(1*'Procyfloc GS50'!C284,IFERROR(_xludf.NUMBERVALUE('Procyfloc GS50'!C284,".",","),IFERROR(_xludf.NUMBERVALUE('Procyfloc GS50'!C284,",","."),0))))</f>
        <v/>
      </c>
      <c r="AE283" t="str">
        <f>IF(AA283="","",'Procyfloc GS50'!J284)</f>
        <v/>
      </c>
      <c r="AF283">
        <f t="shared" si="41"/>
        <v>0</v>
      </c>
      <c r="AG283" t="str">
        <f t="shared" si="42"/>
        <v/>
      </c>
      <c r="AH283" t="str">
        <f t="shared" si="43"/>
        <v/>
      </c>
      <c r="AI283">
        <f t="shared" si="44"/>
        <v>0</v>
      </c>
      <c r="AJ283">
        <f t="shared" si="45"/>
        <v>0</v>
      </c>
      <c r="AK283">
        <v>0</v>
      </c>
      <c r="AL283" t="str">
        <f>IF(AA283="","",IFERROR(IF(ISNUMBER('Procyfloc GS50'!D284),'Procyfloc GS50'!D284,IF(ISNUMBER(SEARCH("12",'Procyfloc GS50'!D284)),EDATE(AB283,12),IF(ISNUMBER(SEARCH("6",'Procyfloc GS50'!D284)),EDATE(AB283,6),IF(ISNUMBER(SEARCH("3",'Procyfloc GS50'!D284)),EDATE(AB283,3),DATEVALUE('Procyfloc GS50'!D284))))),""))</f>
        <v/>
      </c>
      <c r="AM283" t="str">
        <f t="shared" ca="1" si="46"/>
        <v/>
      </c>
    </row>
    <row r="284" spans="27:39" x14ac:dyDescent="0.3">
      <c r="AA284" t="str">
        <f>IF(COUNTA('Procyfloc GS50'!A285,'Procyfloc GS50'!B285,'Procyfloc GS50'!C285)&gt;0,"GS50","")</f>
        <v/>
      </c>
      <c r="AB284" t="str">
        <f>IFERROR(IF(ISNUMBER('Procyfloc GS50'!A285),'Procyfloc GS50'!A285,DATEVALUE('Procyfloc GS50'!A285)),"")</f>
        <v/>
      </c>
      <c r="AC284" t="str">
        <f>IF(AA284="","",'Procyfloc GS50'!B285)</f>
        <v/>
      </c>
      <c r="AD284" t="str">
        <f>IF(AA284="","",IFERROR(1*'Procyfloc GS50'!C285,IFERROR(_xludf.NUMBERVALUE('Procyfloc GS50'!C285,".",","),IFERROR(_xludf.NUMBERVALUE('Procyfloc GS50'!C285,",","."),0))))</f>
        <v/>
      </c>
      <c r="AE284" t="str">
        <f>IF(AA284="","",'Procyfloc GS50'!J285)</f>
        <v/>
      </c>
      <c r="AF284">
        <f t="shared" si="41"/>
        <v>0</v>
      </c>
      <c r="AG284" t="str">
        <f t="shared" si="42"/>
        <v/>
      </c>
      <c r="AH284" t="str">
        <f t="shared" si="43"/>
        <v/>
      </c>
      <c r="AI284">
        <f t="shared" si="44"/>
        <v>0</v>
      </c>
      <c r="AJ284">
        <f t="shared" si="45"/>
        <v>0</v>
      </c>
      <c r="AK284">
        <v>0</v>
      </c>
      <c r="AL284" t="str">
        <f>IF(AA284="","",IFERROR(IF(ISNUMBER('Procyfloc GS50'!D285),'Procyfloc GS50'!D285,IF(ISNUMBER(SEARCH("12",'Procyfloc GS50'!D285)),EDATE(AB284,12),IF(ISNUMBER(SEARCH("6",'Procyfloc GS50'!D285)),EDATE(AB284,6),IF(ISNUMBER(SEARCH("3",'Procyfloc GS50'!D285)),EDATE(AB284,3),DATEVALUE('Procyfloc GS50'!D285))))),""))</f>
        <v/>
      </c>
      <c r="AM284" t="str">
        <f t="shared" ca="1" si="46"/>
        <v/>
      </c>
    </row>
    <row r="285" spans="27:39" x14ac:dyDescent="0.3">
      <c r="AA285" t="str">
        <f>IF(COUNTA('Procyfloc GS50'!A286,'Procyfloc GS50'!B286,'Procyfloc GS50'!C286)&gt;0,"GS50","")</f>
        <v/>
      </c>
      <c r="AB285" t="str">
        <f>IFERROR(IF(ISNUMBER('Procyfloc GS50'!A286),'Procyfloc GS50'!A286,DATEVALUE('Procyfloc GS50'!A286)),"")</f>
        <v/>
      </c>
      <c r="AC285" t="str">
        <f>IF(AA285="","",'Procyfloc GS50'!B286)</f>
        <v/>
      </c>
      <c r="AD285" t="str">
        <f>IF(AA285="","",IFERROR(1*'Procyfloc GS50'!C286,IFERROR(_xludf.NUMBERVALUE('Procyfloc GS50'!C286,".",","),IFERROR(_xludf.NUMBERVALUE('Procyfloc GS50'!C286,",","."),0))))</f>
        <v/>
      </c>
      <c r="AE285" t="str">
        <f>IF(AA285="","",'Procyfloc GS50'!J286)</f>
        <v/>
      </c>
      <c r="AF285">
        <f t="shared" si="41"/>
        <v>0</v>
      </c>
      <c r="AG285" t="str">
        <f t="shared" si="42"/>
        <v/>
      </c>
      <c r="AH285" t="str">
        <f t="shared" si="43"/>
        <v/>
      </c>
      <c r="AI285">
        <f t="shared" si="44"/>
        <v>0</v>
      </c>
      <c r="AJ285">
        <f t="shared" si="45"/>
        <v>0</v>
      </c>
      <c r="AK285">
        <v>0</v>
      </c>
      <c r="AL285" t="str">
        <f>IF(AA285="","",IFERROR(IF(ISNUMBER('Procyfloc GS50'!D286),'Procyfloc GS50'!D286,IF(ISNUMBER(SEARCH("12",'Procyfloc GS50'!D286)),EDATE(AB285,12),IF(ISNUMBER(SEARCH("6",'Procyfloc GS50'!D286)),EDATE(AB285,6),IF(ISNUMBER(SEARCH("3",'Procyfloc GS50'!D286)),EDATE(AB285,3),DATEVALUE('Procyfloc GS50'!D286))))),""))</f>
        <v/>
      </c>
      <c r="AM285" t="str">
        <f t="shared" ca="1" si="46"/>
        <v/>
      </c>
    </row>
    <row r="286" spans="27:39" x14ac:dyDescent="0.3">
      <c r="AA286" t="str">
        <f>IF(COUNTA('Procyfloc GS50'!A287,'Procyfloc GS50'!B287,'Procyfloc GS50'!C287)&gt;0,"GS50","")</f>
        <v/>
      </c>
      <c r="AB286" t="str">
        <f>IFERROR(IF(ISNUMBER('Procyfloc GS50'!A287),'Procyfloc GS50'!A287,DATEVALUE('Procyfloc GS50'!A287)),"")</f>
        <v/>
      </c>
      <c r="AC286" t="str">
        <f>IF(AA286="","",'Procyfloc GS50'!B287)</f>
        <v/>
      </c>
      <c r="AD286" t="str">
        <f>IF(AA286="","",IFERROR(1*'Procyfloc GS50'!C287,IFERROR(_xludf.NUMBERVALUE('Procyfloc GS50'!C287,".",","),IFERROR(_xludf.NUMBERVALUE('Procyfloc GS50'!C287,",","."),0))))</f>
        <v/>
      </c>
      <c r="AE286" t="str">
        <f>IF(AA286="","",'Procyfloc GS50'!J287)</f>
        <v/>
      </c>
      <c r="AF286">
        <f t="shared" si="41"/>
        <v>0</v>
      </c>
      <c r="AG286" t="str">
        <f t="shared" si="42"/>
        <v/>
      </c>
      <c r="AH286" t="str">
        <f t="shared" si="43"/>
        <v/>
      </c>
      <c r="AI286">
        <f t="shared" si="44"/>
        <v>0</v>
      </c>
      <c r="AJ286">
        <f t="shared" si="45"/>
        <v>0</v>
      </c>
      <c r="AK286">
        <v>0</v>
      </c>
      <c r="AL286" t="str">
        <f>IF(AA286="","",IFERROR(IF(ISNUMBER('Procyfloc GS50'!D287),'Procyfloc GS50'!D287,IF(ISNUMBER(SEARCH("12",'Procyfloc GS50'!D287)),EDATE(AB286,12),IF(ISNUMBER(SEARCH("6",'Procyfloc GS50'!D287)),EDATE(AB286,6),IF(ISNUMBER(SEARCH("3",'Procyfloc GS50'!D287)),EDATE(AB286,3),DATEVALUE('Procyfloc GS50'!D287))))),""))</f>
        <v/>
      </c>
      <c r="AM286" t="str">
        <f t="shared" ca="1" si="46"/>
        <v/>
      </c>
    </row>
    <row r="287" spans="27:39" x14ac:dyDescent="0.3">
      <c r="AA287" t="str">
        <f>IF(COUNTA('Procyfloc GS50'!A288,'Procyfloc GS50'!B288,'Procyfloc GS50'!C288)&gt;0,"GS50","")</f>
        <v/>
      </c>
      <c r="AB287" t="str">
        <f>IFERROR(IF(ISNUMBER('Procyfloc GS50'!A288),'Procyfloc GS50'!A288,DATEVALUE('Procyfloc GS50'!A288)),"")</f>
        <v/>
      </c>
      <c r="AC287" t="str">
        <f>IF(AA287="","",'Procyfloc GS50'!B288)</f>
        <v/>
      </c>
      <c r="AD287" t="str">
        <f>IF(AA287="","",IFERROR(1*'Procyfloc GS50'!C288,IFERROR(_xludf.NUMBERVALUE('Procyfloc GS50'!C288,".",","),IFERROR(_xludf.NUMBERVALUE('Procyfloc GS50'!C288,",","."),0))))</f>
        <v/>
      </c>
      <c r="AE287" t="str">
        <f>IF(AA287="","",'Procyfloc GS50'!J288)</f>
        <v/>
      </c>
      <c r="AF287">
        <f t="shared" si="41"/>
        <v>0</v>
      </c>
      <c r="AG287" t="str">
        <f t="shared" si="42"/>
        <v/>
      </c>
      <c r="AH287" t="str">
        <f t="shared" si="43"/>
        <v/>
      </c>
      <c r="AI287">
        <f t="shared" si="44"/>
        <v>0</v>
      </c>
      <c r="AJ287">
        <f t="shared" si="45"/>
        <v>0</v>
      </c>
      <c r="AK287">
        <v>0</v>
      </c>
      <c r="AL287" t="str">
        <f>IF(AA287="","",IFERROR(IF(ISNUMBER('Procyfloc GS50'!D288),'Procyfloc GS50'!D288,IF(ISNUMBER(SEARCH("12",'Procyfloc GS50'!D288)),EDATE(AB287,12),IF(ISNUMBER(SEARCH("6",'Procyfloc GS50'!D288)),EDATE(AB287,6),IF(ISNUMBER(SEARCH("3",'Procyfloc GS50'!D288)),EDATE(AB287,3),DATEVALUE('Procyfloc GS50'!D288))))),""))</f>
        <v/>
      </c>
      <c r="AM287" t="str">
        <f t="shared" ca="1" si="46"/>
        <v/>
      </c>
    </row>
    <row r="288" spans="27:39" x14ac:dyDescent="0.3">
      <c r="AA288" t="str">
        <f>IF(COUNTA('Procyfloc GS50'!A289,'Procyfloc GS50'!B289,'Procyfloc GS50'!C289)&gt;0,"GS50","")</f>
        <v/>
      </c>
      <c r="AB288" t="str">
        <f>IFERROR(IF(ISNUMBER('Procyfloc GS50'!A289),'Procyfloc GS50'!A289,DATEVALUE('Procyfloc GS50'!A289)),"")</f>
        <v/>
      </c>
      <c r="AC288" t="str">
        <f>IF(AA288="","",'Procyfloc GS50'!B289)</f>
        <v/>
      </c>
      <c r="AD288" t="str">
        <f>IF(AA288="","",IFERROR(1*'Procyfloc GS50'!C289,IFERROR(_xludf.NUMBERVALUE('Procyfloc GS50'!C289,".",","),IFERROR(_xludf.NUMBERVALUE('Procyfloc GS50'!C289,",","."),0))))</f>
        <v/>
      </c>
      <c r="AE288" t="str">
        <f>IF(AA288="","",'Procyfloc GS50'!J289)</f>
        <v/>
      </c>
      <c r="AF288">
        <f t="shared" si="41"/>
        <v>0</v>
      </c>
      <c r="AG288" t="str">
        <f t="shared" si="42"/>
        <v/>
      </c>
      <c r="AH288" t="str">
        <f t="shared" si="43"/>
        <v/>
      </c>
      <c r="AI288">
        <f t="shared" si="44"/>
        <v>0</v>
      </c>
      <c r="AJ288">
        <f t="shared" si="45"/>
        <v>0</v>
      </c>
      <c r="AK288">
        <v>0</v>
      </c>
      <c r="AL288" t="str">
        <f>IF(AA288="","",IFERROR(IF(ISNUMBER('Procyfloc GS50'!D289),'Procyfloc GS50'!D289,IF(ISNUMBER(SEARCH("12",'Procyfloc GS50'!D289)),EDATE(AB288,12),IF(ISNUMBER(SEARCH("6",'Procyfloc GS50'!D289)),EDATE(AB288,6),IF(ISNUMBER(SEARCH("3",'Procyfloc GS50'!D289)),EDATE(AB288,3),DATEVALUE('Procyfloc GS50'!D289))))),""))</f>
        <v/>
      </c>
      <c r="AM288" t="str">
        <f t="shared" ca="1" si="46"/>
        <v/>
      </c>
    </row>
    <row r="289" spans="27:39" x14ac:dyDescent="0.3">
      <c r="AA289" t="str">
        <f>IF(COUNTA('Procyfloc GS50'!A290,'Procyfloc GS50'!B290,'Procyfloc GS50'!C290)&gt;0,"GS50","")</f>
        <v/>
      </c>
      <c r="AB289" t="str">
        <f>IFERROR(IF(ISNUMBER('Procyfloc GS50'!A290),'Procyfloc GS50'!A290,DATEVALUE('Procyfloc GS50'!A290)),"")</f>
        <v/>
      </c>
      <c r="AC289" t="str">
        <f>IF(AA289="","",'Procyfloc GS50'!B290)</f>
        <v/>
      </c>
      <c r="AD289" t="str">
        <f>IF(AA289="","",IFERROR(1*'Procyfloc GS50'!C290,IFERROR(_xludf.NUMBERVALUE('Procyfloc GS50'!C290,".",","),IFERROR(_xludf.NUMBERVALUE('Procyfloc GS50'!C290,",","."),0))))</f>
        <v/>
      </c>
      <c r="AE289" t="str">
        <f>IF(AA289="","",'Procyfloc GS50'!J290)</f>
        <v/>
      </c>
      <c r="AF289">
        <f t="shared" si="41"/>
        <v>0</v>
      </c>
      <c r="AG289" t="str">
        <f t="shared" si="42"/>
        <v/>
      </c>
      <c r="AH289" t="str">
        <f t="shared" si="43"/>
        <v/>
      </c>
      <c r="AI289">
        <f t="shared" si="44"/>
        <v>0</v>
      </c>
      <c r="AJ289">
        <f t="shared" si="45"/>
        <v>0</v>
      </c>
      <c r="AK289">
        <v>0</v>
      </c>
      <c r="AL289" t="str">
        <f>IF(AA289="","",IFERROR(IF(ISNUMBER('Procyfloc GS50'!D290),'Procyfloc GS50'!D290,IF(ISNUMBER(SEARCH("12",'Procyfloc GS50'!D290)),EDATE(AB289,12),IF(ISNUMBER(SEARCH("6",'Procyfloc GS50'!D290)),EDATE(AB289,6),IF(ISNUMBER(SEARCH("3",'Procyfloc GS50'!D290)),EDATE(AB289,3),DATEVALUE('Procyfloc GS50'!D290))))),""))</f>
        <v/>
      </c>
      <c r="AM289" t="str">
        <f t="shared" ca="1" si="46"/>
        <v/>
      </c>
    </row>
    <row r="290" spans="27:39" x14ac:dyDescent="0.3">
      <c r="AA290" t="str">
        <f>IF(COUNTA('Procyfloc GS50'!A291,'Procyfloc GS50'!B291,'Procyfloc GS50'!C291)&gt;0,"GS50","")</f>
        <v/>
      </c>
      <c r="AB290" t="str">
        <f>IFERROR(IF(ISNUMBER('Procyfloc GS50'!A291),'Procyfloc GS50'!A291,DATEVALUE('Procyfloc GS50'!A291)),"")</f>
        <v/>
      </c>
      <c r="AC290" t="str">
        <f>IF(AA290="","",'Procyfloc GS50'!B291)</f>
        <v/>
      </c>
      <c r="AD290" t="str">
        <f>IF(AA290="","",IFERROR(1*'Procyfloc GS50'!C291,IFERROR(_xludf.NUMBERVALUE('Procyfloc GS50'!C291,".",","),IFERROR(_xludf.NUMBERVALUE('Procyfloc GS50'!C291,",","."),0))))</f>
        <v/>
      </c>
      <c r="AE290" t="str">
        <f>IF(AA290="","",'Procyfloc GS50'!J291)</f>
        <v/>
      </c>
      <c r="AF290">
        <f t="shared" si="41"/>
        <v>0</v>
      </c>
      <c r="AG290" t="str">
        <f t="shared" si="42"/>
        <v/>
      </c>
      <c r="AH290" t="str">
        <f t="shared" si="43"/>
        <v/>
      </c>
      <c r="AI290">
        <f t="shared" si="44"/>
        <v>0</v>
      </c>
      <c r="AJ290">
        <f t="shared" si="45"/>
        <v>0</v>
      </c>
      <c r="AK290">
        <v>0</v>
      </c>
      <c r="AL290" t="str">
        <f>IF(AA290="","",IFERROR(IF(ISNUMBER('Procyfloc GS50'!D291),'Procyfloc GS50'!D291,IF(ISNUMBER(SEARCH("12",'Procyfloc GS50'!D291)),EDATE(AB290,12),IF(ISNUMBER(SEARCH("6",'Procyfloc GS50'!D291)),EDATE(AB290,6),IF(ISNUMBER(SEARCH("3",'Procyfloc GS50'!D291)),EDATE(AB290,3),DATEVALUE('Procyfloc GS50'!D291))))),""))</f>
        <v/>
      </c>
      <c r="AM290" t="str">
        <f t="shared" ca="1" si="46"/>
        <v/>
      </c>
    </row>
    <row r="291" spans="27:39" x14ac:dyDescent="0.3">
      <c r="AA291" t="str">
        <f>IF(COUNTA('Procyfloc GS50'!A292,'Procyfloc GS50'!B292,'Procyfloc GS50'!C292)&gt;0,"GS50","")</f>
        <v/>
      </c>
      <c r="AB291" t="str">
        <f>IFERROR(IF(ISNUMBER('Procyfloc GS50'!A292),'Procyfloc GS50'!A292,DATEVALUE('Procyfloc GS50'!A292)),"")</f>
        <v/>
      </c>
      <c r="AC291" t="str">
        <f>IF(AA291="","",'Procyfloc GS50'!B292)</f>
        <v/>
      </c>
      <c r="AD291" t="str">
        <f>IF(AA291="","",IFERROR(1*'Procyfloc GS50'!C292,IFERROR(_xludf.NUMBERVALUE('Procyfloc GS50'!C292,".",","),IFERROR(_xludf.NUMBERVALUE('Procyfloc GS50'!C292,",","."),0))))</f>
        <v/>
      </c>
      <c r="AE291" t="str">
        <f>IF(AA291="","",'Procyfloc GS50'!J292)</f>
        <v/>
      </c>
      <c r="AF291">
        <f t="shared" si="41"/>
        <v>0</v>
      </c>
      <c r="AG291" t="str">
        <f t="shared" si="42"/>
        <v/>
      </c>
      <c r="AH291" t="str">
        <f t="shared" si="43"/>
        <v/>
      </c>
      <c r="AI291">
        <f t="shared" si="44"/>
        <v>0</v>
      </c>
      <c r="AJ291">
        <f t="shared" si="45"/>
        <v>0</v>
      </c>
      <c r="AK291">
        <v>0</v>
      </c>
      <c r="AL291" t="str">
        <f>IF(AA291="","",IFERROR(IF(ISNUMBER('Procyfloc GS50'!D292),'Procyfloc GS50'!D292,IF(ISNUMBER(SEARCH("12",'Procyfloc GS50'!D292)),EDATE(AB291,12),IF(ISNUMBER(SEARCH("6",'Procyfloc GS50'!D292)),EDATE(AB291,6),IF(ISNUMBER(SEARCH("3",'Procyfloc GS50'!D292)),EDATE(AB291,3),DATEVALUE('Procyfloc GS50'!D292))))),""))</f>
        <v/>
      </c>
      <c r="AM291" t="str">
        <f t="shared" ca="1" si="46"/>
        <v/>
      </c>
    </row>
    <row r="292" spans="27:39" x14ac:dyDescent="0.3">
      <c r="AA292" t="str">
        <f>IF(COUNTA('Procyfloc GS50'!A293,'Procyfloc GS50'!B293,'Procyfloc GS50'!C293)&gt;0,"GS50","")</f>
        <v/>
      </c>
      <c r="AB292" t="str">
        <f>IFERROR(IF(ISNUMBER('Procyfloc GS50'!A293),'Procyfloc GS50'!A293,DATEVALUE('Procyfloc GS50'!A293)),"")</f>
        <v/>
      </c>
      <c r="AC292" t="str">
        <f>IF(AA292="","",'Procyfloc GS50'!B293)</f>
        <v/>
      </c>
      <c r="AD292" t="str">
        <f>IF(AA292="","",IFERROR(1*'Procyfloc GS50'!C293,IFERROR(_xludf.NUMBERVALUE('Procyfloc GS50'!C293,".",","),IFERROR(_xludf.NUMBERVALUE('Procyfloc GS50'!C293,",","."),0))))</f>
        <v/>
      </c>
      <c r="AE292" t="str">
        <f>IF(AA292="","",'Procyfloc GS50'!J293)</f>
        <v/>
      </c>
      <c r="AF292">
        <f t="shared" si="41"/>
        <v>0</v>
      </c>
      <c r="AG292" t="str">
        <f t="shared" si="42"/>
        <v/>
      </c>
      <c r="AH292" t="str">
        <f t="shared" si="43"/>
        <v/>
      </c>
      <c r="AI292">
        <f t="shared" si="44"/>
        <v>0</v>
      </c>
      <c r="AJ292">
        <f t="shared" si="45"/>
        <v>0</v>
      </c>
      <c r="AK292">
        <v>0</v>
      </c>
      <c r="AL292" t="str">
        <f>IF(AA292="","",IFERROR(IF(ISNUMBER('Procyfloc GS50'!D293),'Procyfloc GS50'!D293,IF(ISNUMBER(SEARCH("12",'Procyfloc GS50'!D293)),EDATE(AB292,12),IF(ISNUMBER(SEARCH("6",'Procyfloc GS50'!D293)),EDATE(AB292,6),IF(ISNUMBER(SEARCH("3",'Procyfloc GS50'!D293)),EDATE(AB292,3),DATEVALUE('Procyfloc GS50'!D293))))),""))</f>
        <v/>
      </c>
      <c r="AM292" t="str">
        <f t="shared" ca="1" si="46"/>
        <v/>
      </c>
    </row>
    <row r="293" spans="27:39" x14ac:dyDescent="0.3">
      <c r="AA293" t="str">
        <f>IF(COUNTA('Procyfloc GS50'!A294,'Procyfloc GS50'!B294,'Procyfloc GS50'!C294)&gt;0,"GS50","")</f>
        <v/>
      </c>
      <c r="AB293" t="str">
        <f>IFERROR(IF(ISNUMBER('Procyfloc GS50'!A294),'Procyfloc GS50'!A294,DATEVALUE('Procyfloc GS50'!A294)),"")</f>
        <v/>
      </c>
      <c r="AC293" t="str">
        <f>IF(AA293="","",'Procyfloc GS50'!B294)</f>
        <v/>
      </c>
      <c r="AD293" t="str">
        <f>IF(AA293="","",IFERROR(1*'Procyfloc GS50'!C294,IFERROR(_xludf.NUMBERVALUE('Procyfloc GS50'!C294,".",","),IFERROR(_xludf.NUMBERVALUE('Procyfloc GS50'!C294,",","."),0))))</f>
        <v/>
      </c>
      <c r="AE293" t="str">
        <f>IF(AA293="","",'Procyfloc GS50'!J294)</f>
        <v/>
      </c>
      <c r="AF293">
        <f t="shared" si="41"/>
        <v>0</v>
      </c>
      <c r="AG293" t="str">
        <f t="shared" si="42"/>
        <v/>
      </c>
      <c r="AH293" t="str">
        <f t="shared" si="43"/>
        <v/>
      </c>
      <c r="AI293">
        <f t="shared" si="44"/>
        <v>0</v>
      </c>
      <c r="AJ293">
        <f t="shared" si="45"/>
        <v>0</v>
      </c>
      <c r="AK293">
        <v>0</v>
      </c>
      <c r="AL293" t="str">
        <f>IF(AA293="","",IFERROR(IF(ISNUMBER('Procyfloc GS50'!D294),'Procyfloc GS50'!D294,IF(ISNUMBER(SEARCH("12",'Procyfloc GS50'!D294)),EDATE(AB293,12),IF(ISNUMBER(SEARCH("6",'Procyfloc GS50'!D294)),EDATE(AB293,6),IF(ISNUMBER(SEARCH("3",'Procyfloc GS50'!D294)),EDATE(AB293,3),DATEVALUE('Procyfloc GS50'!D294))))),""))</f>
        <v/>
      </c>
      <c r="AM293" t="str">
        <f t="shared" ca="1" si="46"/>
        <v/>
      </c>
    </row>
    <row r="294" spans="27:39" x14ac:dyDescent="0.3">
      <c r="AA294" t="str">
        <f>IF(COUNTA('Procyfloc GS50'!A295,'Procyfloc GS50'!B295,'Procyfloc GS50'!C295)&gt;0,"GS50","")</f>
        <v/>
      </c>
      <c r="AB294" t="str">
        <f>IFERROR(IF(ISNUMBER('Procyfloc GS50'!A295),'Procyfloc GS50'!A295,DATEVALUE('Procyfloc GS50'!A295)),"")</f>
        <v/>
      </c>
      <c r="AC294" t="str">
        <f>IF(AA294="","",'Procyfloc GS50'!B295)</f>
        <v/>
      </c>
      <c r="AD294" t="str">
        <f>IF(AA294="","",IFERROR(1*'Procyfloc GS50'!C295,IFERROR(_xludf.NUMBERVALUE('Procyfloc GS50'!C295,".",","),IFERROR(_xludf.NUMBERVALUE('Procyfloc GS50'!C295,",","."),0))))</f>
        <v/>
      </c>
      <c r="AE294" t="str">
        <f>IF(AA294="","",'Procyfloc GS50'!J295)</f>
        <v/>
      </c>
      <c r="AF294">
        <f t="shared" si="41"/>
        <v>0</v>
      </c>
      <c r="AG294" t="str">
        <f t="shared" si="42"/>
        <v/>
      </c>
      <c r="AH294" t="str">
        <f t="shared" si="43"/>
        <v/>
      </c>
      <c r="AI294">
        <f t="shared" si="44"/>
        <v>0</v>
      </c>
      <c r="AJ294">
        <f t="shared" si="45"/>
        <v>0</v>
      </c>
      <c r="AK294">
        <v>0</v>
      </c>
      <c r="AL294" t="str">
        <f>IF(AA294="","",IFERROR(IF(ISNUMBER('Procyfloc GS50'!D295),'Procyfloc GS50'!D295,IF(ISNUMBER(SEARCH("12",'Procyfloc GS50'!D295)),EDATE(AB294,12),IF(ISNUMBER(SEARCH("6",'Procyfloc GS50'!D295)),EDATE(AB294,6),IF(ISNUMBER(SEARCH("3",'Procyfloc GS50'!D295)),EDATE(AB294,3),DATEVALUE('Procyfloc GS50'!D295))))),""))</f>
        <v/>
      </c>
      <c r="AM294" t="str">
        <f t="shared" ca="1" si="46"/>
        <v/>
      </c>
    </row>
    <row r="295" spans="27:39" x14ac:dyDescent="0.3">
      <c r="AA295" t="str">
        <f>IF(COUNTA('Procyfloc GS50'!A296,'Procyfloc GS50'!B296,'Procyfloc GS50'!C296)&gt;0,"GS50","")</f>
        <v/>
      </c>
      <c r="AB295" t="str">
        <f>IFERROR(IF(ISNUMBER('Procyfloc GS50'!A296),'Procyfloc GS50'!A296,DATEVALUE('Procyfloc GS50'!A296)),"")</f>
        <v/>
      </c>
      <c r="AC295" t="str">
        <f>IF(AA295="","",'Procyfloc GS50'!B296)</f>
        <v/>
      </c>
      <c r="AD295" t="str">
        <f>IF(AA295="","",IFERROR(1*'Procyfloc GS50'!C296,IFERROR(_xludf.NUMBERVALUE('Procyfloc GS50'!C296,".",","),IFERROR(_xludf.NUMBERVALUE('Procyfloc GS50'!C296,",","."),0))))</f>
        <v/>
      </c>
      <c r="AE295" t="str">
        <f>IF(AA295="","",'Procyfloc GS50'!J296)</f>
        <v/>
      </c>
      <c r="AF295">
        <f t="shared" si="41"/>
        <v>0</v>
      </c>
      <c r="AG295" t="str">
        <f t="shared" si="42"/>
        <v/>
      </c>
      <c r="AH295" t="str">
        <f t="shared" si="43"/>
        <v/>
      </c>
      <c r="AI295">
        <f t="shared" si="44"/>
        <v>0</v>
      </c>
      <c r="AJ295">
        <f t="shared" si="45"/>
        <v>0</v>
      </c>
      <c r="AK295">
        <v>0</v>
      </c>
      <c r="AL295" t="str">
        <f>IF(AA295="","",IFERROR(IF(ISNUMBER('Procyfloc GS50'!D296),'Procyfloc GS50'!D296,IF(ISNUMBER(SEARCH("12",'Procyfloc GS50'!D296)),EDATE(AB295,12),IF(ISNUMBER(SEARCH("6",'Procyfloc GS50'!D296)),EDATE(AB295,6),IF(ISNUMBER(SEARCH("3",'Procyfloc GS50'!D296)),EDATE(AB295,3),DATEVALUE('Procyfloc GS50'!D296))))),""))</f>
        <v/>
      </c>
      <c r="AM295" t="str">
        <f t="shared" ca="1" si="46"/>
        <v/>
      </c>
    </row>
    <row r="296" spans="27:39" x14ac:dyDescent="0.3">
      <c r="AA296" t="str">
        <f>IF(COUNTA('Procyfloc GS50'!A297,'Procyfloc GS50'!B297,'Procyfloc GS50'!C297)&gt;0,"GS50","")</f>
        <v/>
      </c>
      <c r="AB296" t="str">
        <f>IFERROR(IF(ISNUMBER('Procyfloc GS50'!A297),'Procyfloc GS50'!A297,DATEVALUE('Procyfloc GS50'!A297)),"")</f>
        <v/>
      </c>
      <c r="AC296" t="str">
        <f>IF(AA296="","",'Procyfloc GS50'!B297)</f>
        <v/>
      </c>
      <c r="AD296" t="str">
        <f>IF(AA296="","",IFERROR(1*'Procyfloc GS50'!C297,IFERROR(_xludf.NUMBERVALUE('Procyfloc GS50'!C297,".",","),IFERROR(_xludf.NUMBERVALUE('Procyfloc GS50'!C297,",","."),0))))</f>
        <v/>
      </c>
      <c r="AE296" t="str">
        <f>IF(AA296="","",'Procyfloc GS50'!J297)</f>
        <v/>
      </c>
      <c r="AF296">
        <f t="shared" si="41"/>
        <v>0</v>
      </c>
      <c r="AG296" t="str">
        <f t="shared" si="42"/>
        <v/>
      </c>
      <c r="AH296" t="str">
        <f t="shared" si="43"/>
        <v/>
      </c>
      <c r="AI296">
        <f t="shared" si="44"/>
        <v>0</v>
      </c>
      <c r="AJ296">
        <f t="shared" si="45"/>
        <v>0</v>
      </c>
      <c r="AK296">
        <v>0</v>
      </c>
      <c r="AL296" t="str">
        <f>IF(AA296="","",IFERROR(IF(ISNUMBER('Procyfloc GS50'!D297),'Procyfloc GS50'!D297,IF(ISNUMBER(SEARCH("12",'Procyfloc GS50'!D297)),EDATE(AB296,12),IF(ISNUMBER(SEARCH("6",'Procyfloc GS50'!D297)),EDATE(AB296,6),IF(ISNUMBER(SEARCH("3",'Procyfloc GS50'!D297)),EDATE(AB296,3),DATEVALUE('Procyfloc GS50'!D297))))),""))</f>
        <v/>
      </c>
      <c r="AM296" t="str">
        <f t="shared" ca="1" si="46"/>
        <v/>
      </c>
    </row>
    <row r="297" spans="27:39" x14ac:dyDescent="0.3">
      <c r="AA297" t="str">
        <f>IF(COUNTA('Procyfloc GS50'!A298,'Procyfloc GS50'!B298,'Procyfloc GS50'!C298)&gt;0,"GS50","")</f>
        <v/>
      </c>
      <c r="AB297" t="str">
        <f>IFERROR(IF(ISNUMBER('Procyfloc GS50'!A298),'Procyfloc GS50'!A298,DATEVALUE('Procyfloc GS50'!A298)),"")</f>
        <v/>
      </c>
      <c r="AC297" t="str">
        <f>IF(AA297="","",'Procyfloc GS50'!B298)</f>
        <v/>
      </c>
      <c r="AD297" t="str">
        <f>IF(AA297="","",IFERROR(1*'Procyfloc GS50'!C298,IFERROR(_xludf.NUMBERVALUE('Procyfloc GS50'!C298,".",","),IFERROR(_xludf.NUMBERVALUE('Procyfloc GS50'!C298,",","."),0))))</f>
        <v/>
      </c>
      <c r="AE297" t="str">
        <f>IF(AA297="","",'Procyfloc GS50'!J298)</f>
        <v/>
      </c>
      <c r="AF297">
        <f t="shared" si="41"/>
        <v>0</v>
      </c>
      <c r="AG297" t="str">
        <f t="shared" si="42"/>
        <v/>
      </c>
      <c r="AH297" t="str">
        <f t="shared" si="43"/>
        <v/>
      </c>
      <c r="AI297">
        <f t="shared" si="44"/>
        <v>0</v>
      </c>
      <c r="AJ297">
        <f t="shared" si="45"/>
        <v>0</v>
      </c>
      <c r="AK297">
        <v>0</v>
      </c>
      <c r="AL297" t="str">
        <f>IF(AA297="","",IFERROR(IF(ISNUMBER('Procyfloc GS50'!D298),'Procyfloc GS50'!D298,IF(ISNUMBER(SEARCH("12",'Procyfloc GS50'!D298)),EDATE(AB297,12),IF(ISNUMBER(SEARCH("6",'Procyfloc GS50'!D298)),EDATE(AB297,6),IF(ISNUMBER(SEARCH("3",'Procyfloc GS50'!D298)),EDATE(AB297,3),DATEVALUE('Procyfloc GS50'!D298))))),""))</f>
        <v/>
      </c>
      <c r="AM297" t="str">
        <f t="shared" ca="1" si="46"/>
        <v/>
      </c>
    </row>
    <row r="298" spans="27:39" x14ac:dyDescent="0.3">
      <c r="AA298" t="str">
        <f>IF(COUNTA('Procyfloc GS50'!A299,'Procyfloc GS50'!B299,'Procyfloc GS50'!C299)&gt;0,"GS50","")</f>
        <v/>
      </c>
      <c r="AB298" t="str">
        <f>IFERROR(IF(ISNUMBER('Procyfloc GS50'!A299),'Procyfloc GS50'!A299,DATEVALUE('Procyfloc GS50'!A299)),"")</f>
        <v/>
      </c>
      <c r="AC298" t="str">
        <f>IF(AA298="","",'Procyfloc GS50'!B299)</f>
        <v/>
      </c>
      <c r="AD298" t="str">
        <f>IF(AA298="","",IFERROR(1*'Procyfloc GS50'!C299,IFERROR(_xludf.NUMBERVALUE('Procyfloc GS50'!C299,".",","),IFERROR(_xludf.NUMBERVALUE('Procyfloc GS50'!C299,",","."),0))))</f>
        <v/>
      </c>
      <c r="AE298" t="str">
        <f>IF(AA298="","",'Procyfloc GS50'!J299)</f>
        <v/>
      </c>
      <c r="AF298">
        <f t="shared" si="41"/>
        <v>0</v>
      </c>
      <c r="AG298" t="str">
        <f t="shared" si="42"/>
        <v/>
      </c>
      <c r="AH298" t="str">
        <f t="shared" si="43"/>
        <v/>
      </c>
      <c r="AI298">
        <f t="shared" si="44"/>
        <v>0</v>
      </c>
      <c r="AJ298">
        <f t="shared" si="45"/>
        <v>0</v>
      </c>
      <c r="AK298">
        <v>0</v>
      </c>
      <c r="AL298" t="str">
        <f>IF(AA298="","",IFERROR(IF(ISNUMBER('Procyfloc GS50'!D299),'Procyfloc GS50'!D299,IF(ISNUMBER(SEARCH("12",'Procyfloc GS50'!D299)),EDATE(AB298,12),IF(ISNUMBER(SEARCH("6",'Procyfloc GS50'!D299)),EDATE(AB298,6),IF(ISNUMBER(SEARCH("3",'Procyfloc GS50'!D299)),EDATE(AB298,3),DATEVALUE('Procyfloc GS50'!D299))))),""))</f>
        <v/>
      </c>
      <c r="AM298" t="str">
        <f t="shared" ca="1" si="46"/>
        <v/>
      </c>
    </row>
    <row r="299" spans="27:39" x14ac:dyDescent="0.3">
      <c r="AA299" t="str">
        <f>IF(COUNTA('Procyfloc GS50'!A300,'Procyfloc GS50'!B300,'Procyfloc GS50'!C300)&gt;0,"GS50","")</f>
        <v/>
      </c>
      <c r="AB299" t="str">
        <f>IFERROR(IF(ISNUMBER('Procyfloc GS50'!A300),'Procyfloc GS50'!A300,DATEVALUE('Procyfloc GS50'!A300)),"")</f>
        <v/>
      </c>
      <c r="AC299" t="str">
        <f>IF(AA299="","",'Procyfloc GS50'!B300)</f>
        <v/>
      </c>
      <c r="AD299" t="str">
        <f>IF(AA299="","",IFERROR(1*'Procyfloc GS50'!C300,IFERROR(_xludf.NUMBERVALUE('Procyfloc GS50'!C300,".",","),IFERROR(_xludf.NUMBERVALUE('Procyfloc GS50'!C300,",","."),0))))</f>
        <v/>
      </c>
      <c r="AE299" t="str">
        <f>IF(AA299="","",'Procyfloc GS50'!J300)</f>
        <v/>
      </c>
      <c r="AF299">
        <f t="shared" si="41"/>
        <v>0</v>
      </c>
      <c r="AG299" t="str">
        <f t="shared" si="42"/>
        <v/>
      </c>
      <c r="AH299" t="str">
        <f t="shared" si="43"/>
        <v/>
      </c>
      <c r="AI299">
        <f t="shared" si="44"/>
        <v>0</v>
      </c>
      <c r="AJ299">
        <f t="shared" si="45"/>
        <v>0</v>
      </c>
      <c r="AK299">
        <v>0</v>
      </c>
      <c r="AL299" t="str">
        <f>IF(AA299="","",IFERROR(IF(ISNUMBER('Procyfloc GS50'!D300),'Procyfloc GS50'!D300,IF(ISNUMBER(SEARCH("12",'Procyfloc GS50'!D300)),EDATE(AB299,12),IF(ISNUMBER(SEARCH("6",'Procyfloc GS50'!D300)),EDATE(AB299,6),IF(ISNUMBER(SEARCH("3",'Procyfloc GS50'!D300)),EDATE(AB299,3),DATEVALUE('Procyfloc GS50'!D300))))),""))</f>
        <v/>
      </c>
      <c r="AM299" t="str">
        <f t="shared" ca="1" si="46"/>
        <v/>
      </c>
    </row>
    <row r="300" spans="27:39" x14ac:dyDescent="0.3">
      <c r="AA300" t="str">
        <f>IF(COUNTA('Procyfloc GS50'!A301,'Procyfloc GS50'!B301,'Procyfloc GS50'!C301)&gt;0,"GS50","")</f>
        <v/>
      </c>
      <c r="AB300" t="str">
        <f>IFERROR(IF(ISNUMBER('Procyfloc GS50'!A301),'Procyfloc GS50'!A301,DATEVALUE('Procyfloc GS50'!A301)),"")</f>
        <v/>
      </c>
      <c r="AC300" t="str">
        <f>IF(AA300="","",'Procyfloc GS50'!B301)</f>
        <v/>
      </c>
      <c r="AD300" t="str">
        <f>IF(AA300="","",IFERROR(1*'Procyfloc GS50'!C301,IFERROR(_xludf.NUMBERVALUE('Procyfloc GS50'!C301,".",","),IFERROR(_xludf.NUMBERVALUE('Procyfloc GS50'!C301,",","."),0))))</f>
        <v/>
      </c>
      <c r="AE300" t="str">
        <f>IF(AA300="","",'Procyfloc GS50'!J301)</f>
        <v/>
      </c>
      <c r="AF300">
        <f t="shared" si="41"/>
        <v>0</v>
      </c>
      <c r="AG300" t="str">
        <f t="shared" si="42"/>
        <v/>
      </c>
      <c r="AH300" t="str">
        <f t="shared" si="43"/>
        <v/>
      </c>
      <c r="AI300">
        <f t="shared" si="44"/>
        <v>0</v>
      </c>
      <c r="AJ300">
        <f t="shared" si="45"/>
        <v>0</v>
      </c>
      <c r="AK300">
        <v>0</v>
      </c>
      <c r="AL300" t="str">
        <f>IF(AA300="","",IFERROR(IF(ISNUMBER('Procyfloc GS50'!D301),'Procyfloc GS50'!D301,IF(ISNUMBER(SEARCH("12",'Procyfloc GS50'!D301)),EDATE(AB300,12),IF(ISNUMBER(SEARCH("6",'Procyfloc GS50'!D301)),EDATE(AB300,6),IF(ISNUMBER(SEARCH("3",'Procyfloc GS50'!D301)),EDATE(AB300,3),DATEVALUE('Procyfloc GS50'!D301))))),""))</f>
        <v/>
      </c>
      <c r="AM300" t="str">
        <f t="shared" ca="1" si="46"/>
        <v/>
      </c>
    </row>
    <row r="301" spans="27:39" x14ac:dyDescent="0.3">
      <c r="AA301" t="str">
        <f>IF(COUNTA('Procyfloc GS50'!A302,'Procyfloc GS50'!B302,'Procyfloc GS50'!C302)&gt;0,"GS50","")</f>
        <v/>
      </c>
      <c r="AB301" t="str">
        <f>IFERROR(IF(ISNUMBER('Procyfloc GS50'!A302),'Procyfloc GS50'!A302,DATEVALUE('Procyfloc GS50'!A302)),"")</f>
        <v/>
      </c>
      <c r="AC301" t="str">
        <f>IF(AA301="","",'Procyfloc GS50'!B302)</f>
        <v/>
      </c>
      <c r="AD301" t="str">
        <f>IF(AA301="","",IFERROR(1*'Procyfloc GS50'!C302,IFERROR(_xludf.NUMBERVALUE('Procyfloc GS50'!C302,".",","),IFERROR(_xludf.NUMBERVALUE('Procyfloc GS50'!C302,",","."),0))))</f>
        <v/>
      </c>
      <c r="AE301" t="str">
        <f>IF(AA301="","",'Procyfloc GS50'!J302)</f>
        <v/>
      </c>
      <c r="AF301">
        <f t="shared" si="41"/>
        <v>0</v>
      </c>
      <c r="AG301" t="str">
        <f t="shared" si="42"/>
        <v/>
      </c>
      <c r="AH301" t="str">
        <f t="shared" si="43"/>
        <v/>
      </c>
      <c r="AI301">
        <f t="shared" si="44"/>
        <v>0</v>
      </c>
      <c r="AJ301">
        <f t="shared" si="45"/>
        <v>0</v>
      </c>
      <c r="AK301">
        <v>0</v>
      </c>
      <c r="AL301" t="str">
        <f>IF(AA301="","",IFERROR(IF(ISNUMBER('Procyfloc GS50'!D302),'Procyfloc GS50'!D302,IF(ISNUMBER(SEARCH("12",'Procyfloc GS50'!D302)),EDATE(AB301,12),IF(ISNUMBER(SEARCH("6",'Procyfloc GS50'!D302)),EDATE(AB301,6),IF(ISNUMBER(SEARCH("3",'Procyfloc GS50'!D302)),EDATE(AB301,3),DATEVALUE('Procyfloc GS50'!D302))))),""))</f>
        <v/>
      </c>
      <c r="AM301" t="str">
        <f t="shared" ca="1" si="46"/>
        <v/>
      </c>
    </row>
    <row r="302" spans="27:39" x14ac:dyDescent="0.3">
      <c r="AA302" t="str">
        <f>IF(COUNTA('Procyfloc GS50'!A303,'Procyfloc GS50'!B303,'Procyfloc GS50'!C303)&gt;0,"GS50","")</f>
        <v/>
      </c>
      <c r="AB302" t="str">
        <f>IFERROR(IF(ISNUMBER('Procyfloc GS50'!A303),'Procyfloc GS50'!A303,DATEVALUE('Procyfloc GS50'!A303)),"")</f>
        <v/>
      </c>
      <c r="AC302" t="str">
        <f>IF(AA302="","",'Procyfloc GS50'!B303)</f>
        <v/>
      </c>
      <c r="AD302" t="str">
        <f>IF(AA302="","",IFERROR(1*'Procyfloc GS50'!C303,IFERROR(_xludf.NUMBERVALUE('Procyfloc GS50'!C303,".",","),IFERROR(_xludf.NUMBERVALUE('Procyfloc GS50'!C303,",","."),0))))</f>
        <v/>
      </c>
      <c r="AE302" t="str">
        <f>IF(AA302="","",'Procyfloc GS50'!J303)</f>
        <v/>
      </c>
      <c r="AF302">
        <f t="shared" si="41"/>
        <v>0</v>
      </c>
      <c r="AG302" t="str">
        <f t="shared" si="42"/>
        <v/>
      </c>
      <c r="AH302" t="str">
        <f t="shared" si="43"/>
        <v/>
      </c>
      <c r="AI302">
        <f t="shared" si="44"/>
        <v>0</v>
      </c>
      <c r="AJ302">
        <f t="shared" si="45"/>
        <v>0</v>
      </c>
      <c r="AK302">
        <v>0</v>
      </c>
      <c r="AL302" t="str">
        <f>IF(AA302="","",IFERROR(IF(ISNUMBER('Procyfloc GS50'!D303),'Procyfloc GS50'!D303,IF(ISNUMBER(SEARCH("12",'Procyfloc GS50'!D303)),EDATE(AB302,12),IF(ISNUMBER(SEARCH("6",'Procyfloc GS50'!D303)),EDATE(AB302,6),IF(ISNUMBER(SEARCH("3",'Procyfloc GS50'!D303)),EDATE(AB302,3),DATEVALUE('Procyfloc GS50'!D303))))),""))</f>
        <v/>
      </c>
      <c r="AM302" t="str">
        <f t="shared" ca="1" si="46"/>
        <v/>
      </c>
    </row>
    <row r="303" spans="27:39" x14ac:dyDescent="0.3">
      <c r="AA303" t="str">
        <f>IF(COUNTA('Procyfloc GS50'!A304,'Procyfloc GS50'!B304,'Procyfloc GS50'!C304)&gt;0,"GS50","")</f>
        <v/>
      </c>
      <c r="AB303" t="str">
        <f>IFERROR(IF(ISNUMBER('Procyfloc GS50'!A304),'Procyfloc GS50'!A304,DATEVALUE('Procyfloc GS50'!A304)),"")</f>
        <v/>
      </c>
      <c r="AC303" t="str">
        <f>IF(AA303="","",'Procyfloc GS50'!B304)</f>
        <v/>
      </c>
      <c r="AD303" t="str">
        <f>IF(AA303="","",IFERROR(1*'Procyfloc GS50'!C304,IFERROR(_xludf.NUMBERVALUE('Procyfloc GS50'!C304,".",","),IFERROR(_xludf.NUMBERVALUE('Procyfloc GS50'!C304,",","."),0))))</f>
        <v/>
      </c>
      <c r="AE303" t="str">
        <f>IF(AA303="","",'Procyfloc GS50'!J304)</f>
        <v/>
      </c>
      <c r="AF303">
        <f t="shared" si="41"/>
        <v>0</v>
      </c>
      <c r="AG303" t="str">
        <f t="shared" si="42"/>
        <v/>
      </c>
      <c r="AH303" t="str">
        <f t="shared" si="43"/>
        <v/>
      </c>
      <c r="AI303">
        <f t="shared" si="44"/>
        <v>0</v>
      </c>
      <c r="AJ303">
        <f t="shared" si="45"/>
        <v>0</v>
      </c>
      <c r="AK303">
        <v>0</v>
      </c>
      <c r="AL303" t="str">
        <f>IF(AA303="","",IFERROR(IF(ISNUMBER('Procyfloc GS50'!D304),'Procyfloc GS50'!D304,IF(ISNUMBER(SEARCH("12",'Procyfloc GS50'!D304)),EDATE(AB303,12),IF(ISNUMBER(SEARCH("6",'Procyfloc GS50'!D304)),EDATE(AB303,6),IF(ISNUMBER(SEARCH("3",'Procyfloc GS50'!D304)),EDATE(AB303,3),DATEVALUE('Procyfloc GS50'!D304))))),""))</f>
        <v/>
      </c>
      <c r="AM303" t="str">
        <f t="shared" ca="1" si="46"/>
        <v/>
      </c>
    </row>
    <row r="304" spans="27:39" x14ac:dyDescent="0.3">
      <c r="AA304" t="str">
        <f>IF(COUNTA('Procyfloc GS50'!A305,'Procyfloc GS50'!B305,'Procyfloc GS50'!C305)&gt;0,"GS50","")</f>
        <v/>
      </c>
      <c r="AB304" t="str">
        <f>IFERROR(IF(ISNUMBER('Procyfloc GS50'!A305),'Procyfloc GS50'!A305,DATEVALUE('Procyfloc GS50'!A305)),"")</f>
        <v/>
      </c>
      <c r="AC304" t="str">
        <f>IF(AA304="","",'Procyfloc GS50'!B305)</f>
        <v/>
      </c>
      <c r="AD304" t="str">
        <f>IF(AA304="","",IFERROR(1*'Procyfloc GS50'!C305,IFERROR(_xludf.NUMBERVALUE('Procyfloc GS50'!C305,".",","),IFERROR(_xludf.NUMBERVALUE('Procyfloc GS50'!C305,",","."),0))))</f>
        <v/>
      </c>
      <c r="AE304" t="str">
        <f>IF(AA304="","",'Procyfloc GS50'!J305)</f>
        <v/>
      </c>
      <c r="AF304">
        <f t="shared" si="41"/>
        <v>0</v>
      </c>
      <c r="AG304" t="str">
        <f t="shared" si="42"/>
        <v/>
      </c>
      <c r="AH304" t="str">
        <f t="shared" si="43"/>
        <v/>
      </c>
      <c r="AI304">
        <f t="shared" si="44"/>
        <v>0</v>
      </c>
      <c r="AJ304">
        <f t="shared" si="45"/>
        <v>0</v>
      </c>
      <c r="AK304">
        <v>0</v>
      </c>
      <c r="AL304" t="str">
        <f>IF(AA304="","",IFERROR(IF(ISNUMBER('Procyfloc GS50'!D305),'Procyfloc GS50'!D305,IF(ISNUMBER(SEARCH("12",'Procyfloc GS50'!D305)),EDATE(AB304,12),IF(ISNUMBER(SEARCH("6",'Procyfloc GS50'!D305)),EDATE(AB304,6),IF(ISNUMBER(SEARCH("3",'Procyfloc GS50'!D305)),EDATE(AB304,3),DATEVALUE('Procyfloc GS50'!D305))))),""))</f>
        <v/>
      </c>
      <c r="AM304" t="str">
        <f t="shared" ca="1" si="46"/>
        <v/>
      </c>
    </row>
    <row r="305" spans="27:39" x14ac:dyDescent="0.3">
      <c r="AA305" t="str">
        <f>IF(COUNTA('Procyfloc GS50'!A306,'Procyfloc GS50'!B306,'Procyfloc GS50'!C306)&gt;0,"GS50","")</f>
        <v/>
      </c>
      <c r="AB305" t="str">
        <f>IFERROR(IF(ISNUMBER('Procyfloc GS50'!A306),'Procyfloc GS50'!A306,DATEVALUE('Procyfloc GS50'!A306)),"")</f>
        <v/>
      </c>
      <c r="AC305" t="str">
        <f>IF(AA305="","",'Procyfloc GS50'!B306)</f>
        <v/>
      </c>
      <c r="AD305" t="str">
        <f>IF(AA305="","",IFERROR(1*'Procyfloc GS50'!C306,IFERROR(_xludf.NUMBERVALUE('Procyfloc GS50'!C306,".",","),IFERROR(_xludf.NUMBERVALUE('Procyfloc GS50'!C306,",","."),0))))</f>
        <v/>
      </c>
      <c r="AE305" t="str">
        <f>IF(AA305="","",'Procyfloc GS50'!J306)</f>
        <v/>
      </c>
      <c r="AF305">
        <f t="shared" si="41"/>
        <v>0</v>
      </c>
      <c r="AG305" t="str">
        <f t="shared" si="42"/>
        <v/>
      </c>
      <c r="AH305" t="str">
        <f t="shared" si="43"/>
        <v/>
      </c>
      <c r="AI305">
        <f t="shared" si="44"/>
        <v>0</v>
      </c>
      <c r="AJ305">
        <f t="shared" si="45"/>
        <v>0</v>
      </c>
      <c r="AK305">
        <v>0</v>
      </c>
      <c r="AL305" t="str">
        <f>IF(AA305="","",IFERROR(IF(ISNUMBER('Procyfloc GS50'!D306),'Procyfloc GS50'!D306,IF(ISNUMBER(SEARCH("12",'Procyfloc GS50'!D306)),EDATE(AB305,12),IF(ISNUMBER(SEARCH("6",'Procyfloc GS50'!D306)),EDATE(AB305,6),IF(ISNUMBER(SEARCH("3",'Procyfloc GS50'!D306)),EDATE(AB305,3),DATEVALUE('Procyfloc GS50'!D306))))),""))</f>
        <v/>
      </c>
      <c r="AM305" t="str">
        <f t="shared" ca="1" si="46"/>
        <v/>
      </c>
    </row>
    <row r="306" spans="27:39" x14ac:dyDescent="0.3">
      <c r="AA306" t="str">
        <f>IF(COUNTA('Procyfloc GS50'!A307,'Procyfloc GS50'!B307,'Procyfloc GS50'!C307)&gt;0,"GS50","")</f>
        <v/>
      </c>
      <c r="AB306" t="str">
        <f>IFERROR(IF(ISNUMBER('Procyfloc GS50'!A307),'Procyfloc GS50'!A307,DATEVALUE('Procyfloc GS50'!A307)),"")</f>
        <v/>
      </c>
      <c r="AC306" t="str">
        <f>IF(AA306="","",'Procyfloc GS50'!B307)</f>
        <v/>
      </c>
      <c r="AD306" t="str">
        <f>IF(AA306="","",IFERROR(1*'Procyfloc GS50'!C307,IFERROR(_xludf.NUMBERVALUE('Procyfloc GS50'!C307,".",","),IFERROR(_xludf.NUMBERVALUE('Procyfloc GS50'!C307,",","."),0))))</f>
        <v/>
      </c>
      <c r="AE306" t="str">
        <f>IF(AA306="","",'Procyfloc GS50'!J307)</f>
        <v/>
      </c>
      <c r="AF306">
        <f t="shared" si="41"/>
        <v>0</v>
      </c>
      <c r="AG306" t="str">
        <f t="shared" si="42"/>
        <v/>
      </c>
      <c r="AH306" t="str">
        <f t="shared" si="43"/>
        <v/>
      </c>
      <c r="AI306">
        <f t="shared" si="44"/>
        <v>0</v>
      </c>
      <c r="AJ306">
        <f t="shared" si="45"/>
        <v>0</v>
      </c>
      <c r="AK306">
        <v>0</v>
      </c>
      <c r="AL306" t="str">
        <f>IF(AA306="","",IFERROR(IF(ISNUMBER('Procyfloc GS50'!D307),'Procyfloc GS50'!D307,IF(ISNUMBER(SEARCH("12",'Procyfloc GS50'!D307)),EDATE(AB306,12),IF(ISNUMBER(SEARCH("6",'Procyfloc GS50'!D307)),EDATE(AB306,6),IF(ISNUMBER(SEARCH("3",'Procyfloc GS50'!D307)),EDATE(AB306,3),DATEVALUE('Procyfloc GS50'!D307))))),""))</f>
        <v/>
      </c>
      <c r="AM306" t="str">
        <f t="shared" ca="1" si="46"/>
        <v/>
      </c>
    </row>
    <row r="307" spans="27:39" x14ac:dyDescent="0.3">
      <c r="AA307" t="str">
        <f>IF(COUNTA('Procyfloc GS50'!A308,'Procyfloc GS50'!B308,'Procyfloc GS50'!C308)&gt;0,"GS50","")</f>
        <v/>
      </c>
      <c r="AB307" t="str">
        <f>IFERROR(IF(ISNUMBER('Procyfloc GS50'!A308),'Procyfloc GS50'!A308,DATEVALUE('Procyfloc GS50'!A308)),"")</f>
        <v/>
      </c>
      <c r="AC307" t="str">
        <f>IF(AA307="","",'Procyfloc GS50'!B308)</f>
        <v/>
      </c>
      <c r="AD307" t="str">
        <f>IF(AA307="","",IFERROR(1*'Procyfloc GS50'!C308,IFERROR(_xludf.NUMBERVALUE('Procyfloc GS50'!C308,".",","),IFERROR(_xludf.NUMBERVALUE('Procyfloc GS50'!C308,",","."),0))))</f>
        <v/>
      </c>
      <c r="AE307" t="str">
        <f>IF(AA307="","",'Procyfloc GS50'!J308)</f>
        <v/>
      </c>
      <c r="AF307">
        <f t="shared" si="41"/>
        <v>0</v>
      </c>
      <c r="AG307" t="str">
        <f t="shared" si="42"/>
        <v/>
      </c>
      <c r="AH307" t="str">
        <f t="shared" si="43"/>
        <v/>
      </c>
      <c r="AI307">
        <f t="shared" si="44"/>
        <v>0</v>
      </c>
      <c r="AJ307">
        <f t="shared" si="45"/>
        <v>0</v>
      </c>
      <c r="AK307">
        <v>0</v>
      </c>
      <c r="AL307" t="str">
        <f>IF(AA307="","",IFERROR(IF(ISNUMBER('Procyfloc GS50'!D308),'Procyfloc GS50'!D308,IF(ISNUMBER(SEARCH("12",'Procyfloc GS50'!D308)),EDATE(AB307,12),IF(ISNUMBER(SEARCH("6",'Procyfloc GS50'!D308)),EDATE(AB307,6),IF(ISNUMBER(SEARCH("3",'Procyfloc GS50'!D308)),EDATE(AB307,3),DATEVALUE('Procyfloc GS50'!D308))))),""))</f>
        <v/>
      </c>
      <c r="AM307" t="str">
        <f t="shared" ca="1" si="46"/>
        <v/>
      </c>
    </row>
    <row r="308" spans="27:39" x14ac:dyDescent="0.3">
      <c r="AA308" t="str">
        <f>IF(COUNTA('Procyfloc GS50'!A309,'Procyfloc GS50'!B309,'Procyfloc GS50'!C309)&gt;0,"GS50","")</f>
        <v/>
      </c>
      <c r="AB308" t="str">
        <f>IFERROR(IF(ISNUMBER('Procyfloc GS50'!A309),'Procyfloc GS50'!A309,DATEVALUE('Procyfloc GS50'!A309)),"")</f>
        <v/>
      </c>
      <c r="AC308" t="str">
        <f>IF(AA308="","",'Procyfloc GS50'!B309)</f>
        <v/>
      </c>
      <c r="AD308" t="str">
        <f>IF(AA308="","",IFERROR(1*'Procyfloc GS50'!C309,IFERROR(_xludf.NUMBERVALUE('Procyfloc GS50'!C309,".",","),IFERROR(_xludf.NUMBERVALUE('Procyfloc GS50'!C309,",","."),0))))</f>
        <v/>
      </c>
      <c r="AE308" t="str">
        <f>IF(AA308="","",'Procyfloc GS50'!J309)</f>
        <v/>
      </c>
      <c r="AF308">
        <f t="shared" si="41"/>
        <v>0</v>
      </c>
      <c r="AG308" t="str">
        <f t="shared" si="42"/>
        <v/>
      </c>
      <c r="AH308" t="str">
        <f t="shared" si="43"/>
        <v/>
      </c>
      <c r="AI308">
        <f t="shared" si="44"/>
        <v>0</v>
      </c>
      <c r="AJ308">
        <f t="shared" si="45"/>
        <v>0</v>
      </c>
      <c r="AK308">
        <v>0</v>
      </c>
      <c r="AL308" t="str">
        <f>IF(AA308="","",IFERROR(IF(ISNUMBER('Procyfloc GS50'!D309),'Procyfloc GS50'!D309,IF(ISNUMBER(SEARCH("12",'Procyfloc GS50'!D309)),EDATE(AB308,12),IF(ISNUMBER(SEARCH("6",'Procyfloc GS50'!D309)),EDATE(AB308,6),IF(ISNUMBER(SEARCH("3",'Procyfloc GS50'!D309)),EDATE(AB308,3),DATEVALUE('Procyfloc GS50'!D309))))),""))</f>
        <v/>
      </c>
      <c r="AM308" t="str">
        <f t="shared" ca="1" si="46"/>
        <v/>
      </c>
    </row>
    <row r="309" spans="27:39" x14ac:dyDescent="0.3">
      <c r="AA309" t="str">
        <f>IF(COUNTA('Procyfloc GS50'!A310,'Procyfloc GS50'!B310,'Procyfloc GS50'!C310)&gt;0,"GS50","")</f>
        <v/>
      </c>
      <c r="AB309" t="str">
        <f>IFERROR(IF(ISNUMBER('Procyfloc GS50'!A310),'Procyfloc GS50'!A310,DATEVALUE('Procyfloc GS50'!A310)),"")</f>
        <v/>
      </c>
      <c r="AC309" t="str">
        <f>IF(AA309="","",'Procyfloc GS50'!B310)</f>
        <v/>
      </c>
      <c r="AD309" t="str">
        <f>IF(AA309="","",IFERROR(1*'Procyfloc GS50'!C310,IFERROR(_xludf.NUMBERVALUE('Procyfloc GS50'!C310,".",","),IFERROR(_xludf.NUMBERVALUE('Procyfloc GS50'!C310,",","."),0))))</f>
        <v/>
      </c>
      <c r="AE309" t="str">
        <f>IF(AA309="","",'Procyfloc GS50'!J310)</f>
        <v/>
      </c>
      <c r="AF309">
        <f t="shared" si="41"/>
        <v>0</v>
      </c>
      <c r="AG309" t="str">
        <f t="shared" si="42"/>
        <v/>
      </c>
      <c r="AH309" t="str">
        <f t="shared" si="43"/>
        <v/>
      </c>
      <c r="AI309">
        <f t="shared" si="44"/>
        <v>0</v>
      </c>
      <c r="AJ309">
        <f t="shared" si="45"/>
        <v>0</v>
      </c>
      <c r="AK309">
        <v>0</v>
      </c>
      <c r="AL309" t="str">
        <f>IF(AA309="","",IFERROR(IF(ISNUMBER('Procyfloc GS50'!D310),'Procyfloc GS50'!D310,IF(ISNUMBER(SEARCH("12",'Procyfloc GS50'!D310)),EDATE(AB309,12),IF(ISNUMBER(SEARCH("6",'Procyfloc GS50'!D310)),EDATE(AB309,6),IF(ISNUMBER(SEARCH("3",'Procyfloc GS50'!D310)),EDATE(AB309,3),DATEVALUE('Procyfloc GS50'!D310))))),""))</f>
        <v/>
      </c>
      <c r="AM309" t="str">
        <f t="shared" ca="1" si="46"/>
        <v/>
      </c>
    </row>
    <row r="310" spans="27:39" x14ac:dyDescent="0.3">
      <c r="AA310" t="str">
        <f>IF(COUNTA('Procyfloc GS50'!A311,'Procyfloc GS50'!B311,'Procyfloc GS50'!C311)&gt;0,"GS50","")</f>
        <v/>
      </c>
      <c r="AB310" t="str">
        <f>IFERROR(IF(ISNUMBER('Procyfloc GS50'!A311),'Procyfloc GS50'!A311,DATEVALUE('Procyfloc GS50'!A311)),"")</f>
        <v/>
      </c>
      <c r="AC310" t="str">
        <f>IF(AA310="","",'Procyfloc GS50'!B311)</f>
        <v/>
      </c>
      <c r="AD310" t="str">
        <f>IF(AA310="","",IFERROR(1*'Procyfloc GS50'!C311,IFERROR(_xludf.NUMBERVALUE('Procyfloc GS50'!C311,".",","),IFERROR(_xludf.NUMBERVALUE('Procyfloc GS50'!C311,",","."),0))))</f>
        <v/>
      </c>
      <c r="AE310" t="str">
        <f>IF(AA310="","",'Procyfloc GS50'!J311)</f>
        <v/>
      </c>
      <c r="AF310">
        <f t="shared" si="41"/>
        <v>0</v>
      </c>
      <c r="AG310" t="str">
        <f t="shared" si="42"/>
        <v/>
      </c>
      <c r="AH310" t="str">
        <f t="shared" si="43"/>
        <v/>
      </c>
      <c r="AI310">
        <f t="shared" si="44"/>
        <v>0</v>
      </c>
      <c r="AJ310">
        <f t="shared" si="45"/>
        <v>0</v>
      </c>
      <c r="AK310">
        <v>0</v>
      </c>
      <c r="AL310" t="str">
        <f>IF(AA310="","",IFERROR(IF(ISNUMBER('Procyfloc GS50'!D311),'Procyfloc GS50'!D311,IF(ISNUMBER(SEARCH("12",'Procyfloc GS50'!D311)),EDATE(AB310,12),IF(ISNUMBER(SEARCH("6",'Procyfloc GS50'!D311)),EDATE(AB310,6),IF(ISNUMBER(SEARCH("3",'Procyfloc GS50'!D311)),EDATE(AB310,3),DATEVALUE('Procyfloc GS50'!D311))))),""))</f>
        <v/>
      </c>
      <c r="AM310" t="str">
        <f t="shared" ca="1" si="46"/>
        <v/>
      </c>
    </row>
    <row r="311" spans="27:39" x14ac:dyDescent="0.3">
      <c r="AA311" t="str">
        <f>IF(COUNTA('Procyfloc GS50'!A312,'Procyfloc GS50'!B312,'Procyfloc GS50'!C312)&gt;0,"GS50","")</f>
        <v/>
      </c>
      <c r="AB311" t="str">
        <f>IFERROR(IF(ISNUMBER('Procyfloc GS50'!A312),'Procyfloc GS50'!A312,DATEVALUE('Procyfloc GS50'!A312)),"")</f>
        <v/>
      </c>
      <c r="AC311" t="str">
        <f>IF(AA311="","",'Procyfloc GS50'!B312)</f>
        <v/>
      </c>
      <c r="AD311" t="str">
        <f>IF(AA311="","",IFERROR(1*'Procyfloc GS50'!C312,IFERROR(_xludf.NUMBERVALUE('Procyfloc GS50'!C312,".",","),IFERROR(_xludf.NUMBERVALUE('Procyfloc GS50'!C312,",","."),0))))</f>
        <v/>
      </c>
      <c r="AE311" t="str">
        <f>IF(AA311="","",'Procyfloc GS50'!J312)</f>
        <v/>
      </c>
      <c r="AF311">
        <f t="shared" si="41"/>
        <v>0</v>
      </c>
      <c r="AG311" t="str">
        <f t="shared" si="42"/>
        <v/>
      </c>
      <c r="AH311" t="str">
        <f t="shared" si="43"/>
        <v/>
      </c>
      <c r="AI311">
        <f t="shared" si="44"/>
        <v>0</v>
      </c>
      <c r="AJ311">
        <f t="shared" si="45"/>
        <v>0</v>
      </c>
      <c r="AK311">
        <v>0</v>
      </c>
      <c r="AL311" t="str">
        <f>IF(AA311="","",IFERROR(IF(ISNUMBER('Procyfloc GS50'!D312),'Procyfloc GS50'!D312,IF(ISNUMBER(SEARCH("12",'Procyfloc GS50'!D312)),EDATE(AB311,12),IF(ISNUMBER(SEARCH("6",'Procyfloc GS50'!D312)),EDATE(AB311,6),IF(ISNUMBER(SEARCH("3",'Procyfloc GS50'!D312)),EDATE(AB311,3),DATEVALUE('Procyfloc GS50'!D312))))),""))</f>
        <v/>
      </c>
      <c r="AM311" t="str">
        <f t="shared" ca="1" si="46"/>
        <v/>
      </c>
    </row>
    <row r="312" spans="27:39" x14ac:dyDescent="0.3">
      <c r="AA312" t="str">
        <f>IF(COUNTA('Procyfloc GS50'!A313,'Procyfloc GS50'!B313,'Procyfloc GS50'!C313)&gt;0,"GS50","")</f>
        <v/>
      </c>
      <c r="AB312" t="str">
        <f>IFERROR(IF(ISNUMBER('Procyfloc GS50'!A313),'Procyfloc GS50'!A313,DATEVALUE('Procyfloc GS50'!A313)),"")</f>
        <v/>
      </c>
      <c r="AC312" t="str">
        <f>IF(AA312="","",'Procyfloc GS50'!B313)</f>
        <v/>
      </c>
      <c r="AD312" t="str">
        <f>IF(AA312="","",IFERROR(1*'Procyfloc GS50'!C313,IFERROR(_xludf.NUMBERVALUE('Procyfloc GS50'!C313,".",","),IFERROR(_xludf.NUMBERVALUE('Procyfloc GS50'!C313,",","."),0))))</f>
        <v/>
      </c>
      <c r="AE312" t="str">
        <f>IF(AA312="","",'Procyfloc GS50'!J313)</f>
        <v/>
      </c>
      <c r="AF312">
        <f t="shared" si="41"/>
        <v>0</v>
      </c>
      <c r="AG312" t="str">
        <f t="shared" si="42"/>
        <v/>
      </c>
      <c r="AH312" t="str">
        <f t="shared" si="43"/>
        <v/>
      </c>
      <c r="AI312">
        <f t="shared" si="44"/>
        <v>0</v>
      </c>
      <c r="AJ312">
        <f t="shared" si="45"/>
        <v>0</v>
      </c>
      <c r="AK312">
        <v>0</v>
      </c>
      <c r="AL312" t="str">
        <f>IF(AA312="","",IFERROR(IF(ISNUMBER('Procyfloc GS50'!D313),'Procyfloc GS50'!D313,IF(ISNUMBER(SEARCH("12",'Procyfloc GS50'!D313)),EDATE(AB312,12),IF(ISNUMBER(SEARCH("6",'Procyfloc GS50'!D313)),EDATE(AB312,6),IF(ISNUMBER(SEARCH("3",'Procyfloc GS50'!D313)),EDATE(AB312,3),DATEVALUE('Procyfloc GS50'!D313))))),""))</f>
        <v/>
      </c>
      <c r="AM312" t="str">
        <f t="shared" ca="1" si="46"/>
        <v/>
      </c>
    </row>
    <row r="313" spans="27:39" x14ac:dyDescent="0.3">
      <c r="AA313" t="str">
        <f>IF(COUNTA('Procyfloc GS50'!A314,'Procyfloc GS50'!B314,'Procyfloc GS50'!C314)&gt;0,"GS50","")</f>
        <v/>
      </c>
      <c r="AB313" t="str">
        <f>IFERROR(IF(ISNUMBER('Procyfloc GS50'!A314),'Procyfloc GS50'!A314,DATEVALUE('Procyfloc GS50'!A314)),"")</f>
        <v/>
      </c>
      <c r="AC313" t="str">
        <f>IF(AA313="","",'Procyfloc GS50'!B314)</f>
        <v/>
      </c>
      <c r="AD313" t="str">
        <f>IF(AA313="","",IFERROR(1*'Procyfloc GS50'!C314,IFERROR(_xludf.NUMBERVALUE('Procyfloc GS50'!C314,".",","),IFERROR(_xludf.NUMBERVALUE('Procyfloc GS50'!C314,",","."),0))))</f>
        <v/>
      </c>
      <c r="AE313" t="str">
        <f>IF(AA313="","",'Procyfloc GS50'!J314)</f>
        <v/>
      </c>
      <c r="AF313">
        <f t="shared" si="41"/>
        <v>0</v>
      </c>
      <c r="AG313" t="str">
        <f t="shared" si="42"/>
        <v/>
      </c>
      <c r="AH313" t="str">
        <f t="shared" si="43"/>
        <v/>
      </c>
      <c r="AI313">
        <f t="shared" si="44"/>
        <v>0</v>
      </c>
      <c r="AJ313">
        <f t="shared" si="45"/>
        <v>0</v>
      </c>
      <c r="AK313">
        <v>0</v>
      </c>
      <c r="AL313" t="str">
        <f>IF(AA313="","",IFERROR(IF(ISNUMBER('Procyfloc GS50'!D314),'Procyfloc GS50'!D314,IF(ISNUMBER(SEARCH("12",'Procyfloc GS50'!D314)),EDATE(AB313,12),IF(ISNUMBER(SEARCH("6",'Procyfloc GS50'!D314)),EDATE(AB313,6),IF(ISNUMBER(SEARCH("3",'Procyfloc GS50'!D314)),EDATE(AB313,3),DATEVALUE('Procyfloc GS50'!D314))))),""))</f>
        <v/>
      </c>
      <c r="AM313" t="str">
        <f t="shared" ca="1" si="46"/>
        <v/>
      </c>
    </row>
    <row r="314" spans="27:39" x14ac:dyDescent="0.3">
      <c r="AA314" t="str">
        <f>IF(COUNTA('Procyfloc GS50'!A315,'Procyfloc GS50'!B315,'Procyfloc GS50'!C315)&gt;0,"GS50","")</f>
        <v/>
      </c>
      <c r="AB314" t="str">
        <f>IFERROR(IF(ISNUMBER('Procyfloc GS50'!A315),'Procyfloc GS50'!A315,DATEVALUE('Procyfloc GS50'!A315)),"")</f>
        <v/>
      </c>
      <c r="AC314" t="str">
        <f>IF(AA314="","",'Procyfloc GS50'!B315)</f>
        <v/>
      </c>
      <c r="AD314" t="str">
        <f>IF(AA314="","",IFERROR(1*'Procyfloc GS50'!C315,IFERROR(_xludf.NUMBERVALUE('Procyfloc GS50'!C315,".",","),IFERROR(_xludf.NUMBERVALUE('Procyfloc GS50'!C315,",","."),0))))</f>
        <v/>
      </c>
      <c r="AE314" t="str">
        <f>IF(AA314="","",'Procyfloc GS50'!J315)</f>
        <v/>
      </c>
      <c r="AF314">
        <f t="shared" si="41"/>
        <v>0</v>
      </c>
      <c r="AG314" t="str">
        <f t="shared" si="42"/>
        <v/>
      </c>
      <c r="AH314" t="str">
        <f t="shared" si="43"/>
        <v/>
      </c>
      <c r="AI314">
        <f t="shared" si="44"/>
        <v>0</v>
      </c>
      <c r="AJ314">
        <f t="shared" si="45"/>
        <v>0</v>
      </c>
      <c r="AK314">
        <v>0</v>
      </c>
      <c r="AL314" t="str">
        <f>IF(AA314="","",IFERROR(IF(ISNUMBER('Procyfloc GS50'!D315),'Procyfloc GS50'!D315,IF(ISNUMBER(SEARCH("12",'Procyfloc GS50'!D315)),EDATE(AB314,12),IF(ISNUMBER(SEARCH("6",'Procyfloc GS50'!D315)),EDATE(AB314,6),IF(ISNUMBER(SEARCH("3",'Procyfloc GS50'!D315)),EDATE(AB314,3),DATEVALUE('Procyfloc GS50'!D315))))),""))</f>
        <v/>
      </c>
      <c r="AM314" t="str">
        <f t="shared" ca="1" si="46"/>
        <v/>
      </c>
    </row>
    <row r="315" spans="27:39" x14ac:dyDescent="0.3">
      <c r="AA315" t="str">
        <f>IF(COUNTA('Procyfloc GS50'!A316,'Procyfloc GS50'!B316,'Procyfloc GS50'!C316)&gt;0,"GS50","")</f>
        <v/>
      </c>
      <c r="AB315" t="str">
        <f>IFERROR(IF(ISNUMBER('Procyfloc GS50'!A316),'Procyfloc GS50'!A316,DATEVALUE('Procyfloc GS50'!A316)),"")</f>
        <v/>
      </c>
      <c r="AC315" t="str">
        <f>IF(AA315="","",'Procyfloc GS50'!B316)</f>
        <v/>
      </c>
      <c r="AD315" t="str">
        <f>IF(AA315="","",IFERROR(1*'Procyfloc GS50'!C316,IFERROR(_xludf.NUMBERVALUE('Procyfloc GS50'!C316,".",","),IFERROR(_xludf.NUMBERVALUE('Procyfloc GS50'!C316,",","."),0))))</f>
        <v/>
      </c>
      <c r="AE315" t="str">
        <f>IF(AA315="","",'Procyfloc GS50'!J316)</f>
        <v/>
      </c>
      <c r="AF315">
        <f t="shared" si="41"/>
        <v>0</v>
      </c>
      <c r="AG315" t="str">
        <f t="shared" si="42"/>
        <v/>
      </c>
      <c r="AH315" t="str">
        <f t="shared" si="43"/>
        <v/>
      </c>
      <c r="AI315">
        <f t="shared" si="44"/>
        <v>0</v>
      </c>
      <c r="AJ315">
        <f t="shared" si="45"/>
        <v>0</v>
      </c>
      <c r="AK315">
        <v>0</v>
      </c>
      <c r="AL315" t="str">
        <f>IF(AA315="","",IFERROR(IF(ISNUMBER('Procyfloc GS50'!D316),'Procyfloc GS50'!D316,IF(ISNUMBER(SEARCH("12",'Procyfloc GS50'!D316)),EDATE(AB315,12),IF(ISNUMBER(SEARCH("6",'Procyfloc GS50'!D316)),EDATE(AB315,6),IF(ISNUMBER(SEARCH("3",'Procyfloc GS50'!D316)),EDATE(AB315,3),DATEVALUE('Procyfloc GS50'!D316))))),""))</f>
        <v/>
      </c>
      <c r="AM315" t="str">
        <f t="shared" ca="1" si="46"/>
        <v/>
      </c>
    </row>
    <row r="316" spans="27:39" x14ac:dyDescent="0.3">
      <c r="AA316" t="str">
        <f>IF(COUNTA('Procyfloc GS50'!A317,'Procyfloc GS50'!B317,'Procyfloc GS50'!C317)&gt;0,"GS50","")</f>
        <v/>
      </c>
      <c r="AB316" t="str">
        <f>IFERROR(IF(ISNUMBER('Procyfloc GS50'!A317),'Procyfloc GS50'!A317,DATEVALUE('Procyfloc GS50'!A317)),"")</f>
        <v/>
      </c>
      <c r="AC316" t="str">
        <f>IF(AA316="","",'Procyfloc GS50'!B317)</f>
        <v/>
      </c>
      <c r="AD316" t="str">
        <f>IF(AA316="","",IFERROR(1*'Procyfloc GS50'!C317,IFERROR(_xludf.NUMBERVALUE('Procyfloc GS50'!C317,".",","),IFERROR(_xludf.NUMBERVALUE('Procyfloc GS50'!C317,",","."),0))))</f>
        <v/>
      </c>
      <c r="AE316" t="str">
        <f>IF(AA316="","",'Procyfloc GS50'!J317)</f>
        <v/>
      </c>
      <c r="AF316">
        <f t="shared" si="41"/>
        <v>0</v>
      </c>
      <c r="AG316" t="str">
        <f t="shared" si="42"/>
        <v/>
      </c>
      <c r="AH316" t="str">
        <f t="shared" si="43"/>
        <v/>
      </c>
      <c r="AI316">
        <f t="shared" si="44"/>
        <v>0</v>
      </c>
      <c r="AJ316">
        <f t="shared" si="45"/>
        <v>0</v>
      </c>
      <c r="AK316">
        <v>0</v>
      </c>
      <c r="AL316" t="str">
        <f>IF(AA316="","",IFERROR(IF(ISNUMBER('Procyfloc GS50'!D317),'Procyfloc GS50'!D317,IF(ISNUMBER(SEARCH("12",'Procyfloc GS50'!D317)),EDATE(AB316,12),IF(ISNUMBER(SEARCH("6",'Procyfloc GS50'!D317)),EDATE(AB316,6),IF(ISNUMBER(SEARCH("3",'Procyfloc GS50'!D317)),EDATE(AB316,3),DATEVALUE('Procyfloc GS50'!D317))))),""))</f>
        <v/>
      </c>
      <c r="AM316" t="str">
        <f t="shared" ca="1" si="46"/>
        <v/>
      </c>
    </row>
    <row r="317" spans="27:39" x14ac:dyDescent="0.3">
      <c r="AA317" t="str">
        <f>IF(COUNTA('Procyfloc GS50'!A318,'Procyfloc GS50'!B318,'Procyfloc GS50'!C318)&gt;0,"GS50","")</f>
        <v/>
      </c>
      <c r="AB317" t="str">
        <f>IFERROR(IF(ISNUMBER('Procyfloc GS50'!A318),'Procyfloc GS50'!A318,DATEVALUE('Procyfloc GS50'!A318)),"")</f>
        <v/>
      </c>
      <c r="AC317" t="str">
        <f>IF(AA317="","",'Procyfloc GS50'!B318)</f>
        <v/>
      </c>
      <c r="AD317" t="str">
        <f>IF(AA317="","",IFERROR(1*'Procyfloc GS50'!C318,IFERROR(_xludf.NUMBERVALUE('Procyfloc GS50'!C318,".",","),IFERROR(_xludf.NUMBERVALUE('Procyfloc GS50'!C318,",","."),0))))</f>
        <v/>
      </c>
      <c r="AE317" t="str">
        <f>IF(AA317="","",'Procyfloc GS50'!J318)</f>
        <v/>
      </c>
      <c r="AF317">
        <f t="shared" si="41"/>
        <v>0</v>
      </c>
      <c r="AG317" t="str">
        <f t="shared" si="42"/>
        <v/>
      </c>
      <c r="AH317" t="str">
        <f t="shared" si="43"/>
        <v/>
      </c>
      <c r="AI317">
        <f t="shared" si="44"/>
        <v>0</v>
      </c>
      <c r="AJ317">
        <f t="shared" si="45"/>
        <v>0</v>
      </c>
      <c r="AK317">
        <v>0</v>
      </c>
      <c r="AL317" t="str">
        <f>IF(AA317="","",IFERROR(IF(ISNUMBER('Procyfloc GS50'!D318),'Procyfloc GS50'!D318,IF(ISNUMBER(SEARCH("12",'Procyfloc GS50'!D318)),EDATE(AB317,12),IF(ISNUMBER(SEARCH("6",'Procyfloc GS50'!D318)),EDATE(AB317,6),IF(ISNUMBER(SEARCH("3",'Procyfloc GS50'!D318)),EDATE(AB317,3),DATEVALUE('Procyfloc GS50'!D318))))),""))</f>
        <v/>
      </c>
      <c r="AM317" t="str">
        <f t="shared" ca="1" si="46"/>
        <v/>
      </c>
    </row>
    <row r="318" spans="27:39" x14ac:dyDescent="0.3">
      <c r="AA318" t="str">
        <f>IF(COUNTA('Procyfloc GS50'!A319,'Procyfloc GS50'!B319,'Procyfloc GS50'!C319)&gt;0,"GS50","")</f>
        <v/>
      </c>
      <c r="AB318" t="str">
        <f>IFERROR(IF(ISNUMBER('Procyfloc GS50'!A319),'Procyfloc GS50'!A319,DATEVALUE('Procyfloc GS50'!A319)),"")</f>
        <v/>
      </c>
      <c r="AC318" t="str">
        <f>IF(AA318="","",'Procyfloc GS50'!B319)</f>
        <v/>
      </c>
      <c r="AD318" t="str">
        <f>IF(AA318="","",IFERROR(1*'Procyfloc GS50'!C319,IFERROR(_xludf.NUMBERVALUE('Procyfloc GS50'!C319,".",","),IFERROR(_xludf.NUMBERVALUE('Procyfloc GS50'!C319,",","."),0))))</f>
        <v/>
      </c>
      <c r="AE318" t="str">
        <f>IF(AA318="","",'Procyfloc GS50'!J319)</f>
        <v/>
      </c>
      <c r="AF318">
        <f t="shared" si="41"/>
        <v>0</v>
      </c>
      <c r="AG318" t="str">
        <f t="shared" si="42"/>
        <v/>
      </c>
      <c r="AH318" t="str">
        <f t="shared" si="43"/>
        <v/>
      </c>
      <c r="AI318">
        <f t="shared" si="44"/>
        <v>0</v>
      </c>
      <c r="AJ318">
        <f t="shared" si="45"/>
        <v>0</v>
      </c>
      <c r="AK318">
        <v>0</v>
      </c>
      <c r="AL318" t="str">
        <f>IF(AA318="","",IFERROR(IF(ISNUMBER('Procyfloc GS50'!D319),'Procyfloc GS50'!D319,IF(ISNUMBER(SEARCH("12",'Procyfloc GS50'!D319)),EDATE(AB318,12),IF(ISNUMBER(SEARCH("6",'Procyfloc GS50'!D319)),EDATE(AB318,6),IF(ISNUMBER(SEARCH("3",'Procyfloc GS50'!D319)),EDATE(AB318,3),DATEVALUE('Procyfloc GS50'!D319))))),""))</f>
        <v/>
      </c>
      <c r="AM318" t="str">
        <f t="shared" ca="1" si="46"/>
        <v/>
      </c>
    </row>
    <row r="319" spans="27:39" x14ac:dyDescent="0.3">
      <c r="AA319" t="str">
        <f>IF(COUNTA('Procyfloc GS50'!A320,'Procyfloc GS50'!B320,'Procyfloc GS50'!C320)&gt;0,"GS50","")</f>
        <v/>
      </c>
      <c r="AB319" t="str">
        <f>IFERROR(IF(ISNUMBER('Procyfloc GS50'!A320),'Procyfloc GS50'!A320,DATEVALUE('Procyfloc GS50'!A320)),"")</f>
        <v/>
      </c>
      <c r="AC319" t="str">
        <f>IF(AA319="","",'Procyfloc GS50'!B320)</f>
        <v/>
      </c>
      <c r="AD319" t="str">
        <f>IF(AA319="","",IFERROR(1*'Procyfloc GS50'!C320,IFERROR(_xludf.NUMBERVALUE('Procyfloc GS50'!C320,".",","),IFERROR(_xludf.NUMBERVALUE('Procyfloc GS50'!C320,",","."),0))))</f>
        <v/>
      </c>
      <c r="AE319" t="str">
        <f>IF(AA319="","",'Procyfloc GS50'!J320)</f>
        <v/>
      </c>
      <c r="AF319">
        <f t="shared" si="41"/>
        <v>0</v>
      </c>
      <c r="AG319" t="str">
        <f t="shared" si="42"/>
        <v/>
      </c>
      <c r="AH319" t="str">
        <f t="shared" si="43"/>
        <v/>
      </c>
      <c r="AI319">
        <f t="shared" si="44"/>
        <v>0</v>
      </c>
      <c r="AJ319">
        <f t="shared" si="45"/>
        <v>0</v>
      </c>
      <c r="AK319">
        <v>0</v>
      </c>
      <c r="AL319" t="str">
        <f>IF(AA319="","",IFERROR(IF(ISNUMBER('Procyfloc GS50'!D320),'Procyfloc GS50'!D320,IF(ISNUMBER(SEARCH("12",'Procyfloc GS50'!D320)),EDATE(AB319,12),IF(ISNUMBER(SEARCH("6",'Procyfloc GS50'!D320)),EDATE(AB319,6),IF(ISNUMBER(SEARCH("3",'Procyfloc GS50'!D320)),EDATE(AB319,3),DATEVALUE('Procyfloc GS50'!D320))))),""))</f>
        <v/>
      </c>
      <c r="AM319" t="str">
        <f t="shared" ca="1" si="46"/>
        <v/>
      </c>
    </row>
    <row r="320" spans="27:39" x14ac:dyDescent="0.3">
      <c r="AA320" t="str">
        <f>IF(COUNTA('Procyfloc GS50'!A321,'Procyfloc GS50'!B321,'Procyfloc GS50'!C321)&gt;0,"GS50","")</f>
        <v/>
      </c>
      <c r="AB320" t="str">
        <f>IFERROR(IF(ISNUMBER('Procyfloc GS50'!A321),'Procyfloc GS50'!A321,DATEVALUE('Procyfloc GS50'!A321)),"")</f>
        <v/>
      </c>
      <c r="AC320" t="str">
        <f>IF(AA320="","",'Procyfloc GS50'!B321)</f>
        <v/>
      </c>
      <c r="AD320" t="str">
        <f>IF(AA320="","",IFERROR(1*'Procyfloc GS50'!C321,IFERROR(_xludf.NUMBERVALUE('Procyfloc GS50'!C321,".",","),IFERROR(_xludf.NUMBERVALUE('Procyfloc GS50'!C321,",","."),0))))</f>
        <v/>
      </c>
      <c r="AE320" t="str">
        <f>IF(AA320="","",'Procyfloc GS50'!J321)</f>
        <v/>
      </c>
      <c r="AF320">
        <f t="shared" si="41"/>
        <v>0</v>
      </c>
      <c r="AG320" t="str">
        <f t="shared" si="42"/>
        <v/>
      </c>
      <c r="AH320" t="str">
        <f t="shared" si="43"/>
        <v/>
      </c>
      <c r="AI320">
        <f t="shared" si="44"/>
        <v>0</v>
      </c>
      <c r="AJ320">
        <f t="shared" si="45"/>
        <v>0</v>
      </c>
      <c r="AK320">
        <v>0</v>
      </c>
      <c r="AL320" t="str">
        <f>IF(AA320="","",IFERROR(IF(ISNUMBER('Procyfloc GS50'!D321),'Procyfloc GS50'!D321,IF(ISNUMBER(SEARCH("12",'Procyfloc GS50'!D321)),EDATE(AB320,12),IF(ISNUMBER(SEARCH("6",'Procyfloc GS50'!D321)),EDATE(AB320,6),IF(ISNUMBER(SEARCH("3",'Procyfloc GS50'!D321)),EDATE(AB320,3),DATEVALUE('Procyfloc GS50'!D321))))),""))</f>
        <v/>
      </c>
      <c r="AM320" t="str">
        <f t="shared" ca="1" si="46"/>
        <v/>
      </c>
    </row>
    <row r="321" spans="27:39" x14ac:dyDescent="0.3">
      <c r="AA321" t="str">
        <f>IF(COUNTA('Procyfloc GS50'!A322,'Procyfloc GS50'!B322,'Procyfloc GS50'!C322)&gt;0,"GS50","")</f>
        <v/>
      </c>
      <c r="AB321" t="str">
        <f>IFERROR(IF(ISNUMBER('Procyfloc GS50'!A322),'Procyfloc GS50'!A322,DATEVALUE('Procyfloc GS50'!A322)),"")</f>
        <v/>
      </c>
      <c r="AC321" t="str">
        <f>IF(AA321="","",'Procyfloc GS50'!B322)</f>
        <v/>
      </c>
      <c r="AD321" t="str">
        <f>IF(AA321="","",IFERROR(1*'Procyfloc GS50'!C322,IFERROR(_xludf.NUMBERVALUE('Procyfloc GS50'!C322,".",","),IFERROR(_xludf.NUMBERVALUE('Procyfloc GS50'!C322,",","."),0))))</f>
        <v/>
      </c>
      <c r="AE321" t="str">
        <f>IF(AA321="","",'Procyfloc GS50'!J322)</f>
        <v/>
      </c>
      <c r="AF321">
        <f t="shared" si="41"/>
        <v>0</v>
      </c>
      <c r="AG321" t="str">
        <f t="shared" si="42"/>
        <v/>
      </c>
      <c r="AH321" t="str">
        <f t="shared" si="43"/>
        <v/>
      </c>
      <c r="AI321">
        <f t="shared" si="44"/>
        <v>0</v>
      </c>
      <c r="AJ321">
        <f t="shared" si="45"/>
        <v>0</v>
      </c>
      <c r="AK321">
        <v>0</v>
      </c>
      <c r="AL321" t="str">
        <f>IF(AA321="","",IFERROR(IF(ISNUMBER('Procyfloc GS50'!D322),'Procyfloc GS50'!D322,IF(ISNUMBER(SEARCH("12",'Procyfloc GS50'!D322)),EDATE(AB321,12),IF(ISNUMBER(SEARCH("6",'Procyfloc GS50'!D322)),EDATE(AB321,6),IF(ISNUMBER(SEARCH("3",'Procyfloc GS50'!D322)),EDATE(AB321,3),DATEVALUE('Procyfloc GS50'!D322))))),""))</f>
        <v/>
      </c>
      <c r="AM321" t="str">
        <f t="shared" ca="1" si="46"/>
        <v/>
      </c>
    </row>
    <row r="322" spans="27:39" x14ac:dyDescent="0.3">
      <c r="AA322" t="str">
        <f>IF(COUNTA('Procyfloc GS50'!A323,'Procyfloc GS50'!B323,'Procyfloc GS50'!C323)&gt;0,"GS50","")</f>
        <v/>
      </c>
      <c r="AB322" t="str">
        <f>IFERROR(IF(ISNUMBER('Procyfloc GS50'!A323),'Procyfloc GS50'!A323,DATEVALUE('Procyfloc GS50'!A323)),"")</f>
        <v/>
      </c>
      <c r="AC322" t="str">
        <f>IF(AA322="","",'Procyfloc GS50'!B323)</f>
        <v/>
      </c>
      <c r="AD322" t="str">
        <f>IF(AA322="","",IFERROR(1*'Procyfloc GS50'!C323,IFERROR(_xludf.NUMBERVALUE('Procyfloc GS50'!C323,".",","),IFERROR(_xludf.NUMBERVALUE('Procyfloc GS50'!C323,",","."),0))))</f>
        <v/>
      </c>
      <c r="AE322" t="str">
        <f>IF(AA322="","",'Procyfloc GS50'!J323)</f>
        <v/>
      </c>
      <c r="AF322">
        <f t="shared" ref="AF322:AF385" si="47">IF(AA322="",0,--AND(ISNUMBER(SEARCH("aprov",AE322)),NOT(ISNUMBER(SEARCH("reprov",AE322)))))</f>
        <v>0</v>
      </c>
      <c r="AG322" t="str">
        <f t="shared" ref="AG322:AG385" si="48">IF(AB322="","",YEAR(AB322))</f>
        <v/>
      </c>
      <c r="AH322" t="str">
        <f t="shared" ref="AH322:AH385" si="49">IF(AB322="","",MONTH(AB322))</f>
        <v/>
      </c>
      <c r="AI322">
        <f t="shared" ref="AI322:AI385" si="50">IF(AB322="",0,AB322+ROW()/1000000)</f>
        <v>0</v>
      </c>
      <c r="AJ322">
        <f t="shared" ref="AJ322:AJ385" si="51">--(AA322&lt;&gt;"")</f>
        <v>0</v>
      </c>
      <c r="AK322">
        <v>0</v>
      </c>
      <c r="AL322" t="str">
        <f>IF(AA322="","",IFERROR(IF(ISNUMBER('Procyfloc GS50'!D323),'Procyfloc GS50'!D323,IF(ISNUMBER(SEARCH("12",'Procyfloc GS50'!D323)),EDATE(AB322,12),IF(ISNUMBER(SEARCH("6",'Procyfloc GS50'!D323)),EDATE(AB322,6),IF(ISNUMBER(SEARCH("3",'Procyfloc GS50'!D323)),EDATE(AB322,3),DATEVALUE('Procyfloc GS50'!D323))))),""))</f>
        <v/>
      </c>
      <c r="AM322" t="str">
        <f t="shared" ref="AM322:AM385" ca="1" si="52">IF(AND(AJ322=1,AL322&lt;&gt;"",AL322&gt;=TODAY(),AG322=$W$3),AL322+ROW()/1000000,"")</f>
        <v/>
      </c>
    </row>
    <row r="323" spans="27:39" x14ac:dyDescent="0.3">
      <c r="AA323" t="str">
        <f>IF(COUNTA('Procyfloc GS50'!A324,'Procyfloc GS50'!B324,'Procyfloc GS50'!C324)&gt;0,"GS50","")</f>
        <v/>
      </c>
      <c r="AB323" t="str">
        <f>IFERROR(IF(ISNUMBER('Procyfloc GS50'!A324),'Procyfloc GS50'!A324,DATEVALUE('Procyfloc GS50'!A324)),"")</f>
        <v/>
      </c>
      <c r="AC323" t="str">
        <f>IF(AA323="","",'Procyfloc GS50'!B324)</f>
        <v/>
      </c>
      <c r="AD323" t="str">
        <f>IF(AA323="","",IFERROR(1*'Procyfloc GS50'!C324,IFERROR(_xludf.NUMBERVALUE('Procyfloc GS50'!C324,".",","),IFERROR(_xludf.NUMBERVALUE('Procyfloc GS50'!C324,",","."),0))))</f>
        <v/>
      </c>
      <c r="AE323" t="str">
        <f>IF(AA323="","",'Procyfloc GS50'!J324)</f>
        <v/>
      </c>
      <c r="AF323">
        <f t="shared" si="47"/>
        <v>0</v>
      </c>
      <c r="AG323" t="str">
        <f t="shared" si="48"/>
        <v/>
      </c>
      <c r="AH323" t="str">
        <f t="shared" si="49"/>
        <v/>
      </c>
      <c r="AI323">
        <f t="shared" si="50"/>
        <v>0</v>
      </c>
      <c r="AJ323">
        <f t="shared" si="51"/>
        <v>0</v>
      </c>
      <c r="AK323">
        <v>0</v>
      </c>
      <c r="AL323" t="str">
        <f>IF(AA323="","",IFERROR(IF(ISNUMBER('Procyfloc GS50'!D324),'Procyfloc GS50'!D324,IF(ISNUMBER(SEARCH("12",'Procyfloc GS50'!D324)),EDATE(AB323,12),IF(ISNUMBER(SEARCH("6",'Procyfloc GS50'!D324)),EDATE(AB323,6),IF(ISNUMBER(SEARCH("3",'Procyfloc GS50'!D324)),EDATE(AB323,3),DATEVALUE('Procyfloc GS50'!D324))))),""))</f>
        <v/>
      </c>
      <c r="AM323" t="str">
        <f t="shared" ca="1" si="52"/>
        <v/>
      </c>
    </row>
    <row r="324" spans="27:39" x14ac:dyDescent="0.3">
      <c r="AA324" t="str">
        <f>IF(COUNTA('Procyfloc GS50'!A325,'Procyfloc GS50'!B325,'Procyfloc GS50'!C325)&gt;0,"GS50","")</f>
        <v/>
      </c>
      <c r="AB324" t="str">
        <f>IFERROR(IF(ISNUMBER('Procyfloc GS50'!A325),'Procyfloc GS50'!A325,DATEVALUE('Procyfloc GS50'!A325)),"")</f>
        <v/>
      </c>
      <c r="AC324" t="str">
        <f>IF(AA324="","",'Procyfloc GS50'!B325)</f>
        <v/>
      </c>
      <c r="AD324" t="str">
        <f>IF(AA324="","",IFERROR(1*'Procyfloc GS50'!C325,IFERROR(_xludf.NUMBERVALUE('Procyfloc GS50'!C325,".",","),IFERROR(_xludf.NUMBERVALUE('Procyfloc GS50'!C325,",","."),0))))</f>
        <v/>
      </c>
      <c r="AE324" t="str">
        <f>IF(AA324="","",'Procyfloc GS50'!J325)</f>
        <v/>
      </c>
      <c r="AF324">
        <f t="shared" si="47"/>
        <v>0</v>
      </c>
      <c r="AG324" t="str">
        <f t="shared" si="48"/>
        <v/>
      </c>
      <c r="AH324" t="str">
        <f t="shared" si="49"/>
        <v/>
      </c>
      <c r="AI324">
        <f t="shared" si="50"/>
        <v>0</v>
      </c>
      <c r="AJ324">
        <f t="shared" si="51"/>
        <v>0</v>
      </c>
      <c r="AK324">
        <v>0</v>
      </c>
      <c r="AL324" t="str">
        <f>IF(AA324="","",IFERROR(IF(ISNUMBER('Procyfloc GS50'!D325),'Procyfloc GS50'!D325,IF(ISNUMBER(SEARCH("12",'Procyfloc GS50'!D325)),EDATE(AB324,12),IF(ISNUMBER(SEARCH("6",'Procyfloc GS50'!D325)),EDATE(AB324,6),IF(ISNUMBER(SEARCH("3",'Procyfloc GS50'!D325)),EDATE(AB324,3),DATEVALUE('Procyfloc GS50'!D325))))),""))</f>
        <v/>
      </c>
      <c r="AM324" t="str">
        <f t="shared" ca="1" si="52"/>
        <v/>
      </c>
    </row>
    <row r="325" spans="27:39" x14ac:dyDescent="0.3">
      <c r="AA325" t="str">
        <f>IF(COUNTA('Procyfloc GS50'!A326,'Procyfloc GS50'!B326,'Procyfloc GS50'!C326)&gt;0,"GS50","")</f>
        <v/>
      </c>
      <c r="AB325" t="str">
        <f>IFERROR(IF(ISNUMBER('Procyfloc GS50'!A326),'Procyfloc GS50'!A326,DATEVALUE('Procyfloc GS50'!A326)),"")</f>
        <v/>
      </c>
      <c r="AC325" t="str">
        <f>IF(AA325="","",'Procyfloc GS50'!B326)</f>
        <v/>
      </c>
      <c r="AD325" t="str">
        <f>IF(AA325="","",IFERROR(1*'Procyfloc GS50'!C326,IFERROR(_xludf.NUMBERVALUE('Procyfloc GS50'!C326,".",","),IFERROR(_xludf.NUMBERVALUE('Procyfloc GS50'!C326,",","."),0))))</f>
        <v/>
      </c>
      <c r="AE325" t="str">
        <f>IF(AA325="","",'Procyfloc GS50'!J326)</f>
        <v/>
      </c>
      <c r="AF325">
        <f t="shared" si="47"/>
        <v>0</v>
      </c>
      <c r="AG325" t="str">
        <f t="shared" si="48"/>
        <v/>
      </c>
      <c r="AH325" t="str">
        <f t="shared" si="49"/>
        <v/>
      </c>
      <c r="AI325">
        <f t="shared" si="50"/>
        <v>0</v>
      </c>
      <c r="AJ325">
        <f t="shared" si="51"/>
        <v>0</v>
      </c>
      <c r="AK325">
        <v>0</v>
      </c>
      <c r="AL325" t="str">
        <f>IF(AA325="","",IFERROR(IF(ISNUMBER('Procyfloc GS50'!D326),'Procyfloc GS50'!D326,IF(ISNUMBER(SEARCH("12",'Procyfloc GS50'!D326)),EDATE(AB325,12),IF(ISNUMBER(SEARCH("6",'Procyfloc GS50'!D326)),EDATE(AB325,6),IF(ISNUMBER(SEARCH("3",'Procyfloc GS50'!D326)),EDATE(AB325,3),DATEVALUE('Procyfloc GS50'!D326))))),""))</f>
        <v/>
      </c>
      <c r="AM325" t="str">
        <f t="shared" ca="1" si="52"/>
        <v/>
      </c>
    </row>
    <row r="326" spans="27:39" x14ac:dyDescent="0.3">
      <c r="AA326" t="str">
        <f>IF(COUNTA('Procyfloc GS50'!A327,'Procyfloc GS50'!B327,'Procyfloc GS50'!C327)&gt;0,"GS50","")</f>
        <v/>
      </c>
      <c r="AB326" t="str">
        <f>IFERROR(IF(ISNUMBER('Procyfloc GS50'!A327),'Procyfloc GS50'!A327,DATEVALUE('Procyfloc GS50'!A327)),"")</f>
        <v/>
      </c>
      <c r="AC326" t="str">
        <f>IF(AA326="","",'Procyfloc GS50'!B327)</f>
        <v/>
      </c>
      <c r="AD326" t="str">
        <f>IF(AA326="","",IFERROR(1*'Procyfloc GS50'!C327,IFERROR(_xludf.NUMBERVALUE('Procyfloc GS50'!C327,".",","),IFERROR(_xludf.NUMBERVALUE('Procyfloc GS50'!C327,",","."),0))))</f>
        <v/>
      </c>
      <c r="AE326" t="str">
        <f>IF(AA326="","",'Procyfloc GS50'!J327)</f>
        <v/>
      </c>
      <c r="AF326">
        <f t="shared" si="47"/>
        <v>0</v>
      </c>
      <c r="AG326" t="str">
        <f t="shared" si="48"/>
        <v/>
      </c>
      <c r="AH326" t="str">
        <f t="shared" si="49"/>
        <v/>
      </c>
      <c r="AI326">
        <f t="shared" si="50"/>
        <v>0</v>
      </c>
      <c r="AJ326">
        <f t="shared" si="51"/>
        <v>0</v>
      </c>
      <c r="AK326">
        <v>0</v>
      </c>
      <c r="AL326" t="str">
        <f>IF(AA326="","",IFERROR(IF(ISNUMBER('Procyfloc GS50'!D327),'Procyfloc GS50'!D327,IF(ISNUMBER(SEARCH("12",'Procyfloc GS50'!D327)),EDATE(AB326,12),IF(ISNUMBER(SEARCH("6",'Procyfloc GS50'!D327)),EDATE(AB326,6),IF(ISNUMBER(SEARCH("3",'Procyfloc GS50'!D327)),EDATE(AB326,3),DATEVALUE('Procyfloc GS50'!D327))))),""))</f>
        <v/>
      </c>
      <c r="AM326" t="str">
        <f t="shared" ca="1" si="52"/>
        <v/>
      </c>
    </row>
    <row r="327" spans="27:39" x14ac:dyDescent="0.3">
      <c r="AA327" t="str">
        <f>IF(COUNTA('Procyfloc GS50'!A328,'Procyfloc GS50'!B328,'Procyfloc GS50'!C328)&gt;0,"GS50","")</f>
        <v/>
      </c>
      <c r="AB327" t="str">
        <f>IFERROR(IF(ISNUMBER('Procyfloc GS50'!A328),'Procyfloc GS50'!A328,DATEVALUE('Procyfloc GS50'!A328)),"")</f>
        <v/>
      </c>
      <c r="AC327" t="str">
        <f>IF(AA327="","",'Procyfloc GS50'!B328)</f>
        <v/>
      </c>
      <c r="AD327" t="str">
        <f>IF(AA327="","",IFERROR(1*'Procyfloc GS50'!C328,IFERROR(_xludf.NUMBERVALUE('Procyfloc GS50'!C328,".",","),IFERROR(_xludf.NUMBERVALUE('Procyfloc GS50'!C328,",","."),0))))</f>
        <v/>
      </c>
      <c r="AE327" t="str">
        <f>IF(AA327="","",'Procyfloc GS50'!J328)</f>
        <v/>
      </c>
      <c r="AF327">
        <f t="shared" si="47"/>
        <v>0</v>
      </c>
      <c r="AG327" t="str">
        <f t="shared" si="48"/>
        <v/>
      </c>
      <c r="AH327" t="str">
        <f t="shared" si="49"/>
        <v/>
      </c>
      <c r="AI327">
        <f t="shared" si="50"/>
        <v>0</v>
      </c>
      <c r="AJ327">
        <f t="shared" si="51"/>
        <v>0</v>
      </c>
      <c r="AK327">
        <v>0</v>
      </c>
      <c r="AL327" t="str">
        <f>IF(AA327="","",IFERROR(IF(ISNUMBER('Procyfloc GS50'!D328),'Procyfloc GS50'!D328,IF(ISNUMBER(SEARCH("12",'Procyfloc GS50'!D328)),EDATE(AB327,12),IF(ISNUMBER(SEARCH("6",'Procyfloc GS50'!D328)),EDATE(AB327,6),IF(ISNUMBER(SEARCH("3",'Procyfloc GS50'!D328)),EDATE(AB327,3),DATEVALUE('Procyfloc GS50'!D328))))),""))</f>
        <v/>
      </c>
      <c r="AM327" t="str">
        <f t="shared" ca="1" si="52"/>
        <v/>
      </c>
    </row>
    <row r="328" spans="27:39" x14ac:dyDescent="0.3">
      <c r="AA328" t="str">
        <f>IF(COUNTA('Procyfloc GS50'!A329,'Procyfloc GS50'!B329,'Procyfloc GS50'!C329)&gt;0,"GS50","")</f>
        <v/>
      </c>
      <c r="AB328" t="str">
        <f>IFERROR(IF(ISNUMBER('Procyfloc GS50'!A329),'Procyfloc GS50'!A329,DATEVALUE('Procyfloc GS50'!A329)),"")</f>
        <v/>
      </c>
      <c r="AC328" t="str">
        <f>IF(AA328="","",'Procyfloc GS50'!B329)</f>
        <v/>
      </c>
      <c r="AD328" t="str">
        <f>IF(AA328="","",IFERROR(1*'Procyfloc GS50'!C329,IFERROR(_xludf.NUMBERVALUE('Procyfloc GS50'!C329,".",","),IFERROR(_xludf.NUMBERVALUE('Procyfloc GS50'!C329,",","."),0))))</f>
        <v/>
      </c>
      <c r="AE328" t="str">
        <f>IF(AA328="","",'Procyfloc GS50'!J329)</f>
        <v/>
      </c>
      <c r="AF328">
        <f t="shared" si="47"/>
        <v>0</v>
      </c>
      <c r="AG328" t="str">
        <f t="shared" si="48"/>
        <v/>
      </c>
      <c r="AH328" t="str">
        <f t="shared" si="49"/>
        <v/>
      </c>
      <c r="AI328">
        <f t="shared" si="50"/>
        <v>0</v>
      </c>
      <c r="AJ328">
        <f t="shared" si="51"/>
        <v>0</v>
      </c>
      <c r="AK328">
        <v>0</v>
      </c>
      <c r="AL328" t="str">
        <f>IF(AA328="","",IFERROR(IF(ISNUMBER('Procyfloc GS50'!D329),'Procyfloc GS50'!D329,IF(ISNUMBER(SEARCH("12",'Procyfloc GS50'!D329)),EDATE(AB328,12),IF(ISNUMBER(SEARCH("6",'Procyfloc GS50'!D329)),EDATE(AB328,6),IF(ISNUMBER(SEARCH("3",'Procyfloc GS50'!D329)),EDATE(AB328,3),DATEVALUE('Procyfloc GS50'!D329))))),""))</f>
        <v/>
      </c>
      <c r="AM328" t="str">
        <f t="shared" ca="1" si="52"/>
        <v/>
      </c>
    </row>
    <row r="329" spans="27:39" x14ac:dyDescent="0.3">
      <c r="AA329" t="str">
        <f>IF(COUNTA('Procyfloc GS50'!A330,'Procyfloc GS50'!B330,'Procyfloc GS50'!C330)&gt;0,"GS50","")</f>
        <v/>
      </c>
      <c r="AB329" t="str">
        <f>IFERROR(IF(ISNUMBER('Procyfloc GS50'!A330),'Procyfloc GS50'!A330,DATEVALUE('Procyfloc GS50'!A330)),"")</f>
        <v/>
      </c>
      <c r="AC329" t="str">
        <f>IF(AA329="","",'Procyfloc GS50'!B330)</f>
        <v/>
      </c>
      <c r="AD329" t="str">
        <f>IF(AA329="","",IFERROR(1*'Procyfloc GS50'!C330,IFERROR(_xludf.NUMBERVALUE('Procyfloc GS50'!C330,".",","),IFERROR(_xludf.NUMBERVALUE('Procyfloc GS50'!C330,",","."),0))))</f>
        <v/>
      </c>
      <c r="AE329" t="str">
        <f>IF(AA329="","",'Procyfloc GS50'!J330)</f>
        <v/>
      </c>
      <c r="AF329">
        <f t="shared" si="47"/>
        <v>0</v>
      </c>
      <c r="AG329" t="str">
        <f t="shared" si="48"/>
        <v/>
      </c>
      <c r="AH329" t="str">
        <f t="shared" si="49"/>
        <v/>
      </c>
      <c r="AI329">
        <f t="shared" si="50"/>
        <v>0</v>
      </c>
      <c r="AJ329">
        <f t="shared" si="51"/>
        <v>0</v>
      </c>
      <c r="AK329">
        <v>0</v>
      </c>
      <c r="AL329" t="str">
        <f>IF(AA329="","",IFERROR(IF(ISNUMBER('Procyfloc GS50'!D330),'Procyfloc GS50'!D330,IF(ISNUMBER(SEARCH("12",'Procyfloc GS50'!D330)),EDATE(AB329,12),IF(ISNUMBER(SEARCH("6",'Procyfloc GS50'!D330)),EDATE(AB329,6),IF(ISNUMBER(SEARCH("3",'Procyfloc GS50'!D330)),EDATE(AB329,3),DATEVALUE('Procyfloc GS50'!D330))))),""))</f>
        <v/>
      </c>
      <c r="AM329" t="str">
        <f t="shared" ca="1" si="52"/>
        <v/>
      </c>
    </row>
    <row r="330" spans="27:39" x14ac:dyDescent="0.3">
      <c r="AA330" t="str">
        <f>IF(COUNTA('Procyfloc GS50'!A331,'Procyfloc GS50'!B331,'Procyfloc GS50'!C331)&gt;0,"GS50","")</f>
        <v/>
      </c>
      <c r="AB330" t="str">
        <f>IFERROR(IF(ISNUMBER('Procyfloc GS50'!A331),'Procyfloc GS50'!A331,DATEVALUE('Procyfloc GS50'!A331)),"")</f>
        <v/>
      </c>
      <c r="AC330" t="str">
        <f>IF(AA330="","",'Procyfloc GS50'!B331)</f>
        <v/>
      </c>
      <c r="AD330" t="str">
        <f>IF(AA330="","",IFERROR(1*'Procyfloc GS50'!C331,IFERROR(_xludf.NUMBERVALUE('Procyfloc GS50'!C331,".",","),IFERROR(_xludf.NUMBERVALUE('Procyfloc GS50'!C331,",","."),0))))</f>
        <v/>
      </c>
      <c r="AE330" t="str">
        <f>IF(AA330="","",'Procyfloc GS50'!J331)</f>
        <v/>
      </c>
      <c r="AF330">
        <f t="shared" si="47"/>
        <v>0</v>
      </c>
      <c r="AG330" t="str">
        <f t="shared" si="48"/>
        <v/>
      </c>
      <c r="AH330" t="str">
        <f t="shared" si="49"/>
        <v/>
      </c>
      <c r="AI330">
        <f t="shared" si="50"/>
        <v>0</v>
      </c>
      <c r="AJ330">
        <f t="shared" si="51"/>
        <v>0</v>
      </c>
      <c r="AK330">
        <v>0</v>
      </c>
      <c r="AL330" t="str">
        <f>IF(AA330="","",IFERROR(IF(ISNUMBER('Procyfloc GS50'!D331),'Procyfloc GS50'!D331,IF(ISNUMBER(SEARCH("12",'Procyfloc GS50'!D331)),EDATE(AB330,12),IF(ISNUMBER(SEARCH("6",'Procyfloc GS50'!D331)),EDATE(AB330,6),IF(ISNUMBER(SEARCH("3",'Procyfloc GS50'!D331)),EDATE(AB330,3),DATEVALUE('Procyfloc GS50'!D331))))),""))</f>
        <v/>
      </c>
      <c r="AM330" t="str">
        <f t="shared" ca="1" si="52"/>
        <v/>
      </c>
    </row>
    <row r="331" spans="27:39" x14ac:dyDescent="0.3">
      <c r="AA331" t="str">
        <f>IF(COUNTA('Procyfloc GS50'!A332,'Procyfloc GS50'!B332,'Procyfloc GS50'!C332)&gt;0,"GS50","")</f>
        <v/>
      </c>
      <c r="AB331" t="str">
        <f>IFERROR(IF(ISNUMBER('Procyfloc GS50'!A332),'Procyfloc GS50'!A332,DATEVALUE('Procyfloc GS50'!A332)),"")</f>
        <v/>
      </c>
      <c r="AC331" t="str">
        <f>IF(AA331="","",'Procyfloc GS50'!B332)</f>
        <v/>
      </c>
      <c r="AD331" t="str">
        <f>IF(AA331="","",IFERROR(1*'Procyfloc GS50'!C332,IFERROR(_xludf.NUMBERVALUE('Procyfloc GS50'!C332,".",","),IFERROR(_xludf.NUMBERVALUE('Procyfloc GS50'!C332,",","."),0))))</f>
        <v/>
      </c>
      <c r="AE331" t="str">
        <f>IF(AA331="","",'Procyfloc GS50'!J332)</f>
        <v/>
      </c>
      <c r="AF331">
        <f t="shared" si="47"/>
        <v>0</v>
      </c>
      <c r="AG331" t="str">
        <f t="shared" si="48"/>
        <v/>
      </c>
      <c r="AH331" t="str">
        <f t="shared" si="49"/>
        <v/>
      </c>
      <c r="AI331">
        <f t="shared" si="50"/>
        <v>0</v>
      </c>
      <c r="AJ331">
        <f t="shared" si="51"/>
        <v>0</v>
      </c>
      <c r="AK331">
        <v>0</v>
      </c>
      <c r="AL331" t="str">
        <f>IF(AA331="","",IFERROR(IF(ISNUMBER('Procyfloc GS50'!D332),'Procyfloc GS50'!D332,IF(ISNUMBER(SEARCH("12",'Procyfloc GS50'!D332)),EDATE(AB331,12),IF(ISNUMBER(SEARCH("6",'Procyfloc GS50'!D332)),EDATE(AB331,6),IF(ISNUMBER(SEARCH("3",'Procyfloc GS50'!D332)),EDATE(AB331,3),DATEVALUE('Procyfloc GS50'!D332))))),""))</f>
        <v/>
      </c>
      <c r="AM331" t="str">
        <f t="shared" ca="1" si="52"/>
        <v/>
      </c>
    </row>
    <row r="332" spans="27:39" x14ac:dyDescent="0.3">
      <c r="AA332" t="str">
        <f>IF(COUNTA('Procyfloc GS50'!A333,'Procyfloc GS50'!B333,'Procyfloc GS50'!C333)&gt;0,"GS50","")</f>
        <v/>
      </c>
      <c r="AB332" t="str">
        <f>IFERROR(IF(ISNUMBER('Procyfloc GS50'!A333),'Procyfloc GS50'!A333,DATEVALUE('Procyfloc GS50'!A333)),"")</f>
        <v/>
      </c>
      <c r="AC332" t="str">
        <f>IF(AA332="","",'Procyfloc GS50'!B333)</f>
        <v/>
      </c>
      <c r="AD332" t="str">
        <f>IF(AA332="","",IFERROR(1*'Procyfloc GS50'!C333,IFERROR(_xludf.NUMBERVALUE('Procyfloc GS50'!C333,".",","),IFERROR(_xludf.NUMBERVALUE('Procyfloc GS50'!C333,",","."),0))))</f>
        <v/>
      </c>
      <c r="AE332" t="str">
        <f>IF(AA332="","",'Procyfloc GS50'!J333)</f>
        <v/>
      </c>
      <c r="AF332">
        <f t="shared" si="47"/>
        <v>0</v>
      </c>
      <c r="AG332" t="str">
        <f t="shared" si="48"/>
        <v/>
      </c>
      <c r="AH332" t="str">
        <f t="shared" si="49"/>
        <v/>
      </c>
      <c r="AI332">
        <f t="shared" si="50"/>
        <v>0</v>
      </c>
      <c r="AJ332">
        <f t="shared" si="51"/>
        <v>0</v>
      </c>
      <c r="AK332">
        <v>0</v>
      </c>
      <c r="AL332" t="str">
        <f>IF(AA332="","",IFERROR(IF(ISNUMBER('Procyfloc GS50'!D333),'Procyfloc GS50'!D333,IF(ISNUMBER(SEARCH("12",'Procyfloc GS50'!D333)),EDATE(AB332,12),IF(ISNUMBER(SEARCH("6",'Procyfloc GS50'!D333)),EDATE(AB332,6),IF(ISNUMBER(SEARCH("3",'Procyfloc GS50'!D333)),EDATE(AB332,3),DATEVALUE('Procyfloc GS50'!D333))))),""))</f>
        <v/>
      </c>
      <c r="AM332" t="str">
        <f t="shared" ca="1" si="52"/>
        <v/>
      </c>
    </row>
    <row r="333" spans="27:39" x14ac:dyDescent="0.3">
      <c r="AA333" t="str">
        <f>IF(COUNTA('Procyfloc GS50'!A334,'Procyfloc GS50'!B334,'Procyfloc GS50'!C334)&gt;0,"GS50","")</f>
        <v/>
      </c>
      <c r="AB333" t="str">
        <f>IFERROR(IF(ISNUMBER('Procyfloc GS50'!A334),'Procyfloc GS50'!A334,DATEVALUE('Procyfloc GS50'!A334)),"")</f>
        <v/>
      </c>
      <c r="AC333" t="str">
        <f>IF(AA333="","",'Procyfloc GS50'!B334)</f>
        <v/>
      </c>
      <c r="AD333" t="str">
        <f>IF(AA333="","",IFERROR(1*'Procyfloc GS50'!C334,IFERROR(_xludf.NUMBERVALUE('Procyfloc GS50'!C334,".",","),IFERROR(_xludf.NUMBERVALUE('Procyfloc GS50'!C334,",","."),0))))</f>
        <v/>
      </c>
      <c r="AE333" t="str">
        <f>IF(AA333="","",'Procyfloc GS50'!J334)</f>
        <v/>
      </c>
      <c r="AF333">
        <f t="shared" si="47"/>
        <v>0</v>
      </c>
      <c r="AG333" t="str">
        <f t="shared" si="48"/>
        <v/>
      </c>
      <c r="AH333" t="str">
        <f t="shared" si="49"/>
        <v/>
      </c>
      <c r="AI333">
        <f t="shared" si="50"/>
        <v>0</v>
      </c>
      <c r="AJ333">
        <f t="shared" si="51"/>
        <v>0</v>
      </c>
      <c r="AK333">
        <v>0</v>
      </c>
      <c r="AL333" t="str">
        <f>IF(AA333="","",IFERROR(IF(ISNUMBER('Procyfloc GS50'!D334),'Procyfloc GS50'!D334,IF(ISNUMBER(SEARCH("12",'Procyfloc GS50'!D334)),EDATE(AB333,12),IF(ISNUMBER(SEARCH("6",'Procyfloc GS50'!D334)),EDATE(AB333,6),IF(ISNUMBER(SEARCH("3",'Procyfloc GS50'!D334)),EDATE(AB333,3),DATEVALUE('Procyfloc GS50'!D334))))),""))</f>
        <v/>
      </c>
      <c r="AM333" t="str">
        <f t="shared" ca="1" si="52"/>
        <v/>
      </c>
    </row>
    <row r="334" spans="27:39" x14ac:dyDescent="0.3">
      <c r="AA334" t="str">
        <f>IF(COUNTA('Procyfloc GS50'!A335,'Procyfloc GS50'!B335,'Procyfloc GS50'!C335)&gt;0,"GS50","")</f>
        <v/>
      </c>
      <c r="AB334" t="str">
        <f>IFERROR(IF(ISNUMBER('Procyfloc GS50'!A335),'Procyfloc GS50'!A335,DATEVALUE('Procyfloc GS50'!A335)),"")</f>
        <v/>
      </c>
      <c r="AC334" t="str">
        <f>IF(AA334="","",'Procyfloc GS50'!B335)</f>
        <v/>
      </c>
      <c r="AD334" t="str">
        <f>IF(AA334="","",IFERROR(1*'Procyfloc GS50'!C335,IFERROR(_xludf.NUMBERVALUE('Procyfloc GS50'!C335,".",","),IFERROR(_xludf.NUMBERVALUE('Procyfloc GS50'!C335,",","."),0))))</f>
        <v/>
      </c>
      <c r="AE334" t="str">
        <f>IF(AA334="","",'Procyfloc GS50'!J335)</f>
        <v/>
      </c>
      <c r="AF334">
        <f t="shared" si="47"/>
        <v>0</v>
      </c>
      <c r="AG334" t="str">
        <f t="shared" si="48"/>
        <v/>
      </c>
      <c r="AH334" t="str">
        <f t="shared" si="49"/>
        <v/>
      </c>
      <c r="AI334">
        <f t="shared" si="50"/>
        <v>0</v>
      </c>
      <c r="AJ334">
        <f t="shared" si="51"/>
        <v>0</v>
      </c>
      <c r="AK334">
        <v>0</v>
      </c>
      <c r="AL334" t="str">
        <f>IF(AA334="","",IFERROR(IF(ISNUMBER('Procyfloc GS50'!D335),'Procyfloc GS50'!D335,IF(ISNUMBER(SEARCH("12",'Procyfloc GS50'!D335)),EDATE(AB334,12),IF(ISNUMBER(SEARCH("6",'Procyfloc GS50'!D335)),EDATE(AB334,6),IF(ISNUMBER(SEARCH("3",'Procyfloc GS50'!D335)),EDATE(AB334,3),DATEVALUE('Procyfloc GS50'!D335))))),""))</f>
        <v/>
      </c>
      <c r="AM334" t="str">
        <f t="shared" ca="1" si="52"/>
        <v/>
      </c>
    </row>
    <row r="335" spans="27:39" x14ac:dyDescent="0.3">
      <c r="AA335" t="str">
        <f>IF(COUNTA('Procyfloc GS50'!A336,'Procyfloc GS50'!B336,'Procyfloc GS50'!C336)&gt;0,"GS50","")</f>
        <v/>
      </c>
      <c r="AB335" t="str">
        <f>IFERROR(IF(ISNUMBER('Procyfloc GS50'!A336),'Procyfloc GS50'!A336,DATEVALUE('Procyfloc GS50'!A336)),"")</f>
        <v/>
      </c>
      <c r="AC335" t="str">
        <f>IF(AA335="","",'Procyfloc GS50'!B336)</f>
        <v/>
      </c>
      <c r="AD335" t="str">
        <f>IF(AA335="","",IFERROR(1*'Procyfloc GS50'!C336,IFERROR(_xludf.NUMBERVALUE('Procyfloc GS50'!C336,".",","),IFERROR(_xludf.NUMBERVALUE('Procyfloc GS50'!C336,",","."),0))))</f>
        <v/>
      </c>
      <c r="AE335" t="str">
        <f>IF(AA335="","",'Procyfloc GS50'!J336)</f>
        <v/>
      </c>
      <c r="AF335">
        <f t="shared" si="47"/>
        <v>0</v>
      </c>
      <c r="AG335" t="str">
        <f t="shared" si="48"/>
        <v/>
      </c>
      <c r="AH335" t="str">
        <f t="shared" si="49"/>
        <v/>
      </c>
      <c r="AI335">
        <f t="shared" si="50"/>
        <v>0</v>
      </c>
      <c r="AJ335">
        <f t="shared" si="51"/>
        <v>0</v>
      </c>
      <c r="AK335">
        <v>0</v>
      </c>
      <c r="AL335" t="str">
        <f>IF(AA335="","",IFERROR(IF(ISNUMBER('Procyfloc GS50'!D336),'Procyfloc GS50'!D336,IF(ISNUMBER(SEARCH("12",'Procyfloc GS50'!D336)),EDATE(AB335,12),IF(ISNUMBER(SEARCH("6",'Procyfloc GS50'!D336)),EDATE(AB335,6),IF(ISNUMBER(SEARCH("3",'Procyfloc GS50'!D336)),EDATE(AB335,3),DATEVALUE('Procyfloc GS50'!D336))))),""))</f>
        <v/>
      </c>
      <c r="AM335" t="str">
        <f t="shared" ca="1" si="52"/>
        <v/>
      </c>
    </row>
    <row r="336" spans="27:39" x14ac:dyDescent="0.3">
      <c r="AA336" t="str">
        <f>IF(COUNTA('Procyfloc GS50'!A337,'Procyfloc GS50'!B337,'Procyfloc GS50'!C337)&gt;0,"GS50","")</f>
        <v/>
      </c>
      <c r="AB336" t="str">
        <f>IFERROR(IF(ISNUMBER('Procyfloc GS50'!A337),'Procyfloc GS50'!A337,DATEVALUE('Procyfloc GS50'!A337)),"")</f>
        <v/>
      </c>
      <c r="AC336" t="str">
        <f>IF(AA336="","",'Procyfloc GS50'!B337)</f>
        <v/>
      </c>
      <c r="AD336" t="str">
        <f>IF(AA336="","",IFERROR(1*'Procyfloc GS50'!C337,IFERROR(_xludf.NUMBERVALUE('Procyfloc GS50'!C337,".",","),IFERROR(_xludf.NUMBERVALUE('Procyfloc GS50'!C337,",","."),0))))</f>
        <v/>
      </c>
      <c r="AE336" t="str">
        <f>IF(AA336="","",'Procyfloc GS50'!J337)</f>
        <v/>
      </c>
      <c r="AF336">
        <f t="shared" si="47"/>
        <v>0</v>
      </c>
      <c r="AG336" t="str">
        <f t="shared" si="48"/>
        <v/>
      </c>
      <c r="AH336" t="str">
        <f t="shared" si="49"/>
        <v/>
      </c>
      <c r="AI336">
        <f t="shared" si="50"/>
        <v>0</v>
      </c>
      <c r="AJ336">
        <f t="shared" si="51"/>
        <v>0</v>
      </c>
      <c r="AK336">
        <v>0</v>
      </c>
      <c r="AL336" t="str">
        <f>IF(AA336="","",IFERROR(IF(ISNUMBER('Procyfloc GS50'!D337),'Procyfloc GS50'!D337,IF(ISNUMBER(SEARCH("12",'Procyfloc GS50'!D337)),EDATE(AB336,12),IF(ISNUMBER(SEARCH("6",'Procyfloc GS50'!D337)),EDATE(AB336,6),IF(ISNUMBER(SEARCH("3",'Procyfloc GS50'!D337)),EDATE(AB336,3),DATEVALUE('Procyfloc GS50'!D337))))),""))</f>
        <v/>
      </c>
      <c r="AM336" t="str">
        <f t="shared" ca="1" si="52"/>
        <v/>
      </c>
    </row>
    <row r="337" spans="27:39" x14ac:dyDescent="0.3">
      <c r="AA337" t="str">
        <f>IF(COUNTA('Procyfloc GS50'!A338,'Procyfloc GS50'!B338,'Procyfloc GS50'!C338)&gt;0,"GS50","")</f>
        <v/>
      </c>
      <c r="AB337" t="str">
        <f>IFERROR(IF(ISNUMBER('Procyfloc GS50'!A338),'Procyfloc GS50'!A338,DATEVALUE('Procyfloc GS50'!A338)),"")</f>
        <v/>
      </c>
      <c r="AC337" t="str">
        <f>IF(AA337="","",'Procyfloc GS50'!B338)</f>
        <v/>
      </c>
      <c r="AD337" t="str">
        <f>IF(AA337="","",IFERROR(1*'Procyfloc GS50'!C338,IFERROR(_xludf.NUMBERVALUE('Procyfloc GS50'!C338,".",","),IFERROR(_xludf.NUMBERVALUE('Procyfloc GS50'!C338,",","."),0))))</f>
        <v/>
      </c>
      <c r="AE337" t="str">
        <f>IF(AA337="","",'Procyfloc GS50'!J338)</f>
        <v/>
      </c>
      <c r="AF337">
        <f t="shared" si="47"/>
        <v>0</v>
      </c>
      <c r="AG337" t="str">
        <f t="shared" si="48"/>
        <v/>
      </c>
      <c r="AH337" t="str">
        <f t="shared" si="49"/>
        <v/>
      </c>
      <c r="AI337">
        <f t="shared" si="50"/>
        <v>0</v>
      </c>
      <c r="AJ337">
        <f t="shared" si="51"/>
        <v>0</v>
      </c>
      <c r="AK337">
        <v>0</v>
      </c>
      <c r="AL337" t="str">
        <f>IF(AA337="","",IFERROR(IF(ISNUMBER('Procyfloc GS50'!D338),'Procyfloc GS50'!D338,IF(ISNUMBER(SEARCH("12",'Procyfloc GS50'!D338)),EDATE(AB337,12),IF(ISNUMBER(SEARCH("6",'Procyfloc GS50'!D338)),EDATE(AB337,6),IF(ISNUMBER(SEARCH("3",'Procyfloc GS50'!D338)),EDATE(AB337,3),DATEVALUE('Procyfloc GS50'!D338))))),""))</f>
        <v/>
      </c>
      <c r="AM337" t="str">
        <f t="shared" ca="1" si="52"/>
        <v/>
      </c>
    </row>
    <row r="338" spans="27:39" x14ac:dyDescent="0.3">
      <c r="AA338" t="str">
        <f>IF(COUNTA('Procyfloc GS50'!A339,'Procyfloc GS50'!B339,'Procyfloc GS50'!C339)&gt;0,"GS50","")</f>
        <v/>
      </c>
      <c r="AB338" t="str">
        <f>IFERROR(IF(ISNUMBER('Procyfloc GS50'!A339),'Procyfloc GS50'!A339,DATEVALUE('Procyfloc GS50'!A339)),"")</f>
        <v/>
      </c>
      <c r="AC338" t="str">
        <f>IF(AA338="","",'Procyfloc GS50'!B339)</f>
        <v/>
      </c>
      <c r="AD338" t="str">
        <f>IF(AA338="","",IFERROR(1*'Procyfloc GS50'!C339,IFERROR(_xludf.NUMBERVALUE('Procyfloc GS50'!C339,".",","),IFERROR(_xludf.NUMBERVALUE('Procyfloc GS50'!C339,",","."),0))))</f>
        <v/>
      </c>
      <c r="AE338" t="str">
        <f>IF(AA338="","",'Procyfloc GS50'!J339)</f>
        <v/>
      </c>
      <c r="AF338">
        <f t="shared" si="47"/>
        <v>0</v>
      </c>
      <c r="AG338" t="str">
        <f t="shared" si="48"/>
        <v/>
      </c>
      <c r="AH338" t="str">
        <f t="shared" si="49"/>
        <v/>
      </c>
      <c r="AI338">
        <f t="shared" si="50"/>
        <v>0</v>
      </c>
      <c r="AJ338">
        <f t="shared" si="51"/>
        <v>0</v>
      </c>
      <c r="AK338">
        <v>0</v>
      </c>
      <c r="AL338" t="str">
        <f>IF(AA338="","",IFERROR(IF(ISNUMBER('Procyfloc GS50'!D339),'Procyfloc GS50'!D339,IF(ISNUMBER(SEARCH("12",'Procyfloc GS50'!D339)),EDATE(AB338,12),IF(ISNUMBER(SEARCH("6",'Procyfloc GS50'!D339)),EDATE(AB338,6),IF(ISNUMBER(SEARCH("3",'Procyfloc GS50'!D339)),EDATE(AB338,3),DATEVALUE('Procyfloc GS50'!D339))))),""))</f>
        <v/>
      </c>
      <c r="AM338" t="str">
        <f t="shared" ca="1" si="52"/>
        <v/>
      </c>
    </row>
    <row r="339" spans="27:39" x14ac:dyDescent="0.3">
      <c r="AA339" t="str">
        <f>IF(COUNTA('Procyfloc GS50'!A340,'Procyfloc GS50'!B340,'Procyfloc GS50'!C340)&gt;0,"GS50","")</f>
        <v/>
      </c>
      <c r="AB339" t="str">
        <f>IFERROR(IF(ISNUMBER('Procyfloc GS50'!A340),'Procyfloc GS50'!A340,DATEVALUE('Procyfloc GS50'!A340)),"")</f>
        <v/>
      </c>
      <c r="AC339" t="str">
        <f>IF(AA339="","",'Procyfloc GS50'!B340)</f>
        <v/>
      </c>
      <c r="AD339" t="str">
        <f>IF(AA339="","",IFERROR(1*'Procyfloc GS50'!C340,IFERROR(_xludf.NUMBERVALUE('Procyfloc GS50'!C340,".",","),IFERROR(_xludf.NUMBERVALUE('Procyfloc GS50'!C340,",","."),0))))</f>
        <v/>
      </c>
      <c r="AE339" t="str">
        <f>IF(AA339="","",'Procyfloc GS50'!J340)</f>
        <v/>
      </c>
      <c r="AF339">
        <f t="shared" si="47"/>
        <v>0</v>
      </c>
      <c r="AG339" t="str">
        <f t="shared" si="48"/>
        <v/>
      </c>
      <c r="AH339" t="str">
        <f t="shared" si="49"/>
        <v/>
      </c>
      <c r="AI339">
        <f t="shared" si="50"/>
        <v>0</v>
      </c>
      <c r="AJ339">
        <f t="shared" si="51"/>
        <v>0</v>
      </c>
      <c r="AK339">
        <v>0</v>
      </c>
      <c r="AL339" t="str">
        <f>IF(AA339="","",IFERROR(IF(ISNUMBER('Procyfloc GS50'!D340),'Procyfloc GS50'!D340,IF(ISNUMBER(SEARCH("12",'Procyfloc GS50'!D340)),EDATE(AB339,12),IF(ISNUMBER(SEARCH("6",'Procyfloc GS50'!D340)),EDATE(AB339,6),IF(ISNUMBER(SEARCH("3",'Procyfloc GS50'!D340)),EDATE(AB339,3),DATEVALUE('Procyfloc GS50'!D340))))),""))</f>
        <v/>
      </c>
      <c r="AM339" t="str">
        <f t="shared" ca="1" si="52"/>
        <v/>
      </c>
    </row>
    <row r="340" spans="27:39" x14ac:dyDescent="0.3">
      <c r="AA340" t="str">
        <f>IF(COUNTA('Procyfloc GS50'!A341,'Procyfloc GS50'!B341,'Procyfloc GS50'!C341)&gt;0,"GS50","")</f>
        <v/>
      </c>
      <c r="AB340" t="str">
        <f>IFERROR(IF(ISNUMBER('Procyfloc GS50'!A341),'Procyfloc GS50'!A341,DATEVALUE('Procyfloc GS50'!A341)),"")</f>
        <v/>
      </c>
      <c r="AC340" t="str">
        <f>IF(AA340="","",'Procyfloc GS50'!B341)</f>
        <v/>
      </c>
      <c r="AD340" t="str">
        <f>IF(AA340="","",IFERROR(1*'Procyfloc GS50'!C341,IFERROR(_xludf.NUMBERVALUE('Procyfloc GS50'!C341,".",","),IFERROR(_xludf.NUMBERVALUE('Procyfloc GS50'!C341,",","."),0))))</f>
        <v/>
      </c>
      <c r="AE340" t="str">
        <f>IF(AA340="","",'Procyfloc GS50'!J341)</f>
        <v/>
      </c>
      <c r="AF340">
        <f t="shared" si="47"/>
        <v>0</v>
      </c>
      <c r="AG340" t="str">
        <f t="shared" si="48"/>
        <v/>
      </c>
      <c r="AH340" t="str">
        <f t="shared" si="49"/>
        <v/>
      </c>
      <c r="AI340">
        <f t="shared" si="50"/>
        <v>0</v>
      </c>
      <c r="AJ340">
        <f t="shared" si="51"/>
        <v>0</v>
      </c>
      <c r="AK340">
        <v>0</v>
      </c>
      <c r="AL340" t="str">
        <f>IF(AA340="","",IFERROR(IF(ISNUMBER('Procyfloc GS50'!D341),'Procyfloc GS50'!D341,IF(ISNUMBER(SEARCH("12",'Procyfloc GS50'!D341)),EDATE(AB340,12),IF(ISNUMBER(SEARCH("6",'Procyfloc GS50'!D341)),EDATE(AB340,6),IF(ISNUMBER(SEARCH("3",'Procyfloc GS50'!D341)),EDATE(AB340,3),DATEVALUE('Procyfloc GS50'!D341))))),""))</f>
        <v/>
      </c>
      <c r="AM340" t="str">
        <f t="shared" ca="1" si="52"/>
        <v/>
      </c>
    </row>
    <row r="341" spans="27:39" x14ac:dyDescent="0.3">
      <c r="AA341" t="str">
        <f>IF(COUNTA('Procyfloc GS50'!A342,'Procyfloc GS50'!B342,'Procyfloc GS50'!C342)&gt;0,"GS50","")</f>
        <v/>
      </c>
      <c r="AB341" t="str">
        <f>IFERROR(IF(ISNUMBER('Procyfloc GS50'!A342),'Procyfloc GS50'!A342,DATEVALUE('Procyfloc GS50'!A342)),"")</f>
        <v/>
      </c>
      <c r="AC341" t="str">
        <f>IF(AA341="","",'Procyfloc GS50'!B342)</f>
        <v/>
      </c>
      <c r="AD341" t="str">
        <f>IF(AA341="","",IFERROR(1*'Procyfloc GS50'!C342,IFERROR(_xludf.NUMBERVALUE('Procyfloc GS50'!C342,".",","),IFERROR(_xludf.NUMBERVALUE('Procyfloc GS50'!C342,",","."),0))))</f>
        <v/>
      </c>
      <c r="AE341" t="str">
        <f>IF(AA341="","",'Procyfloc GS50'!J342)</f>
        <v/>
      </c>
      <c r="AF341">
        <f t="shared" si="47"/>
        <v>0</v>
      </c>
      <c r="AG341" t="str">
        <f t="shared" si="48"/>
        <v/>
      </c>
      <c r="AH341" t="str">
        <f t="shared" si="49"/>
        <v/>
      </c>
      <c r="AI341">
        <f t="shared" si="50"/>
        <v>0</v>
      </c>
      <c r="AJ341">
        <f t="shared" si="51"/>
        <v>0</v>
      </c>
      <c r="AK341">
        <v>0</v>
      </c>
      <c r="AL341" t="str">
        <f>IF(AA341="","",IFERROR(IF(ISNUMBER('Procyfloc GS50'!D342),'Procyfloc GS50'!D342,IF(ISNUMBER(SEARCH("12",'Procyfloc GS50'!D342)),EDATE(AB341,12),IF(ISNUMBER(SEARCH("6",'Procyfloc GS50'!D342)),EDATE(AB341,6),IF(ISNUMBER(SEARCH("3",'Procyfloc GS50'!D342)),EDATE(AB341,3),DATEVALUE('Procyfloc GS50'!D342))))),""))</f>
        <v/>
      </c>
      <c r="AM341" t="str">
        <f t="shared" ca="1" si="52"/>
        <v/>
      </c>
    </row>
    <row r="342" spans="27:39" x14ac:dyDescent="0.3">
      <c r="AA342" t="str">
        <f>IF(COUNTA('Procyfloc GS50'!A343,'Procyfloc GS50'!B343,'Procyfloc GS50'!C343)&gt;0,"GS50","")</f>
        <v/>
      </c>
      <c r="AB342" t="str">
        <f>IFERROR(IF(ISNUMBER('Procyfloc GS50'!A343),'Procyfloc GS50'!A343,DATEVALUE('Procyfloc GS50'!A343)),"")</f>
        <v/>
      </c>
      <c r="AC342" t="str">
        <f>IF(AA342="","",'Procyfloc GS50'!B343)</f>
        <v/>
      </c>
      <c r="AD342" t="str">
        <f>IF(AA342="","",IFERROR(1*'Procyfloc GS50'!C343,IFERROR(_xludf.NUMBERVALUE('Procyfloc GS50'!C343,".",","),IFERROR(_xludf.NUMBERVALUE('Procyfloc GS50'!C343,",","."),0))))</f>
        <v/>
      </c>
      <c r="AE342" t="str">
        <f>IF(AA342="","",'Procyfloc GS50'!J343)</f>
        <v/>
      </c>
      <c r="AF342">
        <f t="shared" si="47"/>
        <v>0</v>
      </c>
      <c r="AG342" t="str">
        <f t="shared" si="48"/>
        <v/>
      </c>
      <c r="AH342" t="str">
        <f t="shared" si="49"/>
        <v/>
      </c>
      <c r="AI342">
        <f t="shared" si="50"/>
        <v>0</v>
      </c>
      <c r="AJ342">
        <f t="shared" si="51"/>
        <v>0</v>
      </c>
      <c r="AK342">
        <v>0</v>
      </c>
      <c r="AL342" t="str">
        <f>IF(AA342="","",IFERROR(IF(ISNUMBER('Procyfloc GS50'!D343),'Procyfloc GS50'!D343,IF(ISNUMBER(SEARCH("12",'Procyfloc GS50'!D343)),EDATE(AB342,12),IF(ISNUMBER(SEARCH("6",'Procyfloc GS50'!D343)),EDATE(AB342,6),IF(ISNUMBER(SEARCH("3",'Procyfloc GS50'!D343)),EDATE(AB342,3),DATEVALUE('Procyfloc GS50'!D343))))),""))</f>
        <v/>
      </c>
      <c r="AM342" t="str">
        <f t="shared" ca="1" si="52"/>
        <v/>
      </c>
    </row>
    <row r="343" spans="27:39" x14ac:dyDescent="0.3">
      <c r="AA343" t="str">
        <f>IF(COUNTA('Procyfloc GS50'!A344,'Procyfloc GS50'!B344,'Procyfloc GS50'!C344)&gt;0,"GS50","")</f>
        <v/>
      </c>
      <c r="AB343" t="str">
        <f>IFERROR(IF(ISNUMBER('Procyfloc GS50'!A344),'Procyfloc GS50'!A344,DATEVALUE('Procyfloc GS50'!A344)),"")</f>
        <v/>
      </c>
      <c r="AC343" t="str">
        <f>IF(AA343="","",'Procyfloc GS50'!B344)</f>
        <v/>
      </c>
      <c r="AD343" t="str">
        <f>IF(AA343="","",IFERROR(1*'Procyfloc GS50'!C344,IFERROR(_xludf.NUMBERVALUE('Procyfloc GS50'!C344,".",","),IFERROR(_xludf.NUMBERVALUE('Procyfloc GS50'!C344,",","."),0))))</f>
        <v/>
      </c>
      <c r="AE343" t="str">
        <f>IF(AA343="","",'Procyfloc GS50'!J344)</f>
        <v/>
      </c>
      <c r="AF343">
        <f t="shared" si="47"/>
        <v>0</v>
      </c>
      <c r="AG343" t="str">
        <f t="shared" si="48"/>
        <v/>
      </c>
      <c r="AH343" t="str">
        <f t="shared" si="49"/>
        <v/>
      </c>
      <c r="AI343">
        <f t="shared" si="50"/>
        <v>0</v>
      </c>
      <c r="AJ343">
        <f t="shared" si="51"/>
        <v>0</v>
      </c>
      <c r="AK343">
        <v>0</v>
      </c>
      <c r="AL343" t="str">
        <f>IF(AA343="","",IFERROR(IF(ISNUMBER('Procyfloc GS50'!D344),'Procyfloc GS50'!D344,IF(ISNUMBER(SEARCH("12",'Procyfloc GS50'!D344)),EDATE(AB343,12),IF(ISNUMBER(SEARCH("6",'Procyfloc GS50'!D344)),EDATE(AB343,6),IF(ISNUMBER(SEARCH("3",'Procyfloc GS50'!D344)),EDATE(AB343,3),DATEVALUE('Procyfloc GS50'!D344))))),""))</f>
        <v/>
      </c>
      <c r="AM343" t="str">
        <f t="shared" ca="1" si="52"/>
        <v/>
      </c>
    </row>
    <row r="344" spans="27:39" x14ac:dyDescent="0.3">
      <c r="AA344" t="str">
        <f>IF(COUNTA('Procyfloc GS50'!A345,'Procyfloc GS50'!B345,'Procyfloc GS50'!C345)&gt;0,"GS50","")</f>
        <v/>
      </c>
      <c r="AB344" t="str">
        <f>IFERROR(IF(ISNUMBER('Procyfloc GS50'!A345),'Procyfloc GS50'!A345,DATEVALUE('Procyfloc GS50'!A345)),"")</f>
        <v/>
      </c>
      <c r="AC344" t="str">
        <f>IF(AA344="","",'Procyfloc GS50'!B345)</f>
        <v/>
      </c>
      <c r="AD344" t="str">
        <f>IF(AA344="","",IFERROR(1*'Procyfloc GS50'!C345,IFERROR(_xludf.NUMBERVALUE('Procyfloc GS50'!C345,".",","),IFERROR(_xludf.NUMBERVALUE('Procyfloc GS50'!C345,",","."),0))))</f>
        <v/>
      </c>
      <c r="AE344" t="str">
        <f>IF(AA344="","",'Procyfloc GS50'!J345)</f>
        <v/>
      </c>
      <c r="AF344">
        <f t="shared" si="47"/>
        <v>0</v>
      </c>
      <c r="AG344" t="str">
        <f t="shared" si="48"/>
        <v/>
      </c>
      <c r="AH344" t="str">
        <f t="shared" si="49"/>
        <v/>
      </c>
      <c r="AI344">
        <f t="shared" si="50"/>
        <v>0</v>
      </c>
      <c r="AJ344">
        <f t="shared" si="51"/>
        <v>0</v>
      </c>
      <c r="AK344">
        <v>0</v>
      </c>
      <c r="AL344" t="str">
        <f>IF(AA344="","",IFERROR(IF(ISNUMBER('Procyfloc GS50'!D345),'Procyfloc GS50'!D345,IF(ISNUMBER(SEARCH("12",'Procyfloc GS50'!D345)),EDATE(AB344,12),IF(ISNUMBER(SEARCH("6",'Procyfloc GS50'!D345)),EDATE(AB344,6),IF(ISNUMBER(SEARCH("3",'Procyfloc GS50'!D345)),EDATE(AB344,3),DATEVALUE('Procyfloc GS50'!D345))))),""))</f>
        <v/>
      </c>
      <c r="AM344" t="str">
        <f t="shared" ca="1" si="52"/>
        <v/>
      </c>
    </row>
    <row r="345" spans="27:39" x14ac:dyDescent="0.3">
      <c r="AA345" t="str">
        <f>IF(COUNTA('Procyfloc GS50'!A346,'Procyfloc GS50'!B346,'Procyfloc GS50'!C346)&gt;0,"GS50","")</f>
        <v/>
      </c>
      <c r="AB345" t="str">
        <f>IFERROR(IF(ISNUMBER('Procyfloc GS50'!A346),'Procyfloc GS50'!A346,DATEVALUE('Procyfloc GS50'!A346)),"")</f>
        <v/>
      </c>
      <c r="AC345" t="str">
        <f>IF(AA345="","",'Procyfloc GS50'!B346)</f>
        <v/>
      </c>
      <c r="AD345" t="str">
        <f>IF(AA345="","",IFERROR(1*'Procyfloc GS50'!C346,IFERROR(_xludf.NUMBERVALUE('Procyfloc GS50'!C346,".",","),IFERROR(_xludf.NUMBERVALUE('Procyfloc GS50'!C346,",","."),0))))</f>
        <v/>
      </c>
      <c r="AE345" t="str">
        <f>IF(AA345="","",'Procyfloc GS50'!J346)</f>
        <v/>
      </c>
      <c r="AF345">
        <f t="shared" si="47"/>
        <v>0</v>
      </c>
      <c r="AG345" t="str">
        <f t="shared" si="48"/>
        <v/>
      </c>
      <c r="AH345" t="str">
        <f t="shared" si="49"/>
        <v/>
      </c>
      <c r="AI345">
        <f t="shared" si="50"/>
        <v>0</v>
      </c>
      <c r="AJ345">
        <f t="shared" si="51"/>
        <v>0</v>
      </c>
      <c r="AK345">
        <v>0</v>
      </c>
      <c r="AL345" t="str">
        <f>IF(AA345="","",IFERROR(IF(ISNUMBER('Procyfloc GS50'!D346),'Procyfloc GS50'!D346,IF(ISNUMBER(SEARCH("12",'Procyfloc GS50'!D346)),EDATE(AB345,12),IF(ISNUMBER(SEARCH("6",'Procyfloc GS50'!D346)),EDATE(AB345,6),IF(ISNUMBER(SEARCH("3",'Procyfloc GS50'!D346)),EDATE(AB345,3),DATEVALUE('Procyfloc GS50'!D346))))),""))</f>
        <v/>
      </c>
      <c r="AM345" t="str">
        <f t="shared" ca="1" si="52"/>
        <v/>
      </c>
    </row>
    <row r="346" spans="27:39" x14ac:dyDescent="0.3">
      <c r="AA346" t="str">
        <f>IF(COUNTA('Procyfloc GS50'!A347,'Procyfloc GS50'!B347,'Procyfloc GS50'!C347)&gt;0,"GS50","")</f>
        <v/>
      </c>
      <c r="AB346" t="str">
        <f>IFERROR(IF(ISNUMBER('Procyfloc GS50'!A347),'Procyfloc GS50'!A347,DATEVALUE('Procyfloc GS50'!A347)),"")</f>
        <v/>
      </c>
      <c r="AC346" t="str">
        <f>IF(AA346="","",'Procyfloc GS50'!B347)</f>
        <v/>
      </c>
      <c r="AD346" t="str">
        <f>IF(AA346="","",IFERROR(1*'Procyfloc GS50'!C347,IFERROR(_xludf.NUMBERVALUE('Procyfloc GS50'!C347,".",","),IFERROR(_xludf.NUMBERVALUE('Procyfloc GS50'!C347,",","."),0))))</f>
        <v/>
      </c>
      <c r="AE346" t="str">
        <f>IF(AA346="","",'Procyfloc GS50'!J347)</f>
        <v/>
      </c>
      <c r="AF346">
        <f t="shared" si="47"/>
        <v>0</v>
      </c>
      <c r="AG346" t="str">
        <f t="shared" si="48"/>
        <v/>
      </c>
      <c r="AH346" t="str">
        <f t="shared" si="49"/>
        <v/>
      </c>
      <c r="AI346">
        <f t="shared" si="50"/>
        <v>0</v>
      </c>
      <c r="AJ346">
        <f t="shared" si="51"/>
        <v>0</v>
      </c>
      <c r="AK346">
        <v>0</v>
      </c>
      <c r="AL346" t="str">
        <f>IF(AA346="","",IFERROR(IF(ISNUMBER('Procyfloc GS50'!D347),'Procyfloc GS50'!D347,IF(ISNUMBER(SEARCH("12",'Procyfloc GS50'!D347)),EDATE(AB346,12),IF(ISNUMBER(SEARCH("6",'Procyfloc GS50'!D347)),EDATE(AB346,6),IF(ISNUMBER(SEARCH("3",'Procyfloc GS50'!D347)),EDATE(AB346,3),DATEVALUE('Procyfloc GS50'!D347))))),""))</f>
        <v/>
      </c>
      <c r="AM346" t="str">
        <f t="shared" ca="1" si="52"/>
        <v/>
      </c>
    </row>
    <row r="347" spans="27:39" x14ac:dyDescent="0.3">
      <c r="AA347" t="str">
        <f>IF(COUNTA('Procyfloc GS50'!A348,'Procyfloc GS50'!B348,'Procyfloc GS50'!C348)&gt;0,"GS50","")</f>
        <v/>
      </c>
      <c r="AB347" t="str">
        <f>IFERROR(IF(ISNUMBER('Procyfloc GS50'!A348),'Procyfloc GS50'!A348,DATEVALUE('Procyfloc GS50'!A348)),"")</f>
        <v/>
      </c>
      <c r="AC347" t="str">
        <f>IF(AA347="","",'Procyfloc GS50'!B348)</f>
        <v/>
      </c>
      <c r="AD347" t="str">
        <f>IF(AA347="","",IFERROR(1*'Procyfloc GS50'!C348,IFERROR(_xludf.NUMBERVALUE('Procyfloc GS50'!C348,".",","),IFERROR(_xludf.NUMBERVALUE('Procyfloc GS50'!C348,",","."),0))))</f>
        <v/>
      </c>
      <c r="AE347" t="str">
        <f>IF(AA347="","",'Procyfloc GS50'!J348)</f>
        <v/>
      </c>
      <c r="AF347">
        <f t="shared" si="47"/>
        <v>0</v>
      </c>
      <c r="AG347" t="str">
        <f t="shared" si="48"/>
        <v/>
      </c>
      <c r="AH347" t="str">
        <f t="shared" si="49"/>
        <v/>
      </c>
      <c r="AI347">
        <f t="shared" si="50"/>
        <v>0</v>
      </c>
      <c r="AJ347">
        <f t="shared" si="51"/>
        <v>0</v>
      </c>
      <c r="AK347">
        <v>0</v>
      </c>
      <c r="AL347" t="str">
        <f>IF(AA347="","",IFERROR(IF(ISNUMBER('Procyfloc GS50'!D348),'Procyfloc GS50'!D348,IF(ISNUMBER(SEARCH("12",'Procyfloc GS50'!D348)),EDATE(AB347,12),IF(ISNUMBER(SEARCH("6",'Procyfloc GS50'!D348)),EDATE(AB347,6),IF(ISNUMBER(SEARCH("3",'Procyfloc GS50'!D348)),EDATE(AB347,3),DATEVALUE('Procyfloc GS50'!D348))))),""))</f>
        <v/>
      </c>
      <c r="AM347" t="str">
        <f t="shared" ca="1" si="52"/>
        <v/>
      </c>
    </row>
    <row r="348" spans="27:39" x14ac:dyDescent="0.3">
      <c r="AA348" t="str">
        <f>IF(COUNTA('Procyfloc GS50'!A349,'Procyfloc GS50'!B349,'Procyfloc GS50'!C349)&gt;0,"GS50","")</f>
        <v/>
      </c>
      <c r="AB348" t="str">
        <f>IFERROR(IF(ISNUMBER('Procyfloc GS50'!A349),'Procyfloc GS50'!A349,DATEVALUE('Procyfloc GS50'!A349)),"")</f>
        <v/>
      </c>
      <c r="AC348" t="str">
        <f>IF(AA348="","",'Procyfloc GS50'!B349)</f>
        <v/>
      </c>
      <c r="AD348" t="str">
        <f>IF(AA348="","",IFERROR(1*'Procyfloc GS50'!C349,IFERROR(_xludf.NUMBERVALUE('Procyfloc GS50'!C349,".",","),IFERROR(_xludf.NUMBERVALUE('Procyfloc GS50'!C349,",","."),0))))</f>
        <v/>
      </c>
      <c r="AE348" t="str">
        <f>IF(AA348="","",'Procyfloc GS50'!J349)</f>
        <v/>
      </c>
      <c r="AF348">
        <f t="shared" si="47"/>
        <v>0</v>
      </c>
      <c r="AG348" t="str">
        <f t="shared" si="48"/>
        <v/>
      </c>
      <c r="AH348" t="str">
        <f t="shared" si="49"/>
        <v/>
      </c>
      <c r="AI348">
        <f t="shared" si="50"/>
        <v>0</v>
      </c>
      <c r="AJ348">
        <f t="shared" si="51"/>
        <v>0</v>
      </c>
      <c r="AK348">
        <v>0</v>
      </c>
      <c r="AL348" t="str">
        <f>IF(AA348="","",IFERROR(IF(ISNUMBER('Procyfloc GS50'!D349),'Procyfloc GS50'!D349,IF(ISNUMBER(SEARCH("12",'Procyfloc GS50'!D349)),EDATE(AB348,12),IF(ISNUMBER(SEARCH("6",'Procyfloc GS50'!D349)),EDATE(AB348,6),IF(ISNUMBER(SEARCH("3",'Procyfloc GS50'!D349)),EDATE(AB348,3),DATEVALUE('Procyfloc GS50'!D349))))),""))</f>
        <v/>
      </c>
      <c r="AM348" t="str">
        <f t="shared" ca="1" si="52"/>
        <v/>
      </c>
    </row>
    <row r="349" spans="27:39" x14ac:dyDescent="0.3">
      <c r="AA349" t="str">
        <f>IF(COUNTA('Procyfloc GS50'!A350,'Procyfloc GS50'!B350,'Procyfloc GS50'!C350)&gt;0,"GS50","")</f>
        <v/>
      </c>
      <c r="AB349" t="str">
        <f>IFERROR(IF(ISNUMBER('Procyfloc GS50'!A350),'Procyfloc GS50'!A350,DATEVALUE('Procyfloc GS50'!A350)),"")</f>
        <v/>
      </c>
      <c r="AC349" t="str">
        <f>IF(AA349="","",'Procyfloc GS50'!B350)</f>
        <v/>
      </c>
      <c r="AD349" t="str">
        <f>IF(AA349="","",IFERROR(1*'Procyfloc GS50'!C350,IFERROR(_xludf.NUMBERVALUE('Procyfloc GS50'!C350,".",","),IFERROR(_xludf.NUMBERVALUE('Procyfloc GS50'!C350,",","."),0))))</f>
        <v/>
      </c>
      <c r="AE349" t="str">
        <f>IF(AA349="","",'Procyfloc GS50'!J350)</f>
        <v/>
      </c>
      <c r="AF349">
        <f t="shared" si="47"/>
        <v>0</v>
      </c>
      <c r="AG349" t="str">
        <f t="shared" si="48"/>
        <v/>
      </c>
      <c r="AH349" t="str">
        <f t="shared" si="49"/>
        <v/>
      </c>
      <c r="AI349">
        <f t="shared" si="50"/>
        <v>0</v>
      </c>
      <c r="AJ349">
        <f t="shared" si="51"/>
        <v>0</v>
      </c>
      <c r="AK349">
        <v>0</v>
      </c>
      <c r="AL349" t="str">
        <f>IF(AA349="","",IFERROR(IF(ISNUMBER('Procyfloc GS50'!D350),'Procyfloc GS50'!D350,IF(ISNUMBER(SEARCH("12",'Procyfloc GS50'!D350)),EDATE(AB349,12),IF(ISNUMBER(SEARCH("6",'Procyfloc GS50'!D350)),EDATE(AB349,6),IF(ISNUMBER(SEARCH("3",'Procyfloc GS50'!D350)),EDATE(AB349,3),DATEVALUE('Procyfloc GS50'!D350))))),""))</f>
        <v/>
      </c>
      <c r="AM349" t="str">
        <f t="shared" ca="1" si="52"/>
        <v/>
      </c>
    </row>
    <row r="350" spans="27:39" x14ac:dyDescent="0.3">
      <c r="AA350" t="str">
        <f>IF(COUNTA('Procyfloc GS50'!A351,'Procyfloc GS50'!B351,'Procyfloc GS50'!C351)&gt;0,"GS50","")</f>
        <v/>
      </c>
      <c r="AB350" t="str">
        <f>IFERROR(IF(ISNUMBER('Procyfloc GS50'!A351),'Procyfloc GS50'!A351,DATEVALUE('Procyfloc GS50'!A351)),"")</f>
        <v/>
      </c>
      <c r="AC350" t="str">
        <f>IF(AA350="","",'Procyfloc GS50'!B351)</f>
        <v/>
      </c>
      <c r="AD350" t="str">
        <f>IF(AA350="","",IFERROR(1*'Procyfloc GS50'!C351,IFERROR(_xludf.NUMBERVALUE('Procyfloc GS50'!C351,".",","),IFERROR(_xludf.NUMBERVALUE('Procyfloc GS50'!C351,",","."),0))))</f>
        <v/>
      </c>
      <c r="AE350" t="str">
        <f>IF(AA350="","",'Procyfloc GS50'!J351)</f>
        <v/>
      </c>
      <c r="AF350">
        <f t="shared" si="47"/>
        <v>0</v>
      </c>
      <c r="AG350" t="str">
        <f t="shared" si="48"/>
        <v/>
      </c>
      <c r="AH350" t="str">
        <f t="shared" si="49"/>
        <v/>
      </c>
      <c r="AI350">
        <f t="shared" si="50"/>
        <v>0</v>
      </c>
      <c r="AJ350">
        <f t="shared" si="51"/>
        <v>0</v>
      </c>
      <c r="AK350">
        <v>0</v>
      </c>
      <c r="AL350" t="str">
        <f>IF(AA350="","",IFERROR(IF(ISNUMBER('Procyfloc GS50'!D351),'Procyfloc GS50'!D351,IF(ISNUMBER(SEARCH("12",'Procyfloc GS50'!D351)),EDATE(AB350,12),IF(ISNUMBER(SEARCH("6",'Procyfloc GS50'!D351)),EDATE(AB350,6),IF(ISNUMBER(SEARCH("3",'Procyfloc GS50'!D351)),EDATE(AB350,3),DATEVALUE('Procyfloc GS50'!D351))))),""))</f>
        <v/>
      </c>
      <c r="AM350" t="str">
        <f t="shared" ca="1" si="52"/>
        <v/>
      </c>
    </row>
    <row r="351" spans="27:39" x14ac:dyDescent="0.3">
      <c r="AA351" t="str">
        <f>IF(COUNTA('Procyfloc GS50'!A352,'Procyfloc GS50'!B352,'Procyfloc GS50'!C352)&gt;0,"GS50","")</f>
        <v/>
      </c>
      <c r="AB351" t="str">
        <f>IFERROR(IF(ISNUMBER('Procyfloc GS50'!A352),'Procyfloc GS50'!A352,DATEVALUE('Procyfloc GS50'!A352)),"")</f>
        <v/>
      </c>
      <c r="AC351" t="str">
        <f>IF(AA351="","",'Procyfloc GS50'!B352)</f>
        <v/>
      </c>
      <c r="AD351" t="str">
        <f>IF(AA351="","",IFERROR(1*'Procyfloc GS50'!C352,IFERROR(_xludf.NUMBERVALUE('Procyfloc GS50'!C352,".",","),IFERROR(_xludf.NUMBERVALUE('Procyfloc GS50'!C352,",","."),0))))</f>
        <v/>
      </c>
      <c r="AE351" t="str">
        <f>IF(AA351="","",'Procyfloc GS50'!J352)</f>
        <v/>
      </c>
      <c r="AF351">
        <f t="shared" si="47"/>
        <v>0</v>
      </c>
      <c r="AG351" t="str">
        <f t="shared" si="48"/>
        <v/>
      </c>
      <c r="AH351" t="str">
        <f t="shared" si="49"/>
        <v/>
      </c>
      <c r="AI351">
        <f t="shared" si="50"/>
        <v>0</v>
      </c>
      <c r="AJ351">
        <f t="shared" si="51"/>
        <v>0</v>
      </c>
      <c r="AK351">
        <v>0</v>
      </c>
      <c r="AL351" t="str">
        <f>IF(AA351="","",IFERROR(IF(ISNUMBER('Procyfloc GS50'!D352),'Procyfloc GS50'!D352,IF(ISNUMBER(SEARCH("12",'Procyfloc GS50'!D352)),EDATE(AB351,12),IF(ISNUMBER(SEARCH("6",'Procyfloc GS50'!D352)),EDATE(AB351,6),IF(ISNUMBER(SEARCH("3",'Procyfloc GS50'!D352)),EDATE(AB351,3),DATEVALUE('Procyfloc GS50'!D352))))),""))</f>
        <v/>
      </c>
      <c r="AM351" t="str">
        <f t="shared" ca="1" si="52"/>
        <v/>
      </c>
    </row>
    <row r="352" spans="27:39" x14ac:dyDescent="0.3">
      <c r="AA352" t="str">
        <f>IF(COUNTA('Procyfloc GS50'!A353,'Procyfloc GS50'!B353,'Procyfloc GS50'!C353)&gt;0,"GS50","")</f>
        <v/>
      </c>
      <c r="AB352" t="str">
        <f>IFERROR(IF(ISNUMBER('Procyfloc GS50'!A353),'Procyfloc GS50'!A353,DATEVALUE('Procyfloc GS50'!A353)),"")</f>
        <v/>
      </c>
      <c r="AC352" t="str">
        <f>IF(AA352="","",'Procyfloc GS50'!B353)</f>
        <v/>
      </c>
      <c r="AD352" t="str">
        <f>IF(AA352="","",IFERROR(1*'Procyfloc GS50'!C353,IFERROR(_xludf.NUMBERVALUE('Procyfloc GS50'!C353,".",","),IFERROR(_xludf.NUMBERVALUE('Procyfloc GS50'!C353,",","."),0))))</f>
        <v/>
      </c>
      <c r="AE352" t="str">
        <f>IF(AA352="","",'Procyfloc GS50'!J353)</f>
        <v/>
      </c>
      <c r="AF352">
        <f t="shared" si="47"/>
        <v>0</v>
      </c>
      <c r="AG352" t="str">
        <f t="shared" si="48"/>
        <v/>
      </c>
      <c r="AH352" t="str">
        <f t="shared" si="49"/>
        <v/>
      </c>
      <c r="AI352">
        <f t="shared" si="50"/>
        <v>0</v>
      </c>
      <c r="AJ352">
        <f t="shared" si="51"/>
        <v>0</v>
      </c>
      <c r="AK352">
        <v>0</v>
      </c>
      <c r="AL352" t="str">
        <f>IF(AA352="","",IFERROR(IF(ISNUMBER('Procyfloc GS50'!D353),'Procyfloc GS50'!D353,IF(ISNUMBER(SEARCH("12",'Procyfloc GS50'!D353)),EDATE(AB352,12),IF(ISNUMBER(SEARCH("6",'Procyfloc GS50'!D353)),EDATE(AB352,6),IF(ISNUMBER(SEARCH("3",'Procyfloc GS50'!D353)),EDATE(AB352,3),DATEVALUE('Procyfloc GS50'!D353))))),""))</f>
        <v/>
      </c>
      <c r="AM352" t="str">
        <f t="shared" ca="1" si="52"/>
        <v/>
      </c>
    </row>
    <row r="353" spans="27:39" x14ac:dyDescent="0.3">
      <c r="AA353" t="str">
        <f>IF(COUNTA('Procyfloc GS50'!A354,'Procyfloc GS50'!B354,'Procyfloc GS50'!C354)&gt;0,"GS50","")</f>
        <v/>
      </c>
      <c r="AB353" t="str">
        <f>IFERROR(IF(ISNUMBER('Procyfloc GS50'!A354),'Procyfloc GS50'!A354,DATEVALUE('Procyfloc GS50'!A354)),"")</f>
        <v/>
      </c>
      <c r="AC353" t="str">
        <f>IF(AA353="","",'Procyfloc GS50'!B354)</f>
        <v/>
      </c>
      <c r="AD353" t="str">
        <f>IF(AA353="","",IFERROR(1*'Procyfloc GS50'!C354,IFERROR(_xludf.NUMBERVALUE('Procyfloc GS50'!C354,".",","),IFERROR(_xludf.NUMBERVALUE('Procyfloc GS50'!C354,",","."),0))))</f>
        <v/>
      </c>
      <c r="AE353" t="str">
        <f>IF(AA353="","",'Procyfloc GS50'!J354)</f>
        <v/>
      </c>
      <c r="AF353">
        <f t="shared" si="47"/>
        <v>0</v>
      </c>
      <c r="AG353" t="str">
        <f t="shared" si="48"/>
        <v/>
      </c>
      <c r="AH353" t="str">
        <f t="shared" si="49"/>
        <v/>
      </c>
      <c r="AI353">
        <f t="shared" si="50"/>
        <v>0</v>
      </c>
      <c r="AJ353">
        <f t="shared" si="51"/>
        <v>0</v>
      </c>
      <c r="AK353">
        <v>0</v>
      </c>
      <c r="AL353" t="str">
        <f>IF(AA353="","",IFERROR(IF(ISNUMBER('Procyfloc GS50'!D354),'Procyfloc GS50'!D354,IF(ISNUMBER(SEARCH("12",'Procyfloc GS50'!D354)),EDATE(AB353,12),IF(ISNUMBER(SEARCH("6",'Procyfloc GS50'!D354)),EDATE(AB353,6),IF(ISNUMBER(SEARCH("3",'Procyfloc GS50'!D354)),EDATE(AB353,3),DATEVALUE('Procyfloc GS50'!D354))))),""))</f>
        <v/>
      </c>
      <c r="AM353" t="str">
        <f t="shared" ca="1" si="52"/>
        <v/>
      </c>
    </row>
    <row r="354" spans="27:39" x14ac:dyDescent="0.3">
      <c r="AA354" t="str">
        <f>IF(COUNTA('Procyfloc GS50'!A355,'Procyfloc GS50'!B355,'Procyfloc GS50'!C355)&gt;0,"GS50","")</f>
        <v/>
      </c>
      <c r="AB354" t="str">
        <f>IFERROR(IF(ISNUMBER('Procyfloc GS50'!A355),'Procyfloc GS50'!A355,DATEVALUE('Procyfloc GS50'!A355)),"")</f>
        <v/>
      </c>
      <c r="AC354" t="str">
        <f>IF(AA354="","",'Procyfloc GS50'!B355)</f>
        <v/>
      </c>
      <c r="AD354" t="str">
        <f>IF(AA354="","",IFERROR(1*'Procyfloc GS50'!C355,IFERROR(_xludf.NUMBERVALUE('Procyfloc GS50'!C355,".",","),IFERROR(_xludf.NUMBERVALUE('Procyfloc GS50'!C355,",","."),0))))</f>
        <v/>
      </c>
      <c r="AE354" t="str">
        <f>IF(AA354="","",'Procyfloc GS50'!J355)</f>
        <v/>
      </c>
      <c r="AF354">
        <f t="shared" si="47"/>
        <v>0</v>
      </c>
      <c r="AG354" t="str">
        <f t="shared" si="48"/>
        <v/>
      </c>
      <c r="AH354" t="str">
        <f t="shared" si="49"/>
        <v/>
      </c>
      <c r="AI354">
        <f t="shared" si="50"/>
        <v>0</v>
      </c>
      <c r="AJ354">
        <f t="shared" si="51"/>
        <v>0</v>
      </c>
      <c r="AK354">
        <v>0</v>
      </c>
      <c r="AL354" t="str">
        <f>IF(AA354="","",IFERROR(IF(ISNUMBER('Procyfloc GS50'!D355),'Procyfloc GS50'!D355,IF(ISNUMBER(SEARCH("12",'Procyfloc GS50'!D355)),EDATE(AB354,12),IF(ISNUMBER(SEARCH("6",'Procyfloc GS50'!D355)),EDATE(AB354,6),IF(ISNUMBER(SEARCH("3",'Procyfloc GS50'!D355)),EDATE(AB354,3),DATEVALUE('Procyfloc GS50'!D355))))),""))</f>
        <v/>
      </c>
      <c r="AM354" t="str">
        <f t="shared" ca="1" si="52"/>
        <v/>
      </c>
    </row>
    <row r="355" spans="27:39" x14ac:dyDescent="0.3">
      <c r="AA355" t="str">
        <f>IF(COUNTA('Procyfloc GS50'!A356,'Procyfloc GS50'!B356,'Procyfloc GS50'!C356)&gt;0,"GS50","")</f>
        <v/>
      </c>
      <c r="AB355" t="str">
        <f>IFERROR(IF(ISNUMBER('Procyfloc GS50'!A356),'Procyfloc GS50'!A356,DATEVALUE('Procyfloc GS50'!A356)),"")</f>
        <v/>
      </c>
      <c r="AC355" t="str">
        <f>IF(AA355="","",'Procyfloc GS50'!B356)</f>
        <v/>
      </c>
      <c r="AD355" t="str">
        <f>IF(AA355="","",IFERROR(1*'Procyfloc GS50'!C356,IFERROR(_xludf.NUMBERVALUE('Procyfloc GS50'!C356,".",","),IFERROR(_xludf.NUMBERVALUE('Procyfloc GS50'!C356,",","."),0))))</f>
        <v/>
      </c>
      <c r="AE355" t="str">
        <f>IF(AA355="","",'Procyfloc GS50'!J356)</f>
        <v/>
      </c>
      <c r="AF355">
        <f t="shared" si="47"/>
        <v>0</v>
      </c>
      <c r="AG355" t="str">
        <f t="shared" si="48"/>
        <v/>
      </c>
      <c r="AH355" t="str">
        <f t="shared" si="49"/>
        <v/>
      </c>
      <c r="AI355">
        <f t="shared" si="50"/>
        <v>0</v>
      </c>
      <c r="AJ355">
        <f t="shared" si="51"/>
        <v>0</v>
      </c>
      <c r="AK355">
        <v>0</v>
      </c>
      <c r="AL355" t="str">
        <f>IF(AA355="","",IFERROR(IF(ISNUMBER('Procyfloc GS50'!D356),'Procyfloc GS50'!D356,IF(ISNUMBER(SEARCH("12",'Procyfloc GS50'!D356)),EDATE(AB355,12),IF(ISNUMBER(SEARCH("6",'Procyfloc GS50'!D356)),EDATE(AB355,6),IF(ISNUMBER(SEARCH("3",'Procyfloc GS50'!D356)),EDATE(AB355,3),DATEVALUE('Procyfloc GS50'!D356))))),""))</f>
        <v/>
      </c>
      <c r="AM355" t="str">
        <f t="shared" ca="1" si="52"/>
        <v/>
      </c>
    </row>
    <row r="356" spans="27:39" x14ac:dyDescent="0.3">
      <c r="AA356" t="str">
        <f>IF(COUNTA('Procyfloc GS50'!A357,'Procyfloc GS50'!B357,'Procyfloc GS50'!C357)&gt;0,"GS50","")</f>
        <v/>
      </c>
      <c r="AB356" t="str">
        <f>IFERROR(IF(ISNUMBER('Procyfloc GS50'!A357),'Procyfloc GS50'!A357,DATEVALUE('Procyfloc GS50'!A357)),"")</f>
        <v/>
      </c>
      <c r="AC356" t="str">
        <f>IF(AA356="","",'Procyfloc GS50'!B357)</f>
        <v/>
      </c>
      <c r="AD356" t="str">
        <f>IF(AA356="","",IFERROR(1*'Procyfloc GS50'!C357,IFERROR(_xludf.NUMBERVALUE('Procyfloc GS50'!C357,".",","),IFERROR(_xludf.NUMBERVALUE('Procyfloc GS50'!C357,",","."),0))))</f>
        <v/>
      </c>
      <c r="AE356" t="str">
        <f>IF(AA356="","",'Procyfloc GS50'!J357)</f>
        <v/>
      </c>
      <c r="AF356">
        <f t="shared" si="47"/>
        <v>0</v>
      </c>
      <c r="AG356" t="str">
        <f t="shared" si="48"/>
        <v/>
      </c>
      <c r="AH356" t="str">
        <f t="shared" si="49"/>
        <v/>
      </c>
      <c r="AI356">
        <f t="shared" si="50"/>
        <v>0</v>
      </c>
      <c r="AJ356">
        <f t="shared" si="51"/>
        <v>0</v>
      </c>
      <c r="AK356">
        <v>0</v>
      </c>
      <c r="AL356" t="str">
        <f>IF(AA356="","",IFERROR(IF(ISNUMBER('Procyfloc GS50'!D357),'Procyfloc GS50'!D357,IF(ISNUMBER(SEARCH("12",'Procyfloc GS50'!D357)),EDATE(AB356,12),IF(ISNUMBER(SEARCH("6",'Procyfloc GS50'!D357)),EDATE(AB356,6),IF(ISNUMBER(SEARCH("3",'Procyfloc GS50'!D357)),EDATE(AB356,3),DATEVALUE('Procyfloc GS50'!D357))))),""))</f>
        <v/>
      </c>
      <c r="AM356" t="str">
        <f t="shared" ca="1" si="52"/>
        <v/>
      </c>
    </row>
    <row r="357" spans="27:39" x14ac:dyDescent="0.3">
      <c r="AA357" t="str">
        <f>IF(COUNTA('Procyfloc GS50'!A358,'Procyfloc GS50'!B358,'Procyfloc GS50'!C358)&gt;0,"GS50","")</f>
        <v/>
      </c>
      <c r="AB357" t="str">
        <f>IFERROR(IF(ISNUMBER('Procyfloc GS50'!A358),'Procyfloc GS50'!A358,DATEVALUE('Procyfloc GS50'!A358)),"")</f>
        <v/>
      </c>
      <c r="AC357" t="str">
        <f>IF(AA357="","",'Procyfloc GS50'!B358)</f>
        <v/>
      </c>
      <c r="AD357" t="str">
        <f>IF(AA357="","",IFERROR(1*'Procyfloc GS50'!C358,IFERROR(_xludf.NUMBERVALUE('Procyfloc GS50'!C358,".",","),IFERROR(_xludf.NUMBERVALUE('Procyfloc GS50'!C358,",","."),0))))</f>
        <v/>
      </c>
      <c r="AE357" t="str">
        <f>IF(AA357="","",'Procyfloc GS50'!J358)</f>
        <v/>
      </c>
      <c r="AF357">
        <f t="shared" si="47"/>
        <v>0</v>
      </c>
      <c r="AG357" t="str">
        <f t="shared" si="48"/>
        <v/>
      </c>
      <c r="AH357" t="str">
        <f t="shared" si="49"/>
        <v/>
      </c>
      <c r="AI357">
        <f t="shared" si="50"/>
        <v>0</v>
      </c>
      <c r="AJ357">
        <f t="shared" si="51"/>
        <v>0</v>
      </c>
      <c r="AK357">
        <v>0</v>
      </c>
      <c r="AL357" t="str">
        <f>IF(AA357="","",IFERROR(IF(ISNUMBER('Procyfloc GS50'!D358),'Procyfloc GS50'!D358,IF(ISNUMBER(SEARCH("12",'Procyfloc GS50'!D358)),EDATE(AB357,12),IF(ISNUMBER(SEARCH("6",'Procyfloc GS50'!D358)),EDATE(AB357,6),IF(ISNUMBER(SEARCH("3",'Procyfloc GS50'!D358)),EDATE(AB357,3),DATEVALUE('Procyfloc GS50'!D358))))),""))</f>
        <v/>
      </c>
      <c r="AM357" t="str">
        <f t="shared" ca="1" si="52"/>
        <v/>
      </c>
    </row>
    <row r="358" spans="27:39" x14ac:dyDescent="0.3">
      <c r="AA358" t="str">
        <f>IF(COUNTA('Procyfloc GS50'!A359,'Procyfloc GS50'!B359,'Procyfloc GS50'!C359)&gt;0,"GS50","")</f>
        <v/>
      </c>
      <c r="AB358" t="str">
        <f>IFERROR(IF(ISNUMBER('Procyfloc GS50'!A359),'Procyfloc GS50'!A359,DATEVALUE('Procyfloc GS50'!A359)),"")</f>
        <v/>
      </c>
      <c r="AC358" t="str">
        <f>IF(AA358="","",'Procyfloc GS50'!B359)</f>
        <v/>
      </c>
      <c r="AD358" t="str">
        <f>IF(AA358="","",IFERROR(1*'Procyfloc GS50'!C359,IFERROR(_xludf.NUMBERVALUE('Procyfloc GS50'!C359,".",","),IFERROR(_xludf.NUMBERVALUE('Procyfloc GS50'!C359,",","."),0))))</f>
        <v/>
      </c>
      <c r="AE358" t="str">
        <f>IF(AA358="","",'Procyfloc GS50'!J359)</f>
        <v/>
      </c>
      <c r="AF358">
        <f t="shared" si="47"/>
        <v>0</v>
      </c>
      <c r="AG358" t="str">
        <f t="shared" si="48"/>
        <v/>
      </c>
      <c r="AH358" t="str">
        <f t="shared" si="49"/>
        <v/>
      </c>
      <c r="AI358">
        <f t="shared" si="50"/>
        <v>0</v>
      </c>
      <c r="AJ358">
        <f t="shared" si="51"/>
        <v>0</v>
      </c>
      <c r="AK358">
        <v>0</v>
      </c>
      <c r="AL358" t="str">
        <f>IF(AA358="","",IFERROR(IF(ISNUMBER('Procyfloc GS50'!D359),'Procyfloc GS50'!D359,IF(ISNUMBER(SEARCH("12",'Procyfloc GS50'!D359)),EDATE(AB358,12),IF(ISNUMBER(SEARCH("6",'Procyfloc GS50'!D359)),EDATE(AB358,6),IF(ISNUMBER(SEARCH("3",'Procyfloc GS50'!D359)),EDATE(AB358,3),DATEVALUE('Procyfloc GS50'!D359))))),""))</f>
        <v/>
      </c>
      <c r="AM358" t="str">
        <f t="shared" ca="1" si="52"/>
        <v/>
      </c>
    </row>
    <row r="359" spans="27:39" x14ac:dyDescent="0.3">
      <c r="AA359" t="str">
        <f>IF(COUNTA('Procyfloc GS50'!A360,'Procyfloc GS50'!B360,'Procyfloc GS50'!C360)&gt;0,"GS50","")</f>
        <v/>
      </c>
      <c r="AB359" t="str">
        <f>IFERROR(IF(ISNUMBER('Procyfloc GS50'!A360),'Procyfloc GS50'!A360,DATEVALUE('Procyfloc GS50'!A360)),"")</f>
        <v/>
      </c>
      <c r="AC359" t="str">
        <f>IF(AA359="","",'Procyfloc GS50'!B360)</f>
        <v/>
      </c>
      <c r="AD359" t="str">
        <f>IF(AA359="","",IFERROR(1*'Procyfloc GS50'!C360,IFERROR(_xludf.NUMBERVALUE('Procyfloc GS50'!C360,".",","),IFERROR(_xludf.NUMBERVALUE('Procyfloc GS50'!C360,",","."),0))))</f>
        <v/>
      </c>
      <c r="AE359" t="str">
        <f>IF(AA359="","",'Procyfloc GS50'!J360)</f>
        <v/>
      </c>
      <c r="AF359">
        <f t="shared" si="47"/>
        <v>0</v>
      </c>
      <c r="AG359" t="str">
        <f t="shared" si="48"/>
        <v/>
      </c>
      <c r="AH359" t="str">
        <f t="shared" si="49"/>
        <v/>
      </c>
      <c r="AI359">
        <f t="shared" si="50"/>
        <v>0</v>
      </c>
      <c r="AJ359">
        <f t="shared" si="51"/>
        <v>0</v>
      </c>
      <c r="AK359">
        <v>0</v>
      </c>
      <c r="AL359" t="str">
        <f>IF(AA359="","",IFERROR(IF(ISNUMBER('Procyfloc GS50'!D360),'Procyfloc GS50'!D360,IF(ISNUMBER(SEARCH("12",'Procyfloc GS50'!D360)),EDATE(AB359,12),IF(ISNUMBER(SEARCH("6",'Procyfloc GS50'!D360)),EDATE(AB359,6),IF(ISNUMBER(SEARCH("3",'Procyfloc GS50'!D360)),EDATE(AB359,3),DATEVALUE('Procyfloc GS50'!D360))))),""))</f>
        <v/>
      </c>
      <c r="AM359" t="str">
        <f t="shared" ca="1" si="52"/>
        <v/>
      </c>
    </row>
    <row r="360" spans="27:39" x14ac:dyDescent="0.3">
      <c r="AA360" t="str">
        <f>IF(COUNTA('Procyfloc GS50'!A361,'Procyfloc GS50'!B361,'Procyfloc GS50'!C361)&gt;0,"GS50","")</f>
        <v/>
      </c>
      <c r="AB360" t="str">
        <f>IFERROR(IF(ISNUMBER('Procyfloc GS50'!A361),'Procyfloc GS50'!A361,DATEVALUE('Procyfloc GS50'!A361)),"")</f>
        <v/>
      </c>
      <c r="AC360" t="str">
        <f>IF(AA360="","",'Procyfloc GS50'!B361)</f>
        <v/>
      </c>
      <c r="AD360" t="str">
        <f>IF(AA360="","",IFERROR(1*'Procyfloc GS50'!C361,IFERROR(_xludf.NUMBERVALUE('Procyfloc GS50'!C361,".",","),IFERROR(_xludf.NUMBERVALUE('Procyfloc GS50'!C361,",","."),0))))</f>
        <v/>
      </c>
      <c r="AE360" t="str">
        <f>IF(AA360="","",'Procyfloc GS50'!J361)</f>
        <v/>
      </c>
      <c r="AF360">
        <f t="shared" si="47"/>
        <v>0</v>
      </c>
      <c r="AG360" t="str">
        <f t="shared" si="48"/>
        <v/>
      </c>
      <c r="AH360" t="str">
        <f t="shared" si="49"/>
        <v/>
      </c>
      <c r="AI360">
        <f t="shared" si="50"/>
        <v>0</v>
      </c>
      <c r="AJ360">
        <f t="shared" si="51"/>
        <v>0</v>
      </c>
      <c r="AK360">
        <v>0</v>
      </c>
      <c r="AL360" t="str">
        <f>IF(AA360="","",IFERROR(IF(ISNUMBER('Procyfloc GS50'!D361),'Procyfloc GS50'!D361,IF(ISNUMBER(SEARCH("12",'Procyfloc GS50'!D361)),EDATE(AB360,12),IF(ISNUMBER(SEARCH("6",'Procyfloc GS50'!D361)),EDATE(AB360,6),IF(ISNUMBER(SEARCH("3",'Procyfloc GS50'!D361)),EDATE(AB360,3),DATEVALUE('Procyfloc GS50'!D361))))),""))</f>
        <v/>
      </c>
      <c r="AM360" t="str">
        <f t="shared" ca="1" si="52"/>
        <v/>
      </c>
    </row>
    <row r="361" spans="27:39" x14ac:dyDescent="0.3">
      <c r="AA361" t="str">
        <f>IF(COUNTA('Procyfloc GS50'!A362,'Procyfloc GS50'!B362,'Procyfloc GS50'!C362)&gt;0,"GS50","")</f>
        <v/>
      </c>
      <c r="AB361" t="str">
        <f>IFERROR(IF(ISNUMBER('Procyfloc GS50'!A362),'Procyfloc GS50'!A362,DATEVALUE('Procyfloc GS50'!A362)),"")</f>
        <v/>
      </c>
      <c r="AC361" t="str">
        <f>IF(AA361="","",'Procyfloc GS50'!B362)</f>
        <v/>
      </c>
      <c r="AD361" t="str">
        <f>IF(AA361="","",IFERROR(1*'Procyfloc GS50'!C362,IFERROR(_xludf.NUMBERVALUE('Procyfloc GS50'!C362,".",","),IFERROR(_xludf.NUMBERVALUE('Procyfloc GS50'!C362,",","."),0))))</f>
        <v/>
      </c>
      <c r="AE361" t="str">
        <f>IF(AA361="","",'Procyfloc GS50'!J362)</f>
        <v/>
      </c>
      <c r="AF361">
        <f t="shared" si="47"/>
        <v>0</v>
      </c>
      <c r="AG361" t="str">
        <f t="shared" si="48"/>
        <v/>
      </c>
      <c r="AH361" t="str">
        <f t="shared" si="49"/>
        <v/>
      </c>
      <c r="AI361">
        <f t="shared" si="50"/>
        <v>0</v>
      </c>
      <c r="AJ361">
        <f t="shared" si="51"/>
        <v>0</v>
      </c>
      <c r="AK361">
        <v>0</v>
      </c>
      <c r="AL361" t="str">
        <f>IF(AA361="","",IFERROR(IF(ISNUMBER('Procyfloc GS50'!D362),'Procyfloc GS50'!D362,IF(ISNUMBER(SEARCH("12",'Procyfloc GS50'!D362)),EDATE(AB361,12),IF(ISNUMBER(SEARCH("6",'Procyfloc GS50'!D362)),EDATE(AB361,6),IF(ISNUMBER(SEARCH("3",'Procyfloc GS50'!D362)),EDATE(AB361,3),DATEVALUE('Procyfloc GS50'!D362))))),""))</f>
        <v/>
      </c>
      <c r="AM361" t="str">
        <f t="shared" ca="1" si="52"/>
        <v/>
      </c>
    </row>
    <row r="362" spans="27:39" x14ac:dyDescent="0.3">
      <c r="AA362" t="str">
        <f>IF(COUNTA('Procyfloc GS50'!A363,'Procyfloc GS50'!B363,'Procyfloc GS50'!C363)&gt;0,"GS50","")</f>
        <v/>
      </c>
      <c r="AB362" t="str">
        <f>IFERROR(IF(ISNUMBER('Procyfloc GS50'!A363),'Procyfloc GS50'!A363,DATEVALUE('Procyfloc GS50'!A363)),"")</f>
        <v/>
      </c>
      <c r="AC362" t="str">
        <f>IF(AA362="","",'Procyfloc GS50'!B363)</f>
        <v/>
      </c>
      <c r="AD362" t="str">
        <f>IF(AA362="","",IFERROR(1*'Procyfloc GS50'!C363,IFERROR(_xludf.NUMBERVALUE('Procyfloc GS50'!C363,".",","),IFERROR(_xludf.NUMBERVALUE('Procyfloc GS50'!C363,",","."),0))))</f>
        <v/>
      </c>
      <c r="AE362" t="str">
        <f>IF(AA362="","",'Procyfloc GS50'!J363)</f>
        <v/>
      </c>
      <c r="AF362">
        <f t="shared" si="47"/>
        <v>0</v>
      </c>
      <c r="AG362" t="str">
        <f t="shared" si="48"/>
        <v/>
      </c>
      <c r="AH362" t="str">
        <f t="shared" si="49"/>
        <v/>
      </c>
      <c r="AI362">
        <f t="shared" si="50"/>
        <v>0</v>
      </c>
      <c r="AJ362">
        <f t="shared" si="51"/>
        <v>0</v>
      </c>
      <c r="AK362">
        <v>0</v>
      </c>
      <c r="AL362" t="str">
        <f>IF(AA362="","",IFERROR(IF(ISNUMBER('Procyfloc GS50'!D363),'Procyfloc GS50'!D363,IF(ISNUMBER(SEARCH("12",'Procyfloc GS50'!D363)),EDATE(AB362,12),IF(ISNUMBER(SEARCH("6",'Procyfloc GS50'!D363)),EDATE(AB362,6),IF(ISNUMBER(SEARCH("3",'Procyfloc GS50'!D363)),EDATE(AB362,3),DATEVALUE('Procyfloc GS50'!D363))))),""))</f>
        <v/>
      </c>
      <c r="AM362" t="str">
        <f t="shared" ca="1" si="52"/>
        <v/>
      </c>
    </row>
    <row r="363" spans="27:39" x14ac:dyDescent="0.3">
      <c r="AA363" t="str">
        <f>IF(COUNTA('Procyfloc GS50'!A364,'Procyfloc GS50'!B364,'Procyfloc GS50'!C364)&gt;0,"GS50","")</f>
        <v/>
      </c>
      <c r="AB363" t="str">
        <f>IFERROR(IF(ISNUMBER('Procyfloc GS50'!A364),'Procyfloc GS50'!A364,DATEVALUE('Procyfloc GS50'!A364)),"")</f>
        <v/>
      </c>
      <c r="AC363" t="str">
        <f>IF(AA363="","",'Procyfloc GS50'!B364)</f>
        <v/>
      </c>
      <c r="AD363" t="str">
        <f>IF(AA363="","",IFERROR(1*'Procyfloc GS50'!C364,IFERROR(_xludf.NUMBERVALUE('Procyfloc GS50'!C364,".",","),IFERROR(_xludf.NUMBERVALUE('Procyfloc GS50'!C364,",","."),0))))</f>
        <v/>
      </c>
      <c r="AE363" t="str">
        <f>IF(AA363="","",'Procyfloc GS50'!J364)</f>
        <v/>
      </c>
      <c r="AF363">
        <f t="shared" si="47"/>
        <v>0</v>
      </c>
      <c r="AG363" t="str">
        <f t="shared" si="48"/>
        <v/>
      </c>
      <c r="AH363" t="str">
        <f t="shared" si="49"/>
        <v/>
      </c>
      <c r="AI363">
        <f t="shared" si="50"/>
        <v>0</v>
      </c>
      <c r="AJ363">
        <f t="shared" si="51"/>
        <v>0</v>
      </c>
      <c r="AK363">
        <v>0</v>
      </c>
      <c r="AL363" t="str">
        <f>IF(AA363="","",IFERROR(IF(ISNUMBER('Procyfloc GS50'!D364),'Procyfloc GS50'!D364,IF(ISNUMBER(SEARCH("12",'Procyfloc GS50'!D364)),EDATE(AB363,12),IF(ISNUMBER(SEARCH("6",'Procyfloc GS50'!D364)),EDATE(AB363,6),IF(ISNUMBER(SEARCH("3",'Procyfloc GS50'!D364)),EDATE(AB363,3),DATEVALUE('Procyfloc GS50'!D364))))),""))</f>
        <v/>
      </c>
      <c r="AM363" t="str">
        <f t="shared" ca="1" si="52"/>
        <v/>
      </c>
    </row>
    <row r="364" spans="27:39" x14ac:dyDescent="0.3">
      <c r="AA364" t="str">
        <f>IF(COUNTA('Procyfloc GS50'!A365,'Procyfloc GS50'!B365,'Procyfloc GS50'!C365)&gt;0,"GS50","")</f>
        <v/>
      </c>
      <c r="AB364" t="str">
        <f>IFERROR(IF(ISNUMBER('Procyfloc GS50'!A365),'Procyfloc GS50'!A365,DATEVALUE('Procyfloc GS50'!A365)),"")</f>
        <v/>
      </c>
      <c r="AC364" t="str">
        <f>IF(AA364="","",'Procyfloc GS50'!B365)</f>
        <v/>
      </c>
      <c r="AD364" t="str">
        <f>IF(AA364="","",IFERROR(1*'Procyfloc GS50'!C365,IFERROR(_xludf.NUMBERVALUE('Procyfloc GS50'!C365,".",","),IFERROR(_xludf.NUMBERVALUE('Procyfloc GS50'!C365,",","."),0))))</f>
        <v/>
      </c>
      <c r="AE364" t="str">
        <f>IF(AA364="","",'Procyfloc GS50'!J365)</f>
        <v/>
      </c>
      <c r="AF364">
        <f t="shared" si="47"/>
        <v>0</v>
      </c>
      <c r="AG364" t="str">
        <f t="shared" si="48"/>
        <v/>
      </c>
      <c r="AH364" t="str">
        <f t="shared" si="49"/>
        <v/>
      </c>
      <c r="AI364">
        <f t="shared" si="50"/>
        <v>0</v>
      </c>
      <c r="AJ364">
        <f t="shared" si="51"/>
        <v>0</v>
      </c>
      <c r="AK364">
        <v>0</v>
      </c>
      <c r="AL364" t="str">
        <f>IF(AA364="","",IFERROR(IF(ISNUMBER('Procyfloc GS50'!D365),'Procyfloc GS50'!D365,IF(ISNUMBER(SEARCH("12",'Procyfloc GS50'!D365)),EDATE(AB364,12),IF(ISNUMBER(SEARCH("6",'Procyfloc GS50'!D365)),EDATE(AB364,6),IF(ISNUMBER(SEARCH("3",'Procyfloc GS50'!D365)),EDATE(AB364,3),DATEVALUE('Procyfloc GS50'!D365))))),""))</f>
        <v/>
      </c>
      <c r="AM364" t="str">
        <f t="shared" ca="1" si="52"/>
        <v/>
      </c>
    </row>
    <row r="365" spans="27:39" x14ac:dyDescent="0.3">
      <c r="AA365" t="str">
        <f>IF(COUNTA('Procyfloc GS50'!A366,'Procyfloc GS50'!B366,'Procyfloc GS50'!C366)&gt;0,"GS50","")</f>
        <v/>
      </c>
      <c r="AB365" t="str">
        <f>IFERROR(IF(ISNUMBER('Procyfloc GS50'!A366),'Procyfloc GS50'!A366,DATEVALUE('Procyfloc GS50'!A366)),"")</f>
        <v/>
      </c>
      <c r="AC365" t="str">
        <f>IF(AA365="","",'Procyfloc GS50'!B366)</f>
        <v/>
      </c>
      <c r="AD365" t="str">
        <f>IF(AA365="","",IFERROR(1*'Procyfloc GS50'!C366,IFERROR(_xludf.NUMBERVALUE('Procyfloc GS50'!C366,".",","),IFERROR(_xludf.NUMBERVALUE('Procyfloc GS50'!C366,",","."),0))))</f>
        <v/>
      </c>
      <c r="AE365" t="str">
        <f>IF(AA365="","",'Procyfloc GS50'!J366)</f>
        <v/>
      </c>
      <c r="AF365">
        <f t="shared" si="47"/>
        <v>0</v>
      </c>
      <c r="AG365" t="str">
        <f t="shared" si="48"/>
        <v/>
      </c>
      <c r="AH365" t="str">
        <f t="shared" si="49"/>
        <v/>
      </c>
      <c r="AI365">
        <f t="shared" si="50"/>
        <v>0</v>
      </c>
      <c r="AJ365">
        <f t="shared" si="51"/>
        <v>0</v>
      </c>
      <c r="AK365">
        <v>0</v>
      </c>
      <c r="AL365" t="str">
        <f>IF(AA365="","",IFERROR(IF(ISNUMBER('Procyfloc GS50'!D366),'Procyfloc GS50'!D366,IF(ISNUMBER(SEARCH("12",'Procyfloc GS50'!D366)),EDATE(AB365,12),IF(ISNUMBER(SEARCH("6",'Procyfloc GS50'!D366)),EDATE(AB365,6),IF(ISNUMBER(SEARCH("3",'Procyfloc GS50'!D366)),EDATE(AB365,3),DATEVALUE('Procyfloc GS50'!D366))))),""))</f>
        <v/>
      </c>
      <c r="AM365" t="str">
        <f t="shared" ca="1" si="52"/>
        <v/>
      </c>
    </row>
    <row r="366" spans="27:39" x14ac:dyDescent="0.3">
      <c r="AA366" t="str">
        <f>IF(COUNTA('Procyfloc GS50'!A367,'Procyfloc GS50'!B367,'Procyfloc GS50'!C367)&gt;0,"GS50","")</f>
        <v/>
      </c>
      <c r="AB366" t="str">
        <f>IFERROR(IF(ISNUMBER('Procyfloc GS50'!A367),'Procyfloc GS50'!A367,DATEVALUE('Procyfloc GS50'!A367)),"")</f>
        <v/>
      </c>
      <c r="AC366" t="str">
        <f>IF(AA366="","",'Procyfloc GS50'!B367)</f>
        <v/>
      </c>
      <c r="AD366" t="str">
        <f>IF(AA366="","",IFERROR(1*'Procyfloc GS50'!C367,IFERROR(_xludf.NUMBERVALUE('Procyfloc GS50'!C367,".",","),IFERROR(_xludf.NUMBERVALUE('Procyfloc GS50'!C367,",","."),0))))</f>
        <v/>
      </c>
      <c r="AE366" t="str">
        <f>IF(AA366="","",'Procyfloc GS50'!J367)</f>
        <v/>
      </c>
      <c r="AF366">
        <f t="shared" si="47"/>
        <v>0</v>
      </c>
      <c r="AG366" t="str">
        <f t="shared" si="48"/>
        <v/>
      </c>
      <c r="AH366" t="str">
        <f t="shared" si="49"/>
        <v/>
      </c>
      <c r="AI366">
        <f t="shared" si="50"/>
        <v>0</v>
      </c>
      <c r="AJ366">
        <f t="shared" si="51"/>
        <v>0</v>
      </c>
      <c r="AK366">
        <v>0</v>
      </c>
      <c r="AL366" t="str">
        <f>IF(AA366="","",IFERROR(IF(ISNUMBER('Procyfloc GS50'!D367),'Procyfloc GS50'!D367,IF(ISNUMBER(SEARCH("12",'Procyfloc GS50'!D367)),EDATE(AB366,12),IF(ISNUMBER(SEARCH("6",'Procyfloc GS50'!D367)),EDATE(AB366,6),IF(ISNUMBER(SEARCH("3",'Procyfloc GS50'!D367)),EDATE(AB366,3),DATEVALUE('Procyfloc GS50'!D367))))),""))</f>
        <v/>
      </c>
      <c r="AM366" t="str">
        <f t="shared" ca="1" si="52"/>
        <v/>
      </c>
    </row>
    <row r="367" spans="27:39" x14ac:dyDescent="0.3">
      <c r="AA367" t="str">
        <f>IF(COUNTA('Procyfloc GS50'!A368,'Procyfloc GS50'!B368,'Procyfloc GS50'!C368)&gt;0,"GS50","")</f>
        <v/>
      </c>
      <c r="AB367" t="str">
        <f>IFERROR(IF(ISNUMBER('Procyfloc GS50'!A368),'Procyfloc GS50'!A368,DATEVALUE('Procyfloc GS50'!A368)),"")</f>
        <v/>
      </c>
      <c r="AC367" t="str">
        <f>IF(AA367="","",'Procyfloc GS50'!B368)</f>
        <v/>
      </c>
      <c r="AD367" t="str">
        <f>IF(AA367="","",IFERROR(1*'Procyfloc GS50'!C368,IFERROR(_xludf.NUMBERVALUE('Procyfloc GS50'!C368,".",","),IFERROR(_xludf.NUMBERVALUE('Procyfloc GS50'!C368,",","."),0))))</f>
        <v/>
      </c>
      <c r="AE367" t="str">
        <f>IF(AA367="","",'Procyfloc GS50'!J368)</f>
        <v/>
      </c>
      <c r="AF367">
        <f t="shared" si="47"/>
        <v>0</v>
      </c>
      <c r="AG367" t="str">
        <f t="shared" si="48"/>
        <v/>
      </c>
      <c r="AH367" t="str">
        <f t="shared" si="49"/>
        <v/>
      </c>
      <c r="AI367">
        <f t="shared" si="50"/>
        <v>0</v>
      </c>
      <c r="AJ367">
        <f t="shared" si="51"/>
        <v>0</v>
      </c>
      <c r="AK367">
        <v>0</v>
      </c>
      <c r="AL367" t="str">
        <f>IF(AA367="","",IFERROR(IF(ISNUMBER('Procyfloc GS50'!D368),'Procyfloc GS50'!D368,IF(ISNUMBER(SEARCH("12",'Procyfloc GS50'!D368)),EDATE(AB367,12),IF(ISNUMBER(SEARCH("6",'Procyfloc GS50'!D368)),EDATE(AB367,6),IF(ISNUMBER(SEARCH("3",'Procyfloc GS50'!D368)),EDATE(AB367,3),DATEVALUE('Procyfloc GS50'!D368))))),""))</f>
        <v/>
      </c>
      <c r="AM367" t="str">
        <f t="shared" ca="1" si="52"/>
        <v/>
      </c>
    </row>
    <row r="368" spans="27:39" x14ac:dyDescent="0.3">
      <c r="AA368" t="str">
        <f>IF(COUNTA('Procyfloc GS50'!A369,'Procyfloc GS50'!B369,'Procyfloc GS50'!C369)&gt;0,"GS50","")</f>
        <v/>
      </c>
      <c r="AB368" t="str">
        <f>IFERROR(IF(ISNUMBER('Procyfloc GS50'!A369),'Procyfloc GS50'!A369,DATEVALUE('Procyfloc GS50'!A369)),"")</f>
        <v/>
      </c>
      <c r="AC368" t="str">
        <f>IF(AA368="","",'Procyfloc GS50'!B369)</f>
        <v/>
      </c>
      <c r="AD368" t="str">
        <f>IF(AA368="","",IFERROR(1*'Procyfloc GS50'!C369,IFERROR(_xludf.NUMBERVALUE('Procyfloc GS50'!C369,".",","),IFERROR(_xludf.NUMBERVALUE('Procyfloc GS50'!C369,",","."),0))))</f>
        <v/>
      </c>
      <c r="AE368" t="str">
        <f>IF(AA368="","",'Procyfloc GS50'!J369)</f>
        <v/>
      </c>
      <c r="AF368">
        <f t="shared" si="47"/>
        <v>0</v>
      </c>
      <c r="AG368" t="str">
        <f t="shared" si="48"/>
        <v/>
      </c>
      <c r="AH368" t="str">
        <f t="shared" si="49"/>
        <v/>
      </c>
      <c r="AI368">
        <f t="shared" si="50"/>
        <v>0</v>
      </c>
      <c r="AJ368">
        <f t="shared" si="51"/>
        <v>0</v>
      </c>
      <c r="AK368">
        <v>0</v>
      </c>
      <c r="AL368" t="str">
        <f>IF(AA368="","",IFERROR(IF(ISNUMBER('Procyfloc GS50'!D369),'Procyfloc GS50'!D369,IF(ISNUMBER(SEARCH("12",'Procyfloc GS50'!D369)),EDATE(AB368,12),IF(ISNUMBER(SEARCH("6",'Procyfloc GS50'!D369)),EDATE(AB368,6),IF(ISNUMBER(SEARCH("3",'Procyfloc GS50'!D369)),EDATE(AB368,3),DATEVALUE('Procyfloc GS50'!D369))))),""))</f>
        <v/>
      </c>
      <c r="AM368" t="str">
        <f t="shared" ca="1" si="52"/>
        <v/>
      </c>
    </row>
    <row r="369" spans="27:39" x14ac:dyDescent="0.3">
      <c r="AA369" t="str">
        <f>IF(COUNTA('Procyfloc GS50'!A370,'Procyfloc GS50'!B370,'Procyfloc GS50'!C370)&gt;0,"GS50","")</f>
        <v/>
      </c>
      <c r="AB369" t="str">
        <f>IFERROR(IF(ISNUMBER('Procyfloc GS50'!A370),'Procyfloc GS50'!A370,DATEVALUE('Procyfloc GS50'!A370)),"")</f>
        <v/>
      </c>
      <c r="AC369" t="str">
        <f>IF(AA369="","",'Procyfloc GS50'!B370)</f>
        <v/>
      </c>
      <c r="AD369" t="str">
        <f>IF(AA369="","",IFERROR(1*'Procyfloc GS50'!C370,IFERROR(_xludf.NUMBERVALUE('Procyfloc GS50'!C370,".",","),IFERROR(_xludf.NUMBERVALUE('Procyfloc GS50'!C370,",","."),0))))</f>
        <v/>
      </c>
      <c r="AE369" t="str">
        <f>IF(AA369="","",'Procyfloc GS50'!J370)</f>
        <v/>
      </c>
      <c r="AF369">
        <f t="shared" si="47"/>
        <v>0</v>
      </c>
      <c r="AG369" t="str">
        <f t="shared" si="48"/>
        <v/>
      </c>
      <c r="AH369" t="str">
        <f t="shared" si="49"/>
        <v/>
      </c>
      <c r="AI369">
        <f t="shared" si="50"/>
        <v>0</v>
      </c>
      <c r="AJ369">
        <f t="shared" si="51"/>
        <v>0</v>
      </c>
      <c r="AK369">
        <v>0</v>
      </c>
      <c r="AL369" t="str">
        <f>IF(AA369="","",IFERROR(IF(ISNUMBER('Procyfloc GS50'!D370),'Procyfloc GS50'!D370,IF(ISNUMBER(SEARCH("12",'Procyfloc GS50'!D370)),EDATE(AB369,12),IF(ISNUMBER(SEARCH("6",'Procyfloc GS50'!D370)),EDATE(AB369,6),IF(ISNUMBER(SEARCH("3",'Procyfloc GS50'!D370)),EDATE(AB369,3),DATEVALUE('Procyfloc GS50'!D370))))),""))</f>
        <v/>
      </c>
      <c r="AM369" t="str">
        <f t="shared" ca="1" si="52"/>
        <v/>
      </c>
    </row>
    <row r="370" spans="27:39" x14ac:dyDescent="0.3">
      <c r="AA370" t="str">
        <f>IF(COUNTA('Procyfloc GS50'!A371,'Procyfloc GS50'!B371,'Procyfloc GS50'!C371)&gt;0,"GS50","")</f>
        <v/>
      </c>
      <c r="AB370" t="str">
        <f>IFERROR(IF(ISNUMBER('Procyfloc GS50'!A371),'Procyfloc GS50'!A371,DATEVALUE('Procyfloc GS50'!A371)),"")</f>
        <v/>
      </c>
      <c r="AC370" t="str">
        <f>IF(AA370="","",'Procyfloc GS50'!B371)</f>
        <v/>
      </c>
      <c r="AD370" t="str">
        <f>IF(AA370="","",IFERROR(1*'Procyfloc GS50'!C371,IFERROR(_xludf.NUMBERVALUE('Procyfloc GS50'!C371,".",","),IFERROR(_xludf.NUMBERVALUE('Procyfloc GS50'!C371,",","."),0))))</f>
        <v/>
      </c>
      <c r="AE370" t="str">
        <f>IF(AA370="","",'Procyfloc GS50'!J371)</f>
        <v/>
      </c>
      <c r="AF370">
        <f t="shared" si="47"/>
        <v>0</v>
      </c>
      <c r="AG370" t="str">
        <f t="shared" si="48"/>
        <v/>
      </c>
      <c r="AH370" t="str">
        <f t="shared" si="49"/>
        <v/>
      </c>
      <c r="AI370">
        <f t="shared" si="50"/>
        <v>0</v>
      </c>
      <c r="AJ370">
        <f t="shared" si="51"/>
        <v>0</v>
      </c>
      <c r="AK370">
        <v>0</v>
      </c>
      <c r="AL370" t="str">
        <f>IF(AA370="","",IFERROR(IF(ISNUMBER('Procyfloc GS50'!D371),'Procyfloc GS50'!D371,IF(ISNUMBER(SEARCH("12",'Procyfloc GS50'!D371)),EDATE(AB370,12),IF(ISNUMBER(SEARCH("6",'Procyfloc GS50'!D371)),EDATE(AB370,6),IF(ISNUMBER(SEARCH("3",'Procyfloc GS50'!D371)),EDATE(AB370,3),DATEVALUE('Procyfloc GS50'!D371))))),""))</f>
        <v/>
      </c>
      <c r="AM370" t="str">
        <f t="shared" ca="1" si="52"/>
        <v/>
      </c>
    </row>
    <row r="371" spans="27:39" x14ac:dyDescent="0.3">
      <c r="AA371" t="str">
        <f>IF(COUNTA('Procyfloc GS50'!A372,'Procyfloc GS50'!B372,'Procyfloc GS50'!C372)&gt;0,"GS50","")</f>
        <v/>
      </c>
      <c r="AB371" t="str">
        <f>IFERROR(IF(ISNUMBER('Procyfloc GS50'!A372),'Procyfloc GS50'!A372,DATEVALUE('Procyfloc GS50'!A372)),"")</f>
        <v/>
      </c>
      <c r="AC371" t="str">
        <f>IF(AA371="","",'Procyfloc GS50'!B372)</f>
        <v/>
      </c>
      <c r="AD371" t="str">
        <f>IF(AA371="","",IFERROR(1*'Procyfloc GS50'!C372,IFERROR(_xludf.NUMBERVALUE('Procyfloc GS50'!C372,".",","),IFERROR(_xludf.NUMBERVALUE('Procyfloc GS50'!C372,",","."),0))))</f>
        <v/>
      </c>
      <c r="AE371" t="str">
        <f>IF(AA371="","",'Procyfloc GS50'!J372)</f>
        <v/>
      </c>
      <c r="AF371">
        <f t="shared" si="47"/>
        <v>0</v>
      </c>
      <c r="AG371" t="str">
        <f t="shared" si="48"/>
        <v/>
      </c>
      <c r="AH371" t="str">
        <f t="shared" si="49"/>
        <v/>
      </c>
      <c r="AI371">
        <f t="shared" si="50"/>
        <v>0</v>
      </c>
      <c r="AJ371">
        <f t="shared" si="51"/>
        <v>0</v>
      </c>
      <c r="AK371">
        <v>0</v>
      </c>
      <c r="AL371" t="str">
        <f>IF(AA371="","",IFERROR(IF(ISNUMBER('Procyfloc GS50'!D372),'Procyfloc GS50'!D372,IF(ISNUMBER(SEARCH("12",'Procyfloc GS50'!D372)),EDATE(AB371,12),IF(ISNUMBER(SEARCH("6",'Procyfloc GS50'!D372)),EDATE(AB371,6),IF(ISNUMBER(SEARCH("3",'Procyfloc GS50'!D372)),EDATE(AB371,3),DATEVALUE('Procyfloc GS50'!D372))))),""))</f>
        <v/>
      </c>
      <c r="AM371" t="str">
        <f t="shared" ca="1" si="52"/>
        <v/>
      </c>
    </row>
    <row r="372" spans="27:39" x14ac:dyDescent="0.3">
      <c r="AA372" t="str">
        <f>IF(COUNTA('Procyfloc GS50'!A373,'Procyfloc GS50'!B373,'Procyfloc GS50'!C373)&gt;0,"GS50","")</f>
        <v/>
      </c>
      <c r="AB372" t="str">
        <f>IFERROR(IF(ISNUMBER('Procyfloc GS50'!A373),'Procyfloc GS50'!A373,DATEVALUE('Procyfloc GS50'!A373)),"")</f>
        <v/>
      </c>
      <c r="AC372" t="str">
        <f>IF(AA372="","",'Procyfloc GS50'!B373)</f>
        <v/>
      </c>
      <c r="AD372" t="str">
        <f>IF(AA372="","",IFERROR(1*'Procyfloc GS50'!C373,IFERROR(_xludf.NUMBERVALUE('Procyfloc GS50'!C373,".",","),IFERROR(_xludf.NUMBERVALUE('Procyfloc GS50'!C373,",","."),0))))</f>
        <v/>
      </c>
      <c r="AE372" t="str">
        <f>IF(AA372="","",'Procyfloc GS50'!J373)</f>
        <v/>
      </c>
      <c r="AF372">
        <f t="shared" si="47"/>
        <v>0</v>
      </c>
      <c r="AG372" t="str">
        <f t="shared" si="48"/>
        <v/>
      </c>
      <c r="AH372" t="str">
        <f t="shared" si="49"/>
        <v/>
      </c>
      <c r="AI372">
        <f t="shared" si="50"/>
        <v>0</v>
      </c>
      <c r="AJ372">
        <f t="shared" si="51"/>
        <v>0</v>
      </c>
      <c r="AK372">
        <v>0</v>
      </c>
      <c r="AL372" t="str">
        <f>IF(AA372="","",IFERROR(IF(ISNUMBER('Procyfloc GS50'!D373),'Procyfloc GS50'!D373,IF(ISNUMBER(SEARCH("12",'Procyfloc GS50'!D373)),EDATE(AB372,12),IF(ISNUMBER(SEARCH("6",'Procyfloc GS50'!D373)),EDATE(AB372,6),IF(ISNUMBER(SEARCH("3",'Procyfloc GS50'!D373)),EDATE(AB372,3),DATEVALUE('Procyfloc GS50'!D373))))),""))</f>
        <v/>
      </c>
      <c r="AM372" t="str">
        <f t="shared" ca="1" si="52"/>
        <v/>
      </c>
    </row>
    <row r="373" spans="27:39" x14ac:dyDescent="0.3">
      <c r="AA373" t="str">
        <f>IF(COUNTA('Procyfloc GS50'!A374,'Procyfloc GS50'!B374,'Procyfloc GS50'!C374)&gt;0,"GS50","")</f>
        <v/>
      </c>
      <c r="AB373" t="str">
        <f>IFERROR(IF(ISNUMBER('Procyfloc GS50'!A374),'Procyfloc GS50'!A374,DATEVALUE('Procyfloc GS50'!A374)),"")</f>
        <v/>
      </c>
      <c r="AC373" t="str">
        <f>IF(AA373="","",'Procyfloc GS50'!B374)</f>
        <v/>
      </c>
      <c r="AD373" t="str">
        <f>IF(AA373="","",IFERROR(1*'Procyfloc GS50'!C374,IFERROR(_xludf.NUMBERVALUE('Procyfloc GS50'!C374,".",","),IFERROR(_xludf.NUMBERVALUE('Procyfloc GS50'!C374,",","."),0))))</f>
        <v/>
      </c>
      <c r="AE373" t="str">
        <f>IF(AA373="","",'Procyfloc GS50'!J374)</f>
        <v/>
      </c>
      <c r="AF373">
        <f t="shared" si="47"/>
        <v>0</v>
      </c>
      <c r="AG373" t="str">
        <f t="shared" si="48"/>
        <v/>
      </c>
      <c r="AH373" t="str">
        <f t="shared" si="49"/>
        <v/>
      </c>
      <c r="AI373">
        <f t="shared" si="50"/>
        <v>0</v>
      </c>
      <c r="AJ373">
        <f t="shared" si="51"/>
        <v>0</v>
      </c>
      <c r="AK373">
        <v>0</v>
      </c>
      <c r="AL373" t="str">
        <f>IF(AA373="","",IFERROR(IF(ISNUMBER('Procyfloc GS50'!D374),'Procyfloc GS50'!D374,IF(ISNUMBER(SEARCH("12",'Procyfloc GS50'!D374)),EDATE(AB373,12),IF(ISNUMBER(SEARCH("6",'Procyfloc GS50'!D374)),EDATE(AB373,6),IF(ISNUMBER(SEARCH("3",'Procyfloc GS50'!D374)),EDATE(AB373,3),DATEVALUE('Procyfloc GS50'!D374))))),""))</f>
        <v/>
      </c>
      <c r="AM373" t="str">
        <f t="shared" ca="1" si="52"/>
        <v/>
      </c>
    </row>
    <row r="374" spans="27:39" x14ac:dyDescent="0.3">
      <c r="AA374" t="str">
        <f>IF(COUNTA('Procyfloc GS50'!A375,'Procyfloc GS50'!B375,'Procyfloc GS50'!C375)&gt;0,"GS50","")</f>
        <v/>
      </c>
      <c r="AB374" t="str">
        <f>IFERROR(IF(ISNUMBER('Procyfloc GS50'!A375),'Procyfloc GS50'!A375,DATEVALUE('Procyfloc GS50'!A375)),"")</f>
        <v/>
      </c>
      <c r="AC374" t="str">
        <f>IF(AA374="","",'Procyfloc GS50'!B375)</f>
        <v/>
      </c>
      <c r="AD374" t="str">
        <f>IF(AA374="","",IFERROR(1*'Procyfloc GS50'!C375,IFERROR(_xludf.NUMBERVALUE('Procyfloc GS50'!C375,".",","),IFERROR(_xludf.NUMBERVALUE('Procyfloc GS50'!C375,",","."),0))))</f>
        <v/>
      </c>
      <c r="AE374" t="str">
        <f>IF(AA374="","",'Procyfloc GS50'!J375)</f>
        <v/>
      </c>
      <c r="AF374">
        <f t="shared" si="47"/>
        <v>0</v>
      </c>
      <c r="AG374" t="str">
        <f t="shared" si="48"/>
        <v/>
      </c>
      <c r="AH374" t="str">
        <f t="shared" si="49"/>
        <v/>
      </c>
      <c r="AI374">
        <f t="shared" si="50"/>
        <v>0</v>
      </c>
      <c r="AJ374">
        <f t="shared" si="51"/>
        <v>0</v>
      </c>
      <c r="AK374">
        <v>0</v>
      </c>
      <c r="AL374" t="str">
        <f>IF(AA374="","",IFERROR(IF(ISNUMBER('Procyfloc GS50'!D375),'Procyfloc GS50'!D375,IF(ISNUMBER(SEARCH("12",'Procyfloc GS50'!D375)),EDATE(AB374,12),IF(ISNUMBER(SEARCH("6",'Procyfloc GS50'!D375)),EDATE(AB374,6),IF(ISNUMBER(SEARCH("3",'Procyfloc GS50'!D375)),EDATE(AB374,3),DATEVALUE('Procyfloc GS50'!D375))))),""))</f>
        <v/>
      </c>
      <c r="AM374" t="str">
        <f t="shared" ca="1" si="52"/>
        <v/>
      </c>
    </row>
    <row r="375" spans="27:39" x14ac:dyDescent="0.3">
      <c r="AA375" t="str">
        <f>IF(COUNTA('Procyfloc GS50'!A376,'Procyfloc GS50'!B376,'Procyfloc GS50'!C376)&gt;0,"GS50","")</f>
        <v/>
      </c>
      <c r="AB375" t="str">
        <f>IFERROR(IF(ISNUMBER('Procyfloc GS50'!A376),'Procyfloc GS50'!A376,DATEVALUE('Procyfloc GS50'!A376)),"")</f>
        <v/>
      </c>
      <c r="AC375" t="str">
        <f>IF(AA375="","",'Procyfloc GS50'!B376)</f>
        <v/>
      </c>
      <c r="AD375" t="str">
        <f>IF(AA375="","",IFERROR(1*'Procyfloc GS50'!C376,IFERROR(_xludf.NUMBERVALUE('Procyfloc GS50'!C376,".",","),IFERROR(_xludf.NUMBERVALUE('Procyfloc GS50'!C376,",","."),0))))</f>
        <v/>
      </c>
      <c r="AE375" t="str">
        <f>IF(AA375="","",'Procyfloc GS50'!J376)</f>
        <v/>
      </c>
      <c r="AF375">
        <f t="shared" si="47"/>
        <v>0</v>
      </c>
      <c r="AG375" t="str">
        <f t="shared" si="48"/>
        <v/>
      </c>
      <c r="AH375" t="str">
        <f t="shared" si="49"/>
        <v/>
      </c>
      <c r="AI375">
        <f t="shared" si="50"/>
        <v>0</v>
      </c>
      <c r="AJ375">
        <f t="shared" si="51"/>
        <v>0</v>
      </c>
      <c r="AK375">
        <v>0</v>
      </c>
      <c r="AL375" t="str">
        <f>IF(AA375="","",IFERROR(IF(ISNUMBER('Procyfloc GS50'!D376),'Procyfloc GS50'!D376,IF(ISNUMBER(SEARCH("12",'Procyfloc GS50'!D376)),EDATE(AB375,12),IF(ISNUMBER(SEARCH("6",'Procyfloc GS50'!D376)),EDATE(AB375,6),IF(ISNUMBER(SEARCH("3",'Procyfloc GS50'!D376)),EDATE(AB375,3),DATEVALUE('Procyfloc GS50'!D376))))),""))</f>
        <v/>
      </c>
      <c r="AM375" t="str">
        <f t="shared" ca="1" si="52"/>
        <v/>
      </c>
    </row>
    <row r="376" spans="27:39" x14ac:dyDescent="0.3">
      <c r="AA376" t="str">
        <f>IF(COUNTA('Procyfloc GS50'!A377,'Procyfloc GS50'!B377,'Procyfloc GS50'!C377)&gt;0,"GS50","")</f>
        <v/>
      </c>
      <c r="AB376" t="str">
        <f>IFERROR(IF(ISNUMBER('Procyfloc GS50'!A377),'Procyfloc GS50'!A377,DATEVALUE('Procyfloc GS50'!A377)),"")</f>
        <v/>
      </c>
      <c r="AC376" t="str">
        <f>IF(AA376="","",'Procyfloc GS50'!B377)</f>
        <v/>
      </c>
      <c r="AD376" t="str">
        <f>IF(AA376="","",IFERROR(1*'Procyfloc GS50'!C377,IFERROR(_xludf.NUMBERVALUE('Procyfloc GS50'!C377,".",","),IFERROR(_xludf.NUMBERVALUE('Procyfloc GS50'!C377,",","."),0))))</f>
        <v/>
      </c>
      <c r="AE376" t="str">
        <f>IF(AA376="","",'Procyfloc GS50'!J377)</f>
        <v/>
      </c>
      <c r="AF376">
        <f t="shared" si="47"/>
        <v>0</v>
      </c>
      <c r="AG376" t="str">
        <f t="shared" si="48"/>
        <v/>
      </c>
      <c r="AH376" t="str">
        <f t="shared" si="49"/>
        <v/>
      </c>
      <c r="AI376">
        <f t="shared" si="50"/>
        <v>0</v>
      </c>
      <c r="AJ376">
        <f t="shared" si="51"/>
        <v>0</v>
      </c>
      <c r="AK376">
        <v>0</v>
      </c>
      <c r="AL376" t="str">
        <f>IF(AA376="","",IFERROR(IF(ISNUMBER('Procyfloc GS50'!D377),'Procyfloc GS50'!D377,IF(ISNUMBER(SEARCH("12",'Procyfloc GS50'!D377)),EDATE(AB376,12),IF(ISNUMBER(SEARCH("6",'Procyfloc GS50'!D377)),EDATE(AB376,6),IF(ISNUMBER(SEARCH("3",'Procyfloc GS50'!D377)),EDATE(AB376,3),DATEVALUE('Procyfloc GS50'!D377))))),""))</f>
        <v/>
      </c>
      <c r="AM376" t="str">
        <f t="shared" ca="1" si="52"/>
        <v/>
      </c>
    </row>
    <row r="377" spans="27:39" x14ac:dyDescent="0.3">
      <c r="AA377" t="str">
        <f>IF(COUNTA('Procyfloc GS50'!A378,'Procyfloc GS50'!B378,'Procyfloc GS50'!C378)&gt;0,"GS50","")</f>
        <v/>
      </c>
      <c r="AB377" t="str">
        <f>IFERROR(IF(ISNUMBER('Procyfloc GS50'!A378),'Procyfloc GS50'!A378,DATEVALUE('Procyfloc GS50'!A378)),"")</f>
        <v/>
      </c>
      <c r="AC377" t="str">
        <f>IF(AA377="","",'Procyfloc GS50'!B378)</f>
        <v/>
      </c>
      <c r="AD377" t="str">
        <f>IF(AA377="","",IFERROR(1*'Procyfloc GS50'!C378,IFERROR(_xludf.NUMBERVALUE('Procyfloc GS50'!C378,".",","),IFERROR(_xludf.NUMBERVALUE('Procyfloc GS50'!C378,",","."),0))))</f>
        <v/>
      </c>
      <c r="AE377" t="str">
        <f>IF(AA377="","",'Procyfloc GS50'!J378)</f>
        <v/>
      </c>
      <c r="AF377">
        <f t="shared" si="47"/>
        <v>0</v>
      </c>
      <c r="AG377" t="str">
        <f t="shared" si="48"/>
        <v/>
      </c>
      <c r="AH377" t="str">
        <f t="shared" si="49"/>
        <v/>
      </c>
      <c r="AI377">
        <f t="shared" si="50"/>
        <v>0</v>
      </c>
      <c r="AJ377">
        <f t="shared" si="51"/>
        <v>0</v>
      </c>
      <c r="AK377">
        <v>0</v>
      </c>
      <c r="AL377" t="str">
        <f>IF(AA377="","",IFERROR(IF(ISNUMBER('Procyfloc GS50'!D378),'Procyfloc GS50'!D378,IF(ISNUMBER(SEARCH("12",'Procyfloc GS50'!D378)),EDATE(AB377,12),IF(ISNUMBER(SEARCH("6",'Procyfloc GS50'!D378)),EDATE(AB377,6),IF(ISNUMBER(SEARCH("3",'Procyfloc GS50'!D378)),EDATE(AB377,3),DATEVALUE('Procyfloc GS50'!D378))))),""))</f>
        <v/>
      </c>
      <c r="AM377" t="str">
        <f t="shared" ca="1" si="52"/>
        <v/>
      </c>
    </row>
    <row r="378" spans="27:39" x14ac:dyDescent="0.3">
      <c r="AA378" t="str">
        <f>IF(COUNTA('Procyfloc GS50'!A379,'Procyfloc GS50'!B379,'Procyfloc GS50'!C379)&gt;0,"GS50","")</f>
        <v/>
      </c>
      <c r="AB378" t="str">
        <f>IFERROR(IF(ISNUMBER('Procyfloc GS50'!A379),'Procyfloc GS50'!A379,DATEVALUE('Procyfloc GS50'!A379)),"")</f>
        <v/>
      </c>
      <c r="AC378" t="str">
        <f>IF(AA378="","",'Procyfloc GS50'!B379)</f>
        <v/>
      </c>
      <c r="AD378" t="str">
        <f>IF(AA378="","",IFERROR(1*'Procyfloc GS50'!C379,IFERROR(_xludf.NUMBERVALUE('Procyfloc GS50'!C379,".",","),IFERROR(_xludf.NUMBERVALUE('Procyfloc GS50'!C379,",","."),0))))</f>
        <v/>
      </c>
      <c r="AE378" t="str">
        <f>IF(AA378="","",'Procyfloc GS50'!J379)</f>
        <v/>
      </c>
      <c r="AF378">
        <f t="shared" si="47"/>
        <v>0</v>
      </c>
      <c r="AG378" t="str">
        <f t="shared" si="48"/>
        <v/>
      </c>
      <c r="AH378" t="str">
        <f t="shared" si="49"/>
        <v/>
      </c>
      <c r="AI378">
        <f t="shared" si="50"/>
        <v>0</v>
      </c>
      <c r="AJ378">
        <f t="shared" si="51"/>
        <v>0</v>
      </c>
      <c r="AK378">
        <v>0</v>
      </c>
      <c r="AL378" t="str">
        <f>IF(AA378="","",IFERROR(IF(ISNUMBER('Procyfloc GS50'!D379),'Procyfloc GS50'!D379,IF(ISNUMBER(SEARCH("12",'Procyfloc GS50'!D379)),EDATE(AB378,12),IF(ISNUMBER(SEARCH("6",'Procyfloc GS50'!D379)),EDATE(AB378,6),IF(ISNUMBER(SEARCH("3",'Procyfloc GS50'!D379)),EDATE(AB378,3),DATEVALUE('Procyfloc GS50'!D379))))),""))</f>
        <v/>
      </c>
      <c r="AM378" t="str">
        <f t="shared" ca="1" si="52"/>
        <v/>
      </c>
    </row>
    <row r="379" spans="27:39" x14ac:dyDescent="0.3">
      <c r="AA379" t="str">
        <f>IF(COUNTA('Procyfloc GS50'!A380,'Procyfloc GS50'!B380,'Procyfloc GS50'!C380)&gt;0,"GS50","")</f>
        <v/>
      </c>
      <c r="AB379" t="str">
        <f>IFERROR(IF(ISNUMBER('Procyfloc GS50'!A380),'Procyfloc GS50'!A380,DATEVALUE('Procyfloc GS50'!A380)),"")</f>
        <v/>
      </c>
      <c r="AC379" t="str">
        <f>IF(AA379="","",'Procyfloc GS50'!B380)</f>
        <v/>
      </c>
      <c r="AD379" t="str">
        <f>IF(AA379="","",IFERROR(1*'Procyfloc GS50'!C380,IFERROR(_xludf.NUMBERVALUE('Procyfloc GS50'!C380,".",","),IFERROR(_xludf.NUMBERVALUE('Procyfloc GS50'!C380,",","."),0))))</f>
        <v/>
      </c>
      <c r="AE379" t="str">
        <f>IF(AA379="","",'Procyfloc GS50'!J380)</f>
        <v/>
      </c>
      <c r="AF379">
        <f t="shared" si="47"/>
        <v>0</v>
      </c>
      <c r="AG379" t="str">
        <f t="shared" si="48"/>
        <v/>
      </c>
      <c r="AH379" t="str">
        <f t="shared" si="49"/>
        <v/>
      </c>
      <c r="AI379">
        <f t="shared" si="50"/>
        <v>0</v>
      </c>
      <c r="AJ379">
        <f t="shared" si="51"/>
        <v>0</v>
      </c>
      <c r="AK379">
        <v>0</v>
      </c>
      <c r="AL379" t="str">
        <f>IF(AA379="","",IFERROR(IF(ISNUMBER('Procyfloc GS50'!D380),'Procyfloc GS50'!D380,IF(ISNUMBER(SEARCH("12",'Procyfloc GS50'!D380)),EDATE(AB379,12),IF(ISNUMBER(SEARCH("6",'Procyfloc GS50'!D380)),EDATE(AB379,6),IF(ISNUMBER(SEARCH("3",'Procyfloc GS50'!D380)),EDATE(AB379,3),DATEVALUE('Procyfloc GS50'!D380))))),""))</f>
        <v/>
      </c>
      <c r="AM379" t="str">
        <f t="shared" ca="1" si="52"/>
        <v/>
      </c>
    </row>
    <row r="380" spans="27:39" x14ac:dyDescent="0.3">
      <c r="AA380" t="str">
        <f>IF(COUNTA('Procyfloc GS50'!A381,'Procyfloc GS50'!B381,'Procyfloc GS50'!C381)&gt;0,"GS50","")</f>
        <v/>
      </c>
      <c r="AB380" t="str">
        <f>IFERROR(IF(ISNUMBER('Procyfloc GS50'!A381),'Procyfloc GS50'!A381,DATEVALUE('Procyfloc GS50'!A381)),"")</f>
        <v/>
      </c>
      <c r="AC380" t="str">
        <f>IF(AA380="","",'Procyfloc GS50'!B381)</f>
        <v/>
      </c>
      <c r="AD380" t="str">
        <f>IF(AA380="","",IFERROR(1*'Procyfloc GS50'!C381,IFERROR(_xludf.NUMBERVALUE('Procyfloc GS50'!C381,".",","),IFERROR(_xludf.NUMBERVALUE('Procyfloc GS50'!C381,",","."),0))))</f>
        <v/>
      </c>
      <c r="AE380" t="str">
        <f>IF(AA380="","",'Procyfloc GS50'!J381)</f>
        <v/>
      </c>
      <c r="AF380">
        <f t="shared" si="47"/>
        <v>0</v>
      </c>
      <c r="AG380" t="str">
        <f t="shared" si="48"/>
        <v/>
      </c>
      <c r="AH380" t="str">
        <f t="shared" si="49"/>
        <v/>
      </c>
      <c r="AI380">
        <f t="shared" si="50"/>
        <v>0</v>
      </c>
      <c r="AJ380">
        <f t="shared" si="51"/>
        <v>0</v>
      </c>
      <c r="AK380">
        <v>0</v>
      </c>
      <c r="AL380" t="str">
        <f>IF(AA380="","",IFERROR(IF(ISNUMBER('Procyfloc GS50'!D381),'Procyfloc GS50'!D381,IF(ISNUMBER(SEARCH("12",'Procyfloc GS50'!D381)),EDATE(AB380,12),IF(ISNUMBER(SEARCH("6",'Procyfloc GS50'!D381)),EDATE(AB380,6),IF(ISNUMBER(SEARCH("3",'Procyfloc GS50'!D381)),EDATE(AB380,3),DATEVALUE('Procyfloc GS50'!D381))))),""))</f>
        <v/>
      </c>
      <c r="AM380" t="str">
        <f t="shared" ca="1" si="52"/>
        <v/>
      </c>
    </row>
    <row r="381" spans="27:39" x14ac:dyDescent="0.3">
      <c r="AA381" t="str">
        <f>IF(COUNTA('Procyfloc GS50'!A382,'Procyfloc GS50'!B382,'Procyfloc GS50'!C382)&gt;0,"GS50","")</f>
        <v/>
      </c>
      <c r="AB381" t="str">
        <f>IFERROR(IF(ISNUMBER('Procyfloc GS50'!A382),'Procyfloc GS50'!A382,DATEVALUE('Procyfloc GS50'!A382)),"")</f>
        <v/>
      </c>
      <c r="AC381" t="str">
        <f>IF(AA381="","",'Procyfloc GS50'!B382)</f>
        <v/>
      </c>
      <c r="AD381" t="str">
        <f>IF(AA381="","",IFERROR(1*'Procyfloc GS50'!C382,IFERROR(_xludf.NUMBERVALUE('Procyfloc GS50'!C382,".",","),IFERROR(_xludf.NUMBERVALUE('Procyfloc GS50'!C382,",","."),0))))</f>
        <v/>
      </c>
      <c r="AE381" t="str">
        <f>IF(AA381="","",'Procyfloc GS50'!J382)</f>
        <v/>
      </c>
      <c r="AF381">
        <f t="shared" si="47"/>
        <v>0</v>
      </c>
      <c r="AG381" t="str">
        <f t="shared" si="48"/>
        <v/>
      </c>
      <c r="AH381" t="str">
        <f t="shared" si="49"/>
        <v/>
      </c>
      <c r="AI381">
        <f t="shared" si="50"/>
        <v>0</v>
      </c>
      <c r="AJ381">
        <f t="shared" si="51"/>
        <v>0</v>
      </c>
      <c r="AK381">
        <v>0</v>
      </c>
      <c r="AL381" t="str">
        <f>IF(AA381="","",IFERROR(IF(ISNUMBER('Procyfloc GS50'!D382),'Procyfloc GS50'!D382,IF(ISNUMBER(SEARCH("12",'Procyfloc GS50'!D382)),EDATE(AB381,12),IF(ISNUMBER(SEARCH("6",'Procyfloc GS50'!D382)),EDATE(AB381,6),IF(ISNUMBER(SEARCH("3",'Procyfloc GS50'!D382)),EDATE(AB381,3),DATEVALUE('Procyfloc GS50'!D382))))),""))</f>
        <v/>
      </c>
      <c r="AM381" t="str">
        <f t="shared" ca="1" si="52"/>
        <v/>
      </c>
    </row>
    <row r="382" spans="27:39" x14ac:dyDescent="0.3">
      <c r="AA382" t="str">
        <f>IF(COUNTA('Procyfloc GS50'!A383,'Procyfloc GS50'!B383,'Procyfloc GS50'!C383)&gt;0,"GS50","")</f>
        <v/>
      </c>
      <c r="AB382" t="str">
        <f>IFERROR(IF(ISNUMBER('Procyfloc GS50'!A383),'Procyfloc GS50'!A383,DATEVALUE('Procyfloc GS50'!A383)),"")</f>
        <v/>
      </c>
      <c r="AC382" t="str">
        <f>IF(AA382="","",'Procyfloc GS50'!B383)</f>
        <v/>
      </c>
      <c r="AD382" t="str">
        <f>IF(AA382="","",IFERROR(1*'Procyfloc GS50'!C383,IFERROR(_xludf.NUMBERVALUE('Procyfloc GS50'!C383,".",","),IFERROR(_xludf.NUMBERVALUE('Procyfloc GS50'!C383,",","."),0))))</f>
        <v/>
      </c>
      <c r="AE382" t="str">
        <f>IF(AA382="","",'Procyfloc GS50'!J383)</f>
        <v/>
      </c>
      <c r="AF382">
        <f t="shared" si="47"/>
        <v>0</v>
      </c>
      <c r="AG382" t="str">
        <f t="shared" si="48"/>
        <v/>
      </c>
      <c r="AH382" t="str">
        <f t="shared" si="49"/>
        <v/>
      </c>
      <c r="AI382">
        <f t="shared" si="50"/>
        <v>0</v>
      </c>
      <c r="AJ382">
        <f t="shared" si="51"/>
        <v>0</v>
      </c>
      <c r="AK382">
        <v>0</v>
      </c>
      <c r="AL382" t="str">
        <f>IF(AA382="","",IFERROR(IF(ISNUMBER('Procyfloc GS50'!D383),'Procyfloc GS50'!D383,IF(ISNUMBER(SEARCH("12",'Procyfloc GS50'!D383)),EDATE(AB382,12),IF(ISNUMBER(SEARCH("6",'Procyfloc GS50'!D383)),EDATE(AB382,6),IF(ISNUMBER(SEARCH("3",'Procyfloc GS50'!D383)),EDATE(AB382,3),DATEVALUE('Procyfloc GS50'!D383))))),""))</f>
        <v/>
      </c>
      <c r="AM382" t="str">
        <f t="shared" ca="1" si="52"/>
        <v/>
      </c>
    </row>
    <row r="383" spans="27:39" x14ac:dyDescent="0.3">
      <c r="AA383" t="str">
        <f>IF(COUNTA('Procyfloc GS50'!A384,'Procyfloc GS50'!B384,'Procyfloc GS50'!C384)&gt;0,"GS50","")</f>
        <v/>
      </c>
      <c r="AB383" t="str">
        <f>IFERROR(IF(ISNUMBER('Procyfloc GS50'!A384),'Procyfloc GS50'!A384,DATEVALUE('Procyfloc GS50'!A384)),"")</f>
        <v/>
      </c>
      <c r="AC383" t="str">
        <f>IF(AA383="","",'Procyfloc GS50'!B384)</f>
        <v/>
      </c>
      <c r="AD383" t="str">
        <f>IF(AA383="","",IFERROR(1*'Procyfloc GS50'!C384,IFERROR(_xludf.NUMBERVALUE('Procyfloc GS50'!C384,".",","),IFERROR(_xludf.NUMBERVALUE('Procyfloc GS50'!C384,",","."),0))))</f>
        <v/>
      </c>
      <c r="AE383" t="str">
        <f>IF(AA383="","",'Procyfloc GS50'!J384)</f>
        <v/>
      </c>
      <c r="AF383">
        <f t="shared" si="47"/>
        <v>0</v>
      </c>
      <c r="AG383" t="str">
        <f t="shared" si="48"/>
        <v/>
      </c>
      <c r="AH383" t="str">
        <f t="shared" si="49"/>
        <v/>
      </c>
      <c r="AI383">
        <f t="shared" si="50"/>
        <v>0</v>
      </c>
      <c r="AJ383">
        <f t="shared" si="51"/>
        <v>0</v>
      </c>
      <c r="AK383">
        <v>0</v>
      </c>
      <c r="AL383" t="str">
        <f>IF(AA383="","",IFERROR(IF(ISNUMBER('Procyfloc GS50'!D384),'Procyfloc GS50'!D384,IF(ISNUMBER(SEARCH("12",'Procyfloc GS50'!D384)),EDATE(AB383,12),IF(ISNUMBER(SEARCH("6",'Procyfloc GS50'!D384)),EDATE(AB383,6),IF(ISNUMBER(SEARCH("3",'Procyfloc GS50'!D384)),EDATE(AB383,3),DATEVALUE('Procyfloc GS50'!D384))))),""))</f>
        <v/>
      </c>
      <c r="AM383" t="str">
        <f t="shared" ca="1" si="52"/>
        <v/>
      </c>
    </row>
    <row r="384" spans="27:39" x14ac:dyDescent="0.3">
      <c r="AA384" t="str">
        <f>IF(COUNTA('Procyfloc GS50'!A385,'Procyfloc GS50'!B385,'Procyfloc GS50'!C385)&gt;0,"GS50","")</f>
        <v/>
      </c>
      <c r="AB384" t="str">
        <f>IFERROR(IF(ISNUMBER('Procyfloc GS50'!A385),'Procyfloc GS50'!A385,DATEVALUE('Procyfloc GS50'!A385)),"")</f>
        <v/>
      </c>
      <c r="AC384" t="str">
        <f>IF(AA384="","",'Procyfloc GS50'!B385)</f>
        <v/>
      </c>
      <c r="AD384" t="str">
        <f>IF(AA384="","",IFERROR(1*'Procyfloc GS50'!C385,IFERROR(_xludf.NUMBERVALUE('Procyfloc GS50'!C385,".",","),IFERROR(_xludf.NUMBERVALUE('Procyfloc GS50'!C385,",","."),0))))</f>
        <v/>
      </c>
      <c r="AE384" t="str">
        <f>IF(AA384="","",'Procyfloc GS50'!J385)</f>
        <v/>
      </c>
      <c r="AF384">
        <f t="shared" si="47"/>
        <v>0</v>
      </c>
      <c r="AG384" t="str">
        <f t="shared" si="48"/>
        <v/>
      </c>
      <c r="AH384" t="str">
        <f t="shared" si="49"/>
        <v/>
      </c>
      <c r="AI384">
        <f t="shared" si="50"/>
        <v>0</v>
      </c>
      <c r="AJ384">
        <f t="shared" si="51"/>
        <v>0</v>
      </c>
      <c r="AK384">
        <v>0</v>
      </c>
      <c r="AL384" t="str">
        <f>IF(AA384="","",IFERROR(IF(ISNUMBER('Procyfloc GS50'!D385),'Procyfloc GS50'!D385,IF(ISNUMBER(SEARCH("12",'Procyfloc GS50'!D385)),EDATE(AB384,12),IF(ISNUMBER(SEARCH("6",'Procyfloc GS50'!D385)),EDATE(AB384,6),IF(ISNUMBER(SEARCH("3",'Procyfloc GS50'!D385)),EDATE(AB384,3),DATEVALUE('Procyfloc GS50'!D385))))),""))</f>
        <v/>
      </c>
      <c r="AM384" t="str">
        <f t="shared" ca="1" si="52"/>
        <v/>
      </c>
    </row>
    <row r="385" spans="27:39" x14ac:dyDescent="0.3">
      <c r="AA385" t="str">
        <f>IF(COUNTA('Procyfloc GS50'!A386,'Procyfloc GS50'!B386,'Procyfloc GS50'!C386)&gt;0,"GS50","")</f>
        <v/>
      </c>
      <c r="AB385" t="str">
        <f>IFERROR(IF(ISNUMBER('Procyfloc GS50'!A386),'Procyfloc GS50'!A386,DATEVALUE('Procyfloc GS50'!A386)),"")</f>
        <v/>
      </c>
      <c r="AC385" t="str">
        <f>IF(AA385="","",'Procyfloc GS50'!B386)</f>
        <v/>
      </c>
      <c r="AD385" t="str">
        <f>IF(AA385="","",IFERROR(1*'Procyfloc GS50'!C386,IFERROR(_xludf.NUMBERVALUE('Procyfloc GS50'!C386,".",","),IFERROR(_xludf.NUMBERVALUE('Procyfloc GS50'!C386,",","."),0))))</f>
        <v/>
      </c>
      <c r="AE385" t="str">
        <f>IF(AA385="","",'Procyfloc GS50'!J386)</f>
        <v/>
      </c>
      <c r="AF385">
        <f t="shared" si="47"/>
        <v>0</v>
      </c>
      <c r="AG385" t="str">
        <f t="shared" si="48"/>
        <v/>
      </c>
      <c r="AH385" t="str">
        <f t="shared" si="49"/>
        <v/>
      </c>
      <c r="AI385">
        <f t="shared" si="50"/>
        <v>0</v>
      </c>
      <c r="AJ385">
        <f t="shared" si="51"/>
        <v>0</v>
      </c>
      <c r="AK385">
        <v>0</v>
      </c>
      <c r="AL385" t="str">
        <f>IF(AA385="","",IFERROR(IF(ISNUMBER('Procyfloc GS50'!D386),'Procyfloc GS50'!D386,IF(ISNUMBER(SEARCH("12",'Procyfloc GS50'!D386)),EDATE(AB385,12),IF(ISNUMBER(SEARCH("6",'Procyfloc GS50'!D386)),EDATE(AB385,6),IF(ISNUMBER(SEARCH("3",'Procyfloc GS50'!D386)),EDATE(AB385,3),DATEVALUE('Procyfloc GS50'!D386))))),""))</f>
        <v/>
      </c>
      <c r="AM385" t="str">
        <f t="shared" ca="1" si="52"/>
        <v/>
      </c>
    </row>
    <row r="386" spans="27:39" x14ac:dyDescent="0.3">
      <c r="AA386" t="str">
        <f>IF(COUNTA('Procyfloc GS50'!A387,'Procyfloc GS50'!B387,'Procyfloc GS50'!C387)&gt;0,"GS50","")</f>
        <v/>
      </c>
      <c r="AB386" t="str">
        <f>IFERROR(IF(ISNUMBER('Procyfloc GS50'!A387),'Procyfloc GS50'!A387,DATEVALUE('Procyfloc GS50'!A387)),"")</f>
        <v/>
      </c>
      <c r="AC386" t="str">
        <f>IF(AA386="","",'Procyfloc GS50'!B387)</f>
        <v/>
      </c>
      <c r="AD386" t="str">
        <f>IF(AA386="","",IFERROR(1*'Procyfloc GS50'!C387,IFERROR(_xludf.NUMBERVALUE('Procyfloc GS50'!C387,".",","),IFERROR(_xludf.NUMBERVALUE('Procyfloc GS50'!C387,",","."),0))))</f>
        <v/>
      </c>
      <c r="AE386" t="str">
        <f>IF(AA386="","",'Procyfloc GS50'!J387)</f>
        <v/>
      </c>
      <c r="AF386">
        <f t="shared" ref="AF386:AF449" si="53">IF(AA386="",0,--AND(ISNUMBER(SEARCH("aprov",AE386)),NOT(ISNUMBER(SEARCH("reprov",AE386)))))</f>
        <v>0</v>
      </c>
      <c r="AG386" t="str">
        <f t="shared" ref="AG386:AG449" si="54">IF(AB386="","",YEAR(AB386))</f>
        <v/>
      </c>
      <c r="AH386" t="str">
        <f t="shared" ref="AH386:AH449" si="55">IF(AB386="","",MONTH(AB386))</f>
        <v/>
      </c>
      <c r="AI386">
        <f t="shared" ref="AI386:AI449" si="56">IF(AB386="",0,AB386+ROW()/1000000)</f>
        <v>0</v>
      </c>
      <c r="AJ386">
        <f t="shared" ref="AJ386:AJ449" si="57">--(AA386&lt;&gt;"")</f>
        <v>0</v>
      </c>
      <c r="AK386">
        <v>0</v>
      </c>
      <c r="AL386" t="str">
        <f>IF(AA386="","",IFERROR(IF(ISNUMBER('Procyfloc GS50'!D387),'Procyfloc GS50'!D387,IF(ISNUMBER(SEARCH("12",'Procyfloc GS50'!D387)),EDATE(AB386,12),IF(ISNUMBER(SEARCH("6",'Procyfloc GS50'!D387)),EDATE(AB386,6),IF(ISNUMBER(SEARCH("3",'Procyfloc GS50'!D387)),EDATE(AB386,3),DATEVALUE('Procyfloc GS50'!D387))))),""))</f>
        <v/>
      </c>
      <c r="AM386" t="str">
        <f t="shared" ref="AM386:AM449" ca="1" si="58">IF(AND(AJ386=1,AL386&lt;&gt;"",AL386&gt;=TODAY(),AG386=$W$3),AL386+ROW()/1000000,"")</f>
        <v/>
      </c>
    </row>
    <row r="387" spans="27:39" x14ac:dyDescent="0.3">
      <c r="AA387" t="str">
        <f>IF(COUNTA('Procyfloc GS50'!A388,'Procyfloc GS50'!B388,'Procyfloc GS50'!C388)&gt;0,"GS50","")</f>
        <v/>
      </c>
      <c r="AB387" t="str">
        <f>IFERROR(IF(ISNUMBER('Procyfloc GS50'!A388),'Procyfloc GS50'!A388,DATEVALUE('Procyfloc GS50'!A388)),"")</f>
        <v/>
      </c>
      <c r="AC387" t="str">
        <f>IF(AA387="","",'Procyfloc GS50'!B388)</f>
        <v/>
      </c>
      <c r="AD387" t="str">
        <f>IF(AA387="","",IFERROR(1*'Procyfloc GS50'!C388,IFERROR(_xludf.NUMBERVALUE('Procyfloc GS50'!C388,".",","),IFERROR(_xludf.NUMBERVALUE('Procyfloc GS50'!C388,",","."),0))))</f>
        <v/>
      </c>
      <c r="AE387" t="str">
        <f>IF(AA387="","",'Procyfloc GS50'!J388)</f>
        <v/>
      </c>
      <c r="AF387">
        <f t="shared" si="53"/>
        <v>0</v>
      </c>
      <c r="AG387" t="str">
        <f t="shared" si="54"/>
        <v/>
      </c>
      <c r="AH387" t="str">
        <f t="shared" si="55"/>
        <v/>
      </c>
      <c r="AI387">
        <f t="shared" si="56"/>
        <v>0</v>
      </c>
      <c r="AJ387">
        <f t="shared" si="57"/>
        <v>0</v>
      </c>
      <c r="AK387">
        <v>0</v>
      </c>
      <c r="AL387" t="str">
        <f>IF(AA387="","",IFERROR(IF(ISNUMBER('Procyfloc GS50'!D388),'Procyfloc GS50'!D388,IF(ISNUMBER(SEARCH("12",'Procyfloc GS50'!D388)),EDATE(AB387,12),IF(ISNUMBER(SEARCH("6",'Procyfloc GS50'!D388)),EDATE(AB387,6),IF(ISNUMBER(SEARCH("3",'Procyfloc GS50'!D388)),EDATE(AB387,3),DATEVALUE('Procyfloc GS50'!D388))))),""))</f>
        <v/>
      </c>
      <c r="AM387" t="str">
        <f t="shared" ca="1" si="58"/>
        <v/>
      </c>
    </row>
    <row r="388" spans="27:39" x14ac:dyDescent="0.3">
      <c r="AA388" t="str">
        <f>IF(COUNTA('Procyfloc GS50'!A389,'Procyfloc GS50'!B389,'Procyfloc GS50'!C389)&gt;0,"GS50","")</f>
        <v/>
      </c>
      <c r="AB388" t="str">
        <f>IFERROR(IF(ISNUMBER('Procyfloc GS50'!A389),'Procyfloc GS50'!A389,DATEVALUE('Procyfloc GS50'!A389)),"")</f>
        <v/>
      </c>
      <c r="AC388" t="str">
        <f>IF(AA388="","",'Procyfloc GS50'!B389)</f>
        <v/>
      </c>
      <c r="AD388" t="str">
        <f>IF(AA388="","",IFERROR(1*'Procyfloc GS50'!C389,IFERROR(_xludf.NUMBERVALUE('Procyfloc GS50'!C389,".",","),IFERROR(_xludf.NUMBERVALUE('Procyfloc GS50'!C389,",","."),0))))</f>
        <v/>
      </c>
      <c r="AE388" t="str">
        <f>IF(AA388="","",'Procyfloc GS50'!J389)</f>
        <v/>
      </c>
      <c r="AF388">
        <f t="shared" si="53"/>
        <v>0</v>
      </c>
      <c r="AG388" t="str">
        <f t="shared" si="54"/>
        <v/>
      </c>
      <c r="AH388" t="str">
        <f t="shared" si="55"/>
        <v/>
      </c>
      <c r="AI388">
        <f t="shared" si="56"/>
        <v>0</v>
      </c>
      <c r="AJ388">
        <f t="shared" si="57"/>
        <v>0</v>
      </c>
      <c r="AK388">
        <v>0</v>
      </c>
      <c r="AL388" t="str">
        <f>IF(AA388="","",IFERROR(IF(ISNUMBER('Procyfloc GS50'!D389),'Procyfloc GS50'!D389,IF(ISNUMBER(SEARCH("12",'Procyfloc GS50'!D389)),EDATE(AB388,12),IF(ISNUMBER(SEARCH("6",'Procyfloc GS50'!D389)),EDATE(AB388,6),IF(ISNUMBER(SEARCH("3",'Procyfloc GS50'!D389)),EDATE(AB388,3),DATEVALUE('Procyfloc GS50'!D389))))),""))</f>
        <v/>
      </c>
      <c r="AM388" t="str">
        <f t="shared" ca="1" si="58"/>
        <v/>
      </c>
    </row>
    <row r="389" spans="27:39" x14ac:dyDescent="0.3">
      <c r="AA389" t="str">
        <f>IF(COUNTA('Procyfloc GS50'!A390,'Procyfloc GS50'!B390,'Procyfloc GS50'!C390)&gt;0,"GS50","")</f>
        <v/>
      </c>
      <c r="AB389" t="str">
        <f>IFERROR(IF(ISNUMBER('Procyfloc GS50'!A390),'Procyfloc GS50'!A390,DATEVALUE('Procyfloc GS50'!A390)),"")</f>
        <v/>
      </c>
      <c r="AC389" t="str">
        <f>IF(AA389="","",'Procyfloc GS50'!B390)</f>
        <v/>
      </c>
      <c r="AD389" t="str">
        <f>IF(AA389="","",IFERROR(1*'Procyfloc GS50'!C390,IFERROR(_xludf.NUMBERVALUE('Procyfloc GS50'!C390,".",","),IFERROR(_xludf.NUMBERVALUE('Procyfloc GS50'!C390,",","."),0))))</f>
        <v/>
      </c>
      <c r="AE389" t="str">
        <f>IF(AA389="","",'Procyfloc GS50'!J390)</f>
        <v/>
      </c>
      <c r="AF389">
        <f t="shared" si="53"/>
        <v>0</v>
      </c>
      <c r="AG389" t="str">
        <f t="shared" si="54"/>
        <v/>
      </c>
      <c r="AH389" t="str">
        <f t="shared" si="55"/>
        <v/>
      </c>
      <c r="AI389">
        <f t="shared" si="56"/>
        <v>0</v>
      </c>
      <c r="AJ389">
        <f t="shared" si="57"/>
        <v>0</v>
      </c>
      <c r="AK389">
        <v>0</v>
      </c>
      <c r="AL389" t="str">
        <f>IF(AA389="","",IFERROR(IF(ISNUMBER('Procyfloc GS50'!D390),'Procyfloc GS50'!D390,IF(ISNUMBER(SEARCH("12",'Procyfloc GS50'!D390)),EDATE(AB389,12),IF(ISNUMBER(SEARCH("6",'Procyfloc GS50'!D390)),EDATE(AB389,6),IF(ISNUMBER(SEARCH("3",'Procyfloc GS50'!D390)),EDATE(AB389,3),DATEVALUE('Procyfloc GS50'!D390))))),""))</f>
        <v/>
      </c>
      <c r="AM389" t="str">
        <f t="shared" ca="1" si="58"/>
        <v/>
      </c>
    </row>
    <row r="390" spans="27:39" x14ac:dyDescent="0.3">
      <c r="AA390" t="str">
        <f>IF(COUNTA('Procyfloc GS50'!A391,'Procyfloc GS50'!B391,'Procyfloc GS50'!C391)&gt;0,"GS50","")</f>
        <v/>
      </c>
      <c r="AB390" t="str">
        <f>IFERROR(IF(ISNUMBER('Procyfloc GS50'!A391),'Procyfloc GS50'!A391,DATEVALUE('Procyfloc GS50'!A391)),"")</f>
        <v/>
      </c>
      <c r="AC390" t="str">
        <f>IF(AA390="","",'Procyfloc GS50'!B391)</f>
        <v/>
      </c>
      <c r="AD390" t="str">
        <f>IF(AA390="","",IFERROR(1*'Procyfloc GS50'!C391,IFERROR(_xludf.NUMBERVALUE('Procyfloc GS50'!C391,".",","),IFERROR(_xludf.NUMBERVALUE('Procyfloc GS50'!C391,",","."),0))))</f>
        <v/>
      </c>
      <c r="AE390" t="str">
        <f>IF(AA390="","",'Procyfloc GS50'!J391)</f>
        <v/>
      </c>
      <c r="AF390">
        <f t="shared" si="53"/>
        <v>0</v>
      </c>
      <c r="AG390" t="str">
        <f t="shared" si="54"/>
        <v/>
      </c>
      <c r="AH390" t="str">
        <f t="shared" si="55"/>
        <v/>
      </c>
      <c r="AI390">
        <f t="shared" si="56"/>
        <v>0</v>
      </c>
      <c r="AJ390">
        <f t="shared" si="57"/>
        <v>0</v>
      </c>
      <c r="AK390">
        <v>0</v>
      </c>
      <c r="AL390" t="str">
        <f>IF(AA390="","",IFERROR(IF(ISNUMBER('Procyfloc GS50'!D391),'Procyfloc GS50'!D391,IF(ISNUMBER(SEARCH("12",'Procyfloc GS50'!D391)),EDATE(AB390,12),IF(ISNUMBER(SEARCH("6",'Procyfloc GS50'!D391)),EDATE(AB390,6),IF(ISNUMBER(SEARCH("3",'Procyfloc GS50'!D391)),EDATE(AB390,3),DATEVALUE('Procyfloc GS50'!D391))))),""))</f>
        <v/>
      </c>
      <c r="AM390" t="str">
        <f t="shared" ca="1" si="58"/>
        <v/>
      </c>
    </row>
    <row r="391" spans="27:39" x14ac:dyDescent="0.3">
      <c r="AA391" t="str">
        <f>IF(COUNTA('Procyfloc GS50'!A392,'Procyfloc GS50'!B392,'Procyfloc GS50'!C392)&gt;0,"GS50","")</f>
        <v/>
      </c>
      <c r="AB391" t="str">
        <f>IFERROR(IF(ISNUMBER('Procyfloc GS50'!A392),'Procyfloc GS50'!A392,DATEVALUE('Procyfloc GS50'!A392)),"")</f>
        <v/>
      </c>
      <c r="AC391" t="str">
        <f>IF(AA391="","",'Procyfloc GS50'!B392)</f>
        <v/>
      </c>
      <c r="AD391" t="str">
        <f>IF(AA391="","",IFERROR(1*'Procyfloc GS50'!C392,IFERROR(_xludf.NUMBERVALUE('Procyfloc GS50'!C392,".",","),IFERROR(_xludf.NUMBERVALUE('Procyfloc GS50'!C392,",","."),0))))</f>
        <v/>
      </c>
      <c r="AE391" t="str">
        <f>IF(AA391="","",'Procyfloc GS50'!J392)</f>
        <v/>
      </c>
      <c r="AF391">
        <f t="shared" si="53"/>
        <v>0</v>
      </c>
      <c r="AG391" t="str">
        <f t="shared" si="54"/>
        <v/>
      </c>
      <c r="AH391" t="str">
        <f t="shared" si="55"/>
        <v/>
      </c>
      <c r="AI391">
        <f t="shared" si="56"/>
        <v>0</v>
      </c>
      <c r="AJ391">
        <f t="shared" si="57"/>
        <v>0</v>
      </c>
      <c r="AK391">
        <v>0</v>
      </c>
      <c r="AL391" t="str">
        <f>IF(AA391="","",IFERROR(IF(ISNUMBER('Procyfloc GS50'!D392),'Procyfloc GS50'!D392,IF(ISNUMBER(SEARCH("12",'Procyfloc GS50'!D392)),EDATE(AB391,12),IF(ISNUMBER(SEARCH("6",'Procyfloc GS50'!D392)),EDATE(AB391,6),IF(ISNUMBER(SEARCH("3",'Procyfloc GS50'!D392)),EDATE(AB391,3),DATEVALUE('Procyfloc GS50'!D392))))),""))</f>
        <v/>
      </c>
      <c r="AM391" t="str">
        <f t="shared" ca="1" si="58"/>
        <v/>
      </c>
    </row>
    <row r="392" spans="27:39" x14ac:dyDescent="0.3">
      <c r="AA392" t="str">
        <f>IF(COUNTA('Procyfloc GS50'!A393,'Procyfloc GS50'!B393,'Procyfloc GS50'!C393)&gt;0,"GS50","")</f>
        <v/>
      </c>
      <c r="AB392" t="str">
        <f>IFERROR(IF(ISNUMBER('Procyfloc GS50'!A393),'Procyfloc GS50'!A393,DATEVALUE('Procyfloc GS50'!A393)),"")</f>
        <v/>
      </c>
      <c r="AC392" t="str">
        <f>IF(AA392="","",'Procyfloc GS50'!B393)</f>
        <v/>
      </c>
      <c r="AD392" t="str">
        <f>IF(AA392="","",IFERROR(1*'Procyfloc GS50'!C393,IFERROR(_xludf.NUMBERVALUE('Procyfloc GS50'!C393,".",","),IFERROR(_xludf.NUMBERVALUE('Procyfloc GS50'!C393,",","."),0))))</f>
        <v/>
      </c>
      <c r="AE392" t="str">
        <f>IF(AA392="","",'Procyfloc GS50'!J393)</f>
        <v/>
      </c>
      <c r="AF392">
        <f t="shared" si="53"/>
        <v>0</v>
      </c>
      <c r="AG392" t="str">
        <f t="shared" si="54"/>
        <v/>
      </c>
      <c r="AH392" t="str">
        <f t="shared" si="55"/>
        <v/>
      </c>
      <c r="AI392">
        <f t="shared" si="56"/>
        <v>0</v>
      </c>
      <c r="AJ392">
        <f t="shared" si="57"/>
        <v>0</v>
      </c>
      <c r="AK392">
        <v>0</v>
      </c>
      <c r="AL392" t="str">
        <f>IF(AA392="","",IFERROR(IF(ISNUMBER('Procyfloc GS50'!D393),'Procyfloc GS50'!D393,IF(ISNUMBER(SEARCH("12",'Procyfloc GS50'!D393)),EDATE(AB392,12),IF(ISNUMBER(SEARCH("6",'Procyfloc GS50'!D393)),EDATE(AB392,6),IF(ISNUMBER(SEARCH("3",'Procyfloc GS50'!D393)),EDATE(AB392,3),DATEVALUE('Procyfloc GS50'!D393))))),""))</f>
        <v/>
      </c>
      <c r="AM392" t="str">
        <f t="shared" ca="1" si="58"/>
        <v/>
      </c>
    </row>
    <row r="393" spans="27:39" x14ac:dyDescent="0.3">
      <c r="AA393" t="str">
        <f>IF(COUNTA('Procyfloc GS50'!A394,'Procyfloc GS50'!B394,'Procyfloc GS50'!C394)&gt;0,"GS50","")</f>
        <v/>
      </c>
      <c r="AB393" t="str">
        <f>IFERROR(IF(ISNUMBER('Procyfloc GS50'!A394),'Procyfloc GS50'!A394,DATEVALUE('Procyfloc GS50'!A394)),"")</f>
        <v/>
      </c>
      <c r="AC393" t="str">
        <f>IF(AA393="","",'Procyfloc GS50'!B394)</f>
        <v/>
      </c>
      <c r="AD393" t="str">
        <f>IF(AA393="","",IFERROR(1*'Procyfloc GS50'!C394,IFERROR(_xludf.NUMBERVALUE('Procyfloc GS50'!C394,".",","),IFERROR(_xludf.NUMBERVALUE('Procyfloc GS50'!C394,",","."),0))))</f>
        <v/>
      </c>
      <c r="AE393" t="str">
        <f>IF(AA393="","",'Procyfloc GS50'!J394)</f>
        <v/>
      </c>
      <c r="AF393">
        <f t="shared" si="53"/>
        <v>0</v>
      </c>
      <c r="AG393" t="str">
        <f t="shared" si="54"/>
        <v/>
      </c>
      <c r="AH393" t="str">
        <f t="shared" si="55"/>
        <v/>
      </c>
      <c r="AI393">
        <f t="shared" si="56"/>
        <v>0</v>
      </c>
      <c r="AJ393">
        <f t="shared" si="57"/>
        <v>0</v>
      </c>
      <c r="AK393">
        <v>0</v>
      </c>
      <c r="AL393" t="str">
        <f>IF(AA393="","",IFERROR(IF(ISNUMBER('Procyfloc GS50'!D394),'Procyfloc GS50'!D394,IF(ISNUMBER(SEARCH("12",'Procyfloc GS50'!D394)),EDATE(AB393,12),IF(ISNUMBER(SEARCH("6",'Procyfloc GS50'!D394)),EDATE(AB393,6),IF(ISNUMBER(SEARCH("3",'Procyfloc GS50'!D394)),EDATE(AB393,3),DATEVALUE('Procyfloc GS50'!D394))))),""))</f>
        <v/>
      </c>
      <c r="AM393" t="str">
        <f t="shared" ca="1" si="58"/>
        <v/>
      </c>
    </row>
    <row r="394" spans="27:39" x14ac:dyDescent="0.3">
      <c r="AA394" t="str">
        <f>IF(COUNTA('Procyfloc GS50'!A395,'Procyfloc GS50'!B395,'Procyfloc GS50'!C395)&gt;0,"GS50","")</f>
        <v/>
      </c>
      <c r="AB394" t="str">
        <f>IFERROR(IF(ISNUMBER('Procyfloc GS50'!A395),'Procyfloc GS50'!A395,DATEVALUE('Procyfloc GS50'!A395)),"")</f>
        <v/>
      </c>
      <c r="AC394" t="str">
        <f>IF(AA394="","",'Procyfloc GS50'!B395)</f>
        <v/>
      </c>
      <c r="AD394" t="str">
        <f>IF(AA394="","",IFERROR(1*'Procyfloc GS50'!C395,IFERROR(_xludf.NUMBERVALUE('Procyfloc GS50'!C395,".",","),IFERROR(_xludf.NUMBERVALUE('Procyfloc GS50'!C395,",","."),0))))</f>
        <v/>
      </c>
      <c r="AE394" t="str">
        <f>IF(AA394="","",'Procyfloc GS50'!J395)</f>
        <v/>
      </c>
      <c r="AF394">
        <f t="shared" si="53"/>
        <v>0</v>
      </c>
      <c r="AG394" t="str">
        <f t="shared" si="54"/>
        <v/>
      </c>
      <c r="AH394" t="str">
        <f t="shared" si="55"/>
        <v/>
      </c>
      <c r="AI394">
        <f t="shared" si="56"/>
        <v>0</v>
      </c>
      <c r="AJ394">
        <f t="shared" si="57"/>
        <v>0</v>
      </c>
      <c r="AK394">
        <v>0</v>
      </c>
      <c r="AL394" t="str">
        <f>IF(AA394="","",IFERROR(IF(ISNUMBER('Procyfloc GS50'!D395),'Procyfloc GS50'!D395,IF(ISNUMBER(SEARCH("12",'Procyfloc GS50'!D395)),EDATE(AB394,12),IF(ISNUMBER(SEARCH("6",'Procyfloc GS50'!D395)),EDATE(AB394,6),IF(ISNUMBER(SEARCH("3",'Procyfloc GS50'!D395)),EDATE(AB394,3),DATEVALUE('Procyfloc GS50'!D395))))),""))</f>
        <v/>
      </c>
      <c r="AM394" t="str">
        <f t="shared" ca="1" si="58"/>
        <v/>
      </c>
    </row>
    <row r="395" spans="27:39" x14ac:dyDescent="0.3">
      <c r="AA395" t="str">
        <f>IF(COUNTA('Procyfloc GS50'!A396,'Procyfloc GS50'!B396,'Procyfloc GS50'!C396)&gt;0,"GS50","")</f>
        <v/>
      </c>
      <c r="AB395" t="str">
        <f>IFERROR(IF(ISNUMBER('Procyfloc GS50'!A396),'Procyfloc GS50'!A396,DATEVALUE('Procyfloc GS50'!A396)),"")</f>
        <v/>
      </c>
      <c r="AC395" t="str">
        <f>IF(AA395="","",'Procyfloc GS50'!B396)</f>
        <v/>
      </c>
      <c r="AD395" t="str">
        <f>IF(AA395="","",IFERROR(1*'Procyfloc GS50'!C396,IFERROR(_xludf.NUMBERVALUE('Procyfloc GS50'!C396,".",","),IFERROR(_xludf.NUMBERVALUE('Procyfloc GS50'!C396,",","."),0))))</f>
        <v/>
      </c>
      <c r="AE395" t="str">
        <f>IF(AA395="","",'Procyfloc GS50'!J396)</f>
        <v/>
      </c>
      <c r="AF395">
        <f t="shared" si="53"/>
        <v>0</v>
      </c>
      <c r="AG395" t="str">
        <f t="shared" si="54"/>
        <v/>
      </c>
      <c r="AH395" t="str">
        <f t="shared" si="55"/>
        <v/>
      </c>
      <c r="AI395">
        <f t="shared" si="56"/>
        <v>0</v>
      </c>
      <c r="AJ395">
        <f t="shared" si="57"/>
        <v>0</v>
      </c>
      <c r="AK395">
        <v>0</v>
      </c>
      <c r="AL395" t="str">
        <f>IF(AA395="","",IFERROR(IF(ISNUMBER('Procyfloc GS50'!D396),'Procyfloc GS50'!D396,IF(ISNUMBER(SEARCH("12",'Procyfloc GS50'!D396)),EDATE(AB395,12),IF(ISNUMBER(SEARCH("6",'Procyfloc GS50'!D396)),EDATE(AB395,6),IF(ISNUMBER(SEARCH("3",'Procyfloc GS50'!D396)),EDATE(AB395,3),DATEVALUE('Procyfloc GS50'!D396))))),""))</f>
        <v/>
      </c>
      <c r="AM395" t="str">
        <f t="shared" ca="1" si="58"/>
        <v/>
      </c>
    </row>
    <row r="396" spans="27:39" x14ac:dyDescent="0.3">
      <c r="AA396" t="str">
        <f>IF(COUNTA('Procyfloc GS50'!A397,'Procyfloc GS50'!B397,'Procyfloc GS50'!C397)&gt;0,"GS50","")</f>
        <v/>
      </c>
      <c r="AB396" t="str">
        <f>IFERROR(IF(ISNUMBER('Procyfloc GS50'!A397),'Procyfloc GS50'!A397,DATEVALUE('Procyfloc GS50'!A397)),"")</f>
        <v/>
      </c>
      <c r="AC396" t="str">
        <f>IF(AA396="","",'Procyfloc GS50'!B397)</f>
        <v/>
      </c>
      <c r="AD396" t="str">
        <f>IF(AA396="","",IFERROR(1*'Procyfloc GS50'!C397,IFERROR(_xludf.NUMBERVALUE('Procyfloc GS50'!C397,".",","),IFERROR(_xludf.NUMBERVALUE('Procyfloc GS50'!C397,",","."),0))))</f>
        <v/>
      </c>
      <c r="AE396" t="str">
        <f>IF(AA396="","",'Procyfloc GS50'!J397)</f>
        <v/>
      </c>
      <c r="AF396">
        <f t="shared" si="53"/>
        <v>0</v>
      </c>
      <c r="AG396" t="str">
        <f t="shared" si="54"/>
        <v/>
      </c>
      <c r="AH396" t="str">
        <f t="shared" si="55"/>
        <v/>
      </c>
      <c r="AI396">
        <f t="shared" si="56"/>
        <v>0</v>
      </c>
      <c r="AJ396">
        <f t="shared" si="57"/>
        <v>0</v>
      </c>
      <c r="AK396">
        <v>0</v>
      </c>
      <c r="AL396" t="str">
        <f>IF(AA396="","",IFERROR(IF(ISNUMBER('Procyfloc GS50'!D397),'Procyfloc GS50'!D397,IF(ISNUMBER(SEARCH("12",'Procyfloc GS50'!D397)),EDATE(AB396,12),IF(ISNUMBER(SEARCH("6",'Procyfloc GS50'!D397)),EDATE(AB396,6),IF(ISNUMBER(SEARCH("3",'Procyfloc GS50'!D397)),EDATE(AB396,3),DATEVALUE('Procyfloc GS50'!D397))))),""))</f>
        <v/>
      </c>
      <c r="AM396" t="str">
        <f t="shared" ca="1" si="58"/>
        <v/>
      </c>
    </row>
    <row r="397" spans="27:39" x14ac:dyDescent="0.3">
      <c r="AA397" t="str">
        <f>IF(COUNTA('Procyfloc GS50'!A398,'Procyfloc GS50'!B398,'Procyfloc GS50'!C398)&gt;0,"GS50","")</f>
        <v/>
      </c>
      <c r="AB397" t="str">
        <f>IFERROR(IF(ISNUMBER('Procyfloc GS50'!A398),'Procyfloc GS50'!A398,DATEVALUE('Procyfloc GS50'!A398)),"")</f>
        <v/>
      </c>
      <c r="AC397" t="str">
        <f>IF(AA397="","",'Procyfloc GS50'!B398)</f>
        <v/>
      </c>
      <c r="AD397" t="str">
        <f>IF(AA397="","",IFERROR(1*'Procyfloc GS50'!C398,IFERROR(_xludf.NUMBERVALUE('Procyfloc GS50'!C398,".",","),IFERROR(_xludf.NUMBERVALUE('Procyfloc GS50'!C398,",","."),0))))</f>
        <v/>
      </c>
      <c r="AE397" t="str">
        <f>IF(AA397="","",'Procyfloc GS50'!J398)</f>
        <v/>
      </c>
      <c r="AF397">
        <f t="shared" si="53"/>
        <v>0</v>
      </c>
      <c r="AG397" t="str">
        <f t="shared" si="54"/>
        <v/>
      </c>
      <c r="AH397" t="str">
        <f t="shared" si="55"/>
        <v/>
      </c>
      <c r="AI397">
        <f t="shared" si="56"/>
        <v>0</v>
      </c>
      <c r="AJ397">
        <f t="shared" si="57"/>
        <v>0</v>
      </c>
      <c r="AK397">
        <v>0</v>
      </c>
      <c r="AL397" t="str">
        <f>IF(AA397="","",IFERROR(IF(ISNUMBER('Procyfloc GS50'!D398),'Procyfloc GS50'!D398,IF(ISNUMBER(SEARCH("12",'Procyfloc GS50'!D398)),EDATE(AB397,12),IF(ISNUMBER(SEARCH("6",'Procyfloc GS50'!D398)),EDATE(AB397,6),IF(ISNUMBER(SEARCH("3",'Procyfloc GS50'!D398)),EDATE(AB397,3),DATEVALUE('Procyfloc GS50'!D398))))),""))</f>
        <v/>
      </c>
      <c r="AM397" t="str">
        <f t="shared" ca="1" si="58"/>
        <v/>
      </c>
    </row>
    <row r="398" spans="27:39" x14ac:dyDescent="0.3">
      <c r="AA398" t="str">
        <f>IF(COUNTA('Procyfloc GS50'!A399,'Procyfloc GS50'!B399,'Procyfloc GS50'!C399)&gt;0,"GS50","")</f>
        <v/>
      </c>
      <c r="AB398" t="str">
        <f>IFERROR(IF(ISNUMBER('Procyfloc GS50'!A399),'Procyfloc GS50'!A399,DATEVALUE('Procyfloc GS50'!A399)),"")</f>
        <v/>
      </c>
      <c r="AC398" t="str">
        <f>IF(AA398="","",'Procyfloc GS50'!B399)</f>
        <v/>
      </c>
      <c r="AD398" t="str">
        <f>IF(AA398="","",IFERROR(1*'Procyfloc GS50'!C399,IFERROR(_xludf.NUMBERVALUE('Procyfloc GS50'!C399,".",","),IFERROR(_xludf.NUMBERVALUE('Procyfloc GS50'!C399,",","."),0))))</f>
        <v/>
      </c>
      <c r="AE398" t="str">
        <f>IF(AA398="","",'Procyfloc GS50'!J399)</f>
        <v/>
      </c>
      <c r="AF398">
        <f t="shared" si="53"/>
        <v>0</v>
      </c>
      <c r="AG398" t="str">
        <f t="shared" si="54"/>
        <v/>
      </c>
      <c r="AH398" t="str">
        <f t="shared" si="55"/>
        <v/>
      </c>
      <c r="AI398">
        <f t="shared" si="56"/>
        <v>0</v>
      </c>
      <c r="AJ398">
        <f t="shared" si="57"/>
        <v>0</v>
      </c>
      <c r="AK398">
        <v>0</v>
      </c>
      <c r="AL398" t="str">
        <f>IF(AA398="","",IFERROR(IF(ISNUMBER('Procyfloc GS50'!D399),'Procyfloc GS50'!D399,IF(ISNUMBER(SEARCH("12",'Procyfloc GS50'!D399)),EDATE(AB398,12),IF(ISNUMBER(SEARCH("6",'Procyfloc GS50'!D399)),EDATE(AB398,6),IF(ISNUMBER(SEARCH("3",'Procyfloc GS50'!D399)),EDATE(AB398,3),DATEVALUE('Procyfloc GS50'!D399))))),""))</f>
        <v/>
      </c>
      <c r="AM398" t="str">
        <f t="shared" ca="1" si="58"/>
        <v/>
      </c>
    </row>
    <row r="399" spans="27:39" x14ac:dyDescent="0.3">
      <c r="AA399" t="str">
        <f>IF(COUNTA('Procyfloc GS50'!A400,'Procyfloc GS50'!B400,'Procyfloc GS50'!C400)&gt;0,"GS50","")</f>
        <v/>
      </c>
      <c r="AB399" t="str">
        <f>IFERROR(IF(ISNUMBER('Procyfloc GS50'!A400),'Procyfloc GS50'!A400,DATEVALUE('Procyfloc GS50'!A400)),"")</f>
        <v/>
      </c>
      <c r="AC399" t="str">
        <f>IF(AA399="","",'Procyfloc GS50'!B400)</f>
        <v/>
      </c>
      <c r="AD399" t="str">
        <f>IF(AA399="","",IFERROR(1*'Procyfloc GS50'!C400,IFERROR(_xludf.NUMBERVALUE('Procyfloc GS50'!C400,".",","),IFERROR(_xludf.NUMBERVALUE('Procyfloc GS50'!C400,",","."),0))))</f>
        <v/>
      </c>
      <c r="AE399" t="str">
        <f>IF(AA399="","",'Procyfloc GS50'!J400)</f>
        <v/>
      </c>
      <c r="AF399">
        <f t="shared" si="53"/>
        <v>0</v>
      </c>
      <c r="AG399" t="str">
        <f t="shared" si="54"/>
        <v/>
      </c>
      <c r="AH399" t="str">
        <f t="shared" si="55"/>
        <v/>
      </c>
      <c r="AI399">
        <f t="shared" si="56"/>
        <v>0</v>
      </c>
      <c r="AJ399">
        <f t="shared" si="57"/>
        <v>0</v>
      </c>
      <c r="AK399">
        <v>0</v>
      </c>
      <c r="AL399" t="str">
        <f>IF(AA399="","",IFERROR(IF(ISNUMBER('Procyfloc GS50'!D400),'Procyfloc GS50'!D400,IF(ISNUMBER(SEARCH("12",'Procyfloc GS50'!D400)),EDATE(AB399,12),IF(ISNUMBER(SEARCH("6",'Procyfloc GS50'!D400)),EDATE(AB399,6),IF(ISNUMBER(SEARCH("3",'Procyfloc GS50'!D400)),EDATE(AB399,3),DATEVALUE('Procyfloc GS50'!D400))))),""))</f>
        <v/>
      </c>
      <c r="AM399" t="str">
        <f t="shared" ca="1" si="58"/>
        <v/>
      </c>
    </row>
    <row r="400" spans="27:39" x14ac:dyDescent="0.3">
      <c r="AA400" t="str">
        <f>IF(COUNTA('Procyfloc GS50'!A401,'Procyfloc GS50'!B401,'Procyfloc GS50'!C401)&gt;0,"GS50","")</f>
        <v/>
      </c>
      <c r="AB400" t="str">
        <f>IFERROR(IF(ISNUMBER('Procyfloc GS50'!A401),'Procyfloc GS50'!A401,DATEVALUE('Procyfloc GS50'!A401)),"")</f>
        <v/>
      </c>
      <c r="AC400" t="str">
        <f>IF(AA400="","",'Procyfloc GS50'!B401)</f>
        <v/>
      </c>
      <c r="AD400" t="str">
        <f>IF(AA400="","",IFERROR(1*'Procyfloc GS50'!C401,IFERROR(_xludf.NUMBERVALUE('Procyfloc GS50'!C401,".",","),IFERROR(_xludf.NUMBERVALUE('Procyfloc GS50'!C401,",","."),0))))</f>
        <v/>
      </c>
      <c r="AE400" t="str">
        <f>IF(AA400="","",'Procyfloc GS50'!J401)</f>
        <v/>
      </c>
      <c r="AF400">
        <f t="shared" si="53"/>
        <v>0</v>
      </c>
      <c r="AG400" t="str">
        <f t="shared" si="54"/>
        <v/>
      </c>
      <c r="AH400" t="str">
        <f t="shared" si="55"/>
        <v/>
      </c>
      <c r="AI400">
        <f t="shared" si="56"/>
        <v>0</v>
      </c>
      <c r="AJ400">
        <f t="shared" si="57"/>
        <v>0</v>
      </c>
      <c r="AK400">
        <v>0</v>
      </c>
      <c r="AL400" t="str">
        <f>IF(AA400="","",IFERROR(IF(ISNUMBER('Procyfloc GS50'!D401),'Procyfloc GS50'!D401,IF(ISNUMBER(SEARCH("12",'Procyfloc GS50'!D401)),EDATE(AB400,12),IF(ISNUMBER(SEARCH("6",'Procyfloc GS50'!D401)),EDATE(AB400,6),IF(ISNUMBER(SEARCH("3",'Procyfloc GS50'!D401)),EDATE(AB400,3),DATEVALUE('Procyfloc GS50'!D401))))),""))</f>
        <v/>
      </c>
      <c r="AM400" t="str">
        <f t="shared" ca="1" si="58"/>
        <v/>
      </c>
    </row>
    <row r="401" spans="27:39" x14ac:dyDescent="0.3">
      <c r="AA401" t="str">
        <f>IF(COUNTA('Procyfloc GS50'!A402,'Procyfloc GS50'!B402,'Procyfloc GS50'!C402)&gt;0,"GS50","")</f>
        <v/>
      </c>
      <c r="AB401" t="str">
        <f>IFERROR(IF(ISNUMBER('Procyfloc GS50'!A402),'Procyfloc GS50'!A402,DATEVALUE('Procyfloc GS50'!A402)),"")</f>
        <v/>
      </c>
      <c r="AC401" t="str">
        <f>IF(AA401="","",'Procyfloc GS50'!B402)</f>
        <v/>
      </c>
      <c r="AD401" t="str">
        <f>IF(AA401="","",IFERROR(1*'Procyfloc GS50'!C402,IFERROR(_xludf.NUMBERVALUE('Procyfloc GS50'!C402,".",","),IFERROR(_xludf.NUMBERVALUE('Procyfloc GS50'!C402,",","."),0))))</f>
        <v/>
      </c>
      <c r="AE401" t="str">
        <f>IF(AA401="","",'Procyfloc GS50'!J402)</f>
        <v/>
      </c>
      <c r="AF401">
        <f t="shared" si="53"/>
        <v>0</v>
      </c>
      <c r="AG401" t="str">
        <f t="shared" si="54"/>
        <v/>
      </c>
      <c r="AH401" t="str">
        <f t="shared" si="55"/>
        <v/>
      </c>
      <c r="AI401">
        <f t="shared" si="56"/>
        <v>0</v>
      </c>
      <c r="AJ401">
        <f t="shared" si="57"/>
        <v>0</v>
      </c>
      <c r="AK401">
        <v>0</v>
      </c>
      <c r="AL401" t="str">
        <f>IF(AA401="","",IFERROR(IF(ISNUMBER('Procyfloc GS50'!D402),'Procyfloc GS50'!D402,IF(ISNUMBER(SEARCH("12",'Procyfloc GS50'!D402)),EDATE(AB401,12),IF(ISNUMBER(SEARCH("6",'Procyfloc GS50'!D402)),EDATE(AB401,6),IF(ISNUMBER(SEARCH("3",'Procyfloc GS50'!D402)),EDATE(AB401,3),DATEVALUE('Procyfloc GS50'!D402))))),""))</f>
        <v/>
      </c>
      <c r="AM401" t="str">
        <f t="shared" ca="1" si="58"/>
        <v/>
      </c>
    </row>
    <row r="402" spans="27:39" x14ac:dyDescent="0.3">
      <c r="AA402" t="str">
        <f>IF(COUNTA('Procyfloc GS50'!A403,'Procyfloc GS50'!B403,'Procyfloc GS50'!C403)&gt;0,"GS50","")</f>
        <v/>
      </c>
      <c r="AB402" t="str">
        <f>IFERROR(IF(ISNUMBER('Procyfloc GS50'!A403),'Procyfloc GS50'!A403,DATEVALUE('Procyfloc GS50'!A403)),"")</f>
        <v/>
      </c>
      <c r="AC402" t="str">
        <f>IF(AA402="","",'Procyfloc GS50'!B403)</f>
        <v/>
      </c>
      <c r="AD402" t="str">
        <f>IF(AA402="","",IFERROR(1*'Procyfloc GS50'!C403,IFERROR(_xludf.NUMBERVALUE('Procyfloc GS50'!C403,".",","),IFERROR(_xludf.NUMBERVALUE('Procyfloc GS50'!C403,",","."),0))))</f>
        <v/>
      </c>
      <c r="AE402" t="str">
        <f>IF(AA402="","",'Procyfloc GS50'!J403)</f>
        <v/>
      </c>
      <c r="AF402">
        <f t="shared" si="53"/>
        <v>0</v>
      </c>
      <c r="AG402" t="str">
        <f t="shared" si="54"/>
        <v/>
      </c>
      <c r="AH402" t="str">
        <f t="shared" si="55"/>
        <v/>
      </c>
      <c r="AI402">
        <f t="shared" si="56"/>
        <v>0</v>
      </c>
      <c r="AJ402">
        <f t="shared" si="57"/>
        <v>0</v>
      </c>
      <c r="AK402">
        <v>0</v>
      </c>
      <c r="AL402" t="str">
        <f>IF(AA402="","",IFERROR(IF(ISNUMBER('Procyfloc GS50'!D403),'Procyfloc GS50'!D403,IF(ISNUMBER(SEARCH("12",'Procyfloc GS50'!D403)),EDATE(AB402,12),IF(ISNUMBER(SEARCH("6",'Procyfloc GS50'!D403)),EDATE(AB402,6),IF(ISNUMBER(SEARCH("3",'Procyfloc GS50'!D403)),EDATE(AB402,3),DATEVALUE('Procyfloc GS50'!D403))))),""))</f>
        <v/>
      </c>
      <c r="AM402" t="str">
        <f t="shared" ca="1" si="58"/>
        <v/>
      </c>
    </row>
    <row r="403" spans="27:39" x14ac:dyDescent="0.3">
      <c r="AA403" t="str">
        <f>IF(COUNTA('Procyfloc GS50'!A404,'Procyfloc GS50'!B404,'Procyfloc GS50'!C404)&gt;0,"GS50","")</f>
        <v/>
      </c>
      <c r="AB403" t="str">
        <f>IFERROR(IF(ISNUMBER('Procyfloc GS50'!A404),'Procyfloc GS50'!A404,DATEVALUE('Procyfloc GS50'!A404)),"")</f>
        <v/>
      </c>
      <c r="AC403" t="str">
        <f>IF(AA403="","",'Procyfloc GS50'!B404)</f>
        <v/>
      </c>
      <c r="AD403" t="str">
        <f>IF(AA403="","",IFERROR(1*'Procyfloc GS50'!C404,IFERROR(_xludf.NUMBERVALUE('Procyfloc GS50'!C404,".",","),IFERROR(_xludf.NUMBERVALUE('Procyfloc GS50'!C404,",","."),0))))</f>
        <v/>
      </c>
      <c r="AE403" t="str">
        <f>IF(AA403="","",'Procyfloc GS50'!J404)</f>
        <v/>
      </c>
      <c r="AF403">
        <f t="shared" si="53"/>
        <v>0</v>
      </c>
      <c r="AG403" t="str">
        <f t="shared" si="54"/>
        <v/>
      </c>
      <c r="AH403" t="str">
        <f t="shared" si="55"/>
        <v/>
      </c>
      <c r="AI403">
        <f t="shared" si="56"/>
        <v>0</v>
      </c>
      <c r="AJ403">
        <f t="shared" si="57"/>
        <v>0</v>
      </c>
      <c r="AK403">
        <v>0</v>
      </c>
      <c r="AL403" t="str">
        <f>IF(AA403="","",IFERROR(IF(ISNUMBER('Procyfloc GS50'!D404),'Procyfloc GS50'!D404,IF(ISNUMBER(SEARCH("12",'Procyfloc GS50'!D404)),EDATE(AB403,12),IF(ISNUMBER(SEARCH("6",'Procyfloc GS50'!D404)),EDATE(AB403,6),IF(ISNUMBER(SEARCH("3",'Procyfloc GS50'!D404)),EDATE(AB403,3),DATEVALUE('Procyfloc GS50'!D404))))),""))</f>
        <v/>
      </c>
      <c r="AM403" t="str">
        <f t="shared" ca="1" si="58"/>
        <v/>
      </c>
    </row>
    <row r="404" spans="27:39" x14ac:dyDescent="0.3">
      <c r="AA404" t="str">
        <f>IF(COUNTA('Procyfloc GS50'!A405,'Procyfloc GS50'!B405,'Procyfloc GS50'!C405)&gt;0,"GS50","")</f>
        <v/>
      </c>
      <c r="AB404" t="str">
        <f>IFERROR(IF(ISNUMBER('Procyfloc GS50'!A405),'Procyfloc GS50'!A405,DATEVALUE('Procyfloc GS50'!A405)),"")</f>
        <v/>
      </c>
      <c r="AC404" t="str">
        <f>IF(AA404="","",'Procyfloc GS50'!B405)</f>
        <v/>
      </c>
      <c r="AD404" t="str">
        <f>IF(AA404="","",IFERROR(1*'Procyfloc GS50'!C405,IFERROR(_xludf.NUMBERVALUE('Procyfloc GS50'!C405,".",","),IFERROR(_xludf.NUMBERVALUE('Procyfloc GS50'!C405,",","."),0))))</f>
        <v/>
      </c>
      <c r="AE404" t="str">
        <f>IF(AA404="","",'Procyfloc GS50'!J405)</f>
        <v/>
      </c>
      <c r="AF404">
        <f t="shared" si="53"/>
        <v>0</v>
      </c>
      <c r="AG404" t="str">
        <f t="shared" si="54"/>
        <v/>
      </c>
      <c r="AH404" t="str">
        <f t="shared" si="55"/>
        <v/>
      </c>
      <c r="AI404">
        <f t="shared" si="56"/>
        <v>0</v>
      </c>
      <c r="AJ404">
        <f t="shared" si="57"/>
        <v>0</v>
      </c>
      <c r="AK404">
        <v>0</v>
      </c>
      <c r="AL404" t="str">
        <f>IF(AA404="","",IFERROR(IF(ISNUMBER('Procyfloc GS50'!D405),'Procyfloc GS50'!D405,IF(ISNUMBER(SEARCH("12",'Procyfloc GS50'!D405)),EDATE(AB404,12),IF(ISNUMBER(SEARCH("6",'Procyfloc GS50'!D405)),EDATE(AB404,6),IF(ISNUMBER(SEARCH("3",'Procyfloc GS50'!D405)),EDATE(AB404,3),DATEVALUE('Procyfloc GS50'!D405))))),""))</f>
        <v/>
      </c>
      <c r="AM404" t="str">
        <f t="shared" ca="1" si="58"/>
        <v/>
      </c>
    </row>
    <row r="405" spans="27:39" x14ac:dyDescent="0.3">
      <c r="AA405" t="str">
        <f>IF(COUNTA('Procyfloc GS50'!A406,'Procyfloc GS50'!B406,'Procyfloc GS50'!C406)&gt;0,"GS50","")</f>
        <v/>
      </c>
      <c r="AB405" t="str">
        <f>IFERROR(IF(ISNUMBER('Procyfloc GS50'!A406),'Procyfloc GS50'!A406,DATEVALUE('Procyfloc GS50'!A406)),"")</f>
        <v/>
      </c>
      <c r="AC405" t="str">
        <f>IF(AA405="","",'Procyfloc GS50'!B406)</f>
        <v/>
      </c>
      <c r="AD405" t="str">
        <f>IF(AA405="","",IFERROR(1*'Procyfloc GS50'!C406,IFERROR(_xludf.NUMBERVALUE('Procyfloc GS50'!C406,".",","),IFERROR(_xludf.NUMBERVALUE('Procyfloc GS50'!C406,",","."),0))))</f>
        <v/>
      </c>
      <c r="AE405" t="str">
        <f>IF(AA405="","",'Procyfloc GS50'!J406)</f>
        <v/>
      </c>
      <c r="AF405">
        <f t="shared" si="53"/>
        <v>0</v>
      </c>
      <c r="AG405" t="str">
        <f t="shared" si="54"/>
        <v/>
      </c>
      <c r="AH405" t="str">
        <f t="shared" si="55"/>
        <v/>
      </c>
      <c r="AI405">
        <f t="shared" si="56"/>
        <v>0</v>
      </c>
      <c r="AJ405">
        <f t="shared" si="57"/>
        <v>0</v>
      </c>
      <c r="AK405">
        <v>0</v>
      </c>
      <c r="AL405" t="str">
        <f>IF(AA405="","",IFERROR(IF(ISNUMBER('Procyfloc GS50'!D406),'Procyfloc GS50'!D406,IF(ISNUMBER(SEARCH("12",'Procyfloc GS50'!D406)),EDATE(AB405,12),IF(ISNUMBER(SEARCH("6",'Procyfloc GS50'!D406)),EDATE(AB405,6),IF(ISNUMBER(SEARCH("3",'Procyfloc GS50'!D406)),EDATE(AB405,3),DATEVALUE('Procyfloc GS50'!D406))))),""))</f>
        <v/>
      </c>
      <c r="AM405" t="str">
        <f t="shared" ca="1" si="58"/>
        <v/>
      </c>
    </row>
    <row r="406" spans="27:39" x14ac:dyDescent="0.3">
      <c r="AA406" t="str">
        <f>IF(COUNTA('Procyfloc GS50'!A407,'Procyfloc GS50'!B407,'Procyfloc GS50'!C407)&gt;0,"GS50","")</f>
        <v/>
      </c>
      <c r="AB406" t="str">
        <f>IFERROR(IF(ISNUMBER('Procyfloc GS50'!A407),'Procyfloc GS50'!A407,DATEVALUE('Procyfloc GS50'!A407)),"")</f>
        <v/>
      </c>
      <c r="AC406" t="str">
        <f>IF(AA406="","",'Procyfloc GS50'!B407)</f>
        <v/>
      </c>
      <c r="AD406" t="str">
        <f>IF(AA406="","",IFERROR(1*'Procyfloc GS50'!C407,IFERROR(_xludf.NUMBERVALUE('Procyfloc GS50'!C407,".",","),IFERROR(_xludf.NUMBERVALUE('Procyfloc GS50'!C407,",","."),0))))</f>
        <v/>
      </c>
      <c r="AE406" t="str">
        <f>IF(AA406="","",'Procyfloc GS50'!J407)</f>
        <v/>
      </c>
      <c r="AF406">
        <f t="shared" si="53"/>
        <v>0</v>
      </c>
      <c r="AG406" t="str">
        <f t="shared" si="54"/>
        <v/>
      </c>
      <c r="AH406" t="str">
        <f t="shared" si="55"/>
        <v/>
      </c>
      <c r="AI406">
        <f t="shared" si="56"/>
        <v>0</v>
      </c>
      <c r="AJ406">
        <f t="shared" si="57"/>
        <v>0</v>
      </c>
      <c r="AK406">
        <v>0</v>
      </c>
      <c r="AL406" t="str">
        <f>IF(AA406="","",IFERROR(IF(ISNUMBER('Procyfloc GS50'!D407),'Procyfloc GS50'!D407,IF(ISNUMBER(SEARCH("12",'Procyfloc GS50'!D407)),EDATE(AB406,12),IF(ISNUMBER(SEARCH("6",'Procyfloc GS50'!D407)),EDATE(AB406,6),IF(ISNUMBER(SEARCH("3",'Procyfloc GS50'!D407)),EDATE(AB406,3),DATEVALUE('Procyfloc GS50'!D407))))),""))</f>
        <v/>
      </c>
      <c r="AM406" t="str">
        <f t="shared" ca="1" si="58"/>
        <v/>
      </c>
    </row>
    <row r="407" spans="27:39" x14ac:dyDescent="0.3">
      <c r="AA407" t="str">
        <f>IF(COUNTA('Procyfloc GS50'!A408,'Procyfloc GS50'!B408,'Procyfloc GS50'!C408)&gt;0,"GS50","")</f>
        <v/>
      </c>
      <c r="AB407" t="str">
        <f>IFERROR(IF(ISNUMBER('Procyfloc GS50'!A408),'Procyfloc GS50'!A408,DATEVALUE('Procyfloc GS50'!A408)),"")</f>
        <v/>
      </c>
      <c r="AC407" t="str">
        <f>IF(AA407="","",'Procyfloc GS50'!B408)</f>
        <v/>
      </c>
      <c r="AD407" t="str">
        <f>IF(AA407="","",IFERROR(1*'Procyfloc GS50'!C408,IFERROR(_xludf.NUMBERVALUE('Procyfloc GS50'!C408,".",","),IFERROR(_xludf.NUMBERVALUE('Procyfloc GS50'!C408,",","."),0))))</f>
        <v/>
      </c>
      <c r="AE407" t="str">
        <f>IF(AA407="","",'Procyfloc GS50'!J408)</f>
        <v/>
      </c>
      <c r="AF407">
        <f t="shared" si="53"/>
        <v>0</v>
      </c>
      <c r="AG407" t="str">
        <f t="shared" si="54"/>
        <v/>
      </c>
      <c r="AH407" t="str">
        <f t="shared" si="55"/>
        <v/>
      </c>
      <c r="AI407">
        <f t="shared" si="56"/>
        <v>0</v>
      </c>
      <c r="AJ407">
        <f t="shared" si="57"/>
        <v>0</v>
      </c>
      <c r="AK407">
        <v>0</v>
      </c>
      <c r="AL407" t="str">
        <f>IF(AA407="","",IFERROR(IF(ISNUMBER('Procyfloc GS50'!D408),'Procyfloc GS50'!D408,IF(ISNUMBER(SEARCH("12",'Procyfloc GS50'!D408)),EDATE(AB407,12),IF(ISNUMBER(SEARCH("6",'Procyfloc GS50'!D408)),EDATE(AB407,6),IF(ISNUMBER(SEARCH("3",'Procyfloc GS50'!D408)),EDATE(AB407,3),DATEVALUE('Procyfloc GS50'!D408))))),""))</f>
        <v/>
      </c>
      <c r="AM407" t="str">
        <f t="shared" ca="1" si="58"/>
        <v/>
      </c>
    </row>
    <row r="408" spans="27:39" x14ac:dyDescent="0.3">
      <c r="AA408" t="str">
        <f>IF(COUNTA('Procyfloc GS50'!A409,'Procyfloc GS50'!B409,'Procyfloc GS50'!C409)&gt;0,"GS50","")</f>
        <v/>
      </c>
      <c r="AB408" t="str">
        <f>IFERROR(IF(ISNUMBER('Procyfloc GS50'!A409),'Procyfloc GS50'!A409,DATEVALUE('Procyfloc GS50'!A409)),"")</f>
        <v/>
      </c>
      <c r="AC408" t="str">
        <f>IF(AA408="","",'Procyfloc GS50'!B409)</f>
        <v/>
      </c>
      <c r="AD408" t="str">
        <f>IF(AA408="","",IFERROR(1*'Procyfloc GS50'!C409,IFERROR(_xludf.NUMBERVALUE('Procyfloc GS50'!C409,".",","),IFERROR(_xludf.NUMBERVALUE('Procyfloc GS50'!C409,",","."),0))))</f>
        <v/>
      </c>
      <c r="AE408" t="str">
        <f>IF(AA408="","",'Procyfloc GS50'!J409)</f>
        <v/>
      </c>
      <c r="AF408">
        <f t="shared" si="53"/>
        <v>0</v>
      </c>
      <c r="AG408" t="str">
        <f t="shared" si="54"/>
        <v/>
      </c>
      <c r="AH408" t="str">
        <f t="shared" si="55"/>
        <v/>
      </c>
      <c r="AI408">
        <f t="shared" si="56"/>
        <v>0</v>
      </c>
      <c r="AJ408">
        <f t="shared" si="57"/>
        <v>0</v>
      </c>
      <c r="AK408">
        <v>0</v>
      </c>
      <c r="AL408" t="str">
        <f>IF(AA408="","",IFERROR(IF(ISNUMBER('Procyfloc GS50'!D409),'Procyfloc GS50'!D409,IF(ISNUMBER(SEARCH("12",'Procyfloc GS50'!D409)),EDATE(AB408,12),IF(ISNUMBER(SEARCH("6",'Procyfloc GS50'!D409)),EDATE(AB408,6),IF(ISNUMBER(SEARCH("3",'Procyfloc GS50'!D409)),EDATE(AB408,3),DATEVALUE('Procyfloc GS50'!D409))))),""))</f>
        <v/>
      </c>
      <c r="AM408" t="str">
        <f t="shared" ca="1" si="58"/>
        <v/>
      </c>
    </row>
    <row r="409" spans="27:39" x14ac:dyDescent="0.3">
      <c r="AA409" t="str">
        <f>IF(COUNTA('Procyfloc GS50'!A410,'Procyfloc GS50'!B410,'Procyfloc GS50'!C410)&gt;0,"GS50","")</f>
        <v/>
      </c>
      <c r="AB409" t="str">
        <f>IFERROR(IF(ISNUMBER('Procyfloc GS50'!A410),'Procyfloc GS50'!A410,DATEVALUE('Procyfloc GS50'!A410)),"")</f>
        <v/>
      </c>
      <c r="AC409" t="str">
        <f>IF(AA409="","",'Procyfloc GS50'!B410)</f>
        <v/>
      </c>
      <c r="AD409" t="str">
        <f>IF(AA409="","",IFERROR(1*'Procyfloc GS50'!C410,IFERROR(_xludf.NUMBERVALUE('Procyfloc GS50'!C410,".",","),IFERROR(_xludf.NUMBERVALUE('Procyfloc GS50'!C410,",","."),0))))</f>
        <v/>
      </c>
      <c r="AE409" t="str">
        <f>IF(AA409="","",'Procyfloc GS50'!J410)</f>
        <v/>
      </c>
      <c r="AF409">
        <f t="shared" si="53"/>
        <v>0</v>
      </c>
      <c r="AG409" t="str">
        <f t="shared" si="54"/>
        <v/>
      </c>
      <c r="AH409" t="str">
        <f t="shared" si="55"/>
        <v/>
      </c>
      <c r="AI409">
        <f t="shared" si="56"/>
        <v>0</v>
      </c>
      <c r="AJ409">
        <f t="shared" si="57"/>
        <v>0</v>
      </c>
      <c r="AK409">
        <v>0</v>
      </c>
      <c r="AL409" t="str">
        <f>IF(AA409="","",IFERROR(IF(ISNUMBER('Procyfloc GS50'!D410),'Procyfloc GS50'!D410,IF(ISNUMBER(SEARCH("12",'Procyfloc GS50'!D410)),EDATE(AB409,12),IF(ISNUMBER(SEARCH("6",'Procyfloc GS50'!D410)),EDATE(AB409,6),IF(ISNUMBER(SEARCH("3",'Procyfloc GS50'!D410)),EDATE(AB409,3),DATEVALUE('Procyfloc GS50'!D410))))),""))</f>
        <v/>
      </c>
      <c r="AM409" t="str">
        <f t="shared" ca="1" si="58"/>
        <v/>
      </c>
    </row>
    <row r="410" spans="27:39" x14ac:dyDescent="0.3">
      <c r="AA410" t="str">
        <f>IF(COUNTA('Procyfloc GS50'!A411,'Procyfloc GS50'!B411,'Procyfloc GS50'!C411)&gt;0,"GS50","")</f>
        <v/>
      </c>
      <c r="AB410" t="str">
        <f>IFERROR(IF(ISNUMBER('Procyfloc GS50'!A411),'Procyfloc GS50'!A411,DATEVALUE('Procyfloc GS50'!A411)),"")</f>
        <v/>
      </c>
      <c r="AC410" t="str">
        <f>IF(AA410="","",'Procyfloc GS50'!B411)</f>
        <v/>
      </c>
      <c r="AD410" t="str">
        <f>IF(AA410="","",IFERROR(1*'Procyfloc GS50'!C411,IFERROR(_xludf.NUMBERVALUE('Procyfloc GS50'!C411,".",","),IFERROR(_xludf.NUMBERVALUE('Procyfloc GS50'!C411,",","."),0))))</f>
        <v/>
      </c>
      <c r="AE410" t="str">
        <f>IF(AA410="","",'Procyfloc GS50'!J411)</f>
        <v/>
      </c>
      <c r="AF410">
        <f t="shared" si="53"/>
        <v>0</v>
      </c>
      <c r="AG410" t="str">
        <f t="shared" si="54"/>
        <v/>
      </c>
      <c r="AH410" t="str">
        <f t="shared" si="55"/>
        <v/>
      </c>
      <c r="AI410">
        <f t="shared" si="56"/>
        <v>0</v>
      </c>
      <c r="AJ410">
        <f t="shared" si="57"/>
        <v>0</v>
      </c>
      <c r="AK410">
        <v>0</v>
      </c>
      <c r="AL410" t="str">
        <f>IF(AA410="","",IFERROR(IF(ISNUMBER('Procyfloc GS50'!D411),'Procyfloc GS50'!D411,IF(ISNUMBER(SEARCH("12",'Procyfloc GS50'!D411)),EDATE(AB410,12),IF(ISNUMBER(SEARCH("6",'Procyfloc GS50'!D411)),EDATE(AB410,6),IF(ISNUMBER(SEARCH("3",'Procyfloc GS50'!D411)),EDATE(AB410,3),DATEVALUE('Procyfloc GS50'!D411))))),""))</f>
        <v/>
      </c>
      <c r="AM410" t="str">
        <f t="shared" ca="1" si="58"/>
        <v/>
      </c>
    </row>
    <row r="411" spans="27:39" x14ac:dyDescent="0.3">
      <c r="AA411" t="str">
        <f>IF(COUNTA('Procyfloc GS50'!A412,'Procyfloc GS50'!B412,'Procyfloc GS50'!C412)&gt;0,"GS50","")</f>
        <v/>
      </c>
      <c r="AB411" t="str">
        <f>IFERROR(IF(ISNUMBER('Procyfloc GS50'!A412),'Procyfloc GS50'!A412,DATEVALUE('Procyfloc GS50'!A412)),"")</f>
        <v/>
      </c>
      <c r="AC411" t="str">
        <f>IF(AA411="","",'Procyfloc GS50'!B412)</f>
        <v/>
      </c>
      <c r="AD411" t="str">
        <f>IF(AA411="","",IFERROR(1*'Procyfloc GS50'!C412,IFERROR(_xludf.NUMBERVALUE('Procyfloc GS50'!C412,".",","),IFERROR(_xludf.NUMBERVALUE('Procyfloc GS50'!C412,",","."),0))))</f>
        <v/>
      </c>
      <c r="AE411" t="str">
        <f>IF(AA411="","",'Procyfloc GS50'!J412)</f>
        <v/>
      </c>
      <c r="AF411">
        <f t="shared" si="53"/>
        <v>0</v>
      </c>
      <c r="AG411" t="str">
        <f t="shared" si="54"/>
        <v/>
      </c>
      <c r="AH411" t="str">
        <f t="shared" si="55"/>
        <v/>
      </c>
      <c r="AI411">
        <f t="shared" si="56"/>
        <v>0</v>
      </c>
      <c r="AJ411">
        <f t="shared" si="57"/>
        <v>0</v>
      </c>
      <c r="AK411">
        <v>0</v>
      </c>
      <c r="AL411" t="str">
        <f>IF(AA411="","",IFERROR(IF(ISNUMBER('Procyfloc GS50'!D412),'Procyfloc GS50'!D412,IF(ISNUMBER(SEARCH("12",'Procyfloc GS50'!D412)),EDATE(AB411,12),IF(ISNUMBER(SEARCH("6",'Procyfloc GS50'!D412)),EDATE(AB411,6),IF(ISNUMBER(SEARCH("3",'Procyfloc GS50'!D412)),EDATE(AB411,3),DATEVALUE('Procyfloc GS50'!D412))))),""))</f>
        <v/>
      </c>
      <c r="AM411" t="str">
        <f t="shared" ca="1" si="58"/>
        <v/>
      </c>
    </row>
    <row r="412" spans="27:39" x14ac:dyDescent="0.3">
      <c r="AA412" t="str">
        <f>IF(COUNTA('Procyfloc GS50'!A413,'Procyfloc GS50'!B413,'Procyfloc GS50'!C413)&gt;0,"GS50","")</f>
        <v/>
      </c>
      <c r="AB412" t="str">
        <f>IFERROR(IF(ISNUMBER('Procyfloc GS50'!A413),'Procyfloc GS50'!A413,DATEVALUE('Procyfloc GS50'!A413)),"")</f>
        <v/>
      </c>
      <c r="AC412" t="str">
        <f>IF(AA412="","",'Procyfloc GS50'!B413)</f>
        <v/>
      </c>
      <c r="AD412" t="str">
        <f>IF(AA412="","",IFERROR(1*'Procyfloc GS50'!C413,IFERROR(_xludf.NUMBERVALUE('Procyfloc GS50'!C413,".",","),IFERROR(_xludf.NUMBERVALUE('Procyfloc GS50'!C413,",","."),0))))</f>
        <v/>
      </c>
      <c r="AE412" t="str">
        <f>IF(AA412="","",'Procyfloc GS50'!J413)</f>
        <v/>
      </c>
      <c r="AF412">
        <f t="shared" si="53"/>
        <v>0</v>
      </c>
      <c r="AG412" t="str">
        <f t="shared" si="54"/>
        <v/>
      </c>
      <c r="AH412" t="str">
        <f t="shared" si="55"/>
        <v/>
      </c>
      <c r="AI412">
        <f t="shared" si="56"/>
        <v>0</v>
      </c>
      <c r="AJ412">
        <f t="shared" si="57"/>
        <v>0</v>
      </c>
      <c r="AK412">
        <v>0</v>
      </c>
      <c r="AL412" t="str">
        <f>IF(AA412="","",IFERROR(IF(ISNUMBER('Procyfloc GS50'!D413),'Procyfloc GS50'!D413,IF(ISNUMBER(SEARCH("12",'Procyfloc GS50'!D413)),EDATE(AB412,12),IF(ISNUMBER(SEARCH("6",'Procyfloc GS50'!D413)),EDATE(AB412,6),IF(ISNUMBER(SEARCH("3",'Procyfloc GS50'!D413)),EDATE(AB412,3),DATEVALUE('Procyfloc GS50'!D413))))),""))</f>
        <v/>
      </c>
      <c r="AM412" t="str">
        <f t="shared" ca="1" si="58"/>
        <v/>
      </c>
    </row>
    <row r="413" spans="27:39" x14ac:dyDescent="0.3">
      <c r="AA413" t="str">
        <f>IF(COUNTA('Procyfloc GS50'!A414,'Procyfloc GS50'!B414,'Procyfloc GS50'!C414)&gt;0,"GS50","")</f>
        <v/>
      </c>
      <c r="AB413" t="str">
        <f>IFERROR(IF(ISNUMBER('Procyfloc GS50'!A414),'Procyfloc GS50'!A414,DATEVALUE('Procyfloc GS50'!A414)),"")</f>
        <v/>
      </c>
      <c r="AC413" t="str">
        <f>IF(AA413="","",'Procyfloc GS50'!B414)</f>
        <v/>
      </c>
      <c r="AD413" t="str">
        <f>IF(AA413="","",IFERROR(1*'Procyfloc GS50'!C414,IFERROR(_xludf.NUMBERVALUE('Procyfloc GS50'!C414,".",","),IFERROR(_xludf.NUMBERVALUE('Procyfloc GS50'!C414,",","."),0))))</f>
        <v/>
      </c>
      <c r="AE413" t="str">
        <f>IF(AA413="","",'Procyfloc GS50'!J414)</f>
        <v/>
      </c>
      <c r="AF413">
        <f t="shared" si="53"/>
        <v>0</v>
      </c>
      <c r="AG413" t="str">
        <f t="shared" si="54"/>
        <v/>
      </c>
      <c r="AH413" t="str">
        <f t="shared" si="55"/>
        <v/>
      </c>
      <c r="AI413">
        <f t="shared" si="56"/>
        <v>0</v>
      </c>
      <c r="AJ413">
        <f t="shared" si="57"/>
        <v>0</v>
      </c>
      <c r="AK413">
        <v>0</v>
      </c>
      <c r="AL413" t="str">
        <f>IF(AA413="","",IFERROR(IF(ISNUMBER('Procyfloc GS50'!D414),'Procyfloc GS50'!D414,IF(ISNUMBER(SEARCH("12",'Procyfloc GS50'!D414)),EDATE(AB413,12),IF(ISNUMBER(SEARCH("6",'Procyfloc GS50'!D414)),EDATE(AB413,6),IF(ISNUMBER(SEARCH("3",'Procyfloc GS50'!D414)),EDATE(AB413,3),DATEVALUE('Procyfloc GS50'!D414))))),""))</f>
        <v/>
      </c>
      <c r="AM413" t="str">
        <f t="shared" ca="1" si="58"/>
        <v/>
      </c>
    </row>
    <row r="414" spans="27:39" x14ac:dyDescent="0.3">
      <c r="AA414" t="str">
        <f>IF(COUNTA('Procyfloc GS50'!A415,'Procyfloc GS50'!B415,'Procyfloc GS50'!C415)&gt;0,"GS50","")</f>
        <v/>
      </c>
      <c r="AB414" t="str">
        <f>IFERROR(IF(ISNUMBER('Procyfloc GS50'!A415),'Procyfloc GS50'!A415,DATEVALUE('Procyfloc GS50'!A415)),"")</f>
        <v/>
      </c>
      <c r="AC414" t="str">
        <f>IF(AA414="","",'Procyfloc GS50'!B415)</f>
        <v/>
      </c>
      <c r="AD414" t="str">
        <f>IF(AA414="","",IFERROR(1*'Procyfloc GS50'!C415,IFERROR(_xludf.NUMBERVALUE('Procyfloc GS50'!C415,".",","),IFERROR(_xludf.NUMBERVALUE('Procyfloc GS50'!C415,",","."),0))))</f>
        <v/>
      </c>
      <c r="AE414" t="str">
        <f>IF(AA414="","",'Procyfloc GS50'!J415)</f>
        <v/>
      </c>
      <c r="AF414">
        <f t="shared" si="53"/>
        <v>0</v>
      </c>
      <c r="AG414" t="str">
        <f t="shared" si="54"/>
        <v/>
      </c>
      <c r="AH414" t="str">
        <f t="shared" si="55"/>
        <v/>
      </c>
      <c r="AI414">
        <f t="shared" si="56"/>
        <v>0</v>
      </c>
      <c r="AJ414">
        <f t="shared" si="57"/>
        <v>0</v>
      </c>
      <c r="AK414">
        <v>0</v>
      </c>
      <c r="AL414" t="str">
        <f>IF(AA414="","",IFERROR(IF(ISNUMBER('Procyfloc GS50'!D415),'Procyfloc GS50'!D415,IF(ISNUMBER(SEARCH("12",'Procyfloc GS50'!D415)),EDATE(AB414,12),IF(ISNUMBER(SEARCH("6",'Procyfloc GS50'!D415)),EDATE(AB414,6),IF(ISNUMBER(SEARCH("3",'Procyfloc GS50'!D415)),EDATE(AB414,3),DATEVALUE('Procyfloc GS50'!D415))))),""))</f>
        <v/>
      </c>
      <c r="AM414" t="str">
        <f t="shared" ca="1" si="58"/>
        <v/>
      </c>
    </row>
    <row r="415" spans="27:39" x14ac:dyDescent="0.3">
      <c r="AA415" t="str">
        <f>IF(COUNTA('Procyfloc GS50'!A416,'Procyfloc GS50'!B416,'Procyfloc GS50'!C416)&gt;0,"GS50","")</f>
        <v/>
      </c>
      <c r="AB415" t="str">
        <f>IFERROR(IF(ISNUMBER('Procyfloc GS50'!A416),'Procyfloc GS50'!A416,DATEVALUE('Procyfloc GS50'!A416)),"")</f>
        <v/>
      </c>
      <c r="AC415" t="str">
        <f>IF(AA415="","",'Procyfloc GS50'!B416)</f>
        <v/>
      </c>
      <c r="AD415" t="str">
        <f>IF(AA415="","",IFERROR(1*'Procyfloc GS50'!C416,IFERROR(_xludf.NUMBERVALUE('Procyfloc GS50'!C416,".",","),IFERROR(_xludf.NUMBERVALUE('Procyfloc GS50'!C416,",","."),0))))</f>
        <v/>
      </c>
      <c r="AE415" t="str">
        <f>IF(AA415="","",'Procyfloc GS50'!J416)</f>
        <v/>
      </c>
      <c r="AF415">
        <f t="shared" si="53"/>
        <v>0</v>
      </c>
      <c r="AG415" t="str">
        <f t="shared" si="54"/>
        <v/>
      </c>
      <c r="AH415" t="str">
        <f t="shared" si="55"/>
        <v/>
      </c>
      <c r="AI415">
        <f t="shared" si="56"/>
        <v>0</v>
      </c>
      <c r="AJ415">
        <f t="shared" si="57"/>
        <v>0</v>
      </c>
      <c r="AK415">
        <v>0</v>
      </c>
      <c r="AL415" t="str">
        <f>IF(AA415="","",IFERROR(IF(ISNUMBER('Procyfloc GS50'!D416),'Procyfloc GS50'!D416,IF(ISNUMBER(SEARCH("12",'Procyfloc GS50'!D416)),EDATE(AB415,12),IF(ISNUMBER(SEARCH("6",'Procyfloc GS50'!D416)),EDATE(AB415,6),IF(ISNUMBER(SEARCH("3",'Procyfloc GS50'!D416)),EDATE(AB415,3),DATEVALUE('Procyfloc GS50'!D416))))),""))</f>
        <v/>
      </c>
      <c r="AM415" t="str">
        <f t="shared" ca="1" si="58"/>
        <v/>
      </c>
    </row>
    <row r="416" spans="27:39" x14ac:dyDescent="0.3">
      <c r="AA416" t="str">
        <f>IF(COUNTA('Procyfloc GS50'!A417,'Procyfloc GS50'!B417,'Procyfloc GS50'!C417)&gt;0,"GS50","")</f>
        <v/>
      </c>
      <c r="AB416" t="str">
        <f>IFERROR(IF(ISNUMBER('Procyfloc GS50'!A417),'Procyfloc GS50'!A417,DATEVALUE('Procyfloc GS50'!A417)),"")</f>
        <v/>
      </c>
      <c r="AC416" t="str">
        <f>IF(AA416="","",'Procyfloc GS50'!B417)</f>
        <v/>
      </c>
      <c r="AD416" t="str">
        <f>IF(AA416="","",IFERROR(1*'Procyfloc GS50'!C417,IFERROR(_xludf.NUMBERVALUE('Procyfloc GS50'!C417,".",","),IFERROR(_xludf.NUMBERVALUE('Procyfloc GS50'!C417,",","."),0))))</f>
        <v/>
      </c>
      <c r="AE416" t="str">
        <f>IF(AA416="","",'Procyfloc GS50'!J417)</f>
        <v/>
      </c>
      <c r="AF416">
        <f t="shared" si="53"/>
        <v>0</v>
      </c>
      <c r="AG416" t="str">
        <f t="shared" si="54"/>
        <v/>
      </c>
      <c r="AH416" t="str">
        <f t="shared" si="55"/>
        <v/>
      </c>
      <c r="AI416">
        <f t="shared" si="56"/>
        <v>0</v>
      </c>
      <c r="AJ416">
        <f t="shared" si="57"/>
        <v>0</v>
      </c>
      <c r="AK416">
        <v>0</v>
      </c>
      <c r="AL416" t="str">
        <f>IF(AA416="","",IFERROR(IF(ISNUMBER('Procyfloc GS50'!D417),'Procyfloc GS50'!D417,IF(ISNUMBER(SEARCH("12",'Procyfloc GS50'!D417)),EDATE(AB416,12),IF(ISNUMBER(SEARCH("6",'Procyfloc GS50'!D417)),EDATE(AB416,6),IF(ISNUMBER(SEARCH("3",'Procyfloc GS50'!D417)),EDATE(AB416,3),DATEVALUE('Procyfloc GS50'!D417))))),""))</f>
        <v/>
      </c>
      <c r="AM416" t="str">
        <f t="shared" ca="1" si="58"/>
        <v/>
      </c>
    </row>
    <row r="417" spans="27:39" x14ac:dyDescent="0.3">
      <c r="AA417" t="str">
        <f>IF(COUNTA('Procyfloc GS50'!A418,'Procyfloc GS50'!B418,'Procyfloc GS50'!C418)&gt;0,"GS50","")</f>
        <v/>
      </c>
      <c r="AB417" t="str">
        <f>IFERROR(IF(ISNUMBER('Procyfloc GS50'!A418),'Procyfloc GS50'!A418,DATEVALUE('Procyfloc GS50'!A418)),"")</f>
        <v/>
      </c>
      <c r="AC417" t="str">
        <f>IF(AA417="","",'Procyfloc GS50'!B418)</f>
        <v/>
      </c>
      <c r="AD417" t="str">
        <f>IF(AA417="","",IFERROR(1*'Procyfloc GS50'!C418,IFERROR(_xludf.NUMBERVALUE('Procyfloc GS50'!C418,".",","),IFERROR(_xludf.NUMBERVALUE('Procyfloc GS50'!C418,",","."),0))))</f>
        <v/>
      </c>
      <c r="AE417" t="str">
        <f>IF(AA417="","",'Procyfloc GS50'!J418)</f>
        <v/>
      </c>
      <c r="AF417">
        <f t="shared" si="53"/>
        <v>0</v>
      </c>
      <c r="AG417" t="str">
        <f t="shared" si="54"/>
        <v/>
      </c>
      <c r="AH417" t="str">
        <f t="shared" si="55"/>
        <v/>
      </c>
      <c r="AI417">
        <f t="shared" si="56"/>
        <v>0</v>
      </c>
      <c r="AJ417">
        <f t="shared" si="57"/>
        <v>0</v>
      </c>
      <c r="AK417">
        <v>0</v>
      </c>
      <c r="AL417" t="str">
        <f>IF(AA417="","",IFERROR(IF(ISNUMBER('Procyfloc GS50'!D418),'Procyfloc GS50'!D418,IF(ISNUMBER(SEARCH("12",'Procyfloc GS50'!D418)),EDATE(AB417,12),IF(ISNUMBER(SEARCH("6",'Procyfloc GS50'!D418)),EDATE(AB417,6),IF(ISNUMBER(SEARCH("3",'Procyfloc GS50'!D418)),EDATE(AB417,3),DATEVALUE('Procyfloc GS50'!D418))))),""))</f>
        <v/>
      </c>
      <c r="AM417" t="str">
        <f t="shared" ca="1" si="58"/>
        <v/>
      </c>
    </row>
    <row r="418" spans="27:39" x14ac:dyDescent="0.3">
      <c r="AA418" t="str">
        <f>IF(COUNTA('Procyfloc GS50'!A419,'Procyfloc GS50'!B419,'Procyfloc GS50'!C419)&gt;0,"GS50","")</f>
        <v/>
      </c>
      <c r="AB418" t="str">
        <f>IFERROR(IF(ISNUMBER('Procyfloc GS50'!A419),'Procyfloc GS50'!A419,DATEVALUE('Procyfloc GS50'!A419)),"")</f>
        <v/>
      </c>
      <c r="AC418" t="str">
        <f>IF(AA418="","",'Procyfloc GS50'!B419)</f>
        <v/>
      </c>
      <c r="AD418" t="str">
        <f>IF(AA418="","",IFERROR(1*'Procyfloc GS50'!C419,IFERROR(_xludf.NUMBERVALUE('Procyfloc GS50'!C419,".",","),IFERROR(_xludf.NUMBERVALUE('Procyfloc GS50'!C419,",","."),0))))</f>
        <v/>
      </c>
      <c r="AE418" t="str">
        <f>IF(AA418="","",'Procyfloc GS50'!J419)</f>
        <v/>
      </c>
      <c r="AF418">
        <f t="shared" si="53"/>
        <v>0</v>
      </c>
      <c r="AG418" t="str">
        <f t="shared" si="54"/>
        <v/>
      </c>
      <c r="AH418" t="str">
        <f t="shared" si="55"/>
        <v/>
      </c>
      <c r="AI418">
        <f t="shared" si="56"/>
        <v>0</v>
      </c>
      <c r="AJ418">
        <f t="shared" si="57"/>
        <v>0</v>
      </c>
      <c r="AK418">
        <v>0</v>
      </c>
      <c r="AL418" t="str">
        <f>IF(AA418="","",IFERROR(IF(ISNUMBER('Procyfloc GS50'!D419),'Procyfloc GS50'!D419,IF(ISNUMBER(SEARCH("12",'Procyfloc GS50'!D419)),EDATE(AB418,12),IF(ISNUMBER(SEARCH("6",'Procyfloc GS50'!D419)),EDATE(AB418,6),IF(ISNUMBER(SEARCH("3",'Procyfloc GS50'!D419)),EDATE(AB418,3),DATEVALUE('Procyfloc GS50'!D419))))),""))</f>
        <v/>
      </c>
      <c r="AM418" t="str">
        <f t="shared" ca="1" si="58"/>
        <v/>
      </c>
    </row>
    <row r="419" spans="27:39" x14ac:dyDescent="0.3">
      <c r="AA419" t="str">
        <f>IF(COUNTA('Procyfloc GS50'!A420,'Procyfloc GS50'!B420,'Procyfloc GS50'!C420)&gt;0,"GS50","")</f>
        <v/>
      </c>
      <c r="AB419" t="str">
        <f>IFERROR(IF(ISNUMBER('Procyfloc GS50'!A420),'Procyfloc GS50'!A420,DATEVALUE('Procyfloc GS50'!A420)),"")</f>
        <v/>
      </c>
      <c r="AC419" t="str">
        <f>IF(AA419="","",'Procyfloc GS50'!B420)</f>
        <v/>
      </c>
      <c r="AD419" t="str">
        <f>IF(AA419="","",IFERROR(1*'Procyfloc GS50'!C420,IFERROR(_xludf.NUMBERVALUE('Procyfloc GS50'!C420,".",","),IFERROR(_xludf.NUMBERVALUE('Procyfloc GS50'!C420,",","."),0))))</f>
        <v/>
      </c>
      <c r="AE419" t="str">
        <f>IF(AA419="","",'Procyfloc GS50'!J420)</f>
        <v/>
      </c>
      <c r="AF419">
        <f t="shared" si="53"/>
        <v>0</v>
      </c>
      <c r="AG419" t="str">
        <f t="shared" si="54"/>
        <v/>
      </c>
      <c r="AH419" t="str">
        <f t="shared" si="55"/>
        <v/>
      </c>
      <c r="AI419">
        <f t="shared" si="56"/>
        <v>0</v>
      </c>
      <c r="AJ419">
        <f t="shared" si="57"/>
        <v>0</v>
      </c>
      <c r="AK419">
        <v>0</v>
      </c>
      <c r="AL419" t="str">
        <f>IF(AA419="","",IFERROR(IF(ISNUMBER('Procyfloc GS50'!D420),'Procyfloc GS50'!D420,IF(ISNUMBER(SEARCH("12",'Procyfloc GS50'!D420)),EDATE(AB419,12),IF(ISNUMBER(SEARCH("6",'Procyfloc GS50'!D420)),EDATE(AB419,6),IF(ISNUMBER(SEARCH("3",'Procyfloc GS50'!D420)),EDATE(AB419,3),DATEVALUE('Procyfloc GS50'!D420))))),""))</f>
        <v/>
      </c>
      <c r="AM419" t="str">
        <f t="shared" ca="1" si="58"/>
        <v/>
      </c>
    </row>
    <row r="420" spans="27:39" x14ac:dyDescent="0.3">
      <c r="AA420" t="str">
        <f>IF(COUNTA('Procyfloc GS50'!A421,'Procyfloc GS50'!B421,'Procyfloc GS50'!C421)&gt;0,"GS50","")</f>
        <v/>
      </c>
      <c r="AB420" t="str">
        <f>IFERROR(IF(ISNUMBER('Procyfloc GS50'!A421),'Procyfloc GS50'!A421,DATEVALUE('Procyfloc GS50'!A421)),"")</f>
        <v/>
      </c>
      <c r="AC420" t="str">
        <f>IF(AA420="","",'Procyfloc GS50'!B421)</f>
        <v/>
      </c>
      <c r="AD420" t="str">
        <f>IF(AA420="","",IFERROR(1*'Procyfloc GS50'!C421,IFERROR(_xludf.NUMBERVALUE('Procyfloc GS50'!C421,".",","),IFERROR(_xludf.NUMBERVALUE('Procyfloc GS50'!C421,",","."),0))))</f>
        <v/>
      </c>
      <c r="AE420" t="str">
        <f>IF(AA420="","",'Procyfloc GS50'!J421)</f>
        <v/>
      </c>
      <c r="AF420">
        <f t="shared" si="53"/>
        <v>0</v>
      </c>
      <c r="AG420" t="str">
        <f t="shared" si="54"/>
        <v/>
      </c>
      <c r="AH420" t="str">
        <f t="shared" si="55"/>
        <v/>
      </c>
      <c r="AI420">
        <f t="shared" si="56"/>
        <v>0</v>
      </c>
      <c r="AJ420">
        <f t="shared" si="57"/>
        <v>0</v>
      </c>
      <c r="AK420">
        <v>0</v>
      </c>
      <c r="AL420" t="str">
        <f>IF(AA420="","",IFERROR(IF(ISNUMBER('Procyfloc GS50'!D421),'Procyfloc GS50'!D421,IF(ISNUMBER(SEARCH("12",'Procyfloc GS50'!D421)),EDATE(AB420,12),IF(ISNUMBER(SEARCH("6",'Procyfloc GS50'!D421)),EDATE(AB420,6),IF(ISNUMBER(SEARCH("3",'Procyfloc GS50'!D421)),EDATE(AB420,3),DATEVALUE('Procyfloc GS50'!D421))))),""))</f>
        <v/>
      </c>
      <c r="AM420" t="str">
        <f t="shared" ca="1" si="58"/>
        <v/>
      </c>
    </row>
    <row r="421" spans="27:39" x14ac:dyDescent="0.3">
      <c r="AA421" t="str">
        <f>IF(COUNTA('Procyfloc GS50'!A422,'Procyfloc GS50'!B422,'Procyfloc GS50'!C422)&gt;0,"GS50","")</f>
        <v/>
      </c>
      <c r="AB421" t="str">
        <f>IFERROR(IF(ISNUMBER('Procyfloc GS50'!A422),'Procyfloc GS50'!A422,DATEVALUE('Procyfloc GS50'!A422)),"")</f>
        <v/>
      </c>
      <c r="AC421" t="str">
        <f>IF(AA421="","",'Procyfloc GS50'!B422)</f>
        <v/>
      </c>
      <c r="AD421" t="str">
        <f>IF(AA421="","",IFERROR(1*'Procyfloc GS50'!C422,IFERROR(_xludf.NUMBERVALUE('Procyfloc GS50'!C422,".",","),IFERROR(_xludf.NUMBERVALUE('Procyfloc GS50'!C422,",","."),0))))</f>
        <v/>
      </c>
      <c r="AE421" t="str">
        <f>IF(AA421="","",'Procyfloc GS50'!J422)</f>
        <v/>
      </c>
      <c r="AF421">
        <f t="shared" si="53"/>
        <v>0</v>
      </c>
      <c r="AG421" t="str">
        <f t="shared" si="54"/>
        <v/>
      </c>
      <c r="AH421" t="str">
        <f t="shared" si="55"/>
        <v/>
      </c>
      <c r="AI421">
        <f t="shared" si="56"/>
        <v>0</v>
      </c>
      <c r="AJ421">
        <f t="shared" si="57"/>
        <v>0</v>
      </c>
      <c r="AK421">
        <v>0</v>
      </c>
      <c r="AL421" t="str">
        <f>IF(AA421="","",IFERROR(IF(ISNUMBER('Procyfloc GS50'!D422),'Procyfloc GS50'!D422,IF(ISNUMBER(SEARCH("12",'Procyfloc GS50'!D422)),EDATE(AB421,12),IF(ISNUMBER(SEARCH("6",'Procyfloc GS50'!D422)),EDATE(AB421,6),IF(ISNUMBER(SEARCH("3",'Procyfloc GS50'!D422)),EDATE(AB421,3),DATEVALUE('Procyfloc GS50'!D422))))),""))</f>
        <v/>
      </c>
      <c r="AM421" t="str">
        <f t="shared" ca="1" si="58"/>
        <v/>
      </c>
    </row>
    <row r="422" spans="27:39" x14ac:dyDescent="0.3">
      <c r="AA422" t="str">
        <f>IF(COUNTA('Procyfloc GS50'!A423,'Procyfloc GS50'!B423,'Procyfloc GS50'!C423)&gt;0,"GS50","")</f>
        <v/>
      </c>
      <c r="AB422" t="str">
        <f>IFERROR(IF(ISNUMBER('Procyfloc GS50'!A423),'Procyfloc GS50'!A423,DATEVALUE('Procyfloc GS50'!A423)),"")</f>
        <v/>
      </c>
      <c r="AC422" t="str">
        <f>IF(AA422="","",'Procyfloc GS50'!B423)</f>
        <v/>
      </c>
      <c r="AD422" t="str">
        <f>IF(AA422="","",IFERROR(1*'Procyfloc GS50'!C423,IFERROR(_xludf.NUMBERVALUE('Procyfloc GS50'!C423,".",","),IFERROR(_xludf.NUMBERVALUE('Procyfloc GS50'!C423,",","."),0))))</f>
        <v/>
      </c>
      <c r="AE422" t="str">
        <f>IF(AA422="","",'Procyfloc GS50'!J423)</f>
        <v/>
      </c>
      <c r="AF422">
        <f t="shared" si="53"/>
        <v>0</v>
      </c>
      <c r="AG422" t="str">
        <f t="shared" si="54"/>
        <v/>
      </c>
      <c r="AH422" t="str">
        <f t="shared" si="55"/>
        <v/>
      </c>
      <c r="AI422">
        <f t="shared" si="56"/>
        <v>0</v>
      </c>
      <c r="AJ422">
        <f t="shared" si="57"/>
        <v>0</v>
      </c>
      <c r="AK422">
        <v>0</v>
      </c>
      <c r="AL422" t="str">
        <f>IF(AA422="","",IFERROR(IF(ISNUMBER('Procyfloc GS50'!D423),'Procyfloc GS50'!D423,IF(ISNUMBER(SEARCH("12",'Procyfloc GS50'!D423)),EDATE(AB422,12),IF(ISNUMBER(SEARCH("6",'Procyfloc GS50'!D423)),EDATE(AB422,6),IF(ISNUMBER(SEARCH("3",'Procyfloc GS50'!D423)),EDATE(AB422,3),DATEVALUE('Procyfloc GS50'!D423))))),""))</f>
        <v/>
      </c>
      <c r="AM422" t="str">
        <f t="shared" ca="1" si="58"/>
        <v/>
      </c>
    </row>
    <row r="423" spans="27:39" x14ac:dyDescent="0.3">
      <c r="AA423" t="str">
        <f>IF(COUNTA('Procyfloc GS50'!A424,'Procyfloc GS50'!B424,'Procyfloc GS50'!C424)&gt;0,"GS50","")</f>
        <v/>
      </c>
      <c r="AB423" t="str">
        <f>IFERROR(IF(ISNUMBER('Procyfloc GS50'!A424),'Procyfloc GS50'!A424,DATEVALUE('Procyfloc GS50'!A424)),"")</f>
        <v/>
      </c>
      <c r="AC423" t="str">
        <f>IF(AA423="","",'Procyfloc GS50'!B424)</f>
        <v/>
      </c>
      <c r="AD423" t="str">
        <f>IF(AA423="","",IFERROR(1*'Procyfloc GS50'!C424,IFERROR(_xludf.NUMBERVALUE('Procyfloc GS50'!C424,".",","),IFERROR(_xludf.NUMBERVALUE('Procyfloc GS50'!C424,",","."),0))))</f>
        <v/>
      </c>
      <c r="AE423" t="str">
        <f>IF(AA423="","",'Procyfloc GS50'!J424)</f>
        <v/>
      </c>
      <c r="AF423">
        <f t="shared" si="53"/>
        <v>0</v>
      </c>
      <c r="AG423" t="str">
        <f t="shared" si="54"/>
        <v/>
      </c>
      <c r="AH423" t="str">
        <f t="shared" si="55"/>
        <v/>
      </c>
      <c r="AI423">
        <f t="shared" si="56"/>
        <v>0</v>
      </c>
      <c r="AJ423">
        <f t="shared" si="57"/>
        <v>0</v>
      </c>
      <c r="AK423">
        <v>0</v>
      </c>
      <c r="AL423" t="str">
        <f>IF(AA423="","",IFERROR(IF(ISNUMBER('Procyfloc GS50'!D424),'Procyfloc GS50'!D424,IF(ISNUMBER(SEARCH("12",'Procyfloc GS50'!D424)),EDATE(AB423,12),IF(ISNUMBER(SEARCH("6",'Procyfloc GS50'!D424)),EDATE(AB423,6),IF(ISNUMBER(SEARCH("3",'Procyfloc GS50'!D424)),EDATE(AB423,3),DATEVALUE('Procyfloc GS50'!D424))))),""))</f>
        <v/>
      </c>
      <c r="AM423" t="str">
        <f t="shared" ca="1" si="58"/>
        <v/>
      </c>
    </row>
    <row r="424" spans="27:39" x14ac:dyDescent="0.3">
      <c r="AA424" t="str">
        <f>IF(COUNTA('Procyfloc GS50'!A425,'Procyfloc GS50'!B425,'Procyfloc GS50'!C425)&gt;0,"GS50","")</f>
        <v/>
      </c>
      <c r="AB424" t="str">
        <f>IFERROR(IF(ISNUMBER('Procyfloc GS50'!A425),'Procyfloc GS50'!A425,DATEVALUE('Procyfloc GS50'!A425)),"")</f>
        <v/>
      </c>
      <c r="AC424" t="str">
        <f>IF(AA424="","",'Procyfloc GS50'!B425)</f>
        <v/>
      </c>
      <c r="AD424" t="str">
        <f>IF(AA424="","",IFERROR(1*'Procyfloc GS50'!C425,IFERROR(_xludf.NUMBERVALUE('Procyfloc GS50'!C425,".",","),IFERROR(_xludf.NUMBERVALUE('Procyfloc GS50'!C425,",","."),0))))</f>
        <v/>
      </c>
      <c r="AE424" t="str">
        <f>IF(AA424="","",'Procyfloc GS50'!J425)</f>
        <v/>
      </c>
      <c r="AF424">
        <f t="shared" si="53"/>
        <v>0</v>
      </c>
      <c r="AG424" t="str">
        <f t="shared" si="54"/>
        <v/>
      </c>
      <c r="AH424" t="str">
        <f t="shared" si="55"/>
        <v/>
      </c>
      <c r="AI424">
        <f t="shared" si="56"/>
        <v>0</v>
      </c>
      <c r="AJ424">
        <f t="shared" si="57"/>
        <v>0</v>
      </c>
      <c r="AK424">
        <v>0</v>
      </c>
      <c r="AL424" t="str">
        <f>IF(AA424="","",IFERROR(IF(ISNUMBER('Procyfloc GS50'!D425),'Procyfloc GS50'!D425,IF(ISNUMBER(SEARCH("12",'Procyfloc GS50'!D425)),EDATE(AB424,12),IF(ISNUMBER(SEARCH("6",'Procyfloc GS50'!D425)),EDATE(AB424,6),IF(ISNUMBER(SEARCH("3",'Procyfloc GS50'!D425)),EDATE(AB424,3),DATEVALUE('Procyfloc GS50'!D425))))),""))</f>
        <v/>
      </c>
      <c r="AM424" t="str">
        <f t="shared" ca="1" si="58"/>
        <v/>
      </c>
    </row>
    <row r="425" spans="27:39" x14ac:dyDescent="0.3">
      <c r="AA425" t="str">
        <f>IF(COUNTA('Procyfloc GS50'!A426,'Procyfloc GS50'!B426,'Procyfloc GS50'!C426)&gt;0,"GS50","")</f>
        <v/>
      </c>
      <c r="AB425" t="str">
        <f>IFERROR(IF(ISNUMBER('Procyfloc GS50'!A426),'Procyfloc GS50'!A426,DATEVALUE('Procyfloc GS50'!A426)),"")</f>
        <v/>
      </c>
      <c r="AC425" t="str">
        <f>IF(AA425="","",'Procyfloc GS50'!B426)</f>
        <v/>
      </c>
      <c r="AD425" t="str">
        <f>IF(AA425="","",IFERROR(1*'Procyfloc GS50'!C426,IFERROR(_xludf.NUMBERVALUE('Procyfloc GS50'!C426,".",","),IFERROR(_xludf.NUMBERVALUE('Procyfloc GS50'!C426,",","."),0))))</f>
        <v/>
      </c>
      <c r="AE425" t="str">
        <f>IF(AA425="","",'Procyfloc GS50'!J426)</f>
        <v/>
      </c>
      <c r="AF425">
        <f t="shared" si="53"/>
        <v>0</v>
      </c>
      <c r="AG425" t="str">
        <f t="shared" si="54"/>
        <v/>
      </c>
      <c r="AH425" t="str">
        <f t="shared" si="55"/>
        <v/>
      </c>
      <c r="AI425">
        <f t="shared" si="56"/>
        <v>0</v>
      </c>
      <c r="AJ425">
        <f t="shared" si="57"/>
        <v>0</v>
      </c>
      <c r="AK425">
        <v>0</v>
      </c>
      <c r="AL425" t="str">
        <f>IF(AA425="","",IFERROR(IF(ISNUMBER('Procyfloc GS50'!D426),'Procyfloc GS50'!D426,IF(ISNUMBER(SEARCH("12",'Procyfloc GS50'!D426)),EDATE(AB425,12),IF(ISNUMBER(SEARCH("6",'Procyfloc GS50'!D426)),EDATE(AB425,6),IF(ISNUMBER(SEARCH("3",'Procyfloc GS50'!D426)),EDATE(AB425,3),DATEVALUE('Procyfloc GS50'!D426))))),""))</f>
        <v/>
      </c>
      <c r="AM425" t="str">
        <f t="shared" ca="1" si="58"/>
        <v/>
      </c>
    </row>
    <row r="426" spans="27:39" x14ac:dyDescent="0.3">
      <c r="AA426" t="str">
        <f>IF(COUNTA('Procyfloc GS50'!A427,'Procyfloc GS50'!B427,'Procyfloc GS50'!C427)&gt;0,"GS50","")</f>
        <v/>
      </c>
      <c r="AB426" t="str">
        <f>IFERROR(IF(ISNUMBER('Procyfloc GS50'!A427),'Procyfloc GS50'!A427,DATEVALUE('Procyfloc GS50'!A427)),"")</f>
        <v/>
      </c>
      <c r="AC426" t="str">
        <f>IF(AA426="","",'Procyfloc GS50'!B427)</f>
        <v/>
      </c>
      <c r="AD426" t="str">
        <f>IF(AA426="","",IFERROR(1*'Procyfloc GS50'!C427,IFERROR(_xludf.NUMBERVALUE('Procyfloc GS50'!C427,".",","),IFERROR(_xludf.NUMBERVALUE('Procyfloc GS50'!C427,",","."),0))))</f>
        <v/>
      </c>
      <c r="AE426" t="str">
        <f>IF(AA426="","",'Procyfloc GS50'!J427)</f>
        <v/>
      </c>
      <c r="AF426">
        <f t="shared" si="53"/>
        <v>0</v>
      </c>
      <c r="AG426" t="str">
        <f t="shared" si="54"/>
        <v/>
      </c>
      <c r="AH426" t="str">
        <f t="shared" si="55"/>
        <v/>
      </c>
      <c r="AI426">
        <f t="shared" si="56"/>
        <v>0</v>
      </c>
      <c r="AJ426">
        <f t="shared" si="57"/>
        <v>0</v>
      </c>
      <c r="AK426">
        <v>0</v>
      </c>
      <c r="AL426" t="str">
        <f>IF(AA426="","",IFERROR(IF(ISNUMBER('Procyfloc GS50'!D427),'Procyfloc GS50'!D427,IF(ISNUMBER(SEARCH("12",'Procyfloc GS50'!D427)),EDATE(AB426,12),IF(ISNUMBER(SEARCH("6",'Procyfloc GS50'!D427)),EDATE(AB426,6),IF(ISNUMBER(SEARCH("3",'Procyfloc GS50'!D427)),EDATE(AB426,3),DATEVALUE('Procyfloc GS50'!D427))))),""))</f>
        <v/>
      </c>
      <c r="AM426" t="str">
        <f t="shared" ca="1" si="58"/>
        <v/>
      </c>
    </row>
    <row r="427" spans="27:39" x14ac:dyDescent="0.3">
      <c r="AA427" t="str">
        <f>IF(COUNTA('Procyfloc GS50'!A428,'Procyfloc GS50'!B428,'Procyfloc GS50'!C428)&gt;0,"GS50","")</f>
        <v/>
      </c>
      <c r="AB427" t="str">
        <f>IFERROR(IF(ISNUMBER('Procyfloc GS50'!A428),'Procyfloc GS50'!A428,DATEVALUE('Procyfloc GS50'!A428)),"")</f>
        <v/>
      </c>
      <c r="AC427" t="str">
        <f>IF(AA427="","",'Procyfloc GS50'!B428)</f>
        <v/>
      </c>
      <c r="AD427" t="str">
        <f>IF(AA427="","",IFERROR(1*'Procyfloc GS50'!C428,IFERROR(_xludf.NUMBERVALUE('Procyfloc GS50'!C428,".",","),IFERROR(_xludf.NUMBERVALUE('Procyfloc GS50'!C428,",","."),0))))</f>
        <v/>
      </c>
      <c r="AE427" t="str">
        <f>IF(AA427="","",'Procyfloc GS50'!J428)</f>
        <v/>
      </c>
      <c r="AF427">
        <f t="shared" si="53"/>
        <v>0</v>
      </c>
      <c r="AG427" t="str">
        <f t="shared" si="54"/>
        <v/>
      </c>
      <c r="AH427" t="str">
        <f t="shared" si="55"/>
        <v/>
      </c>
      <c r="AI427">
        <f t="shared" si="56"/>
        <v>0</v>
      </c>
      <c r="AJ427">
        <f t="shared" si="57"/>
        <v>0</v>
      </c>
      <c r="AK427">
        <v>0</v>
      </c>
      <c r="AL427" t="str">
        <f>IF(AA427="","",IFERROR(IF(ISNUMBER('Procyfloc GS50'!D428),'Procyfloc GS50'!D428,IF(ISNUMBER(SEARCH("12",'Procyfloc GS50'!D428)),EDATE(AB427,12),IF(ISNUMBER(SEARCH("6",'Procyfloc GS50'!D428)),EDATE(AB427,6),IF(ISNUMBER(SEARCH("3",'Procyfloc GS50'!D428)),EDATE(AB427,3),DATEVALUE('Procyfloc GS50'!D428))))),""))</f>
        <v/>
      </c>
      <c r="AM427" t="str">
        <f t="shared" ca="1" si="58"/>
        <v/>
      </c>
    </row>
    <row r="428" spans="27:39" x14ac:dyDescent="0.3">
      <c r="AA428" t="str">
        <f>IF(COUNTA('Procyfloc GS50'!A429,'Procyfloc GS50'!B429,'Procyfloc GS50'!C429)&gt;0,"GS50","")</f>
        <v/>
      </c>
      <c r="AB428" t="str">
        <f>IFERROR(IF(ISNUMBER('Procyfloc GS50'!A429),'Procyfloc GS50'!A429,DATEVALUE('Procyfloc GS50'!A429)),"")</f>
        <v/>
      </c>
      <c r="AC428" t="str">
        <f>IF(AA428="","",'Procyfloc GS50'!B429)</f>
        <v/>
      </c>
      <c r="AD428" t="str">
        <f>IF(AA428="","",IFERROR(1*'Procyfloc GS50'!C429,IFERROR(_xludf.NUMBERVALUE('Procyfloc GS50'!C429,".",","),IFERROR(_xludf.NUMBERVALUE('Procyfloc GS50'!C429,",","."),0))))</f>
        <v/>
      </c>
      <c r="AE428" t="str">
        <f>IF(AA428="","",'Procyfloc GS50'!J429)</f>
        <v/>
      </c>
      <c r="AF428">
        <f t="shared" si="53"/>
        <v>0</v>
      </c>
      <c r="AG428" t="str">
        <f t="shared" si="54"/>
        <v/>
      </c>
      <c r="AH428" t="str">
        <f t="shared" si="55"/>
        <v/>
      </c>
      <c r="AI428">
        <f t="shared" si="56"/>
        <v>0</v>
      </c>
      <c r="AJ428">
        <f t="shared" si="57"/>
        <v>0</v>
      </c>
      <c r="AK428">
        <v>0</v>
      </c>
      <c r="AL428" t="str">
        <f>IF(AA428="","",IFERROR(IF(ISNUMBER('Procyfloc GS50'!D429),'Procyfloc GS50'!D429,IF(ISNUMBER(SEARCH("12",'Procyfloc GS50'!D429)),EDATE(AB428,12),IF(ISNUMBER(SEARCH("6",'Procyfloc GS50'!D429)),EDATE(AB428,6),IF(ISNUMBER(SEARCH("3",'Procyfloc GS50'!D429)),EDATE(AB428,3),DATEVALUE('Procyfloc GS50'!D429))))),""))</f>
        <v/>
      </c>
      <c r="AM428" t="str">
        <f t="shared" ca="1" si="58"/>
        <v/>
      </c>
    </row>
    <row r="429" spans="27:39" x14ac:dyDescent="0.3">
      <c r="AA429" t="str">
        <f>IF(COUNTA('Procyfloc GS50'!A430,'Procyfloc GS50'!B430,'Procyfloc GS50'!C430)&gt;0,"GS50","")</f>
        <v/>
      </c>
      <c r="AB429" t="str">
        <f>IFERROR(IF(ISNUMBER('Procyfloc GS50'!A430),'Procyfloc GS50'!A430,DATEVALUE('Procyfloc GS50'!A430)),"")</f>
        <v/>
      </c>
      <c r="AC429" t="str">
        <f>IF(AA429="","",'Procyfloc GS50'!B430)</f>
        <v/>
      </c>
      <c r="AD429" t="str">
        <f>IF(AA429="","",IFERROR(1*'Procyfloc GS50'!C430,IFERROR(_xludf.NUMBERVALUE('Procyfloc GS50'!C430,".",","),IFERROR(_xludf.NUMBERVALUE('Procyfloc GS50'!C430,",","."),0))))</f>
        <v/>
      </c>
      <c r="AE429" t="str">
        <f>IF(AA429="","",'Procyfloc GS50'!J430)</f>
        <v/>
      </c>
      <c r="AF429">
        <f t="shared" si="53"/>
        <v>0</v>
      </c>
      <c r="AG429" t="str">
        <f t="shared" si="54"/>
        <v/>
      </c>
      <c r="AH429" t="str">
        <f t="shared" si="55"/>
        <v/>
      </c>
      <c r="AI429">
        <f t="shared" si="56"/>
        <v>0</v>
      </c>
      <c r="AJ429">
        <f t="shared" si="57"/>
        <v>0</v>
      </c>
      <c r="AK429">
        <v>0</v>
      </c>
      <c r="AL429" t="str">
        <f>IF(AA429="","",IFERROR(IF(ISNUMBER('Procyfloc GS50'!D430),'Procyfloc GS50'!D430,IF(ISNUMBER(SEARCH("12",'Procyfloc GS50'!D430)),EDATE(AB429,12),IF(ISNUMBER(SEARCH("6",'Procyfloc GS50'!D430)),EDATE(AB429,6),IF(ISNUMBER(SEARCH("3",'Procyfloc GS50'!D430)),EDATE(AB429,3),DATEVALUE('Procyfloc GS50'!D430))))),""))</f>
        <v/>
      </c>
      <c r="AM429" t="str">
        <f t="shared" ca="1" si="58"/>
        <v/>
      </c>
    </row>
    <row r="430" spans="27:39" x14ac:dyDescent="0.3">
      <c r="AA430" t="str">
        <f>IF(COUNTA('Procyfloc GS50'!A431,'Procyfloc GS50'!B431,'Procyfloc GS50'!C431)&gt;0,"GS50","")</f>
        <v/>
      </c>
      <c r="AB430" t="str">
        <f>IFERROR(IF(ISNUMBER('Procyfloc GS50'!A431),'Procyfloc GS50'!A431,DATEVALUE('Procyfloc GS50'!A431)),"")</f>
        <v/>
      </c>
      <c r="AC430" t="str">
        <f>IF(AA430="","",'Procyfloc GS50'!B431)</f>
        <v/>
      </c>
      <c r="AD430" t="str">
        <f>IF(AA430="","",IFERROR(1*'Procyfloc GS50'!C431,IFERROR(_xludf.NUMBERVALUE('Procyfloc GS50'!C431,".",","),IFERROR(_xludf.NUMBERVALUE('Procyfloc GS50'!C431,",","."),0))))</f>
        <v/>
      </c>
      <c r="AE430" t="str">
        <f>IF(AA430="","",'Procyfloc GS50'!J431)</f>
        <v/>
      </c>
      <c r="AF430">
        <f t="shared" si="53"/>
        <v>0</v>
      </c>
      <c r="AG430" t="str">
        <f t="shared" si="54"/>
        <v/>
      </c>
      <c r="AH430" t="str">
        <f t="shared" si="55"/>
        <v/>
      </c>
      <c r="AI430">
        <f t="shared" si="56"/>
        <v>0</v>
      </c>
      <c r="AJ430">
        <f t="shared" si="57"/>
        <v>0</v>
      </c>
      <c r="AK430">
        <v>0</v>
      </c>
      <c r="AL430" t="str">
        <f>IF(AA430="","",IFERROR(IF(ISNUMBER('Procyfloc GS50'!D431),'Procyfloc GS50'!D431,IF(ISNUMBER(SEARCH("12",'Procyfloc GS50'!D431)),EDATE(AB430,12),IF(ISNUMBER(SEARCH("6",'Procyfloc GS50'!D431)),EDATE(AB430,6),IF(ISNUMBER(SEARCH("3",'Procyfloc GS50'!D431)),EDATE(AB430,3),DATEVALUE('Procyfloc GS50'!D431))))),""))</f>
        <v/>
      </c>
      <c r="AM430" t="str">
        <f t="shared" ca="1" si="58"/>
        <v/>
      </c>
    </row>
    <row r="431" spans="27:39" x14ac:dyDescent="0.3">
      <c r="AA431" t="str">
        <f>IF(COUNTA('Procyfloc GS50'!A432,'Procyfloc GS50'!B432,'Procyfloc GS50'!C432)&gt;0,"GS50","")</f>
        <v/>
      </c>
      <c r="AB431" t="str">
        <f>IFERROR(IF(ISNUMBER('Procyfloc GS50'!A432),'Procyfloc GS50'!A432,DATEVALUE('Procyfloc GS50'!A432)),"")</f>
        <v/>
      </c>
      <c r="AC431" t="str">
        <f>IF(AA431="","",'Procyfloc GS50'!B432)</f>
        <v/>
      </c>
      <c r="AD431" t="str">
        <f>IF(AA431="","",IFERROR(1*'Procyfloc GS50'!C432,IFERROR(_xludf.NUMBERVALUE('Procyfloc GS50'!C432,".",","),IFERROR(_xludf.NUMBERVALUE('Procyfloc GS50'!C432,",","."),0))))</f>
        <v/>
      </c>
      <c r="AE431" t="str">
        <f>IF(AA431="","",'Procyfloc GS50'!J432)</f>
        <v/>
      </c>
      <c r="AF431">
        <f t="shared" si="53"/>
        <v>0</v>
      </c>
      <c r="AG431" t="str">
        <f t="shared" si="54"/>
        <v/>
      </c>
      <c r="AH431" t="str">
        <f t="shared" si="55"/>
        <v/>
      </c>
      <c r="AI431">
        <f t="shared" si="56"/>
        <v>0</v>
      </c>
      <c r="AJ431">
        <f t="shared" si="57"/>
        <v>0</v>
      </c>
      <c r="AK431">
        <v>0</v>
      </c>
      <c r="AL431" t="str">
        <f>IF(AA431="","",IFERROR(IF(ISNUMBER('Procyfloc GS50'!D432),'Procyfloc GS50'!D432,IF(ISNUMBER(SEARCH("12",'Procyfloc GS50'!D432)),EDATE(AB431,12),IF(ISNUMBER(SEARCH("6",'Procyfloc GS50'!D432)),EDATE(AB431,6),IF(ISNUMBER(SEARCH("3",'Procyfloc GS50'!D432)),EDATE(AB431,3),DATEVALUE('Procyfloc GS50'!D432))))),""))</f>
        <v/>
      </c>
      <c r="AM431" t="str">
        <f t="shared" ca="1" si="58"/>
        <v/>
      </c>
    </row>
    <row r="432" spans="27:39" x14ac:dyDescent="0.3">
      <c r="AA432" t="str">
        <f>IF(COUNTA('Procyfloc GS50'!A433,'Procyfloc GS50'!B433,'Procyfloc GS50'!C433)&gt;0,"GS50","")</f>
        <v/>
      </c>
      <c r="AB432" t="str">
        <f>IFERROR(IF(ISNUMBER('Procyfloc GS50'!A433),'Procyfloc GS50'!A433,DATEVALUE('Procyfloc GS50'!A433)),"")</f>
        <v/>
      </c>
      <c r="AC432" t="str">
        <f>IF(AA432="","",'Procyfloc GS50'!B433)</f>
        <v/>
      </c>
      <c r="AD432" t="str">
        <f>IF(AA432="","",IFERROR(1*'Procyfloc GS50'!C433,IFERROR(_xludf.NUMBERVALUE('Procyfloc GS50'!C433,".",","),IFERROR(_xludf.NUMBERVALUE('Procyfloc GS50'!C433,",","."),0))))</f>
        <v/>
      </c>
      <c r="AE432" t="str">
        <f>IF(AA432="","",'Procyfloc GS50'!J433)</f>
        <v/>
      </c>
      <c r="AF432">
        <f t="shared" si="53"/>
        <v>0</v>
      </c>
      <c r="AG432" t="str">
        <f t="shared" si="54"/>
        <v/>
      </c>
      <c r="AH432" t="str">
        <f t="shared" si="55"/>
        <v/>
      </c>
      <c r="AI432">
        <f t="shared" si="56"/>
        <v>0</v>
      </c>
      <c r="AJ432">
        <f t="shared" si="57"/>
        <v>0</v>
      </c>
      <c r="AK432">
        <v>0</v>
      </c>
      <c r="AL432" t="str">
        <f>IF(AA432="","",IFERROR(IF(ISNUMBER('Procyfloc GS50'!D433),'Procyfloc GS50'!D433,IF(ISNUMBER(SEARCH("12",'Procyfloc GS50'!D433)),EDATE(AB432,12),IF(ISNUMBER(SEARCH("6",'Procyfloc GS50'!D433)),EDATE(AB432,6),IF(ISNUMBER(SEARCH("3",'Procyfloc GS50'!D433)),EDATE(AB432,3),DATEVALUE('Procyfloc GS50'!D433))))),""))</f>
        <v/>
      </c>
      <c r="AM432" t="str">
        <f t="shared" ca="1" si="58"/>
        <v/>
      </c>
    </row>
    <row r="433" spans="27:39" x14ac:dyDescent="0.3">
      <c r="AA433" t="str">
        <f>IF(COUNTA('Procyfloc GS50'!A434,'Procyfloc GS50'!B434,'Procyfloc GS50'!C434)&gt;0,"GS50","")</f>
        <v/>
      </c>
      <c r="AB433" t="str">
        <f>IFERROR(IF(ISNUMBER('Procyfloc GS50'!A434),'Procyfloc GS50'!A434,DATEVALUE('Procyfloc GS50'!A434)),"")</f>
        <v/>
      </c>
      <c r="AC433" t="str">
        <f>IF(AA433="","",'Procyfloc GS50'!B434)</f>
        <v/>
      </c>
      <c r="AD433" t="str">
        <f>IF(AA433="","",IFERROR(1*'Procyfloc GS50'!C434,IFERROR(_xludf.NUMBERVALUE('Procyfloc GS50'!C434,".",","),IFERROR(_xludf.NUMBERVALUE('Procyfloc GS50'!C434,",","."),0))))</f>
        <v/>
      </c>
      <c r="AE433" t="str">
        <f>IF(AA433="","",'Procyfloc GS50'!J434)</f>
        <v/>
      </c>
      <c r="AF433">
        <f t="shared" si="53"/>
        <v>0</v>
      </c>
      <c r="AG433" t="str">
        <f t="shared" si="54"/>
        <v/>
      </c>
      <c r="AH433" t="str">
        <f t="shared" si="55"/>
        <v/>
      </c>
      <c r="AI433">
        <f t="shared" si="56"/>
        <v>0</v>
      </c>
      <c r="AJ433">
        <f t="shared" si="57"/>
        <v>0</v>
      </c>
      <c r="AK433">
        <v>0</v>
      </c>
      <c r="AL433" t="str">
        <f>IF(AA433="","",IFERROR(IF(ISNUMBER('Procyfloc GS50'!D434),'Procyfloc GS50'!D434,IF(ISNUMBER(SEARCH("12",'Procyfloc GS50'!D434)),EDATE(AB433,12),IF(ISNUMBER(SEARCH("6",'Procyfloc GS50'!D434)),EDATE(AB433,6),IF(ISNUMBER(SEARCH("3",'Procyfloc GS50'!D434)),EDATE(AB433,3),DATEVALUE('Procyfloc GS50'!D434))))),""))</f>
        <v/>
      </c>
      <c r="AM433" t="str">
        <f t="shared" ca="1" si="58"/>
        <v/>
      </c>
    </row>
    <row r="434" spans="27:39" x14ac:dyDescent="0.3">
      <c r="AA434" t="str">
        <f>IF(COUNTA('Procyfloc GS50'!A435,'Procyfloc GS50'!B435,'Procyfloc GS50'!C435)&gt;0,"GS50","")</f>
        <v/>
      </c>
      <c r="AB434" t="str">
        <f>IFERROR(IF(ISNUMBER('Procyfloc GS50'!A435),'Procyfloc GS50'!A435,DATEVALUE('Procyfloc GS50'!A435)),"")</f>
        <v/>
      </c>
      <c r="AC434" t="str">
        <f>IF(AA434="","",'Procyfloc GS50'!B435)</f>
        <v/>
      </c>
      <c r="AD434" t="str">
        <f>IF(AA434="","",IFERROR(1*'Procyfloc GS50'!C435,IFERROR(_xludf.NUMBERVALUE('Procyfloc GS50'!C435,".",","),IFERROR(_xludf.NUMBERVALUE('Procyfloc GS50'!C435,",","."),0))))</f>
        <v/>
      </c>
      <c r="AE434" t="str">
        <f>IF(AA434="","",'Procyfloc GS50'!J435)</f>
        <v/>
      </c>
      <c r="AF434">
        <f t="shared" si="53"/>
        <v>0</v>
      </c>
      <c r="AG434" t="str">
        <f t="shared" si="54"/>
        <v/>
      </c>
      <c r="AH434" t="str">
        <f t="shared" si="55"/>
        <v/>
      </c>
      <c r="AI434">
        <f t="shared" si="56"/>
        <v>0</v>
      </c>
      <c r="AJ434">
        <f t="shared" si="57"/>
        <v>0</v>
      </c>
      <c r="AK434">
        <v>0</v>
      </c>
      <c r="AL434" t="str">
        <f>IF(AA434="","",IFERROR(IF(ISNUMBER('Procyfloc GS50'!D435),'Procyfloc GS50'!D435,IF(ISNUMBER(SEARCH("12",'Procyfloc GS50'!D435)),EDATE(AB434,12),IF(ISNUMBER(SEARCH("6",'Procyfloc GS50'!D435)),EDATE(AB434,6),IF(ISNUMBER(SEARCH("3",'Procyfloc GS50'!D435)),EDATE(AB434,3),DATEVALUE('Procyfloc GS50'!D435))))),""))</f>
        <v/>
      </c>
      <c r="AM434" t="str">
        <f t="shared" ca="1" si="58"/>
        <v/>
      </c>
    </row>
    <row r="435" spans="27:39" x14ac:dyDescent="0.3">
      <c r="AA435" t="str">
        <f>IF(COUNTA('Procyfloc GS50'!A436,'Procyfloc GS50'!B436,'Procyfloc GS50'!C436)&gt;0,"GS50","")</f>
        <v/>
      </c>
      <c r="AB435" t="str">
        <f>IFERROR(IF(ISNUMBER('Procyfloc GS50'!A436),'Procyfloc GS50'!A436,DATEVALUE('Procyfloc GS50'!A436)),"")</f>
        <v/>
      </c>
      <c r="AC435" t="str">
        <f>IF(AA435="","",'Procyfloc GS50'!B436)</f>
        <v/>
      </c>
      <c r="AD435" t="str">
        <f>IF(AA435="","",IFERROR(1*'Procyfloc GS50'!C436,IFERROR(_xludf.NUMBERVALUE('Procyfloc GS50'!C436,".",","),IFERROR(_xludf.NUMBERVALUE('Procyfloc GS50'!C436,",","."),0))))</f>
        <v/>
      </c>
      <c r="AE435" t="str">
        <f>IF(AA435="","",'Procyfloc GS50'!J436)</f>
        <v/>
      </c>
      <c r="AF435">
        <f t="shared" si="53"/>
        <v>0</v>
      </c>
      <c r="AG435" t="str">
        <f t="shared" si="54"/>
        <v/>
      </c>
      <c r="AH435" t="str">
        <f t="shared" si="55"/>
        <v/>
      </c>
      <c r="AI435">
        <f t="shared" si="56"/>
        <v>0</v>
      </c>
      <c r="AJ435">
        <f t="shared" si="57"/>
        <v>0</v>
      </c>
      <c r="AK435">
        <v>0</v>
      </c>
      <c r="AL435" t="str">
        <f>IF(AA435="","",IFERROR(IF(ISNUMBER('Procyfloc GS50'!D436),'Procyfloc GS50'!D436,IF(ISNUMBER(SEARCH("12",'Procyfloc GS50'!D436)),EDATE(AB435,12),IF(ISNUMBER(SEARCH("6",'Procyfloc GS50'!D436)),EDATE(AB435,6),IF(ISNUMBER(SEARCH("3",'Procyfloc GS50'!D436)),EDATE(AB435,3),DATEVALUE('Procyfloc GS50'!D436))))),""))</f>
        <v/>
      </c>
      <c r="AM435" t="str">
        <f t="shared" ca="1" si="58"/>
        <v/>
      </c>
    </row>
    <row r="436" spans="27:39" x14ac:dyDescent="0.3">
      <c r="AA436" t="str">
        <f>IF(COUNTA('Procyfloc GS50'!A437,'Procyfloc GS50'!B437,'Procyfloc GS50'!C437)&gt;0,"GS50","")</f>
        <v/>
      </c>
      <c r="AB436" t="str">
        <f>IFERROR(IF(ISNUMBER('Procyfloc GS50'!A437),'Procyfloc GS50'!A437,DATEVALUE('Procyfloc GS50'!A437)),"")</f>
        <v/>
      </c>
      <c r="AC436" t="str">
        <f>IF(AA436="","",'Procyfloc GS50'!B437)</f>
        <v/>
      </c>
      <c r="AD436" t="str">
        <f>IF(AA436="","",IFERROR(1*'Procyfloc GS50'!C437,IFERROR(_xludf.NUMBERVALUE('Procyfloc GS50'!C437,".",","),IFERROR(_xludf.NUMBERVALUE('Procyfloc GS50'!C437,",","."),0))))</f>
        <v/>
      </c>
      <c r="AE436" t="str">
        <f>IF(AA436="","",'Procyfloc GS50'!J437)</f>
        <v/>
      </c>
      <c r="AF436">
        <f t="shared" si="53"/>
        <v>0</v>
      </c>
      <c r="AG436" t="str">
        <f t="shared" si="54"/>
        <v/>
      </c>
      <c r="AH436" t="str">
        <f t="shared" si="55"/>
        <v/>
      </c>
      <c r="AI436">
        <f t="shared" si="56"/>
        <v>0</v>
      </c>
      <c r="AJ436">
        <f t="shared" si="57"/>
        <v>0</v>
      </c>
      <c r="AK436">
        <v>0</v>
      </c>
      <c r="AL436" t="str">
        <f>IF(AA436="","",IFERROR(IF(ISNUMBER('Procyfloc GS50'!D437),'Procyfloc GS50'!D437,IF(ISNUMBER(SEARCH("12",'Procyfloc GS50'!D437)),EDATE(AB436,12),IF(ISNUMBER(SEARCH("6",'Procyfloc GS50'!D437)),EDATE(AB436,6),IF(ISNUMBER(SEARCH("3",'Procyfloc GS50'!D437)),EDATE(AB436,3),DATEVALUE('Procyfloc GS50'!D437))))),""))</f>
        <v/>
      </c>
      <c r="AM436" t="str">
        <f t="shared" ca="1" si="58"/>
        <v/>
      </c>
    </row>
    <row r="437" spans="27:39" x14ac:dyDescent="0.3">
      <c r="AA437" t="str">
        <f>IF(COUNTA('Procyfloc GS50'!A438,'Procyfloc GS50'!B438,'Procyfloc GS50'!C438)&gt;0,"GS50","")</f>
        <v/>
      </c>
      <c r="AB437" t="str">
        <f>IFERROR(IF(ISNUMBER('Procyfloc GS50'!A438),'Procyfloc GS50'!A438,DATEVALUE('Procyfloc GS50'!A438)),"")</f>
        <v/>
      </c>
      <c r="AC437" t="str">
        <f>IF(AA437="","",'Procyfloc GS50'!B438)</f>
        <v/>
      </c>
      <c r="AD437" t="str">
        <f>IF(AA437="","",IFERROR(1*'Procyfloc GS50'!C438,IFERROR(_xludf.NUMBERVALUE('Procyfloc GS50'!C438,".",","),IFERROR(_xludf.NUMBERVALUE('Procyfloc GS50'!C438,",","."),0))))</f>
        <v/>
      </c>
      <c r="AE437" t="str">
        <f>IF(AA437="","",'Procyfloc GS50'!J438)</f>
        <v/>
      </c>
      <c r="AF437">
        <f t="shared" si="53"/>
        <v>0</v>
      </c>
      <c r="AG437" t="str">
        <f t="shared" si="54"/>
        <v/>
      </c>
      <c r="AH437" t="str">
        <f t="shared" si="55"/>
        <v/>
      </c>
      <c r="AI437">
        <f t="shared" si="56"/>
        <v>0</v>
      </c>
      <c r="AJ437">
        <f t="shared" si="57"/>
        <v>0</v>
      </c>
      <c r="AK437">
        <v>0</v>
      </c>
      <c r="AL437" t="str">
        <f>IF(AA437="","",IFERROR(IF(ISNUMBER('Procyfloc GS50'!D438),'Procyfloc GS50'!D438,IF(ISNUMBER(SEARCH("12",'Procyfloc GS50'!D438)),EDATE(AB437,12),IF(ISNUMBER(SEARCH("6",'Procyfloc GS50'!D438)),EDATE(AB437,6),IF(ISNUMBER(SEARCH("3",'Procyfloc GS50'!D438)),EDATE(AB437,3),DATEVALUE('Procyfloc GS50'!D438))))),""))</f>
        <v/>
      </c>
      <c r="AM437" t="str">
        <f t="shared" ca="1" si="58"/>
        <v/>
      </c>
    </row>
    <row r="438" spans="27:39" x14ac:dyDescent="0.3">
      <c r="AA438" t="str">
        <f>IF(COUNTA('Procyfloc GS50'!A439,'Procyfloc GS50'!B439,'Procyfloc GS50'!C439)&gt;0,"GS50","")</f>
        <v/>
      </c>
      <c r="AB438" t="str">
        <f>IFERROR(IF(ISNUMBER('Procyfloc GS50'!A439),'Procyfloc GS50'!A439,DATEVALUE('Procyfloc GS50'!A439)),"")</f>
        <v/>
      </c>
      <c r="AC438" t="str">
        <f>IF(AA438="","",'Procyfloc GS50'!B439)</f>
        <v/>
      </c>
      <c r="AD438" t="str">
        <f>IF(AA438="","",IFERROR(1*'Procyfloc GS50'!C439,IFERROR(_xludf.NUMBERVALUE('Procyfloc GS50'!C439,".",","),IFERROR(_xludf.NUMBERVALUE('Procyfloc GS50'!C439,",","."),0))))</f>
        <v/>
      </c>
      <c r="AE438" t="str">
        <f>IF(AA438="","",'Procyfloc GS50'!J439)</f>
        <v/>
      </c>
      <c r="AF438">
        <f t="shared" si="53"/>
        <v>0</v>
      </c>
      <c r="AG438" t="str">
        <f t="shared" si="54"/>
        <v/>
      </c>
      <c r="AH438" t="str">
        <f t="shared" si="55"/>
        <v/>
      </c>
      <c r="AI438">
        <f t="shared" si="56"/>
        <v>0</v>
      </c>
      <c r="AJ438">
        <f t="shared" si="57"/>
        <v>0</v>
      </c>
      <c r="AK438">
        <v>0</v>
      </c>
      <c r="AL438" t="str">
        <f>IF(AA438="","",IFERROR(IF(ISNUMBER('Procyfloc GS50'!D439),'Procyfloc GS50'!D439,IF(ISNUMBER(SEARCH("12",'Procyfloc GS50'!D439)),EDATE(AB438,12),IF(ISNUMBER(SEARCH("6",'Procyfloc GS50'!D439)),EDATE(AB438,6),IF(ISNUMBER(SEARCH("3",'Procyfloc GS50'!D439)),EDATE(AB438,3),DATEVALUE('Procyfloc GS50'!D439))))),""))</f>
        <v/>
      </c>
      <c r="AM438" t="str">
        <f t="shared" ca="1" si="58"/>
        <v/>
      </c>
    </row>
    <row r="439" spans="27:39" x14ac:dyDescent="0.3">
      <c r="AA439" t="str">
        <f>IF(COUNTA('Procyfloc GS50'!A440,'Procyfloc GS50'!B440,'Procyfloc GS50'!C440)&gt;0,"GS50","")</f>
        <v/>
      </c>
      <c r="AB439" t="str">
        <f>IFERROR(IF(ISNUMBER('Procyfloc GS50'!A440),'Procyfloc GS50'!A440,DATEVALUE('Procyfloc GS50'!A440)),"")</f>
        <v/>
      </c>
      <c r="AC439" t="str">
        <f>IF(AA439="","",'Procyfloc GS50'!B440)</f>
        <v/>
      </c>
      <c r="AD439" t="str">
        <f>IF(AA439="","",IFERROR(1*'Procyfloc GS50'!C440,IFERROR(_xludf.NUMBERVALUE('Procyfloc GS50'!C440,".",","),IFERROR(_xludf.NUMBERVALUE('Procyfloc GS50'!C440,",","."),0))))</f>
        <v/>
      </c>
      <c r="AE439" t="str">
        <f>IF(AA439="","",'Procyfloc GS50'!J440)</f>
        <v/>
      </c>
      <c r="AF439">
        <f t="shared" si="53"/>
        <v>0</v>
      </c>
      <c r="AG439" t="str">
        <f t="shared" si="54"/>
        <v/>
      </c>
      <c r="AH439" t="str">
        <f t="shared" si="55"/>
        <v/>
      </c>
      <c r="AI439">
        <f t="shared" si="56"/>
        <v>0</v>
      </c>
      <c r="AJ439">
        <f t="shared" si="57"/>
        <v>0</v>
      </c>
      <c r="AK439">
        <v>0</v>
      </c>
      <c r="AL439" t="str">
        <f>IF(AA439="","",IFERROR(IF(ISNUMBER('Procyfloc GS50'!D440),'Procyfloc GS50'!D440,IF(ISNUMBER(SEARCH("12",'Procyfloc GS50'!D440)),EDATE(AB439,12),IF(ISNUMBER(SEARCH("6",'Procyfloc GS50'!D440)),EDATE(AB439,6),IF(ISNUMBER(SEARCH("3",'Procyfloc GS50'!D440)),EDATE(AB439,3),DATEVALUE('Procyfloc GS50'!D440))))),""))</f>
        <v/>
      </c>
      <c r="AM439" t="str">
        <f t="shared" ca="1" si="58"/>
        <v/>
      </c>
    </row>
    <row r="440" spans="27:39" x14ac:dyDescent="0.3">
      <c r="AA440" t="str">
        <f>IF(COUNTA('Procyfloc GS50'!A441,'Procyfloc GS50'!B441,'Procyfloc GS50'!C441)&gt;0,"GS50","")</f>
        <v/>
      </c>
      <c r="AB440" t="str">
        <f>IFERROR(IF(ISNUMBER('Procyfloc GS50'!A441),'Procyfloc GS50'!A441,DATEVALUE('Procyfloc GS50'!A441)),"")</f>
        <v/>
      </c>
      <c r="AC440" t="str">
        <f>IF(AA440="","",'Procyfloc GS50'!B441)</f>
        <v/>
      </c>
      <c r="AD440" t="str">
        <f>IF(AA440="","",IFERROR(1*'Procyfloc GS50'!C441,IFERROR(_xludf.NUMBERVALUE('Procyfloc GS50'!C441,".",","),IFERROR(_xludf.NUMBERVALUE('Procyfloc GS50'!C441,",","."),0))))</f>
        <v/>
      </c>
      <c r="AE440" t="str">
        <f>IF(AA440="","",'Procyfloc GS50'!J441)</f>
        <v/>
      </c>
      <c r="AF440">
        <f t="shared" si="53"/>
        <v>0</v>
      </c>
      <c r="AG440" t="str">
        <f t="shared" si="54"/>
        <v/>
      </c>
      <c r="AH440" t="str">
        <f t="shared" si="55"/>
        <v/>
      </c>
      <c r="AI440">
        <f t="shared" si="56"/>
        <v>0</v>
      </c>
      <c r="AJ440">
        <f t="shared" si="57"/>
        <v>0</v>
      </c>
      <c r="AK440">
        <v>0</v>
      </c>
      <c r="AL440" t="str">
        <f>IF(AA440="","",IFERROR(IF(ISNUMBER('Procyfloc GS50'!D441),'Procyfloc GS50'!D441,IF(ISNUMBER(SEARCH("12",'Procyfloc GS50'!D441)),EDATE(AB440,12),IF(ISNUMBER(SEARCH("6",'Procyfloc GS50'!D441)),EDATE(AB440,6),IF(ISNUMBER(SEARCH("3",'Procyfloc GS50'!D441)),EDATE(AB440,3),DATEVALUE('Procyfloc GS50'!D441))))),""))</f>
        <v/>
      </c>
      <c r="AM440" t="str">
        <f t="shared" ca="1" si="58"/>
        <v/>
      </c>
    </row>
    <row r="441" spans="27:39" x14ac:dyDescent="0.3">
      <c r="AA441" t="str">
        <f>IF(COUNTA('Procyfloc GS50'!A442,'Procyfloc GS50'!B442,'Procyfloc GS50'!C442)&gt;0,"GS50","")</f>
        <v/>
      </c>
      <c r="AB441" t="str">
        <f>IFERROR(IF(ISNUMBER('Procyfloc GS50'!A442),'Procyfloc GS50'!A442,DATEVALUE('Procyfloc GS50'!A442)),"")</f>
        <v/>
      </c>
      <c r="AC441" t="str">
        <f>IF(AA441="","",'Procyfloc GS50'!B442)</f>
        <v/>
      </c>
      <c r="AD441" t="str">
        <f>IF(AA441="","",IFERROR(1*'Procyfloc GS50'!C442,IFERROR(_xludf.NUMBERVALUE('Procyfloc GS50'!C442,".",","),IFERROR(_xludf.NUMBERVALUE('Procyfloc GS50'!C442,",","."),0))))</f>
        <v/>
      </c>
      <c r="AE441" t="str">
        <f>IF(AA441="","",'Procyfloc GS50'!J442)</f>
        <v/>
      </c>
      <c r="AF441">
        <f t="shared" si="53"/>
        <v>0</v>
      </c>
      <c r="AG441" t="str">
        <f t="shared" si="54"/>
        <v/>
      </c>
      <c r="AH441" t="str">
        <f t="shared" si="55"/>
        <v/>
      </c>
      <c r="AI441">
        <f t="shared" si="56"/>
        <v>0</v>
      </c>
      <c r="AJ441">
        <f t="shared" si="57"/>
        <v>0</v>
      </c>
      <c r="AK441">
        <v>0</v>
      </c>
      <c r="AL441" t="str">
        <f>IF(AA441="","",IFERROR(IF(ISNUMBER('Procyfloc GS50'!D442),'Procyfloc GS50'!D442,IF(ISNUMBER(SEARCH("12",'Procyfloc GS50'!D442)),EDATE(AB441,12),IF(ISNUMBER(SEARCH("6",'Procyfloc GS50'!D442)),EDATE(AB441,6),IF(ISNUMBER(SEARCH("3",'Procyfloc GS50'!D442)),EDATE(AB441,3),DATEVALUE('Procyfloc GS50'!D442))))),""))</f>
        <v/>
      </c>
      <c r="AM441" t="str">
        <f t="shared" ca="1" si="58"/>
        <v/>
      </c>
    </row>
    <row r="442" spans="27:39" x14ac:dyDescent="0.3">
      <c r="AA442" t="str">
        <f>IF(COUNTA('Procyfloc GS50'!A443,'Procyfloc GS50'!B443,'Procyfloc GS50'!C443)&gt;0,"GS50","")</f>
        <v/>
      </c>
      <c r="AB442" t="str">
        <f>IFERROR(IF(ISNUMBER('Procyfloc GS50'!A443),'Procyfloc GS50'!A443,DATEVALUE('Procyfloc GS50'!A443)),"")</f>
        <v/>
      </c>
      <c r="AC442" t="str">
        <f>IF(AA442="","",'Procyfloc GS50'!B443)</f>
        <v/>
      </c>
      <c r="AD442" t="str">
        <f>IF(AA442="","",IFERROR(1*'Procyfloc GS50'!C443,IFERROR(_xludf.NUMBERVALUE('Procyfloc GS50'!C443,".",","),IFERROR(_xludf.NUMBERVALUE('Procyfloc GS50'!C443,",","."),0))))</f>
        <v/>
      </c>
      <c r="AE442" t="str">
        <f>IF(AA442="","",'Procyfloc GS50'!J443)</f>
        <v/>
      </c>
      <c r="AF442">
        <f t="shared" si="53"/>
        <v>0</v>
      </c>
      <c r="AG442" t="str">
        <f t="shared" si="54"/>
        <v/>
      </c>
      <c r="AH442" t="str">
        <f t="shared" si="55"/>
        <v/>
      </c>
      <c r="AI442">
        <f t="shared" si="56"/>
        <v>0</v>
      </c>
      <c r="AJ442">
        <f t="shared" si="57"/>
        <v>0</v>
      </c>
      <c r="AK442">
        <v>0</v>
      </c>
      <c r="AL442" t="str">
        <f>IF(AA442="","",IFERROR(IF(ISNUMBER('Procyfloc GS50'!D443),'Procyfloc GS50'!D443,IF(ISNUMBER(SEARCH("12",'Procyfloc GS50'!D443)),EDATE(AB442,12),IF(ISNUMBER(SEARCH("6",'Procyfloc GS50'!D443)),EDATE(AB442,6),IF(ISNUMBER(SEARCH("3",'Procyfloc GS50'!D443)),EDATE(AB442,3),DATEVALUE('Procyfloc GS50'!D443))))),""))</f>
        <v/>
      </c>
      <c r="AM442" t="str">
        <f t="shared" ca="1" si="58"/>
        <v/>
      </c>
    </row>
    <row r="443" spans="27:39" x14ac:dyDescent="0.3">
      <c r="AA443" t="str">
        <f>IF(COUNTA('Procyfloc GS50'!A444,'Procyfloc GS50'!B444,'Procyfloc GS50'!C444)&gt;0,"GS50","")</f>
        <v/>
      </c>
      <c r="AB443" t="str">
        <f>IFERROR(IF(ISNUMBER('Procyfloc GS50'!A444),'Procyfloc GS50'!A444,DATEVALUE('Procyfloc GS50'!A444)),"")</f>
        <v/>
      </c>
      <c r="AC443" t="str">
        <f>IF(AA443="","",'Procyfloc GS50'!B444)</f>
        <v/>
      </c>
      <c r="AD443" t="str">
        <f>IF(AA443="","",IFERROR(1*'Procyfloc GS50'!C444,IFERROR(_xludf.NUMBERVALUE('Procyfloc GS50'!C444,".",","),IFERROR(_xludf.NUMBERVALUE('Procyfloc GS50'!C444,",","."),0))))</f>
        <v/>
      </c>
      <c r="AE443" t="str">
        <f>IF(AA443="","",'Procyfloc GS50'!J444)</f>
        <v/>
      </c>
      <c r="AF443">
        <f t="shared" si="53"/>
        <v>0</v>
      </c>
      <c r="AG443" t="str">
        <f t="shared" si="54"/>
        <v/>
      </c>
      <c r="AH443" t="str">
        <f t="shared" si="55"/>
        <v/>
      </c>
      <c r="AI443">
        <f t="shared" si="56"/>
        <v>0</v>
      </c>
      <c r="AJ443">
        <f t="shared" si="57"/>
        <v>0</v>
      </c>
      <c r="AK443">
        <v>0</v>
      </c>
      <c r="AL443" t="str">
        <f>IF(AA443="","",IFERROR(IF(ISNUMBER('Procyfloc GS50'!D444),'Procyfloc GS50'!D444,IF(ISNUMBER(SEARCH("12",'Procyfloc GS50'!D444)),EDATE(AB443,12),IF(ISNUMBER(SEARCH("6",'Procyfloc GS50'!D444)),EDATE(AB443,6),IF(ISNUMBER(SEARCH("3",'Procyfloc GS50'!D444)),EDATE(AB443,3),DATEVALUE('Procyfloc GS50'!D444))))),""))</f>
        <v/>
      </c>
      <c r="AM443" t="str">
        <f t="shared" ca="1" si="58"/>
        <v/>
      </c>
    </row>
    <row r="444" spans="27:39" x14ac:dyDescent="0.3">
      <c r="AA444" t="str">
        <f>IF(COUNTA('Procyfloc GS50'!A445,'Procyfloc GS50'!B445,'Procyfloc GS50'!C445)&gt;0,"GS50","")</f>
        <v/>
      </c>
      <c r="AB444" t="str">
        <f>IFERROR(IF(ISNUMBER('Procyfloc GS50'!A445),'Procyfloc GS50'!A445,DATEVALUE('Procyfloc GS50'!A445)),"")</f>
        <v/>
      </c>
      <c r="AC444" t="str">
        <f>IF(AA444="","",'Procyfloc GS50'!B445)</f>
        <v/>
      </c>
      <c r="AD444" t="str">
        <f>IF(AA444="","",IFERROR(1*'Procyfloc GS50'!C445,IFERROR(_xludf.NUMBERVALUE('Procyfloc GS50'!C445,".",","),IFERROR(_xludf.NUMBERVALUE('Procyfloc GS50'!C445,",","."),0))))</f>
        <v/>
      </c>
      <c r="AE444" t="str">
        <f>IF(AA444="","",'Procyfloc GS50'!J445)</f>
        <v/>
      </c>
      <c r="AF444">
        <f t="shared" si="53"/>
        <v>0</v>
      </c>
      <c r="AG444" t="str">
        <f t="shared" si="54"/>
        <v/>
      </c>
      <c r="AH444" t="str">
        <f t="shared" si="55"/>
        <v/>
      </c>
      <c r="AI444">
        <f t="shared" si="56"/>
        <v>0</v>
      </c>
      <c r="AJ444">
        <f t="shared" si="57"/>
        <v>0</v>
      </c>
      <c r="AK444">
        <v>0</v>
      </c>
      <c r="AL444" t="str">
        <f>IF(AA444="","",IFERROR(IF(ISNUMBER('Procyfloc GS50'!D445),'Procyfloc GS50'!D445,IF(ISNUMBER(SEARCH("12",'Procyfloc GS50'!D445)),EDATE(AB444,12),IF(ISNUMBER(SEARCH("6",'Procyfloc GS50'!D445)),EDATE(AB444,6),IF(ISNUMBER(SEARCH("3",'Procyfloc GS50'!D445)),EDATE(AB444,3),DATEVALUE('Procyfloc GS50'!D445))))),""))</f>
        <v/>
      </c>
      <c r="AM444" t="str">
        <f t="shared" ca="1" si="58"/>
        <v/>
      </c>
    </row>
    <row r="445" spans="27:39" x14ac:dyDescent="0.3">
      <c r="AA445" t="str">
        <f>IF(COUNTA('Procyfloc GS50'!A446,'Procyfloc GS50'!B446,'Procyfloc GS50'!C446)&gt;0,"GS50","")</f>
        <v/>
      </c>
      <c r="AB445" t="str">
        <f>IFERROR(IF(ISNUMBER('Procyfloc GS50'!A446),'Procyfloc GS50'!A446,DATEVALUE('Procyfloc GS50'!A446)),"")</f>
        <v/>
      </c>
      <c r="AC445" t="str">
        <f>IF(AA445="","",'Procyfloc GS50'!B446)</f>
        <v/>
      </c>
      <c r="AD445" t="str">
        <f>IF(AA445="","",IFERROR(1*'Procyfloc GS50'!C446,IFERROR(_xludf.NUMBERVALUE('Procyfloc GS50'!C446,".",","),IFERROR(_xludf.NUMBERVALUE('Procyfloc GS50'!C446,",","."),0))))</f>
        <v/>
      </c>
      <c r="AE445" t="str">
        <f>IF(AA445="","",'Procyfloc GS50'!J446)</f>
        <v/>
      </c>
      <c r="AF445">
        <f t="shared" si="53"/>
        <v>0</v>
      </c>
      <c r="AG445" t="str">
        <f t="shared" si="54"/>
        <v/>
      </c>
      <c r="AH445" t="str">
        <f t="shared" si="55"/>
        <v/>
      </c>
      <c r="AI445">
        <f t="shared" si="56"/>
        <v>0</v>
      </c>
      <c r="AJ445">
        <f t="shared" si="57"/>
        <v>0</v>
      </c>
      <c r="AK445">
        <v>0</v>
      </c>
      <c r="AL445" t="str">
        <f>IF(AA445="","",IFERROR(IF(ISNUMBER('Procyfloc GS50'!D446),'Procyfloc GS50'!D446,IF(ISNUMBER(SEARCH("12",'Procyfloc GS50'!D446)),EDATE(AB445,12),IF(ISNUMBER(SEARCH("6",'Procyfloc GS50'!D446)),EDATE(AB445,6),IF(ISNUMBER(SEARCH("3",'Procyfloc GS50'!D446)),EDATE(AB445,3),DATEVALUE('Procyfloc GS50'!D446))))),""))</f>
        <v/>
      </c>
      <c r="AM445" t="str">
        <f t="shared" ca="1" si="58"/>
        <v/>
      </c>
    </row>
    <row r="446" spans="27:39" x14ac:dyDescent="0.3">
      <c r="AA446" t="str">
        <f>IF(COUNTA('Procyfloc GS50'!A447,'Procyfloc GS50'!B447,'Procyfloc GS50'!C447)&gt;0,"GS50","")</f>
        <v/>
      </c>
      <c r="AB446" t="str">
        <f>IFERROR(IF(ISNUMBER('Procyfloc GS50'!A447),'Procyfloc GS50'!A447,DATEVALUE('Procyfloc GS50'!A447)),"")</f>
        <v/>
      </c>
      <c r="AC446" t="str">
        <f>IF(AA446="","",'Procyfloc GS50'!B447)</f>
        <v/>
      </c>
      <c r="AD446" t="str">
        <f>IF(AA446="","",IFERROR(1*'Procyfloc GS50'!C447,IFERROR(_xludf.NUMBERVALUE('Procyfloc GS50'!C447,".",","),IFERROR(_xludf.NUMBERVALUE('Procyfloc GS50'!C447,",","."),0))))</f>
        <v/>
      </c>
      <c r="AE446" t="str">
        <f>IF(AA446="","",'Procyfloc GS50'!J447)</f>
        <v/>
      </c>
      <c r="AF446">
        <f t="shared" si="53"/>
        <v>0</v>
      </c>
      <c r="AG446" t="str">
        <f t="shared" si="54"/>
        <v/>
      </c>
      <c r="AH446" t="str">
        <f t="shared" si="55"/>
        <v/>
      </c>
      <c r="AI446">
        <f t="shared" si="56"/>
        <v>0</v>
      </c>
      <c r="AJ446">
        <f t="shared" si="57"/>
        <v>0</v>
      </c>
      <c r="AK446">
        <v>0</v>
      </c>
      <c r="AL446" t="str">
        <f>IF(AA446="","",IFERROR(IF(ISNUMBER('Procyfloc GS50'!D447),'Procyfloc GS50'!D447,IF(ISNUMBER(SEARCH("12",'Procyfloc GS50'!D447)),EDATE(AB446,12),IF(ISNUMBER(SEARCH("6",'Procyfloc GS50'!D447)),EDATE(AB446,6),IF(ISNUMBER(SEARCH("3",'Procyfloc GS50'!D447)),EDATE(AB446,3),DATEVALUE('Procyfloc GS50'!D447))))),""))</f>
        <v/>
      </c>
      <c r="AM446" t="str">
        <f t="shared" ca="1" si="58"/>
        <v/>
      </c>
    </row>
    <row r="447" spans="27:39" x14ac:dyDescent="0.3">
      <c r="AA447" t="str">
        <f>IF(COUNTA('Procyfloc GS50'!A448,'Procyfloc GS50'!B448,'Procyfloc GS50'!C448)&gt;0,"GS50","")</f>
        <v/>
      </c>
      <c r="AB447" t="str">
        <f>IFERROR(IF(ISNUMBER('Procyfloc GS50'!A448),'Procyfloc GS50'!A448,DATEVALUE('Procyfloc GS50'!A448)),"")</f>
        <v/>
      </c>
      <c r="AC447" t="str">
        <f>IF(AA447="","",'Procyfloc GS50'!B448)</f>
        <v/>
      </c>
      <c r="AD447" t="str">
        <f>IF(AA447="","",IFERROR(1*'Procyfloc GS50'!C448,IFERROR(_xludf.NUMBERVALUE('Procyfloc GS50'!C448,".",","),IFERROR(_xludf.NUMBERVALUE('Procyfloc GS50'!C448,",","."),0))))</f>
        <v/>
      </c>
      <c r="AE447" t="str">
        <f>IF(AA447="","",'Procyfloc GS50'!J448)</f>
        <v/>
      </c>
      <c r="AF447">
        <f t="shared" si="53"/>
        <v>0</v>
      </c>
      <c r="AG447" t="str">
        <f t="shared" si="54"/>
        <v/>
      </c>
      <c r="AH447" t="str">
        <f t="shared" si="55"/>
        <v/>
      </c>
      <c r="AI447">
        <f t="shared" si="56"/>
        <v>0</v>
      </c>
      <c r="AJ447">
        <f t="shared" si="57"/>
        <v>0</v>
      </c>
      <c r="AK447">
        <v>0</v>
      </c>
      <c r="AL447" t="str">
        <f>IF(AA447="","",IFERROR(IF(ISNUMBER('Procyfloc GS50'!D448),'Procyfloc GS50'!D448,IF(ISNUMBER(SEARCH("12",'Procyfloc GS50'!D448)),EDATE(AB447,12),IF(ISNUMBER(SEARCH("6",'Procyfloc GS50'!D448)),EDATE(AB447,6),IF(ISNUMBER(SEARCH("3",'Procyfloc GS50'!D448)),EDATE(AB447,3),DATEVALUE('Procyfloc GS50'!D448))))),""))</f>
        <v/>
      </c>
      <c r="AM447" t="str">
        <f t="shared" ca="1" si="58"/>
        <v/>
      </c>
    </row>
    <row r="448" spans="27:39" x14ac:dyDescent="0.3">
      <c r="AA448" t="str">
        <f>IF(COUNTA('Procyfloc GS50'!A449,'Procyfloc GS50'!B449,'Procyfloc GS50'!C449)&gt;0,"GS50","")</f>
        <v/>
      </c>
      <c r="AB448" t="str">
        <f>IFERROR(IF(ISNUMBER('Procyfloc GS50'!A449),'Procyfloc GS50'!A449,DATEVALUE('Procyfloc GS50'!A449)),"")</f>
        <v/>
      </c>
      <c r="AC448" t="str">
        <f>IF(AA448="","",'Procyfloc GS50'!B449)</f>
        <v/>
      </c>
      <c r="AD448" t="str">
        <f>IF(AA448="","",IFERROR(1*'Procyfloc GS50'!C449,IFERROR(_xludf.NUMBERVALUE('Procyfloc GS50'!C449,".",","),IFERROR(_xludf.NUMBERVALUE('Procyfloc GS50'!C449,",","."),0))))</f>
        <v/>
      </c>
      <c r="AE448" t="str">
        <f>IF(AA448="","",'Procyfloc GS50'!J449)</f>
        <v/>
      </c>
      <c r="AF448">
        <f t="shared" si="53"/>
        <v>0</v>
      </c>
      <c r="AG448" t="str">
        <f t="shared" si="54"/>
        <v/>
      </c>
      <c r="AH448" t="str">
        <f t="shared" si="55"/>
        <v/>
      </c>
      <c r="AI448">
        <f t="shared" si="56"/>
        <v>0</v>
      </c>
      <c r="AJ448">
        <f t="shared" si="57"/>
        <v>0</v>
      </c>
      <c r="AK448">
        <v>0</v>
      </c>
      <c r="AL448" t="str">
        <f>IF(AA448="","",IFERROR(IF(ISNUMBER('Procyfloc GS50'!D449),'Procyfloc GS50'!D449,IF(ISNUMBER(SEARCH("12",'Procyfloc GS50'!D449)),EDATE(AB448,12),IF(ISNUMBER(SEARCH("6",'Procyfloc GS50'!D449)),EDATE(AB448,6),IF(ISNUMBER(SEARCH("3",'Procyfloc GS50'!D449)),EDATE(AB448,3),DATEVALUE('Procyfloc GS50'!D449))))),""))</f>
        <v/>
      </c>
      <c r="AM448" t="str">
        <f t="shared" ca="1" si="58"/>
        <v/>
      </c>
    </row>
    <row r="449" spans="27:39" x14ac:dyDescent="0.3">
      <c r="AA449" t="str">
        <f>IF(COUNTA('Procyfloc GS50'!A450,'Procyfloc GS50'!B450,'Procyfloc GS50'!C450)&gt;0,"GS50","")</f>
        <v/>
      </c>
      <c r="AB449" t="str">
        <f>IFERROR(IF(ISNUMBER('Procyfloc GS50'!A450),'Procyfloc GS50'!A450,DATEVALUE('Procyfloc GS50'!A450)),"")</f>
        <v/>
      </c>
      <c r="AC449" t="str">
        <f>IF(AA449="","",'Procyfloc GS50'!B450)</f>
        <v/>
      </c>
      <c r="AD449" t="str">
        <f>IF(AA449="","",IFERROR(1*'Procyfloc GS50'!C450,IFERROR(_xludf.NUMBERVALUE('Procyfloc GS50'!C450,".",","),IFERROR(_xludf.NUMBERVALUE('Procyfloc GS50'!C450,",","."),0))))</f>
        <v/>
      </c>
      <c r="AE449" t="str">
        <f>IF(AA449="","",'Procyfloc GS50'!J450)</f>
        <v/>
      </c>
      <c r="AF449">
        <f t="shared" si="53"/>
        <v>0</v>
      </c>
      <c r="AG449" t="str">
        <f t="shared" si="54"/>
        <v/>
      </c>
      <c r="AH449" t="str">
        <f t="shared" si="55"/>
        <v/>
      </c>
      <c r="AI449">
        <f t="shared" si="56"/>
        <v>0</v>
      </c>
      <c r="AJ449">
        <f t="shared" si="57"/>
        <v>0</v>
      </c>
      <c r="AK449">
        <v>0</v>
      </c>
      <c r="AL449" t="str">
        <f>IF(AA449="","",IFERROR(IF(ISNUMBER('Procyfloc GS50'!D450),'Procyfloc GS50'!D450,IF(ISNUMBER(SEARCH("12",'Procyfloc GS50'!D450)),EDATE(AB449,12),IF(ISNUMBER(SEARCH("6",'Procyfloc GS50'!D450)),EDATE(AB449,6),IF(ISNUMBER(SEARCH("3",'Procyfloc GS50'!D450)),EDATE(AB449,3),DATEVALUE('Procyfloc GS50'!D450))))),""))</f>
        <v/>
      </c>
      <c r="AM449" t="str">
        <f t="shared" ca="1" si="58"/>
        <v/>
      </c>
    </row>
    <row r="450" spans="27:39" x14ac:dyDescent="0.3">
      <c r="AA450" t="str">
        <f>IF(COUNTA('Procyfloc GS50'!A451,'Procyfloc GS50'!B451,'Procyfloc GS50'!C451)&gt;0,"GS50","")</f>
        <v/>
      </c>
      <c r="AB450" t="str">
        <f>IFERROR(IF(ISNUMBER('Procyfloc GS50'!A451),'Procyfloc GS50'!A451,DATEVALUE('Procyfloc GS50'!A451)),"")</f>
        <v/>
      </c>
      <c r="AC450" t="str">
        <f>IF(AA450="","",'Procyfloc GS50'!B451)</f>
        <v/>
      </c>
      <c r="AD450" t="str">
        <f>IF(AA450="","",IFERROR(1*'Procyfloc GS50'!C451,IFERROR(_xludf.NUMBERVALUE('Procyfloc GS50'!C451,".",","),IFERROR(_xludf.NUMBERVALUE('Procyfloc GS50'!C451,",","."),0))))</f>
        <v/>
      </c>
      <c r="AE450" t="str">
        <f>IF(AA450="","",'Procyfloc GS50'!J451)</f>
        <v/>
      </c>
      <c r="AF450">
        <f t="shared" ref="AF450:AF513" si="59">IF(AA450="",0,--AND(ISNUMBER(SEARCH("aprov",AE450)),NOT(ISNUMBER(SEARCH("reprov",AE450)))))</f>
        <v>0</v>
      </c>
      <c r="AG450" t="str">
        <f t="shared" ref="AG450:AG513" si="60">IF(AB450="","",YEAR(AB450))</f>
        <v/>
      </c>
      <c r="AH450" t="str">
        <f t="shared" ref="AH450:AH513" si="61">IF(AB450="","",MONTH(AB450))</f>
        <v/>
      </c>
      <c r="AI450">
        <f t="shared" ref="AI450:AI513" si="62">IF(AB450="",0,AB450+ROW()/1000000)</f>
        <v>0</v>
      </c>
      <c r="AJ450">
        <f t="shared" ref="AJ450:AJ513" si="63">--(AA450&lt;&gt;"")</f>
        <v>0</v>
      </c>
      <c r="AK450">
        <v>0</v>
      </c>
      <c r="AL450" t="str">
        <f>IF(AA450="","",IFERROR(IF(ISNUMBER('Procyfloc GS50'!D451),'Procyfloc GS50'!D451,IF(ISNUMBER(SEARCH("12",'Procyfloc GS50'!D451)),EDATE(AB450,12),IF(ISNUMBER(SEARCH("6",'Procyfloc GS50'!D451)),EDATE(AB450,6),IF(ISNUMBER(SEARCH("3",'Procyfloc GS50'!D451)),EDATE(AB450,3),DATEVALUE('Procyfloc GS50'!D451))))),""))</f>
        <v/>
      </c>
      <c r="AM450" t="str">
        <f t="shared" ref="AM450:AM513" ca="1" si="64">IF(AND(AJ450=1,AL450&lt;&gt;"",AL450&gt;=TODAY(),AG450=$W$3),AL450+ROW()/1000000,"")</f>
        <v/>
      </c>
    </row>
    <row r="451" spans="27:39" x14ac:dyDescent="0.3">
      <c r="AA451" t="str">
        <f>IF(COUNTA('Procyfloc GS50'!A452,'Procyfloc GS50'!B452,'Procyfloc GS50'!C452)&gt;0,"GS50","")</f>
        <v/>
      </c>
      <c r="AB451" t="str">
        <f>IFERROR(IF(ISNUMBER('Procyfloc GS50'!A452),'Procyfloc GS50'!A452,DATEVALUE('Procyfloc GS50'!A452)),"")</f>
        <v/>
      </c>
      <c r="AC451" t="str">
        <f>IF(AA451="","",'Procyfloc GS50'!B452)</f>
        <v/>
      </c>
      <c r="AD451" t="str">
        <f>IF(AA451="","",IFERROR(1*'Procyfloc GS50'!C452,IFERROR(_xludf.NUMBERVALUE('Procyfloc GS50'!C452,".",","),IFERROR(_xludf.NUMBERVALUE('Procyfloc GS50'!C452,",","."),0))))</f>
        <v/>
      </c>
      <c r="AE451" t="str">
        <f>IF(AA451="","",'Procyfloc GS50'!J452)</f>
        <v/>
      </c>
      <c r="AF451">
        <f t="shared" si="59"/>
        <v>0</v>
      </c>
      <c r="AG451" t="str">
        <f t="shared" si="60"/>
        <v/>
      </c>
      <c r="AH451" t="str">
        <f t="shared" si="61"/>
        <v/>
      </c>
      <c r="AI451">
        <f t="shared" si="62"/>
        <v>0</v>
      </c>
      <c r="AJ451">
        <f t="shared" si="63"/>
        <v>0</v>
      </c>
      <c r="AK451">
        <v>0</v>
      </c>
      <c r="AL451" t="str">
        <f>IF(AA451="","",IFERROR(IF(ISNUMBER('Procyfloc GS50'!D452),'Procyfloc GS50'!D452,IF(ISNUMBER(SEARCH("12",'Procyfloc GS50'!D452)),EDATE(AB451,12),IF(ISNUMBER(SEARCH("6",'Procyfloc GS50'!D452)),EDATE(AB451,6),IF(ISNUMBER(SEARCH("3",'Procyfloc GS50'!D452)),EDATE(AB451,3),DATEVALUE('Procyfloc GS50'!D452))))),""))</f>
        <v/>
      </c>
      <c r="AM451" t="str">
        <f t="shared" ca="1" si="64"/>
        <v/>
      </c>
    </row>
    <row r="452" spans="27:39" x14ac:dyDescent="0.3">
      <c r="AA452" t="str">
        <f>IF(COUNTA('Procyfloc GS50'!A453,'Procyfloc GS50'!B453,'Procyfloc GS50'!C453)&gt;0,"GS50","")</f>
        <v/>
      </c>
      <c r="AB452" t="str">
        <f>IFERROR(IF(ISNUMBER('Procyfloc GS50'!A453),'Procyfloc GS50'!A453,DATEVALUE('Procyfloc GS50'!A453)),"")</f>
        <v/>
      </c>
      <c r="AC452" t="str">
        <f>IF(AA452="","",'Procyfloc GS50'!B453)</f>
        <v/>
      </c>
      <c r="AD452" t="str">
        <f>IF(AA452="","",IFERROR(1*'Procyfloc GS50'!C453,IFERROR(_xludf.NUMBERVALUE('Procyfloc GS50'!C453,".",","),IFERROR(_xludf.NUMBERVALUE('Procyfloc GS50'!C453,",","."),0))))</f>
        <v/>
      </c>
      <c r="AE452" t="str">
        <f>IF(AA452="","",'Procyfloc GS50'!J453)</f>
        <v/>
      </c>
      <c r="AF452">
        <f t="shared" si="59"/>
        <v>0</v>
      </c>
      <c r="AG452" t="str">
        <f t="shared" si="60"/>
        <v/>
      </c>
      <c r="AH452" t="str">
        <f t="shared" si="61"/>
        <v/>
      </c>
      <c r="AI452">
        <f t="shared" si="62"/>
        <v>0</v>
      </c>
      <c r="AJ452">
        <f t="shared" si="63"/>
        <v>0</v>
      </c>
      <c r="AK452">
        <v>0</v>
      </c>
      <c r="AL452" t="str">
        <f>IF(AA452="","",IFERROR(IF(ISNUMBER('Procyfloc GS50'!D453),'Procyfloc GS50'!D453,IF(ISNUMBER(SEARCH("12",'Procyfloc GS50'!D453)),EDATE(AB452,12),IF(ISNUMBER(SEARCH("6",'Procyfloc GS50'!D453)),EDATE(AB452,6),IF(ISNUMBER(SEARCH("3",'Procyfloc GS50'!D453)),EDATE(AB452,3),DATEVALUE('Procyfloc GS50'!D453))))),""))</f>
        <v/>
      </c>
      <c r="AM452" t="str">
        <f t="shared" ca="1" si="64"/>
        <v/>
      </c>
    </row>
    <row r="453" spans="27:39" x14ac:dyDescent="0.3">
      <c r="AA453" t="str">
        <f>IF(COUNTA('Procyfloc GS50'!A454,'Procyfloc GS50'!B454,'Procyfloc GS50'!C454)&gt;0,"GS50","")</f>
        <v/>
      </c>
      <c r="AB453" t="str">
        <f>IFERROR(IF(ISNUMBER('Procyfloc GS50'!A454),'Procyfloc GS50'!A454,DATEVALUE('Procyfloc GS50'!A454)),"")</f>
        <v/>
      </c>
      <c r="AC453" t="str">
        <f>IF(AA453="","",'Procyfloc GS50'!B454)</f>
        <v/>
      </c>
      <c r="AD453" t="str">
        <f>IF(AA453="","",IFERROR(1*'Procyfloc GS50'!C454,IFERROR(_xludf.NUMBERVALUE('Procyfloc GS50'!C454,".",","),IFERROR(_xludf.NUMBERVALUE('Procyfloc GS50'!C454,",","."),0))))</f>
        <v/>
      </c>
      <c r="AE453" t="str">
        <f>IF(AA453="","",'Procyfloc GS50'!J454)</f>
        <v/>
      </c>
      <c r="AF453">
        <f t="shared" si="59"/>
        <v>0</v>
      </c>
      <c r="AG453" t="str">
        <f t="shared" si="60"/>
        <v/>
      </c>
      <c r="AH453" t="str">
        <f t="shared" si="61"/>
        <v/>
      </c>
      <c r="AI453">
        <f t="shared" si="62"/>
        <v>0</v>
      </c>
      <c r="AJ453">
        <f t="shared" si="63"/>
        <v>0</v>
      </c>
      <c r="AK453">
        <v>0</v>
      </c>
      <c r="AL453" t="str">
        <f>IF(AA453="","",IFERROR(IF(ISNUMBER('Procyfloc GS50'!D454),'Procyfloc GS50'!D454,IF(ISNUMBER(SEARCH("12",'Procyfloc GS50'!D454)),EDATE(AB453,12),IF(ISNUMBER(SEARCH("6",'Procyfloc GS50'!D454)),EDATE(AB453,6),IF(ISNUMBER(SEARCH("3",'Procyfloc GS50'!D454)),EDATE(AB453,3),DATEVALUE('Procyfloc GS50'!D454))))),""))</f>
        <v/>
      </c>
      <c r="AM453" t="str">
        <f t="shared" ca="1" si="64"/>
        <v/>
      </c>
    </row>
    <row r="454" spans="27:39" x14ac:dyDescent="0.3">
      <c r="AA454" t="str">
        <f>IF(COUNTA('Procyfloc GS50'!A455,'Procyfloc GS50'!B455,'Procyfloc GS50'!C455)&gt;0,"GS50","")</f>
        <v/>
      </c>
      <c r="AB454" t="str">
        <f>IFERROR(IF(ISNUMBER('Procyfloc GS50'!A455),'Procyfloc GS50'!A455,DATEVALUE('Procyfloc GS50'!A455)),"")</f>
        <v/>
      </c>
      <c r="AC454" t="str">
        <f>IF(AA454="","",'Procyfloc GS50'!B455)</f>
        <v/>
      </c>
      <c r="AD454" t="str">
        <f>IF(AA454="","",IFERROR(1*'Procyfloc GS50'!C455,IFERROR(_xludf.NUMBERVALUE('Procyfloc GS50'!C455,".",","),IFERROR(_xludf.NUMBERVALUE('Procyfloc GS50'!C455,",","."),0))))</f>
        <v/>
      </c>
      <c r="AE454" t="str">
        <f>IF(AA454="","",'Procyfloc GS50'!J455)</f>
        <v/>
      </c>
      <c r="AF454">
        <f t="shared" si="59"/>
        <v>0</v>
      </c>
      <c r="AG454" t="str">
        <f t="shared" si="60"/>
        <v/>
      </c>
      <c r="AH454" t="str">
        <f t="shared" si="61"/>
        <v/>
      </c>
      <c r="AI454">
        <f t="shared" si="62"/>
        <v>0</v>
      </c>
      <c r="AJ454">
        <f t="shared" si="63"/>
        <v>0</v>
      </c>
      <c r="AK454">
        <v>0</v>
      </c>
      <c r="AL454" t="str">
        <f>IF(AA454="","",IFERROR(IF(ISNUMBER('Procyfloc GS50'!D455),'Procyfloc GS50'!D455,IF(ISNUMBER(SEARCH("12",'Procyfloc GS50'!D455)),EDATE(AB454,12),IF(ISNUMBER(SEARCH("6",'Procyfloc GS50'!D455)),EDATE(AB454,6),IF(ISNUMBER(SEARCH("3",'Procyfloc GS50'!D455)),EDATE(AB454,3),DATEVALUE('Procyfloc GS50'!D455))))),""))</f>
        <v/>
      </c>
      <c r="AM454" t="str">
        <f t="shared" ca="1" si="64"/>
        <v/>
      </c>
    </row>
    <row r="455" spans="27:39" x14ac:dyDescent="0.3">
      <c r="AA455" t="str">
        <f>IF(COUNTA('Procyfloc GS50'!A456,'Procyfloc GS50'!B456,'Procyfloc GS50'!C456)&gt;0,"GS50","")</f>
        <v/>
      </c>
      <c r="AB455" t="str">
        <f>IFERROR(IF(ISNUMBER('Procyfloc GS50'!A456),'Procyfloc GS50'!A456,DATEVALUE('Procyfloc GS50'!A456)),"")</f>
        <v/>
      </c>
      <c r="AC455" t="str">
        <f>IF(AA455="","",'Procyfloc GS50'!B456)</f>
        <v/>
      </c>
      <c r="AD455" t="str">
        <f>IF(AA455="","",IFERROR(1*'Procyfloc GS50'!C456,IFERROR(_xludf.NUMBERVALUE('Procyfloc GS50'!C456,".",","),IFERROR(_xludf.NUMBERVALUE('Procyfloc GS50'!C456,",","."),0))))</f>
        <v/>
      </c>
      <c r="AE455" t="str">
        <f>IF(AA455="","",'Procyfloc GS50'!J456)</f>
        <v/>
      </c>
      <c r="AF455">
        <f t="shared" si="59"/>
        <v>0</v>
      </c>
      <c r="AG455" t="str">
        <f t="shared" si="60"/>
        <v/>
      </c>
      <c r="AH455" t="str">
        <f t="shared" si="61"/>
        <v/>
      </c>
      <c r="AI455">
        <f t="shared" si="62"/>
        <v>0</v>
      </c>
      <c r="AJ455">
        <f t="shared" si="63"/>
        <v>0</v>
      </c>
      <c r="AK455">
        <v>0</v>
      </c>
      <c r="AL455" t="str">
        <f>IF(AA455="","",IFERROR(IF(ISNUMBER('Procyfloc GS50'!D456),'Procyfloc GS50'!D456,IF(ISNUMBER(SEARCH("12",'Procyfloc GS50'!D456)),EDATE(AB455,12),IF(ISNUMBER(SEARCH("6",'Procyfloc GS50'!D456)),EDATE(AB455,6),IF(ISNUMBER(SEARCH("3",'Procyfloc GS50'!D456)),EDATE(AB455,3),DATEVALUE('Procyfloc GS50'!D456))))),""))</f>
        <v/>
      </c>
      <c r="AM455" t="str">
        <f t="shared" ca="1" si="64"/>
        <v/>
      </c>
    </row>
    <row r="456" spans="27:39" x14ac:dyDescent="0.3">
      <c r="AA456" t="str">
        <f>IF(COUNTA('Procyfloc GS50'!A457,'Procyfloc GS50'!B457,'Procyfloc GS50'!C457)&gt;0,"GS50","")</f>
        <v/>
      </c>
      <c r="AB456" t="str">
        <f>IFERROR(IF(ISNUMBER('Procyfloc GS50'!A457),'Procyfloc GS50'!A457,DATEVALUE('Procyfloc GS50'!A457)),"")</f>
        <v/>
      </c>
      <c r="AC456" t="str">
        <f>IF(AA456="","",'Procyfloc GS50'!B457)</f>
        <v/>
      </c>
      <c r="AD456" t="str">
        <f>IF(AA456="","",IFERROR(1*'Procyfloc GS50'!C457,IFERROR(_xludf.NUMBERVALUE('Procyfloc GS50'!C457,".",","),IFERROR(_xludf.NUMBERVALUE('Procyfloc GS50'!C457,",","."),0))))</f>
        <v/>
      </c>
      <c r="AE456" t="str">
        <f>IF(AA456="","",'Procyfloc GS50'!J457)</f>
        <v/>
      </c>
      <c r="AF456">
        <f t="shared" si="59"/>
        <v>0</v>
      </c>
      <c r="AG456" t="str">
        <f t="shared" si="60"/>
        <v/>
      </c>
      <c r="AH456" t="str">
        <f t="shared" si="61"/>
        <v/>
      </c>
      <c r="AI456">
        <f t="shared" si="62"/>
        <v>0</v>
      </c>
      <c r="AJ456">
        <f t="shared" si="63"/>
        <v>0</v>
      </c>
      <c r="AK456">
        <v>0</v>
      </c>
      <c r="AL456" t="str">
        <f>IF(AA456="","",IFERROR(IF(ISNUMBER('Procyfloc GS50'!D457),'Procyfloc GS50'!D457,IF(ISNUMBER(SEARCH("12",'Procyfloc GS50'!D457)),EDATE(AB456,12),IF(ISNUMBER(SEARCH("6",'Procyfloc GS50'!D457)),EDATE(AB456,6),IF(ISNUMBER(SEARCH("3",'Procyfloc GS50'!D457)),EDATE(AB456,3),DATEVALUE('Procyfloc GS50'!D457))))),""))</f>
        <v/>
      </c>
      <c r="AM456" t="str">
        <f t="shared" ca="1" si="64"/>
        <v/>
      </c>
    </row>
    <row r="457" spans="27:39" x14ac:dyDescent="0.3">
      <c r="AA457" t="str">
        <f>IF(COUNTA('Procyfloc GS50'!A458,'Procyfloc GS50'!B458,'Procyfloc GS50'!C458)&gt;0,"GS50","")</f>
        <v/>
      </c>
      <c r="AB457" t="str">
        <f>IFERROR(IF(ISNUMBER('Procyfloc GS50'!A458),'Procyfloc GS50'!A458,DATEVALUE('Procyfloc GS50'!A458)),"")</f>
        <v/>
      </c>
      <c r="AC457" t="str">
        <f>IF(AA457="","",'Procyfloc GS50'!B458)</f>
        <v/>
      </c>
      <c r="AD457" t="str">
        <f>IF(AA457="","",IFERROR(1*'Procyfloc GS50'!C458,IFERROR(_xludf.NUMBERVALUE('Procyfloc GS50'!C458,".",","),IFERROR(_xludf.NUMBERVALUE('Procyfloc GS50'!C458,",","."),0))))</f>
        <v/>
      </c>
      <c r="AE457" t="str">
        <f>IF(AA457="","",'Procyfloc GS50'!J458)</f>
        <v/>
      </c>
      <c r="AF457">
        <f t="shared" si="59"/>
        <v>0</v>
      </c>
      <c r="AG457" t="str">
        <f t="shared" si="60"/>
        <v/>
      </c>
      <c r="AH457" t="str">
        <f t="shared" si="61"/>
        <v/>
      </c>
      <c r="AI457">
        <f t="shared" si="62"/>
        <v>0</v>
      </c>
      <c r="AJ457">
        <f t="shared" si="63"/>
        <v>0</v>
      </c>
      <c r="AK457">
        <v>0</v>
      </c>
      <c r="AL457" t="str">
        <f>IF(AA457="","",IFERROR(IF(ISNUMBER('Procyfloc GS50'!D458),'Procyfloc GS50'!D458,IF(ISNUMBER(SEARCH("12",'Procyfloc GS50'!D458)),EDATE(AB457,12),IF(ISNUMBER(SEARCH("6",'Procyfloc GS50'!D458)),EDATE(AB457,6),IF(ISNUMBER(SEARCH("3",'Procyfloc GS50'!D458)),EDATE(AB457,3),DATEVALUE('Procyfloc GS50'!D458))))),""))</f>
        <v/>
      </c>
      <c r="AM457" t="str">
        <f t="shared" ca="1" si="64"/>
        <v/>
      </c>
    </row>
    <row r="458" spans="27:39" x14ac:dyDescent="0.3">
      <c r="AA458" t="str">
        <f>IF(COUNTA('Procyfloc GS50'!A459,'Procyfloc GS50'!B459,'Procyfloc GS50'!C459)&gt;0,"GS50","")</f>
        <v/>
      </c>
      <c r="AB458" t="str">
        <f>IFERROR(IF(ISNUMBER('Procyfloc GS50'!A459),'Procyfloc GS50'!A459,DATEVALUE('Procyfloc GS50'!A459)),"")</f>
        <v/>
      </c>
      <c r="AC458" t="str">
        <f>IF(AA458="","",'Procyfloc GS50'!B459)</f>
        <v/>
      </c>
      <c r="AD458" t="str">
        <f>IF(AA458="","",IFERROR(1*'Procyfloc GS50'!C459,IFERROR(_xludf.NUMBERVALUE('Procyfloc GS50'!C459,".",","),IFERROR(_xludf.NUMBERVALUE('Procyfloc GS50'!C459,",","."),0))))</f>
        <v/>
      </c>
      <c r="AE458" t="str">
        <f>IF(AA458="","",'Procyfloc GS50'!J459)</f>
        <v/>
      </c>
      <c r="AF458">
        <f t="shared" si="59"/>
        <v>0</v>
      </c>
      <c r="AG458" t="str">
        <f t="shared" si="60"/>
        <v/>
      </c>
      <c r="AH458" t="str">
        <f t="shared" si="61"/>
        <v/>
      </c>
      <c r="AI458">
        <f t="shared" si="62"/>
        <v>0</v>
      </c>
      <c r="AJ458">
        <f t="shared" si="63"/>
        <v>0</v>
      </c>
      <c r="AK458">
        <v>0</v>
      </c>
      <c r="AL458" t="str">
        <f>IF(AA458="","",IFERROR(IF(ISNUMBER('Procyfloc GS50'!D459),'Procyfloc GS50'!D459,IF(ISNUMBER(SEARCH("12",'Procyfloc GS50'!D459)),EDATE(AB458,12),IF(ISNUMBER(SEARCH("6",'Procyfloc GS50'!D459)),EDATE(AB458,6),IF(ISNUMBER(SEARCH("3",'Procyfloc GS50'!D459)),EDATE(AB458,3),DATEVALUE('Procyfloc GS50'!D459))))),""))</f>
        <v/>
      </c>
      <c r="AM458" t="str">
        <f t="shared" ca="1" si="64"/>
        <v/>
      </c>
    </row>
    <row r="459" spans="27:39" x14ac:dyDescent="0.3">
      <c r="AA459" t="str">
        <f>IF(COUNTA('Procyfloc GS50'!A460,'Procyfloc GS50'!B460,'Procyfloc GS50'!C460)&gt;0,"GS50","")</f>
        <v/>
      </c>
      <c r="AB459" t="str">
        <f>IFERROR(IF(ISNUMBER('Procyfloc GS50'!A460),'Procyfloc GS50'!A460,DATEVALUE('Procyfloc GS50'!A460)),"")</f>
        <v/>
      </c>
      <c r="AC459" t="str">
        <f>IF(AA459="","",'Procyfloc GS50'!B460)</f>
        <v/>
      </c>
      <c r="AD459" t="str">
        <f>IF(AA459="","",IFERROR(1*'Procyfloc GS50'!C460,IFERROR(_xludf.NUMBERVALUE('Procyfloc GS50'!C460,".",","),IFERROR(_xludf.NUMBERVALUE('Procyfloc GS50'!C460,",","."),0))))</f>
        <v/>
      </c>
      <c r="AE459" t="str">
        <f>IF(AA459="","",'Procyfloc GS50'!J460)</f>
        <v/>
      </c>
      <c r="AF459">
        <f t="shared" si="59"/>
        <v>0</v>
      </c>
      <c r="AG459" t="str">
        <f t="shared" si="60"/>
        <v/>
      </c>
      <c r="AH459" t="str">
        <f t="shared" si="61"/>
        <v/>
      </c>
      <c r="AI459">
        <f t="shared" si="62"/>
        <v>0</v>
      </c>
      <c r="AJ459">
        <f t="shared" si="63"/>
        <v>0</v>
      </c>
      <c r="AK459">
        <v>0</v>
      </c>
      <c r="AL459" t="str">
        <f>IF(AA459="","",IFERROR(IF(ISNUMBER('Procyfloc GS50'!D460),'Procyfloc GS50'!D460,IF(ISNUMBER(SEARCH("12",'Procyfloc GS50'!D460)),EDATE(AB459,12),IF(ISNUMBER(SEARCH("6",'Procyfloc GS50'!D460)),EDATE(AB459,6),IF(ISNUMBER(SEARCH("3",'Procyfloc GS50'!D460)),EDATE(AB459,3),DATEVALUE('Procyfloc GS50'!D460))))),""))</f>
        <v/>
      </c>
      <c r="AM459" t="str">
        <f t="shared" ca="1" si="64"/>
        <v/>
      </c>
    </row>
    <row r="460" spans="27:39" x14ac:dyDescent="0.3">
      <c r="AA460" t="str">
        <f>IF(COUNTA('Procyfloc GS50'!A461,'Procyfloc GS50'!B461,'Procyfloc GS50'!C461)&gt;0,"GS50","")</f>
        <v/>
      </c>
      <c r="AB460" t="str">
        <f>IFERROR(IF(ISNUMBER('Procyfloc GS50'!A461),'Procyfloc GS50'!A461,DATEVALUE('Procyfloc GS50'!A461)),"")</f>
        <v/>
      </c>
      <c r="AC460" t="str">
        <f>IF(AA460="","",'Procyfloc GS50'!B461)</f>
        <v/>
      </c>
      <c r="AD460" t="str">
        <f>IF(AA460="","",IFERROR(1*'Procyfloc GS50'!C461,IFERROR(_xludf.NUMBERVALUE('Procyfloc GS50'!C461,".",","),IFERROR(_xludf.NUMBERVALUE('Procyfloc GS50'!C461,",","."),0))))</f>
        <v/>
      </c>
      <c r="AE460" t="str">
        <f>IF(AA460="","",'Procyfloc GS50'!J461)</f>
        <v/>
      </c>
      <c r="AF460">
        <f t="shared" si="59"/>
        <v>0</v>
      </c>
      <c r="AG460" t="str">
        <f t="shared" si="60"/>
        <v/>
      </c>
      <c r="AH460" t="str">
        <f t="shared" si="61"/>
        <v/>
      </c>
      <c r="AI460">
        <f t="shared" si="62"/>
        <v>0</v>
      </c>
      <c r="AJ460">
        <f t="shared" si="63"/>
        <v>0</v>
      </c>
      <c r="AK460">
        <v>0</v>
      </c>
      <c r="AL460" t="str">
        <f>IF(AA460="","",IFERROR(IF(ISNUMBER('Procyfloc GS50'!D461),'Procyfloc GS50'!D461,IF(ISNUMBER(SEARCH("12",'Procyfloc GS50'!D461)),EDATE(AB460,12),IF(ISNUMBER(SEARCH("6",'Procyfloc GS50'!D461)),EDATE(AB460,6),IF(ISNUMBER(SEARCH("3",'Procyfloc GS50'!D461)),EDATE(AB460,3),DATEVALUE('Procyfloc GS50'!D461))))),""))</f>
        <v/>
      </c>
      <c r="AM460" t="str">
        <f t="shared" ca="1" si="64"/>
        <v/>
      </c>
    </row>
    <row r="461" spans="27:39" x14ac:dyDescent="0.3">
      <c r="AA461" t="str">
        <f>IF(COUNTA('Procyfloc GS50'!A462,'Procyfloc GS50'!B462,'Procyfloc GS50'!C462)&gt;0,"GS50","")</f>
        <v/>
      </c>
      <c r="AB461" t="str">
        <f>IFERROR(IF(ISNUMBER('Procyfloc GS50'!A462),'Procyfloc GS50'!A462,DATEVALUE('Procyfloc GS50'!A462)),"")</f>
        <v/>
      </c>
      <c r="AC461" t="str">
        <f>IF(AA461="","",'Procyfloc GS50'!B462)</f>
        <v/>
      </c>
      <c r="AD461" t="str">
        <f>IF(AA461="","",IFERROR(1*'Procyfloc GS50'!C462,IFERROR(_xludf.NUMBERVALUE('Procyfloc GS50'!C462,".",","),IFERROR(_xludf.NUMBERVALUE('Procyfloc GS50'!C462,",","."),0))))</f>
        <v/>
      </c>
      <c r="AE461" t="str">
        <f>IF(AA461="","",'Procyfloc GS50'!J462)</f>
        <v/>
      </c>
      <c r="AF461">
        <f t="shared" si="59"/>
        <v>0</v>
      </c>
      <c r="AG461" t="str">
        <f t="shared" si="60"/>
        <v/>
      </c>
      <c r="AH461" t="str">
        <f t="shared" si="61"/>
        <v/>
      </c>
      <c r="AI461">
        <f t="shared" si="62"/>
        <v>0</v>
      </c>
      <c r="AJ461">
        <f t="shared" si="63"/>
        <v>0</v>
      </c>
      <c r="AK461">
        <v>0</v>
      </c>
      <c r="AL461" t="str">
        <f>IF(AA461="","",IFERROR(IF(ISNUMBER('Procyfloc GS50'!D462),'Procyfloc GS50'!D462,IF(ISNUMBER(SEARCH("12",'Procyfloc GS50'!D462)),EDATE(AB461,12),IF(ISNUMBER(SEARCH("6",'Procyfloc GS50'!D462)),EDATE(AB461,6),IF(ISNUMBER(SEARCH("3",'Procyfloc GS50'!D462)),EDATE(AB461,3),DATEVALUE('Procyfloc GS50'!D462))))),""))</f>
        <v/>
      </c>
      <c r="AM461" t="str">
        <f t="shared" ca="1" si="64"/>
        <v/>
      </c>
    </row>
    <row r="462" spans="27:39" x14ac:dyDescent="0.3">
      <c r="AA462" t="str">
        <f>IF(COUNTA('Procyfloc GS50'!A463,'Procyfloc GS50'!B463,'Procyfloc GS50'!C463)&gt;0,"GS50","")</f>
        <v/>
      </c>
      <c r="AB462" t="str">
        <f>IFERROR(IF(ISNUMBER('Procyfloc GS50'!A463),'Procyfloc GS50'!A463,DATEVALUE('Procyfloc GS50'!A463)),"")</f>
        <v/>
      </c>
      <c r="AC462" t="str">
        <f>IF(AA462="","",'Procyfloc GS50'!B463)</f>
        <v/>
      </c>
      <c r="AD462" t="str">
        <f>IF(AA462="","",IFERROR(1*'Procyfloc GS50'!C463,IFERROR(_xludf.NUMBERVALUE('Procyfloc GS50'!C463,".",","),IFERROR(_xludf.NUMBERVALUE('Procyfloc GS50'!C463,",","."),0))))</f>
        <v/>
      </c>
      <c r="AE462" t="str">
        <f>IF(AA462="","",'Procyfloc GS50'!J463)</f>
        <v/>
      </c>
      <c r="AF462">
        <f t="shared" si="59"/>
        <v>0</v>
      </c>
      <c r="AG462" t="str">
        <f t="shared" si="60"/>
        <v/>
      </c>
      <c r="AH462" t="str">
        <f t="shared" si="61"/>
        <v/>
      </c>
      <c r="AI462">
        <f t="shared" si="62"/>
        <v>0</v>
      </c>
      <c r="AJ462">
        <f t="shared" si="63"/>
        <v>0</v>
      </c>
      <c r="AK462">
        <v>0</v>
      </c>
      <c r="AL462" t="str">
        <f>IF(AA462="","",IFERROR(IF(ISNUMBER('Procyfloc GS50'!D463),'Procyfloc GS50'!D463,IF(ISNUMBER(SEARCH("12",'Procyfloc GS50'!D463)),EDATE(AB462,12),IF(ISNUMBER(SEARCH("6",'Procyfloc GS50'!D463)),EDATE(AB462,6),IF(ISNUMBER(SEARCH("3",'Procyfloc GS50'!D463)),EDATE(AB462,3),DATEVALUE('Procyfloc GS50'!D463))))),""))</f>
        <v/>
      </c>
      <c r="AM462" t="str">
        <f t="shared" ca="1" si="64"/>
        <v/>
      </c>
    </row>
    <row r="463" spans="27:39" x14ac:dyDescent="0.3">
      <c r="AA463" t="str">
        <f>IF(COUNTA('Procyfloc GS50'!A464,'Procyfloc GS50'!B464,'Procyfloc GS50'!C464)&gt;0,"GS50","")</f>
        <v/>
      </c>
      <c r="AB463" t="str">
        <f>IFERROR(IF(ISNUMBER('Procyfloc GS50'!A464),'Procyfloc GS50'!A464,DATEVALUE('Procyfloc GS50'!A464)),"")</f>
        <v/>
      </c>
      <c r="AC463" t="str">
        <f>IF(AA463="","",'Procyfloc GS50'!B464)</f>
        <v/>
      </c>
      <c r="AD463" t="str">
        <f>IF(AA463="","",IFERROR(1*'Procyfloc GS50'!C464,IFERROR(_xludf.NUMBERVALUE('Procyfloc GS50'!C464,".",","),IFERROR(_xludf.NUMBERVALUE('Procyfloc GS50'!C464,",","."),0))))</f>
        <v/>
      </c>
      <c r="AE463" t="str">
        <f>IF(AA463="","",'Procyfloc GS50'!J464)</f>
        <v/>
      </c>
      <c r="AF463">
        <f t="shared" si="59"/>
        <v>0</v>
      </c>
      <c r="AG463" t="str">
        <f t="shared" si="60"/>
        <v/>
      </c>
      <c r="AH463" t="str">
        <f t="shared" si="61"/>
        <v/>
      </c>
      <c r="AI463">
        <f t="shared" si="62"/>
        <v>0</v>
      </c>
      <c r="AJ463">
        <f t="shared" si="63"/>
        <v>0</v>
      </c>
      <c r="AK463">
        <v>0</v>
      </c>
      <c r="AL463" t="str">
        <f>IF(AA463="","",IFERROR(IF(ISNUMBER('Procyfloc GS50'!D464),'Procyfloc GS50'!D464,IF(ISNUMBER(SEARCH("12",'Procyfloc GS50'!D464)),EDATE(AB463,12),IF(ISNUMBER(SEARCH("6",'Procyfloc GS50'!D464)),EDATE(AB463,6),IF(ISNUMBER(SEARCH("3",'Procyfloc GS50'!D464)),EDATE(AB463,3),DATEVALUE('Procyfloc GS50'!D464))))),""))</f>
        <v/>
      </c>
      <c r="AM463" t="str">
        <f t="shared" ca="1" si="64"/>
        <v/>
      </c>
    </row>
    <row r="464" spans="27:39" x14ac:dyDescent="0.3">
      <c r="AA464" t="str">
        <f>IF(COUNTA('Procyfloc GS50'!A465,'Procyfloc GS50'!B465,'Procyfloc GS50'!C465)&gt;0,"GS50","")</f>
        <v/>
      </c>
      <c r="AB464" t="str">
        <f>IFERROR(IF(ISNUMBER('Procyfloc GS50'!A465),'Procyfloc GS50'!A465,DATEVALUE('Procyfloc GS50'!A465)),"")</f>
        <v/>
      </c>
      <c r="AC464" t="str">
        <f>IF(AA464="","",'Procyfloc GS50'!B465)</f>
        <v/>
      </c>
      <c r="AD464" t="str">
        <f>IF(AA464="","",IFERROR(1*'Procyfloc GS50'!C465,IFERROR(_xludf.NUMBERVALUE('Procyfloc GS50'!C465,".",","),IFERROR(_xludf.NUMBERVALUE('Procyfloc GS50'!C465,",","."),0))))</f>
        <v/>
      </c>
      <c r="AE464" t="str">
        <f>IF(AA464="","",'Procyfloc GS50'!J465)</f>
        <v/>
      </c>
      <c r="AF464">
        <f t="shared" si="59"/>
        <v>0</v>
      </c>
      <c r="AG464" t="str">
        <f t="shared" si="60"/>
        <v/>
      </c>
      <c r="AH464" t="str">
        <f t="shared" si="61"/>
        <v/>
      </c>
      <c r="AI464">
        <f t="shared" si="62"/>
        <v>0</v>
      </c>
      <c r="AJ464">
        <f t="shared" si="63"/>
        <v>0</v>
      </c>
      <c r="AK464">
        <v>0</v>
      </c>
      <c r="AL464" t="str">
        <f>IF(AA464="","",IFERROR(IF(ISNUMBER('Procyfloc GS50'!D465),'Procyfloc GS50'!D465,IF(ISNUMBER(SEARCH("12",'Procyfloc GS50'!D465)),EDATE(AB464,12),IF(ISNUMBER(SEARCH("6",'Procyfloc GS50'!D465)),EDATE(AB464,6),IF(ISNUMBER(SEARCH("3",'Procyfloc GS50'!D465)),EDATE(AB464,3),DATEVALUE('Procyfloc GS50'!D465))))),""))</f>
        <v/>
      </c>
      <c r="AM464" t="str">
        <f t="shared" ca="1" si="64"/>
        <v/>
      </c>
    </row>
    <row r="465" spans="27:39" x14ac:dyDescent="0.3">
      <c r="AA465" t="str">
        <f>IF(COUNTA('Procyfloc GS50'!A466,'Procyfloc GS50'!B466,'Procyfloc GS50'!C466)&gt;0,"GS50","")</f>
        <v/>
      </c>
      <c r="AB465" t="str">
        <f>IFERROR(IF(ISNUMBER('Procyfloc GS50'!A466),'Procyfloc GS50'!A466,DATEVALUE('Procyfloc GS50'!A466)),"")</f>
        <v/>
      </c>
      <c r="AC465" t="str">
        <f>IF(AA465="","",'Procyfloc GS50'!B466)</f>
        <v/>
      </c>
      <c r="AD465" t="str">
        <f>IF(AA465="","",IFERROR(1*'Procyfloc GS50'!C466,IFERROR(_xludf.NUMBERVALUE('Procyfloc GS50'!C466,".",","),IFERROR(_xludf.NUMBERVALUE('Procyfloc GS50'!C466,",","."),0))))</f>
        <v/>
      </c>
      <c r="AE465" t="str">
        <f>IF(AA465="","",'Procyfloc GS50'!J466)</f>
        <v/>
      </c>
      <c r="AF465">
        <f t="shared" si="59"/>
        <v>0</v>
      </c>
      <c r="AG465" t="str">
        <f t="shared" si="60"/>
        <v/>
      </c>
      <c r="AH465" t="str">
        <f t="shared" si="61"/>
        <v/>
      </c>
      <c r="AI465">
        <f t="shared" si="62"/>
        <v>0</v>
      </c>
      <c r="AJ465">
        <f t="shared" si="63"/>
        <v>0</v>
      </c>
      <c r="AK465">
        <v>0</v>
      </c>
      <c r="AL465" t="str">
        <f>IF(AA465="","",IFERROR(IF(ISNUMBER('Procyfloc GS50'!D466),'Procyfloc GS50'!D466,IF(ISNUMBER(SEARCH("12",'Procyfloc GS50'!D466)),EDATE(AB465,12),IF(ISNUMBER(SEARCH("6",'Procyfloc GS50'!D466)),EDATE(AB465,6),IF(ISNUMBER(SEARCH("3",'Procyfloc GS50'!D466)),EDATE(AB465,3),DATEVALUE('Procyfloc GS50'!D466))))),""))</f>
        <v/>
      </c>
      <c r="AM465" t="str">
        <f t="shared" ca="1" si="64"/>
        <v/>
      </c>
    </row>
    <row r="466" spans="27:39" x14ac:dyDescent="0.3">
      <c r="AA466" t="str">
        <f>IF(COUNTA('Procyfloc GS50'!A467,'Procyfloc GS50'!B467,'Procyfloc GS50'!C467)&gt;0,"GS50","")</f>
        <v/>
      </c>
      <c r="AB466" t="str">
        <f>IFERROR(IF(ISNUMBER('Procyfloc GS50'!A467),'Procyfloc GS50'!A467,DATEVALUE('Procyfloc GS50'!A467)),"")</f>
        <v/>
      </c>
      <c r="AC466" t="str">
        <f>IF(AA466="","",'Procyfloc GS50'!B467)</f>
        <v/>
      </c>
      <c r="AD466" t="str">
        <f>IF(AA466="","",IFERROR(1*'Procyfloc GS50'!C467,IFERROR(_xludf.NUMBERVALUE('Procyfloc GS50'!C467,".",","),IFERROR(_xludf.NUMBERVALUE('Procyfloc GS50'!C467,",","."),0))))</f>
        <v/>
      </c>
      <c r="AE466" t="str">
        <f>IF(AA466="","",'Procyfloc GS50'!J467)</f>
        <v/>
      </c>
      <c r="AF466">
        <f t="shared" si="59"/>
        <v>0</v>
      </c>
      <c r="AG466" t="str">
        <f t="shared" si="60"/>
        <v/>
      </c>
      <c r="AH466" t="str">
        <f t="shared" si="61"/>
        <v/>
      </c>
      <c r="AI466">
        <f t="shared" si="62"/>
        <v>0</v>
      </c>
      <c r="AJ466">
        <f t="shared" si="63"/>
        <v>0</v>
      </c>
      <c r="AK466">
        <v>0</v>
      </c>
      <c r="AL466" t="str">
        <f>IF(AA466="","",IFERROR(IF(ISNUMBER('Procyfloc GS50'!D467),'Procyfloc GS50'!D467,IF(ISNUMBER(SEARCH("12",'Procyfloc GS50'!D467)),EDATE(AB466,12),IF(ISNUMBER(SEARCH("6",'Procyfloc GS50'!D467)),EDATE(AB466,6),IF(ISNUMBER(SEARCH("3",'Procyfloc GS50'!D467)),EDATE(AB466,3),DATEVALUE('Procyfloc GS50'!D467))))),""))</f>
        <v/>
      </c>
      <c r="AM466" t="str">
        <f t="shared" ca="1" si="64"/>
        <v/>
      </c>
    </row>
    <row r="467" spans="27:39" x14ac:dyDescent="0.3">
      <c r="AA467" t="str">
        <f>IF(COUNTA('Procyfloc GS50'!A468,'Procyfloc GS50'!B468,'Procyfloc GS50'!C468)&gt;0,"GS50","")</f>
        <v/>
      </c>
      <c r="AB467" t="str">
        <f>IFERROR(IF(ISNUMBER('Procyfloc GS50'!A468),'Procyfloc GS50'!A468,DATEVALUE('Procyfloc GS50'!A468)),"")</f>
        <v/>
      </c>
      <c r="AC467" t="str">
        <f>IF(AA467="","",'Procyfloc GS50'!B468)</f>
        <v/>
      </c>
      <c r="AD467" t="str">
        <f>IF(AA467="","",IFERROR(1*'Procyfloc GS50'!C468,IFERROR(_xludf.NUMBERVALUE('Procyfloc GS50'!C468,".",","),IFERROR(_xludf.NUMBERVALUE('Procyfloc GS50'!C468,",","."),0))))</f>
        <v/>
      </c>
      <c r="AE467" t="str">
        <f>IF(AA467="","",'Procyfloc GS50'!J468)</f>
        <v/>
      </c>
      <c r="AF467">
        <f t="shared" si="59"/>
        <v>0</v>
      </c>
      <c r="AG467" t="str">
        <f t="shared" si="60"/>
        <v/>
      </c>
      <c r="AH467" t="str">
        <f t="shared" si="61"/>
        <v/>
      </c>
      <c r="AI467">
        <f t="shared" si="62"/>
        <v>0</v>
      </c>
      <c r="AJ467">
        <f t="shared" si="63"/>
        <v>0</v>
      </c>
      <c r="AK467">
        <v>0</v>
      </c>
      <c r="AL467" t="str">
        <f>IF(AA467="","",IFERROR(IF(ISNUMBER('Procyfloc GS50'!D468),'Procyfloc GS50'!D468,IF(ISNUMBER(SEARCH("12",'Procyfloc GS50'!D468)),EDATE(AB467,12),IF(ISNUMBER(SEARCH("6",'Procyfloc GS50'!D468)),EDATE(AB467,6),IF(ISNUMBER(SEARCH("3",'Procyfloc GS50'!D468)),EDATE(AB467,3),DATEVALUE('Procyfloc GS50'!D468))))),""))</f>
        <v/>
      </c>
      <c r="AM467" t="str">
        <f t="shared" ca="1" si="64"/>
        <v/>
      </c>
    </row>
    <row r="468" spans="27:39" x14ac:dyDescent="0.3">
      <c r="AA468" t="str">
        <f>IF(COUNTA('Procyfloc GS50'!A469,'Procyfloc GS50'!B469,'Procyfloc GS50'!C469)&gt;0,"GS50","")</f>
        <v/>
      </c>
      <c r="AB468" t="str">
        <f>IFERROR(IF(ISNUMBER('Procyfloc GS50'!A469),'Procyfloc GS50'!A469,DATEVALUE('Procyfloc GS50'!A469)),"")</f>
        <v/>
      </c>
      <c r="AC468" t="str">
        <f>IF(AA468="","",'Procyfloc GS50'!B469)</f>
        <v/>
      </c>
      <c r="AD468" t="str">
        <f>IF(AA468="","",IFERROR(1*'Procyfloc GS50'!C469,IFERROR(_xludf.NUMBERVALUE('Procyfloc GS50'!C469,".",","),IFERROR(_xludf.NUMBERVALUE('Procyfloc GS50'!C469,",","."),0))))</f>
        <v/>
      </c>
      <c r="AE468" t="str">
        <f>IF(AA468="","",'Procyfloc GS50'!J469)</f>
        <v/>
      </c>
      <c r="AF468">
        <f t="shared" si="59"/>
        <v>0</v>
      </c>
      <c r="AG468" t="str">
        <f t="shared" si="60"/>
        <v/>
      </c>
      <c r="AH468" t="str">
        <f t="shared" si="61"/>
        <v/>
      </c>
      <c r="AI468">
        <f t="shared" si="62"/>
        <v>0</v>
      </c>
      <c r="AJ468">
        <f t="shared" si="63"/>
        <v>0</v>
      </c>
      <c r="AK468">
        <v>0</v>
      </c>
      <c r="AL468" t="str">
        <f>IF(AA468="","",IFERROR(IF(ISNUMBER('Procyfloc GS50'!D469),'Procyfloc GS50'!D469,IF(ISNUMBER(SEARCH("12",'Procyfloc GS50'!D469)),EDATE(AB468,12),IF(ISNUMBER(SEARCH("6",'Procyfloc GS50'!D469)),EDATE(AB468,6),IF(ISNUMBER(SEARCH("3",'Procyfloc GS50'!D469)),EDATE(AB468,3),DATEVALUE('Procyfloc GS50'!D469))))),""))</f>
        <v/>
      </c>
      <c r="AM468" t="str">
        <f t="shared" ca="1" si="64"/>
        <v/>
      </c>
    </row>
    <row r="469" spans="27:39" x14ac:dyDescent="0.3">
      <c r="AA469" t="str">
        <f>IF(COUNTA('Procyfloc GS50'!A470,'Procyfloc GS50'!B470,'Procyfloc GS50'!C470)&gt;0,"GS50","")</f>
        <v/>
      </c>
      <c r="AB469" t="str">
        <f>IFERROR(IF(ISNUMBER('Procyfloc GS50'!A470),'Procyfloc GS50'!A470,DATEVALUE('Procyfloc GS50'!A470)),"")</f>
        <v/>
      </c>
      <c r="AC469" t="str">
        <f>IF(AA469="","",'Procyfloc GS50'!B470)</f>
        <v/>
      </c>
      <c r="AD469" t="str">
        <f>IF(AA469="","",IFERROR(1*'Procyfloc GS50'!C470,IFERROR(_xludf.NUMBERVALUE('Procyfloc GS50'!C470,".",","),IFERROR(_xludf.NUMBERVALUE('Procyfloc GS50'!C470,",","."),0))))</f>
        <v/>
      </c>
      <c r="AE469" t="str">
        <f>IF(AA469="","",'Procyfloc GS50'!J470)</f>
        <v/>
      </c>
      <c r="AF469">
        <f t="shared" si="59"/>
        <v>0</v>
      </c>
      <c r="AG469" t="str">
        <f t="shared" si="60"/>
        <v/>
      </c>
      <c r="AH469" t="str">
        <f t="shared" si="61"/>
        <v/>
      </c>
      <c r="AI469">
        <f t="shared" si="62"/>
        <v>0</v>
      </c>
      <c r="AJ469">
        <f t="shared" si="63"/>
        <v>0</v>
      </c>
      <c r="AK469">
        <v>0</v>
      </c>
      <c r="AL469" t="str">
        <f>IF(AA469="","",IFERROR(IF(ISNUMBER('Procyfloc GS50'!D470),'Procyfloc GS50'!D470,IF(ISNUMBER(SEARCH("12",'Procyfloc GS50'!D470)),EDATE(AB469,12),IF(ISNUMBER(SEARCH("6",'Procyfloc GS50'!D470)),EDATE(AB469,6),IF(ISNUMBER(SEARCH("3",'Procyfloc GS50'!D470)),EDATE(AB469,3),DATEVALUE('Procyfloc GS50'!D470))))),""))</f>
        <v/>
      </c>
      <c r="AM469" t="str">
        <f t="shared" ca="1" si="64"/>
        <v/>
      </c>
    </row>
    <row r="470" spans="27:39" x14ac:dyDescent="0.3">
      <c r="AA470" t="str">
        <f>IF(COUNTA('Procyfloc GS50'!A471,'Procyfloc GS50'!B471,'Procyfloc GS50'!C471)&gt;0,"GS50","")</f>
        <v/>
      </c>
      <c r="AB470" t="str">
        <f>IFERROR(IF(ISNUMBER('Procyfloc GS50'!A471),'Procyfloc GS50'!A471,DATEVALUE('Procyfloc GS50'!A471)),"")</f>
        <v/>
      </c>
      <c r="AC470" t="str">
        <f>IF(AA470="","",'Procyfloc GS50'!B471)</f>
        <v/>
      </c>
      <c r="AD470" t="str">
        <f>IF(AA470="","",IFERROR(1*'Procyfloc GS50'!C471,IFERROR(_xludf.NUMBERVALUE('Procyfloc GS50'!C471,".",","),IFERROR(_xludf.NUMBERVALUE('Procyfloc GS50'!C471,",","."),0))))</f>
        <v/>
      </c>
      <c r="AE470" t="str">
        <f>IF(AA470="","",'Procyfloc GS50'!J471)</f>
        <v/>
      </c>
      <c r="AF470">
        <f t="shared" si="59"/>
        <v>0</v>
      </c>
      <c r="AG470" t="str">
        <f t="shared" si="60"/>
        <v/>
      </c>
      <c r="AH470" t="str">
        <f t="shared" si="61"/>
        <v/>
      </c>
      <c r="AI470">
        <f t="shared" si="62"/>
        <v>0</v>
      </c>
      <c r="AJ470">
        <f t="shared" si="63"/>
        <v>0</v>
      </c>
      <c r="AK470">
        <v>0</v>
      </c>
      <c r="AL470" t="str">
        <f>IF(AA470="","",IFERROR(IF(ISNUMBER('Procyfloc GS50'!D471),'Procyfloc GS50'!D471,IF(ISNUMBER(SEARCH("12",'Procyfloc GS50'!D471)),EDATE(AB470,12),IF(ISNUMBER(SEARCH("6",'Procyfloc GS50'!D471)),EDATE(AB470,6),IF(ISNUMBER(SEARCH("3",'Procyfloc GS50'!D471)),EDATE(AB470,3),DATEVALUE('Procyfloc GS50'!D471))))),""))</f>
        <v/>
      </c>
      <c r="AM470" t="str">
        <f t="shared" ca="1" si="64"/>
        <v/>
      </c>
    </row>
    <row r="471" spans="27:39" x14ac:dyDescent="0.3">
      <c r="AA471" t="str">
        <f>IF(COUNTA('Procyfloc GS50'!A472,'Procyfloc GS50'!B472,'Procyfloc GS50'!C472)&gt;0,"GS50","")</f>
        <v/>
      </c>
      <c r="AB471" t="str">
        <f>IFERROR(IF(ISNUMBER('Procyfloc GS50'!A472),'Procyfloc GS50'!A472,DATEVALUE('Procyfloc GS50'!A472)),"")</f>
        <v/>
      </c>
      <c r="AC471" t="str">
        <f>IF(AA471="","",'Procyfloc GS50'!B472)</f>
        <v/>
      </c>
      <c r="AD471" t="str">
        <f>IF(AA471="","",IFERROR(1*'Procyfloc GS50'!C472,IFERROR(_xludf.NUMBERVALUE('Procyfloc GS50'!C472,".",","),IFERROR(_xludf.NUMBERVALUE('Procyfloc GS50'!C472,",","."),0))))</f>
        <v/>
      </c>
      <c r="AE471" t="str">
        <f>IF(AA471="","",'Procyfloc GS50'!J472)</f>
        <v/>
      </c>
      <c r="AF471">
        <f t="shared" si="59"/>
        <v>0</v>
      </c>
      <c r="AG471" t="str">
        <f t="shared" si="60"/>
        <v/>
      </c>
      <c r="AH471" t="str">
        <f t="shared" si="61"/>
        <v/>
      </c>
      <c r="AI471">
        <f t="shared" si="62"/>
        <v>0</v>
      </c>
      <c r="AJ471">
        <f t="shared" si="63"/>
        <v>0</v>
      </c>
      <c r="AK471">
        <v>0</v>
      </c>
      <c r="AL471" t="str">
        <f>IF(AA471="","",IFERROR(IF(ISNUMBER('Procyfloc GS50'!D472),'Procyfloc GS50'!D472,IF(ISNUMBER(SEARCH("12",'Procyfloc GS50'!D472)),EDATE(AB471,12),IF(ISNUMBER(SEARCH("6",'Procyfloc GS50'!D472)),EDATE(AB471,6),IF(ISNUMBER(SEARCH("3",'Procyfloc GS50'!D472)),EDATE(AB471,3),DATEVALUE('Procyfloc GS50'!D472))))),""))</f>
        <v/>
      </c>
      <c r="AM471" t="str">
        <f t="shared" ca="1" si="64"/>
        <v/>
      </c>
    </row>
    <row r="472" spans="27:39" x14ac:dyDescent="0.3">
      <c r="AA472" t="str">
        <f>IF(COUNTA('Procyfloc GS50'!A473,'Procyfloc GS50'!B473,'Procyfloc GS50'!C473)&gt;0,"GS50","")</f>
        <v/>
      </c>
      <c r="AB472" t="str">
        <f>IFERROR(IF(ISNUMBER('Procyfloc GS50'!A473),'Procyfloc GS50'!A473,DATEVALUE('Procyfloc GS50'!A473)),"")</f>
        <v/>
      </c>
      <c r="AC472" t="str">
        <f>IF(AA472="","",'Procyfloc GS50'!B473)</f>
        <v/>
      </c>
      <c r="AD472" t="str">
        <f>IF(AA472="","",IFERROR(1*'Procyfloc GS50'!C473,IFERROR(_xludf.NUMBERVALUE('Procyfloc GS50'!C473,".",","),IFERROR(_xludf.NUMBERVALUE('Procyfloc GS50'!C473,",","."),0))))</f>
        <v/>
      </c>
      <c r="AE472" t="str">
        <f>IF(AA472="","",'Procyfloc GS50'!J473)</f>
        <v/>
      </c>
      <c r="AF472">
        <f t="shared" si="59"/>
        <v>0</v>
      </c>
      <c r="AG472" t="str">
        <f t="shared" si="60"/>
        <v/>
      </c>
      <c r="AH472" t="str">
        <f t="shared" si="61"/>
        <v/>
      </c>
      <c r="AI472">
        <f t="shared" si="62"/>
        <v>0</v>
      </c>
      <c r="AJ472">
        <f t="shared" si="63"/>
        <v>0</v>
      </c>
      <c r="AK472">
        <v>0</v>
      </c>
      <c r="AL472" t="str">
        <f>IF(AA472="","",IFERROR(IF(ISNUMBER('Procyfloc GS50'!D473),'Procyfloc GS50'!D473,IF(ISNUMBER(SEARCH("12",'Procyfloc GS50'!D473)),EDATE(AB472,12),IF(ISNUMBER(SEARCH("6",'Procyfloc GS50'!D473)),EDATE(AB472,6),IF(ISNUMBER(SEARCH("3",'Procyfloc GS50'!D473)),EDATE(AB472,3),DATEVALUE('Procyfloc GS50'!D473))))),""))</f>
        <v/>
      </c>
      <c r="AM472" t="str">
        <f t="shared" ca="1" si="64"/>
        <v/>
      </c>
    </row>
    <row r="473" spans="27:39" x14ac:dyDescent="0.3">
      <c r="AA473" t="str">
        <f>IF(COUNTA('Procyfloc GS50'!A474,'Procyfloc GS50'!B474,'Procyfloc GS50'!C474)&gt;0,"GS50","")</f>
        <v/>
      </c>
      <c r="AB473" t="str">
        <f>IFERROR(IF(ISNUMBER('Procyfloc GS50'!A474),'Procyfloc GS50'!A474,DATEVALUE('Procyfloc GS50'!A474)),"")</f>
        <v/>
      </c>
      <c r="AC473" t="str">
        <f>IF(AA473="","",'Procyfloc GS50'!B474)</f>
        <v/>
      </c>
      <c r="AD473" t="str">
        <f>IF(AA473="","",IFERROR(1*'Procyfloc GS50'!C474,IFERROR(_xludf.NUMBERVALUE('Procyfloc GS50'!C474,".",","),IFERROR(_xludf.NUMBERVALUE('Procyfloc GS50'!C474,",","."),0))))</f>
        <v/>
      </c>
      <c r="AE473" t="str">
        <f>IF(AA473="","",'Procyfloc GS50'!J474)</f>
        <v/>
      </c>
      <c r="AF473">
        <f t="shared" si="59"/>
        <v>0</v>
      </c>
      <c r="AG473" t="str">
        <f t="shared" si="60"/>
        <v/>
      </c>
      <c r="AH473" t="str">
        <f t="shared" si="61"/>
        <v/>
      </c>
      <c r="AI473">
        <f t="shared" si="62"/>
        <v>0</v>
      </c>
      <c r="AJ473">
        <f t="shared" si="63"/>
        <v>0</v>
      </c>
      <c r="AK473">
        <v>0</v>
      </c>
      <c r="AL473" t="str">
        <f>IF(AA473="","",IFERROR(IF(ISNUMBER('Procyfloc GS50'!D474),'Procyfloc GS50'!D474,IF(ISNUMBER(SEARCH("12",'Procyfloc GS50'!D474)),EDATE(AB473,12),IF(ISNUMBER(SEARCH("6",'Procyfloc GS50'!D474)),EDATE(AB473,6),IF(ISNUMBER(SEARCH("3",'Procyfloc GS50'!D474)),EDATE(AB473,3),DATEVALUE('Procyfloc GS50'!D474))))),""))</f>
        <v/>
      </c>
      <c r="AM473" t="str">
        <f t="shared" ca="1" si="64"/>
        <v/>
      </c>
    </row>
    <row r="474" spans="27:39" x14ac:dyDescent="0.3">
      <c r="AA474" t="str">
        <f>IF(COUNTA('Procyfloc GS50'!A475,'Procyfloc GS50'!B475,'Procyfloc GS50'!C475)&gt;0,"GS50","")</f>
        <v/>
      </c>
      <c r="AB474" t="str">
        <f>IFERROR(IF(ISNUMBER('Procyfloc GS50'!A475),'Procyfloc GS50'!A475,DATEVALUE('Procyfloc GS50'!A475)),"")</f>
        <v/>
      </c>
      <c r="AC474" t="str">
        <f>IF(AA474="","",'Procyfloc GS50'!B475)</f>
        <v/>
      </c>
      <c r="AD474" t="str">
        <f>IF(AA474="","",IFERROR(1*'Procyfloc GS50'!C475,IFERROR(_xludf.NUMBERVALUE('Procyfloc GS50'!C475,".",","),IFERROR(_xludf.NUMBERVALUE('Procyfloc GS50'!C475,",","."),0))))</f>
        <v/>
      </c>
      <c r="AE474" t="str">
        <f>IF(AA474="","",'Procyfloc GS50'!J475)</f>
        <v/>
      </c>
      <c r="AF474">
        <f t="shared" si="59"/>
        <v>0</v>
      </c>
      <c r="AG474" t="str">
        <f t="shared" si="60"/>
        <v/>
      </c>
      <c r="AH474" t="str">
        <f t="shared" si="61"/>
        <v/>
      </c>
      <c r="AI474">
        <f t="shared" si="62"/>
        <v>0</v>
      </c>
      <c r="AJ474">
        <f t="shared" si="63"/>
        <v>0</v>
      </c>
      <c r="AK474">
        <v>0</v>
      </c>
      <c r="AL474" t="str">
        <f>IF(AA474="","",IFERROR(IF(ISNUMBER('Procyfloc GS50'!D475),'Procyfloc GS50'!D475,IF(ISNUMBER(SEARCH("12",'Procyfloc GS50'!D475)),EDATE(AB474,12),IF(ISNUMBER(SEARCH("6",'Procyfloc GS50'!D475)),EDATE(AB474,6),IF(ISNUMBER(SEARCH("3",'Procyfloc GS50'!D475)),EDATE(AB474,3),DATEVALUE('Procyfloc GS50'!D475))))),""))</f>
        <v/>
      </c>
      <c r="AM474" t="str">
        <f t="shared" ca="1" si="64"/>
        <v/>
      </c>
    </row>
    <row r="475" spans="27:39" x14ac:dyDescent="0.3">
      <c r="AA475" t="str">
        <f>IF(COUNTA('Procyfloc GS50'!A476,'Procyfloc GS50'!B476,'Procyfloc GS50'!C476)&gt;0,"GS50","")</f>
        <v/>
      </c>
      <c r="AB475" t="str">
        <f>IFERROR(IF(ISNUMBER('Procyfloc GS50'!A476),'Procyfloc GS50'!A476,DATEVALUE('Procyfloc GS50'!A476)),"")</f>
        <v/>
      </c>
      <c r="AC475" t="str">
        <f>IF(AA475="","",'Procyfloc GS50'!B476)</f>
        <v/>
      </c>
      <c r="AD475" t="str">
        <f>IF(AA475="","",IFERROR(1*'Procyfloc GS50'!C476,IFERROR(_xludf.NUMBERVALUE('Procyfloc GS50'!C476,".",","),IFERROR(_xludf.NUMBERVALUE('Procyfloc GS50'!C476,",","."),0))))</f>
        <v/>
      </c>
      <c r="AE475" t="str">
        <f>IF(AA475="","",'Procyfloc GS50'!J476)</f>
        <v/>
      </c>
      <c r="AF475">
        <f t="shared" si="59"/>
        <v>0</v>
      </c>
      <c r="AG475" t="str">
        <f t="shared" si="60"/>
        <v/>
      </c>
      <c r="AH475" t="str">
        <f t="shared" si="61"/>
        <v/>
      </c>
      <c r="AI475">
        <f t="shared" si="62"/>
        <v>0</v>
      </c>
      <c r="AJ475">
        <f t="shared" si="63"/>
        <v>0</v>
      </c>
      <c r="AK475">
        <v>0</v>
      </c>
      <c r="AL475" t="str">
        <f>IF(AA475="","",IFERROR(IF(ISNUMBER('Procyfloc GS50'!D476),'Procyfloc GS50'!D476,IF(ISNUMBER(SEARCH("12",'Procyfloc GS50'!D476)),EDATE(AB475,12),IF(ISNUMBER(SEARCH("6",'Procyfloc GS50'!D476)),EDATE(AB475,6),IF(ISNUMBER(SEARCH("3",'Procyfloc GS50'!D476)),EDATE(AB475,3),DATEVALUE('Procyfloc GS50'!D476))))),""))</f>
        <v/>
      </c>
      <c r="AM475" t="str">
        <f t="shared" ca="1" si="64"/>
        <v/>
      </c>
    </row>
    <row r="476" spans="27:39" x14ac:dyDescent="0.3">
      <c r="AA476" t="str">
        <f>IF(COUNTA('Procyfloc GS50'!A477,'Procyfloc GS50'!B477,'Procyfloc GS50'!C477)&gt;0,"GS50","")</f>
        <v/>
      </c>
      <c r="AB476" t="str">
        <f>IFERROR(IF(ISNUMBER('Procyfloc GS50'!A477),'Procyfloc GS50'!A477,DATEVALUE('Procyfloc GS50'!A477)),"")</f>
        <v/>
      </c>
      <c r="AC476" t="str">
        <f>IF(AA476="","",'Procyfloc GS50'!B477)</f>
        <v/>
      </c>
      <c r="AD476" t="str">
        <f>IF(AA476="","",IFERROR(1*'Procyfloc GS50'!C477,IFERROR(_xludf.NUMBERVALUE('Procyfloc GS50'!C477,".",","),IFERROR(_xludf.NUMBERVALUE('Procyfloc GS50'!C477,",","."),0))))</f>
        <v/>
      </c>
      <c r="AE476" t="str">
        <f>IF(AA476="","",'Procyfloc GS50'!J477)</f>
        <v/>
      </c>
      <c r="AF476">
        <f t="shared" si="59"/>
        <v>0</v>
      </c>
      <c r="AG476" t="str">
        <f t="shared" si="60"/>
        <v/>
      </c>
      <c r="AH476" t="str">
        <f t="shared" si="61"/>
        <v/>
      </c>
      <c r="AI476">
        <f t="shared" si="62"/>
        <v>0</v>
      </c>
      <c r="AJ476">
        <f t="shared" si="63"/>
        <v>0</v>
      </c>
      <c r="AK476">
        <v>0</v>
      </c>
      <c r="AL476" t="str">
        <f>IF(AA476="","",IFERROR(IF(ISNUMBER('Procyfloc GS50'!D477),'Procyfloc GS50'!D477,IF(ISNUMBER(SEARCH("12",'Procyfloc GS50'!D477)),EDATE(AB476,12),IF(ISNUMBER(SEARCH("6",'Procyfloc GS50'!D477)),EDATE(AB476,6),IF(ISNUMBER(SEARCH("3",'Procyfloc GS50'!D477)),EDATE(AB476,3),DATEVALUE('Procyfloc GS50'!D477))))),""))</f>
        <v/>
      </c>
      <c r="AM476" t="str">
        <f t="shared" ca="1" si="64"/>
        <v/>
      </c>
    </row>
    <row r="477" spans="27:39" x14ac:dyDescent="0.3">
      <c r="AA477" t="str">
        <f>IF(COUNTA('Procyfloc GS50'!A478,'Procyfloc GS50'!B478,'Procyfloc GS50'!C478)&gt;0,"GS50","")</f>
        <v/>
      </c>
      <c r="AB477" t="str">
        <f>IFERROR(IF(ISNUMBER('Procyfloc GS50'!A478),'Procyfloc GS50'!A478,DATEVALUE('Procyfloc GS50'!A478)),"")</f>
        <v/>
      </c>
      <c r="AC477" t="str">
        <f>IF(AA477="","",'Procyfloc GS50'!B478)</f>
        <v/>
      </c>
      <c r="AD477" t="str">
        <f>IF(AA477="","",IFERROR(1*'Procyfloc GS50'!C478,IFERROR(_xludf.NUMBERVALUE('Procyfloc GS50'!C478,".",","),IFERROR(_xludf.NUMBERVALUE('Procyfloc GS50'!C478,",","."),0))))</f>
        <v/>
      </c>
      <c r="AE477" t="str">
        <f>IF(AA477="","",'Procyfloc GS50'!J478)</f>
        <v/>
      </c>
      <c r="AF477">
        <f t="shared" si="59"/>
        <v>0</v>
      </c>
      <c r="AG477" t="str">
        <f t="shared" si="60"/>
        <v/>
      </c>
      <c r="AH477" t="str">
        <f t="shared" si="61"/>
        <v/>
      </c>
      <c r="AI477">
        <f t="shared" si="62"/>
        <v>0</v>
      </c>
      <c r="AJ477">
        <f t="shared" si="63"/>
        <v>0</v>
      </c>
      <c r="AK477">
        <v>0</v>
      </c>
      <c r="AL477" t="str">
        <f>IF(AA477="","",IFERROR(IF(ISNUMBER('Procyfloc GS50'!D478),'Procyfloc GS50'!D478,IF(ISNUMBER(SEARCH("12",'Procyfloc GS50'!D478)),EDATE(AB477,12),IF(ISNUMBER(SEARCH("6",'Procyfloc GS50'!D478)),EDATE(AB477,6),IF(ISNUMBER(SEARCH("3",'Procyfloc GS50'!D478)),EDATE(AB477,3),DATEVALUE('Procyfloc GS50'!D478))))),""))</f>
        <v/>
      </c>
      <c r="AM477" t="str">
        <f t="shared" ca="1" si="64"/>
        <v/>
      </c>
    </row>
    <row r="478" spans="27:39" x14ac:dyDescent="0.3">
      <c r="AA478" t="str">
        <f>IF(COUNTA('Procyfloc GS50'!A479,'Procyfloc GS50'!B479,'Procyfloc GS50'!C479)&gt;0,"GS50","")</f>
        <v/>
      </c>
      <c r="AB478" t="str">
        <f>IFERROR(IF(ISNUMBER('Procyfloc GS50'!A479),'Procyfloc GS50'!A479,DATEVALUE('Procyfloc GS50'!A479)),"")</f>
        <v/>
      </c>
      <c r="AC478" t="str">
        <f>IF(AA478="","",'Procyfloc GS50'!B479)</f>
        <v/>
      </c>
      <c r="AD478" t="str">
        <f>IF(AA478="","",IFERROR(1*'Procyfloc GS50'!C479,IFERROR(_xludf.NUMBERVALUE('Procyfloc GS50'!C479,".",","),IFERROR(_xludf.NUMBERVALUE('Procyfloc GS50'!C479,",","."),0))))</f>
        <v/>
      </c>
      <c r="AE478" t="str">
        <f>IF(AA478="","",'Procyfloc GS50'!J479)</f>
        <v/>
      </c>
      <c r="AF478">
        <f t="shared" si="59"/>
        <v>0</v>
      </c>
      <c r="AG478" t="str">
        <f t="shared" si="60"/>
        <v/>
      </c>
      <c r="AH478" t="str">
        <f t="shared" si="61"/>
        <v/>
      </c>
      <c r="AI478">
        <f t="shared" si="62"/>
        <v>0</v>
      </c>
      <c r="AJ478">
        <f t="shared" si="63"/>
        <v>0</v>
      </c>
      <c r="AK478">
        <v>0</v>
      </c>
      <c r="AL478" t="str">
        <f>IF(AA478="","",IFERROR(IF(ISNUMBER('Procyfloc GS50'!D479),'Procyfloc GS50'!D479,IF(ISNUMBER(SEARCH("12",'Procyfloc GS50'!D479)),EDATE(AB478,12),IF(ISNUMBER(SEARCH("6",'Procyfloc GS50'!D479)),EDATE(AB478,6),IF(ISNUMBER(SEARCH("3",'Procyfloc GS50'!D479)),EDATE(AB478,3),DATEVALUE('Procyfloc GS50'!D479))))),""))</f>
        <v/>
      </c>
      <c r="AM478" t="str">
        <f t="shared" ca="1" si="64"/>
        <v/>
      </c>
    </row>
    <row r="479" spans="27:39" x14ac:dyDescent="0.3">
      <c r="AA479" t="str">
        <f>IF(COUNTA('Procyfloc GS50'!A480,'Procyfloc GS50'!B480,'Procyfloc GS50'!C480)&gt;0,"GS50","")</f>
        <v/>
      </c>
      <c r="AB479" t="str">
        <f>IFERROR(IF(ISNUMBER('Procyfloc GS50'!A480),'Procyfloc GS50'!A480,DATEVALUE('Procyfloc GS50'!A480)),"")</f>
        <v/>
      </c>
      <c r="AC479" t="str">
        <f>IF(AA479="","",'Procyfloc GS50'!B480)</f>
        <v/>
      </c>
      <c r="AD479" t="str">
        <f>IF(AA479="","",IFERROR(1*'Procyfloc GS50'!C480,IFERROR(_xludf.NUMBERVALUE('Procyfloc GS50'!C480,".",","),IFERROR(_xludf.NUMBERVALUE('Procyfloc GS50'!C480,",","."),0))))</f>
        <v/>
      </c>
      <c r="AE479" t="str">
        <f>IF(AA479="","",'Procyfloc GS50'!J480)</f>
        <v/>
      </c>
      <c r="AF479">
        <f t="shared" si="59"/>
        <v>0</v>
      </c>
      <c r="AG479" t="str">
        <f t="shared" si="60"/>
        <v/>
      </c>
      <c r="AH479" t="str">
        <f t="shared" si="61"/>
        <v/>
      </c>
      <c r="AI479">
        <f t="shared" si="62"/>
        <v>0</v>
      </c>
      <c r="AJ479">
        <f t="shared" si="63"/>
        <v>0</v>
      </c>
      <c r="AK479">
        <v>0</v>
      </c>
      <c r="AL479" t="str">
        <f>IF(AA479="","",IFERROR(IF(ISNUMBER('Procyfloc GS50'!D480),'Procyfloc GS50'!D480,IF(ISNUMBER(SEARCH("12",'Procyfloc GS50'!D480)),EDATE(AB479,12),IF(ISNUMBER(SEARCH("6",'Procyfloc GS50'!D480)),EDATE(AB479,6),IF(ISNUMBER(SEARCH("3",'Procyfloc GS50'!D480)),EDATE(AB479,3),DATEVALUE('Procyfloc GS50'!D480))))),""))</f>
        <v/>
      </c>
      <c r="AM479" t="str">
        <f t="shared" ca="1" si="64"/>
        <v/>
      </c>
    </row>
    <row r="480" spans="27:39" x14ac:dyDescent="0.3">
      <c r="AA480" t="str">
        <f>IF(COUNTA('Procyfloc GS50'!A481,'Procyfloc GS50'!B481,'Procyfloc GS50'!C481)&gt;0,"GS50","")</f>
        <v/>
      </c>
      <c r="AB480" t="str">
        <f>IFERROR(IF(ISNUMBER('Procyfloc GS50'!A481),'Procyfloc GS50'!A481,DATEVALUE('Procyfloc GS50'!A481)),"")</f>
        <v/>
      </c>
      <c r="AC480" t="str">
        <f>IF(AA480="","",'Procyfloc GS50'!B481)</f>
        <v/>
      </c>
      <c r="AD480" t="str">
        <f>IF(AA480="","",IFERROR(1*'Procyfloc GS50'!C481,IFERROR(_xludf.NUMBERVALUE('Procyfloc GS50'!C481,".",","),IFERROR(_xludf.NUMBERVALUE('Procyfloc GS50'!C481,",","."),0))))</f>
        <v/>
      </c>
      <c r="AE480" t="str">
        <f>IF(AA480="","",'Procyfloc GS50'!J481)</f>
        <v/>
      </c>
      <c r="AF480">
        <f t="shared" si="59"/>
        <v>0</v>
      </c>
      <c r="AG480" t="str">
        <f t="shared" si="60"/>
        <v/>
      </c>
      <c r="AH480" t="str">
        <f t="shared" si="61"/>
        <v/>
      </c>
      <c r="AI480">
        <f t="shared" si="62"/>
        <v>0</v>
      </c>
      <c r="AJ480">
        <f t="shared" si="63"/>
        <v>0</v>
      </c>
      <c r="AK480">
        <v>0</v>
      </c>
      <c r="AL480" t="str">
        <f>IF(AA480="","",IFERROR(IF(ISNUMBER('Procyfloc GS50'!D481),'Procyfloc GS50'!D481,IF(ISNUMBER(SEARCH("12",'Procyfloc GS50'!D481)),EDATE(AB480,12),IF(ISNUMBER(SEARCH("6",'Procyfloc GS50'!D481)),EDATE(AB480,6),IF(ISNUMBER(SEARCH("3",'Procyfloc GS50'!D481)),EDATE(AB480,3),DATEVALUE('Procyfloc GS50'!D481))))),""))</f>
        <v/>
      </c>
      <c r="AM480" t="str">
        <f t="shared" ca="1" si="64"/>
        <v/>
      </c>
    </row>
    <row r="481" spans="27:39" x14ac:dyDescent="0.3">
      <c r="AA481" t="str">
        <f>IF(COUNTA('Procyfloc GS50'!A482,'Procyfloc GS50'!B482,'Procyfloc GS50'!C482)&gt;0,"GS50","")</f>
        <v/>
      </c>
      <c r="AB481" t="str">
        <f>IFERROR(IF(ISNUMBER('Procyfloc GS50'!A482),'Procyfloc GS50'!A482,DATEVALUE('Procyfloc GS50'!A482)),"")</f>
        <v/>
      </c>
      <c r="AC481" t="str">
        <f>IF(AA481="","",'Procyfloc GS50'!B482)</f>
        <v/>
      </c>
      <c r="AD481" t="str">
        <f>IF(AA481="","",IFERROR(1*'Procyfloc GS50'!C482,IFERROR(_xludf.NUMBERVALUE('Procyfloc GS50'!C482,".",","),IFERROR(_xludf.NUMBERVALUE('Procyfloc GS50'!C482,",","."),0))))</f>
        <v/>
      </c>
      <c r="AE481" t="str">
        <f>IF(AA481="","",'Procyfloc GS50'!J482)</f>
        <v/>
      </c>
      <c r="AF481">
        <f t="shared" si="59"/>
        <v>0</v>
      </c>
      <c r="AG481" t="str">
        <f t="shared" si="60"/>
        <v/>
      </c>
      <c r="AH481" t="str">
        <f t="shared" si="61"/>
        <v/>
      </c>
      <c r="AI481">
        <f t="shared" si="62"/>
        <v>0</v>
      </c>
      <c r="AJ481">
        <f t="shared" si="63"/>
        <v>0</v>
      </c>
      <c r="AK481">
        <v>0</v>
      </c>
      <c r="AL481" t="str">
        <f>IF(AA481="","",IFERROR(IF(ISNUMBER('Procyfloc GS50'!D482),'Procyfloc GS50'!D482,IF(ISNUMBER(SEARCH("12",'Procyfloc GS50'!D482)),EDATE(AB481,12),IF(ISNUMBER(SEARCH("6",'Procyfloc GS50'!D482)),EDATE(AB481,6),IF(ISNUMBER(SEARCH("3",'Procyfloc GS50'!D482)),EDATE(AB481,3),DATEVALUE('Procyfloc GS50'!D482))))),""))</f>
        <v/>
      </c>
      <c r="AM481" t="str">
        <f t="shared" ca="1" si="64"/>
        <v/>
      </c>
    </row>
    <row r="482" spans="27:39" x14ac:dyDescent="0.3">
      <c r="AA482" t="str">
        <f>IF(COUNTA('Procyfloc GS50'!A483,'Procyfloc GS50'!B483,'Procyfloc GS50'!C483)&gt;0,"GS50","")</f>
        <v/>
      </c>
      <c r="AB482" t="str">
        <f>IFERROR(IF(ISNUMBER('Procyfloc GS50'!A483),'Procyfloc GS50'!A483,DATEVALUE('Procyfloc GS50'!A483)),"")</f>
        <v/>
      </c>
      <c r="AC482" t="str">
        <f>IF(AA482="","",'Procyfloc GS50'!B483)</f>
        <v/>
      </c>
      <c r="AD482" t="str">
        <f>IF(AA482="","",IFERROR(1*'Procyfloc GS50'!C483,IFERROR(_xludf.NUMBERVALUE('Procyfloc GS50'!C483,".",","),IFERROR(_xludf.NUMBERVALUE('Procyfloc GS50'!C483,",","."),0))))</f>
        <v/>
      </c>
      <c r="AE482" t="str">
        <f>IF(AA482="","",'Procyfloc GS50'!J483)</f>
        <v/>
      </c>
      <c r="AF482">
        <f t="shared" si="59"/>
        <v>0</v>
      </c>
      <c r="AG482" t="str">
        <f t="shared" si="60"/>
        <v/>
      </c>
      <c r="AH482" t="str">
        <f t="shared" si="61"/>
        <v/>
      </c>
      <c r="AI482">
        <f t="shared" si="62"/>
        <v>0</v>
      </c>
      <c r="AJ482">
        <f t="shared" si="63"/>
        <v>0</v>
      </c>
      <c r="AK482">
        <v>0</v>
      </c>
      <c r="AL482" t="str">
        <f>IF(AA482="","",IFERROR(IF(ISNUMBER('Procyfloc GS50'!D483),'Procyfloc GS50'!D483,IF(ISNUMBER(SEARCH("12",'Procyfloc GS50'!D483)),EDATE(AB482,12),IF(ISNUMBER(SEARCH("6",'Procyfloc GS50'!D483)),EDATE(AB482,6),IF(ISNUMBER(SEARCH("3",'Procyfloc GS50'!D483)),EDATE(AB482,3),DATEVALUE('Procyfloc GS50'!D483))))),""))</f>
        <v/>
      </c>
      <c r="AM482" t="str">
        <f t="shared" ca="1" si="64"/>
        <v/>
      </c>
    </row>
    <row r="483" spans="27:39" x14ac:dyDescent="0.3">
      <c r="AA483" t="str">
        <f>IF(COUNTA('Procyfloc GS50'!A484,'Procyfloc GS50'!B484,'Procyfloc GS50'!C484)&gt;0,"GS50","")</f>
        <v/>
      </c>
      <c r="AB483" t="str">
        <f>IFERROR(IF(ISNUMBER('Procyfloc GS50'!A484),'Procyfloc GS50'!A484,DATEVALUE('Procyfloc GS50'!A484)),"")</f>
        <v/>
      </c>
      <c r="AC483" t="str">
        <f>IF(AA483="","",'Procyfloc GS50'!B484)</f>
        <v/>
      </c>
      <c r="AD483" t="str">
        <f>IF(AA483="","",IFERROR(1*'Procyfloc GS50'!C484,IFERROR(_xludf.NUMBERVALUE('Procyfloc GS50'!C484,".",","),IFERROR(_xludf.NUMBERVALUE('Procyfloc GS50'!C484,",","."),0))))</f>
        <v/>
      </c>
      <c r="AE483" t="str">
        <f>IF(AA483="","",'Procyfloc GS50'!J484)</f>
        <v/>
      </c>
      <c r="AF483">
        <f t="shared" si="59"/>
        <v>0</v>
      </c>
      <c r="AG483" t="str">
        <f t="shared" si="60"/>
        <v/>
      </c>
      <c r="AH483" t="str">
        <f t="shared" si="61"/>
        <v/>
      </c>
      <c r="AI483">
        <f t="shared" si="62"/>
        <v>0</v>
      </c>
      <c r="AJ483">
        <f t="shared" si="63"/>
        <v>0</v>
      </c>
      <c r="AK483">
        <v>0</v>
      </c>
      <c r="AL483" t="str">
        <f>IF(AA483="","",IFERROR(IF(ISNUMBER('Procyfloc GS50'!D484),'Procyfloc GS50'!D484,IF(ISNUMBER(SEARCH("12",'Procyfloc GS50'!D484)),EDATE(AB483,12),IF(ISNUMBER(SEARCH("6",'Procyfloc GS50'!D484)),EDATE(AB483,6),IF(ISNUMBER(SEARCH("3",'Procyfloc GS50'!D484)),EDATE(AB483,3),DATEVALUE('Procyfloc GS50'!D484))))),""))</f>
        <v/>
      </c>
      <c r="AM483" t="str">
        <f t="shared" ca="1" si="64"/>
        <v/>
      </c>
    </row>
    <row r="484" spans="27:39" x14ac:dyDescent="0.3">
      <c r="AA484" t="str">
        <f>IF(COUNTA('Procyfloc GS50'!A485,'Procyfloc GS50'!B485,'Procyfloc GS50'!C485)&gt;0,"GS50","")</f>
        <v/>
      </c>
      <c r="AB484" t="str">
        <f>IFERROR(IF(ISNUMBER('Procyfloc GS50'!A485),'Procyfloc GS50'!A485,DATEVALUE('Procyfloc GS50'!A485)),"")</f>
        <v/>
      </c>
      <c r="AC484" t="str">
        <f>IF(AA484="","",'Procyfloc GS50'!B485)</f>
        <v/>
      </c>
      <c r="AD484" t="str">
        <f>IF(AA484="","",IFERROR(1*'Procyfloc GS50'!C485,IFERROR(_xludf.NUMBERVALUE('Procyfloc GS50'!C485,".",","),IFERROR(_xludf.NUMBERVALUE('Procyfloc GS50'!C485,",","."),0))))</f>
        <v/>
      </c>
      <c r="AE484" t="str">
        <f>IF(AA484="","",'Procyfloc GS50'!J485)</f>
        <v/>
      </c>
      <c r="AF484">
        <f t="shared" si="59"/>
        <v>0</v>
      </c>
      <c r="AG484" t="str">
        <f t="shared" si="60"/>
        <v/>
      </c>
      <c r="AH484" t="str">
        <f t="shared" si="61"/>
        <v/>
      </c>
      <c r="AI484">
        <f t="shared" si="62"/>
        <v>0</v>
      </c>
      <c r="AJ484">
        <f t="shared" si="63"/>
        <v>0</v>
      </c>
      <c r="AK484">
        <v>0</v>
      </c>
      <c r="AL484" t="str">
        <f>IF(AA484="","",IFERROR(IF(ISNUMBER('Procyfloc GS50'!D485),'Procyfloc GS50'!D485,IF(ISNUMBER(SEARCH("12",'Procyfloc GS50'!D485)),EDATE(AB484,12),IF(ISNUMBER(SEARCH("6",'Procyfloc GS50'!D485)),EDATE(AB484,6),IF(ISNUMBER(SEARCH("3",'Procyfloc GS50'!D485)),EDATE(AB484,3),DATEVALUE('Procyfloc GS50'!D485))))),""))</f>
        <v/>
      </c>
      <c r="AM484" t="str">
        <f t="shared" ca="1" si="64"/>
        <v/>
      </c>
    </row>
    <row r="485" spans="27:39" x14ac:dyDescent="0.3">
      <c r="AA485" t="str">
        <f>IF(COUNTA('Procyfloc GS50'!A486,'Procyfloc GS50'!B486,'Procyfloc GS50'!C486)&gt;0,"GS50","")</f>
        <v/>
      </c>
      <c r="AB485" t="str">
        <f>IFERROR(IF(ISNUMBER('Procyfloc GS50'!A486),'Procyfloc GS50'!A486,DATEVALUE('Procyfloc GS50'!A486)),"")</f>
        <v/>
      </c>
      <c r="AC485" t="str">
        <f>IF(AA485="","",'Procyfloc GS50'!B486)</f>
        <v/>
      </c>
      <c r="AD485" t="str">
        <f>IF(AA485="","",IFERROR(1*'Procyfloc GS50'!C486,IFERROR(_xludf.NUMBERVALUE('Procyfloc GS50'!C486,".",","),IFERROR(_xludf.NUMBERVALUE('Procyfloc GS50'!C486,",","."),0))))</f>
        <v/>
      </c>
      <c r="AE485" t="str">
        <f>IF(AA485="","",'Procyfloc GS50'!J486)</f>
        <v/>
      </c>
      <c r="AF485">
        <f t="shared" si="59"/>
        <v>0</v>
      </c>
      <c r="AG485" t="str">
        <f t="shared" si="60"/>
        <v/>
      </c>
      <c r="AH485" t="str">
        <f t="shared" si="61"/>
        <v/>
      </c>
      <c r="AI485">
        <f t="shared" si="62"/>
        <v>0</v>
      </c>
      <c r="AJ485">
        <f t="shared" si="63"/>
        <v>0</v>
      </c>
      <c r="AK485">
        <v>0</v>
      </c>
      <c r="AL485" t="str">
        <f>IF(AA485="","",IFERROR(IF(ISNUMBER('Procyfloc GS50'!D486),'Procyfloc GS50'!D486,IF(ISNUMBER(SEARCH("12",'Procyfloc GS50'!D486)),EDATE(AB485,12),IF(ISNUMBER(SEARCH("6",'Procyfloc GS50'!D486)),EDATE(AB485,6),IF(ISNUMBER(SEARCH("3",'Procyfloc GS50'!D486)),EDATE(AB485,3),DATEVALUE('Procyfloc GS50'!D486))))),""))</f>
        <v/>
      </c>
      <c r="AM485" t="str">
        <f t="shared" ca="1" si="64"/>
        <v/>
      </c>
    </row>
    <row r="486" spans="27:39" x14ac:dyDescent="0.3">
      <c r="AA486" t="str">
        <f>IF(COUNTA('Procyfloc GS50'!A487,'Procyfloc GS50'!B487,'Procyfloc GS50'!C487)&gt;0,"GS50","")</f>
        <v/>
      </c>
      <c r="AB486" t="str">
        <f>IFERROR(IF(ISNUMBER('Procyfloc GS50'!A487),'Procyfloc GS50'!A487,DATEVALUE('Procyfloc GS50'!A487)),"")</f>
        <v/>
      </c>
      <c r="AC486" t="str">
        <f>IF(AA486="","",'Procyfloc GS50'!B487)</f>
        <v/>
      </c>
      <c r="AD486" t="str">
        <f>IF(AA486="","",IFERROR(1*'Procyfloc GS50'!C487,IFERROR(_xludf.NUMBERVALUE('Procyfloc GS50'!C487,".",","),IFERROR(_xludf.NUMBERVALUE('Procyfloc GS50'!C487,",","."),0))))</f>
        <v/>
      </c>
      <c r="AE486" t="str">
        <f>IF(AA486="","",'Procyfloc GS50'!J487)</f>
        <v/>
      </c>
      <c r="AF486">
        <f t="shared" si="59"/>
        <v>0</v>
      </c>
      <c r="AG486" t="str">
        <f t="shared" si="60"/>
        <v/>
      </c>
      <c r="AH486" t="str">
        <f t="shared" si="61"/>
        <v/>
      </c>
      <c r="AI486">
        <f t="shared" si="62"/>
        <v>0</v>
      </c>
      <c r="AJ486">
        <f t="shared" si="63"/>
        <v>0</v>
      </c>
      <c r="AK486">
        <v>0</v>
      </c>
      <c r="AL486" t="str">
        <f>IF(AA486="","",IFERROR(IF(ISNUMBER('Procyfloc GS50'!D487),'Procyfloc GS50'!D487,IF(ISNUMBER(SEARCH("12",'Procyfloc GS50'!D487)),EDATE(AB486,12),IF(ISNUMBER(SEARCH("6",'Procyfloc GS50'!D487)),EDATE(AB486,6),IF(ISNUMBER(SEARCH("3",'Procyfloc GS50'!D487)),EDATE(AB486,3),DATEVALUE('Procyfloc GS50'!D487))))),""))</f>
        <v/>
      </c>
      <c r="AM486" t="str">
        <f t="shared" ca="1" si="64"/>
        <v/>
      </c>
    </row>
    <row r="487" spans="27:39" x14ac:dyDescent="0.3">
      <c r="AA487" t="str">
        <f>IF(COUNTA('Procyfloc GS50'!A488,'Procyfloc GS50'!B488,'Procyfloc GS50'!C488)&gt;0,"GS50","")</f>
        <v/>
      </c>
      <c r="AB487" t="str">
        <f>IFERROR(IF(ISNUMBER('Procyfloc GS50'!A488),'Procyfloc GS50'!A488,DATEVALUE('Procyfloc GS50'!A488)),"")</f>
        <v/>
      </c>
      <c r="AC487" t="str">
        <f>IF(AA487="","",'Procyfloc GS50'!B488)</f>
        <v/>
      </c>
      <c r="AD487" t="str">
        <f>IF(AA487="","",IFERROR(1*'Procyfloc GS50'!C488,IFERROR(_xludf.NUMBERVALUE('Procyfloc GS50'!C488,".",","),IFERROR(_xludf.NUMBERVALUE('Procyfloc GS50'!C488,",","."),0))))</f>
        <v/>
      </c>
      <c r="AE487" t="str">
        <f>IF(AA487="","",'Procyfloc GS50'!J488)</f>
        <v/>
      </c>
      <c r="AF487">
        <f t="shared" si="59"/>
        <v>0</v>
      </c>
      <c r="AG487" t="str">
        <f t="shared" si="60"/>
        <v/>
      </c>
      <c r="AH487" t="str">
        <f t="shared" si="61"/>
        <v/>
      </c>
      <c r="AI487">
        <f t="shared" si="62"/>
        <v>0</v>
      </c>
      <c r="AJ487">
        <f t="shared" si="63"/>
        <v>0</v>
      </c>
      <c r="AK487">
        <v>0</v>
      </c>
      <c r="AL487" t="str">
        <f>IF(AA487="","",IFERROR(IF(ISNUMBER('Procyfloc GS50'!D488),'Procyfloc GS50'!D488,IF(ISNUMBER(SEARCH("12",'Procyfloc GS50'!D488)),EDATE(AB487,12),IF(ISNUMBER(SEARCH("6",'Procyfloc GS50'!D488)),EDATE(AB487,6),IF(ISNUMBER(SEARCH("3",'Procyfloc GS50'!D488)),EDATE(AB487,3),DATEVALUE('Procyfloc GS50'!D488))))),""))</f>
        <v/>
      </c>
      <c r="AM487" t="str">
        <f t="shared" ca="1" si="64"/>
        <v/>
      </c>
    </row>
    <row r="488" spans="27:39" x14ac:dyDescent="0.3">
      <c r="AA488" t="str">
        <f>IF(COUNTA('Procyfloc GS50'!A489,'Procyfloc GS50'!B489,'Procyfloc GS50'!C489)&gt;0,"GS50","")</f>
        <v/>
      </c>
      <c r="AB488" t="str">
        <f>IFERROR(IF(ISNUMBER('Procyfloc GS50'!A489),'Procyfloc GS50'!A489,DATEVALUE('Procyfloc GS50'!A489)),"")</f>
        <v/>
      </c>
      <c r="AC488" t="str">
        <f>IF(AA488="","",'Procyfloc GS50'!B489)</f>
        <v/>
      </c>
      <c r="AD488" t="str">
        <f>IF(AA488="","",IFERROR(1*'Procyfloc GS50'!C489,IFERROR(_xludf.NUMBERVALUE('Procyfloc GS50'!C489,".",","),IFERROR(_xludf.NUMBERVALUE('Procyfloc GS50'!C489,",","."),0))))</f>
        <v/>
      </c>
      <c r="AE488" t="str">
        <f>IF(AA488="","",'Procyfloc GS50'!J489)</f>
        <v/>
      </c>
      <c r="AF488">
        <f t="shared" si="59"/>
        <v>0</v>
      </c>
      <c r="AG488" t="str">
        <f t="shared" si="60"/>
        <v/>
      </c>
      <c r="AH488" t="str">
        <f t="shared" si="61"/>
        <v/>
      </c>
      <c r="AI488">
        <f t="shared" si="62"/>
        <v>0</v>
      </c>
      <c r="AJ488">
        <f t="shared" si="63"/>
        <v>0</v>
      </c>
      <c r="AK488">
        <v>0</v>
      </c>
      <c r="AL488" t="str">
        <f>IF(AA488="","",IFERROR(IF(ISNUMBER('Procyfloc GS50'!D489),'Procyfloc GS50'!D489,IF(ISNUMBER(SEARCH("12",'Procyfloc GS50'!D489)),EDATE(AB488,12),IF(ISNUMBER(SEARCH("6",'Procyfloc GS50'!D489)),EDATE(AB488,6),IF(ISNUMBER(SEARCH("3",'Procyfloc GS50'!D489)),EDATE(AB488,3),DATEVALUE('Procyfloc GS50'!D489))))),""))</f>
        <v/>
      </c>
      <c r="AM488" t="str">
        <f t="shared" ca="1" si="64"/>
        <v/>
      </c>
    </row>
    <row r="489" spans="27:39" x14ac:dyDescent="0.3">
      <c r="AA489" t="str">
        <f>IF(COUNTA('Procyfloc GS50'!A490,'Procyfloc GS50'!B490,'Procyfloc GS50'!C490)&gt;0,"GS50","")</f>
        <v/>
      </c>
      <c r="AB489" t="str">
        <f>IFERROR(IF(ISNUMBER('Procyfloc GS50'!A490),'Procyfloc GS50'!A490,DATEVALUE('Procyfloc GS50'!A490)),"")</f>
        <v/>
      </c>
      <c r="AC489" t="str">
        <f>IF(AA489="","",'Procyfloc GS50'!B490)</f>
        <v/>
      </c>
      <c r="AD489" t="str">
        <f>IF(AA489="","",IFERROR(1*'Procyfloc GS50'!C490,IFERROR(_xludf.NUMBERVALUE('Procyfloc GS50'!C490,".",","),IFERROR(_xludf.NUMBERVALUE('Procyfloc GS50'!C490,",","."),0))))</f>
        <v/>
      </c>
      <c r="AE489" t="str">
        <f>IF(AA489="","",'Procyfloc GS50'!J490)</f>
        <v/>
      </c>
      <c r="AF489">
        <f t="shared" si="59"/>
        <v>0</v>
      </c>
      <c r="AG489" t="str">
        <f t="shared" si="60"/>
        <v/>
      </c>
      <c r="AH489" t="str">
        <f t="shared" si="61"/>
        <v/>
      </c>
      <c r="AI489">
        <f t="shared" si="62"/>
        <v>0</v>
      </c>
      <c r="AJ489">
        <f t="shared" si="63"/>
        <v>0</v>
      </c>
      <c r="AK489">
        <v>0</v>
      </c>
      <c r="AL489" t="str">
        <f>IF(AA489="","",IFERROR(IF(ISNUMBER('Procyfloc GS50'!D490),'Procyfloc GS50'!D490,IF(ISNUMBER(SEARCH("12",'Procyfloc GS50'!D490)),EDATE(AB489,12),IF(ISNUMBER(SEARCH("6",'Procyfloc GS50'!D490)),EDATE(AB489,6),IF(ISNUMBER(SEARCH("3",'Procyfloc GS50'!D490)),EDATE(AB489,3),DATEVALUE('Procyfloc GS50'!D490))))),""))</f>
        <v/>
      </c>
      <c r="AM489" t="str">
        <f t="shared" ca="1" si="64"/>
        <v/>
      </c>
    </row>
    <row r="490" spans="27:39" x14ac:dyDescent="0.3">
      <c r="AA490" t="str">
        <f>IF(COUNTA('Procyfloc GS50'!A491,'Procyfloc GS50'!B491,'Procyfloc GS50'!C491)&gt;0,"GS50","")</f>
        <v/>
      </c>
      <c r="AB490" t="str">
        <f>IFERROR(IF(ISNUMBER('Procyfloc GS50'!A491),'Procyfloc GS50'!A491,DATEVALUE('Procyfloc GS50'!A491)),"")</f>
        <v/>
      </c>
      <c r="AC490" t="str">
        <f>IF(AA490="","",'Procyfloc GS50'!B491)</f>
        <v/>
      </c>
      <c r="AD490" t="str">
        <f>IF(AA490="","",IFERROR(1*'Procyfloc GS50'!C491,IFERROR(_xludf.NUMBERVALUE('Procyfloc GS50'!C491,".",","),IFERROR(_xludf.NUMBERVALUE('Procyfloc GS50'!C491,",","."),0))))</f>
        <v/>
      </c>
      <c r="AE490" t="str">
        <f>IF(AA490="","",'Procyfloc GS50'!J491)</f>
        <v/>
      </c>
      <c r="AF490">
        <f t="shared" si="59"/>
        <v>0</v>
      </c>
      <c r="AG490" t="str">
        <f t="shared" si="60"/>
        <v/>
      </c>
      <c r="AH490" t="str">
        <f t="shared" si="61"/>
        <v/>
      </c>
      <c r="AI490">
        <f t="shared" si="62"/>
        <v>0</v>
      </c>
      <c r="AJ490">
        <f t="shared" si="63"/>
        <v>0</v>
      </c>
      <c r="AK490">
        <v>0</v>
      </c>
      <c r="AL490" t="str">
        <f>IF(AA490="","",IFERROR(IF(ISNUMBER('Procyfloc GS50'!D491),'Procyfloc GS50'!D491,IF(ISNUMBER(SEARCH("12",'Procyfloc GS50'!D491)),EDATE(AB490,12),IF(ISNUMBER(SEARCH("6",'Procyfloc GS50'!D491)),EDATE(AB490,6),IF(ISNUMBER(SEARCH("3",'Procyfloc GS50'!D491)),EDATE(AB490,3),DATEVALUE('Procyfloc GS50'!D491))))),""))</f>
        <v/>
      </c>
      <c r="AM490" t="str">
        <f t="shared" ca="1" si="64"/>
        <v/>
      </c>
    </row>
    <row r="491" spans="27:39" x14ac:dyDescent="0.3">
      <c r="AA491" t="str">
        <f>IF(COUNTA('Procyfloc GS50'!A492,'Procyfloc GS50'!B492,'Procyfloc GS50'!C492)&gt;0,"GS50","")</f>
        <v/>
      </c>
      <c r="AB491" t="str">
        <f>IFERROR(IF(ISNUMBER('Procyfloc GS50'!A492),'Procyfloc GS50'!A492,DATEVALUE('Procyfloc GS50'!A492)),"")</f>
        <v/>
      </c>
      <c r="AC491" t="str">
        <f>IF(AA491="","",'Procyfloc GS50'!B492)</f>
        <v/>
      </c>
      <c r="AD491" t="str">
        <f>IF(AA491="","",IFERROR(1*'Procyfloc GS50'!C492,IFERROR(_xludf.NUMBERVALUE('Procyfloc GS50'!C492,".",","),IFERROR(_xludf.NUMBERVALUE('Procyfloc GS50'!C492,",","."),0))))</f>
        <v/>
      </c>
      <c r="AE491" t="str">
        <f>IF(AA491="","",'Procyfloc GS50'!J492)</f>
        <v/>
      </c>
      <c r="AF491">
        <f t="shared" si="59"/>
        <v>0</v>
      </c>
      <c r="AG491" t="str">
        <f t="shared" si="60"/>
        <v/>
      </c>
      <c r="AH491" t="str">
        <f t="shared" si="61"/>
        <v/>
      </c>
      <c r="AI491">
        <f t="shared" si="62"/>
        <v>0</v>
      </c>
      <c r="AJ491">
        <f t="shared" si="63"/>
        <v>0</v>
      </c>
      <c r="AK491">
        <v>0</v>
      </c>
      <c r="AL491" t="str">
        <f>IF(AA491="","",IFERROR(IF(ISNUMBER('Procyfloc GS50'!D492),'Procyfloc GS50'!D492,IF(ISNUMBER(SEARCH("12",'Procyfloc GS50'!D492)),EDATE(AB491,12),IF(ISNUMBER(SEARCH("6",'Procyfloc GS50'!D492)),EDATE(AB491,6),IF(ISNUMBER(SEARCH("3",'Procyfloc GS50'!D492)),EDATE(AB491,3),DATEVALUE('Procyfloc GS50'!D492))))),""))</f>
        <v/>
      </c>
      <c r="AM491" t="str">
        <f t="shared" ca="1" si="64"/>
        <v/>
      </c>
    </row>
    <row r="492" spans="27:39" x14ac:dyDescent="0.3">
      <c r="AA492" t="str">
        <f>IF(COUNTA('Procyfloc GS50'!A493,'Procyfloc GS50'!B493,'Procyfloc GS50'!C493)&gt;0,"GS50","")</f>
        <v/>
      </c>
      <c r="AB492" t="str">
        <f>IFERROR(IF(ISNUMBER('Procyfloc GS50'!A493),'Procyfloc GS50'!A493,DATEVALUE('Procyfloc GS50'!A493)),"")</f>
        <v/>
      </c>
      <c r="AC492" t="str">
        <f>IF(AA492="","",'Procyfloc GS50'!B493)</f>
        <v/>
      </c>
      <c r="AD492" t="str">
        <f>IF(AA492="","",IFERROR(1*'Procyfloc GS50'!C493,IFERROR(_xludf.NUMBERVALUE('Procyfloc GS50'!C493,".",","),IFERROR(_xludf.NUMBERVALUE('Procyfloc GS50'!C493,",","."),0))))</f>
        <v/>
      </c>
      <c r="AE492" t="str">
        <f>IF(AA492="","",'Procyfloc GS50'!J493)</f>
        <v/>
      </c>
      <c r="AF492">
        <f t="shared" si="59"/>
        <v>0</v>
      </c>
      <c r="AG492" t="str">
        <f t="shared" si="60"/>
        <v/>
      </c>
      <c r="AH492" t="str">
        <f t="shared" si="61"/>
        <v/>
      </c>
      <c r="AI492">
        <f t="shared" si="62"/>
        <v>0</v>
      </c>
      <c r="AJ492">
        <f t="shared" si="63"/>
        <v>0</v>
      </c>
      <c r="AK492">
        <v>0</v>
      </c>
      <c r="AL492" t="str">
        <f>IF(AA492="","",IFERROR(IF(ISNUMBER('Procyfloc GS50'!D493),'Procyfloc GS50'!D493,IF(ISNUMBER(SEARCH("12",'Procyfloc GS50'!D493)),EDATE(AB492,12),IF(ISNUMBER(SEARCH("6",'Procyfloc GS50'!D493)),EDATE(AB492,6),IF(ISNUMBER(SEARCH("3",'Procyfloc GS50'!D493)),EDATE(AB492,3),DATEVALUE('Procyfloc GS50'!D493))))),""))</f>
        <v/>
      </c>
      <c r="AM492" t="str">
        <f t="shared" ca="1" si="64"/>
        <v/>
      </c>
    </row>
    <row r="493" spans="27:39" x14ac:dyDescent="0.3">
      <c r="AA493" t="str">
        <f>IF(COUNTA('Procyfloc GS50'!A494,'Procyfloc GS50'!B494,'Procyfloc GS50'!C494)&gt;0,"GS50","")</f>
        <v/>
      </c>
      <c r="AB493" t="str">
        <f>IFERROR(IF(ISNUMBER('Procyfloc GS50'!A494),'Procyfloc GS50'!A494,DATEVALUE('Procyfloc GS50'!A494)),"")</f>
        <v/>
      </c>
      <c r="AC493" t="str">
        <f>IF(AA493="","",'Procyfloc GS50'!B494)</f>
        <v/>
      </c>
      <c r="AD493" t="str">
        <f>IF(AA493="","",IFERROR(1*'Procyfloc GS50'!C494,IFERROR(_xludf.NUMBERVALUE('Procyfloc GS50'!C494,".",","),IFERROR(_xludf.NUMBERVALUE('Procyfloc GS50'!C494,",","."),0))))</f>
        <v/>
      </c>
      <c r="AE493" t="str">
        <f>IF(AA493="","",'Procyfloc GS50'!J494)</f>
        <v/>
      </c>
      <c r="AF493">
        <f t="shared" si="59"/>
        <v>0</v>
      </c>
      <c r="AG493" t="str">
        <f t="shared" si="60"/>
        <v/>
      </c>
      <c r="AH493" t="str">
        <f t="shared" si="61"/>
        <v/>
      </c>
      <c r="AI493">
        <f t="shared" si="62"/>
        <v>0</v>
      </c>
      <c r="AJ493">
        <f t="shared" si="63"/>
        <v>0</v>
      </c>
      <c r="AK493">
        <v>0</v>
      </c>
      <c r="AL493" t="str">
        <f>IF(AA493="","",IFERROR(IF(ISNUMBER('Procyfloc GS50'!D494),'Procyfloc GS50'!D494,IF(ISNUMBER(SEARCH("12",'Procyfloc GS50'!D494)),EDATE(AB493,12),IF(ISNUMBER(SEARCH("6",'Procyfloc GS50'!D494)),EDATE(AB493,6),IF(ISNUMBER(SEARCH("3",'Procyfloc GS50'!D494)),EDATE(AB493,3),DATEVALUE('Procyfloc GS50'!D494))))),""))</f>
        <v/>
      </c>
      <c r="AM493" t="str">
        <f t="shared" ca="1" si="64"/>
        <v/>
      </c>
    </row>
    <row r="494" spans="27:39" x14ac:dyDescent="0.3">
      <c r="AA494" t="str">
        <f>IF(COUNTA('Procyfloc GS50'!A495,'Procyfloc GS50'!B495,'Procyfloc GS50'!C495)&gt;0,"GS50","")</f>
        <v/>
      </c>
      <c r="AB494" t="str">
        <f>IFERROR(IF(ISNUMBER('Procyfloc GS50'!A495),'Procyfloc GS50'!A495,DATEVALUE('Procyfloc GS50'!A495)),"")</f>
        <v/>
      </c>
      <c r="AC494" t="str">
        <f>IF(AA494="","",'Procyfloc GS50'!B495)</f>
        <v/>
      </c>
      <c r="AD494" t="str">
        <f>IF(AA494="","",IFERROR(1*'Procyfloc GS50'!C495,IFERROR(_xludf.NUMBERVALUE('Procyfloc GS50'!C495,".",","),IFERROR(_xludf.NUMBERVALUE('Procyfloc GS50'!C495,",","."),0))))</f>
        <v/>
      </c>
      <c r="AE494" t="str">
        <f>IF(AA494="","",'Procyfloc GS50'!J495)</f>
        <v/>
      </c>
      <c r="AF494">
        <f t="shared" si="59"/>
        <v>0</v>
      </c>
      <c r="AG494" t="str">
        <f t="shared" si="60"/>
        <v/>
      </c>
      <c r="AH494" t="str">
        <f t="shared" si="61"/>
        <v/>
      </c>
      <c r="AI494">
        <f t="shared" si="62"/>
        <v>0</v>
      </c>
      <c r="AJ494">
        <f t="shared" si="63"/>
        <v>0</v>
      </c>
      <c r="AK494">
        <v>0</v>
      </c>
      <c r="AL494" t="str">
        <f>IF(AA494="","",IFERROR(IF(ISNUMBER('Procyfloc GS50'!D495),'Procyfloc GS50'!D495,IF(ISNUMBER(SEARCH("12",'Procyfloc GS50'!D495)),EDATE(AB494,12),IF(ISNUMBER(SEARCH("6",'Procyfloc GS50'!D495)),EDATE(AB494,6),IF(ISNUMBER(SEARCH("3",'Procyfloc GS50'!D495)),EDATE(AB494,3),DATEVALUE('Procyfloc GS50'!D495))))),""))</f>
        <v/>
      </c>
      <c r="AM494" t="str">
        <f t="shared" ca="1" si="64"/>
        <v/>
      </c>
    </row>
    <row r="495" spans="27:39" x14ac:dyDescent="0.3">
      <c r="AA495" t="str">
        <f>IF(COUNTA('Procyfloc GS50'!A496,'Procyfloc GS50'!B496,'Procyfloc GS50'!C496)&gt;0,"GS50","")</f>
        <v/>
      </c>
      <c r="AB495" t="str">
        <f>IFERROR(IF(ISNUMBER('Procyfloc GS50'!A496),'Procyfloc GS50'!A496,DATEVALUE('Procyfloc GS50'!A496)),"")</f>
        <v/>
      </c>
      <c r="AC495" t="str">
        <f>IF(AA495="","",'Procyfloc GS50'!B496)</f>
        <v/>
      </c>
      <c r="AD495" t="str">
        <f>IF(AA495="","",IFERROR(1*'Procyfloc GS50'!C496,IFERROR(_xludf.NUMBERVALUE('Procyfloc GS50'!C496,".",","),IFERROR(_xludf.NUMBERVALUE('Procyfloc GS50'!C496,",","."),0))))</f>
        <v/>
      </c>
      <c r="AE495" t="str">
        <f>IF(AA495="","",'Procyfloc GS50'!J496)</f>
        <v/>
      </c>
      <c r="AF495">
        <f t="shared" si="59"/>
        <v>0</v>
      </c>
      <c r="AG495" t="str">
        <f t="shared" si="60"/>
        <v/>
      </c>
      <c r="AH495" t="str">
        <f t="shared" si="61"/>
        <v/>
      </c>
      <c r="AI495">
        <f t="shared" si="62"/>
        <v>0</v>
      </c>
      <c r="AJ495">
        <f t="shared" si="63"/>
        <v>0</v>
      </c>
      <c r="AK495">
        <v>0</v>
      </c>
      <c r="AL495" t="str">
        <f>IF(AA495="","",IFERROR(IF(ISNUMBER('Procyfloc GS50'!D496),'Procyfloc GS50'!D496,IF(ISNUMBER(SEARCH("12",'Procyfloc GS50'!D496)),EDATE(AB495,12),IF(ISNUMBER(SEARCH("6",'Procyfloc GS50'!D496)),EDATE(AB495,6),IF(ISNUMBER(SEARCH("3",'Procyfloc GS50'!D496)),EDATE(AB495,3),DATEVALUE('Procyfloc GS50'!D496))))),""))</f>
        <v/>
      </c>
      <c r="AM495" t="str">
        <f t="shared" ca="1" si="64"/>
        <v/>
      </c>
    </row>
    <row r="496" spans="27:39" x14ac:dyDescent="0.3">
      <c r="AA496" t="str">
        <f>IF(COUNTA('Procyfloc GS50'!A497,'Procyfloc GS50'!B497,'Procyfloc GS50'!C497)&gt;0,"GS50","")</f>
        <v/>
      </c>
      <c r="AB496" t="str">
        <f>IFERROR(IF(ISNUMBER('Procyfloc GS50'!A497),'Procyfloc GS50'!A497,DATEVALUE('Procyfloc GS50'!A497)),"")</f>
        <v/>
      </c>
      <c r="AC496" t="str">
        <f>IF(AA496="","",'Procyfloc GS50'!B497)</f>
        <v/>
      </c>
      <c r="AD496" t="str">
        <f>IF(AA496="","",IFERROR(1*'Procyfloc GS50'!C497,IFERROR(_xludf.NUMBERVALUE('Procyfloc GS50'!C497,".",","),IFERROR(_xludf.NUMBERVALUE('Procyfloc GS50'!C497,",","."),0))))</f>
        <v/>
      </c>
      <c r="AE496" t="str">
        <f>IF(AA496="","",'Procyfloc GS50'!J497)</f>
        <v/>
      </c>
      <c r="AF496">
        <f t="shared" si="59"/>
        <v>0</v>
      </c>
      <c r="AG496" t="str">
        <f t="shared" si="60"/>
        <v/>
      </c>
      <c r="AH496" t="str">
        <f t="shared" si="61"/>
        <v/>
      </c>
      <c r="AI496">
        <f t="shared" si="62"/>
        <v>0</v>
      </c>
      <c r="AJ496">
        <f t="shared" si="63"/>
        <v>0</v>
      </c>
      <c r="AK496">
        <v>0</v>
      </c>
      <c r="AL496" t="str">
        <f>IF(AA496="","",IFERROR(IF(ISNUMBER('Procyfloc GS50'!D497),'Procyfloc GS50'!D497,IF(ISNUMBER(SEARCH("12",'Procyfloc GS50'!D497)),EDATE(AB496,12),IF(ISNUMBER(SEARCH("6",'Procyfloc GS50'!D497)),EDATE(AB496,6),IF(ISNUMBER(SEARCH("3",'Procyfloc GS50'!D497)),EDATE(AB496,3),DATEVALUE('Procyfloc GS50'!D497))))),""))</f>
        <v/>
      </c>
      <c r="AM496" t="str">
        <f t="shared" ca="1" si="64"/>
        <v/>
      </c>
    </row>
    <row r="497" spans="27:39" x14ac:dyDescent="0.3">
      <c r="AA497" t="str">
        <f>IF(COUNTA('Procyfloc GS50'!A498,'Procyfloc GS50'!B498,'Procyfloc GS50'!C498)&gt;0,"GS50","")</f>
        <v/>
      </c>
      <c r="AB497" t="str">
        <f>IFERROR(IF(ISNUMBER('Procyfloc GS50'!A498),'Procyfloc GS50'!A498,DATEVALUE('Procyfloc GS50'!A498)),"")</f>
        <v/>
      </c>
      <c r="AC497" t="str">
        <f>IF(AA497="","",'Procyfloc GS50'!B498)</f>
        <v/>
      </c>
      <c r="AD497" t="str">
        <f>IF(AA497="","",IFERROR(1*'Procyfloc GS50'!C498,IFERROR(_xludf.NUMBERVALUE('Procyfloc GS50'!C498,".",","),IFERROR(_xludf.NUMBERVALUE('Procyfloc GS50'!C498,",","."),0))))</f>
        <v/>
      </c>
      <c r="AE497" t="str">
        <f>IF(AA497="","",'Procyfloc GS50'!J498)</f>
        <v/>
      </c>
      <c r="AF497">
        <f t="shared" si="59"/>
        <v>0</v>
      </c>
      <c r="AG497" t="str">
        <f t="shared" si="60"/>
        <v/>
      </c>
      <c r="AH497" t="str">
        <f t="shared" si="61"/>
        <v/>
      </c>
      <c r="AI497">
        <f t="shared" si="62"/>
        <v>0</v>
      </c>
      <c r="AJ497">
        <f t="shared" si="63"/>
        <v>0</v>
      </c>
      <c r="AK497">
        <v>0</v>
      </c>
      <c r="AL497" t="str">
        <f>IF(AA497="","",IFERROR(IF(ISNUMBER('Procyfloc GS50'!D498),'Procyfloc GS50'!D498,IF(ISNUMBER(SEARCH("12",'Procyfloc GS50'!D498)),EDATE(AB497,12),IF(ISNUMBER(SEARCH("6",'Procyfloc GS50'!D498)),EDATE(AB497,6),IF(ISNUMBER(SEARCH("3",'Procyfloc GS50'!D498)),EDATE(AB497,3),DATEVALUE('Procyfloc GS50'!D498))))),""))</f>
        <v/>
      </c>
      <c r="AM497" t="str">
        <f t="shared" ca="1" si="64"/>
        <v/>
      </c>
    </row>
    <row r="498" spans="27:39" x14ac:dyDescent="0.3">
      <c r="AA498" t="str">
        <f>IF(COUNTA('Procyfloc GS50'!A499,'Procyfloc GS50'!B499,'Procyfloc GS50'!C499)&gt;0,"GS50","")</f>
        <v/>
      </c>
      <c r="AB498" t="str">
        <f>IFERROR(IF(ISNUMBER('Procyfloc GS50'!A499),'Procyfloc GS50'!A499,DATEVALUE('Procyfloc GS50'!A499)),"")</f>
        <v/>
      </c>
      <c r="AC498" t="str">
        <f>IF(AA498="","",'Procyfloc GS50'!B499)</f>
        <v/>
      </c>
      <c r="AD498" t="str">
        <f>IF(AA498="","",IFERROR(1*'Procyfloc GS50'!C499,IFERROR(_xludf.NUMBERVALUE('Procyfloc GS50'!C499,".",","),IFERROR(_xludf.NUMBERVALUE('Procyfloc GS50'!C499,",","."),0))))</f>
        <v/>
      </c>
      <c r="AE498" t="str">
        <f>IF(AA498="","",'Procyfloc GS50'!J499)</f>
        <v/>
      </c>
      <c r="AF498">
        <f t="shared" si="59"/>
        <v>0</v>
      </c>
      <c r="AG498" t="str">
        <f t="shared" si="60"/>
        <v/>
      </c>
      <c r="AH498" t="str">
        <f t="shared" si="61"/>
        <v/>
      </c>
      <c r="AI498">
        <f t="shared" si="62"/>
        <v>0</v>
      </c>
      <c r="AJ498">
        <f t="shared" si="63"/>
        <v>0</v>
      </c>
      <c r="AK498">
        <v>0</v>
      </c>
      <c r="AL498" t="str">
        <f>IF(AA498="","",IFERROR(IF(ISNUMBER('Procyfloc GS50'!D499),'Procyfloc GS50'!D499,IF(ISNUMBER(SEARCH("12",'Procyfloc GS50'!D499)),EDATE(AB498,12),IF(ISNUMBER(SEARCH("6",'Procyfloc GS50'!D499)),EDATE(AB498,6),IF(ISNUMBER(SEARCH("3",'Procyfloc GS50'!D499)),EDATE(AB498,3),DATEVALUE('Procyfloc GS50'!D499))))),""))</f>
        <v/>
      </c>
      <c r="AM498" t="str">
        <f t="shared" ca="1" si="64"/>
        <v/>
      </c>
    </row>
    <row r="499" spans="27:39" x14ac:dyDescent="0.3">
      <c r="AA499" t="str">
        <f>IF(COUNTA('Procyfloc GS50'!A500,'Procyfloc GS50'!B500,'Procyfloc GS50'!C500)&gt;0,"GS50","")</f>
        <v/>
      </c>
      <c r="AB499" t="str">
        <f>IFERROR(IF(ISNUMBER('Procyfloc GS50'!A500),'Procyfloc GS50'!A500,DATEVALUE('Procyfloc GS50'!A500)),"")</f>
        <v/>
      </c>
      <c r="AC499" t="str">
        <f>IF(AA499="","",'Procyfloc GS50'!B500)</f>
        <v/>
      </c>
      <c r="AD499" t="str">
        <f>IF(AA499="","",IFERROR(1*'Procyfloc GS50'!C500,IFERROR(_xludf.NUMBERVALUE('Procyfloc GS50'!C500,".",","),IFERROR(_xludf.NUMBERVALUE('Procyfloc GS50'!C500,",","."),0))))</f>
        <v/>
      </c>
      <c r="AE499" t="str">
        <f>IF(AA499="","",'Procyfloc GS50'!J500)</f>
        <v/>
      </c>
      <c r="AF499">
        <f t="shared" si="59"/>
        <v>0</v>
      </c>
      <c r="AG499" t="str">
        <f t="shared" si="60"/>
        <v/>
      </c>
      <c r="AH499" t="str">
        <f t="shared" si="61"/>
        <v/>
      </c>
      <c r="AI499">
        <f t="shared" si="62"/>
        <v>0</v>
      </c>
      <c r="AJ499">
        <f t="shared" si="63"/>
        <v>0</v>
      </c>
      <c r="AK499">
        <v>0</v>
      </c>
      <c r="AL499" t="str">
        <f>IF(AA499="","",IFERROR(IF(ISNUMBER('Procyfloc GS50'!D500),'Procyfloc GS50'!D500,IF(ISNUMBER(SEARCH("12",'Procyfloc GS50'!D500)),EDATE(AB499,12),IF(ISNUMBER(SEARCH("6",'Procyfloc GS50'!D500)),EDATE(AB499,6),IF(ISNUMBER(SEARCH("3",'Procyfloc GS50'!D500)),EDATE(AB499,3),DATEVALUE('Procyfloc GS50'!D500))))),""))</f>
        <v/>
      </c>
      <c r="AM499" t="str">
        <f t="shared" ca="1" si="64"/>
        <v/>
      </c>
    </row>
    <row r="500" spans="27:39" x14ac:dyDescent="0.3">
      <c r="AA500" t="str">
        <f>IF(COUNTA('Procyfloc GS50'!A501,'Procyfloc GS50'!B501,'Procyfloc GS50'!C501)&gt;0,"GS50","")</f>
        <v/>
      </c>
      <c r="AB500" t="str">
        <f>IFERROR(IF(ISNUMBER('Procyfloc GS50'!A501),'Procyfloc GS50'!A501,DATEVALUE('Procyfloc GS50'!A501)),"")</f>
        <v/>
      </c>
      <c r="AC500" t="str">
        <f>IF(AA500="","",'Procyfloc GS50'!B501)</f>
        <v/>
      </c>
      <c r="AD500" t="str">
        <f>IF(AA500="","",IFERROR(1*'Procyfloc GS50'!C501,IFERROR(_xludf.NUMBERVALUE('Procyfloc GS50'!C501,".",","),IFERROR(_xludf.NUMBERVALUE('Procyfloc GS50'!C501,",","."),0))))</f>
        <v/>
      </c>
      <c r="AE500" t="str">
        <f>IF(AA500="","",'Procyfloc GS50'!J501)</f>
        <v/>
      </c>
      <c r="AF500">
        <f t="shared" si="59"/>
        <v>0</v>
      </c>
      <c r="AG500" t="str">
        <f t="shared" si="60"/>
        <v/>
      </c>
      <c r="AH500" t="str">
        <f t="shared" si="61"/>
        <v/>
      </c>
      <c r="AI500">
        <f t="shared" si="62"/>
        <v>0</v>
      </c>
      <c r="AJ500">
        <f t="shared" si="63"/>
        <v>0</v>
      </c>
      <c r="AK500">
        <v>0</v>
      </c>
      <c r="AL500" t="str">
        <f>IF(AA500="","",IFERROR(IF(ISNUMBER('Procyfloc GS50'!D501),'Procyfloc GS50'!D501,IF(ISNUMBER(SEARCH("12",'Procyfloc GS50'!D501)),EDATE(AB500,12),IF(ISNUMBER(SEARCH("6",'Procyfloc GS50'!D501)),EDATE(AB500,6),IF(ISNUMBER(SEARCH("3",'Procyfloc GS50'!D501)),EDATE(AB500,3),DATEVALUE('Procyfloc GS50'!D501))))),""))</f>
        <v/>
      </c>
      <c r="AM500" t="str">
        <f t="shared" ca="1" si="64"/>
        <v/>
      </c>
    </row>
    <row r="501" spans="27:39" x14ac:dyDescent="0.3">
      <c r="AA501" t="str">
        <f>IF(COUNTA('Procyfloc GS50'!A502,'Procyfloc GS50'!B502,'Procyfloc GS50'!C502)&gt;0,"GS50","")</f>
        <v/>
      </c>
      <c r="AB501" t="str">
        <f>IFERROR(IF(ISNUMBER('Procyfloc GS50'!A502),'Procyfloc GS50'!A502,DATEVALUE('Procyfloc GS50'!A502)),"")</f>
        <v/>
      </c>
      <c r="AC501" t="str">
        <f>IF(AA501="","",'Procyfloc GS50'!B502)</f>
        <v/>
      </c>
      <c r="AD501" t="str">
        <f>IF(AA501="","",IFERROR(1*'Procyfloc GS50'!C502,IFERROR(_xludf.NUMBERVALUE('Procyfloc GS50'!C502,".",","),IFERROR(_xludf.NUMBERVALUE('Procyfloc GS50'!C502,",","."),0))))</f>
        <v/>
      </c>
      <c r="AE501" t="str">
        <f>IF(AA501="","",'Procyfloc GS50'!J502)</f>
        <v/>
      </c>
      <c r="AF501">
        <f t="shared" si="59"/>
        <v>0</v>
      </c>
      <c r="AG501" t="str">
        <f t="shared" si="60"/>
        <v/>
      </c>
      <c r="AH501" t="str">
        <f t="shared" si="61"/>
        <v/>
      </c>
      <c r="AI501">
        <f t="shared" si="62"/>
        <v>0</v>
      </c>
      <c r="AJ501">
        <f t="shared" si="63"/>
        <v>0</v>
      </c>
      <c r="AK501">
        <v>0</v>
      </c>
      <c r="AL501" t="str">
        <f>IF(AA501="","",IFERROR(IF(ISNUMBER('Procyfloc GS50'!D502),'Procyfloc GS50'!D502,IF(ISNUMBER(SEARCH("12",'Procyfloc GS50'!D502)),EDATE(AB501,12),IF(ISNUMBER(SEARCH("6",'Procyfloc GS50'!D502)),EDATE(AB501,6),IF(ISNUMBER(SEARCH("3",'Procyfloc GS50'!D502)),EDATE(AB501,3),DATEVALUE('Procyfloc GS50'!D502))))),""))</f>
        <v/>
      </c>
      <c r="AM501" t="str">
        <f t="shared" ca="1" si="64"/>
        <v/>
      </c>
    </row>
    <row r="502" spans="27:39" x14ac:dyDescent="0.3">
      <c r="AA502" t="str">
        <f>IF(COUNTA('Procyflo 27TC'!B3,'Procyflo 27TC'!C3,'Procyflo 27TC'!D3)&gt;0,"27TC","")</f>
        <v>27TC</v>
      </c>
      <c r="AB502">
        <f>IFERROR(IF(ISNUMBER('Procyflo 27TC'!B3),'Procyflo 27TC'!B3,DATEVALUE('Procyflo 27TC'!B3)),"")</f>
        <v>45457</v>
      </c>
      <c r="AC502" t="str">
        <f>IF(AA502="","",'Procyflo 27TC'!C3)</f>
        <v>8468/24</v>
      </c>
      <c r="AD502">
        <f>IF(AA502="","",IFERROR(1*'Procyflo 27TC'!D3,IFERROR(_xludf.NUMBERVALUE('Procyflo 27TC'!D3,".",","),IFERROR(_xludf.NUMBERVALUE('Procyflo 27TC'!D3,",","."),0))))</f>
        <v>15000</v>
      </c>
      <c r="AE502" t="str">
        <f>IF(AA502="","",'Procyflo 27TC'!N3)</f>
        <v>Aprovado</v>
      </c>
      <c r="AF502">
        <f t="shared" si="59"/>
        <v>1</v>
      </c>
      <c r="AG502">
        <f t="shared" si="60"/>
        <v>2024</v>
      </c>
      <c r="AH502">
        <f t="shared" si="61"/>
        <v>6</v>
      </c>
      <c r="AI502">
        <f t="shared" si="62"/>
        <v>45457.000502000003</v>
      </c>
      <c r="AJ502">
        <f t="shared" si="63"/>
        <v>1</v>
      </c>
      <c r="AK502">
        <v>0</v>
      </c>
      <c r="AL502">
        <f>IF(AA502="","",IFERROR(IF(ISNUMBER('Procyflo 27TC'!E3),'Procyflo 27TC'!E3,IF(ISNUMBER(SEARCH("12",'Procyflo 27TC'!E3)),EDATE(AB502,12),IF(ISNUMBER(SEARCH("6",'Procyflo 27TC'!E3)),EDATE(AB502,6),IF(ISNUMBER(SEARCH("3",'Procyflo 27TC'!E3)),EDATE(AB502,3),DATEVALUE('Procyflo 27TC'!E3))))),""))</f>
        <v>45822</v>
      </c>
      <c r="AM502" t="str">
        <f t="shared" ca="1" si="64"/>
        <v/>
      </c>
    </row>
    <row r="503" spans="27:39" x14ac:dyDescent="0.3">
      <c r="AA503" t="str">
        <f>IF(COUNTA('Procyflo 27TC'!B4,'Procyflo 27TC'!C4,'Procyflo 27TC'!D4)&gt;0,"27TC","")</f>
        <v>27TC</v>
      </c>
      <c r="AB503">
        <f>IFERROR(IF(ISNUMBER('Procyflo 27TC'!B4),'Procyflo 27TC'!B4,DATEVALUE('Procyflo 27TC'!B4)),"")</f>
        <v>45839</v>
      </c>
      <c r="AC503" t="str">
        <f>IF(AA503="","",'Procyflo 27TC'!C4)</f>
        <v>9246/25</v>
      </c>
      <c r="AD503">
        <f>IF(AA503="","",IFERROR(1*'Procyflo 27TC'!D4,IFERROR(_xludf.NUMBERVALUE('Procyflo 27TC'!D4,".",","),IFERROR(_xludf.NUMBERVALUE('Procyflo 27TC'!D4,",","."),0))))</f>
        <v>26000</v>
      </c>
      <c r="AE503" t="str">
        <f>IF(AA503="","",'Procyflo 27TC'!N4)</f>
        <v>Aprovado</v>
      </c>
      <c r="AF503">
        <f t="shared" si="59"/>
        <v>1</v>
      </c>
      <c r="AG503">
        <f t="shared" si="60"/>
        <v>2025</v>
      </c>
      <c r="AH503">
        <f t="shared" si="61"/>
        <v>7</v>
      </c>
      <c r="AI503">
        <f t="shared" si="62"/>
        <v>45839.000503000003</v>
      </c>
      <c r="AJ503">
        <f t="shared" si="63"/>
        <v>1</v>
      </c>
      <c r="AK503">
        <v>0</v>
      </c>
      <c r="AL503">
        <f>IF(AA503="","",IFERROR(IF(ISNUMBER('Procyflo 27TC'!E4),'Procyflo 27TC'!E4,IF(ISNUMBER(SEARCH("12",'Procyflo 27TC'!E4)),EDATE(AB503,12),IF(ISNUMBER(SEARCH("6",'Procyflo 27TC'!E4)),EDATE(AB503,6),IF(ISNUMBER(SEARCH("3",'Procyflo 27TC'!E4)),EDATE(AB503,3),DATEVALUE('Procyflo 27TC'!E4))))),""))</f>
        <v>46204</v>
      </c>
      <c r="AM503" t="str">
        <f t="shared" ca="1" si="64"/>
        <v/>
      </c>
    </row>
    <row r="504" spans="27:39" x14ac:dyDescent="0.3">
      <c r="AA504" t="str">
        <f>IF(COUNTA('Procyflo 27TC'!B5,'Procyflo 27TC'!C5,'Procyflo 27TC'!D5)&gt;0,"27TC","")</f>
        <v>27TC</v>
      </c>
      <c r="AB504">
        <f>IFERROR(IF(ISNUMBER('Procyflo 27TC'!B5),'Procyflo 27TC'!B5,DATEVALUE('Procyflo 27TC'!B5)),"")</f>
        <v>45849</v>
      </c>
      <c r="AC504" t="str">
        <f>IF(AA504="","",'Procyflo 27TC'!C5)</f>
        <v>9277/25</v>
      </c>
      <c r="AD504">
        <f>IF(AA504="","",IFERROR(1*'Procyflo 27TC'!D5,IFERROR(_xludf.NUMBERVALUE('Procyflo 27TC'!D5,".",","),IFERROR(_xludf.NUMBERVALUE('Procyflo 27TC'!D5,",","."),0))))</f>
        <v>2000</v>
      </c>
      <c r="AE504" t="str">
        <f>IF(AA504="","",'Procyflo 27TC'!N5)</f>
        <v>Aprovado</v>
      </c>
      <c r="AF504">
        <f t="shared" si="59"/>
        <v>1</v>
      </c>
      <c r="AG504">
        <f t="shared" si="60"/>
        <v>2025</v>
      </c>
      <c r="AH504">
        <f t="shared" si="61"/>
        <v>7</v>
      </c>
      <c r="AI504">
        <f t="shared" si="62"/>
        <v>45849.000504000003</v>
      </c>
      <c r="AJ504">
        <f t="shared" si="63"/>
        <v>1</v>
      </c>
      <c r="AK504">
        <v>0</v>
      </c>
      <c r="AL504">
        <f>IF(AA504="","",IFERROR(IF(ISNUMBER('Procyflo 27TC'!E5),'Procyflo 27TC'!E5,IF(ISNUMBER(SEARCH("12",'Procyflo 27TC'!E5)),EDATE(AB504,12),IF(ISNUMBER(SEARCH("6",'Procyflo 27TC'!E5)),EDATE(AB504,6),IF(ISNUMBER(SEARCH("3",'Procyflo 27TC'!E5)),EDATE(AB504,3),DATEVALUE('Procyflo 27TC'!E5))))),""))</f>
        <v>46214</v>
      </c>
      <c r="AM504" t="str">
        <f t="shared" ca="1" si="64"/>
        <v/>
      </c>
    </row>
    <row r="505" spans="27:39" x14ac:dyDescent="0.3">
      <c r="AA505" t="str">
        <f>IF(COUNTA('Procyflo 27TC'!B6,'Procyflo 27TC'!C6,'Procyflo 27TC'!D6)&gt;0,"27TC","")</f>
        <v>27TC</v>
      </c>
      <c r="AB505">
        <f>IFERROR(IF(ISNUMBER('Procyflo 27TC'!B6),'Procyflo 27TC'!B6,DATEVALUE('Procyflo 27TC'!B6)),"")</f>
        <v>45850</v>
      </c>
      <c r="AC505" t="str">
        <f>IF(AA505="","",'Procyflo 27TC'!C6)</f>
        <v>9477/25</v>
      </c>
      <c r="AD505">
        <f>IF(AA505="","",IFERROR(1*'Procyflo 27TC'!D6,IFERROR(_xludf.NUMBERVALUE('Procyflo 27TC'!D6,".",","),IFERROR(_xludf.NUMBERVALUE('Procyflo 27TC'!D6,",","."),0))))</f>
        <v>26000</v>
      </c>
      <c r="AE505" t="str">
        <f>IF(AA505="","",'Procyflo 27TC'!N6)</f>
        <v>Aprovado</v>
      </c>
      <c r="AF505">
        <f t="shared" si="59"/>
        <v>1</v>
      </c>
      <c r="AG505">
        <f t="shared" si="60"/>
        <v>2025</v>
      </c>
      <c r="AH505">
        <f t="shared" si="61"/>
        <v>7</v>
      </c>
      <c r="AI505">
        <f t="shared" si="62"/>
        <v>45850.000505000004</v>
      </c>
      <c r="AJ505">
        <f t="shared" si="63"/>
        <v>1</v>
      </c>
      <c r="AK505">
        <v>0</v>
      </c>
      <c r="AL505">
        <f>IF(AA505="","",IFERROR(IF(ISNUMBER('Procyflo 27TC'!E6),'Procyflo 27TC'!E6,IF(ISNUMBER(SEARCH("12",'Procyflo 27TC'!E6)),EDATE(AB505,12),IF(ISNUMBER(SEARCH("6",'Procyflo 27TC'!E6)),EDATE(AB505,6),IF(ISNUMBER(SEARCH("3",'Procyflo 27TC'!E6)),EDATE(AB505,3),DATEVALUE('Procyflo 27TC'!E6))))),""))</f>
        <v>46215</v>
      </c>
      <c r="AM505" t="str">
        <f t="shared" ca="1" si="64"/>
        <v/>
      </c>
    </row>
    <row r="506" spans="27:39" x14ac:dyDescent="0.3">
      <c r="AA506" t="str">
        <f>IF(COUNTA('Procyflo 27TC'!B7,'Procyflo 27TC'!C7,'Procyflo 27TC'!D7)&gt;0,"27TC","")</f>
        <v>27TC</v>
      </c>
      <c r="AB506">
        <f>IFERROR(IF(ISNUMBER('Procyflo 27TC'!B7),'Procyflo 27TC'!B7,DATEVALUE('Procyflo 27TC'!B7)),"")</f>
        <v>45974</v>
      </c>
      <c r="AC506" t="str">
        <f>IF(AA506="","",'Procyflo 27TC'!C7)</f>
        <v>9533/25</v>
      </c>
      <c r="AD506">
        <f>IF(AA506="","",IFERROR(1*'Procyflo 27TC'!D7,IFERROR(_xludf.NUMBERVALUE('Procyflo 27TC'!D7,".",","),IFERROR(_xludf.NUMBERVALUE('Procyflo 27TC'!D7,",","."),0))))</f>
        <v>26000</v>
      </c>
      <c r="AE506" t="str">
        <f>IF(AA506="","",'Procyflo 27TC'!N7)</f>
        <v>Aprovado</v>
      </c>
      <c r="AF506">
        <f t="shared" si="59"/>
        <v>1</v>
      </c>
      <c r="AG506">
        <f t="shared" si="60"/>
        <v>2025</v>
      </c>
      <c r="AH506">
        <f t="shared" si="61"/>
        <v>11</v>
      </c>
      <c r="AI506">
        <f t="shared" si="62"/>
        <v>45974.000505999997</v>
      </c>
      <c r="AJ506">
        <f t="shared" si="63"/>
        <v>1</v>
      </c>
      <c r="AK506">
        <v>0</v>
      </c>
      <c r="AL506">
        <f>IF(AA506="","",IFERROR(IF(ISNUMBER('Procyflo 27TC'!E7),'Procyflo 27TC'!E7,IF(ISNUMBER(SEARCH("12",'Procyflo 27TC'!E7)),EDATE(AB506,12),IF(ISNUMBER(SEARCH("6",'Procyflo 27TC'!E7)),EDATE(AB506,6),IF(ISNUMBER(SEARCH("3",'Procyflo 27TC'!E7)),EDATE(AB506,3),DATEVALUE('Procyflo 27TC'!E7))))),""))</f>
        <v>46339</v>
      </c>
      <c r="AM506" t="str">
        <f t="shared" ca="1" si="64"/>
        <v/>
      </c>
    </row>
    <row r="507" spans="27:39" x14ac:dyDescent="0.3">
      <c r="AA507" t="str">
        <f>IF(COUNTA('Procyflo 27TC'!B8,'Procyflo 27TC'!C8,'Procyflo 27TC'!D8)&gt;0,"27TC","")</f>
        <v>27TC</v>
      </c>
      <c r="AB507">
        <f>IFERROR(IF(ISNUMBER('Procyflo 27TC'!B8),'Procyflo 27TC'!B8,DATEVALUE('Procyflo 27TC'!B8)),"")</f>
        <v>45975</v>
      </c>
      <c r="AC507" t="str">
        <f>IF(AA507="","",'Procyflo 27TC'!C8)</f>
        <v>9587/25</v>
      </c>
      <c r="AD507">
        <f>IF(AA507="","",IFERROR(1*'Procyflo 27TC'!D8,IFERROR(_xludf.NUMBERVALUE('Procyflo 27TC'!D8,".",","),IFERROR(_xludf.NUMBERVALUE('Procyflo 27TC'!D8,",","."),0))))</f>
        <v>26000</v>
      </c>
      <c r="AE507" t="str">
        <f>IF(AA507="","",'Procyflo 27TC'!N8)</f>
        <v>Aprovado</v>
      </c>
      <c r="AF507">
        <f t="shared" si="59"/>
        <v>1</v>
      </c>
      <c r="AG507">
        <f t="shared" si="60"/>
        <v>2025</v>
      </c>
      <c r="AH507">
        <f t="shared" si="61"/>
        <v>11</v>
      </c>
      <c r="AI507">
        <f t="shared" si="62"/>
        <v>45975.000506999997</v>
      </c>
      <c r="AJ507">
        <f t="shared" si="63"/>
        <v>1</v>
      </c>
      <c r="AK507">
        <v>0</v>
      </c>
      <c r="AL507">
        <f>IF(AA507="","",IFERROR(IF(ISNUMBER('Procyflo 27TC'!E8),'Procyflo 27TC'!E8,IF(ISNUMBER(SEARCH("12",'Procyflo 27TC'!E8)),EDATE(AB507,12),IF(ISNUMBER(SEARCH("6",'Procyflo 27TC'!E8)),EDATE(AB507,6),IF(ISNUMBER(SEARCH("3",'Procyflo 27TC'!E8)),EDATE(AB507,3),DATEVALUE('Procyflo 27TC'!E8))))),""))</f>
        <v>46340</v>
      </c>
      <c r="AM507" t="str">
        <f t="shared" ca="1" si="64"/>
        <v/>
      </c>
    </row>
    <row r="508" spans="27:39" x14ac:dyDescent="0.3">
      <c r="AA508" t="str">
        <f>IF(COUNTA('Procyflo 27TC'!B9,'Procyflo 27TC'!C9,'Procyflo 27TC'!D9)&gt;0,"27TC","")</f>
        <v>27TC</v>
      </c>
      <c r="AB508">
        <f>IFERROR(IF(ISNUMBER('Procyflo 27TC'!B9),'Procyflo 27TC'!B9,DATEVALUE('Procyflo 27TC'!B9)),"")</f>
        <v>46029</v>
      </c>
      <c r="AC508" t="str">
        <f>IF(AA508="","",'Procyflo 27TC'!C9)</f>
        <v>9635/26</v>
      </c>
      <c r="AD508">
        <f>IF(AA508="","",IFERROR(1*'Procyflo 27TC'!D9,IFERROR(_xludf.NUMBERVALUE('Procyflo 27TC'!D9,".",","),IFERROR(_xludf.NUMBERVALUE('Procyflo 27TC'!D9,",","."),0))))</f>
        <v>26000</v>
      </c>
      <c r="AE508" t="str">
        <f>IF(AA508="","",'Procyflo 27TC'!N9)</f>
        <v>Aprovado</v>
      </c>
      <c r="AF508">
        <f t="shared" si="59"/>
        <v>1</v>
      </c>
      <c r="AG508">
        <f t="shared" si="60"/>
        <v>2026</v>
      </c>
      <c r="AH508">
        <f t="shared" si="61"/>
        <v>1</v>
      </c>
      <c r="AI508">
        <f t="shared" si="62"/>
        <v>46029.000507999997</v>
      </c>
      <c r="AJ508">
        <f t="shared" si="63"/>
        <v>1</v>
      </c>
      <c r="AK508">
        <v>0</v>
      </c>
      <c r="AL508">
        <f>IF(AA508="","",IFERROR(IF(ISNUMBER('Procyflo 27TC'!E9),'Procyflo 27TC'!E9,IF(ISNUMBER(SEARCH("12",'Procyflo 27TC'!E9)),EDATE(AB508,12),IF(ISNUMBER(SEARCH("6",'Procyflo 27TC'!E9)),EDATE(AB508,6),IF(ISNUMBER(SEARCH("3",'Procyflo 27TC'!E9)),EDATE(AB508,3),DATEVALUE('Procyflo 27TC'!E9))))),""))</f>
        <v>46394</v>
      </c>
      <c r="AM508">
        <f t="shared" ca="1" si="64"/>
        <v>46394.000507999997</v>
      </c>
    </row>
    <row r="509" spans="27:39" x14ac:dyDescent="0.3">
      <c r="AA509" t="str">
        <f>IF(COUNTA('Procyflo 27TC'!B10,'Procyflo 27TC'!C10,'Procyflo 27TC'!D10)&gt;0,"27TC","")</f>
        <v>27TC</v>
      </c>
      <c r="AB509">
        <f>IFERROR(IF(ISNUMBER('Procyflo 27TC'!B10),'Procyflo 27TC'!B10,DATEVALUE('Procyflo 27TC'!B10)),"")</f>
        <v>46057</v>
      </c>
      <c r="AC509" t="str">
        <f>IF(AA509="","",'Procyflo 27TC'!C10)</f>
        <v>9690/26</v>
      </c>
      <c r="AD509">
        <f>IF(AA509="","",IFERROR(1*'Procyflo 27TC'!D10,IFERROR(_xludf.NUMBERVALUE('Procyflo 27TC'!D10,".",","),IFERROR(_xludf.NUMBERVALUE('Procyflo 27TC'!D10,",","."),0))))</f>
        <v>26000</v>
      </c>
      <c r="AE509" t="str">
        <f>IF(AA509="","",'Procyflo 27TC'!N10)</f>
        <v>Aprovado</v>
      </c>
      <c r="AF509">
        <f t="shared" si="59"/>
        <v>1</v>
      </c>
      <c r="AG509">
        <f t="shared" si="60"/>
        <v>2026</v>
      </c>
      <c r="AH509">
        <f t="shared" si="61"/>
        <v>2</v>
      </c>
      <c r="AI509">
        <f t="shared" si="62"/>
        <v>46057.000508999998</v>
      </c>
      <c r="AJ509">
        <f t="shared" si="63"/>
        <v>1</v>
      </c>
      <c r="AK509">
        <v>0</v>
      </c>
      <c r="AL509">
        <f>IF(AA509="","",IFERROR(IF(ISNUMBER('Procyflo 27TC'!E10),'Procyflo 27TC'!E10,IF(ISNUMBER(SEARCH("12",'Procyflo 27TC'!E10)),EDATE(AB509,12),IF(ISNUMBER(SEARCH("6",'Procyflo 27TC'!E10)),EDATE(AB509,6),IF(ISNUMBER(SEARCH("3",'Procyflo 27TC'!E10)),EDATE(AB509,3),DATEVALUE('Procyflo 27TC'!E10))))),""))</f>
        <v>46422</v>
      </c>
      <c r="AM509">
        <f t="shared" ca="1" si="64"/>
        <v>46422.000508999998</v>
      </c>
    </row>
    <row r="510" spans="27:39" x14ac:dyDescent="0.3">
      <c r="AA510" t="str">
        <f>IF(COUNTA('Procyflo 27TC'!B11,'Procyflo 27TC'!C11,'Procyflo 27TC'!D11)&gt;0,"27TC","")</f>
        <v>27TC</v>
      </c>
      <c r="AB510">
        <f>IFERROR(IF(ISNUMBER('Procyflo 27TC'!B11),'Procyflo 27TC'!B11,DATEVALUE('Procyflo 27TC'!B11)),"")</f>
        <v>46085</v>
      </c>
      <c r="AC510" t="str">
        <f>IF(AA510="","",'Procyflo 27TC'!C11)</f>
        <v>9749/26</v>
      </c>
      <c r="AD510">
        <f>IF(AA510="","",IFERROR(1*'Procyflo 27TC'!D11,IFERROR(_xludf.NUMBERVALUE('Procyflo 27TC'!D11,".",","),IFERROR(_xludf.NUMBERVALUE('Procyflo 27TC'!D11,",","."),0))))</f>
        <v>26000</v>
      </c>
      <c r="AE510" t="str">
        <f>IF(AA510="","",'Procyflo 27TC'!N11)</f>
        <v>Aprovado</v>
      </c>
      <c r="AF510">
        <f t="shared" si="59"/>
        <v>1</v>
      </c>
      <c r="AG510">
        <f t="shared" si="60"/>
        <v>2026</v>
      </c>
      <c r="AH510">
        <f t="shared" si="61"/>
        <v>3</v>
      </c>
      <c r="AI510">
        <f t="shared" si="62"/>
        <v>46085.000509999998</v>
      </c>
      <c r="AJ510">
        <f t="shared" si="63"/>
        <v>1</v>
      </c>
      <c r="AK510">
        <v>0</v>
      </c>
      <c r="AL510">
        <f>IF(AA510="","",IFERROR(IF(ISNUMBER('Procyflo 27TC'!E11),'Procyflo 27TC'!E11,IF(ISNUMBER(SEARCH("12",'Procyflo 27TC'!E11)),EDATE(AB510,12),IF(ISNUMBER(SEARCH("6",'Procyflo 27TC'!E11)),EDATE(AB510,6),IF(ISNUMBER(SEARCH("3",'Procyflo 27TC'!E11)),EDATE(AB510,3),DATEVALUE('Procyflo 27TC'!E11))))),""))</f>
        <v>46450</v>
      </c>
      <c r="AM510">
        <f t="shared" ca="1" si="64"/>
        <v>46450.000509999998</v>
      </c>
    </row>
    <row r="511" spans="27:39" x14ac:dyDescent="0.3">
      <c r="AA511" t="str">
        <f>IF(COUNTA('Procyflo 27TC'!B12,'Procyflo 27TC'!C12,'Procyflo 27TC'!D12)&gt;0,"27TC","")</f>
        <v>27TC</v>
      </c>
      <c r="AB511">
        <f>IFERROR(IF(ISNUMBER('Procyflo 27TC'!B12),'Procyflo 27TC'!B12,DATEVALUE('Procyflo 27TC'!B12)),"")</f>
        <v>46112</v>
      </c>
      <c r="AC511" t="str">
        <f>IF(AA511="","",'Procyflo 27TC'!C12)</f>
        <v>9811/26</v>
      </c>
      <c r="AD511">
        <f>IF(AA511="","",IFERROR(1*'Procyflo 27TC'!D12,IFERROR(_xludf.NUMBERVALUE('Procyflo 27TC'!D12,".",","),IFERROR(_xludf.NUMBERVALUE('Procyflo 27TC'!D12,",","."),0))))</f>
        <v>26000</v>
      </c>
      <c r="AE511" t="str">
        <f>IF(AA511="","",'Procyflo 27TC'!N12)</f>
        <v>Aprovado</v>
      </c>
      <c r="AF511">
        <f t="shared" si="59"/>
        <v>1</v>
      </c>
      <c r="AG511">
        <f t="shared" si="60"/>
        <v>2026</v>
      </c>
      <c r="AH511">
        <f t="shared" si="61"/>
        <v>3</v>
      </c>
      <c r="AI511">
        <f t="shared" si="62"/>
        <v>46112.000510999998</v>
      </c>
      <c r="AJ511">
        <f t="shared" si="63"/>
        <v>1</v>
      </c>
      <c r="AK511">
        <v>0</v>
      </c>
      <c r="AL511">
        <f>IF(AA511="","",IFERROR(IF(ISNUMBER('Procyflo 27TC'!E12),'Procyflo 27TC'!E12,IF(ISNUMBER(SEARCH("12",'Procyflo 27TC'!E12)),EDATE(AB511,12),IF(ISNUMBER(SEARCH("6",'Procyflo 27TC'!E12)),EDATE(AB511,6),IF(ISNUMBER(SEARCH("3",'Procyflo 27TC'!E12)),EDATE(AB511,3),DATEVALUE('Procyflo 27TC'!E12))))),""))</f>
        <v>46477</v>
      </c>
      <c r="AM511">
        <f t="shared" ca="1" si="64"/>
        <v>46477.000510999998</v>
      </c>
    </row>
    <row r="512" spans="27:39" x14ac:dyDescent="0.3">
      <c r="AA512" t="str">
        <f>IF(COUNTA('Procyflo 27TC'!B13,'Procyflo 27TC'!C13,'Procyflo 27TC'!D13)&gt;0,"27TC","")</f>
        <v>27TC</v>
      </c>
      <c r="AB512">
        <f>IFERROR(IF(ISNUMBER('Procyflo 27TC'!B13),'Procyflo 27TC'!B13,DATEVALUE('Procyflo 27TC'!B13)),"")</f>
        <v>46141</v>
      </c>
      <c r="AC512" t="str">
        <f>IF(AA512="","",'Procyflo 27TC'!C13)</f>
        <v>9884/26</v>
      </c>
      <c r="AD512">
        <f>IF(AA512="","",IFERROR(1*'Procyflo 27TC'!D13,IFERROR(_xludf.NUMBERVALUE('Procyflo 27TC'!D13,".",","),IFERROR(_xludf.NUMBERVALUE('Procyflo 27TC'!D13,",","."),0))))</f>
        <v>26000</v>
      </c>
      <c r="AE512" t="str">
        <f>IF(AA512="","",'Procyflo 27TC'!N13)</f>
        <v>Aprovado</v>
      </c>
      <c r="AF512">
        <f t="shared" si="59"/>
        <v>1</v>
      </c>
      <c r="AG512">
        <f t="shared" si="60"/>
        <v>2026</v>
      </c>
      <c r="AH512">
        <f t="shared" si="61"/>
        <v>4</v>
      </c>
      <c r="AI512">
        <f t="shared" si="62"/>
        <v>46141.000511999999</v>
      </c>
      <c r="AJ512">
        <f t="shared" si="63"/>
        <v>1</v>
      </c>
      <c r="AK512">
        <v>0</v>
      </c>
      <c r="AL512">
        <f>IF(AA512="","",IFERROR(IF(ISNUMBER('Procyflo 27TC'!E13),'Procyflo 27TC'!E13,IF(ISNUMBER(SEARCH("12",'Procyflo 27TC'!E13)),EDATE(AB512,12),IF(ISNUMBER(SEARCH("6",'Procyflo 27TC'!E13)),EDATE(AB512,6),IF(ISNUMBER(SEARCH("3",'Procyflo 27TC'!E13)),EDATE(AB512,3),DATEVALUE('Procyflo 27TC'!E13))))),""))</f>
        <v>46506</v>
      </c>
      <c r="AM512">
        <f t="shared" ca="1" si="64"/>
        <v>46506.000511999999</v>
      </c>
    </row>
    <row r="513" spans="27:39" x14ac:dyDescent="0.3">
      <c r="AA513" t="str">
        <f>IF(COUNTA('Procyflo 27TC'!B14,'Procyflo 27TC'!C14,'Procyflo 27TC'!D14)&gt;0,"27TC","")</f>
        <v>27TC</v>
      </c>
      <c r="AB513">
        <f>IFERROR(IF(ISNUMBER('Procyflo 27TC'!B14),'Procyflo 27TC'!B14,DATEVALUE('Procyflo 27TC'!B14)),"")</f>
        <v>46169</v>
      </c>
      <c r="AC513" t="str">
        <f>IF(AA513="","",'Procyflo 27TC'!C14)</f>
        <v>9938/26</v>
      </c>
      <c r="AD513">
        <f>IF(AA513="","",IFERROR(1*'Procyflo 27TC'!D14,IFERROR(_xludf.NUMBERVALUE('Procyflo 27TC'!D14,".",","),IFERROR(_xludf.NUMBERVALUE('Procyflo 27TC'!D14,",","."),0))))</f>
        <v>26000</v>
      </c>
      <c r="AE513" t="str">
        <f>IF(AA513="","",'Procyflo 27TC'!N14)</f>
        <v>Aprovado</v>
      </c>
      <c r="AF513">
        <f t="shared" si="59"/>
        <v>1</v>
      </c>
      <c r="AG513">
        <f t="shared" si="60"/>
        <v>2026</v>
      </c>
      <c r="AH513">
        <f t="shared" si="61"/>
        <v>5</v>
      </c>
      <c r="AI513">
        <f t="shared" si="62"/>
        <v>46169.000512999999</v>
      </c>
      <c r="AJ513">
        <f t="shared" si="63"/>
        <v>1</v>
      </c>
      <c r="AK513">
        <v>0</v>
      </c>
      <c r="AL513">
        <f>IF(AA513="","",IFERROR(IF(ISNUMBER('Procyflo 27TC'!E14),'Procyflo 27TC'!E14,IF(ISNUMBER(SEARCH("12",'Procyflo 27TC'!E14)),EDATE(AB513,12),IF(ISNUMBER(SEARCH("6",'Procyflo 27TC'!E14)),EDATE(AB513,6),IF(ISNUMBER(SEARCH("3",'Procyflo 27TC'!E14)),EDATE(AB513,3),DATEVALUE('Procyflo 27TC'!E14))))),""))</f>
        <v>46534</v>
      </c>
      <c r="AM513">
        <f t="shared" ca="1" si="64"/>
        <v>46534.000512999999</v>
      </c>
    </row>
    <row r="514" spans="27:39" x14ac:dyDescent="0.3">
      <c r="AA514" t="str">
        <f>IF(COUNTA('Procyflo 27TC'!B15,'Procyflo 27TC'!C15,'Procyflo 27TC'!D15)&gt;0,"27TC","")</f>
        <v/>
      </c>
      <c r="AB514" t="str">
        <f>IFERROR(IF(ISNUMBER('Procyflo 27TC'!B15),'Procyflo 27TC'!B15,DATEVALUE('Procyflo 27TC'!B15)),"")</f>
        <v/>
      </c>
      <c r="AC514" t="str">
        <f>IF(AA514="","",'Procyflo 27TC'!C15)</f>
        <v/>
      </c>
      <c r="AD514" t="str">
        <f>IF(AA514="","",IFERROR(1*'Procyflo 27TC'!D15,IFERROR(_xludf.NUMBERVALUE('Procyflo 27TC'!D15,".",","),IFERROR(_xludf.NUMBERVALUE('Procyflo 27TC'!D15,",","."),0))))</f>
        <v/>
      </c>
      <c r="AE514" t="str">
        <f>IF(AA514="","",'Procyflo 27TC'!N15)</f>
        <v/>
      </c>
      <c r="AF514">
        <f t="shared" ref="AF514:AF577" si="65">IF(AA514="",0,--AND(ISNUMBER(SEARCH("aprov",AE514)),NOT(ISNUMBER(SEARCH("reprov",AE514)))))</f>
        <v>0</v>
      </c>
      <c r="AG514" t="str">
        <f t="shared" ref="AG514:AG577" si="66">IF(AB514="","",YEAR(AB514))</f>
        <v/>
      </c>
      <c r="AH514" t="str">
        <f t="shared" ref="AH514:AH577" si="67">IF(AB514="","",MONTH(AB514))</f>
        <v/>
      </c>
      <c r="AI514">
        <f t="shared" ref="AI514:AI577" si="68">IF(AB514="",0,AB514+ROW()/1000000)</f>
        <v>0</v>
      </c>
      <c r="AJ514">
        <f t="shared" ref="AJ514:AJ577" si="69">--(AA514&lt;&gt;"")</f>
        <v>0</v>
      </c>
      <c r="AK514">
        <v>0</v>
      </c>
      <c r="AL514" t="str">
        <f>IF(AA514="","",IFERROR(IF(ISNUMBER('Procyflo 27TC'!E15),'Procyflo 27TC'!E15,IF(ISNUMBER(SEARCH("12",'Procyflo 27TC'!E15)),EDATE(AB514,12),IF(ISNUMBER(SEARCH("6",'Procyflo 27TC'!E15)),EDATE(AB514,6),IF(ISNUMBER(SEARCH("3",'Procyflo 27TC'!E15)),EDATE(AB514,3),DATEVALUE('Procyflo 27TC'!E15))))),""))</f>
        <v/>
      </c>
      <c r="AM514" t="str">
        <f t="shared" ref="AM514:AM577" ca="1" si="70">IF(AND(AJ514=1,AL514&lt;&gt;"",AL514&gt;=TODAY(),AG514=$W$3),AL514+ROW()/1000000,"")</f>
        <v/>
      </c>
    </row>
    <row r="515" spans="27:39" x14ac:dyDescent="0.3">
      <c r="AA515" t="str">
        <f>IF(COUNTA('Procyflo 27TC'!B16,'Procyflo 27TC'!C16,'Procyflo 27TC'!D16)&gt;0,"27TC","")</f>
        <v/>
      </c>
      <c r="AB515" t="str">
        <f>IFERROR(IF(ISNUMBER('Procyflo 27TC'!B16),'Procyflo 27TC'!B16,DATEVALUE('Procyflo 27TC'!B16)),"")</f>
        <v/>
      </c>
      <c r="AC515" t="str">
        <f>IF(AA515="","",'Procyflo 27TC'!C16)</f>
        <v/>
      </c>
      <c r="AD515" t="str">
        <f>IF(AA515="","",IFERROR(1*'Procyflo 27TC'!D16,IFERROR(_xludf.NUMBERVALUE('Procyflo 27TC'!D16,".",","),IFERROR(_xludf.NUMBERVALUE('Procyflo 27TC'!D16,",","."),0))))</f>
        <v/>
      </c>
      <c r="AE515" t="str">
        <f>IF(AA515="","",'Procyflo 27TC'!N16)</f>
        <v/>
      </c>
      <c r="AF515">
        <f t="shared" si="65"/>
        <v>0</v>
      </c>
      <c r="AG515" t="str">
        <f t="shared" si="66"/>
        <v/>
      </c>
      <c r="AH515" t="str">
        <f t="shared" si="67"/>
        <v/>
      </c>
      <c r="AI515">
        <f t="shared" si="68"/>
        <v>0</v>
      </c>
      <c r="AJ515">
        <f t="shared" si="69"/>
        <v>0</v>
      </c>
      <c r="AK515">
        <v>0</v>
      </c>
      <c r="AL515" t="str">
        <f>IF(AA515="","",IFERROR(IF(ISNUMBER('Procyflo 27TC'!E16),'Procyflo 27TC'!E16,IF(ISNUMBER(SEARCH("12",'Procyflo 27TC'!E16)),EDATE(AB515,12),IF(ISNUMBER(SEARCH("6",'Procyflo 27TC'!E16)),EDATE(AB515,6),IF(ISNUMBER(SEARCH("3",'Procyflo 27TC'!E16)),EDATE(AB515,3),DATEVALUE('Procyflo 27TC'!E16))))),""))</f>
        <v/>
      </c>
      <c r="AM515" t="str">
        <f t="shared" ca="1" si="70"/>
        <v/>
      </c>
    </row>
    <row r="516" spans="27:39" x14ac:dyDescent="0.3">
      <c r="AA516" t="str">
        <f>IF(COUNTA('Procyflo 27TC'!B17,'Procyflo 27TC'!C17,'Procyflo 27TC'!D17)&gt;0,"27TC","")</f>
        <v/>
      </c>
      <c r="AB516" t="str">
        <f>IFERROR(IF(ISNUMBER('Procyflo 27TC'!B17),'Procyflo 27TC'!B17,DATEVALUE('Procyflo 27TC'!B17)),"")</f>
        <v/>
      </c>
      <c r="AC516" t="str">
        <f>IF(AA516="","",'Procyflo 27TC'!C17)</f>
        <v/>
      </c>
      <c r="AD516" t="str">
        <f>IF(AA516="","",IFERROR(1*'Procyflo 27TC'!D17,IFERROR(_xludf.NUMBERVALUE('Procyflo 27TC'!D17,".",","),IFERROR(_xludf.NUMBERVALUE('Procyflo 27TC'!D17,",","."),0))))</f>
        <v/>
      </c>
      <c r="AE516" t="str">
        <f>IF(AA516="","",'Procyflo 27TC'!N17)</f>
        <v/>
      </c>
      <c r="AF516">
        <f t="shared" si="65"/>
        <v>0</v>
      </c>
      <c r="AG516" t="str">
        <f t="shared" si="66"/>
        <v/>
      </c>
      <c r="AH516" t="str">
        <f t="shared" si="67"/>
        <v/>
      </c>
      <c r="AI516">
        <f t="shared" si="68"/>
        <v>0</v>
      </c>
      <c r="AJ516">
        <f t="shared" si="69"/>
        <v>0</v>
      </c>
      <c r="AK516">
        <v>0</v>
      </c>
      <c r="AL516" t="str">
        <f>IF(AA516="","",IFERROR(IF(ISNUMBER('Procyflo 27TC'!E17),'Procyflo 27TC'!E17,IF(ISNUMBER(SEARCH("12",'Procyflo 27TC'!E17)),EDATE(AB516,12),IF(ISNUMBER(SEARCH("6",'Procyflo 27TC'!E17)),EDATE(AB516,6),IF(ISNUMBER(SEARCH("3",'Procyflo 27TC'!E17)),EDATE(AB516,3),DATEVALUE('Procyflo 27TC'!E17))))),""))</f>
        <v/>
      </c>
      <c r="AM516" t="str">
        <f t="shared" ca="1" si="70"/>
        <v/>
      </c>
    </row>
    <row r="517" spans="27:39" x14ac:dyDescent="0.3">
      <c r="AA517" t="str">
        <f>IF(COUNTA('Procyflo 27TC'!B18,'Procyflo 27TC'!C18,'Procyflo 27TC'!D18)&gt;0,"27TC","")</f>
        <v/>
      </c>
      <c r="AB517" t="str">
        <f>IFERROR(IF(ISNUMBER('Procyflo 27TC'!B18),'Procyflo 27TC'!B18,DATEVALUE('Procyflo 27TC'!B18)),"")</f>
        <v/>
      </c>
      <c r="AC517" t="str">
        <f>IF(AA517="","",'Procyflo 27TC'!C18)</f>
        <v/>
      </c>
      <c r="AD517" t="str">
        <f>IF(AA517="","",IFERROR(1*'Procyflo 27TC'!D18,IFERROR(_xludf.NUMBERVALUE('Procyflo 27TC'!D18,".",","),IFERROR(_xludf.NUMBERVALUE('Procyflo 27TC'!D18,",","."),0))))</f>
        <v/>
      </c>
      <c r="AE517" t="str">
        <f>IF(AA517="","",'Procyflo 27TC'!N18)</f>
        <v/>
      </c>
      <c r="AF517">
        <f t="shared" si="65"/>
        <v>0</v>
      </c>
      <c r="AG517" t="str">
        <f t="shared" si="66"/>
        <v/>
      </c>
      <c r="AH517" t="str">
        <f t="shared" si="67"/>
        <v/>
      </c>
      <c r="AI517">
        <f t="shared" si="68"/>
        <v>0</v>
      </c>
      <c r="AJ517">
        <f t="shared" si="69"/>
        <v>0</v>
      </c>
      <c r="AK517">
        <v>0</v>
      </c>
      <c r="AL517" t="str">
        <f>IF(AA517="","",IFERROR(IF(ISNUMBER('Procyflo 27TC'!E18),'Procyflo 27TC'!E18,IF(ISNUMBER(SEARCH("12",'Procyflo 27TC'!E18)),EDATE(AB517,12),IF(ISNUMBER(SEARCH("6",'Procyflo 27TC'!E18)),EDATE(AB517,6),IF(ISNUMBER(SEARCH("3",'Procyflo 27TC'!E18)),EDATE(AB517,3),DATEVALUE('Procyflo 27TC'!E18))))),""))</f>
        <v/>
      </c>
      <c r="AM517" t="str">
        <f t="shared" ca="1" si="70"/>
        <v/>
      </c>
    </row>
    <row r="518" spans="27:39" x14ac:dyDescent="0.3">
      <c r="AA518" t="str">
        <f>IF(COUNTA('Procyflo 27TC'!B19,'Procyflo 27TC'!C19,'Procyflo 27TC'!D19)&gt;0,"27TC","")</f>
        <v/>
      </c>
      <c r="AB518" t="str">
        <f>IFERROR(IF(ISNUMBER('Procyflo 27TC'!B19),'Procyflo 27TC'!B19,DATEVALUE('Procyflo 27TC'!B19)),"")</f>
        <v/>
      </c>
      <c r="AC518" t="str">
        <f>IF(AA518="","",'Procyflo 27TC'!C19)</f>
        <v/>
      </c>
      <c r="AD518" t="str">
        <f>IF(AA518="","",IFERROR(1*'Procyflo 27TC'!D19,IFERROR(_xludf.NUMBERVALUE('Procyflo 27TC'!D19,".",","),IFERROR(_xludf.NUMBERVALUE('Procyflo 27TC'!D19,",","."),0))))</f>
        <v/>
      </c>
      <c r="AE518" t="str">
        <f>IF(AA518="","",'Procyflo 27TC'!N19)</f>
        <v/>
      </c>
      <c r="AF518">
        <f t="shared" si="65"/>
        <v>0</v>
      </c>
      <c r="AG518" t="str">
        <f t="shared" si="66"/>
        <v/>
      </c>
      <c r="AH518" t="str">
        <f t="shared" si="67"/>
        <v/>
      </c>
      <c r="AI518">
        <f t="shared" si="68"/>
        <v>0</v>
      </c>
      <c r="AJ518">
        <f t="shared" si="69"/>
        <v>0</v>
      </c>
      <c r="AK518">
        <v>0</v>
      </c>
      <c r="AL518" t="str">
        <f>IF(AA518="","",IFERROR(IF(ISNUMBER('Procyflo 27TC'!E19),'Procyflo 27TC'!E19,IF(ISNUMBER(SEARCH("12",'Procyflo 27TC'!E19)),EDATE(AB518,12),IF(ISNUMBER(SEARCH("6",'Procyflo 27TC'!E19)),EDATE(AB518,6),IF(ISNUMBER(SEARCH("3",'Procyflo 27TC'!E19)),EDATE(AB518,3),DATEVALUE('Procyflo 27TC'!E19))))),""))</f>
        <v/>
      </c>
      <c r="AM518" t="str">
        <f t="shared" ca="1" si="70"/>
        <v/>
      </c>
    </row>
    <row r="519" spans="27:39" x14ac:dyDescent="0.3">
      <c r="AA519" t="str">
        <f>IF(COUNTA('Procyflo 27TC'!B20,'Procyflo 27TC'!C20,'Procyflo 27TC'!D20)&gt;0,"27TC","")</f>
        <v/>
      </c>
      <c r="AB519" t="str">
        <f>IFERROR(IF(ISNUMBER('Procyflo 27TC'!B20),'Procyflo 27TC'!B20,DATEVALUE('Procyflo 27TC'!B20)),"")</f>
        <v/>
      </c>
      <c r="AC519" t="str">
        <f>IF(AA519="","",'Procyflo 27TC'!C20)</f>
        <v/>
      </c>
      <c r="AD519" t="str">
        <f>IF(AA519="","",IFERROR(1*'Procyflo 27TC'!D20,IFERROR(_xludf.NUMBERVALUE('Procyflo 27TC'!D20,".",","),IFERROR(_xludf.NUMBERVALUE('Procyflo 27TC'!D20,",","."),0))))</f>
        <v/>
      </c>
      <c r="AE519" t="str">
        <f>IF(AA519="","",'Procyflo 27TC'!N20)</f>
        <v/>
      </c>
      <c r="AF519">
        <f t="shared" si="65"/>
        <v>0</v>
      </c>
      <c r="AG519" t="str">
        <f t="shared" si="66"/>
        <v/>
      </c>
      <c r="AH519" t="str">
        <f t="shared" si="67"/>
        <v/>
      </c>
      <c r="AI519">
        <f t="shared" si="68"/>
        <v>0</v>
      </c>
      <c r="AJ519">
        <f t="shared" si="69"/>
        <v>0</v>
      </c>
      <c r="AK519">
        <v>0</v>
      </c>
      <c r="AL519" t="str">
        <f>IF(AA519="","",IFERROR(IF(ISNUMBER('Procyflo 27TC'!E20),'Procyflo 27TC'!E20,IF(ISNUMBER(SEARCH("12",'Procyflo 27TC'!E20)),EDATE(AB519,12),IF(ISNUMBER(SEARCH("6",'Procyflo 27TC'!E20)),EDATE(AB519,6),IF(ISNUMBER(SEARCH("3",'Procyflo 27TC'!E20)),EDATE(AB519,3),DATEVALUE('Procyflo 27TC'!E20))))),""))</f>
        <v/>
      </c>
      <c r="AM519" t="str">
        <f t="shared" ca="1" si="70"/>
        <v/>
      </c>
    </row>
    <row r="520" spans="27:39" x14ac:dyDescent="0.3">
      <c r="AA520" t="str">
        <f>IF(COUNTA('Procyflo 27TC'!B21,'Procyflo 27TC'!C21,'Procyflo 27TC'!D21)&gt;0,"27TC","")</f>
        <v/>
      </c>
      <c r="AB520" t="str">
        <f>IFERROR(IF(ISNUMBER('Procyflo 27TC'!B21),'Procyflo 27TC'!B21,DATEVALUE('Procyflo 27TC'!B21)),"")</f>
        <v/>
      </c>
      <c r="AC520" t="str">
        <f>IF(AA520="","",'Procyflo 27TC'!C21)</f>
        <v/>
      </c>
      <c r="AD520" t="str">
        <f>IF(AA520="","",IFERROR(1*'Procyflo 27TC'!D21,IFERROR(_xludf.NUMBERVALUE('Procyflo 27TC'!D21,".",","),IFERROR(_xludf.NUMBERVALUE('Procyflo 27TC'!D21,",","."),0))))</f>
        <v/>
      </c>
      <c r="AE520" t="str">
        <f>IF(AA520="","",'Procyflo 27TC'!N21)</f>
        <v/>
      </c>
      <c r="AF520">
        <f t="shared" si="65"/>
        <v>0</v>
      </c>
      <c r="AG520" t="str">
        <f t="shared" si="66"/>
        <v/>
      </c>
      <c r="AH520" t="str">
        <f t="shared" si="67"/>
        <v/>
      </c>
      <c r="AI520">
        <f t="shared" si="68"/>
        <v>0</v>
      </c>
      <c r="AJ520">
        <f t="shared" si="69"/>
        <v>0</v>
      </c>
      <c r="AK520">
        <v>0</v>
      </c>
      <c r="AL520" t="str">
        <f>IF(AA520="","",IFERROR(IF(ISNUMBER('Procyflo 27TC'!E21),'Procyflo 27TC'!E21,IF(ISNUMBER(SEARCH("12",'Procyflo 27TC'!E21)),EDATE(AB520,12),IF(ISNUMBER(SEARCH("6",'Procyflo 27TC'!E21)),EDATE(AB520,6),IF(ISNUMBER(SEARCH("3",'Procyflo 27TC'!E21)),EDATE(AB520,3),DATEVALUE('Procyflo 27TC'!E21))))),""))</f>
        <v/>
      </c>
      <c r="AM520" t="str">
        <f t="shared" ca="1" si="70"/>
        <v/>
      </c>
    </row>
    <row r="521" spans="27:39" x14ac:dyDescent="0.3">
      <c r="AA521" t="str">
        <f>IF(COUNTA('Procyflo 27TC'!B22,'Procyflo 27TC'!C22,'Procyflo 27TC'!D22)&gt;0,"27TC","")</f>
        <v/>
      </c>
      <c r="AB521" t="str">
        <f>IFERROR(IF(ISNUMBER('Procyflo 27TC'!B22),'Procyflo 27TC'!B22,DATEVALUE('Procyflo 27TC'!B22)),"")</f>
        <v/>
      </c>
      <c r="AC521" t="str">
        <f>IF(AA521="","",'Procyflo 27TC'!C22)</f>
        <v/>
      </c>
      <c r="AD521" t="str">
        <f>IF(AA521="","",IFERROR(1*'Procyflo 27TC'!D22,IFERROR(_xludf.NUMBERVALUE('Procyflo 27TC'!D22,".",","),IFERROR(_xludf.NUMBERVALUE('Procyflo 27TC'!D22,",","."),0))))</f>
        <v/>
      </c>
      <c r="AE521" t="str">
        <f>IF(AA521="","",'Procyflo 27TC'!N22)</f>
        <v/>
      </c>
      <c r="AF521">
        <f t="shared" si="65"/>
        <v>0</v>
      </c>
      <c r="AG521" t="str">
        <f t="shared" si="66"/>
        <v/>
      </c>
      <c r="AH521" t="str">
        <f t="shared" si="67"/>
        <v/>
      </c>
      <c r="AI521">
        <f t="shared" si="68"/>
        <v>0</v>
      </c>
      <c r="AJ521">
        <f t="shared" si="69"/>
        <v>0</v>
      </c>
      <c r="AK521">
        <v>0</v>
      </c>
      <c r="AL521" t="str">
        <f>IF(AA521="","",IFERROR(IF(ISNUMBER('Procyflo 27TC'!E22),'Procyflo 27TC'!E22,IF(ISNUMBER(SEARCH("12",'Procyflo 27TC'!E22)),EDATE(AB521,12),IF(ISNUMBER(SEARCH("6",'Procyflo 27TC'!E22)),EDATE(AB521,6),IF(ISNUMBER(SEARCH("3",'Procyflo 27TC'!E22)),EDATE(AB521,3),DATEVALUE('Procyflo 27TC'!E22))))),""))</f>
        <v/>
      </c>
      <c r="AM521" t="str">
        <f t="shared" ca="1" si="70"/>
        <v/>
      </c>
    </row>
    <row r="522" spans="27:39" x14ac:dyDescent="0.3">
      <c r="AA522" t="str">
        <f>IF(COUNTA('Procyflo 27TC'!B23,'Procyflo 27TC'!C23,'Procyflo 27TC'!D23)&gt;0,"27TC","")</f>
        <v/>
      </c>
      <c r="AB522" t="str">
        <f>IFERROR(IF(ISNUMBER('Procyflo 27TC'!B23),'Procyflo 27TC'!B23,DATEVALUE('Procyflo 27TC'!B23)),"")</f>
        <v/>
      </c>
      <c r="AC522" t="str">
        <f>IF(AA522="","",'Procyflo 27TC'!C23)</f>
        <v/>
      </c>
      <c r="AD522" t="str">
        <f>IF(AA522="","",IFERROR(1*'Procyflo 27TC'!D23,IFERROR(_xludf.NUMBERVALUE('Procyflo 27TC'!D23,".",","),IFERROR(_xludf.NUMBERVALUE('Procyflo 27TC'!D23,",","."),0))))</f>
        <v/>
      </c>
      <c r="AE522" t="str">
        <f>IF(AA522="","",'Procyflo 27TC'!N23)</f>
        <v/>
      </c>
      <c r="AF522">
        <f t="shared" si="65"/>
        <v>0</v>
      </c>
      <c r="AG522" t="str">
        <f t="shared" si="66"/>
        <v/>
      </c>
      <c r="AH522" t="str">
        <f t="shared" si="67"/>
        <v/>
      </c>
      <c r="AI522">
        <f t="shared" si="68"/>
        <v>0</v>
      </c>
      <c r="AJ522">
        <f t="shared" si="69"/>
        <v>0</v>
      </c>
      <c r="AK522">
        <v>0</v>
      </c>
      <c r="AL522" t="str">
        <f>IF(AA522="","",IFERROR(IF(ISNUMBER('Procyflo 27TC'!E23),'Procyflo 27TC'!E23,IF(ISNUMBER(SEARCH("12",'Procyflo 27TC'!E23)),EDATE(AB522,12),IF(ISNUMBER(SEARCH("6",'Procyflo 27TC'!E23)),EDATE(AB522,6),IF(ISNUMBER(SEARCH("3",'Procyflo 27TC'!E23)),EDATE(AB522,3),DATEVALUE('Procyflo 27TC'!E23))))),""))</f>
        <v/>
      </c>
      <c r="AM522" t="str">
        <f t="shared" ca="1" si="70"/>
        <v/>
      </c>
    </row>
    <row r="523" spans="27:39" x14ac:dyDescent="0.3">
      <c r="AA523" t="str">
        <f>IF(COUNTA('Procyflo 27TC'!B24,'Procyflo 27TC'!C24,'Procyflo 27TC'!D24)&gt;0,"27TC","")</f>
        <v/>
      </c>
      <c r="AB523" t="str">
        <f>IFERROR(IF(ISNUMBER('Procyflo 27TC'!B24),'Procyflo 27TC'!B24,DATEVALUE('Procyflo 27TC'!B24)),"")</f>
        <v/>
      </c>
      <c r="AC523" t="str">
        <f>IF(AA523="","",'Procyflo 27TC'!C24)</f>
        <v/>
      </c>
      <c r="AD523" t="str">
        <f>IF(AA523="","",IFERROR(1*'Procyflo 27TC'!D24,IFERROR(_xludf.NUMBERVALUE('Procyflo 27TC'!D24,".",","),IFERROR(_xludf.NUMBERVALUE('Procyflo 27TC'!D24,",","."),0))))</f>
        <v/>
      </c>
      <c r="AE523" t="str">
        <f>IF(AA523="","",'Procyflo 27TC'!N24)</f>
        <v/>
      </c>
      <c r="AF523">
        <f t="shared" si="65"/>
        <v>0</v>
      </c>
      <c r="AG523" t="str">
        <f t="shared" si="66"/>
        <v/>
      </c>
      <c r="AH523" t="str">
        <f t="shared" si="67"/>
        <v/>
      </c>
      <c r="AI523">
        <f t="shared" si="68"/>
        <v>0</v>
      </c>
      <c r="AJ523">
        <f t="shared" si="69"/>
        <v>0</v>
      </c>
      <c r="AK523">
        <v>0</v>
      </c>
      <c r="AL523" t="str">
        <f>IF(AA523="","",IFERROR(IF(ISNUMBER('Procyflo 27TC'!E24),'Procyflo 27TC'!E24,IF(ISNUMBER(SEARCH("12",'Procyflo 27TC'!E24)),EDATE(AB523,12),IF(ISNUMBER(SEARCH("6",'Procyflo 27TC'!E24)),EDATE(AB523,6),IF(ISNUMBER(SEARCH("3",'Procyflo 27TC'!E24)),EDATE(AB523,3),DATEVALUE('Procyflo 27TC'!E24))))),""))</f>
        <v/>
      </c>
      <c r="AM523" t="str">
        <f t="shared" ca="1" si="70"/>
        <v/>
      </c>
    </row>
    <row r="524" spans="27:39" x14ac:dyDescent="0.3">
      <c r="AA524" t="str">
        <f>IF(COUNTA('Procyflo 27TC'!B25,'Procyflo 27TC'!C25,'Procyflo 27TC'!D25)&gt;0,"27TC","")</f>
        <v/>
      </c>
      <c r="AB524" t="str">
        <f>IFERROR(IF(ISNUMBER('Procyflo 27TC'!B25),'Procyflo 27TC'!B25,DATEVALUE('Procyflo 27TC'!B25)),"")</f>
        <v/>
      </c>
      <c r="AC524" t="str">
        <f>IF(AA524="","",'Procyflo 27TC'!C25)</f>
        <v/>
      </c>
      <c r="AD524" t="str">
        <f>IF(AA524="","",IFERROR(1*'Procyflo 27TC'!D25,IFERROR(_xludf.NUMBERVALUE('Procyflo 27TC'!D25,".",","),IFERROR(_xludf.NUMBERVALUE('Procyflo 27TC'!D25,",","."),0))))</f>
        <v/>
      </c>
      <c r="AE524" t="str">
        <f>IF(AA524="","",'Procyflo 27TC'!N25)</f>
        <v/>
      </c>
      <c r="AF524">
        <f t="shared" si="65"/>
        <v>0</v>
      </c>
      <c r="AG524" t="str">
        <f t="shared" si="66"/>
        <v/>
      </c>
      <c r="AH524" t="str">
        <f t="shared" si="67"/>
        <v/>
      </c>
      <c r="AI524">
        <f t="shared" si="68"/>
        <v>0</v>
      </c>
      <c r="AJ524">
        <f t="shared" si="69"/>
        <v>0</v>
      </c>
      <c r="AK524">
        <v>0</v>
      </c>
      <c r="AL524" t="str">
        <f>IF(AA524="","",IFERROR(IF(ISNUMBER('Procyflo 27TC'!E25),'Procyflo 27TC'!E25,IF(ISNUMBER(SEARCH("12",'Procyflo 27TC'!E25)),EDATE(AB524,12),IF(ISNUMBER(SEARCH("6",'Procyflo 27TC'!E25)),EDATE(AB524,6),IF(ISNUMBER(SEARCH("3",'Procyflo 27TC'!E25)),EDATE(AB524,3),DATEVALUE('Procyflo 27TC'!E25))))),""))</f>
        <v/>
      </c>
      <c r="AM524" t="str">
        <f t="shared" ca="1" si="70"/>
        <v/>
      </c>
    </row>
    <row r="525" spans="27:39" x14ac:dyDescent="0.3">
      <c r="AA525" t="str">
        <f>IF(COUNTA('Procyflo 27TC'!B26,'Procyflo 27TC'!C26,'Procyflo 27TC'!D26)&gt;0,"27TC","")</f>
        <v/>
      </c>
      <c r="AB525" t="str">
        <f>IFERROR(IF(ISNUMBER('Procyflo 27TC'!B26),'Procyflo 27TC'!B26,DATEVALUE('Procyflo 27TC'!B26)),"")</f>
        <v/>
      </c>
      <c r="AC525" t="str">
        <f>IF(AA525="","",'Procyflo 27TC'!C26)</f>
        <v/>
      </c>
      <c r="AD525" t="str">
        <f>IF(AA525="","",IFERROR(1*'Procyflo 27TC'!D26,IFERROR(_xludf.NUMBERVALUE('Procyflo 27TC'!D26,".",","),IFERROR(_xludf.NUMBERVALUE('Procyflo 27TC'!D26,",","."),0))))</f>
        <v/>
      </c>
      <c r="AE525" t="str">
        <f>IF(AA525="","",'Procyflo 27TC'!N26)</f>
        <v/>
      </c>
      <c r="AF525">
        <f t="shared" si="65"/>
        <v>0</v>
      </c>
      <c r="AG525" t="str">
        <f t="shared" si="66"/>
        <v/>
      </c>
      <c r="AH525" t="str">
        <f t="shared" si="67"/>
        <v/>
      </c>
      <c r="AI525">
        <f t="shared" si="68"/>
        <v>0</v>
      </c>
      <c r="AJ525">
        <f t="shared" si="69"/>
        <v>0</v>
      </c>
      <c r="AK525">
        <v>0</v>
      </c>
      <c r="AL525" t="str">
        <f>IF(AA525="","",IFERROR(IF(ISNUMBER('Procyflo 27TC'!E26),'Procyflo 27TC'!E26,IF(ISNUMBER(SEARCH("12",'Procyflo 27TC'!E26)),EDATE(AB525,12),IF(ISNUMBER(SEARCH("6",'Procyflo 27TC'!E26)),EDATE(AB525,6),IF(ISNUMBER(SEARCH("3",'Procyflo 27TC'!E26)),EDATE(AB525,3),DATEVALUE('Procyflo 27TC'!E26))))),""))</f>
        <v/>
      </c>
      <c r="AM525" t="str">
        <f t="shared" ca="1" si="70"/>
        <v/>
      </c>
    </row>
    <row r="526" spans="27:39" x14ac:dyDescent="0.3">
      <c r="AA526" t="str">
        <f>IF(COUNTA('Procyflo 27TC'!B27,'Procyflo 27TC'!C27,'Procyflo 27TC'!D27)&gt;0,"27TC","")</f>
        <v/>
      </c>
      <c r="AB526" t="str">
        <f>IFERROR(IF(ISNUMBER('Procyflo 27TC'!B27),'Procyflo 27TC'!B27,DATEVALUE('Procyflo 27TC'!B27)),"")</f>
        <v/>
      </c>
      <c r="AC526" t="str">
        <f>IF(AA526="","",'Procyflo 27TC'!C27)</f>
        <v/>
      </c>
      <c r="AD526" t="str">
        <f>IF(AA526="","",IFERROR(1*'Procyflo 27TC'!D27,IFERROR(_xludf.NUMBERVALUE('Procyflo 27TC'!D27,".",","),IFERROR(_xludf.NUMBERVALUE('Procyflo 27TC'!D27,",","."),0))))</f>
        <v/>
      </c>
      <c r="AE526" t="str">
        <f>IF(AA526="","",'Procyflo 27TC'!N27)</f>
        <v/>
      </c>
      <c r="AF526">
        <f t="shared" si="65"/>
        <v>0</v>
      </c>
      <c r="AG526" t="str">
        <f t="shared" si="66"/>
        <v/>
      </c>
      <c r="AH526" t="str">
        <f t="shared" si="67"/>
        <v/>
      </c>
      <c r="AI526">
        <f t="shared" si="68"/>
        <v>0</v>
      </c>
      <c r="AJ526">
        <f t="shared" si="69"/>
        <v>0</v>
      </c>
      <c r="AK526">
        <v>0</v>
      </c>
      <c r="AL526" t="str">
        <f>IF(AA526="","",IFERROR(IF(ISNUMBER('Procyflo 27TC'!E27),'Procyflo 27TC'!E27,IF(ISNUMBER(SEARCH("12",'Procyflo 27TC'!E27)),EDATE(AB526,12),IF(ISNUMBER(SEARCH("6",'Procyflo 27TC'!E27)),EDATE(AB526,6),IF(ISNUMBER(SEARCH("3",'Procyflo 27TC'!E27)),EDATE(AB526,3),DATEVALUE('Procyflo 27TC'!E27))))),""))</f>
        <v/>
      </c>
      <c r="AM526" t="str">
        <f t="shared" ca="1" si="70"/>
        <v/>
      </c>
    </row>
    <row r="527" spans="27:39" x14ac:dyDescent="0.3">
      <c r="AA527" t="str">
        <f>IF(COUNTA('Procyflo 27TC'!B28,'Procyflo 27TC'!C28,'Procyflo 27TC'!D28)&gt;0,"27TC","")</f>
        <v/>
      </c>
      <c r="AB527" t="str">
        <f>IFERROR(IF(ISNUMBER('Procyflo 27TC'!B28),'Procyflo 27TC'!B28,DATEVALUE('Procyflo 27TC'!B28)),"")</f>
        <v/>
      </c>
      <c r="AC527" t="str">
        <f>IF(AA527="","",'Procyflo 27TC'!C28)</f>
        <v/>
      </c>
      <c r="AD527" t="str">
        <f>IF(AA527="","",IFERROR(1*'Procyflo 27TC'!D28,IFERROR(_xludf.NUMBERVALUE('Procyflo 27TC'!D28,".",","),IFERROR(_xludf.NUMBERVALUE('Procyflo 27TC'!D28,",","."),0))))</f>
        <v/>
      </c>
      <c r="AE527" t="str">
        <f>IF(AA527="","",'Procyflo 27TC'!N28)</f>
        <v/>
      </c>
      <c r="AF527">
        <f t="shared" si="65"/>
        <v>0</v>
      </c>
      <c r="AG527" t="str">
        <f t="shared" si="66"/>
        <v/>
      </c>
      <c r="AH527" t="str">
        <f t="shared" si="67"/>
        <v/>
      </c>
      <c r="AI527">
        <f t="shared" si="68"/>
        <v>0</v>
      </c>
      <c r="AJ527">
        <f t="shared" si="69"/>
        <v>0</v>
      </c>
      <c r="AK527">
        <v>0</v>
      </c>
      <c r="AL527" t="str">
        <f>IF(AA527="","",IFERROR(IF(ISNUMBER('Procyflo 27TC'!E28),'Procyflo 27TC'!E28,IF(ISNUMBER(SEARCH("12",'Procyflo 27TC'!E28)),EDATE(AB527,12),IF(ISNUMBER(SEARCH("6",'Procyflo 27TC'!E28)),EDATE(AB527,6),IF(ISNUMBER(SEARCH("3",'Procyflo 27TC'!E28)),EDATE(AB527,3),DATEVALUE('Procyflo 27TC'!E28))))),""))</f>
        <v/>
      </c>
      <c r="AM527" t="str">
        <f t="shared" ca="1" si="70"/>
        <v/>
      </c>
    </row>
    <row r="528" spans="27:39" x14ac:dyDescent="0.3">
      <c r="AA528" t="str">
        <f>IF(COUNTA('Procyflo 27TC'!B29,'Procyflo 27TC'!C29,'Procyflo 27TC'!D29)&gt;0,"27TC","")</f>
        <v/>
      </c>
      <c r="AB528" t="str">
        <f>IFERROR(IF(ISNUMBER('Procyflo 27TC'!B29),'Procyflo 27TC'!B29,DATEVALUE('Procyflo 27TC'!B29)),"")</f>
        <v/>
      </c>
      <c r="AC528" t="str">
        <f>IF(AA528="","",'Procyflo 27TC'!C29)</f>
        <v/>
      </c>
      <c r="AD528" t="str">
        <f>IF(AA528="","",IFERROR(1*'Procyflo 27TC'!D29,IFERROR(_xludf.NUMBERVALUE('Procyflo 27TC'!D29,".",","),IFERROR(_xludf.NUMBERVALUE('Procyflo 27TC'!D29,",","."),0))))</f>
        <v/>
      </c>
      <c r="AE528" t="str">
        <f>IF(AA528="","",'Procyflo 27TC'!N29)</f>
        <v/>
      </c>
      <c r="AF528">
        <f t="shared" si="65"/>
        <v>0</v>
      </c>
      <c r="AG528" t="str">
        <f t="shared" si="66"/>
        <v/>
      </c>
      <c r="AH528" t="str">
        <f t="shared" si="67"/>
        <v/>
      </c>
      <c r="AI528">
        <f t="shared" si="68"/>
        <v>0</v>
      </c>
      <c r="AJ528">
        <f t="shared" si="69"/>
        <v>0</v>
      </c>
      <c r="AK528">
        <v>0</v>
      </c>
      <c r="AL528" t="str">
        <f>IF(AA528="","",IFERROR(IF(ISNUMBER('Procyflo 27TC'!E29),'Procyflo 27TC'!E29,IF(ISNUMBER(SEARCH("12",'Procyflo 27TC'!E29)),EDATE(AB528,12),IF(ISNUMBER(SEARCH("6",'Procyflo 27TC'!E29)),EDATE(AB528,6),IF(ISNUMBER(SEARCH("3",'Procyflo 27TC'!E29)),EDATE(AB528,3),DATEVALUE('Procyflo 27TC'!E29))))),""))</f>
        <v/>
      </c>
      <c r="AM528" t="str">
        <f t="shared" ca="1" si="70"/>
        <v/>
      </c>
    </row>
    <row r="529" spans="27:39" x14ac:dyDescent="0.3">
      <c r="AA529" t="str">
        <f>IF(COUNTA('Procyflo 27TC'!B30,'Procyflo 27TC'!C30,'Procyflo 27TC'!D30)&gt;0,"27TC","")</f>
        <v/>
      </c>
      <c r="AB529" t="str">
        <f>IFERROR(IF(ISNUMBER('Procyflo 27TC'!B30),'Procyflo 27TC'!B30,DATEVALUE('Procyflo 27TC'!B30)),"")</f>
        <v/>
      </c>
      <c r="AC529" t="str">
        <f>IF(AA529="","",'Procyflo 27TC'!C30)</f>
        <v/>
      </c>
      <c r="AD529" t="str">
        <f>IF(AA529="","",IFERROR(1*'Procyflo 27TC'!D30,IFERROR(_xludf.NUMBERVALUE('Procyflo 27TC'!D30,".",","),IFERROR(_xludf.NUMBERVALUE('Procyflo 27TC'!D30,",","."),0))))</f>
        <v/>
      </c>
      <c r="AE529" t="str">
        <f>IF(AA529="","",'Procyflo 27TC'!N30)</f>
        <v/>
      </c>
      <c r="AF529">
        <f t="shared" si="65"/>
        <v>0</v>
      </c>
      <c r="AG529" t="str">
        <f t="shared" si="66"/>
        <v/>
      </c>
      <c r="AH529" t="str">
        <f t="shared" si="67"/>
        <v/>
      </c>
      <c r="AI529">
        <f t="shared" si="68"/>
        <v>0</v>
      </c>
      <c r="AJ529">
        <f t="shared" si="69"/>
        <v>0</v>
      </c>
      <c r="AK529">
        <v>0</v>
      </c>
      <c r="AL529" t="str">
        <f>IF(AA529="","",IFERROR(IF(ISNUMBER('Procyflo 27TC'!E30),'Procyflo 27TC'!E30,IF(ISNUMBER(SEARCH("12",'Procyflo 27TC'!E30)),EDATE(AB529,12),IF(ISNUMBER(SEARCH("6",'Procyflo 27TC'!E30)),EDATE(AB529,6),IF(ISNUMBER(SEARCH("3",'Procyflo 27TC'!E30)),EDATE(AB529,3),DATEVALUE('Procyflo 27TC'!E30))))),""))</f>
        <v/>
      </c>
      <c r="AM529" t="str">
        <f t="shared" ca="1" si="70"/>
        <v/>
      </c>
    </row>
    <row r="530" spans="27:39" x14ac:dyDescent="0.3">
      <c r="AA530" t="str">
        <f>IF(COUNTA('Procyflo 27TC'!B31,'Procyflo 27TC'!C31,'Procyflo 27TC'!D31)&gt;0,"27TC","")</f>
        <v/>
      </c>
      <c r="AB530" t="str">
        <f>IFERROR(IF(ISNUMBER('Procyflo 27TC'!B31),'Procyflo 27TC'!B31,DATEVALUE('Procyflo 27TC'!B31)),"")</f>
        <v/>
      </c>
      <c r="AC530" t="str">
        <f>IF(AA530="","",'Procyflo 27TC'!C31)</f>
        <v/>
      </c>
      <c r="AD530" t="str">
        <f>IF(AA530="","",IFERROR(1*'Procyflo 27TC'!D31,IFERROR(_xludf.NUMBERVALUE('Procyflo 27TC'!D31,".",","),IFERROR(_xludf.NUMBERVALUE('Procyflo 27TC'!D31,",","."),0))))</f>
        <v/>
      </c>
      <c r="AE530" t="str">
        <f>IF(AA530="","",'Procyflo 27TC'!N31)</f>
        <v/>
      </c>
      <c r="AF530">
        <f t="shared" si="65"/>
        <v>0</v>
      </c>
      <c r="AG530" t="str">
        <f t="shared" si="66"/>
        <v/>
      </c>
      <c r="AH530" t="str">
        <f t="shared" si="67"/>
        <v/>
      </c>
      <c r="AI530">
        <f t="shared" si="68"/>
        <v>0</v>
      </c>
      <c r="AJ530">
        <f t="shared" si="69"/>
        <v>0</v>
      </c>
      <c r="AK530">
        <v>0</v>
      </c>
      <c r="AL530" t="str">
        <f>IF(AA530="","",IFERROR(IF(ISNUMBER('Procyflo 27TC'!E31),'Procyflo 27TC'!E31,IF(ISNUMBER(SEARCH("12",'Procyflo 27TC'!E31)),EDATE(AB530,12),IF(ISNUMBER(SEARCH("6",'Procyflo 27TC'!E31)),EDATE(AB530,6),IF(ISNUMBER(SEARCH("3",'Procyflo 27TC'!E31)),EDATE(AB530,3),DATEVALUE('Procyflo 27TC'!E31))))),""))</f>
        <v/>
      </c>
      <c r="AM530" t="str">
        <f t="shared" ca="1" si="70"/>
        <v/>
      </c>
    </row>
    <row r="531" spans="27:39" x14ac:dyDescent="0.3">
      <c r="AA531" t="str">
        <f>IF(COUNTA('Procyflo 27TC'!B32,'Procyflo 27TC'!C32,'Procyflo 27TC'!D32)&gt;0,"27TC","")</f>
        <v/>
      </c>
      <c r="AB531" t="str">
        <f>IFERROR(IF(ISNUMBER('Procyflo 27TC'!B32),'Procyflo 27TC'!B32,DATEVALUE('Procyflo 27TC'!B32)),"")</f>
        <v/>
      </c>
      <c r="AC531" t="str">
        <f>IF(AA531="","",'Procyflo 27TC'!C32)</f>
        <v/>
      </c>
      <c r="AD531" t="str">
        <f>IF(AA531="","",IFERROR(1*'Procyflo 27TC'!D32,IFERROR(_xludf.NUMBERVALUE('Procyflo 27TC'!D32,".",","),IFERROR(_xludf.NUMBERVALUE('Procyflo 27TC'!D32,",","."),0))))</f>
        <v/>
      </c>
      <c r="AE531" t="str">
        <f>IF(AA531="","",'Procyflo 27TC'!N32)</f>
        <v/>
      </c>
      <c r="AF531">
        <f t="shared" si="65"/>
        <v>0</v>
      </c>
      <c r="AG531" t="str">
        <f t="shared" si="66"/>
        <v/>
      </c>
      <c r="AH531" t="str">
        <f t="shared" si="67"/>
        <v/>
      </c>
      <c r="AI531">
        <f t="shared" si="68"/>
        <v>0</v>
      </c>
      <c r="AJ531">
        <f t="shared" si="69"/>
        <v>0</v>
      </c>
      <c r="AK531">
        <v>0</v>
      </c>
      <c r="AL531" t="str">
        <f>IF(AA531="","",IFERROR(IF(ISNUMBER('Procyflo 27TC'!E32),'Procyflo 27TC'!E32,IF(ISNUMBER(SEARCH("12",'Procyflo 27TC'!E32)),EDATE(AB531,12),IF(ISNUMBER(SEARCH("6",'Procyflo 27TC'!E32)),EDATE(AB531,6),IF(ISNUMBER(SEARCH("3",'Procyflo 27TC'!E32)),EDATE(AB531,3),DATEVALUE('Procyflo 27TC'!E32))))),""))</f>
        <v/>
      </c>
      <c r="AM531" t="str">
        <f t="shared" ca="1" si="70"/>
        <v/>
      </c>
    </row>
    <row r="532" spans="27:39" x14ac:dyDescent="0.3">
      <c r="AA532" t="str">
        <f>IF(COUNTA('Procyflo 27TC'!B33,'Procyflo 27TC'!C33,'Procyflo 27TC'!D33)&gt;0,"27TC","")</f>
        <v/>
      </c>
      <c r="AB532" t="str">
        <f>IFERROR(IF(ISNUMBER('Procyflo 27TC'!B33),'Procyflo 27TC'!B33,DATEVALUE('Procyflo 27TC'!B33)),"")</f>
        <v/>
      </c>
      <c r="AC532" t="str">
        <f>IF(AA532="","",'Procyflo 27TC'!C33)</f>
        <v/>
      </c>
      <c r="AD532" t="str">
        <f>IF(AA532="","",IFERROR(1*'Procyflo 27TC'!D33,IFERROR(_xludf.NUMBERVALUE('Procyflo 27TC'!D33,".",","),IFERROR(_xludf.NUMBERVALUE('Procyflo 27TC'!D33,",","."),0))))</f>
        <v/>
      </c>
      <c r="AE532" t="str">
        <f>IF(AA532="","",'Procyflo 27TC'!N33)</f>
        <v/>
      </c>
      <c r="AF532">
        <f t="shared" si="65"/>
        <v>0</v>
      </c>
      <c r="AG532" t="str">
        <f t="shared" si="66"/>
        <v/>
      </c>
      <c r="AH532" t="str">
        <f t="shared" si="67"/>
        <v/>
      </c>
      <c r="AI532">
        <f t="shared" si="68"/>
        <v>0</v>
      </c>
      <c r="AJ532">
        <f t="shared" si="69"/>
        <v>0</v>
      </c>
      <c r="AK532">
        <v>0</v>
      </c>
      <c r="AL532" t="str">
        <f>IF(AA532="","",IFERROR(IF(ISNUMBER('Procyflo 27TC'!E33),'Procyflo 27TC'!E33,IF(ISNUMBER(SEARCH("12",'Procyflo 27TC'!E33)),EDATE(AB532,12),IF(ISNUMBER(SEARCH("6",'Procyflo 27TC'!E33)),EDATE(AB532,6),IF(ISNUMBER(SEARCH("3",'Procyflo 27TC'!E33)),EDATE(AB532,3),DATEVALUE('Procyflo 27TC'!E33))))),""))</f>
        <v/>
      </c>
      <c r="AM532" t="str">
        <f t="shared" ca="1" si="70"/>
        <v/>
      </c>
    </row>
    <row r="533" spans="27:39" x14ac:dyDescent="0.3">
      <c r="AA533" t="str">
        <f>IF(COUNTA('Procyflo 27TC'!B34,'Procyflo 27TC'!C34,'Procyflo 27TC'!D34)&gt;0,"27TC","")</f>
        <v/>
      </c>
      <c r="AB533" t="str">
        <f>IFERROR(IF(ISNUMBER('Procyflo 27TC'!B34),'Procyflo 27TC'!B34,DATEVALUE('Procyflo 27TC'!B34)),"")</f>
        <v/>
      </c>
      <c r="AC533" t="str">
        <f>IF(AA533="","",'Procyflo 27TC'!C34)</f>
        <v/>
      </c>
      <c r="AD533" t="str">
        <f>IF(AA533="","",IFERROR(1*'Procyflo 27TC'!D34,IFERROR(_xludf.NUMBERVALUE('Procyflo 27TC'!D34,".",","),IFERROR(_xludf.NUMBERVALUE('Procyflo 27TC'!D34,",","."),0))))</f>
        <v/>
      </c>
      <c r="AE533" t="str">
        <f>IF(AA533="","",'Procyflo 27TC'!N34)</f>
        <v/>
      </c>
      <c r="AF533">
        <f t="shared" si="65"/>
        <v>0</v>
      </c>
      <c r="AG533" t="str">
        <f t="shared" si="66"/>
        <v/>
      </c>
      <c r="AH533" t="str">
        <f t="shared" si="67"/>
        <v/>
      </c>
      <c r="AI533">
        <f t="shared" si="68"/>
        <v>0</v>
      </c>
      <c r="AJ533">
        <f t="shared" si="69"/>
        <v>0</v>
      </c>
      <c r="AK533">
        <v>0</v>
      </c>
      <c r="AL533" t="str">
        <f>IF(AA533="","",IFERROR(IF(ISNUMBER('Procyflo 27TC'!E34),'Procyflo 27TC'!E34,IF(ISNUMBER(SEARCH("12",'Procyflo 27TC'!E34)),EDATE(AB533,12),IF(ISNUMBER(SEARCH("6",'Procyflo 27TC'!E34)),EDATE(AB533,6),IF(ISNUMBER(SEARCH("3",'Procyflo 27TC'!E34)),EDATE(AB533,3),DATEVALUE('Procyflo 27TC'!E34))))),""))</f>
        <v/>
      </c>
      <c r="AM533" t="str">
        <f t="shared" ca="1" si="70"/>
        <v/>
      </c>
    </row>
    <row r="534" spans="27:39" x14ac:dyDescent="0.3">
      <c r="AA534" t="str">
        <f>IF(COUNTA('Procyflo 27TC'!B35,'Procyflo 27TC'!C35,'Procyflo 27TC'!D35)&gt;0,"27TC","")</f>
        <v/>
      </c>
      <c r="AB534" t="str">
        <f>IFERROR(IF(ISNUMBER('Procyflo 27TC'!B35),'Procyflo 27TC'!B35,DATEVALUE('Procyflo 27TC'!B35)),"")</f>
        <v/>
      </c>
      <c r="AC534" t="str">
        <f>IF(AA534="","",'Procyflo 27TC'!C35)</f>
        <v/>
      </c>
      <c r="AD534" t="str">
        <f>IF(AA534="","",IFERROR(1*'Procyflo 27TC'!D35,IFERROR(_xludf.NUMBERVALUE('Procyflo 27TC'!D35,".",","),IFERROR(_xludf.NUMBERVALUE('Procyflo 27TC'!D35,",","."),0))))</f>
        <v/>
      </c>
      <c r="AE534" t="str">
        <f>IF(AA534="","",'Procyflo 27TC'!N35)</f>
        <v/>
      </c>
      <c r="AF534">
        <f t="shared" si="65"/>
        <v>0</v>
      </c>
      <c r="AG534" t="str">
        <f t="shared" si="66"/>
        <v/>
      </c>
      <c r="AH534" t="str">
        <f t="shared" si="67"/>
        <v/>
      </c>
      <c r="AI534">
        <f t="shared" si="68"/>
        <v>0</v>
      </c>
      <c r="AJ534">
        <f t="shared" si="69"/>
        <v>0</v>
      </c>
      <c r="AK534">
        <v>0</v>
      </c>
      <c r="AL534" t="str">
        <f>IF(AA534="","",IFERROR(IF(ISNUMBER('Procyflo 27TC'!E35),'Procyflo 27TC'!E35,IF(ISNUMBER(SEARCH("12",'Procyflo 27TC'!E35)),EDATE(AB534,12),IF(ISNUMBER(SEARCH("6",'Procyflo 27TC'!E35)),EDATE(AB534,6),IF(ISNUMBER(SEARCH("3",'Procyflo 27TC'!E35)),EDATE(AB534,3),DATEVALUE('Procyflo 27TC'!E35))))),""))</f>
        <v/>
      </c>
      <c r="AM534" t="str">
        <f t="shared" ca="1" si="70"/>
        <v/>
      </c>
    </row>
    <row r="535" spans="27:39" x14ac:dyDescent="0.3">
      <c r="AA535" t="str">
        <f>IF(COUNTA('Procyflo 27TC'!B36,'Procyflo 27TC'!C36,'Procyflo 27TC'!D36)&gt;0,"27TC","")</f>
        <v/>
      </c>
      <c r="AB535" t="str">
        <f>IFERROR(IF(ISNUMBER('Procyflo 27TC'!B36),'Procyflo 27TC'!B36,DATEVALUE('Procyflo 27TC'!B36)),"")</f>
        <v/>
      </c>
      <c r="AC535" t="str">
        <f>IF(AA535="","",'Procyflo 27TC'!C36)</f>
        <v/>
      </c>
      <c r="AD535" t="str">
        <f>IF(AA535="","",IFERROR(1*'Procyflo 27TC'!D36,IFERROR(_xludf.NUMBERVALUE('Procyflo 27TC'!D36,".",","),IFERROR(_xludf.NUMBERVALUE('Procyflo 27TC'!D36,",","."),0))))</f>
        <v/>
      </c>
      <c r="AE535" t="str">
        <f>IF(AA535="","",'Procyflo 27TC'!N36)</f>
        <v/>
      </c>
      <c r="AF535">
        <f t="shared" si="65"/>
        <v>0</v>
      </c>
      <c r="AG535" t="str">
        <f t="shared" si="66"/>
        <v/>
      </c>
      <c r="AH535" t="str">
        <f t="shared" si="67"/>
        <v/>
      </c>
      <c r="AI535">
        <f t="shared" si="68"/>
        <v>0</v>
      </c>
      <c r="AJ535">
        <f t="shared" si="69"/>
        <v>0</v>
      </c>
      <c r="AK535">
        <v>0</v>
      </c>
      <c r="AL535" t="str">
        <f>IF(AA535="","",IFERROR(IF(ISNUMBER('Procyflo 27TC'!E36),'Procyflo 27TC'!E36,IF(ISNUMBER(SEARCH("12",'Procyflo 27TC'!E36)),EDATE(AB535,12),IF(ISNUMBER(SEARCH("6",'Procyflo 27TC'!E36)),EDATE(AB535,6),IF(ISNUMBER(SEARCH("3",'Procyflo 27TC'!E36)),EDATE(AB535,3),DATEVALUE('Procyflo 27TC'!E36))))),""))</f>
        <v/>
      </c>
      <c r="AM535" t="str">
        <f t="shared" ca="1" si="70"/>
        <v/>
      </c>
    </row>
    <row r="536" spans="27:39" x14ac:dyDescent="0.3">
      <c r="AA536" t="str">
        <f>IF(COUNTA('Procyflo 27TC'!B37,'Procyflo 27TC'!C37,'Procyflo 27TC'!D37)&gt;0,"27TC","")</f>
        <v/>
      </c>
      <c r="AB536" t="str">
        <f>IFERROR(IF(ISNUMBER('Procyflo 27TC'!B37),'Procyflo 27TC'!B37,DATEVALUE('Procyflo 27TC'!B37)),"")</f>
        <v/>
      </c>
      <c r="AC536" t="str">
        <f>IF(AA536="","",'Procyflo 27TC'!C37)</f>
        <v/>
      </c>
      <c r="AD536" t="str">
        <f>IF(AA536="","",IFERROR(1*'Procyflo 27TC'!D37,IFERROR(_xludf.NUMBERVALUE('Procyflo 27TC'!D37,".",","),IFERROR(_xludf.NUMBERVALUE('Procyflo 27TC'!D37,",","."),0))))</f>
        <v/>
      </c>
      <c r="AE536" t="str">
        <f>IF(AA536="","",'Procyflo 27TC'!N37)</f>
        <v/>
      </c>
      <c r="AF536">
        <f t="shared" si="65"/>
        <v>0</v>
      </c>
      <c r="AG536" t="str">
        <f t="shared" si="66"/>
        <v/>
      </c>
      <c r="AH536" t="str">
        <f t="shared" si="67"/>
        <v/>
      </c>
      <c r="AI536">
        <f t="shared" si="68"/>
        <v>0</v>
      </c>
      <c r="AJ536">
        <f t="shared" si="69"/>
        <v>0</v>
      </c>
      <c r="AK536">
        <v>0</v>
      </c>
      <c r="AL536" t="str">
        <f>IF(AA536="","",IFERROR(IF(ISNUMBER('Procyflo 27TC'!E37),'Procyflo 27TC'!E37,IF(ISNUMBER(SEARCH("12",'Procyflo 27TC'!E37)),EDATE(AB536,12),IF(ISNUMBER(SEARCH("6",'Procyflo 27TC'!E37)),EDATE(AB536,6),IF(ISNUMBER(SEARCH("3",'Procyflo 27TC'!E37)),EDATE(AB536,3),DATEVALUE('Procyflo 27TC'!E37))))),""))</f>
        <v/>
      </c>
      <c r="AM536" t="str">
        <f t="shared" ca="1" si="70"/>
        <v/>
      </c>
    </row>
    <row r="537" spans="27:39" x14ac:dyDescent="0.3">
      <c r="AA537" t="str">
        <f>IF(COUNTA('Procyflo 27TC'!B38,'Procyflo 27TC'!C38,'Procyflo 27TC'!D38)&gt;0,"27TC","")</f>
        <v/>
      </c>
      <c r="AB537" t="str">
        <f>IFERROR(IF(ISNUMBER('Procyflo 27TC'!B38),'Procyflo 27TC'!B38,DATEVALUE('Procyflo 27TC'!B38)),"")</f>
        <v/>
      </c>
      <c r="AC537" t="str">
        <f>IF(AA537="","",'Procyflo 27TC'!C38)</f>
        <v/>
      </c>
      <c r="AD537" t="str">
        <f>IF(AA537="","",IFERROR(1*'Procyflo 27TC'!D38,IFERROR(_xludf.NUMBERVALUE('Procyflo 27TC'!D38,".",","),IFERROR(_xludf.NUMBERVALUE('Procyflo 27TC'!D38,",","."),0))))</f>
        <v/>
      </c>
      <c r="AE537" t="str">
        <f>IF(AA537="","",'Procyflo 27TC'!N38)</f>
        <v/>
      </c>
      <c r="AF537">
        <f t="shared" si="65"/>
        <v>0</v>
      </c>
      <c r="AG537" t="str">
        <f t="shared" si="66"/>
        <v/>
      </c>
      <c r="AH537" t="str">
        <f t="shared" si="67"/>
        <v/>
      </c>
      <c r="AI537">
        <f t="shared" si="68"/>
        <v>0</v>
      </c>
      <c r="AJ537">
        <f t="shared" si="69"/>
        <v>0</v>
      </c>
      <c r="AK537">
        <v>0</v>
      </c>
      <c r="AL537" t="str">
        <f>IF(AA537="","",IFERROR(IF(ISNUMBER('Procyflo 27TC'!E38),'Procyflo 27TC'!E38,IF(ISNUMBER(SEARCH("12",'Procyflo 27TC'!E38)),EDATE(AB537,12),IF(ISNUMBER(SEARCH("6",'Procyflo 27TC'!E38)),EDATE(AB537,6),IF(ISNUMBER(SEARCH("3",'Procyflo 27TC'!E38)),EDATE(AB537,3),DATEVALUE('Procyflo 27TC'!E38))))),""))</f>
        <v/>
      </c>
      <c r="AM537" t="str">
        <f t="shared" ca="1" si="70"/>
        <v/>
      </c>
    </row>
    <row r="538" spans="27:39" x14ac:dyDescent="0.3">
      <c r="AA538" t="str">
        <f>IF(COUNTA('Procyflo 27TC'!B39,'Procyflo 27TC'!C39,'Procyflo 27TC'!D39)&gt;0,"27TC","")</f>
        <v/>
      </c>
      <c r="AB538" t="str">
        <f>IFERROR(IF(ISNUMBER('Procyflo 27TC'!B39),'Procyflo 27TC'!B39,DATEVALUE('Procyflo 27TC'!B39)),"")</f>
        <v/>
      </c>
      <c r="AC538" t="str">
        <f>IF(AA538="","",'Procyflo 27TC'!C39)</f>
        <v/>
      </c>
      <c r="AD538" t="str">
        <f>IF(AA538="","",IFERROR(1*'Procyflo 27TC'!D39,IFERROR(_xludf.NUMBERVALUE('Procyflo 27TC'!D39,".",","),IFERROR(_xludf.NUMBERVALUE('Procyflo 27TC'!D39,",","."),0))))</f>
        <v/>
      </c>
      <c r="AE538" t="str">
        <f>IF(AA538="","",'Procyflo 27TC'!N39)</f>
        <v/>
      </c>
      <c r="AF538">
        <f t="shared" si="65"/>
        <v>0</v>
      </c>
      <c r="AG538" t="str">
        <f t="shared" si="66"/>
        <v/>
      </c>
      <c r="AH538" t="str">
        <f t="shared" si="67"/>
        <v/>
      </c>
      <c r="AI538">
        <f t="shared" si="68"/>
        <v>0</v>
      </c>
      <c r="AJ538">
        <f t="shared" si="69"/>
        <v>0</v>
      </c>
      <c r="AK538">
        <v>0</v>
      </c>
      <c r="AL538" t="str">
        <f>IF(AA538="","",IFERROR(IF(ISNUMBER('Procyflo 27TC'!E39),'Procyflo 27TC'!E39,IF(ISNUMBER(SEARCH("12",'Procyflo 27TC'!E39)),EDATE(AB538,12),IF(ISNUMBER(SEARCH("6",'Procyflo 27TC'!E39)),EDATE(AB538,6),IF(ISNUMBER(SEARCH("3",'Procyflo 27TC'!E39)),EDATE(AB538,3),DATEVALUE('Procyflo 27TC'!E39))))),""))</f>
        <v/>
      </c>
      <c r="AM538" t="str">
        <f t="shared" ca="1" si="70"/>
        <v/>
      </c>
    </row>
    <row r="539" spans="27:39" x14ac:dyDescent="0.3">
      <c r="AA539" t="str">
        <f>IF(COUNTA('Procyflo 27TC'!B40,'Procyflo 27TC'!C40,'Procyflo 27TC'!D40)&gt;0,"27TC","")</f>
        <v/>
      </c>
      <c r="AB539" t="str">
        <f>IFERROR(IF(ISNUMBER('Procyflo 27TC'!B40),'Procyflo 27TC'!B40,DATEVALUE('Procyflo 27TC'!B40)),"")</f>
        <v/>
      </c>
      <c r="AC539" t="str">
        <f>IF(AA539="","",'Procyflo 27TC'!C40)</f>
        <v/>
      </c>
      <c r="AD539" t="str">
        <f>IF(AA539="","",IFERROR(1*'Procyflo 27TC'!D40,IFERROR(_xludf.NUMBERVALUE('Procyflo 27TC'!D40,".",","),IFERROR(_xludf.NUMBERVALUE('Procyflo 27TC'!D40,",","."),0))))</f>
        <v/>
      </c>
      <c r="AE539" t="str">
        <f>IF(AA539="","",'Procyflo 27TC'!N40)</f>
        <v/>
      </c>
      <c r="AF539">
        <f t="shared" si="65"/>
        <v>0</v>
      </c>
      <c r="AG539" t="str">
        <f t="shared" si="66"/>
        <v/>
      </c>
      <c r="AH539" t="str">
        <f t="shared" si="67"/>
        <v/>
      </c>
      <c r="AI539">
        <f t="shared" si="68"/>
        <v>0</v>
      </c>
      <c r="AJ539">
        <f t="shared" si="69"/>
        <v>0</v>
      </c>
      <c r="AK539">
        <v>0</v>
      </c>
      <c r="AL539" t="str">
        <f>IF(AA539="","",IFERROR(IF(ISNUMBER('Procyflo 27TC'!E40),'Procyflo 27TC'!E40,IF(ISNUMBER(SEARCH("12",'Procyflo 27TC'!E40)),EDATE(AB539,12),IF(ISNUMBER(SEARCH("6",'Procyflo 27TC'!E40)),EDATE(AB539,6),IF(ISNUMBER(SEARCH("3",'Procyflo 27TC'!E40)),EDATE(AB539,3),DATEVALUE('Procyflo 27TC'!E40))))),""))</f>
        <v/>
      </c>
      <c r="AM539" t="str">
        <f t="shared" ca="1" si="70"/>
        <v/>
      </c>
    </row>
    <row r="540" spans="27:39" x14ac:dyDescent="0.3">
      <c r="AA540" t="str">
        <f>IF(COUNTA('Procyflo 27TC'!B41,'Procyflo 27TC'!C41,'Procyflo 27TC'!D41)&gt;0,"27TC","")</f>
        <v/>
      </c>
      <c r="AB540" t="str">
        <f>IFERROR(IF(ISNUMBER('Procyflo 27TC'!B41),'Procyflo 27TC'!B41,DATEVALUE('Procyflo 27TC'!B41)),"")</f>
        <v/>
      </c>
      <c r="AC540" t="str">
        <f>IF(AA540="","",'Procyflo 27TC'!C41)</f>
        <v/>
      </c>
      <c r="AD540" t="str">
        <f>IF(AA540="","",IFERROR(1*'Procyflo 27TC'!D41,IFERROR(_xludf.NUMBERVALUE('Procyflo 27TC'!D41,".",","),IFERROR(_xludf.NUMBERVALUE('Procyflo 27TC'!D41,",","."),0))))</f>
        <v/>
      </c>
      <c r="AE540" t="str">
        <f>IF(AA540="","",'Procyflo 27TC'!N41)</f>
        <v/>
      </c>
      <c r="AF540">
        <f t="shared" si="65"/>
        <v>0</v>
      </c>
      <c r="AG540" t="str">
        <f t="shared" si="66"/>
        <v/>
      </c>
      <c r="AH540" t="str">
        <f t="shared" si="67"/>
        <v/>
      </c>
      <c r="AI540">
        <f t="shared" si="68"/>
        <v>0</v>
      </c>
      <c r="AJ540">
        <f t="shared" si="69"/>
        <v>0</v>
      </c>
      <c r="AK540">
        <v>0</v>
      </c>
      <c r="AL540" t="str">
        <f>IF(AA540="","",IFERROR(IF(ISNUMBER('Procyflo 27TC'!E41),'Procyflo 27TC'!E41,IF(ISNUMBER(SEARCH("12",'Procyflo 27TC'!E41)),EDATE(AB540,12),IF(ISNUMBER(SEARCH("6",'Procyflo 27TC'!E41)),EDATE(AB540,6),IF(ISNUMBER(SEARCH("3",'Procyflo 27TC'!E41)),EDATE(AB540,3),DATEVALUE('Procyflo 27TC'!E41))))),""))</f>
        <v/>
      </c>
      <c r="AM540" t="str">
        <f t="shared" ca="1" si="70"/>
        <v/>
      </c>
    </row>
    <row r="541" spans="27:39" x14ac:dyDescent="0.3">
      <c r="AA541" t="str">
        <f>IF(COUNTA('Procyflo 27TC'!B42,'Procyflo 27TC'!C42,'Procyflo 27TC'!D42)&gt;0,"27TC","")</f>
        <v/>
      </c>
      <c r="AB541" t="str">
        <f>IFERROR(IF(ISNUMBER('Procyflo 27TC'!B42),'Procyflo 27TC'!B42,DATEVALUE('Procyflo 27TC'!B42)),"")</f>
        <v/>
      </c>
      <c r="AC541" t="str">
        <f>IF(AA541="","",'Procyflo 27TC'!C42)</f>
        <v/>
      </c>
      <c r="AD541" t="str">
        <f>IF(AA541="","",IFERROR(1*'Procyflo 27TC'!D42,IFERROR(_xludf.NUMBERVALUE('Procyflo 27TC'!D42,".",","),IFERROR(_xludf.NUMBERVALUE('Procyflo 27TC'!D42,",","."),0))))</f>
        <v/>
      </c>
      <c r="AE541" t="str">
        <f>IF(AA541="","",'Procyflo 27TC'!N42)</f>
        <v/>
      </c>
      <c r="AF541">
        <f t="shared" si="65"/>
        <v>0</v>
      </c>
      <c r="AG541" t="str">
        <f t="shared" si="66"/>
        <v/>
      </c>
      <c r="AH541" t="str">
        <f t="shared" si="67"/>
        <v/>
      </c>
      <c r="AI541">
        <f t="shared" si="68"/>
        <v>0</v>
      </c>
      <c r="AJ541">
        <f t="shared" si="69"/>
        <v>0</v>
      </c>
      <c r="AK541">
        <v>0</v>
      </c>
      <c r="AL541" t="str">
        <f>IF(AA541="","",IFERROR(IF(ISNUMBER('Procyflo 27TC'!E42),'Procyflo 27TC'!E42,IF(ISNUMBER(SEARCH("12",'Procyflo 27TC'!E42)),EDATE(AB541,12),IF(ISNUMBER(SEARCH("6",'Procyflo 27TC'!E42)),EDATE(AB541,6),IF(ISNUMBER(SEARCH("3",'Procyflo 27TC'!E42)),EDATE(AB541,3),DATEVALUE('Procyflo 27TC'!E42))))),""))</f>
        <v/>
      </c>
      <c r="AM541" t="str">
        <f t="shared" ca="1" si="70"/>
        <v/>
      </c>
    </row>
    <row r="542" spans="27:39" x14ac:dyDescent="0.3">
      <c r="AA542" t="str">
        <f>IF(COUNTA('Procyflo 27TC'!B43,'Procyflo 27TC'!C43,'Procyflo 27TC'!D43)&gt;0,"27TC","")</f>
        <v/>
      </c>
      <c r="AB542" t="str">
        <f>IFERROR(IF(ISNUMBER('Procyflo 27TC'!B43),'Procyflo 27TC'!B43,DATEVALUE('Procyflo 27TC'!B43)),"")</f>
        <v/>
      </c>
      <c r="AC542" t="str">
        <f>IF(AA542="","",'Procyflo 27TC'!C43)</f>
        <v/>
      </c>
      <c r="AD542" t="str">
        <f>IF(AA542="","",IFERROR(1*'Procyflo 27TC'!D43,IFERROR(_xludf.NUMBERVALUE('Procyflo 27TC'!D43,".",","),IFERROR(_xludf.NUMBERVALUE('Procyflo 27TC'!D43,",","."),0))))</f>
        <v/>
      </c>
      <c r="AE542" t="str">
        <f>IF(AA542="","",'Procyflo 27TC'!N43)</f>
        <v/>
      </c>
      <c r="AF542">
        <f t="shared" si="65"/>
        <v>0</v>
      </c>
      <c r="AG542" t="str">
        <f t="shared" si="66"/>
        <v/>
      </c>
      <c r="AH542" t="str">
        <f t="shared" si="67"/>
        <v/>
      </c>
      <c r="AI542">
        <f t="shared" si="68"/>
        <v>0</v>
      </c>
      <c r="AJ542">
        <f t="shared" si="69"/>
        <v>0</v>
      </c>
      <c r="AK542">
        <v>0</v>
      </c>
      <c r="AL542" t="str">
        <f>IF(AA542="","",IFERROR(IF(ISNUMBER('Procyflo 27TC'!E43),'Procyflo 27TC'!E43,IF(ISNUMBER(SEARCH("12",'Procyflo 27TC'!E43)),EDATE(AB542,12),IF(ISNUMBER(SEARCH("6",'Procyflo 27TC'!E43)),EDATE(AB542,6),IF(ISNUMBER(SEARCH("3",'Procyflo 27TC'!E43)),EDATE(AB542,3),DATEVALUE('Procyflo 27TC'!E43))))),""))</f>
        <v/>
      </c>
      <c r="AM542" t="str">
        <f t="shared" ca="1" si="70"/>
        <v/>
      </c>
    </row>
    <row r="543" spans="27:39" x14ac:dyDescent="0.3">
      <c r="AA543" t="str">
        <f>IF(COUNTA('Procyflo 27TC'!B44,'Procyflo 27TC'!C44,'Procyflo 27TC'!D44)&gt;0,"27TC","")</f>
        <v/>
      </c>
      <c r="AB543" t="str">
        <f>IFERROR(IF(ISNUMBER('Procyflo 27TC'!B44),'Procyflo 27TC'!B44,DATEVALUE('Procyflo 27TC'!B44)),"")</f>
        <v/>
      </c>
      <c r="AC543" t="str">
        <f>IF(AA543="","",'Procyflo 27TC'!C44)</f>
        <v/>
      </c>
      <c r="AD543" t="str">
        <f>IF(AA543="","",IFERROR(1*'Procyflo 27TC'!D44,IFERROR(_xludf.NUMBERVALUE('Procyflo 27TC'!D44,".",","),IFERROR(_xludf.NUMBERVALUE('Procyflo 27TC'!D44,",","."),0))))</f>
        <v/>
      </c>
      <c r="AE543" t="str">
        <f>IF(AA543="","",'Procyflo 27TC'!N44)</f>
        <v/>
      </c>
      <c r="AF543">
        <f t="shared" si="65"/>
        <v>0</v>
      </c>
      <c r="AG543" t="str">
        <f t="shared" si="66"/>
        <v/>
      </c>
      <c r="AH543" t="str">
        <f t="shared" si="67"/>
        <v/>
      </c>
      <c r="AI543">
        <f t="shared" si="68"/>
        <v>0</v>
      </c>
      <c r="AJ543">
        <f t="shared" si="69"/>
        <v>0</v>
      </c>
      <c r="AK543">
        <v>0</v>
      </c>
      <c r="AL543" t="str">
        <f>IF(AA543="","",IFERROR(IF(ISNUMBER('Procyflo 27TC'!E44),'Procyflo 27TC'!E44,IF(ISNUMBER(SEARCH("12",'Procyflo 27TC'!E44)),EDATE(AB543,12),IF(ISNUMBER(SEARCH("6",'Procyflo 27TC'!E44)),EDATE(AB543,6),IF(ISNUMBER(SEARCH("3",'Procyflo 27TC'!E44)),EDATE(AB543,3),DATEVALUE('Procyflo 27TC'!E44))))),""))</f>
        <v/>
      </c>
      <c r="AM543" t="str">
        <f t="shared" ca="1" si="70"/>
        <v/>
      </c>
    </row>
    <row r="544" spans="27:39" x14ac:dyDescent="0.3">
      <c r="AA544" t="str">
        <f>IF(COUNTA('Procyflo 27TC'!B45,'Procyflo 27TC'!C45,'Procyflo 27TC'!D45)&gt;0,"27TC","")</f>
        <v/>
      </c>
      <c r="AB544" t="str">
        <f>IFERROR(IF(ISNUMBER('Procyflo 27TC'!B45),'Procyflo 27TC'!B45,DATEVALUE('Procyflo 27TC'!B45)),"")</f>
        <v/>
      </c>
      <c r="AC544" t="str">
        <f>IF(AA544="","",'Procyflo 27TC'!C45)</f>
        <v/>
      </c>
      <c r="AD544" t="str">
        <f>IF(AA544="","",IFERROR(1*'Procyflo 27TC'!D45,IFERROR(_xludf.NUMBERVALUE('Procyflo 27TC'!D45,".",","),IFERROR(_xludf.NUMBERVALUE('Procyflo 27TC'!D45,",","."),0))))</f>
        <v/>
      </c>
      <c r="AE544" t="str">
        <f>IF(AA544="","",'Procyflo 27TC'!N45)</f>
        <v/>
      </c>
      <c r="AF544">
        <f t="shared" si="65"/>
        <v>0</v>
      </c>
      <c r="AG544" t="str">
        <f t="shared" si="66"/>
        <v/>
      </c>
      <c r="AH544" t="str">
        <f t="shared" si="67"/>
        <v/>
      </c>
      <c r="AI544">
        <f t="shared" si="68"/>
        <v>0</v>
      </c>
      <c r="AJ544">
        <f t="shared" si="69"/>
        <v>0</v>
      </c>
      <c r="AK544">
        <v>0</v>
      </c>
      <c r="AL544" t="str">
        <f>IF(AA544="","",IFERROR(IF(ISNUMBER('Procyflo 27TC'!E45),'Procyflo 27TC'!E45,IF(ISNUMBER(SEARCH("12",'Procyflo 27TC'!E45)),EDATE(AB544,12),IF(ISNUMBER(SEARCH("6",'Procyflo 27TC'!E45)),EDATE(AB544,6),IF(ISNUMBER(SEARCH("3",'Procyflo 27TC'!E45)),EDATE(AB544,3),DATEVALUE('Procyflo 27TC'!E45))))),""))</f>
        <v/>
      </c>
      <c r="AM544" t="str">
        <f t="shared" ca="1" si="70"/>
        <v/>
      </c>
    </row>
    <row r="545" spans="27:39" x14ac:dyDescent="0.3">
      <c r="AA545" t="str">
        <f>IF(COUNTA('Procyflo 27TC'!B46,'Procyflo 27TC'!C46,'Procyflo 27TC'!D46)&gt;0,"27TC","")</f>
        <v/>
      </c>
      <c r="AB545" t="str">
        <f>IFERROR(IF(ISNUMBER('Procyflo 27TC'!B46),'Procyflo 27TC'!B46,DATEVALUE('Procyflo 27TC'!B46)),"")</f>
        <v/>
      </c>
      <c r="AC545" t="str">
        <f>IF(AA545="","",'Procyflo 27TC'!C46)</f>
        <v/>
      </c>
      <c r="AD545" t="str">
        <f>IF(AA545="","",IFERROR(1*'Procyflo 27TC'!D46,IFERROR(_xludf.NUMBERVALUE('Procyflo 27TC'!D46,".",","),IFERROR(_xludf.NUMBERVALUE('Procyflo 27TC'!D46,",","."),0))))</f>
        <v/>
      </c>
      <c r="AE545" t="str">
        <f>IF(AA545="","",'Procyflo 27TC'!N46)</f>
        <v/>
      </c>
      <c r="AF545">
        <f t="shared" si="65"/>
        <v>0</v>
      </c>
      <c r="AG545" t="str">
        <f t="shared" si="66"/>
        <v/>
      </c>
      <c r="AH545" t="str">
        <f t="shared" si="67"/>
        <v/>
      </c>
      <c r="AI545">
        <f t="shared" si="68"/>
        <v>0</v>
      </c>
      <c r="AJ545">
        <f t="shared" si="69"/>
        <v>0</v>
      </c>
      <c r="AK545">
        <v>0</v>
      </c>
      <c r="AL545" t="str">
        <f>IF(AA545="","",IFERROR(IF(ISNUMBER('Procyflo 27TC'!E46),'Procyflo 27TC'!E46,IF(ISNUMBER(SEARCH("12",'Procyflo 27TC'!E46)),EDATE(AB545,12),IF(ISNUMBER(SEARCH("6",'Procyflo 27TC'!E46)),EDATE(AB545,6),IF(ISNUMBER(SEARCH("3",'Procyflo 27TC'!E46)),EDATE(AB545,3),DATEVALUE('Procyflo 27TC'!E46))))),""))</f>
        <v/>
      </c>
      <c r="AM545" t="str">
        <f t="shared" ca="1" si="70"/>
        <v/>
      </c>
    </row>
    <row r="546" spans="27:39" x14ac:dyDescent="0.3">
      <c r="AA546" t="str">
        <f>IF(COUNTA('Procyflo 27TC'!B47,'Procyflo 27TC'!C47,'Procyflo 27TC'!D47)&gt;0,"27TC","")</f>
        <v/>
      </c>
      <c r="AB546" t="str">
        <f>IFERROR(IF(ISNUMBER('Procyflo 27TC'!B47),'Procyflo 27TC'!B47,DATEVALUE('Procyflo 27TC'!B47)),"")</f>
        <v/>
      </c>
      <c r="AC546" t="str">
        <f>IF(AA546="","",'Procyflo 27TC'!C47)</f>
        <v/>
      </c>
      <c r="AD546" t="str">
        <f>IF(AA546="","",IFERROR(1*'Procyflo 27TC'!D47,IFERROR(_xludf.NUMBERVALUE('Procyflo 27TC'!D47,".",","),IFERROR(_xludf.NUMBERVALUE('Procyflo 27TC'!D47,",","."),0))))</f>
        <v/>
      </c>
      <c r="AE546" t="str">
        <f>IF(AA546="","",'Procyflo 27TC'!N47)</f>
        <v/>
      </c>
      <c r="AF546">
        <f t="shared" si="65"/>
        <v>0</v>
      </c>
      <c r="AG546" t="str">
        <f t="shared" si="66"/>
        <v/>
      </c>
      <c r="AH546" t="str">
        <f t="shared" si="67"/>
        <v/>
      </c>
      <c r="AI546">
        <f t="shared" si="68"/>
        <v>0</v>
      </c>
      <c r="AJ546">
        <f t="shared" si="69"/>
        <v>0</v>
      </c>
      <c r="AK546">
        <v>0</v>
      </c>
      <c r="AL546" t="str">
        <f>IF(AA546="","",IFERROR(IF(ISNUMBER('Procyflo 27TC'!E47),'Procyflo 27TC'!E47,IF(ISNUMBER(SEARCH("12",'Procyflo 27TC'!E47)),EDATE(AB546,12),IF(ISNUMBER(SEARCH("6",'Procyflo 27TC'!E47)),EDATE(AB546,6),IF(ISNUMBER(SEARCH("3",'Procyflo 27TC'!E47)),EDATE(AB546,3),DATEVALUE('Procyflo 27TC'!E47))))),""))</f>
        <v/>
      </c>
      <c r="AM546" t="str">
        <f t="shared" ca="1" si="70"/>
        <v/>
      </c>
    </row>
    <row r="547" spans="27:39" x14ac:dyDescent="0.3">
      <c r="AA547" t="str">
        <f>IF(COUNTA('Procyflo 27TC'!B48,'Procyflo 27TC'!C48,'Procyflo 27TC'!D48)&gt;0,"27TC","")</f>
        <v/>
      </c>
      <c r="AB547" t="str">
        <f>IFERROR(IF(ISNUMBER('Procyflo 27TC'!B48),'Procyflo 27TC'!B48,DATEVALUE('Procyflo 27TC'!B48)),"")</f>
        <v/>
      </c>
      <c r="AC547" t="str">
        <f>IF(AA547="","",'Procyflo 27TC'!C48)</f>
        <v/>
      </c>
      <c r="AD547" t="str">
        <f>IF(AA547="","",IFERROR(1*'Procyflo 27TC'!D48,IFERROR(_xludf.NUMBERVALUE('Procyflo 27TC'!D48,".",","),IFERROR(_xludf.NUMBERVALUE('Procyflo 27TC'!D48,",","."),0))))</f>
        <v/>
      </c>
      <c r="AE547" t="str">
        <f>IF(AA547="","",'Procyflo 27TC'!N48)</f>
        <v/>
      </c>
      <c r="AF547">
        <f t="shared" si="65"/>
        <v>0</v>
      </c>
      <c r="AG547" t="str">
        <f t="shared" si="66"/>
        <v/>
      </c>
      <c r="AH547" t="str">
        <f t="shared" si="67"/>
        <v/>
      </c>
      <c r="AI547">
        <f t="shared" si="68"/>
        <v>0</v>
      </c>
      <c r="AJ547">
        <f t="shared" si="69"/>
        <v>0</v>
      </c>
      <c r="AK547">
        <v>0</v>
      </c>
      <c r="AL547" t="str">
        <f>IF(AA547="","",IFERROR(IF(ISNUMBER('Procyflo 27TC'!E48),'Procyflo 27TC'!E48,IF(ISNUMBER(SEARCH("12",'Procyflo 27TC'!E48)),EDATE(AB547,12),IF(ISNUMBER(SEARCH("6",'Procyflo 27TC'!E48)),EDATE(AB547,6),IF(ISNUMBER(SEARCH("3",'Procyflo 27TC'!E48)),EDATE(AB547,3),DATEVALUE('Procyflo 27TC'!E48))))),""))</f>
        <v/>
      </c>
      <c r="AM547" t="str">
        <f t="shared" ca="1" si="70"/>
        <v/>
      </c>
    </row>
    <row r="548" spans="27:39" x14ac:dyDescent="0.3">
      <c r="AA548" t="str">
        <f>IF(COUNTA('Procyflo 27TC'!B49,'Procyflo 27TC'!C49,'Procyflo 27TC'!D49)&gt;0,"27TC","")</f>
        <v/>
      </c>
      <c r="AB548" t="str">
        <f>IFERROR(IF(ISNUMBER('Procyflo 27TC'!B49),'Procyflo 27TC'!B49,DATEVALUE('Procyflo 27TC'!B49)),"")</f>
        <v/>
      </c>
      <c r="AC548" t="str">
        <f>IF(AA548="","",'Procyflo 27TC'!C49)</f>
        <v/>
      </c>
      <c r="AD548" t="str">
        <f>IF(AA548="","",IFERROR(1*'Procyflo 27TC'!D49,IFERROR(_xludf.NUMBERVALUE('Procyflo 27TC'!D49,".",","),IFERROR(_xludf.NUMBERVALUE('Procyflo 27TC'!D49,",","."),0))))</f>
        <v/>
      </c>
      <c r="AE548" t="str">
        <f>IF(AA548="","",'Procyflo 27TC'!N49)</f>
        <v/>
      </c>
      <c r="AF548">
        <f t="shared" si="65"/>
        <v>0</v>
      </c>
      <c r="AG548" t="str">
        <f t="shared" si="66"/>
        <v/>
      </c>
      <c r="AH548" t="str">
        <f t="shared" si="67"/>
        <v/>
      </c>
      <c r="AI548">
        <f t="shared" si="68"/>
        <v>0</v>
      </c>
      <c r="AJ548">
        <f t="shared" si="69"/>
        <v>0</v>
      </c>
      <c r="AK548">
        <v>0</v>
      </c>
      <c r="AL548" t="str">
        <f>IF(AA548="","",IFERROR(IF(ISNUMBER('Procyflo 27TC'!E49),'Procyflo 27TC'!E49,IF(ISNUMBER(SEARCH("12",'Procyflo 27TC'!E49)),EDATE(AB548,12),IF(ISNUMBER(SEARCH("6",'Procyflo 27TC'!E49)),EDATE(AB548,6),IF(ISNUMBER(SEARCH("3",'Procyflo 27TC'!E49)),EDATE(AB548,3),DATEVALUE('Procyflo 27TC'!E49))))),""))</f>
        <v/>
      </c>
      <c r="AM548" t="str">
        <f t="shared" ca="1" si="70"/>
        <v/>
      </c>
    </row>
    <row r="549" spans="27:39" x14ac:dyDescent="0.3">
      <c r="AA549" t="str">
        <f>IF(COUNTA('Procyflo 27TC'!B50,'Procyflo 27TC'!C50,'Procyflo 27TC'!D50)&gt;0,"27TC","")</f>
        <v/>
      </c>
      <c r="AB549" t="str">
        <f>IFERROR(IF(ISNUMBER('Procyflo 27TC'!B50),'Procyflo 27TC'!B50,DATEVALUE('Procyflo 27TC'!B50)),"")</f>
        <v/>
      </c>
      <c r="AC549" t="str">
        <f>IF(AA549="","",'Procyflo 27TC'!C50)</f>
        <v/>
      </c>
      <c r="AD549" t="str">
        <f>IF(AA549="","",IFERROR(1*'Procyflo 27TC'!D50,IFERROR(_xludf.NUMBERVALUE('Procyflo 27TC'!D50,".",","),IFERROR(_xludf.NUMBERVALUE('Procyflo 27TC'!D50,",","."),0))))</f>
        <v/>
      </c>
      <c r="AE549" t="str">
        <f>IF(AA549="","",'Procyflo 27TC'!N50)</f>
        <v/>
      </c>
      <c r="AF549">
        <f t="shared" si="65"/>
        <v>0</v>
      </c>
      <c r="AG549" t="str">
        <f t="shared" si="66"/>
        <v/>
      </c>
      <c r="AH549" t="str">
        <f t="shared" si="67"/>
        <v/>
      </c>
      <c r="AI549">
        <f t="shared" si="68"/>
        <v>0</v>
      </c>
      <c r="AJ549">
        <f t="shared" si="69"/>
        <v>0</v>
      </c>
      <c r="AK549">
        <v>0</v>
      </c>
      <c r="AL549" t="str">
        <f>IF(AA549="","",IFERROR(IF(ISNUMBER('Procyflo 27TC'!E50),'Procyflo 27TC'!E50,IF(ISNUMBER(SEARCH("12",'Procyflo 27TC'!E50)),EDATE(AB549,12),IF(ISNUMBER(SEARCH("6",'Procyflo 27TC'!E50)),EDATE(AB549,6),IF(ISNUMBER(SEARCH("3",'Procyflo 27TC'!E50)),EDATE(AB549,3),DATEVALUE('Procyflo 27TC'!E50))))),""))</f>
        <v/>
      </c>
      <c r="AM549" t="str">
        <f t="shared" ca="1" si="70"/>
        <v/>
      </c>
    </row>
    <row r="550" spans="27:39" x14ac:dyDescent="0.3">
      <c r="AA550" t="str">
        <f>IF(COUNTA('Procyflo 27TC'!B51,'Procyflo 27TC'!C51,'Procyflo 27TC'!D51)&gt;0,"27TC","")</f>
        <v/>
      </c>
      <c r="AB550" t="str">
        <f>IFERROR(IF(ISNUMBER('Procyflo 27TC'!B51),'Procyflo 27TC'!B51,DATEVALUE('Procyflo 27TC'!B51)),"")</f>
        <v/>
      </c>
      <c r="AC550" t="str">
        <f>IF(AA550="","",'Procyflo 27TC'!C51)</f>
        <v/>
      </c>
      <c r="AD550" t="str">
        <f>IF(AA550="","",IFERROR(1*'Procyflo 27TC'!D51,IFERROR(_xludf.NUMBERVALUE('Procyflo 27TC'!D51,".",","),IFERROR(_xludf.NUMBERVALUE('Procyflo 27TC'!D51,",","."),0))))</f>
        <v/>
      </c>
      <c r="AE550" t="str">
        <f>IF(AA550="","",'Procyflo 27TC'!N51)</f>
        <v/>
      </c>
      <c r="AF550">
        <f t="shared" si="65"/>
        <v>0</v>
      </c>
      <c r="AG550" t="str">
        <f t="shared" si="66"/>
        <v/>
      </c>
      <c r="AH550" t="str">
        <f t="shared" si="67"/>
        <v/>
      </c>
      <c r="AI550">
        <f t="shared" si="68"/>
        <v>0</v>
      </c>
      <c r="AJ550">
        <f t="shared" si="69"/>
        <v>0</v>
      </c>
      <c r="AK550">
        <v>0</v>
      </c>
      <c r="AL550" t="str">
        <f>IF(AA550="","",IFERROR(IF(ISNUMBER('Procyflo 27TC'!E51),'Procyflo 27TC'!E51,IF(ISNUMBER(SEARCH("12",'Procyflo 27TC'!E51)),EDATE(AB550,12),IF(ISNUMBER(SEARCH("6",'Procyflo 27TC'!E51)),EDATE(AB550,6),IF(ISNUMBER(SEARCH("3",'Procyflo 27TC'!E51)),EDATE(AB550,3),DATEVALUE('Procyflo 27TC'!E51))))),""))</f>
        <v/>
      </c>
      <c r="AM550" t="str">
        <f t="shared" ca="1" si="70"/>
        <v/>
      </c>
    </row>
    <row r="551" spans="27:39" x14ac:dyDescent="0.3">
      <c r="AA551" t="str">
        <f>IF(COUNTA('Procyflo 27TC'!B52,'Procyflo 27TC'!C52,'Procyflo 27TC'!D52)&gt;0,"27TC","")</f>
        <v/>
      </c>
      <c r="AB551" t="str">
        <f>IFERROR(IF(ISNUMBER('Procyflo 27TC'!B52),'Procyflo 27TC'!B52,DATEVALUE('Procyflo 27TC'!B52)),"")</f>
        <v/>
      </c>
      <c r="AC551" t="str">
        <f>IF(AA551="","",'Procyflo 27TC'!C52)</f>
        <v/>
      </c>
      <c r="AD551" t="str">
        <f>IF(AA551="","",IFERROR(1*'Procyflo 27TC'!D52,IFERROR(_xludf.NUMBERVALUE('Procyflo 27TC'!D52,".",","),IFERROR(_xludf.NUMBERVALUE('Procyflo 27TC'!D52,",","."),0))))</f>
        <v/>
      </c>
      <c r="AE551" t="str">
        <f>IF(AA551="","",'Procyflo 27TC'!N52)</f>
        <v/>
      </c>
      <c r="AF551">
        <f t="shared" si="65"/>
        <v>0</v>
      </c>
      <c r="AG551" t="str">
        <f t="shared" si="66"/>
        <v/>
      </c>
      <c r="AH551" t="str">
        <f t="shared" si="67"/>
        <v/>
      </c>
      <c r="AI551">
        <f t="shared" si="68"/>
        <v>0</v>
      </c>
      <c r="AJ551">
        <f t="shared" si="69"/>
        <v>0</v>
      </c>
      <c r="AK551">
        <v>0</v>
      </c>
      <c r="AL551" t="str">
        <f>IF(AA551="","",IFERROR(IF(ISNUMBER('Procyflo 27TC'!E52),'Procyflo 27TC'!E52,IF(ISNUMBER(SEARCH("12",'Procyflo 27TC'!E52)),EDATE(AB551,12),IF(ISNUMBER(SEARCH("6",'Procyflo 27TC'!E52)),EDATE(AB551,6),IF(ISNUMBER(SEARCH("3",'Procyflo 27TC'!E52)),EDATE(AB551,3),DATEVALUE('Procyflo 27TC'!E52))))),""))</f>
        <v/>
      </c>
      <c r="AM551" t="str">
        <f t="shared" ca="1" si="70"/>
        <v/>
      </c>
    </row>
    <row r="552" spans="27:39" x14ac:dyDescent="0.3">
      <c r="AA552" t="str">
        <f>IF(COUNTA('Procyflo 27TC'!B53,'Procyflo 27TC'!C53,'Procyflo 27TC'!D53)&gt;0,"27TC","")</f>
        <v/>
      </c>
      <c r="AB552" t="str">
        <f>IFERROR(IF(ISNUMBER('Procyflo 27TC'!B53),'Procyflo 27TC'!B53,DATEVALUE('Procyflo 27TC'!B53)),"")</f>
        <v/>
      </c>
      <c r="AC552" t="str">
        <f>IF(AA552="","",'Procyflo 27TC'!C53)</f>
        <v/>
      </c>
      <c r="AD552" t="str">
        <f>IF(AA552="","",IFERROR(1*'Procyflo 27TC'!D53,IFERROR(_xludf.NUMBERVALUE('Procyflo 27TC'!D53,".",","),IFERROR(_xludf.NUMBERVALUE('Procyflo 27TC'!D53,",","."),0))))</f>
        <v/>
      </c>
      <c r="AE552" t="str">
        <f>IF(AA552="","",'Procyflo 27TC'!N53)</f>
        <v/>
      </c>
      <c r="AF552">
        <f t="shared" si="65"/>
        <v>0</v>
      </c>
      <c r="AG552" t="str">
        <f t="shared" si="66"/>
        <v/>
      </c>
      <c r="AH552" t="str">
        <f t="shared" si="67"/>
        <v/>
      </c>
      <c r="AI552">
        <f t="shared" si="68"/>
        <v>0</v>
      </c>
      <c r="AJ552">
        <f t="shared" si="69"/>
        <v>0</v>
      </c>
      <c r="AK552">
        <v>0</v>
      </c>
      <c r="AL552" t="str">
        <f>IF(AA552="","",IFERROR(IF(ISNUMBER('Procyflo 27TC'!E53),'Procyflo 27TC'!E53,IF(ISNUMBER(SEARCH("12",'Procyflo 27TC'!E53)),EDATE(AB552,12),IF(ISNUMBER(SEARCH("6",'Procyflo 27TC'!E53)),EDATE(AB552,6),IF(ISNUMBER(SEARCH("3",'Procyflo 27TC'!E53)),EDATE(AB552,3),DATEVALUE('Procyflo 27TC'!E53))))),""))</f>
        <v/>
      </c>
      <c r="AM552" t="str">
        <f t="shared" ca="1" si="70"/>
        <v/>
      </c>
    </row>
    <row r="553" spans="27:39" x14ac:dyDescent="0.3">
      <c r="AA553" t="str">
        <f>IF(COUNTA('Procyflo 27TC'!B54,'Procyflo 27TC'!C54,'Procyflo 27TC'!D54)&gt;0,"27TC","")</f>
        <v/>
      </c>
      <c r="AB553" t="str">
        <f>IFERROR(IF(ISNUMBER('Procyflo 27TC'!B54),'Procyflo 27TC'!B54,DATEVALUE('Procyflo 27TC'!B54)),"")</f>
        <v/>
      </c>
      <c r="AC553" t="str">
        <f>IF(AA553="","",'Procyflo 27TC'!C54)</f>
        <v/>
      </c>
      <c r="AD553" t="str">
        <f>IF(AA553="","",IFERROR(1*'Procyflo 27TC'!D54,IFERROR(_xludf.NUMBERVALUE('Procyflo 27TC'!D54,".",","),IFERROR(_xludf.NUMBERVALUE('Procyflo 27TC'!D54,",","."),0))))</f>
        <v/>
      </c>
      <c r="AE553" t="str">
        <f>IF(AA553="","",'Procyflo 27TC'!N54)</f>
        <v/>
      </c>
      <c r="AF553">
        <f t="shared" si="65"/>
        <v>0</v>
      </c>
      <c r="AG553" t="str">
        <f t="shared" si="66"/>
        <v/>
      </c>
      <c r="AH553" t="str">
        <f t="shared" si="67"/>
        <v/>
      </c>
      <c r="AI553">
        <f t="shared" si="68"/>
        <v>0</v>
      </c>
      <c r="AJ553">
        <f t="shared" si="69"/>
        <v>0</v>
      </c>
      <c r="AK553">
        <v>0</v>
      </c>
      <c r="AL553" t="str">
        <f>IF(AA553="","",IFERROR(IF(ISNUMBER('Procyflo 27TC'!E54),'Procyflo 27TC'!E54,IF(ISNUMBER(SEARCH("12",'Procyflo 27TC'!E54)),EDATE(AB553,12),IF(ISNUMBER(SEARCH("6",'Procyflo 27TC'!E54)),EDATE(AB553,6),IF(ISNUMBER(SEARCH("3",'Procyflo 27TC'!E54)),EDATE(AB553,3),DATEVALUE('Procyflo 27TC'!E54))))),""))</f>
        <v/>
      </c>
      <c r="AM553" t="str">
        <f t="shared" ca="1" si="70"/>
        <v/>
      </c>
    </row>
    <row r="554" spans="27:39" x14ac:dyDescent="0.3">
      <c r="AA554" t="str">
        <f>IF(COUNTA('Procyflo 27TC'!B55,'Procyflo 27TC'!C55,'Procyflo 27TC'!D55)&gt;0,"27TC","")</f>
        <v/>
      </c>
      <c r="AB554" t="str">
        <f>IFERROR(IF(ISNUMBER('Procyflo 27TC'!B55),'Procyflo 27TC'!B55,DATEVALUE('Procyflo 27TC'!B55)),"")</f>
        <v/>
      </c>
      <c r="AC554" t="str">
        <f>IF(AA554="","",'Procyflo 27TC'!C55)</f>
        <v/>
      </c>
      <c r="AD554" t="str">
        <f>IF(AA554="","",IFERROR(1*'Procyflo 27TC'!D55,IFERROR(_xludf.NUMBERVALUE('Procyflo 27TC'!D55,".",","),IFERROR(_xludf.NUMBERVALUE('Procyflo 27TC'!D55,",","."),0))))</f>
        <v/>
      </c>
      <c r="AE554" t="str">
        <f>IF(AA554="","",'Procyflo 27TC'!N55)</f>
        <v/>
      </c>
      <c r="AF554">
        <f t="shared" si="65"/>
        <v>0</v>
      </c>
      <c r="AG554" t="str">
        <f t="shared" si="66"/>
        <v/>
      </c>
      <c r="AH554" t="str">
        <f t="shared" si="67"/>
        <v/>
      </c>
      <c r="AI554">
        <f t="shared" si="68"/>
        <v>0</v>
      </c>
      <c r="AJ554">
        <f t="shared" si="69"/>
        <v>0</v>
      </c>
      <c r="AK554">
        <v>0</v>
      </c>
      <c r="AL554" t="str">
        <f>IF(AA554="","",IFERROR(IF(ISNUMBER('Procyflo 27TC'!E55),'Procyflo 27TC'!E55,IF(ISNUMBER(SEARCH("12",'Procyflo 27TC'!E55)),EDATE(AB554,12),IF(ISNUMBER(SEARCH("6",'Procyflo 27TC'!E55)),EDATE(AB554,6),IF(ISNUMBER(SEARCH("3",'Procyflo 27TC'!E55)),EDATE(AB554,3),DATEVALUE('Procyflo 27TC'!E55))))),""))</f>
        <v/>
      </c>
      <c r="AM554" t="str">
        <f t="shared" ca="1" si="70"/>
        <v/>
      </c>
    </row>
    <row r="555" spans="27:39" x14ac:dyDescent="0.3">
      <c r="AA555" t="str">
        <f>IF(COUNTA('Procyflo 27TC'!B56,'Procyflo 27TC'!C56,'Procyflo 27TC'!D56)&gt;0,"27TC","")</f>
        <v/>
      </c>
      <c r="AB555" t="str">
        <f>IFERROR(IF(ISNUMBER('Procyflo 27TC'!B56),'Procyflo 27TC'!B56,DATEVALUE('Procyflo 27TC'!B56)),"")</f>
        <v/>
      </c>
      <c r="AC555" t="str">
        <f>IF(AA555="","",'Procyflo 27TC'!C56)</f>
        <v/>
      </c>
      <c r="AD555" t="str">
        <f>IF(AA555="","",IFERROR(1*'Procyflo 27TC'!D56,IFERROR(_xludf.NUMBERVALUE('Procyflo 27TC'!D56,".",","),IFERROR(_xludf.NUMBERVALUE('Procyflo 27TC'!D56,",","."),0))))</f>
        <v/>
      </c>
      <c r="AE555" t="str">
        <f>IF(AA555="","",'Procyflo 27TC'!N56)</f>
        <v/>
      </c>
      <c r="AF555">
        <f t="shared" si="65"/>
        <v>0</v>
      </c>
      <c r="AG555" t="str">
        <f t="shared" si="66"/>
        <v/>
      </c>
      <c r="AH555" t="str">
        <f t="shared" si="67"/>
        <v/>
      </c>
      <c r="AI555">
        <f t="shared" si="68"/>
        <v>0</v>
      </c>
      <c r="AJ555">
        <f t="shared" si="69"/>
        <v>0</v>
      </c>
      <c r="AK555">
        <v>0</v>
      </c>
      <c r="AL555" t="str">
        <f>IF(AA555="","",IFERROR(IF(ISNUMBER('Procyflo 27TC'!E56),'Procyflo 27TC'!E56,IF(ISNUMBER(SEARCH("12",'Procyflo 27TC'!E56)),EDATE(AB555,12),IF(ISNUMBER(SEARCH("6",'Procyflo 27TC'!E56)),EDATE(AB555,6),IF(ISNUMBER(SEARCH("3",'Procyflo 27TC'!E56)),EDATE(AB555,3),DATEVALUE('Procyflo 27TC'!E56))))),""))</f>
        <v/>
      </c>
      <c r="AM555" t="str">
        <f t="shared" ca="1" si="70"/>
        <v/>
      </c>
    </row>
    <row r="556" spans="27:39" x14ac:dyDescent="0.3">
      <c r="AA556" t="str">
        <f>IF(COUNTA('Procyflo 27TC'!B57,'Procyflo 27TC'!C57,'Procyflo 27TC'!D57)&gt;0,"27TC","")</f>
        <v/>
      </c>
      <c r="AB556" t="str">
        <f>IFERROR(IF(ISNUMBER('Procyflo 27TC'!B57),'Procyflo 27TC'!B57,DATEVALUE('Procyflo 27TC'!B57)),"")</f>
        <v/>
      </c>
      <c r="AC556" t="str">
        <f>IF(AA556="","",'Procyflo 27TC'!C57)</f>
        <v/>
      </c>
      <c r="AD556" t="str">
        <f>IF(AA556="","",IFERROR(1*'Procyflo 27TC'!D57,IFERROR(_xludf.NUMBERVALUE('Procyflo 27TC'!D57,".",","),IFERROR(_xludf.NUMBERVALUE('Procyflo 27TC'!D57,",","."),0))))</f>
        <v/>
      </c>
      <c r="AE556" t="str">
        <f>IF(AA556="","",'Procyflo 27TC'!N57)</f>
        <v/>
      </c>
      <c r="AF556">
        <f t="shared" si="65"/>
        <v>0</v>
      </c>
      <c r="AG556" t="str">
        <f t="shared" si="66"/>
        <v/>
      </c>
      <c r="AH556" t="str">
        <f t="shared" si="67"/>
        <v/>
      </c>
      <c r="AI556">
        <f t="shared" si="68"/>
        <v>0</v>
      </c>
      <c r="AJ556">
        <f t="shared" si="69"/>
        <v>0</v>
      </c>
      <c r="AK556">
        <v>0</v>
      </c>
      <c r="AL556" t="str">
        <f>IF(AA556="","",IFERROR(IF(ISNUMBER('Procyflo 27TC'!E57),'Procyflo 27TC'!E57,IF(ISNUMBER(SEARCH("12",'Procyflo 27TC'!E57)),EDATE(AB556,12),IF(ISNUMBER(SEARCH("6",'Procyflo 27TC'!E57)),EDATE(AB556,6),IF(ISNUMBER(SEARCH("3",'Procyflo 27TC'!E57)),EDATE(AB556,3),DATEVALUE('Procyflo 27TC'!E57))))),""))</f>
        <v/>
      </c>
      <c r="AM556" t="str">
        <f t="shared" ca="1" si="70"/>
        <v/>
      </c>
    </row>
    <row r="557" spans="27:39" x14ac:dyDescent="0.3">
      <c r="AA557" t="str">
        <f>IF(COUNTA('Procyflo 27TC'!B58,'Procyflo 27TC'!C58,'Procyflo 27TC'!D58)&gt;0,"27TC","")</f>
        <v/>
      </c>
      <c r="AB557" t="str">
        <f>IFERROR(IF(ISNUMBER('Procyflo 27TC'!B58),'Procyflo 27TC'!B58,DATEVALUE('Procyflo 27TC'!B58)),"")</f>
        <v/>
      </c>
      <c r="AC557" t="str">
        <f>IF(AA557="","",'Procyflo 27TC'!C58)</f>
        <v/>
      </c>
      <c r="AD557" t="str">
        <f>IF(AA557="","",IFERROR(1*'Procyflo 27TC'!D58,IFERROR(_xludf.NUMBERVALUE('Procyflo 27TC'!D58,".",","),IFERROR(_xludf.NUMBERVALUE('Procyflo 27TC'!D58,",","."),0))))</f>
        <v/>
      </c>
      <c r="AE557" t="str">
        <f>IF(AA557="","",'Procyflo 27TC'!N58)</f>
        <v/>
      </c>
      <c r="AF557">
        <f t="shared" si="65"/>
        <v>0</v>
      </c>
      <c r="AG557" t="str">
        <f t="shared" si="66"/>
        <v/>
      </c>
      <c r="AH557" t="str">
        <f t="shared" si="67"/>
        <v/>
      </c>
      <c r="AI557">
        <f t="shared" si="68"/>
        <v>0</v>
      </c>
      <c r="AJ557">
        <f t="shared" si="69"/>
        <v>0</v>
      </c>
      <c r="AK557">
        <v>0</v>
      </c>
      <c r="AL557" t="str">
        <f>IF(AA557="","",IFERROR(IF(ISNUMBER('Procyflo 27TC'!E58),'Procyflo 27TC'!E58,IF(ISNUMBER(SEARCH("12",'Procyflo 27TC'!E58)),EDATE(AB557,12),IF(ISNUMBER(SEARCH("6",'Procyflo 27TC'!E58)),EDATE(AB557,6),IF(ISNUMBER(SEARCH("3",'Procyflo 27TC'!E58)),EDATE(AB557,3),DATEVALUE('Procyflo 27TC'!E58))))),""))</f>
        <v/>
      </c>
      <c r="AM557" t="str">
        <f t="shared" ca="1" si="70"/>
        <v/>
      </c>
    </row>
    <row r="558" spans="27:39" x14ac:dyDescent="0.3">
      <c r="AA558" t="str">
        <f>IF(COUNTA('Procyflo 27TC'!B59,'Procyflo 27TC'!C59,'Procyflo 27TC'!D59)&gt;0,"27TC","")</f>
        <v/>
      </c>
      <c r="AB558" t="str">
        <f>IFERROR(IF(ISNUMBER('Procyflo 27TC'!B59),'Procyflo 27TC'!B59,DATEVALUE('Procyflo 27TC'!B59)),"")</f>
        <v/>
      </c>
      <c r="AC558" t="str">
        <f>IF(AA558="","",'Procyflo 27TC'!C59)</f>
        <v/>
      </c>
      <c r="AD558" t="str">
        <f>IF(AA558="","",IFERROR(1*'Procyflo 27TC'!D59,IFERROR(_xludf.NUMBERVALUE('Procyflo 27TC'!D59,".",","),IFERROR(_xludf.NUMBERVALUE('Procyflo 27TC'!D59,",","."),0))))</f>
        <v/>
      </c>
      <c r="AE558" t="str">
        <f>IF(AA558="","",'Procyflo 27TC'!N59)</f>
        <v/>
      </c>
      <c r="AF558">
        <f t="shared" si="65"/>
        <v>0</v>
      </c>
      <c r="AG558" t="str">
        <f t="shared" si="66"/>
        <v/>
      </c>
      <c r="AH558" t="str">
        <f t="shared" si="67"/>
        <v/>
      </c>
      <c r="AI558">
        <f t="shared" si="68"/>
        <v>0</v>
      </c>
      <c r="AJ558">
        <f t="shared" si="69"/>
        <v>0</v>
      </c>
      <c r="AK558">
        <v>0</v>
      </c>
      <c r="AL558" t="str">
        <f>IF(AA558="","",IFERROR(IF(ISNUMBER('Procyflo 27TC'!E59),'Procyflo 27TC'!E59,IF(ISNUMBER(SEARCH("12",'Procyflo 27TC'!E59)),EDATE(AB558,12),IF(ISNUMBER(SEARCH("6",'Procyflo 27TC'!E59)),EDATE(AB558,6),IF(ISNUMBER(SEARCH("3",'Procyflo 27TC'!E59)),EDATE(AB558,3),DATEVALUE('Procyflo 27TC'!E59))))),""))</f>
        <v/>
      </c>
      <c r="AM558" t="str">
        <f t="shared" ca="1" si="70"/>
        <v/>
      </c>
    </row>
    <row r="559" spans="27:39" x14ac:dyDescent="0.3">
      <c r="AA559" t="str">
        <f>IF(COUNTA('Procyflo 27TC'!B60,'Procyflo 27TC'!C60,'Procyflo 27TC'!D60)&gt;0,"27TC","")</f>
        <v/>
      </c>
      <c r="AB559" t="str">
        <f>IFERROR(IF(ISNUMBER('Procyflo 27TC'!B60),'Procyflo 27TC'!B60,DATEVALUE('Procyflo 27TC'!B60)),"")</f>
        <v/>
      </c>
      <c r="AC559" t="str">
        <f>IF(AA559="","",'Procyflo 27TC'!C60)</f>
        <v/>
      </c>
      <c r="AD559" t="str">
        <f>IF(AA559="","",IFERROR(1*'Procyflo 27TC'!D60,IFERROR(_xludf.NUMBERVALUE('Procyflo 27TC'!D60,".",","),IFERROR(_xludf.NUMBERVALUE('Procyflo 27TC'!D60,",","."),0))))</f>
        <v/>
      </c>
      <c r="AE559" t="str">
        <f>IF(AA559="","",'Procyflo 27TC'!N60)</f>
        <v/>
      </c>
      <c r="AF559">
        <f t="shared" si="65"/>
        <v>0</v>
      </c>
      <c r="AG559" t="str">
        <f t="shared" si="66"/>
        <v/>
      </c>
      <c r="AH559" t="str">
        <f t="shared" si="67"/>
        <v/>
      </c>
      <c r="AI559">
        <f t="shared" si="68"/>
        <v>0</v>
      </c>
      <c r="AJ559">
        <f t="shared" si="69"/>
        <v>0</v>
      </c>
      <c r="AK559">
        <v>0</v>
      </c>
      <c r="AL559" t="str">
        <f>IF(AA559="","",IFERROR(IF(ISNUMBER('Procyflo 27TC'!E60),'Procyflo 27TC'!E60,IF(ISNUMBER(SEARCH("12",'Procyflo 27TC'!E60)),EDATE(AB559,12),IF(ISNUMBER(SEARCH("6",'Procyflo 27TC'!E60)),EDATE(AB559,6),IF(ISNUMBER(SEARCH("3",'Procyflo 27TC'!E60)),EDATE(AB559,3),DATEVALUE('Procyflo 27TC'!E60))))),""))</f>
        <v/>
      </c>
      <c r="AM559" t="str">
        <f t="shared" ca="1" si="70"/>
        <v/>
      </c>
    </row>
    <row r="560" spans="27:39" x14ac:dyDescent="0.3">
      <c r="AA560" t="str">
        <f>IF(COUNTA('Procyflo 27TC'!B61,'Procyflo 27TC'!C61,'Procyflo 27TC'!D61)&gt;0,"27TC","")</f>
        <v/>
      </c>
      <c r="AB560" t="str">
        <f>IFERROR(IF(ISNUMBER('Procyflo 27TC'!B61),'Procyflo 27TC'!B61,DATEVALUE('Procyflo 27TC'!B61)),"")</f>
        <v/>
      </c>
      <c r="AC560" t="str">
        <f>IF(AA560="","",'Procyflo 27TC'!C61)</f>
        <v/>
      </c>
      <c r="AD560" t="str">
        <f>IF(AA560="","",IFERROR(1*'Procyflo 27TC'!D61,IFERROR(_xludf.NUMBERVALUE('Procyflo 27TC'!D61,".",","),IFERROR(_xludf.NUMBERVALUE('Procyflo 27TC'!D61,",","."),0))))</f>
        <v/>
      </c>
      <c r="AE560" t="str">
        <f>IF(AA560="","",'Procyflo 27TC'!N61)</f>
        <v/>
      </c>
      <c r="AF560">
        <f t="shared" si="65"/>
        <v>0</v>
      </c>
      <c r="AG560" t="str">
        <f t="shared" si="66"/>
        <v/>
      </c>
      <c r="AH560" t="str">
        <f t="shared" si="67"/>
        <v/>
      </c>
      <c r="AI560">
        <f t="shared" si="68"/>
        <v>0</v>
      </c>
      <c r="AJ560">
        <f t="shared" si="69"/>
        <v>0</v>
      </c>
      <c r="AK560">
        <v>0</v>
      </c>
      <c r="AL560" t="str">
        <f>IF(AA560="","",IFERROR(IF(ISNUMBER('Procyflo 27TC'!E61),'Procyflo 27TC'!E61,IF(ISNUMBER(SEARCH("12",'Procyflo 27TC'!E61)),EDATE(AB560,12),IF(ISNUMBER(SEARCH("6",'Procyflo 27TC'!E61)),EDATE(AB560,6),IF(ISNUMBER(SEARCH("3",'Procyflo 27TC'!E61)),EDATE(AB560,3),DATEVALUE('Procyflo 27TC'!E61))))),""))</f>
        <v/>
      </c>
      <c r="AM560" t="str">
        <f t="shared" ca="1" si="70"/>
        <v/>
      </c>
    </row>
    <row r="561" spans="27:39" x14ac:dyDescent="0.3">
      <c r="AA561" t="str">
        <f>IF(COUNTA('Procyflo 27TC'!B62,'Procyflo 27TC'!C62,'Procyflo 27TC'!D62)&gt;0,"27TC","")</f>
        <v/>
      </c>
      <c r="AB561" t="str">
        <f>IFERROR(IF(ISNUMBER('Procyflo 27TC'!B62),'Procyflo 27TC'!B62,DATEVALUE('Procyflo 27TC'!B62)),"")</f>
        <v/>
      </c>
      <c r="AC561" t="str">
        <f>IF(AA561="","",'Procyflo 27TC'!C62)</f>
        <v/>
      </c>
      <c r="AD561" t="str">
        <f>IF(AA561="","",IFERROR(1*'Procyflo 27TC'!D62,IFERROR(_xludf.NUMBERVALUE('Procyflo 27TC'!D62,".",","),IFERROR(_xludf.NUMBERVALUE('Procyflo 27TC'!D62,",","."),0))))</f>
        <v/>
      </c>
      <c r="AE561" t="str">
        <f>IF(AA561="","",'Procyflo 27TC'!N62)</f>
        <v/>
      </c>
      <c r="AF561">
        <f t="shared" si="65"/>
        <v>0</v>
      </c>
      <c r="AG561" t="str">
        <f t="shared" si="66"/>
        <v/>
      </c>
      <c r="AH561" t="str">
        <f t="shared" si="67"/>
        <v/>
      </c>
      <c r="AI561">
        <f t="shared" si="68"/>
        <v>0</v>
      </c>
      <c r="AJ561">
        <f t="shared" si="69"/>
        <v>0</v>
      </c>
      <c r="AK561">
        <v>0</v>
      </c>
      <c r="AL561" t="str">
        <f>IF(AA561="","",IFERROR(IF(ISNUMBER('Procyflo 27TC'!E62),'Procyflo 27TC'!E62,IF(ISNUMBER(SEARCH("12",'Procyflo 27TC'!E62)),EDATE(AB561,12),IF(ISNUMBER(SEARCH("6",'Procyflo 27TC'!E62)),EDATE(AB561,6),IF(ISNUMBER(SEARCH("3",'Procyflo 27TC'!E62)),EDATE(AB561,3),DATEVALUE('Procyflo 27TC'!E62))))),""))</f>
        <v/>
      </c>
      <c r="AM561" t="str">
        <f t="shared" ca="1" si="70"/>
        <v/>
      </c>
    </row>
    <row r="562" spans="27:39" x14ac:dyDescent="0.3">
      <c r="AA562" t="str">
        <f>IF(COUNTA('Procyflo 27TC'!B63,'Procyflo 27TC'!C63,'Procyflo 27TC'!D63)&gt;0,"27TC","")</f>
        <v/>
      </c>
      <c r="AB562" t="str">
        <f>IFERROR(IF(ISNUMBER('Procyflo 27TC'!B63),'Procyflo 27TC'!B63,DATEVALUE('Procyflo 27TC'!B63)),"")</f>
        <v/>
      </c>
      <c r="AC562" t="str">
        <f>IF(AA562="","",'Procyflo 27TC'!C63)</f>
        <v/>
      </c>
      <c r="AD562" t="str">
        <f>IF(AA562="","",IFERROR(1*'Procyflo 27TC'!D63,IFERROR(_xludf.NUMBERVALUE('Procyflo 27TC'!D63,".",","),IFERROR(_xludf.NUMBERVALUE('Procyflo 27TC'!D63,",","."),0))))</f>
        <v/>
      </c>
      <c r="AE562" t="str">
        <f>IF(AA562="","",'Procyflo 27TC'!N63)</f>
        <v/>
      </c>
      <c r="AF562">
        <f t="shared" si="65"/>
        <v>0</v>
      </c>
      <c r="AG562" t="str">
        <f t="shared" si="66"/>
        <v/>
      </c>
      <c r="AH562" t="str">
        <f t="shared" si="67"/>
        <v/>
      </c>
      <c r="AI562">
        <f t="shared" si="68"/>
        <v>0</v>
      </c>
      <c r="AJ562">
        <f t="shared" si="69"/>
        <v>0</v>
      </c>
      <c r="AK562">
        <v>0</v>
      </c>
      <c r="AL562" t="str">
        <f>IF(AA562="","",IFERROR(IF(ISNUMBER('Procyflo 27TC'!E63),'Procyflo 27TC'!E63,IF(ISNUMBER(SEARCH("12",'Procyflo 27TC'!E63)),EDATE(AB562,12),IF(ISNUMBER(SEARCH("6",'Procyflo 27TC'!E63)),EDATE(AB562,6),IF(ISNUMBER(SEARCH("3",'Procyflo 27TC'!E63)),EDATE(AB562,3),DATEVALUE('Procyflo 27TC'!E63))))),""))</f>
        <v/>
      </c>
      <c r="AM562" t="str">
        <f t="shared" ca="1" si="70"/>
        <v/>
      </c>
    </row>
    <row r="563" spans="27:39" x14ac:dyDescent="0.3">
      <c r="AA563" t="str">
        <f>IF(COUNTA('Procyflo 27TC'!B64,'Procyflo 27TC'!C64,'Procyflo 27TC'!D64)&gt;0,"27TC","")</f>
        <v/>
      </c>
      <c r="AB563" t="str">
        <f>IFERROR(IF(ISNUMBER('Procyflo 27TC'!B64),'Procyflo 27TC'!B64,DATEVALUE('Procyflo 27TC'!B64)),"")</f>
        <v/>
      </c>
      <c r="AC563" t="str">
        <f>IF(AA563="","",'Procyflo 27TC'!C64)</f>
        <v/>
      </c>
      <c r="AD563" t="str">
        <f>IF(AA563="","",IFERROR(1*'Procyflo 27TC'!D64,IFERROR(_xludf.NUMBERVALUE('Procyflo 27TC'!D64,".",","),IFERROR(_xludf.NUMBERVALUE('Procyflo 27TC'!D64,",","."),0))))</f>
        <v/>
      </c>
      <c r="AE563" t="str">
        <f>IF(AA563="","",'Procyflo 27TC'!N64)</f>
        <v/>
      </c>
      <c r="AF563">
        <f t="shared" si="65"/>
        <v>0</v>
      </c>
      <c r="AG563" t="str">
        <f t="shared" si="66"/>
        <v/>
      </c>
      <c r="AH563" t="str">
        <f t="shared" si="67"/>
        <v/>
      </c>
      <c r="AI563">
        <f t="shared" si="68"/>
        <v>0</v>
      </c>
      <c r="AJ563">
        <f t="shared" si="69"/>
        <v>0</v>
      </c>
      <c r="AK563">
        <v>0</v>
      </c>
      <c r="AL563" t="str">
        <f>IF(AA563="","",IFERROR(IF(ISNUMBER('Procyflo 27TC'!E64),'Procyflo 27TC'!E64,IF(ISNUMBER(SEARCH("12",'Procyflo 27TC'!E64)),EDATE(AB563,12),IF(ISNUMBER(SEARCH("6",'Procyflo 27TC'!E64)),EDATE(AB563,6),IF(ISNUMBER(SEARCH("3",'Procyflo 27TC'!E64)),EDATE(AB563,3),DATEVALUE('Procyflo 27TC'!E64))))),""))</f>
        <v/>
      </c>
      <c r="AM563" t="str">
        <f t="shared" ca="1" si="70"/>
        <v/>
      </c>
    </row>
    <row r="564" spans="27:39" x14ac:dyDescent="0.3">
      <c r="AA564" t="str">
        <f>IF(COUNTA('Procyflo 27TC'!B65,'Procyflo 27TC'!C65,'Procyflo 27TC'!D65)&gt;0,"27TC","")</f>
        <v/>
      </c>
      <c r="AB564" t="str">
        <f>IFERROR(IF(ISNUMBER('Procyflo 27TC'!B65),'Procyflo 27TC'!B65,DATEVALUE('Procyflo 27TC'!B65)),"")</f>
        <v/>
      </c>
      <c r="AC564" t="str">
        <f>IF(AA564="","",'Procyflo 27TC'!C65)</f>
        <v/>
      </c>
      <c r="AD564" t="str">
        <f>IF(AA564="","",IFERROR(1*'Procyflo 27TC'!D65,IFERROR(_xludf.NUMBERVALUE('Procyflo 27TC'!D65,".",","),IFERROR(_xludf.NUMBERVALUE('Procyflo 27TC'!D65,",","."),0))))</f>
        <v/>
      </c>
      <c r="AE564" t="str">
        <f>IF(AA564="","",'Procyflo 27TC'!N65)</f>
        <v/>
      </c>
      <c r="AF564">
        <f t="shared" si="65"/>
        <v>0</v>
      </c>
      <c r="AG564" t="str">
        <f t="shared" si="66"/>
        <v/>
      </c>
      <c r="AH564" t="str">
        <f t="shared" si="67"/>
        <v/>
      </c>
      <c r="AI564">
        <f t="shared" si="68"/>
        <v>0</v>
      </c>
      <c r="AJ564">
        <f t="shared" si="69"/>
        <v>0</v>
      </c>
      <c r="AK564">
        <v>0</v>
      </c>
      <c r="AL564" t="str">
        <f>IF(AA564="","",IFERROR(IF(ISNUMBER('Procyflo 27TC'!E65),'Procyflo 27TC'!E65,IF(ISNUMBER(SEARCH("12",'Procyflo 27TC'!E65)),EDATE(AB564,12),IF(ISNUMBER(SEARCH("6",'Procyflo 27TC'!E65)),EDATE(AB564,6),IF(ISNUMBER(SEARCH("3",'Procyflo 27TC'!E65)),EDATE(AB564,3),DATEVALUE('Procyflo 27TC'!E65))))),""))</f>
        <v/>
      </c>
      <c r="AM564" t="str">
        <f t="shared" ca="1" si="70"/>
        <v/>
      </c>
    </row>
    <row r="565" spans="27:39" x14ac:dyDescent="0.3">
      <c r="AA565" t="str">
        <f>IF(COUNTA('Procyflo 27TC'!B66,'Procyflo 27TC'!C66,'Procyflo 27TC'!D66)&gt;0,"27TC","")</f>
        <v/>
      </c>
      <c r="AB565" t="str">
        <f>IFERROR(IF(ISNUMBER('Procyflo 27TC'!B66),'Procyflo 27TC'!B66,DATEVALUE('Procyflo 27TC'!B66)),"")</f>
        <v/>
      </c>
      <c r="AC565" t="str">
        <f>IF(AA565="","",'Procyflo 27TC'!C66)</f>
        <v/>
      </c>
      <c r="AD565" t="str">
        <f>IF(AA565="","",IFERROR(1*'Procyflo 27TC'!D66,IFERROR(_xludf.NUMBERVALUE('Procyflo 27TC'!D66,".",","),IFERROR(_xludf.NUMBERVALUE('Procyflo 27TC'!D66,",","."),0))))</f>
        <v/>
      </c>
      <c r="AE565" t="str">
        <f>IF(AA565="","",'Procyflo 27TC'!N66)</f>
        <v/>
      </c>
      <c r="AF565">
        <f t="shared" si="65"/>
        <v>0</v>
      </c>
      <c r="AG565" t="str">
        <f t="shared" si="66"/>
        <v/>
      </c>
      <c r="AH565" t="str">
        <f t="shared" si="67"/>
        <v/>
      </c>
      <c r="AI565">
        <f t="shared" si="68"/>
        <v>0</v>
      </c>
      <c r="AJ565">
        <f t="shared" si="69"/>
        <v>0</v>
      </c>
      <c r="AK565">
        <v>0</v>
      </c>
      <c r="AL565" t="str">
        <f>IF(AA565="","",IFERROR(IF(ISNUMBER('Procyflo 27TC'!E66),'Procyflo 27TC'!E66,IF(ISNUMBER(SEARCH("12",'Procyflo 27TC'!E66)),EDATE(AB565,12),IF(ISNUMBER(SEARCH("6",'Procyflo 27TC'!E66)),EDATE(AB565,6),IF(ISNUMBER(SEARCH("3",'Procyflo 27TC'!E66)),EDATE(AB565,3),DATEVALUE('Procyflo 27TC'!E66))))),""))</f>
        <v/>
      </c>
      <c r="AM565" t="str">
        <f t="shared" ca="1" si="70"/>
        <v/>
      </c>
    </row>
    <row r="566" spans="27:39" x14ac:dyDescent="0.3">
      <c r="AA566" t="str">
        <f>IF(COUNTA('Procyflo 27TC'!B67,'Procyflo 27TC'!C67,'Procyflo 27TC'!D67)&gt;0,"27TC","")</f>
        <v/>
      </c>
      <c r="AB566" t="str">
        <f>IFERROR(IF(ISNUMBER('Procyflo 27TC'!B67),'Procyflo 27TC'!B67,DATEVALUE('Procyflo 27TC'!B67)),"")</f>
        <v/>
      </c>
      <c r="AC566" t="str">
        <f>IF(AA566="","",'Procyflo 27TC'!C67)</f>
        <v/>
      </c>
      <c r="AD566" t="str">
        <f>IF(AA566="","",IFERROR(1*'Procyflo 27TC'!D67,IFERROR(_xludf.NUMBERVALUE('Procyflo 27TC'!D67,".",","),IFERROR(_xludf.NUMBERVALUE('Procyflo 27TC'!D67,",","."),0))))</f>
        <v/>
      </c>
      <c r="AE566" t="str">
        <f>IF(AA566="","",'Procyflo 27TC'!N67)</f>
        <v/>
      </c>
      <c r="AF566">
        <f t="shared" si="65"/>
        <v>0</v>
      </c>
      <c r="AG566" t="str">
        <f t="shared" si="66"/>
        <v/>
      </c>
      <c r="AH566" t="str">
        <f t="shared" si="67"/>
        <v/>
      </c>
      <c r="AI566">
        <f t="shared" si="68"/>
        <v>0</v>
      </c>
      <c r="AJ566">
        <f t="shared" si="69"/>
        <v>0</v>
      </c>
      <c r="AK566">
        <v>0</v>
      </c>
      <c r="AL566" t="str">
        <f>IF(AA566="","",IFERROR(IF(ISNUMBER('Procyflo 27TC'!E67),'Procyflo 27TC'!E67,IF(ISNUMBER(SEARCH("12",'Procyflo 27TC'!E67)),EDATE(AB566,12),IF(ISNUMBER(SEARCH("6",'Procyflo 27TC'!E67)),EDATE(AB566,6),IF(ISNUMBER(SEARCH("3",'Procyflo 27TC'!E67)),EDATE(AB566,3),DATEVALUE('Procyflo 27TC'!E67))))),""))</f>
        <v/>
      </c>
      <c r="AM566" t="str">
        <f t="shared" ca="1" si="70"/>
        <v/>
      </c>
    </row>
    <row r="567" spans="27:39" x14ac:dyDescent="0.3">
      <c r="AA567" t="str">
        <f>IF(COUNTA('Procyflo 27TC'!B68,'Procyflo 27TC'!C68,'Procyflo 27TC'!D68)&gt;0,"27TC","")</f>
        <v/>
      </c>
      <c r="AB567" t="str">
        <f>IFERROR(IF(ISNUMBER('Procyflo 27TC'!B68),'Procyflo 27TC'!B68,DATEVALUE('Procyflo 27TC'!B68)),"")</f>
        <v/>
      </c>
      <c r="AC567" t="str">
        <f>IF(AA567="","",'Procyflo 27TC'!C68)</f>
        <v/>
      </c>
      <c r="AD567" t="str">
        <f>IF(AA567="","",IFERROR(1*'Procyflo 27TC'!D68,IFERROR(_xludf.NUMBERVALUE('Procyflo 27TC'!D68,".",","),IFERROR(_xludf.NUMBERVALUE('Procyflo 27TC'!D68,",","."),0))))</f>
        <v/>
      </c>
      <c r="AE567" t="str">
        <f>IF(AA567="","",'Procyflo 27TC'!N68)</f>
        <v/>
      </c>
      <c r="AF567">
        <f t="shared" si="65"/>
        <v>0</v>
      </c>
      <c r="AG567" t="str">
        <f t="shared" si="66"/>
        <v/>
      </c>
      <c r="AH567" t="str">
        <f t="shared" si="67"/>
        <v/>
      </c>
      <c r="AI567">
        <f t="shared" si="68"/>
        <v>0</v>
      </c>
      <c r="AJ567">
        <f t="shared" si="69"/>
        <v>0</v>
      </c>
      <c r="AK567">
        <v>0</v>
      </c>
      <c r="AL567" t="str">
        <f>IF(AA567="","",IFERROR(IF(ISNUMBER('Procyflo 27TC'!E68),'Procyflo 27TC'!E68,IF(ISNUMBER(SEARCH("12",'Procyflo 27TC'!E68)),EDATE(AB567,12),IF(ISNUMBER(SEARCH("6",'Procyflo 27TC'!E68)),EDATE(AB567,6),IF(ISNUMBER(SEARCH("3",'Procyflo 27TC'!E68)),EDATE(AB567,3),DATEVALUE('Procyflo 27TC'!E68))))),""))</f>
        <v/>
      </c>
      <c r="AM567" t="str">
        <f t="shared" ca="1" si="70"/>
        <v/>
      </c>
    </row>
    <row r="568" spans="27:39" x14ac:dyDescent="0.3">
      <c r="AA568" t="str">
        <f>IF(COUNTA('Procyflo 27TC'!B69,'Procyflo 27TC'!C69,'Procyflo 27TC'!D69)&gt;0,"27TC","")</f>
        <v/>
      </c>
      <c r="AB568" t="str">
        <f>IFERROR(IF(ISNUMBER('Procyflo 27TC'!B69),'Procyflo 27TC'!B69,DATEVALUE('Procyflo 27TC'!B69)),"")</f>
        <v/>
      </c>
      <c r="AC568" t="str">
        <f>IF(AA568="","",'Procyflo 27TC'!C69)</f>
        <v/>
      </c>
      <c r="AD568" t="str">
        <f>IF(AA568="","",IFERROR(1*'Procyflo 27TC'!D69,IFERROR(_xludf.NUMBERVALUE('Procyflo 27TC'!D69,".",","),IFERROR(_xludf.NUMBERVALUE('Procyflo 27TC'!D69,",","."),0))))</f>
        <v/>
      </c>
      <c r="AE568" t="str">
        <f>IF(AA568="","",'Procyflo 27TC'!N69)</f>
        <v/>
      </c>
      <c r="AF568">
        <f t="shared" si="65"/>
        <v>0</v>
      </c>
      <c r="AG568" t="str">
        <f t="shared" si="66"/>
        <v/>
      </c>
      <c r="AH568" t="str">
        <f t="shared" si="67"/>
        <v/>
      </c>
      <c r="AI568">
        <f t="shared" si="68"/>
        <v>0</v>
      </c>
      <c r="AJ568">
        <f t="shared" si="69"/>
        <v>0</v>
      </c>
      <c r="AK568">
        <v>0</v>
      </c>
      <c r="AL568" t="str">
        <f>IF(AA568="","",IFERROR(IF(ISNUMBER('Procyflo 27TC'!E69),'Procyflo 27TC'!E69,IF(ISNUMBER(SEARCH("12",'Procyflo 27TC'!E69)),EDATE(AB568,12),IF(ISNUMBER(SEARCH("6",'Procyflo 27TC'!E69)),EDATE(AB568,6),IF(ISNUMBER(SEARCH("3",'Procyflo 27TC'!E69)),EDATE(AB568,3),DATEVALUE('Procyflo 27TC'!E69))))),""))</f>
        <v/>
      </c>
      <c r="AM568" t="str">
        <f t="shared" ca="1" si="70"/>
        <v/>
      </c>
    </row>
    <row r="569" spans="27:39" x14ac:dyDescent="0.3">
      <c r="AA569" t="str">
        <f>IF(COUNTA('Procyflo 27TC'!B70,'Procyflo 27TC'!C70,'Procyflo 27TC'!D70)&gt;0,"27TC","")</f>
        <v/>
      </c>
      <c r="AB569" t="str">
        <f>IFERROR(IF(ISNUMBER('Procyflo 27TC'!B70),'Procyflo 27TC'!B70,DATEVALUE('Procyflo 27TC'!B70)),"")</f>
        <v/>
      </c>
      <c r="AC569" t="str">
        <f>IF(AA569="","",'Procyflo 27TC'!C70)</f>
        <v/>
      </c>
      <c r="AD569" t="str">
        <f>IF(AA569="","",IFERROR(1*'Procyflo 27TC'!D70,IFERROR(_xludf.NUMBERVALUE('Procyflo 27TC'!D70,".",","),IFERROR(_xludf.NUMBERVALUE('Procyflo 27TC'!D70,",","."),0))))</f>
        <v/>
      </c>
      <c r="AE569" t="str">
        <f>IF(AA569="","",'Procyflo 27TC'!N70)</f>
        <v/>
      </c>
      <c r="AF569">
        <f t="shared" si="65"/>
        <v>0</v>
      </c>
      <c r="AG569" t="str">
        <f t="shared" si="66"/>
        <v/>
      </c>
      <c r="AH569" t="str">
        <f t="shared" si="67"/>
        <v/>
      </c>
      <c r="AI569">
        <f t="shared" si="68"/>
        <v>0</v>
      </c>
      <c r="AJ569">
        <f t="shared" si="69"/>
        <v>0</v>
      </c>
      <c r="AK569">
        <v>0</v>
      </c>
      <c r="AL569" t="str">
        <f>IF(AA569="","",IFERROR(IF(ISNUMBER('Procyflo 27TC'!E70),'Procyflo 27TC'!E70,IF(ISNUMBER(SEARCH("12",'Procyflo 27TC'!E70)),EDATE(AB569,12),IF(ISNUMBER(SEARCH("6",'Procyflo 27TC'!E70)),EDATE(AB569,6),IF(ISNUMBER(SEARCH("3",'Procyflo 27TC'!E70)),EDATE(AB569,3),DATEVALUE('Procyflo 27TC'!E70))))),""))</f>
        <v/>
      </c>
      <c r="AM569" t="str">
        <f t="shared" ca="1" si="70"/>
        <v/>
      </c>
    </row>
    <row r="570" spans="27:39" x14ac:dyDescent="0.3">
      <c r="AA570" t="str">
        <f>IF(COUNTA('Procyflo 27TC'!B71,'Procyflo 27TC'!C71,'Procyflo 27TC'!D71)&gt;0,"27TC","")</f>
        <v/>
      </c>
      <c r="AB570" t="str">
        <f>IFERROR(IF(ISNUMBER('Procyflo 27TC'!B71),'Procyflo 27TC'!B71,DATEVALUE('Procyflo 27TC'!B71)),"")</f>
        <v/>
      </c>
      <c r="AC570" t="str">
        <f>IF(AA570="","",'Procyflo 27TC'!C71)</f>
        <v/>
      </c>
      <c r="AD570" t="str">
        <f>IF(AA570="","",IFERROR(1*'Procyflo 27TC'!D71,IFERROR(_xludf.NUMBERVALUE('Procyflo 27TC'!D71,".",","),IFERROR(_xludf.NUMBERVALUE('Procyflo 27TC'!D71,",","."),0))))</f>
        <v/>
      </c>
      <c r="AE570" t="str">
        <f>IF(AA570="","",'Procyflo 27TC'!N71)</f>
        <v/>
      </c>
      <c r="AF570">
        <f t="shared" si="65"/>
        <v>0</v>
      </c>
      <c r="AG570" t="str">
        <f t="shared" si="66"/>
        <v/>
      </c>
      <c r="AH570" t="str">
        <f t="shared" si="67"/>
        <v/>
      </c>
      <c r="AI570">
        <f t="shared" si="68"/>
        <v>0</v>
      </c>
      <c r="AJ570">
        <f t="shared" si="69"/>
        <v>0</v>
      </c>
      <c r="AK570">
        <v>0</v>
      </c>
      <c r="AL570" t="str">
        <f>IF(AA570="","",IFERROR(IF(ISNUMBER('Procyflo 27TC'!E71),'Procyflo 27TC'!E71,IF(ISNUMBER(SEARCH("12",'Procyflo 27TC'!E71)),EDATE(AB570,12),IF(ISNUMBER(SEARCH("6",'Procyflo 27TC'!E71)),EDATE(AB570,6),IF(ISNUMBER(SEARCH("3",'Procyflo 27TC'!E71)),EDATE(AB570,3),DATEVALUE('Procyflo 27TC'!E71))))),""))</f>
        <v/>
      </c>
      <c r="AM570" t="str">
        <f t="shared" ca="1" si="70"/>
        <v/>
      </c>
    </row>
    <row r="571" spans="27:39" x14ac:dyDescent="0.3">
      <c r="AA571" t="str">
        <f>IF(COUNTA('Procyflo 27TC'!B72,'Procyflo 27TC'!C72,'Procyflo 27TC'!D72)&gt;0,"27TC","")</f>
        <v/>
      </c>
      <c r="AB571" t="str">
        <f>IFERROR(IF(ISNUMBER('Procyflo 27TC'!B72),'Procyflo 27TC'!B72,DATEVALUE('Procyflo 27TC'!B72)),"")</f>
        <v/>
      </c>
      <c r="AC571" t="str">
        <f>IF(AA571="","",'Procyflo 27TC'!C72)</f>
        <v/>
      </c>
      <c r="AD571" t="str">
        <f>IF(AA571="","",IFERROR(1*'Procyflo 27TC'!D72,IFERROR(_xludf.NUMBERVALUE('Procyflo 27TC'!D72,".",","),IFERROR(_xludf.NUMBERVALUE('Procyflo 27TC'!D72,",","."),0))))</f>
        <v/>
      </c>
      <c r="AE571" t="str">
        <f>IF(AA571="","",'Procyflo 27TC'!N72)</f>
        <v/>
      </c>
      <c r="AF571">
        <f t="shared" si="65"/>
        <v>0</v>
      </c>
      <c r="AG571" t="str">
        <f t="shared" si="66"/>
        <v/>
      </c>
      <c r="AH571" t="str">
        <f t="shared" si="67"/>
        <v/>
      </c>
      <c r="AI571">
        <f t="shared" si="68"/>
        <v>0</v>
      </c>
      <c r="AJ571">
        <f t="shared" si="69"/>
        <v>0</v>
      </c>
      <c r="AK571">
        <v>0</v>
      </c>
      <c r="AL571" t="str">
        <f>IF(AA571="","",IFERROR(IF(ISNUMBER('Procyflo 27TC'!E72),'Procyflo 27TC'!E72,IF(ISNUMBER(SEARCH("12",'Procyflo 27TC'!E72)),EDATE(AB571,12),IF(ISNUMBER(SEARCH("6",'Procyflo 27TC'!E72)),EDATE(AB571,6),IF(ISNUMBER(SEARCH("3",'Procyflo 27TC'!E72)),EDATE(AB571,3),DATEVALUE('Procyflo 27TC'!E72))))),""))</f>
        <v/>
      </c>
      <c r="AM571" t="str">
        <f t="shared" ca="1" si="70"/>
        <v/>
      </c>
    </row>
    <row r="572" spans="27:39" x14ac:dyDescent="0.3">
      <c r="AA572" t="str">
        <f>IF(COUNTA('Procyflo 27TC'!B73,'Procyflo 27TC'!C73,'Procyflo 27TC'!D73)&gt;0,"27TC","")</f>
        <v/>
      </c>
      <c r="AB572" t="str">
        <f>IFERROR(IF(ISNUMBER('Procyflo 27TC'!B73),'Procyflo 27TC'!B73,DATEVALUE('Procyflo 27TC'!B73)),"")</f>
        <v/>
      </c>
      <c r="AC572" t="str">
        <f>IF(AA572="","",'Procyflo 27TC'!C73)</f>
        <v/>
      </c>
      <c r="AD572" t="str">
        <f>IF(AA572="","",IFERROR(1*'Procyflo 27TC'!D73,IFERROR(_xludf.NUMBERVALUE('Procyflo 27TC'!D73,".",","),IFERROR(_xludf.NUMBERVALUE('Procyflo 27TC'!D73,",","."),0))))</f>
        <v/>
      </c>
      <c r="AE572" t="str">
        <f>IF(AA572="","",'Procyflo 27TC'!N73)</f>
        <v/>
      </c>
      <c r="AF572">
        <f t="shared" si="65"/>
        <v>0</v>
      </c>
      <c r="AG572" t="str">
        <f t="shared" si="66"/>
        <v/>
      </c>
      <c r="AH572" t="str">
        <f t="shared" si="67"/>
        <v/>
      </c>
      <c r="AI572">
        <f t="shared" si="68"/>
        <v>0</v>
      </c>
      <c r="AJ572">
        <f t="shared" si="69"/>
        <v>0</v>
      </c>
      <c r="AK572">
        <v>0</v>
      </c>
      <c r="AL572" t="str">
        <f>IF(AA572="","",IFERROR(IF(ISNUMBER('Procyflo 27TC'!E73),'Procyflo 27TC'!E73,IF(ISNUMBER(SEARCH("12",'Procyflo 27TC'!E73)),EDATE(AB572,12),IF(ISNUMBER(SEARCH("6",'Procyflo 27TC'!E73)),EDATE(AB572,6),IF(ISNUMBER(SEARCH("3",'Procyflo 27TC'!E73)),EDATE(AB572,3),DATEVALUE('Procyflo 27TC'!E73))))),""))</f>
        <v/>
      </c>
      <c r="AM572" t="str">
        <f t="shared" ca="1" si="70"/>
        <v/>
      </c>
    </row>
    <row r="573" spans="27:39" x14ac:dyDescent="0.3">
      <c r="AA573" t="str">
        <f>IF(COUNTA('Procyflo 27TC'!B74,'Procyflo 27TC'!C74,'Procyflo 27TC'!D74)&gt;0,"27TC","")</f>
        <v/>
      </c>
      <c r="AB573" t="str">
        <f>IFERROR(IF(ISNUMBER('Procyflo 27TC'!B74),'Procyflo 27TC'!B74,DATEVALUE('Procyflo 27TC'!B74)),"")</f>
        <v/>
      </c>
      <c r="AC573" t="str">
        <f>IF(AA573="","",'Procyflo 27TC'!C74)</f>
        <v/>
      </c>
      <c r="AD573" t="str">
        <f>IF(AA573="","",IFERROR(1*'Procyflo 27TC'!D74,IFERROR(_xludf.NUMBERVALUE('Procyflo 27TC'!D74,".",","),IFERROR(_xludf.NUMBERVALUE('Procyflo 27TC'!D74,",","."),0))))</f>
        <v/>
      </c>
      <c r="AE573" t="str">
        <f>IF(AA573="","",'Procyflo 27TC'!N74)</f>
        <v/>
      </c>
      <c r="AF573">
        <f t="shared" si="65"/>
        <v>0</v>
      </c>
      <c r="AG573" t="str">
        <f t="shared" si="66"/>
        <v/>
      </c>
      <c r="AH573" t="str">
        <f t="shared" si="67"/>
        <v/>
      </c>
      <c r="AI573">
        <f t="shared" si="68"/>
        <v>0</v>
      </c>
      <c r="AJ573">
        <f t="shared" si="69"/>
        <v>0</v>
      </c>
      <c r="AK573">
        <v>0</v>
      </c>
      <c r="AL573" t="str">
        <f>IF(AA573="","",IFERROR(IF(ISNUMBER('Procyflo 27TC'!E74),'Procyflo 27TC'!E74,IF(ISNUMBER(SEARCH("12",'Procyflo 27TC'!E74)),EDATE(AB573,12),IF(ISNUMBER(SEARCH("6",'Procyflo 27TC'!E74)),EDATE(AB573,6),IF(ISNUMBER(SEARCH("3",'Procyflo 27TC'!E74)),EDATE(AB573,3),DATEVALUE('Procyflo 27TC'!E74))))),""))</f>
        <v/>
      </c>
      <c r="AM573" t="str">
        <f t="shared" ca="1" si="70"/>
        <v/>
      </c>
    </row>
    <row r="574" spans="27:39" x14ac:dyDescent="0.3">
      <c r="AA574" t="str">
        <f>IF(COUNTA('Procyflo 27TC'!B75,'Procyflo 27TC'!C75,'Procyflo 27TC'!D75)&gt;0,"27TC","")</f>
        <v/>
      </c>
      <c r="AB574" t="str">
        <f>IFERROR(IF(ISNUMBER('Procyflo 27TC'!B75),'Procyflo 27TC'!B75,DATEVALUE('Procyflo 27TC'!B75)),"")</f>
        <v/>
      </c>
      <c r="AC574" t="str">
        <f>IF(AA574="","",'Procyflo 27TC'!C75)</f>
        <v/>
      </c>
      <c r="AD574" t="str">
        <f>IF(AA574="","",IFERROR(1*'Procyflo 27TC'!D75,IFERROR(_xludf.NUMBERVALUE('Procyflo 27TC'!D75,".",","),IFERROR(_xludf.NUMBERVALUE('Procyflo 27TC'!D75,",","."),0))))</f>
        <v/>
      </c>
      <c r="AE574" t="str">
        <f>IF(AA574="","",'Procyflo 27TC'!N75)</f>
        <v/>
      </c>
      <c r="AF574">
        <f t="shared" si="65"/>
        <v>0</v>
      </c>
      <c r="AG574" t="str">
        <f t="shared" si="66"/>
        <v/>
      </c>
      <c r="AH574" t="str">
        <f t="shared" si="67"/>
        <v/>
      </c>
      <c r="AI574">
        <f t="shared" si="68"/>
        <v>0</v>
      </c>
      <c r="AJ574">
        <f t="shared" si="69"/>
        <v>0</v>
      </c>
      <c r="AK574">
        <v>0</v>
      </c>
      <c r="AL574" t="str">
        <f>IF(AA574="","",IFERROR(IF(ISNUMBER('Procyflo 27TC'!E75),'Procyflo 27TC'!E75,IF(ISNUMBER(SEARCH("12",'Procyflo 27TC'!E75)),EDATE(AB574,12),IF(ISNUMBER(SEARCH("6",'Procyflo 27TC'!E75)),EDATE(AB574,6),IF(ISNUMBER(SEARCH("3",'Procyflo 27TC'!E75)),EDATE(AB574,3),DATEVALUE('Procyflo 27TC'!E75))))),""))</f>
        <v/>
      </c>
      <c r="AM574" t="str">
        <f t="shared" ca="1" si="70"/>
        <v/>
      </c>
    </row>
    <row r="575" spans="27:39" x14ac:dyDescent="0.3">
      <c r="AA575" t="str">
        <f>IF(COUNTA('Procyflo 27TC'!B76,'Procyflo 27TC'!C76,'Procyflo 27TC'!D76)&gt;0,"27TC","")</f>
        <v/>
      </c>
      <c r="AB575" t="str">
        <f>IFERROR(IF(ISNUMBER('Procyflo 27TC'!B76),'Procyflo 27TC'!B76,DATEVALUE('Procyflo 27TC'!B76)),"")</f>
        <v/>
      </c>
      <c r="AC575" t="str">
        <f>IF(AA575="","",'Procyflo 27TC'!C76)</f>
        <v/>
      </c>
      <c r="AD575" t="str">
        <f>IF(AA575="","",IFERROR(1*'Procyflo 27TC'!D76,IFERROR(_xludf.NUMBERVALUE('Procyflo 27TC'!D76,".",","),IFERROR(_xludf.NUMBERVALUE('Procyflo 27TC'!D76,",","."),0))))</f>
        <v/>
      </c>
      <c r="AE575" t="str">
        <f>IF(AA575="","",'Procyflo 27TC'!N76)</f>
        <v/>
      </c>
      <c r="AF575">
        <f t="shared" si="65"/>
        <v>0</v>
      </c>
      <c r="AG575" t="str">
        <f t="shared" si="66"/>
        <v/>
      </c>
      <c r="AH575" t="str">
        <f t="shared" si="67"/>
        <v/>
      </c>
      <c r="AI575">
        <f t="shared" si="68"/>
        <v>0</v>
      </c>
      <c r="AJ575">
        <f t="shared" si="69"/>
        <v>0</v>
      </c>
      <c r="AK575">
        <v>0</v>
      </c>
      <c r="AL575" t="str">
        <f>IF(AA575="","",IFERROR(IF(ISNUMBER('Procyflo 27TC'!E76),'Procyflo 27TC'!E76,IF(ISNUMBER(SEARCH("12",'Procyflo 27TC'!E76)),EDATE(AB575,12),IF(ISNUMBER(SEARCH("6",'Procyflo 27TC'!E76)),EDATE(AB575,6),IF(ISNUMBER(SEARCH("3",'Procyflo 27TC'!E76)),EDATE(AB575,3),DATEVALUE('Procyflo 27TC'!E76))))),""))</f>
        <v/>
      </c>
      <c r="AM575" t="str">
        <f t="shared" ca="1" si="70"/>
        <v/>
      </c>
    </row>
    <row r="576" spans="27:39" x14ac:dyDescent="0.3">
      <c r="AA576" t="str">
        <f>IF(COUNTA('Procyflo 27TC'!B77,'Procyflo 27TC'!C77,'Procyflo 27TC'!D77)&gt;0,"27TC","")</f>
        <v/>
      </c>
      <c r="AB576" t="str">
        <f>IFERROR(IF(ISNUMBER('Procyflo 27TC'!B77),'Procyflo 27TC'!B77,DATEVALUE('Procyflo 27TC'!B77)),"")</f>
        <v/>
      </c>
      <c r="AC576" t="str">
        <f>IF(AA576="","",'Procyflo 27TC'!C77)</f>
        <v/>
      </c>
      <c r="AD576" t="str">
        <f>IF(AA576="","",IFERROR(1*'Procyflo 27TC'!D77,IFERROR(_xludf.NUMBERVALUE('Procyflo 27TC'!D77,".",","),IFERROR(_xludf.NUMBERVALUE('Procyflo 27TC'!D77,",","."),0))))</f>
        <v/>
      </c>
      <c r="AE576" t="str">
        <f>IF(AA576="","",'Procyflo 27TC'!N77)</f>
        <v/>
      </c>
      <c r="AF576">
        <f t="shared" si="65"/>
        <v>0</v>
      </c>
      <c r="AG576" t="str">
        <f t="shared" si="66"/>
        <v/>
      </c>
      <c r="AH576" t="str">
        <f t="shared" si="67"/>
        <v/>
      </c>
      <c r="AI576">
        <f t="shared" si="68"/>
        <v>0</v>
      </c>
      <c r="AJ576">
        <f t="shared" si="69"/>
        <v>0</v>
      </c>
      <c r="AK576">
        <v>0</v>
      </c>
      <c r="AL576" t="str">
        <f>IF(AA576="","",IFERROR(IF(ISNUMBER('Procyflo 27TC'!E77),'Procyflo 27TC'!E77,IF(ISNUMBER(SEARCH("12",'Procyflo 27TC'!E77)),EDATE(AB576,12),IF(ISNUMBER(SEARCH("6",'Procyflo 27TC'!E77)),EDATE(AB576,6),IF(ISNUMBER(SEARCH("3",'Procyflo 27TC'!E77)),EDATE(AB576,3),DATEVALUE('Procyflo 27TC'!E77))))),""))</f>
        <v/>
      </c>
      <c r="AM576" t="str">
        <f t="shared" ca="1" si="70"/>
        <v/>
      </c>
    </row>
    <row r="577" spans="27:39" x14ac:dyDescent="0.3">
      <c r="AA577" t="str">
        <f>IF(COUNTA('Procyflo 27TC'!B78,'Procyflo 27TC'!C78,'Procyflo 27TC'!D78)&gt;0,"27TC","")</f>
        <v/>
      </c>
      <c r="AB577" t="str">
        <f>IFERROR(IF(ISNUMBER('Procyflo 27TC'!B78),'Procyflo 27TC'!B78,DATEVALUE('Procyflo 27TC'!B78)),"")</f>
        <v/>
      </c>
      <c r="AC577" t="str">
        <f>IF(AA577="","",'Procyflo 27TC'!C78)</f>
        <v/>
      </c>
      <c r="AD577" t="str">
        <f>IF(AA577="","",IFERROR(1*'Procyflo 27TC'!D78,IFERROR(_xludf.NUMBERVALUE('Procyflo 27TC'!D78,".",","),IFERROR(_xludf.NUMBERVALUE('Procyflo 27TC'!D78,",","."),0))))</f>
        <v/>
      </c>
      <c r="AE577" t="str">
        <f>IF(AA577="","",'Procyflo 27TC'!N78)</f>
        <v/>
      </c>
      <c r="AF577">
        <f t="shared" si="65"/>
        <v>0</v>
      </c>
      <c r="AG577" t="str">
        <f t="shared" si="66"/>
        <v/>
      </c>
      <c r="AH577" t="str">
        <f t="shared" si="67"/>
        <v/>
      </c>
      <c r="AI577">
        <f t="shared" si="68"/>
        <v>0</v>
      </c>
      <c r="AJ577">
        <f t="shared" si="69"/>
        <v>0</v>
      </c>
      <c r="AK577">
        <v>0</v>
      </c>
      <c r="AL577" t="str">
        <f>IF(AA577="","",IFERROR(IF(ISNUMBER('Procyflo 27TC'!E78),'Procyflo 27TC'!E78,IF(ISNUMBER(SEARCH("12",'Procyflo 27TC'!E78)),EDATE(AB577,12),IF(ISNUMBER(SEARCH("6",'Procyflo 27TC'!E78)),EDATE(AB577,6),IF(ISNUMBER(SEARCH("3",'Procyflo 27TC'!E78)),EDATE(AB577,3),DATEVALUE('Procyflo 27TC'!E78))))),""))</f>
        <v/>
      </c>
      <c r="AM577" t="str">
        <f t="shared" ca="1" si="70"/>
        <v/>
      </c>
    </row>
    <row r="578" spans="27:39" x14ac:dyDescent="0.3">
      <c r="AA578" t="str">
        <f>IF(COUNTA('Procyflo 27TC'!B79,'Procyflo 27TC'!C79,'Procyflo 27TC'!D79)&gt;0,"27TC","")</f>
        <v/>
      </c>
      <c r="AB578" t="str">
        <f>IFERROR(IF(ISNUMBER('Procyflo 27TC'!B79),'Procyflo 27TC'!B79,DATEVALUE('Procyflo 27TC'!B79)),"")</f>
        <v/>
      </c>
      <c r="AC578" t="str">
        <f>IF(AA578="","",'Procyflo 27TC'!C79)</f>
        <v/>
      </c>
      <c r="AD578" t="str">
        <f>IF(AA578="","",IFERROR(1*'Procyflo 27TC'!D79,IFERROR(_xludf.NUMBERVALUE('Procyflo 27TC'!D79,".",","),IFERROR(_xludf.NUMBERVALUE('Procyflo 27TC'!D79,",","."),0))))</f>
        <v/>
      </c>
      <c r="AE578" t="str">
        <f>IF(AA578="","",'Procyflo 27TC'!N79)</f>
        <v/>
      </c>
      <c r="AF578">
        <f t="shared" ref="AF578:AF641" si="71">IF(AA578="",0,--AND(ISNUMBER(SEARCH("aprov",AE578)),NOT(ISNUMBER(SEARCH("reprov",AE578)))))</f>
        <v>0</v>
      </c>
      <c r="AG578" t="str">
        <f t="shared" ref="AG578:AG641" si="72">IF(AB578="","",YEAR(AB578))</f>
        <v/>
      </c>
      <c r="AH578" t="str">
        <f t="shared" ref="AH578:AH641" si="73">IF(AB578="","",MONTH(AB578))</f>
        <v/>
      </c>
      <c r="AI578">
        <f t="shared" ref="AI578:AI641" si="74">IF(AB578="",0,AB578+ROW()/1000000)</f>
        <v>0</v>
      </c>
      <c r="AJ578">
        <f t="shared" ref="AJ578:AJ641" si="75">--(AA578&lt;&gt;"")</f>
        <v>0</v>
      </c>
      <c r="AK578">
        <v>0</v>
      </c>
      <c r="AL578" t="str">
        <f>IF(AA578="","",IFERROR(IF(ISNUMBER('Procyflo 27TC'!E79),'Procyflo 27TC'!E79,IF(ISNUMBER(SEARCH("12",'Procyflo 27TC'!E79)),EDATE(AB578,12),IF(ISNUMBER(SEARCH("6",'Procyflo 27TC'!E79)),EDATE(AB578,6),IF(ISNUMBER(SEARCH("3",'Procyflo 27TC'!E79)),EDATE(AB578,3),DATEVALUE('Procyflo 27TC'!E79))))),""))</f>
        <v/>
      </c>
      <c r="AM578" t="str">
        <f t="shared" ref="AM578:AM641" ca="1" si="76">IF(AND(AJ578=1,AL578&lt;&gt;"",AL578&gt;=TODAY(),AG578=$W$3),AL578+ROW()/1000000,"")</f>
        <v/>
      </c>
    </row>
    <row r="579" spans="27:39" x14ac:dyDescent="0.3">
      <c r="AA579" t="str">
        <f>IF(COUNTA('Procyflo 27TC'!B80,'Procyflo 27TC'!C80,'Procyflo 27TC'!D80)&gt;0,"27TC","")</f>
        <v/>
      </c>
      <c r="AB579" t="str">
        <f>IFERROR(IF(ISNUMBER('Procyflo 27TC'!B80),'Procyflo 27TC'!B80,DATEVALUE('Procyflo 27TC'!B80)),"")</f>
        <v/>
      </c>
      <c r="AC579" t="str">
        <f>IF(AA579="","",'Procyflo 27TC'!C80)</f>
        <v/>
      </c>
      <c r="AD579" t="str">
        <f>IF(AA579="","",IFERROR(1*'Procyflo 27TC'!D80,IFERROR(_xludf.NUMBERVALUE('Procyflo 27TC'!D80,".",","),IFERROR(_xludf.NUMBERVALUE('Procyflo 27TC'!D80,",","."),0))))</f>
        <v/>
      </c>
      <c r="AE579" t="str">
        <f>IF(AA579="","",'Procyflo 27TC'!N80)</f>
        <v/>
      </c>
      <c r="AF579">
        <f t="shared" si="71"/>
        <v>0</v>
      </c>
      <c r="AG579" t="str">
        <f t="shared" si="72"/>
        <v/>
      </c>
      <c r="AH579" t="str">
        <f t="shared" si="73"/>
        <v/>
      </c>
      <c r="AI579">
        <f t="shared" si="74"/>
        <v>0</v>
      </c>
      <c r="AJ579">
        <f t="shared" si="75"/>
        <v>0</v>
      </c>
      <c r="AK579">
        <v>0</v>
      </c>
      <c r="AL579" t="str">
        <f>IF(AA579="","",IFERROR(IF(ISNUMBER('Procyflo 27TC'!E80),'Procyflo 27TC'!E80,IF(ISNUMBER(SEARCH("12",'Procyflo 27TC'!E80)),EDATE(AB579,12),IF(ISNUMBER(SEARCH("6",'Procyflo 27TC'!E80)),EDATE(AB579,6),IF(ISNUMBER(SEARCH("3",'Procyflo 27TC'!E80)),EDATE(AB579,3),DATEVALUE('Procyflo 27TC'!E80))))),""))</f>
        <v/>
      </c>
      <c r="AM579" t="str">
        <f t="shared" ca="1" si="76"/>
        <v/>
      </c>
    </row>
    <row r="580" spans="27:39" x14ac:dyDescent="0.3">
      <c r="AA580" t="str">
        <f>IF(COUNTA('Procyflo 27TC'!B81,'Procyflo 27TC'!C81,'Procyflo 27TC'!D81)&gt;0,"27TC","")</f>
        <v/>
      </c>
      <c r="AB580" t="str">
        <f>IFERROR(IF(ISNUMBER('Procyflo 27TC'!B81),'Procyflo 27TC'!B81,DATEVALUE('Procyflo 27TC'!B81)),"")</f>
        <v/>
      </c>
      <c r="AC580" t="str">
        <f>IF(AA580="","",'Procyflo 27TC'!C81)</f>
        <v/>
      </c>
      <c r="AD580" t="str">
        <f>IF(AA580="","",IFERROR(1*'Procyflo 27TC'!D81,IFERROR(_xludf.NUMBERVALUE('Procyflo 27TC'!D81,".",","),IFERROR(_xludf.NUMBERVALUE('Procyflo 27TC'!D81,",","."),0))))</f>
        <v/>
      </c>
      <c r="AE580" t="str">
        <f>IF(AA580="","",'Procyflo 27TC'!N81)</f>
        <v/>
      </c>
      <c r="AF580">
        <f t="shared" si="71"/>
        <v>0</v>
      </c>
      <c r="AG580" t="str">
        <f t="shared" si="72"/>
        <v/>
      </c>
      <c r="AH580" t="str">
        <f t="shared" si="73"/>
        <v/>
      </c>
      <c r="AI580">
        <f t="shared" si="74"/>
        <v>0</v>
      </c>
      <c r="AJ580">
        <f t="shared" si="75"/>
        <v>0</v>
      </c>
      <c r="AK580">
        <v>0</v>
      </c>
      <c r="AL580" t="str">
        <f>IF(AA580="","",IFERROR(IF(ISNUMBER('Procyflo 27TC'!E81),'Procyflo 27TC'!E81,IF(ISNUMBER(SEARCH("12",'Procyflo 27TC'!E81)),EDATE(AB580,12),IF(ISNUMBER(SEARCH("6",'Procyflo 27TC'!E81)),EDATE(AB580,6),IF(ISNUMBER(SEARCH("3",'Procyflo 27TC'!E81)),EDATE(AB580,3),DATEVALUE('Procyflo 27TC'!E81))))),""))</f>
        <v/>
      </c>
      <c r="AM580" t="str">
        <f t="shared" ca="1" si="76"/>
        <v/>
      </c>
    </row>
    <row r="581" spans="27:39" x14ac:dyDescent="0.3">
      <c r="AA581" t="str">
        <f>IF(COUNTA('Procyflo 27TC'!B82,'Procyflo 27TC'!C82,'Procyflo 27TC'!D82)&gt;0,"27TC","")</f>
        <v/>
      </c>
      <c r="AB581" t="str">
        <f>IFERROR(IF(ISNUMBER('Procyflo 27TC'!B82),'Procyflo 27TC'!B82,DATEVALUE('Procyflo 27TC'!B82)),"")</f>
        <v/>
      </c>
      <c r="AC581" t="str">
        <f>IF(AA581="","",'Procyflo 27TC'!C82)</f>
        <v/>
      </c>
      <c r="AD581" t="str">
        <f>IF(AA581="","",IFERROR(1*'Procyflo 27TC'!D82,IFERROR(_xludf.NUMBERVALUE('Procyflo 27TC'!D82,".",","),IFERROR(_xludf.NUMBERVALUE('Procyflo 27TC'!D82,",","."),0))))</f>
        <v/>
      </c>
      <c r="AE581" t="str">
        <f>IF(AA581="","",'Procyflo 27TC'!N82)</f>
        <v/>
      </c>
      <c r="AF581">
        <f t="shared" si="71"/>
        <v>0</v>
      </c>
      <c r="AG581" t="str">
        <f t="shared" si="72"/>
        <v/>
      </c>
      <c r="AH581" t="str">
        <f t="shared" si="73"/>
        <v/>
      </c>
      <c r="AI581">
        <f t="shared" si="74"/>
        <v>0</v>
      </c>
      <c r="AJ581">
        <f t="shared" si="75"/>
        <v>0</v>
      </c>
      <c r="AK581">
        <v>0</v>
      </c>
      <c r="AL581" t="str">
        <f>IF(AA581="","",IFERROR(IF(ISNUMBER('Procyflo 27TC'!E82),'Procyflo 27TC'!E82,IF(ISNUMBER(SEARCH("12",'Procyflo 27TC'!E82)),EDATE(AB581,12),IF(ISNUMBER(SEARCH("6",'Procyflo 27TC'!E82)),EDATE(AB581,6),IF(ISNUMBER(SEARCH("3",'Procyflo 27TC'!E82)),EDATE(AB581,3),DATEVALUE('Procyflo 27TC'!E82))))),""))</f>
        <v/>
      </c>
      <c r="AM581" t="str">
        <f t="shared" ca="1" si="76"/>
        <v/>
      </c>
    </row>
    <row r="582" spans="27:39" x14ac:dyDescent="0.3">
      <c r="AA582" t="str">
        <f>IF(COUNTA('Procyflo 27TC'!B83,'Procyflo 27TC'!C83,'Procyflo 27TC'!D83)&gt;0,"27TC","")</f>
        <v/>
      </c>
      <c r="AB582" t="str">
        <f>IFERROR(IF(ISNUMBER('Procyflo 27TC'!B83),'Procyflo 27TC'!B83,DATEVALUE('Procyflo 27TC'!B83)),"")</f>
        <v/>
      </c>
      <c r="AC582" t="str">
        <f>IF(AA582="","",'Procyflo 27TC'!C83)</f>
        <v/>
      </c>
      <c r="AD582" t="str">
        <f>IF(AA582="","",IFERROR(1*'Procyflo 27TC'!D83,IFERROR(_xludf.NUMBERVALUE('Procyflo 27TC'!D83,".",","),IFERROR(_xludf.NUMBERVALUE('Procyflo 27TC'!D83,",","."),0))))</f>
        <v/>
      </c>
      <c r="AE582" t="str">
        <f>IF(AA582="","",'Procyflo 27TC'!N83)</f>
        <v/>
      </c>
      <c r="AF582">
        <f t="shared" si="71"/>
        <v>0</v>
      </c>
      <c r="AG582" t="str">
        <f t="shared" si="72"/>
        <v/>
      </c>
      <c r="AH582" t="str">
        <f t="shared" si="73"/>
        <v/>
      </c>
      <c r="AI582">
        <f t="shared" si="74"/>
        <v>0</v>
      </c>
      <c r="AJ582">
        <f t="shared" si="75"/>
        <v>0</v>
      </c>
      <c r="AK582">
        <v>0</v>
      </c>
      <c r="AL582" t="str">
        <f>IF(AA582="","",IFERROR(IF(ISNUMBER('Procyflo 27TC'!E83),'Procyflo 27TC'!E83,IF(ISNUMBER(SEARCH("12",'Procyflo 27TC'!E83)),EDATE(AB582,12),IF(ISNUMBER(SEARCH("6",'Procyflo 27TC'!E83)),EDATE(AB582,6),IF(ISNUMBER(SEARCH("3",'Procyflo 27TC'!E83)),EDATE(AB582,3),DATEVALUE('Procyflo 27TC'!E83))))),""))</f>
        <v/>
      </c>
      <c r="AM582" t="str">
        <f t="shared" ca="1" si="76"/>
        <v/>
      </c>
    </row>
    <row r="583" spans="27:39" x14ac:dyDescent="0.3">
      <c r="AA583" t="str">
        <f>IF(COUNTA('Procyflo 27TC'!B84,'Procyflo 27TC'!C84,'Procyflo 27TC'!D84)&gt;0,"27TC","")</f>
        <v/>
      </c>
      <c r="AB583" t="str">
        <f>IFERROR(IF(ISNUMBER('Procyflo 27TC'!B84),'Procyflo 27TC'!B84,DATEVALUE('Procyflo 27TC'!B84)),"")</f>
        <v/>
      </c>
      <c r="AC583" t="str">
        <f>IF(AA583="","",'Procyflo 27TC'!C84)</f>
        <v/>
      </c>
      <c r="AD583" t="str">
        <f>IF(AA583="","",IFERROR(1*'Procyflo 27TC'!D84,IFERROR(_xludf.NUMBERVALUE('Procyflo 27TC'!D84,".",","),IFERROR(_xludf.NUMBERVALUE('Procyflo 27TC'!D84,",","."),0))))</f>
        <v/>
      </c>
      <c r="AE583" t="str">
        <f>IF(AA583="","",'Procyflo 27TC'!N84)</f>
        <v/>
      </c>
      <c r="AF583">
        <f t="shared" si="71"/>
        <v>0</v>
      </c>
      <c r="AG583" t="str">
        <f t="shared" si="72"/>
        <v/>
      </c>
      <c r="AH583" t="str">
        <f t="shared" si="73"/>
        <v/>
      </c>
      <c r="AI583">
        <f t="shared" si="74"/>
        <v>0</v>
      </c>
      <c r="AJ583">
        <f t="shared" si="75"/>
        <v>0</v>
      </c>
      <c r="AK583">
        <v>0</v>
      </c>
      <c r="AL583" t="str">
        <f>IF(AA583="","",IFERROR(IF(ISNUMBER('Procyflo 27TC'!E84),'Procyflo 27TC'!E84,IF(ISNUMBER(SEARCH("12",'Procyflo 27TC'!E84)),EDATE(AB583,12),IF(ISNUMBER(SEARCH("6",'Procyflo 27TC'!E84)),EDATE(AB583,6),IF(ISNUMBER(SEARCH("3",'Procyflo 27TC'!E84)),EDATE(AB583,3),DATEVALUE('Procyflo 27TC'!E84))))),""))</f>
        <v/>
      </c>
      <c r="AM583" t="str">
        <f t="shared" ca="1" si="76"/>
        <v/>
      </c>
    </row>
    <row r="584" spans="27:39" x14ac:dyDescent="0.3">
      <c r="AA584" t="str">
        <f>IF(COUNTA('Procyflo 27TC'!B85,'Procyflo 27TC'!C85,'Procyflo 27TC'!D85)&gt;0,"27TC","")</f>
        <v/>
      </c>
      <c r="AB584" t="str">
        <f>IFERROR(IF(ISNUMBER('Procyflo 27TC'!B85),'Procyflo 27TC'!B85,DATEVALUE('Procyflo 27TC'!B85)),"")</f>
        <v/>
      </c>
      <c r="AC584" t="str">
        <f>IF(AA584="","",'Procyflo 27TC'!C85)</f>
        <v/>
      </c>
      <c r="AD584" t="str">
        <f>IF(AA584="","",IFERROR(1*'Procyflo 27TC'!D85,IFERROR(_xludf.NUMBERVALUE('Procyflo 27TC'!D85,".",","),IFERROR(_xludf.NUMBERVALUE('Procyflo 27TC'!D85,",","."),0))))</f>
        <v/>
      </c>
      <c r="AE584" t="str">
        <f>IF(AA584="","",'Procyflo 27TC'!N85)</f>
        <v/>
      </c>
      <c r="AF584">
        <f t="shared" si="71"/>
        <v>0</v>
      </c>
      <c r="AG584" t="str">
        <f t="shared" si="72"/>
        <v/>
      </c>
      <c r="AH584" t="str">
        <f t="shared" si="73"/>
        <v/>
      </c>
      <c r="AI584">
        <f t="shared" si="74"/>
        <v>0</v>
      </c>
      <c r="AJ584">
        <f t="shared" si="75"/>
        <v>0</v>
      </c>
      <c r="AK584">
        <v>0</v>
      </c>
      <c r="AL584" t="str">
        <f>IF(AA584="","",IFERROR(IF(ISNUMBER('Procyflo 27TC'!E85),'Procyflo 27TC'!E85,IF(ISNUMBER(SEARCH("12",'Procyflo 27TC'!E85)),EDATE(AB584,12),IF(ISNUMBER(SEARCH("6",'Procyflo 27TC'!E85)),EDATE(AB584,6),IF(ISNUMBER(SEARCH("3",'Procyflo 27TC'!E85)),EDATE(AB584,3),DATEVALUE('Procyflo 27TC'!E85))))),""))</f>
        <v/>
      </c>
      <c r="AM584" t="str">
        <f t="shared" ca="1" si="76"/>
        <v/>
      </c>
    </row>
    <row r="585" spans="27:39" x14ac:dyDescent="0.3">
      <c r="AA585" t="str">
        <f>IF(COUNTA('Procyflo 27TC'!B86,'Procyflo 27TC'!C86,'Procyflo 27TC'!D86)&gt;0,"27TC","")</f>
        <v/>
      </c>
      <c r="AB585" t="str">
        <f>IFERROR(IF(ISNUMBER('Procyflo 27TC'!B86),'Procyflo 27TC'!B86,DATEVALUE('Procyflo 27TC'!B86)),"")</f>
        <v/>
      </c>
      <c r="AC585" t="str">
        <f>IF(AA585="","",'Procyflo 27TC'!C86)</f>
        <v/>
      </c>
      <c r="AD585" t="str">
        <f>IF(AA585="","",IFERROR(1*'Procyflo 27TC'!D86,IFERROR(_xludf.NUMBERVALUE('Procyflo 27TC'!D86,".",","),IFERROR(_xludf.NUMBERVALUE('Procyflo 27TC'!D86,",","."),0))))</f>
        <v/>
      </c>
      <c r="AE585" t="str">
        <f>IF(AA585="","",'Procyflo 27TC'!N86)</f>
        <v/>
      </c>
      <c r="AF585">
        <f t="shared" si="71"/>
        <v>0</v>
      </c>
      <c r="AG585" t="str">
        <f t="shared" si="72"/>
        <v/>
      </c>
      <c r="AH585" t="str">
        <f t="shared" si="73"/>
        <v/>
      </c>
      <c r="AI585">
        <f t="shared" si="74"/>
        <v>0</v>
      </c>
      <c r="AJ585">
        <f t="shared" si="75"/>
        <v>0</v>
      </c>
      <c r="AK585">
        <v>0</v>
      </c>
      <c r="AL585" t="str">
        <f>IF(AA585="","",IFERROR(IF(ISNUMBER('Procyflo 27TC'!E86),'Procyflo 27TC'!E86,IF(ISNUMBER(SEARCH("12",'Procyflo 27TC'!E86)),EDATE(AB585,12),IF(ISNUMBER(SEARCH("6",'Procyflo 27TC'!E86)),EDATE(AB585,6),IF(ISNUMBER(SEARCH("3",'Procyflo 27TC'!E86)),EDATE(AB585,3),DATEVALUE('Procyflo 27TC'!E86))))),""))</f>
        <v/>
      </c>
      <c r="AM585" t="str">
        <f t="shared" ca="1" si="76"/>
        <v/>
      </c>
    </row>
    <row r="586" spans="27:39" x14ac:dyDescent="0.3">
      <c r="AA586" t="str">
        <f>IF(COUNTA('Procyflo 27TC'!B87,'Procyflo 27TC'!C87,'Procyflo 27TC'!D87)&gt;0,"27TC","")</f>
        <v/>
      </c>
      <c r="AB586" t="str">
        <f>IFERROR(IF(ISNUMBER('Procyflo 27TC'!B87),'Procyflo 27TC'!B87,DATEVALUE('Procyflo 27TC'!B87)),"")</f>
        <v/>
      </c>
      <c r="AC586" t="str">
        <f>IF(AA586="","",'Procyflo 27TC'!C87)</f>
        <v/>
      </c>
      <c r="AD586" t="str">
        <f>IF(AA586="","",IFERROR(1*'Procyflo 27TC'!D87,IFERROR(_xludf.NUMBERVALUE('Procyflo 27TC'!D87,".",","),IFERROR(_xludf.NUMBERVALUE('Procyflo 27TC'!D87,",","."),0))))</f>
        <v/>
      </c>
      <c r="AE586" t="str">
        <f>IF(AA586="","",'Procyflo 27TC'!N87)</f>
        <v/>
      </c>
      <c r="AF586">
        <f t="shared" si="71"/>
        <v>0</v>
      </c>
      <c r="AG586" t="str">
        <f t="shared" si="72"/>
        <v/>
      </c>
      <c r="AH586" t="str">
        <f t="shared" si="73"/>
        <v/>
      </c>
      <c r="AI586">
        <f t="shared" si="74"/>
        <v>0</v>
      </c>
      <c r="AJ586">
        <f t="shared" si="75"/>
        <v>0</v>
      </c>
      <c r="AK586">
        <v>0</v>
      </c>
      <c r="AL586" t="str">
        <f>IF(AA586="","",IFERROR(IF(ISNUMBER('Procyflo 27TC'!E87),'Procyflo 27TC'!E87,IF(ISNUMBER(SEARCH("12",'Procyflo 27TC'!E87)),EDATE(AB586,12),IF(ISNUMBER(SEARCH("6",'Procyflo 27TC'!E87)),EDATE(AB586,6),IF(ISNUMBER(SEARCH("3",'Procyflo 27TC'!E87)),EDATE(AB586,3),DATEVALUE('Procyflo 27TC'!E87))))),""))</f>
        <v/>
      </c>
      <c r="AM586" t="str">
        <f t="shared" ca="1" si="76"/>
        <v/>
      </c>
    </row>
    <row r="587" spans="27:39" x14ac:dyDescent="0.3">
      <c r="AA587" t="str">
        <f>IF(COUNTA('Procyflo 27TC'!B88,'Procyflo 27TC'!C88,'Procyflo 27TC'!D88)&gt;0,"27TC","")</f>
        <v/>
      </c>
      <c r="AB587" t="str">
        <f>IFERROR(IF(ISNUMBER('Procyflo 27TC'!B88),'Procyflo 27TC'!B88,DATEVALUE('Procyflo 27TC'!B88)),"")</f>
        <v/>
      </c>
      <c r="AC587" t="str">
        <f>IF(AA587="","",'Procyflo 27TC'!C88)</f>
        <v/>
      </c>
      <c r="AD587" t="str">
        <f>IF(AA587="","",IFERROR(1*'Procyflo 27TC'!D88,IFERROR(_xludf.NUMBERVALUE('Procyflo 27TC'!D88,".",","),IFERROR(_xludf.NUMBERVALUE('Procyflo 27TC'!D88,",","."),0))))</f>
        <v/>
      </c>
      <c r="AE587" t="str">
        <f>IF(AA587="","",'Procyflo 27TC'!N88)</f>
        <v/>
      </c>
      <c r="AF587">
        <f t="shared" si="71"/>
        <v>0</v>
      </c>
      <c r="AG587" t="str">
        <f t="shared" si="72"/>
        <v/>
      </c>
      <c r="AH587" t="str">
        <f t="shared" si="73"/>
        <v/>
      </c>
      <c r="AI587">
        <f t="shared" si="74"/>
        <v>0</v>
      </c>
      <c r="AJ587">
        <f t="shared" si="75"/>
        <v>0</v>
      </c>
      <c r="AK587">
        <v>0</v>
      </c>
      <c r="AL587" t="str">
        <f>IF(AA587="","",IFERROR(IF(ISNUMBER('Procyflo 27TC'!E88),'Procyflo 27TC'!E88,IF(ISNUMBER(SEARCH("12",'Procyflo 27TC'!E88)),EDATE(AB587,12),IF(ISNUMBER(SEARCH("6",'Procyflo 27TC'!E88)),EDATE(AB587,6),IF(ISNUMBER(SEARCH("3",'Procyflo 27TC'!E88)),EDATE(AB587,3),DATEVALUE('Procyflo 27TC'!E88))))),""))</f>
        <v/>
      </c>
      <c r="AM587" t="str">
        <f t="shared" ca="1" si="76"/>
        <v/>
      </c>
    </row>
    <row r="588" spans="27:39" x14ac:dyDescent="0.3">
      <c r="AA588" t="str">
        <f>IF(COUNTA('Procyflo 27TC'!B89,'Procyflo 27TC'!C89,'Procyflo 27TC'!D89)&gt;0,"27TC","")</f>
        <v/>
      </c>
      <c r="AB588" t="str">
        <f>IFERROR(IF(ISNUMBER('Procyflo 27TC'!B89),'Procyflo 27TC'!B89,DATEVALUE('Procyflo 27TC'!B89)),"")</f>
        <v/>
      </c>
      <c r="AC588" t="str">
        <f>IF(AA588="","",'Procyflo 27TC'!C89)</f>
        <v/>
      </c>
      <c r="AD588" t="str">
        <f>IF(AA588="","",IFERROR(1*'Procyflo 27TC'!D89,IFERROR(_xludf.NUMBERVALUE('Procyflo 27TC'!D89,".",","),IFERROR(_xludf.NUMBERVALUE('Procyflo 27TC'!D89,",","."),0))))</f>
        <v/>
      </c>
      <c r="AE588" t="str">
        <f>IF(AA588="","",'Procyflo 27TC'!N89)</f>
        <v/>
      </c>
      <c r="AF588">
        <f t="shared" si="71"/>
        <v>0</v>
      </c>
      <c r="AG588" t="str">
        <f t="shared" si="72"/>
        <v/>
      </c>
      <c r="AH588" t="str">
        <f t="shared" si="73"/>
        <v/>
      </c>
      <c r="AI588">
        <f t="shared" si="74"/>
        <v>0</v>
      </c>
      <c r="AJ588">
        <f t="shared" si="75"/>
        <v>0</v>
      </c>
      <c r="AK588">
        <v>0</v>
      </c>
      <c r="AL588" t="str">
        <f>IF(AA588="","",IFERROR(IF(ISNUMBER('Procyflo 27TC'!E89),'Procyflo 27TC'!E89,IF(ISNUMBER(SEARCH("12",'Procyflo 27TC'!E89)),EDATE(AB588,12),IF(ISNUMBER(SEARCH("6",'Procyflo 27TC'!E89)),EDATE(AB588,6),IF(ISNUMBER(SEARCH("3",'Procyflo 27TC'!E89)),EDATE(AB588,3),DATEVALUE('Procyflo 27TC'!E89))))),""))</f>
        <v/>
      </c>
      <c r="AM588" t="str">
        <f t="shared" ca="1" si="76"/>
        <v/>
      </c>
    </row>
    <row r="589" spans="27:39" x14ac:dyDescent="0.3">
      <c r="AA589" t="str">
        <f>IF(COUNTA('Procyflo 27TC'!B90,'Procyflo 27TC'!C90,'Procyflo 27TC'!D90)&gt;0,"27TC","")</f>
        <v/>
      </c>
      <c r="AB589" t="str">
        <f>IFERROR(IF(ISNUMBER('Procyflo 27TC'!B90),'Procyflo 27TC'!B90,DATEVALUE('Procyflo 27TC'!B90)),"")</f>
        <v/>
      </c>
      <c r="AC589" t="str">
        <f>IF(AA589="","",'Procyflo 27TC'!C90)</f>
        <v/>
      </c>
      <c r="AD589" t="str">
        <f>IF(AA589="","",IFERROR(1*'Procyflo 27TC'!D90,IFERROR(_xludf.NUMBERVALUE('Procyflo 27TC'!D90,".",","),IFERROR(_xludf.NUMBERVALUE('Procyflo 27TC'!D90,",","."),0))))</f>
        <v/>
      </c>
      <c r="AE589" t="str">
        <f>IF(AA589="","",'Procyflo 27TC'!N90)</f>
        <v/>
      </c>
      <c r="AF589">
        <f t="shared" si="71"/>
        <v>0</v>
      </c>
      <c r="AG589" t="str">
        <f t="shared" si="72"/>
        <v/>
      </c>
      <c r="AH589" t="str">
        <f t="shared" si="73"/>
        <v/>
      </c>
      <c r="AI589">
        <f t="shared" si="74"/>
        <v>0</v>
      </c>
      <c r="AJ589">
        <f t="shared" si="75"/>
        <v>0</v>
      </c>
      <c r="AK589">
        <v>0</v>
      </c>
      <c r="AL589" t="str">
        <f>IF(AA589="","",IFERROR(IF(ISNUMBER('Procyflo 27TC'!E90),'Procyflo 27TC'!E90,IF(ISNUMBER(SEARCH("12",'Procyflo 27TC'!E90)),EDATE(AB589,12),IF(ISNUMBER(SEARCH("6",'Procyflo 27TC'!E90)),EDATE(AB589,6),IF(ISNUMBER(SEARCH("3",'Procyflo 27TC'!E90)),EDATE(AB589,3),DATEVALUE('Procyflo 27TC'!E90))))),""))</f>
        <v/>
      </c>
      <c r="AM589" t="str">
        <f t="shared" ca="1" si="76"/>
        <v/>
      </c>
    </row>
    <row r="590" spans="27:39" x14ac:dyDescent="0.3">
      <c r="AA590" t="str">
        <f>IF(COUNTA('Procyflo 27TC'!B91,'Procyflo 27TC'!C91,'Procyflo 27TC'!D91)&gt;0,"27TC","")</f>
        <v/>
      </c>
      <c r="AB590" t="str">
        <f>IFERROR(IF(ISNUMBER('Procyflo 27TC'!B91),'Procyflo 27TC'!B91,DATEVALUE('Procyflo 27TC'!B91)),"")</f>
        <v/>
      </c>
      <c r="AC590" t="str">
        <f>IF(AA590="","",'Procyflo 27TC'!C91)</f>
        <v/>
      </c>
      <c r="AD590" t="str">
        <f>IF(AA590="","",IFERROR(1*'Procyflo 27TC'!D91,IFERROR(_xludf.NUMBERVALUE('Procyflo 27TC'!D91,".",","),IFERROR(_xludf.NUMBERVALUE('Procyflo 27TC'!D91,",","."),0))))</f>
        <v/>
      </c>
      <c r="AE590" t="str">
        <f>IF(AA590="","",'Procyflo 27TC'!N91)</f>
        <v/>
      </c>
      <c r="AF590">
        <f t="shared" si="71"/>
        <v>0</v>
      </c>
      <c r="AG590" t="str">
        <f t="shared" si="72"/>
        <v/>
      </c>
      <c r="AH590" t="str">
        <f t="shared" si="73"/>
        <v/>
      </c>
      <c r="AI590">
        <f t="shared" si="74"/>
        <v>0</v>
      </c>
      <c r="AJ590">
        <f t="shared" si="75"/>
        <v>0</v>
      </c>
      <c r="AK590">
        <v>0</v>
      </c>
      <c r="AL590" t="str">
        <f>IF(AA590="","",IFERROR(IF(ISNUMBER('Procyflo 27TC'!E91),'Procyflo 27TC'!E91,IF(ISNUMBER(SEARCH("12",'Procyflo 27TC'!E91)),EDATE(AB590,12),IF(ISNUMBER(SEARCH("6",'Procyflo 27TC'!E91)),EDATE(AB590,6),IF(ISNUMBER(SEARCH("3",'Procyflo 27TC'!E91)),EDATE(AB590,3),DATEVALUE('Procyflo 27TC'!E91))))),""))</f>
        <v/>
      </c>
      <c r="AM590" t="str">
        <f t="shared" ca="1" si="76"/>
        <v/>
      </c>
    </row>
    <row r="591" spans="27:39" x14ac:dyDescent="0.3">
      <c r="AA591" t="str">
        <f>IF(COUNTA('Procyflo 27TC'!B92,'Procyflo 27TC'!C92,'Procyflo 27TC'!D92)&gt;0,"27TC","")</f>
        <v/>
      </c>
      <c r="AB591" t="str">
        <f>IFERROR(IF(ISNUMBER('Procyflo 27TC'!B92),'Procyflo 27TC'!B92,DATEVALUE('Procyflo 27TC'!B92)),"")</f>
        <v/>
      </c>
      <c r="AC591" t="str">
        <f>IF(AA591="","",'Procyflo 27TC'!C92)</f>
        <v/>
      </c>
      <c r="AD591" t="str">
        <f>IF(AA591="","",IFERROR(1*'Procyflo 27TC'!D92,IFERROR(_xludf.NUMBERVALUE('Procyflo 27TC'!D92,".",","),IFERROR(_xludf.NUMBERVALUE('Procyflo 27TC'!D92,",","."),0))))</f>
        <v/>
      </c>
      <c r="AE591" t="str">
        <f>IF(AA591="","",'Procyflo 27TC'!N92)</f>
        <v/>
      </c>
      <c r="AF591">
        <f t="shared" si="71"/>
        <v>0</v>
      </c>
      <c r="AG591" t="str">
        <f t="shared" si="72"/>
        <v/>
      </c>
      <c r="AH591" t="str">
        <f t="shared" si="73"/>
        <v/>
      </c>
      <c r="AI591">
        <f t="shared" si="74"/>
        <v>0</v>
      </c>
      <c r="AJ591">
        <f t="shared" si="75"/>
        <v>0</v>
      </c>
      <c r="AK591">
        <v>0</v>
      </c>
      <c r="AL591" t="str">
        <f>IF(AA591="","",IFERROR(IF(ISNUMBER('Procyflo 27TC'!E92),'Procyflo 27TC'!E92,IF(ISNUMBER(SEARCH("12",'Procyflo 27TC'!E92)),EDATE(AB591,12),IF(ISNUMBER(SEARCH("6",'Procyflo 27TC'!E92)),EDATE(AB591,6),IF(ISNUMBER(SEARCH("3",'Procyflo 27TC'!E92)),EDATE(AB591,3),DATEVALUE('Procyflo 27TC'!E92))))),""))</f>
        <v/>
      </c>
      <c r="AM591" t="str">
        <f t="shared" ca="1" si="76"/>
        <v/>
      </c>
    </row>
    <row r="592" spans="27:39" x14ac:dyDescent="0.3">
      <c r="AA592" t="str">
        <f>IF(COUNTA('Procyflo 27TC'!B93,'Procyflo 27TC'!C93,'Procyflo 27TC'!D93)&gt;0,"27TC","")</f>
        <v/>
      </c>
      <c r="AB592" t="str">
        <f>IFERROR(IF(ISNUMBER('Procyflo 27TC'!B93),'Procyflo 27TC'!B93,DATEVALUE('Procyflo 27TC'!B93)),"")</f>
        <v/>
      </c>
      <c r="AC592" t="str">
        <f>IF(AA592="","",'Procyflo 27TC'!C93)</f>
        <v/>
      </c>
      <c r="AD592" t="str">
        <f>IF(AA592="","",IFERROR(1*'Procyflo 27TC'!D93,IFERROR(_xludf.NUMBERVALUE('Procyflo 27TC'!D93,".",","),IFERROR(_xludf.NUMBERVALUE('Procyflo 27TC'!D93,",","."),0))))</f>
        <v/>
      </c>
      <c r="AE592" t="str">
        <f>IF(AA592="","",'Procyflo 27TC'!N93)</f>
        <v/>
      </c>
      <c r="AF592">
        <f t="shared" si="71"/>
        <v>0</v>
      </c>
      <c r="AG592" t="str">
        <f t="shared" si="72"/>
        <v/>
      </c>
      <c r="AH592" t="str">
        <f t="shared" si="73"/>
        <v/>
      </c>
      <c r="AI592">
        <f t="shared" si="74"/>
        <v>0</v>
      </c>
      <c r="AJ592">
        <f t="shared" si="75"/>
        <v>0</v>
      </c>
      <c r="AK592">
        <v>0</v>
      </c>
      <c r="AL592" t="str">
        <f>IF(AA592="","",IFERROR(IF(ISNUMBER('Procyflo 27TC'!E93),'Procyflo 27TC'!E93,IF(ISNUMBER(SEARCH("12",'Procyflo 27TC'!E93)),EDATE(AB592,12),IF(ISNUMBER(SEARCH("6",'Procyflo 27TC'!E93)),EDATE(AB592,6),IF(ISNUMBER(SEARCH("3",'Procyflo 27TC'!E93)),EDATE(AB592,3),DATEVALUE('Procyflo 27TC'!E93))))),""))</f>
        <v/>
      </c>
      <c r="AM592" t="str">
        <f t="shared" ca="1" si="76"/>
        <v/>
      </c>
    </row>
    <row r="593" spans="27:39" x14ac:dyDescent="0.3">
      <c r="AA593" t="str">
        <f>IF(COUNTA('Procyflo 27TC'!B94,'Procyflo 27TC'!C94,'Procyflo 27TC'!D94)&gt;0,"27TC","")</f>
        <v/>
      </c>
      <c r="AB593" t="str">
        <f>IFERROR(IF(ISNUMBER('Procyflo 27TC'!B94),'Procyflo 27TC'!B94,DATEVALUE('Procyflo 27TC'!B94)),"")</f>
        <v/>
      </c>
      <c r="AC593" t="str">
        <f>IF(AA593="","",'Procyflo 27TC'!C94)</f>
        <v/>
      </c>
      <c r="AD593" t="str">
        <f>IF(AA593="","",IFERROR(1*'Procyflo 27TC'!D94,IFERROR(_xludf.NUMBERVALUE('Procyflo 27TC'!D94,".",","),IFERROR(_xludf.NUMBERVALUE('Procyflo 27TC'!D94,",","."),0))))</f>
        <v/>
      </c>
      <c r="AE593" t="str">
        <f>IF(AA593="","",'Procyflo 27TC'!N94)</f>
        <v/>
      </c>
      <c r="AF593">
        <f t="shared" si="71"/>
        <v>0</v>
      </c>
      <c r="AG593" t="str">
        <f t="shared" si="72"/>
        <v/>
      </c>
      <c r="AH593" t="str">
        <f t="shared" si="73"/>
        <v/>
      </c>
      <c r="AI593">
        <f t="shared" si="74"/>
        <v>0</v>
      </c>
      <c r="AJ593">
        <f t="shared" si="75"/>
        <v>0</v>
      </c>
      <c r="AK593">
        <v>0</v>
      </c>
      <c r="AL593" t="str">
        <f>IF(AA593="","",IFERROR(IF(ISNUMBER('Procyflo 27TC'!E94),'Procyflo 27TC'!E94,IF(ISNUMBER(SEARCH("12",'Procyflo 27TC'!E94)),EDATE(AB593,12),IF(ISNUMBER(SEARCH("6",'Procyflo 27TC'!E94)),EDATE(AB593,6),IF(ISNUMBER(SEARCH("3",'Procyflo 27TC'!E94)),EDATE(AB593,3),DATEVALUE('Procyflo 27TC'!E94))))),""))</f>
        <v/>
      </c>
      <c r="AM593" t="str">
        <f t="shared" ca="1" si="76"/>
        <v/>
      </c>
    </row>
    <row r="594" spans="27:39" x14ac:dyDescent="0.3">
      <c r="AA594" t="str">
        <f>IF(COUNTA('Procyflo 27TC'!B95,'Procyflo 27TC'!C95,'Procyflo 27TC'!D95)&gt;0,"27TC","")</f>
        <v/>
      </c>
      <c r="AB594" t="str">
        <f>IFERROR(IF(ISNUMBER('Procyflo 27TC'!B95),'Procyflo 27TC'!B95,DATEVALUE('Procyflo 27TC'!B95)),"")</f>
        <v/>
      </c>
      <c r="AC594" t="str">
        <f>IF(AA594="","",'Procyflo 27TC'!C95)</f>
        <v/>
      </c>
      <c r="AD594" t="str">
        <f>IF(AA594="","",IFERROR(1*'Procyflo 27TC'!D95,IFERROR(_xludf.NUMBERVALUE('Procyflo 27TC'!D95,".",","),IFERROR(_xludf.NUMBERVALUE('Procyflo 27TC'!D95,",","."),0))))</f>
        <v/>
      </c>
      <c r="AE594" t="str">
        <f>IF(AA594="","",'Procyflo 27TC'!N95)</f>
        <v/>
      </c>
      <c r="AF594">
        <f t="shared" si="71"/>
        <v>0</v>
      </c>
      <c r="AG594" t="str">
        <f t="shared" si="72"/>
        <v/>
      </c>
      <c r="AH594" t="str">
        <f t="shared" si="73"/>
        <v/>
      </c>
      <c r="AI594">
        <f t="shared" si="74"/>
        <v>0</v>
      </c>
      <c r="AJ594">
        <f t="shared" si="75"/>
        <v>0</v>
      </c>
      <c r="AK594">
        <v>0</v>
      </c>
      <c r="AL594" t="str">
        <f>IF(AA594="","",IFERROR(IF(ISNUMBER('Procyflo 27TC'!E95),'Procyflo 27TC'!E95,IF(ISNUMBER(SEARCH("12",'Procyflo 27TC'!E95)),EDATE(AB594,12),IF(ISNUMBER(SEARCH("6",'Procyflo 27TC'!E95)),EDATE(AB594,6),IF(ISNUMBER(SEARCH("3",'Procyflo 27TC'!E95)),EDATE(AB594,3),DATEVALUE('Procyflo 27TC'!E95))))),""))</f>
        <v/>
      </c>
      <c r="AM594" t="str">
        <f t="shared" ca="1" si="76"/>
        <v/>
      </c>
    </row>
    <row r="595" spans="27:39" x14ac:dyDescent="0.3">
      <c r="AA595" t="str">
        <f>IF(COUNTA('Procyflo 27TC'!B96,'Procyflo 27TC'!C96,'Procyflo 27TC'!D96)&gt;0,"27TC","")</f>
        <v/>
      </c>
      <c r="AB595" t="str">
        <f>IFERROR(IF(ISNUMBER('Procyflo 27TC'!B96),'Procyflo 27TC'!B96,DATEVALUE('Procyflo 27TC'!B96)),"")</f>
        <v/>
      </c>
      <c r="AC595" t="str">
        <f>IF(AA595="","",'Procyflo 27TC'!C96)</f>
        <v/>
      </c>
      <c r="AD595" t="str">
        <f>IF(AA595="","",IFERROR(1*'Procyflo 27TC'!D96,IFERROR(_xludf.NUMBERVALUE('Procyflo 27TC'!D96,".",","),IFERROR(_xludf.NUMBERVALUE('Procyflo 27TC'!D96,",","."),0))))</f>
        <v/>
      </c>
      <c r="AE595" t="str">
        <f>IF(AA595="","",'Procyflo 27TC'!N96)</f>
        <v/>
      </c>
      <c r="AF595">
        <f t="shared" si="71"/>
        <v>0</v>
      </c>
      <c r="AG595" t="str">
        <f t="shared" si="72"/>
        <v/>
      </c>
      <c r="AH595" t="str">
        <f t="shared" si="73"/>
        <v/>
      </c>
      <c r="AI595">
        <f t="shared" si="74"/>
        <v>0</v>
      </c>
      <c r="AJ595">
        <f t="shared" si="75"/>
        <v>0</v>
      </c>
      <c r="AK595">
        <v>0</v>
      </c>
      <c r="AL595" t="str">
        <f>IF(AA595="","",IFERROR(IF(ISNUMBER('Procyflo 27TC'!E96),'Procyflo 27TC'!E96,IF(ISNUMBER(SEARCH("12",'Procyflo 27TC'!E96)),EDATE(AB595,12),IF(ISNUMBER(SEARCH("6",'Procyflo 27TC'!E96)),EDATE(AB595,6),IF(ISNUMBER(SEARCH("3",'Procyflo 27TC'!E96)),EDATE(AB595,3),DATEVALUE('Procyflo 27TC'!E96))))),""))</f>
        <v/>
      </c>
      <c r="AM595" t="str">
        <f t="shared" ca="1" si="76"/>
        <v/>
      </c>
    </row>
    <row r="596" spans="27:39" x14ac:dyDescent="0.3">
      <c r="AA596" t="str">
        <f>IF(COUNTA('Procyflo 27TC'!B97,'Procyflo 27TC'!C97,'Procyflo 27TC'!D97)&gt;0,"27TC","")</f>
        <v/>
      </c>
      <c r="AB596" t="str">
        <f>IFERROR(IF(ISNUMBER('Procyflo 27TC'!B97),'Procyflo 27TC'!B97,DATEVALUE('Procyflo 27TC'!B97)),"")</f>
        <v/>
      </c>
      <c r="AC596" t="str">
        <f>IF(AA596="","",'Procyflo 27TC'!C97)</f>
        <v/>
      </c>
      <c r="AD596" t="str">
        <f>IF(AA596="","",IFERROR(1*'Procyflo 27TC'!D97,IFERROR(_xludf.NUMBERVALUE('Procyflo 27TC'!D97,".",","),IFERROR(_xludf.NUMBERVALUE('Procyflo 27TC'!D97,",","."),0))))</f>
        <v/>
      </c>
      <c r="AE596" t="str">
        <f>IF(AA596="","",'Procyflo 27TC'!N97)</f>
        <v/>
      </c>
      <c r="AF596">
        <f t="shared" si="71"/>
        <v>0</v>
      </c>
      <c r="AG596" t="str">
        <f t="shared" si="72"/>
        <v/>
      </c>
      <c r="AH596" t="str">
        <f t="shared" si="73"/>
        <v/>
      </c>
      <c r="AI596">
        <f t="shared" si="74"/>
        <v>0</v>
      </c>
      <c r="AJ596">
        <f t="shared" si="75"/>
        <v>0</v>
      </c>
      <c r="AK596">
        <v>0</v>
      </c>
      <c r="AL596" t="str">
        <f>IF(AA596="","",IFERROR(IF(ISNUMBER('Procyflo 27TC'!E97),'Procyflo 27TC'!E97,IF(ISNUMBER(SEARCH("12",'Procyflo 27TC'!E97)),EDATE(AB596,12),IF(ISNUMBER(SEARCH("6",'Procyflo 27TC'!E97)),EDATE(AB596,6),IF(ISNUMBER(SEARCH("3",'Procyflo 27TC'!E97)),EDATE(AB596,3),DATEVALUE('Procyflo 27TC'!E97))))),""))</f>
        <v/>
      </c>
      <c r="AM596" t="str">
        <f t="shared" ca="1" si="76"/>
        <v/>
      </c>
    </row>
    <row r="597" spans="27:39" x14ac:dyDescent="0.3">
      <c r="AA597" t="str">
        <f>IF(COUNTA('Procyflo 27TC'!B98,'Procyflo 27TC'!C98,'Procyflo 27TC'!D98)&gt;0,"27TC","")</f>
        <v/>
      </c>
      <c r="AB597" t="str">
        <f>IFERROR(IF(ISNUMBER('Procyflo 27TC'!B98),'Procyflo 27TC'!B98,DATEVALUE('Procyflo 27TC'!B98)),"")</f>
        <v/>
      </c>
      <c r="AC597" t="str">
        <f>IF(AA597="","",'Procyflo 27TC'!C98)</f>
        <v/>
      </c>
      <c r="AD597" t="str">
        <f>IF(AA597="","",IFERROR(1*'Procyflo 27TC'!D98,IFERROR(_xludf.NUMBERVALUE('Procyflo 27TC'!D98,".",","),IFERROR(_xludf.NUMBERVALUE('Procyflo 27TC'!D98,",","."),0))))</f>
        <v/>
      </c>
      <c r="AE597" t="str">
        <f>IF(AA597="","",'Procyflo 27TC'!N98)</f>
        <v/>
      </c>
      <c r="AF597">
        <f t="shared" si="71"/>
        <v>0</v>
      </c>
      <c r="AG597" t="str">
        <f t="shared" si="72"/>
        <v/>
      </c>
      <c r="AH597" t="str">
        <f t="shared" si="73"/>
        <v/>
      </c>
      <c r="AI597">
        <f t="shared" si="74"/>
        <v>0</v>
      </c>
      <c r="AJ597">
        <f t="shared" si="75"/>
        <v>0</v>
      </c>
      <c r="AK597">
        <v>0</v>
      </c>
      <c r="AL597" t="str">
        <f>IF(AA597="","",IFERROR(IF(ISNUMBER('Procyflo 27TC'!E98),'Procyflo 27TC'!E98,IF(ISNUMBER(SEARCH("12",'Procyflo 27TC'!E98)),EDATE(AB597,12),IF(ISNUMBER(SEARCH("6",'Procyflo 27TC'!E98)),EDATE(AB597,6),IF(ISNUMBER(SEARCH("3",'Procyflo 27TC'!E98)),EDATE(AB597,3),DATEVALUE('Procyflo 27TC'!E98))))),""))</f>
        <v/>
      </c>
      <c r="AM597" t="str">
        <f t="shared" ca="1" si="76"/>
        <v/>
      </c>
    </row>
    <row r="598" spans="27:39" x14ac:dyDescent="0.3">
      <c r="AA598" t="str">
        <f>IF(COUNTA('Procyflo 27TC'!B99,'Procyflo 27TC'!C99,'Procyflo 27TC'!D99)&gt;0,"27TC","")</f>
        <v/>
      </c>
      <c r="AB598" t="str">
        <f>IFERROR(IF(ISNUMBER('Procyflo 27TC'!B99),'Procyflo 27TC'!B99,DATEVALUE('Procyflo 27TC'!B99)),"")</f>
        <v/>
      </c>
      <c r="AC598" t="str">
        <f>IF(AA598="","",'Procyflo 27TC'!C99)</f>
        <v/>
      </c>
      <c r="AD598" t="str">
        <f>IF(AA598="","",IFERROR(1*'Procyflo 27TC'!D99,IFERROR(_xludf.NUMBERVALUE('Procyflo 27TC'!D99,".",","),IFERROR(_xludf.NUMBERVALUE('Procyflo 27TC'!D99,",","."),0))))</f>
        <v/>
      </c>
      <c r="AE598" t="str">
        <f>IF(AA598="","",'Procyflo 27TC'!N99)</f>
        <v/>
      </c>
      <c r="AF598">
        <f t="shared" si="71"/>
        <v>0</v>
      </c>
      <c r="AG598" t="str">
        <f t="shared" si="72"/>
        <v/>
      </c>
      <c r="AH598" t="str">
        <f t="shared" si="73"/>
        <v/>
      </c>
      <c r="AI598">
        <f t="shared" si="74"/>
        <v>0</v>
      </c>
      <c r="AJ598">
        <f t="shared" si="75"/>
        <v>0</v>
      </c>
      <c r="AK598">
        <v>0</v>
      </c>
      <c r="AL598" t="str">
        <f>IF(AA598="","",IFERROR(IF(ISNUMBER('Procyflo 27TC'!E99),'Procyflo 27TC'!E99,IF(ISNUMBER(SEARCH("12",'Procyflo 27TC'!E99)),EDATE(AB598,12),IF(ISNUMBER(SEARCH("6",'Procyflo 27TC'!E99)),EDATE(AB598,6),IF(ISNUMBER(SEARCH("3",'Procyflo 27TC'!E99)),EDATE(AB598,3),DATEVALUE('Procyflo 27TC'!E99))))),""))</f>
        <v/>
      </c>
      <c r="AM598" t="str">
        <f t="shared" ca="1" si="76"/>
        <v/>
      </c>
    </row>
    <row r="599" spans="27:39" x14ac:dyDescent="0.3">
      <c r="AA599" t="str">
        <f>IF(COUNTA('Procyflo 27TC'!B100,'Procyflo 27TC'!C100,'Procyflo 27TC'!D100)&gt;0,"27TC","")</f>
        <v/>
      </c>
      <c r="AB599" t="str">
        <f>IFERROR(IF(ISNUMBER('Procyflo 27TC'!B100),'Procyflo 27TC'!B100,DATEVALUE('Procyflo 27TC'!B100)),"")</f>
        <v/>
      </c>
      <c r="AC599" t="str">
        <f>IF(AA599="","",'Procyflo 27TC'!C100)</f>
        <v/>
      </c>
      <c r="AD599" t="str">
        <f>IF(AA599="","",IFERROR(1*'Procyflo 27TC'!D100,IFERROR(_xludf.NUMBERVALUE('Procyflo 27TC'!D100,".",","),IFERROR(_xludf.NUMBERVALUE('Procyflo 27TC'!D100,",","."),0))))</f>
        <v/>
      </c>
      <c r="AE599" t="str">
        <f>IF(AA599="","",'Procyflo 27TC'!N100)</f>
        <v/>
      </c>
      <c r="AF599">
        <f t="shared" si="71"/>
        <v>0</v>
      </c>
      <c r="AG599" t="str">
        <f t="shared" si="72"/>
        <v/>
      </c>
      <c r="AH599" t="str">
        <f t="shared" si="73"/>
        <v/>
      </c>
      <c r="AI599">
        <f t="shared" si="74"/>
        <v>0</v>
      </c>
      <c r="AJ599">
        <f t="shared" si="75"/>
        <v>0</v>
      </c>
      <c r="AK599">
        <v>0</v>
      </c>
      <c r="AL599" t="str">
        <f>IF(AA599="","",IFERROR(IF(ISNUMBER('Procyflo 27TC'!E100),'Procyflo 27TC'!E100,IF(ISNUMBER(SEARCH("12",'Procyflo 27TC'!E100)),EDATE(AB599,12),IF(ISNUMBER(SEARCH("6",'Procyflo 27TC'!E100)),EDATE(AB599,6),IF(ISNUMBER(SEARCH("3",'Procyflo 27TC'!E100)),EDATE(AB599,3),DATEVALUE('Procyflo 27TC'!E100))))),""))</f>
        <v/>
      </c>
      <c r="AM599" t="str">
        <f t="shared" ca="1" si="76"/>
        <v/>
      </c>
    </row>
    <row r="600" spans="27:39" x14ac:dyDescent="0.3">
      <c r="AA600" t="str">
        <f>IF(COUNTA('Procyflo 27TC'!B101,'Procyflo 27TC'!C101,'Procyflo 27TC'!D101)&gt;0,"27TC","")</f>
        <v/>
      </c>
      <c r="AB600" t="str">
        <f>IFERROR(IF(ISNUMBER('Procyflo 27TC'!B101),'Procyflo 27TC'!B101,DATEVALUE('Procyflo 27TC'!B101)),"")</f>
        <v/>
      </c>
      <c r="AC600" t="str">
        <f>IF(AA600="","",'Procyflo 27TC'!C101)</f>
        <v/>
      </c>
      <c r="AD600" t="str">
        <f>IF(AA600="","",IFERROR(1*'Procyflo 27TC'!D101,IFERROR(_xludf.NUMBERVALUE('Procyflo 27TC'!D101,".",","),IFERROR(_xludf.NUMBERVALUE('Procyflo 27TC'!D101,",","."),0))))</f>
        <v/>
      </c>
      <c r="AE600" t="str">
        <f>IF(AA600="","",'Procyflo 27TC'!N101)</f>
        <v/>
      </c>
      <c r="AF600">
        <f t="shared" si="71"/>
        <v>0</v>
      </c>
      <c r="AG600" t="str">
        <f t="shared" si="72"/>
        <v/>
      </c>
      <c r="AH600" t="str">
        <f t="shared" si="73"/>
        <v/>
      </c>
      <c r="AI600">
        <f t="shared" si="74"/>
        <v>0</v>
      </c>
      <c r="AJ600">
        <f t="shared" si="75"/>
        <v>0</v>
      </c>
      <c r="AK600">
        <v>0</v>
      </c>
      <c r="AL600" t="str">
        <f>IF(AA600="","",IFERROR(IF(ISNUMBER('Procyflo 27TC'!E101),'Procyflo 27TC'!E101,IF(ISNUMBER(SEARCH("12",'Procyflo 27TC'!E101)),EDATE(AB600,12),IF(ISNUMBER(SEARCH("6",'Procyflo 27TC'!E101)),EDATE(AB600,6),IF(ISNUMBER(SEARCH("3",'Procyflo 27TC'!E101)),EDATE(AB600,3),DATEVALUE('Procyflo 27TC'!E101))))),""))</f>
        <v/>
      </c>
      <c r="AM600" t="str">
        <f t="shared" ca="1" si="76"/>
        <v/>
      </c>
    </row>
    <row r="601" spans="27:39" x14ac:dyDescent="0.3">
      <c r="AA601" t="str">
        <f>IF(COUNTA('Procyflo 27TC'!B102,'Procyflo 27TC'!C102,'Procyflo 27TC'!D102)&gt;0,"27TC","")</f>
        <v/>
      </c>
      <c r="AB601" t="str">
        <f>IFERROR(IF(ISNUMBER('Procyflo 27TC'!B102),'Procyflo 27TC'!B102,DATEVALUE('Procyflo 27TC'!B102)),"")</f>
        <v/>
      </c>
      <c r="AC601" t="str">
        <f>IF(AA601="","",'Procyflo 27TC'!C102)</f>
        <v/>
      </c>
      <c r="AD601" t="str">
        <f>IF(AA601="","",IFERROR(1*'Procyflo 27TC'!D102,IFERROR(_xludf.NUMBERVALUE('Procyflo 27TC'!D102,".",","),IFERROR(_xludf.NUMBERVALUE('Procyflo 27TC'!D102,",","."),0))))</f>
        <v/>
      </c>
      <c r="AE601" t="str">
        <f>IF(AA601="","",'Procyflo 27TC'!N102)</f>
        <v/>
      </c>
      <c r="AF601">
        <f t="shared" si="71"/>
        <v>0</v>
      </c>
      <c r="AG601" t="str">
        <f t="shared" si="72"/>
        <v/>
      </c>
      <c r="AH601" t="str">
        <f t="shared" si="73"/>
        <v/>
      </c>
      <c r="AI601">
        <f t="shared" si="74"/>
        <v>0</v>
      </c>
      <c r="AJ601">
        <f t="shared" si="75"/>
        <v>0</v>
      </c>
      <c r="AK601">
        <v>0</v>
      </c>
      <c r="AL601" t="str">
        <f>IF(AA601="","",IFERROR(IF(ISNUMBER('Procyflo 27TC'!E102),'Procyflo 27TC'!E102,IF(ISNUMBER(SEARCH("12",'Procyflo 27TC'!E102)),EDATE(AB601,12),IF(ISNUMBER(SEARCH("6",'Procyflo 27TC'!E102)),EDATE(AB601,6),IF(ISNUMBER(SEARCH("3",'Procyflo 27TC'!E102)),EDATE(AB601,3),DATEVALUE('Procyflo 27TC'!E102))))),""))</f>
        <v/>
      </c>
      <c r="AM601" t="str">
        <f t="shared" ca="1" si="76"/>
        <v/>
      </c>
    </row>
    <row r="602" spans="27:39" x14ac:dyDescent="0.3">
      <c r="AA602" t="str">
        <f>IF(COUNTA('Procyflo 27TC'!B103,'Procyflo 27TC'!C103,'Procyflo 27TC'!D103)&gt;0,"27TC","")</f>
        <v/>
      </c>
      <c r="AB602" t="str">
        <f>IFERROR(IF(ISNUMBER('Procyflo 27TC'!B103),'Procyflo 27TC'!B103,DATEVALUE('Procyflo 27TC'!B103)),"")</f>
        <v/>
      </c>
      <c r="AC602" t="str">
        <f>IF(AA602="","",'Procyflo 27TC'!C103)</f>
        <v/>
      </c>
      <c r="AD602" t="str">
        <f>IF(AA602="","",IFERROR(1*'Procyflo 27TC'!D103,IFERROR(_xludf.NUMBERVALUE('Procyflo 27TC'!D103,".",","),IFERROR(_xludf.NUMBERVALUE('Procyflo 27TC'!D103,",","."),0))))</f>
        <v/>
      </c>
      <c r="AE602" t="str">
        <f>IF(AA602="","",'Procyflo 27TC'!N103)</f>
        <v/>
      </c>
      <c r="AF602">
        <f t="shared" si="71"/>
        <v>0</v>
      </c>
      <c r="AG602" t="str">
        <f t="shared" si="72"/>
        <v/>
      </c>
      <c r="AH602" t="str">
        <f t="shared" si="73"/>
        <v/>
      </c>
      <c r="AI602">
        <f t="shared" si="74"/>
        <v>0</v>
      </c>
      <c r="AJ602">
        <f t="shared" si="75"/>
        <v>0</v>
      </c>
      <c r="AK602">
        <v>0</v>
      </c>
      <c r="AL602" t="str">
        <f>IF(AA602="","",IFERROR(IF(ISNUMBER('Procyflo 27TC'!E103),'Procyflo 27TC'!E103,IF(ISNUMBER(SEARCH("12",'Procyflo 27TC'!E103)),EDATE(AB602,12),IF(ISNUMBER(SEARCH("6",'Procyflo 27TC'!E103)),EDATE(AB602,6),IF(ISNUMBER(SEARCH("3",'Procyflo 27TC'!E103)),EDATE(AB602,3),DATEVALUE('Procyflo 27TC'!E103))))),""))</f>
        <v/>
      </c>
      <c r="AM602" t="str">
        <f t="shared" ca="1" si="76"/>
        <v/>
      </c>
    </row>
    <row r="603" spans="27:39" x14ac:dyDescent="0.3">
      <c r="AA603" t="str">
        <f>IF(COUNTA('Procyflo 27TC'!B104,'Procyflo 27TC'!C104,'Procyflo 27TC'!D104)&gt;0,"27TC","")</f>
        <v/>
      </c>
      <c r="AB603" t="str">
        <f>IFERROR(IF(ISNUMBER('Procyflo 27TC'!B104),'Procyflo 27TC'!B104,DATEVALUE('Procyflo 27TC'!B104)),"")</f>
        <v/>
      </c>
      <c r="AC603" t="str">
        <f>IF(AA603="","",'Procyflo 27TC'!C104)</f>
        <v/>
      </c>
      <c r="AD603" t="str">
        <f>IF(AA603="","",IFERROR(1*'Procyflo 27TC'!D104,IFERROR(_xludf.NUMBERVALUE('Procyflo 27TC'!D104,".",","),IFERROR(_xludf.NUMBERVALUE('Procyflo 27TC'!D104,",","."),0))))</f>
        <v/>
      </c>
      <c r="AE603" t="str">
        <f>IF(AA603="","",'Procyflo 27TC'!N104)</f>
        <v/>
      </c>
      <c r="AF603">
        <f t="shared" si="71"/>
        <v>0</v>
      </c>
      <c r="AG603" t="str">
        <f t="shared" si="72"/>
        <v/>
      </c>
      <c r="AH603" t="str">
        <f t="shared" si="73"/>
        <v/>
      </c>
      <c r="AI603">
        <f t="shared" si="74"/>
        <v>0</v>
      </c>
      <c r="AJ603">
        <f t="shared" si="75"/>
        <v>0</v>
      </c>
      <c r="AK603">
        <v>0</v>
      </c>
      <c r="AL603" t="str">
        <f>IF(AA603="","",IFERROR(IF(ISNUMBER('Procyflo 27TC'!E104),'Procyflo 27TC'!E104,IF(ISNUMBER(SEARCH("12",'Procyflo 27TC'!E104)),EDATE(AB603,12),IF(ISNUMBER(SEARCH("6",'Procyflo 27TC'!E104)),EDATE(AB603,6),IF(ISNUMBER(SEARCH("3",'Procyflo 27TC'!E104)),EDATE(AB603,3),DATEVALUE('Procyflo 27TC'!E104))))),""))</f>
        <v/>
      </c>
      <c r="AM603" t="str">
        <f t="shared" ca="1" si="76"/>
        <v/>
      </c>
    </row>
    <row r="604" spans="27:39" x14ac:dyDescent="0.3">
      <c r="AA604" t="str">
        <f>IF(COUNTA('Procyflo 27TC'!B105,'Procyflo 27TC'!C105,'Procyflo 27TC'!D105)&gt;0,"27TC","")</f>
        <v/>
      </c>
      <c r="AB604" t="str">
        <f>IFERROR(IF(ISNUMBER('Procyflo 27TC'!B105),'Procyflo 27TC'!B105,DATEVALUE('Procyflo 27TC'!B105)),"")</f>
        <v/>
      </c>
      <c r="AC604" t="str">
        <f>IF(AA604="","",'Procyflo 27TC'!C105)</f>
        <v/>
      </c>
      <c r="AD604" t="str">
        <f>IF(AA604="","",IFERROR(1*'Procyflo 27TC'!D105,IFERROR(_xludf.NUMBERVALUE('Procyflo 27TC'!D105,".",","),IFERROR(_xludf.NUMBERVALUE('Procyflo 27TC'!D105,",","."),0))))</f>
        <v/>
      </c>
      <c r="AE604" t="str">
        <f>IF(AA604="","",'Procyflo 27TC'!N105)</f>
        <v/>
      </c>
      <c r="AF604">
        <f t="shared" si="71"/>
        <v>0</v>
      </c>
      <c r="AG604" t="str">
        <f t="shared" si="72"/>
        <v/>
      </c>
      <c r="AH604" t="str">
        <f t="shared" si="73"/>
        <v/>
      </c>
      <c r="AI604">
        <f t="shared" si="74"/>
        <v>0</v>
      </c>
      <c r="AJ604">
        <f t="shared" si="75"/>
        <v>0</v>
      </c>
      <c r="AK604">
        <v>0</v>
      </c>
      <c r="AL604" t="str">
        <f>IF(AA604="","",IFERROR(IF(ISNUMBER('Procyflo 27TC'!E105),'Procyflo 27TC'!E105,IF(ISNUMBER(SEARCH("12",'Procyflo 27TC'!E105)),EDATE(AB604,12),IF(ISNUMBER(SEARCH("6",'Procyflo 27TC'!E105)),EDATE(AB604,6),IF(ISNUMBER(SEARCH("3",'Procyflo 27TC'!E105)),EDATE(AB604,3),DATEVALUE('Procyflo 27TC'!E105))))),""))</f>
        <v/>
      </c>
      <c r="AM604" t="str">
        <f t="shared" ca="1" si="76"/>
        <v/>
      </c>
    </row>
    <row r="605" spans="27:39" x14ac:dyDescent="0.3">
      <c r="AA605" t="str">
        <f>IF(COUNTA('Procyflo 27TC'!B106,'Procyflo 27TC'!C106,'Procyflo 27TC'!D106)&gt;0,"27TC","")</f>
        <v/>
      </c>
      <c r="AB605" t="str">
        <f>IFERROR(IF(ISNUMBER('Procyflo 27TC'!B106),'Procyflo 27TC'!B106,DATEVALUE('Procyflo 27TC'!B106)),"")</f>
        <v/>
      </c>
      <c r="AC605" t="str">
        <f>IF(AA605="","",'Procyflo 27TC'!C106)</f>
        <v/>
      </c>
      <c r="AD605" t="str">
        <f>IF(AA605="","",IFERROR(1*'Procyflo 27TC'!D106,IFERROR(_xludf.NUMBERVALUE('Procyflo 27TC'!D106,".",","),IFERROR(_xludf.NUMBERVALUE('Procyflo 27TC'!D106,",","."),0))))</f>
        <v/>
      </c>
      <c r="AE605" t="str">
        <f>IF(AA605="","",'Procyflo 27TC'!N106)</f>
        <v/>
      </c>
      <c r="AF605">
        <f t="shared" si="71"/>
        <v>0</v>
      </c>
      <c r="AG605" t="str">
        <f t="shared" si="72"/>
        <v/>
      </c>
      <c r="AH605" t="str">
        <f t="shared" si="73"/>
        <v/>
      </c>
      <c r="AI605">
        <f t="shared" si="74"/>
        <v>0</v>
      </c>
      <c r="AJ605">
        <f t="shared" si="75"/>
        <v>0</v>
      </c>
      <c r="AK605">
        <v>0</v>
      </c>
      <c r="AL605" t="str">
        <f>IF(AA605="","",IFERROR(IF(ISNUMBER('Procyflo 27TC'!E106),'Procyflo 27TC'!E106,IF(ISNUMBER(SEARCH("12",'Procyflo 27TC'!E106)),EDATE(AB605,12),IF(ISNUMBER(SEARCH("6",'Procyflo 27TC'!E106)),EDATE(AB605,6),IF(ISNUMBER(SEARCH("3",'Procyflo 27TC'!E106)),EDATE(AB605,3),DATEVALUE('Procyflo 27TC'!E106))))),""))</f>
        <v/>
      </c>
      <c r="AM605" t="str">
        <f t="shared" ca="1" si="76"/>
        <v/>
      </c>
    </row>
    <row r="606" spans="27:39" x14ac:dyDescent="0.3">
      <c r="AA606" t="str">
        <f>IF(COUNTA('Procyflo 27TC'!B107,'Procyflo 27TC'!C107,'Procyflo 27TC'!D107)&gt;0,"27TC","")</f>
        <v/>
      </c>
      <c r="AB606" t="str">
        <f>IFERROR(IF(ISNUMBER('Procyflo 27TC'!B107),'Procyflo 27TC'!B107,DATEVALUE('Procyflo 27TC'!B107)),"")</f>
        <v/>
      </c>
      <c r="AC606" t="str">
        <f>IF(AA606="","",'Procyflo 27TC'!C107)</f>
        <v/>
      </c>
      <c r="AD606" t="str">
        <f>IF(AA606="","",IFERROR(1*'Procyflo 27TC'!D107,IFERROR(_xludf.NUMBERVALUE('Procyflo 27TC'!D107,".",","),IFERROR(_xludf.NUMBERVALUE('Procyflo 27TC'!D107,",","."),0))))</f>
        <v/>
      </c>
      <c r="AE606" t="str">
        <f>IF(AA606="","",'Procyflo 27TC'!N107)</f>
        <v/>
      </c>
      <c r="AF606">
        <f t="shared" si="71"/>
        <v>0</v>
      </c>
      <c r="AG606" t="str">
        <f t="shared" si="72"/>
        <v/>
      </c>
      <c r="AH606" t="str">
        <f t="shared" si="73"/>
        <v/>
      </c>
      <c r="AI606">
        <f t="shared" si="74"/>
        <v>0</v>
      </c>
      <c r="AJ606">
        <f t="shared" si="75"/>
        <v>0</v>
      </c>
      <c r="AK606">
        <v>0</v>
      </c>
      <c r="AL606" t="str">
        <f>IF(AA606="","",IFERROR(IF(ISNUMBER('Procyflo 27TC'!E107),'Procyflo 27TC'!E107,IF(ISNUMBER(SEARCH("12",'Procyflo 27TC'!E107)),EDATE(AB606,12),IF(ISNUMBER(SEARCH("6",'Procyflo 27TC'!E107)),EDATE(AB606,6),IF(ISNUMBER(SEARCH("3",'Procyflo 27TC'!E107)),EDATE(AB606,3),DATEVALUE('Procyflo 27TC'!E107))))),""))</f>
        <v/>
      </c>
      <c r="AM606" t="str">
        <f t="shared" ca="1" si="76"/>
        <v/>
      </c>
    </row>
    <row r="607" spans="27:39" x14ac:dyDescent="0.3">
      <c r="AA607" t="str">
        <f>IF(COUNTA('Procyflo 27TC'!B108,'Procyflo 27TC'!C108,'Procyflo 27TC'!D108)&gt;0,"27TC","")</f>
        <v/>
      </c>
      <c r="AB607" t="str">
        <f>IFERROR(IF(ISNUMBER('Procyflo 27TC'!B108),'Procyflo 27TC'!B108,DATEVALUE('Procyflo 27TC'!B108)),"")</f>
        <v/>
      </c>
      <c r="AC607" t="str">
        <f>IF(AA607="","",'Procyflo 27TC'!C108)</f>
        <v/>
      </c>
      <c r="AD607" t="str">
        <f>IF(AA607="","",IFERROR(1*'Procyflo 27TC'!D108,IFERROR(_xludf.NUMBERVALUE('Procyflo 27TC'!D108,".",","),IFERROR(_xludf.NUMBERVALUE('Procyflo 27TC'!D108,",","."),0))))</f>
        <v/>
      </c>
      <c r="AE607" t="str">
        <f>IF(AA607="","",'Procyflo 27TC'!N108)</f>
        <v/>
      </c>
      <c r="AF607">
        <f t="shared" si="71"/>
        <v>0</v>
      </c>
      <c r="AG607" t="str">
        <f t="shared" si="72"/>
        <v/>
      </c>
      <c r="AH607" t="str">
        <f t="shared" si="73"/>
        <v/>
      </c>
      <c r="AI607">
        <f t="shared" si="74"/>
        <v>0</v>
      </c>
      <c r="AJ607">
        <f t="shared" si="75"/>
        <v>0</v>
      </c>
      <c r="AK607">
        <v>0</v>
      </c>
      <c r="AL607" t="str">
        <f>IF(AA607="","",IFERROR(IF(ISNUMBER('Procyflo 27TC'!E108),'Procyflo 27TC'!E108,IF(ISNUMBER(SEARCH("12",'Procyflo 27TC'!E108)),EDATE(AB607,12),IF(ISNUMBER(SEARCH("6",'Procyflo 27TC'!E108)),EDATE(AB607,6),IF(ISNUMBER(SEARCH("3",'Procyflo 27TC'!E108)),EDATE(AB607,3),DATEVALUE('Procyflo 27TC'!E108))))),""))</f>
        <v/>
      </c>
      <c r="AM607" t="str">
        <f t="shared" ca="1" si="76"/>
        <v/>
      </c>
    </row>
    <row r="608" spans="27:39" x14ac:dyDescent="0.3">
      <c r="AA608" t="str">
        <f>IF(COUNTA('Procyflo 27TC'!B109,'Procyflo 27TC'!C109,'Procyflo 27TC'!D109)&gt;0,"27TC","")</f>
        <v/>
      </c>
      <c r="AB608" t="str">
        <f>IFERROR(IF(ISNUMBER('Procyflo 27TC'!B109),'Procyflo 27TC'!B109,DATEVALUE('Procyflo 27TC'!B109)),"")</f>
        <v/>
      </c>
      <c r="AC608" t="str">
        <f>IF(AA608="","",'Procyflo 27TC'!C109)</f>
        <v/>
      </c>
      <c r="AD608" t="str">
        <f>IF(AA608="","",IFERROR(1*'Procyflo 27TC'!D109,IFERROR(_xludf.NUMBERVALUE('Procyflo 27TC'!D109,".",","),IFERROR(_xludf.NUMBERVALUE('Procyflo 27TC'!D109,",","."),0))))</f>
        <v/>
      </c>
      <c r="AE608" t="str">
        <f>IF(AA608="","",'Procyflo 27TC'!N109)</f>
        <v/>
      </c>
      <c r="AF608">
        <f t="shared" si="71"/>
        <v>0</v>
      </c>
      <c r="AG608" t="str">
        <f t="shared" si="72"/>
        <v/>
      </c>
      <c r="AH608" t="str">
        <f t="shared" si="73"/>
        <v/>
      </c>
      <c r="AI608">
        <f t="shared" si="74"/>
        <v>0</v>
      </c>
      <c r="AJ608">
        <f t="shared" si="75"/>
        <v>0</v>
      </c>
      <c r="AK608">
        <v>0</v>
      </c>
      <c r="AL608" t="str">
        <f>IF(AA608="","",IFERROR(IF(ISNUMBER('Procyflo 27TC'!E109),'Procyflo 27TC'!E109,IF(ISNUMBER(SEARCH("12",'Procyflo 27TC'!E109)),EDATE(AB608,12),IF(ISNUMBER(SEARCH("6",'Procyflo 27TC'!E109)),EDATE(AB608,6),IF(ISNUMBER(SEARCH("3",'Procyflo 27TC'!E109)),EDATE(AB608,3),DATEVALUE('Procyflo 27TC'!E109))))),""))</f>
        <v/>
      </c>
      <c r="AM608" t="str">
        <f t="shared" ca="1" si="76"/>
        <v/>
      </c>
    </row>
    <row r="609" spans="27:39" x14ac:dyDescent="0.3">
      <c r="AA609" t="str">
        <f>IF(COUNTA('Procyflo 27TC'!B110,'Procyflo 27TC'!C110,'Procyflo 27TC'!D110)&gt;0,"27TC","")</f>
        <v/>
      </c>
      <c r="AB609" t="str">
        <f>IFERROR(IF(ISNUMBER('Procyflo 27TC'!B110),'Procyflo 27TC'!B110,DATEVALUE('Procyflo 27TC'!B110)),"")</f>
        <v/>
      </c>
      <c r="AC609" t="str">
        <f>IF(AA609="","",'Procyflo 27TC'!C110)</f>
        <v/>
      </c>
      <c r="AD609" t="str">
        <f>IF(AA609="","",IFERROR(1*'Procyflo 27TC'!D110,IFERROR(_xludf.NUMBERVALUE('Procyflo 27TC'!D110,".",","),IFERROR(_xludf.NUMBERVALUE('Procyflo 27TC'!D110,",","."),0))))</f>
        <v/>
      </c>
      <c r="AE609" t="str">
        <f>IF(AA609="","",'Procyflo 27TC'!N110)</f>
        <v/>
      </c>
      <c r="AF609">
        <f t="shared" si="71"/>
        <v>0</v>
      </c>
      <c r="AG609" t="str">
        <f t="shared" si="72"/>
        <v/>
      </c>
      <c r="AH609" t="str">
        <f t="shared" si="73"/>
        <v/>
      </c>
      <c r="AI609">
        <f t="shared" si="74"/>
        <v>0</v>
      </c>
      <c r="AJ609">
        <f t="shared" si="75"/>
        <v>0</v>
      </c>
      <c r="AK609">
        <v>0</v>
      </c>
      <c r="AL609" t="str">
        <f>IF(AA609="","",IFERROR(IF(ISNUMBER('Procyflo 27TC'!E110),'Procyflo 27TC'!E110,IF(ISNUMBER(SEARCH("12",'Procyflo 27TC'!E110)),EDATE(AB609,12),IF(ISNUMBER(SEARCH("6",'Procyflo 27TC'!E110)),EDATE(AB609,6),IF(ISNUMBER(SEARCH("3",'Procyflo 27TC'!E110)),EDATE(AB609,3),DATEVALUE('Procyflo 27TC'!E110))))),""))</f>
        <v/>
      </c>
      <c r="AM609" t="str">
        <f t="shared" ca="1" si="76"/>
        <v/>
      </c>
    </row>
    <row r="610" spans="27:39" x14ac:dyDescent="0.3">
      <c r="AA610" t="str">
        <f>IF(COUNTA('Procyflo 27TC'!B111,'Procyflo 27TC'!C111,'Procyflo 27TC'!D111)&gt;0,"27TC","")</f>
        <v/>
      </c>
      <c r="AB610" t="str">
        <f>IFERROR(IF(ISNUMBER('Procyflo 27TC'!B111),'Procyflo 27TC'!B111,DATEVALUE('Procyflo 27TC'!B111)),"")</f>
        <v/>
      </c>
      <c r="AC610" t="str">
        <f>IF(AA610="","",'Procyflo 27TC'!C111)</f>
        <v/>
      </c>
      <c r="AD610" t="str">
        <f>IF(AA610="","",IFERROR(1*'Procyflo 27TC'!D111,IFERROR(_xludf.NUMBERVALUE('Procyflo 27TC'!D111,".",","),IFERROR(_xludf.NUMBERVALUE('Procyflo 27TC'!D111,",","."),0))))</f>
        <v/>
      </c>
      <c r="AE610" t="str">
        <f>IF(AA610="","",'Procyflo 27TC'!N111)</f>
        <v/>
      </c>
      <c r="AF610">
        <f t="shared" si="71"/>
        <v>0</v>
      </c>
      <c r="AG610" t="str">
        <f t="shared" si="72"/>
        <v/>
      </c>
      <c r="AH610" t="str">
        <f t="shared" si="73"/>
        <v/>
      </c>
      <c r="AI610">
        <f t="shared" si="74"/>
        <v>0</v>
      </c>
      <c r="AJ610">
        <f t="shared" si="75"/>
        <v>0</v>
      </c>
      <c r="AK610">
        <v>0</v>
      </c>
      <c r="AL610" t="str">
        <f>IF(AA610="","",IFERROR(IF(ISNUMBER('Procyflo 27TC'!E111),'Procyflo 27TC'!E111,IF(ISNUMBER(SEARCH("12",'Procyflo 27TC'!E111)),EDATE(AB610,12),IF(ISNUMBER(SEARCH("6",'Procyflo 27TC'!E111)),EDATE(AB610,6),IF(ISNUMBER(SEARCH("3",'Procyflo 27TC'!E111)),EDATE(AB610,3),DATEVALUE('Procyflo 27TC'!E111))))),""))</f>
        <v/>
      </c>
      <c r="AM610" t="str">
        <f t="shared" ca="1" si="76"/>
        <v/>
      </c>
    </row>
    <row r="611" spans="27:39" x14ac:dyDescent="0.3">
      <c r="AA611" t="str">
        <f>IF(COUNTA('Procyflo 27TC'!B112,'Procyflo 27TC'!C112,'Procyflo 27TC'!D112)&gt;0,"27TC","")</f>
        <v/>
      </c>
      <c r="AB611" t="str">
        <f>IFERROR(IF(ISNUMBER('Procyflo 27TC'!B112),'Procyflo 27TC'!B112,DATEVALUE('Procyflo 27TC'!B112)),"")</f>
        <v/>
      </c>
      <c r="AC611" t="str">
        <f>IF(AA611="","",'Procyflo 27TC'!C112)</f>
        <v/>
      </c>
      <c r="AD611" t="str">
        <f>IF(AA611="","",IFERROR(1*'Procyflo 27TC'!D112,IFERROR(_xludf.NUMBERVALUE('Procyflo 27TC'!D112,".",","),IFERROR(_xludf.NUMBERVALUE('Procyflo 27TC'!D112,",","."),0))))</f>
        <v/>
      </c>
      <c r="AE611" t="str">
        <f>IF(AA611="","",'Procyflo 27TC'!N112)</f>
        <v/>
      </c>
      <c r="AF611">
        <f t="shared" si="71"/>
        <v>0</v>
      </c>
      <c r="AG611" t="str">
        <f t="shared" si="72"/>
        <v/>
      </c>
      <c r="AH611" t="str">
        <f t="shared" si="73"/>
        <v/>
      </c>
      <c r="AI611">
        <f t="shared" si="74"/>
        <v>0</v>
      </c>
      <c r="AJ611">
        <f t="shared" si="75"/>
        <v>0</v>
      </c>
      <c r="AK611">
        <v>0</v>
      </c>
      <c r="AL611" t="str">
        <f>IF(AA611="","",IFERROR(IF(ISNUMBER('Procyflo 27TC'!E112),'Procyflo 27TC'!E112,IF(ISNUMBER(SEARCH("12",'Procyflo 27TC'!E112)),EDATE(AB611,12),IF(ISNUMBER(SEARCH("6",'Procyflo 27TC'!E112)),EDATE(AB611,6),IF(ISNUMBER(SEARCH("3",'Procyflo 27TC'!E112)),EDATE(AB611,3),DATEVALUE('Procyflo 27TC'!E112))))),""))</f>
        <v/>
      </c>
      <c r="AM611" t="str">
        <f t="shared" ca="1" si="76"/>
        <v/>
      </c>
    </row>
    <row r="612" spans="27:39" x14ac:dyDescent="0.3">
      <c r="AA612" t="str">
        <f>IF(COUNTA('Procyflo 27TC'!B113,'Procyflo 27TC'!C113,'Procyflo 27TC'!D113)&gt;0,"27TC","")</f>
        <v/>
      </c>
      <c r="AB612" t="str">
        <f>IFERROR(IF(ISNUMBER('Procyflo 27TC'!B113),'Procyflo 27TC'!B113,DATEVALUE('Procyflo 27TC'!B113)),"")</f>
        <v/>
      </c>
      <c r="AC612" t="str">
        <f>IF(AA612="","",'Procyflo 27TC'!C113)</f>
        <v/>
      </c>
      <c r="AD612" t="str">
        <f>IF(AA612="","",IFERROR(1*'Procyflo 27TC'!D113,IFERROR(_xludf.NUMBERVALUE('Procyflo 27TC'!D113,".",","),IFERROR(_xludf.NUMBERVALUE('Procyflo 27TC'!D113,",","."),0))))</f>
        <v/>
      </c>
      <c r="AE612" t="str">
        <f>IF(AA612="","",'Procyflo 27TC'!N113)</f>
        <v/>
      </c>
      <c r="AF612">
        <f t="shared" si="71"/>
        <v>0</v>
      </c>
      <c r="AG612" t="str">
        <f t="shared" si="72"/>
        <v/>
      </c>
      <c r="AH612" t="str">
        <f t="shared" si="73"/>
        <v/>
      </c>
      <c r="AI612">
        <f t="shared" si="74"/>
        <v>0</v>
      </c>
      <c r="AJ612">
        <f t="shared" si="75"/>
        <v>0</v>
      </c>
      <c r="AK612">
        <v>0</v>
      </c>
      <c r="AL612" t="str">
        <f>IF(AA612="","",IFERROR(IF(ISNUMBER('Procyflo 27TC'!E113),'Procyflo 27TC'!E113,IF(ISNUMBER(SEARCH("12",'Procyflo 27TC'!E113)),EDATE(AB612,12),IF(ISNUMBER(SEARCH("6",'Procyflo 27TC'!E113)),EDATE(AB612,6),IF(ISNUMBER(SEARCH("3",'Procyflo 27TC'!E113)),EDATE(AB612,3),DATEVALUE('Procyflo 27TC'!E113))))),""))</f>
        <v/>
      </c>
      <c r="AM612" t="str">
        <f t="shared" ca="1" si="76"/>
        <v/>
      </c>
    </row>
    <row r="613" spans="27:39" x14ac:dyDescent="0.3">
      <c r="AA613" t="str">
        <f>IF(COUNTA('Procyflo 27TC'!B114,'Procyflo 27TC'!C114,'Procyflo 27TC'!D114)&gt;0,"27TC","")</f>
        <v/>
      </c>
      <c r="AB613" t="str">
        <f>IFERROR(IF(ISNUMBER('Procyflo 27TC'!B114),'Procyflo 27TC'!B114,DATEVALUE('Procyflo 27TC'!B114)),"")</f>
        <v/>
      </c>
      <c r="AC613" t="str">
        <f>IF(AA613="","",'Procyflo 27TC'!C114)</f>
        <v/>
      </c>
      <c r="AD613" t="str">
        <f>IF(AA613="","",IFERROR(1*'Procyflo 27TC'!D114,IFERROR(_xludf.NUMBERVALUE('Procyflo 27TC'!D114,".",","),IFERROR(_xludf.NUMBERVALUE('Procyflo 27TC'!D114,",","."),0))))</f>
        <v/>
      </c>
      <c r="AE613" t="str">
        <f>IF(AA613="","",'Procyflo 27TC'!N114)</f>
        <v/>
      </c>
      <c r="AF613">
        <f t="shared" si="71"/>
        <v>0</v>
      </c>
      <c r="AG613" t="str">
        <f t="shared" si="72"/>
        <v/>
      </c>
      <c r="AH613" t="str">
        <f t="shared" si="73"/>
        <v/>
      </c>
      <c r="AI613">
        <f t="shared" si="74"/>
        <v>0</v>
      </c>
      <c r="AJ613">
        <f t="shared" si="75"/>
        <v>0</v>
      </c>
      <c r="AK613">
        <v>0</v>
      </c>
      <c r="AL613" t="str">
        <f>IF(AA613="","",IFERROR(IF(ISNUMBER('Procyflo 27TC'!E114),'Procyflo 27TC'!E114,IF(ISNUMBER(SEARCH("12",'Procyflo 27TC'!E114)),EDATE(AB613,12),IF(ISNUMBER(SEARCH("6",'Procyflo 27TC'!E114)),EDATE(AB613,6),IF(ISNUMBER(SEARCH("3",'Procyflo 27TC'!E114)),EDATE(AB613,3),DATEVALUE('Procyflo 27TC'!E114))))),""))</f>
        <v/>
      </c>
      <c r="AM613" t="str">
        <f t="shared" ca="1" si="76"/>
        <v/>
      </c>
    </row>
    <row r="614" spans="27:39" x14ac:dyDescent="0.3">
      <c r="AA614" t="str">
        <f>IF(COUNTA('Procyflo 27TC'!B115,'Procyflo 27TC'!C115,'Procyflo 27TC'!D115)&gt;0,"27TC","")</f>
        <v/>
      </c>
      <c r="AB614" t="str">
        <f>IFERROR(IF(ISNUMBER('Procyflo 27TC'!B115),'Procyflo 27TC'!B115,DATEVALUE('Procyflo 27TC'!B115)),"")</f>
        <v/>
      </c>
      <c r="AC614" t="str">
        <f>IF(AA614="","",'Procyflo 27TC'!C115)</f>
        <v/>
      </c>
      <c r="AD614" t="str">
        <f>IF(AA614="","",IFERROR(1*'Procyflo 27TC'!D115,IFERROR(_xludf.NUMBERVALUE('Procyflo 27TC'!D115,".",","),IFERROR(_xludf.NUMBERVALUE('Procyflo 27TC'!D115,",","."),0))))</f>
        <v/>
      </c>
      <c r="AE614" t="str">
        <f>IF(AA614="","",'Procyflo 27TC'!N115)</f>
        <v/>
      </c>
      <c r="AF614">
        <f t="shared" si="71"/>
        <v>0</v>
      </c>
      <c r="AG614" t="str">
        <f t="shared" si="72"/>
        <v/>
      </c>
      <c r="AH614" t="str">
        <f t="shared" si="73"/>
        <v/>
      </c>
      <c r="AI614">
        <f t="shared" si="74"/>
        <v>0</v>
      </c>
      <c r="AJ614">
        <f t="shared" si="75"/>
        <v>0</v>
      </c>
      <c r="AK614">
        <v>0</v>
      </c>
      <c r="AL614" t="str">
        <f>IF(AA614="","",IFERROR(IF(ISNUMBER('Procyflo 27TC'!E115),'Procyflo 27TC'!E115,IF(ISNUMBER(SEARCH("12",'Procyflo 27TC'!E115)),EDATE(AB614,12),IF(ISNUMBER(SEARCH("6",'Procyflo 27TC'!E115)),EDATE(AB614,6),IF(ISNUMBER(SEARCH("3",'Procyflo 27TC'!E115)),EDATE(AB614,3),DATEVALUE('Procyflo 27TC'!E115))))),""))</f>
        <v/>
      </c>
      <c r="AM614" t="str">
        <f t="shared" ca="1" si="76"/>
        <v/>
      </c>
    </row>
    <row r="615" spans="27:39" x14ac:dyDescent="0.3">
      <c r="AA615" t="str">
        <f>IF(COUNTA('Procyflo 27TC'!B116,'Procyflo 27TC'!C116,'Procyflo 27TC'!D116)&gt;0,"27TC","")</f>
        <v/>
      </c>
      <c r="AB615" t="str">
        <f>IFERROR(IF(ISNUMBER('Procyflo 27TC'!B116),'Procyflo 27TC'!B116,DATEVALUE('Procyflo 27TC'!B116)),"")</f>
        <v/>
      </c>
      <c r="AC615" t="str">
        <f>IF(AA615="","",'Procyflo 27TC'!C116)</f>
        <v/>
      </c>
      <c r="AD615" t="str">
        <f>IF(AA615="","",IFERROR(1*'Procyflo 27TC'!D116,IFERROR(_xludf.NUMBERVALUE('Procyflo 27TC'!D116,".",","),IFERROR(_xludf.NUMBERVALUE('Procyflo 27TC'!D116,",","."),0))))</f>
        <v/>
      </c>
      <c r="AE615" t="str">
        <f>IF(AA615="","",'Procyflo 27TC'!N116)</f>
        <v/>
      </c>
      <c r="AF615">
        <f t="shared" si="71"/>
        <v>0</v>
      </c>
      <c r="AG615" t="str">
        <f t="shared" si="72"/>
        <v/>
      </c>
      <c r="AH615" t="str">
        <f t="shared" si="73"/>
        <v/>
      </c>
      <c r="AI615">
        <f t="shared" si="74"/>
        <v>0</v>
      </c>
      <c r="AJ615">
        <f t="shared" si="75"/>
        <v>0</v>
      </c>
      <c r="AK615">
        <v>0</v>
      </c>
      <c r="AL615" t="str">
        <f>IF(AA615="","",IFERROR(IF(ISNUMBER('Procyflo 27TC'!E116),'Procyflo 27TC'!E116,IF(ISNUMBER(SEARCH("12",'Procyflo 27TC'!E116)),EDATE(AB615,12),IF(ISNUMBER(SEARCH("6",'Procyflo 27TC'!E116)),EDATE(AB615,6),IF(ISNUMBER(SEARCH("3",'Procyflo 27TC'!E116)),EDATE(AB615,3),DATEVALUE('Procyflo 27TC'!E116))))),""))</f>
        <v/>
      </c>
      <c r="AM615" t="str">
        <f t="shared" ca="1" si="76"/>
        <v/>
      </c>
    </row>
    <row r="616" spans="27:39" x14ac:dyDescent="0.3">
      <c r="AA616" t="str">
        <f>IF(COUNTA('Procyflo 27TC'!B117,'Procyflo 27TC'!C117,'Procyflo 27TC'!D117)&gt;0,"27TC","")</f>
        <v/>
      </c>
      <c r="AB616" t="str">
        <f>IFERROR(IF(ISNUMBER('Procyflo 27TC'!B117),'Procyflo 27TC'!B117,DATEVALUE('Procyflo 27TC'!B117)),"")</f>
        <v/>
      </c>
      <c r="AC616" t="str">
        <f>IF(AA616="","",'Procyflo 27TC'!C117)</f>
        <v/>
      </c>
      <c r="AD616" t="str">
        <f>IF(AA616="","",IFERROR(1*'Procyflo 27TC'!D117,IFERROR(_xludf.NUMBERVALUE('Procyflo 27TC'!D117,".",","),IFERROR(_xludf.NUMBERVALUE('Procyflo 27TC'!D117,",","."),0))))</f>
        <v/>
      </c>
      <c r="AE616" t="str">
        <f>IF(AA616="","",'Procyflo 27TC'!N117)</f>
        <v/>
      </c>
      <c r="AF616">
        <f t="shared" si="71"/>
        <v>0</v>
      </c>
      <c r="AG616" t="str">
        <f t="shared" si="72"/>
        <v/>
      </c>
      <c r="AH616" t="str">
        <f t="shared" si="73"/>
        <v/>
      </c>
      <c r="AI616">
        <f t="shared" si="74"/>
        <v>0</v>
      </c>
      <c r="AJ616">
        <f t="shared" si="75"/>
        <v>0</v>
      </c>
      <c r="AK616">
        <v>0</v>
      </c>
      <c r="AL616" t="str">
        <f>IF(AA616="","",IFERROR(IF(ISNUMBER('Procyflo 27TC'!E117),'Procyflo 27TC'!E117,IF(ISNUMBER(SEARCH("12",'Procyflo 27TC'!E117)),EDATE(AB616,12),IF(ISNUMBER(SEARCH("6",'Procyflo 27TC'!E117)),EDATE(AB616,6),IF(ISNUMBER(SEARCH("3",'Procyflo 27TC'!E117)),EDATE(AB616,3),DATEVALUE('Procyflo 27TC'!E117))))),""))</f>
        <v/>
      </c>
      <c r="AM616" t="str">
        <f t="shared" ca="1" si="76"/>
        <v/>
      </c>
    </row>
    <row r="617" spans="27:39" x14ac:dyDescent="0.3">
      <c r="AA617" t="str">
        <f>IF(COUNTA('Procyflo 27TC'!B118,'Procyflo 27TC'!C118,'Procyflo 27TC'!D118)&gt;0,"27TC","")</f>
        <v/>
      </c>
      <c r="AB617" t="str">
        <f>IFERROR(IF(ISNUMBER('Procyflo 27TC'!B118),'Procyflo 27TC'!B118,DATEVALUE('Procyflo 27TC'!B118)),"")</f>
        <v/>
      </c>
      <c r="AC617" t="str">
        <f>IF(AA617="","",'Procyflo 27TC'!C118)</f>
        <v/>
      </c>
      <c r="AD617" t="str">
        <f>IF(AA617="","",IFERROR(1*'Procyflo 27TC'!D118,IFERROR(_xludf.NUMBERVALUE('Procyflo 27TC'!D118,".",","),IFERROR(_xludf.NUMBERVALUE('Procyflo 27TC'!D118,",","."),0))))</f>
        <v/>
      </c>
      <c r="AE617" t="str">
        <f>IF(AA617="","",'Procyflo 27TC'!N118)</f>
        <v/>
      </c>
      <c r="AF617">
        <f t="shared" si="71"/>
        <v>0</v>
      </c>
      <c r="AG617" t="str">
        <f t="shared" si="72"/>
        <v/>
      </c>
      <c r="AH617" t="str">
        <f t="shared" si="73"/>
        <v/>
      </c>
      <c r="AI617">
        <f t="shared" si="74"/>
        <v>0</v>
      </c>
      <c r="AJ617">
        <f t="shared" si="75"/>
        <v>0</v>
      </c>
      <c r="AK617">
        <v>0</v>
      </c>
      <c r="AL617" t="str">
        <f>IF(AA617="","",IFERROR(IF(ISNUMBER('Procyflo 27TC'!E118),'Procyflo 27TC'!E118,IF(ISNUMBER(SEARCH("12",'Procyflo 27TC'!E118)),EDATE(AB617,12),IF(ISNUMBER(SEARCH("6",'Procyflo 27TC'!E118)),EDATE(AB617,6),IF(ISNUMBER(SEARCH("3",'Procyflo 27TC'!E118)),EDATE(AB617,3),DATEVALUE('Procyflo 27TC'!E118))))),""))</f>
        <v/>
      </c>
      <c r="AM617" t="str">
        <f t="shared" ca="1" si="76"/>
        <v/>
      </c>
    </row>
    <row r="618" spans="27:39" x14ac:dyDescent="0.3">
      <c r="AA618" t="str">
        <f>IF(COUNTA('Procyflo 27TC'!B119,'Procyflo 27TC'!C119,'Procyflo 27TC'!D119)&gt;0,"27TC","")</f>
        <v/>
      </c>
      <c r="AB618" t="str">
        <f>IFERROR(IF(ISNUMBER('Procyflo 27TC'!B119),'Procyflo 27TC'!B119,DATEVALUE('Procyflo 27TC'!B119)),"")</f>
        <v/>
      </c>
      <c r="AC618" t="str">
        <f>IF(AA618="","",'Procyflo 27TC'!C119)</f>
        <v/>
      </c>
      <c r="AD618" t="str">
        <f>IF(AA618="","",IFERROR(1*'Procyflo 27TC'!D119,IFERROR(_xludf.NUMBERVALUE('Procyflo 27TC'!D119,".",","),IFERROR(_xludf.NUMBERVALUE('Procyflo 27TC'!D119,",","."),0))))</f>
        <v/>
      </c>
      <c r="AE618" t="str">
        <f>IF(AA618="","",'Procyflo 27TC'!N119)</f>
        <v/>
      </c>
      <c r="AF618">
        <f t="shared" si="71"/>
        <v>0</v>
      </c>
      <c r="AG618" t="str">
        <f t="shared" si="72"/>
        <v/>
      </c>
      <c r="AH618" t="str">
        <f t="shared" si="73"/>
        <v/>
      </c>
      <c r="AI618">
        <f t="shared" si="74"/>
        <v>0</v>
      </c>
      <c r="AJ618">
        <f t="shared" si="75"/>
        <v>0</v>
      </c>
      <c r="AK618">
        <v>0</v>
      </c>
      <c r="AL618" t="str">
        <f>IF(AA618="","",IFERROR(IF(ISNUMBER('Procyflo 27TC'!E119),'Procyflo 27TC'!E119,IF(ISNUMBER(SEARCH("12",'Procyflo 27TC'!E119)),EDATE(AB618,12),IF(ISNUMBER(SEARCH("6",'Procyflo 27TC'!E119)),EDATE(AB618,6),IF(ISNUMBER(SEARCH("3",'Procyflo 27TC'!E119)),EDATE(AB618,3),DATEVALUE('Procyflo 27TC'!E119))))),""))</f>
        <v/>
      </c>
      <c r="AM618" t="str">
        <f t="shared" ca="1" si="76"/>
        <v/>
      </c>
    </row>
    <row r="619" spans="27:39" x14ac:dyDescent="0.3">
      <c r="AA619" t="str">
        <f>IF(COUNTA('Procyflo 27TC'!B120,'Procyflo 27TC'!C120,'Procyflo 27TC'!D120)&gt;0,"27TC","")</f>
        <v/>
      </c>
      <c r="AB619" t="str">
        <f>IFERROR(IF(ISNUMBER('Procyflo 27TC'!B120),'Procyflo 27TC'!B120,DATEVALUE('Procyflo 27TC'!B120)),"")</f>
        <v/>
      </c>
      <c r="AC619" t="str">
        <f>IF(AA619="","",'Procyflo 27TC'!C120)</f>
        <v/>
      </c>
      <c r="AD619" t="str">
        <f>IF(AA619="","",IFERROR(1*'Procyflo 27TC'!D120,IFERROR(_xludf.NUMBERVALUE('Procyflo 27TC'!D120,".",","),IFERROR(_xludf.NUMBERVALUE('Procyflo 27TC'!D120,",","."),0))))</f>
        <v/>
      </c>
      <c r="AE619" t="str">
        <f>IF(AA619="","",'Procyflo 27TC'!N120)</f>
        <v/>
      </c>
      <c r="AF619">
        <f t="shared" si="71"/>
        <v>0</v>
      </c>
      <c r="AG619" t="str">
        <f t="shared" si="72"/>
        <v/>
      </c>
      <c r="AH619" t="str">
        <f t="shared" si="73"/>
        <v/>
      </c>
      <c r="AI619">
        <f t="shared" si="74"/>
        <v>0</v>
      </c>
      <c r="AJ619">
        <f t="shared" si="75"/>
        <v>0</v>
      </c>
      <c r="AK619">
        <v>0</v>
      </c>
      <c r="AL619" t="str">
        <f>IF(AA619="","",IFERROR(IF(ISNUMBER('Procyflo 27TC'!E120),'Procyflo 27TC'!E120,IF(ISNUMBER(SEARCH("12",'Procyflo 27TC'!E120)),EDATE(AB619,12),IF(ISNUMBER(SEARCH("6",'Procyflo 27TC'!E120)),EDATE(AB619,6),IF(ISNUMBER(SEARCH("3",'Procyflo 27TC'!E120)),EDATE(AB619,3),DATEVALUE('Procyflo 27TC'!E120))))),""))</f>
        <v/>
      </c>
      <c r="AM619" t="str">
        <f t="shared" ca="1" si="76"/>
        <v/>
      </c>
    </row>
    <row r="620" spans="27:39" x14ac:dyDescent="0.3">
      <c r="AA620" t="str">
        <f>IF(COUNTA('Procyflo 27TC'!B121,'Procyflo 27TC'!C121,'Procyflo 27TC'!D121)&gt;0,"27TC","")</f>
        <v/>
      </c>
      <c r="AB620" t="str">
        <f>IFERROR(IF(ISNUMBER('Procyflo 27TC'!B121),'Procyflo 27TC'!B121,DATEVALUE('Procyflo 27TC'!B121)),"")</f>
        <v/>
      </c>
      <c r="AC620" t="str">
        <f>IF(AA620="","",'Procyflo 27TC'!C121)</f>
        <v/>
      </c>
      <c r="AD620" t="str">
        <f>IF(AA620="","",IFERROR(1*'Procyflo 27TC'!D121,IFERROR(_xludf.NUMBERVALUE('Procyflo 27TC'!D121,".",","),IFERROR(_xludf.NUMBERVALUE('Procyflo 27TC'!D121,",","."),0))))</f>
        <v/>
      </c>
      <c r="AE620" t="str">
        <f>IF(AA620="","",'Procyflo 27TC'!N121)</f>
        <v/>
      </c>
      <c r="AF620">
        <f t="shared" si="71"/>
        <v>0</v>
      </c>
      <c r="AG620" t="str">
        <f t="shared" si="72"/>
        <v/>
      </c>
      <c r="AH620" t="str">
        <f t="shared" si="73"/>
        <v/>
      </c>
      <c r="AI620">
        <f t="shared" si="74"/>
        <v>0</v>
      </c>
      <c r="AJ620">
        <f t="shared" si="75"/>
        <v>0</v>
      </c>
      <c r="AK620">
        <v>0</v>
      </c>
      <c r="AL620" t="str">
        <f>IF(AA620="","",IFERROR(IF(ISNUMBER('Procyflo 27TC'!E121),'Procyflo 27TC'!E121,IF(ISNUMBER(SEARCH("12",'Procyflo 27TC'!E121)),EDATE(AB620,12),IF(ISNUMBER(SEARCH("6",'Procyflo 27TC'!E121)),EDATE(AB620,6),IF(ISNUMBER(SEARCH("3",'Procyflo 27TC'!E121)),EDATE(AB620,3),DATEVALUE('Procyflo 27TC'!E121))))),""))</f>
        <v/>
      </c>
      <c r="AM620" t="str">
        <f t="shared" ca="1" si="76"/>
        <v/>
      </c>
    </row>
    <row r="621" spans="27:39" x14ac:dyDescent="0.3">
      <c r="AA621" t="str">
        <f>IF(COUNTA('Procyflo 27TC'!B122,'Procyflo 27TC'!C122,'Procyflo 27TC'!D122)&gt;0,"27TC","")</f>
        <v/>
      </c>
      <c r="AB621" t="str">
        <f>IFERROR(IF(ISNUMBER('Procyflo 27TC'!B122),'Procyflo 27TC'!B122,DATEVALUE('Procyflo 27TC'!B122)),"")</f>
        <v/>
      </c>
      <c r="AC621" t="str">
        <f>IF(AA621="","",'Procyflo 27TC'!C122)</f>
        <v/>
      </c>
      <c r="AD621" t="str">
        <f>IF(AA621="","",IFERROR(1*'Procyflo 27TC'!D122,IFERROR(_xludf.NUMBERVALUE('Procyflo 27TC'!D122,".",","),IFERROR(_xludf.NUMBERVALUE('Procyflo 27TC'!D122,",","."),0))))</f>
        <v/>
      </c>
      <c r="AE621" t="str">
        <f>IF(AA621="","",'Procyflo 27TC'!N122)</f>
        <v/>
      </c>
      <c r="AF621">
        <f t="shared" si="71"/>
        <v>0</v>
      </c>
      <c r="AG621" t="str">
        <f t="shared" si="72"/>
        <v/>
      </c>
      <c r="AH621" t="str">
        <f t="shared" si="73"/>
        <v/>
      </c>
      <c r="AI621">
        <f t="shared" si="74"/>
        <v>0</v>
      </c>
      <c r="AJ621">
        <f t="shared" si="75"/>
        <v>0</v>
      </c>
      <c r="AK621">
        <v>0</v>
      </c>
      <c r="AL621" t="str">
        <f>IF(AA621="","",IFERROR(IF(ISNUMBER('Procyflo 27TC'!E122),'Procyflo 27TC'!E122,IF(ISNUMBER(SEARCH("12",'Procyflo 27TC'!E122)),EDATE(AB621,12),IF(ISNUMBER(SEARCH("6",'Procyflo 27TC'!E122)),EDATE(AB621,6),IF(ISNUMBER(SEARCH("3",'Procyflo 27TC'!E122)),EDATE(AB621,3),DATEVALUE('Procyflo 27TC'!E122))))),""))</f>
        <v/>
      </c>
      <c r="AM621" t="str">
        <f t="shared" ca="1" si="76"/>
        <v/>
      </c>
    </row>
    <row r="622" spans="27:39" x14ac:dyDescent="0.3">
      <c r="AA622" t="str">
        <f>IF(COUNTA('Procyflo 27TC'!B123,'Procyflo 27TC'!C123,'Procyflo 27TC'!D123)&gt;0,"27TC","")</f>
        <v/>
      </c>
      <c r="AB622" t="str">
        <f>IFERROR(IF(ISNUMBER('Procyflo 27TC'!B123),'Procyflo 27TC'!B123,DATEVALUE('Procyflo 27TC'!B123)),"")</f>
        <v/>
      </c>
      <c r="AC622" t="str">
        <f>IF(AA622="","",'Procyflo 27TC'!C123)</f>
        <v/>
      </c>
      <c r="AD622" t="str">
        <f>IF(AA622="","",IFERROR(1*'Procyflo 27TC'!D123,IFERROR(_xludf.NUMBERVALUE('Procyflo 27TC'!D123,".",","),IFERROR(_xludf.NUMBERVALUE('Procyflo 27TC'!D123,",","."),0))))</f>
        <v/>
      </c>
      <c r="AE622" t="str">
        <f>IF(AA622="","",'Procyflo 27TC'!N123)</f>
        <v/>
      </c>
      <c r="AF622">
        <f t="shared" si="71"/>
        <v>0</v>
      </c>
      <c r="AG622" t="str">
        <f t="shared" si="72"/>
        <v/>
      </c>
      <c r="AH622" t="str">
        <f t="shared" si="73"/>
        <v/>
      </c>
      <c r="AI622">
        <f t="shared" si="74"/>
        <v>0</v>
      </c>
      <c r="AJ622">
        <f t="shared" si="75"/>
        <v>0</v>
      </c>
      <c r="AK622">
        <v>0</v>
      </c>
      <c r="AL622" t="str">
        <f>IF(AA622="","",IFERROR(IF(ISNUMBER('Procyflo 27TC'!E123),'Procyflo 27TC'!E123,IF(ISNUMBER(SEARCH("12",'Procyflo 27TC'!E123)),EDATE(AB622,12),IF(ISNUMBER(SEARCH("6",'Procyflo 27TC'!E123)),EDATE(AB622,6),IF(ISNUMBER(SEARCH("3",'Procyflo 27TC'!E123)),EDATE(AB622,3),DATEVALUE('Procyflo 27TC'!E123))))),""))</f>
        <v/>
      </c>
      <c r="AM622" t="str">
        <f t="shared" ca="1" si="76"/>
        <v/>
      </c>
    </row>
    <row r="623" spans="27:39" x14ac:dyDescent="0.3">
      <c r="AA623" t="str">
        <f>IF(COUNTA('Procyflo 27TC'!B124,'Procyflo 27TC'!C124,'Procyflo 27TC'!D124)&gt;0,"27TC","")</f>
        <v/>
      </c>
      <c r="AB623" t="str">
        <f>IFERROR(IF(ISNUMBER('Procyflo 27TC'!B124),'Procyflo 27TC'!B124,DATEVALUE('Procyflo 27TC'!B124)),"")</f>
        <v/>
      </c>
      <c r="AC623" t="str">
        <f>IF(AA623="","",'Procyflo 27TC'!C124)</f>
        <v/>
      </c>
      <c r="AD623" t="str">
        <f>IF(AA623="","",IFERROR(1*'Procyflo 27TC'!D124,IFERROR(_xludf.NUMBERVALUE('Procyflo 27TC'!D124,".",","),IFERROR(_xludf.NUMBERVALUE('Procyflo 27TC'!D124,",","."),0))))</f>
        <v/>
      </c>
      <c r="AE623" t="str">
        <f>IF(AA623="","",'Procyflo 27TC'!N124)</f>
        <v/>
      </c>
      <c r="AF623">
        <f t="shared" si="71"/>
        <v>0</v>
      </c>
      <c r="AG623" t="str">
        <f t="shared" si="72"/>
        <v/>
      </c>
      <c r="AH623" t="str">
        <f t="shared" si="73"/>
        <v/>
      </c>
      <c r="AI623">
        <f t="shared" si="74"/>
        <v>0</v>
      </c>
      <c r="AJ623">
        <f t="shared" si="75"/>
        <v>0</v>
      </c>
      <c r="AK623">
        <v>0</v>
      </c>
      <c r="AL623" t="str">
        <f>IF(AA623="","",IFERROR(IF(ISNUMBER('Procyflo 27TC'!E124),'Procyflo 27TC'!E124,IF(ISNUMBER(SEARCH("12",'Procyflo 27TC'!E124)),EDATE(AB623,12),IF(ISNUMBER(SEARCH("6",'Procyflo 27TC'!E124)),EDATE(AB623,6),IF(ISNUMBER(SEARCH("3",'Procyflo 27TC'!E124)),EDATE(AB623,3),DATEVALUE('Procyflo 27TC'!E124))))),""))</f>
        <v/>
      </c>
      <c r="AM623" t="str">
        <f t="shared" ca="1" si="76"/>
        <v/>
      </c>
    </row>
    <row r="624" spans="27:39" x14ac:dyDescent="0.3">
      <c r="AA624" t="str">
        <f>IF(COUNTA('Procyflo 27TC'!B125,'Procyflo 27TC'!C125,'Procyflo 27TC'!D125)&gt;0,"27TC","")</f>
        <v/>
      </c>
      <c r="AB624" t="str">
        <f>IFERROR(IF(ISNUMBER('Procyflo 27TC'!B125),'Procyflo 27TC'!B125,DATEVALUE('Procyflo 27TC'!B125)),"")</f>
        <v/>
      </c>
      <c r="AC624" t="str">
        <f>IF(AA624="","",'Procyflo 27TC'!C125)</f>
        <v/>
      </c>
      <c r="AD624" t="str">
        <f>IF(AA624="","",IFERROR(1*'Procyflo 27TC'!D125,IFERROR(_xludf.NUMBERVALUE('Procyflo 27TC'!D125,".",","),IFERROR(_xludf.NUMBERVALUE('Procyflo 27TC'!D125,",","."),0))))</f>
        <v/>
      </c>
      <c r="AE624" t="str">
        <f>IF(AA624="","",'Procyflo 27TC'!N125)</f>
        <v/>
      </c>
      <c r="AF624">
        <f t="shared" si="71"/>
        <v>0</v>
      </c>
      <c r="AG624" t="str">
        <f t="shared" si="72"/>
        <v/>
      </c>
      <c r="AH624" t="str">
        <f t="shared" si="73"/>
        <v/>
      </c>
      <c r="AI624">
        <f t="shared" si="74"/>
        <v>0</v>
      </c>
      <c r="AJ624">
        <f t="shared" si="75"/>
        <v>0</v>
      </c>
      <c r="AK624">
        <v>0</v>
      </c>
      <c r="AL624" t="str">
        <f>IF(AA624="","",IFERROR(IF(ISNUMBER('Procyflo 27TC'!E125),'Procyflo 27TC'!E125,IF(ISNUMBER(SEARCH("12",'Procyflo 27TC'!E125)),EDATE(AB624,12),IF(ISNUMBER(SEARCH("6",'Procyflo 27TC'!E125)),EDATE(AB624,6),IF(ISNUMBER(SEARCH("3",'Procyflo 27TC'!E125)),EDATE(AB624,3),DATEVALUE('Procyflo 27TC'!E125))))),""))</f>
        <v/>
      </c>
      <c r="AM624" t="str">
        <f t="shared" ca="1" si="76"/>
        <v/>
      </c>
    </row>
    <row r="625" spans="27:39" x14ac:dyDescent="0.3">
      <c r="AA625" t="str">
        <f>IF(COUNTA('Procyflo 27TC'!B126,'Procyflo 27TC'!C126,'Procyflo 27TC'!D126)&gt;0,"27TC","")</f>
        <v/>
      </c>
      <c r="AB625" t="str">
        <f>IFERROR(IF(ISNUMBER('Procyflo 27TC'!B126),'Procyflo 27TC'!B126,DATEVALUE('Procyflo 27TC'!B126)),"")</f>
        <v/>
      </c>
      <c r="AC625" t="str">
        <f>IF(AA625="","",'Procyflo 27TC'!C126)</f>
        <v/>
      </c>
      <c r="AD625" t="str">
        <f>IF(AA625="","",IFERROR(1*'Procyflo 27TC'!D126,IFERROR(_xludf.NUMBERVALUE('Procyflo 27TC'!D126,".",","),IFERROR(_xludf.NUMBERVALUE('Procyflo 27TC'!D126,",","."),0))))</f>
        <v/>
      </c>
      <c r="AE625" t="str">
        <f>IF(AA625="","",'Procyflo 27TC'!N126)</f>
        <v/>
      </c>
      <c r="AF625">
        <f t="shared" si="71"/>
        <v>0</v>
      </c>
      <c r="AG625" t="str">
        <f t="shared" si="72"/>
        <v/>
      </c>
      <c r="AH625" t="str">
        <f t="shared" si="73"/>
        <v/>
      </c>
      <c r="AI625">
        <f t="shared" si="74"/>
        <v>0</v>
      </c>
      <c r="AJ625">
        <f t="shared" si="75"/>
        <v>0</v>
      </c>
      <c r="AK625">
        <v>0</v>
      </c>
      <c r="AL625" t="str">
        <f>IF(AA625="","",IFERROR(IF(ISNUMBER('Procyflo 27TC'!E126),'Procyflo 27TC'!E126,IF(ISNUMBER(SEARCH("12",'Procyflo 27TC'!E126)),EDATE(AB625,12),IF(ISNUMBER(SEARCH("6",'Procyflo 27TC'!E126)),EDATE(AB625,6),IF(ISNUMBER(SEARCH("3",'Procyflo 27TC'!E126)),EDATE(AB625,3),DATEVALUE('Procyflo 27TC'!E126))))),""))</f>
        <v/>
      </c>
      <c r="AM625" t="str">
        <f t="shared" ca="1" si="76"/>
        <v/>
      </c>
    </row>
    <row r="626" spans="27:39" x14ac:dyDescent="0.3">
      <c r="AA626" t="str">
        <f>IF(COUNTA('Procyflo 27TC'!B127,'Procyflo 27TC'!C127,'Procyflo 27TC'!D127)&gt;0,"27TC","")</f>
        <v/>
      </c>
      <c r="AB626" t="str">
        <f>IFERROR(IF(ISNUMBER('Procyflo 27TC'!B127),'Procyflo 27TC'!B127,DATEVALUE('Procyflo 27TC'!B127)),"")</f>
        <v/>
      </c>
      <c r="AC626" t="str">
        <f>IF(AA626="","",'Procyflo 27TC'!C127)</f>
        <v/>
      </c>
      <c r="AD626" t="str">
        <f>IF(AA626="","",IFERROR(1*'Procyflo 27TC'!D127,IFERROR(_xludf.NUMBERVALUE('Procyflo 27TC'!D127,".",","),IFERROR(_xludf.NUMBERVALUE('Procyflo 27TC'!D127,",","."),0))))</f>
        <v/>
      </c>
      <c r="AE626" t="str">
        <f>IF(AA626="","",'Procyflo 27TC'!N127)</f>
        <v/>
      </c>
      <c r="AF626">
        <f t="shared" si="71"/>
        <v>0</v>
      </c>
      <c r="AG626" t="str">
        <f t="shared" si="72"/>
        <v/>
      </c>
      <c r="AH626" t="str">
        <f t="shared" si="73"/>
        <v/>
      </c>
      <c r="AI626">
        <f t="shared" si="74"/>
        <v>0</v>
      </c>
      <c r="AJ626">
        <f t="shared" si="75"/>
        <v>0</v>
      </c>
      <c r="AK626">
        <v>0</v>
      </c>
      <c r="AL626" t="str">
        <f>IF(AA626="","",IFERROR(IF(ISNUMBER('Procyflo 27TC'!E127),'Procyflo 27TC'!E127,IF(ISNUMBER(SEARCH("12",'Procyflo 27TC'!E127)),EDATE(AB626,12),IF(ISNUMBER(SEARCH("6",'Procyflo 27TC'!E127)),EDATE(AB626,6),IF(ISNUMBER(SEARCH("3",'Procyflo 27TC'!E127)),EDATE(AB626,3),DATEVALUE('Procyflo 27TC'!E127))))),""))</f>
        <v/>
      </c>
      <c r="AM626" t="str">
        <f t="shared" ca="1" si="76"/>
        <v/>
      </c>
    </row>
    <row r="627" spans="27:39" x14ac:dyDescent="0.3">
      <c r="AA627" t="str">
        <f>IF(COUNTA('Procyflo 27TC'!B128,'Procyflo 27TC'!C128,'Procyflo 27TC'!D128)&gt;0,"27TC","")</f>
        <v/>
      </c>
      <c r="AB627" t="str">
        <f>IFERROR(IF(ISNUMBER('Procyflo 27TC'!B128),'Procyflo 27TC'!B128,DATEVALUE('Procyflo 27TC'!B128)),"")</f>
        <v/>
      </c>
      <c r="AC627" t="str">
        <f>IF(AA627="","",'Procyflo 27TC'!C128)</f>
        <v/>
      </c>
      <c r="AD627" t="str">
        <f>IF(AA627="","",IFERROR(1*'Procyflo 27TC'!D128,IFERROR(_xludf.NUMBERVALUE('Procyflo 27TC'!D128,".",","),IFERROR(_xludf.NUMBERVALUE('Procyflo 27TC'!D128,",","."),0))))</f>
        <v/>
      </c>
      <c r="AE627" t="str">
        <f>IF(AA627="","",'Procyflo 27TC'!N128)</f>
        <v/>
      </c>
      <c r="AF627">
        <f t="shared" si="71"/>
        <v>0</v>
      </c>
      <c r="AG627" t="str">
        <f t="shared" si="72"/>
        <v/>
      </c>
      <c r="AH627" t="str">
        <f t="shared" si="73"/>
        <v/>
      </c>
      <c r="AI627">
        <f t="shared" si="74"/>
        <v>0</v>
      </c>
      <c r="AJ627">
        <f t="shared" si="75"/>
        <v>0</v>
      </c>
      <c r="AK627">
        <v>0</v>
      </c>
      <c r="AL627" t="str">
        <f>IF(AA627="","",IFERROR(IF(ISNUMBER('Procyflo 27TC'!E128),'Procyflo 27TC'!E128,IF(ISNUMBER(SEARCH("12",'Procyflo 27TC'!E128)),EDATE(AB627,12),IF(ISNUMBER(SEARCH("6",'Procyflo 27TC'!E128)),EDATE(AB627,6),IF(ISNUMBER(SEARCH("3",'Procyflo 27TC'!E128)),EDATE(AB627,3),DATEVALUE('Procyflo 27TC'!E128))))),""))</f>
        <v/>
      </c>
      <c r="AM627" t="str">
        <f t="shared" ca="1" si="76"/>
        <v/>
      </c>
    </row>
    <row r="628" spans="27:39" x14ac:dyDescent="0.3">
      <c r="AA628" t="str">
        <f>IF(COUNTA('Procyflo 27TC'!B129,'Procyflo 27TC'!C129,'Procyflo 27TC'!D129)&gt;0,"27TC","")</f>
        <v/>
      </c>
      <c r="AB628" t="str">
        <f>IFERROR(IF(ISNUMBER('Procyflo 27TC'!B129),'Procyflo 27TC'!B129,DATEVALUE('Procyflo 27TC'!B129)),"")</f>
        <v/>
      </c>
      <c r="AC628" t="str">
        <f>IF(AA628="","",'Procyflo 27TC'!C129)</f>
        <v/>
      </c>
      <c r="AD628" t="str">
        <f>IF(AA628="","",IFERROR(1*'Procyflo 27TC'!D129,IFERROR(_xludf.NUMBERVALUE('Procyflo 27TC'!D129,".",","),IFERROR(_xludf.NUMBERVALUE('Procyflo 27TC'!D129,",","."),0))))</f>
        <v/>
      </c>
      <c r="AE628" t="str">
        <f>IF(AA628="","",'Procyflo 27TC'!N129)</f>
        <v/>
      </c>
      <c r="AF628">
        <f t="shared" si="71"/>
        <v>0</v>
      </c>
      <c r="AG628" t="str">
        <f t="shared" si="72"/>
        <v/>
      </c>
      <c r="AH628" t="str">
        <f t="shared" si="73"/>
        <v/>
      </c>
      <c r="AI628">
        <f t="shared" si="74"/>
        <v>0</v>
      </c>
      <c r="AJ628">
        <f t="shared" si="75"/>
        <v>0</v>
      </c>
      <c r="AK628">
        <v>0</v>
      </c>
      <c r="AL628" t="str">
        <f>IF(AA628="","",IFERROR(IF(ISNUMBER('Procyflo 27TC'!E129),'Procyflo 27TC'!E129,IF(ISNUMBER(SEARCH("12",'Procyflo 27TC'!E129)),EDATE(AB628,12),IF(ISNUMBER(SEARCH("6",'Procyflo 27TC'!E129)),EDATE(AB628,6),IF(ISNUMBER(SEARCH("3",'Procyflo 27TC'!E129)),EDATE(AB628,3),DATEVALUE('Procyflo 27TC'!E129))))),""))</f>
        <v/>
      </c>
      <c r="AM628" t="str">
        <f t="shared" ca="1" si="76"/>
        <v/>
      </c>
    </row>
    <row r="629" spans="27:39" x14ac:dyDescent="0.3">
      <c r="AA629" t="str">
        <f>IF(COUNTA('Procyflo 27TC'!B130,'Procyflo 27TC'!C130,'Procyflo 27TC'!D130)&gt;0,"27TC","")</f>
        <v/>
      </c>
      <c r="AB629" t="str">
        <f>IFERROR(IF(ISNUMBER('Procyflo 27TC'!B130),'Procyflo 27TC'!B130,DATEVALUE('Procyflo 27TC'!B130)),"")</f>
        <v/>
      </c>
      <c r="AC629" t="str">
        <f>IF(AA629="","",'Procyflo 27TC'!C130)</f>
        <v/>
      </c>
      <c r="AD629" t="str">
        <f>IF(AA629="","",IFERROR(1*'Procyflo 27TC'!D130,IFERROR(_xludf.NUMBERVALUE('Procyflo 27TC'!D130,".",","),IFERROR(_xludf.NUMBERVALUE('Procyflo 27TC'!D130,",","."),0))))</f>
        <v/>
      </c>
      <c r="AE629" t="str">
        <f>IF(AA629="","",'Procyflo 27TC'!N130)</f>
        <v/>
      </c>
      <c r="AF629">
        <f t="shared" si="71"/>
        <v>0</v>
      </c>
      <c r="AG629" t="str">
        <f t="shared" si="72"/>
        <v/>
      </c>
      <c r="AH629" t="str">
        <f t="shared" si="73"/>
        <v/>
      </c>
      <c r="AI629">
        <f t="shared" si="74"/>
        <v>0</v>
      </c>
      <c r="AJ629">
        <f t="shared" si="75"/>
        <v>0</v>
      </c>
      <c r="AK629">
        <v>0</v>
      </c>
      <c r="AL629" t="str">
        <f>IF(AA629="","",IFERROR(IF(ISNUMBER('Procyflo 27TC'!E130),'Procyflo 27TC'!E130,IF(ISNUMBER(SEARCH("12",'Procyflo 27TC'!E130)),EDATE(AB629,12),IF(ISNUMBER(SEARCH("6",'Procyflo 27TC'!E130)),EDATE(AB629,6),IF(ISNUMBER(SEARCH("3",'Procyflo 27TC'!E130)),EDATE(AB629,3),DATEVALUE('Procyflo 27TC'!E130))))),""))</f>
        <v/>
      </c>
      <c r="AM629" t="str">
        <f t="shared" ca="1" si="76"/>
        <v/>
      </c>
    </row>
    <row r="630" spans="27:39" x14ac:dyDescent="0.3">
      <c r="AA630" t="str">
        <f>IF(COUNTA('Procyflo 27TC'!B131,'Procyflo 27TC'!C131,'Procyflo 27TC'!D131)&gt;0,"27TC","")</f>
        <v/>
      </c>
      <c r="AB630" t="str">
        <f>IFERROR(IF(ISNUMBER('Procyflo 27TC'!B131),'Procyflo 27TC'!B131,DATEVALUE('Procyflo 27TC'!B131)),"")</f>
        <v/>
      </c>
      <c r="AC630" t="str">
        <f>IF(AA630="","",'Procyflo 27TC'!C131)</f>
        <v/>
      </c>
      <c r="AD630" t="str">
        <f>IF(AA630="","",IFERROR(1*'Procyflo 27TC'!D131,IFERROR(_xludf.NUMBERVALUE('Procyflo 27TC'!D131,".",","),IFERROR(_xludf.NUMBERVALUE('Procyflo 27TC'!D131,",","."),0))))</f>
        <v/>
      </c>
      <c r="AE630" t="str">
        <f>IF(AA630="","",'Procyflo 27TC'!N131)</f>
        <v/>
      </c>
      <c r="AF630">
        <f t="shared" si="71"/>
        <v>0</v>
      </c>
      <c r="AG630" t="str">
        <f t="shared" si="72"/>
        <v/>
      </c>
      <c r="AH630" t="str">
        <f t="shared" si="73"/>
        <v/>
      </c>
      <c r="AI630">
        <f t="shared" si="74"/>
        <v>0</v>
      </c>
      <c r="AJ630">
        <f t="shared" si="75"/>
        <v>0</v>
      </c>
      <c r="AK630">
        <v>0</v>
      </c>
      <c r="AL630" t="str">
        <f>IF(AA630="","",IFERROR(IF(ISNUMBER('Procyflo 27TC'!E131),'Procyflo 27TC'!E131,IF(ISNUMBER(SEARCH("12",'Procyflo 27TC'!E131)),EDATE(AB630,12),IF(ISNUMBER(SEARCH("6",'Procyflo 27TC'!E131)),EDATE(AB630,6),IF(ISNUMBER(SEARCH("3",'Procyflo 27TC'!E131)),EDATE(AB630,3),DATEVALUE('Procyflo 27TC'!E131))))),""))</f>
        <v/>
      </c>
      <c r="AM630" t="str">
        <f t="shared" ca="1" si="76"/>
        <v/>
      </c>
    </row>
    <row r="631" spans="27:39" x14ac:dyDescent="0.3">
      <c r="AA631" t="str">
        <f>IF(COUNTA('Procyflo 27TC'!B132,'Procyflo 27TC'!C132,'Procyflo 27TC'!D132)&gt;0,"27TC","")</f>
        <v/>
      </c>
      <c r="AB631" t="str">
        <f>IFERROR(IF(ISNUMBER('Procyflo 27TC'!B132),'Procyflo 27TC'!B132,DATEVALUE('Procyflo 27TC'!B132)),"")</f>
        <v/>
      </c>
      <c r="AC631" t="str">
        <f>IF(AA631="","",'Procyflo 27TC'!C132)</f>
        <v/>
      </c>
      <c r="AD631" t="str">
        <f>IF(AA631="","",IFERROR(1*'Procyflo 27TC'!D132,IFERROR(_xludf.NUMBERVALUE('Procyflo 27TC'!D132,".",","),IFERROR(_xludf.NUMBERVALUE('Procyflo 27TC'!D132,",","."),0))))</f>
        <v/>
      </c>
      <c r="AE631" t="str">
        <f>IF(AA631="","",'Procyflo 27TC'!N132)</f>
        <v/>
      </c>
      <c r="AF631">
        <f t="shared" si="71"/>
        <v>0</v>
      </c>
      <c r="AG631" t="str">
        <f t="shared" si="72"/>
        <v/>
      </c>
      <c r="AH631" t="str">
        <f t="shared" si="73"/>
        <v/>
      </c>
      <c r="AI631">
        <f t="shared" si="74"/>
        <v>0</v>
      </c>
      <c r="AJ631">
        <f t="shared" si="75"/>
        <v>0</v>
      </c>
      <c r="AK631">
        <v>0</v>
      </c>
      <c r="AL631" t="str">
        <f>IF(AA631="","",IFERROR(IF(ISNUMBER('Procyflo 27TC'!E132),'Procyflo 27TC'!E132,IF(ISNUMBER(SEARCH("12",'Procyflo 27TC'!E132)),EDATE(AB631,12),IF(ISNUMBER(SEARCH("6",'Procyflo 27TC'!E132)),EDATE(AB631,6),IF(ISNUMBER(SEARCH("3",'Procyflo 27TC'!E132)),EDATE(AB631,3),DATEVALUE('Procyflo 27TC'!E132))))),""))</f>
        <v/>
      </c>
      <c r="AM631" t="str">
        <f t="shared" ca="1" si="76"/>
        <v/>
      </c>
    </row>
    <row r="632" spans="27:39" x14ac:dyDescent="0.3">
      <c r="AA632" t="str">
        <f>IF(COUNTA('Procyflo 27TC'!B133,'Procyflo 27TC'!C133,'Procyflo 27TC'!D133)&gt;0,"27TC","")</f>
        <v/>
      </c>
      <c r="AB632" t="str">
        <f>IFERROR(IF(ISNUMBER('Procyflo 27TC'!B133),'Procyflo 27TC'!B133,DATEVALUE('Procyflo 27TC'!B133)),"")</f>
        <v/>
      </c>
      <c r="AC632" t="str">
        <f>IF(AA632="","",'Procyflo 27TC'!C133)</f>
        <v/>
      </c>
      <c r="AD632" t="str">
        <f>IF(AA632="","",IFERROR(1*'Procyflo 27TC'!D133,IFERROR(_xludf.NUMBERVALUE('Procyflo 27TC'!D133,".",","),IFERROR(_xludf.NUMBERVALUE('Procyflo 27TC'!D133,",","."),0))))</f>
        <v/>
      </c>
      <c r="AE632" t="str">
        <f>IF(AA632="","",'Procyflo 27TC'!N133)</f>
        <v/>
      </c>
      <c r="AF632">
        <f t="shared" si="71"/>
        <v>0</v>
      </c>
      <c r="AG632" t="str">
        <f t="shared" si="72"/>
        <v/>
      </c>
      <c r="AH632" t="str">
        <f t="shared" si="73"/>
        <v/>
      </c>
      <c r="AI632">
        <f t="shared" si="74"/>
        <v>0</v>
      </c>
      <c r="AJ632">
        <f t="shared" si="75"/>
        <v>0</v>
      </c>
      <c r="AK632">
        <v>0</v>
      </c>
      <c r="AL632" t="str">
        <f>IF(AA632="","",IFERROR(IF(ISNUMBER('Procyflo 27TC'!E133),'Procyflo 27TC'!E133,IF(ISNUMBER(SEARCH("12",'Procyflo 27TC'!E133)),EDATE(AB632,12),IF(ISNUMBER(SEARCH("6",'Procyflo 27TC'!E133)),EDATE(AB632,6),IF(ISNUMBER(SEARCH("3",'Procyflo 27TC'!E133)),EDATE(AB632,3),DATEVALUE('Procyflo 27TC'!E133))))),""))</f>
        <v/>
      </c>
      <c r="AM632" t="str">
        <f t="shared" ca="1" si="76"/>
        <v/>
      </c>
    </row>
    <row r="633" spans="27:39" x14ac:dyDescent="0.3">
      <c r="AA633" t="str">
        <f>IF(COUNTA('Procyflo 27TC'!B134,'Procyflo 27TC'!C134,'Procyflo 27TC'!D134)&gt;0,"27TC","")</f>
        <v/>
      </c>
      <c r="AB633" t="str">
        <f>IFERROR(IF(ISNUMBER('Procyflo 27TC'!B134),'Procyflo 27TC'!B134,DATEVALUE('Procyflo 27TC'!B134)),"")</f>
        <v/>
      </c>
      <c r="AC633" t="str">
        <f>IF(AA633="","",'Procyflo 27TC'!C134)</f>
        <v/>
      </c>
      <c r="AD633" t="str">
        <f>IF(AA633="","",IFERROR(1*'Procyflo 27TC'!D134,IFERROR(_xludf.NUMBERVALUE('Procyflo 27TC'!D134,".",","),IFERROR(_xludf.NUMBERVALUE('Procyflo 27TC'!D134,",","."),0))))</f>
        <v/>
      </c>
      <c r="AE633" t="str">
        <f>IF(AA633="","",'Procyflo 27TC'!N134)</f>
        <v/>
      </c>
      <c r="AF633">
        <f t="shared" si="71"/>
        <v>0</v>
      </c>
      <c r="AG633" t="str">
        <f t="shared" si="72"/>
        <v/>
      </c>
      <c r="AH633" t="str">
        <f t="shared" si="73"/>
        <v/>
      </c>
      <c r="AI633">
        <f t="shared" si="74"/>
        <v>0</v>
      </c>
      <c r="AJ633">
        <f t="shared" si="75"/>
        <v>0</v>
      </c>
      <c r="AK633">
        <v>0</v>
      </c>
      <c r="AL633" t="str">
        <f>IF(AA633="","",IFERROR(IF(ISNUMBER('Procyflo 27TC'!E134),'Procyflo 27TC'!E134,IF(ISNUMBER(SEARCH("12",'Procyflo 27TC'!E134)),EDATE(AB633,12),IF(ISNUMBER(SEARCH("6",'Procyflo 27TC'!E134)),EDATE(AB633,6),IF(ISNUMBER(SEARCH("3",'Procyflo 27TC'!E134)),EDATE(AB633,3),DATEVALUE('Procyflo 27TC'!E134))))),""))</f>
        <v/>
      </c>
      <c r="AM633" t="str">
        <f t="shared" ca="1" si="76"/>
        <v/>
      </c>
    </row>
    <row r="634" spans="27:39" x14ac:dyDescent="0.3">
      <c r="AA634" t="str">
        <f>IF(COUNTA('Procyflo 27TC'!B135,'Procyflo 27TC'!C135,'Procyflo 27TC'!D135)&gt;0,"27TC","")</f>
        <v/>
      </c>
      <c r="AB634" t="str">
        <f>IFERROR(IF(ISNUMBER('Procyflo 27TC'!B135),'Procyflo 27TC'!B135,DATEVALUE('Procyflo 27TC'!B135)),"")</f>
        <v/>
      </c>
      <c r="AC634" t="str">
        <f>IF(AA634="","",'Procyflo 27TC'!C135)</f>
        <v/>
      </c>
      <c r="AD634" t="str">
        <f>IF(AA634="","",IFERROR(1*'Procyflo 27TC'!D135,IFERROR(_xludf.NUMBERVALUE('Procyflo 27TC'!D135,".",","),IFERROR(_xludf.NUMBERVALUE('Procyflo 27TC'!D135,",","."),0))))</f>
        <v/>
      </c>
      <c r="AE634" t="str">
        <f>IF(AA634="","",'Procyflo 27TC'!N135)</f>
        <v/>
      </c>
      <c r="AF634">
        <f t="shared" si="71"/>
        <v>0</v>
      </c>
      <c r="AG634" t="str">
        <f t="shared" si="72"/>
        <v/>
      </c>
      <c r="AH634" t="str">
        <f t="shared" si="73"/>
        <v/>
      </c>
      <c r="AI634">
        <f t="shared" si="74"/>
        <v>0</v>
      </c>
      <c r="AJ634">
        <f t="shared" si="75"/>
        <v>0</v>
      </c>
      <c r="AK634">
        <v>0</v>
      </c>
      <c r="AL634" t="str">
        <f>IF(AA634="","",IFERROR(IF(ISNUMBER('Procyflo 27TC'!E135),'Procyflo 27TC'!E135,IF(ISNUMBER(SEARCH("12",'Procyflo 27TC'!E135)),EDATE(AB634,12),IF(ISNUMBER(SEARCH("6",'Procyflo 27TC'!E135)),EDATE(AB634,6),IF(ISNUMBER(SEARCH("3",'Procyflo 27TC'!E135)),EDATE(AB634,3),DATEVALUE('Procyflo 27TC'!E135))))),""))</f>
        <v/>
      </c>
      <c r="AM634" t="str">
        <f t="shared" ca="1" si="76"/>
        <v/>
      </c>
    </row>
    <row r="635" spans="27:39" x14ac:dyDescent="0.3">
      <c r="AA635" t="str">
        <f>IF(COUNTA('Procyflo 27TC'!B136,'Procyflo 27TC'!C136,'Procyflo 27TC'!D136)&gt;0,"27TC","")</f>
        <v/>
      </c>
      <c r="AB635" t="str">
        <f>IFERROR(IF(ISNUMBER('Procyflo 27TC'!B136),'Procyflo 27TC'!B136,DATEVALUE('Procyflo 27TC'!B136)),"")</f>
        <v/>
      </c>
      <c r="AC635" t="str">
        <f>IF(AA635="","",'Procyflo 27TC'!C136)</f>
        <v/>
      </c>
      <c r="AD635" t="str">
        <f>IF(AA635="","",IFERROR(1*'Procyflo 27TC'!D136,IFERROR(_xludf.NUMBERVALUE('Procyflo 27TC'!D136,".",","),IFERROR(_xludf.NUMBERVALUE('Procyflo 27TC'!D136,",","."),0))))</f>
        <v/>
      </c>
      <c r="AE635" t="str">
        <f>IF(AA635="","",'Procyflo 27TC'!N136)</f>
        <v/>
      </c>
      <c r="AF635">
        <f t="shared" si="71"/>
        <v>0</v>
      </c>
      <c r="AG635" t="str">
        <f t="shared" si="72"/>
        <v/>
      </c>
      <c r="AH635" t="str">
        <f t="shared" si="73"/>
        <v/>
      </c>
      <c r="AI635">
        <f t="shared" si="74"/>
        <v>0</v>
      </c>
      <c r="AJ635">
        <f t="shared" si="75"/>
        <v>0</v>
      </c>
      <c r="AK635">
        <v>0</v>
      </c>
      <c r="AL635" t="str">
        <f>IF(AA635="","",IFERROR(IF(ISNUMBER('Procyflo 27TC'!E136),'Procyflo 27TC'!E136,IF(ISNUMBER(SEARCH("12",'Procyflo 27TC'!E136)),EDATE(AB635,12),IF(ISNUMBER(SEARCH("6",'Procyflo 27TC'!E136)),EDATE(AB635,6),IF(ISNUMBER(SEARCH("3",'Procyflo 27TC'!E136)),EDATE(AB635,3),DATEVALUE('Procyflo 27TC'!E136))))),""))</f>
        <v/>
      </c>
      <c r="AM635" t="str">
        <f t="shared" ca="1" si="76"/>
        <v/>
      </c>
    </row>
    <row r="636" spans="27:39" x14ac:dyDescent="0.3">
      <c r="AA636" t="str">
        <f>IF(COUNTA('Procyflo 27TC'!B137,'Procyflo 27TC'!C137,'Procyflo 27TC'!D137)&gt;0,"27TC","")</f>
        <v/>
      </c>
      <c r="AB636" t="str">
        <f>IFERROR(IF(ISNUMBER('Procyflo 27TC'!B137),'Procyflo 27TC'!B137,DATEVALUE('Procyflo 27TC'!B137)),"")</f>
        <v/>
      </c>
      <c r="AC636" t="str">
        <f>IF(AA636="","",'Procyflo 27TC'!C137)</f>
        <v/>
      </c>
      <c r="AD636" t="str">
        <f>IF(AA636="","",IFERROR(1*'Procyflo 27TC'!D137,IFERROR(_xludf.NUMBERVALUE('Procyflo 27TC'!D137,".",","),IFERROR(_xludf.NUMBERVALUE('Procyflo 27TC'!D137,",","."),0))))</f>
        <v/>
      </c>
      <c r="AE636" t="str">
        <f>IF(AA636="","",'Procyflo 27TC'!N137)</f>
        <v/>
      </c>
      <c r="AF636">
        <f t="shared" si="71"/>
        <v>0</v>
      </c>
      <c r="AG636" t="str">
        <f t="shared" si="72"/>
        <v/>
      </c>
      <c r="AH636" t="str">
        <f t="shared" si="73"/>
        <v/>
      </c>
      <c r="AI636">
        <f t="shared" si="74"/>
        <v>0</v>
      </c>
      <c r="AJ636">
        <f t="shared" si="75"/>
        <v>0</v>
      </c>
      <c r="AK636">
        <v>0</v>
      </c>
      <c r="AL636" t="str">
        <f>IF(AA636="","",IFERROR(IF(ISNUMBER('Procyflo 27TC'!E137),'Procyflo 27TC'!E137,IF(ISNUMBER(SEARCH("12",'Procyflo 27TC'!E137)),EDATE(AB636,12),IF(ISNUMBER(SEARCH("6",'Procyflo 27TC'!E137)),EDATE(AB636,6),IF(ISNUMBER(SEARCH("3",'Procyflo 27TC'!E137)),EDATE(AB636,3),DATEVALUE('Procyflo 27TC'!E137))))),""))</f>
        <v/>
      </c>
      <c r="AM636" t="str">
        <f t="shared" ca="1" si="76"/>
        <v/>
      </c>
    </row>
    <row r="637" spans="27:39" x14ac:dyDescent="0.3">
      <c r="AA637" t="str">
        <f>IF(COUNTA('Procyflo 27TC'!B138,'Procyflo 27TC'!C138,'Procyflo 27TC'!D138)&gt;0,"27TC","")</f>
        <v/>
      </c>
      <c r="AB637" t="str">
        <f>IFERROR(IF(ISNUMBER('Procyflo 27TC'!B138),'Procyflo 27TC'!B138,DATEVALUE('Procyflo 27TC'!B138)),"")</f>
        <v/>
      </c>
      <c r="AC637" t="str">
        <f>IF(AA637="","",'Procyflo 27TC'!C138)</f>
        <v/>
      </c>
      <c r="AD637" t="str">
        <f>IF(AA637="","",IFERROR(1*'Procyflo 27TC'!D138,IFERROR(_xludf.NUMBERVALUE('Procyflo 27TC'!D138,".",","),IFERROR(_xludf.NUMBERVALUE('Procyflo 27TC'!D138,",","."),0))))</f>
        <v/>
      </c>
      <c r="AE637" t="str">
        <f>IF(AA637="","",'Procyflo 27TC'!N138)</f>
        <v/>
      </c>
      <c r="AF637">
        <f t="shared" si="71"/>
        <v>0</v>
      </c>
      <c r="AG637" t="str">
        <f t="shared" si="72"/>
        <v/>
      </c>
      <c r="AH637" t="str">
        <f t="shared" si="73"/>
        <v/>
      </c>
      <c r="AI637">
        <f t="shared" si="74"/>
        <v>0</v>
      </c>
      <c r="AJ637">
        <f t="shared" si="75"/>
        <v>0</v>
      </c>
      <c r="AK637">
        <v>0</v>
      </c>
      <c r="AL637" t="str">
        <f>IF(AA637="","",IFERROR(IF(ISNUMBER('Procyflo 27TC'!E138),'Procyflo 27TC'!E138,IF(ISNUMBER(SEARCH("12",'Procyflo 27TC'!E138)),EDATE(AB637,12),IF(ISNUMBER(SEARCH("6",'Procyflo 27TC'!E138)),EDATE(AB637,6),IF(ISNUMBER(SEARCH("3",'Procyflo 27TC'!E138)),EDATE(AB637,3),DATEVALUE('Procyflo 27TC'!E138))))),""))</f>
        <v/>
      </c>
      <c r="AM637" t="str">
        <f t="shared" ca="1" si="76"/>
        <v/>
      </c>
    </row>
    <row r="638" spans="27:39" x14ac:dyDescent="0.3">
      <c r="AA638" t="str">
        <f>IF(COUNTA('Procyflo 27TC'!B139,'Procyflo 27TC'!C139,'Procyflo 27TC'!D139)&gt;0,"27TC","")</f>
        <v/>
      </c>
      <c r="AB638" t="str">
        <f>IFERROR(IF(ISNUMBER('Procyflo 27TC'!B139),'Procyflo 27TC'!B139,DATEVALUE('Procyflo 27TC'!B139)),"")</f>
        <v/>
      </c>
      <c r="AC638" t="str">
        <f>IF(AA638="","",'Procyflo 27TC'!C139)</f>
        <v/>
      </c>
      <c r="AD638" t="str">
        <f>IF(AA638="","",IFERROR(1*'Procyflo 27TC'!D139,IFERROR(_xludf.NUMBERVALUE('Procyflo 27TC'!D139,".",","),IFERROR(_xludf.NUMBERVALUE('Procyflo 27TC'!D139,",","."),0))))</f>
        <v/>
      </c>
      <c r="AE638" t="str">
        <f>IF(AA638="","",'Procyflo 27TC'!N139)</f>
        <v/>
      </c>
      <c r="AF638">
        <f t="shared" si="71"/>
        <v>0</v>
      </c>
      <c r="AG638" t="str">
        <f t="shared" si="72"/>
        <v/>
      </c>
      <c r="AH638" t="str">
        <f t="shared" si="73"/>
        <v/>
      </c>
      <c r="AI638">
        <f t="shared" si="74"/>
        <v>0</v>
      </c>
      <c r="AJ638">
        <f t="shared" si="75"/>
        <v>0</v>
      </c>
      <c r="AK638">
        <v>0</v>
      </c>
      <c r="AL638" t="str">
        <f>IF(AA638="","",IFERROR(IF(ISNUMBER('Procyflo 27TC'!E139),'Procyflo 27TC'!E139,IF(ISNUMBER(SEARCH("12",'Procyflo 27TC'!E139)),EDATE(AB638,12),IF(ISNUMBER(SEARCH("6",'Procyflo 27TC'!E139)),EDATE(AB638,6),IF(ISNUMBER(SEARCH("3",'Procyflo 27TC'!E139)),EDATE(AB638,3),DATEVALUE('Procyflo 27TC'!E139))))),""))</f>
        <v/>
      </c>
      <c r="AM638" t="str">
        <f t="shared" ca="1" si="76"/>
        <v/>
      </c>
    </row>
    <row r="639" spans="27:39" x14ac:dyDescent="0.3">
      <c r="AA639" t="str">
        <f>IF(COUNTA('Procyflo 27TC'!B140,'Procyflo 27TC'!C140,'Procyflo 27TC'!D140)&gt;0,"27TC","")</f>
        <v/>
      </c>
      <c r="AB639" t="str">
        <f>IFERROR(IF(ISNUMBER('Procyflo 27TC'!B140),'Procyflo 27TC'!B140,DATEVALUE('Procyflo 27TC'!B140)),"")</f>
        <v/>
      </c>
      <c r="AC639" t="str">
        <f>IF(AA639="","",'Procyflo 27TC'!C140)</f>
        <v/>
      </c>
      <c r="AD639" t="str">
        <f>IF(AA639="","",IFERROR(1*'Procyflo 27TC'!D140,IFERROR(_xludf.NUMBERVALUE('Procyflo 27TC'!D140,".",","),IFERROR(_xludf.NUMBERVALUE('Procyflo 27TC'!D140,",","."),0))))</f>
        <v/>
      </c>
      <c r="AE639" t="str">
        <f>IF(AA639="","",'Procyflo 27TC'!N140)</f>
        <v/>
      </c>
      <c r="AF639">
        <f t="shared" si="71"/>
        <v>0</v>
      </c>
      <c r="AG639" t="str">
        <f t="shared" si="72"/>
        <v/>
      </c>
      <c r="AH639" t="str">
        <f t="shared" si="73"/>
        <v/>
      </c>
      <c r="AI639">
        <f t="shared" si="74"/>
        <v>0</v>
      </c>
      <c r="AJ639">
        <f t="shared" si="75"/>
        <v>0</v>
      </c>
      <c r="AK639">
        <v>0</v>
      </c>
      <c r="AL639" t="str">
        <f>IF(AA639="","",IFERROR(IF(ISNUMBER('Procyflo 27TC'!E140),'Procyflo 27TC'!E140,IF(ISNUMBER(SEARCH("12",'Procyflo 27TC'!E140)),EDATE(AB639,12),IF(ISNUMBER(SEARCH("6",'Procyflo 27TC'!E140)),EDATE(AB639,6),IF(ISNUMBER(SEARCH("3",'Procyflo 27TC'!E140)),EDATE(AB639,3),DATEVALUE('Procyflo 27TC'!E140))))),""))</f>
        <v/>
      </c>
      <c r="AM639" t="str">
        <f t="shared" ca="1" si="76"/>
        <v/>
      </c>
    </row>
    <row r="640" spans="27:39" x14ac:dyDescent="0.3">
      <c r="AA640" t="str">
        <f>IF(COUNTA('Procyflo 27TC'!B141,'Procyflo 27TC'!C141,'Procyflo 27TC'!D141)&gt;0,"27TC","")</f>
        <v/>
      </c>
      <c r="AB640" t="str">
        <f>IFERROR(IF(ISNUMBER('Procyflo 27TC'!B141),'Procyflo 27TC'!B141,DATEVALUE('Procyflo 27TC'!B141)),"")</f>
        <v/>
      </c>
      <c r="AC640" t="str">
        <f>IF(AA640="","",'Procyflo 27TC'!C141)</f>
        <v/>
      </c>
      <c r="AD640" t="str">
        <f>IF(AA640="","",IFERROR(1*'Procyflo 27TC'!D141,IFERROR(_xludf.NUMBERVALUE('Procyflo 27TC'!D141,".",","),IFERROR(_xludf.NUMBERVALUE('Procyflo 27TC'!D141,",","."),0))))</f>
        <v/>
      </c>
      <c r="AE640" t="str">
        <f>IF(AA640="","",'Procyflo 27TC'!N141)</f>
        <v/>
      </c>
      <c r="AF640">
        <f t="shared" si="71"/>
        <v>0</v>
      </c>
      <c r="AG640" t="str">
        <f t="shared" si="72"/>
        <v/>
      </c>
      <c r="AH640" t="str">
        <f t="shared" si="73"/>
        <v/>
      </c>
      <c r="AI640">
        <f t="shared" si="74"/>
        <v>0</v>
      </c>
      <c r="AJ640">
        <f t="shared" si="75"/>
        <v>0</v>
      </c>
      <c r="AK640">
        <v>0</v>
      </c>
      <c r="AL640" t="str">
        <f>IF(AA640="","",IFERROR(IF(ISNUMBER('Procyflo 27TC'!E141),'Procyflo 27TC'!E141,IF(ISNUMBER(SEARCH("12",'Procyflo 27TC'!E141)),EDATE(AB640,12),IF(ISNUMBER(SEARCH("6",'Procyflo 27TC'!E141)),EDATE(AB640,6),IF(ISNUMBER(SEARCH("3",'Procyflo 27TC'!E141)),EDATE(AB640,3),DATEVALUE('Procyflo 27TC'!E141))))),""))</f>
        <v/>
      </c>
      <c r="AM640" t="str">
        <f t="shared" ca="1" si="76"/>
        <v/>
      </c>
    </row>
    <row r="641" spans="27:39" x14ac:dyDescent="0.3">
      <c r="AA641" t="str">
        <f>IF(COUNTA('Procyflo 27TC'!B142,'Procyflo 27TC'!C142,'Procyflo 27TC'!D142)&gt;0,"27TC","")</f>
        <v/>
      </c>
      <c r="AB641" t="str">
        <f>IFERROR(IF(ISNUMBER('Procyflo 27TC'!B142),'Procyflo 27TC'!B142,DATEVALUE('Procyflo 27TC'!B142)),"")</f>
        <v/>
      </c>
      <c r="AC641" t="str">
        <f>IF(AA641="","",'Procyflo 27TC'!C142)</f>
        <v/>
      </c>
      <c r="AD641" t="str">
        <f>IF(AA641="","",IFERROR(1*'Procyflo 27TC'!D142,IFERROR(_xludf.NUMBERVALUE('Procyflo 27TC'!D142,".",","),IFERROR(_xludf.NUMBERVALUE('Procyflo 27TC'!D142,",","."),0))))</f>
        <v/>
      </c>
      <c r="AE641" t="str">
        <f>IF(AA641="","",'Procyflo 27TC'!N142)</f>
        <v/>
      </c>
      <c r="AF641">
        <f t="shared" si="71"/>
        <v>0</v>
      </c>
      <c r="AG641" t="str">
        <f t="shared" si="72"/>
        <v/>
      </c>
      <c r="AH641" t="str">
        <f t="shared" si="73"/>
        <v/>
      </c>
      <c r="AI641">
        <f t="shared" si="74"/>
        <v>0</v>
      </c>
      <c r="AJ641">
        <f t="shared" si="75"/>
        <v>0</v>
      </c>
      <c r="AK641">
        <v>0</v>
      </c>
      <c r="AL641" t="str">
        <f>IF(AA641="","",IFERROR(IF(ISNUMBER('Procyflo 27TC'!E142),'Procyflo 27TC'!E142,IF(ISNUMBER(SEARCH("12",'Procyflo 27TC'!E142)),EDATE(AB641,12),IF(ISNUMBER(SEARCH("6",'Procyflo 27TC'!E142)),EDATE(AB641,6),IF(ISNUMBER(SEARCH("3",'Procyflo 27TC'!E142)),EDATE(AB641,3),DATEVALUE('Procyflo 27TC'!E142))))),""))</f>
        <v/>
      </c>
      <c r="AM641" t="str">
        <f t="shared" ca="1" si="76"/>
        <v/>
      </c>
    </row>
    <row r="642" spans="27:39" x14ac:dyDescent="0.3">
      <c r="AA642" t="str">
        <f>IF(COUNTA('Procyflo 27TC'!B143,'Procyflo 27TC'!C143,'Procyflo 27TC'!D143)&gt;0,"27TC","")</f>
        <v/>
      </c>
      <c r="AB642" t="str">
        <f>IFERROR(IF(ISNUMBER('Procyflo 27TC'!B143),'Procyflo 27TC'!B143,DATEVALUE('Procyflo 27TC'!B143)),"")</f>
        <v/>
      </c>
      <c r="AC642" t="str">
        <f>IF(AA642="","",'Procyflo 27TC'!C143)</f>
        <v/>
      </c>
      <c r="AD642" t="str">
        <f>IF(AA642="","",IFERROR(1*'Procyflo 27TC'!D143,IFERROR(_xludf.NUMBERVALUE('Procyflo 27TC'!D143,".",","),IFERROR(_xludf.NUMBERVALUE('Procyflo 27TC'!D143,",","."),0))))</f>
        <v/>
      </c>
      <c r="AE642" t="str">
        <f>IF(AA642="","",'Procyflo 27TC'!N143)</f>
        <v/>
      </c>
      <c r="AF642">
        <f t="shared" ref="AF642:AF705" si="77">IF(AA642="",0,--AND(ISNUMBER(SEARCH("aprov",AE642)),NOT(ISNUMBER(SEARCH("reprov",AE642)))))</f>
        <v>0</v>
      </c>
      <c r="AG642" t="str">
        <f t="shared" ref="AG642:AG705" si="78">IF(AB642="","",YEAR(AB642))</f>
        <v/>
      </c>
      <c r="AH642" t="str">
        <f t="shared" ref="AH642:AH705" si="79">IF(AB642="","",MONTH(AB642))</f>
        <v/>
      </c>
      <c r="AI642">
        <f t="shared" ref="AI642:AI705" si="80">IF(AB642="",0,AB642+ROW()/1000000)</f>
        <v>0</v>
      </c>
      <c r="AJ642">
        <f t="shared" ref="AJ642:AJ705" si="81">--(AA642&lt;&gt;"")</f>
        <v>0</v>
      </c>
      <c r="AK642">
        <v>0</v>
      </c>
      <c r="AL642" t="str">
        <f>IF(AA642="","",IFERROR(IF(ISNUMBER('Procyflo 27TC'!E143),'Procyflo 27TC'!E143,IF(ISNUMBER(SEARCH("12",'Procyflo 27TC'!E143)),EDATE(AB642,12),IF(ISNUMBER(SEARCH("6",'Procyflo 27TC'!E143)),EDATE(AB642,6),IF(ISNUMBER(SEARCH("3",'Procyflo 27TC'!E143)),EDATE(AB642,3),DATEVALUE('Procyflo 27TC'!E143))))),""))</f>
        <v/>
      </c>
      <c r="AM642" t="str">
        <f t="shared" ref="AM642:AM705" ca="1" si="82">IF(AND(AJ642=1,AL642&lt;&gt;"",AL642&gt;=TODAY(),AG642=$W$3),AL642+ROW()/1000000,"")</f>
        <v/>
      </c>
    </row>
    <row r="643" spans="27:39" x14ac:dyDescent="0.3">
      <c r="AA643" t="str">
        <f>IF(COUNTA('Procyflo 27TC'!B144,'Procyflo 27TC'!C144,'Procyflo 27TC'!D144)&gt;0,"27TC","")</f>
        <v/>
      </c>
      <c r="AB643" t="str">
        <f>IFERROR(IF(ISNUMBER('Procyflo 27TC'!B144),'Procyflo 27TC'!B144,DATEVALUE('Procyflo 27TC'!B144)),"")</f>
        <v/>
      </c>
      <c r="AC643" t="str">
        <f>IF(AA643="","",'Procyflo 27TC'!C144)</f>
        <v/>
      </c>
      <c r="AD643" t="str">
        <f>IF(AA643="","",IFERROR(1*'Procyflo 27TC'!D144,IFERROR(_xludf.NUMBERVALUE('Procyflo 27TC'!D144,".",","),IFERROR(_xludf.NUMBERVALUE('Procyflo 27TC'!D144,",","."),0))))</f>
        <v/>
      </c>
      <c r="AE643" t="str">
        <f>IF(AA643="","",'Procyflo 27TC'!N144)</f>
        <v/>
      </c>
      <c r="AF643">
        <f t="shared" si="77"/>
        <v>0</v>
      </c>
      <c r="AG643" t="str">
        <f t="shared" si="78"/>
        <v/>
      </c>
      <c r="AH643" t="str">
        <f t="shared" si="79"/>
        <v/>
      </c>
      <c r="AI643">
        <f t="shared" si="80"/>
        <v>0</v>
      </c>
      <c r="AJ643">
        <f t="shared" si="81"/>
        <v>0</v>
      </c>
      <c r="AK643">
        <v>0</v>
      </c>
      <c r="AL643" t="str">
        <f>IF(AA643="","",IFERROR(IF(ISNUMBER('Procyflo 27TC'!E144),'Procyflo 27TC'!E144,IF(ISNUMBER(SEARCH("12",'Procyflo 27TC'!E144)),EDATE(AB643,12),IF(ISNUMBER(SEARCH("6",'Procyflo 27TC'!E144)),EDATE(AB643,6),IF(ISNUMBER(SEARCH("3",'Procyflo 27TC'!E144)),EDATE(AB643,3),DATEVALUE('Procyflo 27TC'!E144))))),""))</f>
        <v/>
      </c>
      <c r="AM643" t="str">
        <f t="shared" ca="1" si="82"/>
        <v/>
      </c>
    </row>
    <row r="644" spans="27:39" x14ac:dyDescent="0.3">
      <c r="AA644" t="str">
        <f>IF(COUNTA('Procyflo 27TC'!B145,'Procyflo 27TC'!C145,'Procyflo 27TC'!D145)&gt;0,"27TC","")</f>
        <v/>
      </c>
      <c r="AB644" t="str">
        <f>IFERROR(IF(ISNUMBER('Procyflo 27TC'!B145),'Procyflo 27TC'!B145,DATEVALUE('Procyflo 27TC'!B145)),"")</f>
        <v/>
      </c>
      <c r="AC644" t="str">
        <f>IF(AA644="","",'Procyflo 27TC'!C145)</f>
        <v/>
      </c>
      <c r="AD644" t="str">
        <f>IF(AA644="","",IFERROR(1*'Procyflo 27TC'!D145,IFERROR(_xludf.NUMBERVALUE('Procyflo 27TC'!D145,".",","),IFERROR(_xludf.NUMBERVALUE('Procyflo 27TC'!D145,",","."),0))))</f>
        <v/>
      </c>
      <c r="AE644" t="str">
        <f>IF(AA644="","",'Procyflo 27TC'!N145)</f>
        <v/>
      </c>
      <c r="AF644">
        <f t="shared" si="77"/>
        <v>0</v>
      </c>
      <c r="AG644" t="str">
        <f t="shared" si="78"/>
        <v/>
      </c>
      <c r="AH644" t="str">
        <f t="shared" si="79"/>
        <v/>
      </c>
      <c r="AI644">
        <f t="shared" si="80"/>
        <v>0</v>
      </c>
      <c r="AJ644">
        <f t="shared" si="81"/>
        <v>0</v>
      </c>
      <c r="AK644">
        <v>0</v>
      </c>
      <c r="AL644" t="str">
        <f>IF(AA644="","",IFERROR(IF(ISNUMBER('Procyflo 27TC'!E145),'Procyflo 27TC'!E145,IF(ISNUMBER(SEARCH("12",'Procyflo 27TC'!E145)),EDATE(AB644,12),IF(ISNUMBER(SEARCH("6",'Procyflo 27TC'!E145)),EDATE(AB644,6),IF(ISNUMBER(SEARCH("3",'Procyflo 27TC'!E145)),EDATE(AB644,3),DATEVALUE('Procyflo 27TC'!E145))))),""))</f>
        <v/>
      </c>
      <c r="AM644" t="str">
        <f t="shared" ca="1" si="82"/>
        <v/>
      </c>
    </row>
    <row r="645" spans="27:39" x14ac:dyDescent="0.3">
      <c r="AA645" t="str">
        <f>IF(COUNTA('Procyflo 27TC'!B146,'Procyflo 27TC'!C146,'Procyflo 27TC'!D146)&gt;0,"27TC","")</f>
        <v/>
      </c>
      <c r="AB645" t="str">
        <f>IFERROR(IF(ISNUMBER('Procyflo 27TC'!B146),'Procyflo 27TC'!B146,DATEVALUE('Procyflo 27TC'!B146)),"")</f>
        <v/>
      </c>
      <c r="AC645" t="str">
        <f>IF(AA645="","",'Procyflo 27TC'!C146)</f>
        <v/>
      </c>
      <c r="AD645" t="str">
        <f>IF(AA645="","",IFERROR(1*'Procyflo 27TC'!D146,IFERROR(_xludf.NUMBERVALUE('Procyflo 27TC'!D146,".",","),IFERROR(_xludf.NUMBERVALUE('Procyflo 27TC'!D146,",","."),0))))</f>
        <v/>
      </c>
      <c r="AE645" t="str">
        <f>IF(AA645="","",'Procyflo 27TC'!N146)</f>
        <v/>
      </c>
      <c r="AF645">
        <f t="shared" si="77"/>
        <v>0</v>
      </c>
      <c r="AG645" t="str">
        <f t="shared" si="78"/>
        <v/>
      </c>
      <c r="AH645" t="str">
        <f t="shared" si="79"/>
        <v/>
      </c>
      <c r="AI645">
        <f t="shared" si="80"/>
        <v>0</v>
      </c>
      <c r="AJ645">
        <f t="shared" si="81"/>
        <v>0</v>
      </c>
      <c r="AK645">
        <v>0</v>
      </c>
      <c r="AL645" t="str">
        <f>IF(AA645="","",IFERROR(IF(ISNUMBER('Procyflo 27TC'!E146),'Procyflo 27TC'!E146,IF(ISNUMBER(SEARCH("12",'Procyflo 27TC'!E146)),EDATE(AB645,12),IF(ISNUMBER(SEARCH("6",'Procyflo 27TC'!E146)),EDATE(AB645,6),IF(ISNUMBER(SEARCH("3",'Procyflo 27TC'!E146)),EDATE(AB645,3),DATEVALUE('Procyflo 27TC'!E146))))),""))</f>
        <v/>
      </c>
      <c r="AM645" t="str">
        <f t="shared" ca="1" si="82"/>
        <v/>
      </c>
    </row>
    <row r="646" spans="27:39" x14ac:dyDescent="0.3">
      <c r="AA646" t="str">
        <f>IF(COUNTA('Procyflo 27TC'!B147,'Procyflo 27TC'!C147,'Procyflo 27TC'!D147)&gt;0,"27TC","")</f>
        <v/>
      </c>
      <c r="AB646" t="str">
        <f>IFERROR(IF(ISNUMBER('Procyflo 27TC'!B147),'Procyflo 27TC'!B147,DATEVALUE('Procyflo 27TC'!B147)),"")</f>
        <v/>
      </c>
      <c r="AC646" t="str">
        <f>IF(AA646="","",'Procyflo 27TC'!C147)</f>
        <v/>
      </c>
      <c r="AD646" t="str">
        <f>IF(AA646="","",IFERROR(1*'Procyflo 27TC'!D147,IFERROR(_xludf.NUMBERVALUE('Procyflo 27TC'!D147,".",","),IFERROR(_xludf.NUMBERVALUE('Procyflo 27TC'!D147,",","."),0))))</f>
        <v/>
      </c>
      <c r="AE646" t="str">
        <f>IF(AA646="","",'Procyflo 27TC'!N147)</f>
        <v/>
      </c>
      <c r="AF646">
        <f t="shared" si="77"/>
        <v>0</v>
      </c>
      <c r="AG646" t="str">
        <f t="shared" si="78"/>
        <v/>
      </c>
      <c r="AH646" t="str">
        <f t="shared" si="79"/>
        <v/>
      </c>
      <c r="AI646">
        <f t="shared" si="80"/>
        <v>0</v>
      </c>
      <c r="AJ646">
        <f t="shared" si="81"/>
        <v>0</v>
      </c>
      <c r="AK646">
        <v>0</v>
      </c>
      <c r="AL646" t="str">
        <f>IF(AA646="","",IFERROR(IF(ISNUMBER('Procyflo 27TC'!E147),'Procyflo 27TC'!E147,IF(ISNUMBER(SEARCH("12",'Procyflo 27TC'!E147)),EDATE(AB646,12),IF(ISNUMBER(SEARCH("6",'Procyflo 27TC'!E147)),EDATE(AB646,6),IF(ISNUMBER(SEARCH("3",'Procyflo 27TC'!E147)),EDATE(AB646,3),DATEVALUE('Procyflo 27TC'!E147))))),""))</f>
        <v/>
      </c>
      <c r="AM646" t="str">
        <f t="shared" ca="1" si="82"/>
        <v/>
      </c>
    </row>
    <row r="647" spans="27:39" x14ac:dyDescent="0.3">
      <c r="AA647" t="str">
        <f>IF(COUNTA('Procyflo 27TC'!B148,'Procyflo 27TC'!C148,'Procyflo 27TC'!D148)&gt;0,"27TC","")</f>
        <v/>
      </c>
      <c r="AB647" t="str">
        <f>IFERROR(IF(ISNUMBER('Procyflo 27TC'!B148),'Procyflo 27TC'!B148,DATEVALUE('Procyflo 27TC'!B148)),"")</f>
        <v/>
      </c>
      <c r="AC647" t="str">
        <f>IF(AA647="","",'Procyflo 27TC'!C148)</f>
        <v/>
      </c>
      <c r="AD647" t="str">
        <f>IF(AA647="","",IFERROR(1*'Procyflo 27TC'!D148,IFERROR(_xludf.NUMBERVALUE('Procyflo 27TC'!D148,".",","),IFERROR(_xludf.NUMBERVALUE('Procyflo 27TC'!D148,",","."),0))))</f>
        <v/>
      </c>
      <c r="AE647" t="str">
        <f>IF(AA647="","",'Procyflo 27TC'!N148)</f>
        <v/>
      </c>
      <c r="AF647">
        <f t="shared" si="77"/>
        <v>0</v>
      </c>
      <c r="AG647" t="str">
        <f t="shared" si="78"/>
        <v/>
      </c>
      <c r="AH647" t="str">
        <f t="shared" si="79"/>
        <v/>
      </c>
      <c r="AI647">
        <f t="shared" si="80"/>
        <v>0</v>
      </c>
      <c r="AJ647">
        <f t="shared" si="81"/>
        <v>0</v>
      </c>
      <c r="AK647">
        <v>0</v>
      </c>
      <c r="AL647" t="str">
        <f>IF(AA647="","",IFERROR(IF(ISNUMBER('Procyflo 27TC'!E148),'Procyflo 27TC'!E148,IF(ISNUMBER(SEARCH("12",'Procyflo 27TC'!E148)),EDATE(AB647,12),IF(ISNUMBER(SEARCH("6",'Procyflo 27TC'!E148)),EDATE(AB647,6),IF(ISNUMBER(SEARCH("3",'Procyflo 27TC'!E148)),EDATE(AB647,3),DATEVALUE('Procyflo 27TC'!E148))))),""))</f>
        <v/>
      </c>
      <c r="AM647" t="str">
        <f t="shared" ca="1" si="82"/>
        <v/>
      </c>
    </row>
    <row r="648" spans="27:39" x14ac:dyDescent="0.3">
      <c r="AA648" t="str">
        <f>IF(COUNTA('Procyflo 27TC'!B149,'Procyflo 27TC'!C149,'Procyflo 27TC'!D149)&gt;0,"27TC","")</f>
        <v/>
      </c>
      <c r="AB648" t="str">
        <f>IFERROR(IF(ISNUMBER('Procyflo 27TC'!B149),'Procyflo 27TC'!B149,DATEVALUE('Procyflo 27TC'!B149)),"")</f>
        <v/>
      </c>
      <c r="AC648" t="str">
        <f>IF(AA648="","",'Procyflo 27TC'!C149)</f>
        <v/>
      </c>
      <c r="AD648" t="str">
        <f>IF(AA648="","",IFERROR(1*'Procyflo 27TC'!D149,IFERROR(_xludf.NUMBERVALUE('Procyflo 27TC'!D149,".",","),IFERROR(_xludf.NUMBERVALUE('Procyflo 27TC'!D149,",","."),0))))</f>
        <v/>
      </c>
      <c r="AE648" t="str">
        <f>IF(AA648="","",'Procyflo 27TC'!N149)</f>
        <v/>
      </c>
      <c r="AF648">
        <f t="shared" si="77"/>
        <v>0</v>
      </c>
      <c r="AG648" t="str">
        <f t="shared" si="78"/>
        <v/>
      </c>
      <c r="AH648" t="str">
        <f t="shared" si="79"/>
        <v/>
      </c>
      <c r="AI648">
        <f t="shared" si="80"/>
        <v>0</v>
      </c>
      <c r="AJ648">
        <f t="shared" si="81"/>
        <v>0</v>
      </c>
      <c r="AK648">
        <v>0</v>
      </c>
      <c r="AL648" t="str">
        <f>IF(AA648="","",IFERROR(IF(ISNUMBER('Procyflo 27TC'!E149),'Procyflo 27TC'!E149,IF(ISNUMBER(SEARCH("12",'Procyflo 27TC'!E149)),EDATE(AB648,12),IF(ISNUMBER(SEARCH("6",'Procyflo 27TC'!E149)),EDATE(AB648,6),IF(ISNUMBER(SEARCH("3",'Procyflo 27TC'!E149)),EDATE(AB648,3),DATEVALUE('Procyflo 27TC'!E149))))),""))</f>
        <v/>
      </c>
      <c r="AM648" t="str">
        <f t="shared" ca="1" si="82"/>
        <v/>
      </c>
    </row>
    <row r="649" spans="27:39" x14ac:dyDescent="0.3">
      <c r="AA649" t="str">
        <f>IF(COUNTA('Procyflo 27TC'!B150,'Procyflo 27TC'!C150,'Procyflo 27TC'!D150)&gt;0,"27TC","")</f>
        <v/>
      </c>
      <c r="AB649" t="str">
        <f>IFERROR(IF(ISNUMBER('Procyflo 27TC'!B150),'Procyflo 27TC'!B150,DATEVALUE('Procyflo 27TC'!B150)),"")</f>
        <v/>
      </c>
      <c r="AC649" t="str">
        <f>IF(AA649="","",'Procyflo 27TC'!C150)</f>
        <v/>
      </c>
      <c r="AD649" t="str">
        <f>IF(AA649="","",IFERROR(1*'Procyflo 27TC'!D150,IFERROR(_xludf.NUMBERVALUE('Procyflo 27TC'!D150,".",","),IFERROR(_xludf.NUMBERVALUE('Procyflo 27TC'!D150,",","."),0))))</f>
        <v/>
      </c>
      <c r="AE649" t="str">
        <f>IF(AA649="","",'Procyflo 27TC'!N150)</f>
        <v/>
      </c>
      <c r="AF649">
        <f t="shared" si="77"/>
        <v>0</v>
      </c>
      <c r="AG649" t="str">
        <f t="shared" si="78"/>
        <v/>
      </c>
      <c r="AH649" t="str">
        <f t="shared" si="79"/>
        <v/>
      </c>
      <c r="AI649">
        <f t="shared" si="80"/>
        <v>0</v>
      </c>
      <c r="AJ649">
        <f t="shared" si="81"/>
        <v>0</v>
      </c>
      <c r="AK649">
        <v>0</v>
      </c>
      <c r="AL649" t="str">
        <f>IF(AA649="","",IFERROR(IF(ISNUMBER('Procyflo 27TC'!E150),'Procyflo 27TC'!E150,IF(ISNUMBER(SEARCH("12",'Procyflo 27TC'!E150)),EDATE(AB649,12),IF(ISNUMBER(SEARCH("6",'Procyflo 27TC'!E150)),EDATE(AB649,6),IF(ISNUMBER(SEARCH("3",'Procyflo 27TC'!E150)),EDATE(AB649,3),DATEVALUE('Procyflo 27TC'!E150))))),""))</f>
        <v/>
      </c>
      <c r="AM649" t="str">
        <f t="shared" ca="1" si="82"/>
        <v/>
      </c>
    </row>
    <row r="650" spans="27:39" x14ac:dyDescent="0.3">
      <c r="AA650" t="str">
        <f>IF(COUNTA('Procyflo 27TC'!B151,'Procyflo 27TC'!C151,'Procyflo 27TC'!D151)&gt;0,"27TC","")</f>
        <v/>
      </c>
      <c r="AB650" t="str">
        <f>IFERROR(IF(ISNUMBER('Procyflo 27TC'!B151),'Procyflo 27TC'!B151,DATEVALUE('Procyflo 27TC'!B151)),"")</f>
        <v/>
      </c>
      <c r="AC650" t="str">
        <f>IF(AA650="","",'Procyflo 27TC'!C151)</f>
        <v/>
      </c>
      <c r="AD650" t="str">
        <f>IF(AA650="","",IFERROR(1*'Procyflo 27TC'!D151,IFERROR(_xludf.NUMBERVALUE('Procyflo 27TC'!D151,".",","),IFERROR(_xludf.NUMBERVALUE('Procyflo 27TC'!D151,",","."),0))))</f>
        <v/>
      </c>
      <c r="AE650" t="str">
        <f>IF(AA650="","",'Procyflo 27TC'!N151)</f>
        <v/>
      </c>
      <c r="AF650">
        <f t="shared" si="77"/>
        <v>0</v>
      </c>
      <c r="AG650" t="str">
        <f t="shared" si="78"/>
        <v/>
      </c>
      <c r="AH650" t="str">
        <f t="shared" si="79"/>
        <v/>
      </c>
      <c r="AI650">
        <f t="shared" si="80"/>
        <v>0</v>
      </c>
      <c r="AJ650">
        <f t="shared" si="81"/>
        <v>0</v>
      </c>
      <c r="AK650">
        <v>0</v>
      </c>
      <c r="AL650" t="str">
        <f>IF(AA650="","",IFERROR(IF(ISNUMBER('Procyflo 27TC'!E151),'Procyflo 27TC'!E151,IF(ISNUMBER(SEARCH("12",'Procyflo 27TC'!E151)),EDATE(AB650,12),IF(ISNUMBER(SEARCH("6",'Procyflo 27TC'!E151)),EDATE(AB650,6),IF(ISNUMBER(SEARCH("3",'Procyflo 27TC'!E151)),EDATE(AB650,3),DATEVALUE('Procyflo 27TC'!E151))))),""))</f>
        <v/>
      </c>
      <c r="AM650" t="str">
        <f t="shared" ca="1" si="82"/>
        <v/>
      </c>
    </row>
    <row r="651" spans="27:39" x14ac:dyDescent="0.3">
      <c r="AA651" t="str">
        <f>IF(COUNTA('Procyflo 27TC'!B152,'Procyflo 27TC'!C152,'Procyflo 27TC'!D152)&gt;0,"27TC","")</f>
        <v/>
      </c>
      <c r="AB651" t="str">
        <f>IFERROR(IF(ISNUMBER('Procyflo 27TC'!B152),'Procyflo 27TC'!B152,DATEVALUE('Procyflo 27TC'!B152)),"")</f>
        <v/>
      </c>
      <c r="AC651" t="str">
        <f>IF(AA651="","",'Procyflo 27TC'!C152)</f>
        <v/>
      </c>
      <c r="AD651" t="str">
        <f>IF(AA651="","",IFERROR(1*'Procyflo 27TC'!D152,IFERROR(_xludf.NUMBERVALUE('Procyflo 27TC'!D152,".",","),IFERROR(_xludf.NUMBERVALUE('Procyflo 27TC'!D152,",","."),0))))</f>
        <v/>
      </c>
      <c r="AE651" t="str">
        <f>IF(AA651="","",'Procyflo 27TC'!N152)</f>
        <v/>
      </c>
      <c r="AF651">
        <f t="shared" si="77"/>
        <v>0</v>
      </c>
      <c r="AG651" t="str">
        <f t="shared" si="78"/>
        <v/>
      </c>
      <c r="AH651" t="str">
        <f t="shared" si="79"/>
        <v/>
      </c>
      <c r="AI651">
        <f t="shared" si="80"/>
        <v>0</v>
      </c>
      <c r="AJ651">
        <f t="shared" si="81"/>
        <v>0</v>
      </c>
      <c r="AK651">
        <v>0</v>
      </c>
      <c r="AL651" t="str">
        <f>IF(AA651="","",IFERROR(IF(ISNUMBER('Procyflo 27TC'!E152),'Procyflo 27TC'!E152,IF(ISNUMBER(SEARCH("12",'Procyflo 27TC'!E152)),EDATE(AB651,12),IF(ISNUMBER(SEARCH("6",'Procyflo 27TC'!E152)),EDATE(AB651,6),IF(ISNUMBER(SEARCH("3",'Procyflo 27TC'!E152)),EDATE(AB651,3),DATEVALUE('Procyflo 27TC'!E152))))),""))</f>
        <v/>
      </c>
      <c r="AM651" t="str">
        <f t="shared" ca="1" si="82"/>
        <v/>
      </c>
    </row>
    <row r="652" spans="27:39" x14ac:dyDescent="0.3">
      <c r="AA652" t="str">
        <f>IF(COUNTA('Procyflo 27TC'!B153,'Procyflo 27TC'!C153,'Procyflo 27TC'!D153)&gt;0,"27TC","")</f>
        <v/>
      </c>
      <c r="AB652" t="str">
        <f>IFERROR(IF(ISNUMBER('Procyflo 27TC'!B153),'Procyflo 27TC'!B153,DATEVALUE('Procyflo 27TC'!B153)),"")</f>
        <v/>
      </c>
      <c r="AC652" t="str">
        <f>IF(AA652="","",'Procyflo 27TC'!C153)</f>
        <v/>
      </c>
      <c r="AD652" t="str">
        <f>IF(AA652="","",IFERROR(1*'Procyflo 27TC'!D153,IFERROR(_xludf.NUMBERVALUE('Procyflo 27TC'!D153,".",","),IFERROR(_xludf.NUMBERVALUE('Procyflo 27TC'!D153,",","."),0))))</f>
        <v/>
      </c>
      <c r="AE652" t="str">
        <f>IF(AA652="","",'Procyflo 27TC'!N153)</f>
        <v/>
      </c>
      <c r="AF652">
        <f t="shared" si="77"/>
        <v>0</v>
      </c>
      <c r="AG652" t="str">
        <f t="shared" si="78"/>
        <v/>
      </c>
      <c r="AH652" t="str">
        <f t="shared" si="79"/>
        <v/>
      </c>
      <c r="AI652">
        <f t="shared" si="80"/>
        <v>0</v>
      </c>
      <c r="AJ652">
        <f t="shared" si="81"/>
        <v>0</v>
      </c>
      <c r="AK652">
        <v>0</v>
      </c>
      <c r="AL652" t="str">
        <f>IF(AA652="","",IFERROR(IF(ISNUMBER('Procyflo 27TC'!E153),'Procyflo 27TC'!E153,IF(ISNUMBER(SEARCH("12",'Procyflo 27TC'!E153)),EDATE(AB652,12),IF(ISNUMBER(SEARCH("6",'Procyflo 27TC'!E153)),EDATE(AB652,6),IF(ISNUMBER(SEARCH("3",'Procyflo 27TC'!E153)),EDATE(AB652,3),DATEVALUE('Procyflo 27TC'!E153))))),""))</f>
        <v/>
      </c>
      <c r="AM652" t="str">
        <f t="shared" ca="1" si="82"/>
        <v/>
      </c>
    </row>
    <row r="653" spans="27:39" x14ac:dyDescent="0.3">
      <c r="AA653" t="str">
        <f>IF(COUNTA('Procyflo 27TC'!B154,'Procyflo 27TC'!C154,'Procyflo 27TC'!D154)&gt;0,"27TC","")</f>
        <v/>
      </c>
      <c r="AB653" t="str">
        <f>IFERROR(IF(ISNUMBER('Procyflo 27TC'!B154),'Procyflo 27TC'!B154,DATEVALUE('Procyflo 27TC'!B154)),"")</f>
        <v/>
      </c>
      <c r="AC653" t="str">
        <f>IF(AA653="","",'Procyflo 27TC'!C154)</f>
        <v/>
      </c>
      <c r="AD653" t="str">
        <f>IF(AA653="","",IFERROR(1*'Procyflo 27TC'!D154,IFERROR(_xludf.NUMBERVALUE('Procyflo 27TC'!D154,".",","),IFERROR(_xludf.NUMBERVALUE('Procyflo 27TC'!D154,",","."),0))))</f>
        <v/>
      </c>
      <c r="AE653" t="str">
        <f>IF(AA653="","",'Procyflo 27TC'!N154)</f>
        <v/>
      </c>
      <c r="AF653">
        <f t="shared" si="77"/>
        <v>0</v>
      </c>
      <c r="AG653" t="str">
        <f t="shared" si="78"/>
        <v/>
      </c>
      <c r="AH653" t="str">
        <f t="shared" si="79"/>
        <v/>
      </c>
      <c r="AI653">
        <f t="shared" si="80"/>
        <v>0</v>
      </c>
      <c r="AJ653">
        <f t="shared" si="81"/>
        <v>0</v>
      </c>
      <c r="AK653">
        <v>0</v>
      </c>
      <c r="AL653" t="str">
        <f>IF(AA653="","",IFERROR(IF(ISNUMBER('Procyflo 27TC'!E154),'Procyflo 27TC'!E154,IF(ISNUMBER(SEARCH("12",'Procyflo 27TC'!E154)),EDATE(AB653,12),IF(ISNUMBER(SEARCH("6",'Procyflo 27TC'!E154)),EDATE(AB653,6),IF(ISNUMBER(SEARCH("3",'Procyflo 27TC'!E154)),EDATE(AB653,3),DATEVALUE('Procyflo 27TC'!E154))))),""))</f>
        <v/>
      </c>
      <c r="AM653" t="str">
        <f t="shared" ca="1" si="82"/>
        <v/>
      </c>
    </row>
    <row r="654" spans="27:39" x14ac:dyDescent="0.3">
      <c r="AA654" t="str">
        <f>IF(COUNTA('Procyflo 27TC'!B155,'Procyflo 27TC'!C155,'Procyflo 27TC'!D155)&gt;0,"27TC","")</f>
        <v/>
      </c>
      <c r="AB654" t="str">
        <f>IFERROR(IF(ISNUMBER('Procyflo 27TC'!B155),'Procyflo 27TC'!B155,DATEVALUE('Procyflo 27TC'!B155)),"")</f>
        <v/>
      </c>
      <c r="AC654" t="str">
        <f>IF(AA654="","",'Procyflo 27TC'!C155)</f>
        <v/>
      </c>
      <c r="AD654" t="str">
        <f>IF(AA654="","",IFERROR(1*'Procyflo 27TC'!D155,IFERROR(_xludf.NUMBERVALUE('Procyflo 27TC'!D155,".",","),IFERROR(_xludf.NUMBERVALUE('Procyflo 27TC'!D155,",","."),0))))</f>
        <v/>
      </c>
      <c r="AE654" t="str">
        <f>IF(AA654="","",'Procyflo 27TC'!N155)</f>
        <v/>
      </c>
      <c r="AF654">
        <f t="shared" si="77"/>
        <v>0</v>
      </c>
      <c r="AG654" t="str">
        <f t="shared" si="78"/>
        <v/>
      </c>
      <c r="AH654" t="str">
        <f t="shared" si="79"/>
        <v/>
      </c>
      <c r="AI654">
        <f t="shared" si="80"/>
        <v>0</v>
      </c>
      <c r="AJ654">
        <f t="shared" si="81"/>
        <v>0</v>
      </c>
      <c r="AK654">
        <v>0</v>
      </c>
      <c r="AL654" t="str">
        <f>IF(AA654="","",IFERROR(IF(ISNUMBER('Procyflo 27TC'!E155),'Procyflo 27TC'!E155,IF(ISNUMBER(SEARCH("12",'Procyflo 27TC'!E155)),EDATE(AB654,12),IF(ISNUMBER(SEARCH("6",'Procyflo 27TC'!E155)),EDATE(AB654,6),IF(ISNUMBER(SEARCH("3",'Procyflo 27TC'!E155)),EDATE(AB654,3),DATEVALUE('Procyflo 27TC'!E155))))),""))</f>
        <v/>
      </c>
      <c r="AM654" t="str">
        <f t="shared" ca="1" si="82"/>
        <v/>
      </c>
    </row>
    <row r="655" spans="27:39" x14ac:dyDescent="0.3">
      <c r="AA655" t="str">
        <f>IF(COUNTA('Procyflo 27TC'!B156,'Procyflo 27TC'!C156,'Procyflo 27TC'!D156)&gt;0,"27TC","")</f>
        <v/>
      </c>
      <c r="AB655" t="str">
        <f>IFERROR(IF(ISNUMBER('Procyflo 27TC'!B156),'Procyflo 27TC'!B156,DATEVALUE('Procyflo 27TC'!B156)),"")</f>
        <v/>
      </c>
      <c r="AC655" t="str">
        <f>IF(AA655="","",'Procyflo 27TC'!C156)</f>
        <v/>
      </c>
      <c r="AD655" t="str">
        <f>IF(AA655="","",IFERROR(1*'Procyflo 27TC'!D156,IFERROR(_xludf.NUMBERVALUE('Procyflo 27TC'!D156,".",","),IFERROR(_xludf.NUMBERVALUE('Procyflo 27TC'!D156,",","."),0))))</f>
        <v/>
      </c>
      <c r="AE655" t="str">
        <f>IF(AA655="","",'Procyflo 27TC'!N156)</f>
        <v/>
      </c>
      <c r="AF655">
        <f t="shared" si="77"/>
        <v>0</v>
      </c>
      <c r="AG655" t="str">
        <f t="shared" si="78"/>
        <v/>
      </c>
      <c r="AH655" t="str">
        <f t="shared" si="79"/>
        <v/>
      </c>
      <c r="AI655">
        <f t="shared" si="80"/>
        <v>0</v>
      </c>
      <c r="AJ655">
        <f t="shared" si="81"/>
        <v>0</v>
      </c>
      <c r="AK655">
        <v>0</v>
      </c>
      <c r="AL655" t="str">
        <f>IF(AA655="","",IFERROR(IF(ISNUMBER('Procyflo 27TC'!E156),'Procyflo 27TC'!E156,IF(ISNUMBER(SEARCH("12",'Procyflo 27TC'!E156)),EDATE(AB655,12),IF(ISNUMBER(SEARCH("6",'Procyflo 27TC'!E156)),EDATE(AB655,6),IF(ISNUMBER(SEARCH("3",'Procyflo 27TC'!E156)),EDATE(AB655,3),DATEVALUE('Procyflo 27TC'!E156))))),""))</f>
        <v/>
      </c>
      <c r="AM655" t="str">
        <f t="shared" ca="1" si="82"/>
        <v/>
      </c>
    </row>
    <row r="656" spans="27:39" x14ac:dyDescent="0.3">
      <c r="AA656" t="str">
        <f>IF(COUNTA('Procyflo 27TC'!B157,'Procyflo 27TC'!C157,'Procyflo 27TC'!D157)&gt;0,"27TC","")</f>
        <v/>
      </c>
      <c r="AB656" t="str">
        <f>IFERROR(IF(ISNUMBER('Procyflo 27TC'!B157),'Procyflo 27TC'!B157,DATEVALUE('Procyflo 27TC'!B157)),"")</f>
        <v/>
      </c>
      <c r="AC656" t="str">
        <f>IF(AA656="","",'Procyflo 27TC'!C157)</f>
        <v/>
      </c>
      <c r="AD656" t="str">
        <f>IF(AA656="","",IFERROR(1*'Procyflo 27TC'!D157,IFERROR(_xludf.NUMBERVALUE('Procyflo 27TC'!D157,".",","),IFERROR(_xludf.NUMBERVALUE('Procyflo 27TC'!D157,",","."),0))))</f>
        <v/>
      </c>
      <c r="AE656" t="str">
        <f>IF(AA656="","",'Procyflo 27TC'!N157)</f>
        <v/>
      </c>
      <c r="AF656">
        <f t="shared" si="77"/>
        <v>0</v>
      </c>
      <c r="AG656" t="str">
        <f t="shared" si="78"/>
        <v/>
      </c>
      <c r="AH656" t="str">
        <f t="shared" si="79"/>
        <v/>
      </c>
      <c r="AI656">
        <f t="shared" si="80"/>
        <v>0</v>
      </c>
      <c r="AJ656">
        <f t="shared" si="81"/>
        <v>0</v>
      </c>
      <c r="AK656">
        <v>0</v>
      </c>
      <c r="AL656" t="str">
        <f>IF(AA656="","",IFERROR(IF(ISNUMBER('Procyflo 27TC'!E157),'Procyflo 27TC'!E157,IF(ISNUMBER(SEARCH("12",'Procyflo 27TC'!E157)),EDATE(AB656,12),IF(ISNUMBER(SEARCH("6",'Procyflo 27TC'!E157)),EDATE(AB656,6),IF(ISNUMBER(SEARCH("3",'Procyflo 27TC'!E157)),EDATE(AB656,3),DATEVALUE('Procyflo 27TC'!E157))))),""))</f>
        <v/>
      </c>
      <c r="AM656" t="str">
        <f t="shared" ca="1" si="82"/>
        <v/>
      </c>
    </row>
    <row r="657" spans="27:39" x14ac:dyDescent="0.3">
      <c r="AA657" t="str">
        <f>IF(COUNTA('Procyflo 27TC'!B158,'Procyflo 27TC'!C158,'Procyflo 27TC'!D158)&gt;0,"27TC","")</f>
        <v/>
      </c>
      <c r="AB657" t="str">
        <f>IFERROR(IF(ISNUMBER('Procyflo 27TC'!B158),'Procyflo 27TC'!B158,DATEVALUE('Procyflo 27TC'!B158)),"")</f>
        <v/>
      </c>
      <c r="AC657" t="str">
        <f>IF(AA657="","",'Procyflo 27TC'!C158)</f>
        <v/>
      </c>
      <c r="AD657" t="str">
        <f>IF(AA657="","",IFERROR(1*'Procyflo 27TC'!D158,IFERROR(_xludf.NUMBERVALUE('Procyflo 27TC'!D158,".",","),IFERROR(_xludf.NUMBERVALUE('Procyflo 27TC'!D158,",","."),0))))</f>
        <v/>
      </c>
      <c r="AE657" t="str">
        <f>IF(AA657="","",'Procyflo 27TC'!N158)</f>
        <v/>
      </c>
      <c r="AF657">
        <f t="shared" si="77"/>
        <v>0</v>
      </c>
      <c r="AG657" t="str">
        <f t="shared" si="78"/>
        <v/>
      </c>
      <c r="AH657" t="str">
        <f t="shared" si="79"/>
        <v/>
      </c>
      <c r="AI657">
        <f t="shared" si="80"/>
        <v>0</v>
      </c>
      <c r="AJ657">
        <f t="shared" si="81"/>
        <v>0</v>
      </c>
      <c r="AK657">
        <v>0</v>
      </c>
      <c r="AL657" t="str">
        <f>IF(AA657="","",IFERROR(IF(ISNUMBER('Procyflo 27TC'!E158),'Procyflo 27TC'!E158,IF(ISNUMBER(SEARCH("12",'Procyflo 27TC'!E158)),EDATE(AB657,12),IF(ISNUMBER(SEARCH("6",'Procyflo 27TC'!E158)),EDATE(AB657,6),IF(ISNUMBER(SEARCH("3",'Procyflo 27TC'!E158)),EDATE(AB657,3),DATEVALUE('Procyflo 27TC'!E158))))),""))</f>
        <v/>
      </c>
      <c r="AM657" t="str">
        <f t="shared" ca="1" si="82"/>
        <v/>
      </c>
    </row>
    <row r="658" spans="27:39" x14ac:dyDescent="0.3">
      <c r="AA658" t="str">
        <f>IF(COUNTA('Procyflo 27TC'!B159,'Procyflo 27TC'!C159,'Procyflo 27TC'!D159)&gt;0,"27TC","")</f>
        <v/>
      </c>
      <c r="AB658" t="str">
        <f>IFERROR(IF(ISNUMBER('Procyflo 27TC'!B159),'Procyflo 27TC'!B159,DATEVALUE('Procyflo 27TC'!B159)),"")</f>
        <v/>
      </c>
      <c r="AC658" t="str">
        <f>IF(AA658="","",'Procyflo 27TC'!C159)</f>
        <v/>
      </c>
      <c r="AD658" t="str">
        <f>IF(AA658="","",IFERROR(1*'Procyflo 27TC'!D159,IFERROR(_xludf.NUMBERVALUE('Procyflo 27TC'!D159,".",","),IFERROR(_xludf.NUMBERVALUE('Procyflo 27TC'!D159,",","."),0))))</f>
        <v/>
      </c>
      <c r="AE658" t="str">
        <f>IF(AA658="","",'Procyflo 27TC'!N159)</f>
        <v/>
      </c>
      <c r="AF658">
        <f t="shared" si="77"/>
        <v>0</v>
      </c>
      <c r="AG658" t="str">
        <f t="shared" si="78"/>
        <v/>
      </c>
      <c r="AH658" t="str">
        <f t="shared" si="79"/>
        <v/>
      </c>
      <c r="AI658">
        <f t="shared" si="80"/>
        <v>0</v>
      </c>
      <c r="AJ658">
        <f t="shared" si="81"/>
        <v>0</v>
      </c>
      <c r="AK658">
        <v>0</v>
      </c>
      <c r="AL658" t="str">
        <f>IF(AA658="","",IFERROR(IF(ISNUMBER('Procyflo 27TC'!E159),'Procyflo 27TC'!E159,IF(ISNUMBER(SEARCH("12",'Procyflo 27TC'!E159)),EDATE(AB658,12),IF(ISNUMBER(SEARCH("6",'Procyflo 27TC'!E159)),EDATE(AB658,6),IF(ISNUMBER(SEARCH("3",'Procyflo 27TC'!E159)),EDATE(AB658,3),DATEVALUE('Procyflo 27TC'!E159))))),""))</f>
        <v/>
      </c>
      <c r="AM658" t="str">
        <f t="shared" ca="1" si="82"/>
        <v/>
      </c>
    </row>
    <row r="659" spans="27:39" x14ac:dyDescent="0.3">
      <c r="AA659" t="str">
        <f>IF(COUNTA('Procyflo 27TC'!B160,'Procyflo 27TC'!C160,'Procyflo 27TC'!D160)&gt;0,"27TC","")</f>
        <v/>
      </c>
      <c r="AB659" t="str">
        <f>IFERROR(IF(ISNUMBER('Procyflo 27TC'!B160),'Procyflo 27TC'!B160,DATEVALUE('Procyflo 27TC'!B160)),"")</f>
        <v/>
      </c>
      <c r="AC659" t="str">
        <f>IF(AA659="","",'Procyflo 27TC'!C160)</f>
        <v/>
      </c>
      <c r="AD659" t="str">
        <f>IF(AA659="","",IFERROR(1*'Procyflo 27TC'!D160,IFERROR(_xludf.NUMBERVALUE('Procyflo 27TC'!D160,".",","),IFERROR(_xludf.NUMBERVALUE('Procyflo 27TC'!D160,",","."),0))))</f>
        <v/>
      </c>
      <c r="AE659" t="str">
        <f>IF(AA659="","",'Procyflo 27TC'!N160)</f>
        <v/>
      </c>
      <c r="AF659">
        <f t="shared" si="77"/>
        <v>0</v>
      </c>
      <c r="AG659" t="str">
        <f t="shared" si="78"/>
        <v/>
      </c>
      <c r="AH659" t="str">
        <f t="shared" si="79"/>
        <v/>
      </c>
      <c r="AI659">
        <f t="shared" si="80"/>
        <v>0</v>
      </c>
      <c r="AJ659">
        <f t="shared" si="81"/>
        <v>0</v>
      </c>
      <c r="AK659">
        <v>0</v>
      </c>
      <c r="AL659" t="str">
        <f>IF(AA659="","",IFERROR(IF(ISNUMBER('Procyflo 27TC'!E160),'Procyflo 27TC'!E160,IF(ISNUMBER(SEARCH("12",'Procyflo 27TC'!E160)),EDATE(AB659,12),IF(ISNUMBER(SEARCH("6",'Procyflo 27TC'!E160)),EDATE(AB659,6),IF(ISNUMBER(SEARCH("3",'Procyflo 27TC'!E160)),EDATE(AB659,3),DATEVALUE('Procyflo 27TC'!E160))))),""))</f>
        <v/>
      </c>
      <c r="AM659" t="str">
        <f t="shared" ca="1" si="82"/>
        <v/>
      </c>
    </row>
    <row r="660" spans="27:39" x14ac:dyDescent="0.3">
      <c r="AA660" t="str">
        <f>IF(COUNTA('Procyflo 27TC'!B161,'Procyflo 27TC'!C161,'Procyflo 27TC'!D161)&gt;0,"27TC","")</f>
        <v/>
      </c>
      <c r="AB660" t="str">
        <f>IFERROR(IF(ISNUMBER('Procyflo 27TC'!B161),'Procyflo 27TC'!B161,DATEVALUE('Procyflo 27TC'!B161)),"")</f>
        <v/>
      </c>
      <c r="AC660" t="str">
        <f>IF(AA660="","",'Procyflo 27TC'!C161)</f>
        <v/>
      </c>
      <c r="AD660" t="str">
        <f>IF(AA660="","",IFERROR(1*'Procyflo 27TC'!D161,IFERROR(_xludf.NUMBERVALUE('Procyflo 27TC'!D161,".",","),IFERROR(_xludf.NUMBERVALUE('Procyflo 27TC'!D161,",","."),0))))</f>
        <v/>
      </c>
      <c r="AE660" t="str">
        <f>IF(AA660="","",'Procyflo 27TC'!N161)</f>
        <v/>
      </c>
      <c r="AF660">
        <f t="shared" si="77"/>
        <v>0</v>
      </c>
      <c r="AG660" t="str">
        <f t="shared" si="78"/>
        <v/>
      </c>
      <c r="AH660" t="str">
        <f t="shared" si="79"/>
        <v/>
      </c>
      <c r="AI660">
        <f t="shared" si="80"/>
        <v>0</v>
      </c>
      <c r="AJ660">
        <f t="shared" si="81"/>
        <v>0</v>
      </c>
      <c r="AK660">
        <v>0</v>
      </c>
      <c r="AL660" t="str">
        <f>IF(AA660="","",IFERROR(IF(ISNUMBER('Procyflo 27TC'!E161),'Procyflo 27TC'!E161,IF(ISNUMBER(SEARCH("12",'Procyflo 27TC'!E161)),EDATE(AB660,12),IF(ISNUMBER(SEARCH("6",'Procyflo 27TC'!E161)),EDATE(AB660,6),IF(ISNUMBER(SEARCH("3",'Procyflo 27TC'!E161)),EDATE(AB660,3),DATEVALUE('Procyflo 27TC'!E161))))),""))</f>
        <v/>
      </c>
      <c r="AM660" t="str">
        <f t="shared" ca="1" si="82"/>
        <v/>
      </c>
    </row>
    <row r="661" spans="27:39" x14ac:dyDescent="0.3">
      <c r="AA661" t="str">
        <f>IF(COUNTA('Procyflo 27TC'!B162,'Procyflo 27TC'!C162,'Procyflo 27TC'!D162)&gt;0,"27TC","")</f>
        <v/>
      </c>
      <c r="AB661" t="str">
        <f>IFERROR(IF(ISNUMBER('Procyflo 27TC'!B162),'Procyflo 27TC'!B162,DATEVALUE('Procyflo 27TC'!B162)),"")</f>
        <v/>
      </c>
      <c r="AC661" t="str">
        <f>IF(AA661="","",'Procyflo 27TC'!C162)</f>
        <v/>
      </c>
      <c r="AD661" t="str">
        <f>IF(AA661="","",IFERROR(1*'Procyflo 27TC'!D162,IFERROR(_xludf.NUMBERVALUE('Procyflo 27TC'!D162,".",","),IFERROR(_xludf.NUMBERVALUE('Procyflo 27TC'!D162,",","."),0))))</f>
        <v/>
      </c>
      <c r="AE661" t="str">
        <f>IF(AA661="","",'Procyflo 27TC'!N162)</f>
        <v/>
      </c>
      <c r="AF661">
        <f t="shared" si="77"/>
        <v>0</v>
      </c>
      <c r="AG661" t="str">
        <f t="shared" si="78"/>
        <v/>
      </c>
      <c r="AH661" t="str">
        <f t="shared" si="79"/>
        <v/>
      </c>
      <c r="AI661">
        <f t="shared" si="80"/>
        <v>0</v>
      </c>
      <c r="AJ661">
        <f t="shared" si="81"/>
        <v>0</v>
      </c>
      <c r="AK661">
        <v>0</v>
      </c>
      <c r="AL661" t="str">
        <f>IF(AA661="","",IFERROR(IF(ISNUMBER('Procyflo 27TC'!E162),'Procyflo 27TC'!E162,IF(ISNUMBER(SEARCH("12",'Procyflo 27TC'!E162)),EDATE(AB661,12),IF(ISNUMBER(SEARCH("6",'Procyflo 27TC'!E162)),EDATE(AB661,6),IF(ISNUMBER(SEARCH("3",'Procyflo 27TC'!E162)),EDATE(AB661,3),DATEVALUE('Procyflo 27TC'!E162))))),""))</f>
        <v/>
      </c>
      <c r="AM661" t="str">
        <f t="shared" ca="1" si="82"/>
        <v/>
      </c>
    </row>
    <row r="662" spans="27:39" x14ac:dyDescent="0.3">
      <c r="AA662" t="str">
        <f>IF(COUNTA('Procyflo 27TC'!B163,'Procyflo 27TC'!C163,'Procyflo 27TC'!D163)&gt;0,"27TC","")</f>
        <v/>
      </c>
      <c r="AB662" t="str">
        <f>IFERROR(IF(ISNUMBER('Procyflo 27TC'!B163),'Procyflo 27TC'!B163,DATEVALUE('Procyflo 27TC'!B163)),"")</f>
        <v/>
      </c>
      <c r="AC662" t="str">
        <f>IF(AA662="","",'Procyflo 27TC'!C163)</f>
        <v/>
      </c>
      <c r="AD662" t="str">
        <f>IF(AA662="","",IFERROR(1*'Procyflo 27TC'!D163,IFERROR(_xludf.NUMBERVALUE('Procyflo 27TC'!D163,".",","),IFERROR(_xludf.NUMBERVALUE('Procyflo 27TC'!D163,",","."),0))))</f>
        <v/>
      </c>
      <c r="AE662" t="str">
        <f>IF(AA662="","",'Procyflo 27TC'!N163)</f>
        <v/>
      </c>
      <c r="AF662">
        <f t="shared" si="77"/>
        <v>0</v>
      </c>
      <c r="AG662" t="str">
        <f t="shared" si="78"/>
        <v/>
      </c>
      <c r="AH662" t="str">
        <f t="shared" si="79"/>
        <v/>
      </c>
      <c r="AI662">
        <f t="shared" si="80"/>
        <v>0</v>
      </c>
      <c r="AJ662">
        <f t="shared" si="81"/>
        <v>0</v>
      </c>
      <c r="AK662">
        <v>0</v>
      </c>
      <c r="AL662" t="str">
        <f>IF(AA662="","",IFERROR(IF(ISNUMBER('Procyflo 27TC'!E163),'Procyflo 27TC'!E163,IF(ISNUMBER(SEARCH("12",'Procyflo 27TC'!E163)),EDATE(AB662,12),IF(ISNUMBER(SEARCH("6",'Procyflo 27TC'!E163)),EDATE(AB662,6),IF(ISNUMBER(SEARCH("3",'Procyflo 27TC'!E163)),EDATE(AB662,3),DATEVALUE('Procyflo 27TC'!E163))))),""))</f>
        <v/>
      </c>
      <c r="AM662" t="str">
        <f t="shared" ca="1" si="82"/>
        <v/>
      </c>
    </row>
    <row r="663" spans="27:39" x14ac:dyDescent="0.3">
      <c r="AA663" t="str">
        <f>IF(COUNTA('Procyflo 27TC'!B164,'Procyflo 27TC'!C164,'Procyflo 27TC'!D164)&gt;0,"27TC","")</f>
        <v/>
      </c>
      <c r="AB663" t="str">
        <f>IFERROR(IF(ISNUMBER('Procyflo 27TC'!B164),'Procyflo 27TC'!B164,DATEVALUE('Procyflo 27TC'!B164)),"")</f>
        <v/>
      </c>
      <c r="AC663" t="str">
        <f>IF(AA663="","",'Procyflo 27TC'!C164)</f>
        <v/>
      </c>
      <c r="AD663" t="str">
        <f>IF(AA663="","",IFERROR(1*'Procyflo 27TC'!D164,IFERROR(_xludf.NUMBERVALUE('Procyflo 27TC'!D164,".",","),IFERROR(_xludf.NUMBERVALUE('Procyflo 27TC'!D164,",","."),0))))</f>
        <v/>
      </c>
      <c r="AE663" t="str">
        <f>IF(AA663="","",'Procyflo 27TC'!N164)</f>
        <v/>
      </c>
      <c r="AF663">
        <f t="shared" si="77"/>
        <v>0</v>
      </c>
      <c r="AG663" t="str">
        <f t="shared" si="78"/>
        <v/>
      </c>
      <c r="AH663" t="str">
        <f t="shared" si="79"/>
        <v/>
      </c>
      <c r="AI663">
        <f t="shared" si="80"/>
        <v>0</v>
      </c>
      <c r="AJ663">
        <f t="shared" si="81"/>
        <v>0</v>
      </c>
      <c r="AK663">
        <v>0</v>
      </c>
      <c r="AL663" t="str">
        <f>IF(AA663="","",IFERROR(IF(ISNUMBER('Procyflo 27TC'!E164),'Procyflo 27TC'!E164,IF(ISNUMBER(SEARCH("12",'Procyflo 27TC'!E164)),EDATE(AB663,12),IF(ISNUMBER(SEARCH("6",'Procyflo 27TC'!E164)),EDATE(AB663,6),IF(ISNUMBER(SEARCH("3",'Procyflo 27TC'!E164)),EDATE(AB663,3),DATEVALUE('Procyflo 27TC'!E164))))),""))</f>
        <v/>
      </c>
      <c r="AM663" t="str">
        <f t="shared" ca="1" si="82"/>
        <v/>
      </c>
    </row>
    <row r="664" spans="27:39" x14ac:dyDescent="0.3">
      <c r="AA664" t="str">
        <f>IF(COUNTA('Procyflo 27TC'!B165,'Procyflo 27TC'!C165,'Procyflo 27TC'!D165)&gt;0,"27TC","")</f>
        <v/>
      </c>
      <c r="AB664" t="str">
        <f>IFERROR(IF(ISNUMBER('Procyflo 27TC'!B165),'Procyflo 27TC'!B165,DATEVALUE('Procyflo 27TC'!B165)),"")</f>
        <v/>
      </c>
      <c r="AC664" t="str">
        <f>IF(AA664="","",'Procyflo 27TC'!C165)</f>
        <v/>
      </c>
      <c r="AD664" t="str">
        <f>IF(AA664="","",IFERROR(1*'Procyflo 27TC'!D165,IFERROR(_xludf.NUMBERVALUE('Procyflo 27TC'!D165,".",","),IFERROR(_xludf.NUMBERVALUE('Procyflo 27TC'!D165,",","."),0))))</f>
        <v/>
      </c>
      <c r="AE664" t="str">
        <f>IF(AA664="","",'Procyflo 27TC'!N165)</f>
        <v/>
      </c>
      <c r="AF664">
        <f t="shared" si="77"/>
        <v>0</v>
      </c>
      <c r="AG664" t="str">
        <f t="shared" si="78"/>
        <v/>
      </c>
      <c r="AH664" t="str">
        <f t="shared" si="79"/>
        <v/>
      </c>
      <c r="AI664">
        <f t="shared" si="80"/>
        <v>0</v>
      </c>
      <c r="AJ664">
        <f t="shared" si="81"/>
        <v>0</v>
      </c>
      <c r="AK664">
        <v>0</v>
      </c>
      <c r="AL664" t="str">
        <f>IF(AA664="","",IFERROR(IF(ISNUMBER('Procyflo 27TC'!E165),'Procyflo 27TC'!E165,IF(ISNUMBER(SEARCH("12",'Procyflo 27TC'!E165)),EDATE(AB664,12),IF(ISNUMBER(SEARCH("6",'Procyflo 27TC'!E165)),EDATE(AB664,6),IF(ISNUMBER(SEARCH("3",'Procyflo 27TC'!E165)),EDATE(AB664,3),DATEVALUE('Procyflo 27TC'!E165))))),""))</f>
        <v/>
      </c>
      <c r="AM664" t="str">
        <f t="shared" ca="1" si="82"/>
        <v/>
      </c>
    </row>
    <row r="665" spans="27:39" x14ac:dyDescent="0.3">
      <c r="AA665" t="str">
        <f>IF(COUNTA('Procyflo 27TC'!B166,'Procyflo 27TC'!C166,'Procyflo 27TC'!D166)&gt;0,"27TC","")</f>
        <v/>
      </c>
      <c r="AB665" t="str">
        <f>IFERROR(IF(ISNUMBER('Procyflo 27TC'!B166),'Procyflo 27TC'!B166,DATEVALUE('Procyflo 27TC'!B166)),"")</f>
        <v/>
      </c>
      <c r="AC665" t="str">
        <f>IF(AA665="","",'Procyflo 27TC'!C166)</f>
        <v/>
      </c>
      <c r="AD665" t="str">
        <f>IF(AA665="","",IFERROR(1*'Procyflo 27TC'!D166,IFERROR(_xludf.NUMBERVALUE('Procyflo 27TC'!D166,".",","),IFERROR(_xludf.NUMBERVALUE('Procyflo 27TC'!D166,",","."),0))))</f>
        <v/>
      </c>
      <c r="AE665" t="str">
        <f>IF(AA665="","",'Procyflo 27TC'!N166)</f>
        <v/>
      </c>
      <c r="AF665">
        <f t="shared" si="77"/>
        <v>0</v>
      </c>
      <c r="AG665" t="str">
        <f t="shared" si="78"/>
        <v/>
      </c>
      <c r="AH665" t="str">
        <f t="shared" si="79"/>
        <v/>
      </c>
      <c r="AI665">
        <f t="shared" si="80"/>
        <v>0</v>
      </c>
      <c r="AJ665">
        <f t="shared" si="81"/>
        <v>0</v>
      </c>
      <c r="AK665">
        <v>0</v>
      </c>
      <c r="AL665" t="str">
        <f>IF(AA665="","",IFERROR(IF(ISNUMBER('Procyflo 27TC'!E166),'Procyflo 27TC'!E166,IF(ISNUMBER(SEARCH("12",'Procyflo 27TC'!E166)),EDATE(AB665,12),IF(ISNUMBER(SEARCH("6",'Procyflo 27TC'!E166)),EDATE(AB665,6),IF(ISNUMBER(SEARCH("3",'Procyflo 27TC'!E166)),EDATE(AB665,3),DATEVALUE('Procyflo 27TC'!E166))))),""))</f>
        <v/>
      </c>
      <c r="AM665" t="str">
        <f t="shared" ca="1" si="82"/>
        <v/>
      </c>
    </row>
    <row r="666" spans="27:39" x14ac:dyDescent="0.3">
      <c r="AA666" t="str">
        <f>IF(COUNTA('Procyflo 27TC'!B167,'Procyflo 27TC'!C167,'Procyflo 27TC'!D167)&gt;0,"27TC","")</f>
        <v/>
      </c>
      <c r="AB666" t="str">
        <f>IFERROR(IF(ISNUMBER('Procyflo 27TC'!B167),'Procyflo 27TC'!B167,DATEVALUE('Procyflo 27TC'!B167)),"")</f>
        <v/>
      </c>
      <c r="AC666" t="str">
        <f>IF(AA666="","",'Procyflo 27TC'!C167)</f>
        <v/>
      </c>
      <c r="AD666" t="str">
        <f>IF(AA666="","",IFERROR(1*'Procyflo 27TC'!D167,IFERROR(_xludf.NUMBERVALUE('Procyflo 27TC'!D167,".",","),IFERROR(_xludf.NUMBERVALUE('Procyflo 27TC'!D167,",","."),0))))</f>
        <v/>
      </c>
      <c r="AE666" t="str">
        <f>IF(AA666="","",'Procyflo 27TC'!N167)</f>
        <v/>
      </c>
      <c r="AF666">
        <f t="shared" si="77"/>
        <v>0</v>
      </c>
      <c r="AG666" t="str">
        <f t="shared" si="78"/>
        <v/>
      </c>
      <c r="AH666" t="str">
        <f t="shared" si="79"/>
        <v/>
      </c>
      <c r="AI666">
        <f t="shared" si="80"/>
        <v>0</v>
      </c>
      <c r="AJ666">
        <f t="shared" si="81"/>
        <v>0</v>
      </c>
      <c r="AK666">
        <v>0</v>
      </c>
      <c r="AL666" t="str">
        <f>IF(AA666="","",IFERROR(IF(ISNUMBER('Procyflo 27TC'!E167),'Procyflo 27TC'!E167,IF(ISNUMBER(SEARCH("12",'Procyflo 27TC'!E167)),EDATE(AB666,12),IF(ISNUMBER(SEARCH("6",'Procyflo 27TC'!E167)),EDATE(AB666,6),IF(ISNUMBER(SEARCH("3",'Procyflo 27TC'!E167)),EDATE(AB666,3),DATEVALUE('Procyflo 27TC'!E167))))),""))</f>
        <v/>
      </c>
      <c r="AM666" t="str">
        <f t="shared" ca="1" si="82"/>
        <v/>
      </c>
    </row>
    <row r="667" spans="27:39" x14ac:dyDescent="0.3">
      <c r="AA667" t="str">
        <f>IF(COUNTA('Procyflo 27TC'!B168,'Procyflo 27TC'!C168,'Procyflo 27TC'!D168)&gt;0,"27TC","")</f>
        <v/>
      </c>
      <c r="AB667" t="str">
        <f>IFERROR(IF(ISNUMBER('Procyflo 27TC'!B168),'Procyflo 27TC'!B168,DATEVALUE('Procyflo 27TC'!B168)),"")</f>
        <v/>
      </c>
      <c r="AC667" t="str">
        <f>IF(AA667="","",'Procyflo 27TC'!C168)</f>
        <v/>
      </c>
      <c r="AD667" t="str">
        <f>IF(AA667="","",IFERROR(1*'Procyflo 27TC'!D168,IFERROR(_xludf.NUMBERVALUE('Procyflo 27TC'!D168,".",","),IFERROR(_xludf.NUMBERVALUE('Procyflo 27TC'!D168,",","."),0))))</f>
        <v/>
      </c>
      <c r="AE667" t="str">
        <f>IF(AA667="","",'Procyflo 27TC'!N168)</f>
        <v/>
      </c>
      <c r="AF667">
        <f t="shared" si="77"/>
        <v>0</v>
      </c>
      <c r="AG667" t="str">
        <f t="shared" si="78"/>
        <v/>
      </c>
      <c r="AH667" t="str">
        <f t="shared" si="79"/>
        <v/>
      </c>
      <c r="AI667">
        <f t="shared" si="80"/>
        <v>0</v>
      </c>
      <c r="AJ667">
        <f t="shared" si="81"/>
        <v>0</v>
      </c>
      <c r="AK667">
        <v>0</v>
      </c>
      <c r="AL667" t="str">
        <f>IF(AA667="","",IFERROR(IF(ISNUMBER('Procyflo 27TC'!E168),'Procyflo 27TC'!E168,IF(ISNUMBER(SEARCH("12",'Procyflo 27TC'!E168)),EDATE(AB667,12),IF(ISNUMBER(SEARCH("6",'Procyflo 27TC'!E168)),EDATE(AB667,6),IF(ISNUMBER(SEARCH("3",'Procyflo 27TC'!E168)),EDATE(AB667,3),DATEVALUE('Procyflo 27TC'!E168))))),""))</f>
        <v/>
      </c>
      <c r="AM667" t="str">
        <f t="shared" ca="1" si="82"/>
        <v/>
      </c>
    </row>
    <row r="668" spans="27:39" x14ac:dyDescent="0.3">
      <c r="AA668" t="str">
        <f>IF(COUNTA('Procyflo 27TC'!B169,'Procyflo 27TC'!C169,'Procyflo 27TC'!D169)&gt;0,"27TC","")</f>
        <v/>
      </c>
      <c r="AB668" t="str">
        <f>IFERROR(IF(ISNUMBER('Procyflo 27TC'!B169),'Procyflo 27TC'!B169,DATEVALUE('Procyflo 27TC'!B169)),"")</f>
        <v/>
      </c>
      <c r="AC668" t="str">
        <f>IF(AA668="","",'Procyflo 27TC'!C169)</f>
        <v/>
      </c>
      <c r="AD668" t="str">
        <f>IF(AA668="","",IFERROR(1*'Procyflo 27TC'!D169,IFERROR(_xludf.NUMBERVALUE('Procyflo 27TC'!D169,".",","),IFERROR(_xludf.NUMBERVALUE('Procyflo 27TC'!D169,",","."),0))))</f>
        <v/>
      </c>
      <c r="AE668" t="str">
        <f>IF(AA668="","",'Procyflo 27TC'!N169)</f>
        <v/>
      </c>
      <c r="AF668">
        <f t="shared" si="77"/>
        <v>0</v>
      </c>
      <c r="AG668" t="str">
        <f t="shared" si="78"/>
        <v/>
      </c>
      <c r="AH668" t="str">
        <f t="shared" si="79"/>
        <v/>
      </c>
      <c r="AI668">
        <f t="shared" si="80"/>
        <v>0</v>
      </c>
      <c r="AJ668">
        <f t="shared" si="81"/>
        <v>0</v>
      </c>
      <c r="AK668">
        <v>0</v>
      </c>
      <c r="AL668" t="str">
        <f>IF(AA668="","",IFERROR(IF(ISNUMBER('Procyflo 27TC'!E169),'Procyflo 27TC'!E169,IF(ISNUMBER(SEARCH("12",'Procyflo 27TC'!E169)),EDATE(AB668,12),IF(ISNUMBER(SEARCH("6",'Procyflo 27TC'!E169)),EDATE(AB668,6),IF(ISNUMBER(SEARCH("3",'Procyflo 27TC'!E169)),EDATE(AB668,3),DATEVALUE('Procyflo 27TC'!E169))))),""))</f>
        <v/>
      </c>
      <c r="AM668" t="str">
        <f t="shared" ca="1" si="82"/>
        <v/>
      </c>
    </row>
    <row r="669" spans="27:39" x14ac:dyDescent="0.3">
      <c r="AA669" t="str">
        <f>IF(COUNTA('Procyflo 27TC'!B170,'Procyflo 27TC'!C170,'Procyflo 27TC'!D170)&gt;0,"27TC","")</f>
        <v/>
      </c>
      <c r="AB669" t="str">
        <f>IFERROR(IF(ISNUMBER('Procyflo 27TC'!B170),'Procyflo 27TC'!B170,DATEVALUE('Procyflo 27TC'!B170)),"")</f>
        <v/>
      </c>
      <c r="AC669" t="str">
        <f>IF(AA669="","",'Procyflo 27TC'!C170)</f>
        <v/>
      </c>
      <c r="AD669" t="str">
        <f>IF(AA669="","",IFERROR(1*'Procyflo 27TC'!D170,IFERROR(_xludf.NUMBERVALUE('Procyflo 27TC'!D170,".",","),IFERROR(_xludf.NUMBERVALUE('Procyflo 27TC'!D170,",","."),0))))</f>
        <v/>
      </c>
      <c r="AE669" t="str">
        <f>IF(AA669="","",'Procyflo 27TC'!N170)</f>
        <v/>
      </c>
      <c r="AF669">
        <f t="shared" si="77"/>
        <v>0</v>
      </c>
      <c r="AG669" t="str">
        <f t="shared" si="78"/>
        <v/>
      </c>
      <c r="AH669" t="str">
        <f t="shared" si="79"/>
        <v/>
      </c>
      <c r="AI669">
        <f t="shared" si="80"/>
        <v>0</v>
      </c>
      <c r="AJ669">
        <f t="shared" si="81"/>
        <v>0</v>
      </c>
      <c r="AK669">
        <v>0</v>
      </c>
      <c r="AL669" t="str">
        <f>IF(AA669="","",IFERROR(IF(ISNUMBER('Procyflo 27TC'!E170),'Procyflo 27TC'!E170,IF(ISNUMBER(SEARCH("12",'Procyflo 27TC'!E170)),EDATE(AB669,12),IF(ISNUMBER(SEARCH("6",'Procyflo 27TC'!E170)),EDATE(AB669,6),IF(ISNUMBER(SEARCH("3",'Procyflo 27TC'!E170)),EDATE(AB669,3),DATEVALUE('Procyflo 27TC'!E170))))),""))</f>
        <v/>
      </c>
      <c r="AM669" t="str">
        <f t="shared" ca="1" si="82"/>
        <v/>
      </c>
    </row>
    <row r="670" spans="27:39" x14ac:dyDescent="0.3">
      <c r="AA670" t="str">
        <f>IF(COUNTA('Procyflo 27TC'!B171,'Procyflo 27TC'!C171,'Procyflo 27TC'!D171)&gt;0,"27TC","")</f>
        <v/>
      </c>
      <c r="AB670" t="str">
        <f>IFERROR(IF(ISNUMBER('Procyflo 27TC'!B171),'Procyflo 27TC'!B171,DATEVALUE('Procyflo 27TC'!B171)),"")</f>
        <v/>
      </c>
      <c r="AC670" t="str">
        <f>IF(AA670="","",'Procyflo 27TC'!C171)</f>
        <v/>
      </c>
      <c r="AD670" t="str">
        <f>IF(AA670="","",IFERROR(1*'Procyflo 27TC'!D171,IFERROR(_xludf.NUMBERVALUE('Procyflo 27TC'!D171,".",","),IFERROR(_xludf.NUMBERVALUE('Procyflo 27TC'!D171,",","."),0))))</f>
        <v/>
      </c>
      <c r="AE670" t="str">
        <f>IF(AA670="","",'Procyflo 27TC'!N171)</f>
        <v/>
      </c>
      <c r="AF670">
        <f t="shared" si="77"/>
        <v>0</v>
      </c>
      <c r="AG670" t="str">
        <f t="shared" si="78"/>
        <v/>
      </c>
      <c r="AH670" t="str">
        <f t="shared" si="79"/>
        <v/>
      </c>
      <c r="AI670">
        <f t="shared" si="80"/>
        <v>0</v>
      </c>
      <c r="AJ670">
        <f t="shared" si="81"/>
        <v>0</v>
      </c>
      <c r="AK670">
        <v>0</v>
      </c>
      <c r="AL670" t="str">
        <f>IF(AA670="","",IFERROR(IF(ISNUMBER('Procyflo 27TC'!E171),'Procyflo 27TC'!E171,IF(ISNUMBER(SEARCH("12",'Procyflo 27TC'!E171)),EDATE(AB670,12),IF(ISNUMBER(SEARCH("6",'Procyflo 27TC'!E171)),EDATE(AB670,6),IF(ISNUMBER(SEARCH("3",'Procyflo 27TC'!E171)),EDATE(AB670,3),DATEVALUE('Procyflo 27TC'!E171))))),""))</f>
        <v/>
      </c>
      <c r="AM670" t="str">
        <f t="shared" ca="1" si="82"/>
        <v/>
      </c>
    </row>
    <row r="671" spans="27:39" x14ac:dyDescent="0.3">
      <c r="AA671" t="str">
        <f>IF(COUNTA('Procyflo 27TC'!B172,'Procyflo 27TC'!C172,'Procyflo 27TC'!D172)&gt;0,"27TC","")</f>
        <v/>
      </c>
      <c r="AB671" t="str">
        <f>IFERROR(IF(ISNUMBER('Procyflo 27TC'!B172),'Procyflo 27TC'!B172,DATEVALUE('Procyflo 27TC'!B172)),"")</f>
        <v/>
      </c>
      <c r="AC671" t="str">
        <f>IF(AA671="","",'Procyflo 27TC'!C172)</f>
        <v/>
      </c>
      <c r="AD671" t="str">
        <f>IF(AA671="","",IFERROR(1*'Procyflo 27TC'!D172,IFERROR(_xludf.NUMBERVALUE('Procyflo 27TC'!D172,".",","),IFERROR(_xludf.NUMBERVALUE('Procyflo 27TC'!D172,",","."),0))))</f>
        <v/>
      </c>
      <c r="AE671" t="str">
        <f>IF(AA671="","",'Procyflo 27TC'!N172)</f>
        <v/>
      </c>
      <c r="AF671">
        <f t="shared" si="77"/>
        <v>0</v>
      </c>
      <c r="AG671" t="str">
        <f t="shared" si="78"/>
        <v/>
      </c>
      <c r="AH671" t="str">
        <f t="shared" si="79"/>
        <v/>
      </c>
      <c r="AI671">
        <f t="shared" si="80"/>
        <v>0</v>
      </c>
      <c r="AJ671">
        <f t="shared" si="81"/>
        <v>0</v>
      </c>
      <c r="AK671">
        <v>0</v>
      </c>
      <c r="AL671" t="str">
        <f>IF(AA671="","",IFERROR(IF(ISNUMBER('Procyflo 27TC'!E172),'Procyflo 27TC'!E172,IF(ISNUMBER(SEARCH("12",'Procyflo 27TC'!E172)),EDATE(AB671,12),IF(ISNUMBER(SEARCH("6",'Procyflo 27TC'!E172)),EDATE(AB671,6),IF(ISNUMBER(SEARCH("3",'Procyflo 27TC'!E172)),EDATE(AB671,3),DATEVALUE('Procyflo 27TC'!E172))))),""))</f>
        <v/>
      </c>
      <c r="AM671" t="str">
        <f t="shared" ca="1" si="82"/>
        <v/>
      </c>
    </row>
    <row r="672" spans="27:39" x14ac:dyDescent="0.3">
      <c r="AA672" t="str">
        <f>IF(COUNTA('Procyflo 27TC'!B173,'Procyflo 27TC'!C173,'Procyflo 27TC'!D173)&gt;0,"27TC","")</f>
        <v/>
      </c>
      <c r="AB672" t="str">
        <f>IFERROR(IF(ISNUMBER('Procyflo 27TC'!B173),'Procyflo 27TC'!B173,DATEVALUE('Procyflo 27TC'!B173)),"")</f>
        <v/>
      </c>
      <c r="AC672" t="str">
        <f>IF(AA672="","",'Procyflo 27TC'!C173)</f>
        <v/>
      </c>
      <c r="AD672" t="str">
        <f>IF(AA672="","",IFERROR(1*'Procyflo 27TC'!D173,IFERROR(_xludf.NUMBERVALUE('Procyflo 27TC'!D173,".",","),IFERROR(_xludf.NUMBERVALUE('Procyflo 27TC'!D173,",","."),0))))</f>
        <v/>
      </c>
      <c r="AE672" t="str">
        <f>IF(AA672="","",'Procyflo 27TC'!N173)</f>
        <v/>
      </c>
      <c r="AF672">
        <f t="shared" si="77"/>
        <v>0</v>
      </c>
      <c r="AG672" t="str">
        <f t="shared" si="78"/>
        <v/>
      </c>
      <c r="AH672" t="str">
        <f t="shared" si="79"/>
        <v/>
      </c>
      <c r="AI672">
        <f t="shared" si="80"/>
        <v>0</v>
      </c>
      <c r="AJ672">
        <f t="shared" si="81"/>
        <v>0</v>
      </c>
      <c r="AK672">
        <v>0</v>
      </c>
      <c r="AL672" t="str">
        <f>IF(AA672="","",IFERROR(IF(ISNUMBER('Procyflo 27TC'!E173),'Procyflo 27TC'!E173,IF(ISNUMBER(SEARCH("12",'Procyflo 27TC'!E173)),EDATE(AB672,12),IF(ISNUMBER(SEARCH("6",'Procyflo 27TC'!E173)),EDATE(AB672,6),IF(ISNUMBER(SEARCH("3",'Procyflo 27TC'!E173)),EDATE(AB672,3),DATEVALUE('Procyflo 27TC'!E173))))),""))</f>
        <v/>
      </c>
      <c r="AM672" t="str">
        <f t="shared" ca="1" si="82"/>
        <v/>
      </c>
    </row>
    <row r="673" spans="27:39" x14ac:dyDescent="0.3">
      <c r="AA673" t="str">
        <f>IF(COUNTA('Procyflo 27TC'!B174,'Procyflo 27TC'!C174,'Procyflo 27TC'!D174)&gt;0,"27TC","")</f>
        <v/>
      </c>
      <c r="AB673" t="str">
        <f>IFERROR(IF(ISNUMBER('Procyflo 27TC'!B174),'Procyflo 27TC'!B174,DATEVALUE('Procyflo 27TC'!B174)),"")</f>
        <v/>
      </c>
      <c r="AC673" t="str">
        <f>IF(AA673="","",'Procyflo 27TC'!C174)</f>
        <v/>
      </c>
      <c r="AD673" t="str">
        <f>IF(AA673="","",IFERROR(1*'Procyflo 27TC'!D174,IFERROR(_xludf.NUMBERVALUE('Procyflo 27TC'!D174,".",","),IFERROR(_xludf.NUMBERVALUE('Procyflo 27TC'!D174,",","."),0))))</f>
        <v/>
      </c>
      <c r="AE673" t="str">
        <f>IF(AA673="","",'Procyflo 27TC'!N174)</f>
        <v/>
      </c>
      <c r="AF673">
        <f t="shared" si="77"/>
        <v>0</v>
      </c>
      <c r="AG673" t="str">
        <f t="shared" si="78"/>
        <v/>
      </c>
      <c r="AH673" t="str">
        <f t="shared" si="79"/>
        <v/>
      </c>
      <c r="AI673">
        <f t="shared" si="80"/>
        <v>0</v>
      </c>
      <c r="AJ673">
        <f t="shared" si="81"/>
        <v>0</v>
      </c>
      <c r="AK673">
        <v>0</v>
      </c>
      <c r="AL673" t="str">
        <f>IF(AA673="","",IFERROR(IF(ISNUMBER('Procyflo 27TC'!E174),'Procyflo 27TC'!E174,IF(ISNUMBER(SEARCH("12",'Procyflo 27TC'!E174)),EDATE(AB673,12),IF(ISNUMBER(SEARCH("6",'Procyflo 27TC'!E174)),EDATE(AB673,6),IF(ISNUMBER(SEARCH("3",'Procyflo 27TC'!E174)),EDATE(AB673,3),DATEVALUE('Procyflo 27TC'!E174))))),""))</f>
        <v/>
      </c>
      <c r="AM673" t="str">
        <f t="shared" ca="1" si="82"/>
        <v/>
      </c>
    </row>
    <row r="674" spans="27:39" x14ac:dyDescent="0.3">
      <c r="AA674" t="str">
        <f>IF(COUNTA('Procyflo 27TC'!B175,'Procyflo 27TC'!C175,'Procyflo 27TC'!D175)&gt;0,"27TC","")</f>
        <v/>
      </c>
      <c r="AB674" t="str">
        <f>IFERROR(IF(ISNUMBER('Procyflo 27TC'!B175),'Procyflo 27TC'!B175,DATEVALUE('Procyflo 27TC'!B175)),"")</f>
        <v/>
      </c>
      <c r="AC674" t="str">
        <f>IF(AA674="","",'Procyflo 27TC'!C175)</f>
        <v/>
      </c>
      <c r="AD674" t="str">
        <f>IF(AA674="","",IFERROR(1*'Procyflo 27TC'!D175,IFERROR(_xludf.NUMBERVALUE('Procyflo 27TC'!D175,".",","),IFERROR(_xludf.NUMBERVALUE('Procyflo 27TC'!D175,",","."),0))))</f>
        <v/>
      </c>
      <c r="AE674" t="str">
        <f>IF(AA674="","",'Procyflo 27TC'!N175)</f>
        <v/>
      </c>
      <c r="AF674">
        <f t="shared" si="77"/>
        <v>0</v>
      </c>
      <c r="AG674" t="str">
        <f t="shared" si="78"/>
        <v/>
      </c>
      <c r="AH674" t="str">
        <f t="shared" si="79"/>
        <v/>
      </c>
      <c r="AI674">
        <f t="shared" si="80"/>
        <v>0</v>
      </c>
      <c r="AJ674">
        <f t="shared" si="81"/>
        <v>0</v>
      </c>
      <c r="AK674">
        <v>0</v>
      </c>
      <c r="AL674" t="str">
        <f>IF(AA674="","",IFERROR(IF(ISNUMBER('Procyflo 27TC'!E175),'Procyflo 27TC'!E175,IF(ISNUMBER(SEARCH("12",'Procyflo 27TC'!E175)),EDATE(AB674,12),IF(ISNUMBER(SEARCH("6",'Procyflo 27TC'!E175)),EDATE(AB674,6),IF(ISNUMBER(SEARCH("3",'Procyflo 27TC'!E175)),EDATE(AB674,3),DATEVALUE('Procyflo 27TC'!E175))))),""))</f>
        <v/>
      </c>
      <c r="AM674" t="str">
        <f t="shared" ca="1" si="82"/>
        <v/>
      </c>
    </row>
    <row r="675" spans="27:39" x14ac:dyDescent="0.3">
      <c r="AA675" t="str">
        <f>IF(COUNTA('Procyflo 27TC'!B176,'Procyflo 27TC'!C176,'Procyflo 27TC'!D176)&gt;0,"27TC","")</f>
        <v/>
      </c>
      <c r="AB675" t="str">
        <f>IFERROR(IF(ISNUMBER('Procyflo 27TC'!B176),'Procyflo 27TC'!B176,DATEVALUE('Procyflo 27TC'!B176)),"")</f>
        <v/>
      </c>
      <c r="AC675" t="str">
        <f>IF(AA675="","",'Procyflo 27TC'!C176)</f>
        <v/>
      </c>
      <c r="AD675" t="str">
        <f>IF(AA675="","",IFERROR(1*'Procyflo 27TC'!D176,IFERROR(_xludf.NUMBERVALUE('Procyflo 27TC'!D176,".",","),IFERROR(_xludf.NUMBERVALUE('Procyflo 27TC'!D176,",","."),0))))</f>
        <v/>
      </c>
      <c r="AE675" t="str">
        <f>IF(AA675="","",'Procyflo 27TC'!N176)</f>
        <v/>
      </c>
      <c r="AF675">
        <f t="shared" si="77"/>
        <v>0</v>
      </c>
      <c r="AG675" t="str">
        <f t="shared" si="78"/>
        <v/>
      </c>
      <c r="AH675" t="str">
        <f t="shared" si="79"/>
        <v/>
      </c>
      <c r="AI675">
        <f t="shared" si="80"/>
        <v>0</v>
      </c>
      <c r="AJ675">
        <f t="shared" si="81"/>
        <v>0</v>
      </c>
      <c r="AK675">
        <v>0</v>
      </c>
      <c r="AL675" t="str">
        <f>IF(AA675="","",IFERROR(IF(ISNUMBER('Procyflo 27TC'!E176),'Procyflo 27TC'!E176,IF(ISNUMBER(SEARCH("12",'Procyflo 27TC'!E176)),EDATE(AB675,12),IF(ISNUMBER(SEARCH("6",'Procyflo 27TC'!E176)),EDATE(AB675,6),IF(ISNUMBER(SEARCH("3",'Procyflo 27TC'!E176)),EDATE(AB675,3),DATEVALUE('Procyflo 27TC'!E176))))),""))</f>
        <v/>
      </c>
      <c r="AM675" t="str">
        <f t="shared" ca="1" si="82"/>
        <v/>
      </c>
    </row>
    <row r="676" spans="27:39" x14ac:dyDescent="0.3">
      <c r="AA676" t="str">
        <f>IF(COUNTA('Procyflo 27TC'!B177,'Procyflo 27TC'!C177,'Procyflo 27TC'!D177)&gt;0,"27TC","")</f>
        <v/>
      </c>
      <c r="AB676" t="str">
        <f>IFERROR(IF(ISNUMBER('Procyflo 27TC'!B177),'Procyflo 27TC'!B177,DATEVALUE('Procyflo 27TC'!B177)),"")</f>
        <v/>
      </c>
      <c r="AC676" t="str">
        <f>IF(AA676="","",'Procyflo 27TC'!C177)</f>
        <v/>
      </c>
      <c r="AD676" t="str">
        <f>IF(AA676="","",IFERROR(1*'Procyflo 27TC'!D177,IFERROR(_xludf.NUMBERVALUE('Procyflo 27TC'!D177,".",","),IFERROR(_xludf.NUMBERVALUE('Procyflo 27TC'!D177,",","."),0))))</f>
        <v/>
      </c>
      <c r="AE676" t="str">
        <f>IF(AA676="","",'Procyflo 27TC'!N177)</f>
        <v/>
      </c>
      <c r="AF676">
        <f t="shared" si="77"/>
        <v>0</v>
      </c>
      <c r="AG676" t="str">
        <f t="shared" si="78"/>
        <v/>
      </c>
      <c r="AH676" t="str">
        <f t="shared" si="79"/>
        <v/>
      </c>
      <c r="AI676">
        <f t="shared" si="80"/>
        <v>0</v>
      </c>
      <c r="AJ676">
        <f t="shared" si="81"/>
        <v>0</v>
      </c>
      <c r="AK676">
        <v>0</v>
      </c>
      <c r="AL676" t="str">
        <f>IF(AA676="","",IFERROR(IF(ISNUMBER('Procyflo 27TC'!E177),'Procyflo 27TC'!E177,IF(ISNUMBER(SEARCH("12",'Procyflo 27TC'!E177)),EDATE(AB676,12),IF(ISNUMBER(SEARCH("6",'Procyflo 27TC'!E177)),EDATE(AB676,6),IF(ISNUMBER(SEARCH("3",'Procyflo 27TC'!E177)),EDATE(AB676,3),DATEVALUE('Procyflo 27TC'!E177))))),""))</f>
        <v/>
      </c>
      <c r="AM676" t="str">
        <f t="shared" ca="1" si="82"/>
        <v/>
      </c>
    </row>
    <row r="677" spans="27:39" x14ac:dyDescent="0.3">
      <c r="AA677" t="str">
        <f>IF(COUNTA('Procyflo 27TC'!B178,'Procyflo 27TC'!C178,'Procyflo 27TC'!D178)&gt;0,"27TC","")</f>
        <v/>
      </c>
      <c r="AB677" t="str">
        <f>IFERROR(IF(ISNUMBER('Procyflo 27TC'!B178),'Procyflo 27TC'!B178,DATEVALUE('Procyflo 27TC'!B178)),"")</f>
        <v/>
      </c>
      <c r="AC677" t="str">
        <f>IF(AA677="","",'Procyflo 27TC'!C178)</f>
        <v/>
      </c>
      <c r="AD677" t="str">
        <f>IF(AA677="","",IFERROR(1*'Procyflo 27TC'!D178,IFERROR(_xludf.NUMBERVALUE('Procyflo 27TC'!D178,".",","),IFERROR(_xludf.NUMBERVALUE('Procyflo 27TC'!D178,",","."),0))))</f>
        <v/>
      </c>
      <c r="AE677" t="str">
        <f>IF(AA677="","",'Procyflo 27TC'!N178)</f>
        <v/>
      </c>
      <c r="AF677">
        <f t="shared" si="77"/>
        <v>0</v>
      </c>
      <c r="AG677" t="str">
        <f t="shared" si="78"/>
        <v/>
      </c>
      <c r="AH677" t="str">
        <f t="shared" si="79"/>
        <v/>
      </c>
      <c r="AI677">
        <f t="shared" si="80"/>
        <v>0</v>
      </c>
      <c r="AJ677">
        <f t="shared" si="81"/>
        <v>0</v>
      </c>
      <c r="AK677">
        <v>0</v>
      </c>
      <c r="AL677" t="str">
        <f>IF(AA677="","",IFERROR(IF(ISNUMBER('Procyflo 27TC'!E178),'Procyflo 27TC'!E178,IF(ISNUMBER(SEARCH("12",'Procyflo 27TC'!E178)),EDATE(AB677,12),IF(ISNUMBER(SEARCH("6",'Procyflo 27TC'!E178)),EDATE(AB677,6),IF(ISNUMBER(SEARCH("3",'Procyflo 27TC'!E178)),EDATE(AB677,3),DATEVALUE('Procyflo 27TC'!E178))))),""))</f>
        <v/>
      </c>
      <c r="AM677" t="str">
        <f t="shared" ca="1" si="82"/>
        <v/>
      </c>
    </row>
    <row r="678" spans="27:39" x14ac:dyDescent="0.3">
      <c r="AA678" t="str">
        <f>IF(COUNTA('Procyflo 27TC'!B179,'Procyflo 27TC'!C179,'Procyflo 27TC'!D179)&gt;0,"27TC","")</f>
        <v/>
      </c>
      <c r="AB678" t="str">
        <f>IFERROR(IF(ISNUMBER('Procyflo 27TC'!B179),'Procyflo 27TC'!B179,DATEVALUE('Procyflo 27TC'!B179)),"")</f>
        <v/>
      </c>
      <c r="AC678" t="str">
        <f>IF(AA678="","",'Procyflo 27TC'!C179)</f>
        <v/>
      </c>
      <c r="AD678" t="str">
        <f>IF(AA678="","",IFERROR(1*'Procyflo 27TC'!D179,IFERROR(_xludf.NUMBERVALUE('Procyflo 27TC'!D179,".",","),IFERROR(_xludf.NUMBERVALUE('Procyflo 27TC'!D179,",","."),0))))</f>
        <v/>
      </c>
      <c r="AE678" t="str">
        <f>IF(AA678="","",'Procyflo 27TC'!N179)</f>
        <v/>
      </c>
      <c r="AF678">
        <f t="shared" si="77"/>
        <v>0</v>
      </c>
      <c r="AG678" t="str">
        <f t="shared" si="78"/>
        <v/>
      </c>
      <c r="AH678" t="str">
        <f t="shared" si="79"/>
        <v/>
      </c>
      <c r="AI678">
        <f t="shared" si="80"/>
        <v>0</v>
      </c>
      <c r="AJ678">
        <f t="shared" si="81"/>
        <v>0</v>
      </c>
      <c r="AK678">
        <v>0</v>
      </c>
      <c r="AL678" t="str">
        <f>IF(AA678="","",IFERROR(IF(ISNUMBER('Procyflo 27TC'!E179),'Procyflo 27TC'!E179,IF(ISNUMBER(SEARCH("12",'Procyflo 27TC'!E179)),EDATE(AB678,12),IF(ISNUMBER(SEARCH("6",'Procyflo 27TC'!E179)),EDATE(AB678,6),IF(ISNUMBER(SEARCH("3",'Procyflo 27TC'!E179)),EDATE(AB678,3),DATEVALUE('Procyflo 27TC'!E179))))),""))</f>
        <v/>
      </c>
      <c r="AM678" t="str">
        <f t="shared" ca="1" si="82"/>
        <v/>
      </c>
    </row>
    <row r="679" spans="27:39" x14ac:dyDescent="0.3">
      <c r="AA679" t="str">
        <f>IF(COUNTA('Procyflo 27TC'!B180,'Procyflo 27TC'!C180,'Procyflo 27TC'!D180)&gt;0,"27TC","")</f>
        <v/>
      </c>
      <c r="AB679" t="str">
        <f>IFERROR(IF(ISNUMBER('Procyflo 27TC'!B180),'Procyflo 27TC'!B180,DATEVALUE('Procyflo 27TC'!B180)),"")</f>
        <v/>
      </c>
      <c r="AC679" t="str">
        <f>IF(AA679="","",'Procyflo 27TC'!C180)</f>
        <v/>
      </c>
      <c r="AD679" t="str">
        <f>IF(AA679="","",IFERROR(1*'Procyflo 27TC'!D180,IFERROR(_xludf.NUMBERVALUE('Procyflo 27TC'!D180,".",","),IFERROR(_xludf.NUMBERVALUE('Procyflo 27TC'!D180,",","."),0))))</f>
        <v/>
      </c>
      <c r="AE679" t="str">
        <f>IF(AA679="","",'Procyflo 27TC'!N180)</f>
        <v/>
      </c>
      <c r="AF679">
        <f t="shared" si="77"/>
        <v>0</v>
      </c>
      <c r="AG679" t="str">
        <f t="shared" si="78"/>
        <v/>
      </c>
      <c r="AH679" t="str">
        <f t="shared" si="79"/>
        <v/>
      </c>
      <c r="AI679">
        <f t="shared" si="80"/>
        <v>0</v>
      </c>
      <c r="AJ679">
        <f t="shared" si="81"/>
        <v>0</v>
      </c>
      <c r="AK679">
        <v>0</v>
      </c>
      <c r="AL679" t="str">
        <f>IF(AA679="","",IFERROR(IF(ISNUMBER('Procyflo 27TC'!E180),'Procyflo 27TC'!E180,IF(ISNUMBER(SEARCH("12",'Procyflo 27TC'!E180)),EDATE(AB679,12),IF(ISNUMBER(SEARCH("6",'Procyflo 27TC'!E180)),EDATE(AB679,6),IF(ISNUMBER(SEARCH("3",'Procyflo 27TC'!E180)),EDATE(AB679,3),DATEVALUE('Procyflo 27TC'!E180))))),""))</f>
        <v/>
      </c>
      <c r="AM679" t="str">
        <f t="shared" ca="1" si="82"/>
        <v/>
      </c>
    </row>
    <row r="680" spans="27:39" x14ac:dyDescent="0.3">
      <c r="AA680" t="str">
        <f>IF(COUNTA('Procyflo 27TC'!B181,'Procyflo 27TC'!C181,'Procyflo 27TC'!D181)&gt;0,"27TC","")</f>
        <v/>
      </c>
      <c r="AB680" t="str">
        <f>IFERROR(IF(ISNUMBER('Procyflo 27TC'!B181),'Procyflo 27TC'!B181,DATEVALUE('Procyflo 27TC'!B181)),"")</f>
        <v/>
      </c>
      <c r="AC680" t="str">
        <f>IF(AA680="","",'Procyflo 27TC'!C181)</f>
        <v/>
      </c>
      <c r="AD680" t="str">
        <f>IF(AA680="","",IFERROR(1*'Procyflo 27TC'!D181,IFERROR(_xludf.NUMBERVALUE('Procyflo 27TC'!D181,".",","),IFERROR(_xludf.NUMBERVALUE('Procyflo 27TC'!D181,",","."),0))))</f>
        <v/>
      </c>
      <c r="AE680" t="str">
        <f>IF(AA680="","",'Procyflo 27TC'!N181)</f>
        <v/>
      </c>
      <c r="AF680">
        <f t="shared" si="77"/>
        <v>0</v>
      </c>
      <c r="AG680" t="str">
        <f t="shared" si="78"/>
        <v/>
      </c>
      <c r="AH680" t="str">
        <f t="shared" si="79"/>
        <v/>
      </c>
      <c r="AI680">
        <f t="shared" si="80"/>
        <v>0</v>
      </c>
      <c r="AJ680">
        <f t="shared" si="81"/>
        <v>0</v>
      </c>
      <c r="AK680">
        <v>0</v>
      </c>
      <c r="AL680" t="str">
        <f>IF(AA680="","",IFERROR(IF(ISNUMBER('Procyflo 27TC'!E181),'Procyflo 27TC'!E181,IF(ISNUMBER(SEARCH("12",'Procyflo 27TC'!E181)),EDATE(AB680,12),IF(ISNUMBER(SEARCH("6",'Procyflo 27TC'!E181)),EDATE(AB680,6),IF(ISNUMBER(SEARCH("3",'Procyflo 27TC'!E181)),EDATE(AB680,3),DATEVALUE('Procyflo 27TC'!E181))))),""))</f>
        <v/>
      </c>
      <c r="AM680" t="str">
        <f t="shared" ca="1" si="82"/>
        <v/>
      </c>
    </row>
    <row r="681" spans="27:39" x14ac:dyDescent="0.3">
      <c r="AA681" t="str">
        <f>IF(COUNTA('Procyflo 27TC'!B182,'Procyflo 27TC'!C182,'Procyflo 27TC'!D182)&gt;0,"27TC","")</f>
        <v/>
      </c>
      <c r="AB681" t="str">
        <f>IFERROR(IF(ISNUMBER('Procyflo 27TC'!B182),'Procyflo 27TC'!B182,DATEVALUE('Procyflo 27TC'!B182)),"")</f>
        <v/>
      </c>
      <c r="AC681" t="str">
        <f>IF(AA681="","",'Procyflo 27TC'!C182)</f>
        <v/>
      </c>
      <c r="AD681" t="str">
        <f>IF(AA681="","",IFERROR(1*'Procyflo 27TC'!D182,IFERROR(_xludf.NUMBERVALUE('Procyflo 27TC'!D182,".",","),IFERROR(_xludf.NUMBERVALUE('Procyflo 27TC'!D182,",","."),0))))</f>
        <v/>
      </c>
      <c r="AE681" t="str">
        <f>IF(AA681="","",'Procyflo 27TC'!N182)</f>
        <v/>
      </c>
      <c r="AF681">
        <f t="shared" si="77"/>
        <v>0</v>
      </c>
      <c r="AG681" t="str">
        <f t="shared" si="78"/>
        <v/>
      </c>
      <c r="AH681" t="str">
        <f t="shared" si="79"/>
        <v/>
      </c>
      <c r="AI681">
        <f t="shared" si="80"/>
        <v>0</v>
      </c>
      <c r="AJ681">
        <f t="shared" si="81"/>
        <v>0</v>
      </c>
      <c r="AK681">
        <v>0</v>
      </c>
      <c r="AL681" t="str">
        <f>IF(AA681="","",IFERROR(IF(ISNUMBER('Procyflo 27TC'!E182),'Procyflo 27TC'!E182,IF(ISNUMBER(SEARCH("12",'Procyflo 27TC'!E182)),EDATE(AB681,12),IF(ISNUMBER(SEARCH("6",'Procyflo 27TC'!E182)),EDATE(AB681,6),IF(ISNUMBER(SEARCH("3",'Procyflo 27TC'!E182)),EDATE(AB681,3),DATEVALUE('Procyflo 27TC'!E182))))),""))</f>
        <v/>
      </c>
      <c r="AM681" t="str">
        <f t="shared" ca="1" si="82"/>
        <v/>
      </c>
    </row>
    <row r="682" spans="27:39" x14ac:dyDescent="0.3">
      <c r="AA682" t="str">
        <f>IF(COUNTA('Procyflo 27TC'!B183,'Procyflo 27TC'!C183,'Procyflo 27TC'!D183)&gt;0,"27TC","")</f>
        <v/>
      </c>
      <c r="AB682" t="str">
        <f>IFERROR(IF(ISNUMBER('Procyflo 27TC'!B183),'Procyflo 27TC'!B183,DATEVALUE('Procyflo 27TC'!B183)),"")</f>
        <v/>
      </c>
      <c r="AC682" t="str">
        <f>IF(AA682="","",'Procyflo 27TC'!C183)</f>
        <v/>
      </c>
      <c r="AD682" t="str">
        <f>IF(AA682="","",IFERROR(1*'Procyflo 27TC'!D183,IFERROR(_xludf.NUMBERVALUE('Procyflo 27TC'!D183,".",","),IFERROR(_xludf.NUMBERVALUE('Procyflo 27TC'!D183,",","."),0))))</f>
        <v/>
      </c>
      <c r="AE682" t="str">
        <f>IF(AA682="","",'Procyflo 27TC'!N183)</f>
        <v/>
      </c>
      <c r="AF682">
        <f t="shared" si="77"/>
        <v>0</v>
      </c>
      <c r="AG682" t="str">
        <f t="shared" si="78"/>
        <v/>
      </c>
      <c r="AH682" t="str">
        <f t="shared" si="79"/>
        <v/>
      </c>
      <c r="AI682">
        <f t="shared" si="80"/>
        <v>0</v>
      </c>
      <c r="AJ682">
        <f t="shared" si="81"/>
        <v>0</v>
      </c>
      <c r="AK682">
        <v>0</v>
      </c>
      <c r="AL682" t="str">
        <f>IF(AA682="","",IFERROR(IF(ISNUMBER('Procyflo 27TC'!E183),'Procyflo 27TC'!E183,IF(ISNUMBER(SEARCH("12",'Procyflo 27TC'!E183)),EDATE(AB682,12),IF(ISNUMBER(SEARCH("6",'Procyflo 27TC'!E183)),EDATE(AB682,6),IF(ISNUMBER(SEARCH("3",'Procyflo 27TC'!E183)),EDATE(AB682,3),DATEVALUE('Procyflo 27TC'!E183))))),""))</f>
        <v/>
      </c>
      <c r="AM682" t="str">
        <f t="shared" ca="1" si="82"/>
        <v/>
      </c>
    </row>
    <row r="683" spans="27:39" x14ac:dyDescent="0.3">
      <c r="AA683" t="str">
        <f>IF(COUNTA('Procyflo 27TC'!B184,'Procyflo 27TC'!C184,'Procyflo 27TC'!D184)&gt;0,"27TC","")</f>
        <v/>
      </c>
      <c r="AB683" t="str">
        <f>IFERROR(IF(ISNUMBER('Procyflo 27TC'!B184),'Procyflo 27TC'!B184,DATEVALUE('Procyflo 27TC'!B184)),"")</f>
        <v/>
      </c>
      <c r="AC683" t="str">
        <f>IF(AA683="","",'Procyflo 27TC'!C184)</f>
        <v/>
      </c>
      <c r="AD683" t="str">
        <f>IF(AA683="","",IFERROR(1*'Procyflo 27TC'!D184,IFERROR(_xludf.NUMBERVALUE('Procyflo 27TC'!D184,".",","),IFERROR(_xludf.NUMBERVALUE('Procyflo 27TC'!D184,",","."),0))))</f>
        <v/>
      </c>
      <c r="AE683" t="str">
        <f>IF(AA683="","",'Procyflo 27TC'!N184)</f>
        <v/>
      </c>
      <c r="AF683">
        <f t="shared" si="77"/>
        <v>0</v>
      </c>
      <c r="AG683" t="str">
        <f t="shared" si="78"/>
        <v/>
      </c>
      <c r="AH683" t="str">
        <f t="shared" si="79"/>
        <v/>
      </c>
      <c r="AI683">
        <f t="shared" si="80"/>
        <v>0</v>
      </c>
      <c r="AJ683">
        <f t="shared" si="81"/>
        <v>0</v>
      </c>
      <c r="AK683">
        <v>0</v>
      </c>
      <c r="AL683" t="str">
        <f>IF(AA683="","",IFERROR(IF(ISNUMBER('Procyflo 27TC'!E184),'Procyflo 27TC'!E184,IF(ISNUMBER(SEARCH("12",'Procyflo 27TC'!E184)),EDATE(AB683,12),IF(ISNUMBER(SEARCH("6",'Procyflo 27TC'!E184)),EDATE(AB683,6),IF(ISNUMBER(SEARCH("3",'Procyflo 27TC'!E184)),EDATE(AB683,3),DATEVALUE('Procyflo 27TC'!E184))))),""))</f>
        <v/>
      </c>
      <c r="AM683" t="str">
        <f t="shared" ca="1" si="82"/>
        <v/>
      </c>
    </row>
    <row r="684" spans="27:39" x14ac:dyDescent="0.3">
      <c r="AA684" t="str">
        <f>IF(COUNTA('Procyflo 27TC'!B185,'Procyflo 27TC'!C185,'Procyflo 27TC'!D185)&gt;0,"27TC","")</f>
        <v/>
      </c>
      <c r="AB684" t="str">
        <f>IFERROR(IF(ISNUMBER('Procyflo 27TC'!B185),'Procyflo 27TC'!B185,DATEVALUE('Procyflo 27TC'!B185)),"")</f>
        <v/>
      </c>
      <c r="AC684" t="str">
        <f>IF(AA684="","",'Procyflo 27TC'!C185)</f>
        <v/>
      </c>
      <c r="AD684" t="str">
        <f>IF(AA684="","",IFERROR(1*'Procyflo 27TC'!D185,IFERROR(_xludf.NUMBERVALUE('Procyflo 27TC'!D185,".",","),IFERROR(_xludf.NUMBERVALUE('Procyflo 27TC'!D185,",","."),0))))</f>
        <v/>
      </c>
      <c r="AE684" t="str">
        <f>IF(AA684="","",'Procyflo 27TC'!N185)</f>
        <v/>
      </c>
      <c r="AF684">
        <f t="shared" si="77"/>
        <v>0</v>
      </c>
      <c r="AG684" t="str">
        <f t="shared" si="78"/>
        <v/>
      </c>
      <c r="AH684" t="str">
        <f t="shared" si="79"/>
        <v/>
      </c>
      <c r="AI684">
        <f t="shared" si="80"/>
        <v>0</v>
      </c>
      <c r="AJ684">
        <f t="shared" si="81"/>
        <v>0</v>
      </c>
      <c r="AK684">
        <v>0</v>
      </c>
      <c r="AL684" t="str">
        <f>IF(AA684="","",IFERROR(IF(ISNUMBER('Procyflo 27TC'!E185),'Procyflo 27TC'!E185,IF(ISNUMBER(SEARCH("12",'Procyflo 27TC'!E185)),EDATE(AB684,12),IF(ISNUMBER(SEARCH("6",'Procyflo 27TC'!E185)),EDATE(AB684,6),IF(ISNUMBER(SEARCH("3",'Procyflo 27TC'!E185)),EDATE(AB684,3),DATEVALUE('Procyflo 27TC'!E185))))),""))</f>
        <v/>
      </c>
      <c r="AM684" t="str">
        <f t="shared" ca="1" si="82"/>
        <v/>
      </c>
    </row>
    <row r="685" spans="27:39" x14ac:dyDescent="0.3">
      <c r="AA685" t="str">
        <f>IF(COUNTA('Procyflo 27TC'!B186,'Procyflo 27TC'!C186,'Procyflo 27TC'!D186)&gt;0,"27TC","")</f>
        <v/>
      </c>
      <c r="AB685" t="str">
        <f>IFERROR(IF(ISNUMBER('Procyflo 27TC'!B186),'Procyflo 27TC'!B186,DATEVALUE('Procyflo 27TC'!B186)),"")</f>
        <v/>
      </c>
      <c r="AC685" t="str">
        <f>IF(AA685="","",'Procyflo 27TC'!C186)</f>
        <v/>
      </c>
      <c r="AD685" t="str">
        <f>IF(AA685="","",IFERROR(1*'Procyflo 27TC'!D186,IFERROR(_xludf.NUMBERVALUE('Procyflo 27TC'!D186,".",","),IFERROR(_xludf.NUMBERVALUE('Procyflo 27TC'!D186,",","."),0))))</f>
        <v/>
      </c>
      <c r="AE685" t="str">
        <f>IF(AA685="","",'Procyflo 27TC'!N186)</f>
        <v/>
      </c>
      <c r="AF685">
        <f t="shared" si="77"/>
        <v>0</v>
      </c>
      <c r="AG685" t="str">
        <f t="shared" si="78"/>
        <v/>
      </c>
      <c r="AH685" t="str">
        <f t="shared" si="79"/>
        <v/>
      </c>
      <c r="AI685">
        <f t="shared" si="80"/>
        <v>0</v>
      </c>
      <c r="AJ685">
        <f t="shared" si="81"/>
        <v>0</v>
      </c>
      <c r="AK685">
        <v>0</v>
      </c>
      <c r="AL685" t="str">
        <f>IF(AA685="","",IFERROR(IF(ISNUMBER('Procyflo 27TC'!E186),'Procyflo 27TC'!E186,IF(ISNUMBER(SEARCH("12",'Procyflo 27TC'!E186)),EDATE(AB685,12),IF(ISNUMBER(SEARCH("6",'Procyflo 27TC'!E186)),EDATE(AB685,6),IF(ISNUMBER(SEARCH("3",'Procyflo 27TC'!E186)),EDATE(AB685,3),DATEVALUE('Procyflo 27TC'!E186))))),""))</f>
        <v/>
      </c>
      <c r="AM685" t="str">
        <f t="shared" ca="1" si="82"/>
        <v/>
      </c>
    </row>
    <row r="686" spans="27:39" x14ac:dyDescent="0.3">
      <c r="AA686" t="str">
        <f>IF(COUNTA('Procyflo 27TC'!B187,'Procyflo 27TC'!C187,'Procyflo 27TC'!D187)&gt;0,"27TC","")</f>
        <v/>
      </c>
      <c r="AB686" t="str">
        <f>IFERROR(IF(ISNUMBER('Procyflo 27TC'!B187),'Procyflo 27TC'!B187,DATEVALUE('Procyflo 27TC'!B187)),"")</f>
        <v/>
      </c>
      <c r="AC686" t="str">
        <f>IF(AA686="","",'Procyflo 27TC'!C187)</f>
        <v/>
      </c>
      <c r="AD686" t="str">
        <f>IF(AA686="","",IFERROR(1*'Procyflo 27TC'!D187,IFERROR(_xludf.NUMBERVALUE('Procyflo 27TC'!D187,".",","),IFERROR(_xludf.NUMBERVALUE('Procyflo 27TC'!D187,",","."),0))))</f>
        <v/>
      </c>
      <c r="AE686" t="str">
        <f>IF(AA686="","",'Procyflo 27TC'!N187)</f>
        <v/>
      </c>
      <c r="AF686">
        <f t="shared" si="77"/>
        <v>0</v>
      </c>
      <c r="AG686" t="str">
        <f t="shared" si="78"/>
        <v/>
      </c>
      <c r="AH686" t="str">
        <f t="shared" si="79"/>
        <v/>
      </c>
      <c r="AI686">
        <f t="shared" si="80"/>
        <v>0</v>
      </c>
      <c r="AJ686">
        <f t="shared" si="81"/>
        <v>0</v>
      </c>
      <c r="AK686">
        <v>0</v>
      </c>
      <c r="AL686" t="str">
        <f>IF(AA686="","",IFERROR(IF(ISNUMBER('Procyflo 27TC'!E187),'Procyflo 27TC'!E187,IF(ISNUMBER(SEARCH("12",'Procyflo 27TC'!E187)),EDATE(AB686,12),IF(ISNUMBER(SEARCH("6",'Procyflo 27TC'!E187)),EDATE(AB686,6),IF(ISNUMBER(SEARCH("3",'Procyflo 27TC'!E187)),EDATE(AB686,3),DATEVALUE('Procyflo 27TC'!E187))))),""))</f>
        <v/>
      </c>
      <c r="AM686" t="str">
        <f t="shared" ca="1" si="82"/>
        <v/>
      </c>
    </row>
    <row r="687" spans="27:39" x14ac:dyDescent="0.3">
      <c r="AA687" t="str">
        <f>IF(COUNTA('Procyflo 27TC'!B188,'Procyflo 27TC'!C188,'Procyflo 27TC'!D188)&gt;0,"27TC","")</f>
        <v/>
      </c>
      <c r="AB687" t="str">
        <f>IFERROR(IF(ISNUMBER('Procyflo 27TC'!B188),'Procyflo 27TC'!B188,DATEVALUE('Procyflo 27TC'!B188)),"")</f>
        <v/>
      </c>
      <c r="AC687" t="str">
        <f>IF(AA687="","",'Procyflo 27TC'!C188)</f>
        <v/>
      </c>
      <c r="AD687" t="str">
        <f>IF(AA687="","",IFERROR(1*'Procyflo 27TC'!D188,IFERROR(_xludf.NUMBERVALUE('Procyflo 27TC'!D188,".",","),IFERROR(_xludf.NUMBERVALUE('Procyflo 27TC'!D188,",","."),0))))</f>
        <v/>
      </c>
      <c r="AE687" t="str">
        <f>IF(AA687="","",'Procyflo 27TC'!N188)</f>
        <v/>
      </c>
      <c r="AF687">
        <f t="shared" si="77"/>
        <v>0</v>
      </c>
      <c r="AG687" t="str">
        <f t="shared" si="78"/>
        <v/>
      </c>
      <c r="AH687" t="str">
        <f t="shared" si="79"/>
        <v/>
      </c>
      <c r="AI687">
        <f t="shared" si="80"/>
        <v>0</v>
      </c>
      <c r="AJ687">
        <f t="shared" si="81"/>
        <v>0</v>
      </c>
      <c r="AK687">
        <v>0</v>
      </c>
      <c r="AL687" t="str">
        <f>IF(AA687="","",IFERROR(IF(ISNUMBER('Procyflo 27TC'!E188),'Procyflo 27TC'!E188,IF(ISNUMBER(SEARCH("12",'Procyflo 27TC'!E188)),EDATE(AB687,12),IF(ISNUMBER(SEARCH("6",'Procyflo 27TC'!E188)),EDATE(AB687,6),IF(ISNUMBER(SEARCH("3",'Procyflo 27TC'!E188)),EDATE(AB687,3),DATEVALUE('Procyflo 27TC'!E188))))),""))</f>
        <v/>
      </c>
      <c r="AM687" t="str">
        <f t="shared" ca="1" si="82"/>
        <v/>
      </c>
    </row>
    <row r="688" spans="27:39" x14ac:dyDescent="0.3">
      <c r="AA688" t="str">
        <f>IF(COUNTA('Procyflo 27TC'!B189,'Procyflo 27TC'!C189,'Procyflo 27TC'!D189)&gt;0,"27TC","")</f>
        <v/>
      </c>
      <c r="AB688" t="str">
        <f>IFERROR(IF(ISNUMBER('Procyflo 27TC'!B189),'Procyflo 27TC'!B189,DATEVALUE('Procyflo 27TC'!B189)),"")</f>
        <v/>
      </c>
      <c r="AC688" t="str">
        <f>IF(AA688="","",'Procyflo 27TC'!C189)</f>
        <v/>
      </c>
      <c r="AD688" t="str">
        <f>IF(AA688="","",IFERROR(1*'Procyflo 27TC'!D189,IFERROR(_xludf.NUMBERVALUE('Procyflo 27TC'!D189,".",","),IFERROR(_xludf.NUMBERVALUE('Procyflo 27TC'!D189,",","."),0))))</f>
        <v/>
      </c>
      <c r="AE688" t="str">
        <f>IF(AA688="","",'Procyflo 27TC'!N189)</f>
        <v/>
      </c>
      <c r="AF688">
        <f t="shared" si="77"/>
        <v>0</v>
      </c>
      <c r="AG688" t="str">
        <f t="shared" si="78"/>
        <v/>
      </c>
      <c r="AH688" t="str">
        <f t="shared" si="79"/>
        <v/>
      </c>
      <c r="AI688">
        <f t="shared" si="80"/>
        <v>0</v>
      </c>
      <c r="AJ688">
        <f t="shared" si="81"/>
        <v>0</v>
      </c>
      <c r="AK688">
        <v>0</v>
      </c>
      <c r="AL688" t="str">
        <f>IF(AA688="","",IFERROR(IF(ISNUMBER('Procyflo 27TC'!E189),'Procyflo 27TC'!E189,IF(ISNUMBER(SEARCH("12",'Procyflo 27TC'!E189)),EDATE(AB688,12),IF(ISNUMBER(SEARCH("6",'Procyflo 27TC'!E189)),EDATE(AB688,6),IF(ISNUMBER(SEARCH("3",'Procyflo 27TC'!E189)),EDATE(AB688,3),DATEVALUE('Procyflo 27TC'!E189))))),""))</f>
        <v/>
      </c>
      <c r="AM688" t="str">
        <f t="shared" ca="1" si="82"/>
        <v/>
      </c>
    </row>
    <row r="689" spans="27:39" x14ac:dyDescent="0.3">
      <c r="AA689" t="str">
        <f>IF(COUNTA('Procyflo 27TC'!B190,'Procyflo 27TC'!C190,'Procyflo 27TC'!D190)&gt;0,"27TC","")</f>
        <v/>
      </c>
      <c r="AB689" t="str">
        <f>IFERROR(IF(ISNUMBER('Procyflo 27TC'!B190),'Procyflo 27TC'!B190,DATEVALUE('Procyflo 27TC'!B190)),"")</f>
        <v/>
      </c>
      <c r="AC689" t="str">
        <f>IF(AA689="","",'Procyflo 27TC'!C190)</f>
        <v/>
      </c>
      <c r="AD689" t="str">
        <f>IF(AA689="","",IFERROR(1*'Procyflo 27TC'!D190,IFERROR(_xludf.NUMBERVALUE('Procyflo 27TC'!D190,".",","),IFERROR(_xludf.NUMBERVALUE('Procyflo 27TC'!D190,",","."),0))))</f>
        <v/>
      </c>
      <c r="AE689" t="str">
        <f>IF(AA689="","",'Procyflo 27TC'!N190)</f>
        <v/>
      </c>
      <c r="AF689">
        <f t="shared" si="77"/>
        <v>0</v>
      </c>
      <c r="AG689" t="str">
        <f t="shared" si="78"/>
        <v/>
      </c>
      <c r="AH689" t="str">
        <f t="shared" si="79"/>
        <v/>
      </c>
      <c r="AI689">
        <f t="shared" si="80"/>
        <v>0</v>
      </c>
      <c r="AJ689">
        <f t="shared" si="81"/>
        <v>0</v>
      </c>
      <c r="AK689">
        <v>0</v>
      </c>
      <c r="AL689" t="str">
        <f>IF(AA689="","",IFERROR(IF(ISNUMBER('Procyflo 27TC'!E190),'Procyflo 27TC'!E190,IF(ISNUMBER(SEARCH("12",'Procyflo 27TC'!E190)),EDATE(AB689,12),IF(ISNUMBER(SEARCH("6",'Procyflo 27TC'!E190)),EDATE(AB689,6),IF(ISNUMBER(SEARCH("3",'Procyflo 27TC'!E190)),EDATE(AB689,3),DATEVALUE('Procyflo 27TC'!E190))))),""))</f>
        <v/>
      </c>
      <c r="AM689" t="str">
        <f t="shared" ca="1" si="82"/>
        <v/>
      </c>
    </row>
    <row r="690" spans="27:39" x14ac:dyDescent="0.3">
      <c r="AA690" t="str">
        <f>IF(COUNTA('Procyflo 27TC'!B191,'Procyflo 27TC'!C191,'Procyflo 27TC'!D191)&gt;0,"27TC","")</f>
        <v/>
      </c>
      <c r="AB690" t="str">
        <f>IFERROR(IF(ISNUMBER('Procyflo 27TC'!B191),'Procyflo 27TC'!B191,DATEVALUE('Procyflo 27TC'!B191)),"")</f>
        <v/>
      </c>
      <c r="AC690" t="str">
        <f>IF(AA690="","",'Procyflo 27TC'!C191)</f>
        <v/>
      </c>
      <c r="AD690" t="str">
        <f>IF(AA690="","",IFERROR(1*'Procyflo 27TC'!D191,IFERROR(_xludf.NUMBERVALUE('Procyflo 27TC'!D191,".",","),IFERROR(_xludf.NUMBERVALUE('Procyflo 27TC'!D191,",","."),0))))</f>
        <v/>
      </c>
      <c r="AE690" t="str">
        <f>IF(AA690="","",'Procyflo 27TC'!N191)</f>
        <v/>
      </c>
      <c r="AF690">
        <f t="shared" si="77"/>
        <v>0</v>
      </c>
      <c r="AG690" t="str">
        <f t="shared" si="78"/>
        <v/>
      </c>
      <c r="AH690" t="str">
        <f t="shared" si="79"/>
        <v/>
      </c>
      <c r="AI690">
        <f t="shared" si="80"/>
        <v>0</v>
      </c>
      <c r="AJ690">
        <f t="shared" si="81"/>
        <v>0</v>
      </c>
      <c r="AK690">
        <v>0</v>
      </c>
      <c r="AL690" t="str">
        <f>IF(AA690="","",IFERROR(IF(ISNUMBER('Procyflo 27TC'!E191),'Procyflo 27TC'!E191,IF(ISNUMBER(SEARCH("12",'Procyflo 27TC'!E191)),EDATE(AB690,12),IF(ISNUMBER(SEARCH("6",'Procyflo 27TC'!E191)),EDATE(AB690,6),IF(ISNUMBER(SEARCH("3",'Procyflo 27TC'!E191)),EDATE(AB690,3),DATEVALUE('Procyflo 27TC'!E191))))),""))</f>
        <v/>
      </c>
      <c r="AM690" t="str">
        <f t="shared" ca="1" si="82"/>
        <v/>
      </c>
    </row>
    <row r="691" spans="27:39" x14ac:dyDescent="0.3">
      <c r="AA691" t="str">
        <f>IF(COUNTA('Procyflo 27TC'!B192,'Procyflo 27TC'!C192,'Procyflo 27TC'!D192)&gt;0,"27TC","")</f>
        <v/>
      </c>
      <c r="AB691" t="str">
        <f>IFERROR(IF(ISNUMBER('Procyflo 27TC'!B192),'Procyflo 27TC'!B192,DATEVALUE('Procyflo 27TC'!B192)),"")</f>
        <v/>
      </c>
      <c r="AC691" t="str">
        <f>IF(AA691="","",'Procyflo 27TC'!C192)</f>
        <v/>
      </c>
      <c r="AD691" t="str">
        <f>IF(AA691="","",IFERROR(1*'Procyflo 27TC'!D192,IFERROR(_xludf.NUMBERVALUE('Procyflo 27TC'!D192,".",","),IFERROR(_xludf.NUMBERVALUE('Procyflo 27TC'!D192,",","."),0))))</f>
        <v/>
      </c>
      <c r="AE691" t="str">
        <f>IF(AA691="","",'Procyflo 27TC'!N192)</f>
        <v/>
      </c>
      <c r="AF691">
        <f t="shared" si="77"/>
        <v>0</v>
      </c>
      <c r="AG691" t="str">
        <f t="shared" si="78"/>
        <v/>
      </c>
      <c r="AH691" t="str">
        <f t="shared" si="79"/>
        <v/>
      </c>
      <c r="AI691">
        <f t="shared" si="80"/>
        <v>0</v>
      </c>
      <c r="AJ691">
        <f t="shared" si="81"/>
        <v>0</v>
      </c>
      <c r="AK691">
        <v>0</v>
      </c>
      <c r="AL691" t="str">
        <f>IF(AA691="","",IFERROR(IF(ISNUMBER('Procyflo 27TC'!E192),'Procyflo 27TC'!E192,IF(ISNUMBER(SEARCH("12",'Procyflo 27TC'!E192)),EDATE(AB691,12),IF(ISNUMBER(SEARCH("6",'Procyflo 27TC'!E192)),EDATE(AB691,6),IF(ISNUMBER(SEARCH("3",'Procyflo 27TC'!E192)),EDATE(AB691,3),DATEVALUE('Procyflo 27TC'!E192))))),""))</f>
        <v/>
      </c>
      <c r="AM691" t="str">
        <f t="shared" ca="1" si="82"/>
        <v/>
      </c>
    </row>
    <row r="692" spans="27:39" x14ac:dyDescent="0.3">
      <c r="AA692" t="str">
        <f>IF(COUNTA('Procyflo 27TC'!B193,'Procyflo 27TC'!C193,'Procyflo 27TC'!D193)&gt;0,"27TC","")</f>
        <v/>
      </c>
      <c r="AB692" t="str">
        <f>IFERROR(IF(ISNUMBER('Procyflo 27TC'!B193),'Procyflo 27TC'!B193,DATEVALUE('Procyflo 27TC'!B193)),"")</f>
        <v/>
      </c>
      <c r="AC692" t="str">
        <f>IF(AA692="","",'Procyflo 27TC'!C193)</f>
        <v/>
      </c>
      <c r="AD692" t="str">
        <f>IF(AA692="","",IFERROR(1*'Procyflo 27TC'!D193,IFERROR(_xludf.NUMBERVALUE('Procyflo 27TC'!D193,".",","),IFERROR(_xludf.NUMBERVALUE('Procyflo 27TC'!D193,",","."),0))))</f>
        <v/>
      </c>
      <c r="AE692" t="str">
        <f>IF(AA692="","",'Procyflo 27TC'!N193)</f>
        <v/>
      </c>
      <c r="AF692">
        <f t="shared" si="77"/>
        <v>0</v>
      </c>
      <c r="AG692" t="str">
        <f t="shared" si="78"/>
        <v/>
      </c>
      <c r="AH692" t="str">
        <f t="shared" si="79"/>
        <v/>
      </c>
      <c r="AI692">
        <f t="shared" si="80"/>
        <v>0</v>
      </c>
      <c r="AJ692">
        <f t="shared" si="81"/>
        <v>0</v>
      </c>
      <c r="AK692">
        <v>0</v>
      </c>
      <c r="AL692" t="str">
        <f>IF(AA692="","",IFERROR(IF(ISNUMBER('Procyflo 27TC'!E193),'Procyflo 27TC'!E193,IF(ISNUMBER(SEARCH("12",'Procyflo 27TC'!E193)),EDATE(AB692,12),IF(ISNUMBER(SEARCH("6",'Procyflo 27TC'!E193)),EDATE(AB692,6),IF(ISNUMBER(SEARCH("3",'Procyflo 27TC'!E193)),EDATE(AB692,3),DATEVALUE('Procyflo 27TC'!E193))))),""))</f>
        <v/>
      </c>
      <c r="AM692" t="str">
        <f t="shared" ca="1" si="82"/>
        <v/>
      </c>
    </row>
    <row r="693" spans="27:39" x14ac:dyDescent="0.3">
      <c r="AA693" t="str">
        <f>IF(COUNTA('Procyflo 27TC'!B194,'Procyflo 27TC'!C194,'Procyflo 27TC'!D194)&gt;0,"27TC","")</f>
        <v/>
      </c>
      <c r="AB693" t="str">
        <f>IFERROR(IF(ISNUMBER('Procyflo 27TC'!B194),'Procyflo 27TC'!B194,DATEVALUE('Procyflo 27TC'!B194)),"")</f>
        <v/>
      </c>
      <c r="AC693" t="str">
        <f>IF(AA693="","",'Procyflo 27TC'!C194)</f>
        <v/>
      </c>
      <c r="AD693" t="str">
        <f>IF(AA693="","",IFERROR(1*'Procyflo 27TC'!D194,IFERROR(_xludf.NUMBERVALUE('Procyflo 27TC'!D194,".",","),IFERROR(_xludf.NUMBERVALUE('Procyflo 27TC'!D194,",","."),0))))</f>
        <v/>
      </c>
      <c r="AE693" t="str">
        <f>IF(AA693="","",'Procyflo 27TC'!N194)</f>
        <v/>
      </c>
      <c r="AF693">
        <f t="shared" si="77"/>
        <v>0</v>
      </c>
      <c r="AG693" t="str">
        <f t="shared" si="78"/>
        <v/>
      </c>
      <c r="AH693" t="str">
        <f t="shared" si="79"/>
        <v/>
      </c>
      <c r="AI693">
        <f t="shared" si="80"/>
        <v>0</v>
      </c>
      <c r="AJ693">
        <f t="shared" si="81"/>
        <v>0</v>
      </c>
      <c r="AK693">
        <v>0</v>
      </c>
      <c r="AL693" t="str">
        <f>IF(AA693="","",IFERROR(IF(ISNUMBER('Procyflo 27TC'!E194),'Procyflo 27TC'!E194,IF(ISNUMBER(SEARCH("12",'Procyflo 27TC'!E194)),EDATE(AB693,12),IF(ISNUMBER(SEARCH("6",'Procyflo 27TC'!E194)),EDATE(AB693,6),IF(ISNUMBER(SEARCH("3",'Procyflo 27TC'!E194)),EDATE(AB693,3),DATEVALUE('Procyflo 27TC'!E194))))),""))</f>
        <v/>
      </c>
      <c r="AM693" t="str">
        <f t="shared" ca="1" si="82"/>
        <v/>
      </c>
    </row>
    <row r="694" spans="27:39" x14ac:dyDescent="0.3">
      <c r="AA694" t="str">
        <f>IF(COUNTA('Procyflo 27TC'!B195,'Procyflo 27TC'!C195,'Procyflo 27TC'!D195)&gt;0,"27TC","")</f>
        <v/>
      </c>
      <c r="AB694" t="str">
        <f>IFERROR(IF(ISNUMBER('Procyflo 27TC'!B195),'Procyflo 27TC'!B195,DATEVALUE('Procyflo 27TC'!B195)),"")</f>
        <v/>
      </c>
      <c r="AC694" t="str">
        <f>IF(AA694="","",'Procyflo 27TC'!C195)</f>
        <v/>
      </c>
      <c r="AD694" t="str">
        <f>IF(AA694="","",IFERROR(1*'Procyflo 27TC'!D195,IFERROR(_xludf.NUMBERVALUE('Procyflo 27TC'!D195,".",","),IFERROR(_xludf.NUMBERVALUE('Procyflo 27TC'!D195,",","."),0))))</f>
        <v/>
      </c>
      <c r="AE694" t="str">
        <f>IF(AA694="","",'Procyflo 27TC'!N195)</f>
        <v/>
      </c>
      <c r="AF694">
        <f t="shared" si="77"/>
        <v>0</v>
      </c>
      <c r="AG694" t="str">
        <f t="shared" si="78"/>
        <v/>
      </c>
      <c r="AH694" t="str">
        <f t="shared" si="79"/>
        <v/>
      </c>
      <c r="AI694">
        <f t="shared" si="80"/>
        <v>0</v>
      </c>
      <c r="AJ694">
        <f t="shared" si="81"/>
        <v>0</v>
      </c>
      <c r="AK694">
        <v>0</v>
      </c>
      <c r="AL694" t="str">
        <f>IF(AA694="","",IFERROR(IF(ISNUMBER('Procyflo 27TC'!E195),'Procyflo 27TC'!E195,IF(ISNUMBER(SEARCH("12",'Procyflo 27TC'!E195)),EDATE(AB694,12),IF(ISNUMBER(SEARCH("6",'Procyflo 27TC'!E195)),EDATE(AB694,6),IF(ISNUMBER(SEARCH("3",'Procyflo 27TC'!E195)),EDATE(AB694,3),DATEVALUE('Procyflo 27TC'!E195))))),""))</f>
        <v/>
      </c>
      <c r="AM694" t="str">
        <f t="shared" ca="1" si="82"/>
        <v/>
      </c>
    </row>
    <row r="695" spans="27:39" x14ac:dyDescent="0.3">
      <c r="AA695" t="str">
        <f>IF(COUNTA('Procyflo 27TC'!B196,'Procyflo 27TC'!C196,'Procyflo 27TC'!D196)&gt;0,"27TC","")</f>
        <v/>
      </c>
      <c r="AB695" t="str">
        <f>IFERROR(IF(ISNUMBER('Procyflo 27TC'!B196),'Procyflo 27TC'!B196,DATEVALUE('Procyflo 27TC'!B196)),"")</f>
        <v/>
      </c>
      <c r="AC695" t="str">
        <f>IF(AA695="","",'Procyflo 27TC'!C196)</f>
        <v/>
      </c>
      <c r="AD695" t="str">
        <f>IF(AA695="","",IFERROR(1*'Procyflo 27TC'!D196,IFERROR(_xludf.NUMBERVALUE('Procyflo 27TC'!D196,".",","),IFERROR(_xludf.NUMBERVALUE('Procyflo 27TC'!D196,",","."),0))))</f>
        <v/>
      </c>
      <c r="AE695" t="str">
        <f>IF(AA695="","",'Procyflo 27TC'!N196)</f>
        <v/>
      </c>
      <c r="AF695">
        <f t="shared" si="77"/>
        <v>0</v>
      </c>
      <c r="AG695" t="str">
        <f t="shared" si="78"/>
        <v/>
      </c>
      <c r="AH695" t="str">
        <f t="shared" si="79"/>
        <v/>
      </c>
      <c r="AI695">
        <f t="shared" si="80"/>
        <v>0</v>
      </c>
      <c r="AJ695">
        <f t="shared" si="81"/>
        <v>0</v>
      </c>
      <c r="AK695">
        <v>0</v>
      </c>
      <c r="AL695" t="str">
        <f>IF(AA695="","",IFERROR(IF(ISNUMBER('Procyflo 27TC'!E196),'Procyflo 27TC'!E196,IF(ISNUMBER(SEARCH("12",'Procyflo 27TC'!E196)),EDATE(AB695,12),IF(ISNUMBER(SEARCH("6",'Procyflo 27TC'!E196)),EDATE(AB695,6),IF(ISNUMBER(SEARCH("3",'Procyflo 27TC'!E196)),EDATE(AB695,3),DATEVALUE('Procyflo 27TC'!E196))))),""))</f>
        <v/>
      </c>
      <c r="AM695" t="str">
        <f t="shared" ca="1" si="82"/>
        <v/>
      </c>
    </row>
    <row r="696" spans="27:39" x14ac:dyDescent="0.3">
      <c r="AA696" t="str">
        <f>IF(COUNTA('Procyflo 27TC'!B197,'Procyflo 27TC'!C197,'Procyflo 27TC'!D197)&gt;0,"27TC","")</f>
        <v/>
      </c>
      <c r="AB696" t="str">
        <f>IFERROR(IF(ISNUMBER('Procyflo 27TC'!B197),'Procyflo 27TC'!B197,DATEVALUE('Procyflo 27TC'!B197)),"")</f>
        <v/>
      </c>
      <c r="AC696" t="str">
        <f>IF(AA696="","",'Procyflo 27TC'!C197)</f>
        <v/>
      </c>
      <c r="AD696" t="str">
        <f>IF(AA696="","",IFERROR(1*'Procyflo 27TC'!D197,IFERROR(_xludf.NUMBERVALUE('Procyflo 27TC'!D197,".",","),IFERROR(_xludf.NUMBERVALUE('Procyflo 27TC'!D197,",","."),0))))</f>
        <v/>
      </c>
      <c r="AE696" t="str">
        <f>IF(AA696="","",'Procyflo 27TC'!N197)</f>
        <v/>
      </c>
      <c r="AF696">
        <f t="shared" si="77"/>
        <v>0</v>
      </c>
      <c r="AG696" t="str">
        <f t="shared" si="78"/>
        <v/>
      </c>
      <c r="AH696" t="str">
        <f t="shared" si="79"/>
        <v/>
      </c>
      <c r="AI696">
        <f t="shared" si="80"/>
        <v>0</v>
      </c>
      <c r="AJ696">
        <f t="shared" si="81"/>
        <v>0</v>
      </c>
      <c r="AK696">
        <v>0</v>
      </c>
      <c r="AL696" t="str">
        <f>IF(AA696="","",IFERROR(IF(ISNUMBER('Procyflo 27TC'!E197),'Procyflo 27TC'!E197,IF(ISNUMBER(SEARCH("12",'Procyflo 27TC'!E197)),EDATE(AB696,12),IF(ISNUMBER(SEARCH("6",'Procyflo 27TC'!E197)),EDATE(AB696,6),IF(ISNUMBER(SEARCH("3",'Procyflo 27TC'!E197)),EDATE(AB696,3),DATEVALUE('Procyflo 27TC'!E197))))),""))</f>
        <v/>
      </c>
      <c r="AM696" t="str">
        <f t="shared" ca="1" si="82"/>
        <v/>
      </c>
    </row>
    <row r="697" spans="27:39" x14ac:dyDescent="0.3">
      <c r="AA697" t="str">
        <f>IF(COUNTA('Procyflo 27TC'!B198,'Procyflo 27TC'!C198,'Procyflo 27TC'!D198)&gt;0,"27TC","")</f>
        <v/>
      </c>
      <c r="AB697" t="str">
        <f>IFERROR(IF(ISNUMBER('Procyflo 27TC'!B198),'Procyflo 27TC'!B198,DATEVALUE('Procyflo 27TC'!B198)),"")</f>
        <v/>
      </c>
      <c r="AC697" t="str">
        <f>IF(AA697="","",'Procyflo 27TC'!C198)</f>
        <v/>
      </c>
      <c r="AD697" t="str">
        <f>IF(AA697="","",IFERROR(1*'Procyflo 27TC'!D198,IFERROR(_xludf.NUMBERVALUE('Procyflo 27TC'!D198,".",","),IFERROR(_xludf.NUMBERVALUE('Procyflo 27TC'!D198,",","."),0))))</f>
        <v/>
      </c>
      <c r="AE697" t="str">
        <f>IF(AA697="","",'Procyflo 27TC'!N198)</f>
        <v/>
      </c>
      <c r="AF697">
        <f t="shared" si="77"/>
        <v>0</v>
      </c>
      <c r="AG697" t="str">
        <f t="shared" si="78"/>
        <v/>
      </c>
      <c r="AH697" t="str">
        <f t="shared" si="79"/>
        <v/>
      </c>
      <c r="AI697">
        <f t="shared" si="80"/>
        <v>0</v>
      </c>
      <c r="AJ697">
        <f t="shared" si="81"/>
        <v>0</v>
      </c>
      <c r="AK697">
        <v>0</v>
      </c>
      <c r="AL697" t="str">
        <f>IF(AA697="","",IFERROR(IF(ISNUMBER('Procyflo 27TC'!E198),'Procyflo 27TC'!E198,IF(ISNUMBER(SEARCH("12",'Procyflo 27TC'!E198)),EDATE(AB697,12),IF(ISNUMBER(SEARCH("6",'Procyflo 27TC'!E198)),EDATE(AB697,6),IF(ISNUMBER(SEARCH("3",'Procyflo 27TC'!E198)),EDATE(AB697,3),DATEVALUE('Procyflo 27TC'!E198))))),""))</f>
        <v/>
      </c>
      <c r="AM697" t="str">
        <f t="shared" ca="1" si="82"/>
        <v/>
      </c>
    </row>
    <row r="698" spans="27:39" x14ac:dyDescent="0.3">
      <c r="AA698" t="str">
        <f>IF(COUNTA('Procyflo 27TC'!B199,'Procyflo 27TC'!C199,'Procyflo 27TC'!D199)&gt;0,"27TC","")</f>
        <v/>
      </c>
      <c r="AB698" t="str">
        <f>IFERROR(IF(ISNUMBER('Procyflo 27TC'!B199),'Procyflo 27TC'!B199,DATEVALUE('Procyflo 27TC'!B199)),"")</f>
        <v/>
      </c>
      <c r="AC698" t="str">
        <f>IF(AA698="","",'Procyflo 27TC'!C199)</f>
        <v/>
      </c>
      <c r="AD698" t="str">
        <f>IF(AA698="","",IFERROR(1*'Procyflo 27TC'!D199,IFERROR(_xludf.NUMBERVALUE('Procyflo 27TC'!D199,".",","),IFERROR(_xludf.NUMBERVALUE('Procyflo 27TC'!D199,",","."),0))))</f>
        <v/>
      </c>
      <c r="AE698" t="str">
        <f>IF(AA698="","",'Procyflo 27TC'!N199)</f>
        <v/>
      </c>
      <c r="AF698">
        <f t="shared" si="77"/>
        <v>0</v>
      </c>
      <c r="AG698" t="str">
        <f t="shared" si="78"/>
        <v/>
      </c>
      <c r="AH698" t="str">
        <f t="shared" si="79"/>
        <v/>
      </c>
      <c r="AI698">
        <f t="shared" si="80"/>
        <v>0</v>
      </c>
      <c r="AJ698">
        <f t="shared" si="81"/>
        <v>0</v>
      </c>
      <c r="AK698">
        <v>0</v>
      </c>
      <c r="AL698" t="str">
        <f>IF(AA698="","",IFERROR(IF(ISNUMBER('Procyflo 27TC'!E199),'Procyflo 27TC'!E199,IF(ISNUMBER(SEARCH("12",'Procyflo 27TC'!E199)),EDATE(AB698,12),IF(ISNUMBER(SEARCH("6",'Procyflo 27TC'!E199)),EDATE(AB698,6),IF(ISNUMBER(SEARCH("3",'Procyflo 27TC'!E199)),EDATE(AB698,3),DATEVALUE('Procyflo 27TC'!E199))))),""))</f>
        <v/>
      </c>
      <c r="AM698" t="str">
        <f t="shared" ca="1" si="82"/>
        <v/>
      </c>
    </row>
    <row r="699" spans="27:39" x14ac:dyDescent="0.3">
      <c r="AA699" t="str">
        <f>IF(COUNTA('Procyflo 27TC'!B200,'Procyflo 27TC'!C200,'Procyflo 27TC'!D200)&gt;0,"27TC","")</f>
        <v/>
      </c>
      <c r="AB699" t="str">
        <f>IFERROR(IF(ISNUMBER('Procyflo 27TC'!B200),'Procyflo 27TC'!B200,DATEVALUE('Procyflo 27TC'!B200)),"")</f>
        <v/>
      </c>
      <c r="AC699" t="str">
        <f>IF(AA699="","",'Procyflo 27TC'!C200)</f>
        <v/>
      </c>
      <c r="AD699" t="str">
        <f>IF(AA699="","",IFERROR(1*'Procyflo 27TC'!D200,IFERROR(_xludf.NUMBERVALUE('Procyflo 27TC'!D200,".",","),IFERROR(_xludf.NUMBERVALUE('Procyflo 27TC'!D200,",","."),0))))</f>
        <v/>
      </c>
      <c r="AE699" t="str">
        <f>IF(AA699="","",'Procyflo 27TC'!N200)</f>
        <v/>
      </c>
      <c r="AF699">
        <f t="shared" si="77"/>
        <v>0</v>
      </c>
      <c r="AG699" t="str">
        <f t="shared" si="78"/>
        <v/>
      </c>
      <c r="AH699" t="str">
        <f t="shared" si="79"/>
        <v/>
      </c>
      <c r="AI699">
        <f t="shared" si="80"/>
        <v>0</v>
      </c>
      <c r="AJ699">
        <f t="shared" si="81"/>
        <v>0</v>
      </c>
      <c r="AK699">
        <v>0</v>
      </c>
      <c r="AL699" t="str">
        <f>IF(AA699="","",IFERROR(IF(ISNUMBER('Procyflo 27TC'!E200),'Procyflo 27TC'!E200,IF(ISNUMBER(SEARCH("12",'Procyflo 27TC'!E200)),EDATE(AB699,12),IF(ISNUMBER(SEARCH("6",'Procyflo 27TC'!E200)),EDATE(AB699,6),IF(ISNUMBER(SEARCH("3",'Procyflo 27TC'!E200)),EDATE(AB699,3),DATEVALUE('Procyflo 27TC'!E200))))),""))</f>
        <v/>
      </c>
      <c r="AM699" t="str">
        <f t="shared" ca="1" si="82"/>
        <v/>
      </c>
    </row>
    <row r="700" spans="27:39" x14ac:dyDescent="0.3">
      <c r="AA700" t="str">
        <f>IF(COUNTA('Procyflo 27TC'!B201,'Procyflo 27TC'!C201,'Procyflo 27TC'!D201)&gt;0,"27TC","")</f>
        <v/>
      </c>
      <c r="AB700" t="str">
        <f>IFERROR(IF(ISNUMBER('Procyflo 27TC'!B201),'Procyflo 27TC'!B201,DATEVALUE('Procyflo 27TC'!B201)),"")</f>
        <v/>
      </c>
      <c r="AC700" t="str">
        <f>IF(AA700="","",'Procyflo 27TC'!C201)</f>
        <v/>
      </c>
      <c r="AD700" t="str">
        <f>IF(AA700="","",IFERROR(1*'Procyflo 27TC'!D201,IFERROR(_xludf.NUMBERVALUE('Procyflo 27TC'!D201,".",","),IFERROR(_xludf.NUMBERVALUE('Procyflo 27TC'!D201,",","."),0))))</f>
        <v/>
      </c>
      <c r="AE700" t="str">
        <f>IF(AA700="","",'Procyflo 27TC'!N201)</f>
        <v/>
      </c>
      <c r="AF700">
        <f t="shared" si="77"/>
        <v>0</v>
      </c>
      <c r="AG700" t="str">
        <f t="shared" si="78"/>
        <v/>
      </c>
      <c r="AH700" t="str">
        <f t="shared" si="79"/>
        <v/>
      </c>
      <c r="AI700">
        <f t="shared" si="80"/>
        <v>0</v>
      </c>
      <c r="AJ700">
        <f t="shared" si="81"/>
        <v>0</v>
      </c>
      <c r="AK700">
        <v>0</v>
      </c>
      <c r="AL700" t="str">
        <f>IF(AA700="","",IFERROR(IF(ISNUMBER('Procyflo 27TC'!E201),'Procyflo 27TC'!E201,IF(ISNUMBER(SEARCH("12",'Procyflo 27TC'!E201)),EDATE(AB700,12),IF(ISNUMBER(SEARCH("6",'Procyflo 27TC'!E201)),EDATE(AB700,6),IF(ISNUMBER(SEARCH("3",'Procyflo 27TC'!E201)),EDATE(AB700,3),DATEVALUE('Procyflo 27TC'!E201))))),""))</f>
        <v/>
      </c>
      <c r="AM700" t="str">
        <f t="shared" ca="1" si="82"/>
        <v/>
      </c>
    </row>
    <row r="701" spans="27:39" x14ac:dyDescent="0.3">
      <c r="AA701" t="str">
        <f>IF(COUNTA('Procyflo 27TC'!B202,'Procyflo 27TC'!C202,'Procyflo 27TC'!D202)&gt;0,"27TC","")</f>
        <v/>
      </c>
      <c r="AB701" t="str">
        <f>IFERROR(IF(ISNUMBER('Procyflo 27TC'!B202),'Procyflo 27TC'!B202,DATEVALUE('Procyflo 27TC'!B202)),"")</f>
        <v/>
      </c>
      <c r="AC701" t="str">
        <f>IF(AA701="","",'Procyflo 27TC'!C202)</f>
        <v/>
      </c>
      <c r="AD701" t="str">
        <f>IF(AA701="","",IFERROR(1*'Procyflo 27TC'!D202,IFERROR(_xludf.NUMBERVALUE('Procyflo 27TC'!D202,".",","),IFERROR(_xludf.NUMBERVALUE('Procyflo 27TC'!D202,",","."),0))))</f>
        <v/>
      </c>
      <c r="AE701" t="str">
        <f>IF(AA701="","",'Procyflo 27TC'!N202)</f>
        <v/>
      </c>
      <c r="AF701">
        <f t="shared" si="77"/>
        <v>0</v>
      </c>
      <c r="AG701" t="str">
        <f t="shared" si="78"/>
        <v/>
      </c>
      <c r="AH701" t="str">
        <f t="shared" si="79"/>
        <v/>
      </c>
      <c r="AI701">
        <f t="shared" si="80"/>
        <v>0</v>
      </c>
      <c r="AJ701">
        <f t="shared" si="81"/>
        <v>0</v>
      </c>
      <c r="AK701">
        <v>0</v>
      </c>
      <c r="AL701" t="str">
        <f>IF(AA701="","",IFERROR(IF(ISNUMBER('Procyflo 27TC'!E202),'Procyflo 27TC'!E202,IF(ISNUMBER(SEARCH("12",'Procyflo 27TC'!E202)),EDATE(AB701,12),IF(ISNUMBER(SEARCH("6",'Procyflo 27TC'!E202)),EDATE(AB701,6),IF(ISNUMBER(SEARCH("3",'Procyflo 27TC'!E202)),EDATE(AB701,3),DATEVALUE('Procyflo 27TC'!E202))))),""))</f>
        <v/>
      </c>
      <c r="AM701" t="str">
        <f t="shared" ca="1" si="82"/>
        <v/>
      </c>
    </row>
    <row r="702" spans="27:39" x14ac:dyDescent="0.3">
      <c r="AA702" t="str">
        <f>IF(COUNTA('Procyflo 27TC'!B203,'Procyflo 27TC'!C203,'Procyflo 27TC'!D203)&gt;0,"27TC","")</f>
        <v/>
      </c>
      <c r="AB702" t="str">
        <f>IFERROR(IF(ISNUMBER('Procyflo 27TC'!B203),'Procyflo 27TC'!B203,DATEVALUE('Procyflo 27TC'!B203)),"")</f>
        <v/>
      </c>
      <c r="AC702" t="str">
        <f>IF(AA702="","",'Procyflo 27TC'!C203)</f>
        <v/>
      </c>
      <c r="AD702" t="str">
        <f>IF(AA702="","",IFERROR(1*'Procyflo 27TC'!D203,IFERROR(_xludf.NUMBERVALUE('Procyflo 27TC'!D203,".",","),IFERROR(_xludf.NUMBERVALUE('Procyflo 27TC'!D203,",","."),0))))</f>
        <v/>
      </c>
      <c r="AE702" t="str">
        <f>IF(AA702="","",'Procyflo 27TC'!N203)</f>
        <v/>
      </c>
      <c r="AF702">
        <f t="shared" si="77"/>
        <v>0</v>
      </c>
      <c r="AG702" t="str">
        <f t="shared" si="78"/>
        <v/>
      </c>
      <c r="AH702" t="str">
        <f t="shared" si="79"/>
        <v/>
      </c>
      <c r="AI702">
        <f t="shared" si="80"/>
        <v>0</v>
      </c>
      <c r="AJ702">
        <f t="shared" si="81"/>
        <v>0</v>
      </c>
      <c r="AK702">
        <v>0</v>
      </c>
      <c r="AL702" t="str">
        <f>IF(AA702="","",IFERROR(IF(ISNUMBER('Procyflo 27TC'!E203),'Procyflo 27TC'!E203,IF(ISNUMBER(SEARCH("12",'Procyflo 27TC'!E203)),EDATE(AB702,12),IF(ISNUMBER(SEARCH("6",'Procyflo 27TC'!E203)),EDATE(AB702,6),IF(ISNUMBER(SEARCH("3",'Procyflo 27TC'!E203)),EDATE(AB702,3),DATEVALUE('Procyflo 27TC'!E203))))),""))</f>
        <v/>
      </c>
      <c r="AM702" t="str">
        <f t="shared" ca="1" si="82"/>
        <v/>
      </c>
    </row>
    <row r="703" spans="27:39" x14ac:dyDescent="0.3">
      <c r="AA703" t="str">
        <f>IF(COUNTA('Procyflo 27TC'!B204,'Procyflo 27TC'!C204,'Procyflo 27TC'!D204)&gt;0,"27TC","")</f>
        <v/>
      </c>
      <c r="AB703" t="str">
        <f>IFERROR(IF(ISNUMBER('Procyflo 27TC'!B204),'Procyflo 27TC'!B204,DATEVALUE('Procyflo 27TC'!B204)),"")</f>
        <v/>
      </c>
      <c r="AC703" t="str">
        <f>IF(AA703="","",'Procyflo 27TC'!C204)</f>
        <v/>
      </c>
      <c r="AD703" t="str">
        <f>IF(AA703="","",IFERROR(1*'Procyflo 27TC'!D204,IFERROR(_xludf.NUMBERVALUE('Procyflo 27TC'!D204,".",","),IFERROR(_xludf.NUMBERVALUE('Procyflo 27TC'!D204,",","."),0))))</f>
        <v/>
      </c>
      <c r="AE703" t="str">
        <f>IF(AA703="","",'Procyflo 27TC'!N204)</f>
        <v/>
      </c>
      <c r="AF703">
        <f t="shared" si="77"/>
        <v>0</v>
      </c>
      <c r="AG703" t="str">
        <f t="shared" si="78"/>
        <v/>
      </c>
      <c r="AH703" t="str">
        <f t="shared" si="79"/>
        <v/>
      </c>
      <c r="AI703">
        <f t="shared" si="80"/>
        <v>0</v>
      </c>
      <c r="AJ703">
        <f t="shared" si="81"/>
        <v>0</v>
      </c>
      <c r="AK703">
        <v>0</v>
      </c>
      <c r="AL703" t="str">
        <f>IF(AA703="","",IFERROR(IF(ISNUMBER('Procyflo 27TC'!E204),'Procyflo 27TC'!E204,IF(ISNUMBER(SEARCH("12",'Procyflo 27TC'!E204)),EDATE(AB703,12),IF(ISNUMBER(SEARCH("6",'Procyflo 27TC'!E204)),EDATE(AB703,6),IF(ISNUMBER(SEARCH("3",'Procyflo 27TC'!E204)),EDATE(AB703,3),DATEVALUE('Procyflo 27TC'!E204))))),""))</f>
        <v/>
      </c>
      <c r="AM703" t="str">
        <f t="shared" ca="1" si="82"/>
        <v/>
      </c>
    </row>
    <row r="704" spans="27:39" x14ac:dyDescent="0.3">
      <c r="AA704" t="str">
        <f>IF(COUNTA('Procyflo 27TC'!B205,'Procyflo 27TC'!C205,'Procyflo 27TC'!D205)&gt;0,"27TC","")</f>
        <v/>
      </c>
      <c r="AB704" t="str">
        <f>IFERROR(IF(ISNUMBER('Procyflo 27TC'!B205),'Procyflo 27TC'!B205,DATEVALUE('Procyflo 27TC'!B205)),"")</f>
        <v/>
      </c>
      <c r="AC704" t="str">
        <f>IF(AA704="","",'Procyflo 27TC'!C205)</f>
        <v/>
      </c>
      <c r="AD704" t="str">
        <f>IF(AA704="","",IFERROR(1*'Procyflo 27TC'!D205,IFERROR(_xludf.NUMBERVALUE('Procyflo 27TC'!D205,".",","),IFERROR(_xludf.NUMBERVALUE('Procyflo 27TC'!D205,",","."),0))))</f>
        <v/>
      </c>
      <c r="AE704" t="str">
        <f>IF(AA704="","",'Procyflo 27TC'!N205)</f>
        <v/>
      </c>
      <c r="AF704">
        <f t="shared" si="77"/>
        <v>0</v>
      </c>
      <c r="AG704" t="str">
        <f t="shared" si="78"/>
        <v/>
      </c>
      <c r="AH704" t="str">
        <f t="shared" si="79"/>
        <v/>
      </c>
      <c r="AI704">
        <f t="shared" si="80"/>
        <v>0</v>
      </c>
      <c r="AJ704">
        <f t="shared" si="81"/>
        <v>0</v>
      </c>
      <c r="AK704">
        <v>0</v>
      </c>
      <c r="AL704" t="str">
        <f>IF(AA704="","",IFERROR(IF(ISNUMBER('Procyflo 27TC'!E205),'Procyflo 27TC'!E205,IF(ISNUMBER(SEARCH("12",'Procyflo 27TC'!E205)),EDATE(AB704,12),IF(ISNUMBER(SEARCH("6",'Procyflo 27TC'!E205)),EDATE(AB704,6),IF(ISNUMBER(SEARCH("3",'Procyflo 27TC'!E205)),EDATE(AB704,3),DATEVALUE('Procyflo 27TC'!E205))))),""))</f>
        <v/>
      </c>
      <c r="AM704" t="str">
        <f t="shared" ca="1" si="82"/>
        <v/>
      </c>
    </row>
    <row r="705" spans="27:39" x14ac:dyDescent="0.3">
      <c r="AA705" t="str">
        <f>IF(COUNTA('Procyflo 27TC'!B206,'Procyflo 27TC'!C206,'Procyflo 27TC'!D206)&gt;0,"27TC","")</f>
        <v/>
      </c>
      <c r="AB705" t="str">
        <f>IFERROR(IF(ISNUMBER('Procyflo 27TC'!B206),'Procyflo 27TC'!B206,DATEVALUE('Procyflo 27TC'!B206)),"")</f>
        <v/>
      </c>
      <c r="AC705" t="str">
        <f>IF(AA705="","",'Procyflo 27TC'!C206)</f>
        <v/>
      </c>
      <c r="AD705" t="str">
        <f>IF(AA705="","",IFERROR(1*'Procyflo 27TC'!D206,IFERROR(_xludf.NUMBERVALUE('Procyflo 27TC'!D206,".",","),IFERROR(_xludf.NUMBERVALUE('Procyflo 27TC'!D206,",","."),0))))</f>
        <v/>
      </c>
      <c r="AE705" t="str">
        <f>IF(AA705="","",'Procyflo 27TC'!N206)</f>
        <v/>
      </c>
      <c r="AF705">
        <f t="shared" si="77"/>
        <v>0</v>
      </c>
      <c r="AG705" t="str">
        <f t="shared" si="78"/>
        <v/>
      </c>
      <c r="AH705" t="str">
        <f t="shared" si="79"/>
        <v/>
      </c>
      <c r="AI705">
        <f t="shared" si="80"/>
        <v>0</v>
      </c>
      <c r="AJ705">
        <f t="shared" si="81"/>
        <v>0</v>
      </c>
      <c r="AK705">
        <v>0</v>
      </c>
      <c r="AL705" t="str">
        <f>IF(AA705="","",IFERROR(IF(ISNUMBER('Procyflo 27TC'!E206),'Procyflo 27TC'!E206,IF(ISNUMBER(SEARCH("12",'Procyflo 27TC'!E206)),EDATE(AB705,12),IF(ISNUMBER(SEARCH("6",'Procyflo 27TC'!E206)),EDATE(AB705,6),IF(ISNUMBER(SEARCH("3",'Procyflo 27TC'!E206)),EDATE(AB705,3),DATEVALUE('Procyflo 27TC'!E206))))),""))</f>
        <v/>
      </c>
      <c r="AM705" t="str">
        <f t="shared" ca="1" si="82"/>
        <v/>
      </c>
    </row>
    <row r="706" spans="27:39" x14ac:dyDescent="0.3">
      <c r="AA706" t="str">
        <f>IF(COUNTA('Procyflo 27TC'!B207,'Procyflo 27TC'!C207,'Procyflo 27TC'!D207)&gt;0,"27TC","")</f>
        <v/>
      </c>
      <c r="AB706" t="str">
        <f>IFERROR(IF(ISNUMBER('Procyflo 27TC'!B207),'Procyflo 27TC'!B207,DATEVALUE('Procyflo 27TC'!B207)),"")</f>
        <v/>
      </c>
      <c r="AC706" t="str">
        <f>IF(AA706="","",'Procyflo 27TC'!C207)</f>
        <v/>
      </c>
      <c r="AD706" t="str">
        <f>IF(AA706="","",IFERROR(1*'Procyflo 27TC'!D207,IFERROR(_xludf.NUMBERVALUE('Procyflo 27TC'!D207,".",","),IFERROR(_xludf.NUMBERVALUE('Procyflo 27TC'!D207,",","."),0))))</f>
        <v/>
      </c>
      <c r="AE706" t="str">
        <f>IF(AA706="","",'Procyflo 27TC'!N207)</f>
        <v/>
      </c>
      <c r="AF706">
        <f t="shared" ref="AF706:AF769" si="83">IF(AA706="",0,--AND(ISNUMBER(SEARCH("aprov",AE706)),NOT(ISNUMBER(SEARCH("reprov",AE706)))))</f>
        <v>0</v>
      </c>
      <c r="AG706" t="str">
        <f t="shared" ref="AG706:AG769" si="84">IF(AB706="","",YEAR(AB706))</f>
        <v/>
      </c>
      <c r="AH706" t="str">
        <f t="shared" ref="AH706:AH769" si="85">IF(AB706="","",MONTH(AB706))</f>
        <v/>
      </c>
      <c r="AI706">
        <f t="shared" ref="AI706:AI769" si="86">IF(AB706="",0,AB706+ROW()/1000000)</f>
        <v>0</v>
      </c>
      <c r="AJ706">
        <f t="shared" ref="AJ706:AJ769" si="87">--(AA706&lt;&gt;"")</f>
        <v>0</v>
      </c>
      <c r="AK706">
        <v>0</v>
      </c>
      <c r="AL706" t="str">
        <f>IF(AA706="","",IFERROR(IF(ISNUMBER('Procyflo 27TC'!E207),'Procyflo 27TC'!E207,IF(ISNUMBER(SEARCH("12",'Procyflo 27TC'!E207)),EDATE(AB706,12),IF(ISNUMBER(SEARCH("6",'Procyflo 27TC'!E207)),EDATE(AB706,6),IF(ISNUMBER(SEARCH("3",'Procyflo 27TC'!E207)),EDATE(AB706,3),DATEVALUE('Procyflo 27TC'!E207))))),""))</f>
        <v/>
      </c>
      <c r="AM706" t="str">
        <f t="shared" ref="AM706:AM769" ca="1" si="88">IF(AND(AJ706=1,AL706&lt;&gt;"",AL706&gt;=TODAY(),AG706=$W$3),AL706+ROW()/1000000,"")</f>
        <v/>
      </c>
    </row>
    <row r="707" spans="27:39" x14ac:dyDescent="0.3">
      <c r="AA707" t="str">
        <f>IF(COUNTA('Procyflo 27TC'!B208,'Procyflo 27TC'!C208,'Procyflo 27TC'!D208)&gt;0,"27TC","")</f>
        <v/>
      </c>
      <c r="AB707" t="str">
        <f>IFERROR(IF(ISNUMBER('Procyflo 27TC'!B208),'Procyflo 27TC'!B208,DATEVALUE('Procyflo 27TC'!B208)),"")</f>
        <v/>
      </c>
      <c r="AC707" t="str">
        <f>IF(AA707="","",'Procyflo 27TC'!C208)</f>
        <v/>
      </c>
      <c r="AD707" t="str">
        <f>IF(AA707="","",IFERROR(1*'Procyflo 27TC'!D208,IFERROR(_xludf.NUMBERVALUE('Procyflo 27TC'!D208,".",","),IFERROR(_xludf.NUMBERVALUE('Procyflo 27TC'!D208,",","."),0))))</f>
        <v/>
      </c>
      <c r="AE707" t="str">
        <f>IF(AA707="","",'Procyflo 27TC'!N208)</f>
        <v/>
      </c>
      <c r="AF707">
        <f t="shared" si="83"/>
        <v>0</v>
      </c>
      <c r="AG707" t="str">
        <f t="shared" si="84"/>
        <v/>
      </c>
      <c r="AH707" t="str">
        <f t="shared" si="85"/>
        <v/>
      </c>
      <c r="AI707">
        <f t="shared" si="86"/>
        <v>0</v>
      </c>
      <c r="AJ707">
        <f t="shared" si="87"/>
        <v>0</v>
      </c>
      <c r="AK707">
        <v>0</v>
      </c>
      <c r="AL707" t="str">
        <f>IF(AA707="","",IFERROR(IF(ISNUMBER('Procyflo 27TC'!E208),'Procyflo 27TC'!E208,IF(ISNUMBER(SEARCH("12",'Procyflo 27TC'!E208)),EDATE(AB707,12),IF(ISNUMBER(SEARCH("6",'Procyflo 27TC'!E208)),EDATE(AB707,6),IF(ISNUMBER(SEARCH("3",'Procyflo 27TC'!E208)),EDATE(AB707,3),DATEVALUE('Procyflo 27TC'!E208))))),""))</f>
        <v/>
      </c>
      <c r="AM707" t="str">
        <f t="shared" ca="1" si="88"/>
        <v/>
      </c>
    </row>
    <row r="708" spans="27:39" x14ac:dyDescent="0.3">
      <c r="AA708" t="str">
        <f>IF(COUNTA('Procyflo 27TC'!B209,'Procyflo 27TC'!C209,'Procyflo 27TC'!D209)&gt;0,"27TC","")</f>
        <v/>
      </c>
      <c r="AB708" t="str">
        <f>IFERROR(IF(ISNUMBER('Procyflo 27TC'!B209),'Procyflo 27TC'!B209,DATEVALUE('Procyflo 27TC'!B209)),"")</f>
        <v/>
      </c>
      <c r="AC708" t="str">
        <f>IF(AA708="","",'Procyflo 27TC'!C209)</f>
        <v/>
      </c>
      <c r="AD708" t="str">
        <f>IF(AA708="","",IFERROR(1*'Procyflo 27TC'!D209,IFERROR(_xludf.NUMBERVALUE('Procyflo 27TC'!D209,".",","),IFERROR(_xludf.NUMBERVALUE('Procyflo 27TC'!D209,",","."),0))))</f>
        <v/>
      </c>
      <c r="AE708" t="str">
        <f>IF(AA708="","",'Procyflo 27TC'!N209)</f>
        <v/>
      </c>
      <c r="AF708">
        <f t="shared" si="83"/>
        <v>0</v>
      </c>
      <c r="AG708" t="str">
        <f t="shared" si="84"/>
        <v/>
      </c>
      <c r="AH708" t="str">
        <f t="shared" si="85"/>
        <v/>
      </c>
      <c r="AI708">
        <f t="shared" si="86"/>
        <v>0</v>
      </c>
      <c r="AJ708">
        <f t="shared" si="87"/>
        <v>0</v>
      </c>
      <c r="AK708">
        <v>0</v>
      </c>
      <c r="AL708" t="str">
        <f>IF(AA708="","",IFERROR(IF(ISNUMBER('Procyflo 27TC'!E209),'Procyflo 27TC'!E209,IF(ISNUMBER(SEARCH("12",'Procyflo 27TC'!E209)),EDATE(AB708,12),IF(ISNUMBER(SEARCH("6",'Procyflo 27TC'!E209)),EDATE(AB708,6),IF(ISNUMBER(SEARCH("3",'Procyflo 27TC'!E209)),EDATE(AB708,3),DATEVALUE('Procyflo 27TC'!E209))))),""))</f>
        <v/>
      </c>
      <c r="AM708" t="str">
        <f t="shared" ca="1" si="88"/>
        <v/>
      </c>
    </row>
    <row r="709" spans="27:39" x14ac:dyDescent="0.3">
      <c r="AA709" t="str">
        <f>IF(COUNTA('Procyflo 27TC'!B210,'Procyflo 27TC'!C210,'Procyflo 27TC'!D210)&gt;0,"27TC","")</f>
        <v/>
      </c>
      <c r="AB709" t="str">
        <f>IFERROR(IF(ISNUMBER('Procyflo 27TC'!B210),'Procyflo 27TC'!B210,DATEVALUE('Procyflo 27TC'!B210)),"")</f>
        <v/>
      </c>
      <c r="AC709" t="str">
        <f>IF(AA709="","",'Procyflo 27TC'!C210)</f>
        <v/>
      </c>
      <c r="AD709" t="str">
        <f>IF(AA709="","",IFERROR(1*'Procyflo 27TC'!D210,IFERROR(_xludf.NUMBERVALUE('Procyflo 27TC'!D210,".",","),IFERROR(_xludf.NUMBERVALUE('Procyflo 27TC'!D210,",","."),0))))</f>
        <v/>
      </c>
      <c r="AE709" t="str">
        <f>IF(AA709="","",'Procyflo 27TC'!N210)</f>
        <v/>
      </c>
      <c r="AF709">
        <f t="shared" si="83"/>
        <v>0</v>
      </c>
      <c r="AG709" t="str">
        <f t="shared" si="84"/>
        <v/>
      </c>
      <c r="AH709" t="str">
        <f t="shared" si="85"/>
        <v/>
      </c>
      <c r="AI709">
        <f t="shared" si="86"/>
        <v>0</v>
      </c>
      <c r="AJ709">
        <f t="shared" si="87"/>
        <v>0</v>
      </c>
      <c r="AK709">
        <v>0</v>
      </c>
      <c r="AL709" t="str">
        <f>IF(AA709="","",IFERROR(IF(ISNUMBER('Procyflo 27TC'!E210),'Procyflo 27TC'!E210,IF(ISNUMBER(SEARCH("12",'Procyflo 27TC'!E210)),EDATE(AB709,12),IF(ISNUMBER(SEARCH("6",'Procyflo 27TC'!E210)),EDATE(AB709,6),IF(ISNUMBER(SEARCH("3",'Procyflo 27TC'!E210)),EDATE(AB709,3),DATEVALUE('Procyflo 27TC'!E210))))),""))</f>
        <v/>
      </c>
      <c r="AM709" t="str">
        <f t="shared" ca="1" si="88"/>
        <v/>
      </c>
    </row>
    <row r="710" spans="27:39" x14ac:dyDescent="0.3">
      <c r="AA710" t="str">
        <f>IF(COUNTA('Procyflo 27TC'!B211,'Procyflo 27TC'!C211,'Procyflo 27TC'!D211)&gt;0,"27TC","")</f>
        <v/>
      </c>
      <c r="AB710" t="str">
        <f>IFERROR(IF(ISNUMBER('Procyflo 27TC'!B211),'Procyflo 27TC'!B211,DATEVALUE('Procyflo 27TC'!B211)),"")</f>
        <v/>
      </c>
      <c r="AC710" t="str">
        <f>IF(AA710="","",'Procyflo 27TC'!C211)</f>
        <v/>
      </c>
      <c r="AD710" t="str">
        <f>IF(AA710="","",IFERROR(1*'Procyflo 27TC'!D211,IFERROR(_xludf.NUMBERVALUE('Procyflo 27TC'!D211,".",","),IFERROR(_xludf.NUMBERVALUE('Procyflo 27TC'!D211,",","."),0))))</f>
        <v/>
      </c>
      <c r="AE710" t="str">
        <f>IF(AA710="","",'Procyflo 27TC'!N211)</f>
        <v/>
      </c>
      <c r="AF710">
        <f t="shared" si="83"/>
        <v>0</v>
      </c>
      <c r="AG710" t="str">
        <f t="shared" si="84"/>
        <v/>
      </c>
      <c r="AH710" t="str">
        <f t="shared" si="85"/>
        <v/>
      </c>
      <c r="AI710">
        <f t="shared" si="86"/>
        <v>0</v>
      </c>
      <c r="AJ710">
        <f t="shared" si="87"/>
        <v>0</v>
      </c>
      <c r="AK710">
        <v>0</v>
      </c>
      <c r="AL710" t="str">
        <f>IF(AA710="","",IFERROR(IF(ISNUMBER('Procyflo 27TC'!E211),'Procyflo 27TC'!E211,IF(ISNUMBER(SEARCH("12",'Procyflo 27TC'!E211)),EDATE(AB710,12),IF(ISNUMBER(SEARCH("6",'Procyflo 27TC'!E211)),EDATE(AB710,6),IF(ISNUMBER(SEARCH("3",'Procyflo 27TC'!E211)),EDATE(AB710,3),DATEVALUE('Procyflo 27TC'!E211))))),""))</f>
        <v/>
      </c>
      <c r="AM710" t="str">
        <f t="shared" ca="1" si="88"/>
        <v/>
      </c>
    </row>
    <row r="711" spans="27:39" x14ac:dyDescent="0.3">
      <c r="AA711" t="str">
        <f>IF(COUNTA('Procyflo 27TC'!B212,'Procyflo 27TC'!C212,'Procyflo 27TC'!D212)&gt;0,"27TC","")</f>
        <v/>
      </c>
      <c r="AB711" t="str">
        <f>IFERROR(IF(ISNUMBER('Procyflo 27TC'!B212),'Procyflo 27TC'!B212,DATEVALUE('Procyflo 27TC'!B212)),"")</f>
        <v/>
      </c>
      <c r="AC711" t="str">
        <f>IF(AA711="","",'Procyflo 27TC'!C212)</f>
        <v/>
      </c>
      <c r="AD711" t="str">
        <f>IF(AA711="","",IFERROR(1*'Procyflo 27TC'!D212,IFERROR(_xludf.NUMBERVALUE('Procyflo 27TC'!D212,".",","),IFERROR(_xludf.NUMBERVALUE('Procyflo 27TC'!D212,",","."),0))))</f>
        <v/>
      </c>
      <c r="AE711" t="str">
        <f>IF(AA711="","",'Procyflo 27TC'!N212)</f>
        <v/>
      </c>
      <c r="AF711">
        <f t="shared" si="83"/>
        <v>0</v>
      </c>
      <c r="AG711" t="str">
        <f t="shared" si="84"/>
        <v/>
      </c>
      <c r="AH711" t="str">
        <f t="shared" si="85"/>
        <v/>
      </c>
      <c r="AI711">
        <f t="shared" si="86"/>
        <v>0</v>
      </c>
      <c r="AJ711">
        <f t="shared" si="87"/>
        <v>0</v>
      </c>
      <c r="AK711">
        <v>0</v>
      </c>
      <c r="AL711" t="str">
        <f>IF(AA711="","",IFERROR(IF(ISNUMBER('Procyflo 27TC'!E212),'Procyflo 27TC'!E212,IF(ISNUMBER(SEARCH("12",'Procyflo 27TC'!E212)),EDATE(AB711,12),IF(ISNUMBER(SEARCH("6",'Procyflo 27TC'!E212)),EDATE(AB711,6),IF(ISNUMBER(SEARCH("3",'Procyflo 27TC'!E212)),EDATE(AB711,3),DATEVALUE('Procyflo 27TC'!E212))))),""))</f>
        <v/>
      </c>
      <c r="AM711" t="str">
        <f t="shared" ca="1" si="88"/>
        <v/>
      </c>
    </row>
    <row r="712" spans="27:39" x14ac:dyDescent="0.3">
      <c r="AA712" t="str">
        <f>IF(COUNTA('Procyflo 27TC'!B213,'Procyflo 27TC'!C213,'Procyflo 27TC'!D213)&gt;0,"27TC","")</f>
        <v/>
      </c>
      <c r="AB712" t="str">
        <f>IFERROR(IF(ISNUMBER('Procyflo 27TC'!B213),'Procyflo 27TC'!B213,DATEVALUE('Procyflo 27TC'!B213)),"")</f>
        <v/>
      </c>
      <c r="AC712" t="str">
        <f>IF(AA712="","",'Procyflo 27TC'!C213)</f>
        <v/>
      </c>
      <c r="AD712" t="str">
        <f>IF(AA712="","",IFERROR(1*'Procyflo 27TC'!D213,IFERROR(_xludf.NUMBERVALUE('Procyflo 27TC'!D213,".",","),IFERROR(_xludf.NUMBERVALUE('Procyflo 27TC'!D213,",","."),0))))</f>
        <v/>
      </c>
      <c r="AE712" t="str">
        <f>IF(AA712="","",'Procyflo 27TC'!N213)</f>
        <v/>
      </c>
      <c r="AF712">
        <f t="shared" si="83"/>
        <v>0</v>
      </c>
      <c r="AG712" t="str">
        <f t="shared" si="84"/>
        <v/>
      </c>
      <c r="AH712" t="str">
        <f t="shared" si="85"/>
        <v/>
      </c>
      <c r="AI712">
        <f t="shared" si="86"/>
        <v>0</v>
      </c>
      <c r="AJ712">
        <f t="shared" si="87"/>
        <v>0</v>
      </c>
      <c r="AK712">
        <v>0</v>
      </c>
      <c r="AL712" t="str">
        <f>IF(AA712="","",IFERROR(IF(ISNUMBER('Procyflo 27TC'!E213),'Procyflo 27TC'!E213,IF(ISNUMBER(SEARCH("12",'Procyflo 27TC'!E213)),EDATE(AB712,12),IF(ISNUMBER(SEARCH("6",'Procyflo 27TC'!E213)),EDATE(AB712,6),IF(ISNUMBER(SEARCH("3",'Procyflo 27TC'!E213)),EDATE(AB712,3),DATEVALUE('Procyflo 27TC'!E213))))),""))</f>
        <v/>
      </c>
      <c r="AM712" t="str">
        <f t="shared" ca="1" si="88"/>
        <v/>
      </c>
    </row>
    <row r="713" spans="27:39" x14ac:dyDescent="0.3">
      <c r="AA713" t="str">
        <f>IF(COUNTA('Procyflo 27TC'!B214,'Procyflo 27TC'!C214,'Procyflo 27TC'!D214)&gt;0,"27TC","")</f>
        <v/>
      </c>
      <c r="AB713" t="str">
        <f>IFERROR(IF(ISNUMBER('Procyflo 27TC'!B214),'Procyflo 27TC'!B214,DATEVALUE('Procyflo 27TC'!B214)),"")</f>
        <v/>
      </c>
      <c r="AC713" t="str">
        <f>IF(AA713="","",'Procyflo 27TC'!C214)</f>
        <v/>
      </c>
      <c r="AD713" t="str">
        <f>IF(AA713="","",IFERROR(1*'Procyflo 27TC'!D214,IFERROR(_xludf.NUMBERVALUE('Procyflo 27TC'!D214,".",","),IFERROR(_xludf.NUMBERVALUE('Procyflo 27TC'!D214,",","."),0))))</f>
        <v/>
      </c>
      <c r="AE713" t="str">
        <f>IF(AA713="","",'Procyflo 27TC'!N214)</f>
        <v/>
      </c>
      <c r="AF713">
        <f t="shared" si="83"/>
        <v>0</v>
      </c>
      <c r="AG713" t="str">
        <f t="shared" si="84"/>
        <v/>
      </c>
      <c r="AH713" t="str">
        <f t="shared" si="85"/>
        <v/>
      </c>
      <c r="AI713">
        <f t="shared" si="86"/>
        <v>0</v>
      </c>
      <c r="AJ713">
        <f t="shared" si="87"/>
        <v>0</v>
      </c>
      <c r="AK713">
        <v>0</v>
      </c>
      <c r="AL713" t="str">
        <f>IF(AA713="","",IFERROR(IF(ISNUMBER('Procyflo 27TC'!E214),'Procyflo 27TC'!E214,IF(ISNUMBER(SEARCH("12",'Procyflo 27TC'!E214)),EDATE(AB713,12),IF(ISNUMBER(SEARCH("6",'Procyflo 27TC'!E214)),EDATE(AB713,6),IF(ISNUMBER(SEARCH("3",'Procyflo 27TC'!E214)),EDATE(AB713,3),DATEVALUE('Procyflo 27TC'!E214))))),""))</f>
        <v/>
      </c>
      <c r="AM713" t="str">
        <f t="shared" ca="1" si="88"/>
        <v/>
      </c>
    </row>
    <row r="714" spans="27:39" x14ac:dyDescent="0.3">
      <c r="AA714" t="str">
        <f>IF(COUNTA('Procyflo 27TC'!B215,'Procyflo 27TC'!C215,'Procyflo 27TC'!D215)&gt;0,"27TC","")</f>
        <v/>
      </c>
      <c r="AB714" t="str">
        <f>IFERROR(IF(ISNUMBER('Procyflo 27TC'!B215),'Procyflo 27TC'!B215,DATEVALUE('Procyflo 27TC'!B215)),"")</f>
        <v/>
      </c>
      <c r="AC714" t="str">
        <f>IF(AA714="","",'Procyflo 27TC'!C215)</f>
        <v/>
      </c>
      <c r="AD714" t="str">
        <f>IF(AA714="","",IFERROR(1*'Procyflo 27TC'!D215,IFERROR(_xludf.NUMBERVALUE('Procyflo 27TC'!D215,".",","),IFERROR(_xludf.NUMBERVALUE('Procyflo 27TC'!D215,",","."),0))))</f>
        <v/>
      </c>
      <c r="AE714" t="str">
        <f>IF(AA714="","",'Procyflo 27TC'!N215)</f>
        <v/>
      </c>
      <c r="AF714">
        <f t="shared" si="83"/>
        <v>0</v>
      </c>
      <c r="AG714" t="str">
        <f t="shared" si="84"/>
        <v/>
      </c>
      <c r="AH714" t="str">
        <f t="shared" si="85"/>
        <v/>
      </c>
      <c r="AI714">
        <f t="shared" si="86"/>
        <v>0</v>
      </c>
      <c r="AJ714">
        <f t="shared" si="87"/>
        <v>0</v>
      </c>
      <c r="AK714">
        <v>0</v>
      </c>
      <c r="AL714" t="str">
        <f>IF(AA714="","",IFERROR(IF(ISNUMBER('Procyflo 27TC'!E215),'Procyflo 27TC'!E215,IF(ISNUMBER(SEARCH("12",'Procyflo 27TC'!E215)),EDATE(AB714,12),IF(ISNUMBER(SEARCH("6",'Procyflo 27TC'!E215)),EDATE(AB714,6),IF(ISNUMBER(SEARCH("3",'Procyflo 27TC'!E215)),EDATE(AB714,3),DATEVALUE('Procyflo 27TC'!E215))))),""))</f>
        <v/>
      </c>
      <c r="AM714" t="str">
        <f t="shared" ca="1" si="88"/>
        <v/>
      </c>
    </row>
    <row r="715" spans="27:39" x14ac:dyDescent="0.3">
      <c r="AA715" t="str">
        <f>IF(COUNTA('Procyflo 27TC'!B216,'Procyflo 27TC'!C216,'Procyflo 27TC'!D216)&gt;0,"27TC","")</f>
        <v/>
      </c>
      <c r="AB715" t="str">
        <f>IFERROR(IF(ISNUMBER('Procyflo 27TC'!B216),'Procyflo 27TC'!B216,DATEVALUE('Procyflo 27TC'!B216)),"")</f>
        <v/>
      </c>
      <c r="AC715" t="str">
        <f>IF(AA715="","",'Procyflo 27TC'!C216)</f>
        <v/>
      </c>
      <c r="AD715" t="str">
        <f>IF(AA715="","",IFERROR(1*'Procyflo 27TC'!D216,IFERROR(_xludf.NUMBERVALUE('Procyflo 27TC'!D216,".",","),IFERROR(_xludf.NUMBERVALUE('Procyflo 27TC'!D216,",","."),0))))</f>
        <v/>
      </c>
      <c r="AE715" t="str">
        <f>IF(AA715="","",'Procyflo 27TC'!N216)</f>
        <v/>
      </c>
      <c r="AF715">
        <f t="shared" si="83"/>
        <v>0</v>
      </c>
      <c r="AG715" t="str">
        <f t="shared" si="84"/>
        <v/>
      </c>
      <c r="AH715" t="str">
        <f t="shared" si="85"/>
        <v/>
      </c>
      <c r="AI715">
        <f t="shared" si="86"/>
        <v>0</v>
      </c>
      <c r="AJ715">
        <f t="shared" si="87"/>
        <v>0</v>
      </c>
      <c r="AK715">
        <v>0</v>
      </c>
      <c r="AL715" t="str">
        <f>IF(AA715="","",IFERROR(IF(ISNUMBER('Procyflo 27TC'!E216),'Procyflo 27TC'!E216,IF(ISNUMBER(SEARCH("12",'Procyflo 27TC'!E216)),EDATE(AB715,12),IF(ISNUMBER(SEARCH("6",'Procyflo 27TC'!E216)),EDATE(AB715,6),IF(ISNUMBER(SEARCH("3",'Procyflo 27TC'!E216)),EDATE(AB715,3),DATEVALUE('Procyflo 27TC'!E216))))),""))</f>
        <v/>
      </c>
      <c r="AM715" t="str">
        <f t="shared" ca="1" si="88"/>
        <v/>
      </c>
    </row>
    <row r="716" spans="27:39" x14ac:dyDescent="0.3">
      <c r="AA716" t="str">
        <f>IF(COUNTA('Procyflo 27TC'!B217,'Procyflo 27TC'!C217,'Procyflo 27TC'!D217)&gt;0,"27TC","")</f>
        <v/>
      </c>
      <c r="AB716" t="str">
        <f>IFERROR(IF(ISNUMBER('Procyflo 27TC'!B217),'Procyflo 27TC'!B217,DATEVALUE('Procyflo 27TC'!B217)),"")</f>
        <v/>
      </c>
      <c r="AC716" t="str">
        <f>IF(AA716="","",'Procyflo 27TC'!C217)</f>
        <v/>
      </c>
      <c r="AD716" t="str">
        <f>IF(AA716="","",IFERROR(1*'Procyflo 27TC'!D217,IFERROR(_xludf.NUMBERVALUE('Procyflo 27TC'!D217,".",","),IFERROR(_xludf.NUMBERVALUE('Procyflo 27TC'!D217,",","."),0))))</f>
        <v/>
      </c>
      <c r="AE716" t="str">
        <f>IF(AA716="","",'Procyflo 27TC'!N217)</f>
        <v/>
      </c>
      <c r="AF716">
        <f t="shared" si="83"/>
        <v>0</v>
      </c>
      <c r="AG716" t="str">
        <f t="shared" si="84"/>
        <v/>
      </c>
      <c r="AH716" t="str">
        <f t="shared" si="85"/>
        <v/>
      </c>
      <c r="AI716">
        <f t="shared" si="86"/>
        <v>0</v>
      </c>
      <c r="AJ716">
        <f t="shared" si="87"/>
        <v>0</v>
      </c>
      <c r="AK716">
        <v>0</v>
      </c>
      <c r="AL716" t="str">
        <f>IF(AA716="","",IFERROR(IF(ISNUMBER('Procyflo 27TC'!E217),'Procyflo 27TC'!E217,IF(ISNUMBER(SEARCH("12",'Procyflo 27TC'!E217)),EDATE(AB716,12),IF(ISNUMBER(SEARCH("6",'Procyflo 27TC'!E217)),EDATE(AB716,6),IF(ISNUMBER(SEARCH("3",'Procyflo 27TC'!E217)),EDATE(AB716,3),DATEVALUE('Procyflo 27TC'!E217))))),""))</f>
        <v/>
      </c>
      <c r="AM716" t="str">
        <f t="shared" ca="1" si="88"/>
        <v/>
      </c>
    </row>
    <row r="717" spans="27:39" x14ac:dyDescent="0.3">
      <c r="AA717" t="str">
        <f>IF(COUNTA('Procyflo 27TC'!B218,'Procyflo 27TC'!C218,'Procyflo 27TC'!D218)&gt;0,"27TC","")</f>
        <v/>
      </c>
      <c r="AB717" t="str">
        <f>IFERROR(IF(ISNUMBER('Procyflo 27TC'!B218),'Procyflo 27TC'!B218,DATEVALUE('Procyflo 27TC'!B218)),"")</f>
        <v/>
      </c>
      <c r="AC717" t="str">
        <f>IF(AA717="","",'Procyflo 27TC'!C218)</f>
        <v/>
      </c>
      <c r="AD717" t="str">
        <f>IF(AA717="","",IFERROR(1*'Procyflo 27TC'!D218,IFERROR(_xludf.NUMBERVALUE('Procyflo 27TC'!D218,".",","),IFERROR(_xludf.NUMBERVALUE('Procyflo 27TC'!D218,",","."),0))))</f>
        <v/>
      </c>
      <c r="AE717" t="str">
        <f>IF(AA717="","",'Procyflo 27TC'!N218)</f>
        <v/>
      </c>
      <c r="AF717">
        <f t="shared" si="83"/>
        <v>0</v>
      </c>
      <c r="AG717" t="str">
        <f t="shared" si="84"/>
        <v/>
      </c>
      <c r="AH717" t="str">
        <f t="shared" si="85"/>
        <v/>
      </c>
      <c r="AI717">
        <f t="shared" si="86"/>
        <v>0</v>
      </c>
      <c r="AJ717">
        <f t="shared" si="87"/>
        <v>0</v>
      </c>
      <c r="AK717">
        <v>0</v>
      </c>
      <c r="AL717" t="str">
        <f>IF(AA717="","",IFERROR(IF(ISNUMBER('Procyflo 27TC'!E218),'Procyflo 27TC'!E218,IF(ISNUMBER(SEARCH("12",'Procyflo 27TC'!E218)),EDATE(AB717,12),IF(ISNUMBER(SEARCH("6",'Procyflo 27TC'!E218)),EDATE(AB717,6),IF(ISNUMBER(SEARCH("3",'Procyflo 27TC'!E218)),EDATE(AB717,3),DATEVALUE('Procyflo 27TC'!E218))))),""))</f>
        <v/>
      </c>
      <c r="AM717" t="str">
        <f t="shared" ca="1" si="88"/>
        <v/>
      </c>
    </row>
    <row r="718" spans="27:39" x14ac:dyDescent="0.3">
      <c r="AA718" t="str">
        <f>IF(COUNTA('Procyflo 27TC'!B219,'Procyflo 27TC'!C219,'Procyflo 27TC'!D219)&gt;0,"27TC","")</f>
        <v/>
      </c>
      <c r="AB718" t="str">
        <f>IFERROR(IF(ISNUMBER('Procyflo 27TC'!B219),'Procyflo 27TC'!B219,DATEVALUE('Procyflo 27TC'!B219)),"")</f>
        <v/>
      </c>
      <c r="AC718" t="str">
        <f>IF(AA718="","",'Procyflo 27TC'!C219)</f>
        <v/>
      </c>
      <c r="AD718" t="str">
        <f>IF(AA718="","",IFERROR(1*'Procyflo 27TC'!D219,IFERROR(_xludf.NUMBERVALUE('Procyflo 27TC'!D219,".",","),IFERROR(_xludf.NUMBERVALUE('Procyflo 27TC'!D219,",","."),0))))</f>
        <v/>
      </c>
      <c r="AE718" t="str">
        <f>IF(AA718="","",'Procyflo 27TC'!N219)</f>
        <v/>
      </c>
      <c r="AF718">
        <f t="shared" si="83"/>
        <v>0</v>
      </c>
      <c r="AG718" t="str">
        <f t="shared" si="84"/>
        <v/>
      </c>
      <c r="AH718" t="str">
        <f t="shared" si="85"/>
        <v/>
      </c>
      <c r="AI718">
        <f t="shared" si="86"/>
        <v>0</v>
      </c>
      <c r="AJ718">
        <f t="shared" si="87"/>
        <v>0</v>
      </c>
      <c r="AK718">
        <v>0</v>
      </c>
      <c r="AL718" t="str">
        <f>IF(AA718="","",IFERROR(IF(ISNUMBER('Procyflo 27TC'!E219),'Procyflo 27TC'!E219,IF(ISNUMBER(SEARCH("12",'Procyflo 27TC'!E219)),EDATE(AB718,12),IF(ISNUMBER(SEARCH("6",'Procyflo 27TC'!E219)),EDATE(AB718,6),IF(ISNUMBER(SEARCH("3",'Procyflo 27TC'!E219)),EDATE(AB718,3),DATEVALUE('Procyflo 27TC'!E219))))),""))</f>
        <v/>
      </c>
      <c r="AM718" t="str">
        <f t="shared" ca="1" si="88"/>
        <v/>
      </c>
    </row>
    <row r="719" spans="27:39" x14ac:dyDescent="0.3">
      <c r="AA719" t="str">
        <f>IF(COUNTA('Procyflo 27TC'!B220,'Procyflo 27TC'!C220,'Procyflo 27TC'!D220)&gt;0,"27TC","")</f>
        <v/>
      </c>
      <c r="AB719" t="str">
        <f>IFERROR(IF(ISNUMBER('Procyflo 27TC'!B220),'Procyflo 27TC'!B220,DATEVALUE('Procyflo 27TC'!B220)),"")</f>
        <v/>
      </c>
      <c r="AC719" t="str">
        <f>IF(AA719="","",'Procyflo 27TC'!C220)</f>
        <v/>
      </c>
      <c r="AD719" t="str">
        <f>IF(AA719="","",IFERROR(1*'Procyflo 27TC'!D220,IFERROR(_xludf.NUMBERVALUE('Procyflo 27TC'!D220,".",","),IFERROR(_xludf.NUMBERVALUE('Procyflo 27TC'!D220,",","."),0))))</f>
        <v/>
      </c>
      <c r="AE719" t="str">
        <f>IF(AA719="","",'Procyflo 27TC'!N220)</f>
        <v/>
      </c>
      <c r="AF719">
        <f t="shared" si="83"/>
        <v>0</v>
      </c>
      <c r="AG719" t="str">
        <f t="shared" si="84"/>
        <v/>
      </c>
      <c r="AH719" t="str">
        <f t="shared" si="85"/>
        <v/>
      </c>
      <c r="AI719">
        <f t="shared" si="86"/>
        <v>0</v>
      </c>
      <c r="AJ719">
        <f t="shared" si="87"/>
        <v>0</v>
      </c>
      <c r="AK719">
        <v>0</v>
      </c>
      <c r="AL719" t="str">
        <f>IF(AA719="","",IFERROR(IF(ISNUMBER('Procyflo 27TC'!E220),'Procyflo 27TC'!E220,IF(ISNUMBER(SEARCH("12",'Procyflo 27TC'!E220)),EDATE(AB719,12),IF(ISNUMBER(SEARCH("6",'Procyflo 27TC'!E220)),EDATE(AB719,6),IF(ISNUMBER(SEARCH("3",'Procyflo 27TC'!E220)),EDATE(AB719,3),DATEVALUE('Procyflo 27TC'!E220))))),""))</f>
        <v/>
      </c>
      <c r="AM719" t="str">
        <f t="shared" ca="1" si="88"/>
        <v/>
      </c>
    </row>
    <row r="720" spans="27:39" x14ac:dyDescent="0.3">
      <c r="AA720" t="str">
        <f>IF(COUNTA('Procyflo 27TC'!B221,'Procyflo 27TC'!C221,'Procyflo 27TC'!D221)&gt;0,"27TC","")</f>
        <v/>
      </c>
      <c r="AB720" t="str">
        <f>IFERROR(IF(ISNUMBER('Procyflo 27TC'!B221),'Procyflo 27TC'!B221,DATEVALUE('Procyflo 27TC'!B221)),"")</f>
        <v/>
      </c>
      <c r="AC720" t="str">
        <f>IF(AA720="","",'Procyflo 27TC'!C221)</f>
        <v/>
      </c>
      <c r="AD720" t="str">
        <f>IF(AA720="","",IFERROR(1*'Procyflo 27TC'!D221,IFERROR(_xludf.NUMBERVALUE('Procyflo 27TC'!D221,".",","),IFERROR(_xludf.NUMBERVALUE('Procyflo 27TC'!D221,",","."),0))))</f>
        <v/>
      </c>
      <c r="AE720" t="str">
        <f>IF(AA720="","",'Procyflo 27TC'!N221)</f>
        <v/>
      </c>
      <c r="AF720">
        <f t="shared" si="83"/>
        <v>0</v>
      </c>
      <c r="AG720" t="str">
        <f t="shared" si="84"/>
        <v/>
      </c>
      <c r="AH720" t="str">
        <f t="shared" si="85"/>
        <v/>
      </c>
      <c r="AI720">
        <f t="shared" si="86"/>
        <v>0</v>
      </c>
      <c r="AJ720">
        <f t="shared" si="87"/>
        <v>0</v>
      </c>
      <c r="AK720">
        <v>0</v>
      </c>
      <c r="AL720" t="str">
        <f>IF(AA720="","",IFERROR(IF(ISNUMBER('Procyflo 27TC'!E221),'Procyflo 27TC'!E221,IF(ISNUMBER(SEARCH("12",'Procyflo 27TC'!E221)),EDATE(AB720,12),IF(ISNUMBER(SEARCH("6",'Procyflo 27TC'!E221)),EDATE(AB720,6),IF(ISNUMBER(SEARCH("3",'Procyflo 27TC'!E221)),EDATE(AB720,3),DATEVALUE('Procyflo 27TC'!E221))))),""))</f>
        <v/>
      </c>
      <c r="AM720" t="str">
        <f t="shared" ca="1" si="88"/>
        <v/>
      </c>
    </row>
    <row r="721" spans="27:39" x14ac:dyDescent="0.3">
      <c r="AA721" t="str">
        <f>IF(COUNTA('Procyflo 27TC'!B222,'Procyflo 27TC'!C222,'Procyflo 27TC'!D222)&gt;0,"27TC","")</f>
        <v/>
      </c>
      <c r="AB721" t="str">
        <f>IFERROR(IF(ISNUMBER('Procyflo 27TC'!B222),'Procyflo 27TC'!B222,DATEVALUE('Procyflo 27TC'!B222)),"")</f>
        <v/>
      </c>
      <c r="AC721" t="str">
        <f>IF(AA721="","",'Procyflo 27TC'!C222)</f>
        <v/>
      </c>
      <c r="AD721" t="str">
        <f>IF(AA721="","",IFERROR(1*'Procyflo 27TC'!D222,IFERROR(_xludf.NUMBERVALUE('Procyflo 27TC'!D222,".",","),IFERROR(_xludf.NUMBERVALUE('Procyflo 27TC'!D222,",","."),0))))</f>
        <v/>
      </c>
      <c r="AE721" t="str">
        <f>IF(AA721="","",'Procyflo 27TC'!N222)</f>
        <v/>
      </c>
      <c r="AF721">
        <f t="shared" si="83"/>
        <v>0</v>
      </c>
      <c r="AG721" t="str">
        <f t="shared" si="84"/>
        <v/>
      </c>
      <c r="AH721" t="str">
        <f t="shared" si="85"/>
        <v/>
      </c>
      <c r="AI721">
        <f t="shared" si="86"/>
        <v>0</v>
      </c>
      <c r="AJ721">
        <f t="shared" si="87"/>
        <v>0</v>
      </c>
      <c r="AK721">
        <v>0</v>
      </c>
      <c r="AL721" t="str">
        <f>IF(AA721="","",IFERROR(IF(ISNUMBER('Procyflo 27TC'!E222),'Procyflo 27TC'!E222,IF(ISNUMBER(SEARCH("12",'Procyflo 27TC'!E222)),EDATE(AB721,12),IF(ISNUMBER(SEARCH("6",'Procyflo 27TC'!E222)),EDATE(AB721,6),IF(ISNUMBER(SEARCH("3",'Procyflo 27TC'!E222)),EDATE(AB721,3),DATEVALUE('Procyflo 27TC'!E222))))),""))</f>
        <v/>
      </c>
      <c r="AM721" t="str">
        <f t="shared" ca="1" si="88"/>
        <v/>
      </c>
    </row>
    <row r="722" spans="27:39" x14ac:dyDescent="0.3">
      <c r="AA722" t="str">
        <f>IF(COUNTA('Procyflo 27TC'!B223,'Procyflo 27TC'!C223,'Procyflo 27TC'!D223)&gt;0,"27TC","")</f>
        <v/>
      </c>
      <c r="AB722" t="str">
        <f>IFERROR(IF(ISNUMBER('Procyflo 27TC'!B223),'Procyflo 27TC'!B223,DATEVALUE('Procyflo 27TC'!B223)),"")</f>
        <v/>
      </c>
      <c r="AC722" t="str">
        <f>IF(AA722="","",'Procyflo 27TC'!C223)</f>
        <v/>
      </c>
      <c r="AD722" t="str">
        <f>IF(AA722="","",IFERROR(1*'Procyflo 27TC'!D223,IFERROR(_xludf.NUMBERVALUE('Procyflo 27TC'!D223,".",","),IFERROR(_xludf.NUMBERVALUE('Procyflo 27TC'!D223,",","."),0))))</f>
        <v/>
      </c>
      <c r="AE722" t="str">
        <f>IF(AA722="","",'Procyflo 27TC'!N223)</f>
        <v/>
      </c>
      <c r="AF722">
        <f t="shared" si="83"/>
        <v>0</v>
      </c>
      <c r="AG722" t="str">
        <f t="shared" si="84"/>
        <v/>
      </c>
      <c r="AH722" t="str">
        <f t="shared" si="85"/>
        <v/>
      </c>
      <c r="AI722">
        <f t="shared" si="86"/>
        <v>0</v>
      </c>
      <c r="AJ722">
        <f t="shared" si="87"/>
        <v>0</v>
      </c>
      <c r="AK722">
        <v>0</v>
      </c>
      <c r="AL722" t="str">
        <f>IF(AA722="","",IFERROR(IF(ISNUMBER('Procyflo 27TC'!E223),'Procyflo 27TC'!E223,IF(ISNUMBER(SEARCH("12",'Procyflo 27TC'!E223)),EDATE(AB722,12),IF(ISNUMBER(SEARCH("6",'Procyflo 27TC'!E223)),EDATE(AB722,6),IF(ISNUMBER(SEARCH("3",'Procyflo 27TC'!E223)),EDATE(AB722,3),DATEVALUE('Procyflo 27TC'!E223))))),""))</f>
        <v/>
      </c>
      <c r="AM722" t="str">
        <f t="shared" ca="1" si="88"/>
        <v/>
      </c>
    </row>
    <row r="723" spans="27:39" x14ac:dyDescent="0.3">
      <c r="AA723" t="str">
        <f>IF(COUNTA('Procyflo 27TC'!B224,'Procyflo 27TC'!C224,'Procyflo 27TC'!D224)&gt;0,"27TC","")</f>
        <v/>
      </c>
      <c r="AB723" t="str">
        <f>IFERROR(IF(ISNUMBER('Procyflo 27TC'!B224),'Procyflo 27TC'!B224,DATEVALUE('Procyflo 27TC'!B224)),"")</f>
        <v/>
      </c>
      <c r="AC723" t="str">
        <f>IF(AA723="","",'Procyflo 27TC'!C224)</f>
        <v/>
      </c>
      <c r="AD723" t="str">
        <f>IF(AA723="","",IFERROR(1*'Procyflo 27TC'!D224,IFERROR(_xludf.NUMBERVALUE('Procyflo 27TC'!D224,".",","),IFERROR(_xludf.NUMBERVALUE('Procyflo 27TC'!D224,",","."),0))))</f>
        <v/>
      </c>
      <c r="AE723" t="str">
        <f>IF(AA723="","",'Procyflo 27TC'!N224)</f>
        <v/>
      </c>
      <c r="AF723">
        <f t="shared" si="83"/>
        <v>0</v>
      </c>
      <c r="AG723" t="str">
        <f t="shared" si="84"/>
        <v/>
      </c>
      <c r="AH723" t="str">
        <f t="shared" si="85"/>
        <v/>
      </c>
      <c r="AI723">
        <f t="shared" si="86"/>
        <v>0</v>
      </c>
      <c r="AJ723">
        <f t="shared" si="87"/>
        <v>0</v>
      </c>
      <c r="AK723">
        <v>0</v>
      </c>
      <c r="AL723" t="str">
        <f>IF(AA723="","",IFERROR(IF(ISNUMBER('Procyflo 27TC'!E224),'Procyflo 27TC'!E224,IF(ISNUMBER(SEARCH("12",'Procyflo 27TC'!E224)),EDATE(AB723,12),IF(ISNUMBER(SEARCH("6",'Procyflo 27TC'!E224)),EDATE(AB723,6),IF(ISNUMBER(SEARCH("3",'Procyflo 27TC'!E224)),EDATE(AB723,3),DATEVALUE('Procyflo 27TC'!E224))))),""))</f>
        <v/>
      </c>
      <c r="AM723" t="str">
        <f t="shared" ca="1" si="88"/>
        <v/>
      </c>
    </row>
    <row r="724" spans="27:39" x14ac:dyDescent="0.3">
      <c r="AA724" t="str">
        <f>IF(COUNTA('Procyflo 27TC'!B225,'Procyflo 27TC'!C225,'Procyflo 27TC'!D225)&gt;0,"27TC","")</f>
        <v/>
      </c>
      <c r="AB724" t="str">
        <f>IFERROR(IF(ISNUMBER('Procyflo 27TC'!B225),'Procyflo 27TC'!B225,DATEVALUE('Procyflo 27TC'!B225)),"")</f>
        <v/>
      </c>
      <c r="AC724" t="str">
        <f>IF(AA724="","",'Procyflo 27TC'!C225)</f>
        <v/>
      </c>
      <c r="AD724" t="str">
        <f>IF(AA724="","",IFERROR(1*'Procyflo 27TC'!D225,IFERROR(_xludf.NUMBERVALUE('Procyflo 27TC'!D225,".",","),IFERROR(_xludf.NUMBERVALUE('Procyflo 27TC'!D225,",","."),0))))</f>
        <v/>
      </c>
      <c r="AE724" t="str">
        <f>IF(AA724="","",'Procyflo 27TC'!N225)</f>
        <v/>
      </c>
      <c r="AF724">
        <f t="shared" si="83"/>
        <v>0</v>
      </c>
      <c r="AG724" t="str">
        <f t="shared" si="84"/>
        <v/>
      </c>
      <c r="AH724" t="str">
        <f t="shared" si="85"/>
        <v/>
      </c>
      <c r="AI724">
        <f t="shared" si="86"/>
        <v>0</v>
      </c>
      <c r="AJ724">
        <f t="shared" si="87"/>
        <v>0</v>
      </c>
      <c r="AK724">
        <v>0</v>
      </c>
      <c r="AL724" t="str">
        <f>IF(AA724="","",IFERROR(IF(ISNUMBER('Procyflo 27TC'!E225),'Procyflo 27TC'!E225,IF(ISNUMBER(SEARCH("12",'Procyflo 27TC'!E225)),EDATE(AB724,12),IF(ISNUMBER(SEARCH("6",'Procyflo 27TC'!E225)),EDATE(AB724,6),IF(ISNUMBER(SEARCH("3",'Procyflo 27TC'!E225)),EDATE(AB724,3),DATEVALUE('Procyflo 27TC'!E225))))),""))</f>
        <v/>
      </c>
      <c r="AM724" t="str">
        <f t="shared" ca="1" si="88"/>
        <v/>
      </c>
    </row>
    <row r="725" spans="27:39" x14ac:dyDescent="0.3">
      <c r="AA725" t="str">
        <f>IF(COUNTA('Procyflo 27TC'!B226,'Procyflo 27TC'!C226,'Procyflo 27TC'!D226)&gt;0,"27TC","")</f>
        <v/>
      </c>
      <c r="AB725" t="str">
        <f>IFERROR(IF(ISNUMBER('Procyflo 27TC'!B226),'Procyflo 27TC'!B226,DATEVALUE('Procyflo 27TC'!B226)),"")</f>
        <v/>
      </c>
      <c r="AC725" t="str">
        <f>IF(AA725="","",'Procyflo 27TC'!C226)</f>
        <v/>
      </c>
      <c r="AD725" t="str">
        <f>IF(AA725="","",IFERROR(1*'Procyflo 27TC'!D226,IFERROR(_xludf.NUMBERVALUE('Procyflo 27TC'!D226,".",","),IFERROR(_xludf.NUMBERVALUE('Procyflo 27TC'!D226,",","."),0))))</f>
        <v/>
      </c>
      <c r="AE725" t="str">
        <f>IF(AA725="","",'Procyflo 27TC'!N226)</f>
        <v/>
      </c>
      <c r="AF725">
        <f t="shared" si="83"/>
        <v>0</v>
      </c>
      <c r="AG725" t="str">
        <f t="shared" si="84"/>
        <v/>
      </c>
      <c r="AH725" t="str">
        <f t="shared" si="85"/>
        <v/>
      </c>
      <c r="AI725">
        <f t="shared" si="86"/>
        <v>0</v>
      </c>
      <c r="AJ725">
        <f t="shared" si="87"/>
        <v>0</v>
      </c>
      <c r="AK725">
        <v>0</v>
      </c>
      <c r="AL725" t="str">
        <f>IF(AA725="","",IFERROR(IF(ISNUMBER('Procyflo 27TC'!E226),'Procyflo 27TC'!E226,IF(ISNUMBER(SEARCH("12",'Procyflo 27TC'!E226)),EDATE(AB725,12),IF(ISNUMBER(SEARCH("6",'Procyflo 27TC'!E226)),EDATE(AB725,6),IF(ISNUMBER(SEARCH("3",'Procyflo 27TC'!E226)),EDATE(AB725,3),DATEVALUE('Procyflo 27TC'!E226))))),""))</f>
        <v/>
      </c>
      <c r="AM725" t="str">
        <f t="shared" ca="1" si="88"/>
        <v/>
      </c>
    </row>
    <row r="726" spans="27:39" x14ac:dyDescent="0.3">
      <c r="AA726" t="str">
        <f>IF(COUNTA('Procyflo 27TC'!B227,'Procyflo 27TC'!C227,'Procyflo 27TC'!D227)&gt;0,"27TC","")</f>
        <v/>
      </c>
      <c r="AB726" t="str">
        <f>IFERROR(IF(ISNUMBER('Procyflo 27TC'!B227),'Procyflo 27TC'!B227,DATEVALUE('Procyflo 27TC'!B227)),"")</f>
        <v/>
      </c>
      <c r="AC726" t="str">
        <f>IF(AA726="","",'Procyflo 27TC'!C227)</f>
        <v/>
      </c>
      <c r="AD726" t="str">
        <f>IF(AA726="","",IFERROR(1*'Procyflo 27TC'!D227,IFERROR(_xludf.NUMBERVALUE('Procyflo 27TC'!D227,".",","),IFERROR(_xludf.NUMBERVALUE('Procyflo 27TC'!D227,",","."),0))))</f>
        <v/>
      </c>
      <c r="AE726" t="str">
        <f>IF(AA726="","",'Procyflo 27TC'!N227)</f>
        <v/>
      </c>
      <c r="AF726">
        <f t="shared" si="83"/>
        <v>0</v>
      </c>
      <c r="AG726" t="str">
        <f t="shared" si="84"/>
        <v/>
      </c>
      <c r="AH726" t="str">
        <f t="shared" si="85"/>
        <v/>
      </c>
      <c r="AI726">
        <f t="shared" si="86"/>
        <v>0</v>
      </c>
      <c r="AJ726">
        <f t="shared" si="87"/>
        <v>0</v>
      </c>
      <c r="AK726">
        <v>0</v>
      </c>
      <c r="AL726" t="str">
        <f>IF(AA726="","",IFERROR(IF(ISNUMBER('Procyflo 27TC'!E227),'Procyflo 27TC'!E227,IF(ISNUMBER(SEARCH("12",'Procyflo 27TC'!E227)),EDATE(AB726,12),IF(ISNUMBER(SEARCH("6",'Procyflo 27TC'!E227)),EDATE(AB726,6),IF(ISNUMBER(SEARCH("3",'Procyflo 27TC'!E227)),EDATE(AB726,3),DATEVALUE('Procyflo 27TC'!E227))))),""))</f>
        <v/>
      </c>
      <c r="AM726" t="str">
        <f t="shared" ca="1" si="88"/>
        <v/>
      </c>
    </row>
    <row r="727" spans="27:39" x14ac:dyDescent="0.3">
      <c r="AA727" t="str">
        <f>IF(COUNTA('Procyflo 27TC'!B228,'Procyflo 27TC'!C228,'Procyflo 27TC'!D228)&gt;0,"27TC","")</f>
        <v/>
      </c>
      <c r="AB727" t="str">
        <f>IFERROR(IF(ISNUMBER('Procyflo 27TC'!B228),'Procyflo 27TC'!B228,DATEVALUE('Procyflo 27TC'!B228)),"")</f>
        <v/>
      </c>
      <c r="AC727" t="str">
        <f>IF(AA727="","",'Procyflo 27TC'!C228)</f>
        <v/>
      </c>
      <c r="AD727" t="str">
        <f>IF(AA727="","",IFERROR(1*'Procyflo 27TC'!D228,IFERROR(_xludf.NUMBERVALUE('Procyflo 27TC'!D228,".",","),IFERROR(_xludf.NUMBERVALUE('Procyflo 27TC'!D228,",","."),0))))</f>
        <v/>
      </c>
      <c r="AE727" t="str">
        <f>IF(AA727="","",'Procyflo 27TC'!N228)</f>
        <v/>
      </c>
      <c r="AF727">
        <f t="shared" si="83"/>
        <v>0</v>
      </c>
      <c r="AG727" t="str">
        <f t="shared" si="84"/>
        <v/>
      </c>
      <c r="AH727" t="str">
        <f t="shared" si="85"/>
        <v/>
      </c>
      <c r="AI727">
        <f t="shared" si="86"/>
        <v>0</v>
      </c>
      <c r="AJ727">
        <f t="shared" si="87"/>
        <v>0</v>
      </c>
      <c r="AK727">
        <v>0</v>
      </c>
      <c r="AL727" t="str">
        <f>IF(AA727="","",IFERROR(IF(ISNUMBER('Procyflo 27TC'!E228),'Procyflo 27TC'!E228,IF(ISNUMBER(SEARCH("12",'Procyflo 27TC'!E228)),EDATE(AB727,12),IF(ISNUMBER(SEARCH("6",'Procyflo 27TC'!E228)),EDATE(AB727,6),IF(ISNUMBER(SEARCH("3",'Procyflo 27TC'!E228)),EDATE(AB727,3),DATEVALUE('Procyflo 27TC'!E228))))),""))</f>
        <v/>
      </c>
      <c r="AM727" t="str">
        <f t="shared" ca="1" si="88"/>
        <v/>
      </c>
    </row>
    <row r="728" spans="27:39" x14ac:dyDescent="0.3">
      <c r="AA728" t="str">
        <f>IF(COUNTA('Procyflo 27TC'!B229,'Procyflo 27TC'!C229,'Procyflo 27TC'!D229)&gt;0,"27TC","")</f>
        <v/>
      </c>
      <c r="AB728" t="str">
        <f>IFERROR(IF(ISNUMBER('Procyflo 27TC'!B229),'Procyflo 27TC'!B229,DATEVALUE('Procyflo 27TC'!B229)),"")</f>
        <v/>
      </c>
      <c r="AC728" t="str">
        <f>IF(AA728="","",'Procyflo 27TC'!C229)</f>
        <v/>
      </c>
      <c r="AD728" t="str">
        <f>IF(AA728="","",IFERROR(1*'Procyflo 27TC'!D229,IFERROR(_xludf.NUMBERVALUE('Procyflo 27TC'!D229,".",","),IFERROR(_xludf.NUMBERVALUE('Procyflo 27TC'!D229,",","."),0))))</f>
        <v/>
      </c>
      <c r="AE728" t="str">
        <f>IF(AA728="","",'Procyflo 27TC'!N229)</f>
        <v/>
      </c>
      <c r="AF728">
        <f t="shared" si="83"/>
        <v>0</v>
      </c>
      <c r="AG728" t="str">
        <f t="shared" si="84"/>
        <v/>
      </c>
      <c r="AH728" t="str">
        <f t="shared" si="85"/>
        <v/>
      </c>
      <c r="AI728">
        <f t="shared" si="86"/>
        <v>0</v>
      </c>
      <c r="AJ728">
        <f t="shared" si="87"/>
        <v>0</v>
      </c>
      <c r="AK728">
        <v>0</v>
      </c>
      <c r="AL728" t="str">
        <f>IF(AA728="","",IFERROR(IF(ISNUMBER('Procyflo 27TC'!E229),'Procyflo 27TC'!E229,IF(ISNUMBER(SEARCH("12",'Procyflo 27TC'!E229)),EDATE(AB728,12),IF(ISNUMBER(SEARCH("6",'Procyflo 27TC'!E229)),EDATE(AB728,6),IF(ISNUMBER(SEARCH("3",'Procyflo 27TC'!E229)),EDATE(AB728,3),DATEVALUE('Procyflo 27TC'!E229))))),""))</f>
        <v/>
      </c>
      <c r="AM728" t="str">
        <f t="shared" ca="1" si="88"/>
        <v/>
      </c>
    </row>
    <row r="729" spans="27:39" x14ac:dyDescent="0.3">
      <c r="AA729" t="str">
        <f>IF(COUNTA('Procyflo 27TC'!B230,'Procyflo 27TC'!C230,'Procyflo 27TC'!D230)&gt;0,"27TC","")</f>
        <v/>
      </c>
      <c r="AB729" t="str">
        <f>IFERROR(IF(ISNUMBER('Procyflo 27TC'!B230),'Procyflo 27TC'!B230,DATEVALUE('Procyflo 27TC'!B230)),"")</f>
        <v/>
      </c>
      <c r="AC729" t="str">
        <f>IF(AA729="","",'Procyflo 27TC'!C230)</f>
        <v/>
      </c>
      <c r="AD729" t="str">
        <f>IF(AA729="","",IFERROR(1*'Procyflo 27TC'!D230,IFERROR(_xludf.NUMBERVALUE('Procyflo 27TC'!D230,".",","),IFERROR(_xludf.NUMBERVALUE('Procyflo 27TC'!D230,",","."),0))))</f>
        <v/>
      </c>
      <c r="AE729" t="str">
        <f>IF(AA729="","",'Procyflo 27TC'!N230)</f>
        <v/>
      </c>
      <c r="AF729">
        <f t="shared" si="83"/>
        <v>0</v>
      </c>
      <c r="AG729" t="str">
        <f t="shared" si="84"/>
        <v/>
      </c>
      <c r="AH729" t="str">
        <f t="shared" si="85"/>
        <v/>
      </c>
      <c r="AI729">
        <f t="shared" si="86"/>
        <v>0</v>
      </c>
      <c r="AJ729">
        <f t="shared" si="87"/>
        <v>0</v>
      </c>
      <c r="AK729">
        <v>0</v>
      </c>
      <c r="AL729" t="str">
        <f>IF(AA729="","",IFERROR(IF(ISNUMBER('Procyflo 27TC'!E230),'Procyflo 27TC'!E230,IF(ISNUMBER(SEARCH("12",'Procyflo 27TC'!E230)),EDATE(AB729,12),IF(ISNUMBER(SEARCH("6",'Procyflo 27TC'!E230)),EDATE(AB729,6),IF(ISNUMBER(SEARCH("3",'Procyflo 27TC'!E230)),EDATE(AB729,3),DATEVALUE('Procyflo 27TC'!E230))))),""))</f>
        <v/>
      </c>
      <c r="AM729" t="str">
        <f t="shared" ca="1" si="88"/>
        <v/>
      </c>
    </row>
    <row r="730" spans="27:39" x14ac:dyDescent="0.3">
      <c r="AA730" t="str">
        <f>IF(COUNTA('Procyflo 27TC'!B231,'Procyflo 27TC'!C231,'Procyflo 27TC'!D231)&gt;0,"27TC","")</f>
        <v/>
      </c>
      <c r="AB730" t="str">
        <f>IFERROR(IF(ISNUMBER('Procyflo 27TC'!B231),'Procyflo 27TC'!B231,DATEVALUE('Procyflo 27TC'!B231)),"")</f>
        <v/>
      </c>
      <c r="AC730" t="str">
        <f>IF(AA730="","",'Procyflo 27TC'!C231)</f>
        <v/>
      </c>
      <c r="AD730" t="str">
        <f>IF(AA730="","",IFERROR(1*'Procyflo 27TC'!D231,IFERROR(_xludf.NUMBERVALUE('Procyflo 27TC'!D231,".",","),IFERROR(_xludf.NUMBERVALUE('Procyflo 27TC'!D231,",","."),0))))</f>
        <v/>
      </c>
      <c r="AE730" t="str">
        <f>IF(AA730="","",'Procyflo 27TC'!N231)</f>
        <v/>
      </c>
      <c r="AF730">
        <f t="shared" si="83"/>
        <v>0</v>
      </c>
      <c r="AG730" t="str">
        <f t="shared" si="84"/>
        <v/>
      </c>
      <c r="AH730" t="str">
        <f t="shared" si="85"/>
        <v/>
      </c>
      <c r="AI730">
        <f t="shared" si="86"/>
        <v>0</v>
      </c>
      <c r="AJ730">
        <f t="shared" si="87"/>
        <v>0</v>
      </c>
      <c r="AK730">
        <v>0</v>
      </c>
      <c r="AL730" t="str">
        <f>IF(AA730="","",IFERROR(IF(ISNUMBER('Procyflo 27TC'!E231),'Procyflo 27TC'!E231,IF(ISNUMBER(SEARCH("12",'Procyflo 27TC'!E231)),EDATE(AB730,12),IF(ISNUMBER(SEARCH("6",'Procyflo 27TC'!E231)),EDATE(AB730,6),IF(ISNUMBER(SEARCH("3",'Procyflo 27TC'!E231)),EDATE(AB730,3),DATEVALUE('Procyflo 27TC'!E231))))),""))</f>
        <v/>
      </c>
      <c r="AM730" t="str">
        <f t="shared" ca="1" si="88"/>
        <v/>
      </c>
    </row>
    <row r="731" spans="27:39" x14ac:dyDescent="0.3">
      <c r="AA731" t="str">
        <f>IF(COUNTA('Procyflo 27TC'!B232,'Procyflo 27TC'!C232,'Procyflo 27TC'!D232)&gt;0,"27TC","")</f>
        <v/>
      </c>
      <c r="AB731" t="str">
        <f>IFERROR(IF(ISNUMBER('Procyflo 27TC'!B232),'Procyflo 27TC'!B232,DATEVALUE('Procyflo 27TC'!B232)),"")</f>
        <v/>
      </c>
      <c r="AC731" t="str">
        <f>IF(AA731="","",'Procyflo 27TC'!C232)</f>
        <v/>
      </c>
      <c r="AD731" t="str">
        <f>IF(AA731="","",IFERROR(1*'Procyflo 27TC'!D232,IFERROR(_xludf.NUMBERVALUE('Procyflo 27TC'!D232,".",","),IFERROR(_xludf.NUMBERVALUE('Procyflo 27TC'!D232,",","."),0))))</f>
        <v/>
      </c>
      <c r="AE731" t="str">
        <f>IF(AA731="","",'Procyflo 27TC'!N232)</f>
        <v/>
      </c>
      <c r="AF731">
        <f t="shared" si="83"/>
        <v>0</v>
      </c>
      <c r="AG731" t="str">
        <f t="shared" si="84"/>
        <v/>
      </c>
      <c r="AH731" t="str">
        <f t="shared" si="85"/>
        <v/>
      </c>
      <c r="AI731">
        <f t="shared" si="86"/>
        <v>0</v>
      </c>
      <c r="AJ731">
        <f t="shared" si="87"/>
        <v>0</v>
      </c>
      <c r="AK731">
        <v>0</v>
      </c>
      <c r="AL731" t="str">
        <f>IF(AA731="","",IFERROR(IF(ISNUMBER('Procyflo 27TC'!E232),'Procyflo 27TC'!E232,IF(ISNUMBER(SEARCH("12",'Procyflo 27TC'!E232)),EDATE(AB731,12),IF(ISNUMBER(SEARCH("6",'Procyflo 27TC'!E232)),EDATE(AB731,6),IF(ISNUMBER(SEARCH("3",'Procyflo 27TC'!E232)),EDATE(AB731,3),DATEVALUE('Procyflo 27TC'!E232))))),""))</f>
        <v/>
      </c>
      <c r="AM731" t="str">
        <f t="shared" ca="1" si="88"/>
        <v/>
      </c>
    </row>
    <row r="732" spans="27:39" x14ac:dyDescent="0.3">
      <c r="AA732" t="str">
        <f>IF(COUNTA('Procyflo 27TC'!B233,'Procyflo 27TC'!C233,'Procyflo 27TC'!D233)&gt;0,"27TC","")</f>
        <v/>
      </c>
      <c r="AB732" t="str">
        <f>IFERROR(IF(ISNUMBER('Procyflo 27TC'!B233),'Procyflo 27TC'!B233,DATEVALUE('Procyflo 27TC'!B233)),"")</f>
        <v/>
      </c>
      <c r="AC732" t="str">
        <f>IF(AA732="","",'Procyflo 27TC'!C233)</f>
        <v/>
      </c>
      <c r="AD732" t="str">
        <f>IF(AA732="","",IFERROR(1*'Procyflo 27TC'!D233,IFERROR(_xludf.NUMBERVALUE('Procyflo 27TC'!D233,".",","),IFERROR(_xludf.NUMBERVALUE('Procyflo 27TC'!D233,",","."),0))))</f>
        <v/>
      </c>
      <c r="AE732" t="str">
        <f>IF(AA732="","",'Procyflo 27TC'!N233)</f>
        <v/>
      </c>
      <c r="AF732">
        <f t="shared" si="83"/>
        <v>0</v>
      </c>
      <c r="AG732" t="str">
        <f t="shared" si="84"/>
        <v/>
      </c>
      <c r="AH732" t="str">
        <f t="shared" si="85"/>
        <v/>
      </c>
      <c r="AI732">
        <f t="shared" si="86"/>
        <v>0</v>
      </c>
      <c r="AJ732">
        <f t="shared" si="87"/>
        <v>0</v>
      </c>
      <c r="AK732">
        <v>0</v>
      </c>
      <c r="AL732" t="str">
        <f>IF(AA732="","",IFERROR(IF(ISNUMBER('Procyflo 27TC'!E233),'Procyflo 27TC'!E233,IF(ISNUMBER(SEARCH("12",'Procyflo 27TC'!E233)),EDATE(AB732,12),IF(ISNUMBER(SEARCH("6",'Procyflo 27TC'!E233)),EDATE(AB732,6),IF(ISNUMBER(SEARCH("3",'Procyflo 27TC'!E233)),EDATE(AB732,3),DATEVALUE('Procyflo 27TC'!E233))))),""))</f>
        <v/>
      </c>
      <c r="AM732" t="str">
        <f t="shared" ca="1" si="88"/>
        <v/>
      </c>
    </row>
    <row r="733" spans="27:39" x14ac:dyDescent="0.3">
      <c r="AA733" t="str">
        <f>IF(COUNTA('Procyflo 27TC'!B234,'Procyflo 27TC'!C234,'Procyflo 27TC'!D234)&gt;0,"27TC","")</f>
        <v/>
      </c>
      <c r="AB733" t="str">
        <f>IFERROR(IF(ISNUMBER('Procyflo 27TC'!B234),'Procyflo 27TC'!B234,DATEVALUE('Procyflo 27TC'!B234)),"")</f>
        <v/>
      </c>
      <c r="AC733" t="str">
        <f>IF(AA733="","",'Procyflo 27TC'!C234)</f>
        <v/>
      </c>
      <c r="AD733" t="str">
        <f>IF(AA733="","",IFERROR(1*'Procyflo 27TC'!D234,IFERROR(_xludf.NUMBERVALUE('Procyflo 27TC'!D234,".",","),IFERROR(_xludf.NUMBERVALUE('Procyflo 27TC'!D234,",","."),0))))</f>
        <v/>
      </c>
      <c r="AE733" t="str">
        <f>IF(AA733="","",'Procyflo 27TC'!N234)</f>
        <v/>
      </c>
      <c r="AF733">
        <f t="shared" si="83"/>
        <v>0</v>
      </c>
      <c r="AG733" t="str">
        <f t="shared" si="84"/>
        <v/>
      </c>
      <c r="AH733" t="str">
        <f t="shared" si="85"/>
        <v/>
      </c>
      <c r="AI733">
        <f t="shared" si="86"/>
        <v>0</v>
      </c>
      <c r="AJ733">
        <f t="shared" si="87"/>
        <v>0</v>
      </c>
      <c r="AK733">
        <v>0</v>
      </c>
      <c r="AL733" t="str">
        <f>IF(AA733="","",IFERROR(IF(ISNUMBER('Procyflo 27TC'!E234),'Procyflo 27TC'!E234,IF(ISNUMBER(SEARCH("12",'Procyflo 27TC'!E234)),EDATE(AB733,12),IF(ISNUMBER(SEARCH("6",'Procyflo 27TC'!E234)),EDATE(AB733,6),IF(ISNUMBER(SEARCH("3",'Procyflo 27TC'!E234)),EDATE(AB733,3),DATEVALUE('Procyflo 27TC'!E234))))),""))</f>
        <v/>
      </c>
      <c r="AM733" t="str">
        <f t="shared" ca="1" si="88"/>
        <v/>
      </c>
    </row>
    <row r="734" spans="27:39" x14ac:dyDescent="0.3">
      <c r="AA734" t="str">
        <f>IF(COUNTA('Procyflo 27TC'!B235,'Procyflo 27TC'!C235,'Procyflo 27TC'!D235)&gt;0,"27TC","")</f>
        <v/>
      </c>
      <c r="AB734" t="str">
        <f>IFERROR(IF(ISNUMBER('Procyflo 27TC'!B235),'Procyflo 27TC'!B235,DATEVALUE('Procyflo 27TC'!B235)),"")</f>
        <v/>
      </c>
      <c r="AC734" t="str">
        <f>IF(AA734="","",'Procyflo 27TC'!C235)</f>
        <v/>
      </c>
      <c r="AD734" t="str">
        <f>IF(AA734="","",IFERROR(1*'Procyflo 27TC'!D235,IFERROR(_xludf.NUMBERVALUE('Procyflo 27TC'!D235,".",","),IFERROR(_xludf.NUMBERVALUE('Procyflo 27TC'!D235,",","."),0))))</f>
        <v/>
      </c>
      <c r="AE734" t="str">
        <f>IF(AA734="","",'Procyflo 27TC'!N235)</f>
        <v/>
      </c>
      <c r="AF734">
        <f t="shared" si="83"/>
        <v>0</v>
      </c>
      <c r="AG734" t="str">
        <f t="shared" si="84"/>
        <v/>
      </c>
      <c r="AH734" t="str">
        <f t="shared" si="85"/>
        <v/>
      </c>
      <c r="AI734">
        <f t="shared" si="86"/>
        <v>0</v>
      </c>
      <c r="AJ734">
        <f t="shared" si="87"/>
        <v>0</v>
      </c>
      <c r="AK734">
        <v>0</v>
      </c>
      <c r="AL734" t="str">
        <f>IF(AA734="","",IFERROR(IF(ISNUMBER('Procyflo 27TC'!E235),'Procyflo 27TC'!E235,IF(ISNUMBER(SEARCH("12",'Procyflo 27TC'!E235)),EDATE(AB734,12),IF(ISNUMBER(SEARCH("6",'Procyflo 27TC'!E235)),EDATE(AB734,6),IF(ISNUMBER(SEARCH("3",'Procyflo 27TC'!E235)),EDATE(AB734,3),DATEVALUE('Procyflo 27TC'!E235))))),""))</f>
        <v/>
      </c>
      <c r="AM734" t="str">
        <f t="shared" ca="1" si="88"/>
        <v/>
      </c>
    </row>
    <row r="735" spans="27:39" x14ac:dyDescent="0.3">
      <c r="AA735" t="str">
        <f>IF(COUNTA('Procyflo 27TC'!B236,'Procyflo 27TC'!C236,'Procyflo 27TC'!D236)&gt;0,"27TC","")</f>
        <v/>
      </c>
      <c r="AB735" t="str">
        <f>IFERROR(IF(ISNUMBER('Procyflo 27TC'!B236),'Procyflo 27TC'!B236,DATEVALUE('Procyflo 27TC'!B236)),"")</f>
        <v/>
      </c>
      <c r="AC735" t="str">
        <f>IF(AA735="","",'Procyflo 27TC'!C236)</f>
        <v/>
      </c>
      <c r="AD735" t="str">
        <f>IF(AA735="","",IFERROR(1*'Procyflo 27TC'!D236,IFERROR(_xludf.NUMBERVALUE('Procyflo 27TC'!D236,".",","),IFERROR(_xludf.NUMBERVALUE('Procyflo 27TC'!D236,",","."),0))))</f>
        <v/>
      </c>
      <c r="AE735" t="str">
        <f>IF(AA735="","",'Procyflo 27TC'!N236)</f>
        <v/>
      </c>
      <c r="AF735">
        <f t="shared" si="83"/>
        <v>0</v>
      </c>
      <c r="AG735" t="str">
        <f t="shared" si="84"/>
        <v/>
      </c>
      <c r="AH735" t="str">
        <f t="shared" si="85"/>
        <v/>
      </c>
      <c r="AI735">
        <f t="shared" si="86"/>
        <v>0</v>
      </c>
      <c r="AJ735">
        <f t="shared" si="87"/>
        <v>0</v>
      </c>
      <c r="AK735">
        <v>0</v>
      </c>
      <c r="AL735" t="str">
        <f>IF(AA735="","",IFERROR(IF(ISNUMBER('Procyflo 27TC'!E236),'Procyflo 27TC'!E236,IF(ISNUMBER(SEARCH("12",'Procyflo 27TC'!E236)),EDATE(AB735,12),IF(ISNUMBER(SEARCH("6",'Procyflo 27TC'!E236)),EDATE(AB735,6),IF(ISNUMBER(SEARCH("3",'Procyflo 27TC'!E236)),EDATE(AB735,3),DATEVALUE('Procyflo 27TC'!E236))))),""))</f>
        <v/>
      </c>
      <c r="AM735" t="str">
        <f t="shared" ca="1" si="88"/>
        <v/>
      </c>
    </row>
    <row r="736" spans="27:39" x14ac:dyDescent="0.3">
      <c r="AA736" t="str">
        <f>IF(COUNTA('Procyflo 27TC'!B237,'Procyflo 27TC'!C237,'Procyflo 27TC'!D237)&gt;0,"27TC","")</f>
        <v/>
      </c>
      <c r="AB736" t="str">
        <f>IFERROR(IF(ISNUMBER('Procyflo 27TC'!B237),'Procyflo 27TC'!B237,DATEVALUE('Procyflo 27TC'!B237)),"")</f>
        <v/>
      </c>
      <c r="AC736" t="str">
        <f>IF(AA736="","",'Procyflo 27TC'!C237)</f>
        <v/>
      </c>
      <c r="AD736" t="str">
        <f>IF(AA736="","",IFERROR(1*'Procyflo 27TC'!D237,IFERROR(_xludf.NUMBERVALUE('Procyflo 27TC'!D237,".",","),IFERROR(_xludf.NUMBERVALUE('Procyflo 27TC'!D237,",","."),0))))</f>
        <v/>
      </c>
      <c r="AE736" t="str">
        <f>IF(AA736="","",'Procyflo 27TC'!N237)</f>
        <v/>
      </c>
      <c r="AF736">
        <f t="shared" si="83"/>
        <v>0</v>
      </c>
      <c r="AG736" t="str">
        <f t="shared" si="84"/>
        <v/>
      </c>
      <c r="AH736" t="str">
        <f t="shared" si="85"/>
        <v/>
      </c>
      <c r="AI736">
        <f t="shared" si="86"/>
        <v>0</v>
      </c>
      <c r="AJ736">
        <f t="shared" si="87"/>
        <v>0</v>
      </c>
      <c r="AK736">
        <v>0</v>
      </c>
      <c r="AL736" t="str">
        <f>IF(AA736="","",IFERROR(IF(ISNUMBER('Procyflo 27TC'!E237),'Procyflo 27TC'!E237,IF(ISNUMBER(SEARCH("12",'Procyflo 27TC'!E237)),EDATE(AB736,12),IF(ISNUMBER(SEARCH("6",'Procyflo 27TC'!E237)),EDATE(AB736,6),IF(ISNUMBER(SEARCH("3",'Procyflo 27TC'!E237)),EDATE(AB736,3),DATEVALUE('Procyflo 27TC'!E237))))),""))</f>
        <v/>
      </c>
      <c r="AM736" t="str">
        <f t="shared" ca="1" si="88"/>
        <v/>
      </c>
    </row>
    <row r="737" spans="27:39" x14ac:dyDescent="0.3">
      <c r="AA737" t="str">
        <f>IF(COUNTA('Procyflo 27TC'!B238,'Procyflo 27TC'!C238,'Procyflo 27TC'!D238)&gt;0,"27TC","")</f>
        <v/>
      </c>
      <c r="AB737" t="str">
        <f>IFERROR(IF(ISNUMBER('Procyflo 27TC'!B238),'Procyflo 27TC'!B238,DATEVALUE('Procyflo 27TC'!B238)),"")</f>
        <v/>
      </c>
      <c r="AC737" t="str">
        <f>IF(AA737="","",'Procyflo 27TC'!C238)</f>
        <v/>
      </c>
      <c r="AD737" t="str">
        <f>IF(AA737="","",IFERROR(1*'Procyflo 27TC'!D238,IFERROR(_xludf.NUMBERVALUE('Procyflo 27TC'!D238,".",","),IFERROR(_xludf.NUMBERVALUE('Procyflo 27TC'!D238,",","."),0))))</f>
        <v/>
      </c>
      <c r="AE737" t="str">
        <f>IF(AA737="","",'Procyflo 27TC'!N238)</f>
        <v/>
      </c>
      <c r="AF737">
        <f t="shared" si="83"/>
        <v>0</v>
      </c>
      <c r="AG737" t="str">
        <f t="shared" si="84"/>
        <v/>
      </c>
      <c r="AH737" t="str">
        <f t="shared" si="85"/>
        <v/>
      </c>
      <c r="AI737">
        <f t="shared" si="86"/>
        <v>0</v>
      </c>
      <c r="AJ737">
        <f t="shared" si="87"/>
        <v>0</v>
      </c>
      <c r="AK737">
        <v>0</v>
      </c>
      <c r="AL737" t="str">
        <f>IF(AA737="","",IFERROR(IF(ISNUMBER('Procyflo 27TC'!E238),'Procyflo 27TC'!E238,IF(ISNUMBER(SEARCH("12",'Procyflo 27TC'!E238)),EDATE(AB737,12),IF(ISNUMBER(SEARCH("6",'Procyflo 27TC'!E238)),EDATE(AB737,6),IF(ISNUMBER(SEARCH("3",'Procyflo 27TC'!E238)),EDATE(AB737,3),DATEVALUE('Procyflo 27TC'!E238))))),""))</f>
        <v/>
      </c>
      <c r="AM737" t="str">
        <f t="shared" ca="1" si="88"/>
        <v/>
      </c>
    </row>
    <row r="738" spans="27:39" x14ac:dyDescent="0.3">
      <c r="AA738" t="str">
        <f>IF(COUNTA('Procyflo 27TC'!B239,'Procyflo 27TC'!C239,'Procyflo 27TC'!D239)&gt;0,"27TC","")</f>
        <v/>
      </c>
      <c r="AB738" t="str">
        <f>IFERROR(IF(ISNUMBER('Procyflo 27TC'!B239),'Procyflo 27TC'!B239,DATEVALUE('Procyflo 27TC'!B239)),"")</f>
        <v/>
      </c>
      <c r="AC738" t="str">
        <f>IF(AA738="","",'Procyflo 27TC'!C239)</f>
        <v/>
      </c>
      <c r="AD738" t="str">
        <f>IF(AA738="","",IFERROR(1*'Procyflo 27TC'!D239,IFERROR(_xludf.NUMBERVALUE('Procyflo 27TC'!D239,".",","),IFERROR(_xludf.NUMBERVALUE('Procyflo 27TC'!D239,",","."),0))))</f>
        <v/>
      </c>
      <c r="AE738" t="str">
        <f>IF(AA738="","",'Procyflo 27TC'!N239)</f>
        <v/>
      </c>
      <c r="AF738">
        <f t="shared" si="83"/>
        <v>0</v>
      </c>
      <c r="AG738" t="str">
        <f t="shared" si="84"/>
        <v/>
      </c>
      <c r="AH738" t="str">
        <f t="shared" si="85"/>
        <v/>
      </c>
      <c r="AI738">
        <f t="shared" si="86"/>
        <v>0</v>
      </c>
      <c r="AJ738">
        <f t="shared" si="87"/>
        <v>0</v>
      </c>
      <c r="AK738">
        <v>0</v>
      </c>
      <c r="AL738" t="str">
        <f>IF(AA738="","",IFERROR(IF(ISNUMBER('Procyflo 27TC'!E239),'Procyflo 27TC'!E239,IF(ISNUMBER(SEARCH("12",'Procyflo 27TC'!E239)),EDATE(AB738,12),IF(ISNUMBER(SEARCH("6",'Procyflo 27TC'!E239)),EDATE(AB738,6),IF(ISNUMBER(SEARCH("3",'Procyflo 27TC'!E239)),EDATE(AB738,3),DATEVALUE('Procyflo 27TC'!E239))))),""))</f>
        <v/>
      </c>
      <c r="AM738" t="str">
        <f t="shared" ca="1" si="88"/>
        <v/>
      </c>
    </row>
    <row r="739" spans="27:39" x14ac:dyDescent="0.3">
      <c r="AA739" t="str">
        <f>IF(COUNTA('Procyflo 27TC'!B240,'Procyflo 27TC'!C240,'Procyflo 27TC'!D240)&gt;0,"27TC","")</f>
        <v/>
      </c>
      <c r="AB739" t="str">
        <f>IFERROR(IF(ISNUMBER('Procyflo 27TC'!B240),'Procyflo 27TC'!B240,DATEVALUE('Procyflo 27TC'!B240)),"")</f>
        <v/>
      </c>
      <c r="AC739" t="str">
        <f>IF(AA739="","",'Procyflo 27TC'!C240)</f>
        <v/>
      </c>
      <c r="AD739" t="str">
        <f>IF(AA739="","",IFERROR(1*'Procyflo 27TC'!D240,IFERROR(_xludf.NUMBERVALUE('Procyflo 27TC'!D240,".",","),IFERROR(_xludf.NUMBERVALUE('Procyflo 27TC'!D240,",","."),0))))</f>
        <v/>
      </c>
      <c r="AE739" t="str">
        <f>IF(AA739="","",'Procyflo 27TC'!N240)</f>
        <v/>
      </c>
      <c r="AF739">
        <f t="shared" si="83"/>
        <v>0</v>
      </c>
      <c r="AG739" t="str">
        <f t="shared" si="84"/>
        <v/>
      </c>
      <c r="AH739" t="str">
        <f t="shared" si="85"/>
        <v/>
      </c>
      <c r="AI739">
        <f t="shared" si="86"/>
        <v>0</v>
      </c>
      <c r="AJ739">
        <f t="shared" si="87"/>
        <v>0</v>
      </c>
      <c r="AK739">
        <v>0</v>
      </c>
      <c r="AL739" t="str">
        <f>IF(AA739="","",IFERROR(IF(ISNUMBER('Procyflo 27TC'!E240),'Procyflo 27TC'!E240,IF(ISNUMBER(SEARCH("12",'Procyflo 27TC'!E240)),EDATE(AB739,12),IF(ISNUMBER(SEARCH("6",'Procyflo 27TC'!E240)),EDATE(AB739,6),IF(ISNUMBER(SEARCH("3",'Procyflo 27TC'!E240)),EDATE(AB739,3),DATEVALUE('Procyflo 27TC'!E240))))),""))</f>
        <v/>
      </c>
      <c r="AM739" t="str">
        <f t="shared" ca="1" si="88"/>
        <v/>
      </c>
    </row>
    <row r="740" spans="27:39" x14ac:dyDescent="0.3">
      <c r="AA740" t="str">
        <f>IF(COUNTA('Procyflo 27TC'!B241,'Procyflo 27TC'!C241,'Procyflo 27TC'!D241)&gt;0,"27TC","")</f>
        <v/>
      </c>
      <c r="AB740" t="str">
        <f>IFERROR(IF(ISNUMBER('Procyflo 27TC'!B241),'Procyflo 27TC'!B241,DATEVALUE('Procyflo 27TC'!B241)),"")</f>
        <v/>
      </c>
      <c r="AC740" t="str">
        <f>IF(AA740="","",'Procyflo 27TC'!C241)</f>
        <v/>
      </c>
      <c r="AD740" t="str">
        <f>IF(AA740="","",IFERROR(1*'Procyflo 27TC'!D241,IFERROR(_xludf.NUMBERVALUE('Procyflo 27TC'!D241,".",","),IFERROR(_xludf.NUMBERVALUE('Procyflo 27TC'!D241,",","."),0))))</f>
        <v/>
      </c>
      <c r="AE740" t="str">
        <f>IF(AA740="","",'Procyflo 27TC'!N241)</f>
        <v/>
      </c>
      <c r="AF740">
        <f t="shared" si="83"/>
        <v>0</v>
      </c>
      <c r="AG740" t="str">
        <f t="shared" si="84"/>
        <v/>
      </c>
      <c r="AH740" t="str">
        <f t="shared" si="85"/>
        <v/>
      </c>
      <c r="AI740">
        <f t="shared" si="86"/>
        <v>0</v>
      </c>
      <c r="AJ740">
        <f t="shared" si="87"/>
        <v>0</v>
      </c>
      <c r="AK740">
        <v>0</v>
      </c>
      <c r="AL740" t="str">
        <f>IF(AA740="","",IFERROR(IF(ISNUMBER('Procyflo 27TC'!E241),'Procyflo 27TC'!E241,IF(ISNUMBER(SEARCH("12",'Procyflo 27TC'!E241)),EDATE(AB740,12),IF(ISNUMBER(SEARCH("6",'Procyflo 27TC'!E241)),EDATE(AB740,6),IF(ISNUMBER(SEARCH("3",'Procyflo 27TC'!E241)),EDATE(AB740,3),DATEVALUE('Procyflo 27TC'!E241))))),""))</f>
        <v/>
      </c>
      <c r="AM740" t="str">
        <f t="shared" ca="1" si="88"/>
        <v/>
      </c>
    </row>
    <row r="741" spans="27:39" x14ac:dyDescent="0.3">
      <c r="AA741" t="str">
        <f>IF(COUNTA('Procyflo 27TC'!B242,'Procyflo 27TC'!C242,'Procyflo 27TC'!D242)&gt;0,"27TC","")</f>
        <v/>
      </c>
      <c r="AB741" t="str">
        <f>IFERROR(IF(ISNUMBER('Procyflo 27TC'!B242),'Procyflo 27TC'!B242,DATEVALUE('Procyflo 27TC'!B242)),"")</f>
        <v/>
      </c>
      <c r="AC741" t="str">
        <f>IF(AA741="","",'Procyflo 27TC'!C242)</f>
        <v/>
      </c>
      <c r="AD741" t="str">
        <f>IF(AA741="","",IFERROR(1*'Procyflo 27TC'!D242,IFERROR(_xludf.NUMBERVALUE('Procyflo 27TC'!D242,".",","),IFERROR(_xludf.NUMBERVALUE('Procyflo 27TC'!D242,",","."),0))))</f>
        <v/>
      </c>
      <c r="AE741" t="str">
        <f>IF(AA741="","",'Procyflo 27TC'!N242)</f>
        <v/>
      </c>
      <c r="AF741">
        <f t="shared" si="83"/>
        <v>0</v>
      </c>
      <c r="AG741" t="str">
        <f t="shared" si="84"/>
        <v/>
      </c>
      <c r="AH741" t="str">
        <f t="shared" si="85"/>
        <v/>
      </c>
      <c r="AI741">
        <f t="shared" si="86"/>
        <v>0</v>
      </c>
      <c r="AJ741">
        <f t="shared" si="87"/>
        <v>0</v>
      </c>
      <c r="AK741">
        <v>0</v>
      </c>
      <c r="AL741" t="str">
        <f>IF(AA741="","",IFERROR(IF(ISNUMBER('Procyflo 27TC'!E242),'Procyflo 27TC'!E242,IF(ISNUMBER(SEARCH("12",'Procyflo 27TC'!E242)),EDATE(AB741,12),IF(ISNUMBER(SEARCH("6",'Procyflo 27TC'!E242)),EDATE(AB741,6),IF(ISNUMBER(SEARCH("3",'Procyflo 27TC'!E242)),EDATE(AB741,3),DATEVALUE('Procyflo 27TC'!E242))))),""))</f>
        <v/>
      </c>
      <c r="AM741" t="str">
        <f t="shared" ca="1" si="88"/>
        <v/>
      </c>
    </row>
    <row r="742" spans="27:39" x14ac:dyDescent="0.3">
      <c r="AA742" t="str">
        <f>IF(COUNTA('Procyflo 27TC'!B243,'Procyflo 27TC'!C243,'Procyflo 27TC'!D243)&gt;0,"27TC","")</f>
        <v/>
      </c>
      <c r="AB742" t="str">
        <f>IFERROR(IF(ISNUMBER('Procyflo 27TC'!B243),'Procyflo 27TC'!B243,DATEVALUE('Procyflo 27TC'!B243)),"")</f>
        <v/>
      </c>
      <c r="AC742" t="str">
        <f>IF(AA742="","",'Procyflo 27TC'!C243)</f>
        <v/>
      </c>
      <c r="AD742" t="str">
        <f>IF(AA742="","",IFERROR(1*'Procyflo 27TC'!D243,IFERROR(_xludf.NUMBERVALUE('Procyflo 27TC'!D243,".",","),IFERROR(_xludf.NUMBERVALUE('Procyflo 27TC'!D243,",","."),0))))</f>
        <v/>
      </c>
      <c r="AE742" t="str">
        <f>IF(AA742="","",'Procyflo 27TC'!N243)</f>
        <v/>
      </c>
      <c r="AF742">
        <f t="shared" si="83"/>
        <v>0</v>
      </c>
      <c r="AG742" t="str">
        <f t="shared" si="84"/>
        <v/>
      </c>
      <c r="AH742" t="str">
        <f t="shared" si="85"/>
        <v/>
      </c>
      <c r="AI742">
        <f t="shared" si="86"/>
        <v>0</v>
      </c>
      <c r="AJ742">
        <f t="shared" si="87"/>
        <v>0</v>
      </c>
      <c r="AK742">
        <v>0</v>
      </c>
      <c r="AL742" t="str">
        <f>IF(AA742="","",IFERROR(IF(ISNUMBER('Procyflo 27TC'!E243),'Procyflo 27TC'!E243,IF(ISNUMBER(SEARCH("12",'Procyflo 27TC'!E243)),EDATE(AB742,12),IF(ISNUMBER(SEARCH("6",'Procyflo 27TC'!E243)),EDATE(AB742,6),IF(ISNUMBER(SEARCH("3",'Procyflo 27TC'!E243)),EDATE(AB742,3),DATEVALUE('Procyflo 27TC'!E243))))),""))</f>
        <v/>
      </c>
      <c r="AM742" t="str">
        <f t="shared" ca="1" si="88"/>
        <v/>
      </c>
    </row>
    <row r="743" spans="27:39" x14ac:dyDescent="0.3">
      <c r="AA743" t="str">
        <f>IF(COUNTA('Procyflo 27TC'!B244,'Procyflo 27TC'!C244,'Procyflo 27TC'!D244)&gt;0,"27TC","")</f>
        <v/>
      </c>
      <c r="AB743" t="str">
        <f>IFERROR(IF(ISNUMBER('Procyflo 27TC'!B244),'Procyflo 27TC'!B244,DATEVALUE('Procyflo 27TC'!B244)),"")</f>
        <v/>
      </c>
      <c r="AC743" t="str">
        <f>IF(AA743="","",'Procyflo 27TC'!C244)</f>
        <v/>
      </c>
      <c r="AD743" t="str">
        <f>IF(AA743="","",IFERROR(1*'Procyflo 27TC'!D244,IFERROR(_xludf.NUMBERVALUE('Procyflo 27TC'!D244,".",","),IFERROR(_xludf.NUMBERVALUE('Procyflo 27TC'!D244,",","."),0))))</f>
        <v/>
      </c>
      <c r="AE743" t="str">
        <f>IF(AA743="","",'Procyflo 27TC'!N244)</f>
        <v/>
      </c>
      <c r="AF743">
        <f t="shared" si="83"/>
        <v>0</v>
      </c>
      <c r="AG743" t="str">
        <f t="shared" si="84"/>
        <v/>
      </c>
      <c r="AH743" t="str">
        <f t="shared" si="85"/>
        <v/>
      </c>
      <c r="AI743">
        <f t="shared" si="86"/>
        <v>0</v>
      </c>
      <c r="AJ743">
        <f t="shared" si="87"/>
        <v>0</v>
      </c>
      <c r="AK743">
        <v>0</v>
      </c>
      <c r="AL743" t="str">
        <f>IF(AA743="","",IFERROR(IF(ISNUMBER('Procyflo 27TC'!E244),'Procyflo 27TC'!E244,IF(ISNUMBER(SEARCH("12",'Procyflo 27TC'!E244)),EDATE(AB743,12),IF(ISNUMBER(SEARCH("6",'Procyflo 27TC'!E244)),EDATE(AB743,6),IF(ISNUMBER(SEARCH("3",'Procyflo 27TC'!E244)),EDATE(AB743,3),DATEVALUE('Procyflo 27TC'!E244))))),""))</f>
        <v/>
      </c>
      <c r="AM743" t="str">
        <f t="shared" ca="1" si="88"/>
        <v/>
      </c>
    </row>
    <row r="744" spans="27:39" x14ac:dyDescent="0.3">
      <c r="AA744" t="str">
        <f>IF(COUNTA('Procyflo 27TC'!B245,'Procyflo 27TC'!C245,'Procyflo 27TC'!D245)&gt;0,"27TC","")</f>
        <v/>
      </c>
      <c r="AB744" t="str">
        <f>IFERROR(IF(ISNUMBER('Procyflo 27TC'!B245),'Procyflo 27TC'!B245,DATEVALUE('Procyflo 27TC'!B245)),"")</f>
        <v/>
      </c>
      <c r="AC744" t="str">
        <f>IF(AA744="","",'Procyflo 27TC'!C245)</f>
        <v/>
      </c>
      <c r="AD744" t="str">
        <f>IF(AA744="","",IFERROR(1*'Procyflo 27TC'!D245,IFERROR(_xludf.NUMBERVALUE('Procyflo 27TC'!D245,".",","),IFERROR(_xludf.NUMBERVALUE('Procyflo 27TC'!D245,",","."),0))))</f>
        <v/>
      </c>
      <c r="AE744" t="str">
        <f>IF(AA744="","",'Procyflo 27TC'!N245)</f>
        <v/>
      </c>
      <c r="AF744">
        <f t="shared" si="83"/>
        <v>0</v>
      </c>
      <c r="AG744" t="str">
        <f t="shared" si="84"/>
        <v/>
      </c>
      <c r="AH744" t="str">
        <f t="shared" si="85"/>
        <v/>
      </c>
      <c r="AI744">
        <f t="shared" si="86"/>
        <v>0</v>
      </c>
      <c r="AJ744">
        <f t="shared" si="87"/>
        <v>0</v>
      </c>
      <c r="AK744">
        <v>0</v>
      </c>
      <c r="AL744" t="str">
        <f>IF(AA744="","",IFERROR(IF(ISNUMBER('Procyflo 27TC'!E245),'Procyflo 27TC'!E245,IF(ISNUMBER(SEARCH("12",'Procyflo 27TC'!E245)),EDATE(AB744,12),IF(ISNUMBER(SEARCH("6",'Procyflo 27TC'!E245)),EDATE(AB744,6),IF(ISNUMBER(SEARCH("3",'Procyflo 27TC'!E245)),EDATE(AB744,3),DATEVALUE('Procyflo 27TC'!E245))))),""))</f>
        <v/>
      </c>
      <c r="AM744" t="str">
        <f t="shared" ca="1" si="88"/>
        <v/>
      </c>
    </row>
    <row r="745" spans="27:39" x14ac:dyDescent="0.3">
      <c r="AA745" t="str">
        <f>IF(COUNTA('Procyflo 27TC'!B246,'Procyflo 27TC'!C246,'Procyflo 27TC'!D246)&gt;0,"27TC","")</f>
        <v/>
      </c>
      <c r="AB745" t="str">
        <f>IFERROR(IF(ISNUMBER('Procyflo 27TC'!B246),'Procyflo 27TC'!B246,DATEVALUE('Procyflo 27TC'!B246)),"")</f>
        <v/>
      </c>
      <c r="AC745" t="str">
        <f>IF(AA745="","",'Procyflo 27TC'!C246)</f>
        <v/>
      </c>
      <c r="AD745" t="str">
        <f>IF(AA745="","",IFERROR(1*'Procyflo 27TC'!D246,IFERROR(_xludf.NUMBERVALUE('Procyflo 27TC'!D246,".",","),IFERROR(_xludf.NUMBERVALUE('Procyflo 27TC'!D246,",","."),0))))</f>
        <v/>
      </c>
      <c r="AE745" t="str">
        <f>IF(AA745="","",'Procyflo 27TC'!N246)</f>
        <v/>
      </c>
      <c r="AF745">
        <f t="shared" si="83"/>
        <v>0</v>
      </c>
      <c r="AG745" t="str">
        <f t="shared" si="84"/>
        <v/>
      </c>
      <c r="AH745" t="str">
        <f t="shared" si="85"/>
        <v/>
      </c>
      <c r="AI745">
        <f t="shared" si="86"/>
        <v>0</v>
      </c>
      <c r="AJ745">
        <f t="shared" si="87"/>
        <v>0</v>
      </c>
      <c r="AK745">
        <v>0</v>
      </c>
      <c r="AL745" t="str">
        <f>IF(AA745="","",IFERROR(IF(ISNUMBER('Procyflo 27TC'!E246),'Procyflo 27TC'!E246,IF(ISNUMBER(SEARCH("12",'Procyflo 27TC'!E246)),EDATE(AB745,12),IF(ISNUMBER(SEARCH("6",'Procyflo 27TC'!E246)),EDATE(AB745,6),IF(ISNUMBER(SEARCH("3",'Procyflo 27TC'!E246)),EDATE(AB745,3),DATEVALUE('Procyflo 27TC'!E246))))),""))</f>
        <v/>
      </c>
      <c r="AM745" t="str">
        <f t="shared" ca="1" si="88"/>
        <v/>
      </c>
    </row>
    <row r="746" spans="27:39" x14ac:dyDescent="0.3">
      <c r="AA746" t="str">
        <f>IF(COUNTA('Procyflo 27TC'!B247,'Procyflo 27TC'!C247,'Procyflo 27TC'!D247)&gt;0,"27TC","")</f>
        <v/>
      </c>
      <c r="AB746" t="str">
        <f>IFERROR(IF(ISNUMBER('Procyflo 27TC'!B247),'Procyflo 27TC'!B247,DATEVALUE('Procyflo 27TC'!B247)),"")</f>
        <v/>
      </c>
      <c r="AC746" t="str">
        <f>IF(AA746="","",'Procyflo 27TC'!C247)</f>
        <v/>
      </c>
      <c r="AD746" t="str">
        <f>IF(AA746="","",IFERROR(1*'Procyflo 27TC'!D247,IFERROR(_xludf.NUMBERVALUE('Procyflo 27TC'!D247,".",","),IFERROR(_xludf.NUMBERVALUE('Procyflo 27TC'!D247,",","."),0))))</f>
        <v/>
      </c>
      <c r="AE746" t="str">
        <f>IF(AA746="","",'Procyflo 27TC'!N247)</f>
        <v/>
      </c>
      <c r="AF746">
        <f t="shared" si="83"/>
        <v>0</v>
      </c>
      <c r="AG746" t="str">
        <f t="shared" si="84"/>
        <v/>
      </c>
      <c r="AH746" t="str">
        <f t="shared" si="85"/>
        <v/>
      </c>
      <c r="AI746">
        <f t="shared" si="86"/>
        <v>0</v>
      </c>
      <c r="AJ746">
        <f t="shared" si="87"/>
        <v>0</v>
      </c>
      <c r="AK746">
        <v>0</v>
      </c>
      <c r="AL746" t="str">
        <f>IF(AA746="","",IFERROR(IF(ISNUMBER('Procyflo 27TC'!E247),'Procyflo 27TC'!E247,IF(ISNUMBER(SEARCH("12",'Procyflo 27TC'!E247)),EDATE(AB746,12),IF(ISNUMBER(SEARCH("6",'Procyflo 27TC'!E247)),EDATE(AB746,6),IF(ISNUMBER(SEARCH("3",'Procyflo 27TC'!E247)),EDATE(AB746,3),DATEVALUE('Procyflo 27TC'!E247))))),""))</f>
        <v/>
      </c>
      <c r="AM746" t="str">
        <f t="shared" ca="1" si="88"/>
        <v/>
      </c>
    </row>
    <row r="747" spans="27:39" x14ac:dyDescent="0.3">
      <c r="AA747" t="str">
        <f>IF(COUNTA('Procyflo 27TC'!B248,'Procyflo 27TC'!C248,'Procyflo 27TC'!D248)&gt;0,"27TC","")</f>
        <v/>
      </c>
      <c r="AB747" t="str">
        <f>IFERROR(IF(ISNUMBER('Procyflo 27TC'!B248),'Procyflo 27TC'!B248,DATEVALUE('Procyflo 27TC'!B248)),"")</f>
        <v/>
      </c>
      <c r="AC747" t="str">
        <f>IF(AA747="","",'Procyflo 27TC'!C248)</f>
        <v/>
      </c>
      <c r="AD747" t="str">
        <f>IF(AA747="","",IFERROR(1*'Procyflo 27TC'!D248,IFERROR(_xludf.NUMBERVALUE('Procyflo 27TC'!D248,".",","),IFERROR(_xludf.NUMBERVALUE('Procyflo 27TC'!D248,",","."),0))))</f>
        <v/>
      </c>
      <c r="AE747" t="str">
        <f>IF(AA747="","",'Procyflo 27TC'!N248)</f>
        <v/>
      </c>
      <c r="AF747">
        <f t="shared" si="83"/>
        <v>0</v>
      </c>
      <c r="AG747" t="str">
        <f t="shared" si="84"/>
        <v/>
      </c>
      <c r="AH747" t="str">
        <f t="shared" si="85"/>
        <v/>
      </c>
      <c r="AI747">
        <f t="shared" si="86"/>
        <v>0</v>
      </c>
      <c r="AJ747">
        <f t="shared" si="87"/>
        <v>0</v>
      </c>
      <c r="AK747">
        <v>0</v>
      </c>
      <c r="AL747" t="str">
        <f>IF(AA747="","",IFERROR(IF(ISNUMBER('Procyflo 27TC'!E248),'Procyflo 27TC'!E248,IF(ISNUMBER(SEARCH("12",'Procyflo 27TC'!E248)),EDATE(AB747,12),IF(ISNUMBER(SEARCH("6",'Procyflo 27TC'!E248)),EDATE(AB747,6),IF(ISNUMBER(SEARCH("3",'Procyflo 27TC'!E248)),EDATE(AB747,3),DATEVALUE('Procyflo 27TC'!E248))))),""))</f>
        <v/>
      </c>
      <c r="AM747" t="str">
        <f t="shared" ca="1" si="88"/>
        <v/>
      </c>
    </row>
    <row r="748" spans="27:39" x14ac:dyDescent="0.3">
      <c r="AA748" t="str">
        <f>IF(COUNTA('Procyflo 27TC'!B249,'Procyflo 27TC'!C249,'Procyflo 27TC'!D249)&gt;0,"27TC","")</f>
        <v/>
      </c>
      <c r="AB748" t="str">
        <f>IFERROR(IF(ISNUMBER('Procyflo 27TC'!B249),'Procyflo 27TC'!B249,DATEVALUE('Procyflo 27TC'!B249)),"")</f>
        <v/>
      </c>
      <c r="AC748" t="str">
        <f>IF(AA748="","",'Procyflo 27TC'!C249)</f>
        <v/>
      </c>
      <c r="AD748" t="str">
        <f>IF(AA748="","",IFERROR(1*'Procyflo 27TC'!D249,IFERROR(_xludf.NUMBERVALUE('Procyflo 27TC'!D249,".",","),IFERROR(_xludf.NUMBERVALUE('Procyflo 27TC'!D249,",","."),0))))</f>
        <v/>
      </c>
      <c r="AE748" t="str">
        <f>IF(AA748="","",'Procyflo 27TC'!N249)</f>
        <v/>
      </c>
      <c r="AF748">
        <f t="shared" si="83"/>
        <v>0</v>
      </c>
      <c r="AG748" t="str">
        <f t="shared" si="84"/>
        <v/>
      </c>
      <c r="AH748" t="str">
        <f t="shared" si="85"/>
        <v/>
      </c>
      <c r="AI748">
        <f t="shared" si="86"/>
        <v>0</v>
      </c>
      <c r="AJ748">
        <f t="shared" si="87"/>
        <v>0</v>
      </c>
      <c r="AK748">
        <v>0</v>
      </c>
      <c r="AL748" t="str">
        <f>IF(AA748="","",IFERROR(IF(ISNUMBER('Procyflo 27TC'!E249),'Procyflo 27TC'!E249,IF(ISNUMBER(SEARCH("12",'Procyflo 27TC'!E249)),EDATE(AB748,12),IF(ISNUMBER(SEARCH("6",'Procyflo 27TC'!E249)),EDATE(AB748,6),IF(ISNUMBER(SEARCH("3",'Procyflo 27TC'!E249)),EDATE(AB748,3),DATEVALUE('Procyflo 27TC'!E249))))),""))</f>
        <v/>
      </c>
      <c r="AM748" t="str">
        <f t="shared" ca="1" si="88"/>
        <v/>
      </c>
    </row>
    <row r="749" spans="27:39" x14ac:dyDescent="0.3">
      <c r="AA749" t="str">
        <f>IF(COUNTA('Procyflo 27TC'!B250,'Procyflo 27TC'!C250,'Procyflo 27TC'!D250)&gt;0,"27TC","")</f>
        <v/>
      </c>
      <c r="AB749" t="str">
        <f>IFERROR(IF(ISNUMBER('Procyflo 27TC'!B250),'Procyflo 27TC'!B250,DATEVALUE('Procyflo 27TC'!B250)),"")</f>
        <v/>
      </c>
      <c r="AC749" t="str">
        <f>IF(AA749="","",'Procyflo 27TC'!C250)</f>
        <v/>
      </c>
      <c r="AD749" t="str">
        <f>IF(AA749="","",IFERROR(1*'Procyflo 27TC'!D250,IFERROR(_xludf.NUMBERVALUE('Procyflo 27TC'!D250,".",","),IFERROR(_xludf.NUMBERVALUE('Procyflo 27TC'!D250,",","."),0))))</f>
        <v/>
      </c>
      <c r="AE749" t="str">
        <f>IF(AA749="","",'Procyflo 27TC'!N250)</f>
        <v/>
      </c>
      <c r="AF749">
        <f t="shared" si="83"/>
        <v>0</v>
      </c>
      <c r="AG749" t="str">
        <f t="shared" si="84"/>
        <v/>
      </c>
      <c r="AH749" t="str">
        <f t="shared" si="85"/>
        <v/>
      </c>
      <c r="AI749">
        <f t="shared" si="86"/>
        <v>0</v>
      </c>
      <c r="AJ749">
        <f t="shared" si="87"/>
        <v>0</v>
      </c>
      <c r="AK749">
        <v>0</v>
      </c>
      <c r="AL749" t="str">
        <f>IF(AA749="","",IFERROR(IF(ISNUMBER('Procyflo 27TC'!E250),'Procyflo 27TC'!E250,IF(ISNUMBER(SEARCH("12",'Procyflo 27TC'!E250)),EDATE(AB749,12),IF(ISNUMBER(SEARCH("6",'Procyflo 27TC'!E250)),EDATE(AB749,6),IF(ISNUMBER(SEARCH("3",'Procyflo 27TC'!E250)),EDATE(AB749,3),DATEVALUE('Procyflo 27TC'!E250))))),""))</f>
        <v/>
      </c>
      <c r="AM749" t="str">
        <f t="shared" ca="1" si="88"/>
        <v/>
      </c>
    </row>
    <row r="750" spans="27:39" x14ac:dyDescent="0.3">
      <c r="AA750" t="str">
        <f>IF(COUNTA('Procyflo 27TC'!B251,'Procyflo 27TC'!C251,'Procyflo 27TC'!D251)&gt;0,"27TC","")</f>
        <v/>
      </c>
      <c r="AB750" t="str">
        <f>IFERROR(IF(ISNUMBER('Procyflo 27TC'!B251),'Procyflo 27TC'!B251,DATEVALUE('Procyflo 27TC'!B251)),"")</f>
        <v/>
      </c>
      <c r="AC750" t="str">
        <f>IF(AA750="","",'Procyflo 27TC'!C251)</f>
        <v/>
      </c>
      <c r="AD750" t="str">
        <f>IF(AA750="","",IFERROR(1*'Procyflo 27TC'!D251,IFERROR(_xludf.NUMBERVALUE('Procyflo 27TC'!D251,".",","),IFERROR(_xludf.NUMBERVALUE('Procyflo 27TC'!D251,",","."),0))))</f>
        <v/>
      </c>
      <c r="AE750" t="str">
        <f>IF(AA750="","",'Procyflo 27TC'!N251)</f>
        <v/>
      </c>
      <c r="AF750">
        <f t="shared" si="83"/>
        <v>0</v>
      </c>
      <c r="AG750" t="str">
        <f t="shared" si="84"/>
        <v/>
      </c>
      <c r="AH750" t="str">
        <f t="shared" si="85"/>
        <v/>
      </c>
      <c r="AI750">
        <f t="shared" si="86"/>
        <v>0</v>
      </c>
      <c r="AJ750">
        <f t="shared" si="87"/>
        <v>0</v>
      </c>
      <c r="AK750">
        <v>0</v>
      </c>
      <c r="AL750" t="str">
        <f>IF(AA750="","",IFERROR(IF(ISNUMBER('Procyflo 27TC'!E251),'Procyflo 27TC'!E251,IF(ISNUMBER(SEARCH("12",'Procyflo 27TC'!E251)),EDATE(AB750,12),IF(ISNUMBER(SEARCH("6",'Procyflo 27TC'!E251)),EDATE(AB750,6),IF(ISNUMBER(SEARCH("3",'Procyflo 27TC'!E251)),EDATE(AB750,3),DATEVALUE('Procyflo 27TC'!E251))))),""))</f>
        <v/>
      </c>
      <c r="AM750" t="str">
        <f t="shared" ca="1" si="88"/>
        <v/>
      </c>
    </row>
    <row r="751" spans="27:39" x14ac:dyDescent="0.3">
      <c r="AA751" t="str">
        <f>IF(COUNTA('Procyflo 27TC'!B252,'Procyflo 27TC'!C252,'Procyflo 27TC'!D252)&gt;0,"27TC","")</f>
        <v/>
      </c>
      <c r="AB751" t="str">
        <f>IFERROR(IF(ISNUMBER('Procyflo 27TC'!B252),'Procyflo 27TC'!B252,DATEVALUE('Procyflo 27TC'!B252)),"")</f>
        <v/>
      </c>
      <c r="AC751" t="str">
        <f>IF(AA751="","",'Procyflo 27TC'!C252)</f>
        <v/>
      </c>
      <c r="AD751" t="str">
        <f>IF(AA751="","",IFERROR(1*'Procyflo 27TC'!D252,IFERROR(_xludf.NUMBERVALUE('Procyflo 27TC'!D252,".",","),IFERROR(_xludf.NUMBERVALUE('Procyflo 27TC'!D252,",","."),0))))</f>
        <v/>
      </c>
      <c r="AE751" t="str">
        <f>IF(AA751="","",'Procyflo 27TC'!N252)</f>
        <v/>
      </c>
      <c r="AF751">
        <f t="shared" si="83"/>
        <v>0</v>
      </c>
      <c r="AG751" t="str">
        <f t="shared" si="84"/>
        <v/>
      </c>
      <c r="AH751" t="str">
        <f t="shared" si="85"/>
        <v/>
      </c>
      <c r="AI751">
        <f t="shared" si="86"/>
        <v>0</v>
      </c>
      <c r="AJ751">
        <f t="shared" si="87"/>
        <v>0</v>
      </c>
      <c r="AK751">
        <v>0</v>
      </c>
      <c r="AL751" t="str">
        <f>IF(AA751="","",IFERROR(IF(ISNUMBER('Procyflo 27TC'!E252),'Procyflo 27TC'!E252,IF(ISNUMBER(SEARCH("12",'Procyflo 27TC'!E252)),EDATE(AB751,12),IF(ISNUMBER(SEARCH("6",'Procyflo 27TC'!E252)),EDATE(AB751,6),IF(ISNUMBER(SEARCH("3",'Procyflo 27TC'!E252)),EDATE(AB751,3),DATEVALUE('Procyflo 27TC'!E252))))),""))</f>
        <v/>
      </c>
      <c r="AM751" t="str">
        <f t="shared" ca="1" si="88"/>
        <v/>
      </c>
    </row>
    <row r="752" spans="27:39" x14ac:dyDescent="0.3">
      <c r="AA752" t="str">
        <f>IF(COUNTA('Procyflo 27TC'!B253,'Procyflo 27TC'!C253,'Procyflo 27TC'!D253)&gt;0,"27TC","")</f>
        <v/>
      </c>
      <c r="AB752" t="str">
        <f>IFERROR(IF(ISNUMBER('Procyflo 27TC'!B253),'Procyflo 27TC'!B253,DATEVALUE('Procyflo 27TC'!B253)),"")</f>
        <v/>
      </c>
      <c r="AC752" t="str">
        <f>IF(AA752="","",'Procyflo 27TC'!C253)</f>
        <v/>
      </c>
      <c r="AD752" t="str">
        <f>IF(AA752="","",IFERROR(1*'Procyflo 27TC'!D253,IFERROR(_xludf.NUMBERVALUE('Procyflo 27TC'!D253,".",","),IFERROR(_xludf.NUMBERVALUE('Procyflo 27TC'!D253,",","."),0))))</f>
        <v/>
      </c>
      <c r="AE752" t="str">
        <f>IF(AA752="","",'Procyflo 27TC'!N253)</f>
        <v/>
      </c>
      <c r="AF752">
        <f t="shared" si="83"/>
        <v>0</v>
      </c>
      <c r="AG752" t="str">
        <f t="shared" si="84"/>
        <v/>
      </c>
      <c r="AH752" t="str">
        <f t="shared" si="85"/>
        <v/>
      </c>
      <c r="AI752">
        <f t="shared" si="86"/>
        <v>0</v>
      </c>
      <c r="AJ752">
        <f t="shared" si="87"/>
        <v>0</v>
      </c>
      <c r="AK752">
        <v>0</v>
      </c>
      <c r="AL752" t="str">
        <f>IF(AA752="","",IFERROR(IF(ISNUMBER('Procyflo 27TC'!E253),'Procyflo 27TC'!E253,IF(ISNUMBER(SEARCH("12",'Procyflo 27TC'!E253)),EDATE(AB752,12),IF(ISNUMBER(SEARCH("6",'Procyflo 27TC'!E253)),EDATE(AB752,6),IF(ISNUMBER(SEARCH("3",'Procyflo 27TC'!E253)),EDATE(AB752,3),DATEVALUE('Procyflo 27TC'!E253))))),""))</f>
        <v/>
      </c>
      <c r="AM752" t="str">
        <f t="shared" ca="1" si="88"/>
        <v/>
      </c>
    </row>
    <row r="753" spans="27:39" x14ac:dyDescent="0.3">
      <c r="AA753" t="str">
        <f>IF(COUNTA('Procyflo 27TC'!B254,'Procyflo 27TC'!C254,'Procyflo 27TC'!D254)&gt;0,"27TC","")</f>
        <v/>
      </c>
      <c r="AB753" t="str">
        <f>IFERROR(IF(ISNUMBER('Procyflo 27TC'!B254),'Procyflo 27TC'!B254,DATEVALUE('Procyflo 27TC'!B254)),"")</f>
        <v/>
      </c>
      <c r="AC753" t="str">
        <f>IF(AA753="","",'Procyflo 27TC'!C254)</f>
        <v/>
      </c>
      <c r="AD753" t="str">
        <f>IF(AA753="","",IFERROR(1*'Procyflo 27TC'!D254,IFERROR(_xludf.NUMBERVALUE('Procyflo 27TC'!D254,".",","),IFERROR(_xludf.NUMBERVALUE('Procyflo 27TC'!D254,",","."),0))))</f>
        <v/>
      </c>
      <c r="AE753" t="str">
        <f>IF(AA753="","",'Procyflo 27TC'!N254)</f>
        <v/>
      </c>
      <c r="AF753">
        <f t="shared" si="83"/>
        <v>0</v>
      </c>
      <c r="AG753" t="str">
        <f t="shared" si="84"/>
        <v/>
      </c>
      <c r="AH753" t="str">
        <f t="shared" si="85"/>
        <v/>
      </c>
      <c r="AI753">
        <f t="shared" si="86"/>
        <v>0</v>
      </c>
      <c r="AJ753">
        <f t="shared" si="87"/>
        <v>0</v>
      </c>
      <c r="AK753">
        <v>0</v>
      </c>
      <c r="AL753" t="str">
        <f>IF(AA753="","",IFERROR(IF(ISNUMBER('Procyflo 27TC'!E254),'Procyflo 27TC'!E254,IF(ISNUMBER(SEARCH("12",'Procyflo 27TC'!E254)),EDATE(AB753,12),IF(ISNUMBER(SEARCH("6",'Procyflo 27TC'!E254)),EDATE(AB753,6),IF(ISNUMBER(SEARCH("3",'Procyflo 27TC'!E254)),EDATE(AB753,3),DATEVALUE('Procyflo 27TC'!E254))))),""))</f>
        <v/>
      </c>
      <c r="AM753" t="str">
        <f t="shared" ca="1" si="88"/>
        <v/>
      </c>
    </row>
    <row r="754" spans="27:39" x14ac:dyDescent="0.3">
      <c r="AA754" t="str">
        <f>IF(COUNTA('Procyflo 27TC'!B255,'Procyflo 27TC'!C255,'Procyflo 27TC'!D255)&gt;0,"27TC","")</f>
        <v/>
      </c>
      <c r="AB754" t="str">
        <f>IFERROR(IF(ISNUMBER('Procyflo 27TC'!B255),'Procyflo 27TC'!B255,DATEVALUE('Procyflo 27TC'!B255)),"")</f>
        <v/>
      </c>
      <c r="AC754" t="str">
        <f>IF(AA754="","",'Procyflo 27TC'!C255)</f>
        <v/>
      </c>
      <c r="AD754" t="str">
        <f>IF(AA754="","",IFERROR(1*'Procyflo 27TC'!D255,IFERROR(_xludf.NUMBERVALUE('Procyflo 27TC'!D255,".",","),IFERROR(_xludf.NUMBERVALUE('Procyflo 27TC'!D255,",","."),0))))</f>
        <v/>
      </c>
      <c r="AE754" t="str">
        <f>IF(AA754="","",'Procyflo 27TC'!N255)</f>
        <v/>
      </c>
      <c r="AF754">
        <f t="shared" si="83"/>
        <v>0</v>
      </c>
      <c r="AG754" t="str">
        <f t="shared" si="84"/>
        <v/>
      </c>
      <c r="AH754" t="str">
        <f t="shared" si="85"/>
        <v/>
      </c>
      <c r="AI754">
        <f t="shared" si="86"/>
        <v>0</v>
      </c>
      <c r="AJ754">
        <f t="shared" si="87"/>
        <v>0</v>
      </c>
      <c r="AK754">
        <v>0</v>
      </c>
      <c r="AL754" t="str">
        <f>IF(AA754="","",IFERROR(IF(ISNUMBER('Procyflo 27TC'!E255),'Procyflo 27TC'!E255,IF(ISNUMBER(SEARCH("12",'Procyflo 27TC'!E255)),EDATE(AB754,12),IF(ISNUMBER(SEARCH("6",'Procyflo 27TC'!E255)),EDATE(AB754,6),IF(ISNUMBER(SEARCH("3",'Procyflo 27TC'!E255)),EDATE(AB754,3),DATEVALUE('Procyflo 27TC'!E255))))),""))</f>
        <v/>
      </c>
      <c r="AM754" t="str">
        <f t="shared" ca="1" si="88"/>
        <v/>
      </c>
    </row>
    <row r="755" spans="27:39" x14ac:dyDescent="0.3">
      <c r="AA755" t="str">
        <f>IF(COUNTA('Procyflo 27TC'!B256,'Procyflo 27TC'!C256,'Procyflo 27TC'!D256)&gt;0,"27TC","")</f>
        <v/>
      </c>
      <c r="AB755" t="str">
        <f>IFERROR(IF(ISNUMBER('Procyflo 27TC'!B256),'Procyflo 27TC'!B256,DATEVALUE('Procyflo 27TC'!B256)),"")</f>
        <v/>
      </c>
      <c r="AC755" t="str">
        <f>IF(AA755="","",'Procyflo 27TC'!C256)</f>
        <v/>
      </c>
      <c r="AD755" t="str">
        <f>IF(AA755="","",IFERROR(1*'Procyflo 27TC'!D256,IFERROR(_xludf.NUMBERVALUE('Procyflo 27TC'!D256,".",","),IFERROR(_xludf.NUMBERVALUE('Procyflo 27TC'!D256,",","."),0))))</f>
        <v/>
      </c>
      <c r="AE755" t="str">
        <f>IF(AA755="","",'Procyflo 27TC'!N256)</f>
        <v/>
      </c>
      <c r="AF755">
        <f t="shared" si="83"/>
        <v>0</v>
      </c>
      <c r="AG755" t="str">
        <f t="shared" si="84"/>
        <v/>
      </c>
      <c r="AH755" t="str">
        <f t="shared" si="85"/>
        <v/>
      </c>
      <c r="AI755">
        <f t="shared" si="86"/>
        <v>0</v>
      </c>
      <c r="AJ755">
        <f t="shared" si="87"/>
        <v>0</v>
      </c>
      <c r="AK755">
        <v>0</v>
      </c>
      <c r="AL755" t="str">
        <f>IF(AA755="","",IFERROR(IF(ISNUMBER('Procyflo 27TC'!E256),'Procyflo 27TC'!E256,IF(ISNUMBER(SEARCH("12",'Procyflo 27TC'!E256)),EDATE(AB755,12),IF(ISNUMBER(SEARCH("6",'Procyflo 27TC'!E256)),EDATE(AB755,6),IF(ISNUMBER(SEARCH("3",'Procyflo 27TC'!E256)),EDATE(AB755,3),DATEVALUE('Procyflo 27TC'!E256))))),""))</f>
        <v/>
      </c>
      <c r="AM755" t="str">
        <f t="shared" ca="1" si="88"/>
        <v/>
      </c>
    </row>
    <row r="756" spans="27:39" x14ac:dyDescent="0.3">
      <c r="AA756" t="str">
        <f>IF(COUNTA('Procyflo 27TC'!B257,'Procyflo 27TC'!C257,'Procyflo 27TC'!D257)&gt;0,"27TC","")</f>
        <v/>
      </c>
      <c r="AB756" t="str">
        <f>IFERROR(IF(ISNUMBER('Procyflo 27TC'!B257),'Procyflo 27TC'!B257,DATEVALUE('Procyflo 27TC'!B257)),"")</f>
        <v/>
      </c>
      <c r="AC756" t="str">
        <f>IF(AA756="","",'Procyflo 27TC'!C257)</f>
        <v/>
      </c>
      <c r="AD756" t="str">
        <f>IF(AA756="","",IFERROR(1*'Procyflo 27TC'!D257,IFERROR(_xludf.NUMBERVALUE('Procyflo 27TC'!D257,".",","),IFERROR(_xludf.NUMBERVALUE('Procyflo 27TC'!D257,",","."),0))))</f>
        <v/>
      </c>
      <c r="AE756" t="str">
        <f>IF(AA756="","",'Procyflo 27TC'!N257)</f>
        <v/>
      </c>
      <c r="AF756">
        <f t="shared" si="83"/>
        <v>0</v>
      </c>
      <c r="AG756" t="str">
        <f t="shared" si="84"/>
        <v/>
      </c>
      <c r="AH756" t="str">
        <f t="shared" si="85"/>
        <v/>
      </c>
      <c r="AI756">
        <f t="shared" si="86"/>
        <v>0</v>
      </c>
      <c r="AJ756">
        <f t="shared" si="87"/>
        <v>0</v>
      </c>
      <c r="AK756">
        <v>0</v>
      </c>
      <c r="AL756" t="str">
        <f>IF(AA756="","",IFERROR(IF(ISNUMBER('Procyflo 27TC'!E257),'Procyflo 27TC'!E257,IF(ISNUMBER(SEARCH("12",'Procyflo 27TC'!E257)),EDATE(AB756,12),IF(ISNUMBER(SEARCH("6",'Procyflo 27TC'!E257)),EDATE(AB756,6),IF(ISNUMBER(SEARCH("3",'Procyflo 27TC'!E257)),EDATE(AB756,3),DATEVALUE('Procyflo 27TC'!E257))))),""))</f>
        <v/>
      </c>
      <c r="AM756" t="str">
        <f t="shared" ca="1" si="88"/>
        <v/>
      </c>
    </row>
    <row r="757" spans="27:39" x14ac:dyDescent="0.3">
      <c r="AA757" t="str">
        <f>IF(COUNTA('Procyflo 27TC'!B258,'Procyflo 27TC'!C258,'Procyflo 27TC'!D258)&gt;0,"27TC","")</f>
        <v/>
      </c>
      <c r="AB757" t="str">
        <f>IFERROR(IF(ISNUMBER('Procyflo 27TC'!B258),'Procyflo 27TC'!B258,DATEVALUE('Procyflo 27TC'!B258)),"")</f>
        <v/>
      </c>
      <c r="AC757" t="str">
        <f>IF(AA757="","",'Procyflo 27TC'!C258)</f>
        <v/>
      </c>
      <c r="AD757" t="str">
        <f>IF(AA757="","",IFERROR(1*'Procyflo 27TC'!D258,IFERROR(_xludf.NUMBERVALUE('Procyflo 27TC'!D258,".",","),IFERROR(_xludf.NUMBERVALUE('Procyflo 27TC'!D258,",","."),0))))</f>
        <v/>
      </c>
      <c r="AE757" t="str">
        <f>IF(AA757="","",'Procyflo 27TC'!N258)</f>
        <v/>
      </c>
      <c r="AF757">
        <f t="shared" si="83"/>
        <v>0</v>
      </c>
      <c r="AG757" t="str">
        <f t="shared" si="84"/>
        <v/>
      </c>
      <c r="AH757" t="str">
        <f t="shared" si="85"/>
        <v/>
      </c>
      <c r="AI757">
        <f t="shared" si="86"/>
        <v>0</v>
      </c>
      <c r="AJ757">
        <f t="shared" si="87"/>
        <v>0</v>
      </c>
      <c r="AK757">
        <v>0</v>
      </c>
      <c r="AL757" t="str">
        <f>IF(AA757="","",IFERROR(IF(ISNUMBER('Procyflo 27TC'!E258),'Procyflo 27TC'!E258,IF(ISNUMBER(SEARCH("12",'Procyflo 27TC'!E258)),EDATE(AB757,12),IF(ISNUMBER(SEARCH("6",'Procyflo 27TC'!E258)),EDATE(AB757,6),IF(ISNUMBER(SEARCH("3",'Procyflo 27TC'!E258)),EDATE(AB757,3),DATEVALUE('Procyflo 27TC'!E258))))),""))</f>
        <v/>
      </c>
      <c r="AM757" t="str">
        <f t="shared" ca="1" si="88"/>
        <v/>
      </c>
    </row>
    <row r="758" spans="27:39" x14ac:dyDescent="0.3">
      <c r="AA758" t="str">
        <f>IF(COUNTA('Procyflo 27TC'!B259,'Procyflo 27TC'!C259,'Procyflo 27TC'!D259)&gt;0,"27TC","")</f>
        <v/>
      </c>
      <c r="AB758" t="str">
        <f>IFERROR(IF(ISNUMBER('Procyflo 27TC'!B259),'Procyflo 27TC'!B259,DATEVALUE('Procyflo 27TC'!B259)),"")</f>
        <v/>
      </c>
      <c r="AC758" t="str">
        <f>IF(AA758="","",'Procyflo 27TC'!C259)</f>
        <v/>
      </c>
      <c r="AD758" t="str">
        <f>IF(AA758="","",IFERROR(1*'Procyflo 27TC'!D259,IFERROR(_xludf.NUMBERVALUE('Procyflo 27TC'!D259,".",","),IFERROR(_xludf.NUMBERVALUE('Procyflo 27TC'!D259,",","."),0))))</f>
        <v/>
      </c>
      <c r="AE758" t="str">
        <f>IF(AA758="","",'Procyflo 27TC'!N259)</f>
        <v/>
      </c>
      <c r="AF758">
        <f t="shared" si="83"/>
        <v>0</v>
      </c>
      <c r="AG758" t="str">
        <f t="shared" si="84"/>
        <v/>
      </c>
      <c r="AH758" t="str">
        <f t="shared" si="85"/>
        <v/>
      </c>
      <c r="AI758">
        <f t="shared" si="86"/>
        <v>0</v>
      </c>
      <c r="AJ758">
        <f t="shared" si="87"/>
        <v>0</v>
      </c>
      <c r="AK758">
        <v>0</v>
      </c>
      <c r="AL758" t="str">
        <f>IF(AA758="","",IFERROR(IF(ISNUMBER('Procyflo 27TC'!E259),'Procyflo 27TC'!E259,IF(ISNUMBER(SEARCH("12",'Procyflo 27TC'!E259)),EDATE(AB758,12),IF(ISNUMBER(SEARCH("6",'Procyflo 27TC'!E259)),EDATE(AB758,6),IF(ISNUMBER(SEARCH("3",'Procyflo 27TC'!E259)),EDATE(AB758,3),DATEVALUE('Procyflo 27TC'!E259))))),""))</f>
        <v/>
      </c>
      <c r="AM758" t="str">
        <f t="shared" ca="1" si="88"/>
        <v/>
      </c>
    </row>
    <row r="759" spans="27:39" x14ac:dyDescent="0.3">
      <c r="AA759" t="str">
        <f>IF(COUNTA('Procyflo 27TC'!B260,'Procyflo 27TC'!C260,'Procyflo 27TC'!D260)&gt;0,"27TC","")</f>
        <v/>
      </c>
      <c r="AB759" t="str">
        <f>IFERROR(IF(ISNUMBER('Procyflo 27TC'!B260),'Procyflo 27TC'!B260,DATEVALUE('Procyflo 27TC'!B260)),"")</f>
        <v/>
      </c>
      <c r="AC759" t="str">
        <f>IF(AA759="","",'Procyflo 27TC'!C260)</f>
        <v/>
      </c>
      <c r="AD759" t="str">
        <f>IF(AA759="","",IFERROR(1*'Procyflo 27TC'!D260,IFERROR(_xludf.NUMBERVALUE('Procyflo 27TC'!D260,".",","),IFERROR(_xludf.NUMBERVALUE('Procyflo 27TC'!D260,",","."),0))))</f>
        <v/>
      </c>
      <c r="AE759" t="str">
        <f>IF(AA759="","",'Procyflo 27TC'!N260)</f>
        <v/>
      </c>
      <c r="AF759">
        <f t="shared" si="83"/>
        <v>0</v>
      </c>
      <c r="AG759" t="str">
        <f t="shared" si="84"/>
        <v/>
      </c>
      <c r="AH759" t="str">
        <f t="shared" si="85"/>
        <v/>
      </c>
      <c r="AI759">
        <f t="shared" si="86"/>
        <v>0</v>
      </c>
      <c r="AJ759">
        <f t="shared" si="87"/>
        <v>0</v>
      </c>
      <c r="AK759">
        <v>0</v>
      </c>
      <c r="AL759" t="str">
        <f>IF(AA759="","",IFERROR(IF(ISNUMBER('Procyflo 27TC'!E260),'Procyflo 27TC'!E260,IF(ISNUMBER(SEARCH("12",'Procyflo 27TC'!E260)),EDATE(AB759,12),IF(ISNUMBER(SEARCH("6",'Procyflo 27TC'!E260)),EDATE(AB759,6),IF(ISNUMBER(SEARCH("3",'Procyflo 27TC'!E260)),EDATE(AB759,3),DATEVALUE('Procyflo 27TC'!E260))))),""))</f>
        <v/>
      </c>
      <c r="AM759" t="str">
        <f t="shared" ca="1" si="88"/>
        <v/>
      </c>
    </row>
    <row r="760" spans="27:39" x14ac:dyDescent="0.3">
      <c r="AA760" t="str">
        <f>IF(COUNTA('Procyflo 27TC'!B261,'Procyflo 27TC'!C261,'Procyflo 27TC'!D261)&gt;0,"27TC","")</f>
        <v/>
      </c>
      <c r="AB760" t="str">
        <f>IFERROR(IF(ISNUMBER('Procyflo 27TC'!B261),'Procyflo 27TC'!B261,DATEVALUE('Procyflo 27TC'!B261)),"")</f>
        <v/>
      </c>
      <c r="AC760" t="str">
        <f>IF(AA760="","",'Procyflo 27TC'!C261)</f>
        <v/>
      </c>
      <c r="AD760" t="str">
        <f>IF(AA760="","",IFERROR(1*'Procyflo 27TC'!D261,IFERROR(_xludf.NUMBERVALUE('Procyflo 27TC'!D261,".",","),IFERROR(_xludf.NUMBERVALUE('Procyflo 27TC'!D261,",","."),0))))</f>
        <v/>
      </c>
      <c r="AE760" t="str">
        <f>IF(AA760="","",'Procyflo 27TC'!N261)</f>
        <v/>
      </c>
      <c r="AF760">
        <f t="shared" si="83"/>
        <v>0</v>
      </c>
      <c r="AG760" t="str">
        <f t="shared" si="84"/>
        <v/>
      </c>
      <c r="AH760" t="str">
        <f t="shared" si="85"/>
        <v/>
      </c>
      <c r="AI760">
        <f t="shared" si="86"/>
        <v>0</v>
      </c>
      <c r="AJ760">
        <f t="shared" si="87"/>
        <v>0</v>
      </c>
      <c r="AK760">
        <v>0</v>
      </c>
      <c r="AL760" t="str">
        <f>IF(AA760="","",IFERROR(IF(ISNUMBER('Procyflo 27TC'!E261),'Procyflo 27TC'!E261,IF(ISNUMBER(SEARCH("12",'Procyflo 27TC'!E261)),EDATE(AB760,12),IF(ISNUMBER(SEARCH("6",'Procyflo 27TC'!E261)),EDATE(AB760,6),IF(ISNUMBER(SEARCH("3",'Procyflo 27TC'!E261)),EDATE(AB760,3),DATEVALUE('Procyflo 27TC'!E261))))),""))</f>
        <v/>
      </c>
      <c r="AM760" t="str">
        <f t="shared" ca="1" si="88"/>
        <v/>
      </c>
    </row>
    <row r="761" spans="27:39" x14ac:dyDescent="0.3">
      <c r="AA761" t="str">
        <f>IF(COUNTA('Procyflo 27TC'!B262,'Procyflo 27TC'!C262,'Procyflo 27TC'!D262)&gt;0,"27TC","")</f>
        <v/>
      </c>
      <c r="AB761" t="str">
        <f>IFERROR(IF(ISNUMBER('Procyflo 27TC'!B262),'Procyflo 27TC'!B262,DATEVALUE('Procyflo 27TC'!B262)),"")</f>
        <v/>
      </c>
      <c r="AC761" t="str">
        <f>IF(AA761="","",'Procyflo 27TC'!C262)</f>
        <v/>
      </c>
      <c r="AD761" t="str">
        <f>IF(AA761="","",IFERROR(1*'Procyflo 27TC'!D262,IFERROR(_xludf.NUMBERVALUE('Procyflo 27TC'!D262,".",","),IFERROR(_xludf.NUMBERVALUE('Procyflo 27TC'!D262,",","."),0))))</f>
        <v/>
      </c>
      <c r="AE761" t="str">
        <f>IF(AA761="","",'Procyflo 27TC'!N262)</f>
        <v/>
      </c>
      <c r="AF761">
        <f t="shared" si="83"/>
        <v>0</v>
      </c>
      <c r="AG761" t="str">
        <f t="shared" si="84"/>
        <v/>
      </c>
      <c r="AH761" t="str">
        <f t="shared" si="85"/>
        <v/>
      </c>
      <c r="AI761">
        <f t="shared" si="86"/>
        <v>0</v>
      </c>
      <c r="AJ761">
        <f t="shared" si="87"/>
        <v>0</v>
      </c>
      <c r="AK761">
        <v>0</v>
      </c>
      <c r="AL761" t="str">
        <f>IF(AA761="","",IFERROR(IF(ISNUMBER('Procyflo 27TC'!E262),'Procyflo 27TC'!E262,IF(ISNUMBER(SEARCH("12",'Procyflo 27TC'!E262)),EDATE(AB761,12),IF(ISNUMBER(SEARCH("6",'Procyflo 27TC'!E262)),EDATE(AB761,6),IF(ISNUMBER(SEARCH("3",'Procyflo 27TC'!E262)),EDATE(AB761,3),DATEVALUE('Procyflo 27TC'!E262))))),""))</f>
        <v/>
      </c>
      <c r="AM761" t="str">
        <f t="shared" ca="1" si="88"/>
        <v/>
      </c>
    </row>
    <row r="762" spans="27:39" x14ac:dyDescent="0.3">
      <c r="AA762" t="str">
        <f>IF(COUNTA('Procyflo 27TC'!B263,'Procyflo 27TC'!C263,'Procyflo 27TC'!D263)&gt;0,"27TC","")</f>
        <v/>
      </c>
      <c r="AB762" t="str">
        <f>IFERROR(IF(ISNUMBER('Procyflo 27TC'!B263),'Procyflo 27TC'!B263,DATEVALUE('Procyflo 27TC'!B263)),"")</f>
        <v/>
      </c>
      <c r="AC762" t="str">
        <f>IF(AA762="","",'Procyflo 27TC'!C263)</f>
        <v/>
      </c>
      <c r="AD762" t="str">
        <f>IF(AA762="","",IFERROR(1*'Procyflo 27TC'!D263,IFERROR(_xludf.NUMBERVALUE('Procyflo 27TC'!D263,".",","),IFERROR(_xludf.NUMBERVALUE('Procyflo 27TC'!D263,",","."),0))))</f>
        <v/>
      </c>
      <c r="AE762" t="str">
        <f>IF(AA762="","",'Procyflo 27TC'!N263)</f>
        <v/>
      </c>
      <c r="AF762">
        <f t="shared" si="83"/>
        <v>0</v>
      </c>
      <c r="AG762" t="str">
        <f t="shared" si="84"/>
        <v/>
      </c>
      <c r="AH762" t="str">
        <f t="shared" si="85"/>
        <v/>
      </c>
      <c r="AI762">
        <f t="shared" si="86"/>
        <v>0</v>
      </c>
      <c r="AJ762">
        <f t="shared" si="87"/>
        <v>0</v>
      </c>
      <c r="AK762">
        <v>0</v>
      </c>
      <c r="AL762" t="str">
        <f>IF(AA762="","",IFERROR(IF(ISNUMBER('Procyflo 27TC'!E263),'Procyflo 27TC'!E263,IF(ISNUMBER(SEARCH("12",'Procyflo 27TC'!E263)),EDATE(AB762,12),IF(ISNUMBER(SEARCH("6",'Procyflo 27TC'!E263)),EDATE(AB762,6),IF(ISNUMBER(SEARCH("3",'Procyflo 27TC'!E263)),EDATE(AB762,3),DATEVALUE('Procyflo 27TC'!E263))))),""))</f>
        <v/>
      </c>
      <c r="AM762" t="str">
        <f t="shared" ca="1" si="88"/>
        <v/>
      </c>
    </row>
    <row r="763" spans="27:39" x14ac:dyDescent="0.3">
      <c r="AA763" t="str">
        <f>IF(COUNTA('Procyflo 27TC'!B264,'Procyflo 27TC'!C264,'Procyflo 27TC'!D264)&gt;0,"27TC","")</f>
        <v/>
      </c>
      <c r="AB763" t="str">
        <f>IFERROR(IF(ISNUMBER('Procyflo 27TC'!B264),'Procyflo 27TC'!B264,DATEVALUE('Procyflo 27TC'!B264)),"")</f>
        <v/>
      </c>
      <c r="AC763" t="str">
        <f>IF(AA763="","",'Procyflo 27TC'!C264)</f>
        <v/>
      </c>
      <c r="AD763" t="str">
        <f>IF(AA763="","",IFERROR(1*'Procyflo 27TC'!D264,IFERROR(_xludf.NUMBERVALUE('Procyflo 27TC'!D264,".",","),IFERROR(_xludf.NUMBERVALUE('Procyflo 27TC'!D264,",","."),0))))</f>
        <v/>
      </c>
      <c r="AE763" t="str">
        <f>IF(AA763="","",'Procyflo 27TC'!N264)</f>
        <v/>
      </c>
      <c r="AF763">
        <f t="shared" si="83"/>
        <v>0</v>
      </c>
      <c r="AG763" t="str">
        <f t="shared" si="84"/>
        <v/>
      </c>
      <c r="AH763" t="str">
        <f t="shared" si="85"/>
        <v/>
      </c>
      <c r="AI763">
        <f t="shared" si="86"/>
        <v>0</v>
      </c>
      <c r="AJ763">
        <f t="shared" si="87"/>
        <v>0</v>
      </c>
      <c r="AK763">
        <v>0</v>
      </c>
      <c r="AL763" t="str">
        <f>IF(AA763="","",IFERROR(IF(ISNUMBER('Procyflo 27TC'!E264),'Procyflo 27TC'!E264,IF(ISNUMBER(SEARCH("12",'Procyflo 27TC'!E264)),EDATE(AB763,12),IF(ISNUMBER(SEARCH("6",'Procyflo 27TC'!E264)),EDATE(AB763,6),IF(ISNUMBER(SEARCH("3",'Procyflo 27TC'!E264)),EDATE(AB763,3),DATEVALUE('Procyflo 27TC'!E264))))),""))</f>
        <v/>
      </c>
      <c r="AM763" t="str">
        <f t="shared" ca="1" si="88"/>
        <v/>
      </c>
    </row>
    <row r="764" spans="27:39" x14ac:dyDescent="0.3">
      <c r="AA764" t="str">
        <f>IF(COUNTA('Procyflo 27TC'!B265,'Procyflo 27TC'!C265,'Procyflo 27TC'!D265)&gt;0,"27TC","")</f>
        <v/>
      </c>
      <c r="AB764" t="str">
        <f>IFERROR(IF(ISNUMBER('Procyflo 27TC'!B265),'Procyflo 27TC'!B265,DATEVALUE('Procyflo 27TC'!B265)),"")</f>
        <v/>
      </c>
      <c r="AC764" t="str">
        <f>IF(AA764="","",'Procyflo 27TC'!C265)</f>
        <v/>
      </c>
      <c r="AD764" t="str">
        <f>IF(AA764="","",IFERROR(1*'Procyflo 27TC'!D265,IFERROR(_xludf.NUMBERVALUE('Procyflo 27TC'!D265,".",","),IFERROR(_xludf.NUMBERVALUE('Procyflo 27TC'!D265,",","."),0))))</f>
        <v/>
      </c>
      <c r="AE764" t="str">
        <f>IF(AA764="","",'Procyflo 27TC'!N265)</f>
        <v/>
      </c>
      <c r="AF764">
        <f t="shared" si="83"/>
        <v>0</v>
      </c>
      <c r="AG764" t="str">
        <f t="shared" si="84"/>
        <v/>
      </c>
      <c r="AH764" t="str">
        <f t="shared" si="85"/>
        <v/>
      </c>
      <c r="AI764">
        <f t="shared" si="86"/>
        <v>0</v>
      </c>
      <c r="AJ764">
        <f t="shared" si="87"/>
        <v>0</v>
      </c>
      <c r="AK764">
        <v>0</v>
      </c>
      <c r="AL764" t="str">
        <f>IF(AA764="","",IFERROR(IF(ISNUMBER('Procyflo 27TC'!E265),'Procyflo 27TC'!E265,IF(ISNUMBER(SEARCH("12",'Procyflo 27TC'!E265)),EDATE(AB764,12),IF(ISNUMBER(SEARCH("6",'Procyflo 27TC'!E265)),EDATE(AB764,6),IF(ISNUMBER(SEARCH("3",'Procyflo 27TC'!E265)),EDATE(AB764,3),DATEVALUE('Procyflo 27TC'!E265))))),""))</f>
        <v/>
      </c>
      <c r="AM764" t="str">
        <f t="shared" ca="1" si="88"/>
        <v/>
      </c>
    </row>
    <row r="765" spans="27:39" x14ac:dyDescent="0.3">
      <c r="AA765" t="str">
        <f>IF(COUNTA('Procyflo 27TC'!B266,'Procyflo 27TC'!C266,'Procyflo 27TC'!D266)&gt;0,"27TC","")</f>
        <v/>
      </c>
      <c r="AB765" t="str">
        <f>IFERROR(IF(ISNUMBER('Procyflo 27TC'!B266),'Procyflo 27TC'!B266,DATEVALUE('Procyflo 27TC'!B266)),"")</f>
        <v/>
      </c>
      <c r="AC765" t="str">
        <f>IF(AA765="","",'Procyflo 27TC'!C266)</f>
        <v/>
      </c>
      <c r="AD765" t="str">
        <f>IF(AA765="","",IFERROR(1*'Procyflo 27TC'!D266,IFERROR(_xludf.NUMBERVALUE('Procyflo 27TC'!D266,".",","),IFERROR(_xludf.NUMBERVALUE('Procyflo 27TC'!D266,",","."),0))))</f>
        <v/>
      </c>
      <c r="AE765" t="str">
        <f>IF(AA765="","",'Procyflo 27TC'!N266)</f>
        <v/>
      </c>
      <c r="AF765">
        <f t="shared" si="83"/>
        <v>0</v>
      </c>
      <c r="AG765" t="str">
        <f t="shared" si="84"/>
        <v/>
      </c>
      <c r="AH765" t="str">
        <f t="shared" si="85"/>
        <v/>
      </c>
      <c r="AI765">
        <f t="shared" si="86"/>
        <v>0</v>
      </c>
      <c r="AJ765">
        <f t="shared" si="87"/>
        <v>0</v>
      </c>
      <c r="AK765">
        <v>0</v>
      </c>
      <c r="AL765" t="str">
        <f>IF(AA765="","",IFERROR(IF(ISNUMBER('Procyflo 27TC'!E266),'Procyflo 27TC'!E266,IF(ISNUMBER(SEARCH("12",'Procyflo 27TC'!E266)),EDATE(AB765,12),IF(ISNUMBER(SEARCH("6",'Procyflo 27TC'!E266)),EDATE(AB765,6),IF(ISNUMBER(SEARCH("3",'Procyflo 27TC'!E266)),EDATE(AB765,3),DATEVALUE('Procyflo 27TC'!E266))))),""))</f>
        <v/>
      </c>
      <c r="AM765" t="str">
        <f t="shared" ca="1" si="88"/>
        <v/>
      </c>
    </row>
    <row r="766" spans="27:39" x14ac:dyDescent="0.3">
      <c r="AA766" t="str">
        <f>IF(COUNTA('Procyflo 27TC'!B267,'Procyflo 27TC'!C267,'Procyflo 27TC'!D267)&gt;0,"27TC","")</f>
        <v/>
      </c>
      <c r="AB766" t="str">
        <f>IFERROR(IF(ISNUMBER('Procyflo 27TC'!B267),'Procyflo 27TC'!B267,DATEVALUE('Procyflo 27TC'!B267)),"")</f>
        <v/>
      </c>
      <c r="AC766" t="str">
        <f>IF(AA766="","",'Procyflo 27TC'!C267)</f>
        <v/>
      </c>
      <c r="AD766" t="str">
        <f>IF(AA766="","",IFERROR(1*'Procyflo 27TC'!D267,IFERROR(_xludf.NUMBERVALUE('Procyflo 27TC'!D267,".",","),IFERROR(_xludf.NUMBERVALUE('Procyflo 27TC'!D267,",","."),0))))</f>
        <v/>
      </c>
      <c r="AE766" t="str">
        <f>IF(AA766="","",'Procyflo 27TC'!N267)</f>
        <v/>
      </c>
      <c r="AF766">
        <f t="shared" si="83"/>
        <v>0</v>
      </c>
      <c r="AG766" t="str">
        <f t="shared" si="84"/>
        <v/>
      </c>
      <c r="AH766" t="str">
        <f t="shared" si="85"/>
        <v/>
      </c>
      <c r="AI766">
        <f t="shared" si="86"/>
        <v>0</v>
      </c>
      <c r="AJ766">
        <f t="shared" si="87"/>
        <v>0</v>
      </c>
      <c r="AK766">
        <v>0</v>
      </c>
      <c r="AL766" t="str">
        <f>IF(AA766="","",IFERROR(IF(ISNUMBER('Procyflo 27TC'!E267),'Procyflo 27TC'!E267,IF(ISNUMBER(SEARCH("12",'Procyflo 27TC'!E267)),EDATE(AB766,12),IF(ISNUMBER(SEARCH("6",'Procyflo 27TC'!E267)),EDATE(AB766,6),IF(ISNUMBER(SEARCH("3",'Procyflo 27TC'!E267)),EDATE(AB766,3),DATEVALUE('Procyflo 27TC'!E267))))),""))</f>
        <v/>
      </c>
      <c r="AM766" t="str">
        <f t="shared" ca="1" si="88"/>
        <v/>
      </c>
    </row>
    <row r="767" spans="27:39" x14ac:dyDescent="0.3">
      <c r="AA767" t="str">
        <f>IF(COUNTA('Procyflo 27TC'!B268,'Procyflo 27TC'!C268,'Procyflo 27TC'!D268)&gt;0,"27TC","")</f>
        <v/>
      </c>
      <c r="AB767" t="str">
        <f>IFERROR(IF(ISNUMBER('Procyflo 27TC'!B268),'Procyflo 27TC'!B268,DATEVALUE('Procyflo 27TC'!B268)),"")</f>
        <v/>
      </c>
      <c r="AC767" t="str">
        <f>IF(AA767="","",'Procyflo 27TC'!C268)</f>
        <v/>
      </c>
      <c r="AD767" t="str">
        <f>IF(AA767="","",IFERROR(1*'Procyflo 27TC'!D268,IFERROR(_xludf.NUMBERVALUE('Procyflo 27TC'!D268,".",","),IFERROR(_xludf.NUMBERVALUE('Procyflo 27TC'!D268,",","."),0))))</f>
        <v/>
      </c>
      <c r="AE767" t="str">
        <f>IF(AA767="","",'Procyflo 27TC'!N268)</f>
        <v/>
      </c>
      <c r="AF767">
        <f t="shared" si="83"/>
        <v>0</v>
      </c>
      <c r="AG767" t="str">
        <f t="shared" si="84"/>
        <v/>
      </c>
      <c r="AH767" t="str">
        <f t="shared" si="85"/>
        <v/>
      </c>
      <c r="AI767">
        <f t="shared" si="86"/>
        <v>0</v>
      </c>
      <c r="AJ767">
        <f t="shared" si="87"/>
        <v>0</v>
      </c>
      <c r="AK767">
        <v>0</v>
      </c>
      <c r="AL767" t="str">
        <f>IF(AA767="","",IFERROR(IF(ISNUMBER('Procyflo 27TC'!E268),'Procyflo 27TC'!E268,IF(ISNUMBER(SEARCH("12",'Procyflo 27TC'!E268)),EDATE(AB767,12),IF(ISNUMBER(SEARCH("6",'Procyflo 27TC'!E268)),EDATE(AB767,6),IF(ISNUMBER(SEARCH("3",'Procyflo 27TC'!E268)),EDATE(AB767,3),DATEVALUE('Procyflo 27TC'!E268))))),""))</f>
        <v/>
      </c>
      <c r="AM767" t="str">
        <f t="shared" ca="1" si="88"/>
        <v/>
      </c>
    </row>
    <row r="768" spans="27:39" x14ac:dyDescent="0.3">
      <c r="AA768" t="str">
        <f>IF(COUNTA('Procyflo 27TC'!B269,'Procyflo 27TC'!C269,'Procyflo 27TC'!D269)&gt;0,"27TC","")</f>
        <v/>
      </c>
      <c r="AB768" t="str">
        <f>IFERROR(IF(ISNUMBER('Procyflo 27TC'!B269),'Procyflo 27TC'!B269,DATEVALUE('Procyflo 27TC'!B269)),"")</f>
        <v/>
      </c>
      <c r="AC768" t="str">
        <f>IF(AA768="","",'Procyflo 27TC'!C269)</f>
        <v/>
      </c>
      <c r="AD768" t="str">
        <f>IF(AA768="","",IFERROR(1*'Procyflo 27TC'!D269,IFERROR(_xludf.NUMBERVALUE('Procyflo 27TC'!D269,".",","),IFERROR(_xludf.NUMBERVALUE('Procyflo 27TC'!D269,",","."),0))))</f>
        <v/>
      </c>
      <c r="AE768" t="str">
        <f>IF(AA768="","",'Procyflo 27TC'!N269)</f>
        <v/>
      </c>
      <c r="AF768">
        <f t="shared" si="83"/>
        <v>0</v>
      </c>
      <c r="AG768" t="str">
        <f t="shared" si="84"/>
        <v/>
      </c>
      <c r="AH768" t="str">
        <f t="shared" si="85"/>
        <v/>
      </c>
      <c r="AI768">
        <f t="shared" si="86"/>
        <v>0</v>
      </c>
      <c r="AJ768">
        <f t="shared" si="87"/>
        <v>0</v>
      </c>
      <c r="AK768">
        <v>0</v>
      </c>
      <c r="AL768" t="str">
        <f>IF(AA768="","",IFERROR(IF(ISNUMBER('Procyflo 27TC'!E269),'Procyflo 27TC'!E269,IF(ISNUMBER(SEARCH("12",'Procyflo 27TC'!E269)),EDATE(AB768,12),IF(ISNUMBER(SEARCH("6",'Procyflo 27TC'!E269)),EDATE(AB768,6),IF(ISNUMBER(SEARCH("3",'Procyflo 27TC'!E269)),EDATE(AB768,3),DATEVALUE('Procyflo 27TC'!E269))))),""))</f>
        <v/>
      </c>
      <c r="AM768" t="str">
        <f t="shared" ca="1" si="88"/>
        <v/>
      </c>
    </row>
    <row r="769" spans="27:39" x14ac:dyDescent="0.3">
      <c r="AA769" t="str">
        <f>IF(COUNTA('Procyflo 27TC'!B270,'Procyflo 27TC'!C270,'Procyflo 27TC'!D270)&gt;0,"27TC","")</f>
        <v/>
      </c>
      <c r="AB769" t="str">
        <f>IFERROR(IF(ISNUMBER('Procyflo 27TC'!B270),'Procyflo 27TC'!B270,DATEVALUE('Procyflo 27TC'!B270)),"")</f>
        <v/>
      </c>
      <c r="AC769" t="str">
        <f>IF(AA769="","",'Procyflo 27TC'!C270)</f>
        <v/>
      </c>
      <c r="AD769" t="str">
        <f>IF(AA769="","",IFERROR(1*'Procyflo 27TC'!D270,IFERROR(_xludf.NUMBERVALUE('Procyflo 27TC'!D270,".",","),IFERROR(_xludf.NUMBERVALUE('Procyflo 27TC'!D270,",","."),0))))</f>
        <v/>
      </c>
      <c r="AE769" t="str">
        <f>IF(AA769="","",'Procyflo 27TC'!N270)</f>
        <v/>
      </c>
      <c r="AF769">
        <f t="shared" si="83"/>
        <v>0</v>
      </c>
      <c r="AG769" t="str">
        <f t="shared" si="84"/>
        <v/>
      </c>
      <c r="AH769" t="str">
        <f t="shared" si="85"/>
        <v/>
      </c>
      <c r="AI769">
        <f t="shared" si="86"/>
        <v>0</v>
      </c>
      <c r="AJ769">
        <f t="shared" si="87"/>
        <v>0</v>
      </c>
      <c r="AK769">
        <v>0</v>
      </c>
      <c r="AL769" t="str">
        <f>IF(AA769="","",IFERROR(IF(ISNUMBER('Procyflo 27TC'!E270),'Procyflo 27TC'!E270,IF(ISNUMBER(SEARCH("12",'Procyflo 27TC'!E270)),EDATE(AB769,12),IF(ISNUMBER(SEARCH("6",'Procyflo 27TC'!E270)),EDATE(AB769,6),IF(ISNUMBER(SEARCH("3",'Procyflo 27TC'!E270)),EDATE(AB769,3),DATEVALUE('Procyflo 27TC'!E270))))),""))</f>
        <v/>
      </c>
      <c r="AM769" t="str">
        <f t="shared" ca="1" si="88"/>
        <v/>
      </c>
    </row>
    <row r="770" spans="27:39" x14ac:dyDescent="0.3">
      <c r="AA770" t="str">
        <f>IF(COUNTA('Procyflo 27TC'!B271,'Procyflo 27TC'!C271,'Procyflo 27TC'!D271)&gt;0,"27TC","")</f>
        <v/>
      </c>
      <c r="AB770" t="str">
        <f>IFERROR(IF(ISNUMBER('Procyflo 27TC'!B271),'Procyflo 27TC'!B271,DATEVALUE('Procyflo 27TC'!B271)),"")</f>
        <v/>
      </c>
      <c r="AC770" t="str">
        <f>IF(AA770="","",'Procyflo 27TC'!C271)</f>
        <v/>
      </c>
      <c r="AD770" t="str">
        <f>IF(AA770="","",IFERROR(1*'Procyflo 27TC'!D271,IFERROR(_xludf.NUMBERVALUE('Procyflo 27TC'!D271,".",","),IFERROR(_xludf.NUMBERVALUE('Procyflo 27TC'!D271,",","."),0))))</f>
        <v/>
      </c>
      <c r="AE770" t="str">
        <f>IF(AA770="","",'Procyflo 27TC'!N271)</f>
        <v/>
      </c>
      <c r="AF770">
        <f t="shared" ref="AF770:AF833" si="89">IF(AA770="",0,--AND(ISNUMBER(SEARCH("aprov",AE770)),NOT(ISNUMBER(SEARCH("reprov",AE770)))))</f>
        <v>0</v>
      </c>
      <c r="AG770" t="str">
        <f t="shared" ref="AG770:AG833" si="90">IF(AB770="","",YEAR(AB770))</f>
        <v/>
      </c>
      <c r="AH770" t="str">
        <f t="shared" ref="AH770:AH833" si="91">IF(AB770="","",MONTH(AB770))</f>
        <v/>
      </c>
      <c r="AI770">
        <f t="shared" ref="AI770:AI833" si="92">IF(AB770="",0,AB770+ROW()/1000000)</f>
        <v>0</v>
      </c>
      <c r="AJ770">
        <f t="shared" ref="AJ770:AJ833" si="93">--(AA770&lt;&gt;"")</f>
        <v>0</v>
      </c>
      <c r="AK770">
        <v>0</v>
      </c>
      <c r="AL770" t="str">
        <f>IF(AA770="","",IFERROR(IF(ISNUMBER('Procyflo 27TC'!E271),'Procyflo 27TC'!E271,IF(ISNUMBER(SEARCH("12",'Procyflo 27TC'!E271)),EDATE(AB770,12),IF(ISNUMBER(SEARCH("6",'Procyflo 27TC'!E271)),EDATE(AB770,6),IF(ISNUMBER(SEARCH("3",'Procyflo 27TC'!E271)),EDATE(AB770,3),DATEVALUE('Procyflo 27TC'!E271))))),""))</f>
        <v/>
      </c>
      <c r="AM770" t="str">
        <f t="shared" ref="AM770:AM833" ca="1" si="94">IF(AND(AJ770=1,AL770&lt;&gt;"",AL770&gt;=TODAY(),AG770=$W$3),AL770+ROW()/1000000,"")</f>
        <v/>
      </c>
    </row>
    <row r="771" spans="27:39" x14ac:dyDescent="0.3">
      <c r="AA771" t="str">
        <f>IF(COUNTA('Procyflo 27TC'!B272,'Procyflo 27TC'!C272,'Procyflo 27TC'!D272)&gt;0,"27TC","")</f>
        <v/>
      </c>
      <c r="AB771" t="str">
        <f>IFERROR(IF(ISNUMBER('Procyflo 27TC'!B272),'Procyflo 27TC'!B272,DATEVALUE('Procyflo 27TC'!B272)),"")</f>
        <v/>
      </c>
      <c r="AC771" t="str">
        <f>IF(AA771="","",'Procyflo 27TC'!C272)</f>
        <v/>
      </c>
      <c r="AD771" t="str">
        <f>IF(AA771="","",IFERROR(1*'Procyflo 27TC'!D272,IFERROR(_xludf.NUMBERVALUE('Procyflo 27TC'!D272,".",","),IFERROR(_xludf.NUMBERVALUE('Procyflo 27TC'!D272,",","."),0))))</f>
        <v/>
      </c>
      <c r="AE771" t="str">
        <f>IF(AA771="","",'Procyflo 27TC'!N272)</f>
        <v/>
      </c>
      <c r="AF771">
        <f t="shared" si="89"/>
        <v>0</v>
      </c>
      <c r="AG771" t="str">
        <f t="shared" si="90"/>
        <v/>
      </c>
      <c r="AH771" t="str">
        <f t="shared" si="91"/>
        <v/>
      </c>
      <c r="AI771">
        <f t="shared" si="92"/>
        <v>0</v>
      </c>
      <c r="AJ771">
        <f t="shared" si="93"/>
        <v>0</v>
      </c>
      <c r="AK771">
        <v>0</v>
      </c>
      <c r="AL771" t="str">
        <f>IF(AA771="","",IFERROR(IF(ISNUMBER('Procyflo 27TC'!E272),'Procyflo 27TC'!E272,IF(ISNUMBER(SEARCH("12",'Procyflo 27TC'!E272)),EDATE(AB771,12),IF(ISNUMBER(SEARCH("6",'Procyflo 27TC'!E272)),EDATE(AB771,6),IF(ISNUMBER(SEARCH("3",'Procyflo 27TC'!E272)),EDATE(AB771,3),DATEVALUE('Procyflo 27TC'!E272))))),""))</f>
        <v/>
      </c>
      <c r="AM771" t="str">
        <f t="shared" ca="1" si="94"/>
        <v/>
      </c>
    </row>
    <row r="772" spans="27:39" x14ac:dyDescent="0.3">
      <c r="AA772" t="str">
        <f>IF(COUNTA('Procyflo 27TC'!B273,'Procyflo 27TC'!C273,'Procyflo 27TC'!D273)&gt;0,"27TC","")</f>
        <v/>
      </c>
      <c r="AB772" t="str">
        <f>IFERROR(IF(ISNUMBER('Procyflo 27TC'!B273),'Procyflo 27TC'!B273,DATEVALUE('Procyflo 27TC'!B273)),"")</f>
        <v/>
      </c>
      <c r="AC772" t="str">
        <f>IF(AA772="","",'Procyflo 27TC'!C273)</f>
        <v/>
      </c>
      <c r="AD772" t="str">
        <f>IF(AA772="","",IFERROR(1*'Procyflo 27TC'!D273,IFERROR(_xludf.NUMBERVALUE('Procyflo 27TC'!D273,".",","),IFERROR(_xludf.NUMBERVALUE('Procyflo 27TC'!D273,",","."),0))))</f>
        <v/>
      </c>
      <c r="AE772" t="str">
        <f>IF(AA772="","",'Procyflo 27TC'!N273)</f>
        <v/>
      </c>
      <c r="AF772">
        <f t="shared" si="89"/>
        <v>0</v>
      </c>
      <c r="AG772" t="str">
        <f t="shared" si="90"/>
        <v/>
      </c>
      <c r="AH772" t="str">
        <f t="shared" si="91"/>
        <v/>
      </c>
      <c r="AI772">
        <f t="shared" si="92"/>
        <v>0</v>
      </c>
      <c r="AJ772">
        <f t="shared" si="93"/>
        <v>0</v>
      </c>
      <c r="AK772">
        <v>0</v>
      </c>
      <c r="AL772" t="str">
        <f>IF(AA772="","",IFERROR(IF(ISNUMBER('Procyflo 27TC'!E273),'Procyflo 27TC'!E273,IF(ISNUMBER(SEARCH("12",'Procyflo 27TC'!E273)),EDATE(AB772,12),IF(ISNUMBER(SEARCH("6",'Procyflo 27TC'!E273)),EDATE(AB772,6),IF(ISNUMBER(SEARCH("3",'Procyflo 27TC'!E273)),EDATE(AB772,3),DATEVALUE('Procyflo 27TC'!E273))))),""))</f>
        <v/>
      </c>
      <c r="AM772" t="str">
        <f t="shared" ca="1" si="94"/>
        <v/>
      </c>
    </row>
    <row r="773" spans="27:39" x14ac:dyDescent="0.3">
      <c r="AA773" t="str">
        <f>IF(COUNTA('Procyflo 27TC'!B274,'Procyflo 27TC'!C274,'Procyflo 27TC'!D274)&gt;0,"27TC","")</f>
        <v/>
      </c>
      <c r="AB773" t="str">
        <f>IFERROR(IF(ISNUMBER('Procyflo 27TC'!B274),'Procyflo 27TC'!B274,DATEVALUE('Procyflo 27TC'!B274)),"")</f>
        <v/>
      </c>
      <c r="AC773" t="str">
        <f>IF(AA773="","",'Procyflo 27TC'!C274)</f>
        <v/>
      </c>
      <c r="AD773" t="str">
        <f>IF(AA773="","",IFERROR(1*'Procyflo 27TC'!D274,IFERROR(_xludf.NUMBERVALUE('Procyflo 27TC'!D274,".",","),IFERROR(_xludf.NUMBERVALUE('Procyflo 27TC'!D274,",","."),0))))</f>
        <v/>
      </c>
      <c r="AE773" t="str">
        <f>IF(AA773="","",'Procyflo 27TC'!N274)</f>
        <v/>
      </c>
      <c r="AF773">
        <f t="shared" si="89"/>
        <v>0</v>
      </c>
      <c r="AG773" t="str">
        <f t="shared" si="90"/>
        <v/>
      </c>
      <c r="AH773" t="str">
        <f t="shared" si="91"/>
        <v/>
      </c>
      <c r="AI773">
        <f t="shared" si="92"/>
        <v>0</v>
      </c>
      <c r="AJ773">
        <f t="shared" si="93"/>
        <v>0</v>
      </c>
      <c r="AK773">
        <v>0</v>
      </c>
      <c r="AL773" t="str">
        <f>IF(AA773="","",IFERROR(IF(ISNUMBER('Procyflo 27TC'!E274),'Procyflo 27TC'!E274,IF(ISNUMBER(SEARCH("12",'Procyflo 27TC'!E274)),EDATE(AB773,12),IF(ISNUMBER(SEARCH("6",'Procyflo 27TC'!E274)),EDATE(AB773,6),IF(ISNUMBER(SEARCH("3",'Procyflo 27TC'!E274)),EDATE(AB773,3),DATEVALUE('Procyflo 27TC'!E274))))),""))</f>
        <v/>
      </c>
      <c r="AM773" t="str">
        <f t="shared" ca="1" si="94"/>
        <v/>
      </c>
    </row>
    <row r="774" spans="27:39" x14ac:dyDescent="0.3">
      <c r="AA774" t="str">
        <f>IF(COUNTA('Procyflo 27TC'!B275,'Procyflo 27TC'!C275,'Procyflo 27TC'!D275)&gt;0,"27TC","")</f>
        <v/>
      </c>
      <c r="AB774" t="str">
        <f>IFERROR(IF(ISNUMBER('Procyflo 27TC'!B275),'Procyflo 27TC'!B275,DATEVALUE('Procyflo 27TC'!B275)),"")</f>
        <v/>
      </c>
      <c r="AC774" t="str">
        <f>IF(AA774="","",'Procyflo 27TC'!C275)</f>
        <v/>
      </c>
      <c r="AD774" t="str">
        <f>IF(AA774="","",IFERROR(1*'Procyflo 27TC'!D275,IFERROR(_xludf.NUMBERVALUE('Procyflo 27TC'!D275,".",","),IFERROR(_xludf.NUMBERVALUE('Procyflo 27TC'!D275,",","."),0))))</f>
        <v/>
      </c>
      <c r="AE774" t="str">
        <f>IF(AA774="","",'Procyflo 27TC'!N275)</f>
        <v/>
      </c>
      <c r="AF774">
        <f t="shared" si="89"/>
        <v>0</v>
      </c>
      <c r="AG774" t="str">
        <f t="shared" si="90"/>
        <v/>
      </c>
      <c r="AH774" t="str">
        <f t="shared" si="91"/>
        <v/>
      </c>
      <c r="AI774">
        <f t="shared" si="92"/>
        <v>0</v>
      </c>
      <c r="AJ774">
        <f t="shared" si="93"/>
        <v>0</v>
      </c>
      <c r="AK774">
        <v>0</v>
      </c>
      <c r="AL774" t="str">
        <f>IF(AA774="","",IFERROR(IF(ISNUMBER('Procyflo 27TC'!E275),'Procyflo 27TC'!E275,IF(ISNUMBER(SEARCH("12",'Procyflo 27TC'!E275)),EDATE(AB774,12),IF(ISNUMBER(SEARCH("6",'Procyflo 27TC'!E275)),EDATE(AB774,6),IF(ISNUMBER(SEARCH("3",'Procyflo 27TC'!E275)),EDATE(AB774,3),DATEVALUE('Procyflo 27TC'!E275))))),""))</f>
        <v/>
      </c>
      <c r="AM774" t="str">
        <f t="shared" ca="1" si="94"/>
        <v/>
      </c>
    </row>
    <row r="775" spans="27:39" x14ac:dyDescent="0.3">
      <c r="AA775" t="str">
        <f>IF(COUNTA('Procyflo 27TC'!B276,'Procyflo 27TC'!C276,'Procyflo 27TC'!D276)&gt;0,"27TC","")</f>
        <v/>
      </c>
      <c r="AB775" t="str">
        <f>IFERROR(IF(ISNUMBER('Procyflo 27TC'!B276),'Procyflo 27TC'!B276,DATEVALUE('Procyflo 27TC'!B276)),"")</f>
        <v/>
      </c>
      <c r="AC775" t="str">
        <f>IF(AA775="","",'Procyflo 27TC'!C276)</f>
        <v/>
      </c>
      <c r="AD775" t="str">
        <f>IF(AA775="","",IFERROR(1*'Procyflo 27TC'!D276,IFERROR(_xludf.NUMBERVALUE('Procyflo 27TC'!D276,".",","),IFERROR(_xludf.NUMBERVALUE('Procyflo 27TC'!D276,",","."),0))))</f>
        <v/>
      </c>
      <c r="AE775" t="str">
        <f>IF(AA775="","",'Procyflo 27TC'!N276)</f>
        <v/>
      </c>
      <c r="AF775">
        <f t="shared" si="89"/>
        <v>0</v>
      </c>
      <c r="AG775" t="str">
        <f t="shared" si="90"/>
        <v/>
      </c>
      <c r="AH775" t="str">
        <f t="shared" si="91"/>
        <v/>
      </c>
      <c r="AI775">
        <f t="shared" si="92"/>
        <v>0</v>
      </c>
      <c r="AJ775">
        <f t="shared" si="93"/>
        <v>0</v>
      </c>
      <c r="AK775">
        <v>0</v>
      </c>
      <c r="AL775" t="str">
        <f>IF(AA775="","",IFERROR(IF(ISNUMBER('Procyflo 27TC'!E276),'Procyflo 27TC'!E276,IF(ISNUMBER(SEARCH("12",'Procyflo 27TC'!E276)),EDATE(AB775,12),IF(ISNUMBER(SEARCH("6",'Procyflo 27TC'!E276)),EDATE(AB775,6),IF(ISNUMBER(SEARCH("3",'Procyflo 27TC'!E276)),EDATE(AB775,3),DATEVALUE('Procyflo 27TC'!E276))))),""))</f>
        <v/>
      </c>
      <c r="AM775" t="str">
        <f t="shared" ca="1" si="94"/>
        <v/>
      </c>
    </row>
    <row r="776" spans="27:39" x14ac:dyDescent="0.3">
      <c r="AA776" t="str">
        <f>IF(COUNTA('Procyflo 27TC'!B277,'Procyflo 27TC'!C277,'Procyflo 27TC'!D277)&gt;0,"27TC","")</f>
        <v/>
      </c>
      <c r="AB776" t="str">
        <f>IFERROR(IF(ISNUMBER('Procyflo 27TC'!B277),'Procyflo 27TC'!B277,DATEVALUE('Procyflo 27TC'!B277)),"")</f>
        <v/>
      </c>
      <c r="AC776" t="str">
        <f>IF(AA776="","",'Procyflo 27TC'!C277)</f>
        <v/>
      </c>
      <c r="AD776" t="str">
        <f>IF(AA776="","",IFERROR(1*'Procyflo 27TC'!D277,IFERROR(_xludf.NUMBERVALUE('Procyflo 27TC'!D277,".",","),IFERROR(_xludf.NUMBERVALUE('Procyflo 27TC'!D277,",","."),0))))</f>
        <v/>
      </c>
      <c r="AE776" t="str">
        <f>IF(AA776="","",'Procyflo 27TC'!N277)</f>
        <v/>
      </c>
      <c r="AF776">
        <f t="shared" si="89"/>
        <v>0</v>
      </c>
      <c r="AG776" t="str">
        <f t="shared" si="90"/>
        <v/>
      </c>
      <c r="AH776" t="str">
        <f t="shared" si="91"/>
        <v/>
      </c>
      <c r="AI776">
        <f t="shared" si="92"/>
        <v>0</v>
      </c>
      <c r="AJ776">
        <f t="shared" si="93"/>
        <v>0</v>
      </c>
      <c r="AK776">
        <v>0</v>
      </c>
      <c r="AL776" t="str">
        <f>IF(AA776="","",IFERROR(IF(ISNUMBER('Procyflo 27TC'!E277),'Procyflo 27TC'!E277,IF(ISNUMBER(SEARCH("12",'Procyflo 27TC'!E277)),EDATE(AB776,12),IF(ISNUMBER(SEARCH("6",'Procyflo 27TC'!E277)),EDATE(AB776,6),IF(ISNUMBER(SEARCH("3",'Procyflo 27TC'!E277)),EDATE(AB776,3),DATEVALUE('Procyflo 27TC'!E277))))),""))</f>
        <v/>
      </c>
      <c r="AM776" t="str">
        <f t="shared" ca="1" si="94"/>
        <v/>
      </c>
    </row>
    <row r="777" spans="27:39" x14ac:dyDescent="0.3">
      <c r="AA777" t="str">
        <f>IF(COUNTA('Procyflo 27TC'!B278,'Procyflo 27TC'!C278,'Procyflo 27TC'!D278)&gt;0,"27TC","")</f>
        <v/>
      </c>
      <c r="AB777" t="str">
        <f>IFERROR(IF(ISNUMBER('Procyflo 27TC'!B278),'Procyflo 27TC'!B278,DATEVALUE('Procyflo 27TC'!B278)),"")</f>
        <v/>
      </c>
      <c r="AC777" t="str">
        <f>IF(AA777="","",'Procyflo 27TC'!C278)</f>
        <v/>
      </c>
      <c r="AD777" t="str">
        <f>IF(AA777="","",IFERROR(1*'Procyflo 27TC'!D278,IFERROR(_xludf.NUMBERVALUE('Procyflo 27TC'!D278,".",","),IFERROR(_xludf.NUMBERVALUE('Procyflo 27TC'!D278,",","."),0))))</f>
        <v/>
      </c>
      <c r="AE777" t="str">
        <f>IF(AA777="","",'Procyflo 27TC'!N278)</f>
        <v/>
      </c>
      <c r="AF777">
        <f t="shared" si="89"/>
        <v>0</v>
      </c>
      <c r="AG777" t="str">
        <f t="shared" si="90"/>
        <v/>
      </c>
      <c r="AH777" t="str">
        <f t="shared" si="91"/>
        <v/>
      </c>
      <c r="AI777">
        <f t="shared" si="92"/>
        <v>0</v>
      </c>
      <c r="AJ777">
        <f t="shared" si="93"/>
        <v>0</v>
      </c>
      <c r="AK777">
        <v>0</v>
      </c>
      <c r="AL777" t="str">
        <f>IF(AA777="","",IFERROR(IF(ISNUMBER('Procyflo 27TC'!E278),'Procyflo 27TC'!E278,IF(ISNUMBER(SEARCH("12",'Procyflo 27TC'!E278)),EDATE(AB777,12),IF(ISNUMBER(SEARCH("6",'Procyflo 27TC'!E278)),EDATE(AB777,6),IF(ISNUMBER(SEARCH("3",'Procyflo 27TC'!E278)),EDATE(AB777,3),DATEVALUE('Procyflo 27TC'!E278))))),""))</f>
        <v/>
      </c>
      <c r="AM777" t="str">
        <f t="shared" ca="1" si="94"/>
        <v/>
      </c>
    </row>
    <row r="778" spans="27:39" x14ac:dyDescent="0.3">
      <c r="AA778" t="str">
        <f>IF(COUNTA('Procyflo 27TC'!B279,'Procyflo 27TC'!C279,'Procyflo 27TC'!D279)&gt;0,"27TC","")</f>
        <v/>
      </c>
      <c r="AB778" t="str">
        <f>IFERROR(IF(ISNUMBER('Procyflo 27TC'!B279),'Procyflo 27TC'!B279,DATEVALUE('Procyflo 27TC'!B279)),"")</f>
        <v/>
      </c>
      <c r="AC778" t="str">
        <f>IF(AA778="","",'Procyflo 27TC'!C279)</f>
        <v/>
      </c>
      <c r="AD778" t="str">
        <f>IF(AA778="","",IFERROR(1*'Procyflo 27TC'!D279,IFERROR(_xludf.NUMBERVALUE('Procyflo 27TC'!D279,".",","),IFERROR(_xludf.NUMBERVALUE('Procyflo 27TC'!D279,",","."),0))))</f>
        <v/>
      </c>
      <c r="AE778" t="str">
        <f>IF(AA778="","",'Procyflo 27TC'!N279)</f>
        <v/>
      </c>
      <c r="AF778">
        <f t="shared" si="89"/>
        <v>0</v>
      </c>
      <c r="AG778" t="str">
        <f t="shared" si="90"/>
        <v/>
      </c>
      <c r="AH778" t="str">
        <f t="shared" si="91"/>
        <v/>
      </c>
      <c r="AI778">
        <f t="shared" si="92"/>
        <v>0</v>
      </c>
      <c r="AJ778">
        <f t="shared" si="93"/>
        <v>0</v>
      </c>
      <c r="AK778">
        <v>0</v>
      </c>
      <c r="AL778" t="str">
        <f>IF(AA778="","",IFERROR(IF(ISNUMBER('Procyflo 27TC'!E279),'Procyflo 27TC'!E279,IF(ISNUMBER(SEARCH("12",'Procyflo 27TC'!E279)),EDATE(AB778,12),IF(ISNUMBER(SEARCH("6",'Procyflo 27TC'!E279)),EDATE(AB778,6),IF(ISNUMBER(SEARCH("3",'Procyflo 27TC'!E279)),EDATE(AB778,3),DATEVALUE('Procyflo 27TC'!E279))))),""))</f>
        <v/>
      </c>
      <c r="AM778" t="str">
        <f t="shared" ca="1" si="94"/>
        <v/>
      </c>
    </row>
    <row r="779" spans="27:39" x14ac:dyDescent="0.3">
      <c r="AA779" t="str">
        <f>IF(COUNTA('Procyflo 27TC'!B280,'Procyflo 27TC'!C280,'Procyflo 27TC'!D280)&gt;0,"27TC","")</f>
        <v/>
      </c>
      <c r="AB779" t="str">
        <f>IFERROR(IF(ISNUMBER('Procyflo 27TC'!B280),'Procyflo 27TC'!B280,DATEVALUE('Procyflo 27TC'!B280)),"")</f>
        <v/>
      </c>
      <c r="AC779" t="str">
        <f>IF(AA779="","",'Procyflo 27TC'!C280)</f>
        <v/>
      </c>
      <c r="AD779" t="str">
        <f>IF(AA779="","",IFERROR(1*'Procyflo 27TC'!D280,IFERROR(_xludf.NUMBERVALUE('Procyflo 27TC'!D280,".",","),IFERROR(_xludf.NUMBERVALUE('Procyflo 27TC'!D280,",","."),0))))</f>
        <v/>
      </c>
      <c r="AE779" t="str">
        <f>IF(AA779="","",'Procyflo 27TC'!N280)</f>
        <v/>
      </c>
      <c r="AF779">
        <f t="shared" si="89"/>
        <v>0</v>
      </c>
      <c r="AG779" t="str">
        <f t="shared" si="90"/>
        <v/>
      </c>
      <c r="AH779" t="str">
        <f t="shared" si="91"/>
        <v/>
      </c>
      <c r="AI779">
        <f t="shared" si="92"/>
        <v>0</v>
      </c>
      <c r="AJ779">
        <f t="shared" si="93"/>
        <v>0</v>
      </c>
      <c r="AK779">
        <v>0</v>
      </c>
      <c r="AL779" t="str">
        <f>IF(AA779="","",IFERROR(IF(ISNUMBER('Procyflo 27TC'!E280),'Procyflo 27TC'!E280,IF(ISNUMBER(SEARCH("12",'Procyflo 27TC'!E280)),EDATE(AB779,12),IF(ISNUMBER(SEARCH("6",'Procyflo 27TC'!E280)),EDATE(AB779,6),IF(ISNUMBER(SEARCH("3",'Procyflo 27TC'!E280)),EDATE(AB779,3),DATEVALUE('Procyflo 27TC'!E280))))),""))</f>
        <v/>
      </c>
      <c r="AM779" t="str">
        <f t="shared" ca="1" si="94"/>
        <v/>
      </c>
    </row>
    <row r="780" spans="27:39" x14ac:dyDescent="0.3">
      <c r="AA780" t="str">
        <f>IF(COUNTA('Procyflo 27TC'!B281,'Procyflo 27TC'!C281,'Procyflo 27TC'!D281)&gt;0,"27TC","")</f>
        <v/>
      </c>
      <c r="AB780" t="str">
        <f>IFERROR(IF(ISNUMBER('Procyflo 27TC'!B281),'Procyflo 27TC'!B281,DATEVALUE('Procyflo 27TC'!B281)),"")</f>
        <v/>
      </c>
      <c r="AC780" t="str">
        <f>IF(AA780="","",'Procyflo 27TC'!C281)</f>
        <v/>
      </c>
      <c r="AD780" t="str">
        <f>IF(AA780="","",IFERROR(1*'Procyflo 27TC'!D281,IFERROR(_xludf.NUMBERVALUE('Procyflo 27TC'!D281,".",","),IFERROR(_xludf.NUMBERVALUE('Procyflo 27TC'!D281,",","."),0))))</f>
        <v/>
      </c>
      <c r="AE780" t="str">
        <f>IF(AA780="","",'Procyflo 27TC'!N281)</f>
        <v/>
      </c>
      <c r="AF780">
        <f t="shared" si="89"/>
        <v>0</v>
      </c>
      <c r="AG780" t="str">
        <f t="shared" si="90"/>
        <v/>
      </c>
      <c r="AH780" t="str">
        <f t="shared" si="91"/>
        <v/>
      </c>
      <c r="AI780">
        <f t="shared" si="92"/>
        <v>0</v>
      </c>
      <c r="AJ780">
        <f t="shared" si="93"/>
        <v>0</v>
      </c>
      <c r="AK780">
        <v>0</v>
      </c>
      <c r="AL780" t="str">
        <f>IF(AA780="","",IFERROR(IF(ISNUMBER('Procyflo 27TC'!E281),'Procyflo 27TC'!E281,IF(ISNUMBER(SEARCH("12",'Procyflo 27TC'!E281)),EDATE(AB780,12),IF(ISNUMBER(SEARCH("6",'Procyflo 27TC'!E281)),EDATE(AB780,6),IF(ISNUMBER(SEARCH("3",'Procyflo 27TC'!E281)),EDATE(AB780,3),DATEVALUE('Procyflo 27TC'!E281))))),""))</f>
        <v/>
      </c>
      <c r="AM780" t="str">
        <f t="shared" ca="1" si="94"/>
        <v/>
      </c>
    </row>
    <row r="781" spans="27:39" x14ac:dyDescent="0.3">
      <c r="AA781" t="str">
        <f>IF(COUNTA('Procyflo 27TC'!B282,'Procyflo 27TC'!C282,'Procyflo 27TC'!D282)&gt;0,"27TC","")</f>
        <v/>
      </c>
      <c r="AB781" t="str">
        <f>IFERROR(IF(ISNUMBER('Procyflo 27TC'!B282),'Procyflo 27TC'!B282,DATEVALUE('Procyflo 27TC'!B282)),"")</f>
        <v/>
      </c>
      <c r="AC781" t="str">
        <f>IF(AA781="","",'Procyflo 27TC'!C282)</f>
        <v/>
      </c>
      <c r="AD781" t="str">
        <f>IF(AA781="","",IFERROR(1*'Procyflo 27TC'!D282,IFERROR(_xludf.NUMBERVALUE('Procyflo 27TC'!D282,".",","),IFERROR(_xludf.NUMBERVALUE('Procyflo 27TC'!D282,",","."),0))))</f>
        <v/>
      </c>
      <c r="AE781" t="str">
        <f>IF(AA781="","",'Procyflo 27TC'!N282)</f>
        <v/>
      </c>
      <c r="AF781">
        <f t="shared" si="89"/>
        <v>0</v>
      </c>
      <c r="AG781" t="str">
        <f t="shared" si="90"/>
        <v/>
      </c>
      <c r="AH781" t="str">
        <f t="shared" si="91"/>
        <v/>
      </c>
      <c r="AI781">
        <f t="shared" si="92"/>
        <v>0</v>
      </c>
      <c r="AJ781">
        <f t="shared" si="93"/>
        <v>0</v>
      </c>
      <c r="AK781">
        <v>0</v>
      </c>
      <c r="AL781" t="str">
        <f>IF(AA781="","",IFERROR(IF(ISNUMBER('Procyflo 27TC'!E282),'Procyflo 27TC'!E282,IF(ISNUMBER(SEARCH("12",'Procyflo 27TC'!E282)),EDATE(AB781,12),IF(ISNUMBER(SEARCH("6",'Procyflo 27TC'!E282)),EDATE(AB781,6),IF(ISNUMBER(SEARCH("3",'Procyflo 27TC'!E282)),EDATE(AB781,3),DATEVALUE('Procyflo 27TC'!E282))))),""))</f>
        <v/>
      </c>
      <c r="AM781" t="str">
        <f t="shared" ca="1" si="94"/>
        <v/>
      </c>
    </row>
    <row r="782" spans="27:39" x14ac:dyDescent="0.3">
      <c r="AA782" t="str">
        <f>IF(COUNTA('Procyflo 27TC'!B283,'Procyflo 27TC'!C283,'Procyflo 27TC'!D283)&gt;0,"27TC","")</f>
        <v/>
      </c>
      <c r="AB782" t="str">
        <f>IFERROR(IF(ISNUMBER('Procyflo 27TC'!B283),'Procyflo 27TC'!B283,DATEVALUE('Procyflo 27TC'!B283)),"")</f>
        <v/>
      </c>
      <c r="AC782" t="str">
        <f>IF(AA782="","",'Procyflo 27TC'!C283)</f>
        <v/>
      </c>
      <c r="AD782" t="str">
        <f>IF(AA782="","",IFERROR(1*'Procyflo 27TC'!D283,IFERROR(_xludf.NUMBERVALUE('Procyflo 27TC'!D283,".",","),IFERROR(_xludf.NUMBERVALUE('Procyflo 27TC'!D283,",","."),0))))</f>
        <v/>
      </c>
      <c r="AE782" t="str">
        <f>IF(AA782="","",'Procyflo 27TC'!N283)</f>
        <v/>
      </c>
      <c r="AF782">
        <f t="shared" si="89"/>
        <v>0</v>
      </c>
      <c r="AG782" t="str">
        <f t="shared" si="90"/>
        <v/>
      </c>
      <c r="AH782" t="str">
        <f t="shared" si="91"/>
        <v/>
      </c>
      <c r="AI782">
        <f t="shared" si="92"/>
        <v>0</v>
      </c>
      <c r="AJ782">
        <f t="shared" si="93"/>
        <v>0</v>
      </c>
      <c r="AK782">
        <v>0</v>
      </c>
      <c r="AL782" t="str">
        <f>IF(AA782="","",IFERROR(IF(ISNUMBER('Procyflo 27TC'!E283),'Procyflo 27TC'!E283,IF(ISNUMBER(SEARCH("12",'Procyflo 27TC'!E283)),EDATE(AB782,12),IF(ISNUMBER(SEARCH("6",'Procyflo 27TC'!E283)),EDATE(AB782,6),IF(ISNUMBER(SEARCH("3",'Procyflo 27TC'!E283)),EDATE(AB782,3),DATEVALUE('Procyflo 27TC'!E283))))),""))</f>
        <v/>
      </c>
      <c r="AM782" t="str">
        <f t="shared" ca="1" si="94"/>
        <v/>
      </c>
    </row>
    <row r="783" spans="27:39" x14ac:dyDescent="0.3">
      <c r="AA783" t="str">
        <f>IF(COUNTA('Procyflo 27TC'!B284,'Procyflo 27TC'!C284,'Procyflo 27TC'!D284)&gt;0,"27TC","")</f>
        <v/>
      </c>
      <c r="AB783" t="str">
        <f>IFERROR(IF(ISNUMBER('Procyflo 27TC'!B284),'Procyflo 27TC'!B284,DATEVALUE('Procyflo 27TC'!B284)),"")</f>
        <v/>
      </c>
      <c r="AC783" t="str">
        <f>IF(AA783="","",'Procyflo 27TC'!C284)</f>
        <v/>
      </c>
      <c r="AD783" t="str">
        <f>IF(AA783="","",IFERROR(1*'Procyflo 27TC'!D284,IFERROR(_xludf.NUMBERVALUE('Procyflo 27TC'!D284,".",","),IFERROR(_xludf.NUMBERVALUE('Procyflo 27TC'!D284,",","."),0))))</f>
        <v/>
      </c>
      <c r="AE783" t="str">
        <f>IF(AA783="","",'Procyflo 27TC'!N284)</f>
        <v/>
      </c>
      <c r="AF783">
        <f t="shared" si="89"/>
        <v>0</v>
      </c>
      <c r="AG783" t="str">
        <f t="shared" si="90"/>
        <v/>
      </c>
      <c r="AH783" t="str">
        <f t="shared" si="91"/>
        <v/>
      </c>
      <c r="AI783">
        <f t="shared" si="92"/>
        <v>0</v>
      </c>
      <c r="AJ783">
        <f t="shared" si="93"/>
        <v>0</v>
      </c>
      <c r="AK783">
        <v>0</v>
      </c>
      <c r="AL783" t="str">
        <f>IF(AA783="","",IFERROR(IF(ISNUMBER('Procyflo 27TC'!E284),'Procyflo 27TC'!E284,IF(ISNUMBER(SEARCH("12",'Procyflo 27TC'!E284)),EDATE(AB783,12),IF(ISNUMBER(SEARCH("6",'Procyflo 27TC'!E284)),EDATE(AB783,6),IF(ISNUMBER(SEARCH("3",'Procyflo 27TC'!E284)),EDATE(AB783,3),DATEVALUE('Procyflo 27TC'!E284))))),""))</f>
        <v/>
      </c>
      <c r="AM783" t="str">
        <f t="shared" ca="1" si="94"/>
        <v/>
      </c>
    </row>
    <row r="784" spans="27:39" x14ac:dyDescent="0.3">
      <c r="AA784" t="str">
        <f>IF(COUNTA('Procyflo 27TC'!B285,'Procyflo 27TC'!C285,'Procyflo 27TC'!D285)&gt;0,"27TC","")</f>
        <v/>
      </c>
      <c r="AB784" t="str">
        <f>IFERROR(IF(ISNUMBER('Procyflo 27TC'!B285),'Procyflo 27TC'!B285,DATEVALUE('Procyflo 27TC'!B285)),"")</f>
        <v/>
      </c>
      <c r="AC784" t="str">
        <f>IF(AA784="","",'Procyflo 27TC'!C285)</f>
        <v/>
      </c>
      <c r="AD784" t="str">
        <f>IF(AA784="","",IFERROR(1*'Procyflo 27TC'!D285,IFERROR(_xludf.NUMBERVALUE('Procyflo 27TC'!D285,".",","),IFERROR(_xludf.NUMBERVALUE('Procyflo 27TC'!D285,",","."),0))))</f>
        <v/>
      </c>
      <c r="AE784" t="str">
        <f>IF(AA784="","",'Procyflo 27TC'!N285)</f>
        <v/>
      </c>
      <c r="AF784">
        <f t="shared" si="89"/>
        <v>0</v>
      </c>
      <c r="AG784" t="str">
        <f t="shared" si="90"/>
        <v/>
      </c>
      <c r="AH784" t="str">
        <f t="shared" si="91"/>
        <v/>
      </c>
      <c r="AI784">
        <f t="shared" si="92"/>
        <v>0</v>
      </c>
      <c r="AJ784">
        <f t="shared" si="93"/>
        <v>0</v>
      </c>
      <c r="AK784">
        <v>0</v>
      </c>
      <c r="AL784" t="str">
        <f>IF(AA784="","",IFERROR(IF(ISNUMBER('Procyflo 27TC'!E285),'Procyflo 27TC'!E285,IF(ISNUMBER(SEARCH("12",'Procyflo 27TC'!E285)),EDATE(AB784,12),IF(ISNUMBER(SEARCH("6",'Procyflo 27TC'!E285)),EDATE(AB784,6),IF(ISNUMBER(SEARCH("3",'Procyflo 27TC'!E285)),EDATE(AB784,3),DATEVALUE('Procyflo 27TC'!E285))))),""))</f>
        <v/>
      </c>
      <c r="AM784" t="str">
        <f t="shared" ca="1" si="94"/>
        <v/>
      </c>
    </row>
    <row r="785" spans="27:39" x14ac:dyDescent="0.3">
      <c r="AA785" t="str">
        <f>IF(COUNTA('Procyflo 27TC'!B286,'Procyflo 27TC'!C286,'Procyflo 27TC'!D286)&gt;0,"27TC","")</f>
        <v/>
      </c>
      <c r="AB785" t="str">
        <f>IFERROR(IF(ISNUMBER('Procyflo 27TC'!B286),'Procyflo 27TC'!B286,DATEVALUE('Procyflo 27TC'!B286)),"")</f>
        <v/>
      </c>
      <c r="AC785" t="str">
        <f>IF(AA785="","",'Procyflo 27TC'!C286)</f>
        <v/>
      </c>
      <c r="AD785" t="str">
        <f>IF(AA785="","",IFERROR(1*'Procyflo 27TC'!D286,IFERROR(_xludf.NUMBERVALUE('Procyflo 27TC'!D286,".",","),IFERROR(_xludf.NUMBERVALUE('Procyflo 27TC'!D286,",","."),0))))</f>
        <v/>
      </c>
      <c r="AE785" t="str">
        <f>IF(AA785="","",'Procyflo 27TC'!N286)</f>
        <v/>
      </c>
      <c r="AF785">
        <f t="shared" si="89"/>
        <v>0</v>
      </c>
      <c r="AG785" t="str">
        <f t="shared" si="90"/>
        <v/>
      </c>
      <c r="AH785" t="str">
        <f t="shared" si="91"/>
        <v/>
      </c>
      <c r="AI785">
        <f t="shared" si="92"/>
        <v>0</v>
      </c>
      <c r="AJ785">
        <f t="shared" si="93"/>
        <v>0</v>
      </c>
      <c r="AK785">
        <v>0</v>
      </c>
      <c r="AL785" t="str">
        <f>IF(AA785="","",IFERROR(IF(ISNUMBER('Procyflo 27TC'!E286),'Procyflo 27TC'!E286,IF(ISNUMBER(SEARCH("12",'Procyflo 27TC'!E286)),EDATE(AB785,12),IF(ISNUMBER(SEARCH("6",'Procyflo 27TC'!E286)),EDATE(AB785,6),IF(ISNUMBER(SEARCH("3",'Procyflo 27TC'!E286)),EDATE(AB785,3),DATEVALUE('Procyflo 27TC'!E286))))),""))</f>
        <v/>
      </c>
      <c r="AM785" t="str">
        <f t="shared" ca="1" si="94"/>
        <v/>
      </c>
    </row>
    <row r="786" spans="27:39" x14ac:dyDescent="0.3">
      <c r="AA786" t="str">
        <f>IF(COUNTA('Procyflo 27TC'!B287,'Procyflo 27TC'!C287,'Procyflo 27TC'!D287)&gt;0,"27TC","")</f>
        <v/>
      </c>
      <c r="AB786" t="str">
        <f>IFERROR(IF(ISNUMBER('Procyflo 27TC'!B287),'Procyflo 27TC'!B287,DATEVALUE('Procyflo 27TC'!B287)),"")</f>
        <v/>
      </c>
      <c r="AC786" t="str">
        <f>IF(AA786="","",'Procyflo 27TC'!C287)</f>
        <v/>
      </c>
      <c r="AD786" t="str">
        <f>IF(AA786="","",IFERROR(1*'Procyflo 27TC'!D287,IFERROR(_xludf.NUMBERVALUE('Procyflo 27TC'!D287,".",","),IFERROR(_xludf.NUMBERVALUE('Procyflo 27TC'!D287,",","."),0))))</f>
        <v/>
      </c>
      <c r="AE786" t="str">
        <f>IF(AA786="","",'Procyflo 27TC'!N287)</f>
        <v/>
      </c>
      <c r="AF786">
        <f t="shared" si="89"/>
        <v>0</v>
      </c>
      <c r="AG786" t="str">
        <f t="shared" si="90"/>
        <v/>
      </c>
      <c r="AH786" t="str">
        <f t="shared" si="91"/>
        <v/>
      </c>
      <c r="AI786">
        <f t="shared" si="92"/>
        <v>0</v>
      </c>
      <c r="AJ786">
        <f t="shared" si="93"/>
        <v>0</v>
      </c>
      <c r="AK786">
        <v>0</v>
      </c>
      <c r="AL786" t="str">
        <f>IF(AA786="","",IFERROR(IF(ISNUMBER('Procyflo 27TC'!E287),'Procyflo 27TC'!E287,IF(ISNUMBER(SEARCH("12",'Procyflo 27TC'!E287)),EDATE(AB786,12),IF(ISNUMBER(SEARCH("6",'Procyflo 27TC'!E287)),EDATE(AB786,6),IF(ISNUMBER(SEARCH("3",'Procyflo 27TC'!E287)),EDATE(AB786,3),DATEVALUE('Procyflo 27TC'!E287))))),""))</f>
        <v/>
      </c>
      <c r="AM786" t="str">
        <f t="shared" ca="1" si="94"/>
        <v/>
      </c>
    </row>
    <row r="787" spans="27:39" x14ac:dyDescent="0.3">
      <c r="AA787" t="str">
        <f>IF(COUNTA('Procyflo 27TC'!B288,'Procyflo 27TC'!C288,'Procyflo 27TC'!D288)&gt;0,"27TC","")</f>
        <v/>
      </c>
      <c r="AB787" t="str">
        <f>IFERROR(IF(ISNUMBER('Procyflo 27TC'!B288),'Procyflo 27TC'!B288,DATEVALUE('Procyflo 27TC'!B288)),"")</f>
        <v/>
      </c>
      <c r="AC787" t="str">
        <f>IF(AA787="","",'Procyflo 27TC'!C288)</f>
        <v/>
      </c>
      <c r="AD787" t="str">
        <f>IF(AA787="","",IFERROR(1*'Procyflo 27TC'!D288,IFERROR(_xludf.NUMBERVALUE('Procyflo 27TC'!D288,".",","),IFERROR(_xludf.NUMBERVALUE('Procyflo 27TC'!D288,",","."),0))))</f>
        <v/>
      </c>
      <c r="AE787" t="str">
        <f>IF(AA787="","",'Procyflo 27TC'!N288)</f>
        <v/>
      </c>
      <c r="AF787">
        <f t="shared" si="89"/>
        <v>0</v>
      </c>
      <c r="AG787" t="str">
        <f t="shared" si="90"/>
        <v/>
      </c>
      <c r="AH787" t="str">
        <f t="shared" si="91"/>
        <v/>
      </c>
      <c r="AI787">
        <f t="shared" si="92"/>
        <v>0</v>
      </c>
      <c r="AJ787">
        <f t="shared" si="93"/>
        <v>0</v>
      </c>
      <c r="AK787">
        <v>0</v>
      </c>
      <c r="AL787" t="str">
        <f>IF(AA787="","",IFERROR(IF(ISNUMBER('Procyflo 27TC'!E288),'Procyflo 27TC'!E288,IF(ISNUMBER(SEARCH("12",'Procyflo 27TC'!E288)),EDATE(AB787,12),IF(ISNUMBER(SEARCH("6",'Procyflo 27TC'!E288)),EDATE(AB787,6),IF(ISNUMBER(SEARCH("3",'Procyflo 27TC'!E288)),EDATE(AB787,3),DATEVALUE('Procyflo 27TC'!E288))))),""))</f>
        <v/>
      </c>
      <c r="AM787" t="str">
        <f t="shared" ca="1" si="94"/>
        <v/>
      </c>
    </row>
    <row r="788" spans="27:39" x14ac:dyDescent="0.3">
      <c r="AA788" t="str">
        <f>IF(COUNTA('Procyflo 27TC'!B289,'Procyflo 27TC'!C289,'Procyflo 27TC'!D289)&gt;0,"27TC","")</f>
        <v/>
      </c>
      <c r="AB788" t="str">
        <f>IFERROR(IF(ISNUMBER('Procyflo 27TC'!B289),'Procyflo 27TC'!B289,DATEVALUE('Procyflo 27TC'!B289)),"")</f>
        <v/>
      </c>
      <c r="AC788" t="str">
        <f>IF(AA788="","",'Procyflo 27TC'!C289)</f>
        <v/>
      </c>
      <c r="AD788" t="str">
        <f>IF(AA788="","",IFERROR(1*'Procyflo 27TC'!D289,IFERROR(_xludf.NUMBERVALUE('Procyflo 27TC'!D289,".",","),IFERROR(_xludf.NUMBERVALUE('Procyflo 27TC'!D289,",","."),0))))</f>
        <v/>
      </c>
      <c r="AE788" t="str">
        <f>IF(AA788="","",'Procyflo 27TC'!N289)</f>
        <v/>
      </c>
      <c r="AF788">
        <f t="shared" si="89"/>
        <v>0</v>
      </c>
      <c r="AG788" t="str">
        <f t="shared" si="90"/>
        <v/>
      </c>
      <c r="AH788" t="str">
        <f t="shared" si="91"/>
        <v/>
      </c>
      <c r="AI788">
        <f t="shared" si="92"/>
        <v>0</v>
      </c>
      <c r="AJ788">
        <f t="shared" si="93"/>
        <v>0</v>
      </c>
      <c r="AK788">
        <v>0</v>
      </c>
      <c r="AL788" t="str">
        <f>IF(AA788="","",IFERROR(IF(ISNUMBER('Procyflo 27TC'!E289),'Procyflo 27TC'!E289,IF(ISNUMBER(SEARCH("12",'Procyflo 27TC'!E289)),EDATE(AB788,12),IF(ISNUMBER(SEARCH("6",'Procyflo 27TC'!E289)),EDATE(AB788,6),IF(ISNUMBER(SEARCH("3",'Procyflo 27TC'!E289)),EDATE(AB788,3),DATEVALUE('Procyflo 27TC'!E289))))),""))</f>
        <v/>
      </c>
      <c r="AM788" t="str">
        <f t="shared" ca="1" si="94"/>
        <v/>
      </c>
    </row>
    <row r="789" spans="27:39" x14ac:dyDescent="0.3">
      <c r="AA789" t="str">
        <f>IF(COUNTA('Procyflo 27TC'!B290,'Procyflo 27TC'!C290,'Procyflo 27TC'!D290)&gt;0,"27TC","")</f>
        <v/>
      </c>
      <c r="AB789" t="str">
        <f>IFERROR(IF(ISNUMBER('Procyflo 27TC'!B290),'Procyflo 27TC'!B290,DATEVALUE('Procyflo 27TC'!B290)),"")</f>
        <v/>
      </c>
      <c r="AC789" t="str">
        <f>IF(AA789="","",'Procyflo 27TC'!C290)</f>
        <v/>
      </c>
      <c r="AD789" t="str">
        <f>IF(AA789="","",IFERROR(1*'Procyflo 27TC'!D290,IFERROR(_xludf.NUMBERVALUE('Procyflo 27TC'!D290,".",","),IFERROR(_xludf.NUMBERVALUE('Procyflo 27TC'!D290,",","."),0))))</f>
        <v/>
      </c>
      <c r="AE789" t="str">
        <f>IF(AA789="","",'Procyflo 27TC'!N290)</f>
        <v/>
      </c>
      <c r="AF789">
        <f t="shared" si="89"/>
        <v>0</v>
      </c>
      <c r="AG789" t="str">
        <f t="shared" si="90"/>
        <v/>
      </c>
      <c r="AH789" t="str">
        <f t="shared" si="91"/>
        <v/>
      </c>
      <c r="AI789">
        <f t="shared" si="92"/>
        <v>0</v>
      </c>
      <c r="AJ789">
        <f t="shared" si="93"/>
        <v>0</v>
      </c>
      <c r="AK789">
        <v>0</v>
      </c>
      <c r="AL789" t="str">
        <f>IF(AA789="","",IFERROR(IF(ISNUMBER('Procyflo 27TC'!E290),'Procyflo 27TC'!E290,IF(ISNUMBER(SEARCH("12",'Procyflo 27TC'!E290)),EDATE(AB789,12),IF(ISNUMBER(SEARCH("6",'Procyflo 27TC'!E290)),EDATE(AB789,6),IF(ISNUMBER(SEARCH("3",'Procyflo 27TC'!E290)),EDATE(AB789,3),DATEVALUE('Procyflo 27TC'!E290))))),""))</f>
        <v/>
      </c>
      <c r="AM789" t="str">
        <f t="shared" ca="1" si="94"/>
        <v/>
      </c>
    </row>
    <row r="790" spans="27:39" x14ac:dyDescent="0.3">
      <c r="AA790" t="str">
        <f>IF(COUNTA('Procyflo 27TC'!B291,'Procyflo 27TC'!C291,'Procyflo 27TC'!D291)&gt;0,"27TC","")</f>
        <v/>
      </c>
      <c r="AB790" t="str">
        <f>IFERROR(IF(ISNUMBER('Procyflo 27TC'!B291),'Procyflo 27TC'!B291,DATEVALUE('Procyflo 27TC'!B291)),"")</f>
        <v/>
      </c>
      <c r="AC790" t="str">
        <f>IF(AA790="","",'Procyflo 27TC'!C291)</f>
        <v/>
      </c>
      <c r="AD790" t="str">
        <f>IF(AA790="","",IFERROR(1*'Procyflo 27TC'!D291,IFERROR(_xludf.NUMBERVALUE('Procyflo 27TC'!D291,".",","),IFERROR(_xludf.NUMBERVALUE('Procyflo 27TC'!D291,",","."),0))))</f>
        <v/>
      </c>
      <c r="AE790" t="str">
        <f>IF(AA790="","",'Procyflo 27TC'!N291)</f>
        <v/>
      </c>
      <c r="AF790">
        <f t="shared" si="89"/>
        <v>0</v>
      </c>
      <c r="AG790" t="str">
        <f t="shared" si="90"/>
        <v/>
      </c>
      <c r="AH790" t="str">
        <f t="shared" si="91"/>
        <v/>
      </c>
      <c r="AI790">
        <f t="shared" si="92"/>
        <v>0</v>
      </c>
      <c r="AJ790">
        <f t="shared" si="93"/>
        <v>0</v>
      </c>
      <c r="AK790">
        <v>0</v>
      </c>
      <c r="AL790" t="str">
        <f>IF(AA790="","",IFERROR(IF(ISNUMBER('Procyflo 27TC'!E291),'Procyflo 27TC'!E291,IF(ISNUMBER(SEARCH("12",'Procyflo 27TC'!E291)),EDATE(AB790,12),IF(ISNUMBER(SEARCH("6",'Procyflo 27TC'!E291)),EDATE(AB790,6),IF(ISNUMBER(SEARCH("3",'Procyflo 27TC'!E291)),EDATE(AB790,3),DATEVALUE('Procyflo 27TC'!E291))))),""))</f>
        <v/>
      </c>
      <c r="AM790" t="str">
        <f t="shared" ca="1" si="94"/>
        <v/>
      </c>
    </row>
    <row r="791" spans="27:39" x14ac:dyDescent="0.3">
      <c r="AA791" t="str">
        <f>IF(COUNTA('Procyflo 27TC'!B292,'Procyflo 27TC'!C292,'Procyflo 27TC'!D292)&gt;0,"27TC","")</f>
        <v/>
      </c>
      <c r="AB791" t="str">
        <f>IFERROR(IF(ISNUMBER('Procyflo 27TC'!B292),'Procyflo 27TC'!B292,DATEVALUE('Procyflo 27TC'!B292)),"")</f>
        <v/>
      </c>
      <c r="AC791" t="str">
        <f>IF(AA791="","",'Procyflo 27TC'!C292)</f>
        <v/>
      </c>
      <c r="AD791" t="str">
        <f>IF(AA791="","",IFERROR(1*'Procyflo 27TC'!D292,IFERROR(_xludf.NUMBERVALUE('Procyflo 27TC'!D292,".",","),IFERROR(_xludf.NUMBERVALUE('Procyflo 27TC'!D292,",","."),0))))</f>
        <v/>
      </c>
      <c r="AE791" t="str">
        <f>IF(AA791="","",'Procyflo 27TC'!N292)</f>
        <v/>
      </c>
      <c r="AF791">
        <f t="shared" si="89"/>
        <v>0</v>
      </c>
      <c r="AG791" t="str">
        <f t="shared" si="90"/>
        <v/>
      </c>
      <c r="AH791" t="str">
        <f t="shared" si="91"/>
        <v/>
      </c>
      <c r="AI791">
        <f t="shared" si="92"/>
        <v>0</v>
      </c>
      <c r="AJ791">
        <f t="shared" si="93"/>
        <v>0</v>
      </c>
      <c r="AK791">
        <v>0</v>
      </c>
      <c r="AL791" t="str">
        <f>IF(AA791="","",IFERROR(IF(ISNUMBER('Procyflo 27TC'!E292),'Procyflo 27TC'!E292,IF(ISNUMBER(SEARCH("12",'Procyflo 27TC'!E292)),EDATE(AB791,12),IF(ISNUMBER(SEARCH("6",'Procyflo 27TC'!E292)),EDATE(AB791,6),IF(ISNUMBER(SEARCH("3",'Procyflo 27TC'!E292)),EDATE(AB791,3),DATEVALUE('Procyflo 27TC'!E292))))),""))</f>
        <v/>
      </c>
      <c r="AM791" t="str">
        <f t="shared" ca="1" si="94"/>
        <v/>
      </c>
    </row>
    <row r="792" spans="27:39" x14ac:dyDescent="0.3">
      <c r="AA792" t="str">
        <f>IF(COUNTA('Procyflo 27TC'!B293,'Procyflo 27TC'!C293,'Procyflo 27TC'!D293)&gt;0,"27TC","")</f>
        <v/>
      </c>
      <c r="AB792" t="str">
        <f>IFERROR(IF(ISNUMBER('Procyflo 27TC'!B293),'Procyflo 27TC'!B293,DATEVALUE('Procyflo 27TC'!B293)),"")</f>
        <v/>
      </c>
      <c r="AC792" t="str">
        <f>IF(AA792="","",'Procyflo 27TC'!C293)</f>
        <v/>
      </c>
      <c r="AD792" t="str">
        <f>IF(AA792="","",IFERROR(1*'Procyflo 27TC'!D293,IFERROR(_xludf.NUMBERVALUE('Procyflo 27TC'!D293,".",","),IFERROR(_xludf.NUMBERVALUE('Procyflo 27TC'!D293,",","."),0))))</f>
        <v/>
      </c>
      <c r="AE792" t="str">
        <f>IF(AA792="","",'Procyflo 27TC'!N293)</f>
        <v/>
      </c>
      <c r="AF792">
        <f t="shared" si="89"/>
        <v>0</v>
      </c>
      <c r="AG792" t="str">
        <f t="shared" si="90"/>
        <v/>
      </c>
      <c r="AH792" t="str">
        <f t="shared" si="91"/>
        <v/>
      </c>
      <c r="AI792">
        <f t="shared" si="92"/>
        <v>0</v>
      </c>
      <c r="AJ792">
        <f t="shared" si="93"/>
        <v>0</v>
      </c>
      <c r="AK792">
        <v>0</v>
      </c>
      <c r="AL792" t="str">
        <f>IF(AA792="","",IFERROR(IF(ISNUMBER('Procyflo 27TC'!E293),'Procyflo 27TC'!E293,IF(ISNUMBER(SEARCH("12",'Procyflo 27TC'!E293)),EDATE(AB792,12),IF(ISNUMBER(SEARCH("6",'Procyflo 27TC'!E293)),EDATE(AB792,6),IF(ISNUMBER(SEARCH("3",'Procyflo 27TC'!E293)),EDATE(AB792,3),DATEVALUE('Procyflo 27TC'!E293))))),""))</f>
        <v/>
      </c>
      <c r="AM792" t="str">
        <f t="shared" ca="1" si="94"/>
        <v/>
      </c>
    </row>
    <row r="793" spans="27:39" x14ac:dyDescent="0.3">
      <c r="AA793" t="str">
        <f>IF(COUNTA('Procyflo 27TC'!B294,'Procyflo 27TC'!C294,'Procyflo 27TC'!D294)&gt;0,"27TC","")</f>
        <v/>
      </c>
      <c r="AB793" t="str">
        <f>IFERROR(IF(ISNUMBER('Procyflo 27TC'!B294),'Procyflo 27TC'!B294,DATEVALUE('Procyflo 27TC'!B294)),"")</f>
        <v/>
      </c>
      <c r="AC793" t="str">
        <f>IF(AA793="","",'Procyflo 27TC'!C294)</f>
        <v/>
      </c>
      <c r="AD793" t="str">
        <f>IF(AA793="","",IFERROR(1*'Procyflo 27TC'!D294,IFERROR(_xludf.NUMBERVALUE('Procyflo 27TC'!D294,".",","),IFERROR(_xludf.NUMBERVALUE('Procyflo 27TC'!D294,",","."),0))))</f>
        <v/>
      </c>
      <c r="AE793" t="str">
        <f>IF(AA793="","",'Procyflo 27TC'!N294)</f>
        <v/>
      </c>
      <c r="AF793">
        <f t="shared" si="89"/>
        <v>0</v>
      </c>
      <c r="AG793" t="str">
        <f t="shared" si="90"/>
        <v/>
      </c>
      <c r="AH793" t="str">
        <f t="shared" si="91"/>
        <v/>
      </c>
      <c r="AI793">
        <f t="shared" si="92"/>
        <v>0</v>
      </c>
      <c r="AJ793">
        <f t="shared" si="93"/>
        <v>0</v>
      </c>
      <c r="AK793">
        <v>0</v>
      </c>
      <c r="AL793" t="str">
        <f>IF(AA793="","",IFERROR(IF(ISNUMBER('Procyflo 27TC'!E294),'Procyflo 27TC'!E294,IF(ISNUMBER(SEARCH("12",'Procyflo 27TC'!E294)),EDATE(AB793,12),IF(ISNUMBER(SEARCH("6",'Procyflo 27TC'!E294)),EDATE(AB793,6),IF(ISNUMBER(SEARCH("3",'Procyflo 27TC'!E294)),EDATE(AB793,3),DATEVALUE('Procyflo 27TC'!E294))))),""))</f>
        <v/>
      </c>
      <c r="AM793" t="str">
        <f t="shared" ca="1" si="94"/>
        <v/>
      </c>
    </row>
    <row r="794" spans="27:39" x14ac:dyDescent="0.3">
      <c r="AA794" t="str">
        <f>IF(COUNTA('Procyflo 27TC'!B295,'Procyflo 27TC'!C295,'Procyflo 27TC'!D295)&gt;0,"27TC","")</f>
        <v/>
      </c>
      <c r="AB794" t="str">
        <f>IFERROR(IF(ISNUMBER('Procyflo 27TC'!B295),'Procyflo 27TC'!B295,DATEVALUE('Procyflo 27TC'!B295)),"")</f>
        <v/>
      </c>
      <c r="AC794" t="str">
        <f>IF(AA794="","",'Procyflo 27TC'!C295)</f>
        <v/>
      </c>
      <c r="AD794" t="str">
        <f>IF(AA794="","",IFERROR(1*'Procyflo 27TC'!D295,IFERROR(_xludf.NUMBERVALUE('Procyflo 27TC'!D295,".",","),IFERROR(_xludf.NUMBERVALUE('Procyflo 27TC'!D295,",","."),0))))</f>
        <v/>
      </c>
      <c r="AE794" t="str">
        <f>IF(AA794="","",'Procyflo 27TC'!N295)</f>
        <v/>
      </c>
      <c r="AF794">
        <f t="shared" si="89"/>
        <v>0</v>
      </c>
      <c r="AG794" t="str">
        <f t="shared" si="90"/>
        <v/>
      </c>
      <c r="AH794" t="str">
        <f t="shared" si="91"/>
        <v/>
      </c>
      <c r="AI794">
        <f t="shared" si="92"/>
        <v>0</v>
      </c>
      <c r="AJ794">
        <f t="shared" si="93"/>
        <v>0</v>
      </c>
      <c r="AK794">
        <v>0</v>
      </c>
      <c r="AL794" t="str">
        <f>IF(AA794="","",IFERROR(IF(ISNUMBER('Procyflo 27TC'!E295),'Procyflo 27TC'!E295,IF(ISNUMBER(SEARCH("12",'Procyflo 27TC'!E295)),EDATE(AB794,12),IF(ISNUMBER(SEARCH("6",'Procyflo 27TC'!E295)),EDATE(AB794,6),IF(ISNUMBER(SEARCH("3",'Procyflo 27TC'!E295)),EDATE(AB794,3),DATEVALUE('Procyflo 27TC'!E295))))),""))</f>
        <v/>
      </c>
      <c r="AM794" t="str">
        <f t="shared" ca="1" si="94"/>
        <v/>
      </c>
    </row>
    <row r="795" spans="27:39" x14ac:dyDescent="0.3">
      <c r="AA795" t="str">
        <f>IF(COUNTA('Procyflo 27TC'!B296,'Procyflo 27TC'!C296,'Procyflo 27TC'!D296)&gt;0,"27TC","")</f>
        <v/>
      </c>
      <c r="AB795" t="str">
        <f>IFERROR(IF(ISNUMBER('Procyflo 27TC'!B296),'Procyflo 27TC'!B296,DATEVALUE('Procyflo 27TC'!B296)),"")</f>
        <v/>
      </c>
      <c r="AC795" t="str">
        <f>IF(AA795="","",'Procyflo 27TC'!C296)</f>
        <v/>
      </c>
      <c r="AD795" t="str">
        <f>IF(AA795="","",IFERROR(1*'Procyflo 27TC'!D296,IFERROR(_xludf.NUMBERVALUE('Procyflo 27TC'!D296,".",","),IFERROR(_xludf.NUMBERVALUE('Procyflo 27TC'!D296,",","."),0))))</f>
        <v/>
      </c>
      <c r="AE795" t="str">
        <f>IF(AA795="","",'Procyflo 27TC'!N296)</f>
        <v/>
      </c>
      <c r="AF795">
        <f t="shared" si="89"/>
        <v>0</v>
      </c>
      <c r="AG795" t="str">
        <f t="shared" si="90"/>
        <v/>
      </c>
      <c r="AH795" t="str">
        <f t="shared" si="91"/>
        <v/>
      </c>
      <c r="AI795">
        <f t="shared" si="92"/>
        <v>0</v>
      </c>
      <c r="AJ795">
        <f t="shared" si="93"/>
        <v>0</v>
      </c>
      <c r="AK795">
        <v>0</v>
      </c>
      <c r="AL795" t="str">
        <f>IF(AA795="","",IFERROR(IF(ISNUMBER('Procyflo 27TC'!E296),'Procyflo 27TC'!E296,IF(ISNUMBER(SEARCH("12",'Procyflo 27TC'!E296)),EDATE(AB795,12),IF(ISNUMBER(SEARCH("6",'Procyflo 27TC'!E296)),EDATE(AB795,6),IF(ISNUMBER(SEARCH("3",'Procyflo 27TC'!E296)),EDATE(AB795,3),DATEVALUE('Procyflo 27TC'!E296))))),""))</f>
        <v/>
      </c>
      <c r="AM795" t="str">
        <f t="shared" ca="1" si="94"/>
        <v/>
      </c>
    </row>
    <row r="796" spans="27:39" x14ac:dyDescent="0.3">
      <c r="AA796" t="str">
        <f>IF(COUNTA('Procyflo 27TC'!B297,'Procyflo 27TC'!C297,'Procyflo 27TC'!D297)&gt;0,"27TC","")</f>
        <v/>
      </c>
      <c r="AB796" t="str">
        <f>IFERROR(IF(ISNUMBER('Procyflo 27TC'!B297),'Procyflo 27TC'!B297,DATEVALUE('Procyflo 27TC'!B297)),"")</f>
        <v/>
      </c>
      <c r="AC796" t="str">
        <f>IF(AA796="","",'Procyflo 27TC'!C297)</f>
        <v/>
      </c>
      <c r="AD796" t="str">
        <f>IF(AA796="","",IFERROR(1*'Procyflo 27TC'!D297,IFERROR(_xludf.NUMBERVALUE('Procyflo 27TC'!D297,".",","),IFERROR(_xludf.NUMBERVALUE('Procyflo 27TC'!D297,",","."),0))))</f>
        <v/>
      </c>
      <c r="AE796" t="str">
        <f>IF(AA796="","",'Procyflo 27TC'!N297)</f>
        <v/>
      </c>
      <c r="AF796">
        <f t="shared" si="89"/>
        <v>0</v>
      </c>
      <c r="AG796" t="str">
        <f t="shared" si="90"/>
        <v/>
      </c>
      <c r="AH796" t="str">
        <f t="shared" si="91"/>
        <v/>
      </c>
      <c r="AI796">
        <f t="shared" si="92"/>
        <v>0</v>
      </c>
      <c r="AJ796">
        <f t="shared" si="93"/>
        <v>0</v>
      </c>
      <c r="AK796">
        <v>0</v>
      </c>
      <c r="AL796" t="str">
        <f>IF(AA796="","",IFERROR(IF(ISNUMBER('Procyflo 27TC'!E297),'Procyflo 27TC'!E297,IF(ISNUMBER(SEARCH("12",'Procyflo 27TC'!E297)),EDATE(AB796,12),IF(ISNUMBER(SEARCH("6",'Procyflo 27TC'!E297)),EDATE(AB796,6),IF(ISNUMBER(SEARCH("3",'Procyflo 27TC'!E297)),EDATE(AB796,3),DATEVALUE('Procyflo 27TC'!E297))))),""))</f>
        <v/>
      </c>
      <c r="AM796" t="str">
        <f t="shared" ca="1" si="94"/>
        <v/>
      </c>
    </row>
    <row r="797" spans="27:39" x14ac:dyDescent="0.3">
      <c r="AA797" t="str">
        <f>IF(COUNTA('Procyflo 27TC'!B298,'Procyflo 27TC'!C298,'Procyflo 27TC'!D298)&gt;0,"27TC","")</f>
        <v/>
      </c>
      <c r="AB797" t="str">
        <f>IFERROR(IF(ISNUMBER('Procyflo 27TC'!B298),'Procyflo 27TC'!B298,DATEVALUE('Procyflo 27TC'!B298)),"")</f>
        <v/>
      </c>
      <c r="AC797" t="str">
        <f>IF(AA797="","",'Procyflo 27TC'!C298)</f>
        <v/>
      </c>
      <c r="AD797" t="str">
        <f>IF(AA797="","",IFERROR(1*'Procyflo 27TC'!D298,IFERROR(_xludf.NUMBERVALUE('Procyflo 27TC'!D298,".",","),IFERROR(_xludf.NUMBERVALUE('Procyflo 27TC'!D298,",","."),0))))</f>
        <v/>
      </c>
      <c r="AE797" t="str">
        <f>IF(AA797="","",'Procyflo 27TC'!N298)</f>
        <v/>
      </c>
      <c r="AF797">
        <f t="shared" si="89"/>
        <v>0</v>
      </c>
      <c r="AG797" t="str">
        <f t="shared" si="90"/>
        <v/>
      </c>
      <c r="AH797" t="str">
        <f t="shared" si="91"/>
        <v/>
      </c>
      <c r="AI797">
        <f t="shared" si="92"/>
        <v>0</v>
      </c>
      <c r="AJ797">
        <f t="shared" si="93"/>
        <v>0</v>
      </c>
      <c r="AK797">
        <v>0</v>
      </c>
      <c r="AL797" t="str">
        <f>IF(AA797="","",IFERROR(IF(ISNUMBER('Procyflo 27TC'!E298),'Procyflo 27TC'!E298,IF(ISNUMBER(SEARCH("12",'Procyflo 27TC'!E298)),EDATE(AB797,12),IF(ISNUMBER(SEARCH("6",'Procyflo 27TC'!E298)),EDATE(AB797,6),IF(ISNUMBER(SEARCH("3",'Procyflo 27TC'!E298)),EDATE(AB797,3),DATEVALUE('Procyflo 27TC'!E298))))),""))</f>
        <v/>
      </c>
      <c r="AM797" t="str">
        <f t="shared" ca="1" si="94"/>
        <v/>
      </c>
    </row>
    <row r="798" spans="27:39" x14ac:dyDescent="0.3">
      <c r="AA798" t="str">
        <f>IF(COUNTA('Procyflo 27TC'!B299,'Procyflo 27TC'!C299,'Procyflo 27TC'!D299)&gt;0,"27TC","")</f>
        <v/>
      </c>
      <c r="AB798" t="str">
        <f>IFERROR(IF(ISNUMBER('Procyflo 27TC'!B299),'Procyflo 27TC'!B299,DATEVALUE('Procyflo 27TC'!B299)),"")</f>
        <v/>
      </c>
      <c r="AC798" t="str">
        <f>IF(AA798="","",'Procyflo 27TC'!C299)</f>
        <v/>
      </c>
      <c r="AD798" t="str">
        <f>IF(AA798="","",IFERROR(1*'Procyflo 27TC'!D299,IFERROR(_xludf.NUMBERVALUE('Procyflo 27TC'!D299,".",","),IFERROR(_xludf.NUMBERVALUE('Procyflo 27TC'!D299,",","."),0))))</f>
        <v/>
      </c>
      <c r="AE798" t="str">
        <f>IF(AA798="","",'Procyflo 27TC'!N299)</f>
        <v/>
      </c>
      <c r="AF798">
        <f t="shared" si="89"/>
        <v>0</v>
      </c>
      <c r="AG798" t="str">
        <f t="shared" si="90"/>
        <v/>
      </c>
      <c r="AH798" t="str">
        <f t="shared" si="91"/>
        <v/>
      </c>
      <c r="AI798">
        <f t="shared" si="92"/>
        <v>0</v>
      </c>
      <c r="AJ798">
        <f t="shared" si="93"/>
        <v>0</v>
      </c>
      <c r="AK798">
        <v>0</v>
      </c>
      <c r="AL798" t="str">
        <f>IF(AA798="","",IFERROR(IF(ISNUMBER('Procyflo 27TC'!E299),'Procyflo 27TC'!E299,IF(ISNUMBER(SEARCH("12",'Procyflo 27TC'!E299)),EDATE(AB798,12),IF(ISNUMBER(SEARCH("6",'Procyflo 27TC'!E299)),EDATE(AB798,6),IF(ISNUMBER(SEARCH("3",'Procyflo 27TC'!E299)),EDATE(AB798,3),DATEVALUE('Procyflo 27TC'!E299))))),""))</f>
        <v/>
      </c>
      <c r="AM798" t="str">
        <f t="shared" ca="1" si="94"/>
        <v/>
      </c>
    </row>
    <row r="799" spans="27:39" x14ac:dyDescent="0.3">
      <c r="AA799" t="str">
        <f>IF(COUNTA('Procyflo 27TC'!B300,'Procyflo 27TC'!C300,'Procyflo 27TC'!D300)&gt;0,"27TC","")</f>
        <v/>
      </c>
      <c r="AB799" t="str">
        <f>IFERROR(IF(ISNUMBER('Procyflo 27TC'!B300),'Procyflo 27TC'!B300,DATEVALUE('Procyflo 27TC'!B300)),"")</f>
        <v/>
      </c>
      <c r="AC799" t="str">
        <f>IF(AA799="","",'Procyflo 27TC'!C300)</f>
        <v/>
      </c>
      <c r="AD799" t="str">
        <f>IF(AA799="","",IFERROR(1*'Procyflo 27TC'!D300,IFERROR(_xludf.NUMBERVALUE('Procyflo 27TC'!D300,".",","),IFERROR(_xludf.NUMBERVALUE('Procyflo 27TC'!D300,",","."),0))))</f>
        <v/>
      </c>
      <c r="AE799" t="str">
        <f>IF(AA799="","",'Procyflo 27TC'!N300)</f>
        <v/>
      </c>
      <c r="AF799">
        <f t="shared" si="89"/>
        <v>0</v>
      </c>
      <c r="AG799" t="str">
        <f t="shared" si="90"/>
        <v/>
      </c>
      <c r="AH799" t="str">
        <f t="shared" si="91"/>
        <v/>
      </c>
      <c r="AI799">
        <f t="shared" si="92"/>
        <v>0</v>
      </c>
      <c r="AJ799">
        <f t="shared" si="93"/>
        <v>0</v>
      </c>
      <c r="AK799">
        <v>0</v>
      </c>
      <c r="AL799" t="str">
        <f>IF(AA799="","",IFERROR(IF(ISNUMBER('Procyflo 27TC'!E300),'Procyflo 27TC'!E300,IF(ISNUMBER(SEARCH("12",'Procyflo 27TC'!E300)),EDATE(AB799,12),IF(ISNUMBER(SEARCH("6",'Procyflo 27TC'!E300)),EDATE(AB799,6),IF(ISNUMBER(SEARCH("3",'Procyflo 27TC'!E300)),EDATE(AB799,3),DATEVALUE('Procyflo 27TC'!E300))))),""))</f>
        <v/>
      </c>
      <c r="AM799" t="str">
        <f t="shared" ca="1" si="94"/>
        <v/>
      </c>
    </row>
    <row r="800" spans="27:39" x14ac:dyDescent="0.3">
      <c r="AA800" t="str">
        <f>IF(COUNTA('Procyflo 27TC'!B301,'Procyflo 27TC'!C301,'Procyflo 27TC'!D301)&gt;0,"27TC","")</f>
        <v/>
      </c>
      <c r="AB800" t="str">
        <f>IFERROR(IF(ISNUMBER('Procyflo 27TC'!B301),'Procyflo 27TC'!B301,DATEVALUE('Procyflo 27TC'!B301)),"")</f>
        <v/>
      </c>
      <c r="AC800" t="str">
        <f>IF(AA800="","",'Procyflo 27TC'!C301)</f>
        <v/>
      </c>
      <c r="AD800" t="str">
        <f>IF(AA800="","",IFERROR(1*'Procyflo 27TC'!D301,IFERROR(_xludf.NUMBERVALUE('Procyflo 27TC'!D301,".",","),IFERROR(_xludf.NUMBERVALUE('Procyflo 27TC'!D301,",","."),0))))</f>
        <v/>
      </c>
      <c r="AE800" t="str">
        <f>IF(AA800="","",'Procyflo 27TC'!N301)</f>
        <v/>
      </c>
      <c r="AF800">
        <f t="shared" si="89"/>
        <v>0</v>
      </c>
      <c r="AG800" t="str">
        <f t="shared" si="90"/>
        <v/>
      </c>
      <c r="AH800" t="str">
        <f t="shared" si="91"/>
        <v/>
      </c>
      <c r="AI800">
        <f t="shared" si="92"/>
        <v>0</v>
      </c>
      <c r="AJ800">
        <f t="shared" si="93"/>
        <v>0</v>
      </c>
      <c r="AK800">
        <v>0</v>
      </c>
      <c r="AL800" t="str">
        <f>IF(AA800="","",IFERROR(IF(ISNUMBER('Procyflo 27TC'!E301),'Procyflo 27TC'!E301,IF(ISNUMBER(SEARCH("12",'Procyflo 27TC'!E301)),EDATE(AB800,12),IF(ISNUMBER(SEARCH("6",'Procyflo 27TC'!E301)),EDATE(AB800,6),IF(ISNUMBER(SEARCH("3",'Procyflo 27TC'!E301)),EDATE(AB800,3),DATEVALUE('Procyflo 27TC'!E301))))),""))</f>
        <v/>
      </c>
      <c r="AM800" t="str">
        <f t="shared" ca="1" si="94"/>
        <v/>
      </c>
    </row>
    <row r="801" spans="27:39" x14ac:dyDescent="0.3">
      <c r="AA801" t="str">
        <f>IF(COUNTA('Procyflo 27TC'!B302,'Procyflo 27TC'!C302,'Procyflo 27TC'!D302)&gt;0,"27TC","")</f>
        <v/>
      </c>
      <c r="AB801" t="str">
        <f>IFERROR(IF(ISNUMBER('Procyflo 27TC'!B302),'Procyflo 27TC'!B302,DATEVALUE('Procyflo 27TC'!B302)),"")</f>
        <v/>
      </c>
      <c r="AC801" t="str">
        <f>IF(AA801="","",'Procyflo 27TC'!C302)</f>
        <v/>
      </c>
      <c r="AD801" t="str">
        <f>IF(AA801="","",IFERROR(1*'Procyflo 27TC'!D302,IFERROR(_xludf.NUMBERVALUE('Procyflo 27TC'!D302,".",","),IFERROR(_xludf.NUMBERVALUE('Procyflo 27TC'!D302,",","."),0))))</f>
        <v/>
      </c>
      <c r="AE801" t="str">
        <f>IF(AA801="","",'Procyflo 27TC'!N302)</f>
        <v/>
      </c>
      <c r="AF801">
        <f t="shared" si="89"/>
        <v>0</v>
      </c>
      <c r="AG801" t="str">
        <f t="shared" si="90"/>
        <v/>
      </c>
      <c r="AH801" t="str">
        <f t="shared" si="91"/>
        <v/>
      </c>
      <c r="AI801">
        <f t="shared" si="92"/>
        <v>0</v>
      </c>
      <c r="AJ801">
        <f t="shared" si="93"/>
        <v>0</v>
      </c>
      <c r="AK801">
        <v>0</v>
      </c>
      <c r="AL801" t="str">
        <f>IF(AA801="","",IFERROR(IF(ISNUMBER('Procyflo 27TC'!E302),'Procyflo 27TC'!E302,IF(ISNUMBER(SEARCH("12",'Procyflo 27TC'!E302)),EDATE(AB801,12),IF(ISNUMBER(SEARCH("6",'Procyflo 27TC'!E302)),EDATE(AB801,6),IF(ISNUMBER(SEARCH("3",'Procyflo 27TC'!E302)),EDATE(AB801,3),DATEVALUE('Procyflo 27TC'!E302))))),""))</f>
        <v/>
      </c>
      <c r="AM801" t="str">
        <f t="shared" ca="1" si="94"/>
        <v/>
      </c>
    </row>
    <row r="802" spans="27:39" x14ac:dyDescent="0.3">
      <c r="AA802" t="str">
        <f>IF(COUNTA('Procyflo 27TC'!B303,'Procyflo 27TC'!C303,'Procyflo 27TC'!D303)&gt;0,"27TC","")</f>
        <v/>
      </c>
      <c r="AB802" t="str">
        <f>IFERROR(IF(ISNUMBER('Procyflo 27TC'!B303),'Procyflo 27TC'!B303,DATEVALUE('Procyflo 27TC'!B303)),"")</f>
        <v/>
      </c>
      <c r="AC802" t="str">
        <f>IF(AA802="","",'Procyflo 27TC'!C303)</f>
        <v/>
      </c>
      <c r="AD802" t="str">
        <f>IF(AA802="","",IFERROR(1*'Procyflo 27TC'!D303,IFERROR(_xludf.NUMBERVALUE('Procyflo 27TC'!D303,".",","),IFERROR(_xludf.NUMBERVALUE('Procyflo 27TC'!D303,",","."),0))))</f>
        <v/>
      </c>
      <c r="AE802" t="str">
        <f>IF(AA802="","",'Procyflo 27TC'!N303)</f>
        <v/>
      </c>
      <c r="AF802">
        <f t="shared" si="89"/>
        <v>0</v>
      </c>
      <c r="AG802" t="str">
        <f t="shared" si="90"/>
        <v/>
      </c>
      <c r="AH802" t="str">
        <f t="shared" si="91"/>
        <v/>
      </c>
      <c r="AI802">
        <f t="shared" si="92"/>
        <v>0</v>
      </c>
      <c r="AJ802">
        <f t="shared" si="93"/>
        <v>0</v>
      </c>
      <c r="AK802">
        <v>0</v>
      </c>
      <c r="AL802" t="str">
        <f>IF(AA802="","",IFERROR(IF(ISNUMBER('Procyflo 27TC'!E303),'Procyflo 27TC'!E303,IF(ISNUMBER(SEARCH("12",'Procyflo 27TC'!E303)),EDATE(AB802,12),IF(ISNUMBER(SEARCH("6",'Procyflo 27TC'!E303)),EDATE(AB802,6),IF(ISNUMBER(SEARCH("3",'Procyflo 27TC'!E303)),EDATE(AB802,3),DATEVALUE('Procyflo 27TC'!E303))))),""))</f>
        <v/>
      </c>
      <c r="AM802" t="str">
        <f t="shared" ca="1" si="94"/>
        <v/>
      </c>
    </row>
    <row r="803" spans="27:39" x14ac:dyDescent="0.3">
      <c r="AA803" t="str">
        <f>IF(COUNTA('Procyflo 27TC'!B304,'Procyflo 27TC'!C304,'Procyflo 27TC'!D304)&gt;0,"27TC","")</f>
        <v/>
      </c>
      <c r="AB803" t="str">
        <f>IFERROR(IF(ISNUMBER('Procyflo 27TC'!B304),'Procyflo 27TC'!B304,DATEVALUE('Procyflo 27TC'!B304)),"")</f>
        <v/>
      </c>
      <c r="AC803" t="str">
        <f>IF(AA803="","",'Procyflo 27TC'!C304)</f>
        <v/>
      </c>
      <c r="AD803" t="str">
        <f>IF(AA803="","",IFERROR(1*'Procyflo 27TC'!D304,IFERROR(_xludf.NUMBERVALUE('Procyflo 27TC'!D304,".",","),IFERROR(_xludf.NUMBERVALUE('Procyflo 27TC'!D304,",","."),0))))</f>
        <v/>
      </c>
      <c r="AE803" t="str">
        <f>IF(AA803="","",'Procyflo 27TC'!N304)</f>
        <v/>
      </c>
      <c r="AF803">
        <f t="shared" si="89"/>
        <v>0</v>
      </c>
      <c r="AG803" t="str">
        <f t="shared" si="90"/>
        <v/>
      </c>
      <c r="AH803" t="str">
        <f t="shared" si="91"/>
        <v/>
      </c>
      <c r="AI803">
        <f t="shared" si="92"/>
        <v>0</v>
      </c>
      <c r="AJ803">
        <f t="shared" si="93"/>
        <v>0</v>
      </c>
      <c r="AK803">
        <v>0</v>
      </c>
      <c r="AL803" t="str">
        <f>IF(AA803="","",IFERROR(IF(ISNUMBER('Procyflo 27TC'!E304),'Procyflo 27TC'!E304,IF(ISNUMBER(SEARCH("12",'Procyflo 27TC'!E304)),EDATE(AB803,12),IF(ISNUMBER(SEARCH("6",'Procyflo 27TC'!E304)),EDATE(AB803,6),IF(ISNUMBER(SEARCH("3",'Procyflo 27TC'!E304)),EDATE(AB803,3),DATEVALUE('Procyflo 27TC'!E304))))),""))</f>
        <v/>
      </c>
      <c r="AM803" t="str">
        <f t="shared" ca="1" si="94"/>
        <v/>
      </c>
    </row>
    <row r="804" spans="27:39" x14ac:dyDescent="0.3">
      <c r="AA804" t="str">
        <f>IF(COUNTA('Procyflo 27TC'!B305,'Procyflo 27TC'!C305,'Procyflo 27TC'!D305)&gt;0,"27TC","")</f>
        <v/>
      </c>
      <c r="AB804" t="str">
        <f>IFERROR(IF(ISNUMBER('Procyflo 27TC'!B305),'Procyflo 27TC'!B305,DATEVALUE('Procyflo 27TC'!B305)),"")</f>
        <v/>
      </c>
      <c r="AC804" t="str">
        <f>IF(AA804="","",'Procyflo 27TC'!C305)</f>
        <v/>
      </c>
      <c r="AD804" t="str">
        <f>IF(AA804="","",IFERROR(1*'Procyflo 27TC'!D305,IFERROR(_xludf.NUMBERVALUE('Procyflo 27TC'!D305,".",","),IFERROR(_xludf.NUMBERVALUE('Procyflo 27TC'!D305,",","."),0))))</f>
        <v/>
      </c>
      <c r="AE804" t="str">
        <f>IF(AA804="","",'Procyflo 27TC'!N305)</f>
        <v/>
      </c>
      <c r="AF804">
        <f t="shared" si="89"/>
        <v>0</v>
      </c>
      <c r="AG804" t="str">
        <f t="shared" si="90"/>
        <v/>
      </c>
      <c r="AH804" t="str">
        <f t="shared" si="91"/>
        <v/>
      </c>
      <c r="AI804">
        <f t="shared" si="92"/>
        <v>0</v>
      </c>
      <c r="AJ804">
        <f t="shared" si="93"/>
        <v>0</v>
      </c>
      <c r="AK804">
        <v>0</v>
      </c>
      <c r="AL804" t="str">
        <f>IF(AA804="","",IFERROR(IF(ISNUMBER('Procyflo 27TC'!E305),'Procyflo 27TC'!E305,IF(ISNUMBER(SEARCH("12",'Procyflo 27TC'!E305)),EDATE(AB804,12),IF(ISNUMBER(SEARCH("6",'Procyflo 27TC'!E305)),EDATE(AB804,6),IF(ISNUMBER(SEARCH("3",'Procyflo 27TC'!E305)),EDATE(AB804,3),DATEVALUE('Procyflo 27TC'!E305))))),""))</f>
        <v/>
      </c>
      <c r="AM804" t="str">
        <f t="shared" ca="1" si="94"/>
        <v/>
      </c>
    </row>
    <row r="805" spans="27:39" x14ac:dyDescent="0.3">
      <c r="AA805" t="str">
        <f>IF(COUNTA('Procyflo 27TC'!B306,'Procyflo 27TC'!C306,'Procyflo 27TC'!D306)&gt;0,"27TC","")</f>
        <v/>
      </c>
      <c r="AB805" t="str">
        <f>IFERROR(IF(ISNUMBER('Procyflo 27TC'!B306),'Procyflo 27TC'!B306,DATEVALUE('Procyflo 27TC'!B306)),"")</f>
        <v/>
      </c>
      <c r="AC805" t="str">
        <f>IF(AA805="","",'Procyflo 27TC'!C306)</f>
        <v/>
      </c>
      <c r="AD805" t="str">
        <f>IF(AA805="","",IFERROR(1*'Procyflo 27TC'!D306,IFERROR(_xludf.NUMBERVALUE('Procyflo 27TC'!D306,".",","),IFERROR(_xludf.NUMBERVALUE('Procyflo 27TC'!D306,",","."),0))))</f>
        <v/>
      </c>
      <c r="AE805" t="str">
        <f>IF(AA805="","",'Procyflo 27TC'!N306)</f>
        <v/>
      </c>
      <c r="AF805">
        <f t="shared" si="89"/>
        <v>0</v>
      </c>
      <c r="AG805" t="str">
        <f t="shared" si="90"/>
        <v/>
      </c>
      <c r="AH805" t="str">
        <f t="shared" si="91"/>
        <v/>
      </c>
      <c r="AI805">
        <f t="shared" si="92"/>
        <v>0</v>
      </c>
      <c r="AJ805">
        <f t="shared" si="93"/>
        <v>0</v>
      </c>
      <c r="AK805">
        <v>0</v>
      </c>
      <c r="AL805" t="str">
        <f>IF(AA805="","",IFERROR(IF(ISNUMBER('Procyflo 27TC'!E306),'Procyflo 27TC'!E306,IF(ISNUMBER(SEARCH("12",'Procyflo 27TC'!E306)),EDATE(AB805,12),IF(ISNUMBER(SEARCH("6",'Procyflo 27TC'!E306)),EDATE(AB805,6),IF(ISNUMBER(SEARCH("3",'Procyflo 27TC'!E306)),EDATE(AB805,3),DATEVALUE('Procyflo 27TC'!E306))))),""))</f>
        <v/>
      </c>
      <c r="AM805" t="str">
        <f t="shared" ca="1" si="94"/>
        <v/>
      </c>
    </row>
    <row r="806" spans="27:39" x14ac:dyDescent="0.3">
      <c r="AA806" t="str">
        <f>IF(COUNTA('Procyflo 27TC'!B307,'Procyflo 27TC'!C307,'Procyflo 27TC'!D307)&gt;0,"27TC","")</f>
        <v/>
      </c>
      <c r="AB806" t="str">
        <f>IFERROR(IF(ISNUMBER('Procyflo 27TC'!B307),'Procyflo 27TC'!B307,DATEVALUE('Procyflo 27TC'!B307)),"")</f>
        <v/>
      </c>
      <c r="AC806" t="str">
        <f>IF(AA806="","",'Procyflo 27TC'!C307)</f>
        <v/>
      </c>
      <c r="AD806" t="str">
        <f>IF(AA806="","",IFERROR(1*'Procyflo 27TC'!D307,IFERROR(_xludf.NUMBERVALUE('Procyflo 27TC'!D307,".",","),IFERROR(_xludf.NUMBERVALUE('Procyflo 27TC'!D307,",","."),0))))</f>
        <v/>
      </c>
      <c r="AE806" t="str">
        <f>IF(AA806="","",'Procyflo 27TC'!N307)</f>
        <v/>
      </c>
      <c r="AF806">
        <f t="shared" si="89"/>
        <v>0</v>
      </c>
      <c r="AG806" t="str">
        <f t="shared" si="90"/>
        <v/>
      </c>
      <c r="AH806" t="str">
        <f t="shared" si="91"/>
        <v/>
      </c>
      <c r="AI806">
        <f t="shared" si="92"/>
        <v>0</v>
      </c>
      <c r="AJ806">
        <f t="shared" si="93"/>
        <v>0</v>
      </c>
      <c r="AK806">
        <v>0</v>
      </c>
      <c r="AL806" t="str">
        <f>IF(AA806="","",IFERROR(IF(ISNUMBER('Procyflo 27TC'!E307),'Procyflo 27TC'!E307,IF(ISNUMBER(SEARCH("12",'Procyflo 27TC'!E307)),EDATE(AB806,12),IF(ISNUMBER(SEARCH("6",'Procyflo 27TC'!E307)),EDATE(AB806,6),IF(ISNUMBER(SEARCH("3",'Procyflo 27TC'!E307)),EDATE(AB806,3),DATEVALUE('Procyflo 27TC'!E307))))),""))</f>
        <v/>
      </c>
      <c r="AM806" t="str">
        <f t="shared" ca="1" si="94"/>
        <v/>
      </c>
    </row>
    <row r="807" spans="27:39" x14ac:dyDescent="0.3">
      <c r="AA807" t="str">
        <f>IF(COUNTA('Procyflo 27TC'!B308,'Procyflo 27TC'!C308,'Procyflo 27TC'!D308)&gt;0,"27TC","")</f>
        <v/>
      </c>
      <c r="AB807" t="str">
        <f>IFERROR(IF(ISNUMBER('Procyflo 27TC'!B308),'Procyflo 27TC'!B308,DATEVALUE('Procyflo 27TC'!B308)),"")</f>
        <v/>
      </c>
      <c r="AC807" t="str">
        <f>IF(AA807="","",'Procyflo 27TC'!C308)</f>
        <v/>
      </c>
      <c r="AD807" t="str">
        <f>IF(AA807="","",IFERROR(1*'Procyflo 27TC'!D308,IFERROR(_xludf.NUMBERVALUE('Procyflo 27TC'!D308,".",","),IFERROR(_xludf.NUMBERVALUE('Procyflo 27TC'!D308,",","."),0))))</f>
        <v/>
      </c>
      <c r="AE807" t="str">
        <f>IF(AA807="","",'Procyflo 27TC'!N308)</f>
        <v/>
      </c>
      <c r="AF807">
        <f t="shared" si="89"/>
        <v>0</v>
      </c>
      <c r="AG807" t="str">
        <f t="shared" si="90"/>
        <v/>
      </c>
      <c r="AH807" t="str">
        <f t="shared" si="91"/>
        <v/>
      </c>
      <c r="AI807">
        <f t="shared" si="92"/>
        <v>0</v>
      </c>
      <c r="AJ807">
        <f t="shared" si="93"/>
        <v>0</v>
      </c>
      <c r="AK807">
        <v>0</v>
      </c>
      <c r="AL807" t="str">
        <f>IF(AA807="","",IFERROR(IF(ISNUMBER('Procyflo 27TC'!E308),'Procyflo 27TC'!E308,IF(ISNUMBER(SEARCH("12",'Procyflo 27TC'!E308)),EDATE(AB807,12),IF(ISNUMBER(SEARCH("6",'Procyflo 27TC'!E308)),EDATE(AB807,6),IF(ISNUMBER(SEARCH("3",'Procyflo 27TC'!E308)),EDATE(AB807,3),DATEVALUE('Procyflo 27TC'!E308))))),""))</f>
        <v/>
      </c>
      <c r="AM807" t="str">
        <f t="shared" ca="1" si="94"/>
        <v/>
      </c>
    </row>
    <row r="808" spans="27:39" x14ac:dyDescent="0.3">
      <c r="AA808" t="str">
        <f>IF(COUNTA('Procyflo 27TC'!B309,'Procyflo 27TC'!C309,'Procyflo 27TC'!D309)&gt;0,"27TC","")</f>
        <v/>
      </c>
      <c r="AB808" t="str">
        <f>IFERROR(IF(ISNUMBER('Procyflo 27TC'!B309),'Procyflo 27TC'!B309,DATEVALUE('Procyflo 27TC'!B309)),"")</f>
        <v/>
      </c>
      <c r="AC808" t="str">
        <f>IF(AA808="","",'Procyflo 27TC'!C309)</f>
        <v/>
      </c>
      <c r="AD808" t="str">
        <f>IF(AA808="","",IFERROR(1*'Procyflo 27TC'!D309,IFERROR(_xludf.NUMBERVALUE('Procyflo 27TC'!D309,".",","),IFERROR(_xludf.NUMBERVALUE('Procyflo 27TC'!D309,",","."),0))))</f>
        <v/>
      </c>
      <c r="AE808" t="str">
        <f>IF(AA808="","",'Procyflo 27TC'!N309)</f>
        <v/>
      </c>
      <c r="AF808">
        <f t="shared" si="89"/>
        <v>0</v>
      </c>
      <c r="AG808" t="str">
        <f t="shared" si="90"/>
        <v/>
      </c>
      <c r="AH808" t="str">
        <f t="shared" si="91"/>
        <v/>
      </c>
      <c r="AI808">
        <f t="shared" si="92"/>
        <v>0</v>
      </c>
      <c r="AJ808">
        <f t="shared" si="93"/>
        <v>0</v>
      </c>
      <c r="AK808">
        <v>0</v>
      </c>
      <c r="AL808" t="str">
        <f>IF(AA808="","",IFERROR(IF(ISNUMBER('Procyflo 27TC'!E309),'Procyflo 27TC'!E309,IF(ISNUMBER(SEARCH("12",'Procyflo 27TC'!E309)),EDATE(AB808,12),IF(ISNUMBER(SEARCH("6",'Procyflo 27TC'!E309)),EDATE(AB808,6),IF(ISNUMBER(SEARCH("3",'Procyflo 27TC'!E309)),EDATE(AB808,3),DATEVALUE('Procyflo 27TC'!E309))))),""))</f>
        <v/>
      </c>
      <c r="AM808" t="str">
        <f t="shared" ca="1" si="94"/>
        <v/>
      </c>
    </row>
    <row r="809" spans="27:39" x14ac:dyDescent="0.3">
      <c r="AA809" t="str">
        <f>IF(COUNTA('Procyflo 27TC'!B310,'Procyflo 27TC'!C310,'Procyflo 27TC'!D310)&gt;0,"27TC","")</f>
        <v/>
      </c>
      <c r="AB809" t="str">
        <f>IFERROR(IF(ISNUMBER('Procyflo 27TC'!B310),'Procyflo 27TC'!B310,DATEVALUE('Procyflo 27TC'!B310)),"")</f>
        <v/>
      </c>
      <c r="AC809" t="str">
        <f>IF(AA809="","",'Procyflo 27TC'!C310)</f>
        <v/>
      </c>
      <c r="AD809" t="str">
        <f>IF(AA809="","",IFERROR(1*'Procyflo 27TC'!D310,IFERROR(_xludf.NUMBERVALUE('Procyflo 27TC'!D310,".",","),IFERROR(_xludf.NUMBERVALUE('Procyflo 27TC'!D310,",","."),0))))</f>
        <v/>
      </c>
      <c r="AE809" t="str">
        <f>IF(AA809="","",'Procyflo 27TC'!N310)</f>
        <v/>
      </c>
      <c r="AF809">
        <f t="shared" si="89"/>
        <v>0</v>
      </c>
      <c r="AG809" t="str">
        <f t="shared" si="90"/>
        <v/>
      </c>
      <c r="AH809" t="str">
        <f t="shared" si="91"/>
        <v/>
      </c>
      <c r="AI809">
        <f t="shared" si="92"/>
        <v>0</v>
      </c>
      <c r="AJ809">
        <f t="shared" si="93"/>
        <v>0</v>
      </c>
      <c r="AK809">
        <v>0</v>
      </c>
      <c r="AL809" t="str">
        <f>IF(AA809="","",IFERROR(IF(ISNUMBER('Procyflo 27TC'!E310),'Procyflo 27TC'!E310,IF(ISNUMBER(SEARCH("12",'Procyflo 27TC'!E310)),EDATE(AB809,12),IF(ISNUMBER(SEARCH("6",'Procyflo 27TC'!E310)),EDATE(AB809,6),IF(ISNUMBER(SEARCH("3",'Procyflo 27TC'!E310)),EDATE(AB809,3),DATEVALUE('Procyflo 27TC'!E310))))),""))</f>
        <v/>
      </c>
      <c r="AM809" t="str">
        <f t="shared" ca="1" si="94"/>
        <v/>
      </c>
    </row>
    <row r="810" spans="27:39" x14ac:dyDescent="0.3">
      <c r="AA810" t="str">
        <f>IF(COUNTA('Procyflo 27TC'!B311,'Procyflo 27TC'!C311,'Procyflo 27TC'!D311)&gt;0,"27TC","")</f>
        <v/>
      </c>
      <c r="AB810" t="str">
        <f>IFERROR(IF(ISNUMBER('Procyflo 27TC'!B311),'Procyflo 27TC'!B311,DATEVALUE('Procyflo 27TC'!B311)),"")</f>
        <v/>
      </c>
      <c r="AC810" t="str">
        <f>IF(AA810="","",'Procyflo 27TC'!C311)</f>
        <v/>
      </c>
      <c r="AD810" t="str">
        <f>IF(AA810="","",IFERROR(1*'Procyflo 27TC'!D311,IFERROR(_xludf.NUMBERVALUE('Procyflo 27TC'!D311,".",","),IFERROR(_xludf.NUMBERVALUE('Procyflo 27TC'!D311,",","."),0))))</f>
        <v/>
      </c>
      <c r="AE810" t="str">
        <f>IF(AA810="","",'Procyflo 27TC'!N311)</f>
        <v/>
      </c>
      <c r="AF810">
        <f t="shared" si="89"/>
        <v>0</v>
      </c>
      <c r="AG810" t="str">
        <f t="shared" si="90"/>
        <v/>
      </c>
      <c r="AH810" t="str">
        <f t="shared" si="91"/>
        <v/>
      </c>
      <c r="AI810">
        <f t="shared" si="92"/>
        <v>0</v>
      </c>
      <c r="AJ810">
        <f t="shared" si="93"/>
        <v>0</v>
      </c>
      <c r="AK810">
        <v>0</v>
      </c>
      <c r="AL810" t="str">
        <f>IF(AA810="","",IFERROR(IF(ISNUMBER('Procyflo 27TC'!E311),'Procyflo 27TC'!E311,IF(ISNUMBER(SEARCH("12",'Procyflo 27TC'!E311)),EDATE(AB810,12),IF(ISNUMBER(SEARCH("6",'Procyflo 27TC'!E311)),EDATE(AB810,6),IF(ISNUMBER(SEARCH("3",'Procyflo 27TC'!E311)),EDATE(AB810,3),DATEVALUE('Procyflo 27TC'!E311))))),""))</f>
        <v/>
      </c>
      <c r="AM810" t="str">
        <f t="shared" ca="1" si="94"/>
        <v/>
      </c>
    </row>
    <row r="811" spans="27:39" x14ac:dyDescent="0.3">
      <c r="AA811" t="str">
        <f>IF(COUNTA('Procyflo 27TC'!B312,'Procyflo 27TC'!C312,'Procyflo 27TC'!D312)&gt;0,"27TC","")</f>
        <v/>
      </c>
      <c r="AB811" t="str">
        <f>IFERROR(IF(ISNUMBER('Procyflo 27TC'!B312),'Procyflo 27TC'!B312,DATEVALUE('Procyflo 27TC'!B312)),"")</f>
        <v/>
      </c>
      <c r="AC811" t="str">
        <f>IF(AA811="","",'Procyflo 27TC'!C312)</f>
        <v/>
      </c>
      <c r="AD811" t="str">
        <f>IF(AA811="","",IFERROR(1*'Procyflo 27TC'!D312,IFERROR(_xludf.NUMBERVALUE('Procyflo 27TC'!D312,".",","),IFERROR(_xludf.NUMBERVALUE('Procyflo 27TC'!D312,",","."),0))))</f>
        <v/>
      </c>
      <c r="AE811" t="str">
        <f>IF(AA811="","",'Procyflo 27TC'!N312)</f>
        <v/>
      </c>
      <c r="AF811">
        <f t="shared" si="89"/>
        <v>0</v>
      </c>
      <c r="AG811" t="str">
        <f t="shared" si="90"/>
        <v/>
      </c>
      <c r="AH811" t="str">
        <f t="shared" si="91"/>
        <v/>
      </c>
      <c r="AI811">
        <f t="shared" si="92"/>
        <v>0</v>
      </c>
      <c r="AJ811">
        <f t="shared" si="93"/>
        <v>0</v>
      </c>
      <c r="AK811">
        <v>0</v>
      </c>
      <c r="AL811" t="str">
        <f>IF(AA811="","",IFERROR(IF(ISNUMBER('Procyflo 27TC'!E312),'Procyflo 27TC'!E312,IF(ISNUMBER(SEARCH("12",'Procyflo 27TC'!E312)),EDATE(AB811,12),IF(ISNUMBER(SEARCH("6",'Procyflo 27TC'!E312)),EDATE(AB811,6),IF(ISNUMBER(SEARCH("3",'Procyflo 27TC'!E312)),EDATE(AB811,3),DATEVALUE('Procyflo 27TC'!E312))))),""))</f>
        <v/>
      </c>
      <c r="AM811" t="str">
        <f t="shared" ca="1" si="94"/>
        <v/>
      </c>
    </row>
    <row r="812" spans="27:39" x14ac:dyDescent="0.3">
      <c r="AA812" t="str">
        <f>IF(COUNTA('Procyflo 27TC'!B313,'Procyflo 27TC'!C313,'Procyflo 27TC'!D313)&gt;0,"27TC","")</f>
        <v/>
      </c>
      <c r="AB812" t="str">
        <f>IFERROR(IF(ISNUMBER('Procyflo 27TC'!B313),'Procyflo 27TC'!B313,DATEVALUE('Procyflo 27TC'!B313)),"")</f>
        <v/>
      </c>
      <c r="AC812" t="str">
        <f>IF(AA812="","",'Procyflo 27TC'!C313)</f>
        <v/>
      </c>
      <c r="AD812" t="str">
        <f>IF(AA812="","",IFERROR(1*'Procyflo 27TC'!D313,IFERROR(_xludf.NUMBERVALUE('Procyflo 27TC'!D313,".",","),IFERROR(_xludf.NUMBERVALUE('Procyflo 27TC'!D313,",","."),0))))</f>
        <v/>
      </c>
      <c r="AE812" t="str">
        <f>IF(AA812="","",'Procyflo 27TC'!N313)</f>
        <v/>
      </c>
      <c r="AF812">
        <f t="shared" si="89"/>
        <v>0</v>
      </c>
      <c r="AG812" t="str">
        <f t="shared" si="90"/>
        <v/>
      </c>
      <c r="AH812" t="str">
        <f t="shared" si="91"/>
        <v/>
      </c>
      <c r="AI812">
        <f t="shared" si="92"/>
        <v>0</v>
      </c>
      <c r="AJ812">
        <f t="shared" si="93"/>
        <v>0</v>
      </c>
      <c r="AK812">
        <v>0</v>
      </c>
      <c r="AL812" t="str">
        <f>IF(AA812="","",IFERROR(IF(ISNUMBER('Procyflo 27TC'!E313),'Procyflo 27TC'!E313,IF(ISNUMBER(SEARCH("12",'Procyflo 27TC'!E313)),EDATE(AB812,12),IF(ISNUMBER(SEARCH("6",'Procyflo 27TC'!E313)),EDATE(AB812,6),IF(ISNUMBER(SEARCH("3",'Procyflo 27TC'!E313)),EDATE(AB812,3),DATEVALUE('Procyflo 27TC'!E313))))),""))</f>
        <v/>
      </c>
      <c r="AM812" t="str">
        <f t="shared" ca="1" si="94"/>
        <v/>
      </c>
    </row>
    <row r="813" spans="27:39" x14ac:dyDescent="0.3">
      <c r="AA813" t="str">
        <f>IF(COUNTA('Procyflo 27TC'!B314,'Procyflo 27TC'!C314,'Procyflo 27TC'!D314)&gt;0,"27TC","")</f>
        <v/>
      </c>
      <c r="AB813" t="str">
        <f>IFERROR(IF(ISNUMBER('Procyflo 27TC'!B314),'Procyflo 27TC'!B314,DATEVALUE('Procyflo 27TC'!B314)),"")</f>
        <v/>
      </c>
      <c r="AC813" t="str">
        <f>IF(AA813="","",'Procyflo 27TC'!C314)</f>
        <v/>
      </c>
      <c r="AD813" t="str">
        <f>IF(AA813="","",IFERROR(1*'Procyflo 27TC'!D314,IFERROR(_xludf.NUMBERVALUE('Procyflo 27TC'!D314,".",","),IFERROR(_xludf.NUMBERVALUE('Procyflo 27TC'!D314,",","."),0))))</f>
        <v/>
      </c>
      <c r="AE813" t="str">
        <f>IF(AA813="","",'Procyflo 27TC'!N314)</f>
        <v/>
      </c>
      <c r="AF813">
        <f t="shared" si="89"/>
        <v>0</v>
      </c>
      <c r="AG813" t="str">
        <f t="shared" si="90"/>
        <v/>
      </c>
      <c r="AH813" t="str">
        <f t="shared" si="91"/>
        <v/>
      </c>
      <c r="AI813">
        <f t="shared" si="92"/>
        <v>0</v>
      </c>
      <c r="AJ813">
        <f t="shared" si="93"/>
        <v>0</v>
      </c>
      <c r="AK813">
        <v>0</v>
      </c>
      <c r="AL813" t="str">
        <f>IF(AA813="","",IFERROR(IF(ISNUMBER('Procyflo 27TC'!E314),'Procyflo 27TC'!E314,IF(ISNUMBER(SEARCH("12",'Procyflo 27TC'!E314)),EDATE(AB813,12),IF(ISNUMBER(SEARCH("6",'Procyflo 27TC'!E314)),EDATE(AB813,6),IF(ISNUMBER(SEARCH("3",'Procyflo 27TC'!E314)),EDATE(AB813,3),DATEVALUE('Procyflo 27TC'!E314))))),""))</f>
        <v/>
      </c>
      <c r="AM813" t="str">
        <f t="shared" ca="1" si="94"/>
        <v/>
      </c>
    </row>
    <row r="814" spans="27:39" x14ac:dyDescent="0.3">
      <c r="AA814" t="str">
        <f>IF(COUNTA('Procyflo 27TC'!B315,'Procyflo 27TC'!C315,'Procyflo 27TC'!D315)&gt;0,"27TC","")</f>
        <v/>
      </c>
      <c r="AB814" t="str">
        <f>IFERROR(IF(ISNUMBER('Procyflo 27TC'!B315),'Procyflo 27TC'!B315,DATEVALUE('Procyflo 27TC'!B315)),"")</f>
        <v/>
      </c>
      <c r="AC814" t="str">
        <f>IF(AA814="","",'Procyflo 27TC'!C315)</f>
        <v/>
      </c>
      <c r="AD814" t="str">
        <f>IF(AA814="","",IFERROR(1*'Procyflo 27TC'!D315,IFERROR(_xludf.NUMBERVALUE('Procyflo 27TC'!D315,".",","),IFERROR(_xludf.NUMBERVALUE('Procyflo 27TC'!D315,",","."),0))))</f>
        <v/>
      </c>
      <c r="AE814" t="str">
        <f>IF(AA814="","",'Procyflo 27TC'!N315)</f>
        <v/>
      </c>
      <c r="AF814">
        <f t="shared" si="89"/>
        <v>0</v>
      </c>
      <c r="AG814" t="str">
        <f t="shared" si="90"/>
        <v/>
      </c>
      <c r="AH814" t="str">
        <f t="shared" si="91"/>
        <v/>
      </c>
      <c r="AI814">
        <f t="shared" si="92"/>
        <v>0</v>
      </c>
      <c r="AJ814">
        <f t="shared" si="93"/>
        <v>0</v>
      </c>
      <c r="AK814">
        <v>0</v>
      </c>
      <c r="AL814" t="str">
        <f>IF(AA814="","",IFERROR(IF(ISNUMBER('Procyflo 27TC'!E315),'Procyflo 27TC'!E315,IF(ISNUMBER(SEARCH("12",'Procyflo 27TC'!E315)),EDATE(AB814,12),IF(ISNUMBER(SEARCH("6",'Procyflo 27TC'!E315)),EDATE(AB814,6),IF(ISNUMBER(SEARCH("3",'Procyflo 27TC'!E315)),EDATE(AB814,3),DATEVALUE('Procyflo 27TC'!E315))))),""))</f>
        <v/>
      </c>
      <c r="AM814" t="str">
        <f t="shared" ca="1" si="94"/>
        <v/>
      </c>
    </row>
    <row r="815" spans="27:39" x14ac:dyDescent="0.3">
      <c r="AA815" t="str">
        <f>IF(COUNTA('Procyflo 27TC'!B316,'Procyflo 27TC'!C316,'Procyflo 27TC'!D316)&gt;0,"27TC","")</f>
        <v/>
      </c>
      <c r="AB815" t="str">
        <f>IFERROR(IF(ISNUMBER('Procyflo 27TC'!B316),'Procyflo 27TC'!B316,DATEVALUE('Procyflo 27TC'!B316)),"")</f>
        <v/>
      </c>
      <c r="AC815" t="str">
        <f>IF(AA815="","",'Procyflo 27TC'!C316)</f>
        <v/>
      </c>
      <c r="AD815" t="str">
        <f>IF(AA815="","",IFERROR(1*'Procyflo 27TC'!D316,IFERROR(_xludf.NUMBERVALUE('Procyflo 27TC'!D316,".",","),IFERROR(_xludf.NUMBERVALUE('Procyflo 27TC'!D316,",","."),0))))</f>
        <v/>
      </c>
      <c r="AE815" t="str">
        <f>IF(AA815="","",'Procyflo 27TC'!N316)</f>
        <v/>
      </c>
      <c r="AF815">
        <f t="shared" si="89"/>
        <v>0</v>
      </c>
      <c r="AG815" t="str">
        <f t="shared" si="90"/>
        <v/>
      </c>
      <c r="AH815" t="str">
        <f t="shared" si="91"/>
        <v/>
      </c>
      <c r="AI815">
        <f t="shared" si="92"/>
        <v>0</v>
      </c>
      <c r="AJ815">
        <f t="shared" si="93"/>
        <v>0</v>
      </c>
      <c r="AK815">
        <v>0</v>
      </c>
      <c r="AL815" t="str">
        <f>IF(AA815="","",IFERROR(IF(ISNUMBER('Procyflo 27TC'!E316),'Procyflo 27TC'!E316,IF(ISNUMBER(SEARCH("12",'Procyflo 27TC'!E316)),EDATE(AB815,12),IF(ISNUMBER(SEARCH("6",'Procyflo 27TC'!E316)),EDATE(AB815,6),IF(ISNUMBER(SEARCH("3",'Procyflo 27TC'!E316)),EDATE(AB815,3),DATEVALUE('Procyflo 27TC'!E316))))),""))</f>
        <v/>
      </c>
      <c r="AM815" t="str">
        <f t="shared" ca="1" si="94"/>
        <v/>
      </c>
    </row>
    <row r="816" spans="27:39" x14ac:dyDescent="0.3">
      <c r="AA816" t="str">
        <f>IF(COUNTA('Procyflo 27TC'!B317,'Procyflo 27TC'!C317,'Procyflo 27TC'!D317)&gt;0,"27TC","")</f>
        <v/>
      </c>
      <c r="AB816" t="str">
        <f>IFERROR(IF(ISNUMBER('Procyflo 27TC'!B317),'Procyflo 27TC'!B317,DATEVALUE('Procyflo 27TC'!B317)),"")</f>
        <v/>
      </c>
      <c r="AC816" t="str">
        <f>IF(AA816="","",'Procyflo 27TC'!C317)</f>
        <v/>
      </c>
      <c r="AD816" t="str">
        <f>IF(AA816="","",IFERROR(1*'Procyflo 27TC'!D317,IFERROR(_xludf.NUMBERVALUE('Procyflo 27TC'!D317,".",","),IFERROR(_xludf.NUMBERVALUE('Procyflo 27TC'!D317,",","."),0))))</f>
        <v/>
      </c>
      <c r="AE816" t="str">
        <f>IF(AA816="","",'Procyflo 27TC'!N317)</f>
        <v/>
      </c>
      <c r="AF816">
        <f t="shared" si="89"/>
        <v>0</v>
      </c>
      <c r="AG816" t="str">
        <f t="shared" si="90"/>
        <v/>
      </c>
      <c r="AH816" t="str">
        <f t="shared" si="91"/>
        <v/>
      </c>
      <c r="AI816">
        <f t="shared" si="92"/>
        <v>0</v>
      </c>
      <c r="AJ816">
        <f t="shared" si="93"/>
        <v>0</v>
      </c>
      <c r="AK816">
        <v>0</v>
      </c>
      <c r="AL816" t="str">
        <f>IF(AA816="","",IFERROR(IF(ISNUMBER('Procyflo 27TC'!E317),'Procyflo 27TC'!E317,IF(ISNUMBER(SEARCH("12",'Procyflo 27TC'!E317)),EDATE(AB816,12),IF(ISNUMBER(SEARCH("6",'Procyflo 27TC'!E317)),EDATE(AB816,6),IF(ISNUMBER(SEARCH("3",'Procyflo 27TC'!E317)),EDATE(AB816,3),DATEVALUE('Procyflo 27TC'!E317))))),""))</f>
        <v/>
      </c>
      <c r="AM816" t="str">
        <f t="shared" ca="1" si="94"/>
        <v/>
      </c>
    </row>
    <row r="817" spans="27:39" x14ac:dyDescent="0.3">
      <c r="AA817" t="str">
        <f>IF(COUNTA('Procyflo 27TC'!B318,'Procyflo 27TC'!C318,'Procyflo 27TC'!D318)&gt;0,"27TC","")</f>
        <v/>
      </c>
      <c r="AB817" t="str">
        <f>IFERROR(IF(ISNUMBER('Procyflo 27TC'!B318),'Procyflo 27TC'!B318,DATEVALUE('Procyflo 27TC'!B318)),"")</f>
        <v/>
      </c>
      <c r="AC817" t="str">
        <f>IF(AA817="","",'Procyflo 27TC'!C318)</f>
        <v/>
      </c>
      <c r="AD817" t="str">
        <f>IF(AA817="","",IFERROR(1*'Procyflo 27TC'!D318,IFERROR(_xludf.NUMBERVALUE('Procyflo 27TC'!D318,".",","),IFERROR(_xludf.NUMBERVALUE('Procyflo 27TC'!D318,",","."),0))))</f>
        <v/>
      </c>
      <c r="AE817" t="str">
        <f>IF(AA817="","",'Procyflo 27TC'!N318)</f>
        <v/>
      </c>
      <c r="AF817">
        <f t="shared" si="89"/>
        <v>0</v>
      </c>
      <c r="AG817" t="str">
        <f t="shared" si="90"/>
        <v/>
      </c>
      <c r="AH817" t="str">
        <f t="shared" si="91"/>
        <v/>
      </c>
      <c r="AI817">
        <f t="shared" si="92"/>
        <v>0</v>
      </c>
      <c r="AJ817">
        <f t="shared" si="93"/>
        <v>0</v>
      </c>
      <c r="AK817">
        <v>0</v>
      </c>
      <c r="AL817" t="str">
        <f>IF(AA817="","",IFERROR(IF(ISNUMBER('Procyflo 27TC'!E318),'Procyflo 27TC'!E318,IF(ISNUMBER(SEARCH("12",'Procyflo 27TC'!E318)),EDATE(AB817,12),IF(ISNUMBER(SEARCH("6",'Procyflo 27TC'!E318)),EDATE(AB817,6),IF(ISNUMBER(SEARCH("3",'Procyflo 27TC'!E318)),EDATE(AB817,3),DATEVALUE('Procyflo 27TC'!E318))))),""))</f>
        <v/>
      </c>
      <c r="AM817" t="str">
        <f t="shared" ca="1" si="94"/>
        <v/>
      </c>
    </row>
    <row r="818" spans="27:39" x14ac:dyDescent="0.3">
      <c r="AA818" t="str">
        <f>IF(COUNTA('Procyflo 27TC'!B319,'Procyflo 27TC'!C319,'Procyflo 27TC'!D319)&gt;0,"27TC","")</f>
        <v/>
      </c>
      <c r="AB818" t="str">
        <f>IFERROR(IF(ISNUMBER('Procyflo 27TC'!B319),'Procyflo 27TC'!B319,DATEVALUE('Procyflo 27TC'!B319)),"")</f>
        <v/>
      </c>
      <c r="AC818" t="str">
        <f>IF(AA818="","",'Procyflo 27TC'!C319)</f>
        <v/>
      </c>
      <c r="AD818" t="str">
        <f>IF(AA818="","",IFERROR(1*'Procyflo 27TC'!D319,IFERROR(_xludf.NUMBERVALUE('Procyflo 27TC'!D319,".",","),IFERROR(_xludf.NUMBERVALUE('Procyflo 27TC'!D319,",","."),0))))</f>
        <v/>
      </c>
      <c r="AE818" t="str">
        <f>IF(AA818="","",'Procyflo 27TC'!N319)</f>
        <v/>
      </c>
      <c r="AF818">
        <f t="shared" si="89"/>
        <v>0</v>
      </c>
      <c r="AG818" t="str">
        <f t="shared" si="90"/>
        <v/>
      </c>
      <c r="AH818" t="str">
        <f t="shared" si="91"/>
        <v/>
      </c>
      <c r="AI818">
        <f t="shared" si="92"/>
        <v>0</v>
      </c>
      <c r="AJ818">
        <f t="shared" si="93"/>
        <v>0</v>
      </c>
      <c r="AK818">
        <v>0</v>
      </c>
      <c r="AL818" t="str">
        <f>IF(AA818="","",IFERROR(IF(ISNUMBER('Procyflo 27TC'!E319),'Procyflo 27TC'!E319,IF(ISNUMBER(SEARCH("12",'Procyflo 27TC'!E319)),EDATE(AB818,12),IF(ISNUMBER(SEARCH("6",'Procyflo 27TC'!E319)),EDATE(AB818,6),IF(ISNUMBER(SEARCH("3",'Procyflo 27TC'!E319)),EDATE(AB818,3),DATEVALUE('Procyflo 27TC'!E319))))),""))</f>
        <v/>
      </c>
      <c r="AM818" t="str">
        <f t="shared" ca="1" si="94"/>
        <v/>
      </c>
    </row>
    <row r="819" spans="27:39" x14ac:dyDescent="0.3">
      <c r="AA819" t="str">
        <f>IF(COUNTA('Procyflo 27TC'!B320,'Procyflo 27TC'!C320,'Procyflo 27TC'!D320)&gt;0,"27TC","")</f>
        <v/>
      </c>
      <c r="AB819" t="str">
        <f>IFERROR(IF(ISNUMBER('Procyflo 27TC'!B320),'Procyflo 27TC'!B320,DATEVALUE('Procyflo 27TC'!B320)),"")</f>
        <v/>
      </c>
      <c r="AC819" t="str">
        <f>IF(AA819="","",'Procyflo 27TC'!C320)</f>
        <v/>
      </c>
      <c r="AD819" t="str">
        <f>IF(AA819="","",IFERROR(1*'Procyflo 27TC'!D320,IFERROR(_xludf.NUMBERVALUE('Procyflo 27TC'!D320,".",","),IFERROR(_xludf.NUMBERVALUE('Procyflo 27TC'!D320,",","."),0))))</f>
        <v/>
      </c>
      <c r="AE819" t="str">
        <f>IF(AA819="","",'Procyflo 27TC'!N320)</f>
        <v/>
      </c>
      <c r="AF819">
        <f t="shared" si="89"/>
        <v>0</v>
      </c>
      <c r="AG819" t="str">
        <f t="shared" si="90"/>
        <v/>
      </c>
      <c r="AH819" t="str">
        <f t="shared" si="91"/>
        <v/>
      </c>
      <c r="AI819">
        <f t="shared" si="92"/>
        <v>0</v>
      </c>
      <c r="AJ819">
        <f t="shared" si="93"/>
        <v>0</v>
      </c>
      <c r="AK819">
        <v>0</v>
      </c>
      <c r="AL819" t="str">
        <f>IF(AA819="","",IFERROR(IF(ISNUMBER('Procyflo 27TC'!E320),'Procyflo 27TC'!E320,IF(ISNUMBER(SEARCH("12",'Procyflo 27TC'!E320)),EDATE(AB819,12),IF(ISNUMBER(SEARCH("6",'Procyflo 27TC'!E320)),EDATE(AB819,6),IF(ISNUMBER(SEARCH("3",'Procyflo 27TC'!E320)),EDATE(AB819,3),DATEVALUE('Procyflo 27TC'!E320))))),""))</f>
        <v/>
      </c>
      <c r="AM819" t="str">
        <f t="shared" ca="1" si="94"/>
        <v/>
      </c>
    </row>
    <row r="820" spans="27:39" x14ac:dyDescent="0.3">
      <c r="AA820" t="str">
        <f>IF(COUNTA('Procyflo 27TC'!B321,'Procyflo 27TC'!C321,'Procyflo 27TC'!D321)&gt;0,"27TC","")</f>
        <v/>
      </c>
      <c r="AB820" t="str">
        <f>IFERROR(IF(ISNUMBER('Procyflo 27TC'!B321),'Procyflo 27TC'!B321,DATEVALUE('Procyflo 27TC'!B321)),"")</f>
        <v/>
      </c>
      <c r="AC820" t="str">
        <f>IF(AA820="","",'Procyflo 27TC'!C321)</f>
        <v/>
      </c>
      <c r="AD820" t="str">
        <f>IF(AA820="","",IFERROR(1*'Procyflo 27TC'!D321,IFERROR(_xludf.NUMBERVALUE('Procyflo 27TC'!D321,".",","),IFERROR(_xludf.NUMBERVALUE('Procyflo 27TC'!D321,",","."),0))))</f>
        <v/>
      </c>
      <c r="AE820" t="str">
        <f>IF(AA820="","",'Procyflo 27TC'!N321)</f>
        <v/>
      </c>
      <c r="AF820">
        <f t="shared" si="89"/>
        <v>0</v>
      </c>
      <c r="AG820" t="str">
        <f t="shared" si="90"/>
        <v/>
      </c>
      <c r="AH820" t="str">
        <f t="shared" si="91"/>
        <v/>
      </c>
      <c r="AI820">
        <f t="shared" si="92"/>
        <v>0</v>
      </c>
      <c r="AJ820">
        <f t="shared" si="93"/>
        <v>0</v>
      </c>
      <c r="AK820">
        <v>0</v>
      </c>
      <c r="AL820" t="str">
        <f>IF(AA820="","",IFERROR(IF(ISNUMBER('Procyflo 27TC'!E321),'Procyflo 27TC'!E321,IF(ISNUMBER(SEARCH("12",'Procyflo 27TC'!E321)),EDATE(AB820,12),IF(ISNUMBER(SEARCH("6",'Procyflo 27TC'!E321)),EDATE(AB820,6),IF(ISNUMBER(SEARCH("3",'Procyflo 27TC'!E321)),EDATE(AB820,3),DATEVALUE('Procyflo 27TC'!E321))))),""))</f>
        <v/>
      </c>
      <c r="AM820" t="str">
        <f t="shared" ca="1" si="94"/>
        <v/>
      </c>
    </row>
    <row r="821" spans="27:39" x14ac:dyDescent="0.3">
      <c r="AA821" t="str">
        <f>IF(COUNTA('Procyflo 27TC'!B322,'Procyflo 27TC'!C322,'Procyflo 27TC'!D322)&gt;0,"27TC","")</f>
        <v/>
      </c>
      <c r="AB821" t="str">
        <f>IFERROR(IF(ISNUMBER('Procyflo 27TC'!B322),'Procyflo 27TC'!B322,DATEVALUE('Procyflo 27TC'!B322)),"")</f>
        <v/>
      </c>
      <c r="AC821" t="str">
        <f>IF(AA821="","",'Procyflo 27TC'!C322)</f>
        <v/>
      </c>
      <c r="AD821" t="str">
        <f>IF(AA821="","",IFERROR(1*'Procyflo 27TC'!D322,IFERROR(_xludf.NUMBERVALUE('Procyflo 27TC'!D322,".",","),IFERROR(_xludf.NUMBERVALUE('Procyflo 27TC'!D322,",","."),0))))</f>
        <v/>
      </c>
      <c r="AE821" t="str">
        <f>IF(AA821="","",'Procyflo 27TC'!N322)</f>
        <v/>
      </c>
      <c r="AF821">
        <f t="shared" si="89"/>
        <v>0</v>
      </c>
      <c r="AG821" t="str">
        <f t="shared" si="90"/>
        <v/>
      </c>
      <c r="AH821" t="str">
        <f t="shared" si="91"/>
        <v/>
      </c>
      <c r="AI821">
        <f t="shared" si="92"/>
        <v>0</v>
      </c>
      <c r="AJ821">
        <f t="shared" si="93"/>
        <v>0</v>
      </c>
      <c r="AK821">
        <v>0</v>
      </c>
      <c r="AL821" t="str">
        <f>IF(AA821="","",IFERROR(IF(ISNUMBER('Procyflo 27TC'!E322),'Procyflo 27TC'!E322,IF(ISNUMBER(SEARCH("12",'Procyflo 27TC'!E322)),EDATE(AB821,12),IF(ISNUMBER(SEARCH("6",'Procyflo 27TC'!E322)),EDATE(AB821,6),IF(ISNUMBER(SEARCH("3",'Procyflo 27TC'!E322)),EDATE(AB821,3),DATEVALUE('Procyflo 27TC'!E322))))),""))</f>
        <v/>
      </c>
      <c r="AM821" t="str">
        <f t="shared" ca="1" si="94"/>
        <v/>
      </c>
    </row>
    <row r="822" spans="27:39" x14ac:dyDescent="0.3">
      <c r="AA822" t="str">
        <f>IF(COUNTA('Procyflo 27TC'!B323,'Procyflo 27TC'!C323,'Procyflo 27TC'!D323)&gt;0,"27TC","")</f>
        <v/>
      </c>
      <c r="AB822" t="str">
        <f>IFERROR(IF(ISNUMBER('Procyflo 27TC'!B323),'Procyflo 27TC'!B323,DATEVALUE('Procyflo 27TC'!B323)),"")</f>
        <v/>
      </c>
      <c r="AC822" t="str">
        <f>IF(AA822="","",'Procyflo 27TC'!C323)</f>
        <v/>
      </c>
      <c r="AD822" t="str">
        <f>IF(AA822="","",IFERROR(1*'Procyflo 27TC'!D323,IFERROR(_xludf.NUMBERVALUE('Procyflo 27TC'!D323,".",","),IFERROR(_xludf.NUMBERVALUE('Procyflo 27TC'!D323,",","."),0))))</f>
        <v/>
      </c>
      <c r="AE822" t="str">
        <f>IF(AA822="","",'Procyflo 27TC'!N323)</f>
        <v/>
      </c>
      <c r="AF822">
        <f t="shared" si="89"/>
        <v>0</v>
      </c>
      <c r="AG822" t="str">
        <f t="shared" si="90"/>
        <v/>
      </c>
      <c r="AH822" t="str">
        <f t="shared" si="91"/>
        <v/>
      </c>
      <c r="AI822">
        <f t="shared" si="92"/>
        <v>0</v>
      </c>
      <c r="AJ822">
        <f t="shared" si="93"/>
        <v>0</v>
      </c>
      <c r="AK822">
        <v>0</v>
      </c>
      <c r="AL822" t="str">
        <f>IF(AA822="","",IFERROR(IF(ISNUMBER('Procyflo 27TC'!E323),'Procyflo 27TC'!E323,IF(ISNUMBER(SEARCH("12",'Procyflo 27TC'!E323)),EDATE(AB822,12),IF(ISNUMBER(SEARCH("6",'Procyflo 27TC'!E323)),EDATE(AB822,6),IF(ISNUMBER(SEARCH("3",'Procyflo 27TC'!E323)),EDATE(AB822,3),DATEVALUE('Procyflo 27TC'!E323))))),""))</f>
        <v/>
      </c>
      <c r="AM822" t="str">
        <f t="shared" ca="1" si="94"/>
        <v/>
      </c>
    </row>
    <row r="823" spans="27:39" x14ac:dyDescent="0.3">
      <c r="AA823" t="str">
        <f>IF(COUNTA('Procyflo 27TC'!B324,'Procyflo 27TC'!C324,'Procyflo 27TC'!D324)&gt;0,"27TC","")</f>
        <v/>
      </c>
      <c r="AB823" t="str">
        <f>IFERROR(IF(ISNUMBER('Procyflo 27TC'!B324),'Procyflo 27TC'!B324,DATEVALUE('Procyflo 27TC'!B324)),"")</f>
        <v/>
      </c>
      <c r="AC823" t="str">
        <f>IF(AA823="","",'Procyflo 27TC'!C324)</f>
        <v/>
      </c>
      <c r="AD823" t="str">
        <f>IF(AA823="","",IFERROR(1*'Procyflo 27TC'!D324,IFERROR(_xludf.NUMBERVALUE('Procyflo 27TC'!D324,".",","),IFERROR(_xludf.NUMBERVALUE('Procyflo 27TC'!D324,",","."),0))))</f>
        <v/>
      </c>
      <c r="AE823" t="str">
        <f>IF(AA823="","",'Procyflo 27TC'!N324)</f>
        <v/>
      </c>
      <c r="AF823">
        <f t="shared" si="89"/>
        <v>0</v>
      </c>
      <c r="AG823" t="str">
        <f t="shared" si="90"/>
        <v/>
      </c>
      <c r="AH823" t="str">
        <f t="shared" si="91"/>
        <v/>
      </c>
      <c r="AI823">
        <f t="shared" si="92"/>
        <v>0</v>
      </c>
      <c r="AJ823">
        <f t="shared" si="93"/>
        <v>0</v>
      </c>
      <c r="AK823">
        <v>0</v>
      </c>
      <c r="AL823" t="str">
        <f>IF(AA823="","",IFERROR(IF(ISNUMBER('Procyflo 27TC'!E324),'Procyflo 27TC'!E324,IF(ISNUMBER(SEARCH("12",'Procyflo 27TC'!E324)),EDATE(AB823,12),IF(ISNUMBER(SEARCH("6",'Procyflo 27TC'!E324)),EDATE(AB823,6),IF(ISNUMBER(SEARCH("3",'Procyflo 27TC'!E324)),EDATE(AB823,3),DATEVALUE('Procyflo 27TC'!E324))))),""))</f>
        <v/>
      </c>
      <c r="AM823" t="str">
        <f t="shared" ca="1" si="94"/>
        <v/>
      </c>
    </row>
    <row r="824" spans="27:39" x14ac:dyDescent="0.3">
      <c r="AA824" t="str">
        <f>IF(COUNTA('Procyflo 27TC'!B325,'Procyflo 27TC'!C325,'Procyflo 27TC'!D325)&gt;0,"27TC","")</f>
        <v/>
      </c>
      <c r="AB824" t="str">
        <f>IFERROR(IF(ISNUMBER('Procyflo 27TC'!B325),'Procyflo 27TC'!B325,DATEVALUE('Procyflo 27TC'!B325)),"")</f>
        <v/>
      </c>
      <c r="AC824" t="str">
        <f>IF(AA824="","",'Procyflo 27TC'!C325)</f>
        <v/>
      </c>
      <c r="AD824" t="str">
        <f>IF(AA824="","",IFERROR(1*'Procyflo 27TC'!D325,IFERROR(_xludf.NUMBERVALUE('Procyflo 27TC'!D325,".",","),IFERROR(_xludf.NUMBERVALUE('Procyflo 27TC'!D325,",","."),0))))</f>
        <v/>
      </c>
      <c r="AE824" t="str">
        <f>IF(AA824="","",'Procyflo 27TC'!N325)</f>
        <v/>
      </c>
      <c r="AF824">
        <f t="shared" si="89"/>
        <v>0</v>
      </c>
      <c r="AG824" t="str">
        <f t="shared" si="90"/>
        <v/>
      </c>
      <c r="AH824" t="str">
        <f t="shared" si="91"/>
        <v/>
      </c>
      <c r="AI824">
        <f t="shared" si="92"/>
        <v>0</v>
      </c>
      <c r="AJ824">
        <f t="shared" si="93"/>
        <v>0</v>
      </c>
      <c r="AK824">
        <v>0</v>
      </c>
      <c r="AL824" t="str">
        <f>IF(AA824="","",IFERROR(IF(ISNUMBER('Procyflo 27TC'!E325),'Procyflo 27TC'!E325,IF(ISNUMBER(SEARCH("12",'Procyflo 27TC'!E325)),EDATE(AB824,12),IF(ISNUMBER(SEARCH("6",'Procyflo 27TC'!E325)),EDATE(AB824,6),IF(ISNUMBER(SEARCH("3",'Procyflo 27TC'!E325)),EDATE(AB824,3),DATEVALUE('Procyflo 27TC'!E325))))),""))</f>
        <v/>
      </c>
      <c r="AM824" t="str">
        <f t="shared" ca="1" si="94"/>
        <v/>
      </c>
    </row>
    <row r="825" spans="27:39" x14ac:dyDescent="0.3">
      <c r="AA825" t="str">
        <f>IF(COUNTA('Procyflo 27TC'!B326,'Procyflo 27TC'!C326,'Procyflo 27TC'!D326)&gt;0,"27TC","")</f>
        <v/>
      </c>
      <c r="AB825" t="str">
        <f>IFERROR(IF(ISNUMBER('Procyflo 27TC'!B326),'Procyflo 27TC'!B326,DATEVALUE('Procyflo 27TC'!B326)),"")</f>
        <v/>
      </c>
      <c r="AC825" t="str">
        <f>IF(AA825="","",'Procyflo 27TC'!C326)</f>
        <v/>
      </c>
      <c r="AD825" t="str">
        <f>IF(AA825="","",IFERROR(1*'Procyflo 27TC'!D326,IFERROR(_xludf.NUMBERVALUE('Procyflo 27TC'!D326,".",","),IFERROR(_xludf.NUMBERVALUE('Procyflo 27TC'!D326,",","."),0))))</f>
        <v/>
      </c>
      <c r="AE825" t="str">
        <f>IF(AA825="","",'Procyflo 27TC'!N326)</f>
        <v/>
      </c>
      <c r="AF825">
        <f t="shared" si="89"/>
        <v>0</v>
      </c>
      <c r="AG825" t="str">
        <f t="shared" si="90"/>
        <v/>
      </c>
      <c r="AH825" t="str">
        <f t="shared" si="91"/>
        <v/>
      </c>
      <c r="AI825">
        <f t="shared" si="92"/>
        <v>0</v>
      </c>
      <c r="AJ825">
        <f t="shared" si="93"/>
        <v>0</v>
      </c>
      <c r="AK825">
        <v>0</v>
      </c>
      <c r="AL825" t="str">
        <f>IF(AA825="","",IFERROR(IF(ISNUMBER('Procyflo 27TC'!E326),'Procyflo 27TC'!E326,IF(ISNUMBER(SEARCH("12",'Procyflo 27TC'!E326)),EDATE(AB825,12),IF(ISNUMBER(SEARCH("6",'Procyflo 27TC'!E326)),EDATE(AB825,6),IF(ISNUMBER(SEARCH("3",'Procyflo 27TC'!E326)),EDATE(AB825,3),DATEVALUE('Procyflo 27TC'!E326))))),""))</f>
        <v/>
      </c>
      <c r="AM825" t="str">
        <f t="shared" ca="1" si="94"/>
        <v/>
      </c>
    </row>
    <row r="826" spans="27:39" x14ac:dyDescent="0.3">
      <c r="AA826" t="str">
        <f>IF(COUNTA('Procyflo 27TC'!B327,'Procyflo 27TC'!C327,'Procyflo 27TC'!D327)&gt;0,"27TC","")</f>
        <v/>
      </c>
      <c r="AB826" t="str">
        <f>IFERROR(IF(ISNUMBER('Procyflo 27TC'!B327),'Procyflo 27TC'!B327,DATEVALUE('Procyflo 27TC'!B327)),"")</f>
        <v/>
      </c>
      <c r="AC826" t="str">
        <f>IF(AA826="","",'Procyflo 27TC'!C327)</f>
        <v/>
      </c>
      <c r="AD826" t="str">
        <f>IF(AA826="","",IFERROR(1*'Procyflo 27TC'!D327,IFERROR(_xludf.NUMBERVALUE('Procyflo 27TC'!D327,".",","),IFERROR(_xludf.NUMBERVALUE('Procyflo 27TC'!D327,",","."),0))))</f>
        <v/>
      </c>
      <c r="AE826" t="str">
        <f>IF(AA826="","",'Procyflo 27TC'!N327)</f>
        <v/>
      </c>
      <c r="AF826">
        <f t="shared" si="89"/>
        <v>0</v>
      </c>
      <c r="AG826" t="str">
        <f t="shared" si="90"/>
        <v/>
      </c>
      <c r="AH826" t="str">
        <f t="shared" si="91"/>
        <v/>
      </c>
      <c r="AI826">
        <f t="shared" si="92"/>
        <v>0</v>
      </c>
      <c r="AJ826">
        <f t="shared" si="93"/>
        <v>0</v>
      </c>
      <c r="AK826">
        <v>0</v>
      </c>
      <c r="AL826" t="str">
        <f>IF(AA826="","",IFERROR(IF(ISNUMBER('Procyflo 27TC'!E327),'Procyflo 27TC'!E327,IF(ISNUMBER(SEARCH("12",'Procyflo 27TC'!E327)),EDATE(AB826,12),IF(ISNUMBER(SEARCH("6",'Procyflo 27TC'!E327)),EDATE(AB826,6),IF(ISNUMBER(SEARCH("3",'Procyflo 27TC'!E327)),EDATE(AB826,3),DATEVALUE('Procyflo 27TC'!E327))))),""))</f>
        <v/>
      </c>
      <c r="AM826" t="str">
        <f t="shared" ca="1" si="94"/>
        <v/>
      </c>
    </row>
    <row r="827" spans="27:39" x14ac:dyDescent="0.3">
      <c r="AA827" t="str">
        <f>IF(COUNTA('Procyflo 27TC'!B328,'Procyflo 27TC'!C328,'Procyflo 27TC'!D328)&gt;0,"27TC","")</f>
        <v/>
      </c>
      <c r="AB827" t="str">
        <f>IFERROR(IF(ISNUMBER('Procyflo 27TC'!B328),'Procyflo 27TC'!B328,DATEVALUE('Procyflo 27TC'!B328)),"")</f>
        <v/>
      </c>
      <c r="AC827" t="str">
        <f>IF(AA827="","",'Procyflo 27TC'!C328)</f>
        <v/>
      </c>
      <c r="AD827" t="str">
        <f>IF(AA827="","",IFERROR(1*'Procyflo 27TC'!D328,IFERROR(_xludf.NUMBERVALUE('Procyflo 27TC'!D328,".",","),IFERROR(_xludf.NUMBERVALUE('Procyflo 27TC'!D328,",","."),0))))</f>
        <v/>
      </c>
      <c r="AE827" t="str">
        <f>IF(AA827="","",'Procyflo 27TC'!N328)</f>
        <v/>
      </c>
      <c r="AF827">
        <f t="shared" si="89"/>
        <v>0</v>
      </c>
      <c r="AG827" t="str">
        <f t="shared" si="90"/>
        <v/>
      </c>
      <c r="AH827" t="str">
        <f t="shared" si="91"/>
        <v/>
      </c>
      <c r="AI827">
        <f t="shared" si="92"/>
        <v>0</v>
      </c>
      <c r="AJ827">
        <f t="shared" si="93"/>
        <v>0</v>
      </c>
      <c r="AK827">
        <v>0</v>
      </c>
      <c r="AL827" t="str">
        <f>IF(AA827="","",IFERROR(IF(ISNUMBER('Procyflo 27TC'!E328),'Procyflo 27TC'!E328,IF(ISNUMBER(SEARCH("12",'Procyflo 27TC'!E328)),EDATE(AB827,12),IF(ISNUMBER(SEARCH("6",'Procyflo 27TC'!E328)),EDATE(AB827,6),IF(ISNUMBER(SEARCH("3",'Procyflo 27TC'!E328)),EDATE(AB827,3),DATEVALUE('Procyflo 27TC'!E328))))),""))</f>
        <v/>
      </c>
      <c r="AM827" t="str">
        <f t="shared" ca="1" si="94"/>
        <v/>
      </c>
    </row>
    <row r="828" spans="27:39" x14ac:dyDescent="0.3">
      <c r="AA828" t="str">
        <f>IF(COUNTA('Procyflo 27TC'!B329,'Procyflo 27TC'!C329,'Procyflo 27TC'!D329)&gt;0,"27TC","")</f>
        <v/>
      </c>
      <c r="AB828" t="str">
        <f>IFERROR(IF(ISNUMBER('Procyflo 27TC'!B329),'Procyflo 27TC'!B329,DATEVALUE('Procyflo 27TC'!B329)),"")</f>
        <v/>
      </c>
      <c r="AC828" t="str">
        <f>IF(AA828="","",'Procyflo 27TC'!C329)</f>
        <v/>
      </c>
      <c r="AD828" t="str">
        <f>IF(AA828="","",IFERROR(1*'Procyflo 27TC'!D329,IFERROR(_xludf.NUMBERVALUE('Procyflo 27TC'!D329,".",","),IFERROR(_xludf.NUMBERVALUE('Procyflo 27TC'!D329,",","."),0))))</f>
        <v/>
      </c>
      <c r="AE828" t="str">
        <f>IF(AA828="","",'Procyflo 27TC'!N329)</f>
        <v/>
      </c>
      <c r="AF828">
        <f t="shared" si="89"/>
        <v>0</v>
      </c>
      <c r="AG828" t="str">
        <f t="shared" si="90"/>
        <v/>
      </c>
      <c r="AH828" t="str">
        <f t="shared" si="91"/>
        <v/>
      </c>
      <c r="AI828">
        <f t="shared" si="92"/>
        <v>0</v>
      </c>
      <c r="AJ828">
        <f t="shared" si="93"/>
        <v>0</v>
      </c>
      <c r="AK828">
        <v>0</v>
      </c>
      <c r="AL828" t="str">
        <f>IF(AA828="","",IFERROR(IF(ISNUMBER('Procyflo 27TC'!E329),'Procyflo 27TC'!E329,IF(ISNUMBER(SEARCH("12",'Procyflo 27TC'!E329)),EDATE(AB828,12),IF(ISNUMBER(SEARCH("6",'Procyflo 27TC'!E329)),EDATE(AB828,6),IF(ISNUMBER(SEARCH("3",'Procyflo 27TC'!E329)),EDATE(AB828,3),DATEVALUE('Procyflo 27TC'!E329))))),""))</f>
        <v/>
      </c>
      <c r="AM828" t="str">
        <f t="shared" ca="1" si="94"/>
        <v/>
      </c>
    </row>
    <row r="829" spans="27:39" x14ac:dyDescent="0.3">
      <c r="AA829" t="str">
        <f>IF(COUNTA('Procyflo 27TC'!B330,'Procyflo 27TC'!C330,'Procyflo 27TC'!D330)&gt;0,"27TC","")</f>
        <v/>
      </c>
      <c r="AB829" t="str">
        <f>IFERROR(IF(ISNUMBER('Procyflo 27TC'!B330),'Procyflo 27TC'!B330,DATEVALUE('Procyflo 27TC'!B330)),"")</f>
        <v/>
      </c>
      <c r="AC829" t="str">
        <f>IF(AA829="","",'Procyflo 27TC'!C330)</f>
        <v/>
      </c>
      <c r="AD829" t="str">
        <f>IF(AA829="","",IFERROR(1*'Procyflo 27TC'!D330,IFERROR(_xludf.NUMBERVALUE('Procyflo 27TC'!D330,".",","),IFERROR(_xludf.NUMBERVALUE('Procyflo 27TC'!D330,",","."),0))))</f>
        <v/>
      </c>
      <c r="AE829" t="str">
        <f>IF(AA829="","",'Procyflo 27TC'!N330)</f>
        <v/>
      </c>
      <c r="AF829">
        <f t="shared" si="89"/>
        <v>0</v>
      </c>
      <c r="AG829" t="str">
        <f t="shared" si="90"/>
        <v/>
      </c>
      <c r="AH829" t="str">
        <f t="shared" si="91"/>
        <v/>
      </c>
      <c r="AI829">
        <f t="shared" si="92"/>
        <v>0</v>
      </c>
      <c r="AJ829">
        <f t="shared" si="93"/>
        <v>0</v>
      </c>
      <c r="AK829">
        <v>0</v>
      </c>
      <c r="AL829" t="str">
        <f>IF(AA829="","",IFERROR(IF(ISNUMBER('Procyflo 27TC'!E330),'Procyflo 27TC'!E330,IF(ISNUMBER(SEARCH("12",'Procyflo 27TC'!E330)),EDATE(AB829,12),IF(ISNUMBER(SEARCH("6",'Procyflo 27TC'!E330)),EDATE(AB829,6),IF(ISNUMBER(SEARCH("3",'Procyflo 27TC'!E330)),EDATE(AB829,3),DATEVALUE('Procyflo 27TC'!E330))))),""))</f>
        <v/>
      </c>
      <c r="AM829" t="str">
        <f t="shared" ca="1" si="94"/>
        <v/>
      </c>
    </row>
    <row r="830" spans="27:39" x14ac:dyDescent="0.3">
      <c r="AA830" t="str">
        <f>IF(COUNTA('Procyflo 27TC'!B331,'Procyflo 27TC'!C331,'Procyflo 27TC'!D331)&gt;0,"27TC","")</f>
        <v/>
      </c>
      <c r="AB830" t="str">
        <f>IFERROR(IF(ISNUMBER('Procyflo 27TC'!B331),'Procyflo 27TC'!B331,DATEVALUE('Procyflo 27TC'!B331)),"")</f>
        <v/>
      </c>
      <c r="AC830" t="str">
        <f>IF(AA830="","",'Procyflo 27TC'!C331)</f>
        <v/>
      </c>
      <c r="AD830" t="str">
        <f>IF(AA830="","",IFERROR(1*'Procyflo 27TC'!D331,IFERROR(_xludf.NUMBERVALUE('Procyflo 27TC'!D331,".",","),IFERROR(_xludf.NUMBERVALUE('Procyflo 27TC'!D331,",","."),0))))</f>
        <v/>
      </c>
      <c r="AE830" t="str">
        <f>IF(AA830="","",'Procyflo 27TC'!N331)</f>
        <v/>
      </c>
      <c r="AF830">
        <f t="shared" si="89"/>
        <v>0</v>
      </c>
      <c r="AG830" t="str">
        <f t="shared" si="90"/>
        <v/>
      </c>
      <c r="AH830" t="str">
        <f t="shared" si="91"/>
        <v/>
      </c>
      <c r="AI830">
        <f t="shared" si="92"/>
        <v>0</v>
      </c>
      <c r="AJ830">
        <f t="shared" si="93"/>
        <v>0</v>
      </c>
      <c r="AK830">
        <v>0</v>
      </c>
      <c r="AL830" t="str">
        <f>IF(AA830="","",IFERROR(IF(ISNUMBER('Procyflo 27TC'!E331),'Procyflo 27TC'!E331,IF(ISNUMBER(SEARCH("12",'Procyflo 27TC'!E331)),EDATE(AB830,12),IF(ISNUMBER(SEARCH("6",'Procyflo 27TC'!E331)),EDATE(AB830,6),IF(ISNUMBER(SEARCH("3",'Procyflo 27TC'!E331)),EDATE(AB830,3),DATEVALUE('Procyflo 27TC'!E331))))),""))</f>
        <v/>
      </c>
      <c r="AM830" t="str">
        <f t="shared" ca="1" si="94"/>
        <v/>
      </c>
    </row>
    <row r="831" spans="27:39" x14ac:dyDescent="0.3">
      <c r="AA831" t="str">
        <f>IF(COUNTA('Procyflo 27TC'!B332,'Procyflo 27TC'!C332,'Procyflo 27TC'!D332)&gt;0,"27TC","")</f>
        <v/>
      </c>
      <c r="AB831" t="str">
        <f>IFERROR(IF(ISNUMBER('Procyflo 27TC'!B332),'Procyflo 27TC'!B332,DATEVALUE('Procyflo 27TC'!B332)),"")</f>
        <v/>
      </c>
      <c r="AC831" t="str">
        <f>IF(AA831="","",'Procyflo 27TC'!C332)</f>
        <v/>
      </c>
      <c r="AD831" t="str">
        <f>IF(AA831="","",IFERROR(1*'Procyflo 27TC'!D332,IFERROR(_xludf.NUMBERVALUE('Procyflo 27TC'!D332,".",","),IFERROR(_xludf.NUMBERVALUE('Procyflo 27TC'!D332,",","."),0))))</f>
        <v/>
      </c>
      <c r="AE831" t="str">
        <f>IF(AA831="","",'Procyflo 27TC'!N332)</f>
        <v/>
      </c>
      <c r="AF831">
        <f t="shared" si="89"/>
        <v>0</v>
      </c>
      <c r="AG831" t="str">
        <f t="shared" si="90"/>
        <v/>
      </c>
      <c r="AH831" t="str">
        <f t="shared" si="91"/>
        <v/>
      </c>
      <c r="AI831">
        <f t="shared" si="92"/>
        <v>0</v>
      </c>
      <c r="AJ831">
        <f t="shared" si="93"/>
        <v>0</v>
      </c>
      <c r="AK831">
        <v>0</v>
      </c>
      <c r="AL831" t="str">
        <f>IF(AA831="","",IFERROR(IF(ISNUMBER('Procyflo 27TC'!E332),'Procyflo 27TC'!E332,IF(ISNUMBER(SEARCH("12",'Procyflo 27TC'!E332)),EDATE(AB831,12),IF(ISNUMBER(SEARCH("6",'Procyflo 27TC'!E332)),EDATE(AB831,6),IF(ISNUMBER(SEARCH("3",'Procyflo 27TC'!E332)),EDATE(AB831,3),DATEVALUE('Procyflo 27TC'!E332))))),""))</f>
        <v/>
      </c>
      <c r="AM831" t="str">
        <f t="shared" ca="1" si="94"/>
        <v/>
      </c>
    </row>
    <row r="832" spans="27:39" x14ac:dyDescent="0.3">
      <c r="AA832" t="str">
        <f>IF(COUNTA('Procyflo 27TC'!B333,'Procyflo 27TC'!C333,'Procyflo 27TC'!D333)&gt;0,"27TC","")</f>
        <v/>
      </c>
      <c r="AB832" t="str">
        <f>IFERROR(IF(ISNUMBER('Procyflo 27TC'!B333),'Procyflo 27TC'!B333,DATEVALUE('Procyflo 27TC'!B333)),"")</f>
        <v/>
      </c>
      <c r="AC832" t="str">
        <f>IF(AA832="","",'Procyflo 27TC'!C333)</f>
        <v/>
      </c>
      <c r="AD832" t="str">
        <f>IF(AA832="","",IFERROR(1*'Procyflo 27TC'!D333,IFERROR(_xludf.NUMBERVALUE('Procyflo 27TC'!D333,".",","),IFERROR(_xludf.NUMBERVALUE('Procyflo 27TC'!D333,",","."),0))))</f>
        <v/>
      </c>
      <c r="AE832" t="str">
        <f>IF(AA832="","",'Procyflo 27TC'!N333)</f>
        <v/>
      </c>
      <c r="AF832">
        <f t="shared" si="89"/>
        <v>0</v>
      </c>
      <c r="AG832" t="str">
        <f t="shared" si="90"/>
        <v/>
      </c>
      <c r="AH832" t="str">
        <f t="shared" si="91"/>
        <v/>
      </c>
      <c r="AI832">
        <f t="shared" si="92"/>
        <v>0</v>
      </c>
      <c r="AJ832">
        <f t="shared" si="93"/>
        <v>0</v>
      </c>
      <c r="AK832">
        <v>0</v>
      </c>
      <c r="AL832" t="str">
        <f>IF(AA832="","",IFERROR(IF(ISNUMBER('Procyflo 27TC'!E333),'Procyflo 27TC'!E333,IF(ISNUMBER(SEARCH("12",'Procyflo 27TC'!E333)),EDATE(AB832,12),IF(ISNUMBER(SEARCH("6",'Procyflo 27TC'!E333)),EDATE(AB832,6),IF(ISNUMBER(SEARCH("3",'Procyflo 27TC'!E333)),EDATE(AB832,3),DATEVALUE('Procyflo 27TC'!E333))))),""))</f>
        <v/>
      </c>
      <c r="AM832" t="str">
        <f t="shared" ca="1" si="94"/>
        <v/>
      </c>
    </row>
    <row r="833" spans="27:39" x14ac:dyDescent="0.3">
      <c r="AA833" t="str">
        <f>IF(COUNTA('Procyflo 27TC'!B334,'Procyflo 27TC'!C334,'Procyflo 27TC'!D334)&gt;0,"27TC","")</f>
        <v/>
      </c>
      <c r="AB833" t="str">
        <f>IFERROR(IF(ISNUMBER('Procyflo 27TC'!B334),'Procyflo 27TC'!B334,DATEVALUE('Procyflo 27TC'!B334)),"")</f>
        <v/>
      </c>
      <c r="AC833" t="str">
        <f>IF(AA833="","",'Procyflo 27TC'!C334)</f>
        <v/>
      </c>
      <c r="AD833" t="str">
        <f>IF(AA833="","",IFERROR(1*'Procyflo 27TC'!D334,IFERROR(_xludf.NUMBERVALUE('Procyflo 27TC'!D334,".",","),IFERROR(_xludf.NUMBERVALUE('Procyflo 27TC'!D334,",","."),0))))</f>
        <v/>
      </c>
      <c r="AE833" t="str">
        <f>IF(AA833="","",'Procyflo 27TC'!N334)</f>
        <v/>
      </c>
      <c r="AF833">
        <f t="shared" si="89"/>
        <v>0</v>
      </c>
      <c r="AG833" t="str">
        <f t="shared" si="90"/>
        <v/>
      </c>
      <c r="AH833" t="str">
        <f t="shared" si="91"/>
        <v/>
      </c>
      <c r="AI833">
        <f t="shared" si="92"/>
        <v>0</v>
      </c>
      <c r="AJ833">
        <f t="shared" si="93"/>
        <v>0</v>
      </c>
      <c r="AK833">
        <v>0</v>
      </c>
      <c r="AL833" t="str">
        <f>IF(AA833="","",IFERROR(IF(ISNUMBER('Procyflo 27TC'!E334),'Procyflo 27TC'!E334,IF(ISNUMBER(SEARCH("12",'Procyflo 27TC'!E334)),EDATE(AB833,12),IF(ISNUMBER(SEARCH("6",'Procyflo 27TC'!E334)),EDATE(AB833,6),IF(ISNUMBER(SEARCH("3",'Procyflo 27TC'!E334)),EDATE(AB833,3),DATEVALUE('Procyflo 27TC'!E334))))),""))</f>
        <v/>
      </c>
      <c r="AM833" t="str">
        <f t="shared" ca="1" si="94"/>
        <v/>
      </c>
    </row>
    <row r="834" spans="27:39" x14ac:dyDescent="0.3">
      <c r="AA834" t="str">
        <f>IF(COUNTA('Procyflo 27TC'!B335,'Procyflo 27TC'!C335,'Procyflo 27TC'!D335)&gt;0,"27TC","")</f>
        <v/>
      </c>
      <c r="AB834" t="str">
        <f>IFERROR(IF(ISNUMBER('Procyflo 27TC'!B335),'Procyflo 27TC'!B335,DATEVALUE('Procyflo 27TC'!B335)),"")</f>
        <v/>
      </c>
      <c r="AC834" t="str">
        <f>IF(AA834="","",'Procyflo 27TC'!C335)</f>
        <v/>
      </c>
      <c r="AD834" t="str">
        <f>IF(AA834="","",IFERROR(1*'Procyflo 27TC'!D335,IFERROR(_xludf.NUMBERVALUE('Procyflo 27TC'!D335,".",","),IFERROR(_xludf.NUMBERVALUE('Procyflo 27TC'!D335,",","."),0))))</f>
        <v/>
      </c>
      <c r="AE834" t="str">
        <f>IF(AA834="","",'Procyflo 27TC'!N335)</f>
        <v/>
      </c>
      <c r="AF834">
        <f t="shared" ref="AF834:AF897" si="95">IF(AA834="",0,--AND(ISNUMBER(SEARCH("aprov",AE834)),NOT(ISNUMBER(SEARCH("reprov",AE834)))))</f>
        <v>0</v>
      </c>
      <c r="AG834" t="str">
        <f t="shared" ref="AG834:AG897" si="96">IF(AB834="","",YEAR(AB834))</f>
        <v/>
      </c>
      <c r="AH834" t="str">
        <f t="shared" ref="AH834:AH897" si="97">IF(AB834="","",MONTH(AB834))</f>
        <v/>
      </c>
      <c r="AI834">
        <f t="shared" ref="AI834:AI897" si="98">IF(AB834="",0,AB834+ROW()/1000000)</f>
        <v>0</v>
      </c>
      <c r="AJ834">
        <f t="shared" ref="AJ834:AJ897" si="99">--(AA834&lt;&gt;"")</f>
        <v>0</v>
      </c>
      <c r="AK834">
        <v>0</v>
      </c>
      <c r="AL834" t="str">
        <f>IF(AA834="","",IFERROR(IF(ISNUMBER('Procyflo 27TC'!E335),'Procyflo 27TC'!E335,IF(ISNUMBER(SEARCH("12",'Procyflo 27TC'!E335)),EDATE(AB834,12),IF(ISNUMBER(SEARCH("6",'Procyflo 27TC'!E335)),EDATE(AB834,6),IF(ISNUMBER(SEARCH("3",'Procyflo 27TC'!E335)),EDATE(AB834,3),DATEVALUE('Procyflo 27TC'!E335))))),""))</f>
        <v/>
      </c>
      <c r="AM834" t="str">
        <f t="shared" ref="AM834:AM897" ca="1" si="100">IF(AND(AJ834=1,AL834&lt;&gt;"",AL834&gt;=TODAY(),AG834=$W$3),AL834+ROW()/1000000,"")</f>
        <v/>
      </c>
    </row>
    <row r="835" spans="27:39" x14ac:dyDescent="0.3">
      <c r="AA835" t="str">
        <f>IF(COUNTA('Procyflo 27TC'!B336,'Procyflo 27TC'!C336,'Procyflo 27TC'!D336)&gt;0,"27TC","")</f>
        <v/>
      </c>
      <c r="AB835" t="str">
        <f>IFERROR(IF(ISNUMBER('Procyflo 27TC'!B336),'Procyflo 27TC'!B336,DATEVALUE('Procyflo 27TC'!B336)),"")</f>
        <v/>
      </c>
      <c r="AC835" t="str">
        <f>IF(AA835="","",'Procyflo 27TC'!C336)</f>
        <v/>
      </c>
      <c r="AD835" t="str">
        <f>IF(AA835="","",IFERROR(1*'Procyflo 27TC'!D336,IFERROR(_xludf.NUMBERVALUE('Procyflo 27TC'!D336,".",","),IFERROR(_xludf.NUMBERVALUE('Procyflo 27TC'!D336,",","."),0))))</f>
        <v/>
      </c>
      <c r="AE835" t="str">
        <f>IF(AA835="","",'Procyflo 27TC'!N336)</f>
        <v/>
      </c>
      <c r="AF835">
        <f t="shared" si="95"/>
        <v>0</v>
      </c>
      <c r="AG835" t="str">
        <f t="shared" si="96"/>
        <v/>
      </c>
      <c r="AH835" t="str">
        <f t="shared" si="97"/>
        <v/>
      </c>
      <c r="AI835">
        <f t="shared" si="98"/>
        <v>0</v>
      </c>
      <c r="AJ835">
        <f t="shared" si="99"/>
        <v>0</v>
      </c>
      <c r="AK835">
        <v>0</v>
      </c>
      <c r="AL835" t="str">
        <f>IF(AA835="","",IFERROR(IF(ISNUMBER('Procyflo 27TC'!E336),'Procyflo 27TC'!E336,IF(ISNUMBER(SEARCH("12",'Procyflo 27TC'!E336)),EDATE(AB835,12),IF(ISNUMBER(SEARCH("6",'Procyflo 27TC'!E336)),EDATE(AB835,6),IF(ISNUMBER(SEARCH("3",'Procyflo 27TC'!E336)),EDATE(AB835,3),DATEVALUE('Procyflo 27TC'!E336))))),""))</f>
        <v/>
      </c>
      <c r="AM835" t="str">
        <f t="shared" ca="1" si="100"/>
        <v/>
      </c>
    </row>
    <row r="836" spans="27:39" x14ac:dyDescent="0.3">
      <c r="AA836" t="str">
        <f>IF(COUNTA('Procyflo 27TC'!B337,'Procyflo 27TC'!C337,'Procyflo 27TC'!D337)&gt;0,"27TC","")</f>
        <v/>
      </c>
      <c r="AB836" t="str">
        <f>IFERROR(IF(ISNUMBER('Procyflo 27TC'!B337),'Procyflo 27TC'!B337,DATEVALUE('Procyflo 27TC'!B337)),"")</f>
        <v/>
      </c>
      <c r="AC836" t="str">
        <f>IF(AA836="","",'Procyflo 27TC'!C337)</f>
        <v/>
      </c>
      <c r="AD836" t="str">
        <f>IF(AA836="","",IFERROR(1*'Procyflo 27TC'!D337,IFERROR(_xludf.NUMBERVALUE('Procyflo 27TC'!D337,".",","),IFERROR(_xludf.NUMBERVALUE('Procyflo 27TC'!D337,",","."),0))))</f>
        <v/>
      </c>
      <c r="AE836" t="str">
        <f>IF(AA836="","",'Procyflo 27TC'!N337)</f>
        <v/>
      </c>
      <c r="AF836">
        <f t="shared" si="95"/>
        <v>0</v>
      </c>
      <c r="AG836" t="str">
        <f t="shared" si="96"/>
        <v/>
      </c>
      <c r="AH836" t="str">
        <f t="shared" si="97"/>
        <v/>
      </c>
      <c r="AI836">
        <f t="shared" si="98"/>
        <v>0</v>
      </c>
      <c r="AJ836">
        <f t="shared" si="99"/>
        <v>0</v>
      </c>
      <c r="AK836">
        <v>0</v>
      </c>
      <c r="AL836" t="str">
        <f>IF(AA836="","",IFERROR(IF(ISNUMBER('Procyflo 27TC'!E337),'Procyflo 27TC'!E337,IF(ISNUMBER(SEARCH("12",'Procyflo 27TC'!E337)),EDATE(AB836,12),IF(ISNUMBER(SEARCH("6",'Procyflo 27TC'!E337)),EDATE(AB836,6),IF(ISNUMBER(SEARCH("3",'Procyflo 27TC'!E337)),EDATE(AB836,3),DATEVALUE('Procyflo 27TC'!E337))))),""))</f>
        <v/>
      </c>
      <c r="AM836" t="str">
        <f t="shared" ca="1" si="100"/>
        <v/>
      </c>
    </row>
    <row r="837" spans="27:39" x14ac:dyDescent="0.3">
      <c r="AA837" t="str">
        <f>IF(COUNTA('Procyflo 27TC'!B338,'Procyflo 27TC'!C338,'Procyflo 27TC'!D338)&gt;0,"27TC","")</f>
        <v/>
      </c>
      <c r="AB837" t="str">
        <f>IFERROR(IF(ISNUMBER('Procyflo 27TC'!B338),'Procyflo 27TC'!B338,DATEVALUE('Procyflo 27TC'!B338)),"")</f>
        <v/>
      </c>
      <c r="AC837" t="str">
        <f>IF(AA837="","",'Procyflo 27TC'!C338)</f>
        <v/>
      </c>
      <c r="AD837" t="str">
        <f>IF(AA837="","",IFERROR(1*'Procyflo 27TC'!D338,IFERROR(_xludf.NUMBERVALUE('Procyflo 27TC'!D338,".",","),IFERROR(_xludf.NUMBERVALUE('Procyflo 27TC'!D338,",","."),0))))</f>
        <v/>
      </c>
      <c r="AE837" t="str">
        <f>IF(AA837="","",'Procyflo 27TC'!N338)</f>
        <v/>
      </c>
      <c r="AF837">
        <f t="shared" si="95"/>
        <v>0</v>
      </c>
      <c r="AG837" t="str">
        <f t="shared" si="96"/>
        <v/>
      </c>
      <c r="AH837" t="str">
        <f t="shared" si="97"/>
        <v/>
      </c>
      <c r="AI837">
        <f t="shared" si="98"/>
        <v>0</v>
      </c>
      <c r="AJ837">
        <f t="shared" si="99"/>
        <v>0</v>
      </c>
      <c r="AK837">
        <v>0</v>
      </c>
      <c r="AL837" t="str">
        <f>IF(AA837="","",IFERROR(IF(ISNUMBER('Procyflo 27TC'!E338),'Procyflo 27TC'!E338,IF(ISNUMBER(SEARCH("12",'Procyflo 27TC'!E338)),EDATE(AB837,12),IF(ISNUMBER(SEARCH("6",'Procyflo 27TC'!E338)),EDATE(AB837,6),IF(ISNUMBER(SEARCH("3",'Procyflo 27TC'!E338)),EDATE(AB837,3),DATEVALUE('Procyflo 27TC'!E338))))),""))</f>
        <v/>
      </c>
      <c r="AM837" t="str">
        <f t="shared" ca="1" si="100"/>
        <v/>
      </c>
    </row>
    <row r="838" spans="27:39" x14ac:dyDescent="0.3">
      <c r="AA838" t="str">
        <f>IF(COUNTA('Procyflo 27TC'!B339,'Procyflo 27TC'!C339,'Procyflo 27TC'!D339)&gt;0,"27TC","")</f>
        <v/>
      </c>
      <c r="AB838" t="str">
        <f>IFERROR(IF(ISNUMBER('Procyflo 27TC'!B339),'Procyflo 27TC'!B339,DATEVALUE('Procyflo 27TC'!B339)),"")</f>
        <v/>
      </c>
      <c r="AC838" t="str">
        <f>IF(AA838="","",'Procyflo 27TC'!C339)</f>
        <v/>
      </c>
      <c r="AD838" t="str">
        <f>IF(AA838="","",IFERROR(1*'Procyflo 27TC'!D339,IFERROR(_xludf.NUMBERVALUE('Procyflo 27TC'!D339,".",","),IFERROR(_xludf.NUMBERVALUE('Procyflo 27TC'!D339,",","."),0))))</f>
        <v/>
      </c>
      <c r="AE838" t="str">
        <f>IF(AA838="","",'Procyflo 27TC'!N339)</f>
        <v/>
      </c>
      <c r="AF838">
        <f t="shared" si="95"/>
        <v>0</v>
      </c>
      <c r="AG838" t="str">
        <f t="shared" si="96"/>
        <v/>
      </c>
      <c r="AH838" t="str">
        <f t="shared" si="97"/>
        <v/>
      </c>
      <c r="AI838">
        <f t="shared" si="98"/>
        <v>0</v>
      </c>
      <c r="AJ838">
        <f t="shared" si="99"/>
        <v>0</v>
      </c>
      <c r="AK838">
        <v>0</v>
      </c>
      <c r="AL838" t="str">
        <f>IF(AA838="","",IFERROR(IF(ISNUMBER('Procyflo 27TC'!E339),'Procyflo 27TC'!E339,IF(ISNUMBER(SEARCH("12",'Procyflo 27TC'!E339)),EDATE(AB838,12),IF(ISNUMBER(SEARCH("6",'Procyflo 27TC'!E339)),EDATE(AB838,6),IF(ISNUMBER(SEARCH("3",'Procyflo 27TC'!E339)),EDATE(AB838,3),DATEVALUE('Procyflo 27TC'!E339))))),""))</f>
        <v/>
      </c>
      <c r="AM838" t="str">
        <f t="shared" ca="1" si="100"/>
        <v/>
      </c>
    </row>
    <row r="839" spans="27:39" x14ac:dyDescent="0.3">
      <c r="AA839" t="str">
        <f>IF(COUNTA('Procyflo 27TC'!B340,'Procyflo 27TC'!C340,'Procyflo 27TC'!D340)&gt;0,"27TC","")</f>
        <v/>
      </c>
      <c r="AB839" t="str">
        <f>IFERROR(IF(ISNUMBER('Procyflo 27TC'!B340),'Procyflo 27TC'!B340,DATEVALUE('Procyflo 27TC'!B340)),"")</f>
        <v/>
      </c>
      <c r="AC839" t="str">
        <f>IF(AA839="","",'Procyflo 27TC'!C340)</f>
        <v/>
      </c>
      <c r="AD839" t="str">
        <f>IF(AA839="","",IFERROR(1*'Procyflo 27TC'!D340,IFERROR(_xludf.NUMBERVALUE('Procyflo 27TC'!D340,".",","),IFERROR(_xludf.NUMBERVALUE('Procyflo 27TC'!D340,",","."),0))))</f>
        <v/>
      </c>
      <c r="AE839" t="str">
        <f>IF(AA839="","",'Procyflo 27TC'!N340)</f>
        <v/>
      </c>
      <c r="AF839">
        <f t="shared" si="95"/>
        <v>0</v>
      </c>
      <c r="AG839" t="str">
        <f t="shared" si="96"/>
        <v/>
      </c>
      <c r="AH839" t="str">
        <f t="shared" si="97"/>
        <v/>
      </c>
      <c r="AI839">
        <f t="shared" si="98"/>
        <v>0</v>
      </c>
      <c r="AJ839">
        <f t="shared" si="99"/>
        <v>0</v>
      </c>
      <c r="AK839">
        <v>0</v>
      </c>
      <c r="AL839" t="str">
        <f>IF(AA839="","",IFERROR(IF(ISNUMBER('Procyflo 27TC'!E340),'Procyflo 27TC'!E340,IF(ISNUMBER(SEARCH("12",'Procyflo 27TC'!E340)),EDATE(AB839,12),IF(ISNUMBER(SEARCH("6",'Procyflo 27TC'!E340)),EDATE(AB839,6),IF(ISNUMBER(SEARCH("3",'Procyflo 27TC'!E340)),EDATE(AB839,3),DATEVALUE('Procyflo 27TC'!E340))))),""))</f>
        <v/>
      </c>
      <c r="AM839" t="str">
        <f t="shared" ca="1" si="100"/>
        <v/>
      </c>
    </row>
    <row r="840" spans="27:39" x14ac:dyDescent="0.3">
      <c r="AA840" t="str">
        <f>IF(COUNTA('Procyflo 27TC'!B341,'Procyflo 27TC'!C341,'Procyflo 27TC'!D341)&gt;0,"27TC","")</f>
        <v/>
      </c>
      <c r="AB840" t="str">
        <f>IFERROR(IF(ISNUMBER('Procyflo 27TC'!B341),'Procyflo 27TC'!B341,DATEVALUE('Procyflo 27TC'!B341)),"")</f>
        <v/>
      </c>
      <c r="AC840" t="str">
        <f>IF(AA840="","",'Procyflo 27TC'!C341)</f>
        <v/>
      </c>
      <c r="AD840" t="str">
        <f>IF(AA840="","",IFERROR(1*'Procyflo 27TC'!D341,IFERROR(_xludf.NUMBERVALUE('Procyflo 27TC'!D341,".",","),IFERROR(_xludf.NUMBERVALUE('Procyflo 27TC'!D341,",","."),0))))</f>
        <v/>
      </c>
      <c r="AE840" t="str">
        <f>IF(AA840="","",'Procyflo 27TC'!N341)</f>
        <v/>
      </c>
      <c r="AF840">
        <f t="shared" si="95"/>
        <v>0</v>
      </c>
      <c r="AG840" t="str">
        <f t="shared" si="96"/>
        <v/>
      </c>
      <c r="AH840" t="str">
        <f t="shared" si="97"/>
        <v/>
      </c>
      <c r="AI840">
        <f t="shared" si="98"/>
        <v>0</v>
      </c>
      <c r="AJ840">
        <f t="shared" si="99"/>
        <v>0</v>
      </c>
      <c r="AK840">
        <v>0</v>
      </c>
      <c r="AL840" t="str">
        <f>IF(AA840="","",IFERROR(IF(ISNUMBER('Procyflo 27TC'!E341),'Procyflo 27TC'!E341,IF(ISNUMBER(SEARCH("12",'Procyflo 27TC'!E341)),EDATE(AB840,12),IF(ISNUMBER(SEARCH("6",'Procyflo 27TC'!E341)),EDATE(AB840,6),IF(ISNUMBER(SEARCH("3",'Procyflo 27TC'!E341)),EDATE(AB840,3),DATEVALUE('Procyflo 27TC'!E341))))),""))</f>
        <v/>
      </c>
      <c r="AM840" t="str">
        <f t="shared" ca="1" si="100"/>
        <v/>
      </c>
    </row>
    <row r="841" spans="27:39" x14ac:dyDescent="0.3">
      <c r="AA841" t="str">
        <f>IF(COUNTA('Procyflo 27TC'!B342,'Procyflo 27TC'!C342,'Procyflo 27TC'!D342)&gt;0,"27TC","")</f>
        <v/>
      </c>
      <c r="AB841" t="str">
        <f>IFERROR(IF(ISNUMBER('Procyflo 27TC'!B342),'Procyflo 27TC'!B342,DATEVALUE('Procyflo 27TC'!B342)),"")</f>
        <v/>
      </c>
      <c r="AC841" t="str">
        <f>IF(AA841="","",'Procyflo 27TC'!C342)</f>
        <v/>
      </c>
      <c r="AD841" t="str">
        <f>IF(AA841="","",IFERROR(1*'Procyflo 27TC'!D342,IFERROR(_xludf.NUMBERVALUE('Procyflo 27TC'!D342,".",","),IFERROR(_xludf.NUMBERVALUE('Procyflo 27TC'!D342,",","."),0))))</f>
        <v/>
      </c>
      <c r="AE841" t="str">
        <f>IF(AA841="","",'Procyflo 27TC'!N342)</f>
        <v/>
      </c>
      <c r="AF841">
        <f t="shared" si="95"/>
        <v>0</v>
      </c>
      <c r="AG841" t="str">
        <f t="shared" si="96"/>
        <v/>
      </c>
      <c r="AH841" t="str">
        <f t="shared" si="97"/>
        <v/>
      </c>
      <c r="AI841">
        <f t="shared" si="98"/>
        <v>0</v>
      </c>
      <c r="AJ841">
        <f t="shared" si="99"/>
        <v>0</v>
      </c>
      <c r="AK841">
        <v>0</v>
      </c>
      <c r="AL841" t="str">
        <f>IF(AA841="","",IFERROR(IF(ISNUMBER('Procyflo 27TC'!E342),'Procyflo 27TC'!E342,IF(ISNUMBER(SEARCH("12",'Procyflo 27TC'!E342)),EDATE(AB841,12),IF(ISNUMBER(SEARCH("6",'Procyflo 27TC'!E342)),EDATE(AB841,6),IF(ISNUMBER(SEARCH("3",'Procyflo 27TC'!E342)),EDATE(AB841,3),DATEVALUE('Procyflo 27TC'!E342))))),""))</f>
        <v/>
      </c>
      <c r="AM841" t="str">
        <f t="shared" ca="1" si="100"/>
        <v/>
      </c>
    </row>
    <row r="842" spans="27:39" x14ac:dyDescent="0.3">
      <c r="AA842" t="str">
        <f>IF(COUNTA('Procyflo 27TC'!B343,'Procyflo 27TC'!C343,'Procyflo 27TC'!D343)&gt;0,"27TC","")</f>
        <v/>
      </c>
      <c r="AB842" t="str">
        <f>IFERROR(IF(ISNUMBER('Procyflo 27TC'!B343),'Procyflo 27TC'!B343,DATEVALUE('Procyflo 27TC'!B343)),"")</f>
        <v/>
      </c>
      <c r="AC842" t="str">
        <f>IF(AA842="","",'Procyflo 27TC'!C343)</f>
        <v/>
      </c>
      <c r="AD842" t="str">
        <f>IF(AA842="","",IFERROR(1*'Procyflo 27TC'!D343,IFERROR(_xludf.NUMBERVALUE('Procyflo 27TC'!D343,".",","),IFERROR(_xludf.NUMBERVALUE('Procyflo 27TC'!D343,",","."),0))))</f>
        <v/>
      </c>
      <c r="AE842" t="str">
        <f>IF(AA842="","",'Procyflo 27TC'!N343)</f>
        <v/>
      </c>
      <c r="AF842">
        <f t="shared" si="95"/>
        <v>0</v>
      </c>
      <c r="AG842" t="str">
        <f t="shared" si="96"/>
        <v/>
      </c>
      <c r="AH842" t="str">
        <f t="shared" si="97"/>
        <v/>
      </c>
      <c r="AI842">
        <f t="shared" si="98"/>
        <v>0</v>
      </c>
      <c r="AJ842">
        <f t="shared" si="99"/>
        <v>0</v>
      </c>
      <c r="AK842">
        <v>0</v>
      </c>
      <c r="AL842" t="str">
        <f>IF(AA842="","",IFERROR(IF(ISNUMBER('Procyflo 27TC'!E343),'Procyflo 27TC'!E343,IF(ISNUMBER(SEARCH("12",'Procyflo 27TC'!E343)),EDATE(AB842,12),IF(ISNUMBER(SEARCH("6",'Procyflo 27TC'!E343)),EDATE(AB842,6),IF(ISNUMBER(SEARCH("3",'Procyflo 27TC'!E343)),EDATE(AB842,3),DATEVALUE('Procyflo 27TC'!E343))))),""))</f>
        <v/>
      </c>
      <c r="AM842" t="str">
        <f t="shared" ca="1" si="100"/>
        <v/>
      </c>
    </row>
    <row r="843" spans="27:39" x14ac:dyDescent="0.3">
      <c r="AA843" t="str">
        <f>IF(COUNTA('Procyflo 27TC'!B344,'Procyflo 27TC'!C344,'Procyflo 27TC'!D344)&gt;0,"27TC","")</f>
        <v/>
      </c>
      <c r="AB843" t="str">
        <f>IFERROR(IF(ISNUMBER('Procyflo 27TC'!B344),'Procyflo 27TC'!B344,DATEVALUE('Procyflo 27TC'!B344)),"")</f>
        <v/>
      </c>
      <c r="AC843" t="str">
        <f>IF(AA843="","",'Procyflo 27TC'!C344)</f>
        <v/>
      </c>
      <c r="AD843" t="str">
        <f>IF(AA843="","",IFERROR(1*'Procyflo 27TC'!D344,IFERROR(_xludf.NUMBERVALUE('Procyflo 27TC'!D344,".",","),IFERROR(_xludf.NUMBERVALUE('Procyflo 27TC'!D344,",","."),0))))</f>
        <v/>
      </c>
      <c r="AE843" t="str">
        <f>IF(AA843="","",'Procyflo 27TC'!N344)</f>
        <v/>
      </c>
      <c r="AF843">
        <f t="shared" si="95"/>
        <v>0</v>
      </c>
      <c r="AG843" t="str">
        <f t="shared" si="96"/>
        <v/>
      </c>
      <c r="AH843" t="str">
        <f t="shared" si="97"/>
        <v/>
      </c>
      <c r="AI843">
        <f t="shared" si="98"/>
        <v>0</v>
      </c>
      <c r="AJ843">
        <f t="shared" si="99"/>
        <v>0</v>
      </c>
      <c r="AK843">
        <v>0</v>
      </c>
      <c r="AL843" t="str">
        <f>IF(AA843="","",IFERROR(IF(ISNUMBER('Procyflo 27TC'!E344),'Procyflo 27TC'!E344,IF(ISNUMBER(SEARCH("12",'Procyflo 27TC'!E344)),EDATE(AB843,12),IF(ISNUMBER(SEARCH("6",'Procyflo 27TC'!E344)),EDATE(AB843,6),IF(ISNUMBER(SEARCH("3",'Procyflo 27TC'!E344)),EDATE(AB843,3),DATEVALUE('Procyflo 27TC'!E344))))),""))</f>
        <v/>
      </c>
      <c r="AM843" t="str">
        <f t="shared" ca="1" si="100"/>
        <v/>
      </c>
    </row>
    <row r="844" spans="27:39" x14ac:dyDescent="0.3">
      <c r="AA844" t="str">
        <f>IF(COUNTA('Procyflo 27TC'!B345,'Procyflo 27TC'!C345,'Procyflo 27TC'!D345)&gt;0,"27TC","")</f>
        <v/>
      </c>
      <c r="AB844" t="str">
        <f>IFERROR(IF(ISNUMBER('Procyflo 27TC'!B345),'Procyflo 27TC'!B345,DATEVALUE('Procyflo 27TC'!B345)),"")</f>
        <v/>
      </c>
      <c r="AC844" t="str">
        <f>IF(AA844="","",'Procyflo 27TC'!C345)</f>
        <v/>
      </c>
      <c r="AD844" t="str">
        <f>IF(AA844="","",IFERROR(1*'Procyflo 27TC'!D345,IFERROR(_xludf.NUMBERVALUE('Procyflo 27TC'!D345,".",","),IFERROR(_xludf.NUMBERVALUE('Procyflo 27TC'!D345,",","."),0))))</f>
        <v/>
      </c>
      <c r="AE844" t="str">
        <f>IF(AA844="","",'Procyflo 27TC'!N345)</f>
        <v/>
      </c>
      <c r="AF844">
        <f t="shared" si="95"/>
        <v>0</v>
      </c>
      <c r="AG844" t="str">
        <f t="shared" si="96"/>
        <v/>
      </c>
      <c r="AH844" t="str">
        <f t="shared" si="97"/>
        <v/>
      </c>
      <c r="AI844">
        <f t="shared" si="98"/>
        <v>0</v>
      </c>
      <c r="AJ844">
        <f t="shared" si="99"/>
        <v>0</v>
      </c>
      <c r="AK844">
        <v>0</v>
      </c>
      <c r="AL844" t="str">
        <f>IF(AA844="","",IFERROR(IF(ISNUMBER('Procyflo 27TC'!E345),'Procyflo 27TC'!E345,IF(ISNUMBER(SEARCH("12",'Procyflo 27TC'!E345)),EDATE(AB844,12),IF(ISNUMBER(SEARCH("6",'Procyflo 27TC'!E345)),EDATE(AB844,6),IF(ISNUMBER(SEARCH("3",'Procyflo 27TC'!E345)),EDATE(AB844,3),DATEVALUE('Procyflo 27TC'!E345))))),""))</f>
        <v/>
      </c>
      <c r="AM844" t="str">
        <f t="shared" ca="1" si="100"/>
        <v/>
      </c>
    </row>
    <row r="845" spans="27:39" x14ac:dyDescent="0.3">
      <c r="AA845" t="str">
        <f>IF(COUNTA('Procyflo 27TC'!B346,'Procyflo 27TC'!C346,'Procyflo 27TC'!D346)&gt;0,"27TC","")</f>
        <v/>
      </c>
      <c r="AB845" t="str">
        <f>IFERROR(IF(ISNUMBER('Procyflo 27TC'!B346),'Procyflo 27TC'!B346,DATEVALUE('Procyflo 27TC'!B346)),"")</f>
        <v/>
      </c>
      <c r="AC845" t="str">
        <f>IF(AA845="","",'Procyflo 27TC'!C346)</f>
        <v/>
      </c>
      <c r="AD845" t="str">
        <f>IF(AA845="","",IFERROR(1*'Procyflo 27TC'!D346,IFERROR(_xludf.NUMBERVALUE('Procyflo 27TC'!D346,".",","),IFERROR(_xludf.NUMBERVALUE('Procyflo 27TC'!D346,",","."),0))))</f>
        <v/>
      </c>
      <c r="AE845" t="str">
        <f>IF(AA845="","",'Procyflo 27TC'!N346)</f>
        <v/>
      </c>
      <c r="AF845">
        <f t="shared" si="95"/>
        <v>0</v>
      </c>
      <c r="AG845" t="str">
        <f t="shared" si="96"/>
        <v/>
      </c>
      <c r="AH845" t="str">
        <f t="shared" si="97"/>
        <v/>
      </c>
      <c r="AI845">
        <f t="shared" si="98"/>
        <v>0</v>
      </c>
      <c r="AJ845">
        <f t="shared" si="99"/>
        <v>0</v>
      </c>
      <c r="AK845">
        <v>0</v>
      </c>
      <c r="AL845" t="str">
        <f>IF(AA845="","",IFERROR(IF(ISNUMBER('Procyflo 27TC'!E346),'Procyflo 27TC'!E346,IF(ISNUMBER(SEARCH("12",'Procyflo 27TC'!E346)),EDATE(AB845,12),IF(ISNUMBER(SEARCH("6",'Procyflo 27TC'!E346)),EDATE(AB845,6),IF(ISNUMBER(SEARCH("3",'Procyflo 27TC'!E346)),EDATE(AB845,3),DATEVALUE('Procyflo 27TC'!E346))))),""))</f>
        <v/>
      </c>
      <c r="AM845" t="str">
        <f t="shared" ca="1" si="100"/>
        <v/>
      </c>
    </row>
    <row r="846" spans="27:39" x14ac:dyDescent="0.3">
      <c r="AA846" t="str">
        <f>IF(COUNTA('Procyflo 27TC'!B347,'Procyflo 27TC'!C347,'Procyflo 27TC'!D347)&gt;0,"27TC","")</f>
        <v/>
      </c>
      <c r="AB846" t="str">
        <f>IFERROR(IF(ISNUMBER('Procyflo 27TC'!B347),'Procyflo 27TC'!B347,DATEVALUE('Procyflo 27TC'!B347)),"")</f>
        <v/>
      </c>
      <c r="AC846" t="str">
        <f>IF(AA846="","",'Procyflo 27TC'!C347)</f>
        <v/>
      </c>
      <c r="AD846" t="str">
        <f>IF(AA846="","",IFERROR(1*'Procyflo 27TC'!D347,IFERROR(_xludf.NUMBERVALUE('Procyflo 27TC'!D347,".",","),IFERROR(_xludf.NUMBERVALUE('Procyflo 27TC'!D347,",","."),0))))</f>
        <v/>
      </c>
      <c r="AE846" t="str">
        <f>IF(AA846="","",'Procyflo 27TC'!N347)</f>
        <v/>
      </c>
      <c r="AF846">
        <f t="shared" si="95"/>
        <v>0</v>
      </c>
      <c r="AG846" t="str">
        <f t="shared" si="96"/>
        <v/>
      </c>
      <c r="AH846" t="str">
        <f t="shared" si="97"/>
        <v/>
      </c>
      <c r="AI846">
        <f t="shared" si="98"/>
        <v>0</v>
      </c>
      <c r="AJ846">
        <f t="shared" si="99"/>
        <v>0</v>
      </c>
      <c r="AK846">
        <v>0</v>
      </c>
      <c r="AL846" t="str">
        <f>IF(AA846="","",IFERROR(IF(ISNUMBER('Procyflo 27TC'!E347),'Procyflo 27TC'!E347,IF(ISNUMBER(SEARCH("12",'Procyflo 27TC'!E347)),EDATE(AB846,12),IF(ISNUMBER(SEARCH("6",'Procyflo 27TC'!E347)),EDATE(AB846,6),IF(ISNUMBER(SEARCH("3",'Procyflo 27TC'!E347)),EDATE(AB846,3),DATEVALUE('Procyflo 27TC'!E347))))),""))</f>
        <v/>
      </c>
      <c r="AM846" t="str">
        <f t="shared" ca="1" si="100"/>
        <v/>
      </c>
    </row>
    <row r="847" spans="27:39" x14ac:dyDescent="0.3">
      <c r="AA847" t="str">
        <f>IF(COUNTA('Procyflo 27TC'!B348,'Procyflo 27TC'!C348,'Procyflo 27TC'!D348)&gt;0,"27TC","")</f>
        <v/>
      </c>
      <c r="AB847" t="str">
        <f>IFERROR(IF(ISNUMBER('Procyflo 27TC'!B348),'Procyflo 27TC'!B348,DATEVALUE('Procyflo 27TC'!B348)),"")</f>
        <v/>
      </c>
      <c r="AC847" t="str">
        <f>IF(AA847="","",'Procyflo 27TC'!C348)</f>
        <v/>
      </c>
      <c r="AD847" t="str">
        <f>IF(AA847="","",IFERROR(1*'Procyflo 27TC'!D348,IFERROR(_xludf.NUMBERVALUE('Procyflo 27TC'!D348,".",","),IFERROR(_xludf.NUMBERVALUE('Procyflo 27TC'!D348,",","."),0))))</f>
        <v/>
      </c>
      <c r="AE847" t="str">
        <f>IF(AA847="","",'Procyflo 27TC'!N348)</f>
        <v/>
      </c>
      <c r="AF847">
        <f t="shared" si="95"/>
        <v>0</v>
      </c>
      <c r="AG847" t="str">
        <f t="shared" si="96"/>
        <v/>
      </c>
      <c r="AH847" t="str">
        <f t="shared" si="97"/>
        <v/>
      </c>
      <c r="AI847">
        <f t="shared" si="98"/>
        <v>0</v>
      </c>
      <c r="AJ847">
        <f t="shared" si="99"/>
        <v>0</v>
      </c>
      <c r="AK847">
        <v>0</v>
      </c>
      <c r="AL847" t="str">
        <f>IF(AA847="","",IFERROR(IF(ISNUMBER('Procyflo 27TC'!E348),'Procyflo 27TC'!E348,IF(ISNUMBER(SEARCH("12",'Procyflo 27TC'!E348)),EDATE(AB847,12),IF(ISNUMBER(SEARCH("6",'Procyflo 27TC'!E348)),EDATE(AB847,6),IF(ISNUMBER(SEARCH("3",'Procyflo 27TC'!E348)),EDATE(AB847,3),DATEVALUE('Procyflo 27TC'!E348))))),""))</f>
        <v/>
      </c>
      <c r="AM847" t="str">
        <f t="shared" ca="1" si="100"/>
        <v/>
      </c>
    </row>
    <row r="848" spans="27:39" x14ac:dyDescent="0.3">
      <c r="AA848" t="str">
        <f>IF(COUNTA('Procyflo 27TC'!B349,'Procyflo 27TC'!C349,'Procyflo 27TC'!D349)&gt;0,"27TC","")</f>
        <v/>
      </c>
      <c r="AB848" t="str">
        <f>IFERROR(IF(ISNUMBER('Procyflo 27TC'!B349),'Procyflo 27TC'!B349,DATEVALUE('Procyflo 27TC'!B349)),"")</f>
        <v/>
      </c>
      <c r="AC848" t="str">
        <f>IF(AA848="","",'Procyflo 27TC'!C349)</f>
        <v/>
      </c>
      <c r="AD848" t="str">
        <f>IF(AA848="","",IFERROR(1*'Procyflo 27TC'!D349,IFERROR(_xludf.NUMBERVALUE('Procyflo 27TC'!D349,".",","),IFERROR(_xludf.NUMBERVALUE('Procyflo 27TC'!D349,",","."),0))))</f>
        <v/>
      </c>
      <c r="AE848" t="str">
        <f>IF(AA848="","",'Procyflo 27TC'!N349)</f>
        <v/>
      </c>
      <c r="AF848">
        <f t="shared" si="95"/>
        <v>0</v>
      </c>
      <c r="AG848" t="str">
        <f t="shared" si="96"/>
        <v/>
      </c>
      <c r="AH848" t="str">
        <f t="shared" si="97"/>
        <v/>
      </c>
      <c r="AI848">
        <f t="shared" si="98"/>
        <v>0</v>
      </c>
      <c r="AJ848">
        <f t="shared" si="99"/>
        <v>0</v>
      </c>
      <c r="AK848">
        <v>0</v>
      </c>
      <c r="AL848" t="str">
        <f>IF(AA848="","",IFERROR(IF(ISNUMBER('Procyflo 27TC'!E349),'Procyflo 27TC'!E349,IF(ISNUMBER(SEARCH("12",'Procyflo 27TC'!E349)),EDATE(AB848,12),IF(ISNUMBER(SEARCH("6",'Procyflo 27TC'!E349)),EDATE(AB848,6),IF(ISNUMBER(SEARCH("3",'Procyflo 27TC'!E349)),EDATE(AB848,3),DATEVALUE('Procyflo 27TC'!E349))))),""))</f>
        <v/>
      </c>
      <c r="AM848" t="str">
        <f t="shared" ca="1" si="100"/>
        <v/>
      </c>
    </row>
    <row r="849" spans="27:39" x14ac:dyDescent="0.3">
      <c r="AA849" t="str">
        <f>IF(COUNTA('Procyflo 27TC'!B350,'Procyflo 27TC'!C350,'Procyflo 27TC'!D350)&gt;0,"27TC","")</f>
        <v/>
      </c>
      <c r="AB849" t="str">
        <f>IFERROR(IF(ISNUMBER('Procyflo 27TC'!B350),'Procyflo 27TC'!B350,DATEVALUE('Procyflo 27TC'!B350)),"")</f>
        <v/>
      </c>
      <c r="AC849" t="str">
        <f>IF(AA849="","",'Procyflo 27TC'!C350)</f>
        <v/>
      </c>
      <c r="AD849" t="str">
        <f>IF(AA849="","",IFERROR(1*'Procyflo 27TC'!D350,IFERROR(_xludf.NUMBERVALUE('Procyflo 27TC'!D350,".",","),IFERROR(_xludf.NUMBERVALUE('Procyflo 27TC'!D350,",","."),0))))</f>
        <v/>
      </c>
      <c r="AE849" t="str">
        <f>IF(AA849="","",'Procyflo 27TC'!N350)</f>
        <v/>
      </c>
      <c r="AF849">
        <f t="shared" si="95"/>
        <v>0</v>
      </c>
      <c r="AG849" t="str">
        <f t="shared" si="96"/>
        <v/>
      </c>
      <c r="AH849" t="str">
        <f t="shared" si="97"/>
        <v/>
      </c>
      <c r="AI849">
        <f t="shared" si="98"/>
        <v>0</v>
      </c>
      <c r="AJ849">
        <f t="shared" si="99"/>
        <v>0</v>
      </c>
      <c r="AK849">
        <v>0</v>
      </c>
      <c r="AL849" t="str">
        <f>IF(AA849="","",IFERROR(IF(ISNUMBER('Procyflo 27TC'!E350),'Procyflo 27TC'!E350,IF(ISNUMBER(SEARCH("12",'Procyflo 27TC'!E350)),EDATE(AB849,12),IF(ISNUMBER(SEARCH("6",'Procyflo 27TC'!E350)),EDATE(AB849,6),IF(ISNUMBER(SEARCH("3",'Procyflo 27TC'!E350)),EDATE(AB849,3),DATEVALUE('Procyflo 27TC'!E350))))),""))</f>
        <v/>
      </c>
      <c r="AM849" t="str">
        <f t="shared" ca="1" si="100"/>
        <v/>
      </c>
    </row>
    <row r="850" spans="27:39" x14ac:dyDescent="0.3">
      <c r="AA850" t="str">
        <f>IF(COUNTA('Procyflo 27TC'!B351,'Procyflo 27TC'!C351,'Procyflo 27TC'!D351)&gt;0,"27TC","")</f>
        <v/>
      </c>
      <c r="AB850" t="str">
        <f>IFERROR(IF(ISNUMBER('Procyflo 27TC'!B351),'Procyflo 27TC'!B351,DATEVALUE('Procyflo 27TC'!B351)),"")</f>
        <v/>
      </c>
      <c r="AC850" t="str">
        <f>IF(AA850="","",'Procyflo 27TC'!C351)</f>
        <v/>
      </c>
      <c r="AD850" t="str">
        <f>IF(AA850="","",IFERROR(1*'Procyflo 27TC'!D351,IFERROR(_xludf.NUMBERVALUE('Procyflo 27TC'!D351,".",","),IFERROR(_xludf.NUMBERVALUE('Procyflo 27TC'!D351,",","."),0))))</f>
        <v/>
      </c>
      <c r="AE850" t="str">
        <f>IF(AA850="","",'Procyflo 27TC'!N351)</f>
        <v/>
      </c>
      <c r="AF850">
        <f t="shared" si="95"/>
        <v>0</v>
      </c>
      <c r="AG850" t="str">
        <f t="shared" si="96"/>
        <v/>
      </c>
      <c r="AH850" t="str">
        <f t="shared" si="97"/>
        <v/>
      </c>
      <c r="AI850">
        <f t="shared" si="98"/>
        <v>0</v>
      </c>
      <c r="AJ850">
        <f t="shared" si="99"/>
        <v>0</v>
      </c>
      <c r="AK850">
        <v>0</v>
      </c>
      <c r="AL850" t="str">
        <f>IF(AA850="","",IFERROR(IF(ISNUMBER('Procyflo 27TC'!E351),'Procyflo 27TC'!E351,IF(ISNUMBER(SEARCH("12",'Procyflo 27TC'!E351)),EDATE(AB850,12),IF(ISNUMBER(SEARCH("6",'Procyflo 27TC'!E351)),EDATE(AB850,6),IF(ISNUMBER(SEARCH("3",'Procyflo 27TC'!E351)),EDATE(AB850,3),DATEVALUE('Procyflo 27TC'!E351))))),""))</f>
        <v/>
      </c>
      <c r="AM850" t="str">
        <f t="shared" ca="1" si="100"/>
        <v/>
      </c>
    </row>
    <row r="851" spans="27:39" x14ac:dyDescent="0.3">
      <c r="AA851" t="str">
        <f>IF(COUNTA('Procyflo 27TC'!B352,'Procyflo 27TC'!C352,'Procyflo 27TC'!D352)&gt;0,"27TC","")</f>
        <v/>
      </c>
      <c r="AB851" t="str">
        <f>IFERROR(IF(ISNUMBER('Procyflo 27TC'!B352),'Procyflo 27TC'!B352,DATEVALUE('Procyflo 27TC'!B352)),"")</f>
        <v/>
      </c>
      <c r="AC851" t="str">
        <f>IF(AA851="","",'Procyflo 27TC'!C352)</f>
        <v/>
      </c>
      <c r="AD851" t="str">
        <f>IF(AA851="","",IFERROR(1*'Procyflo 27TC'!D352,IFERROR(_xludf.NUMBERVALUE('Procyflo 27TC'!D352,".",","),IFERROR(_xludf.NUMBERVALUE('Procyflo 27TC'!D352,",","."),0))))</f>
        <v/>
      </c>
      <c r="AE851" t="str">
        <f>IF(AA851="","",'Procyflo 27TC'!N352)</f>
        <v/>
      </c>
      <c r="AF851">
        <f t="shared" si="95"/>
        <v>0</v>
      </c>
      <c r="AG851" t="str">
        <f t="shared" si="96"/>
        <v/>
      </c>
      <c r="AH851" t="str">
        <f t="shared" si="97"/>
        <v/>
      </c>
      <c r="AI851">
        <f t="shared" si="98"/>
        <v>0</v>
      </c>
      <c r="AJ851">
        <f t="shared" si="99"/>
        <v>0</v>
      </c>
      <c r="AK851">
        <v>0</v>
      </c>
      <c r="AL851" t="str">
        <f>IF(AA851="","",IFERROR(IF(ISNUMBER('Procyflo 27TC'!E352),'Procyflo 27TC'!E352,IF(ISNUMBER(SEARCH("12",'Procyflo 27TC'!E352)),EDATE(AB851,12),IF(ISNUMBER(SEARCH("6",'Procyflo 27TC'!E352)),EDATE(AB851,6),IF(ISNUMBER(SEARCH("3",'Procyflo 27TC'!E352)),EDATE(AB851,3),DATEVALUE('Procyflo 27TC'!E352))))),""))</f>
        <v/>
      </c>
      <c r="AM851" t="str">
        <f t="shared" ca="1" si="100"/>
        <v/>
      </c>
    </row>
    <row r="852" spans="27:39" x14ac:dyDescent="0.3">
      <c r="AA852" t="str">
        <f>IF(COUNTA('Procyflo 27TC'!B353,'Procyflo 27TC'!C353,'Procyflo 27TC'!D353)&gt;0,"27TC","")</f>
        <v/>
      </c>
      <c r="AB852" t="str">
        <f>IFERROR(IF(ISNUMBER('Procyflo 27TC'!B353),'Procyflo 27TC'!B353,DATEVALUE('Procyflo 27TC'!B353)),"")</f>
        <v/>
      </c>
      <c r="AC852" t="str">
        <f>IF(AA852="","",'Procyflo 27TC'!C353)</f>
        <v/>
      </c>
      <c r="AD852" t="str">
        <f>IF(AA852="","",IFERROR(1*'Procyflo 27TC'!D353,IFERROR(_xludf.NUMBERVALUE('Procyflo 27TC'!D353,".",","),IFERROR(_xludf.NUMBERVALUE('Procyflo 27TC'!D353,",","."),0))))</f>
        <v/>
      </c>
      <c r="AE852" t="str">
        <f>IF(AA852="","",'Procyflo 27TC'!N353)</f>
        <v/>
      </c>
      <c r="AF852">
        <f t="shared" si="95"/>
        <v>0</v>
      </c>
      <c r="AG852" t="str">
        <f t="shared" si="96"/>
        <v/>
      </c>
      <c r="AH852" t="str">
        <f t="shared" si="97"/>
        <v/>
      </c>
      <c r="AI852">
        <f t="shared" si="98"/>
        <v>0</v>
      </c>
      <c r="AJ852">
        <f t="shared" si="99"/>
        <v>0</v>
      </c>
      <c r="AK852">
        <v>0</v>
      </c>
      <c r="AL852" t="str">
        <f>IF(AA852="","",IFERROR(IF(ISNUMBER('Procyflo 27TC'!E353),'Procyflo 27TC'!E353,IF(ISNUMBER(SEARCH("12",'Procyflo 27TC'!E353)),EDATE(AB852,12),IF(ISNUMBER(SEARCH("6",'Procyflo 27TC'!E353)),EDATE(AB852,6),IF(ISNUMBER(SEARCH("3",'Procyflo 27TC'!E353)),EDATE(AB852,3),DATEVALUE('Procyflo 27TC'!E353))))),""))</f>
        <v/>
      </c>
      <c r="AM852" t="str">
        <f t="shared" ca="1" si="100"/>
        <v/>
      </c>
    </row>
    <row r="853" spans="27:39" x14ac:dyDescent="0.3">
      <c r="AA853" t="str">
        <f>IF(COUNTA('Procyflo 27TC'!B354,'Procyflo 27TC'!C354,'Procyflo 27TC'!D354)&gt;0,"27TC","")</f>
        <v/>
      </c>
      <c r="AB853" t="str">
        <f>IFERROR(IF(ISNUMBER('Procyflo 27TC'!B354),'Procyflo 27TC'!B354,DATEVALUE('Procyflo 27TC'!B354)),"")</f>
        <v/>
      </c>
      <c r="AC853" t="str">
        <f>IF(AA853="","",'Procyflo 27TC'!C354)</f>
        <v/>
      </c>
      <c r="AD853" t="str">
        <f>IF(AA853="","",IFERROR(1*'Procyflo 27TC'!D354,IFERROR(_xludf.NUMBERVALUE('Procyflo 27TC'!D354,".",","),IFERROR(_xludf.NUMBERVALUE('Procyflo 27TC'!D354,",","."),0))))</f>
        <v/>
      </c>
      <c r="AE853" t="str">
        <f>IF(AA853="","",'Procyflo 27TC'!N354)</f>
        <v/>
      </c>
      <c r="AF853">
        <f t="shared" si="95"/>
        <v>0</v>
      </c>
      <c r="AG853" t="str">
        <f t="shared" si="96"/>
        <v/>
      </c>
      <c r="AH853" t="str">
        <f t="shared" si="97"/>
        <v/>
      </c>
      <c r="AI853">
        <f t="shared" si="98"/>
        <v>0</v>
      </c>
      <c r="AJ853">
        <f t="shared" si="99"/>
        <v>0</v>
      </c>
      <c r="AK853">
        <v>0</v>
      </c>
      <c r="AL853" t="str">
        <f>IF(AA853="","",IFERROR(IF(ISNUMBER('Procyflo 27TC'!E354),'Procyflo 27TC'!E354,IF(ISNUMBER(SEARCH("12",'Procyflo 27TC'!E354)),EDATE(AB853,12),IF(ISNUMBER(SEARCH("6",'Procyflo 27TC'!E354)),EDATE(AB853,6),IF(ISNUMBER(SEARCH("3",'Procyflo 27TC'!E354)),EDATE(AB853,3),DATEVALUE('Procyflo 27TC'!E354))))),""))</f>
        <v/>
      </c>
      <c r="AM853" t="str">
        <f t="shared" ca="1" si="100"/>
        <v/>
      </c>
    </row>
    <row r="854" spans="27:39" x14ac:dyDescent="0.3">
      <c r="AA854" t="str">
        <f>IF(COUNTA('Procyflo 27TC'!B355,'Procyflo 27TC'!C355,'Procyflo 27TC'!D355)&gt;0,"27TC","")</f>
        <v/>
      </c>
      <c r="AB854" t="str">
        <f>IFERROR(IF(ISNUMBER('Procyflo 27TC'!B355),'Procyflo 27TC'!B355,DATEVALUE('Procyflo 27TC'!B355)),"")</f>
        <v/>
      </c>
      <c r="AC854" t="str">
        <f>IF(AA854="","",'Procyflo 27TC'!C355)</f>
        <v/>
      </c>
      <c r="AD854" t="str">
        <f>IF(AA854="","",IFERROR(1*'Procyflo 27TC'!D355,IFERROR(_xludf.NUMBERVALUE('Procyflo 27TC'!D355,".",","),IFERROR(_xludf.NUMBERVALUE('Procyflo 27TC'!D355,",","."),0))))</f>
        <v/>
      </c>
      <c r="AE854" t="str">
        <f>IF(AA854="","",'Procyflo 27TC'!N355)</f>
        <v/>
      </c>
      <c r="AF854">
        <f t="shared" si="95"/>
        <v>0</v>
      </c>
      <c r="AG854" t="str">
        <f t="shared" si="96"/>
        <v/>
      </c>
      <c r="AH854" t="str">
        <f t="shared" si="97"/>
        <v/>
      </c>
      <c r="AI854">
        <f t="shared" si="98"/>
        <v>0</v>
      </c>
      <c r="AJ854">
        <f t="shared" si="99"/>
        <v>0</v>
      </c>
      <c r="AK854">
        <v>0</v>
      </c>
      <c r="AL854" t="str">
        <f>IF(AA854="","",IFERROR(IF(ISNUMBER('Procyflo 27TC'!E355),'Procyflo 27TC'!E355,IF(ISNUMBER(SEARCH("12",'Procyflo 27TC'!E355)),EDATE(AB854,12),IF(ISNUMBER(SEARCH("6",'Procyflo 27TC'!E355)),EDATE(AB854,6),IF(ISNUMBER(SEARCH("3",'Procyflo 27TC'!E355)),EDATE(AB854,3),DATEVALUE('Procyflo 27TC'!E355))))),""))</f>
        <v/>
      </c>
      <c r="AM854" t="str">
        <f t="shared" ca="1" si="100"/>
        <v/>
      </c>
    </row>
    <row r="855" spans="27:39" x14ac:dyDescent="0.3">
      <c r="AA855" t="str">
        <f>IF(COUNTA('Procyflo 27TC'!B356,'Procyflo 27TC'!C356,'Procyflo 27TC'!D356)&gt;0,"27TC","")</f>
        <v/>
      </c>
      <c r="AB855" t="str">
        <f>IFERROR(IF(ISNUMBER('Procyflo 27TC'!B356),'Procyflo 27TC'!B356,DATEVALUE('Procyflo 27TC'!B356)),"")</f>
        <v/>
      </c>
      <c r="AC855" t="str">
        <f>IF(AA855="","",'Procyflo 27TC'!C356)</f>
        <v/>
      </c>
      <c r="AD855" t="str">
        <f>IF(AA855="","",IFERROR(1*'Procyflo 27TC'!D356,IFERROR(_xludf.NUMBERVALUE('Procyflo 27TC'!D356,".",","),IFERROR(_xludf.NUMBERVALUE('Procyflo 27TC'!D356,",","."),0))))</f>
        <v/>
      </c>
      <c r="AE855" t="str">
        <f>IF(AA855="","",'Procyflo 27TC'!N356)</f>
        <v/>
      </c>
      <c r="AF855">
        <f t="shared" si="95"/>
        <v>0</v>
      </c>
      <c r="AG855" t="str">
        <f t="shared" si="96"/>
        <v/>
      </c>
      <c r="AH855" t="str">
        <f t="shared" si="97"/>
        <v/>
      </c>
      <c r="AI855">
        <f t="shared" si="98"/>
        <v>0</v>
      </c>
      <c r="AJ855">
        <f t="shared" si="99"/>
        <v>0</v>
      </c>
      <c r="AK855">
        <v>0</v>
      </c>
      <c r="AL855" t="str">
        <f>IF(AA855="","",IFERROR(IF(ISNUMBER('Procyflo 27TC'!E356),'Procyflo 27TC'!E356,IF(ISNUMBER(SEARCH("12",'Procyflo 27TC'!E356)),EDATE(AB855,12),IF(ISNUMBER(SEARCH("6",'Procyflo 27TC'!E356)),EDATE(AB855,6),IF(ISNUMBER(SEARCH("3",'Procyflo 27TC'!E356)),EDATE(AB855,3),DATEVALUE('Procyflo 27TC'!E356))))),""))</f>
        <v/>
      </c>
      <c r="AM855" t="str">
        <f t="shared" ca="1" si="100"/>
        <v/>
      </c>
    </row>
    <row r="856" spans="27:39" x14ac:dyDescent="0.3">
      <c r="AA856" t="str">
        <f>IF(COUNTA('Procyflo 27TC'!B357,'Procyflo 27TC'!C357,'Procyflo 27TC'!D357)&gt;0,"27TC","")</f>
        <v/>
      </c>
      <c r="AB856" t="str">
        <f>IFERROR(IF(ISNUMBER('Procyflo 27TC'!B357),'Procyflo 27TC'!B357,DATEVALUE('Procyflo 27TC'!B357)),"")</f>
        <v/>
      </c>
      <c r="AC856" t="str">
        <f>IF(AA856="","",'Procyflo 27TC'!C357)</f>
        <v/>
      </c>
      <c r="AD856" t="str">
        <f>IF(AA856="","",IFERROR(1*'Procyflo 27TC'!D357,IFERROR(_xludf.NUMBERVALUE('Procyflo 27TC'!D357,".",","),IFERROR(_xludf.NUMBERVALUE('Procyflo 27TC'!D357,",","."),0))))</f>
        <v/>
      </c>
      <c r="AE856" t="str">
        <f>IF(AA856="","",'Procyflo 27TC'!N357)</f>
        <v/>
      </c>
      <c r="AF856">
        <f t="shared" si="95"/>
        <v>0</v>
      </c>
      <c r="AG856" t="str">
        <f t="shared" si="96"/>
        <v/>
      </c>
      <c r="AH856" t="str">
        <f t="shared" si="97"/>
        <v/>
      </c>
      <c r="AI856">
        <f t="shared" si="98"/>
        <v>0</v>
      </c>
      <c r="AJ856">
        <f t="shared" si="99"/>
        <v>0</v>
      </c>
      <c r="AK856">
        <v>0</v>
      </c>
      <c r="AL856" t="str">
        <f>IF(AA856="","",IFERROR(IF(ISNUMBER('Procyflo 27TC'!E357),'Procyflo 27TC'!E357,IF(ISNUMBER(SEARCH("12",'Procyflo 27TC'!E357)),EDATE(AB856,12),IF(ISNUMBER(SEARCH("6",'Procyflo 27TC'!E357)),EDATE(AB856,6),IF(ISNUMBER(SEARCH("3",'Procyflo 27TC'!E357)),EDATE(AB856,3),DATEVALUE('Procyflo 27TC'!E357))))),""))</f>
        <v/>
      </c>
      <c r="AM856" t="str">
        <f t="shared" ca="1" si="100"/>
        <v/>
      </c>
    </row>
    <row r="857" spans="27:39" x14ac:dyDescent="0.3">
      <c r="AA857" t="str">
        <f>IF(COUNTA('Procyflo 27TC'!B358,'Procyflo 27TC'!C358,'Procyflo 27TC'!D358)&gt;0,"27TC","")</f>
        <v/>
      </c>
      <c r="AB857" t="str">
        <f>IFERROR(IF(ISNUMBER('Procyflo 27TC'!B358),'Procyflo 27TC'!B358,DATEVALUE('Procyflo 27TC'!B358)),"")</f>
        <v/>
      </c>
      <c r="AC857" t="str">
        <f>IF(AA857="","",'Procyflo 27TC'!C358)</f>
        <v/>
      </c>
      <c r="AD857" t="str">
        <f>IF(AA857="","",IFERROR(1*'Procyflo 27TC'!D358,IFERROR(_xludf.NUMBERVALUE('Procyflo 27TC'!D358,".",","),IFERROR(_xludf.NUMBERVALUE('Procyflo 27TC'!D358,",","."),0))))</f>
        <v/>
      </c>
      <c r="AE857" t="str">
        <f>IF(AA857="","",'Procyflo 27TC'!N358)</f>
        <v/>
      </c>
      <c r="AF857">
        <f t="shared" si="95"/>
        <v>0</v>
      </c>
      <c r="AG857" t="str">
        <f t="shared" si="96"/>
        <v/>
      </c>
      <c r="AH857" t="str">
        <f t="shared" si="97"/>
        <v/>
      </c>
      <c r="AI857">
        <f t="shared" si="98"/>
        <v>0</v>
      </c>
      <c r="AJ857">
        <f t="shared" si="99"/>
        <v>0</v>
      </c>
      <c r="AK857">
        <v>0</v>
      </c>
      <c r="AL857" t="str">
        <f>IF(AA857="","",IFERROR(IF(ISNUMBER('Procyflo 27TC'!E358),'Procyflo 27TC'!E358,IF(ISNUMBER(SEARCH("12",'Procyflo 27TC'!E358)),EDATE(AB857,12),IF(ISNUMBER(SEARCH("6",'Procyflo 27TC'!E358)),EDATE(AB857,6),IF(ISNUMBER(SEARCH("3",'Procyflo 27TC'!E358)),EDATE(AB857,3),DATEVALUE('Procyflo 27TC'!E358))))),""))</f>
        <v/>
      </c>
      <c r="AM857" t="str">
        <f t="shared" ca="1" si="100"/>
        <v/>
      </c>
    </row>
    <row r="858" spans="27:39" x14ac:dyDescent="0.3">
      <c r="AA858" t="str">
        <f>IF(COUNTA('Procyflo 27TC'!B359,'Procyflo 27TC'!C359,'Procyflo 27TC'!D359)&gt;0,"27TC","")</f>
        <v/>
      </c>
      <c r="AB858" t="str">
        <f>IFERROR(IF(ISNUMBER('Procyflo 27TC'!B359),'Procyflo 27TC'!B359,DATEVALUE('Procyflo 27TC'!B359)),"")</f>
        <v/>
      </c>
      <c r="AC858" t="str">
        <f>IF(AA858="","",'Procyflo 27TC'!C359)</f>
        <v/>
      </c>
      <c r="AD858" t="str">
        <f>IF(AA858="","",IFERROR(1*'Procyflo 27TC'!D359,IFERROR(_xludf.NUMBERVALUE('Procyflo 27TC'!D359,".",","),IFERROR(_xludf.NUMBERVALUE('Procyflo 27TC'!D359,",","."),0))))</f>
        <v/>
      </c>
      <c r="AE858" t="str">
        <f>IF(AA858="","",'Procyflo 27TC'!N359)</f>
        <v/>
      </c>
      <c r="AF858">
        <f t="shared" si="95"/>
        <v>0</v>
      </c>
      <c r="AG858" t="str">
        <f t="shared" si="96"/>
        <v/>
      </c>
      <c r="AH858" t="str">
        <f t="shared" si="97"/>
        <v/>
      </c>
      <c r="AI858">
        <f t="shared" si="98"/>
        <v>0</v>
      </c>
      <c r="AJ858">
        <f t="shared" si="99"/>
        <v>0</v>
      </c>
      <c r="AK858">
        <v>0</v>
      </c>
      <c r="AL858" t="str">
        <f>IF(AA858="","",IFERROR(IF(ISNUMBER('Procyflo 27TC'!E359),'Procyflo 27TC'!E359,IF(ISNUMBER(SEARCH("12",'Procyflo 27TC'!E359)),EDATE(AB858,12),IF(ISNUMBER(SEARCH("6",'Procyflo 27TC'!E359)),EDATE(AB858,6),IF(ISNUMBER(SEARCH("3",'Procyflo 27TC'!E359)),EDATE(AB858,3),DATEVALUE('Procyflo 27TC'!E359))))),""))</f>
        <v/>
      </c>
      <c r="AM858" t="str">
        <f t="shared" ca="1" si="100"/>
        <v/>
      </c>
    </row>
    <row r="859" spans="27:39" x14ac:dyDescent="0.3">
      <c r="AA859" t="str">
        <f>IF(COUNTA('Procyflo 27TC'!B360,'Procyflo 27TC'!C360,'Procyflo 27TC'!D360)&gt;0,"27TC","")</f>
        <v/>
      </c>
      <c r="AB859" t="str">
        <f>IFERROR(IF(ISNUMBER('Procyflo 27TC'!B360),'Procyflo 27TC'!B360,DATEVALUE('Procyflo 27TC'!B360)),"")</f>
        <v/>
      </c>
      <c r="AC859" t="str">
        <f>IF(AA859="","",'Procyflo 27TC'!C360)</f>
        <v/>
      </c>
      <c r="AD859" t="str">
        <f>IF(AA859="","",IFERROR(1*'Procyflo 27TC'!D360,IFERROR(_xludf.NUMBERVALUE('Procyflo 27TC'!D360,".",","),IFERROR(_xludf.NUMBERVALUE('Procyflo 27TC'!D360,",","."),0))))</f>
        <v/>
      </c>
      <c r="AE859" t="str">
        <f>IF(AA859="","",'Procyflo 27TC'!N360)</f>
        <v/>
      </c>
      <c r="AF859">
        <f t="shared" si="95"/>
        <v>0</v>
      </c>
      <c r="AG859" t="str">
        <f t="shared" si="96"/>
        <v/>
      </c>
      <c r="AH859" t="str">
        <f t="shared" si="97"/>
        <v/>
      </c>
      <c r="AI859">
        <f t="shared" si="98"/>
        <v>0</v>
      </c>
      <c r="AJ859">
        <f t="shared" si="99"/>
        <v>0</v>
      </c>
      <c r="AK859">
        <v>0</v>
      </c>
      <c r="AL859" t="str">
        <f>IF(AA859="","",IFERROR(IF(ISNUMBER('Procyflo 27TC'!E360),'Procyflo 27TC'!E360,IF(ISNUMBER(SEARCH("12",'Procyflo 27TC'!E360)),EDATE(AB859,12),IF(ISNUMBER(SEARCH("6",'Procyflo 27TC'!E360)),EDATE(AB859,6),IF(ISNUMBER(SEARCH("3",'Procyflo 27TC'!E360)),EDATE(AB859,3),DATEVALUE('Procyflo 27TC'!E360))))),""))</f>
        <v/>
      </c>
      <c r="AM859" t="str">
        <f t="shared" ca="1" si="100"/>
        <v/>
      </c>
    </row>
    <row r="860" spans="27:39" x14ac:dyDescent="0.3">
      <c r="AA860" t="str">
        <f>IF(COUNTA('Procyflo 27TC'!B361,'Procyflo 27TC'!C361,'Procyflo 27TC'!D361)&gt;0,"27TC","")</f>
        <v/>
      </c>
      <c r="AB860" t="str">
        <f>IFERROR(IF(ISNUMBER('Procyflo 27TC'!B361),'Procyflo 27TC'!B361,DATEVALUE('Procyflo 27TC'!B361)),"")</f>
        <v/>
      </c>
      <c r="AC860" t="str">
        <f>IF(AA860="","",'Procyflo 27TC'!C361)</f>
        <v/>
      </c>
      <c r="AD860" t="str">
        <f>IF(AA860="","",IFERROR(1*'Procyflo 27TC'!D361,IFERROR(_xludf.NUMBERVALUE('Procyflo 27TC'!D361,".",","),IFERROR(_xludf.NUMBERVALUE('Procyflo 27TC'!D361,",","."),0))))</f>
        <v/>
      </c>
      <c r="AE860" t="str">
        <f>IF(AA860="","",'Procyflo 27TC'!N361)</f>
        <v/>
      </c>
      <c r="AF860">
        <f t="shared" si="95"/>
        <v>0</v>
      </c>
      <c r="AG860" t="str">
        <f t="shared" si="96"/>
        <v/>
      </c>
      <c r="AH860" t="str">
        <f t="shared" si="97"/>
        <v/>
      </c>
      <c r="AI860">
        <f t="shared" si="98"/>
        <v>0</v>
      </c>
      <c r="AJ860">
        <f t="shared" si="99"/>
        <v>0</v>
      </c>
      <c r="AK860">
        <v>0</v>
      </c>
      <c r="AL860" t="str">
        <f>IF(AA860="","",IFERROR(IF(ISNUMBER('Procyflo 27TC'!E361),'Procyflo 27TC'!E361,IF(ISNUMBER(SEARCH("12",'Procyflo 27TC'!E361)),EDATE(AB860,12),IF(ISNUMBER(SEARCH("6",'Procyflo 27TC'!E361)),EDATE(AB860,6),IF(ISNUMBER(SEARCH("3",'Procyflo 27TC'!E361)),EDATE(AB860,3),DATEVALUE('Procyflo 27TC'!E361))))),""))</f>
        <v/>
      </c>
      <c r="AM860" t="str">
        <f t="shared" ca="1" si="100"/>
        <v/>
      </c>
    </row>
    <row r="861" spans="27:39" x14ac:dyDescent="0.3">
      <c r="AA861" t="str">
        <f>IF(COUNTA('Procyflo 27TC'!B362,'Procyflo 27TC'!C362,'Procyflo 27TC'!D362)&gt;0,"27TC","")</f>
        <v/>
      </c>
      <c r="AB861" t="str">
        <f>IFERROR(IF(ISNUMBER('Procyflo 27TC'!B362),'Procyflo 27TC'!B362,DATEVALUE('Procyflo 27TC'!B362)),"")</f>
        <v/>
      </c>
      <c r="AC861" t="str">
        <f>IF(AA861="","",'Procyflo 27TC'!C362)</f>
        <v/>
      </c>
      <c r="AD861" t="str">
        <f>IF(AA861="","",IFERROR(1*'Procyflo 27TC'!D362,IFERROR(_xludf.NUMBERVALUE('Procyflo 27TC'!D362,".",","),IFERROR(_xludf.NUMBERVALUE('Procyflo 27TC'!D362,",","."),0))))</f>
        <v/>
      </c>
      <c r="AE861" t="str">
        <f>IF(AA861="","",'Procyflo 27TC'!N362)</f>
        <v/>
      </c>
      <c r="AF861">
        <f t="shared" si="95"/>
        <v>0</v>
      </c>
      <c r="AG861" t="str">
        <f t="shared" si="96"/>
        <v/>
      </c>
      <c r="AH861" t="str">
        <f t="shared" si="97"/>
        <v/>
      </c>
      <c r="AI861">
        <f t="shared" si="98"/>
        <v>0</v>
      </c>
      <c r="AJ861">
        <f t="shared" si="99"/>
        <v>0</v>
      </c>
      <c r="AK861">
        <v>0</v>
      </c>
      <c r="AL861" t="str">
        <f>IF(AA861="","",IFERROR(IF(ISNUMBER('Procyflo 27TC'!E362),'Procyflo 27TC'!E362,IF(ISNUMBER(SEARCH("12",'Procyflo 27TC'!E362)),EDATE(AB861,12),IF(ISNUMBER(SEARCH("6",'Procyflo 27TC'!E362)),EDATE(AB861,6),IF(ISNUMBER(SEARCH("3",'Procyflo 27TC'!E362)),EDATE(AB861,3),DATEVALUE('Procyflo 27TC'!E362))))),""))</f>
        <v/>
      </c>
      <c r="AM861" t="str">
        <f t="shared" ca="1" si="100"/>
        <v/>
      </c>
    </row>
    <row r="862" spans="27:39" x14ac:dyDescent="0.3">
      <c r="AA862" t="str">
        <f>IF(COUNTA('Procyflo 27TC'!B363,'Procyflo 27TC'!C363,'Procyflo 27TC'!D363)&gt;0,"27TC","")</f>
        <v/>
      </c>
      <c r="AB862" t="str">
        <f>IFERROR(IF(ISNUMBER('Procyflo 27TC'!B363),'Procyflo 27TC'!B363,DATEVALUE('Procyflo 27TC'!B363)),"")</f>
        <v/>
      </c>
      <c r="AC862" t="str">
        <f>IF(AA862="","",'Procyflo 27TC'!C363)</f>
        <v/>
      </c>
      <c r="AD862" t="str">
        <f>IF(AA862="","",IFERROR(1*'Procyflo 27TC'!D363,IFERROR(_xludf.NUMBERVALUE('Procyflo 27TC'!D363,".",","),IFERROR(_xludf.NUMBERVALUE('Procyflo 27TC'!D363,",","."),0))))</f>
        <v/>
      </c>
      <c r="AE862" t="str">
        <f>IF(AA862="","",'Procyflo 27TC'!N363)</f>
        <v/>
      </c>
      <c r="AF862">
        <f t="shared" si="95"/>
        <v>0</v>
      </c>
      <c r="AG862" t="str">
        <f t="shared" si="96"/>
        <v/>
      </c>
      <c r="AH862" t="str">
        <f t="shared" si="97"/>
        <v/>
      </c>
      <c r="AI862">
        <f t="shared" si="98"/>
        <v>0</v>
      </c>
      <c r="AJ862">
        <f t="shared" si="99"/>
        <v>0</v>
      </c>
      <c r="AK862">
        <v>0</v>
      </c>
      <c r="AL862" t="str">
        <f>IF(AA862="","",IFERROR(IF(ISNUMBER('Procyflo 27TC'!E363),'Procyflo 27TC'!E363,IF(ISNUMBER(SEARCH("12",'Procyflo 27TC'!E363)),EDATE(AB862,12),IF(ISNUMBER(SEARCH("6",'Procyflo 27TC'!E363)),EDATE(AB862,6),IF(ISNUMBER(SEARCH("3",'Procyflo 27TC'!E363)),EDATE(AB862,3),DATEVALUE('Procyflo 27TC'!E363))))),""))</f>
        <v/>
      </c>
      <c r="AM862" t="str">
        <f t="shared" ca="1" si="100"/>
        <v/>
      </c>
    </row>
    <row r="863" spans="27:39" x14ac:dyDescent="0.3">
      <c r="AA863" t="str">
        <f>IF(COUNTA('Procyflo 27TC'!B364,'Procyflo 27TC'!C364,'Procyflo 27TC'!D364)&gt;0,"27TC","")</f>
        <v/>
      </c>
      <c r="AB863" t="str">
        <f>IFERROR(IF(ISNUMBER('Procyflo 27TC'!B364),'Procyflo 27TC'!B364,DATEVALUE('Procyflo 27TC'!B364)),"")</f>
        <v/>
      </c>
      <c r="AC863" t="str">
        <f>IF(AA863="","",'Procyflo 27TC'!C364)</f>
        <v/>
      </c>
      <c r="AD863" t="str">
        <f>IF(AA863="","",IFERROR(1*'Procyflo 27TC'!D364,IFERROR(_xludf.NUMBERVALUE('Procyflo 27TC'!D364,".",","),IFERROR(_xludf.NUMBERVALUE('Procyflo 27TC'!D364,",","."),0))))</f>
        <v/>
      </c>
      <c r="AE863" t="str">
        <f>IF(AA863="","",'Procyflo 27TC'!N364)</f>
        <v/>
      </c>
      <c r="AF863">
        <f t="shared" si="95"/>
        <v>0</v>
      </c>
      <c r="AG863" t="str">
        <f t="shared" si="96"/>
        <v/>
      </c>
      <c r="AH863" t="str">
        <f t="shared" si="97"/>
        <v/>
      </c>
      <c r="AI863">
        <f t="shared" si="98"/>
        <v>0</v>
      </c>
      <c r="AJ863">
        <f t="shared" si="99"/>
        <v>0</v>
      </c>
      <c r="AK863">
        <v>0</v>
      </c>
      <c r="AL863" t="str">
        <f>IF(AA863="","",IFERROR(IF(ISNUMBER('Procyflo 27TC'!E364),'Procyflo 27TC'!E364,IF(ISNUMBER(SEARCH("12",'Procyflo 27TC'!E364)),EDATE(AB863,12),IF(ISNUMBER(SEARCH("6",'Procyflo 27TC'!E364)),EDATE(AB863,6),IF(ISNUMBER(SEARCH("3",'Procyflo 27TC'!E364)),EDATE(AB863,3),DATEVALUE('Procyflo 27TC'!E364))))),""))</f>
        <v/>
      </c>
      <c r="AM863" t="str">
        <f t="shared" ca="1" si="100"/>
        <v/>
      </c>
    </row>
    <row r="864" spans="27:39" x14ac:dyDescent="0.3">
      <c r="AA864" t="str">
        <f>IF(COUNTA('Procyflo 27TC'!B365,'Procyflo 27TC'!C365,'Procyflo 27TC'!D365)&gt;0,"27TC","")</f>
        <v/>
      </c>
      <c r="AB864" t="str">
        <f>IFERROR(IF(ISNUMBER('Procyflo 27TC'!B365),'Procyflo 27TC'!B365,DATEVALUE('Procyflo 27TC'!B365)),"")</f>
        <v/>
      </c>
      <c r="AC864" t="str">
        <f>IF(AA864="","",'Procyflo 27TC'!C365)</f>
        <v/>
      </c>
      <c r="AD864" t="str">
        <f>IF(AA864="","",IFERROR(1*'Procyflo 27TC'!D365,IFERROR(_xludf.NUMBERVALUE('Procyflo 27TC'!D365,".",","),IFERROR(_xludf.NUMBERVALUE('Procyflo 27TC'!D365,",","."),0))))</f>
        <v/>
      </c>
      <c r="AE864" t="str">
        <f>IF(AA864="","",'Procyflo 27TC'!N365)</f>
        <v/>
      </c>
      <c r="AF864">
        <f t="shared" si="95"/>
        <v>0</v>
      </c>
      <c r="AG864" t="str">
        <f t="shared" si="96"/>
        <v/>
      </c>
      <c r="AH864" t="str">
        <f t="shared" si="97"/>
        <v/>
      </c>
      <c r="AI864">
        <f t="shared" si="98"/>
        <v>0</v>
      </c>
      <c r="AJ864">
        <f t="shared" si="99"/>
        <v>0</v>
      </c>
      <c r="AK864">
        <v>0</v>
      </c>
      <c r="AL864" t="str">
        <f>IF(AA864="","",IFERROR(IF(ISNUMBER('Procyflo 27TC'!E365),'Procyflo 27TC'!E365,IF(ISNUMBER(SEARCH("12",'Procyflo 27TC'!E365)),EDATE(AB864,12),IF(ISNUMBER(SEARCH("6",'Procyflo 27TC'!E365)),EDATE(AB864,6),IF(ISNUMBER(SEARCH("3",'Procyflo 27TC'!E365)),EDATE(AB864,3),DATEVALUE('Procyflo 27TC'!E365))))),""))</f>
        <v/>
      </c>
      <c r="AM864" t="str">
        <f t="shared" ca="1" si="100"/>
        <v/>
      </c>
    </row>
    <row r="865" spans="27:39" x14ac:dyDescent="0.3">
      <c r="AA865" t="str">
        <f>IF(COUNTA('Procyflo 27TC'!B366,'Procyflo 27TC'!C366,'Procyflo 27TC'!D366)&gt;0,"27TC","")</f>
        <v/>
      </c>
      <c r="AB865" t="str">
        <f>IFERROR(IF(ISNUMBER('Procyflo 27TC'!B366),'Procyflo 27TC'!B366,DATEVALUE('Procyflo 27TC'!B366)),"")</f>
        <v/>
      </c>
      <c r="AC865" t="str">
        <f>IF(AA865="","",'Procyflo 27TC'!C366)</f>
        <v/>
      </c>
      <c r="AD865" t="str">
        <f>IF(AA865="","",IFERROR(1*'Procyflo 27TC'!D366,IFERROR(_xludf.NUMBERVALUE('Procyflo 27TC'!D366,".",","),IFERROR(_xludf.NUMBERVALUE('Procyflo 27TC'!D366,",","."),0))))</f>
        <v/>
      </c>
      <c r="AE865" t="str">
        <f>IF(AA865="","",'Procyflo 27TC'!N366)</f>
        <v/>
      </c>
      <c r="AF865">
        <f t="shared" si="95"/>
        <v>0</v>
      </c>
      <c r="AG865" t="str">
        <f t="shared" si="96"/>
        <v/>
      </c>
      <c r="AH865" t="str">
        <f t="shared" si="97"/>
        <v/>
      </c>
      <c r="AI865">
        <f t="shared" si="98"/>
        <v>0</v>
      </c>
      <c r="AJ865">
        <f t="shared" si="99"/>
        <v>0</v>
      </c>
      <c r="AK865">
        <v>0</v>
      </c>
      <c r="AL865" t="str">
        <f>IF(AA865="","",IFERROR(IF(ISNUMBER('Procyflo 27TC'!E366),'Procyflo 27TC'!E366,IF(ISNUMBER(SEARCH("12",'Procyflo 27TC'!E366)),EDATE(AB865,12),IF(ISNUMBER(SEARCH("6",'Procyflo 27TC'!E366)),EDATE(AB865,6),IF(ISNUMBER(SEARCH("3",'Procyflo 27TC'!E366)),EDATE(AB865,3),DATEVALUE('Procyflo 27TC'!E366))))),""))</f>
        <v/>
      </c>
      <c r="AM865" t="str">
        <f t="shared" ca="1" si="100"/>
        <v/>
      </c>
    </row>
    <row r="866" spans="27:39" x14ac:dyDescent="0.3">
      <c r="AA866" t="str">
        <f>IF(COUNTA('Procyflo 27TC'!B367,'Procyflo 27TC'!C367,'Procyflo 27TC'!D367)&gt;0,"27TC","")</f>
        <v/>
      </c>
      <c r="AB866" t="str">
        <f>IFERROR(IF(ISNUMBER('Procyflo 27TC'!B367),'Procyflo 27TC'!B367,DATEVALUE('Procyflo 27TC'!B367)),"")</f>
        <v/>
      </c>
      <c r="AC866" t="str">
        <f>IF(AA866="","",'Procyflo 27TC'!C367)</f>
        <v/>
      </c>
      <c r="AD866" t="str">
        <f>IF(AA866="","",IFERROR(1*'Procyflo 27TC'!D367,IFERROR(_xludf.NUMBERVALUE('Procyflo 27TC'!D367,".",","),IFERROR(_xludf.NUMBERVALUE('Procyflo 27TC'!D367,",","."),0))))</f>
        <v/>
      </c>
      <c r="AE866" t="str">
        <f>IF(AA866="","",'Procyflo 27TC'!N367)</f>
        <v/>
      </c>
      <c r="AF866">
        <f t="shared" si="95"/>
        <v>0</v>
      </c>
      <c r="AG866" t="str">
        <f t="shared" si="96"/>
        <v/>
      </c>
      <c r="AH866" t="str">
        <f t="shared" si="97"/>
        <v/>
      </c>
      <c r="AI866">
        <f t="shared" si="98"/>
        <v>0</v>
      </c>
      <c r="AJ866">
        <f t="shared" si="99"/>
        <v>0</v>
      </c>
      <c r="AK866">
        <v>0</v>
      </c>
      <c r="AL866" t="str">
        <f>IF(AA866="","",IFERROR(IF(ISNUMBER('Procyflo 27TC'!E367),'Procyflo 27TC'!E367,IF(ISNUMBER(SEARCH("12",'Procyflo 27TC'!E367)),EDATE(AB866,12),IF(ISNUMBER(SEARCH("6",'Procyflo 27TC'!E367)),EDATE(AB866,6),IF(ISNUMBER(SEARCH("3",'Procyflo 27TC'!E367)),EDATE(AB866,3),DATEVALUE('Procyflo 27TC'!E367))))),""))</f>
        <v/>
      </c>
      <c r="AM866" t="str">
        <f t="shared" ca="1" si="100"/>
        <v/>
      </c>
    </row>
    <row r="867" spans="27:39" x14ac:dyDescent="0.3">
      <c r="AA867" t="str">
        <f>IF(COUNTA('Procyflo 27TC'!B368,'Procyflo 27TC'!C368,'Procyflo 27TC'!D368)&gt;0,"27TC","")</f>
        <v/>
      </c>
      <c r="AB867" t="str">
        <f>IFERROR(IF(ISNUMBER('Procyflo 27TC'!B368),'Procyflo 27TC'!B368,DATEVALUE('Procyflo 27TC'!B368)),"")</f>
        <v/>
      </c>
      <c r="AC867" t="str">
        <f>IF(AA867="","",'Procyflo 27TC'!C368)</f>
        <v/>
      </c>
      <c r="AD867" t="str">
        <f>IF(AA867="","",IFERROR(1*'Procyflo 27TC'!D368,IFERROR(_xludf.NUMBERVALUE('Procyflo 27TC'!D368,".",","),IFERROR(_xludf.NUMBERVALUE('Procyflo 27TC'!D368,",","."),0))))</f>
        <v/>
      </c>
      <c r="AE867" t="str">
        <f>IF(AA867="","",'Procyflo 27TC'!N368)</f>
        <v/>
      </c>
      <c r="AF867">
        <f t="shared" si="95"/>
        <v>0</v>
      </c>
      <c r="AG867" t="str">
        <f t="shared" si="96"/>
        <v/>
      </c>
      <c r="AH867" t="str">
        <f t="shared" si="97"/>
        <v/>
      </c>
      <c r="AI867">
        <f t="shared" si="98"/>
        <v>0</v>
      </c>
      <c r="AJ867">
        <f t="shared" si="99"/>
        <v>0</v>
      </c>
      <c r="AK867">
        <v>0</v>
      </c>
      <c r="AL867" t="str">
        <f>IF(AA867="","",IFERROR(IF(ISNUMBER('Procyflo 27TC'!E368),'Procyflo 27TC'!E368,IF(ISNUMBER(SEARCH("12",'Procyflo 27TC'!E368)),EDATE(AB867,12),IF(ISNUMBER(SEARCH("6",'Procyflo 27TC'!E368)),EDATE(AB867,6),IF(ISNUMBER(SEARCH("3",'Procyflo 27TC'!E368)),EDATE(AB867,3),DATEVALUE('Procyflo 27TC'!E368))))),""))</f>
        <v/>
      </c>
      <c r="AM867" t="str">
        <f t="shared" ca="1" si="100"/>
        <v/>
      </c>
    </row>
    <row r="868" spans="27:39" x14ac:dyDescent="0.3">
      <c r="AA868" t="str">
        <f>IF(COUNTA('Procyflo 27TC'!B369,'Procyflo 27TC'!C369,'Procyflo 27TC'!D369)&gt;0,"27TC","")</f>
        <v/>
      </c>
      <c r="AB868" t="str">
        <f>IFERROR(IF(ISNUMBER('Procyflo 27TC'!B369),'Procyflo 27TC'!B369,DATEVALUE('Procyflo 27TC'!B369)),"")</f>
        <v/>
      </c>
      <c r="AC868" t="str">
        <f>IF(AA868="","",'Procyflo 27TC'!C369)</f>
        <v/>
      </c>
      <c r="AD868" t="str">
        <f>IF(AA868="","",IFERROR(1*'Procyflo 27TC'!D369,IFERROR(_xludf.NUMBERVALUE('Procyflo 27TC'!D369,".",","),IFERROR(_xludf.NUMBERVALUE('Procyflo 27TC'!D369,",","."),0))))</f>
        <v/>
      </c>
      <c r="AE868" t="str">
        <f>IF(AA868="","",'Procyflo 27TC'!N369)</f>
        <v/>
      </c>
      <c r="AF868">
        <f t="shared" si="95"/>
        <v>0</v>
      </c>
      <c r="AG868" t="str">
        <f t="shared" si="96"/>
        <v/>
      </c>
      <c r="AH868" t="str">
        <f t="shared" si="97"/>
        <v/>
      </c>
      <c r="AI868">
        <f t="shared" si="98"/>
        <v>0</v>
      </c>
      <c r="AJ868">
        <f t="shared" si="99"/>
        <v>0</v>
      </c>
      <c r="AK868">
        <v>0</v>
      </c>
      <c r="AL868" t="str">
        <f>IF(AA868="","",IFERROR(IF(ISNUMBER('Procyflo 27TC'!E369),'Procyflo 27TC'!E369,IF(ISNUMBER(SEARCH("12",'Procyflo 27TC'!E369)),EDATE(AB868,12),IF(ISNUMBER(SEARCH("6",'Procyflo 27TC'!E369)),EDATE(AB868,6),IF(ISNUMBER(SEARCH("3",'Procyflo 27TC'!E369)),EDATE(AB868,3),DATEVALUE('Procyflo 27TC'!E369))))),""))</f>
        <v/>
      </c>
      <c r="AM868" t="str">
        <f t="shared" ca="1" si="100"/>
        <v/>
      </c>
    </row>
    <row r="869" spans="27:39" x14ac:dyDescent="0.3">
      <c r="AA869" t="str">
        <f>IF(COUNTA('Procyflo 27TC'!B370,'Procyflo 27TC'!C370,'Procyflo 27TC'!D370)&gt;0,"27TC","")</f>
        <v/>
      </c>
      <c r="AB869" t="str">
        <f>IFERROR(IF(ISNUMBER('Procyflo 27TC'!B370),'Procyflo 27TC'!B370,DATEVALUE('Procyflo 27TC'!B370)),"")</f>
        <v/>
      </c>
      <c r="AC869" t="str">
        <f>IF(AA869="","",'Procyflo 27TC'!C370)</f>
        <v/>
      </c>
      <c r="AD869" t="str">
        <f>IF(AA869="","",IFERROR(1*'Procyflo 27TC'!D370,IFERROR(_xludf.NUMBERVALUE('Procyflo 27TC'!D370,".",","),IFERROR(_xludf.NUMBERVALUE('Procyflo 27TC'!D370,",","."),0))))</f>
        <v/>
      </c>
      <c r="AE869" t="str">
        <f>IF(AA869="","",'Procyflo 27TC'!N370)</f>
        <v/>
      </c>
      <c r="AF869">
        <f t="shared" si="95"/>
        <v>0</v>
      </c>
      <c r="AG869" t="str">
        <f t="shared" si="96"/>
        <v/>
      </c>
      <c r="AH869" t="str">
        <f t="shared" si="97"/>
        <v/>
      </c>
      <c r="AI869">
        <f t="shared" si="98"/>
        <v>0</v>
      </c>
      <c r="AJ869">
        <f t="shared" si="99"/>
        <v>0</v>
      </c>
      <c r="AK869">
        <v>0</v>
      </c>
      <c r="AL869" t="str">
        <f>IF(AA869="","",IFERROR(IF(ISNUMBER('Procyflo 27TC'!E370),'Procyflo 27TC'!E370,IF(ISNUMBER(SEARCH("12",'Procyflo 27TC'!E370)),EDATE(AB869,12),IF(ISNUMBER(SEARCH("6",'Procyflo 27TC'!E370)),EDATE(AB869,6),IF(ISNUMBER(SEARCH("3",'Procyflo 27TC'!E370)),EDATE(AB869,3),DATEVALUE('Procyflo 27TC'!E370))))),""))</f>
        <v/>
      </c>
      <c r="AM869" t="str">
        <f t="shared" ca="1" si="100"/>
        <v/>
      </c>
    </row>
    <row r="870" spans="27:39" x14ac:dyDescent="0.3">
      <c r="AA870" t="str">
        <f>IF(COUNTA('Procyflo 27TC'!B371,'Procyflo 27TC'!C371,'Procyflo 27TC'!D371)&gt;0,"27TC","")</f>
        <v/>
      </c>
      <c r="AB870" t="str">
        <f>IFERROR(IF(ISNUMBER('Procyflo 27TC'!B371),'Procyflo 27TC'!B371,DATEVALUE('Procyflo 27TC'!B371)),"")</f>
        <v/>
      </c>
      <c r="AC870" t="str">
        <f>IF(AA870="","",'Procyflo 27TC'!C371)</f>
        <v/>
      </c>
      <c r="AD870" t="str">
        <f>IF(AA870="","",IFERROR(1*'Procyflo 27TC'!D371,IFERROR(_xludf.NUMBERVALUE('Procyflo 27TC'!D371,".",","),IFERROR(_xludf.NUMBERVALUE('Procyflo 27TC'!D371,",","."),0))))</f>
        <v/>
      </c>
      <c r="AE870" t="str">
        <f>IF(AA870="","",'Procyflo 27TC'!N371)</f>
        <v/>
      </c>
      <c r="AF870">
        <f t="shared" si="95"/>
        <v>0</v>
      </c>
      <c r="AG870" t="str">
        <f t="shared" si="96"/>
        <v/>
      </c>
      <c r="AH870" t="str">
        <f t="shared" si="97"/>
        <v/>
      </c>
      <c r="AI870">
        <f t="shared" si="98"/>
        <v>0</v>
      </c>
      <c r="AJ870">
        <f t="shared" si="99"/>
        <v>0</v>
      </c>
      <c r="AK870">
        <v>0</v>
      </c>
      <c r="AL870" t="str">
        <f>IF(AA870="","",IFERROR(IF(ISNUMBER('Procyflo 27TC'!E371),'Procyflo 27TC'!E371,IF(ISNUMBER(SEARCH("12",'Procyflo 27TC'!E371)),EDATE(AB870,12),IF(ISNUMBER(SEARCH("6",'Procyflo 27TC'!E371)),EDATE(AB870,6),IF(ISNUMBER(SEARCH("3",'Procyflo 27TC'!E371)),EDATE(AB870,3),DATEVALUE('Procyflo 27TC'!E371))))),""))</f>
        <v/>
      </c>
      <c r="AM870" t="str">
        <f t="shared" ca="1" si="100"/>
        <v/>
      </c>
    </row>
    <row r="871" spans="27:39" x14ac:dyDescent="0.3">
      <c r="AA871" t="str">
        <f>IF(COUNTA('Procyflo 27TC'!B372,'Procyflo 27TC'!C372,'Procyflo 27TC'!D372)&gt;0,"27TC","")</f>
        <v/>
      </c>
      <c r="AB871" t="str">
        <f>IFERROR(IF(ISNUMBER('Procyflo 27TC'!B372),'Procyflo 27TC'!B372,DATEVALUE('Procyflo 27TC'!B372)),"")</f>
        <v/>
      </c>
      <c r="AC871" t="str">
        <f>IF(AA871="","",'Procyflo 27TC'!C372)</f>
        <v/>
      </c>
      <c r="AD871" t="str">
        <f>IF(AA871="","",IFERROR(1*'Procyflo 27TC'!D372,IFERROR(_xludf.NUMBERVALUE('Procyflo 27TC'!D372,".",","),IFERROR(_xludf.NUMBERVALUE('Procyflo 27TC'!D372,",","."),0))))</f>
        <v/>
      </c>
      <c r="AE871" t="str">
        <f>IF(AA871="","",'Procyflo 27TC'!N372)</f>
        <v/>
      </c>
      <c r="AF871">
        <f t="shared" si="95"/>
        <v>0</v>
      </c>
      <c r="AG871" t="str">
        <f t="shared" si="96"/>
        <v/>
      </c>
      <c r="AH871" t="str">
        <f t="shared" si="97"/>
        <v/>
      </c>
      <c r="AI871">
        <f t="shared" si="98"/>
        <v>0</v>
      </c>
      <c r="AJ871">
        <f t="shared" si="99"/>
        <v>0</v>
      </c>
      <c r="AK871">
        <v>0</v>
      </c>
      <c r="AL871" t="str">
        <f>IF(AA871="","",IFERROR(IF(ISNUMBER('Procyflo 27TC'!E372),'Procyflo 27TC'!E372,IF(ISNUMBER(SEARCH("12",'Procyflo 27TC'!E372)),EDATE(AB871,12),IF(ISNUMBER(SEARCH("6",'Procyflo 27TC'!E372)),EDATE(AB871,6),IF(ISNUMBER(SEARCH("3",'Procyflo 27TC'!E372)),EDATE(AB871,3),DATEVALUE('Procyflo 27TC'!E372))))),""))</f>
        <v/>
      </c>
      <c r="AM871" t="str">
        <f t="shared" ca="1" si="100"/>
        <v/>
      </c>
    </row>
    <row r="872" spans="27:39" x14ac:dyDescent="0.3">
      <c r="AA872" t="str">
        <f>IF(COUNTA('Procyflo 27TC'!B373,'Procyflo 27TC'!C373,'Procyflo 27TC'!D373)&gt;0,"27TC","")</f>
        <v/>
      </c>
      <c r="AB872" t="str">
        <f>IFERROR(IF(ISNUMBER('Procyflo 27TC'!B373),'Procyflo 27TC'!B373,DATEVALUE('Procyflo 27TC'!B373)),"")</f>
        <v/>
      </c>
      <c r="AC872" t="str">
        <f>IF(AA872="","",'Procyflo 27TC'!C373)</f>
        <v/>
      </c>
      <c r="AD872" t="str">
        <f>IF(AA872="","",IFERROR(1*'Procyflo 27TC'!D373,IFERROR(_xludf.NUMBERVALUE('Procyflo 27TC'!D373,".",","),IFERROR(_xludf.NUMBERVALUE('Procyflo 27TC'!D373,",","."),0))))</f>
        <v/>
      </c>
      <c r="AE872" t="str">
        <f>IF(AA872="","",'Procyflo 27TC'!N373)</f>
        <v/>
      </c>
      <c r="AF872">
        <f t="shared" si="95"/>
        <v>0</v>
      </c>
      <c r="AG872" t="str">
        <f t="shared" si="96"/>
        <v/>
      </c>
      <c r="AH872" t="str">
        <f t="shared" si="97"/>
        <v/>
      </c>
      <c r="AI872">
        <f t="shared" si="98"/>
        <v>0</v>
      </c>
      <c r="AJ872">
        <f t="shared" si="99"/>
        <v>0</v>
      </c>
      <c r="AK872">
        <v>0</v>
      </c>
      <c r="AL872" t="str">
        <f>IF(AA872="","",IFERROR(IF(ISNUMBER('Procyflo 27TC'!E373),'Procyflo 27TC'!E373,IF(ISNUMBER(SEARCH("12",'Procyflo 27TC'!E373)),EDATE(AB872,12),IF(ISNUMBER(SEARCH("6",'Procyflo 27TC'!E373)),EDATE(AB872,6),IF(ISNUMBER(SEARCH("3",'Procyflo 27TC'!E373)),EDATE(AB872,3),DATEVALUE('Procyflo 27TC'!E373))))),""))</f>
        <v/>
      </c>
      <c r="AM872" t="str">
        <f t="shared" ca="1" si="100"/>
        <v/>
      </c>
    </row>
    <row r="873" spans="27:39" x14ac:dyDescent="0.3">
      <c r="AA873" t="str">
        <f>IF(COUNTA('Procyflo 27TC'!B374,'Procyflo 27TC'!C374,'Procyflo 27TC'!D374)&gt;0,"27TC","")</f>
        <v/>
      </c>
      <c r="AB873" t="str">
        <f>IFERROR(IF(ISNUMBER('Procyflo 27TC'!B374),'Procyflo 27TC'!B374,DATEVALUE('Procyflo 27TC'!B374)),"")</f>
        <v/>
      </c>
      <c r="AC873" t="str">
        <f>IF(AA873="","",'Procyflo 27TC'!C374)</f>
        <v/>
      </c>
      <c r="AD873" t="str">
        <f>IF(AA873="","",IFERROR(1*'Procyflo 27TC'!D374,IFERROR(_xludf.NUMBERVALUE('Procyflo 27TC'!D374,".",","),IFERROR(_xludf.NUMBERVALUE('Procyflo 27TC'!D374,",","."),0))))</f>
        <v/>
      </c>
      <c r="AE873" t="str">
        <f>IF(AA873="","",'Procyflo 27TC'!N374)</f>
        <v/>
      </c>
      <c r="AF873">
        <f t="shared" si="95"/>
        <v>0</v>
      </c>
      <c r="AG873" t="str">
        <f t="shared" si="96"/>
        <v/>
      </c>
      <c r="AH873" t="str">
        <f t="shared" si="97"/>
        <v/>
      </c>
      <c r="AI873">
        <f t="shared" si="98"/>
        <v>0</v>
      </c>
      <c r="AJ873">
        <f t="shared" si="99"/>
        <v>0</v>
      </c>
      <c r="AK873">
        <v>0</v>
      </c>
      <c r="AL873" t="str">
        <f>IF(AA873="","",IFERROR(IF(ISNUMBER('Procyflo 27TC'!E374),'Procyflo 27TC'!E374,IF(ISNUMBER(SEARCH("12",'Procyflo 27TC'!E374)),EDATE(AB873,12),IF(ISNUMBER(SEARCH("6",'Procyflo 27TC'!E374)),EDATE(AB873,6),IF(ISNUMBER(SEARCH("3",'Procyflo 27TC'!E374)),EDATE(AB873,3),DATEVALUE('Procyflo 27TC'!E374))))),""))</f>
        <v/>
      </c>
      <c r="AM873" t="str">
        <f t="shared" ca="1" si="100"/>
        <v/>
      </c>
    </row>
    <row r="874" spans="27:39" x14ac:dyDescent="0.3">
      <c r="AA874" t="str">
        <f>IF(COUNTA('Procyflo 27TC'!B375,'Procyflo 27TC'!C375,'Procyflo 27TC'!D375)&gt;0,"27TC","")</f>
        <v/>
      </c>
      <c r="AB874" t="str">
        <f>IFERROR(IF(ISNUMBER('Procyflo 27TC'!B375),'Procyflo 27TC'!B375,DATEVALUE('Procyflo 27TC'!B375)),"")</f>
        <v/>
      </c>
      <c r="AC874" t="str">
        <f>IF(AA874="","",'Procyflo 27TC'!C375)</f>
        <v/>
      </c>
      <c r="AD874" t="str">
        <f>IF(AA874="","",IFERROR(1*'Procyflo 27TC'!D375,IFERROR(_xludf.NUMBERVALUE('Procyflo 27TC'!D375,".",","),IFERROR(_xludf.NUMBERVALUE('Procyflo 27TC'!D375,",","."),0))))</f>
        <v/>
      </c>
      <c r="AE874" t="str">
        <f>IF(AA874="","",'Procyflo 27TC'!N375)</f>
        <v/>
      </c>
      <c r="AF874">
        <f t="shared" si="95"/>
        <v>0</v>
      </c>
      <c r="AG874" t="str">
        <f t="shared" si="96"/>
        <v/>
      </c>
      <c r="AH874" t="str">
        <f t="shared" si="97"/>
        <v/>
      </c>
      <c r="AI874">
        <f t="shared" si="98"/>
        <v>0</v>
      </c>
      <c r="AJ874">
        <f t="shared" si="99"/>
        <v>0</v>
      </c>
      <c r="AK874">
        <v>0</v>
      </c>
      <c r="AL874" t="str">
        <f>IF(AA874="","",IFERROR(IF(ISNUMBER('Procyflo 27TC'!E375),'Procyflo 27TC'!E375,IF(ISNUMBER(SEARCH("12",'Procyflo 27TC'!E375)),EDATE(AB874,12),IF(ISNUMBER(SEARCH("6",'Procyflo 27TC'!E375)),EDATE(AB874,6),IF(ISNUMBER(SEARCH("3",'Procyflo 27TC'!E375)),EDATE(AB874,3),DATEVALUE('Procyflo 27TC'!E375))))),""))</f>
        <v/>
      </c>
      <c r="AM874" t="str">
        <f t="shared" ca="1" si="100"/>
        <v/>
      </c>
    </row>
    <row r="875" spans="27:39" x14ac:dyDescent="0.3">
      <c r="AA875" t="str">
        <f>IF(COUNTA('Procyflo 27TC'!B376,'Procyflo 27TC'!C376,'Procyflo 27TC'!D376)&gt;0,"27TC","")</f>
        <v/>
      </c>
      <c r="AB875" t="str">
        <f>IFERROR(IF(ISNUMBER('Procyflo 27TC'!B376),'Procyflo 27TC'!B376,DATEVALUE('Procyflo 27TC'!B376)),"")</f>
        <v/>
      </c>
      <c r="AC875" t="str">
        <f>IF(AA875="","",'Procyflo 27TC'!C376)</f>
        <v/>
      </c>
      <c r="AD875" t="str">
        <f>IF(AA875="","",IFERROR(1*'Procyflo 27TC'!D376,IFERROR(_xludf.NUMBERVALUE('Procyflo 27TC'!D376,".",","),IFERROR(_xludf.NUMBERVALUE('Procyflo 27TC'!D376,",","."),0))))</f>
        <v/>
      </c>
      <c r="AE875" t="str">
        <f>IF(AA875="","",'Procyflo 27TC'!N376)</f>
        <v/>
      </c>
      <c r="AF875">
        <f t="shared" si="95"/>
        <v>0</v>
      </c>
      <c r="AG875" t="str">
        <f t="shared" si="96"/>
        <v/>
      </c>
      <c r="AH875" t="str">
        <f t="shared" si="97"/>
        <v/>
      </c>
      <c r="AI875">
        <f t="shared" si="98"/>
        <v>0</v>
      </c>
      <c r="AJ875">
        <f t="shared" si="99"/>
        <v>0</v>
      </c>
      <c r="AK875">
        <v>0</v>
      </c>
      <c r="AL875" t="str">
        <f>IF(AA875="","",IFERROR(IF(ISNUMBER('Procyflo 27TC'!E376),'Procyflo 27TC'!E376,IF(ISNUMBER(SEARCH("12",'Procyflo 27TC'!E376)),EDATE(AB875,12),IF(ISNUMBER(SEARCH("6",'Procyflo 27TC'!E376)),EDATE(AB875,6),IF(ISNUMBER(SEARCH("3",'Procyflo 27TC'!E376)),EDATE(AB875,3),DATEVALUE('Procyflo 27TC'!E376))))),""))</f>
        <v/>
      </c>
      <c r="AM875" t="str">
        <f t="shared" ca="1" si="100"/>
        <v/>
      </c>
    </row>
    <row r="876" spans="27:39" x14ac:dyDescent="0.3">
      <c r="AA876" t="str">
        <f>IF(COUNTA('Procyflo 27TC'!B377,'Procyflo 27TC'!C377,'Procyflo 27TC'!D377)&gt;0,"27TC","")</f>
        <v/>
      </c>
      <c r="AB876" t="str">
        <f>IFERROR(IF(ISNUMBER('Procyflo 27TC'!B377),'Procyflo 27TC'!B377,DATEVALUE('Procyflo 27TC'!B377)),"")</f>
        <v/>
      </c>
      <c r="AC876" t="str">
        <f>IF(AA876="","",'Procyflo 27TC'!C377)</f>
        <v/>
      </c>
      <c r="AD876" t="str">
        <f>IF(AA876="","",IFERROR(1*'Procyflo 27TC'!D377,IFERROR(_xludf.NUMBERVALUE('Procyflo 27TC'!D377,".",","),IFERROR(_xludf.NUMBERVALUE('Procyflo 27TC'!D377,",","."),0))))</f>
        <v/>
      </c>
      <c r="AE876" t="str">
        <f>IF(AA876="","",'Procyflo 27TC'!N377)</f>
        <v/>
      </c>
      <c r="AF876">
        <f t="shared" si="95"/>
        <v>0</v>
      </c>
      <c r="AG876" t="str">
        <f t="shared" si="96"/>
        <v/>
      </c>
      <c r="AH876" t="str">
        <f t="shared" si="97"/>
        <v/>
      </c>
      <c r="AI876">
        <f t="shared" si="98"/>
        <v>0</v>
      </c>
      <c r="AJ876">
        <f t="shared" si="99"/>
        <v>0</v>
      </c>
      <c r="AK876">
        <v>0</v>
      </c>
      <c r="AL876" t="str">
        <f>IF(AA876="","",IFERROR(IF(ISNUMBER('Procyflo 27TC'!E377),'Procyflo 27TC'!E377,IF(ISNUMBER(SEARCH("12",'Procyflo 27TC'!E377)),EDATE(AB876,12),IF(ISNUMBER(SEARCH("6",'Procyflo 27TC'!E377)),EDATE(AB876,6),IF(ISNUMBER(SEARCH("3",'Procyflo 27TC'!E377)),EDATE(AB876,3),DATEVALUE('Procyflo 27TC'!E377))))),""))</f>
        <v/>
      </c>
      <c r="AM876" t="str">
        <f t="shared" ca="1" si="100"/>
        <v/>
      </c>
    </row>
    <row r="877" spans="27:39" x14ac:dyDescent="0.3">
      <c r="AA877" t="str">
        <f>IF(COUNTA('Procyflo 27TC'!B378,'Procyflo 27TC'!C378,'Procyflo 27TC'!D378)&gt;0,"27TC","")</f>
        <v/>
      </c>
      <c r="AB877" t="str">
        <f>IFERROR(IF(ISNUMBER('Procyflo 27TC'!B378),'Procyflo 27TC'!B378,DATEVALUE('Procyflo 27TC'!B378)),"")</f>
        <v/>
      </c>
      <c r="AC877" t="str">
        <f>IF(AA877="","",'Procyflo 27TC'!C378)</f>
        <v/>
      </c>
      <c r="AD877" t="str">
        <f>IF(AA877="","",IFERROR(1*'Procyflo 27TC'!D378,IFERROR(_xludf.NUMBERVALUE('Procyflo 27TC'!D378,".",","),IFERROR(_xludf.NUMBERVALUE('Procyflo 27TC'!D378,",","."),0))))</f>
        <v/>
      </c>
      <c r="AE877" t="str">
        <f>IF(AA877="","",'Procyflo 27TC'!N378)</f>
        <v/>
      </c>
      <c r="AF877">
        <f t="shared" si="95"/>
        <v>0</v>
      </c>
      <c r="AG877" t="str">
        <f t="shared" si="96"/>
        <v/>
      </c>
      <c r="AH877" t="str">
        <f t="shared" si="97"/>
        <v/>
      </c>
      <c r="AI877">
        <f t="shared" si="98"/>
        <v>0</v>
      </c>
      <c r="AJ877">
        <f t="shared" si="99"/>
        <v>0</v>
      </c>
      <c r="AK877">
        <v>0</v>
      </c>
      <c r="AL877" t="str">
        <f>IF(AA877="","",IFERROR(IF(ISNUMBER('Procyflo 27TC'!E378),'Procyflo 27TC'!E378,IF(ISNUMBER(SEARCH("12",'Procyflo 27TC'!E378)),EDATE(AB877,12),IF(ISNUMBER(SEARCH("6",'Procyflo 27TC'!E378)),EDATE(AB877,6),IF(ISNUMBER(SEARCH("3",'Procyflo 27TC'!E378)),EDATE(AB877,3),DATEVALUE('Procyflo 27TC'!E378))))),""))</f>
        <v/>
      </c>
      <c r="AM877" t="str">
        <f t="shared" ca="1" si="100"/>
        <v/>
      </c>
    </row>
    <row r="878" spans="27:39" x14ac:dyDescent="0.3">
      <c r="AA878" t="str">
        <f>IF(COUNTA('Procyflo 27TC'!B379,'Procyflo 27TC'!C379,'Procyflo 27TC'!D379)&gt;0,"27TC","")</f>
        <v/>
      </c>
      <c r="AB878" t="str">
        <f>IFERROR(IF(ISNUMBER('Procyflo 27TC'!B379),'Procyflo 27TC'!B379,DATEVALUE('Procyflo 27TC'!B379)),"")</f>
        <v/>
      </c>
      <c r="AC878" t="str">
        <f>IF(AA878="","",'Procyflo 27TC'!C379)</f>
        <v/>
      </c>
      <c r="AD878" t="str">
        <f>IF(AA878="","",IFERROR(1*'Procyflo 27TC'!D379,IFERROR(_xludf.NUMBERVALUE('Procyflo 27TC'!D379,".",","),IFERROR(_xludf.NUMBERVALUE('Procyflo 27TC'!D379,",","."),0))))</f>
        <v/>
      </c>
      <c r="AE878" t="str">
        <f>IF(AA878="","",'Procyflo 27TC'!N379)</f>
        <v/>
      </c>
      <c r="AF878">
        <f t="shared" si="95"/>
        <v>0</v>
      </c>
      <c r="AG878" t="str">
        <f t="shared" si="96"/>
        <v/>
      </c>
      <c r="AH878" t="str">
        <f t="shared" si="97"/>
        <v/>
      </c>
      <c r="AI878">
        <f t="shared" si="98"/>
        <v>0</v>
      </c>
      <c r="AJ878">
        <f t="shared" si="99"/>
        <v>0</v>
      </c>
      <c r="AK878">
        <v>0</v>
      </c>
      <c r="AL878" t="str">
        <f>IF(AA878="","",IFERROR(IF(ISNUMBER('Procyflo 27TC'!E379),'Procyflo 27TC'!E379,IF(ISNUMBER(SEARCH("12",'Procyflo 27TC'!E379)),EDATE(AB878,12),IF(ISNUMBER(SEARCH("6",'Procyflo 27TC'!E379)),EDATE(AB878,6),IF(ISNUMBER(SEARCH("3",'Procyflo 27TC'!E379)),EDATE(AB878,3),DATEVALUE('Procyflo 27TC'!E379))))),""))</f>
        <v/>
      </c>
      <c r="AM878" t="str">
        <f t="shared" ca="1" si="100"/>
        <v/>
      </c>
    </row>
    <row r="879" spans="27:39" x14ac:dyDescent="0.3">
      <c r="AA879" t="str">
        <f>IF(COUNTA('Procyflo 27TC'!B380,'Procyflo 27TC'!C380,'Procyflo 27TC'!D380)&gt;0,"27TC","")</f>
        <v/>
      </c>
      <c r="AB879" t="str">
        <f>IFERROR(IF(ISNUMBER('Procyflo 27TC'!B380),'Procyflo 27TC'!B380,DATEVALUE('Procyflo 27TC'!B380)),"")</f>
        <v/>
      </c>
      <c r="AC879" t="str">
        <f>IF(AA879="","",'Procyflo 27TC'!C380)</f>
        <v/>
      </c>
      <c r="AD879" t="str">
        <f>IF(AA879="","",IFERROR(1*'Procyflo 27TC'!D380,IFERROR(_xludf.NUMBERVALUE('Procyflo 27TC'!D380,".",","),IFERROR(_xludf.NUMBERVALUE('Procyflo 27TC'!D380,",","."),0))))</f>
        <v/>
      </c>
      <c r="AE879" t="str">
        <f>IF(AA879="","",'Procyflo 27TC'!N380)</f>
        <v/>
      </c>
      <c r="AF879">
        <f t="shared" si="95"/>
        <v>0</v>
      </c>
      <c r="AG879" t="str">
        <f t="shared" si="96"/>
        <v/>
      </c>
      <c r="AH879" t="str">
        <f t="shared" si="97"/>
        <v/>
      </c>
      <c r="AI879">
        <f t="shared" si="98"/>
        <v>0</v>
      </c>
      <c r="AJ879">
        <f t="shared" si="99"/>
        <v>0</v>
      </c>
      <c r="AK879">
        <v>0</v>
      </c>
      <c r="AL879" t="str">
        <f>IF(AA879="","",IFERROR(IF(ISNUMBER('Procyflo 27TC'!E380),'Procyflo 27TC'!E380,IF(ISNUMBER(SEARCH("12",'Procyflo 27TC'!E380)),EDATE(AB879,12),IF(ISNUMBER(SEARCH("6",'Procyflo 27TC'!E380)),EDATE(AB879,6),IF(ISNUMBER(SEARCH("3",'Procyflo 27TC'!E380)),EDATE(AB879,3),DATEVALUE('Procyflo 27TC'!E380))))),""))</f>
        <v/>
      </c>
      <c r="AM879" t="str">
        <f t="shared" ca="1" si="100"/>
        <v/>
      </c>
    </row>
    <row r="880" spans="27:39" x14ac:dyDescent="0.3">
      <c r="AA880" t="str">
        <f>IF(COUNTA('Procyflo 27TC'!B381,'Procyflo 27TC'!C381,'Procyflo 27TC'!D381)&gt;0,"27TC","")</f>
        <v/>
      </c>
      <c r="AB880" t="str">
        <f>IFERROR(IF(ISNUMBER('Procyflo 27TC'!B381),'Procyflo 27TC'!B381,DATEVALUE('Procyflo 27TC'!B381)),"")</f>
        <v/>
      </c>
      <c r="AC880" t="str">
        <f>IF(AA880="","",'Procyflo 27TC'!C381)</f>
        <v/>
      </c>
      <c r="AD880" t="str">
        <f>IF(AA880="","",IFERROR(1*'Procyflo 27TC'!D381,IFERROR(_xludf.NUMBERVALUE('Procyflo 27TC'!D381,".",","),IFERROR(_xludf.NUMBERVALUE('Procyflo 27TC'!D381,",","."),0))))</f>
        <v/>
      </c>
      <c r="AE880" t="str">
        <f>IF(AA880="","",'Procyflo 27TC'!N381)</f>
        <v/>
      </c>
      <c r="AF880">
        <f t="shared" si="95"/>
        <v>0</v>
      </c>
      <c r="AG880" t="str">
        <f t="shared" si="96"/>
        <v/>
      </c>
      <c r="AH880" t="str">
        <f t="shared" si="97"/>
        <v/>
      </c>
      <c r="AI880">
        <f t="shared" si="98"/>
        <v>0</v>
      </c>
      <c r="AJ880">
        <f t="shared" si="99"/>
        <v>0</v>
      </c>
      <c r="AK880">
        <v>0</v>
      </c>
      <c r="AL880" t="str">
        <f>IF(AA880="","",IFERROR(IF(ISNUMBER('Procyflo 27TC'!E381),'Procyflo 27TC'!E381,IF(ISNUMBER(SEARCH("12",'Procyflo 27TC'!E381)),EDATE(AB880,12),IF(ISNUMBER(SEARCH("6",'Procyflo 27TC'!E381)),EDATE(AB880,6),IF(ISNUMBER(SEARCH("3",'Procyflo 27TC'!E381)),EDATE(AB880,3),DATEVALUE('Procyflo 27TC'!E381))))),""))</f>
        <v/>
      </c>
      <c r="AM880" t="str">
        <f t="shared" ca="1" si="100"/>
        <v/>
      </c>
    </row>
    <row r="881" spans="27:39" x14ac:dyDescent="0.3">
      <c r="AA881" t="str">
        <f>IF(COUNTA('Procyflo 27TC'!B382,'Procyflo 27TC'!C382,'Procyflo 27TC'!D382)&gt;0,"27TC","")</f>
        <v/>
      </c>
      <c r="AB881" t="str">
        <f>IFERROR(IF(ISNUMBER('Procyflo 27TC'!B382),'Procyflo 27TC'!B382,DATEVALUE('Procyflo 27TC'!B382)),"")</f>
        <v/>
      </c>
      <c r="AC881" t="str">
        <f>IF(AA881="","",'Procyflo 27TC'!C382)</f>
        <v/>
      </c>
      <c r="AD881" t="str">
        <f>IF(AA881="","",IFERROR(1*'Procyflo 27TC'!D382,IFERROR(_xludf.NUMBERVALUE('Procyflo 27TC'!D382,".",","),IFERROR(_xludf.NUMBERVALUE('Procyflo 27TC'!D382,",","."),0))))</f>
        <v/>
      </c>
      <c r="AE881" t="str">
        <f>IF(AA881="","",'Procyflo 27TC'!N382)</f>
        <v/>
      </c>
      <c r="AF881">
        <f t="shared" si="95"/>
        <v>0</v>
      </c>
      <c r="AG881" t="str">
        <f t="shared" si="96"/>
        <v/>
      </c>
      <c r="AH881" t="str">
        <f t="shared" si="97"/>
        <v/>
      </c>
      <c r="AI881">
        <f t="shared" si="98"/>
        <v>0</v>
      </c>
      <c r="AJ881">
        <f t="shared" si="99"/>
        <v>0</v>
      </c>
      <c r="AK881">
        <v>0</v>
      </c>
      <c r="AL881" t="str">
        <f>IF(AA881="","",IFERROR(IF(ISNUMBER('Procyflo 27TC'!E382),'Procyflo 27TC'!E382,IF(ISNUMBER(SEARCH("12",'Procyflo 27TC'!E382)),EDATE(AB881,12),IF(ISNUMBER(SEARCH("6",'Procyflo 27TC'!E382)),EDATE(AB881,6),IF(ISNUMBER(SEARCH("3",'Procyflo 27TC'!E382)),EDATE(AB881,3),DATEVALUE('Procyflo 27TC'!E382))))),""))</f>
        <v/>
      </c>
      <c r="AM881" t="str">
        <f t="shared" ca="1" si="100"/>
        <v/>
      </c>
    </row>
    <row r="882" spans="27:39" x14ac:dyDescent="0.3">
      <c r="AA882" t="str">
        <f>IF(COUNTA('Procyflo 27TC'!B383,'Procyflo 27TC'!C383,'Procyflo 27TC'!D383)&gt;0,"27TC","")</f>
        <v/>
      </c>
      <c r="AB882" t="str">
        <f>IFERROR(IF(ISNUMBER('Procyflo 27TC'!B383),'Procyflo 27TC'!B383,DATEVALUE('Procyflo 27TC'!B383)),"")</f>
        <v/>
      </c>
      <c r="AC882" t="str">
        <f>IF(AA882="","",'Procyflo 27TC'!C383)</f>
        <v/>
      </c>
      <c r="AD882" t="str">
        <f>IF(AA882="","",IFERROR(1*'Procyflo 27TC'!D383,IFERROR(_xludf.NUMBERVALUE('Procyflo 27TC'!D383,".",","),IFERROR(_xludf.NUMBERVALUE('Procyflo 27TC'!D383,",","."),0))))</f>
        <v/>
      </c>
      <c r="AE882" t="str">
        <f>IF(AA882="","",'Procyflo 27TC'!N383)</f>
        <v/>
      </c>
      <c r="AF882">
        <f t="shared" si="95"/>
        <v>0</v>
      </c>
      <c r="AG882" t="str">
        <f t="shared" si="96"/>
        <v/>
      </c>
      <c r="AH882" t="str">
        <f t="shared" si="97"/>
        <v/>
      </c>
      <c r="AI882">
        <f t="shared" si="98"/>
        <v>0</v>
      </c>
      <c r="AJ882">
        <f t="shared" si="99"/>
        <v>0</v>
      </c>
      <c r="AK882">
        <v>0</v>
      </c>
      <c r="AL882" t="str">
        <f>IF(AA882="","",IFERROR(IF(ISNUMBER('Procyflo 27TC'!E383),'Procyflo 27TC'!E383,IF(ISNUMBER(SEARCH("12",'Procyflo 27TC'!E383)),EDATE(AB882,12),IF(ISNUMBER(SEARCH("6",'Procyflo 27TC'!E383)),EDATE(AB882,6),IF(ISNUMBER(SEARCH("3",'Procyflo 27TC'!E383)),EDATE(AB882,3),DATEVALUE('Procyflo 27TC'!E383))))),""))</f>
        <v/>
      </c>
      <c r="AM882" t="str">
        <f t="shared" ca="1" si="100"/>
        <v/>
      </c>
    </row>
    <row r="883" spans="27:39" x14ac:dyDescent="0.3">
      <c r="AA883" t="str">
        <f>IF(COUNTA('Procyflo 27TC'!B384,'Procyflo 27TC'!C384,'Procyflo 27TC'!D384)&gt;0,"27TC","")</f>
        <v/>
      </c>
      <c r="AB883" t="str">
        <f>IFERROR(IF(ISNUMBER('Procyflo 27TC'!B384),'Procyflo 27TC'!B384,DATEVALUE('Procyflo 27TC'!B384)),"")</f>
        <v/>
      </c>
      <c r="AC883" t="str">
        <f>IF(AA883="","",'Procyflo 27TC'!C384)</f>
        <v/>
      </c>
      <c r="AD883" t="str">
        <f>IF(AA883="","",IFERROR(1*'Procyflo 27TC'!D384,IFERROR(_xludf.NUMBERVALUE('Procyflo 27TC'!D384,".",","),IFERROR(_xludf.NUMBERVALUE('Procyflo 27TC'!D384,",","."),0))))</f>
        <v/>
      </c>
      <c r="AE883" t="str">
        <f>IF(AA883="","",'Procyflo 27TC'!N384)</f>
        <v/>
      </c>
      <c r="AF883">
        <f t="shared" si="95"/>
        <v>0</v>
      </c>
      <c r="AG883" t="str">
        <f t="shared" si="96"/>
        <v/>
      </c>
      <c r="AH883" t="str">
        <f t="shared" si="97"/>
        <v/>
      </c>
      <c r="AI883">
        <f t="shared" si="98"/>
        <v>0</v>
      </c>
      <c r="AJ883">
        <f t="shared" si="99"/>
        <v>0</v>
      </c>
      <c r="AK883">
        <v>0</v>
      </c>
      <c r="AL883" t="str">
        <f>IF(AA883="","",IFERROR(IF(ISNUMBER('Procyflo 27TC'!E384),'Procyflo 27TC'!E384,IF(ISNUMBER(SEARCH("12",'Procyflo 27TC'!E384)),EDATE(AB883,12),IF(ISNUMBER(SEARCH("6",'Procyflo 27TC'!E384)),EDATE(AB883,6),IF(ISNUMBER(SEARCH("3",'Procyflo 27TC'!E384)),EDATE(AB883,3),DATEVALUE('Procyflo 27TC'!E384))))),""))</f>
        <v/>
      </c>
      <c r="AM883" t="str">
        <f t="shared" ca="1" si="100"/>
        <v/>
      </c>
    </row>
    <row r="884" spans="27:39" x14ac:dyDescent="0.3">
      <c r="AA884" t="str">
        <f>IF(COUNTA('Procyflo 27TC'!B385,'Procyflo 27TC'!C385,'Procyflo 27TC'!D385)&gt;0,"27TC","")</f>
        <v/>
      </c>
      <c r="AB884" t="str">
        <f>IFERROR(IF(ISNUMBER('Procyflo 27TC'!B385),'Procyflo 27TC'!B385,DATEVALUE('Procyflo 27TC'!B385)),"")</f>
        <v/>
      </c>
      <c r="AC884" t="str">
        <f>IF(AA884="","",'Procyflo 27TC'!C385)</f>
        <v/>
      </c>
      <c r="AD884" t="str">
        <f>IF(AA884="","",IFERROR(1*'Procyflo 27TC'!D385,IFERROR(_xludf.NUMBERVALUE('Procyflo 27TC'!D385,".",","),IFERROR(_xludf.NUMBERVALUE('Procyflo 27TC'!D385,",","."),0))))</f>
        <v/>
      </c>
      <c r="AE884" t="str">
        <f>IF(AA884="","",'Procyflo 27TC'!N385)</f>
        <v/>
      </c>
      <c r="AF884">
        <f t="shared" si="95"/>
        <v>0</v>
      </c>
      <c r="AG884" t="str">
        <f t="shared" si="96"/>
        <v/>
      </c>
      <c r="AH884" t="str">
        <f t="shared" si="97"/>
        <v/>
      </c>
      <c r="AI884">
        <f t="shared" si="98"/>
        <v>0</v>
      </c>
      <c r="AJ884">
        <f t="shared" si="99"/>
        <v>0</v>
      </c>
      <c r="AK884">
        <v>0</v>
      </c>
      <c r="AL884" t="str">
        <f>IF(AA884="","",IFERROR(IF(ISNUMBER('Procyflo 27TC'!E385),'Procyflo 27TC'!E385,IF(ISNUMBER(SEARCH("12",'Procyflo 27TC'!E385)),EDATE(AB884,12),IF(ISNUMBER(SEARCH("6",'Procyflo 27TC'!E385)),EDATE(AB884,6),IF(ISNUMBER(SEARCH("3",'Procyflo 27TC'!E385)),EDATE(AB884,3),DATEVALUE('Procyflo 27TC'!E385))))),""))</f>
        <v/>
      </c>
      <c r="AM884" t="str">
        <f t="shared" ca="1" si="100"/>
        <v/>
      </c>
    </row>
    <row r="885" spans="27:39" x14ac:dyDescent="0.3">
      <c r="AA885" t="str">
        <f>IF(COUNTA('Procyflo 27TC'!B386,'Procyflo 27TC'!C386,'Procyflo 27TC'!D386)&gt;0,"27TC","")</f>
        <v/>
      </c>
      <c r="AB885" t="str">
        <f>IFERROR(IF(ISNUMBER('Procyflo 27TC'!B386),'Procyflo 27TC'!B386,DATEVALUE('Procyflo 27TC'!B386)),"")</f>
        <v/>
      </c>
      <c r="AC885" t="str">
        <f>IF(AA885="","",'Procyflo 27TC'!C386)</f>
        <v/>
      </c>
      <c r="AD885" t="str">
        <f>IF(AA885="","",IFERROR(1*'Procyflo 27TC'!D386,IFERROR(_xludf.NUMBERVALUE('Procyflo 27TC'!D386,".",","),IFERROR(_xludf.NUMBERVALUE('Procyflo 27TC'!D386,",","."),0))))</f>
        <v/>
      </c>
      <c r="AE885" t="str">
        <f>IF(AA885="","",'Procyflo 27TC'!N386)</f>
        <v/>
      </c>
      <c r="AF885">
        <f t="shared" si="95"/>
        <v>0</v>
      </c>
      <c r="AG885" t="str">
        <f t="shared" si="96"/>
        <v/>
      </c>
      <c r="AH885" t="str">
        <f t="shared" si="97"/>
        <v/>
      </c>
      <c r="AI885">
        <f t="shared" si="98"/>
        <v>0</v>
      </c>
      <c r="AJ885">
        <f t="shared" si="99"/>
        <v>0</v>
      </c>
      <c r="AK885">
        <v>0</v>
      </c>
      <c r="AL885" t="str">
        <f>IF(AA885="","",IFERROR(IF(ISNUMBER('Procyflo 27TC'!E386),'Procyflo 27TC'!E386,IF(ISNUMBER(SEARCH("12",'Procyflo 27TC'!E386)),EDATE(AB885,12),IF(ISNUMBER(SEARCH("6",'Procyflo 27TC'!E386)),EDATE(AB885,6),IF(ISNUMBER(SEARCH("3",'Procyflo 27TC'!E386)),EDATE(AB885,3),DATEVALUE('Procyflo 27TC'!E386))))),""))</f>
        <v/>
      </c>
      <c r="AM885" t="str">
        <f t="shared" ca="1" si="100"/>
        <v/>
      </c>
    </row>
    <row r="886" spans="27:39" x14ac:dyDescent="0.3">
      <c r="AA886" t="str">
        <f>IF(COUNTA('Procyflo 27TC'!B387,'Procyflo 27TC'!C387,'Procyflo 27TC'!D387)&gt;0,"27TC","")</f>
        <v/>
      </c>
      <c r="AB886" t="str">
        <f>IFERROR(IF(ISNUMBER('Procyflo 27TC'!B387),'Procyflo 27TC'!B387,DATEVALUE('Procyflo 27TC'!B387)),"")</f>
        <v/>
      </c>
      <c r="AC886" t="str">
        <f>IF(AA886="","",'Procyflo 27TC'!C387)</f>
        <v/>
      </c>
      <c r="AD886" t="str">
        <f>IF(AA886="","",IFERROR(1*'Procyflo 27TC'!D387,IFERROR(_xludf.NUMBERVALUE('Procyflo 27TC'!D387,".",","),IFERROR(_xludf.NUMBERVALUE('Procyflo 27TC'!D387,",","."),0))))</f>
        <v/>
      </c>
      <c r="AE886" t="str">
        <f>IF(AA886="","",'Procyflo 27TC'!N387)</f>
        <v/>
      </c>
      <c r="AF886">
        <f t="shared" si="95"/>
        <v>0</v>
      </c>
      <c r="AG886" t="str">
        <f t="shared" si="96"/>
        <v/>
      </c>
      <c r="AH886" t="str">
        <f t="shared" si="97"/>
        <v/>
      </c>
      <c r="AI886">
        <f t="shared" si="98"/>
        <v>0</v>
      </c>
      <c r="AJ886">
        <f t="shared" si="99"/>
        <v>0</v>
      </c>
      <c r="AK886">
        <v>0</v>
      </c>
      <c r="AL886" t="str">
        <f>IF(AA886="","",IFERROR(IF(ISNUMBER('Procyflo 27TC'!E387),'Procyflo 27TC'!E387,IF(ISNUMBER(SEARCH("12",'Procyflo 27TC'!E387)),EDATE(AB886,12),IF(ISNUMBER(SEARCH("6",'Procyflo 27TC'!E387)),EDATE(AB886,6),IF(ISNUMBER(SEARCH("3",'Procyflo 27TC'!E387)),EDATE(AB886,3),DATEVALUE('Procyflo 27TC'!E387))))),""))</f>
        <v/>
      </c>
      <c r="AM886" t="str">
        <f t="shared" ca="1" si="100"/>
        <v/>
      </c>
    </row>
    <row r="887" spans="27:39" x14ac:dyDescent="0.3">
      <c r="AA887" t="str">
        <f>IF(COUNTA('Procyflo 27TC'!B388,'Procyflo 27TC'!C388,'Procyflo 27TC'!D388)&gt;0,"27TC","")</f>
        <v/>
      </c>
      <c r="AB887" t="str">
        <f>IFERROR(IF(ISNUMBER('Procyflo 27TC'!B388),'Procyflo 27TC'!B388,DATEVALUE('Procyflo 27TC'!B388)),"")</f>
        <v/>
      </c>
      <c r="AC887" t="str">
        <f>IF(AA887="","",'Procyflo 27TC'!C388)</f>
        <v/>
      </c>
      <c r="AD887" t="str">
        <f>IF(AA887="","",IFERROR(1*'Procyflo 27TC'!D388,IFERROR(_xludf.NUMBERVALUE('Procyflo 27TC'!D388,".",","),IFERROR(_xludf.NUMBERVALUE('Procyflo 27TC'!D388,",","."),0))))</f>
        <v/>
      </c>
      <c r="AE887" t="str">
        <f>IF(AA887="","",'Procyflo 27TC'!N388)</f>
        <v/>
      </c>
      <c r="AF887">
        <f t="shared" si="95"/>
        <v>0</v>
      </c>
      <c r="AG887" t="str">
        <f t="shared" si="96"/>
        <v/>
      </c>
      <c r="AH887" t="str">
        <f t="shared" si="97"/>
        <v/>
      </c>
      <c r="AI887">
        <f t="shared" si="98"/>
        <v>0</v>
      </c>
      <c r="AJ887">
        <f t="shared" si="99"/>
        <v>0</v>
      </c>
      <c r="AK887">
        <v>0</v>
      </c>
      <c r="AL887" t="str">
        <f>IF(AA887="","",IFERROR(IF(ISNUMBER('Procyflo 27TC'!E388),'Procyflo 27TC'!E388,IF(ISNUMBER(SEARCH("12",'Procyflo 27TC'!E388)),EDATE(AB887,12),IF(ISNUMBER(SEARCH("6",'Procyflo 27TC'!E388)),EDATE(AB887,6),IF(ISNUMBER(SEARCH("3",'Procyflo 27TC'!E388)),EDATE(AB887,3),DATEVALUE('Procyflo 27TC'!E388))))),""))</f>
        <v/>
      </c>
      <c r="AM887" t="str">
        <f t="shared" ca="1" si="100"/>
        <v/>
      </c>
    </row>
    <row r="888" spans="27:39" x14ac:dyDescent="0.3">
      <c r="AA888" t="str">
        <f>IF(COUNTA('Procyflo 27TC'!B389,'Procyflo 27TC'!C389,'Procyflo 27TC'!D389)&gt;0,"27TC","")</f>
        <v/>
      </c>
      <c r="AB888" t="str">
        <f>IFERROR(IF(ISNUMBER('Procyflo 27TC'!B389),'Procyflo 27TC'!B389,DATEVALUE('Procyflo 27TC'!B389)),"")</f>
        <v/>
      </c>
      <c r="AC888" t="str">
        <f>IF(AA888="","",'Procyflo 27TC'!C389)</f>
        <v/>
      </c>
      <c r="AD888" t="str">
        <f>IF(AA888="","",IFERROR(1*'Procyflo 27TC'!D389,IFERROR(_xludf.NUMBERVALUE('Procyflo 27TC'!D389,".",","),IFERROR(_xludf.NUMBERVALUE('Procyflo 27TC'!D389,",","."),0))))</f>
        <v/>
      </c>
      <c r="AE888" t="str">
        <f>IF(AA888="","",'Procyflo 27TC'!N389)</f>
        <v/>
      </c>
      <c r="AF888">
        <f t="shared" si="95"/>
        <v>0</v>
      </c>
      <c r="AG888" t="str">
        <f t="shared" si="96"/>
        <v/>
      </c>
      <c r="AH888" t="str">
        <f t="shared" si="97"/>
        <v/>
      </c>
      <c r="AI888">
        <f t="shared" si="98"/>
        <v>0</v>
      </c>
      <c r="AJ888">
        <f t="shared" si="99"/>
        <v>0</v>
      </c>
      <c r="AK888">
        <v>0</v>
      </c>
      <c r="AL888" t="str">
        <f>IF(AA888="","",IFERROR(IF(ISNUMBER('Procyflo 27TC'!E389),'Procyflo 27TC'!E389,IF(ISNUMBER(SEARCH("12",'Procyflo 27TC'!E389)),EDATE(AB888,12),IF(ISNUMBER(SEARCH("6",'Procyflo 27TC'!E389)),EDATE(AB888,6),IF(ISNUMBER(SEARCH("3",'Procyflo 27TC'!E389)),EDATE(AB888,3),DATEVALUE('Procyflo 27TC'!E389))))),""))</f>
        <v/>
      </c>
      <c r="AM888" t="str">
        <f t="shared" ca="1" si="100"/>
        <v/>
      </c>
    </row>
    <row r="889" spans="27:39" x14ac:dyDescent="0.3">
      <c r="AA889" t="str">
        <f>IF(COUNTA('Procyflo 27TC'!B390,'Procyflo 27TC'!C390,'Procyflo 27TC'!D390)&gt;0,"27TC","")</f>
        <v/>
      </c>
      <c r="AB889" t="str">
        <f>IFERROR(IF(ISNUMBER('Procyflo 27TC'!B390),'Procyflo 27TC'!B390,DATEVALUE('Procyflo 27TC'!B390)),"")</f>
        <v/>
      </c>
      <c r="AC889" t="str">
        <f>IF(AA889="","",'Procyflo 27TC'!C390)</f>
        <v/>
      </c>
      <c r="AD889" t="str">
        <f>IF(AA889="","",IFERROR(1*'Procyflo 27TC'!D390,IFERROR(_xludf.NUMBERVALUE('Procyflo 27TC'!D390,".",","),IFERROR(_xludf.NUMBERVALUE('Procyflo 27TC'!D390,",","."),0))))</f>
        <v/>
      </c>
      <c r="AE889" t="str">
        <f>IF(AA889="","",'Procyflo 27TC'!N390)</f>
        <v/>
      </c>
      <c r="AF889">
        <f t="shared" si="95"/>
        <v>0</v>
      </c>
      <c r="AG889" t="str">
        <f t="shared" si="96"/>
        <v/>
      </c>
      <c r="AH889" t="str">
        <f t="shared" si="97"/>
        <v/>
      </c>
      <c r="AI889">
        <f t="shared" si="98"/>
        <v>0</v>
      </c>
      <c r="AJ889">
        <f t="shared" si="99"/>
        <v>0</v>
      </c>
      <c r="AK889">
        <v>0</v>
      </c>
      <c r="AL889" t="str">
        <f>IF(AA889="","",IFERROR(IF(ISNUMBER('Procyflo 27TC'!E390),'Procyflo 27TC'!E390,IF(ISNUMBER(SEARCH("12",'Procyflo 27TC'!E390)),EDATE(AB889,12),IF(ISNUMBER(SEARCH("6",'Procyflo 27TC'!E390)),EDATE(AB889,6),IF(ISNUMBER(SEARCH("3",'Procyflo 27TC'!E390)),EDATE(AB889,3),DATEVALUE('Procyflo 27TC'!E390))))),""))</f>
        <v/>
      </c>
      <c r="AM889" t="str">
        <f t="shared" ca="1" si="100"/>
        <v/>
      </c>
    </row>
    <row r="890" spans="27:39" x14ac:dyDescent="0.3">
      <c r="AA890" t="str">
        <f>IF(COUNTA('Procyflo 27TC'!B391,'Procyflo 27TC'!C391,'Procyflo 27TC'!D391)&gt;0,"27TC","")</f>
        <v/>
      </c>
      <c r="AB890" t="str">
        <f>IFERROR(IF(ISNUMBER('Procyflo 27TC'!B391),'Procyflo 27TC'!B391,DATEVALUE('Procyflo 27TC'!B391)),"")</f>
        <v/>
      </c>
      <c r="AC890" t="str">
        <f>IF(AA890="","",'Procyflo 27TC'!C391)</f>
        <v/>
      </c>
      <c r="AD890" t="str">
        <f>IF(AA890="","",IFERROR(1*'Procyflo 27TC'!D391,IFERROR(_xludf.NUMBERVALUE('Procyflo 27TC'!D391,".",","),IFERROR(_xludf.NUMBERVALUE('Procyflo 27TC'!D391,",","."),0))))</f>
        <v/>
      </c>
      <c r="AE890" t="str">
        <f>IF(AA890="","",'Procyflo 27TC'!N391)</f>
        <v/>
      </c>
      <c r="AF890">
        <f t="shared" si="95"/>
        <v>0</v>
      </c>
      <c r="AG890" t="str">
        <f t="shared" si="96"/>
        <v/>
      </c>
      <c r="AH890" t="str">
        <f t="shared" si="97"/>
        <v/>
      </c>
      <c r="AI890">
        <f t="shared" si="98"/>
        <v>0</v>
      </c>
      <c r="AJ890">
        <f t="shared" si="99"/>
        <v>0</v>
      </c>
      <c r="AK890">
        <v>0</v>
      </c>
      <c r="AL890" t="str">
        <f>IF(AA890="","",IFERROR(IF(ISNUMBER('Procyflo 27TC'!E391),'Procyflo 27TC'!E391,IF(ISNUMBER(SEARCH("12",'Procyflo 27TC'!E391)),EDATE(AB890,12),IF(ISNUMBER(SEARCH("6",'Procyflo 27TC'!E391)),EDATE(AB890,6),IF(ISNUMBER(SEARCH("3",'Procyflo 27TC'!E391)),EDATE(AB890,3),DATEVALUE('Procyflo 27TC'!E391))))),""))</f>
        <v/>
      </c>
      <c r="AM890" t="str">
        <f t="shared" ca="1" si="100"/>
        <v/>
      </c>
    </row>
    <row r="891" spans="27:39" x14ac:dyDescent="0.3">
      <c r="AA891" t="str">
        <f>IF(COUNTA('Procyflo 27TC'!B392,'Procyflo 27TC'!C392,'Procyflo 27TC'!D392)&gt;0,"27TC","")</f>
        <v/>
      </c>
      <c r="AB891" t="str">
        <f>IFERROR(IF(ISNUMBER('Procyflo 27TC'!B392),'Procyflo 27TC'!B392,DATEVALUE('Procyflo 27TC'!B392)),"")</f>
        <v/>
      </c>
      <c r="AC891" t="str">
        <f>IF(AA891="","",'Procyflo 27TC'!C392)</f>
        <v/>
      </c>
      <c r="AD891" t="str">
        <f>IF(AA891="","",IFERROR(1*'Procyflo 27TC'!D392,IFERROR(_xludf.NUMBERVALUE('Procyflo 27TC'!D392,".",","),IFERROR(_xludf.NUMBERVALUE('Procyflo 27TC'!D392,",","."),0))))</f>
        <v/>
      </c>
      <c r="AE891" t="str">
        <f>IF(AA891="","",'Procyflo 27TC'!N392)</f>
        <v/>
      </c>
      <c r="AF891">
        <f t="shared" si="95"/>
        <v>0</v>
      </c>
      <c r="AG891" t="str">
        <f t="shared" si="96"/>
        <v/>
      </c>
      <c r="AH891" t="str">
        <f t="shared" si="97"/>
        <v/>
      </c>
      <c r="AI891">
        <f t="shared" si="98"/>
        <v>0</v>
      </c>
      <c r="AJ891">
        <f t="shared" si="99"/>
        <v>0</v>
      </c>
      <c r="AK891">
        <v>0</v>
      </c>
      <c r="AL891" t="str">
        <f>IF(AA891="","",IFERROR(IF(ISNUMBER('Procyflo 27TC'!E392),'Procyflo 27TC'!E392,IF(ISNUMBER(SEARCH("12",'Procyflo 27TC'!E392)),EDATE(AB891,12),IF(ISNUMBER(SEARCH("6",'Procyflo 27TC'!E392)),EDATE(AB891,6),IF(ISNUMBER(SEARCH("3",'Procyflo 27TC'!E392)),EDATE(AB891,3),DATEVALUE('Procyflo 27TC'!E392))))),""))</f>
        <v/>
      </c>
      <c r="AM891" t="str">
        <f t="shared" ca="1" si="100"/>
        <v/>
      </c>
    </row>
    <row r="892" spans="27:39" x14ac:dyDescent="0.3">
      <c r="AA892" t="str">
        <f>IF(COUNTA('Procyflo 27TC'!B393,'Procyflo 27TC'!C393,'Procyflo 27TC'!D393)&gt;0,"27TC","")</f>
        <v/>
      </c>
      <c r="AB892" t="str">
        <f>IFERROR(IF(ISNUMBER('Procyflo 27TC'!B393),'Procyflo 27TC'!B393,DATEVALUE('Procyflo 27TC'!B393)),"")</f>
        <v/>
      </c>
      <c r="AC892" t="str">
        <f>IF(AA892="","",'Procyflo 27TC'!C393)</f>
        <v/>
      </c>
      <c r="AD892" t="str">
        <f>IF(AA892="","",IFERROR(1*'Procyflo 27TC'!D393,IFERROR(_xludf.NUMBERVALUE('Procyflo 27TC'!D393,".",","),IFERROR(_xludf.NUMBERVALUE('Procyflo 27TC'!D393,",","."),0))))</f>
        <v/>
      </c>
      <c r="AE892" t="str">
        <f>IF(AA892="","",'Procyflo 27TC'!N393)</f>
        <v/>
      </c>
      <c r="AF892">
        <f t="shared" si="95"/>
        <v>0</v>
      </c>
      <c r="AG892" t="str">
        <f t="shared" si="96"/>
        <v/>
      </c>
      <c r="AH892" t="str">
        <f t="shared" si="97"/>
        <v/>
      </c>
      <c r="AI892">
        <f t="shared" si="98"/>
        <v>0</v>
      </c>
      <c r="AJ892">
        <f t="shared" si="99"/>
        <v>0</v>
      </c>
      <c r="AK892">
        <v>0</v>
      </c>
      <c r="AL892" t="str">
        <f>IF(AA892="","",IFERROR(IF(ISNUMBER('Procyflo 27TC'!E393),'Procyflo 27TC'!E393,IF(ISNUMBER(SEARCH("12",'Procyflo 27TC'!E393)),EDATE(AB892,12),IF(ISNUMBER(SEARCH("6",'Procyflo 27TC'!E393)),EDATE(AB892,6),IF(ISNUMBER(SEARCH("3",'Procyflo 27TC'!E393)),EDATE(AB892,3),DATEVALUE('Procyflo 27TC'!E393))))),""))</f>
        <v/>
      </c>
      <c r="AM892" t="str">
        <f t="shared" ca="1" si="100"/>
        <v/>
      </c>
    </row>
    <row r="893" spans="27:39" x14ac:dyDescent="0.3">
      <c r="AA893" t="str">
        <f>IF(COUNTA('Procyflo 27TC'!B394,'Procyflo 27TC'!C394,'Procyflo 27TC'!D394)&gt;0,"27TC","")</f>
        <v/>
      </c>
      <c r="AB893" t="str">
        <f>IFERROR(IF(ISNUMBER('Procyflo 27TC'!B394),'Procyflo 27TC'!B394,DATEVALUE('Procyflo 27TC'!B394)),"")</f>
        <v/>
      </c>
      <c r="AC893" t="str">
        <f>IF(AA893="","",'Procyflo 27TC'!C394)</f>
        <v/>
      </c>
      <c r="AD893" t="str">
        <f>IF(AA893="","",IFERROR(1*'Procyflo 27TC'!D394,IFERROR(_xludf.NUMBERVALUE('Procyflo 27TC'!D394,".",","),IFERROR(_xludf.NUMBERVALUE('Procyflo 27TC'!D394,",","."),0))))</f>
        <v/>
      </c>
      <c r="AE893" t="str">
        <f>IF(AA893="","",'Procyflo 27TC'!N394)</f>
        <v/>
      </c>
      <c r="AF893">
        <f t="shared" si="95"/>
        <v>0</v>
      </c>
      <c r="AG893" t="str">
        <f t="shared" si="96"/>
        <v/>
      </c>
      <c r="AH893" t="str">
        <f t="shared" si="97"/>
        <v/>
      </c>
      <c r="AI893">
        <f t="shared" si="98"/>
        <v>0</v>
      </c>
      <c r="AJ893">
        <f t="shared" si="99"/>
        <v>0</v>
      </c>
      <c r="AK893">
        <v>0</v>
      </c>
      <c r="AL893" t="str">
        <f>IF(AA893="","",IFERROR(IF(ISNUMBER('Procyflo 27TC'!E394),'Procyflo 27TC'!E394,IF(ISNUMBER(SEARCH("12",'Procyflo 27TC'!E394)),EDATE(AB893,12),IF(ISNUMBER(SEARCH("6",'Procyflo 27TC'!E394)),EDATE(AB893,6),IF(ISNUMBER(SEARCH("3",'Procyflo 27TC'!E394)),EDATE(AB893,3),DATEVALUE('Procyflo 27TC'!E394))))),""))</f>
        <v/>
      </c>
      <c r="AM893" t="str">
        <f t="shared" ca="1" si="100"/>
        <v/>
      </c>
    </row>
    <row r="894" spans="27:39" x14ac:dyDescent="0.3">
      <c r="AA894" t="str">
        <f>IF(COUNTA('Procyflo 27TC'!B395,'Procyflo 27TC'!C395,'Procyflo 27TC'!D395)&gt;0,"27TC","")</f>
        <v/>
      </c>
      <c r="AB894" t="str">
        <f>IFERROR(IF(ISNUMBER('Procyflo 27TC'!B395),'Procyflo 27TC'!B395,DATEVALUE('Procyflo 27TC'!B395)),"")</f>
        <v/>
      </c>
      <c r="AC894" t="str">
        <f>IF(AA894="","",'Procyflo 27TC'!C395)</f>
        <v/>
      </c>
      <c r="AD894" t="str">
        <f>IF(AA894="","",IFERROR(1*'Procyflo 27TC'!D395,IFERROR(_xludf.NUMBERVALUE('Procyflo 27TC'!D395,".",","),IFERROR(_xludf.NUMBERVALUE('Procyflo 27TC'!D395,",","."),0))))</f>
        <v/>
      </c>
      <c r="AE894" t="str">
        <f>IF(AA894="","",'Procyflo 27TC'!N395)</f>
        <v/>
      </c>
      <c r="AF894">
        <f t="shared" si="95"/>
        <v>0</v>
      </c>
      <c r="AG894" t="str">
        <f t="shared" si="96"/>
        <v/>
      </c>
      <c r="AH894" t="str">
        <f t="shared" si="97"/>
        <v/>
      </c>
      <c r="AI894">
        <f t="shared" si="98"/>
        <v>0</v>
      </c>
      <c r="AJ894">
        <f t="shared" si="99"/>
        <v>0</v>
      </c>
      <c r="AK894">
        <v>0</v>
      </c>
      <c r="AL894" t="str">
        <f>IF(AA894="","",IFERROR(IF(ISNUMBER('Procyflo 27TC'!E395),'Procyflo 27TC'!E395,IF(ISNUMBER(SEARCH("12",'Procyflo 27TC'!E395)),EDATE(AB894,12),IF(ISNUMBER(SEARCH("6",'Procyflo 27TC'!E395)),EDATE(AB894,6),IF(ISNUMBER(SEARCH("3",'Procyflo 27TC'!E395)),EDATE(AB894,3),DATEVALUE('Procyflo 27TC'!E395))))),""))</f>
        <v/>
      </c>
      <c r="AM894" t="str">
        <f t="shared" ca="1" si="100"/>
        <v/>
      </c>
    </row>
    <row r="895" spans="27:39" x14ac:dyDescent="0.3">
      <c r="AA895" t="str">
        <f>IF(COUNTA('Procyflo 27TC'!B396,'Procyflo 27TC'!C396,'Procyflo 27TC'!D396)&gt;0,"27TC","")</f>
        <v/>
      </c>
      <c r="AB895" t="str">
        <f>IFERROR(IF(ISNUMBER('Procyflo 27TC'!B396),'Procyflo 27TC'!B396,DATEVALUE('Procyflo 27TC'!B396)),"")</f>
        <v/>
      </c>
      <c r="AC895" t="str">
        <f>IF(AA895="","",'Procyflo 27TC'!C396)</f>
        <v/>
      </c>
      <c r="AD895" t="str">
        <f>IF(AA895="","",IFERROR(1*'Procyflo 27TC'!D396,IFERROR(_xludf.NUMBERVALUE('Procyflo 27TC'!D396,".",","),IFERROR(_xludf.NUMBERVALUE('Procyflo 27TC'!D396,",","."),0))))</f>
        <v/>
      </c>
      <c r="AE895" t="str">
        <f>IF(AA895="","",'Procyflo 27TC'!N396)</f>
        <v/>
      </c>
      <c r="AF895">
        <f t="shared" si="95"/>
        <v>0</v>
      </c>
      <c r="AG895" t="str">
        <f t="shared" si="96"/>
        <v/>
      </c>
      <c r="AH895" t="str">
        <f t="shared" si="97"/>
        <v/>
      </c>
      <c r="AI895">
        <f t="shared" si="98"/>
        <v>0</v>
      </c>
      <c r="AJ895">
        <f t="shared" si="99"/>
        <v>0</v>
      </c>
      <c r="AK895">
        <v>0</v>
      </c>
      <c r="AL895" t="str">
        <f>IF(AA895="","",IFERROR(IF(ISNUMBER('Procyflo 27TC'!E396),'Procyflo 27TC'!E396,IF(ISNUMBER(SEARCH("12",'Procyflo 27TC'!E396)),EDATE(AB895,12),IF(ISNUMBER(SEARCH("6",'Procyflo 27TC'!E396)),EDATE(AB895,6),IF(ISNUMBER(SEARCH("3",'Procyflo 27TC'!E396)),EDATE(AB895,3),DATEVALUE('Procyflo 27TC'!E396))))),""))</f>
        <v/>
      </c>
      <c r="AM895" t="str">
        <f t="shared" ca="1" si="100"/>
        <v/>
      </c>
    </row>
    <row r="896" spans="27:39" x14ac:dyDescent="0.3">
      <c r="AA896" t="str">
        <f>IF(COUNTA('Procyflo 27TC'!B397,'Procyflo 27TC'!C397,'Procyflo 27TC'!D397)&gt;0,"27TC","")</f>
        <v/>
      </c>
      <c r="AB896" t="str">
        <f>IFERROR(IF(ISNUMBER('Procyflo 27TC'!B397),'Procyflo 27TC'!B397,DATEVALUE('Procyflo 27TC'!B397)),"")</f>
        <v/>
      </c>
      <c r="AC896" t="str">
        <f>IF(AA896="","",'Procyflo 27TC'!C397)</f>
        <v/>
      </c>
      <c r="AD896" t="str">
        <f>IF(AA896="","",IFERROR(1*'Procyflo 27TC'!D397,IFERROR(_xludf.NUMBERVALUE('Procyflo 27TC'!D397,".",","),IFERROR(_xludf.NUMBERVALUE('Procyflo 27TC'!D397,",","."),0))))</f>
        <v/>
      </c>
      <c r="AE896" t="str">
        <f>IF(AA896="","",'Procyflo 27TC'!N397)</f>
        <v/>
      </c>
      <c r="AF896">
        <f t="shared" si="95"/>
        <v>0</v>
      </c>
      <c r="AG896" t="str">
        <f t="shared" si="96"/>
        <v/>
      </c>
      <c r="AH896" t="str">
        <f t="shared" si="97"/>
        <v/>
      </c>
      <c r="AI896">
        <f t="shared" si="98"/>
        <v>0</v>
      </c>
      <c r="AJ896">
        <f t="shared" si="99"/>
        <v>0</v>
      </c>
      <c r="AK896">
        <v>0</v>
      </c>
      <c r="AL896" t="str">
        <f>IF(AA896="","",IFERROR(IF(ISNUMBER('Procyflo 27TC'!E397),'Procyflo 27TC'!E397,IF(ISNUMBER(SEARCH("12",'Procyflo 27TC'!E397)),EDATE(AB896,12),IF(ISNUMBER(SEARCH("6",'Procyflo 27TC'!E397)),EDATE(AB896,6),IF(ISNUMBER(SEARCH("3",'Procyflo 27TC'!E397)),EDATE(AB896,3),DATEVALUE('Procyflo 27TC'!E397))))),""))</f>
        <v/>
      </c>
      <c r="AM896" t="str">
        <f t="shared" ca="1" si="100"/>
        <v/>
      </c>
    </row>
    <row r="897" spans="27:39" x14ac:dyDescent="0.3">
      <c r="AA897" t="str">
        <f>IF(COUNTA('Procyflo 27TC'!B398,'Procyflo 27TC'!C398,'Procyflo 27TC'!D398)&gt;0,"27TC","")</f>
        <v/>
      </c>
      <c r="AB897" t="str">
        <f>IFERROR(IF(ISNUMBER('Procyflo 27TC'!B398),'Procyflo 27TC'!B398,DATEVALUE('Procyflo 27TC'!B398)),"")</f>
        <v/>
      </c>
      <c r="AC897" t="str">
        <f>IF(AA897="","",'Procyflo 27TC'!C398)</f>
        <v/>
      </c>
      <c r="AD897" t="str">
        <f>IF(AA897="","",IFERROR(1*'Procyflo 27TC'!D398,IFERROR(_xludf.NUMBERVALUE('Procyflo 27TC'!D398,".",","),IFERROR(_xludf.NUMBERVALUE('Procyflo 27TC'!D398,",","."),0))))</f>
        <v/>
      </c>
      <c r="AE897" t="str">
        <f>IF(AA897="","",'Procyflo 27TC'!N398)</f>
        <v/>
      </c>
      <c r="AF897">
        <f t="shared" si="95"/>
        <v>0</v>
      </c>
      <c r="AG897" t="str">
        <f t="shared" si="96"/>
        <v/>
      </c>
      <c r="AH897" t="str">
        <f t="shared" si="97"/>
        <v/>
      </c>
      <c r="AI897">
        <f t="shared" si="98"/>
        <v>0</v>
      </c>
      <c r="AJ897">
        <f t="shared" si="99"/>
        <v>0</v>
      </c>
      <c r="AK897">
        <v>0</v>
      </c>
      <c r="AL897" t="str">
        <f>IF(AA897="","",IFERROR(IF(ISNUMBER('Procyflo 27TC'!E398),'Procyflo 27TC'!E398,IF(ISNUMBER(SEARCH("12",'Procyflo 27TC'!E398)),EDATE(AB897,12),IF(ISNUMBER(SEARCH("6",'Procyflo 27TC'!E398)),EDATE(AB897,6),IF(ISNUMBER(SEARCH("3",'Procyflo 27TC'!E398)),EDATE(AB897,3),DATEVALUE('Procyflo 27TC'!E398))))),""))</f>
        <v/>
      </c>
      <c r="AM897" t="str">
        <f t="shared" ca="1" si="100"/>
        <v/>
      </c>
    </row>
    <row r="898" spans="27:39" x14ac:dyDescent="0.3">
      <c r="AA898" t="str">
        <f>IF(COUNTA('Procyflo 27TC'!B399,'Procyflo 27TC'!C399,'Procyflo 27TC'!D399)&gt;0,"27TC","")</f>
        <v/>
      </c>
      <c r="AB898" t="str">
        <f>IFERROR(IF(ISNUMBER('Procyflo 27TC'!B399),'Procyflo 27TC'!B399,DATEVALUE('Procyflo 27TC'!B399)),"")</f>
        <v/>
      </c>
      <c r="AC898" t="str">
        <f>IF(AA898="","",'Procyflo 27TC'!C399)</f>
        <v/>
      </c>
      <c r="AD898" t="str">
        <f>IF(AA898="","",IFERROR(1*'Procyflo 27TC'!D399,IFERROR(_xludf.NUMBERVALUE('Procyflo 27TC'!D399,".",","),IFERROR(_xludf.NUMBERVALUE('Procyflo 27TC'!D399,",","."),0))))</f>
        <v/>
      </c>
      <c r="AE898" t="str">
        <f>IF(AA898="","",'Procyflo 27TC'!N399)</f>
        <v/>
      </c>
      <c r="AF898">
        <f t="shared" ref="AF898:AF961" si="101">IF(AA898="",0,--AND(ISNUMBER(SEARCH("aprov",AE898)),NOT(ISNUMBER(SEARCH("reprov",AE898)))))</f>
        <v>0</v>
      </c>
      <c r="AG898" t="str">
        <f t="shared" ref="AG898:AG961" si="102">IF(AB898="","",YEAR(AB898))</f>
        <v/>
      </c>
      <c r="AH898" t="str">
        <f t="shared" ref="AH898:AH961" si="103">IF(AB898="","",MONTH(AB898))</f>
        <v/>
      </c>
      <c r="AI898">
        <f t="shared" ref="AI898:AI961" si="104">IF(AB898="",0,AB898+ROW()/1000000)</f>
        <v>0</v>
      </c>
      <c r="AJ898">
        <f t="shared" ref="AJ898:AJ961" si="105">--(AA898&lt;&gt;"")</f>
        <v>0</v>
      </c>
      <c r="AK898">
        <v>0</v>
      </c>
      <c r="AL898" t="str">
        <f>IF(AA898="","",IFERROR(IF(ISNUMBER('Procyflo 27TC'!E399),'Procyflo 27TC'!E399,IF(ISNUMBER(SEARCH("12",'Procyflo 27TC'!E399)),EDATE(AB898,12),IF(ISNUMBER(SEARCH("6",'Procyflo 27TC'!E399)),EDATE(AB898,6),IF(ISNUMBER(SEARCH("3",'Procyflo 27TC'!E399)),EDATE(AB898,3),DATEVALUE('Procyflo 27TC'!E399))))),""))</f>
        <v/>
      </c>
      <c r="AM898" t="str">
        <f t="shared" ref="AM898:AM961" ca="1" si="106">IF(AND(AJ898=1,AL898&lt;&gt;"",AL898&gt;=TODAY(),AG898=$W$3),AL898+ROW()/1000000,"")</f>
        <v/>
      </c>
    </row>
    <row r="899" spans="27:39" x14ac:dyDescent="0.3">
      <c r="AA899" t="str">
        <f>IF(COUNTA('Procyflo 27TC'!B400,'Procyflo 27TC'!C400,'Procyflo 27TC'!D400)&gt;0,"27TC","")</f>
        <v/>
      </c>
      <c r="AB899" t="str">
        <f>IFERROR(IF(ISNUMBER('Procyflo 27TC'!B400),'Procyflo 27TC'!B400,DATEVALUE('Procyflo 27TC'!B400)),"")</f>
        <v/>
      </c>
      <c r="AC899" t="str">
        <f>IF(AA899="","",'Procyflo 27TC'!C400)</f>
        <v/>
      </c>
      <c r="AD899" t="str">
        <f>IF(AA899="","",IFERROR(1*'Procyflo 27TC'!D400,IFERROR(_xludf.NUMBERVALUE('Procyflo 27TC'!D400,".",","),IFERROR(_xludf.NUMBERVALUE('Procyflo 27TC'!D400,",","."),0))))</f>
        <v/>
      </c>
      <c r="AE899" t="str">
        <f>IF(AA899="","",'Procyflo 27TC'!N400)</f>
        <v/>
      </c>
      <c r="AF899">
        <f t="shared" si="101"/>
        <v>0</v>
      </c>
      <c r="AG899" t="str">
        <f t="shared" si="102"/>
        <v/>
      </c>
      <c r="AH899" t="str">
        <f t="shared" si="103"/>
        <v/>
      </c>
      <c r="AI899">
        <f t="shared" si="104"/>
        <v>0</v>
      </c>
      <c r="AJ899">
        <f t="shared" si="105"/>
        <v>0</v>
      </c>
      <c r="AK899">
        <v>0</v>
      </c>
      <c r="AL899" t="str">
        <f>IF(AA899="","",IFERROR(IF(ISNUMBER('Procyflo 27TC'!E400),'Procyflo 27TC'!E400,IF(ISNUMBER(SEARCH("12",'Procyflo 27TC'!E400)),EDATE(AB899,12),IF(ISNUMBER(SEARCH("6",'Procyflo 27TC'!E400)),EDATE(AB899,6),IF(ISNUMBER(SEARCH("3",'Procyflo 27TC'!E400)),EDATE(AB899,3),DATEVALUE('Procyflo 27TC'!E400))))),""))</f>
        <v/>
      </c>
      <c r="AM899" t="str">
        <f t="shared" ca="1" si="106"/>
        <v/>
      </c>
    </row>
    <row r="900" spans="27:39" x14ac:dyDescent="0.3">
      <c r="AA900" t="str">
        <f>IF(COUNTA('Procyflo 27TC'!B401,'Procyflo 27TC'!C401,'Procyflo 27TC'!D401)&gt;0,"27TC","")</f>
        <v/>
      </c>
      <c r="AB900" t="str">
        <f>IFERROR(IF(ISNUMBER('Procyflo 27TC'!B401),'Procyflo 27TC'!B401,DATEVALUE('Procyflo 27TC'!B401)),"")</f>
        <v/>
      </c>
      <c r="AC900" t="str">
        <f>IF(AA900="","",'Procyflo 27TC'!C401)</f>
        <v/>
      </c>
      <c r="AD900" t="str">
        <f>IF(AA900="","",IFERROR(1*'Procyflo 27TC'!D401,IFERROR(_xludf.NUMBERVALUE('Procyflo 27TC'!D401,".",","),IFERROR(_xludf.NUMBERVALUE('Procyflo 27TC'!D401,",","."),0))))</f>
        <v/>
      </c>
      <c r="AE900" t="str">
        <f>IF(AA900="","",'Procyflo 27TC'!N401)</f>
        <v/>
      </c>
      <c r="AF900">
        <f t="shared" si="101"/>
        <v>0</v>
      </c>
      <c r="AG900" t="str">
        <f t="shared" si="102"/>
        <v/>
      </c>
      <c r="AH900" t="str">
        <f t="shared" si="103"/>
        <v/>
      </c>
      <c r="AI900">
        <f t="shared" si="104"/>
        <v>0</v>
      </c>
      <c r="AJ900">
        <f t="shared" si="105"/>
        <v>0</v>
      </c>
      <c r="AK900">
        <v>0</v>
      </c>
      <c r="AL900" t="str">
        <f>IF(AA900="","",IFERROR(IF(ISNUMBER('Procyflo 27TC'!E401),'Procyflo 27TC'!E401,IF(ISNUMBER(SEARCH("12",'Procyflo 27TC'!E401)),EDATE(AB900,12),IF(ISNUMBER(SEARCH("6",'Procyflo 27TC'!E401)),EDATE(AB900,6),IF(ISNUMBER(SEARCH("3",'Procyflo 27TC'!E401)),EDATE(AB900,3),DATEVALUE('Procyflo 27TC'!E401))))),""))</f>
        <v/>
      </c>
      <c r="AM900" t="str">
        <f t="shared" ca="1" si="106"/>
        <v/>
      </c>
    </row>
    <row r="901" spans="27:39" x14ac:dyDescent="0.3">
      <c r="AA901" t="str">
        <f>IF(COUNTA('Procyflo 27TC'!B402,'Procyflo 27TC'!C402,'Procyflo 27TC'!D402)&gt;0,"27TC","")</f>
        <v/>
      </c>
      <c r="AB901" t="str">
        <f>IFERROR(IF(ISNUMBER('Procyflo 27TC'!B402),'Procyflo 27TC'!B402,DATEVALUE('Procyflo 27TC'!B402)),"")</f>
        <v/>
      </c>
      <c r="AC901" t="str">
        <f>IF(AA901="","",'Procyflo 27TC'!C402)</f>
        <v/>
      </c>
      <c r="AD901" t="str">
        <f>IF(AA901="","",IFERROR(1*'Procyflo 27TC'!D402,IFERROR(_xludf.NUMBERVALUE('Procyflo 27TC'!D402,".",","),IFERROR(_xludf.NUMBERVALUE('Procyflo 27TC'!D402,",","."),0))))</f>
        <v/>
      </c>
      <c r="AE901" t="str">
        <f>IF(AA901="","",'Procyflo 27TC'!N402)</f>
        <v/>
      </c>
      <c r="AF901">
        <f t="shared" si="101"/>
        <v>0</v>
      </c>
      <c r="AG901" t="str">
        <f t="shared" si="102"/>
        <v/>
      </c>
      <c r="AH901" t="str">
        <f t="shared" si="103"/>
        <v/>
      </c>
      <c r="AI901">
        <f t="shared" si="104"/>
        <v>0</v>
      </c>
      <c r="AJ901">
        <f t="shared" si="105"/>
        <v>0</v>
      </c>
      <c r="AK901">
        <v>0</v>
      </c>
      <c r="AL901" t="str">
        <f>IF(AA901="","",IFERROR(IF(ISNUMBER('Procyflo 27TC'!E402),'Procyflo 27TC'!E402,IF(ISNUMBER(SEARCH("12",'Procyflo 27TC'!E402)),EDATE(AB901,12),IF(ISNUMBER(SEARCH("6",'Procyflo 27TC'!E402)),EDATE(AB901,6),IF(ISNUMBER(SEARCH("3",'Procyflo 27TC'!E402)),EDATE(AB901,3),DATEVALUE('Procyflo 27TC'!E402))))),""))</f>
        <v/>
      </c>
      <c r="AM901" t="str">
        <f t="shared" ca="1" si="106"/>
        <v/>
      </c>
    </row>
    <row r="902" spans="27:39" x14ac:dyDescent="0.3">
      <c r="AA902" t="str">
        <f>IF(COUNTA('Procyflo 27TC'!B403,'Procyflo 27TC'!C403,'Procyflo 27TC'!D403)&gt;0,"27TC","")</f>
        <v/>
      </c>
      <c r="AB902" t="str">
        <f>IFERROR(IF(ISNUMBER('Procyflo 27TC'!B403),'Procyflo 27TC'!B403,DATEVALUE('Procyflo 27TC'!B403)),"")</f>
        <v/>
      </c>
      <c r="AC902" t="str">
        <f>IF(AA902="","",'Procyflo 27TC'!C403)</f>
        <v/>
      </c>
      <c r="AD902" t="str">
        <f>IF(AA902="","",IFERROR(1*'Procyflo 27TC'!D403,IFERROR(_xludf.NUMBERVALUE('Procyflo 27TC'!D403,".",","),IFERROR(_xludf.NUMBERVALUE('Procyflo 27TC'!D403,",","."),0))))</f>
        <v/>
      </c>
      <c r="AE902" t="str">
        <f>IF(AA902="","",'Procyflo 27TC'!N403)</f>
        <v/>
      </c>
      <c r="AF902">
        <f t="shared" si="101"/>
        <v>0</v>
      </c>
      <c r="AG902" t="str">
        <f t="shared" si="102"/>
        <v/>
      </c>
      <c r="AH902" t="str">
        <f t="shared" si="103"/>
        <v/>
      </c>
      <c r="AI902">
        <f t="shared" si="104"/>
        <v>0</v>
      </c>
      <c r="AJ902">
        <f t="shared" si="105"/>
        <v>0</v>
      </c>
      <c r="AK902">
        <v>0</v>
      </c>
      <c r="AL902" t="str">
        <f>IF(AA902="","",IFERROR(IF(ISNUMBER('Procyflo 27TC'!E403),'Procyflo 27TC'!E403,IF(ISNUMBER(SEARCH("12",'Procyflo 27TC'!E403)),EDATE(AB902,12),IF(ISNUMBER(SEARCH("6",'Procyflo 27TC'!E403)),EDATE(AB902,6),IF(ISNUMBER(SEARCH("3",'Procyflo 27TC'!E403)),EDATE(AB902,3),DATEVALUE('Procyflo 27TC'!E403))))),""))</f>
        <v/>
      </c>
      <c r="AM902" t="str">
        <f t="shared" ca="1" si="106"/>
        <v/>
      </c>
    </row>
    <row r="903" spans="27:39" x14ac:dyDescent="0.3">
      <c r="AA903" t="str">
        <f>IF(COUNTA('Procyflo 27TC'!B404,'Procyflo 27TC'!C404,'Procyflo 27TC'!D404)&gt;0,"27TC","")</f>
        <v/>
      </c>
      <c r="AB903" t="str">
        <f>IFERROR(IF(ISNUMBER('Procyflo 27TC'!B404),'Procyflo 27TC'!B404,DATEVALUE('Procyflo 27TC'!B404)),"")</f>
        <v/>
      </c>
      <c r="AC903" t="str">
        <f>IF(AA903="","",'Procyflo 27TC'!C404)</f>
        <v/>
      </c>
      <c r="AD903" t="str">
        <f>IF(AA903="","",IFERROR(1*'Procyflo 27TC'!D404,IFERROR(_xludf.NUMBERVALUE('Procyflo 27TC'!D404,".",","),IFERROR(_xludf.NUMBERVALUE('Procyflo 27TC'!D404,",","."),0))))</f>
        <v/>
      </c>
      <c r="AE903" t="str">
        <f>IF(AA903="","",'Procyflo 27TC'!N404)</f>
        <v/>
      </c>
      <c r="AF903">
        <f t="shared" si="101"/>
        <v>0</v>
      </c>
      <c r="AG903" t="str">
        <f t="shared" si="102"/>
        <v/>
      </c>
      <c r="AH903" t="str">
        <f t="shared" si="103"/>
        <v/>
      </c>
      <c r="AI903">
        <f t="shared" si="104"/>
        <v>0</v>
      </c>
      <c r="AJ903">
        <f t="shared" si="105"/>
        <v>0</v>
      </c>
      <c r="AK903">
        <v>0</v>
      </c>
      <c r="AL903" t="str">
        <f>IF(AA903="","",IFERROR(IF(ISNUMBER('Procyflo 27TC'!E404),'Procyflo 27TC'!E404,IF(ISNUMBER(SEARCH("12",'Procyflo 27TC'!E404)),EDATE(AB903,12),IF(ISNUMBER(SEARCH("6",'Procyflo 27TC'!E404)),EDATE(AB903,6),IF(ISNUMBER(SEARCH("3",'Procyflo 27TC'!E404)),EDATE(AB903,3),DATEVALUE('Procyflo 27TC'!E404))))),""))</f>
        <v/>
      </c>
      <c r="AM903" t="str">
        <f t="shared" ca="1" si="106"/>
        <v/>
      </c>
    </row>
    <row r="904" spans="27:39" x14ac:dyDescent="0.3">
      <c r="AA904" t="str">
        <f>IF(COUNTA('Procyflo 27TC'!B405,'Procyflo 27TC'!C405,'Procyflo 27TC'!D405)&gt;0,"27TC","")</f>
        <v/>
      </c>
      <c r="AB904" t="str">
        <f>IFERROR(IF(ISNUMBER('Procyflo 27TC'!B405),'Procyflo 27TC'!B405,DATEVALUE('Procyflo 27TC'!B405)),"")</f>
        <v/>
      </c>
      <c r="AC904" t="str">
        <f>IF(AA904="","",'Procyflo 27TC'!C405)</f>
        <v/>
      </c>
      <c r="AD904" t="str">
        <f>IF(AA904="","",IFERROR(1*'Procyflo 27TC'!D405,IFERROR(_xludf.NUMBERVALUE('Procyflo 27TC'!D405,".",","),IFERROR(_xludf.NUMBERVALUE('Procyflo 27TC'!D405,",","."),0))))</f>
        <v/>
      </c>
      <c r="AE904" t="str">
        <f>IF(AA904="","",'Procyflo 27TC'!N405)</f>
        <v/>
      </c>
      <c r="AF904">
        <f t="shared" si="101"/>
        <v>0</v>
      </c>
      <c r="AG904" t="str">
        <f t="shared" si="102"/>
        <v/>
      </c>
      <c r="AH904" t="str">
        <f t="shared" si="103"/>
        <v/>
      </c>
      <c r="AI904">
        <f t="shared" si="104"/>
        <v>0</v>
      </c>
      <c r="AJ904">
        <f t="shared" si="105"/>
        <v>0</v>
      </c>
      <c r="AK904">
        <v>0</v>
      </c>
      <c r="AL904" t="str">
        <f>IF(AA904="","",IFERROR(IF(ISNUMBER('Procyflo 27TC'!E405),'Procyflo 27TC'!E405,IF(ISNUMBER(SEARCH("12",'Procyflo 27TC'!E405)),EDATE(AB904,12),IF(ISNUMBER(SEARCH("6",'Procyflo 27TC'!E405)),EDATE(AB904,6),IF(ISNUMBER(SEARCH("3",'Procyflo 27TC'!E405)),EDATE(AB904,3),DATEVALUE('Procyflo 27TC'!E405))))),""))</f>
        <v/>
      </c>
      <c r="AM904" t="str">
        <f t="shared" ca="1" si="106"/>
        <v/>
      </c>
    </row>
    <row r="905" spans="27:39" x14ac:dyDescent="0.3">
      <c r="AA905" t="str">
        <f>IF(COUNTA('Procyflo 27TC'!B406,'Procyflo 27TC'!C406,'Procyflo 27TC'!D406)&gt;0,"27TC","")</f>
        <v/>
      </c>
      <c r="AB905" t="str">
        <f>IFERROR(IF(ISNUMBER('Procyflo 27TC'!B406),'Procyflo 27TC'!B406,DATEVALUE('Procyflo 27TC'!B406)),"")</f>
        <v/>
      </c>
      <c r="AC905" t="str">
        <f>IF(AA905="","",'Procyflo 27TC'!C406)</f>
        <v/>
      </c>
      <c r="AD905" t="str">
        <f>IF(AA905="","",IFERROR(1*'Procyflo 27TC'!D406,IFERROR(_xludf.NUMBERVALUE('Procyflo 27TC'!D406,".",","),IFERROR(_xludf.NUMBERVALUE('Procyflo 27TC'!D406,",","."),0))))</f>
        <v/>
      </c>
      <c r="AE905" t="str">
        <f>IF(AA905="","",'Procyflo 27TC'!N406)</f>
        <v/>
      </c>
      <c r="AF905">
        <f t="shared" si="101"/>
        <v>0</v>
      </c>
      <c r="AG905" t="str">
        <f t="shared" si="102"/>
        <v/>
      </c>
      <c r="AH905" t="str">
        <f t="shared" si="103"/>
        <v/>
      </c>
      <c r="AI905">
        <f t="shared" si="104"/>
        <v>0</v>
      </c>
      <c r="AJ905">
        <f t="shared" si="105"/>
        <v>0</v>
      </c>
      <c r="AK905">
        <v>0</v>
      </c>
      <c r="AL905" t="str">
        <f>IF(AA905="","",IFERROR(IF(ISNUMBER('Procyflo 27TC'!E406),'Procyflo 27TC'!E406,IF(ISNUMBER(SEARCH("12",'Procyflo 27TC'!E406)),EDATE(AB905,12),IF(ISNUMBER(SEARCH("6",'Procyflo 27TC'!E406)),EDATE(AB905,6),IF(ISNUMBER(SEARCH("3",'Procyflo 27TC'!E406)),EDATE(AB905,3),DATEVALUE('Procyflo 27TC'!E406))))),""))</f>
        <v/>
      </c>
      <c r="AM905" t="str">
        <f t="shared" ca="1" si="106"/>
        <v/>
      </c>
    </row>
    <row r="906" spans="27:39" x14ac:dyDescent="0.3">
      <c r="AA906" t="str">
        <f>IF(COUNTA('Procyflo 27TC'!B407,'Procyflo 27TC'!C407,'Procyflo 27TC'!D407)&gt;0,"27TC","")</f>
        <v/>
      </c>
      <c r="AB906" t="str">
        <f>IFERROR(IF(ISNUMBER('Procyflo 27TC'!B407),'Procyflo 27TC'!B407,DATEVALUE('Procyflo 27TC'!B407)),"")</f>
        <v/>
      </c>
      <c r="AC906" t="str">
        <f>IF(AA906="","",'Procyflo 27TC'!C407)</f>
        <v/>
      </c>
      <c r="AD906" t="str">
        <f>IF(AA906="","",IFERROR(1*'Procyflo 27TC'!D407,IFERROR(_xludf.NUMBERVALUE('Procyflo 27TC'!D407,".",","),IFERROR(_xludf.NUMBERVALUE('Procyflo 27TC'!D407,",","."),0))))</f>
        <v/>
      </c>
      <c r="AE906" t="str">
        <f>IF(AA906="","",'Procyflo 27TC'!N407)</f>
        <v/>
      </c>
      <c r="AF906">
        <f t="shared" si="101"/>
        <v>0</v>
      </c>
      <c r="AG906" t="str">
        <f t="shared" si="102"/>
        <v/>
      </c>
      <c r="AH906" t="str">
        <f t="shared" si="103"/>
        <v/>
      </c>
      <c r="AI906">
        <f t="shared" si="104"/>
        <v>0</v>
      </c>
      <c r="AJ906">
        <f t="shared" si="105"/>
        <v>0</v>
      </c>
      <c r="AK906">
        <v>0</v>
      </c>
      <c r="AL906" t="str">
        <f>IF(AA906="","",IFERROR(IF(ISNUMBER('Procyflo 27TC'!E407),'Procyflo 27TC'!E407,IF(ISNUMBER(SEARCH("12",'Procyflo 27TC'!E407)),EDATE(AB906,12),IF(ISNUMBER(SEARCH("6",'Procyflo 27TC'!E407)),EDATE(AB906,6),IF(ISNUMBER(SEARCH("3",'Procyflo 27TC'!E407)),EDATE(AB906,3),DATEVALUE('Procyflo 27TC'!E407))))),""))</f>
        <v/>
      </c>
      <c r="AM906" t="str">
        <f t="shared" ca="1" si="106"/>
        <v/>
      </c>
    </row>
    <row r="907" spans="27:39" x14ac:dyDescent="0.3">
      <c r="AA907" t="str">
        <f>IF(COUNTA('Procyflo 27TC'!B408,'Procyflo 27TC'!C408,'Procyflo 27TC'!D408)&gt;0,"27TC","")</f>
        <v/>
      </c>
      <c r="AB907" t="str">
        <f>IFERROR(IF(ISNUMBER('Procyflo 27TC'!B408),'Procyflo 27TC'!B408,DATEVALUE('Procyflo 27TC'!B408)),"")</f>
        <v/>
      </c>
      <c r="AC907" t="str">
        <f>IF(AA907="","",'Procyflo 27TC'!C408)</f>
        <v/>
      </c>
      <c r="AD907" t="str">
        <f>IF(AA907="","",IFERROR(1*'Procyflo 27TC'!D408,IFERROR(_xludf.NUMBERVALUE('Procyflo 27TC'!D408,".",","),IFERROR(_xludf.NUMBERVALUE('Procyflo 27TC'!D408,",","."),0))))</f>
        <v/>
      </c>
      <c r="AE907" t="str">
        <f>IF(AA907="","",'Procyflo 27TC'!N408)</f>
        <v/>
      </c>
      <c r="AF907">
        <f t="shared" si="101"/>
        <v>0</v>
      </c>
      <c r="AG907" t="str">
        <f t="shared" si="102"/>
        <v/>
      </c>
      <c r="AH907" t="str">
        <f t="shared" si="103"/>
        <v/>
      </c>
      <c r="AI907">
        <f t="shared" si="104"/>
        <v>0</v>
      </c>
      <c r="AJ907">
        <f t="shared" si="105"/>
        <v>0</v>
      </c>
      <c r="AK907">
        <v>0</v>
      </c>
      <c r="AL907" t="str">
        <f>IF(AA907="","",IFERROR(IF(ISNUMBER('Procyflo 27TC'!E408),'Procyflo 27TC'!E408,IF(ISNUMBER(SEARCH("12",'Procyflo 27TC'!E408)),EDATE(AB907,12),IF(ISNUMBER(SEARCH("6",'Procyflo 27TC'!E408)),EDATE(AB907,6),IF(ISNUMBER(SEARCH("3",'Procyflo 27TC'!E408)),EDATE(AB907,3),DATEVALUE('Procyflo 27TC'!E408))))),""))</f>
        <v/>
      </c>
      <c r="AM907" t="str">
        <f t="shared" ca="1" si="106"/>
        <v/>
      </c>
    </row>
    <row r="908" spans="27:39" x14ac:dyDescent="0.3">
      <c r="AA908" t="str">
        <f>IF(COUNTA('Procyflo 27TC'!B409,'Procyflo 27TC'!C409,'Procyflo 27TC'!D409)&gt;0,"27TC","")</f>
        <v/>
      </c>
      <c r="AB908" t="str">
        <f>IFERROR(IF(ISNUMBER('Procyflo 27TC'!B409),'Procyflo 27TC'!B409,DATEVALUE('Procyflo 27TC'!B409)),"")</f>
        <v/>
      </c>
      <c r="AC908" t="str">
        <f>IF(AA908="","",'Procyflo 27TC'!C409)</f>
        <v/>
      </c>
      <c r="AD908" t="str">
        <f>IF(AA908="","",IFERROR(1*'Procyflo 27TC'!D409,IFERROR(_xludf.NUMBERVALUE('Procyflo 27TC'!D409,".",","),IFERROR(_xludf.NUMBERVALUE('Procyflo 27TC'!D409,",","."),0))))</f>
        <v/>
      </c>
      <c r="AE908" t="str">
        <f>IF(AA908="","",'Procyflo 27TC'!N409)</f>
        <v/>
      </c>
      <c r="AF908">
        <f t="shared" si="101"/>
        <v>0</v>
      </c>
      <c r="AG908" t="str">
        <f t="shared" si="102"/>
        <v/>
      </c>
      <c r="AH908" t="str">
        <f t="shared" si="103"/>
        <v/>
      </c>
      <c r="AI908">
        <f t="shared" si="104"/>
        <v>0</v>
      </c>
      <c r="AJ908">
        <f t="shared" si="105"/>
        <v>0</v>
      </c>
      <c r="AK908">
        <v>0</v>
      </c>
      <c r="AL908" t="str">
        <f>IF(AA908="","",IFERROR(IF(ISNUMBER('Procyflo 27TC'!E409),'Procyflo 27TC'!E409,IF(ISNUMBER(SEARCH("12",'Procyflo 27TC'!E409)),EDATE(AB908,12),IF(ISNUMBER(SEARCH("6",'Procyflo 27TC'!E409)),EDATE(AB908,6),IF(ISNUMBER(SEARCH("3",'Procyflo 27TC'!E409)),EDATE(AB908,3),DATEVALUE('Procyflo 27TC'!E409))))),""))</f>
        <v/>
      </c>
      <c r="AM908" t="str">
        <f t="shared" ca="1" si="106"/>
        <v/>
      </c>
    </row>
    <row r="909" spans="27:39" x14ac:dyDescent="0.3">
      <c r="AA909" t="str">
        <f>IF(COUNTA('Procyflo 27TC'!B410,'Procyflo 27TC'!C410,'Procyflo 27TC'!D410)&gt;0,"27TC","")</f>
        <v/>
      </c>
      <c r="AB909" t="str">
        <f>IFERROR(IF(ISNUMBER('Procyflo 27TC'!B410),'Procyflo 27TC'!B410,DATEVALUE('Procyflo 27TC'!B410)),"")</f>
        <v/>
      </c>
      <c r="AC909" t="str">
        <f>IF(AA909="","",'Procyflo 27TC'!C410)</f>
        <v/>
      </c>
      <c r="AD909" t="str">
        <f>IF(AA909="","",IFERROR(1*'Procyflo 27TC'!D410,IFERROR(_xludf.NUMBERVALUE('Procyflo 27TC'!D410,".",","),IFERROR(_xludf.NUMBERVALUE('Procyflo 27TC'!D410,",","."),0))))</f>
        <v/>
      </c>
      <c r="AE909" t="str">
        <f>IF(AA909="","",'Procyflo 27TC'!N410)</f>
        <v/>
      </c>
      <c r="AF909">
        <f t="shared" si="101"/>
        <v>0</v>
      </c>
      <c r="AG909" t="str">
        <f t="shared" si="102"/>
        <v/>
      </c>
      <c r="AH909" t="str">
        <f t="shared" si="103"/>
        <v/>
      </c>
      <c r="AI909">
        <f t="shared" si="104"/>
        <v>0</v>
      </c>
      <c r="AJ909">
        <f t="shared" si="105"/>
        <v>0</v>
      </c>
      <c r="AK909">
        <v>0</v>
      </c>
      <c r="AL909" t="str">
        <f>IF(AA909="","",IFERROR(IF(ISNUMBER('Procyflo 27TC'!E410),'Procyflo 27TC'!E410,IF(ISNUMBER(SEARCH("12",'Procyflo 27TC'!E410)),EDATE(AB909,12),IF(ISNUMBER(SEARCH("6",'Procyflo 27TC'!E410)),EDATE(AB909,6),IF(ISNUMBER(SEARCH("3",'Procyflo 27TC'!E410)),EDATE(AB909,3),DATEVALUE('Procyflo 27TC'!E410))))),""))</f>
        <v/>
      </c>
      <c r="AM909" t="str">
        <f t="shared" ca="1" si="106"/>
        <v/>
      </c>
    </row>
    <row r="910" spans="27:39" x14ac:dyDescent="0.3">
      <c r="AA910" t="str">
        <f>IF(COUNTA('Procyflo 27TC'!B411,'Procyflo 27TC'!C411,'Procyflo 27TC'!D411)&gt;0,"27TC","")</f>
        <v/>
      </c>
      <c r="AB910" t="str">
        <f>IFERROR(IF(ISNUMBER('Procyflo 27TC'!B411),'Procyflo 27TC'!B411,DATEVALUE('Procyflo 27TC'!B411)),"")</f>
        <v/>
      </c>
      <c r="AC910" t="str">
        <f>IF(AA910="","",'Procyflo 27TC'!C411)</f>
        <v/>
      </c>
      <c r="AD910" t="str">
        <f>IF(AA910="","",IFERROR(1*'Procyflo 27TC'!D411,IFERROR(_xludf.NUMBERVALUE('Procyflo 27TC'!D411,".",","),IFERROR(_xludf.NUMBERVALUE('Procyflo 27TC'!D411,",","."),0))))</f>
        <v/>
      </c>
      <c r="AE910" t="str">
        <f>IF(AA910="","",'Procyflo 27TC'!N411)</f>
        <v/>
      </c>
      <c r="AF910">
        <f t="shared" si="101"/>
        <v>0</v>
      </c>
      <c r="AG910" t="str">
        <f t="shared" si="102"/>
        <v/>
      </c>
      <c r="AH910" t="str">
        <f t="shared" si="103"/>
        <v/>
      </c>
      <c r="AI910">
        <f t="shared" si="104"/>
        <v>0</v>
      </c>
      <c r="AJ910">
        <f t="shared" si="105"/>
        <v>0</v>
      </c>
      <c r="AK910">
        <v>0</v>
      </c>
      <c r="AL910" t="str">
        <f>IF(AA910="","",IFERROR(IF(ISNUMBER('Procyflo 27TC'!E411),'Procyflo 27TC'!E411,IF(ISNUMBER(SEARCH("12",'Procyflo 27TC'!E411)),EDATE(AB910,12),IF(ISNUMBER(SEARCH("6",'Procyflo 27TC'!E411)),EDATE(AB910,6),IF(ISNUMBER(SEARCH("3",'Procyflo 27TC'!E411)),EDATE(AB910,3),DATEVALUE('Procyflo 27TC'!E411))))),""))</f>
        <v/>
      </c>
      <c r="AM910" t="str">
        <f t="shared" ca="1" si="106"/>
        <v/>
      </c>
    </row>
    <row r="911" spans="27:39" x14ac:dyDescent="0.3">
      <c r="AA911" t="str">
        <f>IF(COUNTA('Procyflo 27TC'!B412,'Procyflo 27TC'!C412,'Procyflo 27TC'!D412)&gt;0,"27TC","")</f>
        <v/>
      </c>
      <c r="AB911" t="str">
        <f>IFERROR(IF(ISNUMBER('Procyflo 27TC'!B412),'Procyflo 27TC'!B412,DATEVALUE('Procyflo 27TC'!B412)),"")</f>
        <v/>
      </c>
      <c r="AC911" t="str">
        <f>IF(AA911="","",'Procyflo 27TC'!C412)</f>
        <v/>
      </c>
      <c r="AD911" t="str">
        <f>IF(AA911="","",IFERROR(1*'Procyflo 27TC'!D412,IFERROR(_xludf.NUMBERVALUE('Procyflo 27TC'!D412,".",","),IFERROR(_xludf.NUMBERVALUE('Procyflo 27TC'!D412,",","."),0))))</f>
        <v/>
      </c>
      <c r="AE911" t="str">
        <f>IF(AA911="","",'Procyflo 27TC'!N412)</f>
        <v/>
      </c>
      <c r="AF911">
        <f t="shared" si="101"/>
        <v>0</v>
      </c>
      <c r="AG911" t="str">
        <f t="shared" si="102"/>
        <v/>
      </c>
      <c r="AH911" t="str">
        <f t="shared" si="103"/>
        <v/>
      </c>
      <c r="AI911">
        <f t="shared" si="104"/>
        <v>0</v>
      </c>
      <c r="AJ911">
        <f t="shared" si="105"/>
        <v>0</v>
      </c>
      <c r="AK911">
        <v>0</v>
      </c>
      <c r="AL911" t="str">
        <f>IF(AA911="","",IFERROR(IF(ISNUMBER('Procyflo 27TC'!E412),'Procyflo 27TC'!E412,IF(ISNUMBER(SEARCH("12",'Procyflo 27TC'!E412)),EDATE(AB911,12),IF(ISNUMBER(SEARCH("6",'Procyflo 27TC'!E412)),EDATE(AB911,6),IF(ISNUMBER(SEARCH("3",'Procyflo 27TC'!E412)),EDATE(AB911,3),DATEVALUE('Procyflo 27TC'!E412))))),""))</f>
        <v/>
      </c>
      <c r="AM911" t="str">
        <f t="shared" ca="1" si="106"/>
        <v/>
      </c>
    </row>
    <row r="912" spans="27:39" x14ac:dyDescent="0.3">
      <c r="AA912" t="str">
        <f>IF(COUNTA('Procyflo 27TC'!B413,'Procyflo 27TC'!C413,'Procyflo 27TC'!D413)&gt;0,"27TC","")</f>
        <v/>
      </c>
      <c r="AB912" t="str">
        <f>IFERROR(IF(ISNUMBER('Procyflo 27TC'!B413),'Procyflo 27TC'!B413,DATEVALUE('Procyflo 27TC'!B413)),"")</f>
        <v/>
      </c>
      <c r="AC912" t="str">
        <f>IF(AA912="","",'Procyflo 27TC'!C413)</f>
        <v/>
      </c>
      <c r="AD912" t="str">
        <f>IF(AA912="","",IFERROR(1*'Procyflo 27TC'!D413,IFERROR(_xludf.NUMBERVALUE('Procyflo 27TC'!D413,".",","),IFERROR(_xludf.NUMBERVALUE('Procyflo 27TC'!D413,",","."),0))))</f>
        <v/>
      </c>
      <c r="AE912" t="str">
        <f>IF(AA912="","",'Procyflo 27TC'!N413)</f>
        <v/>
      </c>
      <c r="AF912">
        <f t="shared" si="101"/>
        <v>0</v>
      </c>
      <c r="AG912" t="str">
        <f t="shared" si="102"/>
        <v/>
      </c>
      <c r="AH912" t="str">
        <f t="shared" si="103"/>
        <v/>
      </c>
      <c r="AI912">
        <f t="shared" si="104"/>
        <v>0</v>
      </c>
      <c r="AJ912">
        <f t="shared" si="105"/>
        <v>0</v>
      </c>
      <c r="AK912">
        <v>0</v>
      </c>
      <c r="AL912" t="str">
        <f>IF(AA912="","",IFERROR(IF(ISNUMBER('Procyflo 27TC'!E413),'Procyflo 27TC'!E413,IF(ISNUMBER(SEARCH("12",'Procyflo 27TC'!E413)),EDATE(AB912,12),IF(ISNUMBER(SEARCH("6",'Procyflo 27TC'!E413)),EDATE(AB912,6),IF(ISNUMBER(SEARCH("3",'Procyflo 27TC'!E413)),EDATE(AB912,3),DATEVALUE('Procyflo 27TC'!E413))))),""))</f>
        <v/>
      </c>
      <c r="AM912" t="str">
        <f t="shared" ca="1" si="106"/>
        <v/>
      </c>
    </row>
    <row r="913" spans="27:39" x14ac:dyDescent="0.3">
      <c r="AA913" t="str">
        <f>IF(COUNTA('Procyflo 27TC'!B414,'Procyflo 27TC'!C414,'Procyflo 27TC'!D414)&gt;0,"27TC","")</f>
        <v/>
      </c>
      <c r="AB913" t="str">
        <f>IFERROR(IF(ISNUMBER('Procyflo 27TC'!B414),'Procyflo 27TC'!B414,DATEVALUE('Procyflo 27TC'!B414)),"")</f>
        <v/>
      </c>
      <c r="AC913" t="str">
        <f>IF(AA913="","",'Procyflo 27TC'!C414)</f>
        <v/>
      </c>
      <c r="AD913" t="str">
        <f>IF(AA913="","",IFERROR(1*'Procyflo 27TC'!D414,IFERROR(_xludf.NUMBERVALUE('Procyflo 27TC'!D414,".",","),IFERROR(_xludf.NUMBERVALUE('Procyflo 27TC'!D414,",","."),0))))</f>
        <v/>
      </c>
      <c r="AE913" t="str">
        <f>IF(AA913="","",'Procyflo 27TC'!N414)</f>
        <v/>
      </c>
      <c r="AF913">
        <f t="shared" si="101"/>
        <v>0</v>
      </c>
      <c r="AG913" t="str">
        <f t="shared" si="102"/>
        <v/>
      </c>
      <c r="AH913" t="str">
        <f t="shared" si="103"/>
        <v/>
      </c>
      <c r="AI913">
        <f t="shared" si="104"/>
        <v>0</v>
      </c>
      <c r="AJ913">
        <f t="shared" si="105"/>
        <v>0</v>
      </c>
      <c r="AK913">
        <v>0</v>
      </c>
      <c r="AL913" t="str">
        <f>IF(AA913="","",IFERROR(IF(ISNUMBER('Procyflo 27TC'!E414),'Procyflo 27TC'!E414,IF(ISNUMBER(SEARCH("12",'Procyflo 27TC'!E414)),EDATE(AB913,12),IF(ISNUMBER(SEARCH("6",'Procyflo 27TC'!E414)),EDATE(AB913,6),IF(ISNUMBER(SEARCH("3",'Procyflo 27TC'!E414)),EDATE(AB913,3),DATEVALUE('Procyflo 27TC'!E414))))),""))</f>
        <v/>
      </c>
      <c r="AM913" t="str">
        <f t="shared" ca="1" si="106"/>
        <v/>
      </c>
    </row>
    <row r="914" spans="27:39" x14ac:dyDescent="0.3">
      <c r="AA914" t="str">
        <f>IF(COUNTA('Procyflo 27TC'!B415,'Procyflo 27TC'!C415,'Procyflo 27TC'!D415)&gt;0,"27TC","")</f>
        <v/>
      </c>
      <c r="AB914" t="str">
        <f>IFERROR(IF(ISNUMBER('Procyflo 27TC'!B415),'Procyflo 27TC'!B415,DATEVALUE('Procyflo 27TC'!B415)),"")</f>
        <v/>
      </c>
      <c r="AC914" t="str">
        <f>IF(AA914="","",'Procyflo 27TC'!C415)</f>
        <v/>
      </c>
      <c r="AD914" t="str">
        <f>IF(AA914="","",IFERROR(1*'Procyflo 27TC'!D415,IFERROR(_xludf.NUMBERVALUE('Procyflo 27TC'!D415,".",","),IFERROR(_xludf.NUMBERVALUE('Procyflo 27TC'!D415,",","."),0))))</f>
        <v/>
      </c>
      <c r="AE914" t="str">
        <f>IF(AA914="","",'Procyflo 27TC'!N415)</f>
        <v/>
      </c>
      <c r="AF914">
        <f t="shared" si="101"/>
        <v>0</v>
      </c>
      <c r="AG914" t="str">
        <f t="shared" si="102"/>
        <v/>
      </c>
      <c r="AH914" t="str">
        <f t="shared" si="103"/>
        <v/>
      </c>
      <c r="AI914">
        <f t="shared" si="104"/>
        <v>0</v>
      </c>
      <c r="AJ914">
        <f t="shared" si="105"/>
        <v>0</v>
      </c>
      <c r="AK914">
        <v>0</v>
      </c>
      <c r="AL914" t="str">
        <f>IF(AA914="","",IFERROR(IF(ISNUMBER('Procyflo 27TC'!E415),'Procyflo 27TC'!E415,IF(ISNUMBER(SEARCH("12",'Procyflo 27TC'!E415)),EDATE(AB914,12),IF(ISNUMBER(SEARCH("6",'Procyflo 27TC'!E415)),EDATE(AB914,6),IF(ISNUMBER(SEARCH("3",'Procyflo 27TC'!E415)),EDATE(AB914,3),DATEVALUE('Procyflo 27TC'!E415))))),""))</f>
        <v/>
      </c>
      <c r="AM914" t="str">
        <f t="shared" ca="1" si="106"/>
        <v/>
      </c>
    </row>
    <row r="915" spans="27:39" x14ac:dyDescent="0.3">
      <c r="AA915" t="str">
        <f>IF(COUNTA('Procyflo 27TC'!B416,'Procyflo 27TC'!C416,'Procyflo 27TC'!D416)&gt;0,"27TC","")</f>
        <v/>
      </c>
      <c r="AB915" t="str">
        <f>IFERROR(IF(ISNUMBER('Procyflo 27TC'!B416),'Procyflo 27TC'!B416,DATEVALUE('Procyflo 27TC'!B416)),"")</f>
        <v/>
      </c>
      <c r="AC915" t="str">
        <f>IF(AA915="","",'Procyflo 27TC'!C416)</f>
        <v/>
      </c>
      <c r="AD915" t="str">
        <f>IF(AA915="","",IFERROR(1*'Procyflo 27TC'!D416,IFERROR(_xludf.NUMBERVALUE('Procyflo 27TC'!D416,".",","),IFERROR(_xludf.NUMBERVALUE('Procyflo 27TC'!D416,",","."),0))))</f>
        <v/>
      </c>
      <c r="AE915" t="str">
        <f>IF(AA915="","",'Procyflo 27TC'!N416)</f>
        <v/>
      </c>
      <c r="AF915">
        <f t="shared" si="101"/>
        <v>0</v>
      </c>
      <c r="AG915" t="str">
        <f t="shared" si="102"/>
        <v/>
      </c>
      <c r="AH915" t="str">
        <f t="shared" si="103"/>
        <v/>
      </c>
      <c r="AI915">
        <f t="shared" si="104"/>
        <v>0</v>
      </c>
      <c r="AJ915">
        <f t="shared" si="105"/>
        <v>0</v>
      </c>
      <c r="AK915">
        <v>0</v>
      </c>
      <c r="AL915" t="str">
        <f>IF(AA915="","",IFERROR(IF(ISNUMBER('Procyflo 27TC'!E416),'Procyflo 27TC'!E416,IF(ISNUMBER(SEARCH("12",'Procyflo 27TC'!E416)),EDATE(AB915,12),IF(ISNUMBER(SEARCH("6",'Procyflo 27TC'!E416)),EDATE(AB915,6),IF(ISNUMBER(SEARCH("3",'Procyflo 27TC'!E416)),EDATE(AB915,3),DATEVALUE('Procyflo 27TC'!E416))))),""))</f>
        <v/>
      </c>
      <c r="AM915" t="str">
        <f t="shared" ca="1" si="106"/>
        <v/>
      </c>
    </row>
    <row r="916" spans="27:39" x14ac:dyDescent="0.3">
      <c r="AA916" t="str">
        <f>IF(COUNTA('Procyflo 27TC'!B417,'Procyflo 27TC'!C417,'Procyflo 27TC'!D417)&gt;0,"27TC","")</f>
        <v/>
      </c>
      <c r="AB916" t="str">
        <f>IFERROR(IF(ISNUMBER('Procyflo 27TC'!B417),'Procyflo 27TC'!B417,DATEVALUE('Procyflo 27TC'!B417)),"")</f>
        <v/>
      </c>
      <c r="AC916" t="str">
        <f>IF(AA916="","",'Procyflo 27TC'!C417)</f>
        <v/>
      </c>
      <c r="AD916" t="str">
        <f>IF(AA916="","",IFERROR(1*'Procyflo 27TC'!D417,IFERROR(_xludf.NUMBERVALUE('Procyflo 27TC'!D417,".",","),IFERROR(_xludf.NUMBERVALUE('Procyflo 27TC'!D417,",","."),0))))</f>
        <v/>
      </c>
      <c r="AE916" t="str">
        <f>IF(AA916="","",'Procyflo 27TC'!N417)</f>
        <v/>
      </c>
      <c r="AF916">
        <f t="shared" si="101"/>
        <v>0</v>
      </c>
      <c r="AG916" t="str">
        <f t="shared" si="102"/>
        <v/>
      </c>
      <c r="AH916" t="str">
        <f t="shared" si="103"/>
        <v/>
      </c>
      <c r="AI916">
        <f t="shared" si="104"/>
        <v>0</v>
      </c>
      <c r="AJ916">
        <f t="shared" si="105"/>
        <v>0</v>
      </c>
      <c r="AK916">
        <v>0</v>
      </c>
      <c r="AL916" t="str">
        <f>IF(AA916="","",IFERROR(IF(ISNUMBER('Procyflo 27TC'!E417),'Procyflo 27TC'!E417,IF(ISNUMBER(SEARCH("12",'Procyflo 27TC'!E417)),EDATE(AB916,12),IF(ISNUMBER(SEARCH("6",'Procyflo 27TC'!E417)),EDATE(AB916,6),IF(ISNUMBER(SEARCH("3",'Procyflo 27TC'!E417)),EDATE(AB916,3),DATEVALUE('Procyflo 27TC'!E417))))),""))</f>
        <v/>
      </c>
      <c r="AM916" t="str">
        <f t="shared" ca="1" si="106"/>
        <v/>
      </c>
    </row>
    <row r="917" spans="27:39" x14ac:dyDescent="0.3">
      <c r="AA917" t="str">
        <f>IF(COUNTA('Procyflo 27TC'!B418,'Procyflo 27TC'!C418,'Procyflo 27TC'!D418)&gt;0,"27TC","")</f>
        <v/>
      </c>
      <c r="AB917" t="str">
        <f>IFERROR(IF(ISNUMBER('Procyflo 27TC'!B418),'Procyflo 27TC'!B418,DATEVALUE('Procyflo 27TC'!B418)),"")</f>
        <v/>
      </c>
      <c r="AC917" t="str">
        <f>IF(AA917="","",'Procyflo 27TC'!C418)</f>
        <v/>
      </c>
      <c r="AD917" t="str">
        <f>IF(AA917="","",IFERROR(1*'Procyflo 27TC'!D418,IFERROR(_xludf.NUMBERVALUE('Procyflo 27TC'!D418,".",","),IFERROR(_xludf.NUMBERVALUE('Procyflo 27TC'!D418,",","."),0))))</f>
        <v/>
      </c>
      <c r="AE917" t="str">
        <f>IF(AA917="","",'Procyflo 27TC'!N418)</f>
        <v/>
      </c>
      <c r="AF917">
        <f t="shared" si="101"/>
        <v>0</v>
      </c>
      <c r="AG917" t="str">
        <f t="shared" si="102"/>
        <v/>
      </c>
      <c r="AH917" t="str">
        <f t="shared" si="103"/>
        <v/>
      </c>
      <c r="AI917">
        <f t="shared" si="104"/>
        <v>0</v>
      </c>
      <c r="AJ917">
        <f t="shared" si="105"/>
        <v>0</v>
      </c>
      <c r="AK917">
        <v>0</v>
      </c>
      <c r="AL917" t="str">
        <f>IF(AA917="","",IFERROR(IF(ISNUMBER('Procyflo 27TC'!E418),'Procyflo 27TC'!E418,IF(ISNUMBER(SEARCH("12",'Procyflo 27TC'!E418)),EDATE(AB917,12),IF(ISNUMBER(SEARCH("6",'Procyflo 27TC'!E418)),EDATE(AB917,6),IF(ISNUMBER(SEARCH("3",'Procyflo 27TC'!E418)),EDATE(AB917,3),DATEVALUE('Procyflo 27TC'!E418))))),""))</f>
        <v/>
      </c>
      <c r="AM917" t="str">
        <f t="shared" ca="1" si="106"/>
        <v/>
      </c>
    </row>
    <row r="918" spans="27:39" x14ac:dyDescent="0.3">
      <c r="AA918" t="str">
        <f>IF(COUNTA('Procyflo 27TC'!B419,'Procyflo 27TC'!C419,'Procyflo 27TC'!D419)&gt;0,"27TC","")</f>
        <v/>
      </c>
      <c r="AB918" t="str">
        <f>IFERROR(IF(ISNUMBER('Procyflo 27TC'!B419),'Procyflo 27TC'!B419,DATEVALUE('Procyflo 27TC'!B419)),"")</f>
        <v/>
      </c>
      <c r="AC918" t="str">
        <f>IF(AA918="","",'Procyflo 27TC'!C419)</f>
        <v/>
      </c>
      <c r="AD918" t="str">
        <f>IF(AA918="","",IFERROR(1*'Procyflo 27TC'!D419,IFERROR(_xludf.NUMBERVALUE('Procyflo 27TC'!D419,".",","),IFERROR(_xludf.NUMBERVALUE('Procyflo 27TC'!D419,",","."),0))))</f>
        <v/>
      </c>
      <c r="AE918" t="str">
        <f>IF(AA918="","",'Procyflo 27TC'!N419)</f>
        <v/>
      </c>
      <c r="AF918">
        <f t="shared" si="101"/>
        <v>0</v>
      </c>
      <c r="AG918" t="str">
        <f t="shared" si="102"/>
        <v/>
      </c>
      <c r="AH918" t="str">
        <f t="shared" si="103"/>
        <v/>
      </c>
      <c r="AI918">
        <f t="shared" si="104"/>
        <v>0</v>
      </c>
      <c r="AJ918">
        <f t="shared" si="105"/>
        <v>0</v>
      </c>
      <c r="AK918">
        <v>0</v>
      </c>
      <c r="AL918" t="str">
        <f>IF(AA918="","",IFERROR(IF(ISNUMBER('Procyflo 27TC'!E419),'Procyflo 27TC'!E419,IF(ISNUMBER(SEARCH("12",'Procyflo 27TC'!E419)),EDATE(AB918,12),IF(ISNUMBER(SEARCH("6",'Procyflo 27TC'!E419)),EDATE(AB918,6),IF(ISNUMBER(SEARCH("3",'Procyflo 27TC'!E419)),EDATE(AB918,3),DATEVALUE('Procyflo 27TC'!E419))))),""))</f>
        <v/>
      </c>
      <c r="AM918" t="str">
        <f t="shared" ca="1" si="106"/>
        <v/>
      </c>
    </row>
    <row r="919" spans="27:39" x14ac:dyDescent="0.3">
      <c r="AA919" t="str">
        <f>IF(COUNTA('Procyflo 27TC'!B420,'Procyflo 27TC'!C420,'Procyflo 27TC'!D420)&gt;0,"27TC","")</f>
        <v/>
      </c>
      <c r="AB919" t="str">
        <f>IFERROR(IF(ISNUMBER('Procyflo 27TC'!B420),'Procyflo 27TC'!B420,DATEVALUE('Procyflo 27TC'!B420)),"")</f>
        <v/>
      </c>
      <c r="AC919" t="str">
        <f>IF(AA919="","",'Procyflo 27TC'!C420)</f>
        <v/>
      </c>
      <c r="AD919" t="str">
        <f>IF(AA919="","",IFERROR(1*'Procyflo 27TC'!D420,IFERROR(_xludf.NUMBERVALUE('Procyflo 27TC'!D420,".",","),IFERROR(_xludf.NUMBERVALUE('Procyflo 27TC'!D420,",","."),0))))</f>
        <v/>
      </c>
      <c r="AE919" t="str">
        <f>IF(AA919="","",'Procyflo 27TC'!N420)</f>
        <v/>
      </c>
      <c r="AF919">
        <f t="shared" si="101"/>
        <v>0</v>
      </c>
      <c r="AG919" t="str">
        <f t="shared" si="102"/>
        <v/>
      </c>
      <c r="AH919" t="str">
        <f t="shared" si="103"/>
        <v/>
      </c>
      <c r="AI919">
        <f t="shared" si="104"/>
        <v>0</v>
      </c>
      <c r="AJ919">
        <f t="shared" si="105"/>
        <v>0</v>
      </c>
      <c r="AK919">
        <v>0</v>
      </c>
      <c r="AL919" t="str">
        <f>IF(AA919="","",IFERROR(IF(ISNUMBER('Procyflo 27TC'!E420),'Procyflo 27TC'!E420,IF(ISNUMBER(SEARCH("12",'Procyflo 27TC'!E420)),EDATE(AB919,12),IF(ISNUMBER(SEARCH("6",'Procyflo 27TC'!E420)),EDATE(AB919,6),IF(ISNUMBER(SEARCH("3",'Procyflo 27TC'!E420)),EDATE(AB919,3),DATEVALUE('Procyflo 27TC'!E420))))),""))</f>
        <v/>
      </c>
      <c r="AM919" t="str">
        <f t="shared" ca="1" si="106"/>
        <v/>
      </c>
    </row>
    <row r="920" spans="27:39" x14ac:dyDescent="0.3">
      <c r="AA920" t="str">
        <f>IF(COUNTA('Procyflo 27TC'!B421,'Procyflo 27TC'!C421,'Procyflo 27TC'!D421)&gt;0,"27TC","")</f>
        <v/>
      </c>
      <c r="AB920" t="str">
        <f>IFERROR(IF(ISNUMBER('Procyflo 27TC'!B421),'Procyflo 27TC'!B421,DATEVALUE('Procyflo 27TC'!B421)),"")</f>
        <v/>
      </c>
      <c r="AC920" t="str">
        <f>IF(AA920="","",'Procyflo 27TC'!C421)</f>
        <v/>
      </c>
      <c r="AD920" t="str">
        <f>IF(AA920="","",IFERROR(1*'Procyflo 27TC'!D421,IFERROR(_xludf.NUMBERVALUE('Procyflo 27TC'!D421,".",","),IFERROR(_xludf.NUMBERVALUE('Procyflo 27TC'!D421,",","."),0))))</f>
        <v/>
      </c>
      <c r="AE920" t="str">
        <f>IF(AA920="","",'Procyflo 27TC'!N421)</f>
        <v/>
      </c>
      <c r="AF920">
        <f t="shared" si="101"/>
        <v>0</v>
      </c>
      <c r="AG920" t="str">
        <f t="shared" si="102"/>
        <v/>
      </c>
      <c r="AH920" t="str">
        <f t="shared" si="103"/>
        <v/>
      </c>
      <c r="AI920">
        <f t="shared" si="104"/>
        <v>0</v>
      </c>
      <c r="AJ920">
        <f t="shared" si="105"/>
        <v>0</v>
      </c>
      <c r="AK920">
        <v>0</v>
      </c>
      <c r="AL920" t="str">
        <f>IF(AA920="","",IFERROR(IF(ISNUMBER('Procyflo 27TC'!E421),'Procyflo 27TC'!E421,IF(ISNUMBER(SEARCH("12",'Procyflo 27TC'!E421)),EDATE(AB920,12),IF(ISNUMBER(SEARCH("6",'Procyflo 27TC'!E421)),EDATE(AB920,6),IF(ISNUMBER(SEARCH("3",'Procyflo 27TC'!E421)),EDATE(AB920,3),DATEVALUE('Procyflo 27TC'!E421))))),""))</f>
        <v/>
      </c>
      <c r="AM920" t="str">
        <f t="shared" ca="1" si="106"/>
        <v/>
      </c>
    </row>
    <row r="921" spans="27:39" x14ac:dyDescent="0.3">
      <c r="AA921" t="str">
        <f>IF(COUNTA('Procyflo 27TC'!B422,'Procyflo 27TC'!C422,'Procyflo 27TC'!D422)&gt;0,"27TC","")</f>
        <v/>
      </c>
      <c r="AB921" t="str">
        <f>IFERROR(IF(ISNUMBER('Procyflo 27TC'!B422),'Procyflo 27TC'!B422,DATEVALUE('Procyflo 27TC'!B422)),"")</f>
        <v/>
      </c>
      <c r="AC921" t="str">
        <f>IF(AA921="","",'Procyflo 27TC'!C422)</f>
        <v/>
      </c>
      <c r="AD921" t="str">
        <f>IF(AA921="","",IFERROR(1*'Procyflo 27TC'!D422,IFERROR(_xludf.NUMBERVALUE('Procyflo 27TC'!D422,".",","),IFERROR(_xludf.NUMBERVALUE('Procyflo 27TC'!D422,",","."),0))))</f>
        <v/>
      </c>
      <c r="AE921" t="str">
        <f>IF(AA921="","",'Procyflo 27TC'!N422)</f>
        <v/>
      </c>
      <c r="AF921">
        <f t="shared" si="101"/>
        <v>0</v>
      </c>
      <c r="AG921" t="str">
        <f t="shared" si="102"/>
        <v/>
      </c>
      <c r="AH921" t="str">
        <f t="shared" si="103"/>
        <v/>
      </c>
      <c r="AI921">
        <f t="shared" si="104"/>
        <v>0</v>
      </c>
      <c r="AJ921">
        <f t="shared" si="105"/>
        <v>0</v>
      </c>
      <c r="AK921">
        <v>0</v>
      </c>
      <c r="AL921" t="str">
        <f>IF(AA921="","",IFERROR(IF(ISNUMBER('Procyflo 27TC'!E422),'Procyflo 27TC'!E422,IF(ISNUMBER(SEARCH("12",'Procyflo 27TC'!E422)),EDATE(AB921,12),IF(ISNUMBER(SEARCH("6",'Procyflo 27TC'!E422)),EDATE(AB921,6),IF(ISNUMBER(SEARCH("3",'Procyflo 27TC'!E422)),EDATE(AB921,3),DATEVALUE('Procyflo 27TC'!E422))))),""))</f>
        <v/>
      </c>
      <c r="AM921" t="str">
        <f t="shared" ca="1" si="106"/>
        <v/>
      </c>
    </row>
    <row r="922" spans="27:39" x14ac:dyDescent="0.3">
      <c r="AA922" t="str">
        <f>IF(COUNTA('Procyflo 27TC'!B423,'Procyflo 27TC'!C423,'Procyflo 27TC'!D423)&gt;0,"27TC","")</f>
        <v/>
      </c>
      <c r="AB922" t="str">
        <f>IFERROR(IF(ISNUMBER('Procyflo 27TC'!B423),'Procyflo 27TC'!B423,DATEVALUE('Procyflo 27TC'!B423)),"")</f>
        <v/>
      </c>
      <c r="AC922" t="str">
        <f>IF(AA922="","",'Procyflo 27TC'!C423)</f>
        <v/>
      </c>
      <c r="AD922" t="str">
        <f>IF(AA922="","",IFERROR(1*'Procyflo 27TC'!D423,IFERROR(_xludf.NUMBERVALUE('Procyflo 27TC'!D423,".",","),IFERROR(_xludf.NUMBERVALUE('Procyflo 27TC'!D423,",","."),0))))</f>
        <v/>
      </c>
      <c r="AE922" t="str">
        <f>IF(AA922="","",'Procyflo 27TC'!N423)</f>
        <v/>
      </c>
      <c r="AF922">
        <f t="shared" si="101"/>
        <v>0</v>
      </c>
      <c r="AG922" t="str">
        <f t="shared" si="102"/>
        <v/>
      </c>
      <c r="AH922" t="str">
        <f t="shared" si="103"/>
        <v/>
      </c>
      <c r="AI922">
        <f t="shared" si="104"/>
        <v>0</v>
      </c>
      <c r="AJ922">
        <f t="shared" si="105"/>
        <v>0</v>
      </c>
      <c r="AK922">
        <v>0</v>
      </c>
      <c r="AL922" t="str">
        <f>IF(AA922="","",IFERROR(IF(ISNUMBER('Procyflo 27TC'!E423),'Procyflo 27TC'!E423,IF(ISNUMBER(SEARCH("12",'Procyflo 27TC'!E423)),EDATE(AB922,12),IF(ISNUMBER(SEARCH("6",'Procyflo 27TC'!E423)),EDATE(AB922,6),IF(ISNUMBER(SEARCH("3",'Procyflo 27TC'!E423)),EDATE(AB922,3),DATEVALUE('Procyflo 27TC'!E423))))),""))</f>
        <v/>
      </c>
      <c r="AM922" t="str">
        <f t="shared" ca="1" si="106"/>
        <v/>
      </c>
    </row>
    <row r="923" spans="27:39" x14ac:dyDescent="0.3">
      <c r="AA923" t="str">
        <f>IF(COUNTA('Procyflo 27TC'!B424,'Procyflo 27TC'!C424,'Procyflo 27TC'!D424)&gt;0,"27TC","")</f>
        <v/>
      </c>
      <c r="AB923" t="str">
        <f>IFERROR(IF(ISNUMBER('Procyflo 27TC'!B424),'Procyflo 27TC'!B424,DATEVALUE('Procyflo 27TC'!B424)),"")</f>
        <v/>
      </c>
      <c r="AC923" t="str">
        <f>IF(AA923="","",'Procyflo 27TC'!C424)</f>
        <v/>
      </c>
      <c r="AD923" t="str">
        <f>IF(AA923="","",IFERROR(1*'Procyflo 27TC'!D424,IFERROR(_xludf.NUMBERVALUE('Procyflo 27TC'!D424,".",","),IFERROR(_xludf.NUMBERVALUE('Procyflo 27TC'!D424,",","."),0))))</f>
        <v/>
      </c>
      <c r="AE923" t="str">
        <f>IF(AA923="","",'Procyflo 27TC'!N424)</f>
        <v/>
      </c>
      <c r="AF923">
        <f t="shared" si="101"/>
        <v>0</v>
      </c>
      <c r="AG923" t="str">
        <f t="shared" si="102"/>
        <v/>
      </c>
      <c r="AH923" t="str">
        <f t="shared" si="103"/>
        <v/>
      </c>
      <c r="AI923">
        <f t="shared" si="104"/>
        <v>0</v>
      </c>
      <c r="AJ923">
        <f t="shared" si="105"/>
        <v>0</v>
      </c>
      <c r="AK923">
        <v>0</v>
      </c>
      <c r="AL923" t="str">
        <f>IF(AA923="","",IFERROR(IF(ISNUMBER('Procyflo 27TC'!E424),'Procyflo 27TC'!E424,IF(ISNUMBER(SEARCH("12",'Procyflo 27TC'!E424)),EDATE(AB923,12),IF(ISNUMBER(SEARCH("6",'Procyflo 27TC'!E424)),EDATE(AB923,6),IF(ISNUMBER(SEARCH("3",'Procyflo 27TC'!E424)),EDATE(AB923,3),DATEVALUE('Procyflo 27TC'!E424))))),""))</f>
        <v/>
      </c>
      <c r="AM923" t="str">
        <f t="shared" ca="1" si="106"/>
        <v/>
      </c>
    </row>
    <row r="924" spans="27:39" x14ac:dyDescent="0.3">
      <c r="AA924" t="str">
        <f>IF(COUNTA('Procyflo 27TC'!B425,'Procyflo 27TC'!C425,'Procyflo 27TC'!D425)&gt;0,"27TC","")</f>
        <v/>
      </c>
      <c r="AB924" t="str">
        <f>IFERROR(IF(ISNUMBER('Procyflo 27TC'!B425),'Procyflo 27TC'!B425,DATEVALUE('Procyflo 27TC'!B425)),"")</f>
        <v/>
      </c>
      <c r="AC924" t="str">
        <f>IF(AA924="","",'Procyflo 27TC'!C425)</f>
        <v/>
      </c>
      <c r="AD924" t="str">
        <f>IF(AA924="","",IFERROR(1*'Procyflo 27TC'!D425,IFERROR(_xludf.NUMBERVALUE('Procyflo 27TC'!D425,".",","),IFERROR(_xludf.NUMBERVALUE('Procyflo 27TC'!D425,",","."),0))))</f>
        <v/>
      </c>
      <c r="AE924" t="str">
        <f>IF(AA924="","",'Procyflo 27TC'!N425)</f>
        <v/>
      </c>
      <c r="AF924">
        <f t="shared" si="101"/>
        <v>0</v>
      </c>
      <c r="AG924" t="str">
        <f t="shared" si="102"/>
        <v/>
      </c>
      <c r="AH924" t="str">
        <f t="shared" si="103"/>
        <v/>
      </c>
      <c r="AI924">
        <f t="shared" si="104"/>
        <v>0</v>
      </c>
      <c r="AJ924">
        <f t="shared" si="105"/>
        <v>0</v>
      </c>
      <c r="AK924">
        <v>0</v>
      </c>
      <c r="AL924" t="str">
        <f>IF(AA924="","",IFERROR(IF(ISNUMBER('Procyflo 27TC'!E425),'Procyflo 27TC'!E425,IF(ISNUMBER(SEARCH("12",'Procyflo 27TC'!E425)),EDATE(AB924,12),IF(ISNUMBER(SEARCH("6",'Procyflo 27TC'!E425)),EDATE(AB924,6),IF(ISNUMBER(SEARCH("3",'Procyflo 27TC'!E425)),EDATE(AB924,3),DATEVALUE('Procyflo 27TC'!E425))))),""))</f>
        <v/>
      </c>
      <c r="AM924" t="str">
        <f t="shared" ca="1" si="106"/>
        <v/>
      </c>
    </row>
    <row r="925" spans="27:39" x14ac:dyDescent="0.3">
      <c r="AA925" t="str">
        <f>IF(COUNTA('Procyflo 27TC'!B426,'Procyflo 27TC'!C426,'Procyflo 27TC'!D426)&gt;0,"27TC","")</f>
        <v/>
      </c>
      <c r="AB925" t="str">
        <f>IFERROR(IF(ISNUMBER('Procyflo 27TC'!B426),'Procyflo 27TC'!B426,DATEVALUE('Procyflo 27TC'!B426)),"")</f>
        <v/>
      </c>
      <c r="AC925" t="str">
        <f>IF(AA925="","",'Procyflo 27TC'!C426)</f>
        <v/>
      </c>
      <c r="AD925" t="str">
        <f>IF(AA925="","",IFERROR(1*'Procyflo 27TC'!D426,IFERROR(_xludf.NUMBERVALUE('Procyflo 27TC'!D426,".",","),IFERROR(_xludf.NUMBERVALUE('Procyflo 27TC'!D426,",","."),0))))</f>
        <v/>
      </c>
      <c r="AE925" t="str">
        <f>IF(AA925="","",'Procyflo 27TC'!N426)</f>
        <v/>
      </c>
      <c r="AF925">
        <f t="shared" si="101"/>
        <v>0</v>
      </c>
      <c r="AG925" t="str">
        <f t="shared" si="102"/>
        <v/>
      </c>
      <c r="AH925" t="str">
        <f t="shared" si="103"/>
        <v/>
      </c>
      <c r="AI925">
        <f t="shared" si="104"/>
        <v>0</v>
      </c>
      <c r="AJ925">
        <f t="shared" si="105"/>
        <v>0</v>
      </c>
      <c r="AK925">
        <v>0</v>
      </c>
      <c r="AL925" t="str">
        <f>IF(AA925="","",IFERROR(IF(ISNUMBER('Procyflo 27TC'!E426),'Procyflo 27TC'!E426,IF(ISNUMBER(SEARCH("12",'Procyflo 27TC'!E426)),EDATE(AB925,12),IF(ISNUMBER(SEARCH("6",'Procyflo 27TC'!E426)),EDATE(AB925,6),IF(ISNUMBER(SEARCH("3",'Procyflo 27TC'!E426)),EDATE(AB925,3),DATEVALUE('Procyflo 27TC'!E426))))),""))</f>
        <v/>
      </c>
      <c r="AM925" t="str">
        <f t="shared" ca="1" si="106"/>
        <v/>
      </c>
    </row>
    <row r="926" spans="27:39" x14ac:dyDescent="0.3">
      <c r="AA926" t="str">
        <f>IF(COUNTA('Procyflo 27TC'!B427,'Procyflo 27TC'!C427,'Procyflo 27TC'!D427)&gt;0,"27TC","")</f>
        <v/>
      </c>
      <c r="AB926" t="str">
        <f>IFERROR(IF(ISNUMBER('Procyflo 27TC'!B427),'Procyflo 27TC'!B427,DATEVALUE('Procyflo 27TC'!B427)),"")</f>
        <v/>
      </c>
      <c r="AC926" t="str">
        <f>IF(AA926="","",'Procyflo 27TC'!C427)</f>
        <v/>
      </c>
      <c r="AD926" t="str">
        <f>IF(AA926="","",IFERROR(1*'Procyflo 27TC'!D427,IFERROR(_xludf.NUMBERVALUE('Procyflo 27TC'!D427,".",","),IFERROR(_xludf.NUMBERVALUE('Procyflo 27TC'!D427,",","."),0))))</f>
        <v/>
      </c>
      <c r="AE926" t="str">
        <f>IF(AA926="","",'Procyflo 27TC'!N427)</f>
        <v/>
      </c>
      <c r="AF926">
        <f t="shared" si="101"/>
        <v>0</v>
      </c>
      <c r="AG926" t="str">
        <f t="shared" si="102"/>
        <v/>
      </c>
      <c r="AH926" t="str">
        <f t="shared" si="103"/>
        <v/>
      </c>
      <c r="AI926">
        <f t="shared" si="104"/>
        <v>0</v>
      </c>
      <c r="AJ926">
        <f t="shared" si="105"/>
        <v>0</v>
      </c>
      <c r="AK926">
        <v>0</v>
      </c>
      <c r="AL926" t="str">
        <f>IF(AA926="","",IFERROR(IF(ISNUMBER('Procyflo 27TC'!E427),'Procyflo 27TC'!E427,IF(ISNUMBER(SEARCH("12",'Procyflo 27TC'!E427)),EDATE(AB926,12),IF(ISNUMBER(SEARCH("6",'Procyflo 27TC'!E427)),EDATE(AB926,6),IF(ISNUMBER(SEARCH("3",'Procyflo 27TC'!E427)),EDATE(AB926,3),DATEVALUE('Procyflo 27TC'!E427))))),""))</f>
        <v/>
      </c>
      <c r="AM926" t="str">
        <f t="shared" ca="1" si="106"/>
        <v/>
      </c>
    </row>
    <row r="927" spans="27:39" x14ac:dyDescent="0.3">
      <c r="AA927" t="str">
        <f>IF(COUNTA('Procyflo 27TC'!B428,'Procyflo 27TC'!C428,'Procyflo 27TC'!D428)&gt;0,"27TC","")</f>
        <v/>
      </c>
      <c r="AB927" t="str">
        <f>IFERROR(IF(ISNUMBER('Procyflo 27TC'!B428),'Procyflo 27TC'!B428,DATEVALUE('Procyflo 27TC'!B428)),"")</f>
        <v/>
      </c>
      <c r="AC927" t="str">
        <f>IF(AA927="","",'Procyflo 27TC'!C428)</f>
        <v/>
      </c>
      <c r="AD927" t="str">
        <f>IF(AA927="","",IFERROR(1*'Procyflo 27TC'!D428,IFERROR(_xludf.NUMBERVALUE('Procyflo 27TC'!D428,".",","),IFERROR(_xludf.NUMBERVALUE('Procyflo 27TC'!D428,",","."),0))))</f>
        <v/>
      </c>
      <c r="AE927" t="str">
        <f>IF(AA927="","",'Procyflo 27TC'!N428)</f>
        <v/>
      </c>
      <c r="AF927">
        <f t="shared" si="101"/>
        <v>0</v>
      </c>
      <c r="AG927" t="str">
        <f t="shared" si="102"/>
        <v/>
      </c>
      <c r="AH927" t="str">
        <f t="shared" si="103"/>
        <v/>
      </c>
      <c r="AI927">
        <f t="shared" si="104"/>
        <v>0</v>
      </c>
      <c r="AJ927">
        <f t="shared" si="105"/>
        <v>0</v>
      </c>
      <c r="AK927">
        <v>0</v>
      </c>
      <c r="AL927" t="str">
        <f>IF(AA927="","",IFERROR(IF(ISNUMBER('Procyflo 27TC'!E428),'Procyflo 27TC'!E428,IF(ISNUMBER(SEARCH("12",'Procyflo 27TC'!E428)),EDATE(AB927,12),IF(ISNUMBER(SEARCH("6",'Procyflo 27TC'!E428)),EDATE(AB927,6),IF(ISNUMBER(SEARCH("3",'Procyflo 27TC'!E428)),EDATE(AB927,3),DATEVALUE('Procyflo 27TC'!E428))))),""))</f>
        <v/>
      </c>
      <c r="AM927" t="str">
        <f t="shared" ca="1" si="106"/>
        <v/>
      </c>
    </row>
    <row r="928" spans="27:39" x14ac:dyDescent="0.3">
      <c r="AA928" t="str">
        <f>IF(COUNTA('Procyflo 27TC'!B429,'Procyflo 27TC'!C429,'Procyflo 27TC'!D429)&gt;0,"27TC","")</f>
        <v/>
      </c>
      <c r="AB928" t="str">
        <f>IFERROR(IF(ISNUMBER('Procyflo 27TC'!B429),'Procyflo 27TC'!B429,DATEVALUE('Procyflo 27TC'!B429)),"")</f>
        <v/>
      </c>
      <c r="AC928" t="str">
        <f>IF(AA928="","",'Procyflo 27TC'!C429)</f>
        <v/>
      </c>
      <c r="AD928" t="str">
        <f>IF(AA928="","",IFERROR(1*'Procyflo 27TC'!D429,IFERROR(_xludf.NUMBERVALUE('Procyflo 27TC'!D429,".",","),IFERROR(_xludf.NUMBERVALUE('Procyflo 27TC'!D429,",","."),0))))</f>
        <v/>
      </c>
      <c r="AE928" t="str">
        <f>IF(AA928="","",'Procyflo 27TC'!N429)</f>
        <v/>
      </c>
      <c r="AF928">
        <f t="shared" si="101"/>
        <v>0</v>
      </c>
      <c r="AG928" t="str">
        <f t="shared" si="102"/>
        <v/>
      </c>
      <c r="AH928" t="str">
        <f t="shared" si="103"/>
        <v/>
      </c>
      <c r="AI928">
        <f t="shared" si="104"/>
        <v>0</v>
      </c>
      <c r="AJ928">
        <f t="shared" si="105"/>
        <v>0</v>
      </c>
      <c r="AK928">
        <v>0</v>
      </c>
      <c r="AL928" t="str">
        <f>IF(AA928="","",IFERROR(IF(ISNUMBER('Procyflo 27TC'!E429),'Procyflo 27TC'!E429,IF(ISNUMBER(SEARCH("12",'Procyflo 27TC'!E429)),EDATE(AB928,12),IF(ISNUMBER(SEARCH("6",'Procyflo 27TC'!E429)),EDATE(AB928,6),IF(ISNUMBER(SEARCH("3",'Procyflo 27TC'!E429)),EDATE(AB928,3),DATEVALUE('Procyflo 27TC'!E429))))),""))</f>
        <v/>
      </c>
      <c r="AM928" t="str">
        <f t="shared" ca="1" si="106"/>
        <v/>
      </c>
    </row>
    <row r="929" spans="27:39" x14ac:dyDescent="0.3">
      <c r="AA929" t="str">
        <f>IF(COUNTA('Procyflo 27TC'!B430,'Procyflo 27TC'!C430,'Procyflo 27TC'!D430)&gt;0,"27TC","")</f>
        <v/>
      </c>
      <c r="AB929" t="str">
        <f>IFERROR(IF(ISNUMBER('Procyflo 27TC'!B430),'Procyflo 27TC'!B430,DATEVALUE('Procyflo 27TC'!B430)),"")</f>
        <v/>
      </c>
      <c r="AC929" t="str">
        <f>IF(AA929="","",'Procyflo 27TC'!C430)</f>
        <v/>
      </c>
      <c r="AD929" t="str">
        <f>IF(AA929="","",IFERROR(1*'Procyflo 27TC'!D430,IFERROR(_xludf.NUMBERVALUE('Procyflo 27TC'!D430,".",","),IFERROR(_xludf.NUMBERVALUE('Procyflo 27TC'!D430,",","."),0))))</f>
        <v/>
      </c>
      <c r="AE929" t="str">
        <f>IF(AA929="","",'Procyflo 27TC'!N430)</f>
        <v/>
      </c>
      <c r="AF929">
        <f t="shared" si="101"/>
        <v>0</v>
      </c>
      <c r="AG929" t="str">
        <f t="shared" si="102"/>
        <v/>
      </c>
      <c r="AH929" t="str">
        <f t="shared" si="103"/>
        <v/>
      </c>
      <c r="AI929">
        <f t="shared" si="104"/>
        <v>0</v>
      </c>
      <c r="AJ929">
        <f t="shared" si="105"/>
        <v>0</v>
      </c>
      <c r="AK929">
        <v>0</v>
      </c>
      <c r="AL929" t="str">
        <f>IF(AA929="","",IFERROR(IF(ISNUMBER('Procyflo 27TC'!E430),'Procyflo 27TC'!E430,IF(ISNUMBER(SEARCH("12",'Procyflo 27TC'!E430)),EDATE(AB929,12),IF(ISNUMBER(SEARCH("6",'Procyflo 27TC'!E430)),EDATE(AB929,6),IF(ISNUMBER(SEARCH("3",'Procyflo 27TC'!E430)),EDATE(AB929,3),DATEVALUE('Procyflo 27TC'!E430))))),""))</f>
        <v/>
      </c>
      <c r="AM929" t="str">
        <f t="shared" ca="1" si="106"/>
        <v/>
      </c>
    </row>
    <row r="930" spans="27:39" x14ac:dyDescent="0.3">
      <c r="AA930" t="str">
        <f>IF(COUNTA('Procyflo 27TC'!B431,'Procyflo 27TC'!C431,'Procyflo 27TC'!D431)&gt;0,"27TC","")</f>
        <v/>
      </c>
      <c r="AB930" t="str">
        <f>IFERROR(IF(ISNUMBER('Procyflo 27TC'!B431),'Procyflo 27TC'!B431,DATEVALUE('Procyflo 27TC'!B431)),"")</f>
        <v/>
      </c>
      <c r="AC930" t="str">
        <f>IF(AA930="","",'Procyflo 27TC'!C431)</f>
        <v/>
      </c>
      <c r="AD930" t="str">
        <f>IF(AA930="","",IFERROR(1*'Procyflo 27TC'!D431,IFERROR(_xludf.NUMBERVALUE('Procyflo 27TC'!D431,".",","),IFERROR(_xludf.NUMBERVALUE('Procyflo 27TC'!D431,",","."),0))))</f>
        <v/>
      </c>
      <c r="AE930" t="str">
        <f>IF(AA930="","",'Procyflo 27TC'!N431)</f>
        <v/>
      </c>
      <c r="AF930">
        <f t="shared" si="101"/>
        <v>0</v>
      </c>
      <c r="AG930" t="str">
        <f t="shared" si="102"/>
        <v/>
      </c>
      <c r="AH930" t="str">
        <f t="shared" si="103"/>
        <v/>
      </c>
      <c r="AI930">
        <f t="shared" si="104"/>
        <v>0</v>
      </c>
      <c r="AJ930">
        <f t="shared" si="105"/>
        <v>0</v>
      </c>
      <c r="AK930">
        <v>0</v>
      </c>
      <c r="AL930" t="str">
        <f>IF(AA930="","",IFERROR(IF(ISNUMBER('Procyflo 27TC'!E431),'Procyflo 27TC'!E431,IF(ISNUMBER(SEARCH("12",'Procyflo 27TC'!E431)),EDATE(AB930,12),IF(ISNUMBER(SEARCH("6",'Procyflo 27TC'!E431)),EDATE(AB930,6),IF(ISNUMBER(SEARCH("3",'Procyflo 27TC'!E431)),EDATE(AB930,3),DATEVALUE('Procyflo 27TC'!E431))))),""))</f>
        <v/>
      </c>
      <c r="AM930" t="str">
        <f t="shared" ca="1" si="106"/>
        <v/>
      </c>
    </row>
    <row r="931" spans="27:39" x14ac:dyDescent="0.3">
      <c r="AA931" t="str">
        <f>IF(COUNTA('Procyflo 27TC'!B432,'Procyflo 27TC'!C432,'Procyflo 27TC'!D432)&gt;0,"27TC","")</f>
        <v/>
      </c>
      <c r="AB931" t="str">
        <f>IFERROR(IF(ISNUMBER('Procyflo 27TC'!B432),'Procyflo 27TC'!B432,DATEVALUE('Procyflo 27TC'!B432)),"")</f>
        <v/>
      </c>
      <c r="AC931" t="str">
        <f>IF(AA931="","",'Procyflo 27TC'!C432)</f>
        <v/>
      </c>
      <c r="AD931" t="str">
        <f>IF(AA931="","",IFERROR(1*'Procyflo 27TC'!D432,IFERROR(_xludf.NUMBERVALUE('Procyflo 27TC'!D432,".",","),IFERROR(_xludf.NUMBERVALUE('Procyflo 27TC'!D432,",","."),0))))</f>
        <v/>
      </c>
      <c r="AE931" t="str">
        <f>IF(AA931="","",'Procyflo 27TC'!N432)</f>
        <v/>
      </c>
      <c r="AF931">
        <f t="shared" si="101"/>
        <v>0</v>
      </c>
      <c r="AG931" t="str">
        <f t="shared" si="102"/>
        <v/>
      </c>
      <c r="AH931" t="str">
        <f t="shared" si="103"/>
        <v/>
      </c>
      <c r="AI931">
        <f t="shared" si="104"/>
        <v>0</v>
      </c>
      <c r="AJ931">
        <f t="shared" si="105"/>
        <v>0</v>
      </c>
      <c r="AK931">
        <v>0</v>
      </c>
      <c r="AL931" t="str">
        <f>IF(AA931="","",IFERROR(IF(ISNUMBER('Procyflo 27TC'!E432),'Procyflo 27TC'!E432,IF(ISNUMBER(SEARCH("12",'Procyflo 27TC'!E432)),EDATE(AB931,12),IF(ISNUMBER(SEARCH("6",'Procyflo 27TC'!E432)),EDATE(AB931,6),IF(ISNUMBER(SEARCH("3",'Procyflo 27TC'!E432)),EDATE(AB931,3),DATEVALUE('Procyflo 27TC'!E432))))),""))</f>
        <v/>
      </c>
      <c r="AM931" t="str">
        <f t="shared" ca="1" si="106"/>
        <v/>
      </c>
    </row>
    <row r="932" spans="27:39" x14ac:dyDescent="0.3">
      <c r="AA932" t="str">
        <f>IF(COUNTA('Procyflo 27TC'!B433,'Procyflo 27TC'!C433,'Procyflo 27TC'!D433)&gt;0,"27TC","")</f>
        <v/>
      </c>
      <c r="AB932" t="str">
        <f>IFERROR(IF(ISNUMBER('Procyflo 27TC'!B433),'Procyflo 27TC'!B433,DATEVALUE('Procyflo 27TC'!B433)),"")</f>
        <v/>
      </c>
      <c r="AC932" t="str">
        <f>IF(AA932="","",'Procyflo 27TC'!C433)</f>
        <v/>
      </c>
      <c r="AD932" t="str">
        <f>IF(AA932="","",IFERROR(1*'Procyflo 27TC'!D433,IFERROR(_xludf.NUMBERVALUE('Procyflo 27TC'!D433,".",","),IFERROR(_xludf.NUMBERVALUE('Procyflo 27TC'!D433,",","."),0))))</f>
        <v/>
      </c>
      <c r="AE932" t="str">
        <f>IF(AA932="","",'Procyflo 27TC'!N433)</f>
        <v/>
      </c>
      <c r="AF932">
        <f t="shared" si="101"/>
        <v>0</v>
      </c>
      <c r="AG932" t="str">
        <f t="shared" si="102"/>
        <v/>
      </c>
      <c r="AH932" t="str">
        <f t="shared" si="103"/>
        <v/>
      </c>
      <c r="AI932">
        <f t="shared" si="104"/>
        <v>0</v>
      </c>
      <c r="AJ932">
        <f t="shared" si="105"/>
        <v>0</v>
      </c>
      <c r="AK932">
        <v>0</v>
      </c>
      <c r="AL932" t="str">
        <f>IF(AA932="","",IFERROR(IF(ISNUMBER('Procyflo 27TC'!E433),'Procyflo 27TC'!E433,IF(ISNUMBER(SEARCH("12",'Procyflo 27TC'!E433)),EDATE(AB932,12),IF(ISNUMBER(SEARCH("6",'Procyflo 27TC'!E433)),EDATE(AB932,6),IF(ISNUMBER(SEARCH("3",'Procyflo 27TC'!E433)),EDATE(AB932,3),DATEVALUE('Procyflo 27TC'!E433))))),""))</f>
        <v/>
      </c>
      <c r="AM932" t="str">
        <f t="shared" ca="1" si="106"/>
        <v/>
      </c>
    </row>
    <row r="933" spans="27:39" x14ac:dyDescent="0.3">
      <c r="AA933" t="str">
        <f>IF(COUNTA('Procyflo 27TC'!B434,'Procyflo 27TC'!C434,'Procyflo 27TC'!D434)&gt;0,"27TC","")</f>
        <v/>
      </c>
      <c r="AB933" t="str">
        <f>IFERROR(IF(ISNUMBER('Procyflo 27TC'!B434),'Procyflo 27TC'!B434,DATEVALUE('Procyflo 27TC'!B434)),"")</f>
        <v/>
      </c>
      <c r="AC933" t="str">
        <f>IF(AA933="","",'Procyflo 27TC'!C434)</f>
        <v/>
      </c>
      <c r="AD933" t="str">
        <f>IF(AA933="","",IFERROR(1*'Procyflo 27TC'!D434,IFERROR(_xludf.NUMBERVALUE('Procyflo 27TC'!D434,".",","),IFERROR(_xludf.NUMBERVALUE('Procyflo 27TC'!D434,",","."),0))))</f>
        <v/>
      </c>
      <c r="AE933" t="str">
        <f>IF(AA933="","",'Procyflo 27TC'!N434)</f>
        <v/>
      </c>
      <c r="AF933">
        <f t="shared" si="101"/>
        <v>0</v>
      </c>
      <c r="AG933" t="str">
        <f t="shared" si="102"/>
        <v/>
      </c>
      <c r="AH933" t="str">
        <f t="shared" si="103"/>
        <v/>
      </c>
      <c r="AI933">
        <f t="shared" si="104"/>
        <v>0</v>
      </c>
      <c r="AJ933">
        <f t="shared" si="105"/>
        <v>0</v>
      </c>
      <c r="AK933">
        <v>0</v>
      </c>
      <c r="AL933" t="str">
        <f>IF(AA933="","",IFERROR(IF(ISNUMBER('Procyflo 27TC'!E434),'Procyflo 27TC'!E434,IF(ISNUMBER(SEARCH("12",'Procyflo 27TC'!E434)),EDATE(AB933,12),IF(ISNUMBER(SEARCH("6",'Procyflo 27TC'!E434)),EDATE(AB933,6),IF(ISNUMBER(SEARCH("3",'Procyflo 27TC'!E434)),EDATE(AB933,3),DATEVALUE('Procyflo 27TC'!E434))))),""))</f>
        <v/>
      </c>
      <c r="AM933" t="str">
        <f t="shared" ca="1" si="106"/>
        <v/>
      </c>
    </row>
    <row r="934" spans="27:39" x14ac:dyDescent="0.3">
      <c r="AA934" t="str">
        <f>IF(COUNTA('Procyflo 27TC'!B435,'Procyflo 27TC'!C435,'Procyflo 27TC'!D435)&gt;0,"27TC","")</f>
        <v/>
      </c>
      <c r="AB934" t="str">
        <f>IFERROR(IF(ISNUMBER('Procyflo 27TC'!B435),'Procyflo 27TC'!B435,DATEVALUE('Procyflo 27TC'!B435)),"")</f>
        <v/>
      </c>
      <c r="AC934" t="str">
        <f>IF(AA934="","",'Procyflo 27TC'!C435)</f>
        <v/>
      </c>
      <c r="AD934" t="str">
        <f>IF(AA934="","",IFERROR(1*'Procyflo 27TC'!D435,IFERROR(_xludf.NUMBERVALUE('Procyflo 27TC'!D435,".",","),IFERROR(_xludf.NUMBERVALUE('Procyflo 27TC'!D435,",","."),0))))</f>
        <v/>
      </c>
      <c r="AE934" t="str">
        <f>IF(AA934="","",'Procyflo 27TC'!N435)</f>
        <v/>
      </c>
      <c r="AF934">
        <f t="shared" si="101"/>
        <v>0</v>
      </c>
      <c r="AG934" t="str">
        <f t="shared" si="102"/>
        <v/>
      </c>
      <c r="AH934" t="str">
        <f t="shared" si="103"/>
        <v/>
      </c>
      <c r="AI934">
        <f t="shared" si="104"/>
        <v>0</v>
      </c>
      <c r="AJ934">
        <f t="shared" si="105"/>
        <v>0</v>
      </c>
      <c r="AK934">
        <v>0</v>
      </c>
      <c r="AL934" t="str">
        <f>IF(AA934="","",IFERROR(IF(ISNUMBER('Procyflo 27TC'!E435),'Procyflo 27TC'!E435,IF(ISNUMBER(SEARCH("12",'Procyflo 27TC'!E435)),EDATE(AB934,12),IF(ISNUMBER(SEARCH("6",'Procyflo 27TC'!E435)),EDATE(AB934,6),IF(ISNUMBER(SEARCH("3",'Procyflo 27TC'!E435)),EDATE(AB934,3),DATEVALUE('Procyflo 27TC'!E435))))),""))</f>
        <v/>
      </c>
      <c r="AM934" t="str">
        <f t="shared" ca="1" si="106"/>
        <v/>
      </c>
    </row>
    <row r="935" spans="27:39" x14ac:dyDescent="0.3">
      <c r="AA935" t="str">
        <f>IF(COUNTA('Procyflo 27TC'!B436,'Procyflo 27TC'!C436,'Procyflo 27TC'!D436)&gt;0,"27TC","")</f>
        <v/>
      </c>
      <c r="AB935" t="str">
        <f>IFERROR(IF(ISNUMBER('Procyflo 27TC'!B436),'Procyflo 27TC'!B436,DATEVALUE('Procyflo 27TC'!B436)),"")</f>
        <v/>
      </c>
      <c r="AC935" t="str">
        <f>IF(AA935="","",'Procyflo 27TC'!C436)</f>
        <v/>
      </c>
      <c r="AD935" t="str">
        <f>IF(AA935="","",IFERROR(1*'Procyflo 27TC'!D436,IFERROR(_xludf.NUMBERVALUE('Procyflo 27TC'!D436,".",","),IFERROR(_xludf.NUMBERVALUE('Procyflo 27TC'!D436,",","."),0))))</f>
        <v/>
      </c>
      <c r="AE935" t="str">
        <f>IF(AA935="","",'Procyflo 27TC'!N436)</f>
        <v/>
      </c>
      <c r="AF935">
        <f t="shared" si="101"/>
        <v>0</v>
      </c>
      <c r="AG935" t="str">
        <f t="shared" si="102"/>
        <v/>
      </c>
      <c r="AH935" t="str">
        <f t="shared" si="103"/>
        <v/>
      </c>
      <c r="AI935">
        <f t="shared" si="104"/>
        <v>0</v>
      </c>
      <c r="AJ935">
        <f t="shared" si="105"/>
        <v>0</v>
      </c>
      <c r="AK935">
        <v>0</v>
      </c>
      <c r="AL935" t="str">
        <f>IF(AA935="","",IFERROR(IF(ISNUMBER('Procyflo 27TC'!E436),'Procyflo 27TC'!E436,IF(ISNUMBER(SEARCH("12",'Procyflo 27TC'!E436)),EDATE(AB935,12),IF(ISNUMBER(SEARCH("6",'Procyflo 27TC'!E436)),EDATE(AB935,6),IF(ISNUMBER(SEARCH("3",'Procyflo 27TC'!E436)),EDATE(AB935,3),DATEVALUE('Procyflo 27TC'!E436))))),""))</f>
        <v/>
      </c>
      <c r="AM935" t="str">
        <f t="shared" ca="1" si="106"/>
        <v/>
      </c>
    </row>
    <row r="936" spans="27:39" x14ac:dyDescent="0.3">
      <c r="AA936" t="str">
        <f>IF(COUNTA('Procyflo 27TC'!B437,'Procyflo 27TC'!C437,'Procyflo 27TC'!D437)&gt;0,"27TC","")</f>
        <v/>
      </c>
      <c r="AB936" t="str">
        <f>IFERROR(IF(ISNUMBER('Procyflo 27TC'!B437),'Procyflo 27TC'!B437,DATEVALUE('Procyflo 27TC'!B437)),"")</f>
        <v/>
      </c>
      <c r="AC936" t="str">
        <f>IF(AA936="","",'Procyflo 27TC'!C437)</f>
        <v/>
      </c>
      <c r="AD936" t="str">
        <f>IF(AA936="","",IFERROR(1*'Procyflo 27TC'!D437,IFERROR(_xludf.NUMBERVALUE('Procyflo 27TC'!D437,".",","),IFERROR(_xludf.NUMBERVALUE('Procyflo 27TC'!D437,",","."),0))))</f>
        <v/>
      </c>
      <c r="AE936" t="str">
        <f>IF(AA936="","",'Procyflo 27TC'!N437)</f>
        <v/>
      </c>
      <c r="AF936">
        <f t="shared" si="101"/>
        <v>0</v>
      </c>
      <c r="AG936" t="str">
        <f t="shared" si="102"/>
        <v/>
      </c>
      <c r="AH936" t="str">
        <f t="shared" si="103"/>
        <v/>
      </c>
      <c r="AI936">
        <f t="shared" si="104"/>
        <v>0</v>
      </c>
      <c r="AJ936">
        <f t="shared" si="105"/>
        <v>0</v>
      </c>
      <c r="AK936">
        <v>0</v>
      </c>
      <c r="AL936" t="str">
        <f>IF(AA936="","",IFERROR(IF(ISNUMBER('Procyflo 27TC'!E437),'Procyflo 27TC'!E437,IF(ISNUMBER(SEARCH("12",'Procyflo 27TC'!E437)),EDATE(AB936,12),IF(ISNUMBER(SEARCH("6",'Procyflo 27TC'!E437)),EDATE(AB936,6),IF(ISNUMBER(SEARCH("3",'Procyflo 27TC'!E437)),EDATE(AB936,3),DATEVALUE('Procyflo 27TC'!E437))))),""))</f>
        <v/>
      </c>
      <c r="AM936" t="str">
        <f t="shared" ca="1" si="106"/>
        <v/>
      </c>
    </row>
    <row r="937" spans="27:39" x14ac:dyDescent="0.3">
      <c r="AA937" t="str">
        <f>IF(COUNTA('Procyflo 27TC'!B438,'Procyflo 27TC'!C438,'Procyflo 27TC'!D438)&gt;0,"27TC","")</f>
        <v/>
      </c>
      <c r="AB937" t="str">
        <f>IFERROR(IF(ISNUMBER('Procyflo 27TC'!B438),'Procyflo 27TC'!B438,DATEVALUE('Procyflo 27TC'!B438)),"")</f>
        <v/>
      </c>
      <c r="AC937" t="str">
        <f>IF(AA937="","",'Procyflo 27TC'!C438)</f>
        <v/>
      </c>
      <c r="AD937" t="str">
        <f>IF(AA937="","",IFERROR(1*'Procyflo 27TC'!D438,IFERROR(_xludf.NUMBERVALUE('Procyflo 27TC'!D438,".",","),IFERROR(_xludf.NUMBERVALUE('Procyflo 27TC'!D438,",","."),0))))</f>
        <v/>
      </c>
      <c r="AE937" t="str">
        <f>IF(AA937="","",'Procyflo 27TC'!N438)</f>
        <v/>
      </c>
      <c r="AF937">
        <f t="shared" si="101"/>
        <v>0</v>
      </c>
      <c r="AG937" t="str">
        <f t="shared" si="102"/>
        <v/>
      </c>
      <c r="AH937" t="str">
        <f t="shared" si="103"/>
        <v/>
      </c>
      <c r="AI937">
        <f t="shared" si="104"/>
        <v>0</v>
      </c>
      <c r="AJ937">
        <f t="shared" si="105"/>
        <v>0</v>
      </c>
      <c r="AK937">
        <v>0</v>
      </c>
      <c r="AL937" t="str">
        <f>IF(AA937="","",IFERROR(IF(ISNUMBER('Procyflo 27TC'!E438),'Procyflo 27TC'!E438,IF(ISNUMBER(SEARCH("12",'Procyflo 27TC'!E438)),EDATE(AB937,12),IF(ISNUMBER(SEARCH("6",'Procyflo 27TC'!E438)),EDATE(AB937,6),IF(ISNUMBER(SEARCH("3",'Procyflo 27TC'!E438)),EDATE(AB937,3),DATEVALUE('Procyflo 27TC'!E438))))),""))</f>
        <v/>
      </c>
      <c r="AM937" t="str">
        <f t="shared" ca="1" si="106"/>
        <v/>
      </c>
    </row>
    <row r="938" spans="27:39" x14ac:dyDescent="0.3">
      <c r="AA938" t="str">
        <f>IF(COUNTA('Procyflo 27TC'!B439,'Procyflo 27TC'!C439,'Procyflo 27TC'!D439)&gt;0,"27TC","")</f>
        <v/>
      </c>
      <c r="AB938" t="str">
        <f>IFERROR(IF(ISNUMBER('Procyflo 27TC'!B439),'Procyflo 27TC'!B439,DATEVALUE('Procyflo 27TC'!B439)),"")</f>
        <v/>
      </c>
      <c r="AC938" t="str">
        <f>IF(AA938="","",'Procyflo 27TC'!C439)</f>
        <v/>
      </c>
      <c r="AD938" t="str">
        <f>IF(AA938="","",IFERROR(1*'Procyflo 27TC'!D439,IFERROR(_xludf.NUMBERVALUE('Procyflo 27TC'!D439,".",","),IFERROR(_xludf.NUMBERVALUE('Procyflo 27TC'!D439,",","."),0))))</f>
        <v/>
      </c>
      <c r="AE938" t="str">
        <f>IF(AA938="","",'Procyflo 27TC'!N439)</f>
        <v/>
      </c>
      <c r="AF938">
        <f t="shared" si="101"/>
        <v>0</v>
      </c>
      <c r="AG938" t="str">
        <f t="shared" si="102"/>
        <v/>
      </c>
      <c r="AH938" t="str">
        <f t="shared" si="103"/>
        <v/>
      </c>
      <c r="AI938">
        <f t="shared" si="104"/>
        <v>0</v>
      </c>
      <c r="AJ938">
        <f t="shared" si="105"/>
        <v>0</v>
      </c>
      <c r="AK938">
        <v>0</v>
      </c>
      <c r="AL938" t="str">
        <f>IF(AA938="","",IFERROR(IF(ISNUMBER('Procyflo 27TC'!E439),'Procyflo 27TC'!E439,IF(ISNUMBER(SEARCH("12",'Procyflo 27TC'!E439)),EDATE(AB938,12),IF(ISNUMBER(SEARCH("6",'Procyflo 27TC'!E439)),EDATE(AB938,6),IF(ISNUMBER(SEARCH("3",'Procyflo 27TC'!E439)),EDATE(AB938,3),DATEVALUE('Procyflo 27TC'!E439))))),""))</f>
        <v/>
      </c>
      <c r="AM938" t="str">
        <f t="shared" ca="1" si="106"/>
        <v/>
      </c>
    </row>
    <row r="939" spans="27:39" x14ac:dyDescent="0.3">
      <c r="AA939" t="str">
        <f>IF(COUNTA('Procyflo 27TC'!B440,'Procyflo 27TC'!C440,'Procyflo 27TC'!D440)&gt;0,"27TC","")</f>
        <v/>
      </c>
      <c r="AB939" t="str">
        <f>IFERROR(IF(ISNUMBER('Procyflo 27TC'!B440),'Procyflo 27TC'!B440,DATEVALUE('Procyflo 27TC'!B440)),"")</f>
        <v/>
      </c>
      <c r="AC939" t="str">
        <f>IF(AA939="","",'Procyflo 27TC'!C440)</f>
        <v/>
      </c>
      <c r="AD939" t="str">
        <f>IF(AA939="","",IFERROR(1*'Procyflo 27TC'!D440,IFERROR(_xludf.NUMBERVALUE('Procyflo 27TC'!D440,".",","),IFERROR(_xludf.NUMBERVALUE('Procyflo 27TC'!D440,",","."),0))))</f>
        <v/>
      </c>
      <c r="AE939" t="str">
        <f>IF(AA939="","",'Procyflo 27TC'!N440)</f>
        <v/>
      </c>
      <c r="AF939">
        <f t="shared" si="101"/>
        <v>0</v>
      </c>
      <c r="AG939" t="str">
        <f t="shared" si="102"/>
        <v/>
      </c>
      <c r="AH939" t="str">
        <f t="shared" si="103"/>
        <v/>
      </c>
      <c r="AI939">
        <f t="shared" si="104"/>
        <v>0</v>
      </c>
      <c r="AJ939">
        <f t="shared" si="105"/>
        <v>0</v>
      </c>
      <c r="AK939">
        <v>0</v>
      </c>
      <c r="AL939" t="str">
        <f>IF(AA939="","",IFERROR(IF(ISNUMBER('Procyflo 27TC'!E440),'Procyflo 27TC'!E440,IF(ISNUMBER(SEARCH("12",'Procyflo 27TC'!E440)),EDATE(AB939,12),IF(ISNUMBER(SEARCH("6",'Procyflo 27TC'!E440)),EDATE(AB939,6),IF(ISNUMBER(SEARCH("3",'Procyflo 27TC'!E440)),EDATE(AB939,3),DATEVALUE('Procyflo 27TC'!E440))))),""))</f>
        <v/>
      </c>
      <c r="AM939" t="str">
        <f t="shared" ca="1" si="106"/>
        <v/>
      </c>
    </row>
    <row r="940" spans="27:39" x14ac:dyDescent="0.3">
      <c r="AA940" t="str">
        <f>IF(COUNTA('Procyflo 27TC'!B441,'Procyflo 27TC'!C441,'Procyflo 27TC'!D441)&gt;0,"27TC","")</f>
        <v/>
      </c>
      <c r="AB940" t="str">
        <f>IFERROR(IF(ISNUMBER('Procyflo 27TC'!B441),'Procyflo 27TC'!B441,DATEVALUE('Procyflo 27TC'!B441)),"")</f>
        <v/>
      </c>
      <c r="AC940" t="str">
        <f>IF(AA940="","",'Procyflo 27TC'!C441)</f>
        <v/>
      </c>
      <c r="AD940" t="str">
        <f>IF(AA940="","",IFERROR(1*'Procyflo 27TC'!D441,IFERROR(_xludf.NUMBERVALUE('Procyflo 27TC'!D441,".",","),IFERROR(_xludf.NUMBERVALUE('Procyflo 27TC'!D441,",","."),0))))</f>
        <v/>
      </c>
      <c r="AE940" t="str">
        <f>IF(AA940="","",'Procyflo 27TC'!N441)</f>
        <v/>
      </c>
      <c r="AF940">
        <f t="shared" si="101"/>
        <v>0</v>
      </c>
      <c r="AG940" t="str">
        <f t="shared" si="102"/>
        <v/>
      </c>
      <c r="AH940" t="str">
        <f t="shared" si="103"/>
        <v/>
      </c>
      <c r="AI940">
        <f t="shared" si="104"/>
        <v>0</v>
      </c>
      <c r="AJ940">
        <f t="shared" si="105"/>
        <v>0</v>
      </c>
      <c r="AK940">
        <v>0</v>
      </c>
      <c r="AL940" t="str">
        <f>IF(AA940="","",IFERROR(IF(ISNUMBER('Procyflo 27TC'!E441),'Procyflo 27TC'!E441,IF(ISNUMBER(SEARCH("12",'Procyflo 27TC'!E441)),EDATE(AB940,12),IF(ISNUMBER(SEARCH("6",'Procyflo 27TC'!E441)),EDATE(AB940,6),IF(ISNUMBER(SEARCH("3",'Procyflo 27TC'!E441)),EDATE(AB940,3),DATEVALUE('Procyflo 27TC'!E441))))),""))</f>
        <v/>
      </c>
      <c r="AM940" t="str">
        <f t="shared" ca="1" si="106"/>
        <v/>
      </c>
    </row>
    <row r="941" spans="27:39" x14ac:dyDescent="0.3">
      <c r="AA941" t="str">
        <f>IF(COUNTA('Procyflo 27TC'!B442,'Procyflo 27TC'!C442,'Procyflo 27TC'!D442)&gt;0,"27TC","")</f>
        <v/>
      </c>
      <c r="AB941" t="str">
        <f>IFERROR(IF(ISNUMBER('Procyflo 27TC'!B442),'Procyflo 27TC'!B442,DATEVALUE('Procyflo 27TC'!B442)),"")</f>
        <v/>
      </c>
      <c r="AC941" t="str">
        <f>IF(AA941="","",'Procyflo 27TC'!C442)</f>
        <v/>
      </c>
      <c r="AD941" t="str">
        <f>IF(AA941="","",IFERROR(1*'Procyflo 27TC'!D442,IFERROR(_xludf.NUMBERVALUE('Procyflo 27TC'!D442,".",","),IFERROR(_xludf.NUMBERVALUE('Procyflo 27TC'!D442,",","."),0))))</f>
        <v/>
      </c>
      <c r="AE941" t="str">
        <f>IF(AA941="","",'Procyflo 27TC'!N442)</f>
        <v/>
      </c>
      <c r="AF941">
        <f t="shared" si="101"/>
        <v>0</v>
      </c>
      <c r="AG941" t="str">
        <f t="shared" si="102"/>
        <v/>
      </c>
      <c r="AH941" t="str">
        <f t="shared" si="103"/>
        <v/>
      </c>
      <c r="AI941">
        <f t="shared" si="104"/>
        <v>0</v>
      </c>
      <c r="AJ941">
        <f t="shared" si="105"/>
        <v>0</v>
      </c>
      <c r="AK941">
        <v>0</v>
      </c>
      <c r="AL941" t="str">
        <f>IF(AA941="","",IFERROR(IF(ISNUMBER('Procyflo 27TC'!E442),'Procyflo 27TC'!E442,IF(ISNUMBER(SEARCH("12",'Procyflo 27TC'!E442)),EDATE(AB941,12),IF(ISNUMBER(SEARCH("6",'Procyflo 27TC'!E442)),EDATE(AB941,6),IF(ISNUMBER(SEARCH("3",'Procyflo 27TC'!E442)),EDATE(AB941,3),DATEVALUE('Procyflo 27TC'!E442))))),""))</f>
        <v/>
      </c>
      <c r="AM941" t="str">
        <f t="shared" ca="1" si="106"/>
        <v/>
      </c>
    </row>
    <row r="942" spans="27:39" x14ac:dyDescent="0.3">
      <c r="AA942" t="str">
        <f>IF(COUNTA('Procyflo 27TC'!B443,'Procyflo 27TC'!C443,'Procyflo 27TC'!D443)&gt;0,"27TC","")</f>
        <v/>
      </c>
      <c r="AB942" t="str">
        <f>IFERROR(IF(ISNUMBER('Procyflo 27TC'!B443),'Procyflo 27TC'!B443,DATEVALUE('Procyflo 27TC'!B443)),"")</f>
        <v/>
      </c>
      <c r="AC942" t="str">
        <f>IF(AA942="","",'Procyflo 27TC'!C443)</f>
        <v/>
      </c>
      <c r="AD942" t="str">
        <f>IF(AA942="","",IFERROR(1*'Procyflo 27TC'!D443,IFERROR(_xludf.NUMBERVALUE('Procyflo 27TC'!D443,".",","),IFERROR(_xludf.NUMBERVALUE('Procyflo 27TC'!D443,",","."),0))))</f>
        <v/>
      </c>
      <c r="AE942" t="str">
        <f>IF(AA942="","",'Procyflo 27TC'!N443)</f>
        <v/>
      </c>
      <c r="AF942">
        <f t="shared" si="101"/>
        <v>0</v>
      </c>
      <c r="AG942" t="str">
        <f t="shared" si="102"/>
        <v/>
      </c>
      <c r="AH942" t="str">
        <f t="shared" si="103"/>
        <v/>
      </c>
      <c r="AI942">
        <f t="shared" si="104"/>
        <v>0</v>
      </c>
      <c r="AJ942">
        <f t="shared" si="105"/>
        <v>0</v>
      </c>
      <c r="AK942">
        <v>0</v>
      </c>
      <c r="AL942" t="str">
        <f>IF(AA942="","",IFERROR(IF(ISNUMBER('Procyflo 27TC'!E443),'Procyflo 27TC'!E443,IF(ISNUMBER(SEARCH("12",'Procyflo 27TC'!E443)),EDATE(AB942,12),IF(ISNUMBER(SEARCH("6",'Procyflo 27TC'!E443)),EDATE(AB942,6),IF(ISNUMBER(SEARCH("3",'Procyflo 27TC'!E443)),EDATE(AB942,3),DATEVALUE('Procyflo 27TC'!E443))))),""))</f>
        <v/>
      </c>
      <c r="AM942" t="str">
        <f t="shared" ca="1" si="106"/>
        <v/>
      </c>
    </row>
    <row r="943" spans="27:39" x14ac:dyDescent="0.3">
      <c r="AA943" t="str">
        <f>IF(COUNTA('Procyflo 27TC'!B444,'Procyflo 27TC'!C444,'Procyflo 27TC'!D444)&gt;0,"27TC","")</f>
        <v/>
      </c>
      <c r="AB943" t="str">
        <f>IFERROR(IF(ISNUMBER('Procyflo 27TC'!B444),'Procyflo 27TC'!B444,DATEVALUE('Procyflo 27TC'!B444)),"")</f>
        <v/>
      </c>
      <c r="AC943" t="str">
        <f>IF(AA943="","",'Procyflo 27TC'!C444)</f>
        <v/>
      </c>
      <c r="AD943" t="str">
        <f>IF(AA943="","",IFERROR(1*'Procyflo 27TC'!D444,IFERROR(_xludf.NUMBERVALUE('Procyflo 27TC'!D444,".",","),IFERROR(_xludf.NUMBERVALUE('Procyflo 27TC'!D444,",","."),0))))</f>
        <v/>
      </c>
      <c r="AE943" t="str">
        <f>IF(AA943="","",'Procyflo 27TC'!N444)</f>
        <v/>
      </c>
      <c r="AF943">
        <f t="shared" si="101"/>
        <v>0</v>
      </c>
      <c r="AG943" t="str">
        <f t="shared" si="102"/>
        <v/>
      </c>
      <c r="AH943" t="str">
        <f t="shared" si="103"/>
        <v/>
      </c>
      <c r="AI943">
        <f t="shared" si="104"/>
        <v>0</v>
      </c>
      <c r="AJ943">
        <f t="shared" si="105"/>
        <v>0</v>
      </c>
      <c r="AK943">
        <v>0</v>
      </c>
      <c r="AL943" t="str">
        <f>IF(AA943="","",IFERROR(IF(ISNUMBER('Procyflo 27TC'!E444),'Procyflo 27TC'!E444,IF(ISNUMBER(SEARCH("12",'Procyflo 27TC'!E444)),EDATE(AB943,12),IF(ISNUMBER(SEARCH("6",'Procyflo 27TC'!E444)),EDATE(AB943,6),IF(ISNUMBER(SEARCH("3",'Procyflo 27TC'!E444)),EDATE(AB943,3),DATEVALUE('Procyflo 27TC'!E444))))),""))</f>
        <v/>
      </c>
      <c r="AM943" t="str">
        <f t="shared" ca="1" si="106"/>
        <v/>
      </c>
    </row>
    <row r="944" spans="27:39" x14ac:dyDescent="0.3">
      <c r="AA944" t="str">
        <f>IF(COUNTA('Procyflo 27TC'!B445,'Procyflo 27TC'!C445,'Procyflo 27TC'!D445)&gt;0,"27TC","")</f>
        <v/>
      </c>
      <c r="AB944" t="str">
        <f>IFERROR(IF(ISNUMBER('Procyflo 27TC'!B445),'Procyflo 27TC'!B445,DATEVALUE('Procyflo 27TC'!B445)),"")</f>
        <v/>
      </c>
      <c r="AC944" t="str">
        <f>IF(AA944="","",'Procyflo 27TC'!C445)</f>
        <v/>
      </c>
      <c r="AD944" t="str">
        <f>IF(AA944="","",IFERROR(1*'Procyflo 27TC'!D445,IFERROR(_xludf.NUMBERVALUE('Procyflo 27TC'!D445,".",","),IFERROR(_xludf.NUMBERVALUE('Procyflo 27TC'!D445,",","."),0))))</f>
        <v/>
      </c>
      <c r="AE944" t="str">
        <f>IF(AA944="","",'Procyflo 27TC'!N445)</f>
        <v/>
      </c>
      <c r="AF944">
        <f t="shared" si="101"/>
        <v>0</v>
      </c>
      <c r="AG944" t="str">
        <f t="shared" si="102"/>
        <v/>
      </c>
      <c r="AH944" t="str">
        <f t="shared" si="103"/>
        <v/>
      </c>
      <c r="AI944">
        <f t="shared" si="104"/>
        <v>0</v>
      </c>
      <c r="AJ944">
        <f t="shared" si="105"/>
        <v>0</v>
      </c>
      <c r="AK944">
        <v>0</v>
      </c>
      <c r="AL944" t="str">
        <f>IF(AA944="","",IFERROR(IF(ISNUMBER('Procyflo 27TC'!E445),'Procyflo 27TC'!E445,IF(ISNUMBER(SEARCH("12",'Procyflo 27TC'!E445)),EDATE(AB944,12),IF(ISNUMBER(SEARCH("6",'Procyflo 27TC'!E445)),EDATE(AB944,6),IF(ISNUMBER(SEARCH("3",'Procyflo 27TC'!E445)),EDATE(AB944,3),DATEVALUE('Procyflo 27TC'!E445))))),""))</f>
        <v/>
      </c>
      <c r="AM944" t="str">
        <f t="shared" ca="1" si="106"/>
        <v/>
      </c>
    </row>
    <row r="945" spans="27:39" x14ac:dyDescent="0.3">
      <c r="AA945" t="str">
        <f>IF(COUNTA('Procyflo 27TC'!B446,'Procyflo 27TC'!C446,'Procyflo 27TC'!D446)&gt;0,"27TC","")</f>
        <v/>
      </c>
      <c r="AB945" t="str">
        <f>IFERROR(IF(ISNUMBER('Procyflo 27TC'!B446),'Procyflo 27TC'!B446,DATEVALUE('Procyflo 27TC'!B446)),"")</f>
        <v/>
      </c>
      <c r="AC945" t="str">
        <f>IF(AA945="","",'Procyflo 27TC'!C446)</f>
        <v/>
      </c>
      <c r="AD945" t="str">
        <f>IF(AA945="","",IFERROR(1*'Procyflo 27TC'!D446,IFERROR(_xludf.NUMBERVALUE('Procyflo 27TC'!D446,".",","),IFERROR(_xludf.NUMBERVALUE('Procyflo 27TC'!D446,",","."),0))))</f>
        <v/>
      </c>
      <c r="AE945" t="str">
        <f>IF(AA945="","",'Procyflo 27TC'!N446)</f>
        <v/>
      </c>
      <c r="AF945">
        <f t="shared" si="101"/>
        <v>0</v>
      </c>
      <c r="AG945" t="str">
        <f t="shared" si="102"/>
        <v/>
      </c>
      <c r="AH945" t="str">
        <f t="shared" si="103"/>
        <v/>
      </c>
      <c r="AI945">
        <f t="shared" si="104"/>
        <v>0</v>
      </c>
      <c r="AJ945">
        <f t="shared" si="105"/>
        <v>0</v>
      </c>
      <c r="AK945">
        <v>0</v>
      </c>
      <c r="AL945" t="str">
        <f>IF(AA945="","",IFERROR(IF(ISNUMBER('Procyflo 27TC'!E446),'Procyflo 27TC'!E446,IF(ISNUMBER(SEARCH("12",'Procyflo 27TC'!E446)),EDATE(AB945,12),IF(ISNUMBER(SEARCH("6",'Procyflo 27TC'!E446)),EDATE(AB945,6),IF(ISNUMBER(SEARCH("3",'Procyflo 27TC'!E446)),EDATE(AB945,3),DATEVALUE('Procyflo 27TC'!E446))))),""))</f>
        <v/>
      </c>
      <c r="AM945" t="str">
        <f t="shared" ca="1" si="106"/>
        <v/>
      </c>
    </row>
    <row r="946" spans="27:39" x14ac:dyDescent="0.3">
      <c r="AA946" t="str">
        <f>IF(COUNTA('Procyflo 27TC'!B447,'Procyflo 27TC'!C447,'Procyflo 27TC'!D447)&gt;0,"27TC","")</f>
        <v/>
      </c>
      <c r="AB946" t="str">
        <f>IFERROR(IF(ISNUMBER('Procyflo 27TC'!B447),'Procyflo 27TC'!B447,DATEVALUE('Procyflo 27TC'!B447)),"")</f>
        <v/>
      </c>
      <c r="AC946" t="str">
        <f>IF(AA946="","",'Procyflo 27TC'!C447)</f>
        <v/>
      </c>
      <c r="AD946" t="str">
        <f>IF(AA946="","",IFERROR(1*'Procyflo 27TC'!D447,IFERROR(_xludf.NUMBERVALUE('Procyflo 27TC'!D447,".",","),IFERROR(_xludf.NUMBERVALUE('Procyflo 27TC'!D447,",","."),0))))</f>
        <v/>
      </c>
      <c r="AE946" t="str">
        <f>IF(AA946="","",'Procyflo 27TC'!N447)</f>
        <v/>
      </c>
      <c r="AF946">
        <f t="shared" si="101"/>
        <v>0</v>
      </c>
      <c r="AG946" t="str">
        <f t="shared" si="102"/>
        <v/>
      </c>
      <c r="AH946" t="str">
        <f t="shared" si="103"/>
        <v/>
      </c>
      <c r="AI946">
        <f t="shared" si="104"/>
        <v>0</v>
      </c>
      <c r="AJ946">
        <f t="shared" si="105"/>
        <v>0</v>
      </c>
      <c r="AK946">
        <v>0</v>
      </c>
      <c r="AL946" t="str">
        <f>IF(AA946="","",IFERROR(IF(ISNUMBER('Procyflo 27TC'!E447),'Procyflo 27TC'!E447,IF(ISNUMBER(SEARCH("12",'Procyflo 27TC'!E447)),EDATE(AB946,12),IF(ISNUMBER(SEARCH("6",'Procyflo 27TC'!E447)),EDATE(AB946,6),IF(ISNUMBER(SEARCH("3",'Procyflo 27TC'!E447)),EDATE(AB946,3),DATEVALUE('Procyflo 27TC'!E447))))),""))</f>
        <v/>
      </c>
      <c r="AM946" t="str">
        <f t="shared" ca="1" si="106"/>
        <v/>
      </c>
    </row>
    <row r="947" spans="27:39" x14ac:dyDescent="0.3">
      <c r="AA947" t="str">
        <f>IF(COUNTA('Procyflo 27TC'!B448,'Procyflo 27TC'!C448,'Procyflo 27TC'!D448)&gt;0,"27TC","")</f>
        <v/>
      </c>
      <c r="AB947" t="str">
        <f>IFERROR(IF(ISNUMBER('Procyflo 27TC'!B448),'Procyflo 27TC'!B448,DATEVALUE('Procyflo 27TC'!B448)),"")</f>
        <v/>
      </c>
      <c r="AC947" t="str">
        <f>IF(AA947="","",'Procyflo 27TC'!C448)</f>
        <v/>
      </c>
      <c r="AD947" t="str">
        <f>IF(AA947="","",IFERROR(1*'Procyflo 27TC'!D448,IFERROR(_xludf.NUMBERVALUE('Procyflo 27TC'!D448,".",","),IFERROR(_xludf.NUMBERVALUE('Procyflo 27TC'!D448,",","."),0))))</f>
        <v/>
      </c>
      <c r="AE947" t="str">
        <f>IF(AA947="","",'Procyflo 27TC'!N448)</f>
        <v/>
      </c>
      <c r="AF947">
        <f t="shared" si="101"/>
        <v>0</v>
      </c>
      <c r="AG947" t="str">
        <f t="shared" si="102"/>
        <v/>
      </c>
      <c r="AH947" t="str">
        <f t="shared" si="103"/>
        <v/>
      </c>
      <c r="AI947">
        <f t="shared" si="104"/>
        <v>0</v>
      </c>
      <c r="AJ947">
        <f t="shared" si="105"/>
        <v>0</v>
      </c>
      <c r="AK947">
        <v>0</v>
      </c>
      <c r="AL947" t="str">
        <f>IF(AA947="","",IFERROR(IF(ISNUMBER('Procyflo 27TC'!E448),'Procyflo 27TC'!E448,IF(ISNUMBER(SEARCH("12",'Procyflo 27TC'!E448)),EDATE(AB947,12),IF(ISNUMBER(SEARCH("6",'Procyflo 27TC'!E448)),EDATE(AB947,6),IF(ISNUMBER(SEARCH("3",'Procyflo 27TC'!E448)),EDATE(AB947,3),DATEVALUE('Procyflo 27TC'!E448))))),""))</f>
        <v/>
      </c>
      <c r="AM947" t="str">
        <f t="shared" ca="1" si="106"/>
        <v/>
      </c>
    </row>
    <row r="948" spans="27:39" x14ac:dyDescent="0.3">
      <c r="AA948" t="str">
        <f>IF(COUNTA('Procyflo 27TC'!B449,'Procyflo 27TC'!C449,'Procyflo 27TC'!D449)&gt;0,"27TC","")</f>
        <v/>
      </c>
      <c r="AB948" t="str">
        <f>IFERROR(IF(ISNUMBER('Procyflo 27TC'!B449),'Procyflo 27TC'!B449,DATEVALUE('Procyflo 27TC'!B449)),"")</f>
        <v/>
      </c>
      <c r="AC948" t="str">
        <f>IF(AA948="","",'Procyflo 27TC'!C449)</f>
        <v/>
      </c>
      <c r="AD948" t="str">
        <f>IF(AA948="","",IFERROR(1*'Procyflo 27TC'!D449,IFERROR(_xludf.NUMBERVALUE('Procyflo 27TC'!D449,".",","),IFERROR(_xludf.NUMBERVALUE('Procyflo 27TC'!D449,",","."),0))))</f>
        <v/>
      </c>
      <c r="AE948" t="str">
        <f>IF(AA948="","",'Procyflo 27TC'!N449)</f>
        <v/>
      </c>
      <c r="AF948">
        <f t="shared" si="101"/>
        <v>0</v>
      </c>
      <c r="AG948" t="str">
        <f t="shared" si="102"/>
        <v/>
      </c>
      <c r="AH948" t="str">
        <f t="shared" si="103"/>
        <v/>
      </c>
      <c r="AI948">
        <f t="shared" si="104"/>
        <v>0</v>
      </c>
      <c r="AJ948">
        <f t="shared" si="105"/>
        <v>0</v>
      </c>
      <c r="AK948">
        <v>0</v>
      </c>
      <c r="AL948" t="str">
        <f>IF(AA948="","",IFERROR(IF(ISNUMBER('Procyflo 27TC'!E449),'Procyflo 27TC'!E449,IF(ISNUMBER(SEARCH("12",'Procyflo 27TC'!E449)),EDATE(AB948,12),IF(ISNUMBER(SEARCH("6",'Procyflo 27TC'!E449)),EDATE(AB948,6),IF(ISNUMBER(SEARCH("3",'Procyflo 27TC'!E449)),EDATE(AB948,3),DATEVALUE('Procyflo 27TC'!E449))))),""))</f>
        <v/>
      </c>
      <c r="AM948" t="str">
        <f t="shared" ca="1" si="106"/>
        <v/>
      </c>
    </row>
    <row r="949" spans="27:39" x14ac:dyDescent="0.3">
      <c r="AA949" t="str">
        <f>IF(COUNTA('Procyflo 27TC'!B450,'Procyflo 27TC'!C450,'Procyflo 27TC'!D450)&gt;0,"27TC","")</f>
        <v/>
      </c>
      <c r="AB949" t="str">
        <f>IFERROR(IF(ISNUMBER('Procyflo 27TC'!B450),'Procyflo 27TC'!B450,DATEVALUE('Procyflo 27TC'!B450)),"")</f>
        <v/>
      </c>
      <c r="AC949" t="str">
        <f>IF(AA949="","",'Procyflo 27TC'!C450)</f>
        <v/>
      </c>
      <c r="AD949" t="str">
        <f>IF(AA949="","",IFERROR(1*'Procyflo 27TC'!D450,IFERROR(_xludf.NUMBERVALUE('Procyflo 27TC'!D450,".",","),IFERROR(_xludf.NUMBERVALUE('Procyflo 27TC'!D450,",","."),0))))</f>
        <v/>
      </c>
      <c r="AE949" t="str">
        <f>IF(AA949="","",'Procyflo 27TC'!N450)</f>
        <v/>
      </c>
      <c r="AF949">
        <f t="shared" si="101"/>
        <v>0</v>
      </c>
      <c r="AG949" t="str">
        <f t="shared" si="102"/>
        <v/>
      </c>
      <c r="AH949" t="str">
        <f t="shared" si="103"/>
        <v/>
      </c>
      <c r="AI949">
        <f t="shared" si="104"/>
        <v>0</v>
      </c>
      <c r="AJ949">
        <f t="shared" si="105"/>
        <v>0</v>
      </c>
      <c r="AK949">
        <v>0</v>
      </c>
      <c r="AL949" t="str">
        <f>IF(AA949="","",IFERROR(IF(ISNUMBER('Procyflo 27TC'!E450),'Procyflo 27TC'!E450,IF(ISNUMBER(SEARCH("12",'Procyflo 27TC'!E450)),EDATE(AB949,12),IF(ISNUMBER(SEARCH("6",'Procyflo 27TC'!E450)),EDATE(AB949,6),IF(ISNUMBER(SEARCH("3",'Procyflo 27TC'!E450)),EDATE(AB949,3),DATEVALUE('Procyflo 27TC'!E450))))),""))</f>
        <v/>
      </c>
      <c r="AM949" t="str">
        <f t="shared" ca="1" si="106"/>
        <v/>
      </c>
    </row>
    <row r="950" spans="27:39" x14ac:dyDescent="0.3">
      <c r="AA950" t="str">
        <f>IF(COUNTA('Procyflo 27TC'!B451,'Procyflo 27TC'!C451,'Procyflo 27TC'!D451)&gt;0,"27TC","")</f>
        <v/>
      </c>
      <c r="AB950" t="str">
        <f>IFERROR(IF(ISNUMBER('Procyflo 27TC'!B451),'Procyflo 27TC'!B451,DATEVALUE('Procyflo 27TC'!B451)),"")</f>
        <v/>
      </c>
      <c r="AC950" t="str">
        <f>IF(AA950="","",'Procyflo 27TC'!C451)</f>
        <v/>
      </c>
      <c r="AD950" t="str">
        <f>IF(AA950="","",IFERROR(1*'Procyflo 27TC'!D451,IFERROR(_xludf.NUMBERVALUE('Procyflo 27TC'!D451,".",","),IFERROR(_xludf.NUMBERVALUE('Procyflo 27TC'!D451,",","."),0))))</f>
        <v/>
      </c>
      <c r="AE950" t="str">
        <f>IF(AA950="","",'Procyflo 27TC'!N451)</f>
        <v/>
      </c>
      <c r="AF950">
        <f t="shared" si="101"/>
        <v>0</v>
      </c>
      <c r="AG950" t="str">
        <f t="shared" si="102"/>
        <v/>
      </c>
      <c r="AH950" t="str">
        <f t="shared" si="103"/>
        <v/>
      </c>
      <c r="AI950">
        <f t="shared" si="104"/>
        <v>0</v>
      </c>
      <c r="AJ950">
        <f t="shared" si="105"/>
        <v>0</v>
      </c>
      <c r="AK950">
        <v>0</v>
      </c>
      <c r="AL950" t="str">
        <f>IF(AA950="","",IFERROR(IF(ISNUMBER('Procyflo 27TC'!E451),'Procyflo 27TC'!E451,IF(ISNUMBER(SEARCH("12",'Procyflo 27TC'!E451)),EDATE(AB950,12),IF(ISNUMBER(SEARCH("6",'Procyflo 27TC'!E451)),EDATE(AB950,6),IF(ISNUMBER(SEARCH("3",'Procyflo 27TC'!E451)),EDATE(AB950,3),DATEVALUE('Procyflo 27TC'!E451))))),""))</f>
        <v/>
      </c>
      <c r="AM950" t="str">
        <f t="shared" ca="1" si="106"/>
        <v/>
      </c>
    </row>
    <row r="951" spans="27:39" x14ac:dyDescent="0.3">
      <c r="AA951" t="str">
        <f>IF(COUNTA('Procyflo 27TC'!B452,'Procyflo 27TC'!C452,'Procyflo 27TC'!D452)&gt;0,"27TC","")</f>
        <v/>
      </c>
      <c r="AB951" t="str">
        <f>IFERROR(IF(ISNUMBER('Procyflo 27TC'!B452),'Procyflo 27TC'!B452,DATEVALUE('Procyflo 27TC'!B452)),"")</f>
        <v/>
      </c>
      <c r="AC951" t="str">
        <f>IF(AA951="","",'Procyflo 27TC'!C452)</f>
        <v/>
      </c>
      <c r="AD951" t="str">
        <f>IF(AA951="","",IFERROR(1*'Procyflo 27TC'!D452,IFERROR(_xludf.NUMBERVALUE('Procyflo 27TC'!D452,".",","),IFERROR(_xludf.NUMBERVALUE('Procyflo 27TC'!D452,",","."),0))))</f>
        <v/>
      </c>
      <c r="AE951" t="str">
        <f>IF(AA951="","",'Procyflo 27TC'!N452)</f>
        <v/>
      </c>
      <c r="AF951">
        <f t="shared" si="101"/>
        <v>0</v>
      </c>
      <c r="AG951" t="str">
        <f t="shared" si="102"/>
        <v/>
      </c>
      <c r="AH951" t="str">
        <f t="shared" si="103"/>
        <v/>
      </c>
      <c r="AI951">
        <f t="shared" si="104"/>
        <v>0</v>
      </c>
      <c r="AJ951">
        <f t="shared" si="105"/>
        <v>0</v>
      </c>
      <c r="AK951">
        <v>0</v>
      </c>
      <c r="AL951" t="str">
        <f>IF(AA951="","",IFERROR(IF(ISNUMBER('Procyflo 27TC'!E452),'Procyflo 27TC'!E452,IF(ISNUMBER(SEARCH("12",'Procyflo 27TC'!E452)),EDATE(AB951,12),IF(ISNUMBER(SEARCH("6",'Procyflo 27TC'!E452)),EDATE(AB951,6),IF(ISNUMBER(SEARCH("3",'Procyflo 27TC'!E452)),EDATE(AB951,3),DATEVALUE('Procyflo 27TC'!E452))))),""))</f>
        <v/>
      </c>
      <c r="AM951" t="str">
        <f t="shared" ca="1" si="106"/>
        <v/>
      </c>
    </row>
    <row r="952" spans="27:39" x14ac:dyDescent="0.3">
      <c r="AA952" t="str">
        <f>IF(COUNTA('Procyflo 27TC'!B453,'Procyflo 27TC'!C453,'Procyflo 27TC'!D453)&gt;0,"27TC","")</f>
        <v/>
      </c>
      <c r="AB952" t="str">
        <f>IFERROR(IF(ISNUMBER('Procyflo 27TC'!B453),'Procyflo 27TC'!B453,DATEVALUE('Procyflo 27TC'!B453)),"")</f>
        <v/>
      </c>
      <c r="AC952" t="str">
        <f>IF(AA952="","",'Procyflo 27TC'!C453)</f>
        <v/>
      </c>
      <c r="AD952" t="str">
        <f>IF(AA952="","",IFERROR(1*'Procyflo 27TC'!D453,IFERROR(_xludf.NUMBERVALUE('Procyflo 27TC'!D453,".",","),IFERROR(_xludf.NUMBERVALUE('Procyflo 27TC'!D453,",","."),0))))</f>
        <v/>
      </c>
      <c r="AE952" t="str">
        <f>IF(AA952="","",'Procyflo 27TC'!N453)</f>
        <v/>
      </c>
      <c r="AF952">
        <f t="shared" si="101"/>
        <v>0</v>
      </c>
      <c r="AG952" t="str">
        <f t="shared" si="102"/>
        <v/>
      </c>
      <c r="AH952" t="str">
        <f t="shared" si="103"/>
        <v/>
      </c>
      <c r="AI952">
        <f t="shared" si="104"/>
        <v>0</v>
      </c>
      <c r="AJ952">
        <f t="shared" si="105"/>
        <v>0</v>
      </c>
      <c r="AK952">
        <v>0</v>
      </c>
      <c r="AL952" t="str">
        <f>IF(AA952="","",IFERROR(IF(ISNUMBER('Procyflo 27TC'!E453),'Procyflo 27TC'!E453,IF(ISNUMBER(SEARCH("12",'Procyflo 27TC'!E453)),EDATE(AB952,12),IF(ISNUMBER(SEARCH("6",'Procyflo 27TC'!E453)),EDATE(AB952,6),IF(ISNUMBER(SEARCH("3",'Procyflo 27TC'!E453)),EDATE(AB952,3),DATEVALUE('Procyflo 27TC'!E453))))),""))</f>
        <v/>
      </c>
      <c r="AM952" t="str">
        <f t="shared" ca="1" si="106"/>
        <v/>
      </c>
    </row>
    <row r="953" spans="27:39" x14ac:dyDescent="0.3">
      <c r="AA953" t="str">
        <f>IF(COUNTA('Procyflo 27TC'!B454,'Procyflo 27TC'!C454,'Procyflo 27TC'!D454)&gt;0,"27TC","")</f>
        <v/>
      </c>
      <c r="AB953" t="str">
        <f>IFERROR(IF(ISNUMBER('Procyflo 27TC'!B454),'Procyflo 27TC'!B454,DATEVALUE('Procyflo 27TC'!B454)),"")</f>
        <v/>
      </c>
      <c r="AC953" t="str">
        <f>IF(AA953="","",'Procyflo 27TC'!C454)</f>
        <v/>
      </c>
      <c r="AD953" t="str">
        <f>IF(AA953="","",IFERROR(1*'Procyflo 27TC'!D454,IFERROR(_xludf.NUMBERVALUE('Procyflo 27TC'!D454,".",","),IFERROR(_xludf.NUMBERVALUE('Procyflo 27TC'!D454,",","."),0))))</f>
        <v/>
      </c>
      <c r="AE953" t="str">
        <f>IF(AA953="","",'Procyflo 27TC'!N454)</f>
        <v/>
      </c>
      <c r="AF953">
        <f t="shared" si="101"/>
        <v>0</v>
      </c>
      <c r="AG953" t="str">
        <f t="shared" si="102"/>
        <v/>
      </c>
      <c r="AH953" t="str">
        <f t="shared" si="103"/>
        <v/>
      </c>
      <c r="AI953">
        <f t="shared" si="104"/>
        <v>0</v>
      </c>
      <c r="AJ953">
        <f t="shared" si="105"/>
        <v>0</v>
      </c>
      <c r="AK953">
        <v>0</v>
      </c>
      <c r="AL953" t="str">
        <f>IF(AA953="","",IFERROR(IF(ISNUMBER('Procyflo 27TC'!E454),'Procyflo 27TC'!E454,IF(ISNUMBER(SEARCH("12",'Procyflo 27TC'!E454)),EDATE(AB953,12),IF(ISNUMBER(SEARCH("6",'Procyflo 27TC'!E454)),EDATE(AB953,6),IF(ISNUMBER(SEARCH("3",'Procyflo 27TC'!E454)),EDATE(AB953,3),DATEVALUE('Procyflo 27TC'!E454))))),""))</f>
        <v/>
      </c>
      <c r="AM953" t="str">
        <f t="shared" ca="1" si="106"/>
        <v/>
      </c>
    </row>
    <row r="954" spans="27:39" x14ac:dyDescent="0.3">
      <c r="AA954" t="str">
        <f>IF(COUNTA('Procyflo 27TC'!B455,'Procyflo 27TC'!C455,'Procyflo 27TC'!D455)&gt;0,"27TC","")</f>
        <v/>
      </c>
      <c r="AB954" t="str">
        <f>IFERROR(IF(ISNUMBER('Procyflo 27TC'!B455),'Procyflo 27TC'!B455,DATEVALUE('Procyflo 27TC'!B455)),"")</f>
        <v/>
      </c>
      <c r="AC954" t="str">
        <f>IF(AA954="","",'Procyflo 27TC'!C455)</f>
        <v/>
      </c>
      <c r="AD954" t="str">
        <f>IF(AA954="","",IFERROR(1*'Procyflo 27TC'!D455,IFERROR(_xludf.NUMBERVALUE('Procyflo 27TC'!D455,".",","),IFERROR(_xludf.NUMBERVALUE('Procyflo 27TC'!D455,",","."),0))))</f>
        <v/>
      </c>
      <c r="AE954" t="str">
        <f>IF(AA954="","",'Procyflo 27TC'!N455)</f>
        <v/>
      </c>
      <c r="AF954">
        <f t="shared" si="101"/>
        <v>0</v>
      </c>
      <c r="AG954" t="str">
        <f t="shared" si="102"/>
        <v/>
      </c>
      <c r="AH954" t="str">
        <f t="shared" si="103"/>
        <v/>
      </c>
      <c r="AI954">
        <f t="shared" si="104"/>
        <v>0</v>
      </c>
      <c r="AJ954">
        <f t="shared" si="105"/>
        <v>0</v>
      </c>
      <c r="AK954">
        <v>0</v>
      </c>
      <c r="AL954" t="str">
        <f>IF(AA954="","",IFERROR(IF(ISNUMBER('Procyflo 27TC'!E455),'Procyflo 27TC'!E455,IF(ISNUMBER(SEARCH("12",'Procyflo 27TC'!E455)),EDATE(AB954,12),IF(ISNUMBER(SEARCH("6",'Procyflo 27TC'!E455)),EDATE(AB954,6),IF(ISNUMBER(SEARCH("3",'Procyflo 27TC'!E455)),EDATE(AB954,3),DATEVALUE('Procyflo 27TC'!E455))))),""))</f>
        <v/>
      </c>
      <c r="AM954" t="str">
        <f t="shared" ca="1" si="106"/>
        <v/>
      </c>
    </row>
    <row r="955" spans="27:39" x14ac:dyDescent="0.3">
      <c r="AA955" t="str">
        <f>IF(COUNTA('Procyflo 27TC'!B456,'Procyflo 27TC'!C456,'Procyflo 27TC'!D456)&gt;0,"27TC","")</f>
        <v/>
      </c>
      <c r="AB955" t="str">
        <f>IFERROR(IF(ISNUMBER('Procyflo 27TC'!B456),'Procyflo 27TC'!B456,DATEVALUE('Procyflo 27TC'!B456)),"")</f>
        <v/>
      </c>
      <c r="AC955" t="str">
        <f>IF(AA955="","",'Procyflo 27TC'!C456)</f>
        <v/>
      </c>
      <c r="AD955" t="str">
        <f>IF(AA955="","",IFERROR(1*'Procyflo 27TC'!D456,IFERROR(_xludf.NUMBERVALUE('Procyflo 27TC'!D456,".",","),IFERROR(_xludf.NUMBERVALUE('Procyflo 27TC'!D456,",","."),0))))</f>
        <v/>
      </c>
      <c r="AE955" t="str">
        <f>IF(AA955="","",'Procyflo 27TC'!N456)</f>
        <v/>
      </c>
      <c r="AF955">
        <f t="shared" si="101"/>
        <v>0</v>
      </c>
      <c r="AG955" t="str">
        <f t="shared" si="102"/>
        <v/>
      </c>
      <c r="AH955" t="str">
        <f t="shared" si="103"/>
        <v/>
      </c>
      <c r="AI955">
        <f t="shared" si="104"/>
        <v>0</v>
      </c>
      <c r="AJ955">
        <f t="shared" si="105"/>
        <v>0</v>
      </c>
      <c r="AK955">
        <v>0</v>
      </c>
      <c r="AL955" t="str">
        <f>IF(AA955="","",IFERROR(IF(ISNUMBER('Procyflo 27TC'!E456),'Procyflo 27TC'!E456,IF(ISNUMBER(SEARCH("12",'Procyflo 27TC'!E456)),EDATE(AB955,12),IF(ISNUMBER(SEARCH("6",'Procyflo 27TC'!E456)),EDATE(AB955,6),IF(ISNUMBER(SEARCH("3",'Procyflo 27TC'!E456)),EDATE(AB955,3),DATEVALUE('Procyflo 27TC'!E456))))),""))</f>
        <v/>
      </c>
      <c r="AM955" t="str">
        <f t="shared" ca="1" si="106"/>
        <v/>
      </c>
    </row>
    <row r="956" spans="27:39" x14ac:dyDescent="0.3">
      <c r="AA956" t="str">
        <f>IF(COUNTA('Procyflo 27TC'!B457,'Procyflo 27TC'!C457,'Procyflo 27TC'!D457)&gt;0,"27TC","")</f>
        <v/>
      </c>
      <c r="AB956" t="str">
        <f>IFERROR(IF(ISNUMBER('Procyflo 27TC'!B457),'Procyflo 27TC'!B457,DATEVALUE('Procyflo 27TC'!B457)),"")</f>
        <v/>
      </c>
      <c r="AC956" t="str">
        <f>IF(AA956="","",'Procyflo 27TC'!C457)</f>
        <v/>
      </c>
      <c r="AD956" t="str">
        <f>IF(AA956="","",IFERROR(1*'Procyflo 27TC'!D457,IFERROR(_xludf.NUMBERVALUE('Procyflo 27TC'!D457,".",","),IFERROR(_xludf.NUMBERVALUE('Procyflo 27TC'!D457,",","."),0))))</f>
        <v/>
      </c>
      <c r="AE956" t="str">
        <f>IF(AA956="","",'Procyflo 27TC'!N457)</f>
        <v/>
      </c>
      <c r="AF956">
        <f t="shared" si="101"/>
        <v>0</v>
      </c>
      <c r="AG956" t="str">
        <f t="shared" si="102"/>
        <v/>
      </c>
      <c r="AH956" t="str">
        <f t="shared" si="103"/>
        <v/>
      </c>
      <c r="AI956">
        <f t="shared" si="104"/>
        <v>0</v>
      </c>
      <c r="AJ956">
        <f t="shared" si="105"/>
        <v>0</v>
      </c>
      <c r="AK956">
        <v>0</v>
      </c>
      <c r="AL956" t="str">
        <f>IF(AA956="","",IFERROR(IF(ISNUMBER('Procyflo 27TC'!E457),'Procyflo 27TC'!E457,IF(ISNUMBER(SEARCH("12",'Procyflo 27TC'!E457)),EDATE(AB956,12),IF(ISNUMBER(SEARCH("6",'Procyflo 27TC'!E457)),EDATE(AB956,6),IF(ISNUMBER(SEARCH("3",'Procyflo 27TC'!E457)),EDATE(AB956,3),DATEVALUE('Procyflo 27TC'!E457))))),""))</f>
        <v/>
      </c>
      <c r="AM956" t="str">
        <f t="shared" ca="1" si="106"/>
        <v/>
      </c>
    </row>
    <row r="957" spans="27:39" x14ac:dyDescent="0.3">
      <c r="AA957" t="str">
        <f>IF(COUNTA('Procyflo 27TC'!B458,'Procyflo 27TC'!C458,'Procyflo 27TC'!D458)&gt;0,"27TC","")</f>
        <v/>
      </c>
      <c r="AB957" t="str">
        <f>IFERROR(IF(ISNUMBER('Procyflo 27TC'!B458),'Procyflo 27TC'!B458,DATEVALUE('Procyflo 27TC'!B458)),"")</f>
        <v/>
      </c>
      <c r="AC957" t="str">
        <f>IF(AA957="","",'Procyflo 27TC'!C458)</f>
        <v/>
      </c>
      <c r="AD957" t="str">
        <f>IF(AA957="","",IFERROR(1*'Procyflo 27TC'!D458,IFERROR(_xludf.NUMBERVALUE('Procyflo 27TC'!D458,".",","),IFERROR(_xludf.NUMBERVALUE('Procyflo 27TC'!D458,",","."),0))))</f>
        <v/>
      </c>
      <c r="AE957" t="str">
        <f>IF(AA957="","",'Procyflo 27TC'!N458)</f>
        <v/>
      </c>
      <c r="AF957">
        <f t="shared" si="101"/>
        <v>0</v>
      </c>
      <c r="AG957" t="str">
        <f t="shared" si="102"/>
        <v/>
      </c>
      <c r="AH957" t="str">
        <f t="shared" si="103"/>
        <v/>
      </c>
      <c r="AI957">
        <f t="shared" si="104"/>
        <v>0</v>
      </c>
      <c r="AJ957">
        <f t="shared" si="105"/>
        <v>0</v>
      </c>
      <c r="AK957">
        <v>0</v>
      </c>
      <c r="AL957" t="str">
        <f>IF(AA957="","",IFERROR(IF(ISNUMBER('Procyflo 27TC'!E458),'Procyflo 27TC'!E458,IF(ISNUMBER(SEARCH("12",'Procyflo 27TC'!E458)),EDATE(AB957,12),IF(ISNUMBER(SEARCH("6",'Procyflo 27TC'!E458)),EDATE(AB957,6),IF(ISNUMBER(SEARCH("3",'Procyflo 27TC'!E458)),EDATE(AB957,3),DATEVALUE('Procyflo 27TC'!E458))))),""))</f>
        <v/>
      </c>
      <c r="AM957" t="str">
        <f t="shared" ca="1" si="106"/>
        <v/>
      </c>
    </row>
    <row r="958" spans="27:39" x14ac:dyDescent="0.3">
      <c r="AA958" t="str">
        <f>IF(COUNTA('Procyflo 27TC'!B459,'Procyflo 27TC'!C459,'Procyflo 27TC'!D459)&gt;0,"27TC","")</f>
        <v/>
      </c>
      <c r="AB958" t="str">
        <f>IFERROR(IF(ISNUMBER('Procyflo 27TC'!B459),'Procyflo 27TC'!B459,DATEVALUE('Procyflo 27TC'!B459)),"")</f>
        <v/>
      </c>
      <c r="AC958" t="str">
        <f>IF(AA958="","",'Procyflo 27TC'!C459)</f>
        <v/>
      </c>
      <c r="AD958" t="str">
        <f>IF(AA958="","",IFERROR(1*'Procyflo 27TC'!D459,IFERROR(_xludf.NUMBERVALUE('Procyflo 27TC'!D459,".",","),IFERROR(_xludf.NUMBERVALUE('Procyflo 27TC'!D459,",","."),0))))</f>
        <v/>
      </c>
      <c r="AE958" t="str">
        <f>IF(AA958="","",'Procyflo 27TC'!N459)</f>
        <v/>
      </c>
      <c r="AF958">
        <f t="shared" si="101"/>
        <v>0</v>
      </c>
      <c r="AG958" t="str">
        <f t="shared" si="102"/>
        <v/>
      </c>
      <c r="AH958" t="str">
        <f t="shared" si="103"/>
        <v/>
      </c>
      <c r="AI958">
        <f t="shared" si="104"/>
        <v>0</v>
      </c>
      <c r="AJ958">
        <f t="shared" si="105"/>
        <v>0</v>
      </c>
      <c r="AK958">
        <v>0</v>
      </c>
      <c r="AL958" t="str">
        <f>IF(AA958="","",IFERROR(IF(ISNUMBER('Procyflo 27TC'!E459),'Procyflo 27TC'!E459,IF(ISNUMBER(SEARCH("12",'Procyflo 27TC'!E459)),EDATE(AB958,12),IF(ISNUMBER(SEARCH("6",'Procyflo 27TC'!E459)),EDATE(AB958,6),IF(ISNUMBER(SEARCH("3",'Procyflo 27TC'!E459)),EDATE(AB958,3),DATEVALUE('Procyflo 27TC'!E459))))),""))</f>
        <v/>
      </c>
      <c r="AM958" t="str">
        <f t="shared" ca="1" si="106"/>
        <v/>
      </c>
    </row>
    <row r="959" spans="27:39" x14ac:dyDescent="0.3">
      <c r="AA959" t="str">
        <f>IF(COUNTA('Procyflo 27TC'!B460,'Procyflo 27TC'!C460,'Procyflo 27TC'!D460)&gt;0,"27TC","")</f>
        <v/>
      </c>
      <c r="AB959" t="str">
        <f>IFERROR(IF(ISNUMBER('Procyflo 27TC'!B460),'Procyflo 27TC'!B460,DATEVALUE('Procyflo 27TC'!B460)),"")</f>
        <v/>
      </c>
      <c r="AC959" t="str">
        <f>IF(AA959="","",'Procyflo 27TC'!C460)</f>
        <v/>
      </c>
      <c r="AD959" t="str">
        <f>IF(AA959="","",IFERROR(1*'Procyflo 27TC'!D460,IFERROR(_xludf.NUMBERVALUE('Procyflo 27TC'!D460,".",","),IFERROR(_xludf.NUMBERVALUE('Procyflo 27TC'!D460,",","."),0))))</f>
        <v/>
      </c>
      <c r="AE959" t="str">
        <f>IF(AA959="","",'Procyflo 27TC'!N460)</f>
        <v/>
      </c>
      <c r="AF959">
        <f t="shared" si="101"/>
        <v>0</v>
      </c>
      <c r="AG959" t="str">
        <f t="shared" si="102"/>
        <v/>
      </c>
      <c r="AH959" t="str">
        <f t="shared" si="103"/>
        <v/>
      </c>
      <c r="AI959">
        <f t="shared" si="104"/>
        <v>0</v>
      </c>
      <c r="AJ959">
        <f t="shared" si="105"/>
        <v>0</v>
      </c>
      <c r="AK959">
        <v>0</v>
      </c>
      <c r="AL959" t="str">
        <f>IF(AA959="","",IFERROR(IF(ISNUMBER('Procyflo 27TC'!E460),'Procyflo 27TC'!E460,IF(ISNUMBER(SEARCH("12",'Procyflo 27TC'!E460)),EDATE(AB959,12),IF(ISNUMBER(SEARCH("6",'Procyflo 27TC'!E460)),EDATE(AB959,6),IF(ISNUMBER(SEARCH("3",'Procyflo 27TC'!E460)),EDATE(AB959,3),DATEVALUE('Procyflo 27TC'!E460))))),""))</f>
        <v/>
      </c>
      <c r="AM959" t="str">
        <f t="shared" ca="1" si="106"/>
        <v/>
      </c>
    </row>
    <row r="960" spans="27:39" x14ac:dyDescent="0.3">
      <c r="AA960" t="str">
        <f>IF(COUNTA('Procyflo 27TC'!B461,'Procyflo 27TC'!C461,'Procyflo 27TC'!D461)&gt;0,"27TC","")</f>
        <v/>
      </c>
      <c r="AB960" t="str">
        <f>IFERROR(IF(ISNUMBER('Procyflo 27TC'!B461),'Procyflo 27TC'!B461,DATEVALUE('Procyflo 27TC'!B461)),"")</f>
        <v/>
      </c>
      <c r="AC960" t="str">
        <f>IF(AA960="","",'Procyflo 27TC'!C461)</f>
        <v/>
      </c>
      <c r="AD960" t="str">
        <f>IF(AA960="","",IFERROR(1*'Procyflo 27TC'!D461,IFERROR(_xludf.NUMBERVALUE('Procyflo 27TC'!D461,".",","),IFERROR(_xludf.NUMBERVALUE('Procyflo 27TC'!D461,",","."),0))))</f>
        <v/>
      </c>
      <c r="AE960" t="str">
        <f>IF(AA960="","",'Procyflo 27TC'!N461)</f>
        <v/>
      </c>
      <c r="AF960">
        <f t="shared" si="101"/>
        <v>0</v>
      </c>
      <c r="AG960" t="str">
        <f t="shared" si="102"/>
        <v/>
      </c>
      <c r="AH960" t="str">
        <f t="shared" si="103"/>
        <v/>
      </c>
      <c r="AI960">
        <f t="shared" si="104"/>
        <v>0</v>
      </c>
      <c r="AJ960">
        <f t="shared" si="105"/>
        <v>0</v>
      </c>
      <c r="AK960">
        <v>0</v>
      </c>
      <c r="AL960" t="str">
        <f>IF(AA960="","",IFERROR(IF(ISNUMBER('Procyflo 27TC'!E461),'Procyflo 27TC'!E461,IF(ISNUMBER(SEARCH("12",'Procyflo 27TC'!E461)),EDATE(AB960,12),IF(ISNUMBER(SEARCH("6",'Procyflo 27TC'!E461)),EDATE(AB960,6),IF(ISNUMBER(SEARCH("3",'Procyflo 27TC'!E461)),EDATE(AB960,3),DATEVALUE('Procyflo 27TC'!E461))))),""))</f>
        <v/>
      </c>
      <c r="AM960" t="str">
        <f t="shared" ca="1" si="106"/>
        <v/>
      </c>
    </row>
    <row r="961" spans="27:39" x14ac:dyDescent="0.3">
      <c r="AA961" t="str">
        <f>IF(COUNTA('Procyflo 27TC'!B462,'Procyflo 27TC'!C462,'Procyflo 27TC'!D462)&gt;0,"27TC","")</f>
        <v/>
      </c>
      <c r="AB961" t="str">
        <f>IFERROR(IF(ISNUMBER('Procyflo 27TC'!B462),'Procyflo 27TC'!B462,DATEVALUE('Procyflo 27TC'!B462)),"")</f>
        <v/>
      </c>
      <c r="AC961" t="str">
        <f>IF(AA961="","",'Procyflo 27TC'!C462)</f>
        <v/>
      </c>
      <c r="AD961" t="str">
        <f>IF(AA961="","",IFERROR(1*'Procyflo 27TC'!D462,IFERROR(_xludf.NUMBERVALUE('Procyflo 27TC'!D462,".",","),IFERROR(_xludf.NUMBERVALUE('Procyflo 27TC'!D462,",","."),0))))</f>
        <v/>
      </c>
      <c r="AE961" t="str">
        <f>IF(AA961="","",'Procyflo 27TC'!N462)</f>
        <v/>
      </c>
      <c r="AF961">
        <f t="shared" si="101"/>
        <v>0</v>
      </c>
      <c r="AG961" t="str">
        <f t="shared" si="102"/>
        <v/>
      </c>
      <c r="AH961" t="str">
        <f t="shared" si="103"/>
        <v/>
      </c>
      <c r="AI961">
        <f t="shared" si="104"/>
        <v>0</v>
      </c>
      <c r="AJ961">
        <f t="shared" si="105"/>
        <v>0</v>
      </c>
      <c r="AK961">
        <v>0</v>
      </c>
      <c r="AL961" t="str">
        <f>IF(AA961="","",IFERROR(IF(ISNUMBER('Procyflo 27TC'!E462),'Procyflo 27TC'!E462,IF(ISNUMBER(SEARCH("12",'Procyflo 27TC'!E462)),EDATE(AB961,12),IF(ISNUMBER(SEARCH("6",'Procyflo 27TC'!E462)),EDATE(AB961,6),IF(ISNUMBER(SEARCH("3",'Procyflo 27TC'!E462)),EDATE(AB961,3),DATEVALUE('Procyflo 27TC'!E462))))),""))</f>
        <v/>
      </c>
      <c r="AM961" t="str">
        <f t="shared" ca="1" si="106"/>
        <v/>
      </c>
    </row>
    <row r="962" spans="27:39" x14ac:dyDescent="0.3">
      <c r="AA962" t="str">
        <f>IF(COUNTA('Procyflo 27TC'!B463,'Procyflo 27TC'!C463,'Procyflo 27TC'!D463)&gt;0,"27TC","")</f>
        <v/>
      </c>
      <c r="AB962" t="str">
        <f>IFERROR(IF(ISNUMBER('Procyflo 27TC'!B463),'Procyflo 27TC'!B463,DATEVALUE('Procyflo 27TC'!B463)),"")</f>
        <v/>
      </c>
      <c r="AC962" t="str">
        <f>IF(AA962="","",'Procyflo 27TC'!C463)</f>
        <v/>
      </c>
      <c r="AD962" t="str">
        <f>IF(AA962="","",IFERROR(1*'Procyflo 27TC'!D463,IFERROR(_xludf.NUMBERVALUE('Procyflo 27TC'!D463,".",","),IFERROR(_xludf.NUMBERVALUE('Procyflo 27TC'!D463,",","."),0))))</f>
        <v/>
      </c>
      <c r="AE962" t="str">
        <f>IF(AA962="","",'Procyflo 27TC'!N463)</f>
        <v/>
      </c>
      <c r="AF962">
        <f t="shared" ref="AF962:AF1025" si="107">IF(AA962="",0,--AND(ISNUMBER(SEARCH("aprov",AE962)),NOT(ISNUMBER(SEARCH("reprov",AE962)))))</f>
        <v>0</v>
      </c>
      <c r="AG962" t="str">
        <f t="shared" ref="AG962:AG1025" si="108">IF(AB962="","",YEAR(AB962))</f>
        <v/>
      </c>
      <c r="AH962" t="str">
        <f t="shared" ref="AH962:AH1025" si="109">IF(AB962="","",MONTH(AB962))</f>
        <v/>
      </c>
      <c r="AI962">
        <f t="shared" ref="AI962:AI1025" si="110">IF(AB962="",0,AB962+ROW()/1000000)</f>
        <v>0</v>
      </c>
      <c r="AJ962">
        <f t="shared" ref="AJ962:AJ1025" si="111">--(AA962&lt;&gt;"")</f>
        <v>0</v>
      </c>
      <c r="AK962">
        <v>0</v>
      </c>
      <c r="AL962" t="str">
        <f>IF(AA962="","",IFERROR(IF(ISNUMBER('Procyflo 27TC'!E463),'Procyflo 27TC'!E463,IF(ISNUMBER(SEARCH("12",'Procyflo 27TC'!E463)),EDATE(AB962,12),IF(ISNUMBER(SEARCH("6",'Procyflo 27TC'!E463)),EDATE(AB962,6),IF(ISNUMBER(SEARCH("3",'Procyflo 27TC'!E463)),EDATE(AB962,3),DATEVALUE('Procyflo 27TC'!E463))))),""))</f>
        <v/>
      </c>
      <c r="AM962" t="str">
        <f t="shared" ref="AM962:AM1025" ca="1" si="112">IF(AND(AJ962=1,AL962&lt;&gt;"",AL962&gt;=TODAY(),AG962=$W$3),AL962+ROW()/1000000,"")</f>
        <v/>
      </c>
    </row>
    <row r="963" spans="27:39" x14ac:dyDescent="0.3">
      <c r="AA963" t="str">
        <f>IF(COUNTA('Procyflo 27TC'!B464,'Procyflo 27TC'!C464,'Procyflo 27TC'!D464)&gt;0,"27TC","")</f>
        <v/>
      </c>
      <c r="AB963" t="str">
        <f>IFERROR(IF(ISNUMBER('Procyflo 27TC'!B464),'Procyflo 27TC'!B464,DATEVALUE('Procyflo 27TC'!B464)),"")</f>
        <v/>
      </c>
      <c r="AC963" t="str">
        <f>IF(AA963="","",'Procyflo 27TC'!C464)</f>
        <v/>
      </c>
      <c r="AD963" t="str">
        <f>IF(AA963="","",IFERROR(1*'Procyflo 27TC'!D464,IFERROR(_xludf.NUMBERVALUE('Procyflo 27TC'!D464,".",","),IFERROR(_xludf.NUMBERVALUE('Procyflo 27TC'!D464,",","."),0))))</f>
        <v/>
      </c>
      <c r="AE963" t="str">
        <f>IF(AA963="","",'Procyflo 27TC'!N464)</f>
        <v/>
      </c>
      <c r="AF963">
        <f t="shared" si="107"/>
        <v>0</v>
      </c>
      <c r="AG963" t="str">
        <f t="shared" si="108"/>
        <v/>
      </c>
      <c r="AH963" t="str">
        <f t="shared" si="109"/>
        <v/>
      </c>
      <c r="AI963">
        <f t="shared" si="110"/>
        <v>0</v>
      </c>
      <c r="AJ963">
        <f t="shared" si="111"/>
        <v>0</v>
      </c>
      <c r="AK963">
        <v>0</v>
      </c>
      <c r="AL963" t="str">
        <f>IF(AA963="","",IFERROR(IF(ISNUMBER('Procyflo 27TC'!E464),'Procyflo 27TC'!E464,IF(ISNUMBER(SEARCH("12",'Procyflo 27TC'!E464)),EDATE(AB963,12),IF(ISNUMBER(SEARCH("6",'Procyflo 27TC'!E464)),EDATE(AB963,6),IF(ISNUMBER(SEARCH("3",'Procyflo 27TC'!E464)),EDATE(AB963,3),DATEVALUE('Procyflo 27TC'!E464))))),""))</f>
        <v/>
      </c>
      <c r="AM963" t="str">
        <f t="shared" ca="1" si="112"/>
        <v/>
      </c>
    </row>
    <row r="964" spans="27:39" x14ac:dyDescent="0.3">
      <c r="AA964" t="str">
        <f>IF(COUNTA('Procyflo 27TC'!B465,'Procyflo 27TC'!C465,'Procyflo 27TC'!D465)&gt;0,"27TC","")</f>
        <v/>
      </c>
      <c r="AB964" t="str">
        <f>IFERROR(IF(ISNUMBER('Procyflo 27TC'!B465),'Procyflo 27TC'!B465,DATEVALUE('Procyflo 27TC'!B465)),"")</f>
        <v/>
      </c>
      <c r="AC964" t="str">
        <f>IF(AA964="","",'Procyflo 27TC'!C465)</f>
        <v/>
      </c>
      <c r="AD964" t="str">
        <f>IF(AA964="","",IFERROR(1*'Procyflo 27TC'!D465,IFERROR(_xludf.NUMBERVALUE('Procyflo 27TC'!D465,".",","),IFERROR(_xludf.NUMBERVALUE('Procyflo 27TC'!D465,",","."),0))))</f>
        <v/>
      </c>
      <c r="AE964" t="str">
        <f>IF(AA964="","",'Procyflo 27TC'!N465)</f>
        <v/>
      </c>
      <c r="AF964">
        <f t="shared" si="107"/>
        <v>0</v>
      </c>
      <c r="AG964" t="str">
        <f t="shared" si="108"/>
        <v/>
      </c>
      <c r="AH964" t="str">
        <f t="shared" si="109"/>
        <v/>
      </c>
      <c r="AI964">
        <f t="shared" si="110"/>
        <v>0</v>
      </c>
      <c r="AJ964">
        <f t="shared" si="111"/>
        <v>0</v>
      </c>
      <c r="AK964">
        <v>0</v>
      </c>
      <c r="AL964" t="str">
        <f>IF(AA964="","",IFERROR(IF(ISNUMBER('Procyflo 27TC'!E465),'Procyflo 27TC'!E465,IF(ISNUMBER(SEARCH("12",'Procyflo 27TC'!E465)),EDATE(AB964,12),IF(ISNUMBER(SEARCH("6",'Procyflo 27TC'!E465)),EDATE(AB964,6),IF(ISNUMBER(SEARCH("3",'Procyflo 27TC'!E465)),EDATE(AB964,3),DATEVALUE('Procyflo 27TC'!E465))))),""))</f>
        <v/>
      </c>
      <c r="AM964" t="str">
        <f t="shared" ca="1" si="112"/>
        <v/>
      </c>
    </row>
    <row r="965" spans="27:39" x14ac:dyDescent="0.3">
      <c r="AA965" t="str">
        <f>IF(COUNTA('Procyflo 27TC'!B466,'Procyflo 27TC'!C466,'Procyflo 27TC'!D466)&gt;0,"27TC","")</f>
        <v/>
      </c>
      <c r="AB965" t="str">
        <f>IFERROR(IF(ISNUMBER('Procyflo 27TC'!B466),'Procyflo 27TC'!B466,DATEVALUE('Procyflo 27TC'!B466)),"")</f>
        <v/>
      </c>
      <c r="AC965" t="str">
        <f>IF(AA965="","",'Procyflo 27TC'!C466)</f>
        <v/>
      </c>
      <c r="AD965" t="str">
        <f>IF(AA965="","",IFERROR(1*'Procyflo 27TC'!D466,IFERROR(_xludf.NUMBERVALUE('Procyflo 27TC'!D466,".",","),IFERROR(_xludf.NUMBERVALUE('Procyflo 27TC'!D466,",","."),0))))</f>
        <v/>
      </c>
      <c r="AE965" t="str">
        <f>IF(AA965="","",'Procyflo 27TC'!N466)</f>
        <v/>
      </c>
      <c r="AF965">
        <f t="shared" si="107"/>
        <v>0</v>
      </c>
      <c r="AG965" t="str">
        <f t="shared" si="108"/>
        <v/>
      </c>
      <c r="AH965" t="str">
        <f t="shared" si="109"/>
        <v/>
      </c>
      <c r="AI965">
        <f t="shared" si="110"/>
        <v>0</v>
      </c>
      <c r="AJ965">
        <f t="shared" si="111"/>
        <v>0</v>
      </c>
      <c r="AK965">
        <v>0</v>
      </c>
      <c r="AL965" t="str">
        <f>IF(AA965="","",IFERROR(IF(ISNUMBER('Procyflo 27TC'!E466),'Procyflo 27TC'!E466,IF(ISNUMBER(SEARCH("12",'Procyflo 27TC'!E466)),EDATE(AB965,12),IF(ISNUMBER(SEARCH("6",'Procyflo 27TC'!E466)),EDATE(AB965,6),IF(ISNUMBER(SEARCH("3",'Procyflo 27TC'!E466)),EDATE(AB965,3),DATEVALUE('Procyflo 27TC'!E466))))),""))</f>
        <v/>
      </c>
      <c r="AM965" t="str">
        <f t="shared" ca="1" si="112"/>
        <v/>
      </c>
    </row>
    <row r="966" spans="27:39" x14ac:dyDescent="0.3">
      <c r="AA966" t="str">
        <f>IF(COUNTA('Procyflo 27TC'!B467,'Procyflo 27TC'!C467,'Procyflo 27TC'!D467)&gt;0,"27TC","")</f>
        <v/>
      </c>
      <c r="AB966" t="str">
        <f>IFERROR(IF(ISNUMBER('Procyflo 27TC'!B467),'Procyflo 27TC'!B467,DATEVALUE('Procyflo 27TC'!B467)),"")</f>
        <v/>
      </c>
      <c r="AC966" t="str">
        <f>IF(AA966="","",'Procyflo 27TC'!C467)</f>
        <v/>
      </c>
      <c r="AD966" t="str">
        <f>IF(AA966="","",IFERROR(1*'Procyflo 27TC'!D467,IFERROR(_xludf.NUMBERVALUE('Procyflo 27TC'!D467,".",","),IFERROR(_xludf.NUMBERVALUE('Procyflo 27TC'!D467,",","."),0))))</f>
        <v/>
      </c>
      <c r="AE966" t="str">
        <f>IF(AA966="","",'Procyflo 27TC'!N467)</f>
        <v/>
      </c>
      <c r="AF966">
        <f t="shared" si="107"/>
        <v>0</v>
      </c>
      <c r="AG966" t="str">
        <f t="shared" si="108"/>
        <v/>
      </c>
      <c r="AH966" t="str">
        <f t="shared" si="109"/>
        <v/>
      </c>
      <c r="AI966">
        <f t="shared" si="110"/>
        <v>0</v>
      </c>
      <c r="AJ966">
        <f t="shared" si="111"/>
        <v>0</v>
      </c>
      <c r="AK966">
        <v>0</v>
      </c>
      <c r="AL966" t="str">
        <f>IF(AA966="","",IFERROR(IF(ISNUMBER('Procyflo 27TC'!E467),'Procyflo 27TC'!E467,IF(ISNUMBER(SEARCH("12",'Procyflo 27TC'!E467)),EDATE(AB966,12),IF(ISNUMBER(SEARCH("6",'Procyflo 27TC'!E467)),EDATE(AB966,6),IF(ISNUMBER(SEARCH("3",'Procyflo 27TC'!E467)),EDATE(AB966,3),DATEVALUE('Procyflo 27TC'!E467))))),""))</f>
        <v/>
      </c>
      <c r="AM966" t="str">
        <f t="shared" ca="1" si="112"/>
        <v/>
      </c>
    </row>
    <row r="967" spans="27:39" x14ac:dyDescent="0.3">
      <c r="AA967" t="str">
        <f>IF(COUNTA('Procyflo 27TC'!B468,'Procyflo 27TC'!C468,'Procyflo 27TC'!D468)&gt;0,"27TC","")</f>
        <v/>
      </c>
      <c r="AB967" t="str">
        <f>IFERROR(IF(ISNUMBER('Procyflo 27TC'!B468),'Procyflo 27TC'!B468,DATEVALUE('Procyflo 27TC'!B468)),"")</f>
        <v/>
      </c>
      <c r="AC967" t="str">
        <f>IF(AA967="","",'Procyflo 27TC'!C468)</f>
        <v/>
      </c>
      <c r="AD967" t="str">
        <f>IF(AA967="","",IFERROR(1*'Procyflo 27TC'!D468,IFERROR(_xludf.NUMBERVALUE('Procyflo 27TC'!D468,".",","),IFERROR(_xludf.NUMBERVALUE('Procyflo 27TC'!D468,",","."),0))))</f>
        <v/>
      </c>
      <c r="AE967" t="str">
        <f>IF(AA967="","",'Procyflo 27TC'!N468)</f>
        <v/>
      </c>
      <c r="AF967">
        <f t="shared" si="107"/>
        <v>0</v>
      </c>
      <c r="AG967" t="str">
        <f t="shared" si="108"/>
        <v/>
      </c>
      <c r="AH967" t="str">
        <f t="shared" si="109"/>
        <v/>
      </c>
      <c r="AI967">
        <f t="shared" si="110"/>
        <v>0</v>
      </c>
      <c r="AJ967">
        <f t="shared" si="111"/>
        <v>0</v>
      </c>
      <c r="AK967">
        <v>0</v>
      </c>
      <c r="AL967" t="str">
        <f>IF(AA967="","",IFERROR(IF(ISNUMBER('Procyflo 27TC'!E468),'Procyflo 27TC'!E468,IF(ISNUMBER(SEARCH("12",'Procyflo 27TC'!E468)),EDATE(AB967,12),IF(ISNUMBER(SEARCH("6",'Procyflo 27TC'!E468)),EDATE(AB967,6),IF(ISNUMBER(SEARCH("3",'Procyflo 27TC'!E468)),EDATE(AB967,3),DATEVALUE('Procyflo 27TC'!E468))))),""))</f>
        <v/>
      </c>
      <c r="AM967" t="str">
        <f t="shared" ca="1" si="112"/>
        <v/>
      </c>
    </row>
    <row r="968" spans="27:39" x14ac:dyDescent="0.3">
      <c r="AA968" t="str">
        <f>IF(COUNTA('Procyflo 27TC'!B469,'Procyflo 27TC'!C469,'Procyflo 27TC'!D469)&gt;0,"27TC","")</f>
        <v/>
      </c>
      <c r="AB968" t="str">
        <f>IFERROR(IF(ISNUMBER('Procyflo 27TC'!B469),'Procyflo 27TC'!B469,DATEVALUE('Procyflo 27TC'!B469)),"")</f>
        <v/>
      </c>
      <c r="AC968" t="str">
        <f>IF(AA968="","",'Procyflo 27TC'!C469)</f>
        <v/>
      </c>
      <c r="AD968" t="str">
        <f>IF(AA968="","",IFERROR(1*'Procyflo 27TC'!D469,IFERROR(_xludf.NUMBERVALUE('Procyflo 27TC'!D469,".",","),IFERROR(_xludf.NUMBERVALUE('Procyflo 27TC'!D469,",","."),0))))</f>
        <v/>
      </c>
      <c r="AE968" t="str">
        <f>IF(AA968="","",'Procyflo 27TC'!N469)</f>
        <v/>
      </c>
      <c r="AF968">
        <f t="shared" si="107"/>
        <v>0</v>
      </c>
      <c r="AG968" t="str">
        <f t="shared" si="108"/>
        <v/>
      </c>
      <c r="AH968" t="str">
        <f t="shared" si="109"/>
        <v/>
      </c>
      <c r="AI968">
        <f t="shared" si="110"/>
        <v>0</v>
      </c>
      <c r="AJ968">
        <f t="shared" si="111"/>
        <v>0</v>
      </c>
      <c r="AK968">
        <v>0</v>
      </c>
      <c r="AL968" t="str">
        <f>IF(AA968="","",IFERROR(IF(ISNUMBER('Procyflo 27TC'!E469),'Procyflo 27TC'!E469,IF(ISNUMBER(SEARCH("12",'Procyflo 27TC'!E469)),EDATE(AB968,12),IF(ISNUMBER(SEARCH("6",'Procyflo 27TC'!E469)),EDATE(AB968,6),IF(ISNUMBER(SEARCH("3",'Procyflo 27TC'!E469)),EDATE(AB968,3),DATEVALUE('Procyflo 27TC'!E469))))),""))</f>
        <v/>
      </c>
      <c r="AM968" t="str">
        <f t="shared" ca="1" si="112"/>
        <v/>
      </c>
    </row>
    <row r="969" spans="27:39" x14ac:dyDescent="0.3">
      <c r="AA969" t="str">
        <f>IF(COUNTA('Procyflo 27TC'!B470,'Procyflo 27TC'!C470,'Procyflo 27TC'!D470)&gt;0,"27TC","")</f>
        <v/>
      </c>
      <c r="AB969" t="str">
        <f>IFERROR(IF(ISNUMBER('Procyflo 27TC'!B470),'Procyflo 27TC'!B470,DATEVALUE('Procyflo 27TC'!B470)),"")</f>
        <v/>
      </c>
      <c r="AC969" t="str">
        <f>IF(AA969="","",'Procyflo 27TC'!C470)</f>
        <v/>
      </c>
      <c r="AD969" t="str">
        <f>IF(AA969="","",IFERROR(1*'Procyflo 27TC'!D470,IFERROR(_xludf.NUMBERVALUE('Procyflo 27TC'!D470,".",","),IFERROR(_xludf.NUMBERVALUE('Procyflo 27TC'!D470,",","."),0))))</f>
        <v/>
      </c>
      <c r="AE969" t="str">
        <f>IF(AA969="","",'Procyflo 27TC'!N470)</f>
        <v/>
      </c>
      <c r="AF969">
        <f t="shared" si="107"/>
        <v>0</v>
      </c>
      <c r="AG969" t="str">
        <f t="shared" si="108"/>
        <v/>
      </c>
      <c r="AH969" t="str">
        <f t="shared" si="109"/>
        <v/>
      </c>
      <c r="AI969">
        <f t="shared" si="110"/>
        <v>0</v>
      </c>
      <c r="AJ969">
        <f t="shared" si="111"/>
        <v>0</v>
      </c>
      <c r="AK969">
        <v>0</v>
      </c>
      <c r="AL969" t="str">
        <f>IF(AA969="","",IFERROR(IF(ISNUMBER('Procyflo 27TC'!E470),'Procyflo 27TC'!E470,IF(ISNUMBER(SEARCH("12",'Procyflo 27TC'!E470)),EDATE(AB969,12),IF(ISNUMBER(SEARCH("6",'Procyflo 27TC'!E470)),EDATE(AB969,6),IF(ISNUMBER(SEARCH("3",'Procyflo 27TC'!E470)),EDATE(AB969,3),DATEVALUE('Procyflo 27TC'!E470))))),""))</f>
        <v/>
      </c>
      <c r="AM969" t="str">
        <f t="shared" ca="1" si="112"/>
        <v/>
      </c>
    </row>
    <row r="970" spans="27:39" x14ac:dyDescent="0.3">
      <c r="AA970" t="str">
        <f>IF(COUNTA('Procyflo 27TC'!B471,'Procyflo 27TC'!C471,'Procyflo 27TC'!D471)&gt;0,"27TC","")</f>
        <v/>
      </c>
      <c r="AB970" t="str">
        <f>IFERROR(IF(ISNUMBER('Procyflo 27TC'!B471),'Procyflo 27TC'!B471,DATEVALUE('Procyflo 27TC'!B471)),"")</f>
        <v/>
      </c>
      <c r="AC970" t="str">
        <f>IF(AA970="","",'Procyflo 27TC'!C471)</f>
        <v/>
      </c>
      <c r="AD970" t="str">
        <f>IF(AA970="","",IFERROR(1*'Procyflo 27TC'!D471,IFERROR(_xludf.NUMBERVALUE('Procyflo 27TC'!D471,".",","),IFERROR(_xludf.NUMBERVALUE('Procyflo 27TC'!D471,",","."),0))))</f>
        <v/>
      </c>
      <c r="AE970" t="str">
        <f>IF(AA970="","",'Procyflo 27TC'!N471)</f>
        <v/>
      </c>
      <c r="AF970">
        <f t="shared" si="107"/>
        <v>0</v>
      </c>
      <c r="AG970" t="str">
        <f t="shared" si="108"/>
        <v/>
      </c>
      <c r="AH970" t="str">
        <f t="shared" si="109"/>
        <v/>
      </c>
      <c r="AI970">
        <f t="shared" si="110"/>
        <v>0</v>
      </c>
      <c r="AJ970">
        <f t="shared" si="111"/>
        <v>0</v>
      </c>
      <c r="AK970">
        <v>0</v>
      </c>
      <c r="AL970" t="str">
        <f>IF(AA970="","",IFERROR(IF(ISNUMBER('Procyflo 27TC'!E471),'Procyflo 27TC'!E471,IF(ISNUMBER(SEARCH("12",'Procyflo 27TC'!E471)),EDATE(AB970,12),IF(ISNUMBER(SEARCH("6",'Procyflo 27TC'!E471)),EDATE(AB970,6),IF(ISNUMBER(SEARCH("3",'Procyflo 27TC'!E471)),EDATE(AB970,3),DATEVALUE('Procyflo 27TC'!E471))))),""))</f>
        <v/>
      </c>
      <c r="AM970" t="str">
        <f t="shared" ca="1" si="112"/>
        <v/>
      </c>
    </row>
    <row r="971" spans="27:39" x14ac:dyDescent="0.3">
      <c r="AA971" t="str">
        <f>IF(COUNTA('Procyflo 27TC'!B472,'Procyflo 27TC'!C472,'Procyflo 27TC'!D472)&gt;0,"27TC","")</f>
        <v/>
      </c>
      <c r="AB971" t="str">
        <f>IFERROR(IF(ISNUMBER('Procyflo 27TC'!B472),'Procyflo 27TC'!B472,DATEVALUE('Procyflo 27TC'!B472)),"")</f>
        <v/>
      </c>
      <c r="AC971" t="str">
        <f>IF(AA971="","",'Procyflo 27TC'!C472)</f>
        <v/>
      </c>
      <c r="AD971" t="str">
        <f>IF(AA971="","",IFERROR(1*'Procyflo 27TC'!D472,IFERROR(_xludf.NUMBERVALUE('Procyflo 27TC'!D472,".",","),IFERROR(_xludf.NUMBERVALUE('Procyflo 27TC'!D472,",","."),0))))</f>
        <v/>
      </c>
      <c r="AE971" t="str">
        <f>IF(AA971="","",'Procyflo 27TC'!N472)</f>
        <v/>
      </c>
      <c r="AF971">
        <f t="shared" si="107"/>
        <v>0</v>
      </c>
      <c r="AG971" t="str">
        <f t="shared" si="108"/>
        <v/>
      </c>
      <c r="AH971" t="str">
        <f t="shared" si="109"/>
        <v/>
      </c>
      <c r="AI971">
        <f t="shared" si="110"/>
        <v>0</v>
      </c>
      <c r="AJ971">
        <f t="shared" si="111"/>
        <v>0</v>
      </c>
      <c r="AK971">
        <v>0</v>
      </c>
      <c r="AL971" t="str">
        <f>IF(AA971="","",IFERROR(IF(ISNUMBER('Procyflo 27TC'!E472),'Procyflo 27TC'!E472,IF(ISNUMBER(SEARCH("12",'Procyflo 27TC'!E472)),EDATE(AB971,12),IF(ISNUMBER(SEARCH("6",'Procyflo 27TC'!E472)),EDATE(AB971,6),IF(ISNUMBER(SEARCH("3",'Procyflo 27TC'!E472)),EDATE(AB971,3),DATEVALUE('Procyflo 27TC'!E472))))),""))</f>
        <v/>
      </c>
      <c r="AM971" t="str">
        <f t="shared" ca="1" si="112"/>
        <v/>
      </c>
    </row>
    <row r="972" spans="27:39" x14ac:dyDescent="0.3">
      <c r="AA972" t="str">
        <f>IF(COUNTA('Procyflo 27TC'!B473,'Procyflo 27TC'!C473,'Procyflo 27TC'!D473)&gt;0,"27TC","")</f>
        <v/>
      </c>
      <c r="AB972" t="str">
        <f>IFERROR(IF(ISNUMBER('Procyflo 27TC'!B473),'Procyflo 27TC'!B473,DATEVALUE('Procyflo 27TC'!B473)),"")</f>
        <v/>
      </c>
      <c r="AC972" t="str">
        <f>IF(AA972="","",'Procyflo 27TC'!C473)</f>
        <v/>
      </c>
      <c r="AD972" t="str">
        <f>IF(AA972="","",IFERROR(1*'Procyflo 27TC'!D473,IFERROR(_xludf.NUMBERVALUE('Procyflo 27TC'!D473,".",","),IFERROR(_xludf.NUMBERVALUE('Procyflo 27TC'!D473,",","."),0))))</f>
        <v/>
      </c>
      <c r="AE972" t="str">
        <f>IF(AA972="","",'Procyflo 27TC'!N473)</f>
        <v/>
      </c>
      <c r="AF972">
        <f t="shared" si="107"/>
        <v>0</v>
      </c>
      <c r="AG972" t="str">
        <f t="shared" si="108"/>
        <v/>
      </c>
      <c r="AH972" t="str">
        <f t="shared" si="109"/>
        <v/>
      </c>
      <c r="AI972">
        <f t="shared" si="110"/>
        <v>0</v>
      </c>
      <c r="AJ972">
        <f t="shared" si="111"/>
        <v>0</v>
      </c>
      <c r="AK972">
        <v>0</v>
      </c>
      <c r="AL972" t="str">
        <f>IF(AA972="","",IFERROR(IF(ISNUMBER('Procyflo 27TC'!E473),'Procyflo 27TC'!E473,IF(ISNUMBER(SEARCH("12",'Procyflo 27TC'!E473)),EDATE(AB972,12),IF(ISNUMBER(SEARCH("6",'Procyflo 27TC'!E473)),EDATE(AB972,6),IF(ISNUMBER(SEARCH("3",'Procyflo 27TC'!E473)),EDATE(AB972,3),DATEVALUE('Procyflo 27TC'!E473))))),""))</f>
        <v/>
      </c>
      <c r="AM972" t="str">
        <f t="shared" ca="1" si="112"/>
        <v/>
      </c>
    </row>
    <row r="973" spans="27:39" x14ac:dyDescent="0.3">
      <c r="AA973" t="str">
        <f>IF(COUNTA('Procyflo 27TC'!B474,'Procyflo 27TC'!C474,'Procyflo 27TC'!D474)&gt;0,"27TC","")</f>
        <v/>
      </c>
      <c r="AB973" t="str">
        <f>IFERROR(IF(ISNUMBER('Procyflo 27TC'!B474),'Procyflo 27TC'!B474,DATEVALUE('Procyflo 27TC'!B474)),"")</f>
        <v/>
      </c>
      <c r="AC973" t="str">
        <f>IF(AA973="","",'Procyflo 27TC'!C474)</f>
        <v/>
      </c>
      <c r="AD973" t="str">
        <f>IF(AA973="","",IFERROR(1*'Procyflo 27TC'!D474,IFERROR(_xludf.NUMBERVALUE('Procyflo 27TC'!D474,".",","),IFERROR(_xludf.NUMBERVALUE('Procyflo 27TC'!D474,",","."),0))))</f>
        <v/>
      </c>
      <c r="AE973" t="str">
        <f>IF(AA973="","",'Procyflo 27TC'!N474)</f>
        <v/>
      </c>
      <c r="AF973">
        <f t="shared" si="107"/>
        <v>0</v>
      </c>
      <c r="AG973" t="str">
        <f t="shared" si="108"/>
        <v/>
      </c>
      <c r="AH973" t="str">
        <f t="shared" si="109"/>
        <v/>
      </c>
      <c r="AI973">
        <f t="shared" si="110"/>
        <v>0</v>
      </c>
      <c r="AJ973">
        <f t="shared" si="111"/>
        <v>0</v>
      </c>
      <c r="AK973">
        <v>0</v>
      </c>
      <c r="AL973" t="str">
        <f>IF(AA973="","",IFERROR(IF(ISNUMBER('Procyflo 27TC'!E474),'Procyflo 27TC'!E474,IF(ISNUMBER(SEARCH("12",'Procyflo 27TC'!E474)),EDATE(AB973,12),IF(ISNUMBER(SEARCH("6",'Procyflo 27TC'!E474)),EDATE(AB973,6),IF(ISNUMBER(SEARCH("3",'Procyflo 27TC'!E474)),EDATE(AB973,3),DATEVALUE('Procyflo 27TC'!E474))))),""))</f>
        <v/>
      </c>
      <c r="AM973" t="str">
        <f t="shared" ca="1" si="112"/>
        <v/>
      </c>
    </row>
    <row r="974" spans="27:39" x14ac:dyDescent="0.3">
      <c r="AA974" t="str">
        <f>IF(COUNTA('Procyflo 27TC'!B475,'Procyflo 27TC'!C475,'Procyflo 27TC'!D475)&gt;0,"27TC","")</f>
        <v/>
      </c>
      <c r="AB974" t="str">
        <f>IFERROR(IF(ISNUMBER('Procyflo 27TC'!B475),'Procyflo 27TC'!B475,DATEVALUE('Procyflo 27TC'!B475)),"")</f>
        <v/>
      </c>
      <c r="AC974" t="str">
        <f>IF(AA974="","",'Procyflo 27TC'!C475)</f>
        <v/>
      </c>
      <c r="AD974" t="str">
        <f>IF(AA974="","",IFERROR(1*'Procyflo 27TC'!D475,IFERROR(_xludf.NUMBERVALUE('Procyflo 27TC'!D475,".",","),IFERROR(_xludf.NUMBERVALUE('Procyflo 27TC'!D475,",","."),0))))</f>
        <v/>
      </c>
      <c r="AE974" t="str">
        <f>IF(AA974="","",'Procyflo 27TC'!N475)</f>
        <v/>
      </c>
      <c r="AF974">
        <f t="shared" si="107"/>
        <v>0</v>
      </c>
      <c r="AG974" t="str">
        <f t="shared" si="108"/>
        <v/>
      </c>
      <c r="AH974" t="str">
        <f t="shared" si="109"/>
        <v/>
      </c>
      <c r="AI974">
        <f t="shared" si="110"/>
        <v>0</v>
      </c>
      <c r="AJ974">
        <f t="shared" si="111"/>
        <v>0</v>
      </c>
      <c r="AK974">
        <v>0</v>
      </c>
      <c r="AL974" t="str">
        <f>IF(AA974="","",IFERROR(IF(ISNUMBER('Procyflo 27TC'!E475),'Procyflo 27TC'!E475,IF(ISNUMBER(SEARCH("12",'Procyflo 27TC'!E475)),EDATE(AB974,12),IF(ISNUMBER(SEARCH("6",'Procyflo 27TC'!E475)),EDATE(AB974,6),IF(ISNUMBER(SEARCH("3",'Procyflo 27TC'!E475)),EDATE(AB974,3),DATEVALUE('Procyflo 27TC'!E475))))),""))</f>
        <v/>
      </c>
      <c r="AM974" t="str">
        <f t="shared" ca="1" si="112"/>
        <v/>
      </c>
    </row>
    <row r="975" spans="27:39" x14ac:dyDescent="0.3">
      <c r="AA975" t="str">
        <f>IF(COUNTA('Procyflo 27TC'!B476,'Procyflo 27TC'!C476,'Procyflo 27TC'!D476)&gt;0,"27TC","")</f>
        <v/>
      </c>
      <c r="AB975" t="str">
        <f>IFERROR(IF(ISNUMBER('Procyflo 27TC'!B476),'Procyflo 27TC'!B476,DATEVALUE('Procyflo 27TC'!B476)),"")</f>
        <v/>
      </c>
      <c r="AC975" t="str">
        <f>IF(AA975="","",'Procyflo 27TC'!C476)</f>
        <v/>
      </c>
      <c r="AD975" t="str">
        <f>IF(AA975="","",IFERROR(1*'Procyflo 27TC'!D476,IFERROR(_xludf.NUMBERVALUE('Procyflo 27TC'!D476,".",","),IFERROR(_xludf.NUMBERVALUE('Procyflo 27TC'!D476,",","."),0))))</f>
        <v/>
      </c>
      <c r="AE975" t="str">
        <f>IF(AA975="","",'Procyflo 27TC'!N476)</f>
        <v/>
      </c>
      <c r="AF975">
        <f t="shared" si="107"/>
        <v>0</v>
      </c>
      <c r="AG975" t="str">
        <f t="shared" si="108"/>
        <v/>
      </c>
      <c r="AH975" t="str">
        <f t="shared" si="109"/>
        <v/>
      </c>
      <c r="AI975">
        <f t="shared" si="110"/>
        <v>0</v>
      </c>
      <c r="AJ975">
        <f t="shared" si="111"/>
        <v>0</v>
      </c>
      <c r="AK975">
        <v>0</v>
      </c>
      <c r="AL975" t="str">
        <f>IF(AA975="","",IFERROR(IF(ISNUMBER('Procyflo 27TC'!E476),'Procyflo 27TC'!E476,IF(ISNUMBER(SEARCH("12",'Procyflo 27TC'!E476)),EDATE(AB975,12),IF(ISNUMBER(SEARCH("6",'Procyflo 27TC'!E476)),EDATE(AB975,6),IF(ISNUMBER(SEARCH("3",'Procyflo 27TC'!E476)),EDATE(AB975,3),DATEVALUE('Procyflo 27TC'!E476))))),""))</f>
        <v/>
      </c>
      <c r="AM975" t="str">
        <f t="shared" ca="1" si="112"/>
        <v/>
      </c>
    </row>
    <row r="976" spans="27:39" x14ac:dyDescent="0.3">
      <c r="AA976" t="str">
        <f>IF(COUNTA('Procyflo 27TC'!B477,'Procyflo 27TC'!C477,'Procyflo 27TC'!D477)&gt;0,"27TC","")</f>
        <v/>
      </c>
      <c r="AB976" t="str">
        <f>IFERROR(IF(ISNUMBER('Procyflo 27TC'!B477),'Procyflo 27TC'!B477,DATEVALUE('Procyflo 27TC'!B477)),"")</f>
        <v/>
      </c>
      <c r="AC976" t="str">
        <f>IF(AA976="","",'Procyflo 27TC'!C477)</f>
        <v/>
      </c>
      <c r="AD976" t="str">
        <f>IF(AA976="","",IFERROR(1*'Procyflo 27TC'!D477,IFERROR(_xludf.NUMBERVALUE('Procyflo 27TC'!D477,".",","),IFERROR(_xludf.NUMBERVALUE('Procyflo 27TC'!D477,",","."),0))))</f>
        <v/>
      </c>
      <c r="AE976" t="str">
        <f>IF(AA976="","",'Procyflo 27TC'!N477)</f>
        <v/>
      </c>
      <c r="AF976">
        <f t="shared" si="107"/>
        <v>0</v>
      </c>
      <c r="AG976" t="str">
        <f t="shared" si="108"/>
        <v/>
      </c>
      <c r="AH976" t="str">
        <f t="shared" si="109"/>
        <v/>
      </c>
      <c r="AI976">
        <f t="shared" si="110"/>
        <v>0</v>
      </c>
      <c r="AJ976">
        <f t="shared" si="111"/>
        <v>0</v>
      </c>
      <c r="AK976">
        <v>0</v>
      </c>
      <c r="AL976" t="str">
        <f>IF(AA976="","",IFERROR(IF(ISNUMBER('Procyflo 27TC'!E477),'Procyflo 27TC'!E477,IF(ISNUMBER(SEARCH("12",'Procyflo 27TC'!E477)),EDATE(AB976,12),IF(ISNUMBER(SEARCH("6",'Procyflo 27TC'!E477)),EDATE(AB976,6),IF(ISNUMBER(SEARCH("3",'Procyflo 27TC'!E477)),EDATE(AB976,3),DATEVALUE('Procyflo 27TC'!E477))))),""))</f>
        <v/>
      </c>
      <c r="AM976" t="str">
        <f t="shared" ca="1" si="112"/>
        <v/>
      </c>
    </row>
    <row r="977" spans="27:39" x14ac:dyDescent="0.3">
      <c r="AA977" t="str">
        <f>IF(COUNTA('Procyflo 27TC'!B478,'Procyflo 27TC'!C478,'Procyflo 27TC'!D478)&gt;0,"27TC","")</f>
        <v/>
      </c>
      <c r="AB977" t="str">
        <f>IFERROR(IF(ISNUMBER('Procyflo 27TC'!B478),'Procyflo 27TC'!B478,DATEVALUE('Procyflo 27TC'!B478)),"")</f>
        <v/>
      </c>
      <c r="AC977" t="str">
        <f>IF(AA977="","",'Procyflo 27TC'!C478)</f>
        <v/>
      </c>
      <c r="AD977" t="str">
        <f>IF(AA977="","",IFERROR(1*'Procyflo 27TC'!D478,IFERROR(_xludf.NUMBERVALUE('Procyflo 27TC'!D478,".",","),IFERROR(_xludf.NUMBERVALUE('Procyflo 27TC'!D478,",","."),0))))</f>
        <v/>
      </c>
      <c r="AE977" t="str">
        <f>IF(AA977="","",'Procyflo 27TC'!N478)</f>
        <v/>
      </c>
      <c r="AF977">
        <f t="shared" si="107"/>
        <v>0</v>
      </c>
      <c r="AG977" t="str">
        <f t="shared" si="108"/>
        <v/>
      </c>
      <c r="AH977" t="str">
        <f t="shared" si="109"/>
        <v/>
      </c>
      <c r="AI977">
        <f t="shared" si="110"/>
        <v>0</v>
      </c>
      <c r="AJ977">
        <f t="shared" si="111"/>
        <v>0</v>
      </c>
      <c r="AK977">
        <v>0</v>
      </c>
      <c r="AL977" t="str">
        <f>IF(AA977="","",IFERROR(IF(ISNUMBER('Procyflo 27TC'!E478),'Procyflo 27TC'!E478,IF(ISNUMBER(SEARCH("12",'Procyflo 27TC'!E478)),EDATE(AB977,12),IF(ISNUMBER(SEARCH("6",'Procyflo 27TC'!E478)),EDATE(AB977,6),IF(ISNUMBER(SEARCH("3",'Procyflo 27TC'!E478)),EDATE(AB977,3),DATEVALUE('Procyflo 27TC'!E478))))),""))</f>
        <v/>
      </c>
      <c r="AM977" t="str">
        <f t="shared" ca="1" si="112"/>
        <v/>
      </c>
    </row>
    <row r="978" spans="27:39" x14ac:dyDescent="0.3">
      <c r="AA978" t="str">
        <f>IF(COUNTA('Procyflo 27TC'!B479,'Procyflo 27TC'!C479,'Procyflo 27TC'!D479)&gt;0,"27TC","")</f>
        <v/>
      </c>
      <c r="AB978" t="str">
        <f>IFERROR(IF(ISNUMBER('Procyflo 27TC'!B479),'Procyflo 27TC'!B479,DATEVALUE('Procyflo 27TC'!B479)),"")</f>
        <v/>
      </c>
      <c r="AC978" t="str">
        <f>IF(AA978="","",'Procyflo 27TC'!C479)</f>
        <v/>
      </c>
      <c r="AD978" t="str">
        <f>IF(AA978="","",IFERROR(1*'Procyflo 27TC'!D479,IFERROR(_xludf.NUMBERVALUE('Procyflo 27TC'!D479,".",","),IFERROR(_xludf.NUMBERVALUE('Procyflo 27TC'!D479,",","."),0))))</f>
        <v/>
      </c>
      <c r="AE978" t="str">
        <f>IF(AA978="","",'Procyflo 27TC'!N479)</f>
        <v/>
      </c>
      <c r="AF978">
        <f t="shared" si="107"/>
        <v>0</v>
      </c>
      <c r="AG978" t="str">
        <f t="shared" si="108"/>
        <v/>
      </c>
      <c r="AH978" t="str">
        <f t="shared" si="109"/>
        <v/>
      </c>
      <c r="AI978">
        <f t="shared" si="110"/>
        <v>0</v>
      </c>
      <c r="AJ978">
        <f t="shared" si="111"/>
        <v>0</v>
      </c>
      <c r="AK978">
        <v>0</v>
      </c>
      <c r="AL978" t="str">
        <f>IF(AA978="","",IFERROR(IF(ISNUMBER('Procyflo 27TC'!E479),'Procyflo 27TC'!E479,IF(ISNUMBER(SEARCH("12",'Procyflo 27TC'!E479)),EDATE(AB978,12),IF(ISNUMBER(SEARCH("6",'Procyflo 27TC'!E479)),EDATE(AB978,6),IF(ISNUMBER(SEARCH("3",'Procyflo 27TC'!E479)),EDATE(AB978,3),DATEVALUE('Procyflo 27TC'!E479))))),""))</f>
        <v/>
      </c>
      <c r="AM978" t="str">
        <f t="shared" ca="1" si="112"/>
        <v/>
      </c>
    </row>
    <row r="979" spans="27:39" x14ac:dyDescent="0.3">
      <c r="AA979" t="str">
        <f>IF(COUNTA('Procyflo 27TC'!B480,'Procyflo 27TC'!C480,'Procyflo 27TC'!D480)&gt;0,"27TC","")</f>
        <v/>
      </c>
      <c r="AB979" t="str">
        <f>IFERROR(IF(ISNUMBER('Procyflo 27TC'!B480),'Procyflo 27TC'!B480,DATEVALUE('Procyflo 27TC'!B480)),"")</f>
        <v/>
      </c>
      <c r="AC979" t="str">
        <f>IF(AA979="","",'Procyflo 27TC'!C480)</f>
        <v/>
      </c>
      <c r="AD979" t="str">
        <f>IF(AA979="","",IFERROR(1*'Procyflo 27TC'!D480,IFERROR(_xludf.NUMBERVALUE('Procyflo 27TC'!D480,".",","),IFERROR(_xludf.NUMBERVALUE('Procyflo 27TC'!D480,",","."),0))))</f>
        <v/>
      </c>
      <c r="AE979" t="str">
        <f>IF(AA979="","",'Procyflo 27TC'!N480)</f>
        <v/>
      </c>
      <c r="AF979">
        <f t="shared" si="107"/>
        <v>0</v>
      </c>
      <c r="AG979" t="str">
        <f t="shared" si="108"/>
        <v/>
      </c>
      <c r="AH979" t="str">
        <f t="shared" si="109"/>
        <v/>
      </c>
      <c r="AI979">
        <f t="shared" si="110"/>
        <v>0</v>
      </c>
      <c r="AJ979">
        <f t="shared" si="111"/>
        <v>0</v>
      </c>
      <c r="AK979">
        <v>0</v>
      </c>
      <c r="AL979" t="str">
        <f>IF(AA979="","",IFERROR(IF(ISNUMBER('Procyflo 27TC'!E480),'Procyflo 27TC'!E480,IF(ISNUMBER(SEARCH("12",'Procyflo 27TC'!E480)),EDATE(AB979,12),IF(ISNUMBER(SEARCH("6",'Procyflo 27TC'!E480)),EDATE(AB979,6),IF(ISNUMBER(SEARCH("3",'Procyflo 27TC'!E480)),EDATE(AB979,3),DATEVALUE('Procyflo 27TC'!E480))))),""))</f>
        <v/>
      </c>
      <c r="AM979" t="str">
        <f t="shared" ca="1" si="112"/>
        <v/>
      </c>
    </row>
    <row r="980" spans="27:39" x14ac:dyDescent="0.3">
      <c r="AA980" t="str">
        <f>IF(COUNTA('Procyflo 27TC'!B481,'Procyflo 27TC'!C481,'Procyflo 27TC'!D481)&gt;0,"27TC","")</f>
        <v/>
      </c>
      <c r="AB980" t="str">
        <f>IFERROR(IF(ISNUMBER('Procyflo 27TC'!B481),'Procyflo 27TC'!B481,DATEVALUE('Procyflo 27TC'!B481)),"")</f>
        <v/>
      </c>
      <c r="AC980" t="str">
        <f>IF(AA980="","",'Procyflo 27TC'!C481)</f>
        <v/>
      </c>
      <c r="AD980" t="str">
        <f>IF(AA980="","",IFERROR(1*'Procyflo 27TC'!D481,IFERROR(_xludf.NUMBERVALUE('Procyflo 27TC'!D481,".",","),IFERROR(_xludf.NUMBERVALUE('Procyflo 27TC'!D481,",","."),0))))</f>
        <v/>
      </c>
      <c r="AE980" t="str">
        <f>IF(AA980="","",'Procyflo 27TC'!N481)</f>
        <v/>
      </c>
      <c r="AF980">
        <f t="shared" si="107"/>
        <v>0</v>
      </c>
      <c r="AG980" t="str">
        <f t="shared" si="108"/>
        <v/>
      </c>
      <c r="AH980" t="str">
        <f t="shared" si="109"/>
        <v/>
      </c>
      <c r="AI980">
        <f t="shared" si="110"/>
        <v>0</v>
      </c>
      <c r="AJ980">
        <f t="shared" si="111"/>
        <v>0</v>
      </c>
      <c r="AK980">
        <v>0</v>
      </c>
      <c r="AL980" t="str">
        <f>IF(AA980="","",IFERROR(IF(ISNUMBER('Procyflo 27TC'!E481),'Procyflo 27TC'!E481,IF(ISNUMBER(SEARCH("12",'Procyflo 27TC'!E481)),EDATE(AB980,12),IF(ISNUMBER(SEARCH("6",'Procyflo 27TC'!E481)),EDATE(AB980,6),IF(ISNUMBER(SEARCH("3",'Procyflo 27TC'!E481)),EDATE(AB980,3),DATEVALUE('Procyflo 27TC'!E481))))),""))</f>
        <v/>
      </c>
      <c r="AM980" t="str">
        <f t="shared" ca="1" si="112"/>
        <v/>
      </c>
    </row>
    <row r="981" spans="27:39" x14ac:dyDescent="0.3">
      <c r="AA981" t="str">
        <f>IF(COUNTA('Procyflo 27TC'!B482,'Procyflo 27TC'!C482,'Procyflo 27TC'!D482)&gt;0,"27TC","")</f>
        <v/>
      </c>
      <c r="AB981" t="str">
        <f>IFERROR(IF(ISNUMBER('Procyflo 27TC'!B482),'Procyflo 27TC'!B482,DATEVALUE('Procyflo 27TC'!B482)),"")</f>
        <v/>
      </c>
      <c r="AC981" t="str">
        <f>IF(AA981="","",'Procyflo 27TC'!C482)</f>
        <v/>
      </c>
      <c r="AD981" t="str">
        <f>IF(AA981="","",IFERROR(1*'Procyflo 27TC'!D482,IFERROR(_xludf.NUMBERVALUE('Procyflo 27TC'!D482,".",","),IFERROR(_xludf.NUMBERVALUE('Procyflo 27TC'!D482,",","."),0))))</f>
        <v/>
      </c>
      <c r="AE981" t="str">
        <f>IF(AA981="","",'Procyflo 27TC'!N482)</f>
        <v/>
      </c>
      <c r="AF981">
        <f t="shared" si="107"/>
        <v>0</v>
      </c>
      <c r="AG981" t="str">
        <f t="shared" si="108"/>
        <v/>
      </c>
      <c r="AH981" t="str">
        <f t="shared" si="109"/>
        <v/>
      </c>
      <c r="AI981">
        <f t="shared" si="110"/>
        <v>0</v>
      </c>
      <c r="AJ981">
        <f t="shared" si="111"/>
        <v>0</v>
      </c>
      <c r="AK981">
        <v>0</v>
      </c>
      <c r="AL981" t="str">
        <f>IF(AA981="","",IFERROR(IF(ISNUMBER('Procyflo 27TC'!E482),'Procyflo 27TC'!E482,IF(ISNUMBER(SEARCH("12",'Procyflo 27TC'!E482)),EDATE(AB981,12),IF(ISNUMBER(SEARCH("6",'Procyflo 27TC'!E482)),EDATE(AB981,6),IF(ISNUMBER(SEARCH("3",'Procyflo 27TC'!E482)),EDATE(AB981,3),DATEVALUE('Procyflo 27TC'!E482))))),""))</f>
        <v/>
      </c>
      <c r="AM981" t="str">
        <f t="shared" ca="1" si="112"/>
        <v/>
      </c>
    </row>
    <row r="982" spans="27:39" x14ac:dyDescent="0.3">
      <c r="AA982" t="str">
        <f>IF(COUNTA('Procyflo 27TC'!B483,'Procyflo 27TC'!C483,'Procyflo 27TC'!D483)&gt;0,"27TC","")</f>
        <v/>
      </c>
      <c r="AB982" t="str">
        <f>IFERROR(IF(ISNUMBER('Procyflo 27TC'!B483),'Procyflo 27TC'!B483,DATEVALUE('Procyflo 27TC'!B483)),"")</f>
        <v/>
      </c>
      <c r="AC982" t="str">
        <f>IF(AA982="","",'Procyflo 27TC'!C483)</f>
        <v/>
      </c>
      <c r="AD982" t="str">
        <f>IF(AA982="","",IFERROR(1*'Procyflo 27TC'!D483,IFERROR(_xludf.NUMBERVALUE('Procyflo 27TC'!D483,".",","),IFERROR(_xludf.NUMBERVALUE('Procyflo 27TC'!D483,",","."),0))))</f>
        <v/>
      </c>
      <c r="AE982" t="str">
        <f>IF(AA982="","",'Procyflo 27TC'!N483)</f>
        <v/>
      </c>
      <c r="AF982">
        <f t="shared" si="107"/>
        <v>0</v>
      </c>
      <c r="AG982" t="str">
        <f t="shared" si="108"/>
        <v/>
      </c>
      <c r="AH982" t="str">
        <f t="shared" si="109"/>
        <v/>
      </c>
      <c r="AI982">
        <f t="shared" si="110"/>
        <v>0</v>
      </c>
      <c r="AJ982">
        <f t="shared" si="111"/>
        <v>0</v>
      </c>
      <c r="AK982">
        <v>0</v>
      </c>
      <c r="AL982" t="str">
        <f>IF(AA982="","",IFERROR(IF(ISNUMBER('Procyflo 27TC'!E483),'Procyflo 27TC'!E483,IF(ISNUMBER(SEARCH("12",'Procyflo 27TC'!E483)),EDATE(AB982,12),IF(ISNUMBER(SEARCH("6",'Procyflo 27TC'!E483)),EDATE(AB982,6),IF(ISNUMBER(SEARCH("3",'Procyflo 27TC'!E483)),EDATE(AB982,3),DATEVALUE('Procyflo 27TC'!E483))))),""))</f>
        <v/>
      </c>
      <c r="AM982" t="str">
        <f t="shared" ca="1" si="112"/>
        <v/>
      </c>
    </row>
    <row r="983" spans="27:39" x14ac:dyDescent="0.3">
      <c r="AA983" t="str">
        <f>IF(COUNTA('Procyflo 27TC'!B484,'Procyflo 27TC'!C484,'Procyflo 27TC'!D484)&gt;0,"27TC","")</f>
        <v/>
      </c>
      <c r="AB983" t="str">
        <f>IFERROR(IF(ISNUMBER('Procyflo 27TC'!B484),'Procyflo 27TC'!B484,DATEVALUE('Procyflo 27TC'!B484)),"")</f>
        <v/>
      </c>
      <c r="AC983" t="str">
        <f>IF(AA983="","",'Procyflo 27TC'!C484)</f>
        <v/>
      </c>
      <c r="AD983" t="str">
        <f>IF(AA983="","",IFERROR(1*'Procyflo 27TC'!D484,IFERROR(_xludf.NUMBERVALUE('Procyflo 27TC'!D484,".",","),IFERROR(_xludf.NUMBERVALUE('Procyflo 27TC'!D484,",","."),0))))</f>
        <v/>
      </c>
      <c r="AE983" t="str">
        <f>IF(AA983="","",'Procyflo 27TC'!N484)</f>
        <v/>
      </c>
      <c r="AF983">
        <f t="shared" si="107"/>
        <v>0</v>
      </c>
      <c r="AG983" t="str">
        <f t="shared" si="108"/>
        <v/>
      </c>
      <c r="AH983" t="str">
        <f t="shared" si="109"/>
        <v/>
      </c>
      <c r="AI983">
        <f t="shared" si="110"/>
        <v>0</v>
      </c>
      <c r="AJ983">
        <f t="shared" si="111"/>
        <v>0</v>
      </c>
      <c r="AK983">
        <v>0</v>
      </c>
      <c r="AL983" t="str">
        <f>IF(AA983="","",IFERROR(IF(ISNUMBER('Procyflo 27TC'!E484),'Procyflo 27TC'!E484,IF(ISNUMBER(SEARCH("12",'Procyflo 27TC'!E484)),EDATE(AB983,12),IF(ISNUMBER(SEARCH("6",'Procyflo 27TC'!E484)),EDATE(AB983,6),IF(ISNUMBER(SEARCH("3",'Procyflo 27TC'!E484)),EDATE(AB983,3),DATEVALUE('Procyflo 27TC'!E484))))),""))</f>
        <v/>
      </c>
      <c r="AM983" t="str">
        <f t="shared" ca="1" si="112"/>
        <v/>
      </c>
    </row>
    <row r="984" spans="27:39" x14ac:dyDescent="0.3">
      <c r="AA984" t="str">
        <f>IF(COUNTA('Procyflo 27TC'!B485,'Procyflo 27TC'!C485,'Procyflo 27TC'!D485)&gt;0,"27TC","")</f>
        <v/>
      </c>
      <c r="AB984" t="str">
        <f>IFERROR(IF(ISNUMBER('Procyflo 27TC'!B485),'Procyflo 27TC'!B485,DATEVALUE('Procyflo 27TC'!B485)),"")</f>
        <v/>
      </c>
      <c r="AC984" t="str">
        <f>IF(AA984="","",'Procyflo 27TC'!C485)</f>
        <v/>
      </c>
      <c r="AD984" t="str">
        <f>IF(AA984="","",IFERROR(1*'Procyflo 27TC'!D485,IFERROR(_xludf.NUMBERVALUE('Procyflo 27TC'!D485,".",","),IFERROR(_xludf.NUMBERVALUE('Procyflo 27TC'!D485,",","."),0))))</f>
        <v/>
      </c>
      <c r="AE984" t="str">
        <f>IF(AA984="","",'Procyflo 27TC'!N485)</f>
        <v/>
      </c>
      <c r="AF984">
        <f t="shared" si="107"/>
        <v>0</v>
      </c>
      <c r="AG984" t="str">
        <f t="shared" si="108"/>
        <v/>
      </c>
      <c r="AH984" t="str">
        <f t="shared" si="109"/>
        <v/>
      </c>
      <c r="AI984">
        <f t="shared" si="110"/>
        <v>0</v>
      </c>
      <c r="AJ984">
        <f t="shared" si="111"/>
        <v>0</v>
      </c>
      <c r="AK984">
        <v>0</v>
      </c>
      <c r="AL984" t="str">
        <f>IF(AA984="","",IFERROR(IF(ISNUMBER('Procyflo 27TC'!E485),'Procyflo 27TC'!E485,IF(ISNUMBER(SEARCH("12",'Procyflo 27TC'!E485)),EDATE(AB984,12),IF(ISNUMBER(SEARCH("6",'Procyflo 27TC'!E485)),EDATE(AB984,6),IF(ISNUMBER(SEARCH("3",'Procyflo 27TC'!E485)),EDATE(AB984,3),DATEVALUE('Procyflo 27TC'!E485))))),""))</f>
        <v/>
      </c>
      <c r="AM984" t="str">
        <f t="shared" ca="1" si="112"/>
        <v/>
      </c>
    </row>
    <row r="985" spans="27:39" x14ac:dyDescent="0.3">
      <c r="AA985" t="str">
        <f>IF(COUNTA('Procyflo 27TC'!B486,'Procyflo 27TC'!C486,'Procyflo 27TC'!D486)&gt;0,"27TC","")</f>
        <v/>
      </c>
      <c r="AB985" t="str">
        <f>IFERROR(IF(ISNUMBER('Procyflo 27TC'!B486),'Procyflo 27TC'!B486,DATEVALUE('Procyflo 27TC'!B486)),"")</f>
        <v/>
      </c>
      <c r="AC985" t="str">
        <f>IF(AA985="","",'Procyflo 27TC'!C486)</f>
        <v/>
      </c>
      <c r="AD985" t="str">
        <f>IF(AA985="","",IFERROR(1*'Procyflo 27TC'!D486,IFERROR(_xludf.NUMBERVALUE('Procyflo 27TC'!D486,".",","),IFERROR(_xludf.NUMBERVALUE('Procyflo 27TC'!D486,",","."),0))))</f>
        <v/>
      </c>
      <c r="AE985" t="str">
        <f>IF(AA985="","",'Procyflo 27TC'!N486)</f>
        <v/>
      </c>
      <c r="AF985">
        <f t="shared" si="107"/>
        <v>0</v>
      </c>
      <c r="AG985" t="str">
        <f t="shared" si="108"/>
        <v/>
      </c>
      <c r="AH985" t="str">
        <f t="shared" si="109"/>
        <v/>
      </c>
      <c r="AI985">
        <f t="shared" si="110"/>
        <v>0</v>
      </c>
      <c r="AJ985">
        <f t="shared" si="111"/>
        <v>0</v>
      </c>
      <c r="AK985">
        <v>0</v>
      </c>
      <c r="AL985" t="str">
        <f>IF(AA985="","",IFERROR(IF(ISNUMBER('Procyflo 27TC'!E486),'Procyflo 27TC'!E486,IF(ISNUMBER(SEARCH("12",'Procyflo 27TC'!E486)),EDATE(AB985,12),IF(ISNUMBER(SEARCH("6",'Procyflo 27TC'!E486)),EDATE(AB985,6),IF(ISNUMBER(SEARCH("3",'Procyflo 27TC'!E486)),EDATE(AB985,3),DATEVALUE('Procyflo 27TC'!E486))))),""))</f>
        <v/>
      </c>
      <c r="AM985" t="str">
        <f t="shared" ca="1" si="112"/>
        <v/>
      </c>
    </row>
    <row r="986" spans="27:39" x14ac:dyDescent="0.3">
      <c r="AA986" t="str">
        <f>IF(COUNTA('Procyflo 27TC'!B487,'Procyflo 27TC'!C487,'Procyflo 27TC'!D487)&gt;0,"27TC","")</f>
        <v/>
      </c>
      <c r="AB986" t="str">
        <f>IFERROR(IF(ISNUMBER('Procyflo 27TC'!B487),'Procyflo 27TC'!B487,DATEVALUE('Procyflo 27TC'!B487)),"")</f>
        <v/>
      </c>
      <c r="AC986" t="str">
        <f>IF(AA986="","",'Procyflo 27TC'!C487)</f>
        <v/>
      </c>
      <c r="AD986" t="str">
        <f>IF(AA986="","",IFERROR(1*'Procyflo 27TC'!D487,IFERROR(_xludf.NUMBERVALUE('Procyflo 27TC'!D487,".",","),IFERROR(_xludf.NUMBERVALUE('Procyflo 27TC'!D487,",","."),0))))</f>
        <v/>
      </c>
      <c r="AE986" t="str">
        <f>IF(AA986="","",'Procyflo 27TC'!N487)</f>
        <v/>
      </c>
      <c r="AF986">
        <f t="shared" si="107"/>
        <v>0</v>
      </c>
      <c r="AG986" t="str">
        <f t="shared" si="108"/>
        <v/>
      </c>
      <c r="AH986" t="str">
        <f t="shared" si="109"/>
        <v/>
      </c>
      <c r="AI986">
        <f t="shared" si="110"/>
        <v>0</v>
      </c>
      <c r="AJ986">
        <f t="shared" si="111"/>
        <v>0</v>
      </c>
      <c r="AK986">
        <v>0</v>
      </c>
      <c r="AL986" t="str">
        <f>IF(AA986="","",IFERROR(IF(ISNUMBER('Procyflo 27TC'!E487),'Procyflo 27TC'!E487,IF(ISNUMBER(SEARCH("12",'Procyflo 27TC'!E487)),EDATE(AB986,12),IF(ISNUMBER(SEARCH("6",'Procyflo 27TC'!E487)),EDATE(AB986,6),IF(ISNUMBER(SEARCH("3",'Procyflo 27TC'!E487)),EDATE(AB986,3),DATEVALUE('Procyflo 27TC'!E487))))),""))</f>
        <v/>
      </c>
      <c r="AM986" t="str">
        <f t="shared" ca="1" si="112"/>
        <v/>
      </c>
    </row>
    <row r="987" spans="27:39" x14ac:dyDescent="0.3">
      <c r="AA987" t="str">
        <f>IF(COUNTA('Procyflo 27TC'!B488,'Procyflo 27TC'!C488,'Procyflo 27TC'!D488)&gt;0,"27TC","")</f>
        <v/>
      </c>
      <c r="AB987" t="str">
        <f>IFERROR(IF(ISNUMBER('Procyflo 27TC'!B488),'Procyflo 27TC'!B488,DATEVALUE('Procyflo 27TC'!B488)),"")</f>
        <v/>
      </c>
      <c r="AC987" t="str">
        <f>IF(AA987="","",'Procyflo 27TC'!C488)</f>
        <v/>
      </c>
      <c r="AD987" t="str">
        <f>IF(AA987="","",IFERROR(1*'Procyflo 27TC'!D488,IFERROR(_xludf.NUMBERVALUE('Procyflo 27TC'!D488,".",","),IFERROR(_xludf.NUMBERVALUE('Procyflo 27TC'!D488,",","."),0))))</f>
        <v/>
      </c>
      <c r="AE987" t="str">
        <f>IF(AA987="","",'Procyflo 27TC'!N488)</f>
        <v/>
      </c>
      <c r="AF987">
        <f t="shared" si="107"/>
        <v>0</v>
      </c>
      <c r="AG987" t="str">
        <f t="shared" si="108"/>
        <v/>
      </c>
      <c r="AH987" t="str">
        <f t="shared" si="109"/>
        <v/>
      </c>
      <c r="AI987">
        <f t="shared" si="110"/>
        <v>0</v>
      </c>
      <c r="AJ987">
        <f t="shared" si="111"/>
        <v>0</v>
      </c>
      <c r="AK987">
        <v>0</v>
      </c>
      <c r="AL987" t="str">
        <f>IF(AA987="","",IFERROR(IF(ISNUMBER('Procyflo 27TC'!E488),'Procyflo 27TC'!E488,IF(ISNUMBER(SEARCH("12",'Procyflo 27TC'!E488)),EDATE(AB987,12),IF(ISNUMBER(SEARCH("6",'Procyflo 27TC'!E488)),EDATE(AB987,6),IF(ISNUMBER(SEARCH("3",'Procyflo 27TC'!E488)),EDATE(AB987,3),DATEVALUE('Procyflo 27TC'!E488))))),""))</f>
        <v/>
      </c>
      <c r="AM987" t="str">
        <f t="shared" ca="1" si="112"/>
        <v/>
      </c>
    </row>
    <row r="988" spans="27:39" x14ac:dyDescent="0.3">
      <c r="AA988" t="str">
        <f>IF(COUNTA('Procyflo 27TC'!B489,'Procyflo 27TC'!C489,'Procyflo 27TC'!D489)&gt;0,"27TC","")</f>
        <v/>
      </c>
      <c r="AB988" t="str">
        <f>IFERROR(IF(ISNUMBER('Procyflo 27TC'!B489),'Procyflo 27TC'!B489,DATEVALUE('Procyflo 27TC'!B489)),"")</f>
        <v/>
      </c>
      <c r="AC988" t="str">
        <f>IF(AA988="","",'Procyflo 27TC'!C489)</f>
        <v/>
      </c>
      <c r="AD988" t="str">
        <f>IF(AA988="","",IFERROR(1*'Procyflo 27TC'!D489,IFERROR(_xludf.NUMBERVALUE('Procyflo 27TC'!D489,".",","),IFERROR(_xludf.NUMBERVALUE('Procyflo 27TC'!D489,",","."),0))))</f>
        <v/>
      </c>
      <c r="AE988" t="str">
        <f>IF(AA988="","",'Procyflo 27TC'!N489)</f>
        <v/>
      </c>
      <c r="AF988">
        <f t="shared" si="107"/>
        <v>0</v>
      </c>
      <c r="AG988" t="str">
        <f t="shared" si="108"/>
        <v/>
      </c>
      <c r="AH988" t="str">
        <f t="shared" si="109"/>
        <v/>
      </c>
      <c r="AI988">
        <f t="shared" si="110"/>
        <v>0</v>
      </c>
      <c r="AJ988">
        <f t="shared" si="111"/>
        <v>0</v>
      </c>
      <c r="AK988">
        <v>0</v>
      </c>
      <c r="AL988" t="str">
        <f>IF(AA988="","",IFERROR(IF(ISNUMBER('Procyflo 27TC'!E489),'Procyflo 27TC'!E489,IF(ISNUMBER(SEARCH("12",'Procyflo 27TC'!E489)),EDATE(AB988,12),IF(ISNUMBER(SEARCH("6",'Procyflo 27TC'!E489)),EDATE(AB988,6),IF(ISNUMBER(SEARCH("3",'Procyflo 27TC'!E489)),EDATE(AB988,3),DATEVALUE('Procyflo 27TC'!E489))))),""))</f>
        <v/>
      </c>
      <c r="AM988" t="str">
        <f t="shared" ca="1" si="112"/>
        <v/>
      </c>
    </row>
    <row r="989" spans="27:39" x14ac:dyDescent="0.3">
      <c r="AA989" t="str">
        <f>IF(COUNTA('Procyflo 27TC'!B490,'Procyflo 27TC'!C490,'Procyflo 27TC'!D490)&gt;0,"27TC","")</f>
        <v/>
      </c>
      <c r="AB989" t="str">
        <f>IFERROR(IF(ISNUMBER('Procyflo 27TC'!B490),'Procyflo 27TC'!B490,DATEVALUE('Procyflo 27TC'!B490)),"")</f>
        <v/>
      </c>
      <c r="AC989" t="str">
        <f>IF(AA989="","",'Procyflo 27TC'!C490)</f>
        <v/>
      </c>
      <c r="AD989" t="str">
        <f>IF(AA989="","",IFERROR(1*'Procyflo 27TC'!D490,IFERROR(_xludf.NUMBERVALUE('Procyflo 27TC'!D490,".",","),IFERROR(_xludf.NUMBERVALUE('Procyflo 27TC'!D490,",","."),0))))</f>
        <v/>
      </c>
      <c r="AE989" t="str">
        <f>IF(AA989="","",'Procyflo 27TC'!N490)</f>
        <v/>
      </c>
      <c r="AF989">
        <f t="shared" si="107"/>
        <v>0</v>
      </c>
      <c r="AG989" t="str">
        <f t="shared" si="108"/>
        <v/>
      </c>
      <c r="AH989" t="str">
        <f t="shared" si="109"/>
        <v/>
      </c>
      <c r="AI989">
        <f t="shared" si="110"/>
        <v>0</v>
      </c>
      <c r="AJ989">
        <f t="shared" si="111"/>
        <v>0</v>
      </c>
      <c r="AK989">
        <v>0</v>
      </c>
      <c r="AL989" t="str">
        <f>IF(AA989="","",IFERROR(IF(ISNUMBER('Procyflo 27TC'!E490),'Procyflo 27TC'!E490,IF(ISNUMBER(SEARCH("12",'Procyflo 27TC'!E490)),EDATE(AB989,12),IF(ISNUMBER(SEARCH("6",'Procyflo 27TC'!E490)),EDATE(AB989,6),IF(ISNUMBER(SEARCH("3",'Procyflo 27TC'!E490)),EDATE(AB989,3),DATEVALUE('Procyflo 27TC'!E490))))),""))</f>
        <v/>
      </c>
      <c r="AM989" t="str">
        <f t="shared" ca="1" si="112"/>
        <v/>
      </c>
    </row>
    <row r="990" spans="27:39" x14ac:dyDescent="0.3">
      <c r="AA990" t="str">
        <f>IF(COUNTA('Procyflo 27TC'!B491,'Procyflo 27TC'!C491,'Procyflo 27TC'!D491)&gt;0,"27TC","")</f>
        <v/>
      </c>
      <c r="AB990" t="str">
        <f>IFERROR(IF(ISNUMBER('Procyflo 27TC'!B491),'Procyflo 27TC'!B491,DATEVALUE('Procyflo 27TC'!B491)),"")</f>
        <v/>
      </c>
      <c r="AC990" t="str">
        <f>IF(AA990="","",'Procyflo 27TC'!C491)</f>
        <v/>
      </c>
      <c r="AD990" t="str">
        <f>IF(AA990="","",IFERROR(1*'Procyflo 27TC'!D491,IFERROR(_xludf.NUMBERVALUE('Procyflo 27TC'!D491,".",","),IFERROR(_xludf.NUMBERVALUE('Procyflo 27TC'!D491,",","."),0))))</f>
        <v/>
      </c>
      <c r="AE990" t="str">
        <f>IF(AA990="","",'Procyflo 27TC'!N491)</f>
        <v/>
      </c>
      <c r="AF990">
        <f t="shared" si="107"/>
        <v>0</v>
      </c>
      <c r="AG990" t="str">
        <f t="shared" si="108"/>
        <v/>
      </c>
      <c r="AH990" t="str">
        <f t="shared" si="109"/>
        <v/>
      </c>
      <c r="AI990">
        <f t="shared" si="110"/>
        <v>0</v>
      </c>
      <c r="AJ990">
        <f t="shared" si="111"/>
        <v>0</v>
      </c>
      <c r="AK990">
        <v>0</v>
      </c>
      <c r="AL990" t="str">
        <f>IF(AA990="","",IFERROR(IF(ISNUMBER('Procyflo 27TC'!E491),'Procyflo 27TC'!E491,IF(ISNUMBER(SEARCH("12",'Procyflo 27TC'!E491)),EDATE(AB990,12),IF(ISNUMBER(SEARCH("6",'Procyflo 27TC'!E491)),EDATE(AB990,6),IF(ISNUMBER(SEARCH("3",'Procyflo 27TC'!E491)),EDATE(AB990,3),DATEVALUE('Procyflo 27TC'!E491))))),""))</f>
        <v/>
      </c>
      <c r="AM990" t="str">
        <f t="shared" ca="1" si="112"/>
        <v/>
      </c>
    </row>
    <row r="991" spans="27:39" x14ac:dyDescent="0.3">
      <c r="AA991" t="str">
        <f>IF(COUNTA('Procyflo 27TC'!B492,'Procyflo 27TC'!C492,'Procyflo 27TC'!D492)&gt;0,"27TC","")</f>
        <v/>
      </c>
      <c r="AB991" t="str">
        <f>IFERROR(IF(ISNUMBER('Procyflo 27TC'!B492),'Procyflo 27TC'!B492,DATEVALUE('Procyflo 27TC'!B492)),"")</f>
        <v/>
      </c>
      <c r="AC991" t="str">
        <f>IF(AA991="","",'Procyflo 27TC'!C492)</f>
        <v/>
      </c>
      <c r="AD991" t="str">
        <f>IF(AA991="","",IFERROR(1*'Procyflo 27TC'!D492,IFERROR(_xludf.NUMBERVALUE('Procyflo 27TC'!D492,".",","),IFERROR(_xludf.NUMBERVALUE('Procyflo 27TC'!D492,",","."),0))))</f>
        <v/>
      </c>
      <c r="AE991" t="str">
        <f>IF(AA991="","",'Procyflo 27TC'!N492)</f>
        <v/>
      </c>
      <c r="AF991">
        <f t="shared" si="107"/>
        <v>0</v>
      </c>
      <c r="AG991" t="str">
        <f t="shared" si="108"/>
        <v/>
      </c>
      <c r="AH991" t="str">
        <f t="shared" si="109"/>
        <v/>
      </c>
      <c r="AI991">
        <f t="shared" si="110"/>
        <v>0</v>
      </c>
      <c r="AJ991">
        <f t="shared" si="111"/>
        <v>0</v>
      </c>
      <c r="AK991">
        <v>0</v>
      </c>
      <c r="AL991" t="str">
        <f>IF(AA991="","",IFERROR(IF(ISNUMBER('Procyflo 27TC'!E492),'Procyflo 27TC'!E492,IF(ISNUMBER(SEARCH("12",'Procyflo 27TC'!E492)),EDATE(AB991,12),IF(ISNUMBER(SEARCH("6",'Procyflo 27TC'!E492)),EDATE(AB991,6),IF(ISNUMBER(SEARCH("3",'Procyflo 27TC'!E492)),EDATE(AB991,3),DATEVALUE('Procyflo 27TC'!E492))))),""))</f>
        <v/>
      </c>
      <c r="AM991" t="str">
        <f t="shared" ca="1" si="112"/>
        <v/>
      </c>
    </row>
    <row r="992" spans="27:39" x14ac:dyDescent="0.3">
      <c r="AA992" t="str">
        <f>IF(COUNTA('Procyflo 27TC'!B493,'Procyflo 27TC'!C493,'Procyflo 27TC'!D493)&gt;0,"27TC","")</f>
        <v/>
      </c>
      <c r="AB992" t="str">
        <f>IFERROR(IF(ISNUMBER('Procyflo 27TC'!B493),'Procyflo 27TC'!B493,DATEVALUE('Procyflo 27TC'!B493)),"")</f>
        <v/>
      </c>
      <c r="AC992" t="str">
        <f>IF(AA992="","",'Procyflo 27TC'!C493)</f>
        <v/>
      </c>
      <c r="AD992" t="str">
        <f>IF(AA992="","",IFERROR(1*'Procyflo 27TC'!D493,IFERROR(_xludf.NUMBERVALUE('Procyflo 27TC'!D493,".",","),IFERROR(_xludf.NUMBERVALUE('Procyflo 27TC'!D493,",","."),0))))</f>
        <v/>
      </c>
      <c r="AE992" t="str">
        <f>IF(AA992="","",'Procyflo 27TC'!N493)</f>
        <v/>
      </c>
      <c r="AF992">
        <f t="shared" si="107"/>
        <v>0</v>
      </c>
      <c r="AG992" t="str">
        <f t="shared" si="108"/>
        <v/>
      </c>
      <c r="AH992" t="str">
        <f t="shared" si="109"/>
        <v/>
      </c>
      <c r="AI992">
        <f t="shared" si="110"/>
        <v>0</v>
      </c>
      <c r="AJ992">
        <f t="shared" si="111"/>
        <v>0</v>
      </c>
      <c r="AK992">
        <v>0</v>
      </c>
      <c r="AL992" t="str">
        <f>IF(AA992="","",IFERROR(IF(ISNUMBER('Procyflo 27TC'!E493),'Procyflo 27TC'!E493,IF(ISNUMBER(SEARCH("12",'Procyflo 27TC'!E493)),EDATE(AB992,12),IF(ISNUMBER(SEARCH("6",'Procyflo 27TC'!E493)),EDATE(AB992,6),IF(ISNUMBER(SEARCH("3",'Procyflo 27TC'!E493)),EDATE(AB992,3),DATEVALUE('Procyflo 27TC'!E493))))),""))</f>
        <v/>
      </c>
      <c r="AM992" t="str">
        <f t="shared" ca="1" si="112"/>
        <v/>
      </c>
    </row>
    <row r="993" spans="27:39" x14ac:dyDescent="0.3">
      <c r="AA993" t="str">
        <f>IF(COUNTA('Procyflo 27TC'!B494,'Procyflo 27TC'!C494,'Procyflo 27TC'!D494)&gt;0,"27TC","")</f>
        <v/>
      </c>
      <c r="AB993" t="str">
        <f>IFERROR(IF(ISNUMBER('Procyflo 27TC'!B494),'Procyflo 27TC'!B494,DATEVALUE('Procyflo 27TC'!B494)),"")</f>
        <v/>
      </c>
      <c r="AC993" t="str">
        <f>IF(AA993="","",'Procyflo 27TC'!C494)</f>
        <v/>
      </c>
      <c r="AD993" t="str">
        <f>IF(AA993="","",IFERROR(1*'Procyflo 27TC'!D494,IFERROR(_xludf.NUMBERVALUE('Procyflo 27TC'!D494,".",","),IFERROR(_xludf.NUMBERVALUE('Procyflo 27TC'!D494,",","."),0))))</f>
        <v/>
      </c>
      <c r="AE993" t="str">
        <f>IF(AA993="","",'Procyflo 27TC'!N494)</f>
        <v/>
      </c>
      <c r="AF993">
        <f t="shared" si="107"/>
        <v>0</v>
      </c>
      <c r="AG993" t="str">
        <f t="shared" si="108"/>
        <v/>
      </c>
      <c r="AH993" t="str">
        <f t="shared" si="109"/>
        <v/>
      </c>
      <c r="AI993">
        <f t="shared" si="110"/>
        <v>0</v>
      </c>
      <c r="AJ993">
        <f t="shared" si="111"/>
        <v>0</v>
      </c>
      <c r="AK993">
        <v>0</v>
      </c>
      <c r="AL993" t="str">
        <f>IF(AA993="","",IFERROR(IF(ISNUMBER('Procyflo 27TC'!E494),'Procyflo 27TC'!E494,IF(ISNUMBER(SEARCH("12",'Procyflo 27TC'!E494)),EDATE(AB993,12),IF(ISNUMBER(SEARCH("6",'Procyflo 27TC'!E494)),EDATE(AB993,6),IF(ISNUMBER(SEARCH("3",'Procyflo 27TC'!E494)),EDATE(AB993,3),DATEVALUE('Procyflo 27TC'!E494))))),""))</f>
        <v/>
      </c>
      <c r="AM993" t="str">
        <f t="shared" ca="1" si="112"/>
        <v/>
      </c>
    </row>
    <row r="994" spans="27:39" x14ac:dyDescent="0.3">
      <c r="AA994" t="str">
        <f>IF(COUNTA('Procyflo 27TC'!B495,'Procyflo 27TC'!C495,'Procyflo 27TC'!D495)&gt;0,"27TC","")</f>
        <v/>
      </c>
      <c r="AB994" t="str">
        <f>IFERROR(IF(ISNUMBER('Procyflo 27TC'!B495),'Procyflo 27TC'!B495,DATEVALUE('Procyflo 27TC'!B495)),"")</f>
        <v/>
      </c>
      <c r="AC994" t="str">
        <f>IF(AA994="","",'Procyflo 27TC'!C495)</f>
        <v/>
      </c>
      <c r="AD994" t="str">
        <f>IF(AA994="","",IFERROR(1*'Procyflo 27TC'!D495,IFERROR(_xludf.NUMBERVALUE('Procyflo 27TC'!D495,".",","),IFERROR(_xludf.NUMBERVALUE('Procyflo 27TC'!D495,",","."),0))))</f>
        <v/>
      </c>
      <c r="AE994" t="str">
        <f>IF(AA994="","",'Procyflo 27TC'!N495)</f>
        <v/>
      </c>
      <c r="AF994">
        <f t="shared" si="107"/>
        <v>0</v>
      </c>
      <c r="AG994" t="str">
        <f t="shared" si="108"/>
        <v/>
      </c>
      <c r="AH994" t="str">
        <f t="shared" si="109"/>
        <v/>
      </c>
      <c r="AI994">
        <f t="shared" si="110"/>
        <v>0</v>
      </c>
      <c r="AJ994">
        <f t="shared" si="111"/>
        <v>0</v>
      </c>
      <c r="AK994">
        <v>0</v>
      </c>
      <c r="AL994" t="str">
        <f>IF(AA994="","",IFERROR(IF(ISNUMBER('Procyflo 27TC'!E495),'Procyflo 27TC'!E495,IF(ISNUMBER(SEARCH("12",'Procyflo 27TC'!E495)),EDATE(AB994,12),IF(ISNUMBER(SEARCH("6",'Procyflo 27TC'!E495)),EDATE(AB994,6),IF(ISNUMBER(SEARCH("3",'Procyflo 27TC'!E495)),EDATE(AB994,3),DATEVALUE('Procyflo 27TC'!E495))))),""))</f>
        <v/>
      </c>
      <c r="AM994" t="str">
        <f t="shared" ca="1" si="112"/>
        <v/>
      </c>
    </row>
    <row r="995" spans="27:39" x14ac:dyDescent="0.3">
      <c r="AA995" t="str">
        <f>IF(COUNTA('Procyflo 27TC'!B496,'Procyflo 27TC'!C496,'Procyflo 27TC'!D496)&gt;0,"27TC","")</f>
        <v/>
      </c>
      <c r="AB995" t="str">
        <f>IFERROR(IF(ISNUMBER('Procyflo 27TC'!B496),'Procyflo 27TC'!B496,DATEVALUE('Procyflo 27TC'!B496)),"")</f>
        <v/>
      </c>
      <c r="AC995" t="str">
        <f>IF(AA995="","",'Procyflo 27TC'!C496)</f>
        <v/>
      </c>
      <c r="AD995" t="str">
        <f>IF(AA995="","",IFERROR(1*'Procyflo 27TC'!D496,IFERROR(_xludf.NUMBERVALUE('Procyflo 27TC'!D496,".",","),IFERROR(_xludf.NUMBERVALUE('Procyflo 27TC'!D496,",","."),0))))</f>
        <v/>
      </c>
      <c r="AE995" t="str">
        <f>IF(AA995="","",'Procyflo 27TC'!N496)</f>
        <v/>
      </c>
      <c r="AF995">
        <f t="shared" si="107"/>
        <v>0</v>
      </c>
      <c r="AG995" t="str">
        <f t="shared" si="108"/>
        <v/>
      </c>
      <c r="AH995" t="str">
        <f t="shared" si="109"/>
        <v/>
      </c>
      <c r="AI995">
        <f t="shared" si="110"/>
        <v>0</v>
      </c>
      <c r="AJ995">
        <f t="shared" si="111"/>
        <v>0</v>
      </c>
      <c r="AK995">
        <v>0</v>
      </c>
      <c r="AL995" t="str">
        <f>IF(AA995="","",IFERROR(IF(ISNUMBER('Procyflo 27TC'!E496),'Procyflo 27TC'!E496,IF(ISNUMBER(SEARCH("12",'Procyflo 27TC'!E496)),EDATE(AB995,12),IF(ISNUMBER(SEARCH("6",'Procyflo 27TC'!E496)),EDATE(AB995,6),IF(ISNUMBER(SEARCH("3",'Procyflo 27TC'!E496)),EDATE(AB995,3),DATEVALUE('Procyflo 27TC'!E496))))),""))</f>
        <v/>
      </c>
      <c r="AM995" t="str">
        <f t="shared" ca="1" si="112"/>
        <v/>
      </c>
    </row>
    <row r="996" spans="27:39" x14ac:dyDescent="0.3">
      <c r="AA996" t="str">
        <f>IF(COUNTA('Procyflo 27TC'!B497,'Procyflo 27TC'!C497,'Procyflo 27TC'!D497)&gt;0,"27TC","")</f>
        <v/>
      </c>
      <c r="AB996" t="str">
        <f>IFERROR(IF(ISNUMBER('Procyflo 27TC'!B497),'Procyflo 27TC'!B497,DATEVALUE('Procyflo 27TC'!B497)),"")</f>
        <v/>
      </c>
      <c r="AC996" t="str">
        <f>IF(AA996="","",'Procyflo 27TC'!C497)</f>
        <v/>
      </c>
      <c r="AD996" t="str">
        <f>IF(AA996="","",IFERROR(1*'Procyflo 27TC'!D497,IFERROR(_xludf.NUMBERVALUE('Procyflo 27TC'!D497,".",","),IFERROR(_xludf.NUMBERVALUE('Procyflo 27TC'!D497,",","."),0))))</f>
        <v/>
      </c>
      <c r="AE996" t="str">
        <f>IF(AA996="","",'Procyflo 27TC'!N497)</f>
        <v/>
      </c>
      <c r="AF996">
        <f t="shared" si="107"/>
        <v>0</v>
      </c>
      <c r="AG996" t="str">
        <f t="shared" si="108"/>
        <v/>
      </c>
      <c r="AH996" t="str">
        <f t="shared" si="109"/>
        <v/>
      </c>
      <c r="AI996">
        <f t="shared" si="110"/>
        <v>0</v>
      </c>
      <c r="AJ996">
        <f t="shared" si="111"/>
        <v>0</v>
      </c>
      <c r="AK996">
        <v>0</v>
      </c>
      <c r="AL996" t="str">
        <f>IF(AA996="","",IFERROR(IF(ISNUMBER('Procyflo 27TC'!E497),'Procyflo 27TC'!E497,IF(ISNUMBER(SEARCH("12",'Procyflo 27TC'!E497)),EDATE(AB996,12),IF(ISNUMBER(SEARCH("6",'Procyflo 27TC'!E497)),EDATE(AB996,6),IF(ISNUMBER(SEARCH("3",'Procyflo 27TC'!E497)),EDATE(AB996,3),DATEVALUE('Procyflo 27TC'!E497))))),""))</f>
        <v/>
      </c>
      <c r="AM996" t="str">
        <f t="shared" ca="1" si="112"/>
        <v/>
      </c>
    </row>
    <row r="997" spans="27:39" x14ac:dyDescent="0.3">
      <c r="AA997" t="str">
        <f>IF(COUNTA('Procyflo 27TC'!B498,'Procyflo 27TC'!C498,'Procyflo 27TC'!D498)&gt;0,"27TC","")</f>
        <v/>
      </c>
      <c r="AB997" t="str">
        <f>IFERROR(IF(ISNUMBER('Procyflo 27TC'!B498),'Procyflo 27TC'!B498,DATEVALUE('Procyflo 27TC'!B498)),"")</f>
        <v/>
      </c>
      <c r="AC997" t="str">
        <f>IF(AA997="","",'Procyflo 27TC'!C498)</f>
        <v/>
      </c>
      <c r="AD997" t="str">
        <f>IF(AA997="","",IFERROR(1*'Procyflo 27TC'!D498,IFERROR(_xludf.NUMBERVALUE('Procyflo 27TC'!D498,".",","),IFERROR(_xludf.NUMBERVALUE('Procyflo 27TC'!D498,",","."),0))))</f>
        <v/>
      </c>
      <c r="AE997" t="str">
        <f>IF(AA997="","",'Procyflo 27TC'!N498)</f>
        <v/>
      </c>
      <c r="AF997">
        <f t="shared" si="107"/>
        <v>0</v>
      </c>
      <c r="AG997" t="str">
        <f t="shared" si="108"/>
        <v/>
      </c>
      <c r="AH997" t="str">
        <f t="shared" si="109"/>
        <v/>
      </c>
      <c r="AI997">
        <f t="shared" si="110"/>
        <v>0</v>
      </c>
      <c r="AJ997">
        <f t="shared" si="111"/>
        <v>0</v>
      </c>
      <c r="AK997">
        <v>0</v>
      </c>
      <c r="AL997" t="str">
        <f>IF(AA997="","",IFERROR(IF(ISNUMBER('Procyflo 27TC'!E498),'Procyflo 27TC'!E498,IF(ISNUMBER(SEARCH("12",'Procyflo 27TC'!E498)),EDATE(AB997,12),IF(ISNUMBER(SEARCH("6",'Procyflo 27TC'!E498)),EDATE(AB997,6),IF(ISNUMBER(SEARCH("3",'Procyflo 27TC'!E498)),EDATE(AB997,3),DATEVALUE('Procyflo 27TC'!E498))))),""))</f>
        <v/>
      </c>
      <c r="AM997" t="str">
        <f t="shared" ca="1" si="112"/>
        <v/>
      </c>
    </row>
    <row r="998" spans="27:39" x14ac:dyDescent="0.3">
      <c r="AA998" t="str">
        <f>IF(COUNTA('Procyflo 27TC'!B499,'Procyflo 27TC'!C499,'Procyflo 27TC'!D499)&gt;0,"27TC","")</f>
        <v/>
      </c>
      <c r="AB998" t="str">
        <f>IFERROR(IF(ISNUMBER('Procyflo 27TC'!B499),'Procyflo 27TC'!B499,DATEVALUE('Procyflo 27TC'!B499)),"")</f>
        <v/>
      </c>
      <c r="AC998" t="str">
        <f>IF(AA998="","",'Procyflo 27TC'!C499)</f>
        <v/>
      </c>
      <c r="AD998" t="str">
        <f>IF(AA998="","",IFERROR(1*'Procyflo 27TC'!D499,IFERROR(_xludf.NUMBERVALUE('Procyflo 27TC'!D499,".",","),IFERROR(_xludf.NUMBERVALUE('Procyflo 27TC'!D499,",","."),0))))</f>
        <v/>
      </c>
      <c r="AE998" t="str">
        <f>IF(AA998="","",'Procyflo 27TC'!N499)</f>
        <v/>
      </c>
      <c r="AF998">
        <f t="shared" si="107"/>
        <v>0</v>
      </c>
      <c r="AG998" t="str">
        <f t="shared" si="108"/>
        <v/>
      </c>
      <c r="AH998" t="str">
        <f t="shared" si="109"/>
        <v/>
      </c>
      <c r="AI998">
        <f t="shared" si="110"/>
        <v>0</v>
      </c>
      <c r="AJ998">
        <f t="shared" si="111"/>
        <v>0</v>
      </c>
      <c r="AK998">
        <v>0</v>
      </c>
      <c r="AL998" t="str">
        <f>IF(AA998="","",IFERROR(IF(ISNUMBER('Procyflo 27TC'!E499),'Procyflo 27TC'!E499,IF(ISNUMBER(SEARCH("12",'Procyflo 27TC'!E499)),EDATE(AB998,12),IF(ISNUMBER(SEARCH("6",'Procyflo 27TC'!E499)),EDATE(AB998,6),IF(ISNUMBER(SEARCH("3",'Procyflo 27TC'!E499)),EDATE(AB998,3),DATEVALUE('Procyflo 27TC'!E499))))),""))</f>
        <v/>
      </c>
      <c r="AM998" t="str">
        <f t="shared" ca="1" si="112"/>
        <v/>
      </c>
    </row>
    <row r="999" spans="27:39" x14ac:dyDescent="0.3">
      <c r="AA999" t="str">
        <f>IF(COUNTA('Procyflo 27TC'!B500,'Procyflo 27TC'!C500,'Procyflo 27TC'!D500)&gt;0,"27TC","")</f>
        <v/>
      </c>
      <c r="AB999" t="str">
        <f>IFERROR(IF(ISNUMBER('Procyflo 27TC'!B500),'Procyflo 27TC'!B500,DATEVALUE('Procyflo 27TC'!B500)),"")</f>
        <v/>
      </c>
      <c r="AC999" t="str">
        <f>IF(AA999="","",'Procyflo 27TC'!C500)</f>
        <v/>
      </c>
      <c r="AD999" t="str">
        <f>IF(AA999="","",IFERROR(1*'Procyflo 27TC'!D500,IFERROR(_xludf.NUMBERVALUE('Procyflo 27TC'!D500,".",","),IFERROR(_xludf.NUMBERVALUE('Procyflo 27TC'!D500,",","."),0))))</f>
        <v/>
      </c>
      <c r="AE999" t="str">
        <f>IF(AA999="","",'Procyflo 27TC'!N500)</f>
        <v/>
      </c>
      <c r="AF999">
        <f t="shared" si="107"/>
        <v>0</v>
      </c>
      <c r="AG999" t="str">
        <f t="shared" si="108"/>
        <v/>
      </c>
      <c r="AH999" t="str">
        <f t="shared" si="109"/>
        <v/>
      </c>
      <c r="AI999">
        <f t="shared" si="110"/>
        <v>0</v>
      </c>
      <c r="AJ999">
        <f t="shared" si="111"/>
        <v>0</v>
      </c>
      <c r="AK999">
        <v>0</v>
      </c>
      <c r="AL999" t="str">
        <f>IF(AA999="","",IFERROR(IF(ISNUMBER('Procyflo 27TC'!E500),'Procyflo 27TC'!E500,IF(ISNUMBER(SEARCH("12",'Procyflo 27TC'!E500)),EDATE(AB999,12),IF(ISNUMBER(SEARCH("6",'Procyflo 27TC'!E500)),EDATE(AB999,6),IF(ISNUMBER(SEARCH("3",'Procyflo 27TC'!E500)),EDATE(AB999,3),DATEVALUE('Procyflo 27TC'!E500))))),""))</f>
        <v/>
      </c>
      <c r="AM999" t="str">
        <f t="shared" ca="1" si="112"/>
        <v/>
      </c>
    </row>
    <row r="1000" spans="27:39" x14ac:dyDescent="0.3">
      <c r="AA1000" t="str">
        <f>IF(COUNTA('Procyflo 27TC'!B501,'Procyflo 27TC'!C501,'Procyflo 27TC'!D501)&gt;0,"27TC","")</f>
        <v/>
      </c>
      <c r="AB1000" t="str">
        <f>IFERROR(IF(ISNUMBER('Procyflo 27TC'!B501),'Procyflo 27TC'!B501,DATEVALUE('Procyflo 27TC'!B501)),"")</f>
        <v/>
      </c>
      <c r="AC1000" t="str">
        <f>IF(AA1000="","",'Procyflo 27TC'!C501)</f>
        <v/>
      </c>
      <c r="AD1000" t="str">
        <f>IF(AA1000="","",IFERROR(1*'Procyflo 27TC'!D501,IFERROR(_xludf.NUMBERVALUE('Procyflo 27TC'!D501,".",","),IFERROR(_xludf.NUMBERVALUE('Procyflo 27TC'!D501,",","."),0))))</f>
        <v/>
      </c>
      <c r="AE1000" t="str">
        <f>IF(AA1000="","",'Procyflo 27TC'!N501)</f>
        <v/>
      </c>
      <c r="AF1000">
        <f t="shared" si="107"/>
        <v>0</v>
      </c>
      <c r="AG1000" t="str">
        <f t="shared" si="108"/>
        <v/>
      </c>
      <c r="AH1000" t="str">
        <f t="shared" si="109"/>
        <v/>
      </c>
      <c r="AI1000">
        <f t="shared" si="110"/>
        <v>0</v>
      </c>
      <c r="AJ1000">
        <f t="shared" si="111"/>
        <v>0</v>
      </c>
      <c r="AK1000">
        <v>0</v>
      </c>
      <c r="AL1000" t="str">
        <f>IF(AA1000="","",IFERROR(IF(ISNUMBER('Procyflo 27TC'!E501),'Procyflo 27TC'!E501,IF(ISNUMBER(SEARCH("12",'Procyflo 27TC'!E501)),EDATE(AB1000,12),IF(ISNUMBER(SEARCH("6",'Procyflo 27TC'!E501)),EDATE(AB1000,6),IF(ISNUMBER(SEARCH("3",'Procyflo 27TC'!E501)),EDATE(AB1000,3),DATEVALUE('Procyflo 27TC'!E501))))),""))</f>
        <v/>
      </c>
      <c r="AM1000" t="str">
        <f t="shared" ca="1" si="112"/>
        <v/>
      </c>
    </row>
    <row r="1001" spans="27:39" x14ac:dyDescent="0.3">
      <c r="AA1001" t="str">
        <f>IF(COUNTA('Procyflo 27TC'!B502,'Procyflo 27TC'!C502,'Procyflo 27TC'!D502)&gt;0,"27TC","")</f>
        <v/>
      </c>
      <c r="AB1001" t="str">
        <f>IFERROR(IF(ISNUMBER('Procyflo 27TC'!B502),'Procyflo 27TC'!B502,DATEVALUE('Procyflo 27TC'!B502)),"")</f>
        <v/>
      </c>
      <c r="AC1001" t="str">
        <f>IF(AA1001="","",'Procyflo 27TC'!C502)</f>
        <v/>
      </c>
      <c r="AD1001" t="str">
        <f>IF(AA1001="","",IFERROR(1*'Procyflo 27TC'!D502,IFERROR(_xludf.NUMBERVALUE('Procyflo 27TC'!D502,".",","),IFERROR(_xludf.NUMBERVALUE('Procyflo 27TC'!D502,",","."),0))))</f>
        <v/>
      </c>
      <c r="AE1001" t="str">
        <f>IF(AA1001="","",'Procyflo 27TC'!N502)</f>
        <v/>
      </c>
      <c r="AF1001">
        <f t="shared" si="107"/>
        <v>0</v>
      </c>
      <c r="AG1001" t="str">
        <f t="shared" si="108"/>
        <v/>
      </c>
      <c r="AH1001" t="str">
        <f t="shared" si="109"/>
        <v/>
      </c>
      <c r="AI1001">
        <f t="shared" si="110"/>
        <v>0</v>
      </c>
      <c r="AJ1001">
        <f t="shared" si="111"/>
        <v>0</v>
      </c>
      <c r="AK1001">
        <v>0</v>
      </c>
      <c r="AL1001" t="str">
        <f>IF(AA1001="","",IFERROR(IF(ISNUMBER('Procyflo 27TC'!E502),'Procyflo 27TC'!E502,IF(ISNUMBER(SEARCH("12",'Procyflo 27TC'!E502)),EDATE(AB1001,12),IF(ISNUMBER(SEARCH("6",'Procyflo 27TC'!E502)),EDATE(AB1001,6),IF(ISNUMBER(SEARCH("3",'Procyflo 27TC'!E502)),EDATE(AB1001,3),DATEVALUE('Procyflo 27TC'!E502))))),""))</f>
        <v/>
      </c>
      <c r="AM1001" t="str">
        <f t="shared" ca="1" si="112"/>
        <v/>
      </c>
    </row>
    <row r="1002" spans="27:39" x14ac:dyDescent="0.3">
      <c r="AA1002" t="str">
        <f>IF(COUNTA('Procyfloc 500'!A3,'Procyfloc 500'!B3,'Procyfloc 500'!C3)&gt;0,"500","")</f>
        <v>500</v>
      </c>
      <c r="AB1002">
        <f>IFERROR(IF(ISNUMBER('Procyfloc 500'!A3),'Procyfloc 500'!A3,DATEVALUE('Procyfloc 500'!A3)),"")</f>
        <v>45663</v>
      </c>
      <c r="AC1002" t="str">
        <f>IF(AA1002="","",'Procyfloc 500'!B3)</f>
        <v>8919/25</v>
      </c>
      <c r="AD1002">
        <f>IF(AA1002="","",IFERROR(1*'Procyfloc 500'!C3,IFERROR(_xludf.NUMBERVALUE('Procyfloc 500'!C3,".",","),IFERROR(_xludf.NUMBERVALUE('Procyfloc 500'!C3,",","."),0))))</f>
        <v>3000</v>
      </c>
      <c r="AE1002" t="str">
        <f>IF(AA1002="","",'Procyfloc 500'!L3)</f>
        <v>Aprovado</v>
      </c>
      <c r="AF1002">
        <f t="shared" si="107"/>
        <v>1</v>
      </c>
      <c r="AG1002">
        <f t="shared" si="108"/>
        <v>2025</v>
      </c>
      <c r="AH1002">
        <f t="shared" si="109"/>
        <v>1</v>
      </c>
      <c r="AI1002">
        <f t="shared" si="110"/>
        <v>45663.001001999997</v>
      </c>
      <c r="AJ1002">
        <f t="shared" si="111"/>
        <v>1</v>
      </c>
      <c r="AK1002">
        <v>0</v>
      </c>
      <c r="AL1002">
        <f>IF(AA1002="","",IFERROR(IF(ISNUMBER('Procyfloc 500'!D3),'Procyfloc 500'!D3,IF(ISNUMBER(SEARCH("12",'Procyfloc 500'!D3)),EDATE(AB1002,12),IF(ISNUMBER(SEARCH("6",'Procyfloc 500'!D3)),EDATE(AB1002,6),IF(ISNUMBER(SEARCH("3",'Procyfloc 500'!D3)),EDATE(AB1002,3),DATEVALUE('Procyfloc 500'!D3))))),""))</f>
        <v>46028</v>
      </c>
      <c r="AM1002" t="str">
        <f t="shared" ca="1" si="112"/>
        <v/>
      </c>
    </row>
    <row r="1003" spans="27:39" x14ac:dyDescent="0.3">
      <c r="AA1003" t="str">
        <f>IF(COUNTA('Procyfloc 500'!A4,'Procyfloc 500'!B4,'Procyfloc 500'!C4)&gt;0,"500","")</f>
        <v>500</v>
      </c>
      <c r="AB1003">
        <f>IFERROR(IF(ISNUMBER('Procyfloc 500'!A4),'Procyfloc 500'!A4,DATEVALUE('Procyfloc 500'!A4)),"")</f>
        <v>45692</v>
      </c>
      <c r="AC1003" t="str">
        <f>IF(AA1003="","",'Procyfloc 500'!B4)</f>
        <v>8969/25</v>
      </c>
      <c r="AD1003">
        <f>IF(AA1003="","",IFERROR(1*'Procyfloc 500'!C4,IFERROR(_xludf.NUMBERVALUE('Procyfloc 500'!C4,".",","),IFERROR(_xludf.NUMBERVALUE('Procyfloc 500'!C4,",","."),0))))</f>
        <v>2000</v>
      </c>
      <c r="AE1003" t="str">
        <f>IF(AA1003="","",'Procyfloc 500'!L4)</f>
        <v>Aprovado</v>
      </c>
      <c r="AF1003">
        <f t="shared" si="107"/>
        <v>1</v>
      </c>
      <c r="AG1003">
        <f t="shared" si="108"/>
        <v>2025</v>
      </c>
      <c r="AH1003">
        <f t="shared" si="109"/>
        <v>2</v>
      </c>
      <c r="AI1003">
        <f t="shared" si="110"/>
        <v>45692.001002999998</v>
      </c>
      <c r="AJ1003">
        <f t="shared" si="111"/>
        <v>1</v>
      </c>
      <c r="AK1003">
        <v>0</v>
      </c>
      <c r="AL1003">
        <f>IF(AA1003="","",IFERROR(IF(ISNUMBER('Procyfloc 500'!D4),'Procyfloc 500'!D4,IF(ISNUMBER(SEARCH("12",'Procyfloc 500'!D4)),EDATE(AB1003,12),IF(ISNUMBER(SEARCH("6",'Procyfloc 500'!D4)),EDATE(AB1003,6),IF(ISNUMBER(SEARCH("3",'Procyfloc 500'!D4)),EDATE(AB1003,3),DATEVALUE('Procyfloc 500'!D4))))),""))</f>
        <v>46057</v>
      </c>
      <c r="AM1003" t="str">
        <f t="shared" ca="1" si="112"/>
        <v/>
      </c>
    </row>
    <row r="1004" spans="27:39" x14ac:dyDescent="0.3">
      <c r="AA1004" t="str">
        <f>IF(COUNTA('Procyfloc 500'!A5,'Procyfloc 500'!B5,'Procyfloc 500'!C5)&gt;0,"500","")</f>
        <v>500</v>
      </c>
      <c r="AB1004">
        <f>IFERROR(IF(ISNUMBER('Procyfloc 500'!A5),'Procyfloc 500'!A5,DATEVALUE('Procyfloc 500'!A5)),"")</f>
        <v>45712</v>
      </c>
      <c r="AC1004" t="str">
        <f>IF(AA1004="","",'Procyfloc 500'!B5)</f>
        <v>8998/25</v>
      </c>
      <c r="AD1004">
        <f>IF(AA1004="","",IFERROR(1*'Procyfloc 500'!C5,IFERROR(_xludf.NUMBERVALUE('Procyfloc 500'!C5,".",","),IFERROR(_xludf.NUMBERVALUE('Procyfloc 500'!C5,",","."),0))))</f>
        <v>100</v>
      </c>
      <c r="AE1004" t="str">
        <f>IF(AA1004="","",'Procyfloc 500'!L5)</f>
        <v>Aprovado</v>
      </c>
      <c r="AF1004">
        <f t="shared" si="107"/>
        <v>1</v>
      </c>
      <c r="AG1004">
        <f t="shared" si="108"/>
        <v>2025</v>
      </c>
      <c r="AH1004">
        <f t="shared" si="109"/>
        <v>2</v>
      </c>
      <c r="AI1004">
        <f t="shared" si="110"/>
        <v>45712.001003999998</v>
      </c>
      <c r="AJ1004">
        <f t="shared" si="111"/>
        <v>1</v>
      </c>
      <c r="AK1004">
        <v>0</v>
      </c>
      <c r="AL1004">
        <f>IF(AA1004="","",IFERROR(IF(ISNUMBER('Procyfloc 500'!D5),'Procyfloc 500'!D5,IF(ISNUMBER(SEARCH("12",'Procyfloc 500'!D5)),EDATE(AB1004,12),IF(ISNUMBER(SEARCH("6",'Procyfloc 500'!D5)),EDATE(AB1004,6),IF(ISNUMBER(SEARCH("3",'Procyfloc 500'!D5)),EDATE(AB1004,3),DATEVALUE('Procyfloc 500'!D5))))),""))</f>
        <v>46077</v>
      </c>
      <c r="AM1004" t="str">
        <f t="shared" ca="1" si="112"/>
        <v/>
      </c>
    </row>
    <row r="1005" spans="27:39" x14ac:dyDescent="0.3">
      <c r="AA1005" t="str">
        <f>IF(COUNTA('Procyfloc 500'!A6,'Procyfloc 500'!B6,'Procyfloc 500'!C6)&gt;0,"500","")</f>
        <v>500</v>
      </c>
      <c r="AB1005">
        <f>IFERROR(IF(ISNUMBER('Procyfloc 500'!A6),'Procyfloc 500'!A6,DATEVALUE('Procyfloc 500'!A6)),"")</f>
        <v>45721</v>
      </c>
      <c r="AC1005" t="str">
        <f>IF(AA1005="","",'Procyfloc 500'!B6)</f>
        <v>9018/25</v>
      </c>
      <c r="AD1005">
        <f>IF(AA1005="","",IFERROR(1*'Procyfloc 500'!C6,IFERROR(_xludf.NUMBERVALUE('Procyfloc 500'!C6,".",","),IFERROR(_xludf.NUMBERVALUE('Procyfloc 500'!C6,",","."),0))))</f>
        <v>250</v>
      </c>
      <c r="AE1005" t="str">
        <f>IF(AA1005="","",'Procyfloc 500'!L6)</f>
        <v>Aprovado</v>
      </c>
      <c r="AF1005">
        <f t="shared" si="107"/>
        <v>1</v>
      </c>
      <c r="AG1005">
        <f t="shared" si="108"/>
        <v>2025</v>
      </c>
      <c r="AH1005">
        <f t="shared" si="109"/>
        <v>3</v>
      </c>
      <c r="AI1005">
        <f t="shared" si="110"/>
        <v>45721.001004999998</v>
      </c>
      <c r="AJ1005">
        <f t="shared" si="111"/>
        <v>1</v>
      </c>
      <c r="AK1005">
        <v>0</v>
      </c>
      <c r="AL1005">
        <f>IF(AA1005="","",IFERROR(IF(ISNUMBER('Procyfloc 500'!D6),'Procyfloc 500'!D6,IF(ISNUMBER(SEARCH("12",'Procyfloc 500'!D6)),EDATE(AB1005,12),IF(ISNUMBER(SEARCH("6",'Procyfloc 500'!D6)),EDATE(AB1005,6),IF(ISNUMBER(SEARCH("3",'Procyfloc 500'!D6)),EDATE(AB1005,3),DATEVALUE('Procyfloc 500'!D6))))),""))</f>
        <v>46086</v>
      </c>
      <c r="AM1005" t="str">
        <f t="shared" ca="1" si="112"/>
        <v/>
      </c>
    </row>
    <row r="1006" spans="27:39" x14ac:dyDescent="0.3">
      <c r="AA1006" t="str">
        <f>IF(COUNTA('Procyfloc 500'!A7,'Procyfloc 500'!B7,'Procyfloc 500'!C7)&gt;0,"500","")</f>
        <v>500</v>
      </c>
      <c r="AB1006">
        <f>IFERROR(IF(ISNUMBER('Procyfloc 500'!A7),'Procyfloc 500'!A7,DATEVALUE('Procyfloc 500'!A7)),"")</f>
        <v>45722</v>
      </c>
      <c r="AC1006" t="str">
        <f>IF(AA1006="","",'Procyfloc 500'!B7)</f>
        <v>9026/25</v>
      </c>
      <c r="AD1006">
        <f>IF(AA1006="","",IFERROR(1*'Procyfloc 500'!C7,IFERROR(_xludf.NUMBERVALUE('Procyfloc 500'!C7,".",","),IFERROR(_xludf.NUMBERVALUE('Procyfloc 500'!C7,",","."),0))))</f>
        <v>2000</v>
      </c>
      <c r="AE1006" t="str">
        <f>IF(AA1006="","",'Procyfloc 500'!L7)</f>
        <v>Aprovado</v>
      </c>
      <c r="AF1006">
        <f t="shared" si="107"/>
        <v>1</v>
      </c>
      <c r="AG1006">
        <f t="shared" si="108"/>
        <v>2025</v>
      </c>
      <c r="AH1006">
        <f t="shared" si="109"/>
        <v>3</v>
      </c>
      <c r="AI1006">
        <f t="shared" si="110"/>
        <v>45722.001005999999</v>
      </c>
      <c r="AJ1006">
        <f t="shared" si="111"/>
        <v>1</v>
      </c>
      <c r="AK1006">
        <v>0</v>
      </c>
      <c r="AL1006">
        <f>IF(AA1006="","",IFERROR(IF(ISNUMBER('Procyfloc 500'!D7),'Procyfloc 500'!D7,IF(ISNUMBER(SEARCH("12",'Procyfloc 500'!D7)),EDATE(AB1006,12),IF(ISNUMBER(SEARCH("6",'Procyfloc 500'!D7)),EDATE(AB1006,6),IF(ISNUMBER(SEARCH("3",'Procyfloc 500'!D7)),EDATE(AB1006,3),DATEVALUE('Procyfloc 500'!D7))))),""))</f>
        <v>46087</v>
      </c>
      <c r="AM1006" t="str">
        <f t="shared" ca="1" si="112"/>
        <v/>
      </c>
    </row>
    <row r="1007" spans="27:39" x14ac:dyDescent="0.3">
      <c r="AA1007" t="str">
        <f>IF(COUNTA('Procyfloc 500'!A8,'Procyfloc 500'!B8,'Procyfloc 500'!C8)&gt;0,"500","")</f>
        <v>500</v>
      </c>
      <c r="AB1007">
        <f>IFERROR(IF(ISNUMBER('Procyfloc 500'!A8),'Procyfloc 500'!A8,DATEVALUE('Procyfloc 500'!A8)),"")</f>
        <v>45726</v>
      </c>
      <c r="AC1007" t="str">
        <f>IF(AA1007="","",'Procyfloc 500'!B8)</f>
        <v>9028/25</v>
      </c>
      <c r="AD1007">
        <f>IF(AA1007="","",IFERROR(1*'Procyfloc 500'!C8,IFERROR(_xludf.NUMBERVALUE('Procyfloc 500'!C8,".",","),IFERROR(_xludf.NUMBERVALUE('Procyfloc 500'!C8,",","."),0))))</f>
        <v>1000</v>
      </c>
      <c r="AE1007" t="str">
        <f>IF(AA1007="","",'Procyfloc 500'!L8)</f>
        <v>Aprovado</v>
      </c>
      <c r="AF1007">
        <f t="shared" si="107"/>
        <v>1</v>
      </c>
      <c r="AG1007">
        <f t="shared" si="108"/>
        <v>2025</v>
      </c>
      <c r="AH1007">
        <f t="shared" si="109"/>
        <v>3</v>
      </c>
      <c r="AI1007">
        <f t="shared" si="110"/>
        <v>45726.001006999999</v>
      </c>
      <c r="AJ1007">
        <f t="shared" si="111"/>
        <v>1</v>
      </c>
      <c r="AK1007">
        <v>0</v>
      </c>
      <c r="AL1007">
        <f>IF(AA1007="","",IFERROR(IF(ISNUMBER('Procyfloc 500'!D8),'Procyfloc 500'!D8,IF(ISNUMBER(SEARCH("12",'Procyfloc 500'!D8)),EDATE(AB1007,12),IF(ISNUMBER(SEARCH("6",'Procyfloc 500'!D8)),EDATE(AB1007,6),IF(ISNUMBER(SEARCH("3",'Procyfloc 500'!D8)),EDATE(AB1007,3),DATEVALUE('Procyfloc 500'!D8))))),""))</f>
        <v>46091</v>
      </c>
      <c r="AM1007" t="str">
        <f t="shared" ca="1" si="112"/>
        <v/>
      </c>
    </row>
    <row r="1008" spans="27:39" x14ac:dyDescent="0.3">
      <c r="AA1008" t="str">
        <f>IF(COUNTA('Procyfloc 500'!A9,'Procyfloc 500'!B9,'Procyfloc 500'!C9)&gt;0,"500","")</f>
        <v>500</v>
      </c>
      <c r="AB1008">
        <f>IFERROR(IF(ISNUMBER('Procyfloc 500'!A9),'Procyfloc 500'!A9,DATEVALUE('Procyfloc 500'!A9)),"")</f>
        <v>45756</v>
      </c>
      <c r="AC1008" t="str">
        <f>IF(AA1008="","",'Procyfloc 500'!B9)</f>
        <v>9091/25</v>
      </c>
      <c r="AD1008">
        <f>IF(AA1008="","",IFERROR(1*'Procyfloc 500'!C9,IFERROR(_xludf.NUMBERVALUE('Procyfloc 500'!C9,".",","),IFERROR(_xludf.NUMBERVALUE('Procyfloc 500'!C9,",","."),0))))</f>
        <v>2000</v>
      </c>
      <c r="AE1008" t="str">
        <f>IF(AA1008="","",'Procyfloc 500'!L9)</f>
        <v>Aprovado</v>
      </c>
      <c r="AF1008">
        <f t="shared" si="107"/>
        <v>1</v>
      </c>
      <c r="AG1008">
        <f t="shared" si="108"/>
        <v>2025</v>
      </c>
      <c r="AH1008">
        <f t="shared" si="109"/>
        <v>4</v>
      </c>
      <c r="AI1008">
        <f t="shared" si="110"/>
        <v>45756.001007999999</v>
      </c>
      <c r="AJ1008">
        <f t="shared" si="111"/>
        <v>1</v>
      </c>
      <c r="AK1008">
        <v>0</v>
      </c>
      <c r="AL1008">
        <f>IF(AA1008="","",IFERROR(IF(ISNUMBER('Procyfloc 500'!D9),'Procyfloc 500'!D9,IF(ISNUMBER(SEARCH("12",'Procyfloc 500'!D9)),EDATE(AB1008,12),IF(ISNUMBER(SEARCH("6",'Procyfloc 500'!D9)),EDATE(AB1008,6),IF(ISNUMBER(SEARCH("3",'Procyfloc 500'!D9)),EDATE(AB1008,3),DATEVALUE('Procyfloc 500'!D9))))),""))</f>
        <v>46121</v>
      </c>
      <c r="AM1008" t="str">
        <f t="shared" ca="1" si="112"/>
        <v/>
      </c>
    </row>
    <row r="1009" spans="27:39" x14ac:dyDescent="0.3">
      <c r="AA1009" t="str">
        <f>IF(COUNTA('Procyfloc 500'!A10,'Procyfloc 500'!B10,'Procyfloc 500'!C10)&gt;0,"500","")</f>
        <v>500</v>
      </c>
      <c r="AB1009">
        <f>IFERROR(IF(ISNUMBER('Procyfloc 500'!A10),'Procyfloc 500'!A10,DATEVALUE('Procyfloc 500'!A10)),"")</f>
        <v>45775</v>
      </c>
      <c r="AC1009" t="str">
        <f>IF(AA1009="","",'Procyfloc 500'!B10)</f>
        <v>9123/25</v>
      </c>
      <c r="AD1009">
        <f>IF(AA1009="","",IFERROR(1*'Procyfloc 500'!C10,IFERROR(_xludf.NUMBERVALUE('Procyfloc 500'!C10,".",","),IFERROR(_xludf.NUMBERVALUE('Procyfloc 500'!C10,",","."),0))))</f>
        <v>2000</v>
      </c>
      <c r="AE1009" t="str">
        <f>IF(AA1009="","",'Procyfloc 500'!L10)</f>
        <v>Aprovado</v>
      </c>
      <c r="AF1009">
        <f t="shared" si="107"/>
        <v>1</v>
      </c>
      <c r="AG1009">
        <f t="shared" si="108"/>
        <v>2025</v>
      </c>
      <c r="AH1009">
        <f t="shared" si="109"/>
        <v>4</v>
      </c>
      <c r="AI1009">
        <f t="shared" si="110"/>
        <v>45775.001009</v>
      </c>
      <c r="AJ1009">
        <f t="shared" si="111"/>
        <v>1</v>
      </c>
      <c r="AK1009">
        <v>0</v>
      </c>
      <c r="AL1009">
        <f>IF(AA1009="","",IFERROR(IF(ISNUMBER('Procyfloc 500'!D10),'Procyfloc 500'!D10,IF(ISNUMBER(SEARCH("12",'Procyfloc 500'!D10)),EDATE(AB1009,12),IF(ISNUMBER(SEARCH("6",'Procyfloc 500'!D10)),EDATE(AB1009,6),IF(ISNUMBER(SEARCH("3",'Procyfloc 500'!D10)),EDATE(AB1009,3),DATEVALUE('Procyfloc 500'!D10))))),""))</f>
        <v>46140</v>
      </c>
      <c r="AM1009" t="str">
        <f t="shared" ca="1" si="112"/>
        <v/>
      </c>
    </row>
    <row r="1010" spans="27:39" x14ac:dyDescent="0.3">
      <c r="AA1010" t="str">
        <f>IF(COUNTA('Procyfloc 500'!A11,'Procyfloc 500'!B11,'Procyfloc 500'!C11)&gt;0,"500","")</f>
        <v>500</v>
      </c>
      <c r="AB1010">
        <f>IFERROR(IF(ISNUMBER('Procyfloc 500'!A11),'Procyfloc 500'!A11,DATEVALUE('Procyfloc 500'!A11)),"")</f>
        <v>45783</v>
      </c>
      <c r="AC1010" t="str">
        <f>IF(AA1010="","",'Procyfloc 500'!B11)</f>
        <v>9143/25</v>
      </c>
      <c r="AD1010">
        <f>IF(AA1010="","",IFERROR(1*'Procyfloc 500'!C11,IFERROR(_xludf.NUMBERVALUE('Procyfloc 500'!C11,".",","),IFERROR(_xludf.NUMBERVALUE('Procyfloc 500'!C11,",","."),0))))</f>
        <v>2000</v>
      </c>
      <c r="AE1010" t="str">
        <f>IF(AA1010="","",'Procyfloc 500'!L11)</f>
        <v>Aprovado</v>
      </c>
      <c r="AF1010">
        <f t="shared" si="107"/>
        <v>1</v>
      </c>
      <c r="AG1010">
        <f t="shared" si="108"/>
        <v>2025</v>
      </c>
      <c r="AH1010">
        <f t="shared" si="109"/>
        <v>5</v>
      </c>
      <c r="AI1010">
        <f t="shared" si="110"/>
        <v>45783.00101</v>
      </c>
      <c r="AJ1010">
        <f t="shared" si="111"/>
        <v>1</v>
      </c>
      <c r="AK1010">
        <v>0</v>
      </c>
      <c r="AL1010">
        <f>IF(AA1010="","",IFERROR(IF(ISNUMBER('Procyfloc 500'!D11),'Procyfloc 500'!D11,IF(ISNUMBER(SEARCH("12",'Procyfloc 500'!D11)),EDATE(AB1010,12),IF(ISNUMBER(SEARCH("6",'Procyfloc 500'!D11)),EDATE(AB1010,6),IF(ISNUMBER(SEARCH("3",'Procyfloc 500'!D11)),EDATE(AB1010,3),DATEVALUE('Procyfloc 500'!D11))))),""))</f>
        <v>46148</v>
      </c>
      <c r="AM1010" t="str">
        <f t="shared" ca="1" si="112"/>
        <v/>
      </c>
    </row>
    <row r="1011" spans="27:39" x14ac:dyDescent="0.3">
      <c r="AA1011" t="str">
        <f>IF(COUNTA('Procyfloc 500'!A12,'Procyfloc 500'!B12,'Procyfloc 500'!C12)&gt;0,"500","")</f>
        <v>500</v>
      </c>
      <c r="AB1011">
        <f>IFERROR(IF(ISNUMBER('Procyfloc 500'!A12),'Procyfloc 500'!A12,DATEVALUE('Procyfloc 500'!A12)),"")</f>
        <v>45814</v>
      </c>
      <c r="AC1011" t="str">
        <f>IF(AA1011="","",'Procyfloc 500'!B12)</f>
        <v>9206/25</v>
      </c>
      <c r="AD1011">
        <f>IF(AA1011="","",IFERROR(1*'Procyfloc 500'!C12,IFERROR(_xludf.NUMBERVALUE('Procyfloc 500'!C12,".",","),IFERROR(_xludf.NUMBERVALUE('Procyfloc 500'!C12,",","."),0))))</f>
        <v>2000</v>
      </c>
      <c r="AE1011" t="str">
        <f>IF(AA1011="","",'Procyfloc 500'!L12)</f>
        <v>Aprovado</v>
      </c>
      <c r="AF1011">
        <f t="shared" si="107"/>
        <v>1</v>
      </c>
      <c r="AG1011">
        <f t="shared" si="108"/>
        <v>2025</v>
      </c>
      <c r="AH1011">
        <f t="shared" si="109"/>
        <v>6</v>
      </c>
      <c r="AI1011">
        <f t="shared" si="110"/>
        <v>45814.001011</v>
      </c>
      <c r="AJ1011">
        <f t="shared" si="111"/>
        <v>1</v>
      </c>
      <c r="AK1011">
        <v>0</v>
      </c>
      <c r="AL1011">
        <f>IF(AA1011="","",IFERROR(IF(ISNUMBER('Procyfloc 500'!D12),'Procyfloc 500'!D12,IF(ISNUMBER(SEARCH("12",'Procyfloc 500'!D12)),EDATE(AB1011,12),IF(ISNUMBER(SEARCH("6",'Procyfloc 500'!D12)),EDATE(AB1011,6),IF(ISNUMBER(SEARCH("3",'Procyfloc 500'!D12)),EDATE(AB1011,3),DATEVALUE('Procyfloc 500'!D12))))),""))</f>
        <v>46179</v>
      </c>
      <c r="AM1011" t="str">
        <f t="shared" ca="1" si="112"/>
        <v/>
      </c>
    </row>
    <row r="1012" spans="27:39" x14ac:dyDescent="0.3">
      <c r="AA1012" t="str">
        <f>IF(COUNTA('Procyfloc 500'!A13,'Procyfloc 500'!B13,'Procyfloc 500'!C13)&gt;0,"500","")</f>
        <v>500</v>
      </c>
      <c r="AB1012">
        <f>IFERROR(IF(ISNUMBER('Procyfloc 500'!A13),'Procyfloc 500'!A13,DATEVALUE('Procyfloc 500'!A13)),"")</f>
        <v>45817</v>
      </c>
      <c r="AC1012" t="str">
        <f>IF(AA1012="","",'Procyfloc 500'!B13)</f>
        <v>9208/25</v>
      </c>
      <c r="AD1012">
        <f>IF(AA1012="","",IFERROR(1*'Procyfloc 500'!C13,IFERROR(_xludf.NUMBERVALUE('Procyfloc 500'!C13,".",","),IFERROR(_xludf.NUMBERVALUE('Procyfloc 500'!C13,",","."),0))))</f>
        <v>1000</v>
      </c>
      <c r="AE1012" t="str">
        <f>IF(AA1012="","",'Procyfloc 500'!L13)</f>
        <v>Aprovado</v>
      </c>
      <c r="AF1012">
        <f t="shared" si="107"/>
        <v>1</v>
      </c>
      <c r="AG1012">
        <f t="shared" si="108"/>
        <v>2025</v>
      </c>
      <c r="AH1012">
        <f t="shared" si="109"/>
        <v>6</v>
      </c>
      <c r="AI1012">
        <f t="shared" si="110"/>
        <v>45817.001012000001</v>
      </c>
      <c r="AJ1012">
        <f t="shared" si="111"/>
        <v>1</v>
      </c>
      <c r="AK1012">
        <v>0</v>
      </c>
      <c r="AL1012">
        <f>IF(AA1012="","",IFERROR(IF(ISNUMBER('Procyfloc 500'!D13),'Procyfloc 500'!D13,IF(ISNUMBER(SEARCH("12",'Procyfloc 500'!D13)),EDATE(AB1012,12),IF(ISNUMBER(SEARCH("6",'Procyfloc 500'!D13)),EDATE(AB1012,6),IF(ISNUMBER(SEARCH("3",'Procyfloc 500'!D13)),EDATE(AB1012,3),DATEVALUE('Procyfloc 500'!D13))))),""))</f>
        <v>46182</v>
      </c>
      <c r="AM1012" t="str">
        <f t="shared" ca="1" si="112"/>
        <v/>
      </c>
    </row>
    <row r="1013" spans="27:39" x14ac:dyDescent="0.3">
      <c r="AA1013" t="str">
        <f>IF(COUNTA('Procyfloc 500'!A14,'Procyfloc 500'!B14,'Procyfloc 500'!C14)&gt;0,"500","")</f>
        <v>500</v>
      </c>
      <c r="AB1013">
        <f>IFERROR(IF(ISNUMBER('Procyfloc 500'!A14),'Procyfloc 500'!A14,DATEVALUE('Procyfloc 500'!A14)),"")</f>
        <v>45812</v>
      </c>
      <c r="AC1013" t="str">
        <f>IF(AA1013="","",'Procyfloc 500'!B14)</f>
        <v>9254/25</v>
      </c>
      <c r="AD1013">
        <f>IF(AA1013="","",IFERROR(1*'Procyfloc 500'!C14,IFERROR(_xludf.NUMBERVALUE('Procyfloc 500'!C14,".",","),IFERROR(_xludf.NUMBERVALUE('Procyfloc 500'!C14,",","."),0))))</f>
        <v>2000</v>
      </c>
      <c r="AE1013" t="str">
        <f>IF(AA1013="","",'Procyfloc 500'!L14)</f>
        <v>Aprovado</v>
      </c>
      <c r="AF1013">
        <f t="shared" si="107"/>
        <v>1</v>
      </c>
      <c r="AG1013">
        <f t="shared" si="108"/>
        <v>2025</v>
      </c>
      <c r="AH1013">
        <f t="shared" si="109"/>
        <v>6</v>
      </c>
      <c r="AI1013">
        <f t="shared" si="110"/>
        <v>45812.001013000001</v>
      </c>
      <c r="AJ1013">
        <f t="shared" si="111"/>
        <v>1</v>
      </c>
      <c r="AK1013">
        <v>0</v>
      </c>
      <c r="AL1013">
        <f>IF(AA1013="","",IFERROR(IF(ISNUMBER('Procyfloc 500'!D14),'Procyfloc 500'!D14,IF(ISNUMBER(SEARCH("12",'Procyfloc 500'!D14)),EDATE(AB1013,12),IF(ISNUMBER(SEARCH("6",'Procyfloc 500'!D14)),EDATE(AB1013,6),IF(ISNUMBER(SEARCH("3",'Procyfloc 500'!D14)),EDATE(AB1013,3),DATEVALUE('Procyfloc 500'!D14))))),""))</f>
        <v>46177</v>
      </c>
      <c r="AM1013" t="str">
        <f t="shared" ca="1" si="112"/>
        <v/>
      </c>
    </row>
    <row r="1014" spans="27:39" x14ac:dyDescent="0.3">
      <c r="AA1014" t="str">
        <f>IF(COUNTA('Procyfloc 500'!A15,'Procyfloc 500'!B15,'Procyfloc 500'!C15)&gt;0,"500","")</f>
        <v>500</v>
      </c>
      <c r="AB1014">
        <f>IFERROR(IF(ISNUMBER('Procyfloc 500'!A15),'Procyfloc 500'!A15,DATEVALUE('Procyfloc 500'!A15)),"")</f>
        <v>45854</v>
      </c>
      <c r="AC1014" t="str">
        <f>IF(AA1014="","",'Procyfloc 500'!B15)</f>
        <v>9289/25</v>
      </c>
      <c r="AD1014">
        <f>IF(AA1014="","",IFERROR(1*'Procyfloc 500'!C15,IFERROR(_xludf.NUMBERVALUE('Procyfloc 500'!C15,".",","),IFERROR(_xludf.NUMBERVALUE('Procyfloc 500'!C15,",","."),0))))</f>
        <v>1000</v>
      </c>
      <c r="AE1014" t="str">
        <f>IF(AA1014="","",'Procyfloc 500'!L15)</f>
        <v>Aprovado</v>
      </c>
      <c r="AF1014">
        <f t="shared" si="107"/>
        <v>1</v>
      </c>
      <c r="AG1014">
        <f t="shared" si="108"/>
        <v>2025</v>
      </c>
      <c r="AH1014">
        <f t="shared" si="109"/>
        <v>7</v>
      </c>
      <c r="AI1014">
        <f t="shared" si="110"/>
        <v>45854.001014000001</v>
      </c>
      <c r="AJ1014">
        <f t="shared" si="111"/>
        <v>1</v>
      </c>
      <c r="AK1014">
        <v>0</v>
      </c>
      <c r="AL1014">
        <f>IF(AA1014="","",IFERROR(IF(ISNUMBER('Procyfloc 500'!D15),'Procyfloc 500'!D15,IF(ISNUMBER(SEARCH("12",'Procyfloc 500'!D15)),EDATE(AB1014,12),IF(ISNUMBER(SEARCH("6",'Procyfloc 500'!D15)),EDATE(AB1014,6),IF(ISNUMBER(SEARCH("3",'Procyfloc 500'!D15)),EDATE(AB1014,3),DATEVALUE('Procyfloc 500'!D15))))),""))</f>
        <v>46219</v>
      </c>
      <c r="AM1014" t="str">
        <f t="shared" ca="1" si="112"/>
        <v/>
      </c>
    </row>
    <row r="1015" spans="27:39" x14ac:dyDescent="0.3">
      <c r="AA1015" t="str">
        <f>IF(COUNTA('Procyfloc 500'!A16,'Procyfloc 500'!B16,'Procyfloc 500'!C16)&gt;0,"500","")</f>
        <v>500</v>
      </c>
      <c r="AB1015">
        <f>IFERROR(IF(ISNUMBER('Procyfloc 500'!A16),'Procyfloc 500'!A16,DATEVALUE('Procyfloc 500'!A16)),"")</f>
        <v>45861</v>
      </c>
      <c r="AC1015" t="str">
        <f>IF(AA1015="","",'Procyfloc 500'!B16)</f>
        <v>9304/25</v>
      </c>
      <c r="AD1015">
        <f>IF(AA1015="","",IFERROR(1*'Procyfloc 500'!C16,IFERROR(_xludf.NUMBERVALUE('Procyfloc 500'!C16,".",","),IFERROR(_xludf.NUMBERVALUE('Procyfloc 500'!C16,",","."),0))))</f>
        <v>2000</v>
      </c>
      <c r="AE1015" t="str">
        <f>IF(AA1015="","",'Procyfloc 500'!L16)</f>
        <v>Aprovado</v>
      </c>
      <c r="AF1015">
        <f t="shared" si="107"/>
        <v>1</v>
      </c>
      <c r="AG1015">
        <f t="shared" si="108"/>
        <v>2025</v>
      </c>
      <c r="AH1015">
        <f t="shared" si="109"/>
        <v>7</v>
      </c>
      <c r="AI1015">
        <f t="shared" si="110"/>
        <v>45861.001015000002</v>
      </c>
      <c r="AJ1015">
        <f t="shared" si="111"/>
        <v>1</v>
      </c>
      <c r="AK1015">
        <v>0</v>
      </c>
      <c r="AL1015">
        <f>IF(AA1015="","",IFERROR(IF(ISNUMBER('Procyfloc 500'!D16),'Procyfloc 500'!D16,IF(ISNUMBER(SEARCH("12",'Procyfloc 500'!D16)),EDATE(AB1015,12),IF(ISNUMBER(SEARCH("6",'Procyfloc 500'!D16)),EDATE(AB1015,6),IF(ISNUMBER(SEARCH("3",'Procyfloc 500'!D16)),EDATE(AB1015,3),DATEVALUE('Procyfloc 500'!D16))))),""))</f>
        <v>46226</v>
      </c>
      <c r="AM1015" t="str">
        <f t="shared" ca="1" si="112"/>
        <v/>
      </c>
    </row>
    <row r="1016" spans="27:39" x14ac:dyDescent="0.3">
      <c r="AA1016" t="str">
        <f>IF(COUNTA('Procyfloc 500'!A17,'Procyfloc 500'!B17,'Procyfloc 500'!C17)&gt;0,"500","")</f>
        <v>500</v>
      </c>
      <c r="AB1016">
        <f>IFERROR(IF(ISNUMBER('Procyfloc 500'!A17),'Procyfloc 500'!A17,DATEVALUE('Procyfloc 500'!A17)),"")</f>
        <v>45884</v>
      </c>
      <c r="AC1016" t="str">
        <f>IF(AA1016="","",'Procyfloc 500'!B17)</f>
        <v>9345/25</v>
      </c>
      <c r="AD1016">
        <f>IF(AA1016="","",IFERROR(1*'Procyfloc 500'!C17,IFERROR(_xludf.NUMBERVALUE('Procyfloc 500'!C17,".",","),IFERROR(_xludf.NUMBERVALUE('Procyfloc 500'!C17,",","."),0))))</f>
        <v>2000</v>
      </c>
      <c r="AE1016" t="str">
        <f>IF(AA1016="","",'Procyfloc 500'!L17)</f>
        <v>Aprovado</v>
      </c>
      <c r="AF1016">
        <f t="shared" si="107"/>
        <v>1</v>
      </c>
      <c r="AG1016">
        <f t="shared" si="108"/>
        <v>2025</v>
      </c>
      <c r="AH1016">
        <f t="shared" si="109"/>
        <v>8</v>
      </c>
      <c r="AI1016">
        <f t="shared" si="110"/>
        <v>45884.001016000002</v>
      </c>
      <c r="AJ1016">
        <f t="shared" si="111"/>
        <v>1</v>
      </c>
      <c r="AK1016">
        <v>0</v>
      </c>
      <c r="AL1016">
        <f>IF(AA1016="","",IFERROR(IF(ISNUMBER('Procyfloc 500'!D17),'Procyfloc 500'!D17,IF(ISNUMBER(SEARCH("12",'Procyfloc 500'!D17)),EDATE(AB1016,12),IF(ISNUMBER(SEARCH("6",'Procyfloc 500'!D17)),EDATE(AB1016,6),IF(ISNUMBER(SEARCH("3",'Procyfloc 500'!D17)),EDATE(AB1016,3),DATEVALUE('Procyfloc 500'!D17))))),""))</f>
        <v>46249</v>
      </c>
      <c r="AM1016" t="str">
        <f t="shared" ca="1" si="112"/>
        <v/>
      </c>
    </row>
    <row r="1017" spans="27:39" x14ac:dyDescent="0.3">
      <c r="AA1017" t="str">
        <f>IF(COUNTA('Procyfloc 500'!A18,'Procyfloc 500'!B18,'Procyfloc 500'!C18)&gt;0,"500","")</f>
        <v>500</v>
      </c>
      <c r="AB1017">
        <f>IFERROR(IF(ISNUMBER('Procyfloc 500'!A18),'Procyfloc 500'!A18,DATEVALUE('Procyfloc 500'!A18)),"")</f>
        <v>45929</v>
      </c>
      <c r="AC1017" t="str">
        <f>IF(AA1017="","",'Procyfloc 500'!B18)</f>
        <v>9438/25</v>
      </c>
      <c r="AD1017">
        <f>IF(AA1017="","",IFERROR(1*'Procyfloc 500'!C18,IFERROR(_xludf.NUMBERVALUE('Procyfloc 500'!C18,".",","),IFERROR(_xludf.NUMBERVALUE('Procyfloc 500'!C18,",","."),0))))</f>
        <v>2000</v>
      </c>
      <c r="AE1017" t="str">
        <f>IF(AA1017="","",'Procyfloc 500'!L18)</f>
        <v>Aprovado</v>
      </c>
      <c r="AF1017">
        <f t="shared" si="107"/>
        <v>1</v>
      </c>
      <c r="AG1017">
        <f t="shared" si="108"/>
        <v>2025</v>
      </c>
      <c r="AH1017">
        <f t="shared" si="109"/>
        <v>9</v>
      </c>
      <c r="AI1017">
        <f t="shared" si="110"/>
        <v>45929.001017000002</v>
      </c>
      <c r="AJ1017">
        <f t="shared" si="111"/>
        <v>1</v>
      </c>
      <c r="AK1017">
        <v>0</v>
      </c>
      <c r="AL1017">
        <f>IF(AA1017="","",IFERROR(IF(ISNUMBER('Procyfloc 500'!D18),'Procyfloc 500'!D18,IF(ISNUMBER(SEARCH("12",'Procyfloc 500'!D18)),EDATE(AB1017,12),IF(ISNUMBER(SEARCH("6",'Procyfloc 500'!D18)),EDATE(AB1017,6),IF(ISNUMBER(SEARCH("3",'Procyfloc 500'!D18)),EDATE(AB1017,3),DATEVALUE('Procyfloc 500'!D18))))),""))</f>
        <v>46294</v>
      </c>
      <c r="AM1017" t="str">
        <f t="shared" ca="1" si="112"/>
        <v/>
      </c>
    </row>
    <row r="1018" spans="27:39" x14ac:dyDescent="0.3">
      <c r="AA1018" t="str">
        <f>IF(COUNTA('Procyfloc 500'!A19,'Procyfloc 500'!B19,'Procyfloc 500'!C19)&gt;0,"500","")</f>
        <v>500</v>
      </c>
      <c r="AB1018">
        <f>IFERROR(IF(ISNUMBER('Procyfloc 500'!A19),'Procyfloc 500'!A19,DATEVALUE('Procyfloc 500'!A19)),"")</f>
        <v>45959</v>
      </c>
      <c r="AC1018" t="str">
        <f>IF(AA1018="","",'Procyfloc 500'!B19)</f>
        <v>9502/25</v>
      </c>
      <c r="AD1018">
        <f>IF(AA1018="","",IFERROR(1*'Procyfloc 500'!C19,IFERROR(_xludf.NUMBERVALUE('Procyfloc 500'!C19,".",","),IFERROR(_xludf.NUMBERVALUE('Procyfloc 500'!C19,",","."),0))))</f>
        <v>2000</v>
      </c>
      <c r="AE1018" t="str">
        <f>IF(AA1018="","",'Procyfloc 500'!L19)</f>
        <v>Aprovado</v>
      </c>
      <c r="AF1018">
        <f t="shared" si="107"/>
        <v>1</v>
      </c>
      <c r="AG1018">
        <f t="shared" si="108"/>
        <v>2025</v>
      </c>
      <c r="AH1018">
        <f t="shared" si="109"/>
        <v>10</v>
      </c>
      <c r="AI1018">
        <f t="shared" si="110"/>
        <v>45959.001018000003</v>
      </c>
      <c r="AJ1018">
        <f t="shared" si="111"/>
        <v>1</v>
      </c>
      <c r="AK1018">
        <v>0</v>
      </c>
      <c r="AL1018">
        <f>IF(AA1018="","",IFERROR(IF(ISNUMBER('Procyfloc 500'!D19),'Procyfloc 500'!D19,IF(ISNUMBER(SEARCH("12",'Procyfloc 500'!D19)),EDATE(AB1018,12),IF(ISNUMBER(SEARCH("6",'Procyfloc 500'!D19)),EDATE(AB1018,6),IF(ISNUMBER(SEARCH("3",'Procyfloc 500'!D19)),EDATE(AB1018,3),DATEVALUE('Procyfloc 500'!D19))))),""))</f>
        <v>46324</v>
      </c>
      <c r="AM1018" t="str">
        <f t="shared" ca="1" si="112"/>
        <v/>
      </c>
    </row>
    <row r="1019" spans="27:39" x14ac:dyDescent="0.3">
      <c r="AA1019" t="str">
        <f>IF(COUNTA('Procyfloc 500'!A20,'Procyfloc 500'!B20,'Procyfloc 500'!C20)&gt;0,"500","")</f>
        <v>500</v>
      </c>
      <c r="AB1019">
        <f>IFERROR(IF(ISNUMBER('Procyfloc 500'!A20),'Procyfloc 500'!A20,DATEVALUE('Procyfloc 500'!A20)),"")</f>
        <v>45985</v>
      </c>
      <c r="AC1019" t="str">
        <f>IF(AA1019="","",'Procyfloc 500'!B20)</f>
        <v>9556/25</v>
      </c>
      <c r="AD1019">
        <f>IF(AA1019="","",IFERROR(1*'Procyfloc 500'!C20,IFERROR(_xludf.NUMBERVALUE('Procyfloc 500'!C20,".",","),IFERROR(_xludf.NUMBERVALUE('Procyfloc 500'!C20,",","."),0))))</f>
        <v>2000</v>
      </c>
      <c r="AE1019" t="str">
        <f>IF(AA1019="","",'Procyfloc 500'!L20)</f>
        <v>Aprovado</v>
      </c>
      <c r="AF1019">
        <f t="shared" si="107"/>
        <v>1</v>
      </c>
      <c r="AG1019">
        <f t="shared" si="108"/>
        <v>2025</v>
      </c>
      <c r="AH1019">
        <f t="shared" si="109"/>
        <v>11</v>
      </c>
      <c r="AI1019">
        <f t="shared" si="110"/>
        <v>45985.001019000003</v>
      </c>
      <c r="AJ1019">
        <f t="shared" si="111"/>
        <v>1</v>
      </c>
      <c r="AK1019">
        <v>0</v>
      </c>
      <c r="AL1019">
        <f>IF(AA1019="","",IFERROR(IF(ISNUMBER('Procyfloc 500'!D20),'Procyfloc 500'!D20,IF(ISNUMBER(SEARCH("12",'Procyfloc 500'!D20)),EDATE(AB1019,12),IF(ISNUMBER(SEARCH("6",'Procyfloc 500'!D20)),EDATE(AB1019,6),IF(ISNUMBER(SEARCH("3",'Procyfloc 500'!D20)),EDATE(AB1019,3),DATEVALUE('Procyfloc 500'!D20))))),""))</f>
        <v>46350</v>
      </c>
      <c r="AM1019" t="str">
        <f t="shared" ca="1" si="112"/>
        <v/>
      </c>
    </row>
    <row r="1020" spans="27:39" x14ac:dyDescent="0.3">
      <c r="AA1020" t="str">
        <f>IF(COUNTA('Procyfloc 500'!A21,'Procyfloc 500'!B21,'Procyfloc 500'!C21)&gt;0,"500","")</f>
        <v>500</v>
      </c>
      <c r="AB1020">
        <f>IFERROR(IF(ISNUMBER('Procyfloc 500'!A21),'Procyfloc 500'!A21,DATEVALUE('Procyfloc 500'!A21)),"")</f>
        <v>46007</v>
      </c>
      <c r="AC1020" t="str">
        <f>IF(AA1020="","",'Procyfloc 500'!B21)</f>
        <v>9612/25</v>
      </c>
      <c r="AD1020">
        <f>IF(AA1020="","",IFERROR(1*'Procyfloc 500'!C21,IFERROR(_xludf.NUMBERVALUE('Procyfloc 500'!C21,".",","),IFERROR(_xludf.NUMBERVALUE('Procyfloc 500'!C21,",","."),0))))</f>
        <v>2000</v>
      </c>
      <c r="AE1020" t="str">
        <f>IF(AA1020="","",'Procyfloc 500'!L21)</f>
        <v>Aprovado</v>
      </c>
      <c r="AF1020">
        <f t="shared" si="107"/>
        <v>1</v>
      </c>
      <c r="AG1020">
        <f t="shared" si="108"/>
        <v>2025</v>
      </c>
      <c r="AH1020">
        <f t="shared" si="109"/>
        <v>12</v>
      </c>
      <c r="AI1020">
        <f t="shared" si="110"/>
        <v>46007.001020000003</v>
      </c>
      <c r="AJ1020">
        <f t="shared" si="111"/>
        <v>1</v>
      </c>
      <c r="AK1020">
        <v>0</v>
      </c>
      <c r="AL1020">
        <f>IF(AA1020="","",IFERROR(IF(ISNUMBER('Procyfloc 500'!D21),'Procyfloc 500'!D21,IF(ISNUMBER(SEARCH("12",'Procyfloc 500'!D21)),EDATE(AB1020,12),IF(ISNUMBER(SEARCH("6",'Procyfloc 500'!D21)),EDATE(AB1020,6),IF(ISNUMBER(SEARCH("3",'Procyfloc 500'!D21)),EDATE(AB1020,3),DATEVALUE('Procyfloc 500'!D21))))),""))</f>
        <v>46372</v>
      </c>
      <c r="AM1020" t="str">
        <f t="shared" ca="1" si="112"/>
        <v/>
      </c>
    </row>
    <row r="1021" spans="27:39" x14ac:dyDescent="0.3">
      <c r="AA1021" t="str">
        <f>IF(COUNTA('Procyfloc 500'!A22,'Procyfloc 500'!B22,'Procyfloc 500'!C22)&gt;0,"500","")</f>
        <v>500</v>
      </c>
      <c r="AB1021">
        <f>IFERROR(IF(ISNUMBER('Procyfloc 500'!A22),'Procyfloc 500'!A22,DATEVALUE('Procyfloc 500'!A22)),"")</f>
        <v>46035</v>
      </c>
      <c r="AC1021" t="str">
        <f>IF(AA1021="","",'Procyfloc 500'!B22)</f>
        <v>9651/26</v>
      </c>
      <c r="AD1021">
        <f>IF(AA1021="","",IFERROR(1*'Procyfloc 500'!C22,IFERROR(_xludf.NUMBERVALUE('Procyfloc 500'!C22,".",","),IFERROR(_xludf.NUMBERVALUE('Procyfloc 500'!C22,",","."),0))))</f>
        <v>2000</v>
      </c>
      <c r="AE1021" t="str">
        <f>IF(AA1021="","",'Procyfloc 500'!L22)</f>
        <v>Aprovado</v>
      </c>
      <c r="AF1021">
        <f t="shared" si="107"/>
        <v>1</v>
      </c>
      <c r="AG1021">
        <f t="shared" si="108"/>
        <v>2026</v>
      </c>
      <c r="AH1021">
        <f t="shared" si="109"/>
        <v>1</v>
      </c>
      <c r="AI1021">
        <f t="shared" si="110"/>
        <v>46035.001020999996</v>
      </c>
      <c r="AJ1021">
        <f t="shared" si="111"/>
        <v>1</v>
      </c>
      <c r="AK1021">
        <v>0</v>
      </c>
      <c r="AL1021">
        <f>IF(AA1021="","",IFERROR(IF(ISNUMBER('Procyfloc 500'!D22),'Procyfloc 500'!D22,IF(ISNUMBER(SEARCH("12",'Procyfloc 500'!D22)),EDATE(AB1021,12),IF(ISNUMBER(SEARCH("6",'Procyfloc 500'!D22)),EDATE(AB1021,6),IF(ISNUMBER(SEARCH("3",'Procyfloc 500'!D22)),EDATE(AB1021,3),DATEVALUE('Procyfloc 500'!D22))))),""))</f>
        <v>46400</v>
      </c>
      <c r="AM1021">
        <f t="shared" ca="1" si="112"/>
        <v>46400.001020999996</v>
      </c>
    </row>
    <row r="1022" spans="27:39" x14ac:dyDescent="0.3">
      <c r="AA1022" t="str">
        <f>IF(COUNTA('Procyfloc 500'!A23,'Procyfloc 500'!B23,'Procyfloc 500'!C23)&gt;0,"500","")</f>
        <v>500</v>
      </c>
      <c r="AB1022">
        <f>IFERROR(IF(ISNUMBER('Procyfloc 500'!A23),'Procyfloc 500'!A23,DATEVALUE('Procyfloc 500'!A23)),"")</f>
        <v>46062</v>
      </c>
      <c r="AC1022" t="str">
        <f>IF(AA1022="","",'Procyfloc 500'!B23)</f>
        <v>9706/26</v>
      </c>
      <c r="AD1022">
        <f>IF(AA1022="","",IFERROR(1*'Procyfloc 500'!C23,IFERROR(_xludf.NUMBERVALUE('Procyfloc 500'!C23,".",","),IFERROR(_xludf.NUMBERVALUE('Procyfloc 500'!C23,",","."),0))))</f>
        <v>2000</v>
      </c>
      <c r="AE1022" t="str">
        <f>IF(AA1022="","",'Procyfloc 500'!L23)</f>
        <v>Aprovado</v>
      </c>
      <c r="AF1022">
        <f t="shared" si="107"/>
        <v>1</v>
      </c>
      <c r="AG1022">
        <f t="shared" si="108"/>
        <v>2026</v>
      </c>
      <c r="AH1022">
        <f t="shared" si="109"/>
        <v>2</v>
      </c>
      <c r="AI1022">
        <f t="shared" si="110"/>
        <v>46062.001021999997</v>
      </c>
      <c r="AJ1022">
        <f t="shared" si="111"/>
        <v>1</v>
      </c>
      <c r="AK1022">
        <v>0</v>
      </c>
      <c r="AL1022">
        <f>IF(AA1022="","",IFERROR(IF(ISNUMBER('Procyfloc 500'!D23),'Procyfloc 500'!D23,IF(ISNUMBER(SEARCH("12",'Procyfloc 500'!D23)),EDATE(AB1022,12),IF(ISNUMBER(SEARCH("6",'Procyfloc 500'!D23)),EDATE(AB1022,6),IF(ISNUMBER(SEARCH("3",'Procyfloc 500'!D23)),EDATE(AB1022,3),DATEVALUE('Procyfloc 500'!D23))))),""))</f>
        <v>46427</v>
      </c>
      <c r="AM1022">
        <f t="shared" ca="1" si="112"/>
        <v>46427.001021999997</v>
      </c>
    </row>
    <row r="1023" spans="27:39" x14ac:dyDescent="0.3">
      <c r="AA1023" t="str">
        <f>IF(COUNTA('Procyfloc 500'!A24,'Procyfloc 500'!B24,'Procyfloc 500'!C24)&gt;0,"500","")</f>
        <v>500</v>
      </c>
      <c r="AB1023">
        <f>IFERROR(IF(ISNUMBER('Procyfloc 500'!A24),'Procyfloc 500'!A24,DATEVALUE('Procyfloc 500'!A24)),"")</f>
        <v>46084</v>
      </c>
      <c r="AC1023" t="str">
        <f>IF(AA1023="","",'Procyfloc 500'!B24)</f>
        <v>9742/26</v>
      </c>
      <c r="AD1023">
        <f>IF(AA1023="","",IFERROR(1*'Procyfloc 500'!C24,IFERROR(_xludf.NUMBERVALUE('Procyfloc 500'!C24,".",","),IFERROR(_xludf.NUMBERVALUE('Procyfloc 500'!C24,",","."),0))))</f>
        <v>2000</v>
      </c>
      <c r="AE1023" t="str">
        <f>IF(AA1023="","",'Procyfloc 500'!L24)</f>
        <v>Aprovado</v>
      </c>
      <c r="AF1023">
        <f t="shared" si="107"/>
        <v>1</v>
      </c>
      <c r="AG1023">
        <f t="shared" si="108"/>
        <v>2026</v>
      </c>
      <c r="AH1023">
        <f t="shared" si="109"/>
        <v>3</v>
      </c>
      <c r="AI1023">
        <f t="shared" si="110"/>
        <v>46084.001022999997</v>
      </c>
      <c r="AJ1023">
        <f t="shared" si="111"/>
        <v>1</v>
      </c>
      <c r="AK1023">
        <v>0</v>
      </c>
      <c r="AL1023">
        <f>IF(AA1023="","",IFERROR(IF(ISNUMBER('Procyfloc 500'!D24),'Procyfloc 500'!D24,IF(ISNUMBER(SEARCH("12",'Procyfloc 500'!D24)),EDATE(AB1023,12),IF(ISNUMBER(SEARCH("6",'Procyfloc 500'!D24)),EDATE(AB1023,6),IF(ISNUMBER(SEARCH("3",'Procyfloc 500'!D24)),EDATE(AB1023,3),DATEVALUE('Procyfloc 500'!D24))))),""))</f>
        <v>46449</v>
      </c>
      <c r="AM1023">
        <f t="shared" ca="1" si="112"/>
        <v>46449.001022999997</v>
      </c>
    </row>
    <row r="1024" spans="27:39" x14ac:dyDescent="0.3">
      <c r="AA1024" t="str">
        <f>IF(COUNTA('Procyfloc 500'!A25,'Procyfloc 500'!B25,'Procyfloc 500'!C25)&gt;0,"500","")</f>
        <v>500</v>
      </c>
      <c r="AB1024">
        <f>IFERROR(IF(ISNUMBER('Procyfloc 500'!A25),'Procyfloc 500'!A25,DATEVALUE('Procyfloc 500'!A25)),"")</f>
        <v>46108</v>
      </c>
      <c r="AC1024" t="str">
        <f>IF(AA1024="","",'Procyfloc 500'!B25)</f>
        <v>9801/26</v>
      </c>
      <c r="AD1024">
        <f>IF(AA1024="","",IFERROR(1*'Procyfloc 500'!C25,IFERROR(_xludf.NUMBERVALUE('Procyfloc 500'!C25,".",","),IFERROR(_xludf.NUMBERVALUE('Procyfloc 500'!C25,",","."),0))))</f>
        <v>2000</v>
      </c>
      <c r="AE1024" t="str">
        <f>IF(AA1024="","",'Procyfloc 500'!L25)</f>
        <v>Aprovado</v>
      </c>
      <c r="AF1024">
        <f t="shared" si="107"/>
        <v>1</v>
      </c>
      <c r="AG1024">
        <f t="shared" si="108"/>
        <v>2026</v>
      </c>
      <c r="AH1024">
        <f t="shared" si="109"/>
        <v>3</v>
      </c>
      <c r="AI1024">
        <f t="shared" si="110"/>
        <v>46108.001023999997</v>
      </c>
      <c r="AJ1024">
        <f t="shared" si="111"/>
        <v>1</v>
      </c>
      <c r="AK1024">
        <v>0</v>
      </c>
      <c r="AL1024">
        <f>IF(AA1024="","",IFERROR(IF(ISNUMBER('Procyfloc 500'!D25),'Procyfloc 500'!D25,IF(ISNUMBER(SEARCH("12",'Procyfloc 500'!D25)),EDATE(AB1024,12),IF(ISNUMBER(SEARCH("6",'Procyfloc 500'!D25)),EDATE(AB1024,6),IF(ISNUMBER(SEARCH("3",'Procyfloc 500'!D25)),EDATE(AB1024,3),DATEVALUE('Procyfloc 500'!D25))))),""))</f>
        <v>46473</v>
      </c>
      <c r="AM1024">
        <f t="shared" ca="1" si="112"/>
        <v>46473.001023999997</v>
      </c>
    </row>
    <row r="1025" spans="27:39" x14ac:dyDescent="0.3">
      <c r="AA1025" t="str">
        <f>IF(COUNTA('Procyfloc 500'!A26,'Procyfloc 500'!B26,'Procyfloc 500'!C26)&gt;0,"500","")</f>
        <v>500</v>
      </c>
      <c r="AB1025">
        <f>IFERROR(IF(ISNUMBER('Procyfloc 500'!A26),'Procyfloc 500'!A26,DATEVALUE('Procyfloc 500'!A26)),"")</f>
        <v>46136</v>
      </c>
      <c r="AC1025" t="str">
        <f>IF(AA1025="","",'Procyfloc 500'!B26)</f>
        <v>9871/26</v>
      </c>
      <c r="AD1025">
        <f>IF(AA1025="","",IFERROR(1*'Procyfloc 500'!C26,IFERROR(_xludf.NUMBERVALUE('Procyfloc 500'!C26,".",","),IFERROR(_xludf.NUMBERVALUE('Procyfloc 500'!C26,",","."),0))))</f>
        <v>2000</v>
      </c>
      <c r="AE1025" t="str">
        <f>IF(AA1025="","",'Procyfloc 500'!L26)</f>
        <v>Aprovado</v>
      </c>
      <c r="AF1025">
        <f t="shared" si="107"/>
        <v>1</v>
      </c>
      <c r="AG1025">
        <f t="shared" si="108"/>
        <v>2026</v>
      </c>
      <c r="AH1025">
        <f t="shared" si="109"/>
        <v>4</v>
      </c>
      <c r="AI1025">
        <f t="shared" si="110"/>
        <v>46136.001024999998</v>
      </c>
      <c r="AJ1025">
        <f t="shared" si="111"/>
        <v>1</v>
      </c>
      <c r="AK1025">
        <v>0</v>
      </c>
      <c r="AL1025">
        <f>IF(AA1025="","",IFERROR(IF(ISNUMBER('Procyfloc 500'!D26),'Procyfloc 500'!D26,IF(ISNUMBER(SEARCH("12",'Procyfloc 500'!D26)),EDATE(AB1025,12),IF(ISNUMBER(SEARCH("6",'Procyfloc 500'!D26)),EDATE(AB1025,6),IF(ISNUMBER(SEARCH("3",'Procyfloc 500'!D26)),EDATE(AB1025,3),DATEVALUE('Procyfloc 500'!D26))))),""))</f>
        <v>46501</v>
      </c>
      <c r="AM1025">
        <f t="shared" ca="1" si="112"/>
        <v>46501.001024999998</v>
      </c>
    </row>
    <row r="1026" spans="27:39" x14ac:dyDescent="0.3">
      <c r="AA1026" t="str">
        <f>IF(COUNTA('Procyfloc 500'!A27,'Procyfloc 500'!B27,'Procyfloc 500'!C27)&gt;0,"500","")</f>
        <v>500</v>
      </c>
      <c r="AB1026">
        <f>IFERROR(IF(ISNUMBER('Procyfloc 500'!A27),'Procyfloc 500'!A27,DATEVALUE('Procyfloc 500'!A27)),"")</f>
        <v>46157</v>
      </c>
      <c r="AC1026" t="str">
        <f>IF(AA1026="","",'Procyfloc 500'!B27)</f>
        <v>9913/26</v>
      </c>
      <c r="AD1026">
        <f>IF(AA1026="","",IFERROR(1*'Procyfloc 500'!C27,IFERROR(_xludf.NUMBERVALUE('Procyfloc 500'!C27,".",","),IFERROR(_xludf.NUMBERVALUE('Procyfloc 500'!C27,",","."),0))))</f>
        <v>2000</v>
      </c>
      <c r="AE1026" t="str">
        <f>IF(AA1026="","",'Procyfloc 500'!L27)</f>
        <v>Aprovado</v>
      </c>
      <c r="AF1026">
        <f t="shared" ref="AF1026:AF1089" si="113">IF(AA1026="",0,--AND(ISNUMBER(SEARCH("aprov",AE1026)),NOT(ISNUMBER(SEARCH("reprov",AE1026)))))</f>
        <v>1</v>
      </c>
      <c r="AG1026">
        <f t="shared" ref="AG1026:AG1089" si="114">IF(AB1026="","",YEAR(AB1026))</f>
        <v>2026</v>
      </c>
      <c r="AH1026">
        <f t="shared" ref="AH1026:AH1089" si="115">IF(AB1026="","",MONTH(AB1026))</f>
        <v>5</v>
      </c>
      <c r="AI1026">
        <f t="shared" ref="AI1026:AI1089" si="116">IF(AB1026="",0,AB1026+ROW()/1000000)</f>
        <v>46157.001025999998</v>
      </c>
      <c r="AJ1026">
        <f t="shared" ref="AJ1026:AJ1089" si="117">--(AA1026&lt;&gt;"")</f>
        <v>1</v>
      </c>
      <c r="AK1026">
        <v>0</v>
      </c>
      <c r="AL1026">
        <f>IF(AA1026="","",IFERROR(IF(ISNUMBER('Procyfloc 500'!D27),'Procyfloc 500'!D27,IF(ISNUMBER(SEARCH("12",'Procyfloc 500'!D27)),EDATE(AB1026,12),IF(ISNUMBER(SEARCH("6",'Procyfloc 500'!D27)),EDATE(AB1026,6),IF(ISNUMBER(SEARCH("3",'Procyfloc 500'!D27)),EDATE(AB1026,3),DATEVALUE('Procyfloc 500'!D27))))),""))</f>
        <v>46522</v>
      </c>
      <c r="AM1026">
        <f t="shared" ref="AM1026:AM1089" ca="1" si="118">IF(AND(AJ1026=1,AL1026&lt;&gt;"",AL1026&gt;=TODAY(),AG1026=$W$3),AL1026+ROW()/1000000,"")</f>
        <v>46522.001025999998</v>
      </c>
    </row>
    <row r="1027" spans="27:39" x14ac:dyDescent="0.3">
      <c r="AA1027" t="str">
        <f>IF(COUNTA('Procyfloc 500'!A28,'Procyfloc 500'!B28,'Procyfloc 500'!C28)&gt;0,"500","")</f>
        <v/>
      </c>
      <c r="AB1027" t="str">
        <f>IFERROR(IF(ISNUMBER('Procyfloc 500'!A28),'Procyfloc 500'!A28,DATEVALUE('Procyfloc 500'!A28)),"")</f>
        <v/>
      </c>
      <c r="AC1027" t="str">
        <f>IF(AA1027="","",'Procyfloc 500'!B28)</f>
        <v/>
      </c>
      <c r="AD1027" t="str">
        <f>IF(AA1027="","",IFERROR(1*'Procyfloc 500'!C28,IFERROR(_xludf.NUMBERVALUE('Procyfloc 500'!C28,".",","),IFERROR(_xludf.NUMBERVALUE('Procyfloc 500'!C28,",","."),0))))</f>
        <v/>
      </c>
      <c r="AE1027" t="str">
        <f>IF(AA1027="","",'Procyfloc 500'!L28)</f>
        <v/>
      </c>
      <c r="AF1027">
        <f t="shared" si="113"/>
        <v>0</v>
      </c>
      <c r="AG1027" t="str">
        <f t="shared" si="114"/>
        <v/>
      </c>
      <c r="AH1027" t="str">
        <f t="shared" si="115"/>
        <v/>
      </c>
      <c r="AI1027">
        <f t="shared" si="116"/>
        <v>0</v>
      </c>
      <c r="AJ1027">
        <f t="shared" si="117"/>
        <v>0</v>
      </c>
      <c r="AK1027">
        <v>0</v>
      </c>
      <c r="AL1027" t="str">
        <f>IF(AA1027="","",IFERROR(IF(ISNUMBER('Procyfloc 500'!D28),'Procyfloc 500'!D28,IF(ISNUMBER(SEARCH("12",'Procyfloc 500'!D28)),EDATE(AB1027,12),IF(ISNUMBER(SEARCH("6",'Procyfloc 500'!D28)),EDATE(AB1027,6),IF(ISNUMBER(SEARCH("3",'Procyfloc 500'!D28)),EDATE(AB1027,3),DATEVALUE('Procyfloc 500'!D28))))),""))</f>
        <v/>
      </c>
      <c r="AM1027" t="str">
        <f t="shared" ca="1" si="118"/>
        <v/>
      </c>
    </row>
    <row r="1028" spans="27:39" x14ac:dyDescent="0.3">
      <c r="AA1028" t="str">
        <f>IF(COUNTA('Procyfloc 500'!A29,'Procyfloc 500'!B29,'Procyfloc 500'!C29)&gt;0,"500","")</f>
        <v/>
      </c>
      <c r="AB1028" t="str">
        <f>IFERROR(IF(ISNUMBER('Procyfloc 500'!A29),'Procyfloc 500'!A29,DATEVALUE('Procyfloc 500'!A29)),"")</f>
        <v/>
      </c>
      <c r="AC1028" t="str">
        <f>IF(AA1028="","",'Procyfloc 500'!B29)</f>
        <v/>
      </c>
      <c r="AD1028" t="str">
        <f>IF(AA1028="","",IFERROR(1*'Procyfloc 500'!C29,IFERROR(_xludf.NUMBERVALUE('Procyfloc 500'!C29,".",","),IFERROR(_xludf.NUMBERVALUE('Procyfloc 500'!C29,",","."),0))))</f>
        <v/>
      </c>
      <c r="AE1028" t="str">
        <f>IF(AA1028="","",'Procyfloc 500'!L29)</f>
        <v/>
      </c>
      <c r="AF1028">
        <f t="shared" si="113"/>
        <v>0</v>
      </c>
      <c r="AG1028" t="str">
        <f t="shared" si="114"/>
        <v/>
      </c>
      <c r="AH1028" t="str">
        <f t="shared" si="115"/>
        <v/>
      </c>
      <c r="AI1028">
        <f t="shared" si="116"/>
        <v>0</v>
      </c>
      <c r="AJ1028">
        <f t="shared" si="117"/>
        <v>0</v>
      </c>
      <c r="AK1028">
        <v>0</v>
      </c>
      <c r="AL1028" t="str">
        <f>IF(AA1028="","",IFERROR(IF(ISNUMBER('Procyfloc 500'!D29),'Procyfloc 500'!D29,IF(ISNUMBER(SEARCH("12",'Procyfloc 500'!D29)),EDATE(AB1028,12),IF(ISNUMBER(SEARCH("6",'Procyfloc 500'!D29)),EDATE(AB1028,6),IF(ISNUMBER(SEARCH("3",'Procyfloc 500'!D29)),EDATE(AB1028,3),DATEVALUE('Procyfloc 500'!D29))))),""))</f>
        <v/>
      </c>
      <c r="AM1028" t="str">
        <f t="shared" ca="1" si="118"/>
        <v/>
      </c>
    </row>
    <row r="1029" spans="27:39" x14ac:dyDescent="0.3">
      <c r="AA1029" t="str">
        <f>IF(COUNTA('Procyfloc 500'!A30,'Procyfloc 500'!B30,'Procyfloc 500'!C30)&gt;0,"500","")</f>
        <v/>
      </c>
      <c r="AB1029" t="str">
        <f>IFERROR(IF(ISNUMBER('Procyfloc 500'!A30),'Procyfloc 500'!A30,DATEVALUE('Procyfloc 500'!A30)),"")</f>
        <v/>
      </c>
      <c r="AC1029" t="str">
        <f>IF(AA1029="","",'Procyfloc 500'!B30)</f>
        <v/>
      </c>
      <c r="AD1029" t="str">
        <f>IF(AA1029="","",IFERROR(1*'Procyfloc 500'!C30,IFERROR(_xludf.NUMBERVALUE('Procyfloc 500'!C30,".",","),IFERROR(_xludf.NUMBERVALUE('Procyfloc 500'!C30,",","."),0))))</f>
        <v/>
      </c>
      <c r="AE1029" t="str">
        <f>IF(AA1029="","",'Procyfloc 500'!L30)</f>
        <v/>
      </c>
      <c r="AF1029">
        <f t="shared" si="113"/>
        <v>0</v>
      </c>
      <c r="AG1029" t="str">
        <f t="shared" si="114"/>
        <v/>
      </c>
      <c r="AH1029" t="str">
        <f t="shared" si="115"/>
        <v/>
      </c>
      <c r="AI1029">
        <f t="shared" si="116"/>
        <v>0</v>
      </c>
      <c r="AJ1029">
        <f t="shared" si="117"/>
        <v>0</v>
      </c>
      <c r="AK1029">
        <v>0</v>
      </c>
      <c r="AL1029" t="str">
        <f>IF(AA1029="","",IFERROR(IF(ISNUMBER('Procyfloc 500'!D30),'Procyfloc 500'!D30,IF(ISNUMBER(SEARCH("12",'Procyfloc 500'!D30)),EDATE(AB1029,12),IF(ISNUMBER(SEARCH("6",'Procyfloc 500'!D30)),EDATE(AB1029,6),IF(ISNUMBER(SEARCH("3",'Procyfloc 500'!D30)),EDATE(AB1029,3),DATEVALUE('Procyfloc 500'!D30))))),""))</f>
        <v/>
      </c>
      <c r="AM1029" t="str">
        <f t="shared" ca="1" si="118"/>
        <v/>
      </c>
    </row>
    <row r="1030" spans="27:39" x14ac:dyDescent="0.3">
      <c r="AA1030" t="str">
        <f>IF(COUNTA('Procyfloc 500'!A31,'Procyfloc 500'!B31,'Procyfloc 500'!C31)&gt;0,"500","")</f>
        <v/>
      </c>
      <c r="AB1030" t="str">
        <f>IFERROR(IF(ISNUMBER('Procyfloc 500'!A31),'Procyfloc 500'!A31,DATEVALUE('Procyfloc 500'!A31)),"")</f>
        <v/>
      </c>
      <c r="AC1030" t="str">
        <f>IF(AA1030="","",'Procyfloc 500'!B31)</f>
        <v/>
      </c>
      <c r="AD1030" t="str">
        <f>IF(AA1030="","",IFERROR(1*'Procyfloc 500'!C31,IFERROR(_xludf.NUMBERVALUE('Procyfloc 500'!C31,".",","),IFERROR(_xludf.NUMBERVALUE('Procyfloc 500'!C31,",","."),0))))</f>
        <v/>
      </c>
      <c r="AE1030" t="str">
        <f>IF(AA1030="","",'Procyfloc 500'!L31)</f>
        <v/>
      </c>
      <c r="AF1030">
        <f t="shared" si="113"/>
        <v>0</v>
      </c>
      <c r="AG1030" t="str">
        <f t="shared" si="114"/>
        <v/>
      </c>
      <c r="AH1030" t="str">
        <f t="shared" si="115"/>
        <v/>
      </c>
      <c r="AI1030">
        <f t="shared" si="116"/>
        <v>0</v>
      </c>
      <c r="AJ1030">
        <f t="shared" si="117"/>
        <v>0</v>
      </c>
      <c r="AK1030">
        <v>0</v>
      </c>
      <c r="AL1030" t="str">
        <f>IF(AA1030="","",IFERROR(IF(ISNUMBER('Procyfloc 500'!D31),'Procyfloc 500'!D31,IF(ISNUMBER(SEARCH("12",'Procyfloc 500'!D31)),EDATE(AB1030,12),IF(ISNUMBER(SEARCH("6",'Procyfloc 500'!D31)),EDATE(AB1030,6),IF(ISNUMBER(SEARCH("3",'Procyfloc 500'!D31)),EDATE(AB1030,3),DATEVALUE('Procyfloc 500'!D31))))),""))</f>
        <v/>
      </c>
      <c r="AM1030" t="str">
        <f t="shared" ca="1" si="118"/>
        <v/>
      </c>
    </row>
    <row r="1031" spans="27:39" x14ac:dyDescent="0.3">
      <c r="AA1031" t="str">
        <f>IF(COUNTA('Procyfloc 500'!A32,'Procyfloc 500'!B32,'Procyfloc 500'!C32)&gt;0,"500","")</f>
        <v/>
      </c>
      <c r="AB1031" t="str">
        <f>IFERROR(IF(ISNUMBER('Procyfloc 500'!A32),'Procyfloc 500'!A32,DATEVALUE('Procyfloc 500'!A32)),"")</f>
        <v/>
      </c>
      <c r="AC1031" t="str">
        <f>IF(AA1031="","",'Procyfloc 500'!B32)</f>
        <v/>
      </c>
      <c r="AD1031" t="str">
        <f>IF(AA1031="","",IFERROR(1*'Procyfloc 500'!C32,IFERROR(_xludf.NUMBERVALUE('Procyfloc 500'!C32,".",","),IFERROR(_xludf.NUMBERVALUE('Procyfloc 500'!C32,",","."),0))))</f>
        <v/>
      </c>
      <c r="AE1031" t="str">
        <f>IF(AA1031="","",'Procyfloc 500'!L32)</f>
        <v/>
      </c>
      <c r="AF1031">
        <f t="shared" si="113"/>
        <v>0</v>
      </c>
      <c r="AG1031" t="str">
        <f t="shared" si="114"/>
        <v/>
      </c>
      <c r="AH1031" t="str">
        <f t="shared" si="115"/>
        <v/>
      </c>
      <c r="AI1031">
        <f t="shared" si="116"/>
        <v>0</v>
      </c>
      <c r="AJ1031">
        <f t="shared" si="117"/>
        <v>0</v>
      </c>
      <c r="AK1031">
        <v>0</v>
      </c>
      <c r="AL1031" t="str">
        <f>IF(AA1031="","",IFERROR(IF(ISNUMBER('Procyfloc 500'!D32),'Procyfloc 500'!D32,IF(ISNUMBER(SEARCH("12",'Procyfloc 500'!D32)),EDATE(AB1031,12),IF(ISNUMBER(SEARCH("6",'Procyfloc 500'!D32)),EDATE(AB1031,6),IF(ISNUMBER(SEARCH("3",'Procyfloc 500'!D32)),EDATE(AB1031,3),DATEVALUE('Procyfloc 500'!D32))))),""))</f>
        <v/>
      </c>
      <c r="AM1031" t="str">
        <f t="shared" ca="1" si="118"/>
        <v/>
      </c>
    </row>
    <row r="1032" spans="27:39" x14ac:dyDescent="0.3">
      <c r="AA1032" t="str">
        <f>IF(COUNTA('Procyfloc 500'!A33,'Procyfloc 500'!B33,'Procyfloc 500'!C33)&gt;0,"500","")</f>
        <v/>
      </c>
      <c r="AB1032" t="str">
        <f>IFERROR(IF(ISNUMBER('Procyfloc 500'!A33),'Procyfloc 500'!A33,DATEVALUE('Procyfloc 500'!A33)),"")</f>
        <v/>
      </c>
      <c r="AC1032" t="str">
        <f>IF(AA1032="","",'Procyfloc 500'!B33)</f>
        <v/>
      </c>
      <c r="AD1032" t="str">
        <f>IF(AA1032="","",IFERROR(1*'Procyfloc 500'!C33,IFERROR(_xludf.NUMBERVALUE('Procyfloc 500'!C33,".",","),IFERROR(_xludf.NUMBERVALUE('Procyfloc 500'!C33,",","."),0))))</f>
        <v/>
      </c>
      <c r="AE1032" t="str">
        <f>IF(AA1032="","",'Procyfloc 500'!L33)</f>
        <v/>
      </c>
      <c r="AF1032">
        <f t="shared" si="113"/>
        <v>0</v>
      </c>
      <c r="AG1032" t="str">
        <f t="shared" si="114"/>
        <v/>
      </c>
      <c r="AH1032" t="str">
        <f t="shared" si="115"/>
        <v/>
      </c>
      <c r="AI1032">
        <f t="shared" si="116"/>
        <v>0</v>
      </c>
      <c r="AJ1032">
        <f t="shared" si="117"/>
        <v>0</v>
      </c>
      <c r="AK1032">
        <v>0</v>
      </c>
      <c r="AL1032" t="str">
        <f>IF(AA1032="","",IFERROR(IF(ISNUMBER('Procyfloc 500'!D33),'Procyfloc 500'!D33,IF(ISNUMBER(SEARCH("12",'Procyfloc 500'!D33)),EDATE(AB1032,12),IF(ISNUMBER(SEARCH("6",'Procyfloc 500'!D33)),EDATE(AB1032,6),IF(ISNUMBER(SEARCH("3",'Procyfloc 500'!D33)),EDATE(AB1032,3),DATEVALUE('Procyfloc 500'!D33))))),""))</f>
        <v/>
      </c>
      <c r="AM1032" t="str">
        <f t="shared" ca="1" si="118"/>
        <v/>
      </c>
    </row>
    <row r="1033" spans="27:39" x14ac:dyDescent="0.3">
      <c r="AA1033" t="str">
        <f>IF(COUNTA('Procyfloc 500'!A34,'Procyfloc 500'!B34,'Procyfloc 500'!C34)&gt;0,"500","")</f>
        <v/>
      </c>
      <c r="AB1033" t="str">
        <f>IFERROR(IF(ISNUMBER('Procyfloc 500'!A34),'Procyfloc 500'!A34,DATEVALUE('Procyfloc 500'!A34)),"")</f>
        <v/>
      </c>
      <c r="AC1033" t="str">
        <f>IF(AA1033="","",'Procyfloc 500'!B34)</f>
        <v/>
      </c>
      <c r="AD1033" t="str">
        <f>IF(AA1033="","",IFERROR(1*'Procyfloc 500'!C34,IFERROR(_xludf.NUMBERVALUE('Procyfloc 500'!C34,".",","),IFERROR(_xludf.NUMBERVALUE('Procyfloc 500'!C34,",","."),0))))</f>
        <v/>
      </c>
      <c r="AE1033" t="str">
        <f>IF(AA1033="","",'Procyfloc 500'!L34)</f>
        <v/>
      </c>
      <c r="AF1033">
        <f t="shared" si="113"/>
        <v>0</v>
      </c>
      <c r="AG1033" t="str">
        <f t="shared" si="114"/>
        <v/>
      </c>
      <c r="AH1033" t="str">
        <f t="shared" si="115"/>
        <v/>
      </c>
      <c r="AI1033">
        <f t="shared" si="116"/>
        <v>0</v>
      </c>
      <c r="AJ1033">
        <f t="shared" si="117"/>
        <v>0</v>
      </c>
      <c r="AK1033">
        <v>0</v>
      </c>
      <c r="AL1033" t="str">
        <f>IF(AA1033="","",IFERROR(IF(ISNUMBER('Procyfloc 500'!D34),'Procyfloc 500'!D34,IF(ISNUMBER(SEARCH("12",'Procyfloc 500'!D34)),EDATE(AB1033,12),IF(ISNUMBER(SEARCH("6",'Procyfloc 500'!D34)),EDATE(AB1033,6),IF(ISNUMBER(SEARCH("3",'Procyfloc 500'!D34)),EDATE(AB1033,3),DATEVALUE('Procyfloc 500'!D34))))),""))</f>
        <v/>
      </c>
      <c r="AM1033" t="str">
        <f t="shared" ca="1" si="118"/>
        <v/>
      </c>
    </row>
    <row r="1034" spans="27:39" x14ac:dyDescent="0.3">
      <c r="AA1034" t="str">
        <f>IF(COUNTA('Procyfloc 500'!A35,'Procyfloc 500'!B35,'Procyfloc 500'!C35)&gt;0,"500","")</f>
        <v/>
      </c>
      <c r="AB1034" t="str">
        <f>IFERROR(IF(ISNUMBER('Procyfloc 500'!A35),'Procyfloc 500'!A35,DATEVALUE('Procyfloc 500'!A35)),"")</f>
        <v/>
      </c>
      <c r="AC1034" t="str">
        <f>IF(AA1034="","",'Procyfloc 500'!B35)</f>
        <v/>
      </c>
      <c r="AD1034" t="str">
        <f>IF(AA1034="","",IFERROR(1*'Procyfloc 500'!C35,IFERROR(_xludf.NUMBERVALUE('Procyfloc 500'!C35,".",","),IFERROR(_xludf.NUMBERVALUE('Procyfloc 500'!C35,",","."),0))))</f>
        <v/>
      </c>
      <c r="AE1034" t="str">
        <f>IF(AA1034="","",'Procyfloc 500'!L35)</f>
        <v/>
      </c>
      <c r="AF1034">
        <f t="shared" si="113"/>
        <v>0</v>
      </c>
      <c r="AG1034" t="str">
        <f t="shared" si="114"/>
        <v/>
      </c>
      <c r="AH1034" t="str">
        <f t="shared" si="115"/>
        <v/>
      </c>
      <c r="AI1034">
        <f t="shared" si="116"/>
        <v>0</v>
      </c>
      <c r="AJ1034">
        <f t="shared" si="117"/>
        <v>0</v>
      </c>
      <c r="AK1034">
        <v>0</v>
      </c>
      <c r="AL1034" t="str">
        <f>IF(AA1034="","",IFERROR(IF(ISNUMBER('Procyfloc 500'!D35),'Procyfloc 500'!D35,IF(ISNUMBER(SEARCH("12",'Procyfloc 500'!D35)),EDATE(AB1034,12),IF(ISNUMBER(SEARCH("6",'Procyfloc 500'!D35)),EDATE(AB1034,6),IF(ISNUMBER(SEARCH("3",'Procyfloc 500'!D35)),EDATE(AB1034,3),DATEVALUE('Procyfloc 500'!D35))))),""))</f>
        <v/>
      </c>
      <c r="AM1034" t="str">
        <f t="shared" ca="1" si="118"/>
        <v/>
      </c>
    </row>
    <row r="1035" spans="27:39" x14ac:dyDescent="0.3">
      <c r="AA1035" t="str">
        <f>IF(COUNTA('Procyfloc 500'!A36,'Procyfloc 500'!B36,'Procyfloc 500'!C36)&gt;0,"500","")</f>
        <v/>
      </c>
      <c r="AB1035" t="str">
        <f>IFERROR(IF(ISNUMBER('Procyfloc 500'!A36),'Procyfloc 500'!A36,DATEVALUE('Procyfloc 500'!A36)),"")</f>
        <v/>
      </c>
      <c r="AC1035" t="str">
        <f>IF(AA1035="","",'Procyfloc 500'!B36)</f>
        <v/>
      </c>
      <c r="AD1035" t="str">
        <f>IF(AA1035="","",IFERROR(1*'Procyfloc 500'!C36,IFERROR(_xludf.NUMBERVALUE('Procyfloc 500'!C36,".",","),IFERROR(_xludf.NUMBERVALUE('Procyfloc 500'!C36,",","."),0))))</f>
        <v/>
      </c>
      <c r="AE1035" t="str">
        <f>IF(AA1035="","",'Procyfloc 500'!L36)</f>
        <v/>
      </c>
      <c r="AF1035">
        <f t="shared" si="113"/>
        <v>0</v>
      </c>
      <c r="AG1035" t="str">
        <f t="shared" si="114"/>
        <v/>
      </c>
      <c r="AH1035" t="str">
        <f t="shared" si="115"/>
        <v/>
      </c>
      <c r="AI1035">
        <f t="shared" si="116"/>
        <v>0</v>
      </c>
      <c r="AJ1035">
        <f t="shared" si="117"/>
        <v>0</v>
      </c>
      <c r="AK1035">
        <v>0</v>
      </c>
      <c r="AL1035" t="str">
        <f>IF(AA1035="","",IFERROR(IF(ISNUMBER('Procyfloc 500'!D36),'Procyfloc 500'!D36,IF(ISNUMBER(SEARCH("12",'Procyfloc 500'!D36)),EDATE(AB1035,12),IF(ISNUMBER(SEARCH("6",'Procyfloc 500'!D36)),EDATE(AB1035,6),IF(ISNUMBER(SEARCH("3",'Procyfloc 500'!D36)),EDATE(AB1035,3),DATEVALUE('Procyfloc 500'!D36))))),""))</f>
        <v/>
      </c>
      <c r="AM1035" t="str">
        <f t="shared" ca="1" si="118"/>
        <v/>
      </c>
    </row>
    <row r="1036" spans="27:39" x14ac:dyDescent="0.3">
      <c r="AA1036" t="str">
        <f>IF(COUNTA('Procyfloc 500'!A37,'Procyfloc 500'!B37,'Procyfloc 500'!C37)&gt;0,"500","")</f>
        <v/>
      </c>
      <c r="AB1036" t="str">
        <f>IFERROR(IF(ISNUMBER('Procyfloc 500'!A37),'Procyfloc 500'!A37,DATEVALUE('Procyfloc 500'!A37)),"")</f>
        <v/>
      </c>
      <c r="AC1036" t="str">
        <f>IF(AA1036="","",'Procyfloc 500'!B37)</f>
        <v/>
      </c>
      <c r="AD1036" t="str">
        <f>IF(AA1036="","",IFERROR(1*'Procyfloc 500'!C37,IFERROR(_xludf.NUMBERVALUE('Procyfloc 500'!C37,".",","),IFERROR(_xludf.NUMBERVALUE('Procyfloc 500'!C37,",","."),0))))</f>
        <v/>
      </c>
      <c r="AE1036" t="str">
        <f>IF(AA1036="","",'Procyfloc 500'!L37)</f>
        <v/>
      </c>
      <c r="AF1036">
        <f t="shared" si="113"/>
        <v>0</v>
      </c>
      <c r="AG1036" t="str">
        <f t="shared" si="114"/>
        <v/>
      </c>
      <c r="AH1036" t="str">
        <f t="shared" si="115"/>
        <v/>
      </c>
      <c r="AI1036">
        <f t="shared" si="116"/>
        <v>0</v>
      </c>
      <c r="AJ1036">
        <f t="shared" si="117"/>
        <v>0</v>
      </c>
      <c r="AK1036">
        <v>0</v>
      </c>
      <c r="AL1036" t="str">
        <f>IF(AA1036="","",IFERROR(IF(ISNUMBER('Procyfloc 500'!D37),'Procyfloc 500'!D37,IF(ISNUMBER(SEARCH("12",'Procyfloc 500'!D37)),EDATE(AB1036,12),IF(ISNUMBER(SEARCH("6",'Procyfloc 500'!D37)),EDATE(AB1036,6),IF(ISNUMBER(SEARCH("3",'Procyfloc 500'!D37)),EDATE(AB1036,3),DATEVALUE('Procyfloc 500'!D37))))),""))</f>
        <v/>
      </c>
      <c r="AM1036" t="str">
        <f t="shared" ca="1" si="118"/>
        <v/>
      </c>
    </row>
    <row r="1037" spans="27:39" x14ac:dyDescent="0.3">
      <c r="AA1037" t="str">
        <f>IF(COUNTA('Procyfloc 500'!A38,'Procyfloc 500'!B38,'Procyfloc 500'!C38)&gt;0,"500","")</f>
        <v/>
      </c>
      <c r="AB1037" t="str">
        <f>IFERROR(IF(ISNUMBER('Procyfloc 500'!A38),'Procyfloc 500'!A38,DATEVALUE('Procyfloc 500'!A38)),"")</f>
        <v/>
      </c>
      <c r="AC1037" t="str">
        <f>IF(AA1037="","",'Procyfloc 500'!B38)</f>
        <v/>
      </c>
      <c r="AD1037" t="str">
        <f>IF(AA1037="","",IFERROR(1*'Procyfloc 500'!C38,IFERROR(_xludf.NUMBERVALUE('Procyfloc 500'!C38,".",","),IFERROR(_xludf.NUMBERVALUE('Procyfloc 500'!C38,",","."),0))))</f>
        <v/>
      </c>
      <c r="AE1037" t="str">
        <f>IF(AA1037="","",'Procyfloc 500'!L38)</f>
        <v/>
      </c>
      <c r="AF1037">
        <f t="shared" si="113"/>
        <v>0</v>
      </c>
      <c r="AG1037" t="str">
        <f t="shared" si="114"/>
        <v/>
      </c>
      <c r="AH1037" t="str">
        <f t="shared" si="115"/>
        <v/>
      </c>
      <c r="AI1037">
        <f t="shared" si="116"/>
        <v>0</v>
      </c>
      <c r="AJ1037">
        <f t="shared" si="117"/>
        <v>0</v>
      </c>
      <c r="AK1037">
        <v>0</v>
      </c>
      <c r="AL1037" t="str">
        <f>IF(AA1037="","",IFERROR(IF(ISNUMBER('Procyfloc 500'!D38),'Procyfloc 500'!D38,IF(ISNUMBER(SEARCH("12",'Procyfloc 500'!D38)),EDATE(AB1037,12),IF(ISNUMBER(SEARCH("6",'Procyfloc 500'!D38)),EDATE(AB1037,6),IF(ISNUMBER(SEARCH("3",'Procyfloc 500'!D38)),EDATE(AB1037,3),DATEVALUE('Procyfloc 500'!D38))))),""))</f>
        <v/>
      </c>
      <c r="AM1037" t="str">
        <f t="shared" ca="1" si="118"/>
        <v/>
      </c>
    </row>
    <row r="1038" spans="27:39" x14ac:dyDescent="0.3">
      <c r="AA1038" t="str">
        <f>IF(COUNTA('Procyfloc 500'!A39,'Procyfloc 500'!B39,'Procyfloc 500'!C39)&gt;0,"500","")</f>
        <v/>
      </c>
      <c r="AB1038" t="str">
        <f>IFERROR(IF(ISNUMBER('Procyfloc 500'!A39),'Procyfloc 500'!A39,DATEVALUE('Procyfloc 500'!A39)),"")</f>
        <v/>
      </c>
      <c r="AC1038" t="str">
        <f>IF(AA1038="","",'Procyfloc 500'!B39)</f>
        <v/>
      </c>
      <c r="AD1038" t="str">
        <f>IF(AA1038="","",IFERROR(1*'Procyfloc 500'!C39,IFERROR(_xludf.NUMBERVALUE('Procyfloc 500'!C39,".",","),IFERROR(_xludf.NUMBERVALUE('Procyfloc 500'!C39,",","."),0))))</f>
        <v/>
      </c>
      <c r="AE1038" t="str">
        <f>IF(AA1038="","",'Procyfloc 500'!L39)</f>
        <v/>
      </c>
      <c r="AF1038">
        <f t="shared" si="113"/>
        <v>0</v>
      </c>
      <c r="AG1038" t="str">
        <f t="shared" si="114"/>
        <v/>
      </c>
      <c r="AH1038" t="str">
        <f t="shared" si="115"/>
        <v/>
      </c>
      <c r="AI1038">
        <f t="shared" si="116"/>
        <v>0</v>
      </c>
      <c r="AJ1038">
        <f t="shared" si="117"/>
        <v>0</v>
      </c>
      <c r="AK1038">
        <v>0</v>
      </c>
      <c r="AL1038" t="str">
        <f>IF(AA1038="","",IFERROR(IF(ISNUMBER('Procyfloc 500'!D39),'Procyfloc 500'!D39,IF(ISNUMBER(SEARCH("12",'Procyfloc 500'!D39)),EDATE(AB1038,12),IF(ISNUMBER(SEARCH("6",'Procyfloc 500'!D39)),EDATE(AB1038,6),IF(ISNUMBER(SEARCH("3",'Procyfloc 500'!D39)),EDATE(AB1038,3),DATEVALUE('Procyfloc 500'!D39))))),""))</f>
        <v/>
      </c>
      <c r="AM1038" t="str">
        <f t="shared" ca="1" si="118"/>
        <v/>
      </c>
    </row>
    <row r="1039" spans="27:39" x14ac:dyDescent="0.3">
      <c r="AA1039" t="str">
        <f>IF(COUNTA('Procyfloc 500'!A40,'Procyfloc 500'!B40,'Procyfloc 500'!C40)&gt;0,"500","")</f>
        <v/>
      </c>
      <c r="AB1039" t="str">
        <f>IFERROR(IF(ISNUMBER('Procyfloc 500'!A40),'Procyfloc 500'!A40,DATEVALUE('Procyfloc 500'!A40)),"")</f>
        <v/>
      </c>
      <c r="AC1039" t="str">
        <f>IF(AA1039="","",'Procyfloc 500'!B40)</f>
        <v/>
      </c>
      <c r="AD1039" t="str">
        <f>IF(AA1039="","",IFERROR(1*'Procyfloc 500'!C40,IFERROR(_xludf.NUMBERVALUE('Procyfloc 500'!C40,".",","),IFERROR(_xludf.NUMBERVALUE('Procyfloc 500'!C40,",","."),0))))</f>
        <v/>
      </c>
      <c r="AE1039" t="str">
        <f>IF(AA1039="","",'Procyfloc 500'!L40)</f>
        <v/>
      </c>
      <c r="AF1039">
        <f t="shared" si="113"/>
        <v>0</v>
      </c>
      <c r="AG1039" t="str">
        <f t="shared" si="114"/>
        <v/>
      </c>
      <c r="AH1039" t="str">
        <f t="shared" si="115"/>
        <v/>
      </c>
      <c r="AI1039">
        <f t="shared" si="116"/>
        <v>0</v>
      </c>
      <c r="AJ1039">
        <f t="shared" si="117"/>
        <v>0</v>
      </c>
      <c r="AK1039">
        <v>0</v>
      </c>
      <c r="AL1039" t="str">
        <f>IF(AA1039="","",IFERROR(IF(ISNUMBER('Procyfloc 500'!D40),'Procyfloc 500'!D40,IF(ISNUMBER(SEARCH("12",'Procyfloc 500'!D40)),EDATE(AB1039,12),IF(ISNUMBER(SEARCH("6",'Procyfloc 500'!D40)),EDATE(AB1039,6),IF(ISNUMBER(SEARCH("3",'Procyfloc 500'!D40)),EDATE(AB1039,3),DATEVALUE('Procyfloc 500'!D40))))),""))</f>
        <v/>
      </c>
      <c r="AM1039" t="str">
        <f t="shared" ca="1" si="118"/>
        <v/>
      </c>
    </row>
    <row r="1040" spans="27:39" x14ac:dyDescent="0.3">
      <c r="AA1040" t="str">
        <f>IF(COUNTA('Procyfloc 500'!A41,'Procyfloc 500'!B41,'Procyfloc 500'!C41)&gt;0,"500","")</f>
        <v/>
      </c>
      <c r="AB1040" t="str">
        <f>IFERROR(IF(ISNUMBER('Procyfloc 500'!A41),'Procyfloc 500'!A41,DATEVALUE('Procyfloc 500'!A41)),"")</f>
        <v/>
      </c>
      <c r="AC1040" t="str">
        <f>IF(AA1040="","",'Procyfloc 500'!B41)</f>
        <v/>
      </c>
      <c r="AD1040" t="str">
        <f>IF(AA1040="","",IFERROR(1*'Procyfloc 500'!C41,IFERROR(_xludf.NUMBERVALUE('Procyfloc 500'!C41,".",","),IFERROR(_xludf.NUMBERVALUE('Procyfloc 500'!C41,",","."),0))))</f>
        <v/>
      </c>
      <c r="AE1040" t="str">
        <f>IF(AA1040="","",'Procyfloc 500'!L41)</f>
        <v/>
      </c>
      <c r="AF1040">
        <f t="shared" si="113"/>
        <v>0</v>
      </c>
      <c r="AG1040" t="str">
        <f t="shared" si="114"/>
        <v/>
      </c>
      <c r="AH1040" t="str">
        <f t="shared" si="115"/>
        <v/>
      </c>
      <c r="AI1040">
        <f t="shared" si="116"/>
        <v>0</v>
      </c>
      <c r="AJ1040">
        <f t="shared" si="117"/>
        <v>0</v>
      </c>
      <c r="AK1040">
        <v>0</v>
      </c>
      <c r="AL1040" t="str">
        <f>IF(AA1040="","",IFERROR(IF(ISNUMBER('Procyfloc 500'!D41),'Procyfloc 500'!D41,IF(ISNUMBER(SEARCH("12",'Procyfloc 500'!D41)),EDATE(AB1040,12),IF(ISNUMBER(SEARCH("6",'Procyfloc 500'!D41)),EDATE(AB1040,6),IF(ISNUMBER(SEARCH("3",'Procyfloc 500'!D41)),EDATE(AB1040,3),DATEVALUE('Procyfloc 500'!D41))))),""))</f>
        <v/>
      </c>
      <c r="AM1040" t="str">
        <f t="shared" ca="1" si="118"/>
        <v/>
      </c>
    </row>
    <row r="1041" spans="27:39" x14ac:dyDescent="0.3">
      <c r="AA1041" t="str">
        <f>IF(COUNTA('Procyfloc 500'!A42,'Procyfloc 500'!B42,'Procyfloc 500'!C42)&gt;0,"500","")</f>
        <v/>
      </c>
      <c r="AB1041" t="str">
        <f>IFERROR(IF(ISNUMBER('Procyfloc 500'!A42),'Procyfloc 500'!A42,DATEVALUE('Procyfloc 500'!A42)),"")</f>
        <v/>
      </c>
      <c r="AC1041" t="str">
        <f>IF(AA1041="","",'Procyfloc 500'!B42)</f>
        <v/>
      </c>
      <c r="AD1041" t="str">
        <f>IF(AA1041="","",IFERROR(1*'Procyfloc 500'!C42,IFERROR(_xludf.NUMBERVALUE('Procyfloc 500'!C42,".",","),IFERROR(_xludf.NUMBERVALUE('Procyfloc 500'!C42,",","."),0))))</f>
        <v/>
      </c>
      <c r="AE1041" t="str">
        <f>IF(AA1041="","",'Procyfloc 500'!L42)</f>
        <v/>
      </c>
      <c r="AF1041">
        <f t="shared" si="113"/>
        <v>0</v>
      </c>
      <c r="AG1041" t="str">
        <f t="shared" si="114"/>
        <v/>
      </c>
      <c r="AH1041" t="str">
        <f t="shared" si="115"/>
        <v/>
      </c>
      <c r="AI1041">
        <f t="shared" si="116"/>
        <v>0</v>
      </c>
      <c r="AJ1041">
        <f t="shared" si="117"/>
        <v>0</v>
      </c>
      <c r="AK1041">
        <v>0</v>
      </c>
      <c r="AL1041" t="str">
        <f>IF(AA1041="","",IFERROR(IF(ISNUMBER('Procyfloc 500'!D42),'Procyfloc 500'!D42,IF(ISNUMBER(SEARCH("12",'Procyfloc 500'!D42)),EDATE(AB1041,12),IF(ISNUMBER(SEARCH("6",'Procyfloc 500'!D42)),EDATE(AB1041,6),IF(ISNUMBER(SEARCH("3",'Procyfloc 500'!D42)),EDATE(AB1041,3),DATEVALUE('Procyfloc 500'!D42))))),""))</f>
        <v/>
      </c>
      <c r="AM1041" t="str">
        <f t="shared" ca="1" si="118"/>
        <v/>
      </c>
    </row>
    <row r="1042" spans="27:39" x14ac:dyDescent="0.3">
      <c r="AA1042" t="str">
        <f>IF(COUNTA('Procyfloc 500'!A43,'Procyfloc 500'!B43,'Procyfloc 500'!C43)&gt;0,"500","")</f>
        <v/>
      </c>
      <c r="AB1042" t="str">
        <f>IFERROR(IF(ISNUMBER('Procyfloc 500'!A43),'Procyfloc 500'!A43,DATEVALUE('Procyfloc 500'!A43)),"")</f>
        <v/>
      </c>
      <c r="AC1042" t="str">
        <f>IF(AA1042="","",'Procyfloc 500'!B43)</f>
        <v/>
      </c>
      <c r="AD1042" t="str">
        <f>IF(AA1042="","",IFERROR(1*'Procyfloc 500'!C43,IFERROR(_xludf.NUMBERVALUE('Procyfloc 500'!C43,".",","),IFERROR(_xludf.NUMBERVALUE('Procyfloc 500'!C43,",","."),0))))</f>
        <v/>
      </c>
      <c r="AE1042" t="str">
        <f>IF(AA1042="","",'Procyfloc 500'!L43)</f>
        <v/>
      </c>
      <c r="AF1042">
        <f t="shared" si="113"/>
        <v>0</v>
      </c>
      <c r="AG1042" t="str">
        <f t="shared" si="114"/>
        <v/>
      </c>
      <c r="AH1042" t="str">
        <f t="shared" si="115"/>
        <v/>
      </c>
      <c r="AI1042">
        <f t="shared" si="116"/>
        <v>0</v>
      </c>
      <c r="AJ1042">
        <f t="shared" si="117"/>
        <v>0</v>
      </c>
      <c r="AK1042">
        <v>0</v>
      </c>
      <c r="AL1042" t="str">
        <f>IF(AA1042="","",IFERROR(IF(ISNUMBER('Procyfloc 500'!D43),'Procyfloc 500'!D43,IF(ISNUMBER(SEARCH("12",'Procyfloc 500'!D43)),EDATE(AB1042,12),IF(ISNUMBER(SEARCH("6",'Procyfloc 500'!D43)),EDATE(AB1042,6),IF(ISNUMBER(SEARCH("3",'Procyfloc 500'!D43)),EDATE(AB1042,3),DATEVALUE('Procyfloc 500'!D43))))),""))</f>
        <v/>
      </c>
      <c r="AM1042" t="str">
        <f t="shared" ca="1" si="118"/>
        <v/>
      </c>
    </row>
    <row r="1043" spans="27:39" x14ac:dyDescent="0.3">
      <c r="AA1043" t="str">
        <f>IF(COUNTA('Procyfloc 500'!A44,'Procyfloc 500'!B44,'Procyfloc 500'!C44)&gt;0,"500","")</f>
        <v/>
      </c>
      <c r="AB1043" t="str">
        <f>IFERROR(IF(ISNUMBER('Procyfloc 500'!A44),'Procyfloc 500'!A44,DATEVALUE('Procyfloc 500'!A44)),"")</f>
        <v/>
      </c>
      <c r="AC1043" t="str">
        <f>IF(AA1043="","",'Procyfloc 500'!B44)</f>
        <v/>
      </c>
      <c r="AD1043" t="str">
        <f>IF(AA1043="","",IFERROR(1*'Procyfloc 500'!C44,IFERROR(_xludf.NUMBERVALUE('Procyfloc 500'!C44,".",","),IFERROR(_xludf.NUMBERVALUE('Procyfloc 500'!C44,",","."),0))))</f>
        <v/>
      </c>
      <c r="AE1043" t="str">
        <f>IF(AA1043="","",'Procyfloc 500'!L44)</f>
        <v/>
      </c>
      <c r="AF1043">
        <f t="shared" si="113"/>
        <v>0</v>
      </c>
      <c r="AG1043" t="str">
        <f t="shared" si="114"/>
        <v/>
      </c>
      <c r="AH1043" t="str">
        <f t="shared" si="115"/>
        <v/>
      </c>
      <c r="AI1043">
        <f t="shared" si="116"/>
        <v>0</v>
      </c>
      <c r="AJ1043">
        <f t="shared" si="117"/>
        <v>0</v>
      </c>
      <c r="AK1043">
        <v>0</v>
      </c>
      <c r="AL1043" t="str">
        <f>IF(AA1043="","",IFERROR(IF(ISNUMBER('Procyfloc 500'!D44),'Procyfloc 500'!D44,IF(ISNUMBER(SEARCH("12",'Procyfloc 500'!D44)),EDATE(AB1043,12),IF(ISNUMBER(SEARCH("6",'Procyfloc 500'!D44)),EDATE(AB1043,6),IF(ISNUMBER(SEARCH("3",'Procyfloc 500'!D44)),EDATE(AB1043,3),DATEVALUE('Procyfloc 500'!D44))))),""))</f>
        <v/>
      </c>
      <c r="AM1043" t="str">
        <f t="shared" ca="1" si="118"/>
        <v/>
      </c>
    </row>
    <row r="1044" spans="27:39" x14ac:dyDescent="0.3">
      <c r="AA1044" t="str">
        <f>IF(COUNTA('Procyfloc 500'!A45,'Procyfloc 500'!B45,'Procyfloc 500'!C45)&gt;0,"500","")</f>
        <v/>
      </c>
      <c r="AB1044" t="str">
        <f>IFERROR(IF(ISNUMBER('Procyfloc 500'!A45),'Procyfloc 500'!A45,DATEVALUE('Procyfloc 500'!A45)),"")</f>
        <v/>
      </c>
      <c r="AC1044" t="str">
        <f>IF(AA1044="","",'Procyfloc 500'!B45)</f>
        <v/>
      </c>
      <c r="AD1044" t="str">
        <f>IF(AA1044="","",IFERROR(1*'Procyfloc 500'!C45,IFERROR(_xludf.NUMBERVALUE('Procyfloc 500'!C45,".",","),IFERROR(_xludf.NUMBERVALUE('Procyfloc 500'!C45,",","."),0))))</f>
        <v/>
      </c>
      <c r="AE1044" t="str">
        <f>IF(AA1044="","",'Procyfloc 500'!L45)</f>
        <v/>
      </c>
      <c r="AF1044">
        <f t="shared" si="113"/>
        <v>0</v>
      </c>
      <c r="AG1044" t="str">
        <f t="shared" si="114"/>
        <v/>
      </c>
      <c r="AH1044" t="str">
        <f t="shared" si="115"/>
        <v/>
      </c>
      <c r="AI1044">
        <f t="shared" si="116"/>
        <v>0</v>
      </c>
      <c r="AJ1044">
        <f t="shared" si="117"/>
        <v>0</v>
      </c>
      <c r="AK1044">
        <v>0</v>
      </c>
      <c r="AL1044" t="str">
        <f>IF(AA1044="","",IFERROR(IF(ISNUMBER('Procyfloc 500'!D45),'Procyfloc 500'!D45,IF(ISNUMBER(SEARCH("12",'Procyfloc 500'!D45)),EDATE(AB1044,12),IF(ISNUMBER(SEARCH("6",'Procyfloc 500'!D45)),EDATE(AB1044,6),IF(ISNUMBER(SEARCH("3",'Procyfloc 500'!D45)),EDATE(AB1044,3),DATEVALUE('Procyfloc 500'!D45))))),""))</f>
        <v/>
      </c>
      <c r="AM1044" t="str">
        <f t="shared" ca="1" si="118"/>
        <v/>
      </c>
    </row>
    <row r="1045" spans="27:39" x14ac:dyDescent="0.3">
      <c r="AA1045" t="str">
        <f>IF(COUNTA('Procyfloc 500'!A46,'Procyfloc 500'!B46,'Procyfloc 500'!C46)&gt;0,"500","")</f>
        <v/>
      </c>
      <c r="AB1045" t="str">
        <f>IFERROR(IF(ISNUMBER('Procyfloc 500'!A46),'Procyfloc 500'!A46,DATEVALUE('Procyfloc 500'!A46)),"")</f>
        <v/>
      </c>
      <c r="AC1045" t="str">
        <f>IF(AA1045="","",'Procyfloc 500'!B46)</f>
        <v/>
      </c>
      <c r="AD1045" t="str">
        <f>IF(AA1045="","",IFERROR(1*'Procyfloc 500'!C46,IFERROR(_xludf.NUMBERVALUE('Procyfloc 500'!C46,".",","),IFERROR(_xludf.NUMBERVALUE('Procyfloc 500'!C46,",","."),0))))</f>
        <v/>
      </c>
      <c r="AE1045" t="str">
        <f>IF(AA1045="","",'Procyfloc 500'!L46)</f>
        <v/>
      </c>
      <c r="AF1045">
        <f t="shared" si="113"/>
        <v>0</v>
      </c>
      <c r="AG1045" t="str">
        <f t="shared" si="114"/>
        <v/>
      </c>
      <c r="AH1045" t="str">
        <f t="shared" si="115"/>
        <v/>
      </c>
      <c r="AI1045">
        <f t="shared" si="116"/>
        <v>0</v>
      </c>
      <c r="AJ1045">
        <f t="shared" si="117"/>
        <v>0</v>
      </c>
      <c r="AK1045">
        <v>0</v>
      </c>
      <c r="AL1045" t="str">
        <f>IF(AA1045="","",IFERROR(IF(ISNUMBER('Procyfloc 500'!D46),'Procyfloc 500'!D46,IF(ISNUMBER(SEARCH("12",'Procyfloc 500'!D46)),EDATE(AB1045,12),IF(ISNUMBER(SEARCH("6",'Procyfloc 500'!D46)),EDATE(AB1045,6),IF(ISNUMBER(SEARCH("3",'Procyfloc 500'!D46)),EDATE(AB1045,3),DATEVALUE('Procyfloc 500'!D46))))),""))</f>
        <v/>
      </c>
      <c r="AM1045" t="str">
        <f t="shared" ca="1" si="118"/>
        <v/>
      </c>
    </row>
    <row r="1046" spans="27:39" x14ac:dyDescent="0.3">
      <c r="AA1046" t="str">
        <f>IF(COUNTA('Procyfloc 500'!A47,'Procyfloc 500'!B47,'Procyfloc 500'!C47)&gt;0,"500","")</f>
        <v/>
      </c>
      <c r="AB1046" t="str">
        <f>IFERROR(IF(ISNUMBER('Procyfloc 500'!A47),'Procyfloc 500'!A47,DATEVALUE('Procyfloc 500'!A47)),"")</f>
        <v/>
      </c>
      <c r="AC1046" t="str">
        <f>IF(AA1046="","",'Procyfloc 500'!B47)</f>
        <v/>
      </c>
      <c r="AD1046" t="str">
        <f>IF(AA1046="","",IFERROR(1*'Procyfloc 500'!C47,IFERROR(_xludf.NUMBERVALUE('Procyfloc 500'!C47,".",","),IFERROR(_xludf.NUMBERVALUE('Procyfloc 500'!C47,",","."),0))))</f>
        <v/>
      </c>
      <c r="AE1046" t="str">
        <f>IF(AA1046="","",'Procyfloc 500'!L47)</f>
        <v/>
      </c>
      <c r="AF1046">
        <f t="shared" si="113"/>
        <v>0</v>
      </c>
      <c r="AG1046" t="str">
        <f t="shared" si="114"/>
        <v/>
      </c>
      <c r="AH1046" t="str">
        <f t="shared" si="115"/>
        <v/>
      </c>
      <c r="AI1046">
        <f t="shared" si="116"/>
        <v>0</v>
      </c>
      <c r="AJ1046">
        <f t="shared" si="117"/>
        <v>0</v>
      </c>
      <c r="AK1046">
        <v>0</v>
      </c>
      <c r="AL1046" t="str">
        <f>IF(AA1046="","",IFERROR(IF(ISNUMBER('Procyfloc 500'!D47),'Procyfloc 500'!D47,IF(ISNUMBER(SEARCH("12",'Procyfloc 500'!D47)),EDATE(AB1046,12),IF(ISNUMBER(SEARCH("6",'Procyfloc 500'!D47)),EDATE(AB1046,6),IF(ISNUMBER(SEARCH("3",'Procyfloc 500'!D47)),EDATE(AB1046,3),DATEVALUE('Procyfloc 500'!D47))))),""))</f>
        <v/>
      </c>
      <c r="AM1046" t="str">
        <f t="shared" ca="1" si="118"/>
        <v/>
      </c>
    </row>
    <row r="1047" spans="27:39" x14ac:dyDescent="0.3">
      <c r="AA1047" t="str">
        <f>IF(COUNTA('Procyfloc 500'!A48,'Procyfloc 500'!B48,'Procyfloc 500'!C48)&gt;0,"500","")</f>
        <v/>
      </c>
      <c r="AB1047" t="str">
        <f>IFERROR(IF(ISNUMBER('Procyfloc 500'!A48),'Procyfloc 500'!A48,DATEVALUE('Procyfloc 500'!A48)),"")</f>
        <v/>
      </c>
      <c r="AC1047" t="str">
        <f>IF(AA1047="","",'Procyfloc 500'!B48)</f>
        <v/>
      </c>
      <c r="AD1047" t="str">
        <f>IF(AA1047="","",IFERROR(1*'Procyfloc 500'!C48,IFERROR(_xludf.NUMBERVALUE('Procyfloc 500'!C48,".",","),IFERROR(_xludf.NUMBERVALUE('Procyfloc 500'!C48,",","."),0))))</f>
        <v/>
      </c>
      <c r="AE1047" t="str">
        <f>IF(AA1047="","",'Procyfloc 500'!L48)</f>
        <v/>
      </c>
      <c r="AF1047">
        <f t="shared" si="113"/>
        <v>0</v>
      </c>
      <c r="AG1047" t="str">
        <f t="shared" si="114"/>
        <v/>
      </c>
      <c r="AH1047" t="str">
        <f t="shared" si="115"/>
        <v/>
      </c>
      <c r="AI1047">
        <f t="shared" si="116"/>
        <v>0</v>
      </c>
      <c r="AJ1047">
        <f t="shared" si="117"/>
        <v>0</v>
      </c>
      <c r="AK1047">
        <v>0</v>
      </c>
      <c r="AL1047" t="str">
        <f>IF(AA1047="","",IFERROR(IF(ISNUMBER('Procyfloc 500'!D48),'Procyfloc 500'!D48,IF(ISNUMBER(SEARCH("12",'Procyfloc 500'!D48)),EDATE(AB1047,12),IF(ISNUMBER(SEARCH("6",'Procyfloc 500'!D48)),EDATE(AB1047,6),IF(ISNUMBER(SEARCH("3",'Procyfloc 500'!D48)),EDATE(AB1047,3),DATEVALUE('Procyfloc 500'!D48))))),""))</f>
        <v/>
      </c>
      <c r="AM1047" t="str">
        <f t="shared" ca="1" si="118"/>
        <v/>
      </c>
    </row>
    <row r="1048" spans="27:39" x14ac:dyDescent="0.3">
      <c r="AA1048" t="str">
        <f>IF(COUNTA('Procyfloc 500'!A49,'Procyfloc 500'!B49,'Procyfloc 500'!C49)&gt;0,"500","")</f>
        <v/>
      </c>
      <c r="AB1048" t="str">
        <f>IFERROR(IF(ISNUMBER('Procyfloc 500'!A49),'Procyfloc 500'!A49,DATEVALUE('Procyfloc 500'!A49)),"")</f>
        <v/>
      </c>
      <c r="AC1048" t="str">
        <f>IF(AA1048="","",'Procyfloc 500'!B49)</f>
        <v/>
      </c>
      <c r="AD1048" t="str">
        <f>IF(AA1048="","",IFERROR(1*'Procyfloc 500'!C49,IFERROR(_xludf.NUMBERVALUE('Procyfloc 500'!C49,".",","),IFERROR(_xludf.NUMBERVALUE('Procyfloc 500'!C49,",","."),0))))</f>
        <v/>
      </c>
      <c r="AE1048" t="str">
        <f>IF(AA1048="","",'Procyfloc 500'!L49)</f>
        <v/>
      </c>
      <c r="AF1048">
        <f t="shared" si="113"/>
        <v>0</v>
      </c>
      <c r="AG1048" t="str">
        <f t="shared" si="114"/>
        <v/>
      </c>
      <c r="AH1048" t="str">
        <f t="shared" si="115"/>
        <v/>
      </c>
      <c r="AI1048">
        <f t="shared" si="116"/>
        <v>0</v>
      </c>
      <c r="AJ1048">
        <f t="shared" si="117"/>
        <v>0</v>
      </c>
      <c r="AK1048">
        <v>0</v>
      </c>
      <c r="AL1048" t="str">
        <f>IF(AA1048="","",IFERROR(IF(ISNUMBER('Procyfloc 500'!D49),'Procyfloc 500'!D49,IF(ISNUMBER(SEARCH("12",'Procyfloc 500'!D49)),EDATE(AB1048,12),IF(ISNUMBER(SEARCH("6",'Procyfloc 500'!D49)),EDATE(AB1048,6),IF(ISNUMBER(SEARCH("3",'Procyfloc 500'!D49)),EDATE(AB1048,3),DATEVALUE('Procyfloc 500'!D49))))),""))</f>
        <v/>
      </c>
      <c r="AM1048" t="str">
        <f t="shared" ca="1" si="118"/>
        <v/>
      </c>
    </row>
    <row r="1049" spans="27:39" x14ac:dyDescent="0.3">
      <c r="AA1049" t="str">
        <f>IF(COUNTA('Procyfloc 500'!A50,'Procyfloc 500'!B50,'Procyfloc 500'!C50)&gt;0,"500","")</f>
        <v/>
      </c>
      <c r="AB1049" t="str">
        <f>IFERROR(IF(ISNUMBER('Procyfloc 500'!A50),'Procyfloc 500'!A50,DATEVALUE('Procyfloc 500'!A50)),"")</f>
        <v/>
      </c>
      <c r="AC1049" t="str">
        <f>IF(AA1049="","",'Procyfloc 500'!B50)</f>
        <v/>
      </c>
      <c r="AD1049" t="str">
        <f>IF(AA1049="","",IFERROR(1*'Procyfloc 500'!C50,IFERROR(_xludf.NUMBERVALUE('Procyfloc 500'!C50,".",","),IFERROR(_xludf.NUMBERVALUE('Procyfloc 500'!C50,",","."),0))))</f>
        <v/>
      </c>
      <c r="AE1049" t="str">
        <f>IF(AA1049="","",'Procyfloc 500'!L50)</f>
        <v/>
      </c>
      <c r="AF1049">
        <f t="shared" si="113"/>
        <v>0</v>
      </c>
      <c r="AG1049" t="str">
        <f t="shared" si="114"/>
        <v/>
      </c>
      <c r="AH1049" t="str">
        <f t="shared" si="115"/>
        <v/>
      </c>
      <c r="AI1049">
        <f t="shared" si="116"/>
        <v>0</v>
      </c>
      <c r="AJ1049">
        <f t="shared" si="117"/>
        <v>0</v>
      </c>
      <c r="AK1049">
        <v>0</v>
      </c>
      <c r="AL1049" t="str">
        <f>IF(AA1049="","",IFERROR(IF(ISNUMBER('Procyfloc 500'!D50),'Procyfloc 500'!D50,IF(ISNUMBER(SEARCH("12",'Procyfloc 500'!D50)),EDATE(AB1049,12),IF(ISNUMBER(SEARCH("6",'Procyfloc 500'!D50)),EDATE(AB1049,6),IF(ISNUMBER(SEARCH("3",'Procyfloc 500'!D50)),EDATE(AB1049,3),DATEVALUE('Procyfloc 500'!D50))))),""))</f>
        <v/>
      </c>
      <c r="AM1049" t="str">
        <f t="shared" ca="1" si="118"/>
        <v/>
      </c>
    </row>
    <row r="1050" spans="27:39" x14ac:dyDescent="0.3">
      <c r="AA1050" t="str">
        <f>IF(COUNTA('Procyfloc 500'!A51,'Procyfloc 500'!B51,'Procyfloc 500'!C51)&gt;0,"500","")</f>
        <v/>
      </c>
      <c r="AB1050" t="str">
        <f>IFERROR(IF(ISNUMBER('Procyfloc 500'!A51),'Procyfloc 500'!A51,DATEVALUE('Procyfloc 500'!A51)),"")</f>
        <v/>
      </c>
      <c r="AC1050" t="str">
        <f>IF(AA1050="","",'Procyfloc 500'!B51)</f>
        <v/>
      </c>
      <c r="AD1050" t="str">
        <f>IF(AA1050="","",IFERROR(1*'Procyfloc 500'!C51,IFERROR(_xludf.NUMBERVALUE('Procyfloc 500'!C51,".",","),IFERROR(_xludf.NUMBERVALUE('Procyfloc 500'!C51,",","."),0))))</f>
        <v/>
      </c>
      <c r="AE1050" t="str">
        <f>IF(AA1050="","",'Procyfloc 500'!L51)</f>
        <v/>
      </c>
      <c r="AF1050">
        <f t="shared" si="113"/>
        <v>0</v>
      </c>
      <c r="AG1050" t="str">
        <f t="shared" si="114"/>
        <v/>
      </c>
      <c r="AH1050" t="str">
        <f t="shared" si="115"/>
        <v/>
      </c>
      <c r="AI1050">
        <f t="shared" si="116"/>
        <v>0</v>
      </c>
      <c r="AJ1050">
        <f t="shared" si="117"/>
        <v>0</v>
      </c>
      <c r="AK1050">
        <v>0</v>
      </c>
      <c r="AL1050" t="str">
        <f>IF(AA1050="","",IFERROR(IF(ISNUMBER('Procyfloc 500'!D51),'Procyfloc 500'!D51,IF(ISNUMBER(SEARCH("12",'Procyfloc 500'!D51)),EDATE(AB1050,12),IF(ISNUMBER(SEARCH("6",'Procyfloc 500'!D51)),EDATE(AB1050,6),IF(ISNUMBER(SEARCH("3",'Procyfloc 500'!D51)),EDATE(AB1050,3),DATEVALUE('Procyfloc 500'!D51))))),""))</f>
        <v/>
      </c>
      <c r="AM1050" t="str">
        <f t="shared" ca="1" si="118"/>
        <v/>
      </c>
    </row>
    <row r="1051" spans="27:39" x14ac:dyDescent="0.3">
      <c r="AA1051" t="str">
        <f>IF(COUNTA('Procyfloc 500'!A52,'Procyfloc 500'!B52,'Procyfloc 500'!C52)&gt;0,"500","")</f>
        <v/>
      </c>
      <c r="AB1051" t="str">
        <f>IFERROR(IF(ISNUMBER('Procyfloc 500'!A52),'Procyfloc 500'!A52,DATEVALUE('Procyfloc 500'!A52)),"")</f>
        <v/>
      </c>
      <c r="AC1051" t="str">
        <f>IF(AA1051="","",'Procyfloc 500'!B52)</f>
        <v/>
      </c>
      <c r="AD1051" t="str">
        <f>IF(AA1051="","",IFERROR(1*'Procyfloc 500'!C52,IFERROR(_xludf.NUMBERVALUE('Procyfloc 500'!C52,".",","),IFERROR(_xludf.NUMBERVALUE('Procyfloc 500'!C52,",","."),0))))</f>
        <v/>
      </c>
      <c r="AE1051" t="str">
        <f>IF(AA1051="","",'Procyfloc 500'!L52)</f>
        <v/>
      </c>
      <c r="AF1051">
        <f t="shared" si="113"/>
        <v>0</v>
      </c>
      <c r="AG1051" t="str">
        <f t="shared" si="114"/>
        <v/>
      </c>
      <c r="AH1051" t="str">
        <f t="shared" si="115"/>
        <v/>
      </c>
      <c r="AI1051">
        <f t="shared" si="116"/>
        <v>0</v>
      </c>
      <c r="AJ1051">
        <f t="shared" si="117"/>
        <v>0</v>
      </c>
      <c r="AK1051">
        <v>0</v>
      </c>
      <c r="AL1051" t="str">
        <f>IF(AA1051="","",IFERROR(IF(ISNUMBER('Procyfloc 500'!D52),'Procyfloc 500'!D52,IF(ISNUMBER(SEARCH("12",'Procyfloc 500'!D52)),EDATE(AB1051,12),IF(ISNUMBER(SEARCH("6",'Procyfloc 500'!D52)),EDATE(AB1051,6),IF(ISNUMBER(SEARCH("3",'Procyfloc 500'!D52)),EDATE(AB1051,3),DATEVALUE('Procyfloc 500'!D52))))),""))</f>
        <v/>
      </c>
      <c r="AM1051" t="str">
        <f t="shared" ca="1" si="118"/>
        <v/>
      </c>
    </row>
    <row r="1052" spans="27:39" x14ac:dyDescent="0.3">
      <c r="AA1052" t="str">
        <f>IF(COUNTA('Procyfloc 500'!A53,'Procyfloc 500'!B53,'Procyfloc 500'!C53)&gt;0,"500","")</f>
        <v/>
      </c>
      <c r="AB1052" t="str">
        <f>IFERROR(IF(ISNUMBER('Procyfloc 500'!A53),'Procyfloc 500'!A53,DATEVALUE('Procyfloc 500'!A53)),"")</f>
        <v/>
      </c>
      <c r="AC1052" t="str">
        <f>IF(AA1052="","",'Procyfloc 500'!B53)</f>
        <v/>
      </c>
      <c r="AD1052" t="str">
        <f>IF(AA1052="","",IFERROR(1*'Procyfloc 500'!C53,IFERROR(_xludf.NUMBERVALUE('Procyfloc 500'!C53,".",","),IFERROR(_xludf.NUMBERVALUE('Procyfloc 500'!C53,",","."),0))))</f>
        <v/>
      </c>
      <c r="AE1052" t="str">
        <f>IF(AA1052="","",'Procyfloc 500'!L53)</f>
        <v/>
      </c>
      <c r="AF1052">
        <f t="shared" si="113"/>
        <v>0</v>
      </c>
      <c r="AG1052" t="str">
        <f t="shared" si="114"/>
        <v/>
      </c>
      <c r="AH1052" t="str">
        <f t="shared" si="115"/>
        <v/>
      </c>
      <c r="AI1052">
        <f t="shared" si="116"/>
        <v>0</v>
      </c>
      <c r="AJ1052">
        <f t="shared" si="117"/>
        <v>0</v>
      </c>
      <c r="AK1052">
        <v>0</v>
      </c>
      <c r="AL1052" t="str">
        <f>IF(AA1052="","",IFERROR(IF(ISNUMBER('Procyfloc 500'!D53),'Procyfloc 500'!D53,IF(ISNUMBER(SEARCH("12",'Procyfloc 500'!D53)),EDATE(AB1052,12),IF(ISNUMBER(SEARCH("6",'Procyfloc 500'!D53)),EDATE(AB1052,6),IF(ISNUMBER(SEARCH("3",'Procyfloc 500'!D53)),EDATE(AB1052,3),DATEVALUE('Procyfloc 500'!D53))))),""))</f>
        <v/>
      </c>
      <c r="AM1052" t="str">
        <f t="shared" ca="1" si="118"/>
        <v/>
      </c>
    </row>
    <row r="1053" spans="27:39" x14ac:dyDescent="0.3">
      <c r="AA1053" t="str">
        <f>IF(COUNTA('Procyfloc 500'!A54,'Procyfloc 500'!B54,'Procyfloc 500'!C54)&gt;0,"500","")</f>
        <v/>
      </c>
      <c r="AB1053" t="str">
        <f>IFERROR(IF(ISNUMBER('Procyfloc 500'!A54),'Procyfloc 500'!A54,DATEVALUE('Procyfloc 500'!A54)),"")</f>
        <v/>
      </c>
      <c r="AC1053" t="str">
        <f>IF(AA1053="","",'Procyfloc 500'!B54)</f>
        <v/>
      </c>
      <c r="AD1053" t="str">
        <f>IF(AA1053="","",IFERROR(1*'Procyfloc 500'!C54,IFERROR(_xludf.NUMBERVALUE('Procyfloc 500'!C54,".",","),IFERROR(_xludf.NUMBERVALUE('Procyfloc 500'!C54,",","."),0))))</f>
        <v/>
      </c>
      <c r="AE1053" t="str">
        <f>IF(AA1053="","",'Procyfloc 500'!L54)</f>
        <v/>
      </c>
      <c r="AF1053">
        <f t="shared" si="113"/>
        <v>0</v>
      </c>
      <c r="AG1053" t="str">
        <f t="shared" si="114"/>
        <v/>
      </c>
      <c r="AH1053" t="str">
        <f t="shared" si="115"/>
        <v/>
      </c>
      <c r="AI1053">
        <f t="shared" si="116"/>
        <v>0</v>
      </c>
      <c r="AJ1053">
        <f t="shared" si="117"/>
        <v>0</v>
      </c>
      <c r="AK1053">
        <v>0</v>
      </c>
      <c r="AL1053" t="str">
        <f>IF(AA1053="","",IFERROR(IF(ISNUMBER('Procyfloc 500'!D54),'Procyfloc 500'!D54,IF(ISNUMBER(SEARCH("12",'Procyfloc 500'!D54)),EDATE(AB1053,12),IF(ISNUMBER(SEARCH("6",'Procyfloc 500'!D54)),EDATE(AB1053,6),IF(ISNUMBER(SEARCH("3",'Procyfloc 500'!D54)),EDATE(AB1053,3),DATEVALUE('Procyfloc 500'!D54))))),""))</f>
        <v/>
      </c>
      <c r="AM1053" t="str">
        <f t="shared" ca="1" si="118"/>
        <v/>
      </c>
    </row>
    <row r="1054" spans="27:39" x14ac:dyDescent="0.3">
      <c r="AA1054" t="str">
        <f>IF(COUNTA('Procyfloc 500'!A55,'Procyfloc 500'!B55,'Procyfloc 500'!C55)&gt;0,"500","")</f>
        <v/>
      </c>
      <c r="AB1054" t="str">
        <f>IFERROR(IF(ISNUMBER('Procyfloc 500'!A55),'Procyfloc 500'!A55,DATEVALUE('Procyfloc 500'!A55)),"")</f>
        <v/>
      </c>
      <c r="AC1054" t="str">
        <f>IF(AA1054="","",'Procyfloc 500'!B55)</f>
        <v/>
      </c>
      <c r="AD1054" t="str">
        <f>IF(AA1054="","",IFERROR(1*'Procyfloc 500'!C55,IFERROR(_xludf.NUMBERVALUE('Procyfloc 500'!C55,".",","),IFERROR(_xludf.NUMBERVALUE('Procyfloc 500'!C55,",","."),0))))</f>
        <v/>
      </c>
      <c r="AE1054" t="str">
        <f>IF(AA1054="","",'Procyfloc 500'!L55)</f>
        <v/>
      </c>
      <c r="AF1054">
        <f t="shared" si="113"/>
        <v>0</v>
      </c>
      <c r="AG1054" t="str">
        <f t="shared" si="114"/>
        <v/>
      </c>
      <c r="AH1054" t="str">
        <f t="shared" si="115"/>
        <v/>
      </c>
      <c r="AI1054">
        <f t="shared" si="116"/>
        <v>0</v>
      </c>
      <c r="AJ1054">
        <f t="shared" si="117"/>
        <v>0</v>
      </c>
      <c r="AK1054">
        <v>0</v>
      </c>
      <c r="AL1054" t="str">
        <f>IF(AA1054="","",IFERROR(IF(ISNUMBER('Procyfloc 500'!D55),'Procyfloc 500'!D55,IF(ISNUMBER(SEARCH("12",'Procyfloc 500'!D55)),EDATE(AB1054,12),IF(ISNUMBER(SEARCH("6",'Procyfloc 500'!D55)),EDATE(AB1054,6),IF(ISNUMBER(SEARCH("3",'Procyfloc 500'!D55)),EDATE(AB1054,3),DATEVALUE('Procyfloc 500'!D55))))),""))</f>
        <v/>
      </c>
      <c r="AM1054" t="str">
        <f t="shared" ca="1" si="118"/>
        <v/>
      </c>
    </row>
    <row r="1055" spans="27:39" x14ac:dyDescent="0.3">
      <c r="AA1055" t="str">
        <f>IF(COUNTA('Procyfloc 500'!A56,'Procyfloc 500'!B56,'Procyfloc 500'!C56)&gt;0,"500","")</f>
        <v/>
      </c>
      <c r="AB1055" t="str">
        <f>IFERROR(IF(ISNUMBER('Procyfloc 500'!A56),'Procyfloc 500'!A56,DATEVALUE('Procyfloc 500'!A56)),"")</f>
        <v/>
      </c>
      <c r="AC1055" t="str">
        <f>IF(AA1055="","",'Procyfloc 500'!B56)</f>
        <v/>
      </c>
      <c r="AD1055" t="str">
        <f>IF(AA1055="","",IFERROR(1*'Procyfloc 500'!C56,IFERROR(_xludf.NUMBERVALUE('Procyfloc 500'!C56,".",","),IFERROR(_xludf.NUMBERVALUE('Procyfloc 500'!C56,",","."),0))))</f>
        <v/>
      </c>
      <c r="AE1055" t="str">
        <f>IF(AA1055="","",'Procyfloc 500'!L56)</f>
        <v/>
      </c>
      <c r="AF1055">
        <f t="shared" si="113"/>
        <v>0</v>
      </c>
      <c r="AG1055" t="str">
        <f t="shared" si="114"/>
        <v/>
      </c>
      <c r="AH1055" t="str">
        <f t="shared" si="115"/>
        <v/>
      </c>
      <c r="AI1055">
        <f t="shared" si="116"/>
        <v>0</v>
      </c>
      <c r="AJ1055">
        <f t="shared" si="117"/>
        <v>0</v>
      </c>
      <c r="AK1055">
        <v>0</v>
      </c>
      <c r="AL1055" t="str">
        <f>IF(AA1055="","",IFERROR(IF(ISNUMBER('Procyfloc 500'!D56),'Procyfloc 500'!D56,IF(ISNUMBER(SEARCH("12",'Procyfloc 500'!D56)),EDATE(AB1055,12),IF(ISNUMBER(SEARCH("6",'Procyfloc 500'!D56)),EDATE(AB1055,6),IF(ISNUMBER(SEARCH("3",'Procyfloc 500'!D56)),EDATE(AB1055,3),DATEVALUE('Procyfloc 500'!D56))))),""))</f>
        <v/>
      </c>
      <c r="AM1055" t="str">
        <f t="shared" ca="1" si="118"/>
        <v/>
      </c>
    </row>
    <row r="1056" spans="27:39" x14ac:dyDescent="0.3">
      <c r="AA1056" t="str">
        <f>IF(COUNTA('Procyfloc 500'!A57,'Procyfloc 500'!B57,'Procyfloc 500'!C57)&gt;0,"500","")</f>
        <v/>
      </c>
      <c r="AB1056" t="str">
        <f>IFERROR(IF(ISNUMBER('Procyfloc 500'!A57),'Procyfloc 500'!A57,DATEVALUE('Procyfloc 500'!A57)),"")</f>
        <v/>
      </c>
      <c r="AC1056" t="str">
        <f>IF(AA1056="","",'Procyfloc 500'!B57)</f>
        <v/>
      </c>
      <c r="AD1056" t="str">
        <f>IF(AA1056="","",IFERROR(1*'Procyfloc 500'!C57,IFERROR(_xludf.NUMBERVALUE('Procyfloc 500'!C57,".",","),IFERROR(_xludf.NUMBERVALUE('Procyfloc 500'!C57,",","."),0))))</f>
        <v/>
      </c>
      <c r="AE1056" t="str">
        <f>IF(AA1056="","",'Procyfloc 500'!L57)</f>
        <v/>
      </c>
      <c r="AF1056">
        <f t="shared" si="113"/>
        <v>0</v>
      </c>
      <c r="AG1056" t="str">
        <f t="shared" si="114"/>
        <v/>
      </c>
      <c r="AH1056" t="str">
        <f t="shared" si="115"/>
        <v/>
      </c>
      <c r="AI1056">
        <f t="shared" si="116"/>
        <v>0</v>
      </c>
      <c r="AJ1056">
        <f t="shared" si="117"/>
        <v>0</v>
      </c>
      <c r="AK1056">
        <v>0</v>
      </c>
      <c r="AL1056" t="str">
        <f>IF(AA1056="","",IFERROR(IF(ISNUMBER('Procyfloc 500'!D57),'Procyfloc 500'!D57,IF(ISNUMBER(SEARCH("12",'Procyfloc 500'!D57)),EDATE(AB1056,12),IF(ISNUMBER(SEARCH("6",'Procyfloc 500'!D57)),EDATE(AB1056,6),IF(ISNUMBER(SEARCH("3",'Procyfloc 500'!D57)),EDATE(AB1056,3),DATEVALUE('Procyfloc 500'!D57))))),""))</f>
        <v/>
      </c>
      <c r="AM1056" t="str">
        <f t="shared" ca="1" si="118"/>
        <v/>
      </c>
    </row>
    <row r="1057" spans="27:39" x14ac:dyDescent="0.3">
      <c r="AA1057" t="str">
        <f>IF(COUNTA('Procyfloc 500'!A58,'Procyfloc 500'!B58,'Procyfloc 500'!C58)&gt;0,"500","")</f>
        <v/>
      </c>
      <c r="AB1057" t="str">
        <f>IFERROR(IF(ISNUMBER('Procyfloc 500'!A58),'Procyfloc 500'!A58,DATEVALUE('Procyfloc 500'!A58)),"")</f>
        <v/>
      </c>
      <c r="AC1057" t="str">
        <f>IF(AA1057="","",'Procyfloc 500'!B58)</f>
        <v/>
      </c>
      <c r="AD1057" t="str">
        <f>IF(AA1057="","",IFERROR(1*'Procyfloc 500'!C58,IFERROR(_xludf.NUMBERVALUE('Procyfloc 500'!C58,".",","),IFERROR(_xludf.NUMBERVALUE('Procyfloc 500'!C58,",","."),0))))</f>
        <v/>
      </c>
      <c r="AE1057" t="str">
        <f>IF(AA1057="","",'Procyfloc 500'!L58)</f>
        <v/>
      </c>
      <c r="AF1057">
        <f t="shared" si="113"/>
        <v>0</v>
      </c>
      <c r="AG1057" t="str">
        <f t="shared" si="114"/>
        <v/>
      </c>
      <c r="AH1057" t="str">
        <f t="shared" si="115"/>
        <v/>
      </c>
      <c r="AI1057">
        <f t="shared" si="116"/>
        <v>0</v>
      </c>
      <c r="AJ1057">
        <f t="shared" si="117"/>
        <v>0</v>
      </c>
      <c r="AK1057">
        <v>0</v>
      </c>
      <c r="AL1057" t="str">
        <f>IF(AA1057="","",IFERROR(IF(ISNUMBER('Procyfloc 500'!D58),'Procyfloc 500'!D58,IF(ISNUMBER(SEARCH("12",'Procyfloc 500'!D58)),EDATE(AB1057,12),IF(ISNUMBER(SEARCH("6",'Procyfloc 500'!D58)),EDATE(AB1057,6),IF(ISNUMBER(SEARCH("3",'Procyfloc 500'!D58)),EDATE(AB1057,3),DATEVALUE('Procyfloc 500'!D58))))),""))</f>
        <v/>
      </c>
      <c r="AM1057" t="str">
        <f t="shared" ca="1" si="118"/>
        <v/>
      </c>
    </row>
    <row r="1058" spans="27:39" x14ac:dyDescent="0.3">
      <c r="AA1058" t="str">
        <f>IF(COUNTA('Procyfloc 500'!A59,'Procyfloc 500'!B59,'Procyfloc 500'!C59)&gt;0,"500","")</f>
        <v/>
      </c>
      <c r="AB1058" t="str">
        <f>IFERROR(IF(ISNUMBER('Procyfloc 500'!A59),'Procyfloc 500'!A59,DATEVALUE('Procyfloc 500'!A59)),"")</f>
        <v/>
      </c>
      <c r="AC1058" t="str">
        <f>IF(AA1058="","",'Procyfloc 500'!B59)</f>
        <v/>
      </c>
      <c r="AD1058" t="str">
        <f>IF(AA1058="","",IFERROR(1*'Procyfloc 500'!C59,IFERROR(_xludf.NUMBERVALUE('Procyfloc 500'!C59,".",","),IFERROR(_xludf.NUMBERVALUE('Procyfloc 500'!C59,",","."),0))))</f>
        <v/>
      </c>
      <c r="AE1058" t="str">
        <f>IF(AA1058="","",'Procyfloc 500'!L59)</f>
        <v/>
      </c>
      <c r="AF1058">
        <f t="shared" si="113"/>
        <v>0</v>
      </c>
      <c r="AG1058" t="str">
        <f t="shared" si="114"/>
        <v/>
      </c>
      <c r="AH1058" t="str">
        <f t="shared" si="115"/>
        <v/>
      </c>
      <c r="AI1058">
        <f t="shared" si="116"/>
        <v>0</v>
      </c>
      <c r="AJ1058">
        <f t="shared" si="117"/>
        <v>0</v>
      </c>
      <c r="AK1058">
        <v>0</v>
      </c>
      <c r="AL1058" t="str">
        <f>IF(AA1058="","",IFERROR(IF(ISNUMBER('Procyfloc 500'!D59),'Procyfloc 500'!D59,IF(ISNUMBER(SEARCH("12",'Procyfloc 500'!D59)),EDATE(AB1058,12),IF(ISNUMBER(SEARCH("6",'Procyfloc 500'!D59)),EDATE(AB1058,6),IF(ISNUMBER(SEARCH("3",'Procyfloc 500'!D59)),EDATE(AB1058,3),DATEVALUE('Procyfloc 500'!D59))))),""))</f>
        <v/>
      </c>
      <c r="AM1058" t="str">
        <f t="shared" ca="1" si="118"/>
        <v/>
      </c>
    </row>
    <row r="1059" spans="27:39" x14ac:dyDescent="0.3">
      <c r="AA1059" t="str">
        <f>IF(COUNTA('Procyfloc 500'!A60,'Procyfloc 500'!B60,'Procyfloc 500'!C60)&gt;0,"500","")</f>
        <v/>
      </c>
      <c r="AB1059" t="str">
        <f>IFERROR(IF(ISNUMBER('Procyfloc 500'!A60),'Procyfloc 500'!A60,DATEVALUE('Procyfloc 500'!A60)),"")</f>
        <v/>
      </c>
      <c r="AC1059" t="str">
        <f>IF(AA1059="","",'Procyfloc 500'!B60)</f>
        <v/>
      </c>
      <c r="AD1059" t="str">
        <f>IF(AA1059="","",IFERROR(1*'Procyfloc 500'!C60,IFERROR(_xludf.NUMBERVALUE('Procyfloc 500'!C60,".",","),IFERROR(_xludf.NUMBERVALUE('Procyfloc 500'!C60,",","."),0))))</f>
        <v/>
      </c>
      <c r="AE1059" t="str">
        <f>IF(AA1059="","",'Procyfloc 500'!L60)</f>
        <v/>
      </c>
      <c r="AF1059">
        <f t="shared" si="113"/>
        <v>0</v>
      </c>
      <c r="AG1059" t="str">
        <f t="shared" si="114"/>
        <v/>
      </c>
      <c r="AH1059" t="str">
        <f t="shared" si="115"/>
        <v/>
      </c>
      <c r="AI1059">
        <f t="shared" si="116"/>
        <v>0</v>
      </c>
      <c r="AJ1059">
        <f t="shared" si="117"/>
        <v>0</v>
      </c>
      <c r="AK1059">
        <v>0</v>
      </c>
      <c r="AL1059" t="str">
        <f>IF(AA1059="","",IFERROR(IF(ISNUMBER('Procyfloc 500'!D60),'Procyfloc 500'!D60,IF(ISNUMBER(SEARCH("12",'Procyfloc 500'!D60)),EDATE(AB1059,12),IF(ISNUMBER(SEARCH("6",'Procyfloc 500'!D60)),EDATE(AB1059,6),IF(ISNUMBER(SEARCH("3",'Procyfloc 500'!D60)),EDATE(AB1059,3),DATEVALUE('Procyfloc 500'!D60))))),""))</f>
        <v/>
      </c>
      <c r="AM1059" t="str">
        <f t="shared" ca="1" si="118"/>
        <v/>
      </c>
    </row>
    <row r="1060" spans="27:39" x14ac:dyDescent="0.3">
      <c r="AA1060" t="str">
        <f>IF(COUNTA('Procyfloc 500'!A61,'Procyfloc 500'!B61,'Procyfloc 500'!C61)&gt;0,"500","")</f>
        <v/>
      </c>
      <c r="AB1060" t="str">
        <f>IFERROR(IF(ISNUMBER('Procyfloc 500'!A61),'Procyfloc 500'!A61,DATEVALUE('Procyfloc 500'!A61)),"")</f>
        <v/>
      </c>
      <c r="AC1060" t="str">
        <f>IF(AA1060="","",'Procyfloc 500'!B61)</f>
        <v/>
      </c>
      <c r="AD1060" t="str">
        <f>IF(AA1060="","",IFERROR(1*'Procyfloc 500'!C61,IFERROR(_xludf.NUMBERVALUE('Procyfloc 500'!C61,".",","),IFERROR(_xludf.NUMBERVALUE('Procyfloc 500'!C61,",","."),0))))</f>
        <v/>
      </c>
      <c r="AE1060" t="str">
        <f>IF(AA1060="","",'Procyfloc 500'!L61)</f>
        <v/>
      </c>
      <c r="AF1060">
        <f t="shared" si="113"/>
        <v>0</v>
      </c>
      <c r="AG1060" t="str">
        <f t="shared" si="114"/>
        <v/>
      </c>
      <c r="AH1060" t="str">
        <f t="shared" si="115"/>
        <v/>
      </c>
      <c r="AI1060">
        <f t="shared" si="116"/>
        <v>0</v>
      </c>
      <c r="AJ1060">
        <f t="shared" si="117"/>
        <v>0</v>
      </c>
      <c r="AK1060">
        <v>0</v>
      </c>
      <c r="AL1060" t="str">
        <f>IF(AA1060="","",IFERROR(IF(ISNUMBER('Procyfloc 500'!D61),'Procyfloc 500'!D61,IF(ISNUMBER(SEARCH("12",'Procyfloc 500'!D61)),EDATE(AB1060,12),IF(ISNUMBER(SEARCH("6",'Procyfloc 500'!D61)),EDATE(AB1060,6),IF(ISNUMBER(SEARCH("3",'Procyfloc 500'!D61)),EDATE(AB1060,3),DATEVALUE('Procyfloc 500'!D61))))),""))</f>
        <v/>
      </c>
      <c r="AM1060" t="str">
        <f t="shared" ca="1" si="118"/>
        <v/>
      </c>
    </row>
    <row r="1061" spans="27:39" x14ac:dyDescent="0.3">
      <c r="AA1061" t="str">
        <f>IF(COUNTA('Procyfloc 500'!A62,'Procyfloc 500'!B62,'Procyfloc 500'!C62)&gt;0,"500","")</f>
        <v/>
      </c>
      <c r="AB1061" t="str">
        <f>IFERROR(IF(ISNUMBER('Procyfloc 500'!A62),'Procyfloc 500'!A62,DATEVALUE('Procyfloc 500'!A62)),"")</f>
        <v/>
      </c>
      <c r="AC1061" t="str">
        <f>IF(AA1061="","",'Procyfloc 500'!B62)</f>
        <v/>
      </c>
      <c r="AD1061" t="str">
        <f>IF(AA1061="","",IFERROR(1*'Procyfloc 500'!C62,IFERROR(_xludf.NUMBERVALUE('Procyfloc 500'!C62,".",","),IFERROR(_xludf.NUMBERVALUE('Procyfloc 500'!C62,",","."),0))))</f>
        <v/>
      </c>
      <c r="AE1061" t="str">
        <f>IF(AA1061="","",'Procyfloc 500'!L62)</f>
        <v/>
      </c>
      <c r="AF1061">
        <f t="shared" si="113"/>
        <v>0</v>
      </c>
      <c r="AG1061" t="str">
        <f t="shared" si="114"/>
        <v/>
      </c>
      <c r="AH1061" t="str">
        <f t="shared" si="115"/>
        <v/>
      </c>
      <c r="AI1061">
        <f t="shared" si="116"/>
        <v>0</v>
      </c>
      <c r="AJ1061">
        <f t="shared" si="117"/>
        <v>0</v>
      </c>
      <c r="AK1061">
        <v>0</v>
      </c>
      <c r="AL1061" t="str">
        <f>IF(AA1061="","",IFERROR(IF(ISNUMBER('Procyfloc 500'!D62),'Procyfloc 500'!D62,IF(ISNUMBER(SEARCH("12",'Procyfloc 500'!D62)),EDATE(AB1061,12),IF(ISNUMBER(SEARCH("6",'Procyfloc 500'!D62)),EDATE(AB1061,6),IF(ISNUMBER(SEARCH("3",'Procyfloc 500'!D62)),EDATE(AB1061,3),DATEVALUE('Procyfloc 500'!D62))))),""))</f>
        <v/>
      </c>
      <c r="AM1061" t="str">
        <f t="shared" ca="1" si="118"/>
        <v/>
      </c>
    </row>
    <row r="1062" spans="27:39" x14ac:dyDescent="0.3">
      <c r="AA1062" t="str">
        <f>IF(COUNTA('Procyfloc 500'!A63,'Procyfloc 500'!B63,'Procyfloc 500'!C63)&gt;0,"500","")</f>
        <v/>
      </c>
      <c r="AB1062" t="str">
        <f>IFERROR(IF(ISNUMBER('Procyfloc 500'!A63),'Procyfloc 500'!A63,DATEVALUE('Procyfloc 500'!A63)),"")</f>
        <v/>
      </c>
      <c r="AC1062" t="str">
        <f>IF(AA1062="","",'Procyfloc 500'!B63)</f>
        <v/>
      </c>
      <c r="AD1062" t="str">
        <f>IF(AA1062="","",IFERROR(1*'Procyfloc 500'!C63,IFERROR(_xludf.NUMBERVALUE('Procyfloc 500'!C63,".",","),IFERROR(_xludf.NUMBERVALUE('Procyfloc 500'!C63,",","."),0))))</f>
        <v/>
      </c>
      <c r="AE1062" t="str">
        <f>IF(AA1062="","",'Procyfloc 500'!L63)</f>
        <v/>
      </c>
      <c r="AF1062">
        <f t="shared" si="113"/>
        <v>0</v>
      </c>
      <c r="AG1062" t="str">
        <f t="shared" si="114"/>
        <v/>
      </c>
      <c r="AH1062" t="str">
        <f t="shared" si="115"/>
        <v/>
      </c>
      <c r="AI1062">
        <f t="shared" si="116"/>
        <v>0</v>
      </c>
      <c r="AJ1062">
        <f t="shared" si="117"/>
        <v>0</v>
      </c>
      <c r="AK1062">
        <v>0</v>
      </c>
      <c r="AL1062" t="str">
        <f>IF(AA1062="","",IFERROR(IF(ISNUMBER('Procyfloc 500'!D63),'Procyfloc 500'!D63,IF(ISNUMBER(SEARCH("12",'Procyfloc 500'!D63)),EDATE(AB1062,12),IF(ISNUMBER(SEARCH("6",'Procyfloc 500'!D63)),EDATE(AB1062,6),IF(ISNUMBER(SEARCH("3",'Procyfloc 500'!D63)),EDATE(AB1062,3),DATEVALUE('Procyfloc 500'!D63))))),""))</f>
        <v/>
      </c>
      <c r="AM1062" t="str">
        <f t="shared" ca="1" si="118"/>
        <v/>
      </c>
    </row>
    <row r="1063" spans="27:39" x14ac:dyDescent="0.3">
      <c r="AA1063" t="str">
        <f>IF(COUNTA('Procyfloc 500'!A64,'Procyfloc 500'!B64,'Procyfloc 500'!C64)&gt;0,"500","")</f>
        <v/>
      </c>
      <c r="AB1063" t="str">
        <f>IFERROR(IF(ISNUMBER('Procyfloc 500'!A64),'Procyfloc 500'!A64,DATEVALUE('Procyfloc 500'!A64)),"")</f>
        <v/>
      </c>
      <c r="AC1063" t="str">
        <f>IF(AA1063="","",'Procyfloc 500'!B64)</f>
        <v/>
      </c>
      <c r="AD1063" t="str">
        <f>IF(AA1063="","",IFERROR(1*'Procyfloc 500'!C64,IFERROR(_xludf.NUMBERVALUE('Procyfloc 500'!C64,".",","),IFERROR(_xludf.NUMBERVALUE('Procyfloc 500'!C64,",","."),0))))</f>
        <v/>
      </c>
      <c r="AE1063" t="str">
        <f>IF(AA1063="","",'Procyfloc 500'!L64)</f>
        <v/>
      </c>
      <c r="AF1063">
        <f t="shared" si="113"/>
        <v>0</v>
      </c>
      <c r="AG1063" t="str">
        <f t="shared" si="114"/>
        <v/>
      </c>
      <c r="AH1063" t="str">
        <f t="shared" si="115"/>
        <v/>
      </c>
      <c r="AI1063">
        <f t="shared" si="116"/>
        <v>0</v>
      </c>
      <c r="AJ1063">
        <f t="shared" si="117"/>
        <v>0</v>
      </c>
      <c r="AK1063">
        <v>0</v>
      </c>
      <c r="AL1063" t="str">
        <f>IF(AA1063="","",IFERROR(IF(ISNUMBER('Procyfloc 500'!D64),'Procyfloc 500'!D64,IF(ISNUMBER(SEARCH("12",'Procyfloc 500'!D64)),EDATE(AB1063,12),IF(ISNUMBER(SEARCH("6",'Procyfloc 500'!D64)),EDATE(AB1063,6),IF(ISNUMBER(SEARCH("3",'Procyfloc 500'!D64)),EDATE(AB1063,3),DATEVALUE('Procyfloc 500'!D64))))),""))</f>
        <v/>
      </c>
      <c r="AM1063" t="str">
        <f t="shared" ca="1" si="118"/>
        <v/>
      </c>
    </row>
    <row r="1064" spans="27:39" x14ac:dyDescent="0.3">
      <c r="AA1064" t="str">
        <f>IF(COUNTA('Procyfloc 500'!A65,'Procyfloc 500'!B65,'Procyfloc 500'!C65)&gt;0,"500","")</f>
        <v/>
      </c>
      <c r="AB1064" t="str">
        <f>IFERROR(IF(ISNUMBER('Procyfloc 500'!A65),'Procyfloc 500'!A65,DATEVALUE('Procyfloc 500'!A65)),"")</f>
        <v/>
      </c>
      <c r="AC1064" t="str">
        <f>IF(AA1064="","",'Procyfloc 500'!B65)</f>
        <v/>
      </c>
      <c r="AD1064" t="str">
        <f>IF(AA1064="","",IFERROR(1*'Procyfloc 500'!C65,IFERROR(_xludf.NUMBERVALUE('Procyfloc 500'!C65,".",","),IFERROR(_xludf.NUMBERVALUE('Procyfloc 500'!C65,",","."),0))))</f>
        <v/>
      </c>
      <c r="AE1064" t="str">
        <f>IF(AA1064="","",'Procyfloc 500'!L65)</f>
        <v/>
      </c>
      <c r="AF1064">
        <f t="shared" si="113"/>
        <v>0</v>
      </c>
      <c r="AG1064" t="str">
        <f t="shared" si="114"/>
        <v/>
      </c>
      <c r="AH1064" t="str">
        <f t="shared" si="115"/>
        <v/>
      </c>
      <c r="AI1064">
        <f t="shared" si="116"/>
        <v>0</v>
      </c>
      <c r="AJ1064">
        <f t="shared" si="117"/>
        <v>0</v>
      </c>
      <c r="AK1064">
        <v>0</v>
      </c>
      <c r="AL1064" t="str">
        <f>IF(AA1064="","",IFERROR(IF(ISNUMBER('Procyfloc 500'!D65),'Procyfloc 500'!D65,IF(ISNUMBER(SEARCH("12",'Procyfloc 500'!D65)),EDATE(AB1064,12),IF(ISNUMBER(SEARCH("6",'Procyfloc 500'!D65)),EDATE(AB1064,6),IF(ISNUMBER(SEARCH("3",'Procyfloc 500'!D65)),EDATE(AB1064,3),DATEVALUE('Procyfloc 500'!D65))))),""))</f>
        <v/>
      </c>
      <c r="AM1064" t="str">
        <f t="shared" ca="1" si="118"/>
        <v/>
      </c>
    </row>
    <row r="1065" spans="27:39" x14ac:dyDescent="0.3">
      <c r="AA1065" t="str">
        <f>IF(COUNTA('Procyfloc 500'!A66,'Procyfloc 500'!B66,'Procyfloc 500'!C66)&gt;0,"500","")</f>
        <v/>
      </c>
      <c r="AB1065" t="str">
        <f>IFERROR(IF(ISNUMBER('Procyfloc 500'!A66),'Procyfloc 500'!A66,DATEVALUE('Procyfloc 500'!A66)),"")</f>
        <v/>
      </c>
      <c r="AC1065" t="str">
        <f>IF(AA1065="","",'Procyfloc 500'!B66)</f>
        <v/>
      </c>
      <c r="AD1065" t="str">
        <f>IF(AA1065="","",IFERROR(1*'Procyfloc 500'!C66,IFERROR(_xludf.NUMBERVALUE('Procyfloc 500'!C66,".",","),IFERROR(_xludf.NUMBERVALUE('Procyfloc 500'!C66,",","."),0))))</f>
        <v/>
      </c>
      <c r="AE1065" t="str">
        <f>IF(AA1065="","",'Procyfloc 500'!L66)</f>
        <v/>
      </c>
      <c r="AF1065">
        <f t="shared" si="113"/>
        <v>0</v>
      </c>
      <c r="AG1065" t="str">
        <f t="shared" si="114"/>
        <v/>
      </c>
      <c r="AH1065" t="str">
        <f t="shared" si="115"/>
        <v/>
      </c>
      <c r="AI1065">
        <f t="shared" si="116"/>
        <v>0</v>
      </c>
      <c r="AJ1065">
        <f t="shared" si="117"/>
        <v>0</v>
      </c>
      <c r="AK1065">
        <v>0</v>
      </c>
      <c r="AL1065" t="str">
        <f>IF(AA1065="","",IFERROR(IF(ISNUMBER('Procyfloc 500'!D66),'Procyfloc 500'!D66,IF(ISNUMBER(SEARCH("12",'Procyfloc 500'!D66)),EDATE(AB1065,12),IF(ISNUMBER(SEARCH("6",'Procyfloc 500'!D66)),EDATE(AB1065,6),IF(ISNUMBER(SEARCH("3",'Procyfloc 500'!D66)),EDATE(AB1065,3),DATEVALUE('Procyfloc 500'!D66))))),""))</f>
        <v/>
      </c>
      <c r="AM1065" t="str">
        <f t="shared" ca="1" si="118"/>
        <v/>
      </c>
    </row>
    <row r="1066" spans="27:39" x14ac:dyDescent="0.3">
      <c r="AA1066" t="str">
        <f>IF(COUNTA('Procyfloc 500'!A67,'Procyfloc 500'!B67,'Procyfloc 500'!C67)&gt;0,"500","")</f>
        <v/>
      </c>
      <c r="AB1066" t="str">
        <f>IFERROR(IF(ISNUMBER('Procyfloc 500'!A67),'Procyfloc 500'!A67,DATEVALUE('Procyfloc 500'!A67)),"")</f>
        <v/>
      </c>
      <c r="AC1066" t="str">
        <f>IF(AA1066="","",'Procyfloc 500'!B67)</f>
        <v/>
      </c>
      <c r="AD1066" t="str">
        <f>IF(AA1066="","",IFERROR(1*'Procyfloc 500'!C67,IFERROR(_xludf.NUMBERVALUE('Procyfloc 500'!C67,".",","),IFERROR(_xludf.NUMBERVALUE('Procyfloc 500'!C67,",","."),0))))</f>
        <v/>
      </c>
      <c r="AE1066" t="str">
        <f>IF(AA1066="","",'Procyfloc 500'!L67)</f>
        <v/>
      </c>
      <c r="AF1066">
        <f t="shared" si="113"/>
        <v>0</v>
      </c>
      <c r="AG1066" t="str">
        <f t="shared" si="114"/>
        <v/>
      </c>
      <c r="AH1066" t="str">
        <f t="shared" si="115"/>
        <v/>
      </c>
      <c r="AI1066">
        <f t="shared" si="116"/>
        <v>0</v>
      </c>
      <c r="AJ1066">
        <f t="shared" si="117"/>
        <v>0</v>
      </c>
      <c r="AK1066">
        <v>0</v>
      </c>
      <c r="AL1066" t="str">
        <f>IF(AA1066="","",IFERROR(IF(ISNUMBER('Procyfloc 500'!D67),'Procyfloc 500'!D67,IF(ISNUMBER(SEARCH("12",'Procyfloc 500'!D67)),EDATE(AB1066,12),IF(ISNUMBER(SEARCH("6",'Procyfloc 500'!D67)),EDATE(AB1066,6),IF(ISNUMBER(SEARCH("3",'Procyfloc 500'!D67)),EDATE(AB1066,3),DATEVALUE('Procyfloc 500'!D67))))),""))</f>
        <v/>
      </c>
      <c r="AM1066" t="str">
        <f t="shared" ca="1" si="118"/>
        <v/>
      </c>
    </row>
    <row r="1067" spans="27:39" x14ac:dyDescent="0.3">
      <c r="AA1067" t="str">
        <f>IF(COUNTA('Procyfloc 500'!A68,'Procyfloc 500'!B68,'Procyfloc 500'!C68)&gt;0,"500","")</f>
        <v/>
      </c>
      <c r="AB1067" t="str">
        <f>IFERROR(IF(ISNUMBER('Procyfloc 500'!A68),'Procyfloc 500'!A68,DATEVALUE('Procyfloc 500'!A68)),"")</f>
        <v/>
      </c>
      <c r="AC1067" t="str">
        <f>IF(AA1067="","",'Procyfloc 500'!B68)</f>
        <v/>
      </c>
      <c r="AD1067" t="str">
        <f>IF(AA1067="","",IFERROR(1*'Procyfloc 500'!C68,IFERROR(_xludf.NUMBERVALUE('Procyfloc 500'!C68,".",","),IFERROR(_xludf.NUMBERVALUE('Procyfloc 500'!C68,",","."),0))))</f>
        <v/>
      </c>
      <c r="AE1067" t="str">
        <f>IF(AA1067="","",'Procyfloc 500'!L68)</f>
        <v/>
      </c>
      <c r="AF1067">
        <f t="shared" si="113"/>
        <v>0</v>
      </c>
      <c r="AG1067" t="str">
        <f t="shared" si="114"/>
        <v/>
      </c>
      <c r="AH1067" t="str">
        <f t="shared" si="115"/>
        <v/>
      </c>
      <c r="AI1067">
        <f t="shared" si="116"/>
        <v>0</v>
      </c>
      <c r="AJ1067">
        <f t="shared" si="117"/>
        <v>0</v>
      </c>
      <c r="AK1067">
        <v>0</v>
      </c>
      <c r="AL1067" t="str">
        <f>IF(AA1067="","",IFERROR(IF(ISNUMBER('Procyfloc 500'!D68),'Procyfloc 500'!D68,IF(ISNUMBER(SEARCH("12",'Procyfloc 500'!D68)),EDATE(AB1067,12),IF(ISNUMBER(SEARCH("6",'Procyfloc 500'!D68)),EDATE(AB1067,6),IF(ISNUMBER(SEARCH("3",'Procyfloc 500'!D68)),EDATE(AB1067,3),DATEVALUE('Procyfloc 500'!D68))))),""))</f>
        <v/>
      </c>
      <c r="AM1067" t="str">
        <f t="shared" ca="1" si="118"/>
        <v/>
      </c>
    </row>
    <row r="1068" spans="27:39" x14ac:dyDescent="0.3">
      <c r="AA1068" t="str">
        <f>IF(COUNTA('Procyfloc 500'!A69,'Procyfloc 500'!B69,'Procyfloc 500'!C69)&gt;0,"500","")</f>
        <v/>
      </c>
      <c r="AB1068" t="str">
        <f>IFERROR(IF(ISNUMBER('Procyfloc 500'!A69),'Procyfloc 500'!A69,DATEVALUE('Procyfloc 500'!A69)),"")</f>
        <v/>
      </c>
      <c r="AC1068" t="str">
        <f>IF(AA1068="","",'Procyfloc 500'!B69)</f>
        <v/>
      </c>
      <c r="AD1068" t="str">
        <f>IF(AA1068="","",IFERROR(1*'Procyfloc 500'!C69,IFERROR(_xludf.NUMBERVALUE('Procyfloc 500'!C69,".",","),IFERROR(_xludf.NUMBERVALUE('Procyfloc 500'!C69,",","."),0))))</f>
        <v/>
      </c>
      <c r="AE1068" t="str">
        <f>IF(AA1068="","",'Procyfloc 500'!L69)</f>
        <v/>
      </c>
      <c r="AF1068">
        <f t="shared" si="113"/>
        <v>0</v>
      </c>
      <c r="AG1068" t="str">
        <f t="shared" si="114"/>
        <v/>
      </c>
      <c r="AH1068" t="str">
        <f t="shared" si="115"/>
        <v/>
      </c>
      <c r="AI1068">
        <f t="shared" si="116"/>
        <v>0</v>
      </c>
      <c r="AJ1068">
        <f t="shared" si="117"/>
        <v>0</v>
      </c>
      <c r="AK1068">
        <v>0</v>
      </c>
      <c r="AL1068" t="str">
        <f>IF(AA1068="","",IFERROR(IF(ISNUMBER('Procyfloc 500'!D69),'Procyfloc 500'!D69,IF(ISNUMBER(SEARCH("12",'Procyfloc 500'!D69)),EDATE(AB1068,12),IF(ISNUMBER(SEARCH("6",'Procyfloc 500'!D69)),EDATE(AB1068,6),IF(ISNUMBER(SEARCH("3",'Procyfloc 500'!D69)),EDATE(AB1068,3),DATEVALUE('Procyfloc 500'!D69))))),""))</f>
        <v/>
      </c>
      <c r="AM1068" t="str">
        <f t="shared" ca="1" si="118"/>
        <v/>
      </c>
    </row>
    <row r="1069" spans="27:39" x14ac:dyDescent="0.3">
      <c r="AA1069" t="str">
        <f>IF(COUNTA('Procyfloc 500'!A70,'Procyfloc 500'!B70,'Procyfloc 500'!C70)&gt;0,"500","")</f>
        <v/>
      </c>
      <c r="AB1069" t="str">
        <f>IFERROR(IF(ISNUMBER('Procyfloc 500'!A70),'Procyfloc 500'!A70,DATEVALUE('Procyfloc 500'!A70)),"")</f>
        <v/>
      </c>
      <c r="AC1069" t="str">
        <f>IF(AA1069="","",'Procyfloc 500'!B70)</f>
        <v/>
      </c>
      <c r="AD1069" t="str">
        <f>IF(AA1069="","",IFERROR(1*'Procyfloc 500'!C70,IFERROR(_xludf.NUMBERVALUE('Procyfloc 500'!C70,".",","),IFERROR(_xludf.NUMBERVALUE('Procyfloc 500'!C70,",","."),0))))</f>
        <v/>
      </c>
      <c r="AE1069" t="str">
        <f>IF(AA1069="","",'Procyfloc 500'!L70)</f>
        <v/>
      </c>
      <c r="AF1069">
        <f t="shared" si="113"/>
        <v>0</v>
      </c>
      <c r="AG1069" t="str">
        <f t="shared" si="114"/>
        <v/>
      </c>
      <c r="AH1069" t="str">
        <f t="shared" si="115"/>
        <v/>
      </c>
      <c r="AI1069">
        <f t="shared" si="116"/>
        <v>0</v>
      </c>
      <c r="AJ1069">
        <f t="shared" si="117"/>
        <v>0</v>
      </c>
      <c r="AK1069">
        <v>0</v>
      </c>
      <c r="AL1069" t="str">
        <f>IF(AA1069="","",IFERROR(IF(ISNUMBER('Procyfloc 500'!D70),'Procyfloc 500'!D70,IF(ISNUMBER(SEARCH("12",'Procyfloc 500'!D70)),EDATE(AB1069,12),IF(ISNUMBER(SEARCH("6",'Procyfloc 500'!D70)),EDATE(AB1069,6),IF(ISNUMBER(SEARCH("3",'Procyfloc 500'!D70)),EDATE(AB1069,3),DATEVALUE('Procyfloc 500'!D70))))),""))</f>
        <v/>
      </c>
      <c r="AM1069" t="str">
        <f t="shared" ca="1" si="118"/>
        <v/>
      </c>
    </row>
    <row r="1070" spans="27:39" x14ac:dyDescent="0.3">
      <c r="AA1070" t="str">
        <f>IF(COUNTA('Procyfloc 500'!A71,'Procyfloc 500'!B71,'Procyfloc 500'!C71)&gt;0,"500","")</f>
        <v/>
      </c>
      <c r="AB1070" t="str">
        <f>IFERROR(IF(ISNUMBER('Procyfloc 500'!A71),'Procyfloc 500'!A71,DATEVALUE('Procyfloc 500'!A71)),"")</f>
        <v/>
      </c>
      <c r="AC1070" t="str">
        <f>IF(AA1070="","",'Procyfloc 500'!B71)</f>
        <v/>
      </c>
      <c r="AD1070" t="str">
        <f>IF(AA1070="","",IFERROR(1*'Procyfloc 500'!C71,IFERROR(_xludf.NUMBERVALUE('Procyfloc 500'!C71,".",","),IFERROR(_xludf.NUMBERVALUE('Procyfloc 500'!C71,",","."),0))))</f>
        <v/>
      </c>
      <c r="AE1070" t="str">
        <f>IF(AA1070="","",'Procyfloc 500'!L71)</f>
        <v/>
      </c>
      <c r="AF1070">
        <f t="shared" si="113"/>
        <v>0</v>
      </c>
      <c r="AG1070" t="str">
        <f t="shared" si="114"/>
        <v/>
      </c>
      <c r="AH1070" t="str">
        <f t="shared" si="115"/>
        <v/>
      </c>
      <c r="AI1070">
        <f t="shared" si="116"/>
        <v>0</v>
      </c>
      <c r="AJ1070">
        <f t="shared" si="117"/>
        <v>0</v>
      </c>
      <c r="AK1070">
        <v>0</v>
      </c>
      <c r="AL1070" t="str">
        <f>IF(AA1070="","",IFERROR(IF(ISNUMBER('Procyfloc 500'!D71),'Procyfloc 500'!D71,IF(ISNUMBER(SEARCH("12",'Procyfloc 500'!D71)),EDATE(AB1070,12),IF(ISNUMBER(SEARCH("6",'Procyfloc 500'!D71)),EDATE(AB1070,6),IF(ISNUMBER(SEARCH("3",'Procyfloc 500'!D71)),EDATE(AB1070,3),DATEVALUE('Procyfloc 500'!D71))))),""))</f>
        <v/>
      </c>
      <c r="AM1070" t="str">
        <f t="shared" ca="1" si="118"/>
        <v/>
      </c>
    </row>
    <row r="1071" spans="27:39" x14ac:dyDescent="0.3">
      <c r="AA1071" t="str">
        <f>IF(COUNTA('Procyfloc 500'!A72,'Procyfloc 500'!B72,'Procyfloc 500'!C72)&gt;0,"500","")</f>
        <v/>
      </c>
      <c r="AB1071" t="str">
        <f>IFERROR(IF(ISNUMBER('Procyfloc 500'!A72),'Procyfloc 500'!A72,DATEVALUE('Procyfloc 500'!A72)),"")</f>
        <v/>
      </c>
      <c r="AC1071" t="str">
        <f>IF(AA1071="","",'Procyfloc 500'!B72)</f>
        <v/>
      </c>
      <c r="AD1071" t="str">
        <f>IF(AA1071="","",IFERROR(1*'Procyfloc 500'!C72,IFERROR(_xludf.NUMBERVALUE('Procyfloc 500'!C72,".",","),IFERROR(_xludf.NUMBERVALUE('Procyfloc 500'!C72,",","."),0))))</f>
        <v/>
      </c>
      <c r="AE1071" t="str">
        <f>IF(AA1071="","",'Procyfloc 500'!L72)</f>
        <v/>
      </c>
      <c r="AF1071">
        <f t="shared" si="113"/>
        <v>0</v>
      </c>
      <c r="AG1071" t="str">
        <f t="shared" si="114"/>
        <v/>
      </c>
      <c r="AH1071" t="str">
        <f t="shared" si="115"/>
        <v/>
      </c>
      <c r="AI1071">
        <f t="shared" si="116"/>
        <v>0</v>
      </c>
      <c r="AJ1071">
        <f t="shared" si="117"/>
        <v>0</v>
      </c>
      <c r="AK1071">
        <v>0</v>
      </c>
      <c r="AL1071" t="str">
        <f>IF(AA1071="","",IFERROR(IF(ISNUMBER('Procyfloc 500'!D72),'Procyfloc 500'!D72,IF(ISNUMBER(SEARCH("12",'Procyfloc 500'!D72)),EDATE(AB1071,12),IF(ISNUMBER(SEARCH("6",'Procyfloc 500'!D72)),EDATE(AB1071,6),IF(ISNUMBER(SEARCH("3",'Procyfloc 500'!D72)),EDATE(AB1071,3),DATEVALUE('Procyfloc 500'!D72))))),""))</f>
        <v/>
      </c>
      <c r="AM1071" t="str">
        <f t="shared" ca="1" si="118"/>
        <v/>
      </c>
    </row>
    <row r="1072" spans="27:39" x14ac:dyDescent="0.3">
      <c r="AA1072" t="str">
        <f>IF(COUNTA('Procyfloc 500'!A73,'Procyfloc 500'!B73,'Procyfloc 500'!C73)&gt;0,"500","")</f>
        <v/>
      </c>
      <c r="AB1072" t="str">
        <f>IFERROR(IF(ISNUMBER('Procyfloc 500'!A73),'Procyfloc 500'!A73,DATEVALUE('Procyfloc 500'!A73)),"")</f>
        <v/>
      </c>
      <c r="AC1072" t="str">
        <f>IF(AA1072="","",'Procyfloc 500'!B73)</f>
        <v/>
      </c>
      <c r="AD1072" t="str">
        <f>IF(AA1072="","",IFERROR(1*'Procyfloc 500'!C73,IFERROR(_xludf.NUMBERVALUE('Procyfloc 500'!C73,".",","),IFERROR(_xludf.NUMBERVALUE('Procyfloc 500'!C73,",","."),0))))</f>
        <v/>
      </c>
      <c r="AE1072" t="str">
        <f>IF(AA1072="","",'Procyfloc 500'!L73)</f>
        <v/>
      </c>
      <c r="AF1072">
        <f t="shared" si="113"/>
        <v>0</v>
      </c>
      <c r="AG1072" t="str">
        <f t="shared" si="114"/>
        <v/>
      </c>
      <c r="AH1072" t="str">
        <f t="shared" si="115"/>
        <v/>
      </c>
      <c r="AI1072">
        <f t="shared" si="116"/>
        <v>0</v>
      </c>
      <c r="AJ1072">
        <f t="shared" si="117"/>
        <v>0</v>
      </c>
      <c r="AK1072">
        <v>0</v>
      </c>
      <c r="AL1072" t="str">
        <f>IF(AA1072="","",IFERROR(IF(ISNUMBER('Procyfloc 500'!D73),'Procyfloc 500'!D73,IF(ISNUMBER(SEARCH("12",'Procyfloc 500'!D73)),EDATE(AB1072,12),IF(ISNUMBER(SEARCH("6",'Procyfloc 500'!D73)),EDATE(AB1072,6),IF(ISNUMBER(SEARCH("3",'Procyfloc 500'!D73)),EDATE(AB1072,3),DATEVALUE('Procyfloc 500'!D73))))),""))</f>
        <v/>
      </c>
      <c r="AM1072" t="str">
        <f t="shared" ca="1" si="118"/>
        <v/>
      </c>
    </row>
    <row r="1073" spans="27:39" x14ac:dyDescent="0.3">
      <c r="AA1073" t="str">
        <f>IF(COUNTA('Procyfloc 500'!A74,'Procyfloc 500'!B74,'Procyfloc 500'!C74)&gt;0,"500","")</f>
        <v/>
      </c>
      <c r="AB1073" t="str">
        <f>IFERROR(IF(ISNUMBER('Procyfloc 500'!A74),'Procyfloc 500'!A74,DATEVALUE('Procyfloc 500'!A74)),"")</f>
        <v/>
      </c>
      <c r="AC1073" t="str">
        <f>IF(AA1073="","",'Procyfloc 500'!B74)</f>
        <v/>
      </c>
      <c r="AD1073" t="str">
        <f>IF(AA1073="","",IFERROR(1*'Procyfloc 500'!C74,IFERROR(_xludf.NUMBERVALUE('Procyfloc 500'!C74,".",","),IFERROR(_xludf.NUMBERVALUE('Procyfloc 500'!C74,",","."),0))))</f>
        <v/>
      </c>
      <c r="AE1073" t="str">
        <f>IF(AA1073="","",'Procyfloc 500'!L74)</f>
        <v/>
      </c>
      <c r="AF1073">
        <f t="shared" si="113"/>
        <v>0</v>
      </c>
      <c r="AG1073" t="str">
        <f t="shared" si="114"/>
        <v/>
      </c>
      <c r="AH1073" t="str">
        <f t="shared" si="115"/>
        <v/>
      </c>
      <c r="AI1073">
        <f t="shared" si="116"/>
        <v>0</v>
      </c>
      <c r="AJ1073">
        <f t="shared" si="117"/>
        <v>0</v>
      </c>
      <c r="AK1073">
        <v>0</v>
      </c>
      <c r="AL1073" t="str">
        <f>IF(AA1073="","",IFERROR(IF(ISNUMBER('Procyfloc 500'!D74),'Procyfloc 500'!D74,IF(ISNUMBER(SEARCH("12",'Procyfloc 500'!D74)),EDATE(AB1073,12),IF(ISNUMBER(SEARCH("6",'Procyfloc 500'!D74)),EDATE(AB1073,6),IF(ISNUMBER(SEARCH("3",'Procyfloc 500'!D74)),EDATE(AB1073,3),DATEVALUE('Procyfloc 500'!D74))))),""))</f>
        <v/>
      </c>
      <c r="AM1073" t="str">
        <f t="shared" ca="1" si="118"/>
        <v/>
      </c>
    </row>
    <row r="1074" spans="27:39" x14ac:dyDescent="0.3">
      <c r="AA1074" t="str">
        <f>IF(COUNTA('Procyfloc 500'!A75,'Procyfloc 500'!B75,'Procyfloc 500'!C75)&gt;0,"500","")</f>
        <v/>
      </c>
      <c r="AB1074" t="str">
        <f>IFERROR(IF(ISNUMBER('Procyfloc 500'!A75),'Procyfloc 500'!A75,DATEVALUE('Procyfloc 500'!A75)),"")</f>
        <v/>
      </c>
      <c r="AC1074" t="str">
        <f>IF(AA1074="","",'Procyfloc 500'!B75)</f>
        <v/>
      </c>
      <c r="AD1074" t="str">
        <f>IF(AA1074="","",IFERROR(1*'Procyfloc 500'!C75,IFERROR(_xludf.NUMBERVALUE('Procyfloc 500'!C75,".",","),IFERROR(_xludf.NUMBERVALUE('Procyfloc 500'!C75,",","."),0))))</f>
        <v/>
      </c>
      <c r="AE1074" t="str">
        <f>IF(AA1074="","",'Procyfloc 500'!L75)</f>
        <v/>
      </c>
      <c r="AF1074">
        <f t="shared" si="113"/>
        <v>0</v>
      </c>
      <c r="AG1074" t="str">
        <f t="shared" si="114"/>
        <v/>
      </c>
      <c r="AH1074" t="str">
        <f t="shared" si="115"/>
        <v/>
      </c>
      <c r="AI1074">
        <f t="shared" si="116"/>
        <v>0</v>
      </c>
      <c r="AJ1074">
        <f t="shared" si="117"/>
        <v>0</v>
      </c>
      <c r="AK1074">
        <v>0</v>
      </c>
      <c r="AL1074" t="str">
        <f>IF(AA1074="","",IFERROR(IF(ISNUMBER('Procyfloc 500'!D75),'Procyfloc 500'!D75,IF(ISNUMBER(SEARCH("12",'Procyfloc 500'!D75)),EDATE(AB1074,12),IF(ISNUMBER(SEARCH("6",'Procyfloc 500'!D75)),EDATE(AB1074,6),IF(ISNUMBER(SEARCH("3",'Procyfloc 500'!D75)),EDATE(AB1074,3),DATEVALUE('Procyfloc 500'!D75))))),""))</f>
        <v/>
      </c>
      <c r="AM1074" t="str">
        <f t="shared" ca="1" si="118"/>
        <v/>
      </c>
    </row>
    <row r="1075" spans="27:39" x14ac:dyDescent="0.3">
      <c r="AA1075" t="str">
        <f>IF(COUNTA('Procyfloc 500'!A76,'Procyfloc 500'!B76,'Procyfloc 500'!C76)&gt;0,"500","")</f>
        <v/>
      </c>
      <c r="AB1075" t="str">
        <f>IFERROR(IF(ISNUMBER('Procyfloc 500'!A76),'Procyfloc 500'!A76,DATEVALUE('Procyfloc 500'!A76)),"")</f>
        <v/>
      </c>
      <c r="AC1075" t="str">
        <f>IF(AA1075="","",'Procyfloc 500'!B76)</f>
        <v/>
      </c>
      <c r="AD1075" t="str">
        <f>IF(AA1075="","",IFERROR(1*'Procyfloc 500'!C76,IFERROR(_xludf.NUMBERVALUE('Procyfloc 500'!C76,".",","),IFERROR(_xludf.NUMBERVALUE('Procyfloc 500'!C76,",","."),0))))</f>
        <v/>
      </c>
      <c r="AE1075" t="str">
        <f>IF(AA1075="","",'Procyfloc 500'!L76)</f>
        <v/>
      </c>
      <c r="AF1075">
        <f t="shared" si="113"/>
        <v>0</v>
      </c>
      <c r="AG1075" t="str">
        <f t="shared" si="114"/>
        <v/>
      </c>
      <c r="AH1075" t="str">
        <f t="shared" si="115"/>
        <v/>
      </c>
      <c r="AI1075">
        <f t="shared" si="116"/>
        <v>0</v>
      </c>
      <c r="AJ1075">
        <f t="shared" si="117"/>
        <v>0</v>
      </c>
      <c r="AK1075">
        <v>0</v>
      </c>
      <c r="AL1075" t="str">
        <f>IF(AA1075="","",IFERROR(IF(ISNUMBER('Procyfloc 500'!D76),'Procyfloc 500'!D76,IF(ISNUMBER(SEARCH("12",'Procyfloc 500'!D76)),EDATE(AB1075,12),IF(ISNUMBER(SEARCH("6",'Procyfloc 500'!D76)),EDATE(AB1075,6),IF(ISNUMBER(SEARCH("3",'Procyfloc 500'!D76)),EDATE(AB1075,3),DATEVALUE('Procyfloc 500'!D76))))),""))</f>
        <v/>
      </c>
      <c r="AM1075" t="str">
        <f t="shared" ca="1" si="118"/>
        <v/>
      </c>
    </row>
    <row r="1076" spans="27:39" x14ac:dyDescent="0.3">
      <c r="AA1076" t="str">
        <f>IF(COUNTA('Procyfloc 500'!A77,'Procyfloc 500'!B77,'Procyfloc 500'!C77)&gt;0,"500","")</f>
        <v/>
      </c>
      <c r="AB1076" t="str">
        <f>IFERROR(IF(ISNUMBER('Procyfloc 500'!A77),'Procyfloc 500'!A77,DATEVALUE('Procyfloc 500'!A77)),"")</f>
        <v/>
      </c>
      <c r="AC1076" t="str">
        <f>IF(AA1076="","",'Procyfloc 500'!B77)</f>
        <v/>
      </c>
      <c r="AD1076" t="str">
        <f>IF(AA1076="","",IFERROR(1*'Procyfloc 500'!C77,IFERROR(_xludf.NUMBERVALUE('Procyfloc 500'!C77,".",","),IFERROR(_xludf.NUMBERVALUE('Procyfloc 500'!C77,",","."),0))))</f>
        <v/>
      </c>
      <c r="AE1076" t="str">
        <f>IF(AA1076="","",'Procyfloc 500'!L77)</f>
        <v/>
      </c>
      <c r="AF1076">
        <f t="shared" si="113"/>
        <v>0</v>
      </c>
      <c r="AG1076" t="str">
        <f t="shared" si="114"/>
        <v/>
      </c>
      <c r="AH1076" t="str">
        <f t="shared" si="115"/>
        <v/>
      </c>
      <c r="AI1076">
        <f t="shared" si="116"/>
        <v>0</v>
      </c>
      <c r="AJ1076">
        <f t="shared" si="117"/>
        <v>0</v>
      </c>
      <c r="AK1076">
        <v>0</v>
      </c>
      <c r="AL1076" t="str">
        <f>IF(AA1076="","",IFERROR(IF(ISNUMBER('Procyfloc 500'!D77),'Procyfloc 500'!D77,IF(ISNUMBER(SEARCH("12",'Procyfloc 500'!D77)),EDATE(AB1076,12),IF(ISNUMBER(SEARCH("6",'Procyfloc 500'!D77)),EDATE(AB1076,6),IF(ISNUMBER(SEARCH("3",'Procyfloc 500'!D77)),EDATE(AB1076,3),DATEVALUE('Procyfloc 500'!D77))))),""))</f>
        <v/>
      </c>
      <c r="AM1076" t="str">
        <f t="shared" ca="1" si="118"/>
        <v/>
      </c>
    </row>
    <row r="1077" spans="27:39" x14ac:dyDescent="0.3">
      <c r="AA1077" t="str">
        <f>IF(COUNTA('Procyfloc 500'!A78,'Procyfloc 500'!B78,'Procyfloc 500'!C78)&gt;0,"500","")</f>
        <v/>
      </c>
      <c r="AB1077" t="str">
        <f>IFERROR(IF(ISNUMBER('Procyfloc 500'!A78),'Procyfloc 500'!A78,DATEVALUE('Procyfloc 500'!A78)),"")</f>
        <v/>
      </c>
      <c r="AC1077" t="str">
        <f>IF(AA1077="","",'Procyfloc 500'!B78)</f>
        <v/>
      </c>
      <c r="AD1077" t="str">
        <f>IF(AA1077="","",IFERROR(1*'Procyfloc 500'!C78,IFERROR(_xludf.NUMBERVALUE('Procyfloc 500'!C78,".",","),IFERROR(_xludf.NUMBERVALUE('Procyfloc 500'!C78,",","."),0))))</f>
        <v/>
      </c>
      <c r="AE1077" t="str">
        <f>IF(AA1077="","",'Procyfloc 500'!L78)</f>
        <v/>
      </c>
      <c r="AF1077">
        <f t="shared" si="113"/>
        <v>0</v>
      </c>
      <c r="AG1077" t="str">
        <f t="shared" si="114"/>
        <v/>
      </c>
      <c r="AH1077" t="str">
        <f t="shared" si="115"/>
        <v/>
      </c>
      <c r="AI1077">
        <f t="shared" si="116"/>
        <v>0</v>
      </c>
      <c r="AJ1077">
        <f t="shared" si="117"/>
        <v>0</v>
      </c>
      <c r="AK1077">
        <v>0</v>
      </c>
      <c r="AL1077" t="str">
        <f>IF(AA1077="","",IFERROR(IF(ISNUMBER('Procyfloc 500'!D78),'Procyfloc 500'!D78,IF(ISNUMBER(SEARCH("12",'Procyfloc 500'!D78)),EDATE(AB1077,12),IF(ISNUMBER(SEARCH("6",'Procyfloc 500'!D78)),EDATE(AB1077,6),IF(ISNUMBER(SEARCH("3",'Procyfloc 500'!D78)),EDATE(AB1077,3),DATEVALUE('Procyfloc 500'!D78))))),""))</f>
        <v/>
      </c>
      <c r="AM1077" t="str">
        <f t="shared" ca="1" si="118"/>
        <v/>
      </c>
    </row>
    <row r="1078" spans="27:39" x14ac:dyDescent="0.3">
      <c r="AA1078" t="str">
        <f>IF(COUNTA('Procyfloc 500'!A79,'Procyfloc 500'!B79,'Procyfloc 500'!C79)&gt;0,"500","")</f>
        <v/>
      </c>
      <c r="AB1078" t="str">
        <f>IFERROR(IF(ISNUMBER('Procyfloc 500'!A79),'Procyfloc 500'!A79,DATEVALUE('Procyfloc 500'!A79)),"")</f>
        <v/>
      </c>
      <c r="AC1078" t="str">
        <f>IF(AA1078="","",'Procyfloc 500'!B79)</f>
        <v/>
      </c>
      <c r="AD1078" t="str">
        <f>IF(AA1078="","",IFERROR(1*'Procyfloc 500'!C79,IFERROR(_xludf.NUMBERVALUE('Procyfloc 500'!C79,".",","),IFERROR(_xludf.NUMBERVALUE('Procyfloc 500'!C79,",","."),0))))</f>
        <v/>
      </c>
      <c r="AE1078" t="str">
        <f>IF(AA1078="","",'Procyfloc 500'!L79)</f>
        <v/>
      </c>
      <c r="AF1078">
        <f t="shared" si="113"/>
        <v>0</v>
      </c>
      <c r="AG1078" t="str">
        <f t="shared" si="114"/>
        <v/>
      </c>
      <c r="AH1078" t="str">
        <f t="shared" si="115"/>
        <v/>
      </c>
      <c r="AI1078">
        <f t="shared" si="116"/>
        <v>0</v>
      </c>
      <c r="AJ1078">
        <f t="shared" si="117"/>
        <v>0</v>
      </c>
      <c r="AK1078">
        <v>0</v>
      </c>
      <c r="AL1078" t="str">
        <f>IF(AA1078="","",IFERROR(IF(ISNUMBER('Procyfloc 500'!D79),'Procyfloc 500'!D79,IF(ISNUMBER(SEARCH("12",'Procyfloc 500'!D79)),EDATE(AB1078,12),IF(ISNUMBER(SEARCH("6",'Procyfloc 500'!D79)),EDATE(AB1078,6),IF(ISNUMBER(SEARCH("3",'Procyfloc 500'!D79)),EDATE(AB1078,3),DATEVALUE('Procyfloc 500'!D79))))),""))</f>
        <v/>
      </c>
      <c r="AM1078" t="str">
        <f t="shared" ca="1" si="118"/>
        <v/>
      </c>
    </row>
    <row r="1079" spans="27:39" x14ac:dyDescent="0.3">
      <c r="AA1079" t="str">
        <f>IF(COUNTA('Procyfloc 500'!A80,'Procyfloc 500'!B80,'Procyfloc 500'!C80)&gt;0,"500","")</f>
        <v/>
      </c>
      <c r="AB1079" t="str">
        <f>IFERROR(IF(ISNUMBER('Procyfloc 500'!A80),'Procyfloc 500'!A80,DATEVALUE('Procyfloc 500'!A80)),"")</f>
        <v/>
      </c>
      <c r="AC1079" t="str">
        <f>IF(AA1079="","",'Procyfloc 500'!B80)</f>
        <v/>
      </c>
      <c r="AD1079" t="str">
        <f>IF(AA1079="","",IFERROR(1*'Procyfloc 500'!C80,IFERROR(_xludf.NUMBERVALUE('Procyfloc 500'!C80,".",","),IFERROR(_xludf.NUMBERVALUE('Procyfloc 500'!C80,",","."),0))))</f>
        <v/>
      </c>
      <c r="AE1079" t="str">
        <f>IF(AA1079="","",'Procyfloc 500'!L80)</f>
        <v/>
      </c>
      <c r="AF1079">
        <f t="shared" si="113"/>
        <v>0</v>
      </c>
      <c r="AG1079" t="str">
        <f t="shared" si="114"/>
        <v/>
      </c>
      <c r="AH1079" t="str">
        <f t="shared" si="115"/>
        <v/>
      </c>
      <c r="AI1079">
        <f t="shared" si="116"/>
        <v>0</v>
      </c>
      <c r="AJ1079">
        <f t="shared" si="117"/>
        <v>0</v>
      </c>
      <c r="AK1079">
        <v>0</v>
      </c>
      <c r="AL1079" t="str">
        <f>IF(AA1079="","",IFERROR(IF(ISNUMBER('Procyfloc 500'!D80),'Procyfloc 500'!D80,IF(ISNUMBER(SEARCH("12",'Procyfloc 500'!D80)),EDATE(AB1079,12),IF(ISNUMBER(SEARCH("6",'Procyfloc 500'!D80)),EDATE(AB1079,6),IF(ISNUMBER(SEARCH("3",'Procyfloc 500'!D80)),EDATE(AB1079,3),DATEVALUE('Procyfloc 500'!D80))))),""))</f>
        <v/>
      </c>
      <c r="AM1079" t="str">
        <f t="shared" ca="1" si="118"/>
        <v/>
      </c>
    </row>
    <row r="1080" spans="27:39" x14ac:dyDescent="0.3">
      <c r="AA1080" t="str">
        <f>IF(COUNTA('Procyfloc 500'!A81,'Procyfloc 500'!B81,'Procyfloc 500'!C81)&gt;0,"500","")</f>
        <v/>
      </c>
      <c r="AB1080" t="str">
        <f>IFERROR(IF(ISNUMBER('Procyfloc 500'!A81),'Procyfloc 500'!A81,DATEVALUE('Procyfloc 500'!A81)),"")</f>
        <v/>
      </c>
      <c r="AC1080" t="str">
        <f>IF(AA1080="","",'Procyfloc 500'!B81)</f>
        <v/>
      </c>
      <c r="AD1080" t="str">
        <f>IF(AA1080="","",IFERROR(1*'Procyfloc 500'!C81,IFERROR(_xludf.NUMBERVALUE('Procyfloc 500'!C81,".",","),IFERROR(_xludf.NUMBERVALUE('Procyfloc 500'!C81,",","."),0))))</f>
        <v/>
      </c>
      <c r="AE1080" t="str">
        <f>IF(AA1080="","",'Procyfloc 500'!L81)</f>
        <v/>
      </c>
      <c r="AF1080">
        <f t="shared" si="113"/>
        <v>0</v>
      </c>
      <c r="AG1080" t="str">
        <f t="shared" si="114"/>
        <v/>
      </c>
      <c r="AH1080" t="str">
        <f t="shared" si="115"/>
        <v/>
      </c>
      <c r="AI1080">
        <f t="shared" si="116"/>
        <v>0</v>
      </c>
      <c r="AJ1080">
        <f t="shared" si="117"/>
        <v>0</v>
      </c>
      <c r="AK1080">
        <v>0</v>
      </c>
      <c r="AL1080" t="str">
        <f>IF(AA1080="","",IFERROR(IF(ISNUMBER('Procyfloc 500'!D81),'Procyfloc 500'!D81,IF(ISNUMBER(SEARCH("12",'Procyfloc 500'!D81)),EDATE(AB1080,12),IF(ISNUMBER(SEARCH("6",'Procyfloc 500'!D81)),EDATE(AB1080,6),IF(ISNUMBER(SEARCH("3",'Procyfloc 500'!D81)),EDATE(AB1080,3),DATEVALUE('Procyfloc 500'!D81))))),""))</f>
        <v/>
      </c>
      <c r="AM1080" t="str">
        <f t="shared" ca="1" si="118"/>
        <v/>
      </c>
    </row>
    <row r="1081" spans="27:39" x14ac:dyDescent="0.3">
      <c r="AA1081" t="str">
        <f>IF(COUNTA('Procyfloc 500'!A82,'Procyfloc 500'!B82,'Procyfloc 500'!C82)&gt;0,"500","")</f>
        <v/>
      </c>
      <c r="AB1081" t="str">
        <f>IFERROR(IF(ISNUMBER('Procyfloc 500'!A82),'Procyfloc 500'!A82,DATEVALUE('Procyfloc 500'!A82)),"")</f>
        <v/>
      </c>
      <c r="AC1081" t="str">
        <f>IF(AA1081="","",'Procyfloc 500'!B82)</f>
        <v/>
      </c>
      <c r="AD1081" t="str">
        <f>IF(AA1081="","",IFERROR(1*'Procyfloc 500'!C82,IFERROR(_xludf.NUMBERVALUE('Procyfloc 500'!C82,".",","),IFERROR(_xludf.NUMBERVALUE('Procyfloc 500'!C82,",","."),0))))</f>
        <v/>
      </c>
      <c r="AE1081" t="str">
        <f>IF(AA1081="","",'Procyfloc 500'!L82)</f>
        <v/>
      </c>
      <c r="AF1081">
        <f t="shared" si="113"/>
        <v>0</v>
      </c>
      <c r="AG1081" t="str">
        <f t="shared" si="114"/>
        <v/>
      </c>
      <c r="AH1081" t="str">
        <f t="shared" si="115"/>
        <v/>
      </c>
      <c r="AI1081">
        <f t="shared" si="116"/>
        <v>0</v>
      </c>
      <c r="AJ1081">
        <f t="shared" si="117"/>
        <v>0</v>
      </c>
      <c r="AK1081">
        <v>0</v>
      </c>
      <c r="AL1081" t="str">
        <f>IF(AA1081="","",IFERROR(IF(ISNUMBER('Procyfloc 500'!D82),'Procyfloc 500'!D82,IF(ISNUMBER(SEARCH("12",'Procyfloc 500'!D82)),EDATE(AB1081,12),IF(ISNUMBER(SEARCH("6",'Procyfloc 500'!D82)),EDATE(AB1081,6),IF(ISNUMBER(SEARCH("3",'Procyfloc 500'!D82)),EDATE(AB1081,3),DATEVALUE('Procyfloc 500'!D82))))),""))</f>
        <v/>
      </c>
      <c r="AM1081" t="str">
        <f t="shared" ca="1" si="118"/>
        <v/>
      </c>
    </row>
    <row r="1082" spans="27:39" x14ac:dyDescent="0.3">
      <c r="AA1082" t="str">
        <f>IF(COUNTA('Procyfloc 500'!A83,'Procyfloc 500'!B83,'Procyfloc 500'!C83)&gt;0,"500","")</f>
        <v/>
      </c>
      <c r="AB1082" t="str">
        <f>IFERROR(IF(ISNUMBER('Procyfloc 500'!A83),'Procyfloc 500'!A83,DATEVALUE('Procyfloc 500'!A83)),"")</f>
        <v/>
      </c>
      <c r="AC1082" t="str">
        <f>IF(AA1082="","",'Procyfloc 500'!B83)</f>
        <v/>
      </c>
      <c r="AD1082" t="str">
        <f>IF(AA1082="","",IFERROR(1*'Procyfloc 500'!C83,IFERROR(_xludf.NUMBERVALUE('Procyfloc 500'!C83,".",","),IFERROR(_xludf.NUMBERVALUE('Procyfloc 500'!C83,",","."),0))))</f>
        <v/>
      </c>
      <c r="AE1082" t="str">
        <f>IF(AA1082="","",'Procyfloc 500'!L83)</f>
        <v/>
      </c>
      <c r="AF1082">
        <f t="shared" si="113"/>
        <v>0</v>
      </c>
      <c r="AG1082" t="str">
        <f t="shared" si="114"/>
        <v/>
      </c>
      <c r="AH1082" t="str">
        <f t="shared" si="115"/>
        <v/>
      </c>
      <c r="AI1082">
        <f t="shared" si="116"/>
        <v>0</v>
      </c>
      <c r="AJ1082">
        <f t="shared" si="117"/>
        <v>0</v>
      </c>
      <c r="AK1082">
        <v>0</v>
      </c>
      <c r="AL1082" t="str">
        <f>IF(AA1082="","",IFERROR(IF(ISNUMBER('Procyfloc 500'!D83),'Procyfloc 500'!D83,IF(ISNUMBER(SEARCH("12",'Procyfloc 500'!D83)),EDATE(AB1082,12),IF(ISNUMBER(SEARCH("6",'Procyfloc 500'!D83)),EDATE(AB1082,6),IF(ISNUMBER(SEARCH("3",'Procyfloc 500'!D83)),EDATE(AB1082,3),DATEVALUE('Procyfloc 500'!D83))))),""))</f>
        <v/>
      </c>
      <c r="AM1082" t="str">
        <f t="shared" ca="1" si="118"/>
        <v/>
      </c>
    </row>
    <row r="1083" spans="27:39" x14ac:dyDescent="0.3">
      <c r="AA1083" t="str">
        <f>IF(COUNTA('Procyfloc 500'!A84,'Procyfloc 500'!B84,'Procyfloc 500'!C84)&gt;0,"500","")</f>
        <v/>
      </c>
      <c r="AB1083" t="str">
        <f>IFERROR(IF(ISNUMBER('Procyfloc 500'!A84),'Procyfloc 500'!A84,DATEVALUE('Procyfloc 500'!A84)),"")</f>
        <v/>
      </c>
      <c r="AC1083" t="str">
        <f>IF(AA1083="","",'Procyfloc 500'!B84)</f>
        <v/>
      </c>
      <c r="AD1083" t="str">
        <f>IF(AA1083="","",IFERROR(1*'Procyfloc 500'!C84,IFERROR(_xludf.NUMBERVALUE('Procyfloc 500'!C84,".",","),IFERROR(_xludf.NUMBERVALUE('Procyfloc 500'!C84,",","."),0))))</f>
        <v/>
      </c>
      <c r="AE1083" t="str">
        <f>IF(AA1083="","",'Procyfloc 500'!L84)</f>
        <v/>
      </c>
      <c r="AF1083">
        <f t="shared" si="113"/>
        <v>0</v>
      </c>
      <c r="AG1083" t="str">
        <f t="shared" si="114"/>
        <v/>
      </c>
      <c r="AH1083" t="str">
        <f t="shared" si="115"/>
        <v/>
      </c>
      <c r="AI1083">
        <f t="shared" si="116"/>
        <v>0</v>
      </c>
      <c r="AJ1083">
        <f t="shared" si="117"/>
        <v>0</v>
      </c>
      <c r="AK1083">
        <v>0</v>
      </c>
      <c r="AL1083" t="str">
        <f>IF(AA1083="","",IFERROR(IF(ISNUMBER('Procyfloc 500'!D84),'Procyfloc 500'!D84,IF(ISNUMBER(SEARCH("12",'Procyfloc 500'!D84)),EDATE(AB1083,12),IF(ISNUMBER(SEARCH("6",'Procyfloc 500'!D84)),EDATE(AB1083,6),IF(ISNUMBER(SEARCH("3",'Procyfloc 500'!D84)),EDATE(AB1083,3),DATEVALUE('Procyfloc 500'!D84))))),""))</f>
        <v/>
      </c>
      <c r="AM1083" t="str">
        <f t="shared" ca="1" si="118"/>
        <v/>
      </c>
    </row>
    <row r="1084" spans="27:39" x14ac:dyDescent="0.3">
      <c r="AA1084" t="str">
        <f>IF(COUNTA('Procyfloc 500'!A85,'Procyfloc 500'!B85,'Procyfloc 500'!C85)&gt;0,"500","")</f>
        <v/>
      </c>
      <c r="AB1084" t="str">
        <f>IFERROR(IF(ISNUMBER('Procyfloc 500'!A85),'Procyfloc 500'!A85,DATEVALUE('Procyfloc 500'!A85)),"")</f>
        <v/>
      </c>
      <c r="AC1084" t="str">
        <f>IF(AA1084="","",'Procyfloc 500'!B85)</f>
        <v/>
      </c>
      <c r="AD1084" t="str">
        <f>IF(AA1084="","",IFERROR(1*'Procyfloc 500'!C85,IFERROR(_xludf.NUMBERVALUE('Procyfloc 500'!C85,".",","),IFERROR(_xludf.NUMBERVALUE('Procyfloc 500'!C85,",","."),0))))</f>
        <v/>
      </c>
      <c r="AE1084" t="str">
        <f>IF(AA1084="","",'Procyfloc 500'!L85)</f>
        <v/>
      </c>
      <c r="AF1084">
        <f t="shared" si="113"/>
        <v>0</v>
      </c>
      <c r="AG1084" t="str">
        <f t="shared" si="114"/>
        <v/>
      </c>
      <c r="AH1084" t="str">
        <f t="shared" si="115"/>
        <v/>
      </c>
      <c r="AI1084">
        <f t="shared" si="116"/>
        <v>0</v>
      </c>
      <c r="AJ1084">
        <f t="shared" si="117"/>
        <v>0</v>
      </c>
      <c r="AK1084">
        <v>0</v>
      </c>
      <c r="AL1084" t="str">
        <f>IF(AA1084="","",IFERROR(IF(ISNUMBER('Procyfloc 500'!D85),'Procyfloc 500'!D85,IF(ISNUMBER(SEARCH("12",'Procyfloc 500'!D85)),EDATE(AB1084,12),IF(ISNUMBER(SEARCH("6",'Procyfloc 500'!D85)),EDATE(AB1084,6),IF(ISNUMBER(SEARCH("3",'Procyfloc 500'!D85)),EDATE(AB1084,3),DATEVALUE('Procyfloc 500'!D85))))),""))</f>
        <v/>
      </c>
      <c r="AM1084" t="str">
        <f t="shared" ca="1" si="118"/>
        <v/>
      </c>
    </row>
    <row r="1085" spans="27:39" x14ac:dyDescent="0.3">
      <c r="AA1085" t="str">
        <f>IF(COUNTA('Procyfloc 500'!A86,'Procyfloc 500'!B86,'Procyfloc 500'!C86)&gt;0,"500","")</f>
        <v/>
      </c>
      <c r="AB1085" t="str">
        <f>IFERROR(IF(ISNUMBER('Procyfloc 500'!A86),'Procyfloc 500'!A86,DATEVALUE('Procyfloc 500'!A86)),"")</f>
        <v/>
      </c>
      <c r="AC1085" t="str">
        <f>IF(AA1085="","",'Procyfloc 500'!B86)</f>
        <v/>
      </c>
      <c r="AD1085" t="str">
        <f>IF(AA1085="","",IFERROR(1*'Procyfloc 500'!C86,IFERROR(_xludf.NUMBERVALUE('Procyfloc 500'!C86,".",","),IFERROR(_xludf.NUMBERVALUE('Procyfloc 500'!C86,",","."),0))))</f>
        <v/>
      </c>
      <c r="AE1085" t="str">
        <f>IF(AA1085="","",'Procyfloc 500'!L86)</f>
        <v/>
      </c>
      <c r="AF1085">
        <f t="shared" si="113"/>
        <v>0</v>
      </c>
      <c r="AG1085" t="str">
        <f t="shared" si="114"/>
        <v/>
      </c>
      <c r="AH1085" t="str">
        <f t="shared" si="115"/>
        <v/>
      </c>
      <c r="AI1085">
        <f t="shared" si="116"/>
        <v>0</v>
      </c>
      <c r="AJ1085">
        <f t="shared" si="117"/>
        <v>0</v>
      </c>
      <c r="AK1085">
        <v>0</v>
      </c>
      <c r="AL1085" t="str">
        <f>IF(AA1085="","",IFERROR(IF(ISNUMBER('Procyfloc 500'!D86),'Procyfloc 500'!D86,IF(ISNUMBER(SEARCH("12",'Procyfloc 500'!D86)),EDATE(AB1085,12),IF(ISNUMBER(SEARCH("6",'Procyfloc 500'!D86)),EDATE(AB1085,6),IF(ISNUMBER(SEARCH("3",'Procyfloc 500'!D86)),EDATE(AB1085,3),DATEVALUE('Procyfloc 500'!D86))))),""))</f>
        <v/>
      </c>
      <c r="AM1085" t="str">
        <f t="shared" ca="1" si="118"/>
        <v/>
      </c>
    </row>
    <row r="1086" spans="27:39" x14ac:dyDescent="0.3">
      <c r="AA1086" t="str">
        <f>IF(COUNTA('Procyfloc 500'!A87,'Procyfloc 500'!B87,'Procyfloc 500'!C87)&gt;0,"500","")</f>
        <v/>
      </c>
      <c r="AB1086" t="str">
        <f>IFERROR(IF(ISNUMBER('Procyfloc 500'!A87),'Procyfloc 500'!A87,DATEVALUE('Procyfloc 500'!A87)),"")</f>
        <v/>
      </c>
      <c r="AC1086" t="str">
        <f>IF(AA1086="","",'Procyfloc 500'!B87)</f>
        <v/>
      </c>
      <c r="AD1086" t="str">
        <f>IF(AA1086="","",IFERROR(1*'Procyfloc 500'!C87,IFERROR(_xludf.NUMBERVALUE('Procyfloc 500'!C87,".",","),IFERROR(_xludf.NUMBERVALUE('Procyfloc 500'!C87,",","."),0))))</f>
        <v/>
      </c>
      <c r="AE1086" t="str">
        <f>IF(AA1086="","",'Procyfloc 500'!L87)</f>
        <v/>
      </c>
      <c r="AF1086">
        <f t="shared" si="113"/>
        <v>0</v>
      </c>
      <c r="AG1086" t="str">
        <f t="shared" si="114"/>
        <v/>
      </c>
      <c r="AH1086" t="str">
        <f t="shared" si="115"/>
        <v/>
      </c>
      <c r="AI1086">
        <f t="shared" si="116"/>
        <v>0</v>
      </c>
      <c r="AJ1086">
        <f t="shared" si="117"/>
        <v>0</v>
      </c>
      <c r="AK1086">
        <v>0</v>
      </c>
      <c r="AL1086" t="str">
        <f>IF(AA1086="","",IFERROR(IF(ISNUMBER('Procyfloc 500'!D87),'Procyfloc 500'!D87,IF(ISNUMBER(SEARCH("12",'Procyfloc 500'!D87)),EDATE(AB1086,12),IF(ISNUMBER(SEARCH("6",'Procyfloc 500'!D87)),EDATE(AB1086,6),IF(ISNUMBER(SEARCH("3",'Procyfloc 500'!D87)),EDATE(AB1086,3),DATEVALUE('Procyfloc 500'!D87))))),""))</f>
        <v/>
      </c>
      <c r="AM1086" t="str">
        <f t="shared" ca="1" si="118"/>
        <v/>
      </c>
    </row>
    <row r="1087" spans="27:39" x14ac:dyDescent="0.3">
      <c r="AA1087" t="str">
        <f>IF(COUNTA('Procyfloc 500'!A88,'Procyfloc 500'!B88,'Procyfloc 500'!C88)&gt;0,"500","")</f>
        <v/>
      </c>
      <c r="AB1087" t="str">
        <f>IFERROR(IF(ISNUMBER('Procyfloc 500'!A88),'Procyfloc 500'!A88,DATEVALUE('Procyfloc 500'!A88)),"")</f>
        <v/>
      </c>
      <c r="AC1087" t="str">
        <f>IF(AA1087="","",'Procyfloc 500'!B88)</f>
        <v/>
      </c>
      <c r="AD1087" t="str">
        <f>IF(AA1087="","",IFERROR(1*'Procyfloc 500'!C88,IFERROR(_xludf.NUMBERVALUE('Procyfloc 500'!C88,".",","),IFERROR(_xludf.NUMBERVALUE('Procyfloc 500'!C88,",","."),0))))</f>
        <v/>
      </c>
      <c r="AE1087" t="str">
        <f>IF(AA1087="","",'Procyfloc 500'!L88)</f>
        <v/>
      </c>
      <c r="AF1087">
        <f t="shared" si="113"/>
        <v>0</v>
      </c>
      <c r="AG1087" t="str">
        <f t="shared" si="114"/>
        <v/>
      </c>
      <c r="AH1087" t="str">
        <f t="shared" si="115"/>
        <v/>
      </c>
      <c r="AI1087">
        <f t="shared" si="116"/>
        <v>0</v>
      </c>
      <c r="AJ1087">
        <f t="shared" si="117"/>
        <v>0</v>
      </c>
      <c r="AK1087">
        <v>0</v>
      </c>
      <c r="AL1087" t="str">
        <f>IF(AA1087="","",IFERROR(IF(ISNUMBER('Procyfloc 500'!D88),'Procyfloc 500'!D88,IF(ISNUMBER(SEARCH("12",'Procyfloc 500'!D88)),EDATE(AB1087,12),IF(ISNUMBER(SEARCH("6",'Procyfloc 500'!D88)),EDATE(AB1087,6),IF(ISNUMBER(SEARCH("3",'Procyfloc 500'!D88)),EDATE(AB1087,3),DATEVALUE('Procyfloc 500'!D88))))),""))</f>
        <v/>
      </c>
      <c r="AM1087" t="str">
        <f t="shared" ca="1" si="118"/>
        <v/>
      </c>
    </row>
    <row r="1088" spans="27:39" x14ac:dyDescent="0.3">
      <c r="AA1088" t="str">
        <f>IF(COUNTA('Procyfloc 500'!A89,'Procyfloc 500'!B89,'Procyfloc 500'!C89)&gt;0,"500","")</f>
        <v/>
      </c>
      <c r="AB1088" t="str">
        <f>IFERROR(IF(ISNUMBER('Procyfloc 500'!A89),'Procyfloc 500'!A89,DATEVALUE('Procyfloc 500'!A89)),"")</f>
        <v/>
      </c>
      <c r="AC1088" t="str">
        <f>IF(AA1088="","",'Procyfloc 500'!B89)</f>
        <v/>
      </c>
      <c r="AD1088" t="str">
        <f>IF(AA1088="","",IFERROR(1*'Procyfloc 500'!C89,IFERROR(_xludf.NUMBERVALUE('Procyfloc 500'!C89,".",","),IFERROR(_xludf.NUMBERVALUE('Procyfloc 500'!C89,",","."),0))))</f>
        <v/>
      </c>
      <c r="AE1088" t="str">
        <f>IF(AA1088="","",'Procyfloc 500'!L89)</f>
        <v/>
      </c>
      <c r="AF1088">
        <f t="shared" si="113"/>
        <v>0</v>
      </c>
      <c r="AG1088" t="str">
        <f t="shared" si="114"/>
        <v/>
      </c>
      <c r="AH1088" t="str">
        <f t="shared" si="115"/>
        <v/>
      </c>
      <c r="AI1088">
        <f t="shared" si="116"/>
        <v>0</v>
      </c>
      <c r="AJ1088">
        <f t="shared" si="117"/>
        <v>0</v>
      </c>
      <c r="AK1088">
        <v>0</v>
      </c>
      <c r="AL1088" t="str">
        <f>IF(AA1088="","",IFERROR(IF(ISNUMBER('Procyfloc 500'!D89),'Procyfloc 500'!D89,IF(ISNUMBER(SEARCH("12",'Procyfloc 500'!D89)),EDATE(AB1088,12),IF(ISNUMBER(SEARCH("6",'Procyfloc 500'!D89)),EDATE(AB1088,6),IF(ISNUMBER(SEARCH("3",'Procyfloc 500'!D89)),EDATE(AB1088,3),DATEVALUE('Procyfloc 500'!D89))))),""))</f>
        <v/>
      </c>
      <c r="AM1088" t="str">
        <f t="shared" ca="1" si="118"/>
        <v/>
      </c>
    </row>
    <row r="1089" spans="27:39" x14ac:dyDescent="0.3">
      <c r="AA1089" t="str">
        <f>IF(COUNTA('Procyfloc 500'!A90,'Procyfloc 500'!B90,'Procyfloc 500'!C90)&gt;0,"500","")</f>
        <v/>
      </c>
      <c r="AB1089" t="str">
        <f>IFERROR(IF(ISNUMBER('Procyfloc 500'!A90),'Procyfloc 500'!A90,DATEVALUE('Procyfloc 500'!A90)),"")</f>
        <v/>
      </c>
      <c r="AC1089" t="str">
        <f>IF(AA1089="","",'Procyfloc 500'!B90)</f>
        <v/>
      </c>
      <c r="AD1089" t="str">
        <f>IF(AA1089="","",IFERROR(1*'Procyfloc 500'!C90,IFERROR(_xludf.NUMBERVALUE('Procyfloc 500'!C90,".",","),IFERROR(_xludf.NUMBERVALUE('Procyfloc 500'!C90,",","."),0))))</f>
        <v/>
      </c>
      <c r="AE1089" t="str">
        <f>IF(AA1089="","",'Procyfloc 500'!L90)</f>
        <v/>
      </c>
      <c r="AF1089">
        <f t="shared" si="113"/>
        <v>0</v>
      </c>
      <c r="AG1089" t="str">
        <f t="shared" si="114"/>
        <v/>
      </c>
      <c r="AH1089" t="str">
        <f t="shared" si="115"/>
        <v/>
      </c>
      <c r="AI1089">
        <f t="shared" si="116"/>
        <v>0</v>
      </c>
      <c r="AJ1089">
        <f t="shared" si="117"/>
        <v>0</v>
      </c>
      <c r="AK1089">
        <v>0</v>
      </c>
      <c r="AL1089" t="str">
        <f>IF(AA1089="","",IFERROR(IF(ISNUMBER('Procyfloc 500'!D90),'Procyfloc 500'!D90,IF(ISNUMBER(SEARCH("12",'Procyfloc 500'!D90)),EDATE(AB1089,12),IF(ISNUMBER(SEARCH("6",'Procyfloc 500'!D90)),EDATE(AB1089,6),IF(ISNUMBER(SEARCH("3",'Procyfloc 500'!D90)),EDATE(AB1089,3),DATEVALUE('Procyfloc 500'!D90))))),""))</f>
        <v/>
      </c>
      <c r="AM1089" t="str">
        <f t="shared" ca="1" si="118"/>
        <v/>
      </c>
    </row>
    <row r="1090" spans="27:39" x14ac:dyDescent="0.3">
      <c r="AA1090" t="str">
        <f>IF(COUNTA('Procyfloc 500'!A91,'Procyfloc 500'!B91,'Procyfloc 500'!C91)&gt;0,"500","")</f>
        <v/>
      </c>
      <c r="AB1090" t="str">
        <f>IFERROR(IF(ISNUMBER('Procyfloc 500'!A91),'Procyfloc 500'!A91,DATEVALUE('Procyfloc 500'!A91)),"")</f>
        <v/>
      </c>
      <c r="AC1090" t="str">
        <f>IF(AA1090="","",'Procyfloc 500'!B91)</f>
        <v/>
      </c>
      <c r="AD1090" t="str">
        <f>IF(AA1090="","",IFERROR(1*'Procyfloc 500'!C91,IFERROR(_xludf.NUMBERVALUE('Procyfloc 500'!C91,".",","),IFERROR(_xludf.NUMBERVALUE('Procyfloc 500'!C91,",","."),0))))</f>
        <v/>
      </c>
      <c r="AE1090" t="str">
        <f>IF(AA1090="","",'Procyfloc 500'!L91)</f>
        <v/>
      </c>
      <c r="AF1090">
        <f t="shared" ref="AF1090:AF1153" si="119">IF(AA1090="",0,--AND(ISNUMBER(SEARCH("aprov",AE1090)),NOT(ISNUMBER(SEARCH("reprov",AE1090)))))</f>
        <v>0</v>
      </c>
      <c r="AG1090" t="str">
        <f t="shared" ref="AG1090:AG1153" si="120">IF(AB1090="","",YEAR(AB1090))</f>
        <v/>
      </c>
      <c r="AH1090" t="str">
        <f t="shared" ref="AH1090:AH1153" si="121">IF(AB1090="","",MONTH(AB1090))</f>
        <v/>
      </c>
      <c r="AI1090">
        <f t="shared" ref="AI1090:AI1153" si="122">IF(AB1090="",0,AB1090+ROW()/1000000)</f>
        <v>0</v>
      </c>
      <c r="AJ1090">
        <f t="shared" ref="AJ1090:AJ1153" si="123">--(AA1090&lt;&gt;"")</f>
        <v>0</v>
      </c>
      <c r="AK1090">
        <v>0</v>
      </c>
      <c r="AL1090" t="str">
        <f>IF(AA1090="","",IFERROR(IF(ISNUMBER('Procyfloc 500'!D91),'Procyfloc 500'!D91,IF(ISNUMBER(SEARCH("12",'Procyfloc 500'!D91)),EDATE(AB1090,12),IF(ISNUMBER(SEARCH("6",'Procyfloc 500'!D91)),EDATE(AB1090,6),IF(ISNUMBER(SEARCH("3",'Procyfloc 500'!D91)),EDATE(AB1090,3),DATEVALUE('Procyfloc 500'!D91))))),""))</f>
        <v/>
      </c>
      <c r="AM1090" t="str">
        <f t="shared" ref="AM1090:AM1153" ca="1" si="124">IF(AND(AJ1090=1,AL1090&lt;&gt;"",AL1090&gt;=TODAY(),AG1090=$W$3),AL1090+ROW()/1000000,"")</f>
        <v/>
      </c>
    </row>
    <row r="1091" spans="27:39" x14ac:dyDescent="0.3">
      <c r="AA1091" t="str">
        <f>IF(COUNTA('Procyfloc 500'!A92,'Procyfloc 500'!B92,'Procyfloc 500'!C92)&gt;0,"500","")</f>
        <v/>
      </c>
      <c r="AB1091" t="str">
        <f>IFERROR(IF(ISNUMBER('Procyfloc 500'!A92),'Procyfloc 500'!A92,DATEVALUE('Procyfloc 500'!A92)),"")</f>
        <v/>
      </c>
      <c r="AC1091" t="str">
        <f>IF(AA1091="","",'Procyfloc 500'!B92)</f>
        <v/>
      </c>
      <c r="AD1091" t="str">
        <f>IF(AA1091="","",IFERROR(1*'Procyfloc 500'!C92,IFERROR(_xludf.NUMBERVALUE('Procyfloc 500'!C92,".",","),IFERROR(_xludf.NUMBERVALUE('Procyfloc 500'!C92,",","."),0))))</f>
        <v/>
      </c>
      <c r="AE1091" t="str">
        <f>IF(AA1091="","",'Procyfloc 500'!L92)</f>
        <v/>
      </c>
      <c r="AF1091">
        <f t="shared" si="119"/>
        <v>0</v>
      </c>
      <c r="AG1091" t="str">
        <f t="shared" si="120"/>
        <v/>
      </c>
      <c r="AH1091" t="str">
        <f t="shared" si="121"/>
        <v/>
      </c>
      <c r="AI1091">
        <f t="shared" si="122"/>
        <v>0</v>
      </c>
      <c r="AJ1091">
        <f t="shared" si="123"/>
        <v>0</v>
      </c>
      <c r="AK1091">
        <v>0</v>
      </c>
      <c r="AL1091" t="str">
        <f>IF(AA1091="","",IFERROR(IF(ISNUMBER('Procyfloc 500'!D92),'Procyfloc 500'!D92,IF(ISNUMBER(SEARCH("12",'Procyfloc 500'!D92)),EDATE(AB1091,12),IF(ISNUMBER(SEARCH("6",'Procyfloc 500'!D92)),EDATE(AB1091,6),IF(ISNUMBER(SEARCH("3",'Procyfloc 500'!D92)),EDATE(AB1091,3),DATEVALUE('Procyfloc 500'!D92))))),""))</f>
        <v/>
      </c>
      <c r="AM1091" t="str">
        <f t="shared" ca="1" si="124"/>
        <v/>
      </c>
    </row>
    <row r="1092" spans="27:39" x14ac:dyDescent="0.3">
      <c r="AA1092" t="str">
        <f>IF(COUNTA('Procyfloc 500'!A93,'Procyfloc 500'!B93,'Procyfloc 500'!C93)&gt;0,"500","")</f>
        <v/>
      </c>
      <c r="AB1092" t="str">
        <f>IFERROR(IF(ISNUMBER('Procyfloc 500'!A93),'Procyfloc 500'!A93,DATEVALUE('Procyfloc 500'!A93)),"")</f>
        <v/>
      </c>
      <c r="AC1092" t="str">
        <f>IF(AA1092="","",'Procyfloc 500'!B93)</f>
        <v/>
      </c>
      <c r="AD1092" t="str">
        <f>IF(AA1092="","",IFERROR(1*'Procyfloc 500'!C93,IFERROR(_xludf.NUMBERVALUE('Procyfloc 500'!C93,".",","),IFERROR(_xludf.NUMBERVALUE('Procyfloc 500'!C93,",","."),0))))</f>
        <v/>
      </c>
      <c r="AE1092" t="str">
        <f>IF(AA1092="","",'Procyfloc 500'!L93)</f>
        <v/>
      </c>
      <c r="AF1092">
        <f t="shared" si="119"/>
        <v>0</v>
      </c>
      <c r="AG1092" t="str">
        <f t="shared" si="120"/>
        <v/>
      </c>
      <c r="AH1092" t="str">
        <f t="shared" si="121"/>
        <v/>
      </c>
      <c r="AI1092">
        <f t="shared" si="122"/>
        <v>0</v>
      </c>
      <c r="AJ1092">
        <f t="shared" si="123"/>
        <v>0</v>
      </c>
      <c r="AK1092">
        <v>0</v>
      </c>
      <c r="AL1092" t="str">
        <f>IF(AA1092="","",IFERROR(IF(ISNUMBER('Procyfloc 500'!D93),'Procyfloc 500'!D93,IF(ISNUMBER(SEARCH("12",'Procyfloc 500'!D93)),EDATE(AB1092,12),IF(ISNUMBER(SEARCH("6",'Procyfloc 500'!D93)),EDATE(AB1092,6),IF(ISNUMBER(SEARCH("3",'Procyfloc 500'!D93)),EDATE(AB1092,3),DATEVALUE('Procyfloc 500'!D93))))),""))</f>
        <v/>
      </c>
      <c r="AM1092" t="str">
        <f t="shared" ca="1" si="124"/>
        <v/>
      </c>
    </row>
    <row r="1093" spans="27:39" x14ac:dyDescent="0.3">
      <c r="AA1093" t="str">
        <f>IF(COUNTA('Procyfloc 500'!A94,'Procyfloc 500'!B94,'Procyfloc 500'!C94)&gt;0,"500","")</f>
        <v/>
      </c>
      <c r="AB1093" t="str">
        <f>IFERROR(IF(ISNUMBER('Procyfloc 500'!A94),'Procyfloc 500'!A94,DATEVALUE('Procyfloc 500'!A94)),"")</f>
        <v/>
      </c>
      <c r="AC1093" t="str">
        <f>IF(AA1093="","",'Procyfloc 500'!B94)</f>
        <v/>
      </c>
      <c r="AD1093" t="str">
        <f>IF(AA1093="","",IFERROR(1*'Procyfloc 500'!C94,IFERROR(_xludf.NUMBERVALUE('Procyfloc 500'!C94,".",","),IFERROR(_xludf.NUMBERVALUE('Procyfloc 500'!C94,",","."),0))))</f>
        <v/>
      </c>
      <c r="AE1093" t="str">
        <f>IF(AA1093="","",'Procyfloc 500'!L94)</f>
        <v/>
      </c>
      <c r="AF1093">
        <f t="shared" si="119"/>
        <v>0</v>
      </c>
      <c r="AG1093" t="str">
        <f t="shared" si="120"/>
        <v/>
      </c>
      <c r="AH1093" t="str">
        <f t="shared" si="121"/>
        <v/>
      </c>
      <c r="AI1093">
        <f t="shared" si="122"/>
        <v>0</v>
      </c>
      <c r="AJ1093">
        <f t="shared" si="123"/>
        <v>0</v>
      </c>
      <c r="AK1093">
        <v>0</v>
      </c>
      <c r="AL1093" t="str">
        <f>IF(AA1093="","",IFERROR(IF(ISNUMBER('Procyfloc 500'!D94),'Procyfloc 500'!D94,IF(ISNUMBER(SEARCH("12",'Procyfloc 500'!D94)),EDATE(AB1093,12),IF(ISNUMBER(SEARCH("6",'Procyfloc 500'!D94)),EDATE(AB1093,6),IF(ISNUMBER(SEARCH("3",'Procyfloc 500'!D94)),EDATE(AB1093,3),DATEVALUE('Procyfloc 500'!D94))))),""))</f>
        <v/>
      </c>
      <c r="AM1093" t="str">
        <f t="shared" ca="1" si="124"/>
        <v/>
      </c>
    </row>
    <row r="1094" spans="27:39" x14ac:dyDescent="0.3">
      <c r="AA1094" t="str">
        <f>IF(COUNTA('Procyfloc 500'!A95,'Procyfloc 500'!B95,'Procyfloc 500'!C95)&gt;0,"500","")</f>
        <v/>
      </c>
      <c r="AB1094" t="str">
        <f>IFERROR(IF(ISNUMBER('Procyfloc 500'!A95),'Procyfloc 500'!A95,DATEVALUE('Procyfloc 500'!A95)),"")</f>
        <v/>
      </c>
      <c r="AC1094" t="str">
        <f>IF(AA1094="","",'Procyfloc 500'!B95)</f>
        <v/>
      </c>
      <c r="AD1094" t="str">
        <f>IF(AA1094="","",IFERROR(1*'Procyfloc 500'!C95,IFERROR(_xludf.NUMBERVALUE('Procyfloc 500'!C95,".",","),IFERROR(_xludf.NUMBERVALUE('Procyfloc 500'!C95,",","."),0))))</f>
        <v/>
      </c>
      <c r="AE1094" t="str">
        <f>IF(AA1094="","",'Procyfloc 500'!L95)</f>
        <v/>
      </c>
      <c r="AF1094">
        <f t="shared" si="119"/>
        <v>0</v>
      </c>
      <c r="AG1094" t="str">
        <f t="shared" si="120"/>
        <v/>
      </c>
      <c r="AH1094" t="str">
        <f t="shared" si="121"/>
        <v/>
      </c>
      <c r="AI1094">
        <f t="shared" si="122"/>
        <v>0</v>
      </c>
      <c r="AJ1094">
        <f t="shared" si="123"/>
        <v>0</v>
      </c>
      <c r="AK1094">
        <v>0</v>
      </c>
      <c r="AL1094" t="str">
        <f>IF(AA1094="","",IFERROR(IF(ISNUMBER('Procyfloc 500'!D95),'Procyfloc 500'!D95,IF(ISNUMBER(SEARCH("12",'Procyfloc 500'!D95)),EDATE(AB1094,12),IF(ISNUMBER(SEARCH("6",'Procyfloc 500'!D95)),EDATE(AB1094,6),IF(ISNUMBER(SEARCH("3",'Procyfloc 500'!D95)),EDATE(AB1094,3),DATEVALUE('Procyfloc 500'!D95))))),""))</f>
        <v/>
      </c>
      <c r="AM1094" t="str">
        <f t="shared" ca="1" si="124"/>
        <v/>
      </c>
    </row>
    <row r="1095" spans="27:39" x14ac:dyDescent="0.3">
      <c r="AA1095" t="str">
        <f>IF(COUNTA('Procyfloc 500'!A96,'Procyfloc 500'!B96,'Procyfloc 500'!C96)&gt;0,"500","")</f>
        <v/>
      </c>
      <c r="AB1095" t="str">
        <f>IFERROR(IF(ISNUMBER('Procyfloc 500'!A96),'Procyfloc 500'!A96,DATEVALUE('Procyfloc 500'!A96)),"")</f>
        <v/>
      </c>
      <c r="AC1095" t="str">
        <f>IF(AA1095="","",'Procyfloc 500'!B96)</f>
        <v/>
      </c>
      <c r="AD1095" t="str">
        <f>IF(AA1095="","",IFERROR(1*'Procyfloc 500'!C96,IFERROR(_xludf.NUMBERVALUE('Procyfloc 500'!C96,".",","),IFERROR(_xludf.NUMBERVALUE('Procyfloc 500'!C96,",","."),0))))</f>
        <v/>
      </c>
      <c r="AE1095" t="str">
        <f>IF(AA1095="","",'Procyfloc 500'!L96)</f>
        <v/>
      </c>
      <c r="AF1095">
        <f t="shared" si="119"/>
        <v>0</v>
      </c>
      <c r="AG1095" t="str">
        <f t="shared" si="120"/>
        <v/>
      </c>
      <c r="AH1095" t="str">
        <f t="shared" si="121"/>
        <v/>
      </c>
      <c r="AI1095">
        <f t="shared" si="122"/>
        <v>0</v>
      </c>
      <c r="AJ1095">
        <f t="shared" si="123"/>
        <v>0</v>
      </c>
      <c r="AK1095">
        <v>0</v>
      </c>
      <c r="AL1095" t="str">
        <f>IF(AA1095="","",IFERROR(IF(ISNUMBER('Procyfloc 500'!D96),'Procyfloc 500'!D96,IF(ISNUMBER(SEARCH("12",'Procyfloc 500'!D96)),EDATE(AB1095,12),IF(ISNUMBER(SEARCH("6",'Procyfloc 500'!D96)),EDATE(AB1095,6),IF(ISNUMBER(SEARCH("3",'Procyfloc 500'!D96)),EDATE(AB1095,3),DATEVALUE('Procyfloc 500'!D96))))),""))</f>
        <v/>
      </c>
      <c r="AM1095" t="str">
        <f t="shared" ca="1" si="124"/>
        <v/>
      </c>
    </row>
    <row r="1096" spans="27:39" x14ac:dyDescent="0.3">
      <c r="AA1096" t="str">
        <f>IF(COUNTA('Procyfloc 500'!A97,'Procyfloc 500'!B97,'Procyfloc 500'!C97)&gt;0,"500","")</f>
        <v/>
      </c>
      <c r="AB1096" t="str">
        <f>IFERROR(IF(ISNUMBER('Procyfloc 500'!A97),'Procyfloc 500'!A97,DATEVALUE('Procyfloc 500'!A97)),"")</f>
        <v/>
      </c>
      <c r="AC1096" t="str">
        <f>IF(AA1096="","",'Procyfloc 500'!B97)</f>
        <v/>
      </c>
      <c r="AD1096" t="str">
        <f>IF(AA1096="","",IFERROR(1*'Procyfloc 500'!C97,IFERROR(_xludf.NUMBERVALUE('Procyfloc 500'!C97,".",","),IFERROR(_xludf.NUMBERVALUE('Procyfloc 500'!C97,",","."),0))))</f>
        <v/>
      </c>
      <c r="AE1096" t="str">
        <f>IF(AA1096="","",'Procyfloc 500'!L97)</f>
        <v/>
      </c>
      <c r="AF1096">
        <f t="shared" si="119"/>
        <v>0</v>
      </c>
      <c r="AG1096" t="str">
        <f t="shared" si="120"/>
        <v/>
      </c>
      <c r="AH1096" t="str">
        <f t="shared" si="121"/>
        <v/>
      </c>
      <c r="AI1096">
        <f t="shared" si="122"/>
        <v>0</v>
      </c>
      <c r="AJ1096">
        <f t="shared" si="123"/>
        <v>0</v>
      </c>
      <c r="AK1096">
        <v>0</v>
      </c>
      <c r="AL1096" t="str">
        <f>IF(AA1096="","",IFERROR(IF(ISNUMBER('Procyfloc 500'!D97),'Procyfloc 500'!D97,IF(ISNUMBER(SEARCH("12",'Procyfloc 500'!D97)),EDATE(AB1096,12),IF(ISNUMBER(SEARCH("6",'Procyfloc 500'!D97)),EDATE(AB1096,6),IF(ISNUMBER(SEARCH("3",'Procyfloc 500'!D97)),EDATE(AB1096,3),DATEVALUE('Procyfloc 500'!D97))))),""))</f>
        <v/>
      </c>
      <c r="AM1096" t="str">
        <f t="shared" ca="1" si="124"/>
        <v/>
      </c>
    </row>
    <row r="1097" spans="27:39" x14ac:dyDescent="0.3">
      <c r="AA1097" t="str">
        <f>IF(COUNTA('Procyfloc 500'!A98,'Procyfloc 500'!B98,'Procyfloc 500'!C98)&gt;0,"500","")</f>
        <v/>
      </c>
      <c r="AB1097" t="str">
        <f>IFERROR(IF(ISNUMBER('Procyfloc 500'!A98),'Procyfloc 500'!A98,DATEVALUE('Procyfloc 500'!A98)),"")</f>
        <v/>
      </c>
      <c r="AC1097" t="str">
        <f>IF(AA1097="","",'Procyfloc 500'!B98)</f>
        <v/>
      </c>
      <c r="AD1097" t="str">
        <f>IF(AA1097="","",IFERROR(1*'Procyfloc 500'!C98,IFERROR(_xludf.NUMBERVALUE('Procyfloc 500'!C98,".",","),IFERROR(_xludf.NUMBERVALUE('Procyfloc 500'!C98,",","."),0))))</f>
        <v/>
      </c>
      <c r="AE1097" t="str">
        <f>IF(AA1097="","",'Procyfloc 500'!L98)</f>
        <v/>
      </c>
      <c r="AF1097">
        <f t="shared" si="119"/>
        <v>0</v>
      </c>
      <c r="AG1097" t="str">
        <f t="shared" si="120"/>
        <v/>
      </c>
      <c r="AH1097" t="str">
        <f t="shared" si="121"/>
        <v/>
      </c>
      <c r="AI1097">
        <f t="shared" si="122"/>
        <v>0</v>
      </c>
      <c r="AJ1097">
        <f t="shared" si="123"/>
        <v>0</v>
      </c>
      <c r="AK1097">
        <v>0</v>
      </c>
      <c r="AL1097" t="str">
        <f>IF(AA1097="","",IFERROR(IF(ISNUMBER('Procyfloc 500'!D98),'Procyfloc 500'!D98,IF(ISNUMBER(SEARCH("12",'Procyfloc 500'!D98)),EDATE(AB1097,12),IF(ISNUMBER(SEARCH("6",'Procyfloc 500'!D98)),EDATE(AB1097,6),IF(ISNUMBER(SEARCH("3",'Procyfloc 500'!D98)),EDATE(AB1097,3),DATEVALUE('Procyfloc 500'!D98))))),""))</f>
        <v/>
      </c>
      <c r="AM1097" t="str">
        <f t="shared" ca="1" si="124"/>
        <v/>
      </c>
    </row>
    <row r="1098" spans="27:39" x14ac:dyDescent="0.3">
      <c r="AA1098" t="str">
        <f>IF(COUNTA('Procyfloc 500'!A99,'Procyfloc 500'!B99,'Procyfloc 500'!C99)&gt;0,"500","")</f>
        <v/>
      </c>
      <c r="AB1098" t="str">
        <f>IFERROR(IF(ISNUMBER('Procyfloc 500'!A99),'Procyfloc 500'!A99,DATEVALUE('Procyfloc 500'!A99)),"")</f>
        <v/>
      </c>
      <c r="AC1098" t="str">
        <f>IF(AA1098="","",'Procyfloc 500'!B99)</f>
        <v/>
      </c>
      <c r="AD1098" t="str">
        <f>IF(AA1098="","",IFERROR(1*'Procyfloc 500'!C99,IFERROR(_xludf.NUMBERVALUE('Procyfloc 500'!C99,".",","),IFERROR(_xludf.NUMBERVALUE('Procyfloc 500'!C99,",","."),0))))</f>
        <v/>
      </c>
      <c r="AE1098" t="str">
        <f>IF(AA1098="","",'Procyfloc 500'!L99)</f>
        <v/>
      </c>
      <c r="AF1098">
        <f t="shared" si="119"/>
        <v>0</v>
      </c>
      <c r="AG1098" t="str">
        <f t="shared" si="120"/>
        <v/>
      </c>
      <c r="AH1098" t="str">
        <f t="shared" si="121"/>
        <v/>
      </c>
      <c r="AI1098">
        <f t="shared" si="122"/>
        <v>0</v>
      </c>
      <c r="AJ1098">
        <f t="shared" si="123"/>
        <v>0</v>
      </c>
      <c r="AK1098">
        <v>0</v>
      </c>
      <c r="AL1098" t="str">
        <f>IF(AA1098="","",IFERROR(IF(ISNUMBER('Procyfloc 500'!D99),'Procyfloc 500'!D99,IF(ISNUMBER(SEARCH("12",'Procyfloc 500'!D99)),EDATE(AB1098,12),IF(ISNUMBER(SEARCH("6",'Procyfloc 500'!D99)),EDATE(AB1098,6),IF(ISNUMBER(SEARCH("3",'Procyfloc 500'!D99)),EDATE(AB1098,3),DATEVALUE('Procyfloc 500'!D99))))),""))</f>
        <v/>
      </c>
      <c r="AM1098" t="str">
        <f t="shared" ca="1" si="124"/>
        <v/>
      </c>
    </row>
    <row r="1099" spans="27:39" x14ac:dyDescent="0.3">
      <c r="AA1099" t="str">
        <f>IF(COUNTA('Procyfloc 500'!A100,'Procyfloc 500'!B100,'Procyfloc 500'!C100)&gt;0,"500","")</f>
        <v/>
      </c>
      <c r="AB1099" t="str">
        <f>IFERROR(IF(ISNUMBER('Procyfloc 500'!A100),'Procyfloc 500'!A100,DATEVALUE('Procyfloc 500'!A100)),"")</f>
        <v/>
      </c>
      <c r="AC1099" t="str">
        <f>IF(AA1099="","",'Procyfloc 500'!B100)</f>
        <v/>
      </c>
      <c r="AD1099" t="str">
        <f>IF(AA1099="","",IFERROR(1*'Procyfloc 500'!C100,IFERROR(_xludf.NUMBERVALUE('Procyfloc 500'!C100,".",","),IFERROR(_xludf.NUMBERVALUE('Procyfloc 500'!C100,",","."),0))))</f>
        <v/>
      </c>
      <c r="AE1099" t="str">
        <f>IF(AA1099="","",'Procyfloc 500'!L100)</f>
        <v/>
      </c>
      <c r="AF1099">
        <f t="shared" si="119"/>
        <v>0</v>
      </c>
      <c r="AG1099" t="str">
        <f t="shared" si="120"/>
        <v/>
      </c>
      <c r="AH1099" t="str">
        <f t="shared" si="121"/>
        <v/>
      </c>
      <c r="AI1099">
        <f t="shared" si="122"/>
        <v>0</v>
      </c>
      <c r="AJ1099">
        <f t="shared" si="123"/>
        <v>0</v>
      </c>
      <c r="AK1099">
        <v>0</v>
      </c>
      <c r="AL1099" t="str">
        <f>IF(AA1099="","",IFERROR(IF(ISNUMBER('Procyfloc 500'!D100),'Procyfloc 500'!D100,IF(ISNUMBER(SEARCH("12",'Procyfloc 500'!D100)),EDATE(AB1099,12),IF(ISNUMBER(SEARCH("6",'Procyfloc 500'!D100)),EDATE(AB1099,6),IF(ISNUMBER(SEARCH("3",'Procyfloc 500'!D100)),EDATE(AB1099,3),DATEVALUE('Procyfloc 500'!D100))))),""))</f>
        <v/>
      </c>
      <c r="AM1099" t="str">
        <f t="shared" ca="1" si="124"/>
        <v/>
      </c>
    </row>
    <row r="1100" spans="27:39" x14ac:dyDescent="0.3">
      <c r="AA1100" t="str">
        <f>IF(COUNTA('Procyfloc 500'!A101,'Procyfloc 500'!B101,'Procyfloc 500'!C101)&gt;0,"500","")</f>
        <v/>
      </c>
      <c r="AB1100" t="str">
        <f>IFERROR(IF(ISNUMBER('Procyfloc 500'!A101),'Procyfloc 500'!A101,DATEVALUE('Procyfloc 500'!A101)),"")</f>
        <v/>
      </c>
      <c r="AC1100" t="str">
        <f>IF(AA1100="","",'Procyfloc 500'!B101)</f>
        <v/>
      </c>
      <c r="AD1100" t="str">
        <f>IF(AA1100="","",IFERROR(1*'Procyfloc 500'!C101,IFERROR(_xludf.NUMBERVALUE('Procyfloc 500'!C101,".",","),IFERROR(_xludf.NUMBERVALUE('Procyfloc 500'!C101,",","."),0))))</f>
        <v/>
      </c>
      <c r="AE1100" t="str">
        <f>IF(AA1100="","",'Procyfloc 500'!L101)</f>
        <v/>
      </c>
      <c r="AF1100">
        <f t="shared" si="119"/>
        <v>0</v>
      </c>
      <c r="AG1100" t="str">
        <f t="shared" si="120"/>
        <v/>
      </c>
      <c r="AH1100" t="str">
        <f t="shared" si="121"/>
        <v/>
      </c>
      <c r="AI1100">
        <f t="shared" si="122"/>
        <v>0</v>
      </c>
      <c r="AJ1100">
        <f t="shared" si="123"/>
        <v>0</v>
      </c>
      <c r="AK1100">
        <v>0</v>
      </c>
      <c r="AL1100" t="str">
        <f>IF(AA1100="","",IFERROR(IF(ISNUMBER('Procyfloc 500'!D101),'Procyfloc 500'!D101,IF(ISNUMBER(SEARCH("12",'Procyfloc 500'!D101)),EDATE(AB1100,12),IF(ISNUMBER(SEARCH("6",'Procyfloc 500'!D101)),EDATE(AB1100,6),IF(ISNUMBER(SEARCH("3",'Procyfloc 500'!D101)),EDATE(AB1100,3),DATEVALUE('Procyfloc 500'!D101))))),""))</f>
        <v/>
      </c>
      <c r="AM1100" t="str">
        <f t="shared" ca="1" si="124"/>
        <v/>
      </c>
    </row>
    <row r="1101" spans="27:39" x14ac:dyDescent="0.3">
      <c r="AA1101" t="str">
        <f>IF(COUNTA('Procyfloc 500'!A102,'Procyfloc 500'!B102,'Procyfloc 500'!C102)&gt;0,"500","")</f>
        <v/>
      </c>
      <c r="AB1101" t="str">
        <f>IFERROR(IF(ISNUMBER('Procyfloc 500'!A102),'Procyfloc 500'!A102,DATEVALUE('Procyfloc 500'!A102)),"")</f>
        <v/>
      </c>
      <c r="AC1101" t="str">
        <f>IF(AA1101="","",'Procyfloc 500'!B102)</f>
        <v/>
      </c>
      <c r="AD1101" t="str">
        <f>IF(AA1101="","",IFERROR(1*'Procyfloc 500'!C102,IFERROR(_xludf.NUMBERVALUE('Procyfloc 500'!C102,".",","),IFERROR(_xludf.NUMBERVALUE('Procyfloc 500'!C102,",","."),0))))</f>
        <v/>
      </c>
      <c r="AE1101" t="str">
        <f>IF(AA1101="","",'Procyfloc 500'!L102)</f>
        <v/>
      </c>
      <c r="AF1101">
        <f t="shared" si="119"/>
        <v>0</v>
      </c>
      <c r="AG1101" t="str">
        <f t="shared" si="120"/>
        <v/>
      </c>
      <c r="AH1101" t="str">
        <f t="shared" si="121"/>
        <v/>
      </c>
      <c r="AI1101">
        <f t="shared" si="122"/>
        <v>0</v>
      </c>
      <c r="AJ1101">
        <f t="shared" si="123"/>
        <v>0</v>
      </c>
      <c r="AK1101">
        <v>0</v>
      </c>
      <c r="AL1101" t="str">
        <f>IF(AA1101="","",IFERROR(IF(ISNUMBER('Procyfloc 500'!D102),'Procyfloc 500'!D102,IF(ISNUMBER(SEARCH("12",'Procyfloc 500'!D102)),EDATE(AB1101,12),IF(ISNUMBER(SEARCH("6",'Procyfloc 500'!D102)),EDATE(AB1101,6),IF(ISNUMBER(SEARCH("3",'Procyfloc 500'!D102)),EDATE(AB1101,3),DATEVALUE('Procyfloc 500'!D102))))),""))</f>
        <v/>
      </c>
      <c r="AM1101" t="str">
        <f t="shared" ca="1" si="124"/>
        <v/>
      </c>
    </row>
    <row r="1102" spans="27:39" x14ac:dyDescent="0.3">
      <c r="AA1102" t="str">
        <f>IF(COUNTA('Procyfloc 500'!A103,'Procyfloc 500'!B103,'Procyfloc 500'!C103)&gt;0,"500","")</f>
        <v/>
      </c>
      <c r="AB1102" t="str">
        <f>IFERROR(IF(ISNUMBER('Procyfloc 500'!A103),'Procyfloc 500'!A103,DATEVALUE('Procyfloc 500'!A103)),"")</f>
        <v/>
      </c>
      <c r="AC1102" t="str">
        <f>IF(AA1102="","",'Procyfloc 500'!B103)</f>
        <v/>
      </c>
      <c r="AD1102" t="str">
        <f>IF(AA1102="","",IFERROR(1*'Procyfloc 500'!C103,IFERROR(_xludf.NUMBERVALUE('Procyfloc 500'!C103,".",","),IFERROR(_xludf.NUMBERVALUE('Procyfloc 500'!C103,",","."),0))))</f>
        <v/>
      </c>
      <c r="AE1102" t="str">
        <f>IF(AA1102="","",'Procyfloc 500'!L103)</f>
        <v/>
      </c>
      <c r="AF1102">
        <f t="shared" si="119"/>
        <v>0</v>
      </c>
      <c r="AG1102" t="str">
        <f t="shared" si="120"/>
        <v/>
      </c>
      <c r="AH1102" t="str">
        <f t="shared" si="121"/>
        <v/>
      </c>
      <c r="AI1102">
        <f t="shared" si="122"/>
        <v>0</v>
      </c>
      <c r="AJ1102">
        <f t="shared" si="123"/>
        <v>0</v>
      </c>
      <c r="AK1102">
        <v>0</v>
      </c>
      <c r="AL1102" t="str">
        <f>IF(AA1102="","",IFERROR(IF(ISNUMBER('Procyfloc 500'!D103),'Procyfloc 500'!D103,IF(ISNUMBER(SEARCH("12",'Procyfloc 500'!D103)),EDATE(AB1102,12),IF(ISNUMBER(SEARCH("6",'Procyfloc 500'!D103)),EDATE(AB1102,6),IF(ISNUMBER(SEARCH("3",'Procyfloc 500'!D103)),EDATE(AB1102,3),DATEVALUE('Procyfloc 500'!D103))))),""))</f>
        <v/>
      </c>
      <c r="AM1102" t="str">
        <f t="shared" ca="1" si="124"/>
        <v/>
      </c>
    </row>
    <row r="1103" spans="27:39" x14ac:dyDescent="0.3">
      <c r="AA1103" t="str">
        <f>IF(COUNTA('Procyfloc 500'!A104,'Procyfloc 500'!B104,'Procyfloc 500'!C104)&gt;0,"500","")</f>
        <v/>
      </c>
      <c r="AB1103" t="str">
        <f>IFERROR(IF(ISNUMBER('Procyfloc 500'!A104),'Procyfloc 500'!A104,DATEVALUE('Procyfloc 500'!A104)),"")</f>
        <v/>
      </c>
      <c r="AC1103" t="str">
        <f>IF(AA1103="","",'Procyfloc 500'!B104)</f>
        <v/>
      </c>
      <c r="AD1103" t="str">
        <f>IF(AA1103="","",IFERROR(1*'Procyfloc 500'!C104,IFERROR(_xludf.NUMBERVALUE('Procyfloc 500'!C104,".",","),IFERROR(_xludf.NUMBERVALUE('Procyfloc 500'!C104,",","."),0))))</f>
        <v/>
      </c>
      <c r="AE1103" t="str">
        <f>IF(AA1103="","",'Procyfloc 500'!L104)</f>
        <v/>
      </c>
      <c r="AF1103">
        <f t="shared" si="119"/>
        <v>0</v>
      </c>
      <c r="AG1103" t="str">
        <f t="shared" si="120"/>
        <v/>
      </c>
      <c r="AH1103" t="str">
        <f t="shared" si="121"/>
        <v/>
      </c>
      <c r="AI1103">
        <f t="shared" si="122"/>
        <v>0</v>
      </c>
      <c r="AJ1103">
        <f t="shared" si="123"/>
        <v>0</v>
      </c>
      <c r="AK1103">
        <v>0</v>
      </c>
      <c r="AL1103" t="str">
        <f>IF(AA1103="","",IFERROR(IF(ISNUMBER('Procyfloc 500'!D104),'Procyfloc 500'!D104,IF(ISNUMBER(SEARCH("12",'Procyfloc 500'!D104)),EDATE(AB1103,12),IF(ISNUMBER(SEARCH("6",'Procyfloc 500'!D104)),EDATE(AB1103,6),IF(ISNUMBER(SEARCH("3",'Procyfloc 500'!D104)),EDATE(AB1103,3),DATEVALUE('Procyfloc 500'!D104))))),""))</f>
        <v/>
      </c>
      <c r="AM1103" t="str">
        <f t="shared" ca="1" si="124"/>
        <v/>
      </c>
    </row>
    <row r="1104" spans="27:39" x14ac:dyDescent="0.3">
      <c r="AA1104" t="str">
        <f>IF(COUNTA('Procyfloc 500'!A105,'Procyfloc 500'!B105,'Procyfloc 500'!C105)&gt;0,"500","")</f>
        <v/>
      </c>
      <c r="AB1104" t="str">
        <f>IFERROR(IF(ISNUMBER('Procyfloc 500'!A105),'Procyfloc 500'!A105,DATEVALUE('Procyfloc 500'!A105)),"")</f>
        <v/>
      </c>
      <c r="AC1104" t="str">
        <f>IF(AA1104="","",'Procyfloc 500'!B105)</f>
        <v/>
      </c>
      <c r="AD1104" t="str">
        <f>IF(AA1104="","",IFERROR(1*'Procyfloc 500'!C105,IFERROR(_xludf.NUMBERVALUE('Procyfloc 500'!C105,".",","),IFERROR(_xludf.NUMBERVALUE('Procyfloc 500'!C105,",","."),0))))</f>
        <v/>
      </c>
      <c r="AE1104" t="str">
        <f>IF(AA1104="","",'Procyfloc 500'!L105)</f>
        <v/>
      </c>
      <c r="AF1104">
        <f t="shared" si="119"/>
        <v>0</v>
      </c>
      <c r="AG1104" t="str">
        <f t="shared" si="120"/>
        <v/>
      </c>
      <c r="AH1104" t="str">
        <f t="shared" si="121"/>
        <v/>
      </c>
      <c r="AI1104">
        <f t="shared" si="122"/>
        <v>0</v>
      </c>
      <c r="AJ1104">
        <f t="shared" si="123"/>
        <v>0</v>
      </c>
      <c r="AK1104">
        <v>0</v>
      </c>
      <c r="AL1104" t="str">
        <f>IF(AA1104="","",IFERROR(IF(ISNUMBER('Procyfloc 500'!D105),'Procyfloc 500'!D105,IF(ISNUMBER(SEARCH("12",'Procyfloc 500'!D105)),EDATE(AB1104,12),IF(ISNUMBER(SEARCH("6",'Procyfloc 500'!D105)),EDATE(AB1104,6),IF(ISNUMBER(SEARCH("3",'Procyfloc 500'!D105)),EDATE(AB1104,3),DATEVALUE('Procyfloc 500'!D105))))),""))</f>
        <v/>
      </c>
      <c r="AM1104" t="str">
        <f t="shared" ca="1" si="124"/>
        <v/>
      </c>
    </row>
    <row r="1105" spans="27:39" x14ac:dyDescent="0.3">
      <c r="AA1105" t="str">
        <f>IF(COUNTA('Procyfloc 500'!A106,'Procyfloc 500'!B106,'Procyfloc 500'!C106)&gt;0,"500","")</f>
        <v/>
      </c>
      <c r="AB1105" t="str">
        <f>IFERROR(IF(ISNUMBER('Procyfloc 500'!A106),'Procyfloc 500'!A106,DATEVALUE('Procyfloc 500'!A106)),"")</f>
        <v/>
      </c>
      <c r="AC1105" t="str">
        <f>IF(AA1105="","",'Procyfloc 500'!B106)</f>
        <v/>
      </c>
      <c r="AD1105" t="str">
        <f>IF(AA1105="","",IFERROR(1*'Procyfloc 500'!C106,IFERROR(_xludf.NUMBERVALUE('Procyfloc 500'!C106,".",","),IFERROR(_xludf.NUMBERVALUE('Procyfloc 500'!C106,",","."),0))))</f>
        <v/>
      </c>
      <c r="AE1105" t="str">
        <f>IF(AA1105="","",'Procyfloc 500'!L106)</f>
        <v/>
      </c>
      <c r="AF1105">
        <f t="shared" si="119"/>
        <v>0</v>
      </c>
      <c r="AG1105" t="str">
        <f t="shared" si="120"/>
        <v/>
      </c>
      <c r="AH1105" t="str">
        <f t="shared" si="121"/>
        <v/>
      </c>
      <c r="AI1105">
        <f t="shared" si="122"/>
        <v>0</v>
      </c>
      <c r="AJ1105">
        <f t="shared" si="123"/>
        <v>0</v>
      </c>
      <c r="AK1105">
        <v>0</v>
      </c>
      <c r="AL1105" t="str">
        <f>IF(AA1105="","",IFERROR(IF(ISNUMBER('Procyfloc 500'!D106),'Procyfloc 500'!D106,IF(ISNUMBER(SEARCH("12",'Procyfloc 500'!D106)),EDATE(AB1105,12),IF(ISNUMBER(SEARCH("6",'Procyfloc 500'!D106)),EDATE(AB1105,6),IF(ISNUMBER(SEARCH("3",'Procyfloc 500'!D106)),EDATE(AB1105,3),DATEVALUE('Procyfloc 500'!D106))))),""))</f>
        <v/>
      </c>
      <c r="AM1105" t="str">
        <f t="shared" ca="1" si="124"/>
        <v/>
      </c>
    </row>
    <row r="1106" spans="27:39" x14ac:dyDescent="0.3">
      <c r="AA1106" t="str">
        <f>IF(COUNTA('Procyfloc 500'!A107,'Procyfloc 500'!B107,'Procyfloc 500'!C107)&gt;0,"500","")</f>
        <v/>
      </c>
      <c r="AB1106" t="str">
        <f>IFERROR(IF(ISNUMBER('Procyfloc 500'!A107),'Procyfloc 500'!A107,DATEVALUE('Procyfloc 500'!A107)),"")</f>
        <v/>
      </c>
      <c r="AC1106" t="str">
        <f>IF(AA1106="","",'Procyfloc 500'!B107)</f>
        <v/>
      </c>
      <c r="AD1106" t="str">
        <f>IF(AA1106="","",IFERROR(1*'Procyfloc 500'!C107,IFERROR(_xludf.NUMBERVALUE('Procyfloc 500'!C107,".",","),IFERROR(_xludf.NUMBERVALUE('Procyfloc 500'!C107,",","."),0))))</f>
        <v/>
      </c>
      <c r="AE1106" t="str">
        <f>IF(AA1106="","",'Procyfloc 500'!L107)</f>
        <v/>
      </c>
      <c r="AF1106">
        <f t="shared" si="119"/>
        <v>0</v>
      </c>
      <c r="AG1106" t="str">
        <f t="shared" si="120"/>
        <v/>
      </c>
      <c r="AH1106" t="str">
        <f t="shared" si="121"/>
        <v/>
      </c>
      <c r="AI1106">
        <f t="shared" si="122"/>
        <v>0</v>
      </c>
      <c r="AJ1106">
        <f t="shared" si="123"/>
        <v>0</v>
      </c>
      <c r="AK1106">
        <v>0</v>
      </c>
      <c r="AL1106" t="str">
        <f>IF(AA1106="","",IFERROR(IF(ISNUMBER('Procyfloc 500'!D107),'Procyfloc 500'!D107,IF(ISNUMBER(SEARCH("12",'Procyfloc 500'!D107)),EDATE(AB1106,12),IF(ISNUMBER(SEARCH("6",'Procyfloc 500'!D107)),EDATE(AB1106,6),IF(ISNUMBER(SEARCH("3",'Procyfloc 500'!D107)),EDATE(AB1106,3),DATEVALUE('Procyfloc 500'!D107))))),""))</f>
        <v/>
      </c>
      <c r="AM1106" t="str">
        <f t="shared" ca="1" si="124"/>
        <v/>
      </c>
    </row>
    <row r="1107" spans="27:39" x14ac:dyDescent="0.3">
      <c r="AA1107" t="str">
        <f>IF(COUNTA('Procyfloc 500'!A108,'Procyfloc 500'!B108,'Procyfloc 500'!C108)&gt;0,"500","")</f>
        <v/>
      </c>
      <c r="AB1107" t="str">
        <f>IFERROR(IF(ISNUMBER('Procyfloc 500'!A108),'Procyfloc 500'!A108,DATEVALUE('Procyfloc 500'!A108)),"")</f>
        <v/>
      </c>
      <c r="AC1107" t="str">
        <f>IF(AA1107="","",'Procyfloc 500'!B108)</f>
        <v/>
      </c>
      <c r="AD1107" t="str">
        <f>IF(AA1107="","",IFERROR(1*'Procyfloc 500'!C108,IFERROR(_xludf.NUMBERVALUE('Procyfloc 500'!C108,".",","),IFERROR(_xludf.NUMBERVALUE('Procyfloc 500'!C108,",","."),0))))</f>
        <v/>
      </c>
      <c r="AE1107" t="str">
        <f>IF(AA1107="","",'Procyfloc 500'!L108)</f>
        <v/>
      </c>
      <c r="AF1107">
        <f t="shared" si="119"/>
        <v>0</v>
      </c>
      <c r="AG1107" t="str">
        <f t="shared" si="120"/>
        <v/>
      </c>
      <c r="AH1107" t="str">
        <f t="shared" si="121"/>
        <v/>
      </c>
      <c r="AI1107">
        <f t="shared" si="122"/>
        <v>0</v>
      </c>
      <c r="AJ1107">
        <f t="shared" si="123"/>
        <v>0</v>
      </c>
      <c r="AK1107">
        <v>0</v>
      </c>
      <c r="AL1107" t="str">
        <f>IF(AA1107="","",IFERROR(IF(ISNUMBER('Procyfloc 500'!D108),'Procyfloc 500'!D108,IF(ISNUMBER(SEARCH("12",'Procyfloc 500'!D108)),EDATE(AB1107,12),IF(ISNUMBER(SEARCH("6",'Procyfloc 500'!D108)),EDATE(AB1107,6),IF(ISNUMBER(SEARCH("3",'Procyfloc 500'!D108)),EDATE(AB1107,3),DATEVALUE('Procyfloc 500'!D108))))),""))</f>
        <v/>
      </c>
      <c r="AM1107" t="str">
        <f t="shared" ca="1" si="124"/>
        <v/>
      </c>
    </row>
    <row r="1108" spans="27:39" x14ac:dyDescent="0.3">
      <c r="AA1108" t="str">
        <f>IF(COUNTA('Procyfloc 500'!A109,'Procyfloc 500'!B109,'Procyfloc 500'!C109)&gt;0,"500","")</f>
        <v/>
      </c>
      <c r="AB1108" t="str">
        <f>IFERROR(IF(ISNUMBER('Procyfloc 500'!A109),'Procyfloc 500'!A109,DATEVALUE('Procyfloc 500'!A109)),"")</f>
        <v/>
      </c>
      <c r="AC1108" t="str">
        <f>IF(AA1108="","",'Procyfloc 500'!B109)</f>
        <v/>
      </c>
      <c r="AD1108" t="str">
        <f>IF(AA1108="","",IFERROR(1*'Procyfloc 500'!C109,IFERROR(_xludf.NUMBERVALUE('Procyfloc 500'!C109,".",","),IFERROR(_xludf.NUMBERVALUE('Procyfloc 500'!C109,",","."),0))))</f>
        <v/>
      </c>
      <c r="AE1108" t="str">
        <f>IF(AA1108="","",'Procyfloc 500'!L109)</f>
        <v/>
      </c>
      <c r="AF1108">
        <f t="shared" si="119"/>
        <v>0</v>
      </c>
      <c r="AG1108" t="str">
        <f t="shared" si="120"/>
        <v/>
      </c>
      <c r="AH1108" t="str">
        <f t="shared" si="121"/>
        <v/>
      </c>
      <c r="AI1108">
        <f t="shared" si="122"/>
        <v>0</v>
      </c>
      <c r="AJ1108">
        <f t="shared" si="123"/>
        <v>0</v>
      </c>
      <c r="AK1108">
        <v>0</v>
      </c>
      <c r="AL1108" t="str">
        <f>IF(AA1108="","",IFERROR(IF(ISNUMBER('Procyfloc 500'!D109),'Procyfloc 500'!D109,IF(ISNUMBER(SEARCH("12",'Procyfloc 500'!D109)),EDATE(AB1108,12),IF(ISNUMBER(SEARCH("6",'Procyfloc 500'!D109)),EDATE(AB1108,6),IF(ISNUMBER(SEARCH("3",'Procyfloc 500'!D109)),EDATE(AB1108,3),DATEVALUE('Procyfloc 500'!D109))))),""))</f>
        <v/>
      </c>
      <c r="AM1108" t="str">
        <f t="shared" ca="1" si="124"/>
        <v/>
      </c>
    </row>
    <row r="1109" spans="27:39" x14ac:dyDescent="0.3">
      <c r="AA1109" t="str">
        <f>IF(COUNTA('Procyfloc 500'!A110,'Procyfloc 500'!B110,'Procyfloc 500'!C110)&gt;0,"500","")</f>
        <v/>
      </c>
      <c r="AB1109" t="str">
        <f>IFERROR(IF(ISNUMBER('Procyfloc 500'!A110),'Procyfloc 500'!A110,DATEVALUE('Procyfloc 500'!A110)),"")</f>
        <v/>
      </c>
      <c r="AC1109" t="str">
        <f>IF(AA1109="","",'Procyfloc 500'!B110)</f>
        <v/>
      </c>
      <c r="AD1109" t="str">
        <f>IF(AA1109="","",IFERROR(1*'Procyfloc 500'!C110,IFERROR(_xludf.NUMBERVALUE('Procyfloc 500'!C110,".",","),IFERROR(_xludf.NUMBERVALUE('Procyfloc 500'!C110,",","."),0))))</f>
        <v/>
      </c>
      <c r="AE1109" t="str">
        <f>IF(AA1109="","",'Procyfloc 500'!L110)</f>
        <v/>
      </c>
      <c r="AF1109">
        <f t="shared" si="119"/>
        <v>0</v>
      </c>
      <c r="AG1109" t="str">
        <f t="shared" si="120"/>
        <v/>
      </c>
      <c r="AH1109" t="str">
        <f t="shared" si="121"/>
        <v/>
      </c>
      <c r="AI1109">
        <f t="shared" si="122"/>
        <v>0</v>
      </c>
      <c r="AJ1109">
        <f t="shared" si="123"/>
        <v>0</v>
      </c>
      <c r="AK1109">
        <v>0</v>
      </c>
      <c r="AL1109" t="str">
        <f>IF(AA1109="","",IFERROR(IF(ISNUMBER('Procyfloc 500'!D110),'Procyfloc 500'!D110,IF(ISNUMBER(SEARCH("12",'Procyfloc 500'!D110)),EDATE(AB1109,12),IF(ISNUMBER(SEARCH("6",'Procyfloc 500'!D110)),EDATE(AB1109,6),IF(ISNUMBER(SEARCH("3",'Procyfloc 500'!D110)),EDATE(AB1109,3),DATEVALUE('Procyfloc 500'!D110))))),""))</f>
        <v/>
      </c>
      <c r="AM1109" t="str">
        <f t="shared" ca="1" si="124"/>
        <v/>
      </c>
    </row>
    <row r="1110" spans="27:39" x14ac:dyDescent="0.3">
      <c r="AA1110" t="str">
        <f>IF(COUNTA('Procyfloc 500'!A111,'Procyfloc 500'!B111,'Procyfloc 500'!C111)&gt;0,"500","")</f>
        <v/>
      </c>
      <c r="AB1110" t="str">
        <f>IFERROR(IF(ISNUMBER('Procyfloc 500'!A111),'Procyfloc 500'!A111,DATEVALUE('Procyfloc 500'!A111)),"")</f>
        <v/>
      </c>
      <c r="AC1110" t="str">
        <f>IF(AA1110="","",'Procyfloc 500'!B111)</f>
        <v/>
      </c>
      <c r="AD1110" t="str">
        <f>IF(AA1110="","",IFERROR(1*'Procyfloc 500'!C111,IFERROR(_xludf.NUMBERVALUE('Procyfloc 500'!C111,".",","),IFERROR(_xludf.NUMBERVALUE('Procyfloc 500'!C111,",","."),0))))</f>
        <v/>
      </c>
      <c r="AE1110" t="str">
        <f>IF(AA1110="","",'Procyfloc 500'!L111)</f>
        <v/>
      </c>
      <c r="AF1110">
        <f t="shared" si="119"/>
        <v>0</v>
      </c>
      <c r="AG1110" t="str">
        <f t="shared" si="120"/>
        <v/>
      </c>
      <c r="AH1110" t="str">
        <f t="shared" si="121"/>
        <v/>
      </c>
      <c r="AI1110">
        <f t="shared" si="122"/>
        <v>0</v>
      </c>
      <c r="AJ1110">
        <f t="shared" si="123"/>
        <v>0</v>
      </c>
      <c r="AK1110">
        <v>0</v>
      </c>
      <c r="AL1110" t="str">
        <f>IF(AA1110="","",IFERROR(IF(ISNUMBER('Procyfloc 500'!D111),'Procyfloc 500'!D111,IF(ISNUMBER(SEARCH("12",'Procyfloc 500'!D111)),EDATE(AB1110,12),IF(ISNUMBER(SEARCH("6",'Procyfloc 500'!D111)),EDATE(AB1110,6),IF(ISNUMBER(SEARCH("3",'Procyfloc 500'!D111)),EDATE(AB1110,3),DATEVALUE('Procyfloc 500'!D111))))),""))</f>
        <v/>
      </c>
      <c r="AM1110" t="str">
        <f t="shared" ca="1" si="124"/>
        <v/>
      </c>
    </row>
    <row r="1111" spans="27:39" x14ac:dyDescent="0.3">
      <c r="AA1111" t="str">
        <f>IF(COUNTA('Procyfloc 500'!A112,'Procyfloc 500'!B112,'Procyfloc 500'!C112)&gt;0,"500","")</f>
        <v/>
      </c>
      <c r="AB1111" t="str">
        <f>IFERROR(IF(ISNUMBER('Procyfloc 500'!A112),'Procyfloc 500'!A112,DATEVALUE('Procyfloc 500'!A112)),"")</f>
        <v/>
      </c>
      <c r="AC1111" t="str">
        <f>IF(AA1111="","",'Procyfloc 500'!B112)</f>
        <v/>
      </c>
      <c r="AD1111" t="str">
        <f>IF(AA1111="","",IFERROR(1*'Procyfloc 500'!C112,IFERROR(_xludf.NUMBERVALUE('Procyfloc 500'!C112,".",","),IFERROR(_xludf.NUMBERVALUE('Procyfloc 500'!C112,",","."),0))))</f>
        <v/>
      </c>
      <c r="AE1111" t="str">
        <f>IF(AA1111="","",'Procyfloc 500'!L112)</f>
        <v/>
      </c>
      <c r="AF1111">
        <f t="shared" si="119"/>
        <v>0</v>
      </c>
      <c r="AG1111" t="str">
        <f t="shared" si="120"/>
        <v/>
      </c>
      <c r="AH1111" t="str">
        <f t="shared" si="121"/>
        <v/>
      </c>
      <c r="AI1111">
        <f t="shared" si="122"/>
        <v>0</v>
      </c>
      <c r="AJ1111">
        <f t="shared" si="123"/>
        <v>0</v>
      </c>
      <c r="AK1111">
        <v>0</v>
      </c>
      <c r="AL1111" t="str">
        <f>IF(AA1111="","",IFERROR(IF(ISNUMBER('Procyfloc 500'!D112),'Procyfloc 500'!D112,IF(ISNUMBER(SEARCH("12",'Procyfloc 500'!D112)),EDATE(AB1111,12),IF(ISNUMBER(SEARCH("6",'Procyfloc 500'!D112)),EDATE(AB1111,6),IF(ISNUMBER(SEARCH("3",'Procyfloc 500'!D112)),EDATE(AB1111,3),DATEVALUE('Procyfloc 500'!D112))))),""))</f>
        <v/>
      </c>
      <c r="AM1111" t="str">
        <f t="shared" ca="1" si="124"/>
        <v/>
      </c>
    </row>
    <row r="1112" spans="27:39" x14ac:dyDescent="0.3">
      <c r="AA1112" t="str">
        <f>IF(COUNTA('Procyfloc 500'!A113,'Procyfloc 500'!B113,'Procyfloc 500'!C113)&gt;0,"500","")</f>
        <v/>
      </c>
      <c r="AB1112" t="str">
        <f>IFERROR(IF(ISNUMBER('Procyfloc 500'!A113),'Procyfloc 500'!A113,DATEVALUE('Procyfloc 500'!A113)),"")</f>
        <v/>
      </c>
      <c r="AC1112" t="str">
        <f>IF(AA1112="","",'Procyfloc 500'!B113)</f>
        <v/>
      </c>
      <c r="AD1112" t="str">
        <f>IF(AA1112="","",IFERROR(1*'Procyfloc 500'!C113,IFERROR(_xludf.NUMBERVALUE('Procyfloc 500'!C113,".",","),IFERROR(_xludf.NUMBERVALUE('Procyfloc 500'!C113,",","."),0))))</f>
        <v/>
      </c>
      <c r="AE1112" t="str">
        <f>IF(AA1112="","",'Procyfloc 500'!L113)</f>
        <v/>
      </c>
      <c r="AF1112">
        <f t="shared" si="119"/>
        <v>0</v>
      </c>
      <c r="AG1112" t="str">
        <f t="shared" si="120"/>
        <v/>
      </c>
      <c r="AH1112" t="str">
        <f t="shared" si="121"/>
        <v/>
      </c>
      <c r="AI1112">
        <f t="shared" si="122"/>
        <v>0</v>
      </c>
      <c r="AJ1112">
        <f t="shared" si="123"/>
        <v>0</v>
      </c>
      <c r="AK1112">
        <v>0</v>
      </c>
      <c r="AL1112" t="str">
        <f>IF(AA1112="","",IFERROR(IF(ISNUMBER('Procyfloc 500'!D113),'Procyfloc 500'!D113,IF(ISNUMBER(SEARCH("12",'Procyfloc 500'!D113)),EDATE(AB1112,12),IF(ISNUMBER(SEARCH("6",'Procyfloc 500'!D113)),EDATE(AB1112,6),IF(ISNUMBER(SEARCH("3",'Procyfloc 500'!D113)),EDATE(AB1112,3),DATEVALUE('Procyfloc 500'!D113))))),""))</f>
        <v/>
      </c>
      <c r="AM1112" t="str">
        <f t="shared" ca="1" si="124"/>
        <v/>
      </c>
    </row>
    <row r="1113" spans="27:39" x14ac:dyDescent="0.3">
      <c r="AA1113" t="str">
        <f>IF(COUNTA('Procyfloc 500'!A114,'Procyfloc 500'!B114,'Procyfloc 500'!C114)&gt;0,"500","")</f>
        <v/>
      </c>
      <c r="AB1113" t="str">
        <f>IFERROR(IF(ISNUMBER('Procyfloc 500'!A114),'Procyfloc 500'!A114,DATEVALUE('Procyfloc 500'!A114)),"")</f>
        <v/>
      </c>
      <c r="AC1113" t="str">
        <f>IF(AA1113="","",'Procyfloc 500'!B114)</f>
        <v/>
      </c>
      <c r="AD1113" t="str">
        <f>IF(AA1113="","",IFERROR(1*'Procyfloc 500'!C114,IFERROR(_xludf.NUMBERVALUE('Procyfloc 500'!C114,".",","),IFERROR(_xludf.NUMBERVALUE('Procyfloc 500'!C114,",","."),0))))</f>
        <v/>
      </c>
      <c r="AE1113" t="str">
        <f>IF(AA1113="","",'Procyfloc 500'!L114)</f>
        <v/>
      </c>
      <c r="AF1113">
        <f t="shared" si="119"/>
        <v>0</v>
      </c>
      <c r="AG1113" t="str">
        <f t="shared" si="120"/>
        <v/>
      </c>
      <c r="AH1113" t="str">
        <f t="shared" si="121"/>
        <v/>
      </c>
      <c r="AI1113">
        <f t="shared" si="122"/>
        <v>0</v>
      </c>
      <c r="AJ1113">
        <f t="shared" si="123"/>
        <v>0</v>
      </c>
      <c r="AK1113">
        <v>0</v>
      </c>
      <c r="AL1113" t="str">
        <f>IF(AA1113="","",IFERROR(IF(ISNUMBER('Procyfloc 500'!D114),'Procyfloc 500'!D114,IF(ISNUMBER(SEARCH("12",'Procyfloc 500'!D114)),EDATE(AB1113,12),IF(ISNUMBER(SEARCH("6",'Procyfloc 500'!D114)),EDATE(AB1113,6),IF(ISNUMBER(SEARCH("3",'Procyfloc 500'!D114)),EDATE(AB1113,3),DATEVALUE('Procyfloc 500'!D114))))),""))</f>
        <v/>
      </c>
      <c r="AM1113" t="str">
        <f t="shared" ca="1" si="124"/>
        <v/>
      </c>
    </row>
    <row r="1114" spans="27:39" x14ac:dyDescent="0.3">
      <c r="AA1114" t="str">
        <f>IF(COUNTA('Procyfloc 500'!A115,'Procyfloc 500'!B115,'Procyfloc 500'!C115)&gt;0,"500","")</f>
        <v/>
      </c>
      <c r="AB1114" t="str">
        <f>IFERROR(IF(ISNUMBER('Procyfloc 500'!A115),'Procyfloc 500'!A115,DATEVALUE('Procyfloc 500'!A115)),"")</f>
        <v/>
      </c>
      <c r="AC1114" t="str">
        <f>IF(AA1114="","",'Procyfloc 500'!B115)</f>
        <v/>
      </c>
      <c r="AD1114" t="str">
        <f>IF(AA1114="","",IFERROR(1*'Procyfloc 500'!C115,IFERROR(_xludf.NUMBERVALUE('Procyfloc 500'!C115,".",","),IFERROR(_xludf.NUMBERVALUE('Procyfloc 500'!C115,",","."),0))))</f>
        <v/>
      </c>
      <c r="AE1114" t="str">
        <f>IF(AA1114="","",'Procyfloc 500'!L115)</f>
        <v/>
      </c>
      <c r="AF1114">
        <f t="shared" si="119"/>
        <v>0</v>
      </c>
      <c r="AG1114" t="str">
        <f t="shared" si="120"/>
        <v/>
      </c>
      <c r="AH1114" t="str">
        <f t="shared" si="121"/>
        <v/>
      </c>
      <c r="AI1114">
        <f t="shared" si="122"/>
        <v>0</v>
      </c>
      <c r="AJ1114">
        <f t="shared" si="123"/>
        <v>0</v>
      </c>
      <c r="AK1114">
        <v>0</v>
      </c>
      <c r="AL1114" t="str">
        <f>IF(AA1114="","",IFERROR(IF(ISNUMBER('Procyfloc 500'!D115),'Procyfloc 500'!D115,IF(ISNUMBER(SEARCH("12",'Procyfloc 500'!D115)),EDATE(AB1114,12),IF(ISNUMBER(SEARCH("6",'Procyfloc 500'!D115)),EDATE(AB1114,6),IF(ISNUMBER(SEARCH("3",'Procyfloc 500'!D115)),EDATE(AB1114,3),DATEVALUE('Procyfloc 500'!D115))))),""))</f>
        <v/>
      </c>
      <c r="AM1114" t="str">
        <f t="shared" ca="1" si="124"/>
        <v/>
      </c>
    </row>
    <row r="1115" spans="27:39" x14ac:dyDescent="0.3">
      <c r="AA1115" t="str">
        <f>IF(COUNTA('Procyfloc 500'!A116,'Procyfloc 500'!B116,'Procyfloc 500'!C116)&gt;0,"500","")</f>
        <v/>
      </c>
      <c r="AB1115" t="str">
        <f>IFERROR(IF(ISNUMBER('Procyfloc 500'!A116),'Procyfloc 500'!A116,DATEVALUE('Procyfloc 500'!A116)),"")</f>
        <v/>
      </c>
      <c r="AC1115" t="str">
        <f>IF(AA1115="","",'Procyfloc 500'!B116)</f>
        <v/>
      </c>
      <c r="AD1115" t="str">
        <f>IF(AA1115="","",IFERROR(1*'Procyfloc 500'!C116,IFERROR(_xludf.NUMBERVALUE('Procyfloc 500'!C116,".",","),IFERROR(_xludf.NUMBERVALUE('Procyfloc 500'!C116,",","."),0))))</f>
        <v/>
      </c>
      <c r="AE1115" t="str">
        <f>IF(AA1115="","",'Procyfloc 500'!L116)</f>
        <v/>
      </c>
      <c r="AF1115">
        <f t="shared" si="119"/>
        <v>0</v>
      </c>
      <c r="AG1115" t="str">
        <f t="shared" si="120"/>
        <v/>
      </c>
      <c r="AH1115" t="str">
        <f t="shared" si="121"/>
        <v/>
      </c>
      <c r="AI1115">
        <f t="shared" si="122"/>
        <v>0</v>
      </c>
      <c r="AJ1115">
        <f t="shared" si="123"/>
        <v>0</v>
      </c>
      <c r="AK1115">
        <v>0</v>
      </c>
      <c r="AL1115" t="str">
        <f>IF(AA1115="","",IFERROR(IF(ISNUMBER('Procyfloc 500'!D116),'Procyfloc 500'!D116,IF(ISNUMBER(SEARCH("12",'Procyfloc 500'!D116)),EDATE(AB1115,12),IF(ISNUMBER(SEARCH("6",'Procyfloc 500'!D116)),EDATE(AB1115,6),IF(ISNUMBER(SEARCH("3",'Procyfloc 500'!D116)),EDATE(AB1115,3),DATEVALUE('Procyfloc 500'!D116))))),""))</f>
        <v/>
      </c>
      <c r="AM1115" t="str">
        <f t="shared" ca="1" si="124"/>
        <v/>
      </c>
    </row>
    <row r="1116" spans="27:39" x14ac:dyDescent="0.3">
      <c r="AA1116" t="str">
        <f>IF(COUNTA('Procyfloc 500'!A117,'Procyfloc 500'!B117,'Procyfloc 500'!C117)&gt;0,"500","")</f>
        <v/>
      </c>
      <c r="AB1116" t="str">
        <f>IFERROR(IF(ISNUMBER('Procyfloc 500'!A117),'Procyfloc 500'!A117,DATEVALUE('Procyfloc 500'!A117)),"")</f>
        <v/>
      </c>
      <c r="AC1116" t="str">
        <f>IF(AA1116="","",'Procyfloc 500'!B117)</f>
        <v/>
      </c>
      <c r="AD1116" t="str">
        <f>IF(AA1116="","",IFERROR(1*'Procyfloc 500'!C117,IFERROR(_xludf.NUMBERVALUE('Procyfloc 500'!C117,".",","),IFERROR(_xludf.NUMBERVALUE('Procyfloc 500'!C117,",","."),0))))</f>
        <v/>
      </c>
      <c r="AE1116" t="str">
        <f>IF(AA1116="","",'Procyfloc 500'!L117)</f>
        <v/>
      </c>
      <c r="AF1116">
        <f t="shared" si="119"/>
        <v>0</v>
      </c>
      <c r="AG1116" t="str">
        <f t="shared" si="120"/>
        <v/>
      </c>
      <c r="AH1116" t="str">
        <f t="shared" si="121"/>
        <v/>
      </c>
      <c r="AI1116">
        <f t="shared" si="122"/>
        <v>0</v>
      </c>
      <c r="AJ1116">
        <f t="shared" si="123"/>
        <v>0</v>
      </c>
      <c r="AK1116">
        <v>0</v>
      </c>
      <c r="AL1116" t="str">
        <f>IF(AA1116="","",IFERROR(IF(ISNUMBER('Procyfloc 500'!D117),'Procyfloc 500'!D117,IF(ISNUMBER(SEARCH("12",'Procyfloc 500'!D117)),EDATE(AB1116,12),IF(ISNUMBER(SEARCH("6",'Procyfloc 500'!D117)),EDATE(AB1116,6),IF(ISNUMBER(SEARCH("3",'Procyfloc 500'!D117)),EDATE(AB1116,3),DATEVALUE('Procyfloc 500'!D117))))),""))</f>
        <v/>
      </c>
      <c r="AM1116" t="str">
        <f t="shared" ca="1" si="124"/>
        <v/>
      </c>
    </row>
    <row r="1117" spans="27:39" x14ac:dyDescent="0.3">
      <c r="AA1117" t="str">
        <f>IF(COUNTA('Procyfloc 500'!A118,'Procyfloc 500'!B118,'Procyfloc 500'!C118)&gt;0,"500","")</f>
        <v/>
      </c>
      <c r="AB1117" t="str">
        <f>IFERROR(IF(ISNUMBER('Procyfloc 500'!A118),'Procyfloc 500'!A118,DATEVALUE('Procyfloc 500'!A118)),"")</f>
        <v/>
      </c>
      <c r="AC1117" t="str">
        <f>IF(AA1117="","",'Procyfloc 500'!B118)</f>
        <v/>
      </c>
      <c r="AD1117" t="str">
        <f>IF(AA1117="","",IFERROR(1*'Procyfloc 500'!C118,IFERROR(_xludf.NUMBERVALUE('Procyfloc 500'!C118,".",","),IFERROR(_xludf.NUMBERVALUE('Procyfloc 500'!C118,",","."),0))))</f>
        <v/>
      </c>
      <c r="AE1117" t="str">
        <f>IF(AA1117="","",'Procyfloc 500'!L118)</f>
        <v/>
      </c>
      <c r="AF1117">
        <f t="shared" si="119"/>
        <v>0</v>
      </c>
      <c r="AG1117" t="str">
        <f t="shared" si="120"/>
        <v/>
      </c>
      <c r="AH1117" t="str">
        <f t="shared" si="121"/>
        <v/>
      </c>
      <c r="AI1117">
        <f t="shared" si="122"/>
        <v>0</v>
      </c>
      <c r="AJ1117">
        <f t="shared" si="123"/>
        <v>0</v>
      </c>
      <c r="AK1117">
        <v>0</v>
      </c>
      <c r="AL1117" t="str">
        <f>IF(AA1117="","",IFERROR(IF(ISNUMBER('Procyfloc 500'!D118),'Procyfloc 500'!D118,IF(ISNUMBER(SEARCH("12",'Procyfloc 500'!D118)),EDATE(AB1117,12),IF(ISNUMBER(SEARCH("6",'Procyfloc 500'!D118)),EDATE(AB1117,6),IF(ISNUMBER(SEARCH("3",'Procyfloc 500'!D118)),EDATE(AB1117,3),DATEVALUE('Procyfloc 500'!D118))))),""))</f>
        <v/>
      </c>
      <c r="AM1117" t="str">
        <f t="shared" ca="1" si="124"/>
        <v/>
      </c>
    </row>
    <row r="1118" spans="27:39" x14ac:dyDescent="0.3">
      <c r="AA1118" t="str">
        <f>IF(COUNTA('Procyfloc 500'!A119,'Procyfloc 500'!B119,'Procyfloc 500'!C119)&gt;0,"500","")</f>
        <v/>
      </c>
      <c r="AB1118" t="str">
        <f>IFERROR(IF(ISNUMBER('Procyfloc 500'!A119),'Procyfloc 500'!A119,DATEVALUE('Procyfloc 500'!A119)),"")</f>
        <v/>
      </c>
      <c r="AC1118" t="str">
        <f>IF(AA1118="","",'Procyfloc 500'!B119)</f>
        <v/>
      </c>
      <c r="AD1118" t="str">
        <f>IF(AA1118="","",IFERROR(1*'Procyfloc 500'!C119,IFERROR(_xludf.NUMBERVALUE('Procyfloc 500'!C119,".",","),IFERROR(_xludf.NUMBERVALUE('Procyfloc 500'!C119,",","."),0))))</f>
        <v/>
      </c>
      <c r="AE1118" t="str">
        <f>IF(AA1118="","",'Procyfloc 500'!L119)</f>
        <v/>
      </c>
      <c r="AF1118">
        <f t="shared" si="119"/>
        <v>0</v>
      </c>
      <c r="AG1118" t="str">
        <f t="shared" si="120"/>
        <v/>
      </c>
      <c r="AH1118" t="str">
        <f t="shared" si="121"/>
        <v/>
      </c>
      <c r="AI1118">
        <f t="shared" si="122"/>
        <v>0</v>
      </c>
      <c r="AJ1118">
        <f t="shared" si="123"/>
        <v>0</v>
      </c>
      <c r="AK1118">
        <v>0</v>
      </c>
      <c r="AL1118" t="str">
        <f>IF(AA1118="","",IFERROR(IF(ISNUMBER('Procyfloc 500'!D119),'Procyfloc 500'!D119,IF(ISNUMBER(SEARCH("12",'Procyfloc 500'!D119)),EDATE(AB1118,12),IF(ISNUMBER(SEARCH("6",'Procyfloc 500'!D119)),EDATE(AB1118,6),IF(ISNUMBER(SEARCH("3",'Procyfloc 500'!D119)),EDATE(AB1118,3),DATEVALUE('Procyfloc 500'!D119))))),""))</f>
        <v/>
      </c>
      <c r="AM1118" t="str">
        <f t="shared" ca="1" si="124"/>
        <v/>
      </c>
    </row>
    <row r="1119" spans="27:39" x14ac:dyDescent="0.3">
      <c r="AA1119" t="str">
        <f>IF(COUNTA('Procyfloc 500'!A120,'Procyfloc 500'!B120,'Procyfloc 500'!C120)&gt;0,"500","")</f>
        <v/>
      </c>
      <c r="AB1119" t="str">
        <f>IFERROR(IF(ISNUMBER('Procyfloc 500'!A120),'Procyfloc 500'!A120,DATEVALUE('Procyfloc 500'!A120)),"")</f>
        <v/>
      </c>
      <c r="AC1119" t="str">
        <f>IF(AA1119="","",'Procyfloc 500'!B120)</f>
        <v/>
      </c>
      <c r="AD1119" t="str">
        <f>IF(AA1119="","",IFERROR(1*'Procyfloc 500'!C120,IFERROR(_xludf.NUMBERVALUE('Procyfloc 500'!C120,".",","),IFERROR(_xludf.NUMBERVALUE('Procyfloc 500'!C120,",","."),0))))</f>
        <v/>
      </c>
      <c r="AE1119" t="str">
        <f>IF(AA1119="","",'Procyfloc 500'!L120)</f>
        <v/>
      </c>
      <c r="AF1119">
        <f t="shared" si="119"/>
        <v>0</v>
      </c>
      <c r="AG1119" t="str">
        <f t="shared" si="120"/>
        <v/>
      </c>
      <c r="AH1119" t="str">
        <f t="shared" si="121"/>
        <v/>
      </c>
      <c r="AI1119">
        <f t="shared" si="122"/>
        <v>0</v>
      </c>
      <c r="AJ1119">
        <f t="shared" si="123"/>
        <v>0</v>
      </c>
      <c r="AK1119">
        <v>0</v>
      </c>
      <c r="AL1119" t="str">
        <f>IF(AA1119="","",IFERROR(IF(ISNUMBER('Procyfloc 500'!D120),'Procyfloc 500'!D120,IF(ISNUMBER(SEARCH("12",'Procyfloc 500'!D120)),EDATE(AB1119,12),IF(ISNUMBER(SEARCH("6",'Procyfloc 500'!D120)),EDATE(AB1119,6),IF(ISNUMBER(SEARCH("3",'Procyfloc 500'!D120)),EDATE(AB1119,3),DATEVALUE('Procyfloc 500'!D120))))),""))</f>
        <v/>
      </c>
      <c r="AM1119" t="str">
        <f t="shared" ca="1" si="124"/>
        <v/>
      </c>
    </row>
    <row r="1120" spans="27:39" x14ac:dyDescent="0.3">
      <c r="AA1120" t="str">
        <f>IF(COUNTA('Procyfloc 500'!A121,'Procyfloc 500'!B121,'Procyfloc 500'!C121)&gt;0,"500","")</f>
        <v/>
      </c>
      <c r="AB1120" t="str">
        <f>IFERROR(IF(ISNUMBER('Procyfloc 500'!A121),'Procyfloc 500'!A121,DATEVALUE('Procyfloc 500'!A121)),"")</f>
        <v/>
      </c>
      <c r="AC1120" t="str">
        <f>IF(AA1120="","",'Procyfloc 500'!B121)</f>
        <v/>
      </c>
      <c r="AD1120" t="str">
        <f>IF(AA1120="","",IFERROR(1*'Procyfloc 500'!C121,IFERROR(_xludf.NUMBERVALUE('Procyfloc 500'!C121,".",","),IFERROR(_xludf.NUMBERVALUE('Procyfloc 500'!C121,",","."),0))))</f>
        <v/>
      </c>
      <c r="AE1120" t="str">
        <f>IF(AA1120="","",'Procyfloc 500'!L121)</f>
        <v/>
      </c>
      <c r="AF1120">
        <f t="shared" si="119"/>
        <v>0</v>
      </c>
      <c r="AG1120" t="str">
        <f t="shared" si="120"/>
        <v/>
      </c>
      <c r="AH1120" t="str">
        <f t="shared" si="121"/>
        <v/>
      </c>
      <c r="AI1120">
        <f t="shared" si="122"/>
        <v>0</v>
      </c>
      <c r="AJ1120">
        <f t="shared" si="123"/>
        <v>0</v>
      </c>
      <c r="AK1120">
        <v>0</v>
      </c>
      <c r="AL1120" t="str">
        <f>IF(AA1120="","",IFERROR(IF(ISNUMBER('Procyfloc 500'!D121),'Procyfloc 500'!D121,IF(ISNUMBER(SEARCH("12",'Procyfloc 500'!D121)),EDATE(AB1120,12),IF(ISNUMBER(SEARCH("6",'Procyfloc 500'!D121)),EDATE(AB1120,6),IF(ISNUMBER(SEARCH("3",'Procyfloc 500'!D121)),EDATE(AB1120,3),DATEVALUE('Procyfloc 500'!D121))))),""))</f>
        <v/>
      </c>
      <c r="AM1120" t="str">
        <f t="shared" ca="1" si="124"/>
        <v/>
      </c>
    </row>
    <row r="1121" spans="27:39" x14ac:dyDescent="0.3">
      <c r="AA1121" t="str">
        <f>IF(COUNTA('Procyfloc 500'!A122,'Procyfloc 500'!B122,'Procyfloc 500'!C122)&gt;0,"500","")</f>
        <v/>
      </c>
      <c r="AB1121" t="str">
        <f>IFERROR(IF(ISNUMBER('Procyfloc 500'!A122),'Procyfloc 500'!A122,DATEVALUE('Procyfloc 500'!A122)),"")</f>
        <v/>
      </c>
      <c r="AC1121" t="str">
        <f>IF(AA1121="","",'Procyfloc 500'!B122)</f>
        <v/>
      </c>
      <c r="AD1121" t="str">
        <f>IF(AA1121="","",IFERROR(1*'Procyfloc 500'!C122,IFERROR(_xludf.NUMBERVALUE('Procyfloc 500'!C122,".",","),IFERROR(_xludf.NUMBERVALUE('Procyfloc 500'!C122,",","."),0))))</f>
        <v/>
      </c>
      <c r="AE1121" t="str">
        <f>IF(AA1121="","",'Procyfloc 500'!L122)</f>
        <v/>
      </c>
      <c r="AF1121">
        <f t="shared" si="119"/>
        <v>0</v>
      </c>
      <c r="AG1121" t="str">
        <f t="shared" si="120"/>
        <v/>
      </c>
      <c r="AH1121" t="str">
        <f t="shared" si="121"/>
        <v/>
      </c>
      <c r="AI1121">
        <f t="shared" si="122"/>
        <v>0</v>
      </c>
      <c r="AJ1121">
        <f t="shared" si="123"/>
        <v>0</v>
      </c>
      <c r="AK1121">
        <v>0</v>
      </c>
      <c r="AL1121" t="str">
        <f>IF(AA1121="","",IFERROR(IF(ISNUMBER('Procyfloc 500'!D122),'Procyfloc 500'!D122,IF(ISNUMBER(SEARCH("12",'Procyfloc 500'!D122)),EDATE(AB1121,12),IF(ISNUMBER(SEARCH("6",'Procyfloc 500'!D122)),EDATE(AB1121,6),IF(ISNUMBER(SEARCH("3",'Procyfloc 500'!D122)),EDATE(AB1121,3),DATEVALUE('Procyfloc 500'!D122))))),""))</f>
        <v/>
      </c>
      <c r="AM1121" t="str">
        <f t="shared" ca="1" si="124"/>
        <v/>
      </c>
    </row>
    <row r="1122" spans="27:39" x14ac:dyDescent="0.3">
      <c r="AA1122" t="str">
        <f>IF(COUNTA('Procyfloc 500'!A123,'Procyfloc 500'!B123,'Procyfloc 500'!C123)&gt;0,"500","")</f>
        <v/>
      </c>
      <c r="AB1122" t="str">
        <f>IFERROR(IF(ISNUMBER('Procyfloc 500'!A123),'Procyfloc 500'!A123,DATEVALUE('Procyfloc 500'!A123)),"")</f>
        <v/>
      </c>
      <c r="AC1122" t="str">
        <f>IF(AA1122="","",'Procyfloc 500'!B123)</f>
        <v/>
      </c>
      <c r="AD1122" t="str">
        <f>IF(AA1122="","",IFERROR(1*'Procyfloc 500'!C123,IFERROR(_xludf.NUMBERVALUE('Procyfloc 500'!C123,".",","),IFERROR(_xludf.NUMBERVALUE('Procyfloc 500'!C123,",","."),0))))</f>
        <v/>
      </c>
      <c r="AE1122" t="str">
        <f>IF(AA1122="","",'Procyfloc 500'!L123)</f>
        <v/>
      </c>
      <c r="AF1122">
        <f t="shared" si="119"/>
        <v>0</v>
      </c>
      <c r="AG1122" t="str">
        <f t="shared" si="120"/>
        <v/>
      </c>
      <c r="AH1122" t="str">
        <f t="shared" si="121"/>
        <v/>
      </c>
      <c r="AI1122">
        <f t="shared" si="122"/>
        <v>0</v>
      </c>
      <c r="AJ1122">
        <f t="shared" si="123"/>
        <v>0</v>
      </c>
      <c r="AK1122">
        <v>0</v>
      </c>
      <c r="AL1122" t="str">
        <f>IF(AA1122="","",IFERROR(IF(ISNUMBER('Procyfloc 500'!D123),'Procyfloc 500'!D123,IF(ISNUMBER(SEARCH("12",'Procyfloc 500'!D123)),EDATE(AB1122,12),IF(ISNUMBER(SEARCH("6",'Procyfloc 500'!D123)),EDATE(AB1122,6),IF(ISNUMBER(SEARCH("3",'Procyfloc 500'!D123)),EDATE(AB1122,3),DATEVALUE('Procyfloc 500'!D123))))),""))</f>
        <v/>
      </c>
      <c r="AM1122" t="str">
        <f t="shared" ca="1" si="124"/>
        <v/>
      </c>
    </row>
    <row r="1123" spans="27:39" x14ac:dyDescent="0.3">
      <c r="AA1123" t="str">
        <f>IF(COUNTA('Procyfloc 500'!A124,'Procyfloc 500'!B124,'Procyfloc 500'!C124)&gt;0,"500","")</f>
        <v/>
      </c>
      <c r="AB1123" t="str">
        <f>IFERROR(IF(ISNUMBER('Procyfloc 500'!A124),'Procyfloc 500'!A124,DATEVALUE('Procyfloc 500'!A124)),"")</f>
        <v/>
      </c>
      <c r="AC1123" t="str">
        <f>IF(AA1123="","",'Procyfloc 500'!B124)</f>
        <v/>
      </c>
      <c r="AD1123" t="str">
        <f>IF(AA1123="","",IFERROR(1*'Procyfloc 500'!C124,IFERROR(_xludf.NUMBERVALUE('Procyfloc 500'!C124,".",","),IFERROR(_xludf.NUMBERVALUE('Procyfloc 500'!C124,",","."),0))))</f>
        <v/>
      </c>
      <c r="AE1123" t="str">
        <f>IF(AA1123="","",'Procyfloc 500'!L124)</f>
        <v/>
      </c>
      <c r="AF1123">
        <f t="shared" si="119"/>
        <v>0</v>
      </c>
      <c r="AG1123" t="str">
        <f t="shared" si="120"/>
        <v/>
      </c>
      <c r="AH1123" t="str">
        <f t="shared" si="121"/>
        <v/>
      </c>
      <c r="AI1123">
        <f t="shared" si="122"/>
        <v>0</v>
      </c>
      <c r="AJ1123">
        <f t="shared" si="123"/>
        <v>0</v>
      </c>
      <c r="AK1123">
        <v>0</v>
      </c>
      <c r="AL1123" t="str">
        <f>IF(AA1123="","",IFERROR(IF(ISNUMBER('Procyfloc 500'!D124),'Procyfloc 500'!D124,IF(ISNUMBER(SEARCH("12",'Procyfloc 500'!D124)),EDATE(AB1123,12),IF(ISNUMBER(SEARCH("6",'Procyfloc 500'!D124)),EDATE(AB1123,6),IF(ISNUMBER(SEARCH("3",'Procyfloc 500'!D124)),EDATE(AB1123,3),DATEVALUE('Procyfloc 500'!D124))))),""))</f>
        <v/>
      </c>
      <c r="AM1123" t="str">
        <f t="shared" ca="1" si="124"/>
        <v/>
      </c>
    </row>
    <row r="1124" spans="27:39" x14ac:dyDescent="0.3">
      <c r="AA1124" t="str">
        <f>IF(COUNTA('Procyfloc 500'!A125,'Procyfloc 500'!B125,'Procyfloc 500'!C125)&gt;0,"500","")</f>
        <v/>
      </c>
      <c r="AB1124" t="str">
        <f>IFERROR(IF(ISNUMBER('Procyfloc 500'!A125),'Procyfloc 500'!A125,DATEVALUE('Procyfloc 500'!A125)),"")</f>
        <v/>
      </c>
      <c r="AC1124" t="str">
        <f>IF(AA1124="","",'Procyfloc 500'!B125)</f>
        <v/>
      </c>
      <c r="AD1124" t="str">
        <f>IF(AA1124="","",IFERROR(1*'Procyfloc 500'!C125,IFERROR(_xludf.NUMBERVALUE('Procyfloc 500'!C125,".",","),IFERROR(_xludf.NUMBERVALUE('Procyfloc 500'!C125,",","."),0))))</f>
        <v/>
      </c>
      <c r="AE1124" t="str">
        <f>IF(AA1124="","",'Procyfloc 500'!L125)</f>
        <v/>
      </c>
      <c r="AF1124">
        <f t="shared" si="119"/>
        <v>0</v>
      </c>
      <c r="AG1124" t="str">
        <f t="shared" si="120"/>
        <v/>
      </c>
      <c r="AH1124" t="str">
        <f t="shared" si="121"/>
        <v/>
      </c>
      <c r="AI1124">
        <f t="shared" si="122"/>
        <v>0</v>
      </c>
      <c r="AJ1124">
        <f t="shared" si="123"/>
        <v>0</v>
      </c>
      <c r="AK1124">
        <v>0</v>
      </c>
      <c r="AL1124" t="str">
        <f>IF(AA1124="","",IFERROR(IF(ISNUMBER('Procyfloc 500'!D125),'Procyfloc 500'!D125,IF(ISNUMBER(SEARCH("12",'Procyfloc 500'!D125)),EDATE(AB1124,12),IF(ISNUMBER(SEARCH("6",'Procyfloc 500'!D125)),EDATE(AB1124,6),IF(ISNUMBER(SEARCH("3",'Procyfloc 500'!D125)),EDATE(AB1124,3),DATEVALUE('Procyfloc 500'!D125))))),""))</f>
        <v/>
      </c>
      <c r="AM1124" t="str">
        <f t="shared" ca="1" si="124"/>
        <v/>
      </c>
    </row>
    <row r="1125" spans="27:39" x14ac:dyDescent="0.3">
      <c r="AA1125" t="str">
        <f>IF(COUNTA('Procyfloc 500'!A126,'Procyfloc 500'!B126,'Procyfloc 500'!C126)&gt;0,"500","")</f>
        <v/>
      </c>
      <c r="AB1125" t="str">
        <f>IFERROR(IF(ISNUMBER('Procyfloc 500'!A126),'Procyfloc 500'!A126,DATEVALUE('Procyfloc 500'!A126)),"")</f>
        <v/>
      </c>
      <c r="AC1125" t="str">
        <f>IF(AA1125="","",'Procyfloc 500'!B126)</f>
        <v/>
      </c>
      <c r="AD1125" t="str">
        <f>IF(AA1125="","",IFERROR(1*'Procyfloc 500'!C126,IFERROR(_xludf.NUMBERVALUE('Procyfloc 500'!C126,".",","),IFERROR(_xludf.NUMBERVALUE('Procyfloc 500'!C126,",","."),0))))</f>
        <v/>
      </c>
      <c r="AE1125" t="str">
        <f>IF(AA1125="","",'Procyfloc 500'!L126)</f>
        <v/>
      </c>
      <c r="AF1125">
        <f t="shared" si="119"/>
        <v>0</v>
      </c>
      <c r="AG1125" t="str">
        <f t="shared" si="120"/>
        <v/>
      </c>
      <c r="AH1125" t="str">
        <f t="shared" si="121"/>
        <v/>
      </c>
      <c r="AI1125">
        <f t="shared" si="122"/>
        <v>0</v>
      </c>
      <c r="AJ1125">
        <f t="shared" si="123"/>
        <v>0</v>
      </c>
      <c r="AK1125">
        <v>0</v>
      </c>
      <c r="AL1125" t="str">
        <f>IF(AA1125="","",IFERROR(IF(ISNUMBER('Procyfloc 500'!D126),'Procyfloc 500'!D126,IF(ISNUMBER(SEARCH("12",'Procyfloc 500'!D126)),EDATE(AB1125,12),IF(ISNUMBER(SEARCH("6",'Procyfloc 500'!D126)),EDATE(AB1125,6),IF(ISNUMBER(SEARCH("3",'Procyfloc 500'!D126)),EDATE(AB1125,3),DATEVALUE('Procyfloc 500'!D126))))),""))</f>
        <v/>
      </c>
      <c r="AM1125" t="str">
        <f t="shared" ca="1" si="124"/>
        <v/>
      </c>
    </row>
    <row r="1126" spans="27:39" x14ac:dyDescent="0.3">
      <c r="AA1126" t="str">
        <f>IF(COUNTA('Procyfloc 500'!A127,'Procyfloc 500'!B127,'Procyfloc 500'!C127)&gt;0,"500","")</f>
        <v/>
      </c>
      <c r="AB1126" t="str">
        <f>IFERROR(IF(ISNUMBER('Procyfloc 500'!A127),'Procyfloc 500'!A127,DATEVALUE('Procyfloc 500'!A127)),"")</f>
        <v/>
      </c>
      <c r="AC1126" t="str">
        <f>IF(AA1126="","",'Procyfloc 500'!B127)</f>
        <v/>
      </c>
      <c r="AD1126" t="str">
        <f>IF(AA1126="","",IFERROR(1*'Procyfloc 500'!C127,IFERROR(_xludf.NUMBERVALUE('Procyfloc 500'!C127,".",","),IFERROR(_xludf.NUMBERVALUE('Procyfloc 500'!C127,",","."),0))))</f>
        <v/>
      </c>
      <c r="AE1126" t="str">
        <f>IF(AA1126="","",'Procyfloc 500'!L127)</f>
        <v/>
      </c>
      <c r="AF1126">
        <f t="shared" si="119"/>
        <v>0</v>
      </c>
      <c r="AG1126" t="str">
        <f t="shared" si="120"/>
        <v/>
      </c>
      <c r="AH1126" t="str">
        <f t="shared" si="121"/>
        <v/>
      </c>
      <c r="AI1126">
        <f t="shared" si="122"/>
        <v>0</v>
      </c>
      <c r="AJ1126">
        <f t="shared" si="123"/>
        <v>0</v>
      </c>
      <c r="AK1126">
        <v>0</v>
      </c>
      <c r="AL1126" t="str">
        <f>IF(AA1126="","",IFERROR(IF(ISNUMBER('Procyfloc 500'!D127),'Procyfloc 500'!D127,IF(ISNUMBER(SEARCH("12",'Procyfloc 500'!D127)),EDATE(AB1126,12),IF(ISNUMBER(SEARCH("6",'Procyfloc 500'!D127)),EDATE(AB1126,6),IF(ISNUMBER(SEARCH("3",'Procyfloc 500'!D127)),EDATE(AB1126,3),DATEVALUE('Procyfloc 500'!D127))))),""))</f>
        <v/>
      </c>
      <c r="AM1126" t="str">
        <f t="shared" ca="1" si="124"/>
        <v/>
      </c>
    </row>
    <row r="1127" spans="27:39" x14ac:dyDescent="0.3">
      <c r="AA1127" t="str">
        <f>IF(COUNTA('Procyfloc 500'!A128,'Procyfloc 500'!B128,'Procyfloc 500'!C128)&gt;0,"500","")</f>
        <v/>
      </c>
      <c r="AB1127" t="str">
        <f>IFERROR(IF(ISNUMBER('Procyfloc 500'!A128),'Procyfloc 500'!A128,DATEVALUE('Procyfloc 500'!A128)),"")</f>
        <v/>
      </c>
      <c r="AC1127" t="str">
        <f>IF(AA1127="","",'Procyfloc 500'!B128)</f>
        <v/>
      </c>
      <c r="AD1127" t="str">
        <f>IF(AA1127="","",IFERROR(1*'Procyfloc 500'!C128,IFERROR(_xludf.NUMBERVALUE('Procyfloc 500'!C128,".",","),IFERROR(_xludf.NUMBERVALUE('Procyfloc 500'!C128,",","."),0))))</f>
        <v/>
      </c>
      <c r="AE1127" t="str">
        <f>IF(AA1127="","",'Procyfloc 500'!L128)</f>
        <v/>
      </c>
      <c r="AF1127">
        <f t="shared" si="119"/>
        <v>0</v>
      </c>
      <c r="AG1127" t="str">
        <f t="shared" si="120"/>
        <v/>
      </c>
      <c r="AH1127" t="str">
        <f t="shared" si="121"/>
        <v/>
      </c>
      <c r="AI1127">
        <f t="shared" si="122"/>
        <v>0</v>
      </c>
      <c r="AJ1127">
        <f t="shared" si="123"/>
        <v>0</v>
      </c>
      <c r="AK1127">
        <v>0</v>
      </c>
      <c r="AL1127" t="str">
        <f>IF(AA1127="","",IFERROR(IF(ISNUMBER('Procyfloc 500'!D128),'Procyfloc 500'!D128,IF(ISNUMBER(SEARCH("12",'Procyfloc 500'!D128)),EDATE(AB1127,12),IF(ISNUMBER(SEARCH("6",'Procyfloc 500'!D128)),EDATE(AB1127,6),IF(ISNUMBER(SEARCH("3",'Procyfloc 500'!D128)),EDATE(AB1127,3),DATEVALUE('Procyfloc 500'!D128))))),""))</f>
        <v/>
      </c>
      <c r="AM1127" t="str">
        <f t="shared" ca="1" si="124"/>
        <v/>
      </c>
    </row>
    <row r="1128" spans="27:39" x14ac:dyDescent="0.3">
      <c r="AA1128" t="str">
        <f>IF(COUNTA('Procyfloc 500'!A129,'Procyfloc 500'!B129,'Procyfloc 500'!C129)&gt;0,"500","")</f>
        <v/>
      </c>
      <c r="AB1128" t="str">
        <f>IFERROR(IF(ISNUMBER('Procyfloc 500'!A129),'Procyfloc 500'!A129,DATEVALUE('Procyfloc 500'!A129)),"")</f>
        <v/>
      </c>
      <c r="AC1128" t="str">
        <f>IF(AA1128="","",'Procyfloc 500'!B129)</f>
        <v/>
      </c>
      <c r="AD1128" t="str">
        <f>IF(AA1128="","",IFERROR(1*'Procyfloc 500'!C129,IFERROR(_xludf.NUMBERVALUE('Procyfloc 500'!C129,".",","),IFERROR(_xludf.NUMBERVALUE('Procyfloc 500'!C129,",","."),0))))</f>
        <v/>
      </c>
      <c r="AE1128" t="str">
        <f>IF(AA1128="","",'Procyfloc 500'!L129)</f>
        <v/>
      </c>
      <c r="AF1128">
        <f t="shared" si="119"/>
        <v>0</v>
      </c>
      <c r="AG1128" t="str">
        <f t="shared" si="120"/>
        <v/>
      </c>
      <c r="AH1128" t="str">
        <f t="shared" si="121"/>
        <v/>
      </c>
      <c r="AI1128">
        <f t="shared" si="122"/>
        <v>0</v>
      </c>
      <c r="AJ1128">
        <f t="shared" si="123"/>
        <v>0</v>
      </c>
      <c r="AK1128">
        <v>0</v>
      </c>
      <c r="AL1128" t="str">
        <f>IF(AA1128="","",IFERROR(IF(ISNUMBER('Procyfloc 500'!D129),'Procyfloc 500'!D129,IF(ISNUMBER(SEARCH("12",'Procyfloc 500'!D129)),EDATE(AB1128,12),IF(ISNUMBER(SEARCH("6",'Procyfloc 500'!D129)),EDATE(AB1128,6),IF(ISNUMBER(SEARCH("3",'Procyfloc 500'!D129)),EDATE(AB1128,3),DATEVALUE('Procyfloc 500'!D129))))),""))</f>
        <v/>
      </c>
      <c r="AM1128" t="str">
        <f t="shared" ca="1" si="124"/>
        <v/>
      </c>
    </row>
    <row r="1129" spans="27:39" x14ac:dyDescent="0.3">
      <c r="AA1129" t="str">
        <f>IF(COUNTA('Procyfloc 500'!A130,'Procyfloc 500'!B130,'Procyfloc 500'!C130)&gt;0,"500","")</f>
        <v/>
      </c>
      <c r="AB1129" t="str">
        <f>IFERROR(IF(ISNUMBER('Procyfloc 500'!A130),'Procyfloc 500'!A130,DATEVALUE('Procyfloc 500'!A130)),"")</f>
        <v/>
      </c>
      <c r="AC1129" t="str">
        <f>IF(AA1129="","",'Procyfloc 500'!B130)</f>
        <v/>
      </c>
      <c r="AD1129" t="str">
        <f>IF(AA1129="","",IFERROR(1*'Procyfloc 500'!C130,IFERROR(_xludf.NUMBERVALUE('Procyfloc 500'!C130,".",","),IFERROR(_xludf.NUMBERVALUE('Procyfloc 500'!C130,",","."),0))))</f>
        <v/>
      </c>
      <c r="AE1129" t="str">
        <f>IF(AA1129="","",'Procyfloc 500'!L130)</f>
        <v/>
      </c>
      <c r="AF1129">
        <f t="shared" si="119"/>
        <v>0</v>
      </c>
      <c r="AG1129" t="str">
        <f t="shared" si="120"/>
        <v/>
      </c>
      <c r="AH1129" t="str">
        <f t="shared" si="121"/>
        <v/>
      </c>
      <c r="AI1129">
        <f t="shared" si="122"/>
        <v>0</v>
      </c>
      <c r="AJ1129">
        <f t="shared" si="123"/>
        <v>0</v>
      </c>
      <c r="AK1129">
        <v>0</v>
      </c>
      <c r="AL1129" t="str">
        <f>IF(AA1129="","",IFERROR(IF(ISNUMBER('Procyfloc 500'!D130),'Procyfloc 500'!D130,IF(ISNUMBER(SEARCH("12",'Procyfloc 500'!D130)),EDATE(AB1129,12),IF(ISNUMBER(SEARCH("6",'Procyfloc 500'!D130)),EDATE(AB1129,6),IF(ISNUMBER(SEARCH("3",'Procyfloc 500'!D130)),EDATE(AB1129,3),DATEVALUE('Procyfloc 500'!D130))))),""))</f>
        <v/>
      </c>
      <c r="AM1129" t="str">
        <f t="shared" ca="1" si="124"/>
        <v/>
      </c>
    </row>
    <row r="1130" spans="27:39" x14ac:dyDescent="0.3">
      <c r="AA1130" t="str">
        <f>IF(COUNTA('Procyfloc 500'!A131,'Procyfloc 500'!B131,'Procyfloc 500'!C131)&gt;0,"500","")</f>
        <v/>
      </c>
      <c r="AB1130" t="str">
        <f>IFERROR(IF(ISNUMBER('Procyfloc 500'!A131),'Procyfloc 500'!A131,DATEVALUE('Procyfloc 500'!A131)),"")</f>
        <v/>
      </c>
      <c r="AC1130" t="str">
        <f>IF(AA1130="","",'Procyfloc 500'!B131)</f>
        <v/>
      </c>
      <c r="AD1130" t="str">
        <f>IF(AA1130="","",IFERROR(1*'Procyfloc 500'!C131,IFERROR(_xludf.NUMBERVALUE('Procyfloc 500'!C131,".",","),IFERROR(_xludf.NUMBERVALUE('Procyfloc 500'!C131,",","."),0))))</f>
        <v/>
      </c>
      <c r="AE1130" t="str">
        <f>IF(AA1130="","",'Procyfloc 500'!L131)</f>
        <v/>
      </c>
      <c r="AF1130">
        <f t="shared" si="119"/>
        <v>0</v>
      </c>
      <c r="AG1130" t="str">
        <f t="shared" si="120"/>
        <v/>
      </c>
      <c r="AH1130" t="str">
        <f t="shared" si="121"/>
        <v/>
      </c>
      <c r="AI1130">
        <f t="shared" si="122"/>
        <v>0</v>
      </c>
      <c r="AJ1130">
        <f t="shared" si="123"/>
        <v>0</v>
      </c>
      <c r="AK1130">
        <v>0</v>
      </c>
      <c r="AL1130" t="str">
        <f>IF(AA1130="","",IFERROR(IF(ISNUMBER('Procyfloc 500'!D131),'Procyfloc 500'!D131,IF(ISNUMBER(SEARCH("12",'Procyfloc 500'!D131)),EDATE(AB1130,12),IF(ISNUMBER(SEARCH("6",'Procyfloc 500'!D131)),EDATE(AB1130,6),IF(ISNUMBER(SEARCH("3",'Procyfloc 500'!D131)),EDATE(AB1130,3),DATEVALUE('Procyfloc 500'!D131))))),""))</f>
        <v/>
      </c>
      <c r="AM1130" t="str">
        <f t="shared" ca="1" si="124"/>
        <v/>
      </c>
    </row>
    <row r="1131" spans="27:39" x14ac:dyDescent="0.3">
      <c r="AA1131" t="str">
        <f>IF(COUNTA('Procyfloc 500'!A132,'Procyfloc 500'!B132,'Procyfloc 500'!C132)&gt;0,"500","")</f>
        <v/>
      </c>
      <c r="AB1131" t="str">
        <f>IFERROR(IF(ISNUMBER('Procyfloc 500'!A132),'Procyfloc 500'!A132,DATEVALUE('Procyfloc 500'!A132)),"")</f>
        <v/>
      </c>
      <c r="AC1131" t="str">
        <f>IF(AA1131="","",'Procyfloc 500'!B132)</f>
        <v/>
      </c>
      <c r="AD1131" t="str">
        <f>IF(AA1131="","",IFERROR(1*'Procyfloc 500'!C132,IFERROR(_xludf.NUMBERVALUE('Procyfloc 500'!C132,".",","),IFERROR(_xludf.NUMBERVALUE('Procyfloc 500'!C132,",","."),0))))</f>
        <v/>
      </c>
      <c r="AE1131" t="str">
        <f>IF(AA1131="","",'Procyfloc 500'!L132)</f>
        <v/>
      </c>
      <c r="AF1131">
        <f t="shared" si="119"/>
        <v>0</v>
      </c>
      <c r="AG1131" t="str">
        <f t="shared" si="120"/>
        <v/>
      </c>
      <c r="AH1131" t="str">
        <f t="shared" si="121"/>
        <v/>
      </c>
      <c r="AI1131">
        <f t="shared" si="122"/>
        <v>0</v>
      </c>
      <c r="AJ1131">
        <f t="shared" si="123"/>
        <v>0</v>
      </c>
      <c r="AK1131">
        <v>0</v>
      </c>
      <c r="AL1131" t="str">
        <f>IF(AA1131="","",IFERROR(IF(ISNUMBER('Procyfloc 500'!D132),'Procyfloc 500'!D132,IF(ISNUMBER(SEARCH("12",'Procyfloc 500'!D132)),EDATE(AB1131,12),IF(ISNUMBER(SEARCH("6",'Procyfloc 500'!D132)),EDATE(AB1131,6),IF(ISNUMBER(SEARCH("3",'Procyfloc 500'!D132)),EDATE(AB1131,3),DATEVALUE('Procyfloc 500'!D132))))),""))</f>
        <v/>
      </c>
      <c r="AM1131" t="str">
        <f t="shared" ca="1" si="124"/>
        <v/>
      </c>
    </row>
    <row r="1132" spans="27:39" x14ac:dyDescent="0.3">
      <c r="AA1132" t="str">
        <f>IF(COUNTA('Procyfloc 500'!A133,'Procyfloc 500'!B133,'Procyfloc 500'!C133)&gt;0,"500","")</f>
        <v/>
      </c>
      <c r="AB1132" t="str">
        <f>IFERROR(IF(ISNUMBER('Procyfloc 500'!A133),'Procyfloc 500'!A133,DATEVALUE('Procyfloc 500'!A133)),"")</f>
        <v/>
      </c>
      <c r="AC1132" t="str">
        <f>IF(AA1132="","",'Procyfloc 500'!B133)</f>
        <v/>
      </c>
      <c r="AD1132" t="str">
        <f>IF(AA1132="","",IFERROR(1*'Procyfloc 500'!C133,IFERROR(_xludf.NUMBERVALUE('Procyfloc 500'!C133,".",","),IFERROR(_xludf.NUMBERVALUE('Procyfloc 500'!C133,",","."),0))))</f>
        <v/>
      </c>
      <c r="AE1132" t="str">
        <f>IF(AA1132="","",'Procyfloc 500'!L133)</f>
        <v/>
      </c>
      <c r="AF1132">
        <f t="shared" si="119"/>
        <v>0</v>
      </c>
      <c r="AG1132" t="str">
        <f t="shared" si="120"/>
        <v/>
      </c>
      <c r="AH1132" t="str">
        <f t="shared" si="121"/>
        <v/>
      </c>
      <c r="AI1132">
        <f t="shared" si="122"/>
        <v>0</v>
      </c>
      <c r="AJ1132">
        <f t="shared" si="123"/>
        <v>0</v>
      </c>
      <c r="AK1132">
        <v>0</v>
      </c>
      <c r="AL1132" t="str">
        <f>IF(AA1132="","",IFERROR(IF(ISNUMBER('Procyfloc 500'!D133),'Procyfloc 500'!D133,IF(ISNUMBER(SEARCH("12",'Procyfloc 500'!D133)),EDATE(AB1132,12),IF(ISNUMBER(SEARCH("6",'Procyfloc 500'!D133)),EDATE(AB1132,6),IF(ISNUMBER(SEARCH("3",'Procyfloc 500'!D133)),EDATE(AB1132,3),DATEVALUE('Procyfloc 500'!D133))))),""))</f>
        <v/>
      </c>
      <c r="AM1132" t="str">
        <f t="shared" ca="1" si="124"/>
        <v/>
      </c>
    </row>
    <row r="1133" spans="27:39" x14ac:dyDescent="0.3">
      <c r="AA1133" t="str">
        <f>IF(COUNTA('Procyfloc 500'!A134,'Procyfloc 500'!B134,'Procyfloc 500'!C134)&gt;0,"500","")</f>
        <v/>
      </c>
      <c r="AB1133" t="str">
        <f>IFERROR(IF(ISNUMBER('Procyfloc 500'!A134),'Procyfloc 500'!A134,DATEVALUE('Procyfloc 500'!A134)),"")</f>
        <v/>
      </c>
      <c r="AC1133" t="str">
        <f>IF(AA1133="","",'Procyfloc 500'!B134)</f>
        <v/>
      </c>
      <c r="AD1133" t="str">
        <f>IF(AA1133="","",IFERROR(1*'Procyfloc 500'!C134,IFERROR(_xludf.NUMBERVALUE('Procyfloc 500'!C134,".",","),IFERROR(_xludf.NUMBERVALUE('Procyfloc 500'!C134,",","."),0))))</f>
        <v/>
      </c>
      <c r="AE1133" t="str">
        <f>IF(AA1133="","",'Procyfloc 500'!L134)</f>
        <v/>
      </c>
      <c r="AF1133">
        <f t="shared" si="119"/>
        <v>0</v>
      </c>
      <c r="AG1133" t="str">
        <f t="shared" si="120"/>
        <v/>
      </c>
      <c r="AH1133" t="str">
        <f t="shared" si="121"/>
        <v/>
      </c>
      <c r="AI1133">
        <f t="shared" si="122"/>
        <v>0</v>
      </c>
      <c r="AJ1133">
        <f t="shared" si="123"/>
        <v>0</v>
      </c>
      <c r="AK1133">
        <v>0</v>
      </c>
      <c r="AL1133" t="str">
        <f>IF(AA1133="","",IFERROR(IF(ISNUMBER('Procyfloc 500'!D134),'Procyfloc 500'!D134,IF(ISNUMBER(SEARCH("12",'Procyfloc 500'!D134)),EDATE(AB1133,12),IF(ISNUMBER(SEARCH("6",'Procyfloc 500'!D134)),EDATE(AB1133,6),IF(ISNUMBER(SEARCH("3",'Procyfloc 500'!D134)),EDATE(AB1133,3),DATEVALUE('Procyfloc 500'!D134))))),""))</f>
        <v/>
      </c>
      <c r="AM1133" t="str">
        <f t="shared" ca="1" si="124"/>
        <v/>
      </c>
    </row>
    <row r="1134" spans="27:39" x14ac:dyDescent="0.3">
      <c r="AA1134" t="str">
        <f>IF(COUNTA('Procyfloc 500'!A135,'Procyfloc 500'!B135,'Procyfloc 500'!C135)&gt;0,"500","")</f>
        <v/>
      </c>
      <c r="AB1134" t="str">
        <f>IFERROR(IF(ISNUMBER('Procyfloc 500'!A135),'Procyfloc 500'!A135,DATEVALUE('Procyfloc 500'!A135)),"")</f>
        <v/>
      </c>
      <c r="AC1134" t="str">
        <f>IF(AA1134="","",'Procyfloc 500'!B135)</f>
        <v/>
      </c>
      <c r="AD1134" t="str">
        <f>IF(AA1134="","",IFERROR(1*'Procyfloc 500'!C135,IFERROR(_xludf.NUMBERVALUE('Procyfloc 500'!C135,".",","),IFERROR(_xludf.NUMBERVALUE('Procyfloc 500'!C135,",","."),0))))</f>
        <v/>
      </c>
      <c r="AE1134" t="str">
        <f>IF(AA1134="","",'Procyfloc 500'!L135)</f>
        <v/>
      </c>
      <c r="AF1134">
        <f t="shared" si="119"/>
        <v>0</v>
      </c>
      <c r="AG1134" t="str">
        <f t="shared" si="120"/>
        <v/>
      </c>
      <c r="AH1134" t="str">
        <f t="shared" si="121"/>
        <v/>
      </c>
      <c r="AI1134">
        <f t="shared" si="122"/>
        <v>0</v>
      </c>
      <c r="AJ1134">
        <f t="shared" si="123"/>
        <v>0</v>
      </c>
      <c r="AK1134">
        <v>0</v>
      </c>
      <c r="AL1134" t="str">
        <f>IF(AA1134="","",IFERROR(IF(ISNUMBER('Procyfloc 500'!D135),'Procyfloc 500'!D135,IF(ISNUMBER(SEARCH("12",'Procyfloc 500'!D135)),EDATE(AB1134,12),IF(ISNUMBER(SEARCH("6",'Procyfloc 500'!D135)),EDATE(AB1134,6),IF(ISNUMBER(SEARCH("3",'Procyfloc 500'!D135)),EDATE(AB1134,3),DATEVALUE('Procyfloc 500'!D135))))),""))</f>
        <v/>
      </c>
      <c r="AM1134" t="str">
        <f t="shared" ca="1" si="124"/>
        <v/>
      </c>
    </row>
    <row r="1135" spans="27:39" x14ac:dyDescent="0.3">
      <c r="AA1135" t="str">
        <f>IF(COUNTA('Procyfloc 500'!A136,'Procyfloc 500'!B136,'Procyfloc 500'!C136)&gt;0,"500","")</f>
        <v/>
      </c>
      <c r="AB1135" t="str">
        <f>IFERROR(IF(ISNUMBER('Procyfloc 500'!A136),'Procyfloc 500'!A136,DATEVALUE('Procyfloc 500'!A136)),"")</f>
        <v/>
      </c>
      <c r="AC1135" t="str">
        <f>IF(AA1135="","",'Procyfloc 500'!B136)</f>
        <v/>
      </c>
      <c r="AD1135" t="str">
        <f>IF(AA1135="","",IFERROR(1*'Procyfloc 500'!C136,IFERROR(_xludf.NUMBERVALUE('Procyfloc 500'!C136,".",","),IFERROR(_xludf.NUMBERVALUE('Procyfloc 500'!C136,",","."),0))))</f>
        <v/>
      </c>
      <c r="AE1135" t="str">
        <f>IF(AA1135="","",'Procyfloc 500'!L136)</f>
        <v/>
      </c>
      <c r="AF1135">
        <f t="shared" si="119"/>
        <v>0</v>
      </c>
      <c r="AG1135" t="str">
        <f t="shared" si="120"/>
        <v/>
      </c>
      <c r="AH1135" t="str">
        <f t="shared" si="121"/>
        <v/>
      </c>
      <c r="AI1135">
        <f t="shared" si="122"/>
        <v>0</v>
      </c>
      <c r="AJ1135">
        <f t="shared" si="123"/>
        <v>0</v>
      </c>
      <c r="AK1135">
        <v>0</v>
      </c>
      <c r="AL1135" t="str">
        <f>IF(AA1135="","",IFERROR(IF(ISNUMBER('Procyfloc 500'!D136),'Procyfloc 500'!D136,IF(ISNUMBER(SEARCH("12",'Procyfloc 500'!D136)),EDATE(AB1135,12),IF(ISNUMBER(SEARCH("6",'Procyfloc 500'!D136)),EDATE(AB1135,6),IF(ISNUMBER(SEARCH("3",'Procyfloc 500'!D136)),EDATE(AB1135,3),DATEVALUE('Procyfloc 500'!D136))))),""))</f>
        <v/>
      </c>
      <c r="AM1135" t="str">
        <f t="shared" ca="1" si="124"/>
        <v/>
      </c>
    </row>
    <row r="1136" spans="27:39" x14ac:dyDescent="0.3">
      <c r="AA1136" t="str">
        <f>IF(COUNTA('Procyfloc 500'!A137,'Procyfloc 500'!B137,'Procyfloc 500'!C137)&gt;0,"500","")</f>
        <v/>
      </c>
      <c r="AB1136" t="str">
        <f>IFERROR(IF(ISNUMBER('Procyfloc 500'!A137),'Procyfloc 500'!A137,DATEVALUE('Procyfloc 500'!A137)),"")</f>
        <v/>
      </c>
      <c r="AC1136" t="str">
        <f>IF(AA1136="","",'Procyfloc 500'!B137)</f>
        <v/>
      </c>
      <c r="AD1136" t="str">
        <f>IF(AA1136="","",IFERROR(1*'Procyfloc 500'!C137,IFERROR(_xludf.NUMBERVALUE('Procyfloc 500'!C137,".",","),IFERROR(_xludf.NUMBERVALUE('Procyfloc 500'!C137,",","."),0))))</f>
        <v/>
      </c>
      <c r="AE1136" t="str">
        <f>IF(AA1136="","",'Procyfloc 500'!L137)</f>
        <v/>
      </c>
      <c r="AF1136">
        <f t="shared" si="119"/>
        <v>0</v>
      </c>
      <c r="AG1136" t="str">
        <f t="shared" si="120"/>
        <v/>
      </c>
      <c r="AH1136" t="str">
        <f t="shared" si="121"/>
        <v/>
      </c>
      <c r="AI1136">
        <f t="shared" si="122"/>
        <v>0</v>
      </c>
      <c r="AJ1136">
        <f t="shared" si="123"/>
        <v>0</v>
      </c>
      <c r="AK1136">
        <v>0</v>
      </c>
      <c r="AL1136" t="str">
        <f>IF(AA1136="","",IFERROR(IF(ISNUMBER('Procyfloc 500'!D137),'Procyfloc 500'!D137,IF(ISNUMBER(SEARCH("12",'Procyfloc 500'!D137)),EDATE(AB1136,12),IF(ISNUMBER(SEARCH("6",'Procyfloc 500'!D137)),EDATE(AB1136,6),IF(ISNUMBER(SEARCH("3",'Procyfloc 500'!D137)),EDATE(AB1136,3),DATEVALUE('Procyfloc 500'!D137))))),""))</f>
        <v/>
      </c>
      <c r="AM1136" t="str">
        <f t="shared" ca="1" si="124"/>
        <v/>
      </c>
    </row>
    <row r="1137" spans="27:39" x14ac:dyDescent="0.3">
      <c r="AA1137" t="str">
        <f>IF(COUNTA('Procyfloc 500'!A138,'Procyfloc 500'!B138,'Procyfloc 500'!C138)&gt;0,"500","")</f>
        <v/>
      </c>
      <c r="AB1137" t="str">
        <f>IFERROR(IF(ISNUMBER('Procyfloc 500'!A138),'Procyfloc 500'!A138,DATEVALUE('Procyfloc 500'!A138)),"")</f>
        <v/>
      </c>
      <c r="AC1137" t="str">
        <f>IF(AA1137="","",'Procyfloc 500'!B138)</f>
        <v/>
      </c>
      <c r="AD1137" t="str">
        <f>IF(AA1137="","",IFERROR(1*'Procyfloc 500'!C138,IFERROR(_xludf.NUMBERVALUE('Procyfloc 500'!C138,".",","),IFERROR(_xludf.NUMBERVALUE('Procyfloc 500'!C138,",","."),0))))</f>
        <v/>
      </c>
      <c r="AE1137" t="str">
        <f>IF(AA1137="","",'Procyfloc 500'!L138)</f>
        <v/>
      </c>
      <c r="AF1137">
        <f t="shared" si="119"/>
        <v>0</v>
      </c>
      <c r="AG1137" t="str">
        <f t="shared" si="120"/>
        <v/>
      </c>
      <c r="AH1137" t="str">
        <f t="shared" si="121"/>
        <v/>
      </c>
      <c r="AI1137">
        <f t="shared" si="122"/>
        <v>0</v>
      </c>
      <c r="AJ1137">
        <f t="shared" si="123"/>
        <v>0</v>
      </c>
      <c r="AK1137">
        <v>0</v>
      </c>
      <c r="AL1137" t="str">
        <f>IF(AA1137="","",IFERROR(IF(ISNUMBER('Procyfloc 500'!D138),'Procyfloc 500'!D138,IF(ISNUMBER(SEARCH("12",'Procyfloc 500'!D138)),EDATE(AB1137,12),IF(ISNUMBER(SEARCH("6",'Procyfloc 500'!D138)),EDATE(AB1137,6),IF(ISNUMBER(SEARCH("3",'Procyfloc 500'!D138)),EDATE(AB1137,3),DATEVALUE('Procyfloc 500'!D138))))),""))</f>
        <v/>
      </c>
      <c r="AM1137" t="str">
        <f t="shared" ca="1" si="124"/>
        <v/>
      </c>
    </row>
    <row r="1138" spans="27:39" x14ac:dyDescent="0.3">
      <c r="AA1138" t="str">
        <f>IF(COUNTA('Procyfloc 500'!A139,'Procyfloc 500'!B139,'Procyfloc 500'!C139)&gt;0,"500","")</f>
        <v/>
      </c>
      <c r="AB1138" t="str">
        <f>IFERROR(IF(ISNUMBER('Procyfloc 500'!A139),'Procyfloc 500'!A139,DATEVALUE('Procyfloc 500'!A139)),"")</f>
        <v/>
      </c>
      <c r="AC1138" t="str">
        <f>IF(AA1138="","",'Procyfloc 500'!B139)</f>
        <v/>
      </c>
      <c r="AD1138" t="str">
        <f>IF(AA1138="","",IFERROR(1*'Procyfloc 500'!C139,IFERROR(_xludf.NUMBERVALUE('Procyfloc 500'!C139,".",","),IFERROR(_xludf.NUMBERVALUE('Procyfloc 500'!C139,",","."),0))))</f>
        <v/>
      </c>
      <c r="AE1138" t="str">
        <f>IF(AA1138="","",'Procyfloc 500'!L139)</f>
        <v/>
      </c>
      <c r="AF1138">
        <f t="shared" si="119"/>
        <v>0</v>
      </c>
      <c r="AG1138" t="str">
        <f t="shared" si="120"/>
        <v/>
      </c>
      <c r="AH1138" t="str">
        <f t="shared" si="121"/>
        <v/>
      </c>
      <c r="AI1138">
        <f t="shared" si="122"/>
        <v>0</v>
      </c>
      <c r="AJ1138">
        <f t="shared" si="123"/>
        <v>0</v>
      </c>
      <c r="AK1138">
        <v>0</v>
      </c>
      <c r="AL1138" t="str">
        <f>IF(AA1138="","",IFERROR(IF(ISNUMBER('Procyfloc 500'!D139),'Procyfloc 500'!D139,IF(ISNUMBER(SEARCH("12",'Procyfloc 500'!D139)),EDATE(AB1138,12),IF(ISNUMBER(SEARCH("6",'Procyfloc 500'!D139)),EDATE(AB1138,6),IF(ISNUMBER(SEARCH("3",'Procyfloc 500'!D139)),EDATE(AB1138,3),DATEVALUE('Procyfloc 500'!D139))))),""))</f>
        <v/>
      </c>
      <c r="AM1138" t="str">
        <f t="shared" ca="1" si="124"/>
        <v/>
      </c>
    </row>
    <row r="1139" spans="27:39" x14ac:dyDescent="0.3">
      <c r="AA1139" t="str">
        <f>IF(COUNTA('Procyfloc 500'!A140,'Procyfloc 500'!B140,'Procyfloc 500'!C140)&gt;0,"500","")</f>
        <v/>
      </c>
      <c r="AB1139" t="str">
        <f>IFERROR(IF(ISNUMBER('Procyfloc 500'!A140),'Procyfloc 500'!A140,DATEVALUE('Procyfloc 500'!A140)),"")</f>
        <v/>
      </c>
      <c r="AC1139" t="str">
        <f>IF(AA1139="","",'Procyfloc 500'!B140)</f>
        <v/>
      </c>
      <c r="AD1139" t="str">
        <f>IF(AA1139="","",IFERROR(1*'Procyfloc 500'!C140,IFERROR(_xludf.NUMBERVALUE('Procyfloc 500'!C140,".",","),IFERROR(_xludf.NUMBERVALUE('Procyfloc 500'!C140,",","."),0))))</f>
        <v/>
      </c>
      <c r="AE1139" t="str">
        <f>IF(AA1139="","",'Procyfloc 500'!L140)</f>
        <v/>
      </c>
      <c r="AF1139">
        <f t="shared" si="119"/>
        <v>0</v>
      </c>
      <c r="AG1139" t="str">
        <f t="shared" si="120"/>
        <v/>
      </c>
      <c r="AH1139" t="str">
        <f t="shared" si="121"/>
        <v/>
      </c>
      <c r="AI1139">
        <f t="shared" si="122"/>
        <v>0</v>
      </c>
      <c r="AJ1139">
        <f t="shared" si="123"/>
        <v>0</v>
      </c>
      <c r="AK1139">
        <v>0</v>
      </c>
      <c r="AL1139" t="str">
        <f>IF(AA1139="","",IFERROR(IF(ISNUMBER('Procyfloc 500'!D140),'Procyfloc 500'!D140,IF(ISNUMBER(SEARCH("12",'Procyfloc 500'!D140)),EDATE(AB1139,12),IF(ISNUMBER(SEARCH("6",'Procyfloc 500'!D140)),EDATE(AB1139,6),IF(ISNUMBER(SEARCH("3",'Procyfloc 500'!D140)),EDATE(AB1139,3),DATEVALUE('Procyfloc 500'!D140))))),""))</f>
        <v/>
      </c>
      <c r="AM1139" t="str">
        <f t="shared" ca="1" si="124"/>
        <v/>
      </c>
    </row>
    <row r="1140" spans="27:39" x14ac:dyDescent="0.3">
      <c r="AA1140" t="str">
        <f>IF(COUNTA('Procyfloc 500'!A141,'Procyfloc 500'!B141,'Procyfloc 500'!C141)&gt;0,"500","")</f>
        <v/>
      </c>
      <c r="AB1140" t="str">
        <f>IFERROR(IF(ISNUMBER('Procyfloc 500'!A141),'Procyfloc 500'!A141,DATEVALUE('Procyfloc 500'!A141)),"")</f>
        <v/>
      </c>
      <c r="AC1140" t="str">
        <f>IF(AA1140="","",'Procyfloc 500'!B141)</f>
        <v/>
      </c>
      <c r="AD1140" t="str">
        <f>IF(AA1140="","",IFERROR(1*'Procyfloc 500'!C141,IFERROR(_xludf.NUMBERVALUE('Procyfloc 500'!C141,".",","),IFERROR(_xludf.NUMBERVALUE('Procyfloc 500'!C141,",","."),0))))</f>
        <v/>
      </c>
      <c r="AE1140" t="str">
        <f>IF(AA1140="","",'Procyfloc 500'!L141)</f>
        <v/>
      </c>
      <c r="AF1140">
        <f t="shared" si="119"/>
        <v>0</v>
      </c>
      <c r="AG1140" t="str">
        <f t="shared" si="120"/>
        <v/>
      </c>
      <c r="AH1140" t="str">
        <f t="shared" si="121"/>
        <v/>
      </c>
      <c r="AI1140">
        <f t="shared" si="122"/>
        <v>0</v>
      </c>
      <c r="AJ1140">
        <f t="shared" si="123"/>
        <v>0</v>
      </c>
      <c r="AK1140">
        <v>0</v>
      </c>
      <c r="AL1140" t="str">
        <f>IF(AA1140="","",IFERROR(IF(ISNUMBER('Procyfloc 500'!D141),'Procyfloc 500'!D141,IF(ISNUMBER(SEARCH("12",'Procyfloc 500'!D141)),EDATE(AB1140,12),IF(ISNUMBER(SEARCH("6",'Procyfloc 500'!D141)),EDATE(AB1140,6),IF(ISNUMBER(SEARCH("3",'Procyfloc 500'!D141)),EDATE(AB1140,3),DATEVALUE('Procyfloc 500'!D141))))),""))</f>
        <v/>
      </c>
      <c r="AM1140" t="str">
        <f t="shared" ca="1" si="124"/>
        <v/>
      </c>
    </row>
    <row r="1141" spans="27:39" x14ac:dyDescent="0.3">
      <c r="AA1141" t="str">
        <f>IF(COUNTA('Procyfloc 500'!A142,'Procyfloc 500'!B142,'Procyfloc 500'!C142)&gt;0,"500","")</f>
        <v/>
      </c>
      <c r="AB1141" t="str">
        <f>IFERROR(IF(ISNUMBER('Procyfloc 500'!A142),'Procyfloc 500'!A142,DATEVALUE('Procyfloc 500'!A142)),"")</f>
        <v/>
      </c>
      <c r="AC1141" t="str">
        <f>IF(AA1141="","",'Procyfloc 500'!B142)</f>
        <v/>
      </c>
      <c r="AD1141" t="str">
        <f>IF(AA1141="","",IFERROR(1*'Procyfloc 500'!C142,IFERROR(_xludf.NUMBERVALUE('Procyfloc 500'!C142,".",","),IFERROR(_xludf.NUMBERVALUE('Procyfloc 500'!C142,",","."),0))))</f>
        <v/>
      </c>
      <c r="AE1141" t="str">
        <f>IF(AA1141="","",'Procyfloc 500'!L142)</f>
        <v/>
      </c>
      <c r="AF1141">
        <f t="shared" si="119"/>
        <v>0</v>
      </c>
      <c r="AG1141" t="str">
        <f t="shared" si="120"/>
        <v/>
      </c>
      <c r="AH1141" t="str">
        <f t="shared" si="121"/>
        <v/>
      </c>
      <c r="AI1141">
        <f t="shared" si="122"/>
        <v>0</v>
      </c>
      <c r="AJ1141">
        <f t="shared" si="123"/>
        <v>0</v>
      </c>
      <c r="AK1141">
        <v>0</v>
      </c>
      <c r="AL1141" t="str">
        <f>IF(AA1141="","",IFERROR(IF(ISNUMBER('Procyfloc 500'!D142),'Procyfloc 500'!D142,IF(ISNUMBER(SEARCH("12",'Procyfloc 500'!D142)),EDATE(AB1141,12),IF(ISNUMBER(SEARCH("6",'Procyfloc 500'!D142)),EDATE(AB1141,6),IF(ISNUMBER(SEARCH("3",'Procyfloc 500'!D142)),EDATE(AB1141,3),DATEVALUE('Procyfloc 500'!D142))))),""))</f>
        <v/>
      </c>
      <c r="AM1141" t="str">
        <f t="shared" ca="1" si="124"/>
        <v/>
      </c>
    </row>
    <row r="1142" spans="27:39" x14ac:dyDescent="0.3">
      <c r="AA1142" t="str">
        <f>IF(COUNTA('Procyfloc 500'!A143,'Procyfloc 500'!B143,'Procyfloc 500'!C143)&gt;0,"500","")</f>
        <v/>
      </c>
      <c r="AB1142" t="str">
        <f>IFERROR(IF(ISNUMBER('Procyfloc 500'!A143),'Procyfloc 500'!A143,DATEVALUE('Procyfloc 500'!A143)),"")</f>
        <v/>
      </c>
      <c r="AC1142" t="str">
        <f>IF(AA1142="","",'Procyfloc 500'!B143)</f>
        <v/>
      </c>
      <c r="AD1142" t="str">
        <f>IF(AA1142="","",IFERROR(1*'Procyfloc 500'!C143,IFERROR(_xludf.NUMBERVALUE('Procyfloc 500'!C143,".",","),IFERROR(_xludf.NUMBERVALUE('Procyfloc 500'!C143,",","."),0))))</f>
        <v/>
      </c>
      <c r="AE1142" t="str">
        <f>IF(AA1142="","",'Procyfloc 500'!L143)</f>
        <v/>
      </c>
      <c r="AF1142">
        <f t="shared" si="119"/>
        <v>0</v>
      </c>
      <c r="AG1142" t="str">
        <f t="shared" si="120"/>
        <v/>
      </c>
      <c r="AH1142" t="str">
        <f t="shared" si="121"/>
        <v/>
      </c>
      <c r="AI1142">
        <f t="shared" si="122"/>
        <v>0</v>
      </c>
      <c r="AJ1142">
        <f t="shared" si="123"/>
        <v>0</v>
      </c>
      <c r="AK1142">
        <v>0</v>
      </c>
      <c r="AL1142" t="str">
        <f>IF(AA1142="","",IFERROR(IF(ISNUMBER('Procyfloc 500'!D143),'Procyfloc 500'!D143,IF(ISNUMBER(SEARCH("12",'Procyfloc 500'!D143)),EDATE(AB1142,12),IF(ISNUMBER(SEARCH("6",'Procyfloc 500'!D143)),EDATE(AB1142,6),IF(ISNUMBER(SEARCH("3",'Procyfloc 500'!D143)),EDATE(AB1142,3),DATEVALUE('Procyfloc 500'!D143))))),""))</f>
        <v/>
      </c>
      <c r="AM1142" t="str">
        <f t="shared" ca="1" si="124"/>
        <v/>
      </c>
    </row>
    <row r="1143" spans="27:39" x14ac:dyDescent="0.3">
      <c r="AA1143" t="str">
        <f>IF(COUNTA('Procyfloc 500'!A144,'Procyfloc 500'!B144,'Procyfloc 500'!C144)&gt;0,"500","")</f>
        <v/>
      </c>
      <c r="AB1143" t="str">
        <f>IFERROR(IF(ISNUMBER('Procyfloc 500'!A144),'Procyfloc 500'!A144,DATEVALUE('Procyfloc 500'!A144)),"")</f>
        <v/>
      </c>
      <c r="AC1143" t="str">
        <f>IF(AA1143="","",'Procyfloc 500'!B144)</f>
        <v/>
      </c>
      <c r="AD1143" t="str">
        <f>IF(AA1143="","",IFERROR(1*'Procyfloc 500'!C144,IFERROR(_xludf.NUMBERVALUE('Procyfloc 500'!C144,".",","),IFERROR(_xludf.NUMBERVALUE('Procyfloc 500'!C144,",","."),0))))</f>
        <v/>
      </c>
      <c r="AE1143" t="str">
        <f>IF(AA1143="","",'Procyfloc 500'!L144)</f>
        <v/>
      </c>
      <c r="AF1143">
        <f t="shared" si="119"/>
        <v>0</v>
      </c>
      <c r="AG1143" t="str">
        <f t="shared" si="120"/>
        <v/>
      </c>
      <c r="AH1143" t="str">
        <f t="shared" si="121"/>
        <v/>
      </c>
      <c r="AI1143">
        <f t="shared" si="122"/>
        <v>0</v>
      </c>
      <c r="AJ1143">
        <f t="shared" si="123"/>
        <v>0</v>
      </c>
      <c r="AK1143">
        <v>0</v>
      </c>
      <c r="AL1143" t="str">
        <f>IF(AA1143="","",IFERROR(IF(ISNUMBER('Procyfloc 500'!D144),'Procyfloc 500'!D144,IF(ISNUMBER(SEARCH("12",'Procyfloc 500'!D144)),EDATE(AB1143,12),IF(ISNUMBER(SEARCH("6",'Procyfloc 500'!D144)),EDATE(AB1143,6),IF(ISNUMBER(SEARCH("3",'Procyfloc 500'!D144)),EDATE(AB1143,3),DATEVALUE('Procyfloc 500'!D144))))),""))</f>
        <v/>
      </c>
      <c r="AM1143" t="str">
        <f t="shared" ca="1" si="124"/>
        <v/>
      </c>
    </row>
    <row r="1144" spans="27:39" x14ac:dyDescent="0.3">
      <c r="AA1144" t="str">
        <f>IF(COUNTA('Procyfloc 500'!A145,'Procyfloc 500'!B145,'Procyfloc 500'!C145)&gt;0,"500","")</f>
        <v/>
      </c>
      <c r="AB1144" t="str">
        <f>IFERROR(IF(ISNUMBER('Procyfloc 500'!A145),'Procyfloc 500'!A145,DATEVALUE('Procyfloc 500'!A145)),"")</f>
        <v/>
      </c>
      <c r="AC1144" t="str">
        <f>IF(AA1144="","",'Procyfloc 500'!B145)</f>
        <v/>
      </c>
      <c r="AD1144" t="str">
        <f>IF(AA1144="","",IFERROR(1*'Procyfloc 500'!C145,IFERROR(_xludf.NUMBERVALUE('Procyfloc 500'!C145,".",","),IFERROR(_xludf.NUMBERVALUE('Procyfloc 500'!C145,",","."),0))))</f>
        <v/>
      </c>
      <c r="AE1144" t="str">
        <f>IF(AA1144="","",'Procyfloc 500'!L145)</f>
        <v/>
      </c>
      <c r="AF1144">
        <f t="shared" si="119"/>
        <v>0</v>
      </c>
      <c r="AG1144" t="str">
        <f t="shared" si="120"/>
        <v/>
      </c>
      <c r="AH1144" t="str">
        <f t="shared" si="121"/>
        <v/>
      </c>
      <c r="AI1144">
        <f t="shared" si="122"/>
        <v>0</v>
      </c>
      <c r="AJ1144">
        <f t="shared" si="123"/>
        <v>0</v>
      </c>
      <c r="AK1144">
        <v>0</v>
      </c>
      <c r="AL1144" t="str">
        <f>IF(AA1144="","",IFERROR(IF(ISNUMBER('Procyfloc 500'!D145),'Procyfloc 500'!D145,IF(ISNUMBER(SEARCH("12",'Procyfloc 500'!D145)),EDATE(AB1144,12),IF(ISNUMBER(SEARCH("6",'Procyfloc 500'!D145)),EDATE(AB1144,6),IF(ISNUMBER(SEARCH("3",'Procyfloc 500'!D145)),EDATE(AB1144,3),DATEVALUE('Procyfloc 500'!D145))))),""))</f>
        <v/>
      </c>
      <c r="AM1144" t="str">
        <f t="shared" ca="1" si="124"/>
        <v/>
      </c>
    </row>
    <row r="1145" spans="27:39" x14ac:dyDescent="0.3">
      <c r="AA1145" t="str">
        <f>IF(COUNTA('Procyfloc 500'!A146,'Procyfloc 500'!B146,'Procyfloc 500'!C146)&gt;0,"500","")</f>
        <v/>
      </c>
      <c r="AB1145" t="str">
        <f>IFERROR(IF(ISNUMBER('Procyfloc 500'!A146),'Procyfloc 500'!A146,DATEVALUE('Procyfloc 500'!A146)),"")</f>
        <v/>
      </c>
      <c r="AC1145" t="str">
        <f>IF(AA1145="","",'Procyfloc 500'!B146)</f>
        <v/>
      </c>
      <c r="AD1145" t="str">
        <f>IF(AA1145="","",IFERROR(1*'Procyfloc 500'!C146,IFERROR(_xludf.NUMBERVALUE('Procyfloc 500'!C146,".",","),IFERROR(_xludf.NUMBERVALUE('Procyfloc 500'!C146,",","."),0))))</f>
        <v/>
      </c>
      <c r="AE1145" t="str">
        <f>IF(AA1145="","",'Procyfloc 500'!L146)</f>
        <v/>
      </c>
      <c r="AF1145">
        <f t="shared" si="119"/>
        <v>0</v>
      </c>
      <c r="AG1145" t="str">
        <f t="shared" si="120"/>
        <v/>
      </c>
      <c r="AH1145" t="str">
        <f t="shared" si="121"/>
        <v/>
      </c>
      <c r="AI1145">
        <f t="shared" si="122"/>
        <v>0</v>
      </c>
      <c r="AJ1145">
        <f t="shared" si="123"/>
        <v>0</v>
      </c>
      <c r="AK1145">
        <v>0</v>
      </c>
      <c r="AL1145" t="str">
        <f>IF(AA1145="","",IFERROR(IF(ISNUMBER('Procyfloc 500'!D146),'Procyfloc 500'!D146,IF(ISNUMBER(SEARCH("12",'Procyfloc 500'!D146)),EDATE(AB1145,12),IF(ISNUMBER(SEARCH("6",'Procyfloc 500'!D146)),EDATE(AB1145,6),IF(ISNUMBER(SEARCH("3",'Procyfloc 500'!D146)),EDATE(AB1145,3),DATEVALUE('Procyfloc 500'!D146))))),""))</f>
        <v/>
      </c>
      <c r="AM1145" t="str">
        <f t="shared" ca="1" si="124"/>
        <v/>
      </c>
    </row>
    <row r="1146" spans="27:39" x14ac:dyDescent="0.3">
      <c r="AA1146" t="str">
        <f>IF(COUNTA('Procyfloc 500'!A147,'Procyfloc 500'!B147,'Procyfloc 500'!C147)&gt;0,"500","")</f>
        <v/>
      </c>
      <c r="AB1146" t="str">
        <f>IFERROR(IF(ISNUMBER('Procyfloc 500'!A147),'Procyfloc 500'!A147,DATEVALUE('Procyfloc 500'!A147)),"")</f>
        <v/>
      </c>
      <c r="AC1146" t="str">
        <f>IF(AA1146="","",'Procyfloc 500'!B147)</f>
        <v/>
      </c>
      <c r="AD1146" t="str">
        <f>IF(AA1146="","",IFERROR(1*'Procyfloc 500'!C147,IFERROR(_xludf.NUMBERVALUE('Procyfloc 500'!C147,".",","),IFERROR(_xludf.NUMBERVALUE('Procyfloc 500'!C147,",","."),0))))</f>
        <v/>
      </c>
      <c r="AE1146" t="str">
        <f>IF(AA1146="","",'Procyfloc 500'!L147)</f>
        <v/>
      </c>
      <c r="AF1146">
        <f t="shared" si="119"/>
        <v>0</v>
      </c>
      <c r="AG1146" t="str">
        <f t="shared" si="120"/>
        <v/>
      </c>
      <c r="AH1146" t="str">
        <f t="shared" si="121"/>
        <v/>
      </c>
      <c r="AI1146">
        <f t="shared" si="122"/>
        <v>0</v>
      </c>
      <c r="AJ1146">
        <f t="shared" si="123"/>
        <v>0</v>
      </c>
      <c r="AK1146">
        <v>0</v>
      </c>
      <c r="AL1146" t="str">
        <f>IF(AA1146="","",IFERROR(IF(ISNUMBER('Procyfloc 500'!D147),'Procyfloc 500'!D147,IF(ISNUMBER(SEARCH("12",'Procyfloc 500'!D147)),EDATE(AB1146,12),IF(ISNUMBER(SEARCH("6",'Procyfloc 500'!D147)),EDATE(AB1146,6),IF(ISNUMBER(SEARCH("3",'Procyfloc 500'!D147)),EDATE(AB1146,3),DATEVALUE('Procyfloc 500'!D147))))),""))</f>
        <v/>
      </c>
      <c r="AM1146" t="str">
        <f t="shared" ca="1" si="124"/>
        <v/>
      </c>
    </row>
    <row r="1147" spans="27:39" x14ac:dyDescent="0.3">
      <c r="AA1147" t="str">
        <f>IF(COUNTA('Procyfloc 500'!A148,'Procyfloc 500'!B148,'Procyfloc 500'!C148)&gt;0,"500","")</f>
        <v/>
      </c>
      <c r="AB1147" t="str">
        <f>IFERROR(IF(ISNUMBER('Procyfloc 500'!A148),'Procyfloc 500'!A148,DATEVALUE('Procyfloc 500'!A148)),"")</f>
        <v/>
      </c>
      <c r="AC1147" t="str">
        <f>IF(AA1147="","",'Procyfloc 500'!B148)</f>
        <v/>
      </c>
      <c r="AD1147" t="str">
        <f>IF(AA1147="","",IFERROR(1*'Procyfloc 500'!C148,IFERROR(_xludf.NUMBERVALUE('Procyfloc 500'!C148,".",","),IFERROR(_xludf.NUMBERVALUE('Procyfloc 500'!C148,",","."),0))))</f>
        <v/>
      </c>
      <c r="AE1147" t="str">
        <f>IF(AA1147="","",'Procyfloc 500'!L148)</f>
        <v/>
      </c>
      <c r="AF1147">
        <f t="shared" si="119"/>
        <v>0</v>
      </c>
      <c r="AG1147" t="str">
        <f t="shared" si="120"/>
        <v/>
      </c>
      <c r="AH1147" t="str">
        <f t="shared" si="121"/>
        <v/>
      </c>
      <c r="AI1147">
        <f t="shared" si="122"/>
        <v>0</v>
      </c>
      <c r="AJ1147">
        <f t="shared" si="123"/>
        <v>0</v>
      </c>
      <c r="AK1147">
        <v>0</v>
      </c>
      <c r="AL1147" t="str">
        <f>IF(AA1147="","",IFERROR(IF(ISNUMBER('Procyfloc 500'!D148),'Procyfloc 500'!D148,IF(ISNUMBER(SEARCH("12",'Procyfloc 500'!D148)),EDATE(AB1147,12),IF(ISNUMBER(SEARCH("6",'Procyfloc 500'!D148)),EDATE(AB1147,6),IF(ISNUMBER(SEARCH("3",'Procyfloc 500'!D148)),EDATE(AB1147,3),DATEVALUE('Procyfloc 500'!D148))))),""))</f>
        <v/>
      </c>
      <c r="AM1147" t="str">
        <f t="shared" ca="1" si="124"/>
        <v/>
      </c>
    </row>
    <row r="1148" spans="27:39" x14ac:dyDescent="0.3">
      <c r="AA1148" t="str">
        <f>IF(COUNTA('Procyfloc 500'!A149,'Procyfloc 500'!B149,'Procyfloc 500'!C149)&gt;0,"500","")</f>
        <v/>
      </c>
      <c r="AB1148" t="str">
        <f>IFERROR(IF(ISNUMBER('Procyfloc 500'!A149),'Procyfloc 500'!A149,DATEVALUE('Procyfloc 500'!A149)),"")</f>
        <v/>
      </c>
      <c r="AC1148" t="str">
        <f>IF(AA1148="","",'Procyfloc 500'!B149)</f>
        <v/>
      </c>
      <c r="AD1148" t="str">
        <f>IF(AA1148="","",IFERROR(1*'Procyfloc 500'!C149,IFERROR(_xludf.NUMBERVALUE('Procyfloc 500'!C149,".",","),IFERROR(_xludf.NUMBERVALUE('Procyfloc 500'!C149,",","."),0))))</f>
        <v/>
      </c>
      <c r="AE1148" t="str">
        <f>IF(AA1148="","",'Procyfloc 500'!L149)</f>
        <v/>
      </c>
      <c r="AF1148">
        <f t="shared" si="119"/>
        <v>0</v>
      </c>
      <c r="AG1148" t="str">
        <f t="shared" si="120"/>
        <v/>
      </c>
      <c r="AH1148" t="str">
        <f t="shared" si="121"/>
        <v/>
      </c>
      <c r="AI1148">
        <f t="shared" si="122"/>
        <v>0</v>
      </c>
      <c r="AJ1148">
        <f t="shared" si="123"/>
        <v>0</v>
      </c>
      <c r="AK1148">
        <v>0</v>
      </c>
      <c r="AL1148" t="str">
        <f>IF(AA1148="","",IFERROR(IF(ISNUMBER('Procyfloc 500'!D149),'Procyfloc 500'!D149,IF(ISNUMBER(SEARCH("12",'Procyfloc 500'!D149)),EDATE(AB1148,12),IF(ISNUMBER(SEARCH("6",'Procyfloc 500'!D149)),EDATE(AB1148,6),IF(ISNUMBER(SEARCH("3",'Procyfloc 500'!D149)),EDATE(AB1148,3),DATEVALUE('Procyfloc 500'!D149))))),""))</f>
        <v/>
      </c>
      <c r="AM1148" t="str">
        <f t="shared" ca="1" si="124"/>
        <v/>
      </c>
    </row>
    <row r="1149" spans="27:39" x14ac:dyDescent="0.3">
      <c r="AA1149" t="str">
        <f>IF(COUNTA('Procyfloc 500'!A150,'Procyfloc 500'!B150,'Procyfloc 500'!C150)&gt;0,"500","")</f>
        <v/>
      </c>
      <c r="AB1149" t="str">
        <f>IFERROR(IF(ISNUMBER('Procyfloc 500'!A150),'Procyfloc 500'!A150,DATEVALUE('Procyfloc 500'!A150)),"")</f>
        <v/>
      </c>
      <c r="AC1149" t="str">
        <f>IF(AA1149="","",'Procyfloc 500'!B150)</f>
        <v/>
      </c>
      <c r="AD1149" t="str">
        <f>IF(AA1149="","",IFERROR(1*'Procyfloc 500'!C150,IFERROR(_xludf.NUMBERVALUE('Procyfloc 500'!C150,".",","),IFERROR(_xludf.NUMBERVALUE('Procyfloc 500'!C150,",","."),0))))</f>
        <v/>
      </c>
      <c r="AE1149" t="str">
        <f>IF(AA1149="","",'Procyfloc 500'!L150)</f>
        <v/>
      </c>
      <c r="AF1149">
        <f t="shared" si="119"/>
        <v>0</v>
      </c>
      <c r="AG1149" t="str">
        <f t="shared" si="120"/>
        <v/>
      </c>
      <c r="AH1149" t="str">
        <f t="shared" si="121"/>
        <v/>
      </c>
      <c r="AI1149">
        <f t="shared" si="122"/>
        <v>0</v>
      </c>
      <c r="AJ1149">
        <f t="shared" si="123"/>
        <v>0</v>
      </c>
      <c r="AK1149">
        <v>0</v>
      </c>
      <c r="AL1149" t="str">
        <f>IF(AA1149="","",IFERROR(IF(ISNUMBER('Procyfloc 500'!D150),'Procyfloc 500'!D150,IF(ISNUMBER(SEARCH("12",'Procyfloc 500'!D150)),EDATE(AB1149,12),IF(ISNUMBER(SEARCH("6",'Procyfloc 500'!D150)),EDATE(AB1149,6),IF(ISNUMBER(SEARCH("3",'Procyfloc 500'!D150)),EDATE(AB1149,3),DATEVALUE('Procyfloc 500'!D150))))),""))</f>
        <v/>
      </c>
      <c r="AM1149" t="str">
        <f t="shared" ca="1" si="124"/>
        <v/>
      </c>
    </row>
    <row r="1150" spans="27:39" x14ac:dyDescent="0.3">
      <c r="AA1150" t="str">
        <f>IF(COUNTA('Procyfloc 500'!A151,'Procyfloc 500'!B151,'Procyfloc 500'!C151)&gt;0,"500","")</f>
        <v/>
      </c>
      <c r="AB1150" t="str">
        <f>IFERROR(IF(ISNUMBER('Procyfloc 500'!A151),'Procyfloc 500'!A151,DATEVALUE('Procyfloc 500'!A151)),"")</f>
        <v/>
      </c>
      <c r="AC1150" t="str">
        <f>IF(AA1150="","",'Procyfloc 500'!B151)</f>
        <v/>
      </c>
      <c r="AD1150" t="str">
        <f>IF(AA1150="","",IFERROR(1*'Procyfloc 500'!C151,IFERROR(_xludf.NUMBERVALUE('Procyfloc 500'!C151,".",","),IFERROR(_xludf.NUMBERVALUE('Procyfloc 500'!C151,",","."),0))))</f>
        <v/>
      </c>
      <c r="AE1150" t="str">
        <f>IF(AA1150="","",'Procyfloc 500'!L151)</f>
        <v/>
      </c>
      <c r="AF1150">
        <f t="shared" si="119"/>
        <v>0</v>
      </c>
      <c r="AG1150" t="str">
        <f t="shared" si="120"/>
        <v/>
      </c>
      <c r="AH1150" t="str">
        <f t="shared" si="121"/>
        <v/>
      </c>
      <c r="AI1150">
        <f t="shared" si="122"/>
        <v>0</v>
      </c>
      <c r="AJ1150">
        <f t="shared" si="123"/>
        <v>0</v>
      </c>
      <c r="AK1150">
        <v>0</v>
      </c>
      <c r="AL1150" t="str">
        <f>IF(AA1150="","",IFERROR(IF(ISNUMBER('Procyfloc 500'!D151),'Procyfloc 500'!D151,IF(ISNUMBER(SEARCH("12",'Procyfloc 500'!D151)),EDATE(AB1150,12),IF(ISNUMBER(SEARCH("6",'Procyfloc 500'!D151)),EDATE(AB1150,6),IF(ISNUMBER(SEARCH("3",'Procyfloc 500'!D151)),EDATE(AB1150,3),DATEVALUE('Procyfloc 500'!D151))))),""))</f>
        <v/>
      </c>
      <c r="AM1150" t="str">
        <f t="shared" ca="1" si="124"/>
        <v/>
      </c>
    </row>
    <row r="1151" spans="27:39" x14ac:dyDescent="0.3">
      <c r="AA1151" t="str">
        <f>IF(COUNTA('Procyfloc 500'!A152,'Procyfloc 500'!B152,'Procyfloc 500'!C152)&gt;0,"500","")</f>
        <v/>
      </c>
      <c r="AB1151" t="str">
        <f>IFERROR(IF(ISNUMBER('Procyfloc 500'!A152),'Procyfloc 500'!A152,DATEVALUE('Procyfloc 500'!A152)),"")</f>
        <v/>
      </c>
      <c r="AC1151" t="str">
        <f>IF(AA1151="","",'Procyfloc 500'!B152)</f>
        <v/>
      </c>
      <c r="AD1151" t="str">
        <f>IF(AA1151="","",IFERROR(1*'Procyfloc 500'!C152,IFERROR(_xludf.NUMBERVALUE('Procyfloc 500'!C152,".",","),IFERROR(_xludf.NUMBERVALUE('Procyfloc 500'!C152,",","."),0))))</f>
        <v/>
      </c>
      <c r="AE1151" t="str">
        <f>IF(AA1151="","",'Procyfloc 500'!L152)</f>
        <v/>
      </c>
      <c r="AF1151">
        <f t="shared" si="119"/>
        <v>0</v>
      </c>
      <c r="AG1151" t="str">
        <f t="shared" si="120"/>
        <v/>
      </c>
      <c r="AH1151" t="str">
        <f t="shared" si="121"/>
        <v/>
      </c>
      <c r="AI1151">
        <f t="shared" si="122"/>
        <v>0</v>
      </c>
      <c r="AJ1151">
        <f t="shared" si="123"/>
        <v>0</v>
      </c>
      <c r="AK1151">
        <v>0</v>
      </c>
      <c r="AL1151" t="str">
        <f>IF(AA1151="","",IFERROR(IF(ISNUMBER('Procyfloc 500'!D152),'Procyfloc 500'!D152,IF(ISNUMBER(SEARCH("12",'Procyfloc 500'!D152)),EDATE(AB1151,12),IF(ISNUMBER(SEARCH("6",'Procyfloc 500'!D152)),EDATE(AB1151,6),IF(ISNUMBER(SEARCH("3",'Procyfloc 500'!D152)),EDATE(AB1151,3),DATEVALUE('Procyfloc 500'!D152))))),""))</f>
        <v/>
      </c>
      <c r="AM1151" t="str">
        <f t="shared" ca="1" si="124"/>
        <v/>
      </c>
    </row>
    <row r="1152" spans="27:39" x14ac:dyDescent="0.3">
      <c r="AA1152" t="str">
        <f>IF(COUNTA('Procyfloc 500'!A153,'Procyfloc 500'!B153,'Procyfloc 500'!C153)&gt;0,"500","")</f>
        <v/>
      </c>
      <c r="AB1152" t="str">
        <f>IFERROR(IF(ISNUMBER('Procyfloc 500'!A153),'Procyfloc 500'!A153,DATEVALUE('Procyfloc 500'!A153)),"")</f>
        <v/>
      </c>
      <c r="AC1152" t="str">
        <f>IF(AA1152="","",'Procyfloc 500'!B153)</f>
        <v/>
      </c>
      <c r="AD1152" t="str">
        <f>IF(AA1152="","",IFERROR(1*'Procyfloc 500'!C153,IFERROR(_xludf.NUMBERVALUE('Procyfloc 500'!C153,".",","),IFERROR(_xludf.NUMBERVALUE('Procyfloc 500'!C153,",","."),0))))</f>
        <v/>
      </c>
      <c r="AE1152" t="str">
        <f>IF(AA1152="","",'Procyfloc 500'!L153)</f>
        <v/>
      </c>
      <c r="AF1152">
        <f t="shared" si="119"/>
        <v>0</v>
      </c>
      <c r="AG1152" t="str">
        <f t="shared" si="120"/>
        <v/>
      </c>
      <c r="AH1152" t="str">
        <f t="shared" si="121"/>
        <v/>
      </c>
      <c r="AI1152">
        <f t="shared" si="122"/>
        <v>0</v>
      </c>
      <c r="AJ1152">
        <f t="shared" si="123"/>
        <v>0</v>
      </c>
      <c r="AK1152">
        <v>0</v>
      </c>
      <c r="AL1152" t="str">
        <f>IF(AA1152="","",IFERROR(IF(ISNUMBER('Procyfloc 500'!D153),'Procyfloc 500'!D153,IF(ISNUMBER(SEARCH("12",'Procyfloc 500'!D153)),EDATE(AB1152,12),IF(ISNUMBER(SEARCH("6",'Procyfloc 500'!D153)),EDATE(AB1152,6),IF(ISNUMBER(SEARCH("3",'Procyfloc 500'!D153)),EDATE(AB1152,3),DATEVALUE('Procyfloc 500'!D153))))),""))</f>
        <v/>
      </c>
      <c r="AM1152" t="str">
        <f t="shared" ca="1" si="124"/>
        <v/>
      </c>
    </row>
    <row r="1153" spans="27:39" x14ac:dyDescent="0.3">
      <c r="AA1153" t="str">
        <f>IF(COUNTA('Procyfloc 500'!A154,'Procyfloc 500'!B154,'Procyfloc 500'!C154)&gt;0,"500","")</f>
        <v/>
      </c>
      <c r="AB1153" t="str">
        <f>IFERROR(IF(ISNUMBER('Procyfloc 500'!A154),'Procyfloc 500'!A154,DATEVALUE('Procyfloc 500'!A154)),"")</f>
        <v/>
      </c>
      <c r="AC1153" t="str">
        <f>IF(AA1153="","",'Procyfloc 500'!B154)</f>
        <v/>
      </c>
      <c r="AD1153" t="str">
        <f>IF(AA1153="","",IFERROR(1*'Procyfloc 500'!C154,IFERROR(_xludf.NUMBERVALUE('Procyfloc 500'!C154,".",","),IFERROR(_xludf.NUMBERVALUE('Procyfloc 500'!C154,",","."),0))))</f>
        <v/>
      </c>
      <c r="AE1153" t="str">
        <f>IF(AA1153="","",'Procyfloc 500'!L154)</f>
        <v/>
      </c>
      <c r="AF1153">
        <f t="shared" si="119"/>
        <v>0</v>
      </c>
      <c r="AG1153" t="str">
        <f t="shared" si="120"/>
        <v/>
      </c>
      <c r="AH1153" t="str">
        <f t="shared" si="121"/>
        <v/>
      </c>
      <c r="AI1153">
        <f t="shared" si="122"/>
        <v>0</v>
      </c>
      <c r="AJ1153">
        <f t="shared" si="123"/>
        <v>0</v>
      </c>
      <c r="AK1153">
        <v>0</v>
      </c>
      <c r="AL1153" t="str">
        <f>IF(AA1153="","",IFERROR(IF(ISNUMBER('Procyfloc 500'!D154),'Procyfloc 500'!D154,IF(ISNUMBER(SEARCH("12",'Procyfloc 500'!D154)),EDATE(AB1153,12),IF(ISNUMBER(SEARCH("6",'Procyfloc 500'!D154)),EDATE(AB1153,6),IF(ISNUMBER(SEARCH("3",'Procyfloc 500'!D154)),EDATE(AB1153,3),DATEVALUE('Procyfloc 500'!D154))))),""))</f>
        <v/>
      </c>
      <c r="AM1153" t="str">
        <f t="shared" ca="1" si="124"/>
        <v/>
      </c>
    </row>
    <row r="1154" spans="27:39" x14ac:dyDescent="0.3">
      <c r="AA1154" t="str">
        <f>IF(COUNTA('Procyfloc 500'!A155,'Procyfloc 500'!B155,'Procyfloc 500'!C155)&gt;0,"500","")</f>
        <v/>
      </c>
      <c r="AB1154" t="str">
        <f>IFERROR(IF(ISNUMBER('Procyfloc 500'!A155),'Procyfloc 500'!A155,DATEVALUE('Procyfloc 500'!A155)),"")</f>
        <v/>
      </c>
      <c r="AC1154" t="str">
        <f>IF(AA1154="","",'Procyfloc 500'!B155)</f>
        <v/>
      </c>
      <c r="AD1154" t="str">
        <f>IF(AA1154="","",IFERROR(1*'Procyfloc 500'!C155,IFERROR(_xludf.NUMBERVALUE('Procyfloc 500'!C155,".",","),IFERROR(_xludf.NUMBERVALUE('Procyfloc 500'!C155,",","."),0))))</f>
        <v/>
      </c>
      <c r="AE1154" t="str">
        <f>IF(AA1154="","",'Procyfloc 500'!L155)</f>
        <v/>
      </c>
      <c r="AF1154">
        <f t="shared" ref="AF1154:AF1217" si="125">IF(AA1154="",0,--AND(ISNUMBER(SEARCH("aprov",AE1154)),NOT(ISNUMBER(SEARCH("reprov",AE1154)))))</f>
        <v>0</v>
      </c>
      <c r="AG1154" t="str">
        <f t="shared" ref="AG1154:AG1217" si="126">IF(AB1154="","",YEAR(AB1154))</f>
        <v/>
      </c>
      <c r="AH1154" t="str">
        <f t="shared" ref="AH1154:AH1217" si="127">IF(AB1154="","",MONTH(AB1154))</f>
        <v/>
      </c>
      <c r="AI1154">
        <f t="shared" ref="AI1154:AI1217" si="128">IF(AB1154="",0,AB1154+ROW()/1000000)</f>
        <v>0</v>
      </c>
      <c r="AJ1154">
        <f t="shared" ref="AJ1154:AJ1217" si="129">--(AA1154&lt;&gt;"")</f>
        <v>0</v>
      </c>
      <c r="AK1154">
        <v>0</v>
      </c>
      <c r="AL1154" t="str">
        <f>IF(AA1154="","",IFERROR(IF(ISNUMBER('Procyfloc 500'!D155),'Procyfloc 500'!D155,IF(ISNUMBER(SEARCH("12",'Procyfloc 500'!D155)),EDATE(AB1154,12),IF(ISNUMBER(SEARCH("6",'Procyfloc 500'!D155)),EDATE(AB1154,6),IF(ISNUMBER(SEARCH("3",'Procyfloc 500'!D155)),EDATE(AB1154,3),DATEVALUE('Procyfloc 500'!D155))))),""))</f>
        <v/>
      </c>
      <c r="AM1154" t="str">
        <f t="shared" ref="AM1154:AM1217" ca="1" si="130">IF(AND(AJ1154=1,AL1154&lt;&gt;"",AL1154&gt;=TODAY(),AG1154=$W$3),AL1154+ROW()/1000000,"")</f>
        <v/>
      </c>
    </row>
    <row r="1155" spans="27:39" x14ac:dyDescent="0.3">
      <c r="AA1155" t="str">
        <f>IF(COUNTA('Procyfloc 500'!A156,'Procyfloc 500'!B156,'Procyfloc 500'!C156)&gt;0,"500","")</f>
        <v/>
      </c>
      <c r="AB1155" t="str">
        <f>IFERROR(IF(ISNUMBER('Procyfloc 500'!A156),'Procyfloc 500'!A156,DATEVALUE('Procyfloc 500'!A156)),"")</f>
        <v/>
      </c>
      <c r="AC1155" t="str">
        <f>IF(AA1155="","",'Procyfloc 500'!B156)</f>
        <v/>
      </c>
      <c r="AD1155" t="str">
        <f>IF(AA1155="","",IFERROR(1*'Procyfloc 500'!C156,IFERROR(_xludf.NUMBERVALUE('Procyfloc 500'!C156,".",","),IFERROR(_xludf.NUMBERVALUE('Procyfloc 500'!C156,",","."),0))))</f>
        <v/>
      </c>
      <c r="AE1155" t="str">
        <f>IF(AA1155="","",'Procyfloc 500'!L156)</f>
        <v/>
      </c>
      <c r="AF1155">
        <f t="shared" si="125"/>
        <v>0</v>
      </c>
      <c r="AG1155" t="str">
        <f t="shared" si="126"/>
        <v/>
      </c>
      <c r="AH1155" t="str">
        <f t="shared" si="127"/>
        <v/>
      </c>
      <c r="AI1155">
        <f t="shared" si="128"/>
        <v>0</v>
      </c>
      <c r="AJ1155">
        <f t="shared" si="129"/>
        <v>0</v>
      </c>
      <c r="AK1155">
        <v>0</v>
      </c>
      <c r="AL1155" t="str">
        <f>IF(AA1155="","",IFERROR(IF(ISNUMBER('Procyfloc 500'!D156),'Procyfloc 500'!D156,IF(ISNUMBER(SEARCH("12",'Procyfloc 500'!D156)),EDATE(AB1155,12),IF(ISNUMBER(SEARCH("6",'Procyfloc 500'!D156)),EDATE(AB1155,6),IF(ISNUMBER(SEARCH("3",'Procyfloc 500'!D156)),EDATE(AB1155,3),DATEVALUE('Procyfloc 500'!D156))))),""))</f>
        <v/>
      </c>
      <c r="AM1155" t="str">
        <f t="shared" ca="1" si="130"/>
        <v/>
      </c>
    </row>
    <row r="1156" spans="27:39" x14ac:dyDescent="0.3">
      <c r="AA1156" t="str">
        <f>IF(COUNTA('Procyfloc 500'!A157,'Procyfloc 500'!B157,'Procyfloc 500'!C157)&gt;0,"500","")</f>
        <v/>
      </c>
      <c r="AB1156" t="str">
        <f>IFERROR(IF(ISNUMBER('Procyfloc 500'!A157),'Procyfloc 500'!A157,DATEVALUE('Procyfloc 500'!A157)),"")</f>
        <v/>
      </c>
      <c r="AC1156" t="str">
        <f>IF(AA1156="","",'Procyfloc 500'!B157)</f>
        <v/>
      </c>
      <c r="AD1156" t="str">
        <f>IF(AA1156="","",IFERROR(1*'Procyfloc 500'!C157,IFERROR(_xludf.NUMBERVALUE('Procyfloc 500'!C157,".",","),IFERROR(_xludf.NUMBERVALUE('Procyfloc 500'!C157,",","."),0))))</f>
        <v/>
      </c>
      <c r="AE1156" t="str">
        <f>IF(AA1156="","",'Procyfloc 500'!L157)</f>
        <v/>
      </c>
      <c r="AF1156">
        <f t="shared" si="125"/>
        <v>0</v>
      </c>
      <c r="AG1156" t="str">
        <f t="shared" si="126"/>
        <v/>
      </c>
      <c r="AH1156" t="str">
        <f t="shared" si="127"/>
        <v/>
      </c>
      <c r="AI1156">
        <f t="shared" si="128"/>
        <v>0</v>
      </c>
      <c r="AJ1156">
        <f t="shared" si="129"/>
        <v>0</v>
      </c>
      <c r="AK1156">
        <v>0</v>
      </c>
      <c r="AL1156" t="str">
        <f>IF(AA1156="","",IFERROR(IF(ISNUMBER('Procyfloc 500'!D157),'Procyfloc 500'!D157,IF(ISNUMBER(SEARCH("12",'Procyfloc 500'!D157)),EDATE(AB1156,12),IF(ISNUMBER(SEARCH("6",'Procyfloc 500'!D157)),EDATE(AB1156,6),IF(ISNUMBER(SEARCH("3",'Procyfloc 500'!D157)),EDATE(AB1156,3),DATEVALUE('Procyfloc 500'!D157))))),""))</f>
        <v/>
      </c>
      <c r="AM1156" t="str">
        <f t="shared" ca="1" si="130"/>
        <v/>
      </c>
    </row>
    <row r="1157" spans="27:39" x14ac:dyDescent="0.3">
      <c r="AA1157" t="str">
        <f>IF(COUNTA('Procyfloc 500'!A158,'Procyfloc 500'!B158,'Procyfloc 500'!C158)&gt;0,"500","")</f>
        <v/>
      </c>
      <c r="AB1157" t="str">
        <f>IFERROR(IF(ISNUMBER('Procyfloc 500'!A158),'Procyfloc 500'!A158,DATEVALUE('Procyfloc 500'!A158)),"")</f>
        <v/>
      </c>
      <c r="AC1157" t="str">
        <f>IF(AA1157="","",'Procyfloc 500'!B158)</f>
        <v/>
      </c>
      <c r="AD1157" t="str">
        <f>IF(AA1157="","",IFERROR(1*'Procyfloc 500'!C158,IFERROR(_xludf.NUMBERVALUE('Procyfloc 500'!C158,".",","),IFERROR(_xludf.NUMBERVALUE('Procyfloc 500'!C158,",","."),0))))</f>
        <v/>
      </c>
      <c r="AE1157" t="str">
        <f>IF(AA1157="","",'Procyfloc 500'!L158)</f>
        <v/>
      </c>
      <c r="AF1157">
        <f t="shared" si="125"/>
        <v>0</v>
      </c>
      <c r="AG1157" t="str">
        <f t="shared" si="126"/>
        <v/>
      </c>
      <c r="AH1157" t="str">
        <f t="shared" si="127"/>
        <v/>
      </c>
      <c r="AI1157">
        <f t="shared" si="128"/>
        <v>0</v>
      </c>
      <c r="AJ1157">
        <f t="shared" si="129"/>
        <v>0</v>
      </c>
      <c r="AK1157">
        <v>0</v>
      </c>
      <c r="AL1157" t="str">
        <f>IF(AA1157="","",IFERROR(IF(ISNUMBER('Procyfloc 500'!D158),'Procyfloc 500'!D158,IF(ISNUMBER(SEARCH("12",'Procyfloc 500'!D158)),EDATE(AB1157,12),IF(ISNUMBER(SEARCH("6",'Procyfloc 500'!D158)),EDATE(AB1157,6),IF(ISNUMBER(SEARCH("3",'Procyfloc 500'!D158)),EDATE(AB1157,3),DATEVALUE('Procyfloc 500'!D158))))),""))</f>
        <v/>
      </c>
      <c r="AM1157" t="str">
        <f t="shared" ca="1" si="130"/>
        <v/>
      </c>
    </row>
    <row r="1158" spans="27:39" x14ac:dyDescent="0.3">
      <c r="AA1158" t="str">
        <f>IF(COUNTA('Procyfloc 500'!A159,'Procyfloc 500'!B159,'Procyfloc 500'!C159)&gt;0,"500","")</f>
        <v/>
      </c>
      <c r="AB1158" t="str">
        <f>IFERROR(IF(ISNUMBER('Procyfloc 500'!A159),'Procyfloc 500'!A159,DATEVALUE('Procyfloc 500'!A159)),"")</f>
        <v/>
      </c>
      <c r="AC1158" t="str">
        <f>IF(AA1158="","",'Procyfloc 500'!B159)</f>
        <v/>
      </c>
      <c r="AD1158" t="str">
        <f>IF(AA1158="","",IFERROR(1*'Procyfloc 500'!C159,IFERROR(_xludf.NUMBERVALUE('Procyfloc 500'!C159,".",","),IFERROR(_xludf.NUMBERVALUE('Procyfloc 500'!C159,",","."),0))))</f>
        <v/>
      </c>
      <c r="AE1158" t="str">
        <f>IF(AA1158="","",'Procyfloc 500'!L159)</f>
        <v/>
      </c>
      <c r="AF1158">
        <f t="shared" si="125"/>
        <v>0</v>
      </c>
      <c r="AG1158" t="str">
        <f t="shared" si="126"/>
        <v/>
      </c>
      <c r="AH1158" t="str">
        <f t="shared" si="127"/>
        <v/>
      </c>
      <c r="AI1158">
        <f t="shared" si="128"/>
        <v>0</v>
      </c>
      <c r="AJ1158">
        <f t="shared" si="129"/>
        <v>0</v>
      </c>
      <c r="AK1158">
        <v>0</v>
      </c>
      <c r="AL1158" t="str">
        <f>IF(AA1158="","",IFERROR(IF(ISNUMBER('Procyfloc 500'!D159),'Procyfloc 500'!D159,IF(ISNUMBER(SEARCH("12",'Procyfloc 500'!D159)),EDATE(AB1158,12),IF(ISNUMBER(SEARCH("6",'Procyfloc 500'!D159)),EDATE(AB1158,6),IF(ISNUMBER(SEARCH("3",'Procyfloc 500'!D159)),EDATE(AB1158,3),DATEVALUE('Procyfloc 500'!D159))))),""))</f>
        <v/>
      </c>
      <c r="AM1158" t="str">
        <f t="shared" ca="1" si="130"/>
        <v/>
      </c>
    </row>
    <row r="1159" spans="27:39" x14ac:dyDescent="0.3">
      <c r="AA1159" t="str">
        <f>IF(COUNTA('Procyfloc 500'!A160,'Procyfloc 500'!B160,'Procyfloc 500'!C160)&gt;0,"500","")</f>
        <v/>
      </c>
      <c r="AB1159" t="str">
        <f>IFERROR(IF(ISNUMBER('Procyfloc 500'!A160),'Procyfloc 500'!A160,DATEVALUE('Procyfloc 500'!A160)),"")</f>
        <v/>
      </c>
      <c r="AC1159" t="str">
        <f>IF(AA1159="","",'Procyfloc 500'!B160)</f>
        <v/>
      </c>
      <c r="AD1159" t="str">
        <f>IF(AA1159="","",IFERROR(1*'Procyfloc 500'!C160,IFERROR(_xludf.NUMBERVALUE('Procyfloc 500'!C160,".",","),IFERROR(_xludf.NUMBERVALUE('Procyfloc 500'!C160,",","."),0))))</f>
        <v/>
      </c>
      <c r="AE1159" t="str">
        <f>IF(AA1159="","",'Procyfloc 500'!L160)</f>
        <v/>
      </c>
      <c r="AF1159">
        <f t="shared" si="125"/>
        <v>0</v>
      </c>
      <c r="AG1159" t="str">
        <f t="shared" si="126"/>
        <v/>
      </c>
      <c r="AH1159" t="str">
        <f t="shared" si="127"/>
        <v/>
      </c>
      <c r="AI1159">
        <f t="shared" si="128"/>
        <v>0</v>
      </c>
      <c r="AJ1159">
        <f t="shared" si="129"/>
        <v>0</v>
      </c>
      <c r="AK1159">
        <v>0</v>
      </c>
      <c r="AL1159" t="str">
        <f>IF(AA1159="","",IFERROR(IF(ISNUMBER('Procyfloc 500'!D160),'Procyfloc 500'!D160,IF(ISNUMBER(SEARCH("12",'Procyfloc 500'!D160)),EDATE(AB1159,12),IF(ISNUMBER(SEARCH("6",'Procyfloc 500'!D160)),EDATE(AB1159,6),IF(ISNUMBER(SEARCH("3",'Procyfloc 500'!D160)),EDATE(AB1159,3),DATEVALUE('Procyfloc 500'!D160))))),""))</f>
        <v/>
      </c>
      <c r="AM1159" t="str">
        <f t="shared" ca="1" si="130"/>
        <v/>
      </c>
    </row>
    <row r="1160" spans="27:39" x14ac:dyDescent="0.3">
      <c r="AA1160" t="str">
        <f>IF(COUNTA('Procyfloc 500'!A161,'Procyfloc 500'!B161,'Procyfloc 500'!C161)&gt;0,"500","")</f>
        <v/>
      </c>
      <c r="AB1160" t="str">
        <f>IFERROR(IF(ISNUMBER('Procyfloc 500'!A161),'Procyfloc 500'!A161,DATEVALUE('Procyfloc 500'!A161)),"")</f>
        <v/>
      </c>
      <c r="AC1160" t="str">
        <f>IF(AA1160="","",'Procyfloc 500'!B161)</f>
        <v/>
      </c>
      <c r="AD1160" t="str">
        <f>IF(AA1160="","",IFERROR(1*'Procyfloc 500'!C161,IFERROR(_xludf.NUMBERVALUE('Procyfloc 500'!C161,".",","),IFERROR(_xludf.NUMBERVALUE('Procyfloc 500'!C161,",","."),0))))</f>
        <v/>
      </c>
      <c r="AE1160" t="str">
        <f>IF(AA1160="","",'Procyfloc 500'!L161)</f>
        <v/>
      </c>
      <c r="AF1160">
        <f t="shared" si="125"/>
        <v>0</v>
      </c>
      <c r="AG1160" t="str">
        <f t="shared" si="126"/>
        <v/>
      </c>
      <c r="AH1160" t="str">
        <f t="shared" si="127"/>
        <v/>
      </c>
      <c r="AI1160">
        <f t="shared" si="128"/>
        <v>0</v>
      </c>
      <c r="AJ1160">
        <f t="shared" si="129"/>
        <v>0</v>
      </c>
      <c r="AK1160">
        <v>0</v>
      </c>
      <c r="AL1160" t="str">
        <f>IF(AA1160="","",IFERROR(IF(ISNUMBER('Procyfloc 500'!D161),'Procyfloc 500'!D161,IF(ISNUMBER(SEARCH("12",'Procyfloc 500'!D161)),EDATE(AB1160,12),IF(ISNUMBER(SEARCH("6",'Procyfloc 500'!D161)),EDATE(AB1160,6),IF(ISNUMBER(SEARCH("3",'Procyfloc 500'!D161)),EDATE(AB1160,3),DATEVALUE('Procyfloc 500'!D161))))),""))</f>
        <v/>
      </c>
      <c r="AM1160" t="str">
        <f t="shared" ca="1" si="130"/>
        <v/>
      </c>
    </row>
    <row r="1161" spans="27:39" x14ac:dyDescent="0.3">
      <c r="AA1161" t="str">
        <f>IF(COUNTA('Procyfloc 500'!A162,'Procyfloc 500'!B162,'Procyfloc 500'!C162)&gt;0,"500","")</f>
        <v/>
      </c>
      <c r="AB1161" t="str">
        <f>IFERROR(IF(ISNUMBER('Procyfloc 500'!A162),'Procyfloc 500'!A162,DATEVALUE('Procyfloc 500'!A162)),"")</f>
        <v/>
      </c>
      <c r="AC1161" t="str">
        <f>IF(AA1161="","",'Procyfloc 500'!B162)</f>
        <v/>
      </c>
      <c r="AD1161" t="str">
        <f>IF(AA1161="","",IFERROR(1*'Procyfloc 500'!C162,IFERROR(_xludf.NUMBERVALUE('Procyfloc 500'!C162,".",","),IFERROR(_xludf.NUMBERVALUE('Procyfloc 500'!C162,",","."),0))))</f>
        <v/>
      </c>
      <c r="AE1161" t="str">
        <f>IF(AA1161="","",'Procyfloc 500'!L162)</f>
        <v/>
      </c>
      <c r="AF1161">
        <f t="shared" si="125"/>
        <v>0</v>
      </c>
      <c r="AG1161" t="str">
        <f t="shared" si="126"/>
        <v/>
      </c>
      <c r="AH1161" t="str">
        <f t="shared" si="127"/>
        <v/>
      </c>
      <c r="AI1161">
        <f t="shared" si="128"/>
        <v>0</v>
      </c>
      <c r="AJ1161">
        <f t="shared" si="129"/>
        <v>0</v>
      </c>
      <c r="AK1161">
        <v>0</v>
      </c>
      <c r="AL1161" t="str">
        <f>IF(AA1161="","",IFERROR(IF(ISNUMBER('Procyfloc 500'!D162),'Procyfloc 500'!D162,IF(ISNUMBER(SEARCH("12",'Procyfloc 500'!D162)),EDATE(AB1161,12),IF(ISNUMBER(SEARCH("6",'Procyfloc 500'!D162)),EDATE(AB1161,6),IF(ISNUMBER(SEARCH("3",'Procyfloc 500'!D162)),EDATE(AB1161,3),DATEVALUE('Procyfloc 500'!D162))))),""))</f>
        <v/>
      </c>
      <c r="AM1161" t="str">
        <f t="shared" ca="1" si="130"/>
        <v/>
      </c>
    </row>
    <row r="1162" spans="27:39" x14ac:dyDescent="0.3">
      <c r="AA1162" t="str">
        <f>IF(COUNTA('Procyfloc 500'!A163,'Procyfloc 500'!B163,'Procyfloc 500'!C163)&gt;0,"500","")</f>
        <v/>
      </c>
      <c r="AB1162" t="str">
        <f>IFERROR(IF(ISNUMBER('Procyfloc 500'!A163),'Procyfloc 500'!A163,DATEVALUE('Procyfloc 500'!A163)),"")</f>
        <v/>
      </c>
      <c r="AC1162" t="str">
        <f>IF(AA1162="","",'Procyfloc 500'!B163)</f>
        <v/>
      </c>
      <c r="AD1162" t="str">
        <f>IF(AA1162="","",IFERROR(1*'Procyfloc 500'!C163,IFERROR(_xludf.NUMBERVALUE('Procyfloc 500'!C163,".",","),IFERROR(_xludf.NUMBERVALUE('Procyfloc 500'!C163,",","."),0))))</f>
        <v/>
      </c>
      <c r="AE1162" t="str">
        <f>IF(AA1162="","",'Procyfloc 500'!L163)</f>
        <v/>
      </c>
      <c r="AF1162">
        <f t="shared" si="125"/>
        <v>0</v>
      </c>
      <c r="AG1162" t="str">
        <f t="shared" si="126"/>
        <v/>
      </c>
      <c r="AH1162" t="str">
        <f t="shared" si="127"/>
        <v/>
      </c>
      <c r="AI1162">
        <f t="shared" si="128"/>
        <v>0</v>
      </c>
      <c r="AJ1162">
        <f t="shared" si="129"/>
        <v>0</v>
      </c>
      <c r="AK1162">
        <v>0</v>
      </c>
      <c r="AL1162" t="str">
        <f>IF(AA1162="","",IFERROR(IF(ISNUMBER('Procyfloc 500'!D163),'Procyfloc 500'!D163,IF(ISNUMBER(SEARCH("12",'Procyfloc 500'!D163)),EDATE(AB1162,12),IF(ISNUMBER(SEARCH("6",'Procyfloc 500'!D163)),EDATE(AB1162,6),IF(ISNUMBER(SEARCH("3",'Procyfloc 500'!D163)),EDATE(AB1162,3),DATEVALUE('Procyfloc 500'!D163))))),""))</f>
        <v/>
      </c>
      <c r="AM1162" t="str">
        <f t="shared" ca="1" si="130"/>
        <v/>
      </c>
    </row>
    <row r="1163" spans="27:39" x14ac:dyDescent="0.3">
      <c r="AA1163" t="str">
        <f>IF(COUNTA('Procyfloc 500'!A164,'Procyfloc 500'!B164,'Procyfloc 500'!C164)&gt;0,"500","")</f>
        <v/>
      </c>
      <c r="AB1163" t="str">
        <f>IFERROR(IF(ISNUMBER('Procyfloc 500'!A164),'Procyfloc 500'!A164,DATEVALUE('Procyfloc 500'!A164)),"")</f>
        <v/>
      </c>
      <c r="AC1163" t="str">
        <f>IF(AA1163="","",'Procyfloc 500'!B164)</f>
        <v/>
      </c>
      <c r="AD1163" t="str">
        <f>IF(AA1163="","",IFERROR(1*'Procyfloc 500'!C164,IFERROR(_xludf.NUMBERVALUE('Procyfloc 500'!C164,".",","),IFERROR(_xludf.NUMBERVALUE('Procyfloc 500'!C164,",","."),0))))</f>
        <v/>
      </c>
      <c r="AE1163" t="str">
        <f>IF(AA1163="","",'Procyfloc 500'!L164)</f>
        <v/>
      </c>
      <c r="AF1163">
        <f t="shared" si="125"/>
        <v>0</v>
      </c>
      <c r="AG1163" t="str">
        <f t="shared" si="126"/>
        <v/>
      </c>
      <c r="AH1163" t="str">
        <f t="shared" si="127"/>
        <v/>
      </c>
      <c r="AI1163">
        <f t="shared" si="128"/>
        <v>0</v>
      </c>
      <c r="AJ1163">
        <f t="shared" si="129"/>
        <v>0</v>
      </c>
      <c r="AK1163">
        <v>0</v>
      </c>
      <c r="AL1163" t="str">
        <f>IF(AA1163="","",IFERROR(IF(ISNUMBER('Procyfloc 500'!D164),'Procyfloc 500'!D164,IF(ISNUMBER(SEARCH("12",'Procyfloc 500'!D164)),EDATE(AB1163,12),IF(ISNUMBER(SEARCH("6",'Procyfloc 500'!D164)),EDATE(AB1163,6),IF(ISNUMBER(SEARCH("3",'Procyfloc 500'!D164)),EDATE(AB1163,3),DATEVALUE('Procyfloc 500'!D164))))),""))</f>
        <v/>
      </c>
      <c r="AM1163" t="str">
        <f t="shared" ca="1" si="130"/>
        <v/>
      </c>
    </row>
    <row r="1164" spans="27:39" x14ac:dyDescent="0.3">
      <c r="AA1164" t="str">
        <f>IF(COUNTA('Procyfloc 500'!A165,'Procyfloc 500'!B165,'Procyfloc 500'!C165)&gt;0,"500","")</f>
        <v/>
      </c>
      <c r="AB1164" t="str">
        <f>IFERROR(IF(ISNUMBER('Procyfloc 500'!A165),'Procyfloc 500'!A165,DATEVALUE('Procyfloc 500'!A165)),"")</f>
        <v/>
      </c>
      <c r="AC1164" t="str">
        <f>IF(AA1164="","",'Procyfloc 500'!B165)</f>
        <v/>
      </c>
      <c r="AD1164" t="str">
        <f>IF(AA1164="","",IFERROR(1*'Procyfloc 500'!C165,IFERROR(_xludf.NUMBERVALUE('Procyfloc 500'!C165,".",","),IFERROR(_xludf.NUMBERVALUE('Procyfloc 500'!C165,",","."),0))))</f>
        <v/>
      </c>
      <c r="AE1164" t="str">
        <f>IF(AA1164="","",'Procyfloc 500'!L165)</f>
        <v/>
      </c>
      <c r="AF1164">
        <f t="shared" si="125"/>
        <v>0</v>
      </c>
      <c r="AG1164" t="str">
        <f t="shared" si="126"/>
        <v/>
      </c>
      <c r="AH1164" t="str">
        <f t="shared" si="127"/>
        <v/>
      </c>
      <c r="AI1164">
        <f t="shared" si="128"/>
        <v>0</v>
      </c>
      <c r="AJ1164">
        <f t="shared" si="129"/>
        <v>0</v>
      </c>
      <c r="AK1164">
        <v>0</v>
      </c>
      <c r="AL1164" t="str">
        <f>IF(AA1164="","",IFERROR(IF(ISNUMBER('Procyfloc 500'!D165),'Procyfloc 500'!D165,IF(ISNUMBER(SEARCH("12",'Procyfloc 500'!D165)),EDATE(AB1164,12),IF(ISNUMBER(SEARCH("6",'Procyfloc 500'!D165)),EDATE(AB1164,6),IF(ISNUMBER(SEARCH("3",'Procyfloc 500'!D165)),EDATE(AB1164,3),DATEVALUE('Procyfloc 500'!D165))))),""))</f>
        <v/>
      </c>
      <c r="AM1164" t="str">
        <f t="shared" ca="1" si="130"/>
        <v/>
      </c>
    </row>
    <row r="1165" spans="27:39" x14ac:dyDescent="0.3">
      <c r="AA1165" t="str">
        <f>IF(COUNTA('Procyfloc 500'!A166,'Procyfloc 500'!B166,'Procyfloc 500'!C166)&gt;0,"500","")</f>
        <v/>
      </c>
      <c r="AB1165" t="str">
        <f>IFERROR(IF(ISNUMBER('Procyfloc 500'!A166),'Procyfloc 500'!A166,DATEVALUE('Procyfloc 500'!A166)),"")</f>
        <v/>
      </c>
      <c r="AC1165" t="str">
        <f>IF(AA1165="","",'Procyfloc 500'!B166)</f>
        <v/>
      </c>
      <c r="AD1165" t="str">
        <f>IF(AA1165="","",IFERROR(1*'Procyfloc 500'!C166,IFERROR(_xludf.NUMBERVALUE('Procyfloc 500'!C166,".",","),IFERROR(_xludf.NUMBERVALUE('Procyfloc 500'!C166,",","."),0))))</f>
        <v/>
      </c>
      <c r="AE1165" t="str">
        <f>IF(AA1165="","",'Procyfloc 500'!L166)</f>
        <v/>
      </c>
      <c r="AF1165">
        <f t="shared" si="125"/>
        <v>0</v>
      </c>
      <c r="AG1165" t="str">
        <f t="shared" si="126"/>
        <v/>
      </c>
      <c r="AH1165" t="str">
        <f t="shared" si="127"/>
        <v/>
      </c>
      <c r="AI1165">
        <f t="shared" si="128"/>
        <v>0</v>
      </c>
      <c r="AJ1165">
        <f t="shared" si="129"/>
        <v>0</v>
      </c>
      <c r="AK1165">
        <v>0</v>
      </c>
      <c r="AL1165" t="str">
        <f>IF(AA1165="","",IFERROR(IF(ISNUMBER('Procyfloc 500'!D166),'Procyfloc 500'!D166,IF(ISNUMBER(SEARCH("12",'Procyfloc 500'!D166)),EDATE(AB1165,12),IF(ISNUMBER(SEARCH("6",'Procyfloc 500'!D166)),EDATE(AB1165,6),IF(ISNUMBER(SEARCH("3",'Procyfloc 500'!D166)),EDATE(AB1165,3),DATEVALUE('Procyfloc 500'!D166))))),""))</f>
        <v/>
      </c>
      <c r="AM1165" t="str">
        <f t="shared" ca="1" si="130"/>
        <v/>
      </c>
    </row>
    <row r="1166" spans="27:39" x14ac:dyDescent="0.3">
      <c r="AA1166" t="str">
        <f>IF(COUNTA('Procyfloc 500'!A167,'Procyfloc 500'!B167,'Procyfloc 500'!C167)&gt;0,"500","")</f>
        <v/>
      </c>
      <c r="AB1166" t="str">
        <f>IFERROR(IF(ISNUMBER('Procyfloc 500'!A167),'Procyfloc 500'!A167,DATEVALUE('Procyfloc 500'!A167)),"")</f>
        <v/>
      </c>
      <c r="AC1166" t="str">
        <f>IF(AA1166="","",'Procyfloc 500'!B167)</f>
        <v/>
      </c>
      <c r="AD1166" t="str">
        <f>IF(AA1166="","",IFERROR(1*'Procyfloc 500'!C167,IFERROR(_xludf.NUMBERVALUE('Procyfloc 500'!C167,".",","),IFERROR(_xludf.NUMBERVALUE('Procyfloc 500'!C167,",","."),0))))</f>
        <v/>
      </c>
      <c r="AE1166" t="str">
        <f>IF(AA1166="","",'Procyfloc 500'!L167)</f>
        <v/>
      </c>
      <c r="AF1166">
        <f t="shared" si="125"/>
        <v>0</v>
      </c>
      <c r="AG1166" t="str">
        <f t="shared" si="126"/>
        <v/>
      </c>
      <c r="AH1166" t="str">
        <f t="shared" si="127"/>
        <v/>
      </c>
      <c r="AI1166">
        <f t="shared" si="128"/>
        <v>0</v>
      </c>
      <c r="AJ1166">
        <f t="shared" si="129"/>
        <v>0</v>
      </c>
      <c r="AK1166">
        <v>0</v>
      </c>
      <c r="AL1166" t="str">
        <f>IF(AA1166="","",IFERROR(IF(ISNUMBER('Procyfloc 500'!D167),'Procyfloc 500'!D167,IF(ISNUMBER(SEARCH("12",'Procyfloc 500'!D167)),EDATE(AB1166,12),IF(ISNUMBER(SEARCH("6",'Procyfloc 500'!D167)),EDATE(AB1166,6),IF(ISNUMBER(SEARCH("3",'Procyfloc 500'!D167)),EDATE(AB1166,3),DATEVALUE('Procyfloc 500'!D167))))),""))</f>
        <v/>
      </c>
      <c r="AM1166" t="str">
        <f t="shared" ca="1" si="130"/>
        <v/>
      </c>
    </row>
    <row r="1167" spans="27:39" x14ac:dyDescent="0.3">
      <c r="AA1167" t="str">
        <f>IF(COUNTA('Procyfloc 500'!A168,'Procyfloc 500'!B168,'Procyfloc 500'!C168)&gt;0,"500","")</f>
        <v/>
      </c>
      <c r="AB1167" t="str">
        <f>IFERROR(IF(ISNUMBER('Procyfloc 500'!A168),'Procyfloc 500'!A168,DATEVALUE('Procyfloc 500'!A168)),"")</f>
        <v/>
      </c>
      <c r="AC1167" t="str">
        <f>IF(AA1167="","",'Procyfloc 500'!B168)</f>
        <v/>
      </c>
      <c r="AD1167" t="str">
        <f>IF(AA1167="","",IFERROR(1*'Procyfloc 500'!C168,IFERROR(_xludf.NUMBERVALUE('Procyfloc 500'!C168,".",","),IFERROR(_xludf.NUMBERVALUE('Procyfloc 500'!C168,",","."),0))))</f>
        <v/>
      </c>
      <c r="AE1167" t="str">
        <f>IF(AA1167="","",'Procyfloc 500'!L168)</f>
        <v/>
      </c>
      <c r="AF1167">
        <f t="shared" si="125"/>
        <v>0</v>
      </c>
      <c r="AG1167" t="str">
        <f t="shared" si="126"/>
        <v/>
      </c>
      <c r="AH1167" t="str">
        <f t="shared" si="127"/>
        <v/>
      </c>
      <c r="AI1167">
        <f t="shared" si="128"/>
        <v>0</v>
      </c>
      <c r="AJ1167">
        <f t="shared" si="129"/>
        <v>0</v>
      </c>
      <c r="AK1167">
        <v>0</v>
      </c>
      <c r="AL1167" t="str">
        <f>IF(AA1167="","",IFERROR(IF(ISNUMBER('Procyfloc 500'!D168),'Procyfloc 500'!D168,IF(ISNUMBER(SEARCH("12",'Procyfloc 500'!D168)),EDATE(AB1167,12),IF(ISNUMBER(SEARCH("6",'Procyfloc 500'!D168)),EDATE(AB1167,6),IF(ISNUMBER(SEARCH("3",'Procyfloc 500'!D168)),EDATE(AB1167,3),DATEVALUE('Procyfloc 500'!D168))))),""))</f>
        <v/>
      </c>
      <c r="AM1167" t="str">
        <f t="shared" ca="1" si="130"/>
        <v/>
      </c>
    </row>
    <row r="1168" spans="27:39" x14ac:dyDescent="0.3">
      <c r="AA1168" t="str">
        <f>IF(COUNTA('Procyfloc 500'!A169,'Procyfloc 500'!B169,'Procyfloc 500'!C169)&gt;0,"500","")</f>
        <v/>
      </c>
      <c r="AB1168" t="str">
        <f>IFERROR(IF(ISNUMBER('Procyfloc 500'!A169),'Procyfloc 500'!A169,DATEVALUE('Procyfloc 500'!A169)),"")</f>
        <v/>
      </c>
      <c r="AC1168" t="str">
        <f>IF(AA1168="","",'Procyfloc 500'!B169)</f>
        <v/>
      </c>
      <c r="AD1168" t="str">
        <f>IF(AA1168="","",IFERROR(1*'Procyfloc 500'!C169,IFERROR(_xludf.NUMBERVALUE('Procyfloc 500'!C169,".",","),IFERROR(_xludf.NUMBERVALUE('Procyfloc 500'!C169,",","."),0))))</f>
        <v/>
      </c>
      <c r="AE1168" t="str">
        <f>IF(AA1168="","",'Procyfloc 500'!L169)</f>
        <v/>
      </c>
      <c r="AF1168">
        <f t="shared" si="125"/>
        <v>0</v>
      </c>
      <c r="AG1168" t="str">
        <f t="shared" si="126"/>
        <v/>
      </c>
      <c r="AH1168" t="str">
        <f t="shared" si="127"/>
        <v/>
      </c>
      <c r="AI1168">
        <f t="shared" si="128"/>
        <v>0</v>
      </c>
      <c r="AJ1168">
        <f t="shared" si="129"/>
        <v>0</v>
      </c>
      <c r="AK1168">
        <v>0</v>
      </c>
      <c r="AL1168" t="str">
        <f>IF(AA1168="","",IFERROR(IF(ISNUMBER('Procyfloc 500'!D169),'Procyfloc 500'!D169,IF(ISNUMBER(SEARCH("12",'Procyfloc 500'!D169)),EDATE(AB1168,12),IF(ISNUMBER(SEARCH("6",'Procyfloc 500'!D169)),EDATE(AB1168,6),IF(ISNUMBER(SEARCH("3",'Procyfloc 500'!D169)),EDATE(AB1168,3),DATEVALUE('Procyfloc 500'!D169))))),""))</f>
        <v/>
      </c>
      <c r="AM1168" t="str">
        <f t="shared" ca="1" si="130"/>
        <v/>
      </c>
    </row>
    <row r="1169" spans="27:39" x14ac:dyDescent="0.3">
      <c r="AA1169" t="str">
        <f>IF(COUNTA('Procyfloc 500'!A170,'Procyfloc 500'!B170,'Procyfloc 500'!C170)&gt;0,"500","")</f>
        <v/>
      </c>
      <c r="AB1169" t="str">
        <f>IFERROR(IF(ISNUMBER('Procyfloc 500'!A170),'Procyfloc 500'!A170,DATEVALUE('Procyfloc 500'!A170)),"")</f>
        <v/>
      </c>
      <c r="AC1169" t="str">
        <f>IF(AA1169="","",'Procyfloc 500'!B170)</f>
        <v/>
      </c>
      <c r="AD1169" t="str">
        <f>IF(AA1169="","",IFERROR(1*'Procyfloc 500'!C170,IFERROR(_xludf.NUMBERVALUE('Procyfloc 500'!C170,".",","),IFERROR(_xludf.NUMBERVALUE('Procyfloc 500'!C170,",","."),0))))</f>
        <v/>
      </c>
      <c r="AE1169" t="str">
        <f>IF(AA1169="","",'Procyfloc 500'!L170)</f>
        <v/>
      </c>
      <c r="AF1169">
        <f t="shared" si="125"/>
        <v>0</v>
      </c>
      <c r="AG1169" t="str">
        <f t="shared" si="126"/>
        <v/>
      </c>
      <c r="AH1169" t="str">
        <f t="shared" si="127"/>
        <v/>
      </c>
      <c r="AI1169">
        <f t="shared" si="128"/>
        <v>0</v>
      </c>
      <c r="AJ1169">
        <f t="shared" si="129"/>
        <v>0</v>
      </c>
      <c r="AK1169">
        <v>0</v>
      </c>
      <c r="AL1169" t="str">
        <f>IF(AA1169="","",IFERROR(IF(ISNUMBER('Procyfloc 500'!D170),'Procyfloc 500'!D170,IF(ISNUMBER(SEARCH("12",'Procyfloc 500'!D170)),EDATE(AB1169,12),IF(ISNUMBER(SEARCH("6",'Procyfloc 500'!D170)),EDATE(AB1169,6),IF(ISNUMBER(SEARCH("3",'Procyfloc 500'!D170)),EDATE(AB1169,3),DATEVALUE('Procyfloc 500'!D170))))),""))</f>
        <v/>
      </c>
      <c r="AM1169" t="str">
        <f t="shared" ca="1" si="130"/>
        <v/>
      </c>
    </row>
    <row r="1170" spans="27:39" x14ac:dyDescent="0.3">
      <c r="AA1170" t="str">
        <f>IF(COUNTA('Procyfloc 500'!A171,'Procyfloc 500'!B171,'Procyfloc 500'!C171)&gt;0,"500","")</f>
        <v/>
      </c>
      <c r="AB1170" t="str">
        <f>IFERROR(IF(ISNUMBER('Procyfloc 500'!A171),'Procyfloc 500'!A171,DATEVALUE('Procyfloc 500'!A171)),"")</f>
        <v/>
      </c>
      <c r="AC1170" t="str">
        <f>IF(AA1170="","",'Procyfloc 500'!B171)</f>
        <v/>
      </c>
      <c r="AD1170" t="str">
        <f>IF(AA1170="","",IFERROR(1*'Procyfloc 500'!C171,IFERROR(_xludf.NUMBERVALUE('Procyfloc 500'!C171,".",","),IFERROR(_xludf.NUMBERVALUE('Procyfloc 500'!C171,",","."),0))))</f>
        <v/>
      </c>
      <c r="AE1170" t="str">
        <f>IF(AA1170="","",'Procyfloc 500'!L171)</f>
        <v/>
      </c>
      <c r="AF1170">
        <f t="shared" si="125"/>
        <v>0</v>
      </c>
      <c r="AG1170" t="str">
        <f t="shared" si="126"/>
        <v/>
      </c>
      <c r="AH1170" t="str">
        <f t="shared" si="127"/>
        <v/>
      </c>
      <c r="AI1170">
        <f t="shared" si="128"/>
        <v>0</v>
      </c>
      <c r="AJ1170">
        <f t="shared" si="129"/>
        <v>0</v>
      </c>
      <c r="AK1170">
        <v>0</v>
      </c>
      <c r="AL1170" t="str">
        <f>IF(AA1170="","",IFERROR(IF(ISNUMBER('Procyfloc 500'!D171),'Procyfloc 500'!D171,IF(ISNUMBER(SEARCH("12",'Procyfloc 500'!D171)),EDATE(AB1170,12),IF(ISNUMBER(SEARCH("6",'Procyfloc 500'!D171)),EDATE(AB1170,6),IF(ISNUMBER(SEARCH("3",'Procyfloc 500'!D171)),EDATE(AB1170,3),DATEVALUE('Procyfloc 500'!D171))))),""))</f>
        <v/>
      </c>
      <c r="AM1170" t="str">
        <f t="shared" ca="1" si="130"/>
        <v/>
      </c>
    </row>
    <row r="1171" spans="27:39" x14ac:dyDescent="0.3">
      <c r="AA1171" t="str">
        <f>IF(COUNTA('Procyfloc 500'!A172,'Procyfloc 500'!B172,'Procyfloc 500'!C172)&gt;0,"500","")</f>
        <v/>
      </c>
      <c r="AB1171" t="str">
        <f>IFERROR(IF(ISNUMBER('Procyfloc 500'!A172),'Procyfloc 500'!A172,DATEVALUE('Procyfloc 500'!A172)),"")</f>
        <v/>
      </c>
      <c r="AC1171" t="str">
        <f>IF(AA1171="","",'Procyfloc 500'!B172)</f>
        <v/>
      </c>
      <c r="AD1171" t="str">
        <f>IF(AA1171="","",IFERROR(1*'Procyfloc 500'!C172,IFERROR(_xludf.NUMBERVALUE('Procyfloc 500'!C172,".",","),IFERROR(_xludf.NUMBERVALUE('Procyfloc 500'!C172,",","."),0))))</f>
        <v/>
      </c>
      <c r="AE1171" t="str">
        <f>IF(AA1171="","",'Procyfloc 500'!L172)</f>
        <v/>
      </c>
      <c r="AF1171">
        <f t="shared" si="125"/>
        <v>0</v>
      </c>
      <c r="AG1171" t="str">
        <f t="shared" si="126"/>
        <v/>
      </c>
      <c r="AH1171" t="str">
        <f t="shared" si="127"/>
        <v/>
      </c>
      <c r="AI1171">
        <f t="shared" si="128"/>
        <v>0</v>
      </c>
      <c r="AJ1171">
        <f t="shared" si="129"/>
        <v>0</v>
      </c>
      <c r="AK1171">
        <v>0</v>
      </c>
      <c r="AL1171" t="str">
        <f>IF(AA1171="","",IFERROR(IF(ISNUMBER('Procyfloc 500'!D172),'Procyfloc 500'!D172,IF(ISNUMBER(SEARCH("12",'Procyfloc 500'!D172)),EDATE(AB1171,12),IF(ISNUMBER(SEARCH("6",'Procyfloc 500'!D172)),EDATE(AB1171,6),IF(ISNUMBER(SEARCH("3",'Procyfloc 500'!D172)),EDATE(AB1171,3),DATEVALUE('Procyfloc 500'!D172))))),""))</f>
        <v/>
      </c>
      <c r="AM1171" t="str">
        <f t="shared" ca="1" si="130"/>
        <v/>
      </c>
    </row>
    <row r="1172" spans="27:39" x14ac:dyDescent="0.3">
      <c r="AA1172" t="str">
        <f>IF(COUNTA('Procyfloc 500'!A173,'Procyfloc 500'!B173,'Procyfloc 500'!C173)&gt;0,"500","")</f>
        <v/>
      </c>
      <c r="AB1172" t="str">
        <f>IFERROR(IF(ISNUMBER('Procyfloc 500'!A173),'Procyfloc 500'!A173,DATEVALUE('Procyfloc 500'!A173)),"")</f>
        <v/>
      </c>
      <c r="AC1172" t="str">
        <f>IF(AA1172="","",'Procyfloc 500'!B173)</f>
        <v/>
      </c>
      <c r="AD1172" t="str">
        <f>IF(AA1172="","",IFERROR(1*'Procyfloc 500'!C173,IFERROR(_xludf.NUMBERVALUE('Procyfloc 500'!C173,".",","),IFERROR(_xludf.NUMBERVALUE('Procyfloc 500'!C173,",","."),0))))</f>
        <v/>
      </c>
      <c r="AE1172" t="str">
        <f>IF(AA1172="","",'Procyfloc 500'!L173)</f>
        <v/>
      </c>
      <c r="AF1172">
        <f t="shared" si="125"/>
        <v>0</v>
      </c>
      <c r="AG1172" t="str">
        <f t="shared" si="126"/>
        <v/>
      </c>
      <c r="AH1172" t="str">
        <f t="shared" si="127"/>
        <v/>
      </c>
      <c r="AI1172">
        <f t="shared" si="128"/>
        <v>0</v>
      </c>
      <c r="AJ1172">
        <f t="shared" si="129"/>
        <v>0</v>
      </c>
      <c r="AK1172">
        <v>0</v>
      </c>
      <c r="AL1172" t="str">
        <f>IF(AA1172="","",IFERROR(IF(ISNUMBER('Procyfloc 500'!D173),'Procyfloc 500'!D173,IF(ISNUMBER(SEARCH("12",'Procyfloc 500'!D173)),EDATE(AB1172,12),IF(ISNUMBER(SEARCH("6",'Procyfloc 500'!D173)),EDATE(AB1172,6),IF(ISNUMBER(SEARCH("3",'Procyfloc 500'!D173)),EDATE(AB1172,3),DATEVALUE('Procyfloc 500'!D173))))),""))</f>
        <v/>
      </c>
      <c r="AM1172" t="str">
        <f t="shared" ca="1" si="130"/>
        <v/>
      </c>
    </row>
    <row r="1173" spans="27:39" x14ac:dyDescent="0.3">
      <c r="AA1173" t="str">
        <f>IF(COUNTA('Procyfloc 500'!A174,'Procyfloc 500'!B174,'Procyfloc 500'!C174)&gt;0,"500","")</f>
        <v/>
      </c>
      <c r="AB1173" t="str">
        <f>IFERROR(IF(ISNUMBER('Procyfloc 500'!A174),'Procyfloc 500'!A174,DATEVALUE('Procyfloc 500'!A174)),"")</f>
        <v/>
      </c>
      <c r="AC1173" t="str">
        <f>IF(AA1173="","",'Procyfloc 500'!B174)</f>
        <v/>
      </c>
      <c r="AD1173" t="str">
        <f>IF(AA1173="","",IFERROR(1*'Procyfloc 500'!C174,IFERROR(_xludf.NUMBERVALUE('Procyfloc 500'!C174,".",","),IFERROR(_xludf.NUMBERVALUE('Procyfloc 500'!C174,",","."),0))))</f>
        <v/>
      </c>
      <c r="AE1173" t="str">
        <f>IF(AA1173="","",'Procyfloc 500'!L174)</f>
        <v/>
      </c>
      <c r="AF1173">
        <f t="shared" si="125"/>
        <v>0</v>
      </c>
      <c r="AG1173" t="str">
        <f t="shared" si="126"/>
        <v/>
      </c>
      <c r="AH1173" t="str">
        <f t="shared" si="127"/>
        <v/>
      </c>
      <c r="AI1173">
        <f t="shared" si="128"/>
        <v>0</v>
      </c>
      <c r="AJ1173">
        <f t="shared" si="129"/>
        <v>0</v>
      </c>
      <c r="AK1173">
        <v>0</v>
      </c>
      <c r="AL1173" t="str">
        <f>IF(AA1173="","",IFERROR(IF(ISNUMBER('Procyfloc 500'!D174),'Procyfloc 500'!D174,IF(ISNUMBER(SEARCH("12",'Procyfloc 500'!D174)),EDATE(AB1173,12),IF(ISNUMBER(SEARCH("6",'Procyfloc 500'!D174)),EDATE(AB1173,6),IF(ISNUMBER(SEARCH("3",'Procyfloc 500'!D174)),EDATE(AB1173,3),DATEVALUE('Procyfloc 500'!D174))))),""))</f>
        <v/>
      </c>
      <c r="AM1173" t="str">
        <f t="shared" ca="1" si="130"/>
        <v/>
      </c>
    </row>
    <row r="1174" spans="27:39" x14ac:dyDescent="0.3">
      <c r="AA1174" t="str">
        <f>IF(COUNTA('Procyfloc 500'!A175,'Procyfloc 500'!B175,'Procyfloc 500'!C175)&gt;0,"500","")</f>
        <v/>
      </c>
      <c r="AB1174" t="str">
        <f>IFERROR(IF(ISNUMBER('Procyfloc 500'!A175),'Procyfloc 500'!A175,DATEVALUE('Procyfloc 500'!A175)),"")</f>
        <v/>
      </c>
      <c r="AC1174" t="str">
        <f>IF(AA1174="","",'Procyfloc 500'!B175)</f>
        <v/>
      </c>
      <c r="AD1174" t="str">
        <f>IF(AA1174="","",IFERROR(1*'Procyfloc 500'!C175,IFERROR(_xludf.NUMBERVALUE('Procyfloc 500'!C175,".",","),IFERROR(_xludf.NUMBERVALUE('Procyfloc 500'!C175,",","."),0))))</f>
        <v/>
      </c>
      <c r="AE1174" t="str">
        <f>IF(AA1174="","",'Procyfloc 500'!L175)</f>
        <v/>
      </c>
      <c r="AF1174">
        <f t="shared" si="125"/>
        <v>0</v>
      </c>
      <c r="AG1174" t="str">
        <f t="shared" si="126"/>
        <v/>
      </c>
      <c r="AH1174" t="str">
        <f t="shared" si="127"/>
        <v/>
      </c>
      <c r="AI1174">
        <f t="shared" si="128"/>
        <v>0</v>
      </c>
      <c r="AJ1174">
        <f t="shared" si="129"/>
        <v>0</v>
      </c>
      <c r="AK1174">
        <v>0</v>
      </c>
      <c r="AL1174" t="str">
        <f>IF(AA1174="","",IFERROR(IF(ISNUMBER('Procyfloc 500'!D175),'Procyfloc 500'!D175,IF(ISNUMBER(SEARCH("12",'Procyfloc 500'!D175)),EDATE(AB1174,12),IF(ISNUMBER(SEARCH("6",'Procyfloc 500'!D175)),EDATE(AB1174,6),IF(ISNUMBER(SEARCH("3",'Procyfloc 500'!D175)),EDATE(AB1174,3),DATEVALUE('Procyfloc 500'!D175))))),""))</f>
        <v/>
      </c>
      <c r="AM1174" t="str">
        <f t="shared" ca="1" si="130"/>
        <v/>
      </c>
    </row>
    <row r="1175" spans="27:39" x14ac:dyDescent="0.3">
      <c r="AA1175" t="str">
        <f>IF(COUNTA('Procyfloc 500'!A176,'Procyfloc 500'!B176,'Procyfloc 500'!C176)&gt;0,"500","")</f>
        <v/>
      </c>
      <c r="AB1175" t="str">
        <f>IFERROR(IF(ISNUMBER('Procyfloc 500'!A176),'Procyfloc 500'!A176,DATEVALUE('Procyfloc 500'!A176)),"")</f>
        <v/>
      </c>
      <c r="AC1175" t="str">
        <f>IF(AA1175="","",'Procyfloc 500'!B176)</f>
        <v/>
      </c>
      <c r="AD1175" t="str">
        <f>IF(AA1175="","",IFERROR(1*'Procyfloc 500'!C176,IFERROR(_xludf.NUMBERVALUE('Procyfloc 500'!C176,".",","),IFERROR(_xludf.NUMBERVALUE('Procyfloc 500'!C176,",","."),0))))</f>
        <v/>
      </c>
      <c r="AE1175" t="str">
        <f>IF(AA1175="","",'Procyfloc 500'!L176)</f>
        <v/>
      </c>
      <c r="AF1175">
        <f t="shared" si="125"/>
        <v>0</v>
      </c>
      <c r="AG1175" t="str">
        <f t="shared" si="126"/>
        <v/>
      </c>
      <c r="AH1175" t="str">
        <f t="shared" si="127"/>
        <v/>
      </c>
      <c r="AI1175">
        <f t="shared" si="128"/>
        <v>0</v>
      </c>
      <c r="AJ1175">
        <f t="shared" si="129"/>
        <v>0</v>
      </c>
      <c r="AK1175">
        <v>0</v>
      </c>
      <c r="AL1175" t="str">
        <f>IF(AA1175="","",IFERROR(IF(ISNUMBER('Procyfloc 500'!D176),'Procyfloc 500'!D176,IF(ISNUMBER(SEARCH("12",'Procyfloc 500'!D176)),EDATE(AB1175,12),IF(ISNUMBER(SEARCH("6",'Procyfloc 500'!D176)),EDATE(AB1175,6),IF(ISNUMBER(SEARCH("3",'Procyfloc 500'!D176)),EDATE(AB1175,3),DATEVALUE('Procyfloc 500'!D176))))),""))</f>
        <v/>
      </c>
      <c r="AM1175" t="str">
        <f t="shared" ca="1" si="130"/>
        <v/>
      </c>
    </row>
    <row r="1176" spans="27:39" x14ac:dyDescent="0.3">
      <c r="AA1176" t="str">
        <f>IF(COUNTA('Procyfloc 500'!A177,'Procyfloc 500'!B177,'Procyfloc 500'!C177)&gt;0,"500","")</f>
        <v/>
      </c>
      <c r="AB1176" t="str">
        <f>IFERROR(IF(ISNUMBER('Procyfloc 500'!A177),'Procyfloc 500'!A177,DATEVALUE('Procyfloc 500'!A177)),"")</f>
        <v/>
      </c>
      <c r="AC1176" t="str">
        <f>IF(AA1176="","",'Procyfloc 500'!B177)</f>
        <v/>
      </c>
      <c r="AD1176" t="str">
        <f>IF(AA1176="","",IFERROR(1*'Procyfloc 500'!C177,IFERROR(_xludf.NUMBERVALUE('Procyfloc 500'!C177,".",","),IFERROR(_xludf.NUMBERVALUE('Procyfloc 500'!C177,",","."),0))))</f>
        <v/>
      </c>
      <c r="AE1176" t="str">
        <f>IF(AA1176="","",'Procyfloc 500'!L177)</f>
        <v/>
      </c>
      <c r="AF1176">
        <f t="shared" si="125"/>
        <v>0</v>
      </c>
      <c r="AG1176" t="str">
        <f t="shared" si="126"/>
        <v/>
      </c>
      <c r="AH1176" t="str">
        <f t="shared" si="127"/>
        <v/>
      </c>
      <c r="AI1176">
        <f t="shared" si="128"/>
        <v>0</v>
      </c>
      <c r="AJ1176">
        <f t="shared" si="129"/>
        <v>0</v>
      </c>
      <c r="AK1176">
        <v>0</v>
      </c>
      <c r="AL1176" t="str">
        <f>IF(AA1176="","",IFERROR(IF(ISNUMBER('Procyfloc 500'!D177),'Procyfloc 500'!D177,IF(ISNUMBER(SEARCH("12",'Procyfloc 500'!D177)),EDATE(AB1176,12),IF(ISNUMBER(SEARCH("6",'Procyfloc 500'!D177)),EDATE(AB1176,6),IF(ISNUMBER(SEARCH("3",'Procyfloc 500'!D177)),EDATE(AB1176,3),DATEVALUE('Procyfloc 500'!D177))))),""))</f>
        <v/>
      </c>
      <c r="AM1176" t="str">
        <f t="shared" ca="1" si="130"/>
        <v/>
      </c>
    </row>
    <row r="1177" spans="27:39" x14ac:dyDescent="0.3">
      <c r="AA1177" t="str">
        <f>IF(COUNTA('Procyfloc 500'!A178,'Procyfloc 500'!B178,'Procyfloc 500'!C178)&gt;0,"500","")</f>
        <v/>
      </c>
      <c r="AB1177" t="str">
        <f>IFERROR(IF(ISNUMBER('Procyfloc 500'!A178),'Procyfloc 500'!A178,DATEVALUE('Procyfloc 500'!A178)),"")</f>
        <v/>
      </c>
      <c r="AC1177" t="str">
        <f>IF(AA1177="","",'Procyfloc 500'!B178)</f>
        <v/>
      </c>
      <c r="AD1177" t="str">
        <f>IF(AA1177="","",IFERROR(1*'Procyfloc 500'!C178,IFERROR(_xludf.NUMBERVALUE('Procyfloc 500'!C178,".",","),IFERROR(_xludf.NUMBERVALUE('Procyfloc 500'!C178,",","."),0))))</f>
        <v/>
      </c>
      <c r="AE1177" t="str">
        <f>IF(AA1177="","",'Procyfloc 500'!L178)</f>
        <v/>
      </c>
      <c r="AF1177">
        <f t="shared" si="125"/>
        <v>0</v>
      </c>
      <c r="AG1177" t="str">
        <f t="shared" si="126"/>
        <v/>
      </c>
      <c r="AH1177" t="str">
        <f t="shared" si="127"/>
        <v/>
      </c>
      <c r="AI1177">
        <f t="shared" si="128"/>
        <v>0</v>
      </c>
      <c r="AJ1177">
        <f t="shared" si="129"/>
        <v>0</v>
      </c>
      <c r="AK1177">
        <v>0</v>
      </c>
      <c r="AL1177" t="str">
        <f>IF(AA1177="","",IFERROR(IF(ISNUMBER('Procyfloc 500'!D178),'Procyfloc 500'!D178,IF(ISNUMBER(SEARCH("12",'Procyfloc 500'!D178)),EDATE(AB1177,12),IF(ISNUMBER(SEARCH("6",'Procyfloc 500'!D178)),EDATE(AB1177,6),IF(ISNUMBER(SEARCH("3",'Procyfloc 500'!D178)),EDATE(AB1177,3),DATEVALUE('Procyfloc 500'!D178))))),""))</f>
        <v/>
      </c>
      <c r="AM1177" t="str">
        <f t="shared" ca="1" si="130"/>
        <v/>
      </c>
    </row>
    <row r="1178" spans="27:39" x14ac:dyDescent="0.3">
      <c r="AA1178" t="str">
        <f>IF(COUNTA('Procyfloc 500'!A179,'Procyfloc 500'!B179,'Procyfloc 500'!C179)&gt;0,"500","")</f>
        <v/>
      </c>
      <c r="AB1178" t="str">
        <f>IFERROR(IF(ISNUMBER('Procyfloc 500'!A179),'Procyfloc 500'!A179,DATEVALUE('Procyfloc 500'!A179)),"")</f>
        <v/>
      </c>
      <c r="AC1178" t="str">
        <f>IF(AA1178="","",'Procyfloc 500'!B179)</f>
        <v/>
      </c>
      <c r="AD1178" t="str">
        <f>IF(AA1178="","",IFERROR(1*'Procyfloc 500'!C179,IFERROR(_xludf.NUMBERVALUE('Procyfloc 500'!C179,".",","),IFERROR(_xludf.NUMBERVALUE('Procyfloc 500'!C179,",","."),0))))</f>
        <v/>
      </c>
      <c r="AE1178" t="str">
        <f>IF(AA1178="","",'Procyfloc 500'!L179)</f>
        <v/>
      </c>
      <c r="AF1178">
        <f t="shared" si="125"/>
        <v>0</v>
      </c>
      <c r="AG1178" t="str">
        <f t="shared" si="126"/>
        <v/>
      </c>
      <c r="AH1178" t="str">
        <f t="shared" si="127"/>
        <v/>
      </c>
      <c r="AI1178">
        <f t="shared" si="128"/>
        <v>0</v>
      </c>
      <c r="AJ1178">
        <f t="shared" si="129"/>
        <v>0</v>
      </c>
      <c r="AK1178">
        <v>0</v>
      </c>
      <c r="AL1178" t="str">
        <f>IF(AA1178="","",IFERROR(IF(ISNUMBER('Procyfloc 500'!D179),'Procyfloc 500'!D179,IF(ISNUMBER(SEARCH("12",'Procyfloc 500'!D179)),EDATE(AB1178,12),IF(ISNUMBER(SEARCH("6",'Procyfloc 500'!D179)),EDATE(AB1178,6),IF(ISNUMBER(SEARCH("3",'Procyfloc 500'!D179)),EDATE(AB1178,3),DATEVALUE('Procyfloc 500'!D179))))),""))</f>
        <v/>
      </c>
      <c r="AM1178" t="str">
        <f t="shared" ca="1" si="130"/>
        <v/>
      </c>
    </row>
    <row r="1179" spans="27:39" x14ac:dyDescent="0.3">
      <c r="AA1179" t="str">
        <f>IF(COUNTA('Procyfloc 500'!A180,'Procyfloc 500'!B180,'Procyfloc 500'!C180)&gt;0,"500","")</f>
        <v/>
      </c>
      <c r="AB1179" t="str">
        <f>IFERROR(IF(ISNUMBER('Procyfloc 500'!A180),'Procyfloc 500'!A180,DATEVALUE('Procyfloc 500'!A180)),"")</f>
        <v/>
      </c>
      <c r="AC1179" t="str">
        <f>IF(AA1179="","",'Procyfloc 500'!B180)</f>
        <v/>
      </c>
      <c r="AD1179" t="str">
        <f>IF(AA1179="","",IFERROR(1*'Procyfloc 500'!C180,IFERROR(_xludf.NUMBERVALUE('Procyfloc 500'!C180,".",","),IFERROR(_xludf.NUMBERVALUE('Procyfloc 500'!C180,",","."),0))))</f>
        <v/>
      </c>
      <c r="AE1179" t="str">
        <f>IF(AA1179="","",'Procyfloc 500'!L180)</f>
        <v/>
      </c>
      <c r="AF1179">
        <f t="shared" si="125"/>
        <v>0</v>
      </c>
      <c r="AG1179" t="str">
        <f t="shared" si="126"/>
        <v/>
      </c>
      <c r="AH1179" t="str">
        <f t="shared" si="127"/>
        <v/>
      </c>
      <c r="AI1179">
        <f t="shared" si="128"/>
        <v>0</v>
      </c>
      <c r="AJ1179">
        <f t="shared" si="129"/>
        <v>0</v>
      </c>
      <c r="AK1179">
        <v>0</v>
      </c>
      <c r="AL1179" t="str">
        <f>IF(AA1179="","",IFERROR(IF(ISNUMBER('Procyfloc 500'!D180),'Procyfloc 500'!D180,IF(ISNUMBER(SEARCH("12",'Procyfloc 500'!D180)),EDATE(AB1179,12),IF(ISNUMBER(SEARCH("6",'Procyfloc 500'!D180)),EDATE(AB1179,6),IF(ISNUMBER(SEARCH("3",'Procyfloc 500'!D180)),EDATE(AB1179,3),DATEVALUE('Procyfloc 500'!D180))))),""))</f>
        <v/>
      </c>
      <c r="AM1179" t="str">
        <f t="shared" ca="1" si="130"/>
        <v/>
      </c>
    </row>
    <row r="1180" spans="27:39" x14ac:dyDescent="0.3">
      <c r="AA1180" t="str">
        <f>IF(COUNTA('Procyfloc 500'!A181,'Procyfloc 500'!B181,'Procyfloc 500'!C181)&gt;0,"500","")</f>
        <v/>
      </c>
      <c r="AB1180" t="str">
        <f>IFERROR(IF(ISNUMBER('Procyfloc 500'!A181),'Procyfloc 500'!A181,DATEVALUE('Procyfloc 500'!A181)),"")</f>
        <v/>
      </c>
      <c r="AC1180" t="str">
        <f>IF(AA1180="","",'Procyfloc 500'!B181)</f>
        <v/>
      </c>
      <c r="AD1180" t="str">
        <f>IF(AA1180="","",IFERROR(1*'Procyfloc 500'!C181,IFERROR(_xludf.NUMBERVALUE('Procyfloc 500'!C181,".",","),IFERROR(_xludf.NUMBERVALUE('Procyfloc 500'!C181,",","."),0))))</f>
        <v/>
      </c>
      <c r="AE1180" t="str">
        <f>IF(AA1180="","",'Procyfloc 500'!L181)</f>
        <v/>
      </c>
      <c r="AF1180">
        <f t="shared" si="125"/>
        <v>0</v>
      </c>
      <c r="AG1180" t="str">
        <f t="shared" si="126"/>
        <v/>
      </c>
      <c r="AH1180" t="str">
        <f t="shared" si="127"/>
        <v/>
      </c>
      <c r="AI1180">
        <f t="shared" si="128"/>
        <v>0</v>
      </c>
      <c r="AJ1180">
        <f t="shared" si="129"/>
        <v>0</v>
      </c>
      <c r="AK1180">
        <v>0</v>
      </c>
      <c r="AL1180" t="str">
        <f>IF(AA1180="","",IFERROR(IF(ISNUMBER('Procyfloc 500'!D181),'Procyfloc 500'!D181,IF(ISNUMBER(SEARCH("12",'Procyfloc 500'!D181)),EDATE(AB1180,12),IF(ISNUMBER(SEARCH("6",'Procyfloc 500'!D181)),EDATE(AB1180,6),IF(ISNUMBER(SEARCH("3",'Procyfloc 500'!D181)),EDATE(AB1180,3),DATEVALUE('Procyfloc 500'!D181))))),""))</f>
        <v/>
      </c>
      <c r="AM1180" t="str">
        <f t="shared" ca="1" si="130"/>
        <v/>
      </c>
    </row>
    <row r="1181" spans="27:39" x14ac:dyDescent="0.3">
      <c r="AA1181" t="str">
        <f>IF(COUNTA('Procyfloc 500'!A182,'Procyfloc 500'!B182,'Procyfloc 500'!C182)&gt;0,"500","")</f>
        <v/>
      </c>
      <c r="AB1181" t="str">
        <f>IFERROR(IF(ISNUMBER('Procyfloc 500'!A182),'Procyfloc 500'!A182,DATEVALUE('Procyfloc 500'!A182)),"")</f>
        <v/>
      </c>
      <c r="AC1181" t="str">
        <f>IF(AA1181="","",'Procyfloc 500'!B182)</f>
        <v/>
      </c>
      <c r="AD1181" t="str">
        <f>IF(AA1181="","",IFERROR(1*'Procyfloc 500'!C182,IFERROR(_xludf.NUMBERVALUE('Procyfloc 500'!C182,".",","),IFERROR(_xludf.NUMBERVALUE('Procyfloc 500'!C182,",","."),0))))</f>
        <v/>
      </c>
      <c r="AE1181" t="str">
        <f>IF(AA1181="","",'Procyfloc 500'!L182)</f>
        <v/>
      </c>
      <c r="AF1181">
        <f t="shared" si="125"/>
        <v>0</v>
      </c>
      <c r="AG1181" t="str">
        <f t="shared" si="126"/>
        <v/>
      </c>
      <c r="AH1181" t="str">
        <f t="shared" si="127"/>
        <v/>
      </c>
      <c r="AI1181">
        <f t="shared" si="128"/>
        <v>0</v>
      </c>
      <c r="AJ1181">
        <f t="shared" si="129"/>
        <v>0</v>
      </c>
      <c r="AK1181">
        <v>0</v>
      </c>
      <c r="AL1181" t="str">
        <f>IF(AA1181="","",IFERROR(IF(ISNUMBER('Procyfloc 500'!D182),'Procyfloc 500'!D182,IF(ISNUMBER(SEARCH("12",'Procyfloc 500'!D182)),EDATE(AB1181,12),IF(ISNUMBER(SEARCH("6",'Procyfloc 500'!D182)),EDATE(AB1181,6),IF(ISNUMBER(SEARCH("3",'Procyfloc 500'!D182)),EDATE(AB1181,3),DATEVALUE('Procyfloc 500'!D182))))),""))</f>
        <v/>
      </c>
      <c r="AM1181" t="str">
        <f t="shared" ca="1" si="130"/>
        <v/>
      </c>
    </row>
    <row r="1182" spans="27:39" x14ac:dyDescent="0.3">
      <c r="AA1182" t="str">
        <f>IF(COUNTA('Procyfloc 500'!A183,'Procyfloc 500'!B183,'Procyfloc 500'!C183)&gt;0,"500","")</f>
        <v/>
      </c>
      <c r="AB1182" t="str">
        <f>IFERROR(IF(ISNUMBER('Procyfloc 500'!A183),'Procyfloc 500'!A183,DATEVALUE('Procyfloc 500'!A183)),"")</f>
        <v/>
      </c>
      <c r="AC1182" t="str">
        <f>IF(AA1182="","",'Procyfloc 500'!B183)</f>
        <v/>
      </c>
      <c r="AD1182" t="str">
        <f>IF(AA1182="","",IFERROR(1*'Procyfloc 500'!C183,IFERROR(_xludf.NUMBERVALUE('Procyfloc 500'!C183,".",","),IFERROR(_xludf.NUMBERVALUE('Procyfloc 500'!C183,",","."),0))))</f>
        <v/>
      </c>
      <c r="AE1182" t="str">
        <f>IF(AA1182="","",'Procyfloc 500'!L183)</f>
        <v/>
      </c>
      <c r="AF1182">
        <f t="shared" si="125"/>
        <v>0</v>
      </c>
      <c r="AG1182" t="str">
        <f t="shared" si="126"/>
        <v/>
      </c>
      <c r="AH1182" t="str">
        <f t="shared" si="127"/>
        <v/>
      </c>
      <c r="AI1182">
        <f t="shared" si="128"/>
        <v>0</v>
      </c>
      <c r="AJ1182">
        <f t="shared" si="129"/>
        <v>0</v>
      </c>
      <c r="AK1182">
        <v>0</v>
      </c>
      <c r="AL1182" t="str">
        <f>IF(AA1182="","",IFERROR(IF(ISNUMBER('Procyfloc 500'!D183),'Procyfloc 500'!D183,IF(ISNUMBER(SEARCH("12",'Procyfloc 500'!D183)),EDATE(AB1182,12),IF(ISNUMBER(SEARCH("6",'Procyfloc 500'!D183)),EDATE(AB1182,6),IF(ISNUMBER(SEARCH("3",'Procyfloc 500'!D183)),EDATE(AB1182,3),DATEVALUE('Procyfloc 500'!D183))))),""))</f>
        <v/>
      </c>
      <c r="AM1182" t="str">
        <f t="shared" ca="1" si="130"/>
        <v/>
      </c>
    </row>
    <row r="1183" spans="27:39" x14ac:dyDescent="0.3">
      <c r="AA1183" t="str">
        <f>IF(COUNTA('Procyfloc 500'!A184,'Procyfloc 500'!B184,'Procyfloc 500'!C184)&gt;0,"500","")</f>
        <v/>
      </c>
      <c r="AB1183" t="str">
        <f>IFERROR(IF(ISNUMBER('Procyfloc 500'!A184),'Procyfloc 500'!A184,DATEVALUE('Procyfloc 500'!A184)),"")</f>
        <v/>
      </c>
      <c r="AC1183" t="str">
        <f>IF(AA1183="","",'Procyfloc 500'!B184)</f>
        <v/>
      </c>
      <c r="AD1183" t="str">
        <f>IF(AA1183="","",IFERROR(1*'Procyfloc 500'!C184,IFERROR(_xludf.NUMBERVALUE('Procyfloc 500'!C184,".",","),IFERROR(_xludf.NUMBERVALUE('Procyfloc 500'!C184,",","."),0))))</f>
        <v/>
      </c>
      <c r="AE1183" t="str">
        <f>IF(AA1183="","",'Procyfloc 500'!L184)</f>
        <v/>
      </c>
      <c r="AF1183">
        <f t="shared" si="125"/>
        <v>0</v>
      </c>
      <c r="AG1183" t="str">
        <f t="shared" si="126"/>
        <v/>
      </c>
      <c r="AH1183" t="str">
        <f t="shared" si="127"/>
        <v/>
      </c>
      <c r="AI1183">
        <f t="shared" si="128"/>
        <v>0</v>
      </c>
      <c r="AJ1183">
        <f t="shared" si="129"/>
        <v>0</v>
      </c>
      <c r="AK1183">
        <v>0</v>
      </c>
      <c r="AL1183" t="str">
        <f>IF(AA1183="","",IFERROR(IF(ISNUMBER('Procyfloc 500'!D184),'Procyfloc 500'!D184,IF(ISNUMBER(SEARCH("12",'Procyfloc 500'!D184)),EDATE(AB1183,12),IF(ISNUMBER(SEARCH("6",'Procyfloc 500'!D184)),EDATE(AB1183,6),IF(ISNUMBER(SEARCH("3",'Procyfloc 500'!D184)),EDATE(AB1183,3),DATEVALUE('Procyfloc 500'!D184))))),""))</f>
        <v/>
      </c>
      <c r="AM1183" t="str">
        <f t="shared" ca="1" si="130"/>
        <v/>
      </c>
    </row>
    <row r="1184" spans="27:39" x14ac:dyDescent="0.3">
      <c r="AA1184" t="str">
        <f>IF(COUNTA('Procyfloc 500'!A185,'Procyfloc 500'!B185,'Procyfloc 500'!C185)&gt;0,"500","")</f>
        <v/>
      </c>
      <c r="AB1184" t="str">
        <f>IFERROR(IF(ISNUMBER('Procyfloc 500'!A185),'Procyfloc 500'!A185,DATEVALUE('Procyfloc 500'!A185)),"")</f>
        <v/>
      </c>
      <c r="AC1184" t="str">
        <f>IF(AA1184="","",'Procyfloc 500'!B185)</f>
        <v/>
      </c>
      <c r="AD1184" t="str">
        <f>IF(AA1184="","",IFERROR(1*'Procyfloc 500'!C185,IFERROR(_xludf.NUMBERVALUE('Procyfloc 500'!C185,".",","),IFERROR(_xludf.NUMBERVALUE('Procyfloc 500'!C185,",","."),0))))</f>
        <v/>
      </c>
      <c r="AE1184" t="str">
        <f>IF(AA1184="","",'Procyfloc 500'!L185)</f>
        <v/>
      </c>
      <c r="AF1184">
        <f t="shared" si="125"/>
        <v>0</v>
      </c>
      <c r="AG1184" t="str">
        <f t="shared" si="126"/>
        <v/>
      </c>
      <c r="AH1184" t="str">
        <f t="shared" si="127"/>
        <v/>
      </c>
      <c r="AI1184">
        <f t="shared" si="128"/>
        <v>0</v>
      </c>
      <c r="AJ1184">
        <f t="shared" si="129"/>
        <v>0</v>
      </c>
      <c r="AK1184">
        <v>0</v>
      </c>
      <c r="AL1184" t="str">
        <f>IF(AA1184="","",IFERROR(IF(ISNUMBER('Procyfloc 500'!D185),'Procyfloc 500'!D185,IF(ISNUMBER(SEARCH("12",'Procyfloc 500'!D185)),EDATE(AB1184,12),IF(ISNUMBER(SEARCH("6",'Procyfloc 500'!D185)),EDATE(AB1184,6),IF(ISNUMBER(SEARCH("3",'Procyfloc 500'!D185)),EDATE(AB1184,3),DATEVALUE('Procyfloc 500'!D185))))),""))</f>
        <v/>
      </c>
      <c r="AM1184" t="str">
        <f t="shared" ca="1" si="130"/>
        <v/>
      </c>
    </row>
    <row r="1185" spans="27:39" x14ac:dyDescent="0.3">
      <c r="AA1185" t="str">
        <f>IF(COUNTA('Procyfloc 500'!A186,'Procyfloc 500'!B186,'Procyfloc 500'!C186)&gt;0,"500","")</f>
        <v/>
      </c>
      <c r="AB1185" t="str">
        <f>IFERROR(IF(ISNUMBER('Procyfloc 500'!A186),'Procyfloc 500'!A186,DATEVALUE('Procyfloc 500'!A186)),"")</f>
        <v/>
      </c>
      <c r="AC1185" t="str">
        <f>IF(AA1185="","",'Procyfloc 500'!B186)</f>
        <v/>
      </c>
      <c r="AD1185" t="str">
        <f>IF(AA1185="","",IFERROR(1*'Procyfloc 500'!C186,IFERROR(_xludf.NUMBERVALUE('Procyfloc 500'!C186,".",","),IFERROR(_xludf.NUMBERVALUE('Procyfloc 500'!C186,",","."),0))))</f>
        <v/>
      </c>
      <c r="AE1185" t="str">
        <f>IF(AA1185="","",'Procyfloc 500'!L186)</f>
        <v/>
      </c>
      <c r="AF1185">
        <f t="shared" si="125"/>
        <v>0</v>
      </c>
      <c r="AG1185" t="str">
        <f t="shared" si="126"/>
        <v/>
      </c>
      <c r="AH1185" t="str">
        <f t="shared" si="127"/>
        <v/>
      </c>
      <c r="AI1185">
        <f t="shared" si="128"/>
        <v>0</v>
      </c>
      <c r="AJ1185">
        <f t="shared" si="129"/>
        <v>0</v>
      </c>
      <c r="AK1185">
        <v>0</v>
      </c>
      <c r="AL1185" t="str">
        <f>IF(AA1185="","",IFERROR(IF(ISNUMBER('Procyfloc 500'!D186),'Procyfloc 500'!D186,IF(ISNUMBER(SEARCH("12",'Procyfloc 500'!D186)),EDATE(AB1185,12),IF(ISNUMBER(SEARCH("6",'Procyfloc 500'!D186)),EDATE(AB1185,6),IF(ISNUMBER(SEARCH("3",'Procyfloc 500'!D186)),EDATE(AB1185,3),DATEVALUE('Procyfloc 500'!D186))))),""))</f>
        <v/>
      </c>
      <c r="AM1185" t="str">
        <f t="shared" ca="1" si="130"/>
        <v/>
      </c>
    </row>
    <row r="1186" spans="27:39" x14ac:dyDescent="0.3">
      <c r="AA1186" t="str">
        <f>IF(COUNTA('Procyfloc 500'!A187,'Procyfloc 500'!B187,'Procyfloc 500'!C187)&gt;0,"500","")</f>
        <v/>
      </c>
      <c r="AB1186" t="str">
        <f>IFERROR(IF(ISNUMBER('Procyfloc 500'!A187),'Procyfloc 500'!A187,DATEVALUE('Procyfloc 500'!A187)),"")</f>
        <v/>
      </c>
      <c r="AC1186" t="str">
        <f>IF(AA1186="","",'Procyfloc 500'!B187)</f>
        <v/>
      </c>
      <c r="AD1186" t="str">
        <f>IF(AA1186="","",IFERROR(1*'Procyfloc 500'!C187,IFERROR(_xludf.NUMBERVALUE('Procyfloc 500'!C187,".",","),IFERROR(_xludf.NUMBERVALUE('Procyfloc 500'!C187,",","."),0))))</f>
        <v/>
      </c>
      <c r="AE1186" t="str">
        <f>IF(AA1186="","",'Procyfloc 500'!L187)</f>
        <v/>
      </c>
      <c r="AF1186">
        <f t="shared" si="125"/>
        <v>0</v>
      </c>
      <c r="AG1186" t="str">
        <f t="shared" si="126"/>
        <v/>
      </c>
      <c r="AH1186" t="str">
        <f t="shared" si="127"/>
        <v/>
      </c>
      <c r="AI1186">
        <f t="shared" si="128"/>
        <v>0</v>
      </c>
      <c r="AJ1186">
        <f t="shared" si="129"/>
        <v>0</v>
      </c>
      <c r="AK1186">
        <v>0</v>
      </c>
      <c r="AL1186" t="str">
        <f>IF(AA1186="","",IFERROR(IF(ISNUMBER('Procyfloc 500'!D187),'Procyfloc 500'!D187,IF(ISNUMBER(SEARCH("12",'Procyfloc 500'!D187)),EDATE(AB1186,12),IF(ISNUMBER(SEARCH("6",'Procyfloc 500'!D187)),EDATE(AB1186,6),IF(ISNUMBER(SEARCH("3",'Procyfloc 500'!D187)),EDATE(AB1186,3),DATEVALUE('Procyfloc 500'!D187))))),""))</f>
        <v/>
      </c>
      <c r="AM1186" t="str">
        <f t="shared" ca="1" si="130"/>
        <v/>
      </c>
    </row>
    <row r="1187" spans="27:39" x14ac:dyDescent="0.3">
      <c r="AA1187" t="str">
        <f>IF(COUNTA('Procyfloc 500'!A188,'Procyfloc 500'!B188,'Procyfloc 500'!C188)&gt;0,"500","")</f>
        <v/>
      </c>
      <c r="AB1187" t="str">
        <f>IFERROR(IF(ISNUMBER('Procyfloc 500'!A188),'Procyfloc 500'!A188,DATEVALUE('Procyfloc 500'!A188)),"")</f>
        <v/>
      </c>
      <c r="AC1187" t="str">
        <f>IF(AA1187="","",'Procyfloc 500'!B188)</f>
        <v/>
      </c>
      <c r="AD1187" t="str">
        <f>IF(AA1187="","",IFERROR(1*'Procyfloc 500'!C188,IFERROR(_xludf.NUMBERVALUE('Procyfloc 500'!C188,".",","),IFERROR(_xludf.NUMBERVALUE('Procyfloc 500'!C188,",","."),0))))</f>
        <v/>
      </c>
      <c r="AE1187" t="str">
        <f>IF(AA1187="","",'Procyfloc 500'!L188)</f>
        <v/>
      </c>
      <c r="AF1187">
        <f t="shared" si="125"/>
        <v>0</v>
      </c>
      <c r="AG1187" t="str">
        <f t="shared" si="126"/>
        <v/>
      </c>
      <c r="AH1187" t="str">
        <f t="shared" si="127"/>
        <v/>
      </c>
      <c r="AI1187">
        <f t="shared" si="128"/>
        <v>0</v>
      </c>
      <c r="AJ1187">
        <f t="shared" si="129"/>
        <v>0</v>
      </c>
      <c r="AK1187">
        <v>0</v>
      </c>
      <c r="AL1187" t="str">
        <f>IF(AA1187="","",IFERROR(IF(ISNUMBER('Procyfloc 500'!D188),'Procyfloc 500'!D188,IF(ISNUMBER(SEARCH("12",'Procyfloc 500'!D188)),EDATE(AB1187,12),IF(ISNUMBER(SEARCH("6",'Procyfloc 500'!D188)),EDATE(AB1187,6),IF(ISNUMBER(SEARCH("3",'Procyfloc 500'!D188)),EDATE(AB1187,3),DATEVALUE('Procyfloc 500'!D188))))),""))</f>
        <v/>
      </c>
      <c r="AM1187" t="str">
        <f t="shared" ca="1" si="130"/>
        <v/>
      </c>
    </row>
    <row r="1188" spans="27:39" x14ac:dyDescent="0.3">
      <c r="AA1188" t="str">
        <f>IF(COUNTA('Procyfloc 500'!A189,'Procyfloc 500'!B189,'Procyfloc 500'!C189)&gt;0,"500","")</f>
        <v/>
      </c>
      <c r="AB1188" t="str">
        <f>IFERROR(IF(ISNUMBER('Procyfloc 500'!A189),'Procyfloc 500'!A189,DATEVALUE('Procyfloc 500'!A189)),"")</f>
        <v/>
      </c>
      <c r="AC1188" t="str">
        <f>IF(AA1188="","",'Procyfloc 500'!B189)</f>
        <v/>
      </c>
      <c r="AD1188" t="str">
        <f>IF(AA1188="","",IFERROR(1*'Procyfloc 500'!C189,IFERROR(_xludf.NUMBERVALUE('Procyfloc 500'!C189,".",","),IFERROR(_xludf.NUMBERVALUE('Procyfloc 500'!C189,",","."),0))))</f>
        <v/>
      </c>
      <c r="AE1188" t="str">
        <f>IF(AA1188="","",'Procyfloc 500'!L189)</f>
        <v/>
      </c>
      <c r="AF1188">
        <f t="shared" si="125"/>
        <v>0</v>
      </c>
      <c r="AG1188" t="str">
        <f t="shared" si="126"/>
        <v/>
      </c>
      <c r="AH1188" t="str">
        <f t="shared" si="127"/>
        <v/>
      </c>
      <c r="AI1188">
        <f t="shared" si="128"/>
        <v>0</v>
      </c>
      <c r="AJ1188">
        <f t="shared" si="129"/>
        <v>0</v>
      </c>
      <c r="AK1188">
        <v>0</v>
      </c>
      <c r="AL1188" t="str">
        <f>IF(AA1188="","",IFERROR(IF(ISNUMBER('Procyfloc 500'!D189),'Procyfloc 500'!D189,IF(ISNUMBER(SEARCH("12",'Procyfloc 500'!D189)),EDATE(AB1188,12),IF(ISNUMBER(SEARCH("6",'Procyfloc 500'!D189)),EDATE(AB1188,6),IF(ISNUMBER(SEARCH("3",'Procyfloc 500'!D189)),EDATE(AB1188,3),DATEVALUE('Procyfloc 500'!D189))))),""))</f>
        <v/>
      </c>
      <c r="AM1188" t="str">
        <f t="shared" ca="1" si="130"/>
        <v/>
      </c>
    </row>
    <row r="1189" spans="27:39" x14ac:dyDescent="0.3">
      <c r="AA1189" t="str">
        <f>IF(COUNTA('Procyfloc 500'!A190,'Procyfloc 500'!B190,'Procyfloc 500'!C190)&gt;0,"500","")</f>
        <v/>
      </c>
      <c r="AB1189" t="str">
        <f>IFERROR(IF(ISNUMBER('Procyfloc 500'!A190),'Procyfloc 500'!A190,DATEVALUE('Procyfloc 500'!A190)),"")</f>
        <v/>
      </c>
      <c r="AC1189" t="str">
        <f>IF(AA1189="","",'Procyfloc 500'!B190)</f>
        <v/>
      </c>
      <c r="AD1189" t="str">
        <f>IF(AA1189="","",IFERROR(1*'Procyfloc 500'!C190,IFERROR(_xludf.NUMBERVALUE('Procyfloc 500'!C190,".",","),IFERROR(_xludf.NUMBERVALUE('Procyfloc 500'!C190,",","."),0))))</f>
        <v/>
      </c>
      <c r="AE1189" t="str">
        <f>IF(AA1189="","",'Procyfloc 500'!L190)</f>
        <v/>
      </c>
      <c r="AF1189">
        <f t="shared" si="125"/>
        <v>0</v>
      </c>
      <c r="AG1189" t="str">
        <f t="shared" si="126"/>
        <v/>
      </c>
      <c r="AH1189" t="str">
        <f t="shared" si="127"/>
        <v/>
      </c>
      <c r="AI1189">
        <f t="shared" si="128"/>
        <v>0</v>
      </c>
      <c r="AJ1189">
        <f t="shared" si="129"/>
        <v>0</v>
      </c>
      <c r="AK1189">
        <v>0</v>
      </c>
      <c r="AL1189" t="str">
        <f>IF(AA1189="","",IFERROR(IF(ISNUMBER('Procyfloc 500'!D190),'Procyfloc 500'!D190,IF(ISNUMBER(SEARCH("12",'Procyfloc 500'!D190)),EDATE(AB1189,12),IF(ISNUMBER(SEARCH("6",'Procyfloc 500'!D190)),EDATE(AB1189,6),IF(ISNUMBER(SEARCH("3",'Procyfloc 500'!D190)),EDATE(AB1189,3),DATEVALUE('Procyfloc 500'!D190))))),""))</f>
        <v/>
      </c>
      <c r="AM1189" t="str">
        <f t="shared" ca="1" si="130"/>
        <v/>
      </c>
    </row>
    <row r="1190" spans="27:39" x14ac:dyDescent="0.3">
      <c r="AA1190" t="str">
        <f>IF(COUNTA('Procyfloc 500'!A191,'Procyfloc 500'!B191,'Procyfloc 500'!C191)&gt;0,"500","")</f>
        <v/>
      </c>
      <c r="AB1190" t="str">
        <f>IFERROR(IF(ISNUMBER('Procyfloc 500'!A191),'Procyfloc 500'!A191,DATEVALUE('Procyfloc 500'!A191)),"")</f>
        <v/>
      </c>
      <c r="AC1190" t="str">
        <f>IF(AA1190="","",'Procyfloc 500'!B191)</f>
        <v/>
      </c>
      <c r="AD1190" t="str">
        <f>IF(AA1190="","",IFERROR(1*'Procyfloc 500'!C191,IFERROR(_xludf.NUMBERVALUE('Procyfloc 500'!C191,".",","),IFERROR(_xludf.NUMBERVALUE('Procyfloc 500'!C191,",","."),0))))</f>
        <v/>
      </c>
      <c r="AE1190" t="str">
        <f>IF(AA1190="","",'Procyfloc 500'!L191)</f>
        <v/>
      </c>
      <c r="AF1190">
        <f t="shared" si="125"/>
        <v>0</v>
      </c>
      <c r="AG1190" t="str">
        <f t="shared" si="126"/>
        <v/>
      </c>
      <c r="AH1190" t="str">
        <f t="shared" si="127"/>
        <v/>
      </c>
      <c r="AI1190">
        <f t="shared" si="128"/>
        <v>0</v>
      </c>
      <c r="AJ1190">
        <f t="shared" si="129"/>
        <v>0</v>
      </c>
      <c r="AK1190">
        <v>0</v>
      </c>
      <c r="AL1190" t="str">
        <f>IF(AA1190="","",IFERROR(IF(ISNUMBER('Procyfloc 500'!D191),'Procyfloc 500'!D191,IF(ISNUMBER(SEARCH("12",'Procyfloc 500'!D191)),EDATE(AB1190,12),IF(ISNUMBER(SEARCH("6",'Procyfloc 500'!D191)),EDATE(AB1190,6),IF(ISNUMBER(SEARCH("3",'Procyfloc 500'!D191)),EDATE(AB1190,3),DATEVALUE('Procyfloc 500'!D191))))),""))</f>
        <v/>
      </c>
      <c r="AM1190" t="str">
        <f t="shared" ca="1" si="130"/>
        <v/>
      </c>
    </row>
    <row r="1191" spans="27:39" x14ac:dyDescent="0.3">
      <c r="AA1191" t="str">
        <f>IF(COUNTA('Procyfloc 500'!A192,'Procyfloc 500'!B192,'Procyfloc 500'!C192)&gt;0,"500","")</f>
        <v/>
      </c>
      <c r="AB1191" t="str">
        <f>IFERROR(IF(ISNUMBER('Procyfloc 500'!A192),'Procyfloc 500'!A192,DATEVALUE('Procyfloc 500'!A192)),"")</f>
        <v/>
      </c>
      <c r="AC1191" t="str">
        <f>IF(AA1191="","",'Procyfloc 500'!B192)</f>
        <v/>
      </c>
      <c r="AD1191" t="str">
        <f>IF(AA1191="","",IFERROR(1*'Procyfloc 500'!C192,IFERROR(_xludf.NUMBERVALUE('Procyfloc 500'!C192,".",","),IFERROR(_xludf.NUMBERVALUE('Procyfloc 500'!C192,",","."),0))))</f>
        <v/>
      </c>
      <c r="AE1191" t="str">
        <f>IF(AA1191="","",'Procyfloc 500'!L192)</f>
        <v/>
      </c>
      <c r="AF1191">
        <f t="shared" si="125"/>
        <v>0</v>
      </c>
      <c r="AG1191" t="str">
        <f t="shared" si="126"/>
        <v/>
      </c>
      <c r="AH1191" t="str">
        <f t="shared" si="127"/>
        <v/>
      </c>
      <c r="AI1191">
        <f t="shared" si="128"/>
        <v>0</v>
      </c>
      <c r="AJ1191">
        <f t="shared" si="129"/>
        <v>0</v>
      </c>
      <c r="AK1191">
        <v>0</v>
      </c>
      <c r="AL1191" t="str">
        <f>IF(AA1191="","",IFERROR(IF(ISNUMBER('Procyfloc 500'!D192),'Procyfloc 500'!D192,IF(ISNUMBER(SEARCH("12",'Procyfloc 500'!D192)),EDATE(AB1191,12),IF(ISNUMBER(SEARCH("6",'Procyfloc 500'!D192)),EDATE(AB1191,6),IF(ISNUMBER(SEARCH("3",'Procyfloc 500'!D192)),EDATE(AB1191,3),DATEVALUE('Procyfloc 500'!D192))))),""))</f>
        <v/>
      </c>
      <c r="AM1191" t="str">
        <f t="shared" ca="1" si="130"/>
        <v/>
      </c>
    </row>
    <row r="1192" spans="27:39" x14ac:dyDescent="0.3">
      <c r="AA1192" t="str">
        <f>IF(COUNTA('Procyfloc 500'!A193,'Procyfloc 500'!B193,'Procyfloc 500'!C193)&gt;0,"500","")</f>
        <v/>
      </c>
      <c r="AB1192" t="str">
        <f>IFERROR(IF(ISNUMBER('Procyfloc 500'!A193),'Procyfloc 500'!A193,DATEVALUE('Procyfloc 500'!A193)),"")</f>
        <v/>
      </c>
      <c r="AC1192" t="str">
        <f>IF(AA1192="","",'Procyfloc 500'!B193)</f>
        <v/>
      </c>
      <c r="AD1192" t="str">
        <f>IF(AA1192="","",IFERROR(1*'Procyfloc 500'!C193,IFERROR(_xludf.NUMBERVALUE('Procyfloc 500'!C193,".",","),IFERROR(_xludf.NUMBERVALUE('Procyfloc 500'!C193,",","."),0))))</f>
        <v/>
      </c>
      <c r="AE1192" t="str">
        <f>IF(AA1192="","",'Procyfloc 500'!L193)</f>
        <v/>
      </c>
      <c r="AF1192">
        <f t="shared" si="125"/>
        <v>0</v>
      </c>
      <c r="AG1192" t="str">
        <f t="shared" si="126"/>
        <v/>
      </c>
      <c r="AH1192" t="str">
        <f t="shared" si="127"/>
        <v/>
      </c>
      <c r="AI1192">
        <f t="shared" si="128"/>
        <v>0</v>
      </c>
      <c r="AJ1192">
        <f t="shared" si="129"/>
        <v>0</v>
      </c>
      <c r="AK1192">
        <v>0</v>
      </c>
      <c r="AL1192" t="str">
        <f>IF(AA1192="","",IFERROR(IF(ISNUMBER('Procyfloc 500'!D193),'Procyfloc 500'!D193,IF(ISNUMBER(SEARCH("12",'Procyfloc 500'!D193)),EDATE(AB1192,12),IF(ISNUMBER(SEARCH("6",'Procyfloc 500'!D193)),EDATE(AB1192,6),IF(ISNUMBER(SEARCH("3",'Procyfloc 500'!D193)),EDATE(AB1192,3),DATEVALUE('Procyfloc 500'!D193))))),""))</f>
        <v/>
      </c>
      <c r="AM1192" t="str">
        <f t="shared" ca="1" si="130"/>
        <v/>
      </c>
    </row>
    <row r="1193" spans="27:39" x14ac:dyDescent="0.3">
      <c r="AA1193" t="str">
        <f>IF(COUNTA('Procyfloc 500'!A194,'Procyfloc 500'!B194,'Procyfloc 500'!C194)&gt;0,"500","")</f>
        <v/>
      </c>
      <c r="AB1193" t="str">
        <f>IFERROR(IF(ISNUMBER('Procyfloc 500'!A194),'Procyfloc 500'!A194,DATEVALUE('Procyfloc 500'!A194)),"")</f>
        <v/>
      </c>
      <c r="AC1193" t="str">
        <f>IF(AA1193="","",'Procyfloc 500'!B194)</f>
        <v/>
      </c>
      <c r="AD1193" t="str">
        <f>IF(AA1193="","",IFERROR(1*'Procyfloc 500'!C194,IFERROR(_xludf.NUMBERVALUE('Procyfloc 500'!C194,".",","),IFERROR(_xludf.NUMBERVALUE('Procyfloc 500'!C194,",","."),0))))</f>
        <v/>
      </c>
      <c r="AE1193" t="str">
        <f>IF(AA1193="","",'Procyfloc 500'!L194)</f>
        <v/>
      </c>
      <c r="AF1193">
        <f t="shared" si="125"/>
        <v>0</v>
      </c>
      <c r="AG1193" t="str">
        <f t="shared" si="126"/>
        <v/>
      </c>
      <c r="AH1193" t="str">
        <f t="shared" si="127"/>
        <v/>
      </c>
      <c r="AI1193">
        <f t="shared" si="128"/>
        <v>0</v>
      </c>
      <c r="AJ1193">
        <f t="shared" si="129"/>
        <v>0</v>
      </c>
      <c r="AK1193">
        <v>0</v>
      </c>
      <c r="AL1193" t="str">
        <f>IF(AA1193="","",IFERROR(IF(ISNUMBER('Procyfloc 500'!D194),'Procyfloc 500'!D194,IF(ISNUMBER(SEARCH("12",'Procyfloc 500'!D194)),EDATE(AB1193,12),IF(ISNUMBER(SEARCH("6",'Procyfloc 500'!D194)),EDATE(AB1193,6),IF(ISNUMBER(SEARCH("3",'Procyfloc 500'!D194)),EDATE(AB1193,3),DATEVALUE('Procyfloc 500'!D194))))),""))</f>
        <v/>
      </c>
      <c r="AM1193" t="str">
        <f t="shared" ca="1" si="130"/>
        <v/>
      </c>
    </row>
    <row r="1194" spans="27:39" x14ac:dyDescent="0.3">
      <c r="AA1194" t="str">
        <f>IF(COUNTA('Procyfloc 500'!A195,'Procyfloc 500'!B195,'Procyfloc 500'!C195)&gt;0,"500","")</f>
        <v/>
      </c>
      <c r="AB1194" t="str">
        <f>IFERROR(IF(ISNUMBER('Procyfloc 500'!A195),'Procyfloc 500'!A195,DATEVALUE('Procyfloc 500'!A195)),"")</f>
        <v/>
      </c>
      <c r="AC1194" t="str">
        <f>IF(AA1194="","",'Procyfloc 500'!B195)</f>
        <v/>
      </c>
      <c r="AD1194" t="str">
        <f>IF(AA1194="","",IFERROR(1*'Procyfloc 500'!C195,IFERROR(_xludf.NUMBERVALUE('Procyfloc 500'!C195,".",","),IFERROR(_xludf.NUMBERVALUE('Procyfloc 500'!C195,",","."),0))))</f>
        <v/>
      </c>
      <c r="AE1194" t="str">
        <f>IF(AA1194="","",'Procyfloc 500'!L195)</f>
        <v/>
      </c>
      <c r="AF1194">
        <f t="shared" si="125"/>
        <v>0</v>
      </c>
      <c r="AG1194" t="str">
        <f t="shared" si="126"/>
        <v/>
      </c>
      <c r="AH1194" t="str">
        <f t="shared" si="127"/>
        <v/>
      </c>
      <c r="AI1194">
        <f t="shared" si="128"/>
        <v>0</v>
      </c>
      <c r="AJ1194">
        <f t="shared" si="129"/>
        <v>0</v>
      </c>
      <c r="AK1194">
        <v>0</v>
      </c>
      <c r="AL1194" t="str">
        <f>IF(AA1194="","",IFERROR(IF(ISNUMBER('Procyfloc 500'!D195),'Procyfloc 500'!D195,IF(ISNUMBER(SEARCH("12",'Procyfloc 500'!D195)),EDATE(AB1194,12),IF(ISNUMBER(SEARCH("6",'Procyfloc 500'!D195)),EDATE(AB1194,6),IF(ISNUMBER(SEARCH("3",'Procyfloc 500'!D195)),EDATE(AB1194,3),DATEVALUE('Procyfloc 500'!D195))))),""))</f>
        <v/>
      </c>
      <c r="AM1194" t="str">
        <f t="shared" ca="1" si="130"/>
        <v/>
      </c>
    </row>
    <row r="1195" spans="27:39" x14ac:dyDescent="0.3">
      <c r="AA1195" t="str">
        <f>IF(COUNTA('Procyfloc 500'!A196,'Procyfloc 500'!B196,'Procyfloc 500'!C196)&gt;0,"500","")</f>
        <v/>
      </c>
      <c r="AB1195" t="str">
        <f>IFERROR(IF(ISNUMBER('Procyfloc 500'!A196),'Procyfloc 500'!A196,DATEVALUE('Procyfloc 500'!A196)),"")</f>
        <v/>
      </c>
      <c r="AC1195" t="str">
        <f>IF(AA1195="","",'Procyfloc 500'!B196)</f>
        <v/>
      </c>
      <c r="AD1195" t="str">
        <f>IF(AA1195="","",IFERROR(1*'Procyfloc 500'!C196,IFERROR(_xludf.NUMBERVALUE('Procyfloc 500'!C196,".",","),IFERROR(_xludf.NUMBERVALUE('Procyfloc 500'!C196,",","."),0))))</f>
        <v/>
      </c>
      <c r="AE1195" t="str">
        <f>IF(AA1195="","",'Procyfloc 500'!L196)</f>
        <v/>
      </c>
      <c r="AF1195">
        <f t="shared" si="125"/>
        <v>0</v>
      </c>
      <c r="AG1195" t="str">
        <f t="shared" si="126"/>
        <v/>
      </c>
      <c r="AH1195" t="str">
        <f t="shared" si="127"/>
        <v/>
      </c>
      <c r="AI1195">
        <f t="shared" si="128"/>
        <v>0</v>
      </c>
      <c r="AJ1195">
        <f t="shared" si="129"/>
        <v>0</v>
      </c>
      <c r="AK1195">
        <v>0</v>
      </c>
      <c r="AL1195" t="str">
        <f>IF(AA1195="","",IFERROR(IF(ISNUMBER('Procyfloc 500'!D196),'Procyfloc 500'!D196,IF(ISNUMBER(SEARCH("12",'Procyfloc 500'!D196)),EDATE(AB1195,12),IF(ISNUMBER(SEARCH("6",'Procyfloc 500'!D196)),EDATE(AB1195,6),IF(ISNUMBER(SEARCH("3",'Procyfloc 500'!D196)),EDATE(AB1195,3),DATEVALUE('Procyfloc 500'!D196))))),""))</f>
        <v/>
      </c>
      <c r="AM1195" t="str">
        <f t="shared" ca="1" si="130"/>
        <v/>
      </c>
    </row>
    <row r="1196" spans="27:39" x14ac:dyDescent="0.3">
      <c r="AA1196" t="str">
        <f>IF(COUNTA('Procyfloc 500'!A197,'Procyfloc 500'!B197,'Procyfloc 500'!C197)&gt;0,"500","")</f>
        <v/>
      </c>
      <c r="AB1196" t="str">
        <f>IFERROR(IF(ISNUMBER('Procyfloc 500'!A197),'Procyfloc 500'!A197,DATEVALUE('Procyfloc 500'!A197)),"")</f>
        <v/>
      </c>
      <c r="AC1196" t="str">
        <f>IF(AA1196="","",'Procyfloc 500'!B197)</f>
        <v/>
      </c>
      <c r="AD1196" t="str">
        <f>IF(AA1196="","",IFERROR(1*'Procyfloc 500'!C197,IFERROR(_xludf.NUMBERVALUE('Procyfloc 500'!C197,".",","),IFERROR(_xludf.NUMBERVALUE('Procyfloc 500'!C197,",","."),0))))</f>
        <v/>
      </c>
      <c r="AE1196" t="str">
        <f>IF(AA1196="","",'Procyfloc 500'!L197)</f>
        <v/>
      </c>
      <c r="AF1196">
        <f t="shared" si="125"/>
        <v>0</v>
      </c>
      <c r="AG1196" t="str">
        <f t="shared" si="126"/>
        <v/>
      </c>
      <c r="AH1196" t="str">
        <f t="shared" si="127"/>
        <v/>
      </c>
      <c r="AI1196">
        <f t="shared" si="128"/>
        <v>0</v>
      </c>
      <c r="AJ1196">
        <f t="shared" si="129"/>
        <v>0</v>
      </c>
      <c r="AK1196">
        <v>0</v>
      </c>
      <c r="AL1196" t="str">
        <f>IF(AA1196="","",IFERROR(IF(ISNUMBER('Procyfloc 500'!D197),'Procyfloc 500'!D197,IF(ISNUMBER(SEARCH("12",'Procyfloc 500'!D197)),EDATE(AB1196,12),IF(ISNUMBER(SEARCH("6",'Procyfloc 500'!D197)),EDATE(AB1196,6),IF(ISNUMBER(SEARCH("3",'Procyfloc 500'!D197)),EDATE(AB1196,3),DATEVALUE('Procyfloc 500'!D197))))),""))</f>
        <v/>
      </c>
      <c r="AM1196" t="str">
        <f t="shared" ca="1" si="130"/>
        <v/>
      </c>
    </row>
    <row r="1197" spans="27:39" x14ac:dyDescent="0.3">
      <c r="AA1197" t="str">
        <f>IF(COUNTA('Procyfloc 500'!A198,'Procyfloc 500'!B198,'Procyfloc 500'!C198)&gt;0,"500","")</f>
        <v/>
      </c>
      <c r="AB1197" t="str">
        <f>IFERROR(IF(ISNUMBER('Procyfloc 500'!A198),'Procyfloc 500'!A198,DATEVALUE('Procyfloc 500'!A198)),"")</f>
        <v/>
      </c>
      <c r="AC1197" t="str">
        <f>IF(AA1197="","",'Procyfloc 500'!B198)</f>
        <v/>
      </c>
      <c r="AD1197" t="str">
        <f>IF(AA1197="","",IFERROR(1*'Procyfloc 500'!C198,IFERROR(_xludf.NUMBERVALUE('Procyfloc 500'!C198,".",","),IFERROR(_xludf.NUMBERVALUE('Procyfloc 500'!C198,",","."),0))))</f>
        <v/>
      </c>
      <c r="AE1197" t="str">
        <f>IF(AA1197="","",'Procyfloc 500'!L198)</f>
        <v/>
      </c>
      <c r="AF1197">
        <f t="shared" si="125"/>
        <v>0</v>
      </c>
      <c r="AG1197" t="str">
        <f t="shared" si="126"/>
        <v/>
      </c>
      <c r="AH1197" t="str">
        <f t="shared" si="127"/>
        <v/>
      </c>
      <c r="AI1197">
        <f t="shared" si="128"/>
        <v>0</v>
      </c>
      <c r="AJ1197">
        <f t="shared" si="129"/>
        <v>0</v>
      </c>
      <c r="AK1197">
        <v>0</v>
      </c>
      <c r="AL1197" t="str">
        <f>IF(AA1197="","",IFERROR(IF(ISNUMBER('Procyfloc 500'!D198),'Procyfloc 500'!D198,IF(ISNUMBER(SEARCH("12",'Procyfloc 500'!D198)),EDATE(AB1197,12),IF(ISNUMBER(SEARCH("6",'Procyfloc 500'!D198)),EDATE(AB1197,6),IF(ISNUMBER(SEARCH("3",'Procyfloc 500'!D198)),EDATE(AB1197,3),DATEVALUE('Procyfloc 500'!D198))))),""))</f>
        <v/>
      </c>
      <c r="AM1197" t="str">
        <f t="shared" ca="1" si="130"/>
        <v/>
      </c>
    </row>
    <row r="1198" spans="27:39" x14ac:dyDescent="0.3">
      <c r="AA1198" t="str">
        <f>IF(COUNTA('Procyfloc 500'!A199,'Procyfloc 500'!B199,'Procyfloc 500'!C199)&gt;0,"500","")</f>
        <v/>
      </c>
      <c r="AB1198" t="str">
        <f>IFERROR(IF(ISNUMBER('Procyfloc 500'!A199),'Procyfloc 500'!A199,DATEVALUE('Procyfloc 500'!A199)),"")</f>
        <v/>
      </c>
      <c r="AC1198" t="str">
        <f>IF(AA1198="","",'Procyfloc 500'!B199)</f>
        <v/>
      </c>
      <c r="AD1198" t="str">
        <f>IF(AA1198="","",IFERROR(1*'Procyfloc 500'!C199,IFERROR(_xludf.NUMBERVALUE('Procyfloc 500'!C199,".",","),IFERROR(_xludf.NUMBERVALUE('Procyfloc 500'!C199,",","."),0))))</f>
        <v/>
      </c>
      <c r="AE1198" t="str">
        <f>IF(AA1198="","",'Procyfloc 500'!L199)</f>
        <v/>
      </c>
      <c r="AF1198">
        <f t="shared" si="125"/>
        <v>0</v>
      </c>
      <c r="AG1198" t="str">
        <f t="shared" si="126"/>
        <v/>
      </c>
      <c r="AH1198" t="str">
        <f t="shared" si="127"/>
        <v/>
      </c>
      <c r="AI1198">
        <f t="shared" si="128"/>
        <v>0</v>
      </c>
      <c r="AJ1198">
        <f t="shared" si="129"/>
        <v>0</v>
      </c>
      <c r="AK1198">
        <v>0</v>
      </c>
      <c r="AL1198" t="str">
        <f>IF(AA1198="","",IFERROR(IF(ISNUMBER('Procyfloc 500'!D199),'Procyfloc 500'!D199,IF(ISNUMBER(SEARCH("12",'Procyfloc 500'!D199)),EDATE(AB1198,12),IF(ISNUMBER(SEARCH("6",'Procyfloc 500'!D199)),EDATE(AB1198,6),IF(ISNUMBER(SEARCH("3",'Procyfloc 500'!D199)),EDATE(AB1198,3),DATEVALUE('Procyfloc 500'!D199))))),""))</f>
        <v/>
      </c>
      <c r="AM1198" t="str">
        <f t="shared" ca="1" si="130"/>
        <v/>
      </c>
    </row>
    <row r="1199" spans="27:39" x14ac:dyDescent="0.3">
      <c r="AA1199" t="str">
        <f>IF(COUNTA('Procyfloc 500'!A200,'Procyfloc 500'!B200,'Procyfloc 500'!C200)&gt;0,"500","")</f>
        <v/>
      </c>
      <c r="AB1199" t="str">
        <f>IFERROR(IF(ISNUMBER('Procyfloc 500'!A200),'Procyfloc 500'!A200,DATEVALUE('Procyfloc 500'!A200)),"")</f>
        <v/>
      </c>
      <c r="AC1199" t="str">
        <f>IF(AA1199="","",'Procyfloc 500'!B200)</f>
        <v/>
      </c>
      <c r="AD1199" t="str">
        <f>IF(AA1199="","",IFERROR(1*'Procyfloc 500'!C200,IFERROR(_xludf.NUMBERVALUE('Procyfloc 500'!C200,".",","),IFERROR(_xludf.NUMBERVALUE('Procyfloc 500'!C200,",","."),0))))</f>
        <v/>
      </c>
      <c r="AE1199" t="str">
        <f>IF(AA1199="","",'Procyfloc 500'!L200)</f>
        <v/>
      </c>
      <c r="AF1199">
        <f t="shared" si="125"/>
        <v>0</v>
      </c>
      <c r="AG1199" t="str">
        <f t="shared" si="126"/>
        <v/>
      </c>
      <c r="AH1199" t="str">
        <f t="shared" si="127"/>
        <v/>
      </c>
      <c r="AI1199">
        <f t="shared" si="128"/>
        <v>0</v>
      </c>
      <c r="AJ1199">
        <f t="shared" si="129"/>
        <v>0</v>
      </c>
      <c r="AK1199">
        <v>0</v>
      </c>
      <c r="AL1199" t="str">
        <f>IF(AA1199="","",IFERROR(IF(ISNUMBER('Procyfloc 500'!D200),'Procyfloc 500'!D200,IF(ISNUMBER(SEARCH("12",'Procyfloc 500'!D200)),EDATE(AB1199,12),IF(ISNUMBER(SEARCH("6",'Procyfloc 500'!D200)),EDATE(AB1199,6),IF(ISNUMBER(SEARCH("3",'Procyfloc 500'!D200)),EDATE(AB1199,3),DATEVALUE('Procyfloc 500'!D200))))),""))</f>
        <v/>
      </c>
      <c r="AM1199" t="str">
        <f t="shared" ca="1" si="130"/>
        <v/>
      </c>
    </row>
    <row r="1200" spans="27:39" x14ac:dyDescent="0.3">
      <c r="AA1200" t="str">
        <f>IF(COUNTA('Procyfloc 500'!A201,'Procyfloc 500'!B201,'Procyfloc 500'!C201)&gt;0,"500","")</f>
        <v/>
      </c>
      <c r="AB1200" t="str">
        <f>IFERROR(IF(ISNUMBER('Procyfloc 500'!A201),'Procyfloc 500'!A201,DATEVALUE('Procyfloc 500'!A201)),"")</f>
        <v/>
      </c>
      <c r="AC1200" t="str">
        <f>IF(AA1200="","",'Procyfloc 500'!B201)</f>
        <v/>
      </c>
      <c r="AD1200" t="str">
        <f>IF(AA1200="","",IFERROR(1*'Procyfloc 500'!C201,IFERROR(_xludf.NUMBERVALUE('Procyfloc 500'!C201,".",","),IFERROR(_xludf.NUMBERVALUE('Procyfloc 500'!C201,",","."),0))))</f>
        <v/>
      </c>
      <c r="AE1200" t="str">
        <f>IF(AA1200="","",'Procyfloc 500'!L201)</f>
        <v/>
      </c>
      <c r="AF1200">
        <f t="shared" si="125"/>
        <v>0</v>
      </c>
      <c r="AG1200" t="str">
        <f t="shared" si="126"/>
        <v/>
      </c>
      <c r="AH1200" t="str">
        <f t="shared" si="127"/>
        <v/>
      </c>
      <c r="AI1200">
        <f t="shared" si="128"/>
        <v>0</v>
      </c>
      <c r="AJ1200">
        <f t="shared" si="129"/>
        <v>0</v>
      </c>
      <c r="AK1200">
        <v>0</v>
      </c>
      <c r="AL1200" t="str">
        <f>IF(AA1200="","",IFERROR(IF(ISNUMBER('Procyfloc 500'!D201),'Procyfloc 500'!D201,IF(ISNUMBER(SEARCH("12",'Procyfloc 500'!D201)),EDATE(AB1200,12),IF(ISNUMBER(SEARCH("6",'Procyfloc 500'!D201)),EDATE(AB1200,6),IF(ISNUMBER(SEARCH("3",'Procyfloc 500'!D201)),EDATE(AB1200,3),DATEVALUE('Procyfloc 500'!D201))))),""))</f>
        <v/>
      </c>
      <c r="AM1200" t="str">
        <f t="shared" ca="1" si="130"/>
        <v/>
      </c>
    </row>
    <row r="1201" spans="27:39" x14ac:dyDescent="0.3">
      <c r="AA1201" t="str">
        <f>IF(COUNTA('Procyfloc 500'!A202,'Procyfloc 500'!B202,'Procyfloc 500'!C202)&gt;0,"500","")</f>
        <v/>
      </c>
      <c r="AB1201" t="str">
        <f>IFERROR(IF(ISNUMBER('Procyfloc 500'!A202),'Procyfloc 500'!A202,DATEVALUE('Procyfloc 500'!A202)),"")</f>
        <v/>
      </c>
      <c r="AC1201" t="str">
        <f>IF(AA1201="","",'Procyfloc 500'!B202)</f>
        <v/>
      </c>
      <c r="AD1201" t="str">
        <f>IF(AA1201="","",IFERROR(1*'Procyfloc 500'!C202,IFERROR(_xludf.NUMBERVALUE('Procyfloc 500'!C202,".",","),IFERROR(_xludf.NUMBERVALUE('Procyfloc 500'!C202,",","."),0))))</f>
        <v/>
      </c>
      <c r="AE1201" t="str">
        <f>IF(AA1201="","",'Procyfloc 500'!L202)</f>
        <v/>
      </c>
      <c r="AF1201">
        <f t="shared" si="125"/>
        <v>0</v>
      </c>
      <c r="AG1201" t="str">
        <f t="shared" si="126"/>
        <v/>
      </c>
      <c r="AH1201" t="str">
        <f t="shared" si="127"/>
        <v/>
      </c>
      <c r="AI1201">
        <f t="shared" si="128"/>
        <v>0</v>
      </c>
      <c r="AJ1201">
        <f t="shared" si="129"/>
        <v>0</v>
      </c>
      <c r="AK1201">
        <v>0</v>
      </c>
      <c r="AL1201" t="str">
        <f>IF(AA1201="","",IFERROR(IF(ISNUMBER('Procyfloc 500'!D202),'Procyfloc 500'!D202,IF(ISNUMBER(SEARCH("12",'Procyfloc 500'!D202)),EDATE(AB1201,12),IF(ISNUMBER(SEARCH("6",'Procyfloc 500'!D202)),EDATE(AB1201,6),IF(ISNUMBER(SEARCH("3",'Procyfloc 500'!D202)),EDATE(AB1201,3),DATEVALUE('Procyfloc 500'!D202))))),""))</f>
        <v/>
      </c>
      <c r="AM1201" t="str">
        <f t="shared" ca="1" si="130"/>
        <v/>
      </c>
    </row>
    <row r="1202" spans="27:39" x14ac:dyDescent="0.3">
      <c r="AA1202" t="str">
        <f>IF(COUNTA('Procyfloc 500'!A203,'Procyfloc 500'!B203,'Procyfloc 500'!C203)&gt;0,"500","")</f>
        <v/>
      </c>
      <c r="AB1202" t="str">
        <f>IFERROR(IF(ISNUMBER('Procyfloc 500'!A203),'Procyfloc 500'!A203,DATEVALUE('Procyfloc 500'!A203)),"")</f>
        <v/>
      </c>
      <c r="AC1202" t="str">
        <f>IF(AA1202="","",'Procyfloc 500'!B203)</f>
        <v/>
      </c>
      <c r="AD1202" t="str">
        <f>IF(AA1202="","",IFERROR(1*'Procyfloc 500'!C203,IFERROR(_xludf.NUMBERVALUE('Procyfloc 500'!C203,".",","),IFERROR(_xludf.NUMBERVALUE('Procyfloc 500'!C203,",","."),0))))</f>
        <v/>
      </c>
      <c r="AE1202" t="str">
        <f>IF(AA1202="","",'Procyfloc 500'!L203)</f>
        <v/>
      </c>
      <c r="AF1202">
        <f t="shared" si="125"/>
        <v>0</v>
      </c>
      <c r="AG1202" t="str">
        <f t="shared" si="126"/>
        <v/>
      </c>
      <c r="AH1202" t="str">
        <f t="shared" si="127"/>
        <v/>
      </c>
      <c r="AI1202">
        <f t="shared" si="128"/>
        <v>0</v>
      </c>
      <c r="AJ1202">
        <f t="shared" si="129"/>
        <v>0</v>
      </c>
      <c r="AK1202">
        <v>0</v>
      </c>
      <c r="AL1202" t="str">
        <f>IF(AA1202="","",IFERROR(IF(ISNUMBER('Procyfloc 500'!D203),'Procyfloc 500'!D203,IF(ISNUMBER(SEARCH("12",'Procyfloc 500'!D203)),EDATE(AB1202,12),IF(ISNUMBER(SEARCH("6",'Procyfloc 500'!D203)),EDATE(AB1202,6),IF(ISNUMBER(SEARCH("3",'Procyfloc 500'!D203)),EDATE(AB1202,3),DATEVALUE('Procyfloc 500'!D203))))),""))</f>
        <v/>
      </c>
      <c r="AM1202" t="str">
        <f t="shared" ca="1" si="130"/>
        <v/>
      </c>
    </row>
    <row r="1203" spans="27:39" x14ac:dyDescent="0.3">
      <c r="AA1203" t="str">
        <f>IF(COUNTA('Procyfloc 500'!A204,'Procyfloc 500'!B204,'Procyfloc 500'!C204)&gt;0,"500","")</f>
        <v/>
      </c>
      <c r="AB1203" t="str">
        <f>IFERROR(IF(ISNUMBER('Procyfloc 500'!A204),'Procyfloc 500'!A204,DATEVALUE('Procyfloc 500'!A204)),"")</f>
        <v/>
      </c>
      <c r="AC1203" t="str">
        <f>IF(AA1203="","",'Procyfloc 500'!B204)</f>
        <v/>
      </c>
      <c r="AD1203" t="str">
        <f>IF(AA1203="","",IFERROR(1*'Procyfloc 500'!C204,IFERROR(_xludf.NUMBERVALUE('Procyfloc 500'!C204,".",","),IFERROR(_xludf.NUMBERVALUE('Procyfloc 500'!C204,",","."),0))))</f>
        <v/>
      </c>
      <c r="AE1203" t="str">
        <f>IF(AA1203="","",'Procyfloc 500'!L204)</f>
        <v/>
      </c>
      <c r="AF1203">
        <f t="shared" si="125"/>
        <v>0</v>
      </c>
      <c r="AG1203" t="str">
        <f t="shared" si="126"/>
        <v/>
      </c>
      <c r="AH1203" t="str">
        <f t="shared" si="127"/>
        <v/>
      </c>
      <c r="AI1203">
        <f t="shared" si="128"/>
        <v>0</v>
      </c>
      <c r="AJ1203">
        <f t="shared" si="129"/>
        <v>0</v>
      </c>
      <c r="AK1203">
        <v>0</v>
      </c>
      <c r="AL1203" t="str">
        <f>IF(AA1203="","",IFERROR(IF(ISNUMBER('Procyfloc 500'!D204),'Procyfloc 500'!D204,IF(ISNUMBER(SEARCH("12",'Procyfloc 500'!D204)),EDATE(AB1203,12),IF(ISNUMBER(SEARCH("6",'Procyfloc 500'!D204)),EDATE(AB1203,6),IF(ISNUMBER(SEARCH("3",'Procyfloc 500'!D204)),EDATE(AB1203,3),DATEVALUE('Procyfloc 500'!D204))))),""))</f>
        <v/>
      </c>
      <c r="AM1203" t="str">
        <f t="shared" ca="1" si="130"/>
        <v/>
      </c>
    </row>
    <row r="1204" spans="27:39" x14ac:dyDescent="0.3">
      <c r="AA1204" t="str">
        <f>IF(COUNTA('Procyfloc 500'!A205,'Procyfloc 500'!B205,'Procyfloc 500'!C205)&gt;0,"500","")</f>
        <v/>
      </c>
      <c r="AB1204" t="str">
        <f>IFERROR(IF(ISNUMBER('Procyfloc 500'!A205),'Procyfloc 500'!A205,DATEVALUE('Procyfloc 500'!A205)),"")</f>
        <v/>
      </c>
      <c r="AC1204" t="str">
        <f>IF(AA1204="","",'Procyfloc 500'!B205)</f>
        <v/>
      </c>
      <c r="AD1204" t="str">
        <f>IF(AA1204="","",IFERROR(1*'Procyfloc 500'!C205,IFERROR(_xludf.NUMBERVALUE('Procyfloc 500'!C205,".",","),IFERROR(_xludf.NUMBERVALUE('Procyfloc 500'!C205,",","."),0))))</f>
        <v/>
      </c>
      <c r="AE1204" t="str">
        <f>IF(AA1204="","",'Procyfloc 500'!L205)</f>
        <v/>
      </c>
      <c r="AF1204">
        <f t="shared" si="125"/>
        <v>0</v>
      </c>
      <c r="AG1204" t="str">
        <f t="shared" si="126"/>
        <v/>
      </c>
      <c r="AH1204" t="str">
        <f t="shared" si="127"/>
        <v/>
      </c>
      <c r="AI1204">
        <f t="shared" si="128"/>
        <v>0</v>
      </c>
      <c r="AJ1204">
        <f t="shared" si="129"/>
        <v>0</v>
      </c>
      <c r="AK1204">
        <v>0</v>
      </c>
      <c r="AL1204" t="str">
        <f>IF(AA1204="","",IFERROR(IF(ISNUMBER('Procyfloc 500'!D205),'Procyfloc 500'!D205,IF(ISNUMBER(SEARCH("12",'Procyfloc 500'!D205)),EDATE(AB1204,12),IF(ISNUMBER(SEARCH("6",'Procyfloc 500'!D205)),EDATE(AB1204,6),IF(ISNUMBER(SEARCH("3",'Procyfloc 500'!D205)),EDATE(AB1204,3),DATEVALUE('Procyfloc 500'!D205))))),""))</f>
        <v/>
      </c>
      <c r="AM1204" t="str">
        <f t="shared" ca="1" si="130"/>
        <v/>
      </c>
    </row>
    <row r="1205" spans="27:39" x14ac:dyDescent="0.3">
      <c r="AA1205" t="str">
        <f>IF(COUNTA('Procyfloc 500'!A206,'Procyfloc 500'!B206,'Procyfloc 500'!C206)&gt;0,"500","")</f>
        <v/>
      </c>
      <c r="AB1205" t="str">
        <f>IFERROR(IF(ISNUMBER('Procyfloc 500'!A206),'Procyfloc 500'!A206,DATEVALUE('Procyfloc 500'!A206)),"")</f>
        <v/>
      </c>
      <c r="AC1205" t="str">
        <f>IF(AA1205="","",'Procyfloc 500'!B206)</f>
        <v/>
      </c>
      <c r="AD1205" t="str">
        <f>IF(AA1205="","",IFERROR(1*'Procyfloc 500'!C206,IFERROR(_xludf.NUMBERVALUE('Procyfloc 500'!C206,".",","),IFERROR(_xludf.NUMBERVALUE('Procyfloc 500'!C206,",","."),0))))</f>
        <v/>
      </c>
      <c r="AE1205" t="str">
        <f>IF(AA1205="","",'Procyfloc 500'!L206)</f>
        <v/>
      </c>
      <c r="AF1205">
        <f t="shared" si="125"/>
        <v>0</v>
      </c>
      <c r="AG1205" t="str">
        <f t="shared" si="126"/>
        <v/>
      </c>
      <c r="AH1205" t="str">
        <f t="shared" si="127"/>
        <v/>
      </c>
      <c r="AI1205">
        <f t="shared" si="128"/>
        <v>0</v>
      </c>
      <c r="AJ1205">
        <f t="shared" si="129"/>
        <v>0</v>
      </c>
      <c r="AK1205">
        <v>0</v>
      </c>
      <c r="AL1205" t="str">
        <f>IF(AA1205="","",IFERROR(IF(ISNUMBER('Procyfloc 500'!D206),'Procyfloc 500'!D206,IF(ISNUMBER(SEARCH("12",'Procyfloc 500'!D206)),EDATE(AB1205,12),IF(ISNUMBER(SEARCH("6",'Procyfloc 500'!D206)),EDATE(AB1205,6),IF(ISNUMBER(SEARCH("3",'Procyfloc 500'!D206)),EDATE(AB1205,3),DATEVALUE('Procyfloc 500'!D206))))),""))</f>
        <v/>
      </c>
      <c r="AM1205" t="str">
        <f t="shared" ca="1" si="130"/>
        <v/>
      </c>
    </row>
    <row r="1206" spans="27:39" x14ac:dyDescent="0.3">
      <c r="AA1206" t="str">
        <f>IF(COUNTA('Procyfloc 500'!A207,'Procyfloc 500'!B207,'Procyfloc 500'!C207)&gt;0,"500","")</f>
        <v/>
      </c>
      <c r="AB1206" t="str">
        <f>IFERROR(IF(ISNUMBER('Procyfloc 500'!A207),'Procyfloc 500'!A207,DATEVALUE('Procyfloc 500'!A207)),"")</f>
        <v/>
      </c>
      <c r="AC1206" t="str">
        <f>IF(AA1206="","",'Procyfloc 500'!B207)</f>
        <v/>
      </c>
      <c r="AD1206" t="str">
        <f>IF(AA1206="","",IFERROR(1*'Procyfloc 500'!C207,IFERROR(_xludf.NUMBERVALUE('Procyfloc 500'!C207,".",","),IFERROR(_xludf.NUMBERVALUE('Procyfloc 500'!C207,",","."),0))))</f>
        <v/>
      </c>
      <c r="AE1206" t="str">
        <f>IF(AA1206="","",'Procyfloc 500'!L207)</f>
        <v/>
      </c>
      <c r="AF1206">
        <f t="shared" si="125"/>
        <v>0</v>
      </c>
      <c r="AG1206" t="str">
        <f t="shared" si="126"/>
        <v/>
      </c>
      <c r="AH1206" t="str">
        <f t="shared" si="127"/>
        <v/>
      </c>
      <c r="AI1206">
        <f t="shared" si="128"/>
        <v>0</v>
      </c>
      <c r="AJ1206">
        <f t="shared" si="129"/>
        <v>0</v>
      </c>
      <c r="AK1206">
        <v>0</v>
      </c>
      <c r="AL1206" t="str">
        <f>IF(AA1206="","",IFERROR(IF(ISNUMBER('Procyfloc 500'!D207),'Procyfloc 500'!D207,IF(ISNUMBER(SEARCH("12",'Procyfloc 500'!D207)),EDATE(AB1206,12),IF(ISNUMBER(SEARCH("6",'Procyfloc 500'!D207)),EDATE(AB1206,6),IF(ISNUMBER(SEARCH("3",'Procyfloc 500'!D207)),EDATE(AB1206,3),DATEVALUE('Procyfloc 500'!D207))))),""))</f>
        <v/>
      </c>
      <c r="AM1206" t="str">
        <f t="shared" ca="1" si="130"/>
        <v/>
      </c>
    </row>
    <row r="1207" spans="27:39" x14ac:dyDescent="0.3">
      <c r="AA1207" t="str">
        <f>IF(COUNTA('Procyfloc 500'!A208,'Procyfloc 500'!B208,'Procyfloc 500'!C208)&gt;0,"500","")</f>
        <v/>
      </c>
      <c r="AB1207" t="str">
        <f>IFERROR(IF(ISNUMBER('Procyfloc 500'!A208),'Procyfloc 500'!A208,DATEVALUE('Procyfloc 500'!A208)),"")</f>
        <v/>
      </c>
      <c r="AC1207" t="str">
        <f>IF(AA1207="","",'Procyfloc 500'!B208)</f>
        <v/>
      </c>
      <c r="AD1207" t="str">
        <f>IF(AA1207="","",IFERROR(1*'Procyfloc 500'!C208,IFERROR(_xludf.NUMBERVALUE('Procyfloc 500'!C208,".",","),IFERROR(_xludf.NUMBERVALUE('Procyfloc 500'!C208,",","."),0))))</f>
        <v/>
      </c>
      <c r="AE1207" t="str">
        <f>IF(AA1207="","",'Procyfloc 500'!L208)</f>
        <v/>
      </c>
      <c r="AF1207">
        <f t="shared" si="125"/>
        <v>0</v>
      </c>
      <c r="AG1207" t="str">
        <f t="shared" si="126"/>
        <v/>
      </c>
      <c r="AH1207" t="str">
        <f t="shared" si="127"/>
        <v/>
      </c>
      <c r="AI1207">
        <f t="shared" si="128"/>
        <v>0</v>
      </c>
      <c r="AJ1207">
        <f t="shared" si="129"/>
        <v>0</v>
      </c>
      <c r="AK1207">
        <v>0</v>
      </c>
      <c r="AL1207" t="str">
        <f>IF(AA1207="","",IFERROR(IF(ISNUMBER('Procyfloc 500'!D208),'Procyfloc 500'!D208,IF(ISNUMBER(SEARCH("12",'Procyfloc 500'!D208)),EDATE(AB1207,12),IF(ISNUMBER(SEARCH("6",'Procyfloc 500'!D208)),EDATE(AB1207,6),IF(ISNUMBER(SEARCH("3",'Procyfloc 500'!D208)),EDATE(AB1207,3),DATEVALUE('Procyfloc 500'!D208))))),""))</f>
        <v/>
      </c>
      <c r="AM1207" t="str">
        <f t="shared" ca="1" si="130"/>
        <v/>
      </c>
    </row>
    <row r="1208" spans="27:39" x14ac:dyDescent="0.3">
      <c r="AA1208" t="str">
        <f>IF(COUNTA('Procyfloc 500'!A209,'Procyfloc 500'!B209,'Procyfloc 500'!C209)&gt;0,"500","")</f>
        <v/>
      </c>
      <c r="AB1208" t="str">
        <f>IFERROR(IF(ISNUMBER('Procyfloc 500'!A209),'Procyfloc 500'!A209,DATEVALUE('Procyfloc 500'!A209)),"")</f>
        <v/>
      </c>
      <c r="AC1208" t="str">
        <f>IF(AA1208="","",'Procyfloc 500'!B209)</f>
        <v/>
      </c>
      <c r="AD1208" t="str">
        <f>IF(AA1208="","",IFERROR(1*'Procyfloc 500'!C209,IFERROR(_xludf.NUMBERVALUE('Procyfloc 500'!C209,".",","),IFERROR(_xludf.NUMBERVALUE('Procyfloc 500'!C209,",","."),0))))</f>
        <v/>
      </c>
      <c r="AE1208" t="str">
        <f>IF(AA1208="","",'Procyfloc 500'!L209)</f>
        <v/>
      </c>
      <c r="AF1208">
        <f t="shared" si="125"/>
        <v>0</v>
      </c>
      <c r="AG1208" t="str">
        <f t="shared" si="126"/>
        <v/>
      </c>
      <c r="AH1208" t="str">
        <f t="shared" si="127"/>
        <v/>
      </c>
      <c r="AI1208">
        <f t="shared" si="128"/>
        <v>0</v>
      </c>
      <c r="AJ1208">
        <f t="shared" si="129"/>
        <v>0</v>
      </c>
      <c r="AK1208">
        <v>0</v>
      </c>
      <c r="AL1208" t="str">
        <f>IF(AA1208="","",IFERROR(IF(ISNUMBER('Procyfloc 500'!D209),'Procyfloc 500'!D209,IF(ISNUMBER(SEARCH("12",'Procyfloc 500'!D209)),EDATE(AB1208,12),IF(ISNUMBER(SEARCH("6",'Procyfloc 500'!D209)),EDATE(AB1208,6),IF(ISNUMBER(SEARCH("3",'Procyfloc 500'!D209)),EDATE(AB1208,3),DATEVALUE('Procyfloc 500'!D209))))),""))</f>
        <v/>
      </c>
      <c r="AM1208" t="str">
        <f t="shared" ca="1" si="130"/>
        <v/>
      </c>
    </row>
    <row r="1209" spans="27:39" x14ac:dyDescent="0.3">
      <c r="AA1209" t="str">
        <f>IF(COUNTA('Procyfloc 500'!A210,'Procyfloc 500'!B210,'Procyfloc 500'!C210)&gt;0,"500","")</f>
        <v/>
      </c>
      <c r="AB1209" t="str">
        <f>IFERROR(IF(ISNUMBER('Procyfloc 500'!A210),'Procyfloc 500'!A210,DATEVALUE('Procyfloc 500'!A210)),"")</f>
        <v/>
      </c>
      <c r="AC1209" t="str">
        <f>IF(AA1209="","",'Procyfloc 500'!B210)</f>
        <v/>
      </c>
      <c r="AD1209" t="str">
        <f>IF(AA1209="","",IFERROR(1*'Procyfloc 500'!C210,IFERROR(_xludf.NUMBERVALUE('Procyfloc 500'!C210,".",","),IFERROR(_xludf.NUMBERVALUE('Procyfloc 500'!C210,",","."),0))))</f>
        <v/>
      </c>
      <c r="AE1209" t="str">
        <f>IF(AA1209="","",'Procyfloc 500'!L210)</f>
        <v/>
      </c>
      <c r="AF1209">
        <f t="shared" si="125"/>
        <v>0</v>
      </c>
      <c r="AG1209" t="str">
        <f t="shared" si="126"/>
        <v/>
      </c>
      <c r="AH1209" t="str">
        <f t="shared" si="127"/>
        <v/>
      </c>
      <c r="AI1209">
        <f t="shared" si="128"/>
        <v>0</v>
      </c>
      <c r="AJ1209">
        <f t="shared" si="129"/>
        <v>0</v>
      </c>
      <c r="AK1209">
        <v>0</v>
      </c>
      <c r="AL1209" t="str">
        <f>IF(AA1209="","",IFERROR(IF(ISNUMBER('Procyfloc 500'!D210),'Procyfloc 500'!D210,IF(ISNUMBER(SEARCH("12",'Procyfloc 500'!D210)),EDATE(AB1209,12),IF(ISNUMBER(SEARCH("6",'Procyfloc 500'!D210)),EDATE(AB1209,6),IF(ISNUMBER(SEARCH("3",'Procyfloc 500'!D210)),EDATE(AB1209,3),DATEVALUE('Procyfloc 500'!D210))))),""))</f>
        <v/>
      </c>
      <c r="AM1209" t="str">
        <f t="shared" ca="1" si="130"/>
        <v/>
      </c>
    </row>
    <row r="1210" spans="27:39" x14ac:dyDescent="0.3">
      <c r="AA1210" t="str">
        <f>IF(COUNTA('Procyfloc 500'!A211,'Procyfloc 500'!B211,'Procyfloc 500'!C211)&gt;0,"500","")</f>
        <v/>
      </c>
      <c r="AB1210" t="str">
        <f>IFERROR(IF(ISNUMBER('Procyfloc 500'!A211),'Procyfloc 500'!A211,DATEVALUE('Procyfloc 500'!A211)),"")</f>
        <v/>
      </c>
      <c r="AC1210" t="str">
        <f>IF(AA1210="","",'Procyfloc 500'!B211)</f>
        <v/>
      </c>
      <c r="AD1210" t="str">
        <f>IF(AA1210="","",IFERROR(1*'Procyfloc 500'!C211,IFERROR(_xludf.NUMBERVALUE('Procyfloc 500'!C211,".",","),IFERROR(_xludf.NUMBERVALUE('Procyfloc 500'!C211,",","."),0))))</f>
        <v/>
      </c>
      <c r="AE1210" t="str">
        <f>IF(AA1210="","",'Procyfloc 500'!L211)</f>
        <v/>
      </c>
      <c r="AF1210">
        <f t="shared" si="125"/>
        <v>0</v>
      </c>
      <c r="AG1210" t="str">
        <f t="shared" si="126"/>
        <v/>
      </c>
      <c r="AH1210" t="str">
        <f t="shared" si="127"/>
        <v/>
      </c>
      <c r="AI1210">
        <f t="shared" si="128"/>
        <v>0</v>
      </c>
      <c r="AJ1210">
        <f t="shared" si="129"/>
        <v>0</v>
      </c>
      <c r="AK1210">
        <v>0</v>
      </c>
      <c r="AL1210" t="str">
        <f>IF(AA1210="","",IFERROR(IF(ISNUMBER('Procyfloc 500'!D211),'Procyfloc 500'!D211,IF(ISNUMBER(SEARCH("12",'Procyfloc 500'!D211)),EDATE(AB1210,12),IF(ISNUMBER(SEARCH("6",'Procyfloc 500'!D211)),EDATE(AB1210,6),IF(ISNUMBER(SEARCH("3",'Procyfloc 500'!D211)),EDATE(AB1210,3),DATEVALUE('Procyfloc 500'!D211))))),""))</f>
        <v/>
      </c>
      <c r="AM1210" t="str">
        <f t="shared" ca="1" si="130"/>
        <v/>
      </c>
    </row>
    <row r="1211" spans="27:39" x14ac:dyDescent="0.3">
      <c r="AA1211" t="str">
        <f>IF(COUNTA('Procyfloc 500'!A212,'Procyfloc 500'!B212,'Procyfloc 500'!C212)&gt;0,"500","")</f>
        <v/>
      </c>
      <c r="AB1211" t="str">
        <f>IFERROR(IF(ISNUMBER('Procyfloc 500'!A212),'Procyfloc 500'!A212,DATEVALUE('Procyfloc 500'!A212)),"")</f>
        <v/>
      </c>
      <c r="AC1211" t="str">
        <f>IF(AA1211="","",'Procyfloc 500'!B212)</f>
        <v/>
      </c>
      <c r="AD1211" t="str">
        <f>IF(AA1211="","",IFERROR(1*'Procyfloc 500'!C212,IFERROR(_xludf.NUMBERVALUE('Procyfloc 500'!C212,".",","),IFERROR(_xludf.NUMBERVALUE('Procyfloc 500'!C212,",","."),0))))</f>
        <v/>
      </c>
      <c r="AE1211" t="str">
        <f>IF(AA1211="","",'Procyfloc 500'!L212)</f>
        <v/>
      </c>
      <c r="AF1211">
        <f t="shared" si="125"/>
        <v>0</v>
      </c>
      <c r="AG1211" t="str">
        <f t="shared" si="126"/>
        <v/>
      </c>
      <c r="AH1211" t="str">
        <f t="shared" si="127"/>
        <v/>
      </c>
      <c r="AI1211">
        <f t="shared" si="128"/>
        <v>0</v>
      </c>
      <c r="AJ1211">
        <f t="shared" si="129"/>
        <v>0</v>
      </c>
      <c r="AK1211">
        <v>0</v>
      </c>
      <c r="AL1211" t="str">
        <f>IF(AA1211="","",IFERROR(IF(ISNUMBER('Procyfloc 500'!D212),'Procyfloc 500'!D212,IF(ISNUMBER(SEARCH("12",'Procyfloc 500'!D212)),EDATE(AB1211,12),IF(ISNUMBER(SEARCH("6",'Procyfloc 500'!D212)),EDATE(AB1211,6),IF(ISNUMBER(SEARCH("3",'Procyfloc 500'!D212)),EDATE(AB1211,3),DATEVALUE('Procyfloc 500'!D212))))),""))</f>
        <v/>
      </c>
      <c r="AM1211" t="str">
        <f t="shared" ca="1" si="130"/>
        <v/>
      </c>
    </row>
    <row r="1212" spans="27:39" x14ac:dyDescent="0.3">
      <c r="AA1212" t="str">
        <f>IF(COUNTA('Procyfloc 500'!A213,'Procyfloc 500'!B213,'Procyfloc 500'!C213)&gt;0,"500","")</f>
        <v/>
      </c>
      <c r="AB1212" t="str">
        <f>IFERROR(IF(ISNUMBER('Procyfloc 500'!A213),'Procyfloc 500'!A213,DATEVALUE('Procyfloc 500'!A213)),"")</f>
        <v/>
      </c>
      <c r="AC1212" t="str">
        <f>IF(AA1212="","",'Procyfloc 500'!B213)</f>
        <v/>
      </c>
      <c r="AD1212" t="str">
        <f>IF(AA1212="","",IFERROR(1*'Procyfloc 500'!C213,IFERROR(_xludf.NUMBERVALUE('Procyfloc 500'!C213,".",","),IFERROR(_xludf.NUMBERVALUE('Procyfloc 500'!C213,",","."),0))))</f>
        <v/>
      </c>
      <c r="AE1212" t="str">
        <f>IF(AA1212="","",'Procyfloc 500'!L213)</f>
        <v/>
      </c>
      <c r="AF1212">
        <f t="shared" si="125"/>
        <v>0</v>
      </c>
      <c r="AG1212" t="str">
        <f t="shared" si="126"/>
        <v/>
      </c>
      <c r="AH1212" t="str">
        <f t="shared" si="127"/>
        <v/>
      </c>
      <c r="AI1212">
        <f t="shared" si="128"/>
        <v>0</v>
      </c>
      <c r="AJ1212">
        <f t="shared" si="129"/>
        <v>0</v>
      </c>
      <c r="AK1212">
        <v>0</v>
      </c>
      <c r="AL1212" t="str">
        <f>IF(AA1212="","",IFERROR(IF(ISNUMBER('Procyfloc 500'!D213),'Procyfloc 500'!D213,IF(ISNUMBER(SEARCH("12",'Procyfloc 500'!D213)),EDATE(AB1212,12),IF(ISNUMBER(SEARCH("6",'Procyfloc 500'!D213)),EDATE(AB1212,6),IF(ISNUMBER(SEARCH("3",'Procyfloc 500'!D213)),EDATE(AB1212,3),DATEVALUE('Procyfloc 500'!D213))))),""))</f>
        <v/>
      </c>
      <c r="AM1212" t="str">
        <f t="shared" ca="1" si="130"/>
        <v/>
      </c>
    </row>
    <row r="1213" spans="27:39" x14ac:dyDescent="0.3">
      <c r="AA1213" t="str">
        <f>IF(COUNTA('Procyfloc 500'!A214,'Procyfloc 500'!B214,'Procyfloc 500'!C214)&gt;0,"500","")</f>
        <v/>
      </c>
      <c r="AB1213" t="str">
        <f>IFERROR(IF(ISNUMBER('Procyfloc 500'!A214),'Procyfloc 500'!A214,DATEVALUE('Procyfloc 500'!A214)),"")</f>
        <v/>
      </c>
      <c r="AC1213" t="str">
        <f>IF(AA1213="","",'Procyfloc 500'!B214)</f>
        <v/>
      </c>
      <c r="AD1213" t="str">
        <f>IF(AA1213="","",IFERROR(1*'Procyfloc 500'!C214,IFERROR(_xludf.NUMBERVALUE('Procyfloc 500'!C214,".",","),IFERROR(_xludf.NUMBERVALUE('Procyfloc 500'!C214,",","."),0))))</f>
        <v/>
      </c>
      <c r="AE1213" t="str">
        <f>IF(AA1213="","",'Procyfloc 500'!L214)</f>
        <v/>
      </c>
      <c r="AF1213">
        <f t="shared" si="125"/>
        <v>0</v>
      </c>
      <c r="AG1213" t="str">
        <f t="shared" si="126"/>
        <v/>
      </c>
      <c r="AH1213" t="str">
        <f t="shared" si="127"/>
        <v/>
      </c>
      <c r="AI1213">
        <f t="shared" si="128"/>
        <v>0</v>
      </c>
      <c r="AJ1213">
        <f t="shared" si="129"/>
        <v>0</v>
      </c>
      <c r="AK1213">
        <v>0</v>
      </c>
      <c r="AL1213" t="str">
        <f>IF(AA1213="","",IFERROR(IF(ISNUMBER('Procyfloc 500'!D214),'Procyfloc 500'!D214,IF(ISNUMBER(SEARCH("12",'Procyfloc 500'!D214)),EDATE(AB1213,12),IF(ISNUMBER(SEARCH("6",'Procyfloc 500'!D214)),EDATE(AB1213,6),IF(ISNUMBER(SEARCH("3",'Procyfloc 500'!D214)),EDATE(AB1213,3),DATEVALUE('Procyfloc 500'!D214))))),""))</f>
        <v/>
      </c>
      <c r="AM1213" t="str">
        <f t="shared" ca="1" si="130"/>
        <v/>
      </c>
    </row>
    <row r="1214" spans="27:39" x14ac:dyDescent="0.3">
      <c r="AA1214" t="str">
        <f>IF(COUNTA('Procyfloc 500'!A215,'Procyfloc 500'!B215,'Procyfloc 500'!C215)&gt;0,"500","")</f>
        <v/>
      </c>
      <c r="AB1214" t="str">
        <f>IFERROR(IF(ISNUMBER('Procyfloc 500'!A215),'Procyfloc 500'!A215,DATEVALUE('Procyfloc 500'!A215)),"")</f>
        <v/>
      </c>
      <c r="AC1214" t="str">
        <f>IF(AA1214="","",'Procyfloc 500'!B215)</f>
        <v/>
      </c>
      <c r="AD1214" t="str">
        <f>IF(AA1214="","",IFERROR(1*'Procyfloc 500'!C215,IFERROR(_xludf.NUMBERVALUE('Procyfloc 500'!C215,".",","),IFERROR(_xludf.NUMBERVALUE('Procyfloc 500'!C215,",","."),0))))</f>
        <v/>
      </c>
      <c r="AE1214" t="str">
        <f>IF(AA1214="","",'Procyfloc 500'!L215)</f>
        <v/>
      </c>
      <c r="AF1214">
        <f t="shared" si="125"/>
        <v>0</v>
      </c>
      <c r="AG1214" t="str">
        <f t="shared" si="126"/>
        <v/>
      </c>
      <c r="AH1214" t="str">
        <f t="shared" si="127"/>
        <v/>
      </c>
      <c r="AI1214">
        <f t="shared" si="128"/>
        <v>0</v>
      </c>
      <c r="AJ1214">
        <f t="shared" si="129"/>
        <v>0</v>
      </c>
      <c r="AK1214">
        <v>0</v>
      </c>
      <c r="AL1214" t="str">
        <f>IF(AA1214="","",IFERROR(IF(ISNUMBER('Procyfloc 500'!D215),'Procyfloc 500'!D215,IF(ISNUMBER(SEARCH("12",'Procyfloc 500'!D215)),EDATE(AB1214,12),IF(ISNUMBER(SEARCH("6",'Procyfloc 500'!D215)),EDATE(AB1214,6),IF(ISNUMBER(SEARCH("3",'Procyfloc 500'!D215)),EDATE(AB1214,3),DATEVALUE('Procyfloc 500'!D215))))),""))</f>
        <v/>
      </c>
      <c r="AM1214" t="str">
        <f t="shared" ca="1" si="130"/>
        <v/>
      </c>
    </row>
    <row r="1215" spans="27:39" x14ac:dyDescent="0.3">
      <c r="AA1215" t="str">
        <f>IF(COUNTA('Procyfloc 500'!A216,'Procyfloc 500'!B216,'Procyfloc 500'!C216)&gt;0,"500","")</f>
        <v/>
      </c>
      <c r="AB1215" t="str">
        <f>IFERROR(IF(ISNUMBER('Procyfloc 500'!A216),'Procyfloc 500'!A216,DATEVALUE('Procyfloc 500'!A216)),"")</f>
        <v/>
      </c>
      <c r="AC1215" t="str">
        <f>IF(AA1215="","",'Procyfloc 500'!B216)</f>
        <v/>
      </c>
      <c r="AD1215" t="str">
        <f>IF(AA1215="","",IFERROR(1*'Procyfloc 500'!C216,IFERROR(_xludf.NUMBERVALUE('Procyfloc 500'!C216,".",","),IFERROR(_xludf.NUMBERVALUE('Procyfloc 500'!C216,",","."),0))))</f>
        <v/>
      </c>
      <c r="AE1215" t="str">
        <f>IF(AA1215="","",'Procyfloc 500'!L216)</f>
        <v/>
      </c>
      <c r="AF1215">
        <f t="shared" si="125"/>
        <v>0</v>
      </c>
      <c r="AG1215" t="str">
        <f t="shared" si="126"/>
        <v/>
      </c>
      <c r="AH1215" t="str">
        <f t="shared" si="127"/>
        <v/>
      </c>
      <c r="AI1215">
        <f t="shared" si="128"/>
        <v>0</v>
      </c>
      <c r="AJ1215">
        <f t="shared" si="129"/>
        <v>0</v>
      </c>
      <c r="AK1215">
        <v>0</v>
      </c>
      <c r="AL1215" t="str">
        <f>IF(AA1215="","",IFERROR(IF(ISNUMBER('Procyfloc 500'!D216),'Procyfloc 500'!D216,IF(ISNUMBER(SEARCH("12",'Procyfloc 500'!D216)),EDATE(AB1215,12),IF(ISNUMBER(SEARCH("6",'Procyfloc 500'!D216)),EDATE(AB1215,6),IF(ISNUMBER(SEARCH("3",'Procyfloc 500'!D216)),EDATE(AB1215,3),DATEVALUE('Procyfloc 500'!D216))))),""))</f>
        <v/>
      </c>
      <c r="AM1215" t="str">
        <f t="shared" ca="1" si="130"/>
        <v/>
      </c>
    </row>
    <row r="1216" spans="27:39" x14ac:dyDescent="0.3">
      <c r="AA1216" t="str">
        <f>IF(COUNTA('Procyfloc 500'!A217,'Procyfloc 500'!B217,'Procyfloc 500'!C217)&gt;0,"500","")</f>
        <v/>
      </c>
      <c r="AB1216" t="str">
        <f>IFERROR(IF(ISNUMBER('Procyfloc 500'!A217),'Procyfloc 500'!A217,DATEVALUE('Procyfloc 500'!A217)),"")</f>
        <v/>
      </c>
      <c r="AC1216" t="str">
        <f>IF(AA1216="","",'Procyfloc 500'!B217)</f>
        <v/>
      </c>
      <c r="AD1216" t="str">
        <f>IF(AA1216="","",IFERROR(1*'Procyfloc 500'!C217,IFERROR(_xludf.NUMBERVALUE('Procyfloc 500'!C217,".",","),IFERROR(_xludf.NUMBERVALUE('Procyfloc 500'!C217,",","."),0))))</f>
        <v/>
      </c>
      <c r="AE1216" t="str">
        <f>IF(AA1216="","",'Procyfloc 500'!L217)</f>
        <v/>
      </c>
      <c r="AF1216">
        <f t="shared" si="125"/>
        <v>0</v>
      </c>
      <c r="AG1216" t="str">
        <f t="shared" si="126"/>
        <v/>
      </c>
      <c r="AH1216" t="str">
        <f t="shared" si="127"/>
        <v/>
      </c>
      <c r="AI1216">
        <f t="shared" si="128"/>
        <v>0</v>
      </c>
      <c r="AJ1216">
        <f t="shared" si="129"/>
        <v>0</v>
      </c>
      <c r="AK1216">
        <v>0</v>
      </c>
      <c r="AL1216" t="str">
        <f>IF(AA1216="","",IFERROR(IF(ISNUMBER('Procyfloc 500'!D217),'Procyfloc 500'!D217,IF(ISNUMBER(SEARCH("12",'Procyfloc 500'!D217)),EDATE(AB1216,12),IF(ISNUMBER(SEARCH("6",'Procyfloc 500'!D217)),EDATE(AB1216,6),IF(ISNUMBER(SEARCH("3",'Procyfloc 500'!D217)),EDATE(AB1216,3),DATEVALUE('Procyfloc 500'!D217))))),""))</f>
        <v/>
      </c>
      <c r="AM1216" t="str">
        <f t="shared" ca="1" si="130"/>
        <v/>
      </c>
    </row>
    <row r="1217" spans="27:39" x14ac:dyDescent="0.3">
      <c r="AA1217" t="str">
        <f>IF(COUNTA('Procyfloc 500'!A218,'Procyfloc 500'!B218,'Procyfloc 500'!C218)&gt;0,"500","")</f>
        <v/>
      </c>
      <c r="AB1217" t="str">
        <f>IFERROR(IF(ISNUMBER('Procyfloc 500'!A218),'Procyfloc 500'!A218,DATEVALUE('Procyfloc 500'!A218)),"")</f>
        <v/>
      </c>
      <c r="AC1217" t="str">
        <f>IF(AA1217="","",'Procyfloc 500'!B218)</f>
        <v/>
      </c>
      <c r="AD1217" t="str">
        <f>IF(AA1217="","",IFERROR(1*'Procyfloc 500'!C218,IFERROR(_xludf.NUMBERVALUE('Procyfloc 500'!C218,".",","),IFERROR(_xludf.NUMBERVALUE('Procyfloc 500'!C218,",","."),0))))</f>
        <v/>
      </c>
      <c r="AE1217" t="str">
        <f>IF(AA1217="","",'Procyfloc 500'!L218)</f>
        <v/>
      </c>
      <c r="AF1217">
        <f t="shared" si="125"/>
        <v>0</v>
      </c>
      <c r="AG1217" t="str">
        <f t="shared" si="126"/>
        <v/>
      </c>
      <c r="AH1217" t="str">
        <f t="shared" si="127"/>
        <v/>
      </c>
      <c r="AI1217">
        <f t="shared" si="128"/>
        <v>0</v>
      </c>
      <c r="AJ1217">
        <f t="shared" si="129"/>
        <v>0</v>
      </c>
      <c r="AK1217">
        <v>0</v>
      </c>
      <c r="AL1217" t="str">
        <f>IF(AA1217="","",IFERROR(IF(ISNUMBER('Procyfloc 500'!D218),'Procyfloc 500'!D218,IF(ISNUMBER(SEARCH("12",'Procyfloc 500'!D218)),EDATE(AB1217,12),IF(ISNUMBER(SEARCH("6",'Procyfloc 500'!D218)),EDATE(AB1217,6),IF(ISNUMBER(SEARCH("3",'Procyfloc 500'!D218)),EDATE(AB1217,3),DATEVALUE('Procyfloc 500'!D218))))),""))</f>
        <v/>
      </c>
      <c r="AM1217" t="str">
        <f t="shared" ca="1" si="130"/>
        <v/>
      </c>
    </row>
    <row r="1218" spans="27:39" x14ac:dyDescent="0.3">
      <c r="AA1218" t="str">
        <f>IF(COUNTA('Procyfloc 500'!A219,'Procyfloc 500'!B219,'Procyfloc 500'!C219)&gt;0,"500","")</f>
        <v/>
      </c>
      <c r="AB1218" t="str">
        <f>IFERROR(IF(ISNUMBER('Procyfloc 500'!A219),'Procyfloc 500'!A219,DATEVALUE('Procyfloc 500'!A219)),"")</f>
        <v/>
      </c>
      <c r="AC1218" t="str">
        <f>IF(AA1218="","",'Procyfloc 500'!B219)</f>
        <v/>
      </c>
      <c r="AD1218" t="str">
        <f>IF(AA1218="","",IFERROR(1*'Procyfloc 500'!C219,IFERROR(_xludf.NUMBERVALUE('Procyfloc 500'!C219,".",","),IFERROR(_xludf.NUMBERVALUE('Procyfloc 500'!C219,",","."),0))))</f>
        <v/>
      </c>
      <c r="AE1218" t="str">
        <f>IF(AA1218="","",'Procyfloc 500'!L219)</f>
        <v/>
      </c>
      <c r="AF1218">
        <f t="shared" ref="AF1218:AF1281" si="131">IF(AA1218="",0,--AND(ISNUMBER(SEARCH("aprov",AE1218)),NOT(ISNUMBER(SEARCH("reprov",AE1218)))))</f>
        <v>0</v>
      </c>
      <c r="AG1218" t="str">
        <f t="shared" ref="AG1218:AG1281" si="132">IF(AB1218="","",YEAR(AB1218))</f>
        <v/>
      </c>
      <c r="AH1218" t="str">
        <f t="shared" ref="AH1218:AH1281" si="133">IF(AB1218="","",MONTH(AB1218))</f>
        <v/>
      </c>
      <c r="AI1218">
        <f t="shared" ref="AI1218:AI1281" si="134">IF(AB1218="",0,AB1218+ROW()/1000000)</f>
        <v>0</v>
      </c>
      <c r="AJ1218">
        <f t="shared" ref="AJ1218:AJ1281" si="135">--(AA1218&lt;&gt;"")</f>
        <v>0</v>
      </c>
      <c r="AK1218">
        <v>0</v>
      </c>
      <c r="AL1218" t="str">
        <f>IF(AA1218="","",IFERROR(IF(ISNUMBER('Procyfloc 500'!D219),'Procyfloc 500'!D219,IF(ISNUMBER(SEARCH("12",'Procyfloc 500'!D219)),EDATE(AB1218,12),IF(ISNUMBER(SEARCH("6",'Procyfloc 500'!D219)),EDATE(AB1218,6),IF(ISNUMBER(SEARCH("3",'Procyfloc 500'!D219)),EDATE(AB1218,3),DATEVALUE('Procyfloc 500'!D219))))),""))</f>
        <v/>
      </c>
      <c r="AM1218" t="str">
        <f t="shared" ref="AM1218:AM1281" ca="1" si="136">IF(AND(AJ1218=1,AL1218&lt;&gt;"",AL1218&gt;=TODAY(),AG1218=$W$3),AL1218+ROW()/1000000,"")</f>
        <v/>
      </c>
    </row>
    <row r="1219" spans="27:39" x14ac:dyDescent="0.3">
      <c r="AA1219" t="str">
        <f>IF(COUNTA('Procyfloc 500'!A220,'Procyfloc 500'!B220,'Procyfloc 500'!C220)&gt;0,"500","")</f>
        <v/>
      </c>
      <c r="AB1219" t="str">
        <f>IFERROR(IF(ISNUMBER('Procyfloc 500'!A220),'Procyfloc 500'!A220,DATEVALUE('Procyfloc 500'!A220)),"")</f>
        <v/>
      </c>
      <c r="AC1219" t="str">
        <f>IF(AA1219="","",'Procyfloc 500'!B220)</f>
        <v/>
      </c>
      <c r="AD1219" t="str">
        <f>IF(AA1219="","",IFERROR(1*'Procyfloc 500'!C220,IFERROR(_xludf.NUMBERVALUE('Procyfloc 500'!C220,".",","),IFERROR(_xludf.NUMBERVALUE('Procyfloc 500'!C220,",","."),0))))</f>
        <v/>
      </c>
      <c r="AE1219" t="str">
        <f>IF(AA1219="","",'Procyfloc 500'!L220)</f>
        <v/>
      </c>
      <c r="AF1219">
        <f t="shared" si="131"/>
        <v>0</v>
      </c>
      <c r="AG1219" t="str">
        <f t="shared" si="132"/>
        <v/>
      </c>
      <c r="AH1219" t="str">
        <f t="shared" si="133"/>
        <v/>
      </c>
      <c r="AI1219">
        <f t="shared" si="134"/>
        <v>0</v>
      </c>
      <c r="AJ1219">
        <f t="shared" si="135"/>
        <v>0</v>
      </c>
      <c r="AK1219">
        <v>0</v>
      </c>
      <c r="AL1219" t="str">
        <f>IF(AA1219="","",IFERROR(IF(ISNUMBER('Procyfloc 500'!D220),'Procyfloc 500'!D220,IF(ISNUMBER(SEARCH("12",'Procyfloc 500'!D220)),EDATE(AB1219,12),IF(ISNUMBER(SEARCH("6",'Procyfloc 500'!D220)),EDATE(AB1219,6),IF(ISNUMBER(SEARCH("3",'Procyfloc 500'!D220)),EDATE(AB1219,3),DATEVALUE('Procyfloc 500'!D220))))),""))</f>
        <v/>
      </c>
      <c r="AM1219" t="str">
        <f t="shared" ca="1" si="136"/>
        <v/>
      </c>
    </row>
    <row r="1220" spans="27:39" x14ac:dyDescent="0.3">
      <c r="AA1220" t="str">
        <f>IF(COUNTA('Procyfloc 500'!A221,'Procyfloc 500'!B221,'Procyfloc 500'!C221)&gt;0,"500","")</f>
        <v/>
      </c>
      <c r="AB1220" t="str">
        <f>IFERROR(IF(ISNUMBER('Procyfloc 500'!A221),'Procyfloc 500'!A221,DATEVALUE('Procyfloc 500'!A221)),"")</f>
        <v/>
      </c>
      <c r="AC1220" t="str">
        <f>IF(AA1220="","",'Procyfloc 500'!B221)</f>
        <v/>
      </c>
      <c r="AD1220" t="str">
        <f>IF(AA1220="","",IFERROR(1*'Procyfloc 500'!C221,IFERROR(_xludf.NUMBERVALUE('Procyfloc 500'!C221,".",","),IFERROR(_xludf.NUMBERVALUE('Procyfloc 500'!C221,",","."),0))))</f>
        <v/>
      </c>
      <c r="AE1220" t="str">
        <f>IF(AA1220="","",'Procyfloc 500'!L221)</f>
        <v/>
      </c>
      <c r="AF1220">
        <f t="shared" si="131"/>
        <v>0</v>
      </c>
      <c r="AG1220" t="str">
        <f t="shared" si="132"/>
        <v/>
      </c>
      <c r="AH1220" t="str">
        <f t="shared" si="133"/>
        <v/>
      </c>
      <c r="AI1220">
        <f t="shared" si="134"/>
        <v>0</v>
      </c>
      <c r="AJ1220">
        <f t="shared" si="135"/>
        <v>0</v>
      </c>
      <c r="AK1220">
        <v>0</v>
      </c>
      <c r="AL1220" t="str">
        <f>IF(AA1220="","",IFERROR(IF(ISNUMBER('Procyfloc 500'!D221),'Procyfloc 500'!D221,IF(ISNUMBER(SEARCH("12",'Procyfloc 500'!D221)),EDATE(AB1220,12),IF(ISNUMBER(SEARCH("6",'Procyfloc 500'!D221)),EDATE(AB1220,6),IF(ISNUMBER(SEARCH("3",'Procyfloc 500'!D221)),EDATE(AB1220,3),DATEVALUE('Procyfloc 500'!D221))))),""))</f>
        <v/>
      </c>
      <c r="AM1220" t="str">
        <f t="shared" ca="1" si="136"/>
        <v/>
      </c>
    </row>
    <row r="1221" spans="27:39" x14ac:dyDescent="0.3">
      <c r="AA1221" t="str">
        <f>IF(COUNTA('Procyfloc 500'!A222,'Procyfloc 500'!B222,'Procyfloc 500'!C222)&gt;0,"500","")</f>
        <v/>
      </c>
      <c r="AB1221" t="str">
        <f>IFERROR(IF(ISNUMBER('Procyfloc 500'!A222),'Procyfloc 500'!A222,DATEVALUE('Procyfloc 500'!A222)),"")</f>
        <v/>
      </c>
      <c r="AC1221" t="str">
        <f>IF(AA1221="","",'Procyfloc 500'!B222)</f>
        <v/>
      </c>
      <c r="AD1221" t="str">
        <f>IF(AA1221="","",IFERROR(1*'Procyfloc 500'!C222,IFERROR(_xludf.NUMBERVALUE('Procyfloc 500'!C222,".",","),IFERROR(_xludf.NUMBERVALUE('Procyfloc 500'!C222,",","."),0))))</f>
        <v/>
      </c>
      <c r="AE1221" t="str">
        <f>IF(AA1221="","",'Procyfloc 500'!L222)</f>
        <v/>
      </c>
      <c r="AF1221">
        <f t="shared" si="131"/>
        <v>0</v>
      </c>
      <c r="AG1221" t="str">
        <f t="shared" si="132"/>
        <v/>
      </c>
      <c r="AH1221" t="str">
        <f t="shared" si="133"/>
        <v/>
      </c>
      <c r="AI1221">
        <f t="shared" si="134"/>
        <v>0</v>
      </c>
      <c r="AJ1221">
        <f t="shared" si="135"/>
        <v>0</v>
      </c>
      <c r="AK1221">
        <v>0</v>
      </c>
      <c r="AL1221" t="str">
        <f>IF(AA1221="","",IFERROR(IF(ISNUMBER('Procyfloc 500'!D222),'Procyfloc 500'!D222,IF(ISNUMBER(SEARCH("12",'Procyfloc 500'!D222)),EDATE(AB1221,12),IF(ISNUMBER(SEARCH("6",'Procyfloc 500'!D222)),EDATE(AB1221,6),IF(ISNUMBER(SEARCH("3",'Procyfloc 500'!D222)),EDATE(AB1221,3),DATEVALUE('Procyfloc 500'!D222))))),""))</f>
        <v/>
      </c>
      <c r="AM1221" t="str">
        <f t="shared" ca="1" si="136"/>
        <v/>
      </c>
    </row>
    <row r="1222" spans="27:39" x14ac:dyDescent="0.3">
      <c r="AA1222" t="str">
        <f>IF(COUNTA('Procyfloc 500'!A223,'Procyfloc 500'!B223,'Procyfloc 500'!C223)&gt;0,"500","")</f>
        <v/>
      </c>
      <c r="AB1222" t="str">
        <f>IFERROR(IF(ISNUMBER('Procyfloc 500'!A223),'Procyfloc 500'!A223,DATEVALUE('Procyfloc 500'!A223)),"")</f>
        <v/>
      </c>
      <c r="AC1222" t="str">
        <f>IF(AA1222="","",'Procyfloc 500'!B223)</f>
        <v/>
      </c>
      <c r="AD1222" t="str">
        <f>IF(AA1222="","",IFERROR(1*'Procyfloc 500'!C223,IFERROR(_xludf.NUMBERVALUE('Procyfloc 500'!C223,".",","),IFERROR(_xludf.NUMBERVALUE('Procyfloc 500'!C223,",","."),0))))</f>
        <v/>
      </c>
      <c r="AE1222" t="str">
        <f>IF(AA1222="","",'Procyfloc 500'!L223)</f>
        <v/>
      </c>
      <c r="AF1222">
        <f t="shared" si="131"/>
        <v>0</v>
      </c>
      <c r="AG1222" t="str">
        <f t="shared" si="132"/>
        <v/>
      </c>
      <c r="AH1222" t="str">
        <f t="shared" si="133"/>
        <v/>
      </c>
      <c r="AI1222">
        <f t="shared" si="134"/>
        <v>0</v>
      </c>
      <c r="AJ1222">
        <f t="shared" si="135"/>
        <v>0</v>
      </c>
      <c r="AK1222">
        <v>0</v>
      </c>
      <c r="AL1222" t="str">
        <f>IF(AA1222="","",IFERROR(IF(ISNUMBER('Procyfloc 500'!D223),'Procyfloc 500'!D223,IF(ISNUMBER(SEARCH("12",'Procyfloc 500'!D223)),EDATE(AB1222,12),IF(ISNUMBER(SEARCH("6",'Procyfloc 500'!D223)),EDATE(AB1222,6),IF(ISNUMBER(SEARCH("3",'Procyfloc 500'!D223)),EDATE(AB1222,3),DATEVALUE('Procyfloc 500'!D223))))),""))</f>
        <v/>
      </c>
      <c r="AM1222" t="str">
        <f t="shared" ca="1" si="136"/>
        <v/>
      </c>
    </row>
    <row r="1223" spans="27:39" x14ac:dyDescent="0.3">
      <c r="AA1223" t="str">
        <f>IF(COUNTA('Procyfloc 500'!A224,'Procyfloc 500'!B224,'Procyfloc 500'!C224)&gt;0,"500","")</f>
        <v/>
      </c>
      <c r="AB1223" t="str">
        <f>IFERROR(IF(ISNUMBER('Procyfloc 500'!A224),'Procyfloc 500'!A224,DATEVALUE('Procyfloc 500'!A224)),"")</f>
        <v/>
      </c>
      <c r="AC1223" t="str">
        <f>IF(AA1223="","",'Procyfloc 500'!B224)</f>
        <v/>
      </c>
      <c r="AD1223" t="str">
        <f>IF(AA1223="","",IFERROR(1*'Procyfloc 500'!C224,IFERROR(_xludf.NUMBERVALUE('Procyfloc 500'!C224,".",","),IFERROR(_xludf.NUMBERVALUE('Procyfloc 500'!C224,",","."),0))))</f>
        <v/>
      </c>
      <c r="AE1223" t="str">
        <f>IF(AA1223="","",'Procyfloc 500'!L224)</f>
        <v/>
      </c>
      <c r="AF1223">
        <f t="shared" si="131"/>
        <v>0</v>
      </c>
      <c r="AG1223" t="str">
        <f t="shared" si="132"/>
        <v/>
      </c>
      <c r="AH1223" t="str">
        <f t="shared" si="133"/>
        <v/>
      </c>
      <c r="AI1223">
        <f t="shared" si="134"/>
        <v>0</v>
      </c>
      <c r="AJ1223">
        <f t="shared" si="135"/>
        <v>0</v>
      </c>
      <c r="AK1223">
        <v>0</v>
      </c>
      <c r="AL1223" t="str">
        <f>IF(AA1223="","",IFERROR(IF(ISNUMBER('Procyfloc 500'!D224),'Procyfloc 500'!D224,IF(ISNUMBER(SEARCH("12",'Procyfloc 500'!D224)),EDATE(AB1223,12),IF(ISNUMBER(SEARCH("6",'Procyfloc 500'!D224)),EDATE(AB1223,6),IF(ISNUMBER(SEARCH("3",'Procyfloc 500'!D224)),EDATE(AB1223,3),DATEVALUE('Procyfloc 500'!D224))))),""))</f>
        <v/>
      </c>
      <c r="AM1223" t="str">
        <f t="shared" ca="1" si="136"/>
        <v/>
      </c>
    </row>
    <row r="1224" spans="27:39" x14ac:dyDescent="0.3">
      <c r="AA1224" t="str">
        <f>IF(COUNTA('Procyfloc 500'!A225,'Procyfloc 500'!B225,'Procyfloc 500'!C225)&gt;0,"500","")</f>
        <v/>
      </c>
      <c r="AB1224" t="str">
        <f>IFERROR(IF(ISNUMBER('Procyfloc 500'!A225),'Procyfloc 500'!A225,DATEVALUE('Procyfloc 500'!A225)),"")</f>
        <v/>
      </c>
      <c r="AC1224" t="str">
        <f>IF(AA1224="","",'Procyfloc 500'!B225)</f>
        <v/>
      </c>
      <c r="AD1224" t="str">
        <f>IF(AA1224="","",IFERROR(1*'Procyfloc 500'!C225,IFERROR(_xludf.NUMBERVALUE('Procyfloc 500'!C225,".",","),IFERROR(_xludf.NUMBERVALUE('Procyfloc 500'!C225,",","."),0))))</f>
        <v/>
      </c>
      <c r="AE1224" t="str">
        <f>IF(AA1224="","",'Procyfloc 500'!L225)</f>
        <v/>
      </c>
      <c r="AF1224">
        <f t="shared" si="131"/>
        <v>0</v>
      </c>
      <c r="AG1224" t="str">
        <f t="shared" si="132"/>
        <v/>
      </c>
      <c r="AH1224" t="str">
        <f t="shared" si="133"/>
        <v/>
      </c>
      <c r="AI1224">
        <f t="shared" si="134"/>
        <v>0</v>
      </c>
      <c r="AJ1224">
        <f t="shared" si="135"/>
        <v>0</v>
      </c>
      <c r="AK1224">
        <v>0</v>
      </c>
      <c r="AL1224" t="str">
        <f>IF(AA1224="","",IFERROR(IF(ISNUMBER('Procyfloc 500'!D225),'Procyfloc 500'!D225,IF(ISNUMBER(SEARCH("12",'Procyfloc 500'!D225)),EDATE(AB1224,12),IF(ISNUMBER(SEARCH("6",'Procyfloc 500'!D225)),EDATE(AB1224,6),IF(ISNUMBER(SEARCH("3",'Procyfloc 500'!D225)),EDATE(AB1224,3),DATEVALUE('Procyfloc 500'!D225))))),""))</f>
        <v/>
      </c>
      <c r="AM1224" t="str">
        <f t="shared" ca="1" si="136"/>
        <v/>
      </c>
    </row>
    <row r="1225" spans="27:39" x14ac:dyDescent="0.3">
      <c r="AA1225" t="str">
        <f>IF(COUNTA('Procyfloc 500'!A226,'Procyfloc 500'!B226,'Procyfloc 500'!C226)&gt;0,"500","")</f>
        <v/>
      </c>
      <c r="AB1225" t="str">
        <f>IFERROR(IF(ISNUMBER('Procyfloc 500'!A226),'Procyfloc 500'!A226,DATEVALUE('Procyfloc 500'!A226)),"")</f>
        <v/>
      </c>
      <c r="AC1225" t="str">
        <f>IF(AA1225="","",'Procyfloc 500'!B226)</f>
        <v/>
      </c>
      <c r="AD1225" t="str">
        <f>IF(AA1225="","",IFERROR(1*'Procyfloc 500'!C226,IFERROR(_xludf.NUMBERVALUE('Procyfloc 500'!C226,".",","),IFERROR(_xludf.NUMBERVALUE('Procyfloc 500'!C226,",","."),0))))</f>
        <v/>
      </c>
      <c r="AE1225" t="str">
        <f>IF(AA1225="","",'Procyfloc 500'!L226)</f>
        <v/>
      </c>
      <c r="AF1225">
        <f t="shared" si="131"/>
        <v>0</v>
      </c>
      <c r="AG1225" t="str">
        <f t="shared" si="132"/>
        <v/>
      </c>
      <c r="AH1225" t="str">
        <f t="shared" si="133"/>
        <v/>
      </c>
      <c r="AI1225">
        <f t="shared" si="134"/>
        <v>0</v>
      </c>
      <c r="AJ1225">
        <f t="shared" si="135"/>
        <v>0</v>
      </c>
      <c r="AK1225">
        <v>0</v>
      </c>
      <c r="AL1225" t="str">
        <f>IF(AA1225="","",IFERROR(IF(ISNUMBER('Procyfloc 500'!D226),'Procyfloc 500'!D226,IF(ISNUMBER(SEARCH("12",'Procyfloc 500'!D226)),EDATE(AB1225,12),IF(ISNUMBER(SEARCH("6",'Procyfloc 500'!D226)),EDATE(AB1225,6),IF(ISNUMBER(SEARCH("3",'Procyfloc 500'!D226)),EDATE(AB1225,3),DATEVALUE('Procyfloc 500'!D226))))),""))</f>
        <v/>
      </c>
      <c r="AM1225" t="str">
        <f t="shared" ca="1" si="136"/>
        <v/>
      </c>
    </row>
    <row r="1226" spans="27:39" x14ac:dyDescent="0.3">
      <c r="AA1226" t="str">
        <f>IF(COUNTA('Procyfloc 500'!A227,'Procyfloc 500'!B227,'Procyfloc 500'!C227)&gt;0,"500","")</f>
        <v/>
      </c>
      <c r="AB1226" t="str">
        <f>IFERROR(IF(ISNUMBER('Procyfloc 500'!A227),'Procyfloc 500'!A227,DATEVALUE('Procyfloc 500'!A227)),"")</f>
        <v/>
      </c>
      <c r="AC1226" t="str">
        <f>IF(AA1226="","",'Procyfloc 500'!B227)</f>
        <v/>
      </c>
      <c r="AD1226" t="str">
        <f>IF(AA1226="","",IFERROR(1*'Procyfloc 500'!C227,IFERROR(_xludf.NUMBERVALUE('Procyfloc 500'!C227,".",","),IFERROR(_xludf.NUMBERVALUE('Procyfloc 500'!C227,",","."),0))))</f>
        <v/>
      </c>
      <c r="AE1226" t="str">
        <f>IF(AA1226="","",'Procyfloc 500'!L227)</f>
        <v/>
      </c>
      <c r="AF1226">
        <f t="shared" si="131"/>
        <v>0</v>
      </c>
      <c r="AG1226" t="str">
        <f t="shared" si="132"/>
        <v/>
      </c>
      <c r="AH1226" t="str">
        <f t="shared" si="133"/>
        <v/>
      </c>
      <c r="AI1226">
        <f t="shared" si="134"/>
        <v>0</v>
      </c>
      <c r="AJ1226">
        <f t="shared" si="135"/>
        <v>0</v>
      </c>
      <c r="AK1226">
        <v>0</v>
      </c>
      <c r="AL1226" t="str">
        <f>IF(AA1226="","",IFERROR(IF(ISNUMBER('Procyfloc 500'!D227),'Procyfloc 500'!D227,IF(ISNUMBER(SEARCH("12",'Procyfloc 500'!D227)),EDATE(AB1226,12),IF(ISNUMBER(SEARCH("6",'Procyfloc 500'!D227)),EDATE(AB1226,6),IF(ISNUMBER(SEARCH("3",'Procyfloc 500'!D227)),EDATE(AB1226,3),DATEVALUE('Procyfloc 500'!D227))))),""))</f>
        <v/>
      </c>
      <c r="AM1226" t="str">
        <f t="shared" ca="1" si="136"/>
        <v/>
      </c>
    </row>
    <row r="1227" spans="27:39" x14ac:dyDescent="0.3">
      <c r="AA1227" t="str">
        <f>IF(COUNTA('Procyfloc 500'!A228,'Procyfloc 500'!B228,'Procyfloc 500'!C228)&gt;0,"500","")</f>
        <v/>
      </c>
      <c r="AB1227" t="str">
        <f>IFERROR(IF(ISNUMBER('Procyfloc 500'!A228),'Procyfloc 500'!A228,DATEVALUE('Procyfloc 500'!A228)),"")</f>
        <v/>
      </c>
      <c r="AC1227" t="str">
        <f>IF(AA1227="","",'Procyfloc 500'!B228)</f>
        <v/>
      </c>
      <c r="AD1227" t="str">
        <f>IF(AA1227="","",IFERROR(1*'Procyfloc 500'!C228,IFERROR(_xludf.NUMBERVALUE('Procyfloc 500'!C228,".",","),IFERROR(_xludf.NUMBERVALUE('Procyfloc 500'!C228,",","."),0))))</f>
        <v/>
      </c>
      <c r="AE1227" t="str">
        <f>IF(AA1227="","",'Procyfloc 500'!L228)</f>
        <v/>
      </c>
      <c r="AF1227">
        <f t="shared" si="131"/>
        <v>0</v>
      </c>
      <c r="AG1227" t="str">
        <f t="shared" si="132"/>
        <v/>
      </c>
      <c r="AH1227" t="str">
        <f t="shared" si="133"/>
        <v/>
      </c>
      <c r="AI1227">
        <f t="shared" si="134"/>
        <v>0</v>
      </c>
      <c r="AJ1227">
        <f t="shared" si="135"/>
        <v>0</v>
      </c>
      <c r="AK1227">
        <v>0</v>
      </c>
      <c r="AL1227" t="str">
        <f>IF(AA1227="","",IFERROR(IF(ISNUMBER('Procyfloc 500'!D228),'Procyfloc 500'!D228,IF(ISNUMBER(SEARCH("12",'Procyfloc 500'!D228)),EDATE(AB1227,12),IF(ISNUMBER(SEARCH("6",'Procyfloc 500'!D228)),EDATE(AB1227,6),IF(ISNUMBER(SEARCH("3",'Procyfloc 500'!D228)),EDATE(AB1227,3),DATEVALUE('Procyfloc 500'!D228))))),""))</f>
        <v/>
      </c>
      <c r="AM1227" t="str">
        <f t="shared" ca="1" si="136"/>
        <v/>
      </c>
    </row>
    <row r="1228" spans="27:39" x14ac:dyDescent="0.3">
      <c r="AA1228" t="str">
        <f>IF(COUNTA('Procyfloc 500'!A229,'Procyfloc 500'!B229,'Procyfloc 500'!C229)&gt;0,"500","")</f>
        <v/>
      </c>
      <c r="AB1228" t="str">
        <f>IFERROR(IF(ISNUMBER('Procyfloc 500'!A229),'Procyfloc 500'!A229,DATEVALUE('Procyfloc 500'!A229)),"")</f>
        <v/>
      </c>
      <c r="AC1228" t="str">
        <f>IF(AA1228="","",'Procyfloc 500'!B229)</f>
        <v/>
      </c>
      <c r="AD1228" t="str">
        <f>IF(AA1228="","",IFERROR(1*'Procyfloc 500'!C229,IFERROR(_xludf.NUMBERVALUE('Procyfloc 500'!C229,".",","),IFERROR(_xludf.NUMBERVALUE('Procyfloc 500'!C229,",","."),0))))</f>
        <v/>
      </c>
      <c r="AE1228" t="str">
        <f>IF(AA1228="","",'Procyfloc 500'!L229)</f>
        <v/>
      </c>
      <c r="AF1228">
        <f t="shared" si="131"/>
        <v>0</v>
      </c>
      <c r="AG1228" t="str">
        <f t="shared" si="132"/>
        <v/>
      </c>
      <c r="AH1228" t="str">
        <f t="shared" si="133"/>
        <v/>
      </c>
      <c r="AI1228">
        <f t="shared" si="134"/>
        <v>0</v>
      </c>
      <c r="AJ1228">
        <f t="shared" si="135"/>
        <v>0</v>
      </c>
      <c r="AK1228">
        <v>0</v>
      </c>
      <c r="AL1228" t="str">
        <f>IF(AA1228="","",IFERROR(IF(ISNUMBER('Procyfloc 500'!D229),'Procyfloc 500'!D229,IF(ISNUMBER(SEARCH("12",'Procyfloc 500'!D229)),EDATE(AB1228,12),IF(ISNUMBER(SEARCH("6",'Procyfloc 500'!D229)),EDATE(AB1228,6),IF(ISNUMBER(SEARCH("3",'Procyfloc 500'!D229)),EDATE(AB1228,3),DATEVALUE('Procyfloc 500'!D229))))),""))</f>
        <v/>
      </c>
      <c r="AM1228" t="str">
        <f t="shared" ca="1" si="136"/>
        <v/>
      </c>
    </row>
    <row r="1229" spans="27:39" x14ac:dyDescent="0.3">
      <c r="AA1229" t="str">
        <f>IF(COUNTA('Procyfloc 500'!A230,'Procyfloc 500'!B230,'Procyfloc 500'!C230)&gt;0,"500","")</f>
        <v/>
      </c>
      <c r="AB1229" t="str">
        <f>IFERROR(IF(ISNUMBER('Procyfloc 500'!A230),'Procyfloc 500'!A230,DATEVALUE('Procyfloc 500'!A230)),"")</f>
        <v/>
      </c>
      <c r="AC1229" t="str">
        <f>IF(AA1229="","",'Procyfloc 500'!B230)</f>
        <v/>
      </c>
      <c r="AD1229" t="str">
        <f>IF(AA1229="","",IFERROR(1*'Procyfloc 500'!C230,IFERROR(_xludf.NUMBERVALUE('Procyfloc 500'!C230,".",","),IFERROR(_xludf.NUMBERVALUE('Procyfloc 500'!C230,",","."),0))))</f>
        <v/>
      </c>
      <c r="AE1229" t="str">
        <f>IF(AA1229="","",'Procyfloc 500'!L230)</f>
        <v/>
      </c>
      <c r="AF1229">
        <f t="shared" si="131"/>
        <v>0</v>
      </c>
      <c r="AG1229" t="str">
        <f t="shared" si="132"/>
        <v/>
      </c>
      <c r="AH1229" t="str">
        <f t="shared" si="133"/>
        <v/>
      </c>
      <c r="AI1229">
        <f t="shared" si="134"/>
        <v>0</v>
      </c>
      <c r="AJ1229">
        <f t="shared" si="135"/>
        <v>0</v>
      </c>
      <c r="AK1229">
        <v>0</v>
      </c>
      <c r="AL1229" t="str">
        <f>IF(AA1229="","",IFERROR(IF(ISNUMBER('Procyfloc 500'!D230),'Procyfloc 500'!D230,IF(ISNUMBER(SEARCH("12",'Procyfloc 500'!D230)),EDATE(AB1229,12),IF(ISNUMBER(SEARCH("6",'Procyfloc 500'!D230)),EDATE(AB1229,6),IF(ISNUMBER(SEARCH("3",'Procyfloc 500'!D230)),EDATE(AB1229,3),DATEVALUE('Procyfloc 500'!D230))))),""))</f>
        <v/>
      </c>
      <c r="AM1229" t="str">
        <f t="shared" ca="1" si="136"/>
        <v/>
      </c>
    </row>
    <row r="1230" spans="27:39" x14ac:dyDescent="0.3">
      <c r="AA1230" t="str">
        <f>IF(COUNTA('Procyfloc 500'!A231,'Procyfloc 500'!B231,'Procyfloc 500'!C231)&gt;0,"500","")</f>
        <v/>
      </c>
      <c r="AB1230" t="str">
        <f>IFERROR(IF(ISNUMBER('Procyfloc 500'!A231),'Procyfloc 500'!A231,DATEVALUE('Procyfloc 500'!A231)),"")</f>
        <v/>
      </c>
      <c r="AC1230" t="str">
        <f>IF(AA1230="","",'Procyfloc 500'!B231)</f>
        <v/>
      </c>
      <c r="AD1230" t="str">
        <f>IF(AA1230="","",IFERROR(1*'Procyfloc 500'!C231,IFERROR(_xludf.NUMBERVALUE('Procyfloc 500'!C231,".",","),IFERROR(_xludf.NUMBERVALUE('Procyfloc 500'!C231,",","."),0))))</f>
        <v/>
      </c>
      <c r="AE1230" t="str">
        <f>IF(AA1230="","",'Procyfloc 500'!L231)</f>
        <v/>
      </c>
      <c r="AF1230">
        <f t="shared" si="131"/>
        <v>0</v>
      </c>
      <c r="AG1230" t="str">
        <f t="shared" si="132"/>
        <v/>
      </c>
      <c r="AH1230" t="str">
        <f t="shared" si="133"/>
        <v/>
      </c>
      <c r="AI1230">
        <f t="shared" si="134"/>
        <v>0</v>
      </c>
      <c r="AJ1230">
        <f t="shared" si="135"/>
        <v>0</v>
      </c>
      <c r="AK1230">
        <v>0</v>
      </c>
      <c r="AL1230" t="str">
        <f>IF(AA1230="","",IFERROR(IF(ISNUMBER('Procyfloc 500'!D231),'Procyfloc 500'!D231,IF(ISNUMBER(SEARCH("12",'Procyfloc 500'!D231)),EDATE(AB1230,12),IF(ISNUMBER(SEARCH("6",'Procyfloc 500'!D231)),EDATE(AB1230,6),IF(ISNUMBER(SEARCH("3",'Procyfloc 500'!D231)),EDATE(AB1230,3),DATEVALUE('Procyfloc 500'!D231))))),""))</f>
        <v/>
      </c>
      <c r="AM1230" t="str">
        <f t="shared" ca="1" si="136"/>
        <v/>
      </c>
    </row>
    <row r="1231" spans="27:39" x14ac:dyDescent="0.3">
      <c r="AA1231" t="str">
        <f>IF(COUNTA('Procyfloc 500'!A232,'Procyfloc 500'!B232,'Procyfloc 500'!C232)&gt;0,"500","")</f>
        <v/>
      </c>
      <c r="AB1231" t="str">
        <f>IFERROR(IF(ISNUMBER('Procyfloc 500'!A232),'Procyfloc 500'!A232,DATEVALUE('Procyfloc 500'!A232)),"")</f>
        <v/>
      </c>
      <c r="AC1231" t="str">
        <f>IF(AA1231="","",'Procyfloc 500'!B232)</f>
        <v/>
      </c>
      <c r="AD1231" t="str">
        <f>IF(AA1231="","",IFERROR(1*'Procyfloc 500'!C232,IFERROR(_xludf.NUMBERVALUE('Procyfloc 500'!C232,".",","),IFERROR(_xludf.NUMBERVALUE('Procyfloc 500'!C232,",","."),0))))</f>
        <v/>
      </c>
      <c r="AE1231" t="str">
        <f>IF(AA1231="","",'Procyfloc 500'!L232)</f>
        <v/>
      </c>
      <c r="AF1231">
        <f t="shared" si="131"/>
        <v>0</v>
      </c>
      <c r="AG1231" t="str">
        <f t="shared" si="132"/>
        <v/>
      </c>
      <c r="AH1231" t="str">
        <f t="shared" si="133"/>
        <v/>
      </c>
      <c r="AI1231">
        <f t="shared" si="134"/>
        <v>0</v>
      </c>
      <c r="AJ1231">
        <f t="shared" si="135"/>
        <v>0</v>
      </c>
      <c r="AK1231">
        <v>0</v>
      </c>
      <c r="AL1231" t="str">
        <f>IF(AA1231="","",IFERROR(IF(ISNUMBER('Procyfloc 500'!D232),'Procyfloc 500'!D232,IF(ISNUMBER(SEARCH("12",'Procyfloc 500'!D232)),EDATE(AB1231,12),IF(ISNUMBER(SEARCH("6",'Procyfloc 500'!D232)),EDATE(AB1231,6),IF(ISNUMBER(SEARCH("3",'Procyfloc 500'!D232)),EDATE(AB1231,3),DATEVALUE('Procyfloc 500'!D232))))),""))</f>
        <v/>
      </c>
      <c r="AM1231" t="str">
        <f t="shared" ca="1" si="136"/>
        <v/>
      </c>
    </row>
    <row r="1232" spans="27:39" x14ac:dyDescent="0.3">
      <c r="AA1232" t="str">
        <f>IF(COUNTA('Procyfloc 500'!A233,'Procyfloc 500'!B233,'Procyfloc 500'!C233)&gt;0,"500","")</f>
        <v/>
      </c>
      <c r="AB1232" t="str">
        <f>IFERROR(IF(ISNUMBER('Procyfloc 500'!A233),'Procyfloc 500'!A233,DATEVALUE('Procyfloc 500'!A233)),"")</f>
        <v/>
      </c>
      <c r="AC1232" t="str">
        <f>IF(AA1232="","",'Procyfloc 500'!B233)</f>
        <v/>
      </c>
      <c r="AD1232" t="str">
        <f>IF(AA1232="","",IFERROR(1*'Procyfloc 500'!C233,IFERROR(_xludf.NUMBERVALUE('Procyfloc 500'!C233,".",","),IFERROR(_xludf.NUMBERVALUE('Procyfloc 500'!C233,",","."),0))))</f>
        <v/>
      </c>
      <c r="AE1232" t="str">
        <f>IF(AA1232="","",'Procyfloc 500'!L233)</f>
        <v/>
      </c>
      <c r="AF1232">
        <f t="shared" si="131"/>
        <v>0</v>
      </c>
      <c r="AG1232" t="str">
        <f t="shared" si="132"/>
        <v/>
      </c>
      <c r="AH1232" t="str">
        <f t="shared" si="133"/>
        <v/>
      </c>
      <c r="AI1232">
        <f t="shared" si="134"/>
        <v>0</v>
      </c>
      <c r="AJ1232">
        <f t="shared" si="135"/>
        <v>0</v>
      </c>
      <c r="AK1232">
        <v>0</v>
      </c>
      <c r="AL1232" t="str">
        <f>IF(AA1232="","",IFERROR(IF(ISNUMBER('Procyfloc 500'!D233),'Procyfloc 500'!D233,IF(ISNUMBER(SEARCH("12",'Procyfloc 500'!D233)),EDATE(AB1232,12),IF(ISNUMBER(SEARCH("6",'Procyfloc 500'!D233)),EDATE(AB1232,6),IF(ISNUMBER(SEARCH("3",'Procyfloc 500'!D233)),EDATE(AB1232,3),DATEVALUE('Procyfloc 500'!D233))))),""))</f>
        <v/>
      </c>
      <c r="AM1232" t="str">
        <f t="shared" ca="1" si="136"/>
        <v/>
      </c>
    </row>
    <row r="1233" spans="27:39" x14ac:dyDescent="0.3">
      <c r="AA1233" t="str">
        <f>IF(COUNTA('Procyfloc 500'!A234,'Procyfloc 500'!B234,'Procyfloc 500'!C234)&gt;0,"500","")</f>
        <v/>
      </c>
      <c r="AB1233" t="str">
        <f>IFERROR(IF(ISNUMBER('Procyfloc 500'!A234),'Procyfloc 500'!A234,DATEVALUE('Procyfloc 500'!A234)),"")</f>
        <v/>
      </c>
      <c r="AC1233" t="str">
        <f>IF(AA1233="","",'Procyfloc 500'!B234)</f>
        <v/>
      </c>
      <c r="AD1233" t="str">
        <f>IF(AA1233="","",IFERROR(1*'Procyfloc 500'!C234,IFERROR(_xludf.NUMBERVALUE('Procyfloc 500'!C234,".",","),IFERROR(_xludf.NUMBERVALUE('Procyfloc 500'!C234,",","."),0))))</f>
        <v/>
      </c>
      <c r="AE1233" t="str">
        <f>IF(AA1233="","",'Procyfloc 500'!L234)</f>
        <v/>
      </c>
      <c r="AF1233">
        <f t="shared" si="131"/>
        <v>0</v>
      </c>
      <c r="AG1233" t="str">
        <f t="shared" si="132"/>
        <v/>
      </c>
      <c r="AH1233" t="str">
        <f t="shared" si="133"/>
        <v/>
      </c>
      <c r="AI1233">
        <f t="shared" si="134"/>
        <v>0</v>
      </c>
      <c r="AJ1233">
        <f t="shared" si="135"/>
        <v>0</v>
      </c>
      <c r="AK1233">
        <v>0</v>
      </c>
      <c r="AL1233" t="str">
        <f>IF(AA1233="","",IFERROR(IF(ISNUMBER('Procyfloc 500'!D234),'Procyfloc 500'!D234,IF(ISNUMBER(SEARCH("12",'Procyfloc 500'!D234)),EDATE(AB1233,12),IF(ISNUMBER(SEARCH("6",'Procyfloc 500'!D234)),EDATE(AB1233,6),IF(ISNUMBER(SEARCH("3",'Procyfloc 500'!D234)),EDATE(AB1233,3),DATEVALUE('Procyfloc 500'!D234))))),""))</f>
        <v/>
      </c>
      <c r="AM1233" t="str">
        <f t="shared" ca="1" si="136"/>
        <v/>
      </c>
    </row>
    <row r="1234" spans="27:39" x14ac:dyDescent="0.3">
      <c r="AA1234" t="str">
        <f>IF(COUNTA('Procyfloc 500'!A235,'Procyfloc 500'!B235,'Procyfloc 500'!C235)&gt;0,"500","")</f>
        <v/>
      </c>
      <c r="AB1234" t="str">
        <f>IFERROR(IF(ISNUMBER('Procyfloc 500'!A235),'Procyfloc 500'!A235,DATEVALUE('Procyfloc 500'!A235)),"")</f>
        <v/>
      </c>
      <c r="AC1234" t="str">
        <f>IF(AA1234="","",'Procyfloc 500'!B235)</f>
        <v/>
      </c>
      <c r="AD1234" t="str">
        <f>IF(AA1234="","",IFERROR(1*'Procyfloc 500'!C235,IFERROR(_xludf.NUMBERVALUE('Procyfloc 500'!C235,".",","),IFERROR(_xludf.NUMBERVALUE('Procyfloc 500'!C235,",","."),0))))</f>
        <v/>
      </c>
      <c r="AE1234" t="str">
        <f>IF(AA1234="","",'Procyfloc 500'!L235)</f>
        <v/>
      </c>
      <c r="AF1234">
        <f t="shared" si="131"/>
        <v>0</v>
      </c>
      <c r="AG1234" t="str">
        <f t="shared" si="132"/>
        <v/>
      </c>
      <c r="AH1234" t="str">
        <f t="shared" si="133"/>
        <v/>
      </c>
      <c r="AI1234">
        <f t="shared" si="134"/>
        <v>0</v>
      </c>
      <c r="AJ1234">
        <f t="shared" si="135"/>
        <v>0</v>
      </c>
      <c r="AK1234">
        <v>0</v>
      </c>
      <c r="AL1234" t="str">
        <f>IF(AA1234="","",IFERROR(IF(ISNUMBER('Procyfloc 500'!D235),'Procyfloc 500'!D235,IF(ISNUMBER(SEARCH("12",'Procyfloc 500'!D235)),EDATE(AB1234,12),IF(ISNUMBER(SEARCH("6",'Procyfloc 500'!D235)),EDATE(AB1234,6),IF(ISNUMBER(SEARCH("3",'Procyfloc 500'!D235)),EDATE(AB1234,3),DATEVALUE('Procyfloc 500'!D235))))),""))</f>
        <v/>
      </c>
      <c r="AM1234" t="str">
        <f t="shared" ca="1" si="136"/>
        <v/>
      </c>
    </row>
    <row r="1235" spans="27:39" x14ac:dyDescent="0.3">
      <c r="AA1235" t="str">
        <f>IF(COUNTA('Procyfloc 500'!A236,'Procyfloc 500'!B236,'Procyfloc 500'!C236)&gt;0,"500","")</f>
        <v/>
      </c>
      <c r="AB1235" t="str">
        <f>IFERROR(IF(ISNUMBER('Procyfloc 500'!A236),'Procyfloc 500'!A236,DATEVALUE('Procyfloc 500'!A236)),"")</f>
        <v/>
      </c>
      <c r="AC1235" t="str">
        <f>IF(AA1235="","",'Procyfloc 500'!B236)</f>
        <v/>
      </c>
      <c r="AD1235" t="str">
        <f>IF(AA1235="","",IFERROR(1*'Procyfloc 500'!C236,IFERROR(_xludf.NUMBERVALUE('Procyfloc 500'!C236,".",","),IFERROR(_xludf.NUMBERVALUE('Procyfloc 500'!C236,",","."),0))))</f>
        <v/>
      </c>
      <c r="AE1235" t="str">
        <f>IF(AA1235="","",'Procyfloc 500'!L236)</f>
        <v/>
      </c>
      <c r="AF1235">
        <f t="shared" si="131"/>
        <v>0</v>
      </c>
      <c r="AG1235" t="str">
        <f t="shared" si="132"/>
        <v/>
      </c>
      <c r="AH1235" t="str">
        <f t="shared" si="133"/>
        <v/>
      </c>
      <c r="AI1235">
        <f t="shared" si="134"/>
        <v>0</v>
      </c>
      <c r="AJ1235">
        <f t="shared" si="135"/>
        <v>0</v>
      </c>
      <c r="AK1235">
        <v>0</v>
      </c>
      <c r="AL1235" t="str">
        <f>IF(AA1235="","",IFERROR(IF(ISNUMBER('Procyfloc 500'!D236),'Procyfloc 500'!D236,IF(ISNUMBER(SEARCH("12",'Procyfloc 500'!D236)),EDATE(AB1235,12),IF(ISNUMBER(SEARCH("6",'Procyfloc 500'!D236)),EDATE(AB1235,6),IF(ISNUMBER(SEARCH("3",'Procyfloc 500'!D236)),EDATE(AB1235,3),DATEVALUE('Procyfloc 500'!D236))))),""))</f>
        <v/>
      </c>
      <c r="AM1235" t="str">
        <f t="shared" ca="1" si="136"/>
        <v/>
      </c>
    </row>
    <row r="1236" spans="27:39" x14ac:dyDescent="0.3">
      <c r="AA1236" t="str">
        <f>IF(COUNTA('Procyfloc 500'!A237,'Procyfloc 500'!B237,'Procyfloc 500'!C237)&gt;0,"500","")</f>
        <v/>
      </c>
      <c r="AB1236" t="str">
        <f>IFERROR(IF(ISNUMBER('Procyfloc 500'!A237),'Procyfloc 500'!A237,DATEVALUE('Procyfloc 500'!A237)),"")</f>
        <v/>
      </c>
      <c r="AC1236" t="str">
        <f>IF(AA1236="","",'Procyfloc 500'!B237)</f>
        <v/>
      </c>
      <c r="AD1236" t="str">
        <f>IF(AA1236="","",IFERROR(1*'Procyfloc 500'!C237,IFERROR(_xludf.NUMBERVALUE('Procyfloc 500'!C237,".",","),IFERROR(_xludf.NUMBERVALUE('Procyfloc 500'!C237,",","."),0))))</f>
        <v/>
      </c>
      <c r="AE1236" t="str">
        <f>IF(AA1236="","",'Procyfloc 500'!L237)</f>
        <v/>
      </c>
      <c r="AF1236">
        <f t="shared" si="131"/>
        <v>0</v>
      </c>
      <c r="AG1236" t="str">
        <f t="shared" si="132"/>
        <v/>
      </c>
      <c r="AH1236" t="str">
        <f t="shared" si="133"/>
        <v/>
      </c>
      <c r="AI1236">
        <f t="shared" si="134"/>
        <v>0</v>
      </c>
      <c r="AJ1236">
        <f t="shared" si="135"/>
        <v>0</v>
      </c>
      <c r="AK1236">
        <v>0</v>
      </c>
      <c r="AL1236" t="str">
        <f>IF(AA1236="","",IFERROR(IF(ISNUMBER('Procyfloc 500'!D237),'Procyfloc 500'!D237,IF(ISNUMBER(SEARCH("12",'Procyfloc 500'!D237)),EDATE(AB1236,12),IF(ISNUMBER(SEARCH("6",'Procyfloc 500'!D237)),EDATE(AB1236,6),IF(ISNUMBER(SEARCH("3",'Procyfloc 500'!D237)),EDATE(AB1236,3),DATEVALUE('Procyfloc 500'!D237))))),""))</f>
        <v/>
      </c>
      <c r="AM1236" t="str">
        <f t="shared" ca="1" si="136"/>
        <v/>
      </c>
    </row>
    <row r="1237" spans="27:39" x14ac:dyDescent="0.3">
      <c r="AA1237" t="str">
        <f>IF(COUNTA('Procyfloc 500'!A238,'Procyfloc 500'!B238,'Procyfloc 500'!C238)&gt;0,"500","")</f>
        <v/>
      </c>
      <c r="AB1237" t="str">
        <f>IFERROR(IF(ISNUMBER('Procyfloc 500'!A238),'Procyfloc 500'!A238,DATEVALUE('Procyfloc 500'!A238)),"")</f>
        <v/>
      </c>
      <c r="AC1237" t="str">
        <f>IF(AA1237="","",'Procyfloc 500'!B238)</f>
        <v/>
      </c>
      <c r="AD1237" t="str">
        <f>IF(AA1237="","",IFERROR(1*'Procyfloc 500'!C238,IFERROR(_xludf.NUMBERVALUE('Procyfloc 500'!C238,".",","),IFERROR(_xludf.NUMBERVALUE('Procyfloc 500'!C238,",","."),0))))</f>
        <v/>
      </c>
      <c r="AE1237" t="str">
        <f>IF(AA1237="","",'Procyfloc 500'!L238)</f>
        <v/>
      </c>
      <c r="AF1237">
        <f t="shared" si="131"/>
        <v>0</v>
      </c>
      <c r="AG1237" t="str">
        <f t="shared" si="132"/>
        <v/>
      </c>
      <c r="AH1237" t="str">
        <f t="shared" si="133"/>
        <v/>
      </c>
      <c r="AI1237">
        <f t="shared" si="134"/>
        <v>0</v>
      </c>
      <c r="AJ1237">
        <f t="shared" si="135"/>
        <v>0</v>
      </c>
      <c r="AK1237">
        <v>0</v>
      </c>
      <c r="AL1237" t="str">
        <f>IF(AA1237="","",IFERROR(IF(ISNUMBER('Procyfloc 500'!D238),'Procyfloc 500'!D238,IF(ISNUMBER(SEARCH("12",'Procyfloc 500'!D238)),EDATE(AB1237,12),IF(ISNUMBER(SEARCH("6",'Procyfloc 500'!D238)),EDATE(AB1237,6),IF(ISNUMBER(SEARCH("3",'Procyfloc 500'!D238)),EDATE(AB1237,3),DATEVALUE('Procyfloc 500'!D238))))),""))</f>
        <v/>
      </c>
      <c r="AM1237" t="str">
        <f t="shared" ca="1" si="136"/>
        <v/>
      </c>
    </row>
    <row r="1238" spans="27:39" x14ac:dyDescent="0.3">
      <c r="AA1238" t="str">
        <f>IF(COUNTA('Procyfloc 500'!A239,'Procyfloc 500'!B239,'Procyfloc 500'!C239)&gt;0,"500","")</f>
        <v/>
      </c>
      <c r="AB1238" t="str">
        <f>IFERROR(IF(ISNUMBER('Procyfloc 500'!A239),'Procyfloc 500'!A239,DATEVALUE('Procyfloc 500'!A239)),"")</f>
        <v/>
      </c>
      <c r="AC1238" t="str">
        <f>IF(AA1238="","",'Procyfloc 500'!B239)</f>
        <v/>
      </c>
      <c r="AD1238" t="str">
        <f>IF(AA1238="","",IFERROR(1*'Procyfloc 500'!C239,IFERROR(_xludf.NUMBERVALUE('Procyfloc 500'!C239,".",","),IFERROR(_xludf.NUMBERVALUE('Procyfloc 500'!C239,",","."),0))))</f>
        <v/>
      </c>
      <c r="AE1238" t="str">
        <f>IF(AA1238="","",'Procyfloc 500'!L239)</f>
        <v/>
      </c>
      <c r="AF1238">
        <f t="shared" si="131"/>
        <v>0</v>
      </c>
      <c r="AG1238" t="str">
        <f t="shared" si="132"/>
        <v/>
      </c>
      <c r="AH1238" t="str">
        <f t="shared" si="133"/>
        <v/>
      </c>
      <c r="AI1238">
        <f t="shared" si="134"/>
        <v>0</v>
      </c>
      <c r="AJ1238">
        <f t="shared" si="135"/>
        <v>0</v>
      </c>
      <c r="AK1238">
        <v>0</v>
      </c>
      <c r="AL1238" t="str">
        <f>IF(AA1238="","",IFERROR(IF(ISNUMBER('Procyfloc 500'!D239),'Procyfloc 500'!D239,IF(ISNUMBER(SEARCH("12",'Procyfloc 500'!D239)),EDATE(AB1238,12),IF(ISNUMBER(SEARCH("6",'Procyfloc 500'!D239)),EDATE(AB1238,6),IF(ISNUMBER(SEARCH("3",'Procyfloc 500'!D239)),EDATE(AB1238,3),DATEVALUE('Procyfloc 500'!D239))))),""))</f>
        <v/>
      </c>
      <c r="AM1238" t="str">
        <f t="shared" ca="1" si="136"/>
        <v/>
      </c>
    </row>
    <row r="1239" spans="27:39" x14ac:dyDescent="0.3">
      <c r="AA1239" t="str">
        <f>IF(COUNTA('Procyfloc 500'!A240,'Procyfloc 500'!B240,'Procyfloc 500'!C240)&gt;0,"500","")</f>
        <v/>
      </c>
      <c r="AB1239" t="str">
        <f>IFERROR(IF(ISNUMBER('Procyfloc 500'!A240),'Procyfloc 500'!A240,DATEVALUE('Procyfloc 500'!A240)),"")</f>
        <v/>
      </c>
      <c r="AC1239" t="str">
        <f>IF(AA1239="","",'Procyfloc 500'!B240)</f>
        <v/>
      </c>
      <c r="AD1239" t="str">
        <f>IF(AA1239="","",IFERROR(1*'Procyfloc 500'!C240,IFERROR(_xludf.NUMBERVALUE('Procyfloc 500'!C240,".",","),IFERROR(_xludf.NUMBERVALUE('Procyfloc 500'!C240,",","."),0))))</f>
        <v/>
      </c>
      <c r="AE1239" t="str">
        <f>IF(AA1239="","",'Procyfloc 500'!L240)</f>
        <v/>
      </c>
      <c r="AF1239">
        <f t="shared" si="131"/>
        <v>0</v>
      </c>
      <c r="AG1239" t="str">
        <f t="shared" si="132"/>
        <v/>
      </c>
      <c r="AH1239" t="str">
        <f t="shared" si="133"/>
        <v/>
      </c>
      <c r="AI1239">
        <f t="shared" si="134"/>
        <v>0</v>
      </c>
      <c r="AJ1239">
        <f t="shared" si="135"/>
        <v>0</v>
      </c>
      <c r="AK1239">
        <v>0</v>
      </c>
      <c r="AL1239" t="str">
        <f>IF(AA1239="","",IFERROR(IF(ISNUMBER('Procyfloc 500'!D240),'Procyfloc 500'!D240,IF(ISNUMBER(SEARCH("12",'Procyfloc 500'!D240)),EDATE(AB1239,12),IF(ISNUMBER(SEARCH("6",'Procyfloc 500'!D240)),EDATE(AB1239,6),IF(ISNUMBER(SEARCH("3",'Procyfloc 500'!D240)),EDATE(AB1239,3),DATEVALUE('Procyfloc 500'!D240))))),""))</f>
        <v/>
      </c>
      <c r="AM1239" t="str">
        <f t="shared" ca="1" si="136"/>
        <v/>
      </c>
    </row>
    <row r="1240" spans="27:39" x14ac:dyDescent="0.3">
      <c r="AA1240" t="str">
        <f>IF(COUNTA('Procyfloc 500'!A241,'Procyfloc 500'!B241,'Procyfloc 500'!C241)&gt;0,"500","")</f>
        <v/>
      </c>
      <c r="AB1240" t="str">
        <f>IFERROR(IF(ISNUMBER('Procyfloc 500'!A241),'Procyfloc 500'!A241,DATEVALUE('Procyfloc 500'!A241)),"")</f>
        <v/>
      </c>
      <c r="AC1240" t="str">
        <f>IF(AA1240="","",'Procyfloc 500'!B241)</f>
        <v/>
      </c>
      <c r="AD1240" t="str">
        <f>IF(AA1240="","",IFERROR(1*'Procyfloc 500'!C241,IFERROR(_xludf.NUMBERVALUE('Procyfloc 500'!C241,".",","),IFERROR(_xludf.NUMBERVALUE('Procyfloc 500'!C241,",","."),0))))</f>
        <v/>
      </c>
      <c r="AE1240" t="str">
        <f>IF(AA1240="","",'Procyfloc 500'!L241)</f>
        <v/>
      </c>
      <c r="AF1240">
        <f t="shared" si="131"/>
        <v>0</v>
      </c>
      <c r="AG1240" t="str">
        <f t="shared" si="132"/>
        <v/>
      </c>
      <c r="AH1240" t="str">
        <f t="shared" si="133"/>
        <v/>
      </c>
      <c r="AI1240">
        <f t="shared" si="134"/>
        <v>0</v>
      </c>
      <c r="AJ1240">
        <f t="shared" si="135"/>
        <v>0</v>
      </c>
      <c r="AK1240">
        <v>0</v>
      </c>
      <c r="AL1240" t="str">
        <f>IF(AA1240="","",IFERROR(IF(ISNUMBER('Procyfloc 500'!D241),'Procyfloc 500'!D241,IF(ISNUMBER(SEARCH("12",'Procyfloc 500'!D241)),EDATE(AB1240,12),IF(ISNUMBER(SEARCH("6",'Procyfloc 500'!D241)),EDATE(AB1240,6),IF(ISNUMBER(SEARCH("3",'Procyfloc 500'!D241)),EDATE(AB1240,3),DATEVALUE('Procyfloc 500'!D241))))),""))</f>
        <v/>
      </c>
      <c r="AM1240" t="str">
        <f t="shared" ca="1" si="136"/>
        <v/>
      </c>
    </row>
    <row r="1241" spans="27:39" x14ac:dyDescent="0.3">
      <c r="AA1241" t="str">
        <f>IF(COUNTA('Procyfloc 500'!A242,'Procyfloc 500'!B242,'Procyfloc 500'!C242)&gt;0,"500","")</f>
        <v/>
      </c>
      <c r="AB1241" t="str">
        <f>IFERROR(IF(ISNUMBER('Procyfloc 500'!A242),'Procyfloc 500'!A242,DATEVALUE('Procyfloc 500'!A242)),"")</f>
        <v/>
      </c>
      <c r="AC1241" t="str">
        <f>IF(AA1241="","",'Procyfloc 500'!B242)</f>
        <v/>
      </c>
      <c r="AD1241" t="str">
        <f>IF(AA1241="","",IFERROR(1*'Procyfloc 500'!C242,IFERROR(_xludf.NUMBERVALUE('Procyfloc 500'!C242,".",","),IFERROR(_xludf.NUMBERVALUE('Procyfloc 500'!C242,",","."),0))))</f>
        <v/>
      </c>
      <c r="AE1241" t="str">
        <f>IF(AA1241="","",'Procyfloc 500'!L242)</f>
        <v/>
      </c>
      <c r="AF1241">
        <f t="shared" si="131"/>
        <v>0</v>
      </c>
      <c r="AG1241" t="str">
        <f t="shared" si="132"/>
        <v/>
      </c>
      <c r="AH1241" t="str">
        <f t="shared" si="133"/>
        <v/>
      </c>
      <c r="AI1241">
        <f t="shared" si="134"/>
        <v>0</v>
      </c>
      <c r="AJ1241">
        <f t="shared" si="135"/>
        <v>0</v>
      </c>
      <c r="AK1241">
        <v>0</v>
      </c>
      <c r="AL1241" t="str">
        <f>IF(AA1241="","",IFERROR(IF(ISNUMBER('Procyfloc 500'!D242),'Procyfloc 500'!D242,IF(ISNUMBER(SEARCH("12",'Procyfloc 500'!D242)),EDATE(AB1241,12),IF(ISNUMBER(SEARCH("6",'Procyfloc 500'!D242)),EDATE(AB1241,6),IF(ISNUMBER(SEARCH("3",'Procyfloc 500'!D242)),EDATE(AB1241,3),DATEVALUE('Procyfloc 500'!D242))))),""))</f>
        <v/>
      </c>
      <c r="AM1241" t="str">
        <f t="shared" ca="1" si="136"/>
        <v/>
      </c>
    </row>
    <row r="1242" spans="27:39" x14ac:dyDescent="0.3">
      <c r="AA1242" t="str">
        <f>IF(COUNTA('Procyfloc 500'!A243,'Procyfloc 500'!B243,'Procyfloc 500'!C243)&gt;0,"500","")</f>
        <v/>
      </c>
      <c r="AB1242" t="str">
        <f>IFERROR(IF(ISNUMBER('Procyfloc 500'!A243),'Procyfloc 500'!A243,DATEVALUE('Procyfloc 500'!A243)),"")</f>
        <v/>
      </c>
      <c r="AC1242" t="str">
        <f>IF(AA1242="","",'Procyfloc 500'!B243)</f>
        <v/>
      </c>
      <c r="AD1242" t="str">
        <f>IF(AA1242="","",IFERROR(1*'Procyfloc 500'!C243,IFERROR(_xludf.NUMBERVALUE('Procyfloc 500'!C243,".",","),IFERROR(_xludf.NUMBERVALUE('Procyfloc 500'!C243,",","."),0))))</f>
        <v/>
      </c>
      <c r="AE1242" t="str">
        <f>IF(AA1242="","",'Procyfloc 500'!L243)</f>
        <v/>
      </c>
      <c r="AF1242">
        <f t="shared" si="131"/>
        <v>0</v>
      </c>
      <c r="AG1242" t="str">
        <f t="shared" si="132"/>
        <v/>
      </c>
      <c r="AH1242" t="str">
        <f t="shared" si="133"/>
        <v/>
      </c>
      <c r="AI1242">
        <f t="shared" si="134"/>
        <v>0</v>
      </c>
      <c r="AJ1242">
        <f t="shared" si="135"/>
        <v>0</v>
      </c>
      <c r="AK1242">
        <v>0</v>
      </c>
      <c r="AL1242" t="str">
        <f>IF(AA1242="","",IFERROR(IF(ISNUMBER('Procyfloc 500'!D243),'Procyfloc 500'!D243,IF(ISNUMBER(SEARCH("12",'Procyfloc 500'!D243)),EDATE(AB1242,12),IF(ISNUMBER(SEARCH("6",'Procyfloc 500'!D243)),EDATE(AB1242,6),IF(ISNUMBER(SEARCH("3",'Procyfloc 500'!D243)),EDATE(AB1242,3),DATEVALUE('Procyfloc 500'!D243))))),""))</f>
        <v/>
      </c>
      <c r="AM1242" t="str">
        <f t="shared" ca="1" si="136"/>
        <v/>
      </c>
    </row>
    <row r="1243" spans="27:39" x14ac:dyDescent="0.3">
      <c r="AA1243" t="str">
        <f>IF(COUNTA('Procyfloc 500'!A244,'Procyfloc 500'!B244,'Procyfloc 500'!C244)&gt;0,"500","")</f>
        <v/>
      </c>
      <c r="AB1243" t="str">
        <f>IFERROR(IF(ISNUMBER('Procyfloc 500'!A244),'Procyfloc 500'!A244,DATEVALUE('Procyfloc 500'!A244)),"")</f>
        <v/>
      </c>
      <c r="AC1243" t="str">
        <f>IF(AA1243="","",'Procyfloc 500'!B244)</f>
        <v/>
      </c>
      <c r="AD1243" t="str">
        <f>IF(AA1243="","",IFERROR(1*'Procyfloc 500'!C244,IFERROR(_xludf.NUMBERVALUE('Procyfloc 500'!C244,".",","),IFERROR(_xludf.NUMBERVALUE('Procyfloc 500'!C244,",","."),0))))</f>
        <v/>
      </c>
      <c r="AE1243" t="str">
        <f>IF(AA1243="","",'Procyfloc 500'!L244)</f>
        <v/>
      </c>
      <c r="AF1243">
        <f t="shared" si="131"/>
        <v>0</v>
      </c>
      <c r="AG1243" t="str">
        <f t="shared" si="132"/>
        <v/>
      </c>
      <c r="AH1243" t="str">
        <f t="shared" si="133"/>
        <v/>
      </c>
      <c r="AI1243">
        <f t="shared" si="134"/>
        <v>0</v>
      </c>
      <c r="AJ1243">
        <f t="shared" si="135"/>
        <v>0</v>
      </c>
      <c r="AK1243">
        <v>0</v>
      </c>
      <c r="AL1243" t="str">
        <f>IF(AA1243="","",IFERROR(IF(ISNUMBER('Procyfloc 500'!D244),'Procyfloc 500'!D244,IF(ISNUMBER(SEARCH("12",'Procyfloc 500'!D244)),EDATE(AB1243,12),IF(ISNUMBER(SEARCH("6",'Procyfloc 500'!D244)),EDATE(AB1243,6),IF(ISNUMBER(SEARCH("3",'Procyfloc 500'!D244)),EDATE(AB1243,3),DATEVALUE('Procyfloc 500'!D244))))),""))</f>
        <v/>
      </c>
      <c r="AM1243" t="str">
        <f t="shared" ca="1" si="136"/>
        <v/>
      </c>
    </row>
    <row r="1244" spans="27:39" x14ac:dyDescent="0.3">
      <c r="AA1244" t="str">
        <f>IF(COUNTA('Procyfloc 500'!A245,'Procyfloc 500'!B245,'Procyfloc 500'!C245)&gt;0,"500","")</f>
        <v/>
      </c>
      <c r="AB1244" t="str">
        <f>IFERROR(IF(ISNUMBER('Procyfloc 500'!A245),'Procyfloc 500'!A245,DATEVALUE('Procyfloc 500'!A245)),"")</f>
        <v/>
      </c>
      <c r="AC1244" t="str">
        <f>IF(AA1244="","",'Procyfloc 500'!B245)</f>
        <v/>
      </c>
      <c r="AD1244" t="str">
        <f>IF(AA1244="","",IFERROR(1*'Procyfloc 500'!C245,IFERROR(_xludf.NUMBERVALUE('Procyfloc 500'!C245,".",","),IFERROR(_xludf.NUMBERVALUE('Procyfloc 500'!C245,",","."),0))))</f>
        <v/>
      </c>
      <c r="AE1244" t="str">
        <f>IF(AA1244="","",'Procyfloc 500'!L245)</f>
        <v/>
      </c>
      <c r="AF1244">
        <f t="shared" si="131"/>
        <v>0</v>
      </c>
      <c r="AG1244" t="str">
        <f t="shared" si="132"/>
        <v/>
      </c>
      <c r="AH1244" t="str">
        <f t="shared" si="133"/>
        <v/>
      </c>
      <c r="AI1244">
        <f t="shared" si="134"/>
        <v>0</v>
      </c>
      <c r="AJ1244">
        <f t="shared" si="135"/>
        <v>0</v>
      </c>
      <c r="AK1244">
        <v>0</v>
      </c>
      <c r="AL1244" t="str">
        <f>IF(AA1244="","",IFERROR(IF(ISNUMBER('Procyfloc 500'!D245),'Procyfloc 500'!D245,IF(ISNUMBER(SEARCH("12",'Procyfloc 500'!D245)),EDATE(AB1244,12),IF(ISNUMBER(SEARCH("6",'Procyfloc 500'!D245)),EDATE(AB1244,6),IF(ISNUMBER(SEARCH("3",'Procyfloc 500'!D245)),EDATE(AB1244,3),DATEVALUE('Procyfloc 500'!D245))))),""))</f>
        <v/>
      </c>
      <c r="AM1244" t="str">
        <f t="shared" ca="1" si="136"/>
        <v/>
      </c>
    </row>
    <row r="1245" spans="27:39" x14ac:dyDescent="0.3">
      <c r="AA1245" t="str">
        <f>IF(COUNTA('Procyfloc 500'!A246,'Procyfloc 500'!B246,'Procyfloc 500'!C246)&gt;0,"500","")</f>
        <v/>
      </c>
      <c r="AB1245" t="str">
        <f>IFERROR(IF(ISNUMBER('Procyfloc 500'!A246),'Procyfloc 500'!A246,DATEVALUE('Procyfloc 500'!A246)),"")</f>
        <v/>
      </c>
      <c r="AC1245" t="str">
        <f>IF(AA1245="","",'Procyfloc 500'!B246)</f>
        <v/>
      </c>
      <c r="AD1245" t="str">
        <f>IF(AA1245="","",IFERROR(1*'Procyfloc 500'!C246,IFERROR(_xludf.NUMBERVALUE('Procyfloc 500'!C246,".",","),IFERROR(_xludf.NUMBERVALUE('Procyfloc 500'!C246,",","."),0))))</f>
        <v/>
      </c>
      <c r="AE1245" t="str">
        <f>IF(AA1245="","",'Procyfloc 500'!L246)</f>
        <v/>
      </c>
      <c r="AF1245">
        <f t="shared" si="131"/>
        <v>0</v>
      </c>
      <c r="AG1245" t="str">
        <f t="shared" si="132"/>
        <v/>
      </c>
      <c r="AH1245" t="str">
        <f t="shared" si="133"/>
        <v/>
      </c>
      <c r="AI1245">
        <f t="shared" si="134"/>
        <v>0</v>
      </c>
      <c r="AJ1245">
        <f t="shared" si="135"/>
        <v>0</v>
      </c>
      <c r="AK1245">
        <v>0</v>
      </c>
      <c r="AL1245" t="str">
        <f>IF(AA1245="","",IFERROR(IF(ISNUMBER('Procyfloc 500'!D246),'Procyfloc 500'!D246,IF(ISNUMBER(SEARCH("12",'Procyfloc 500'!D246)),EDATE(AB1245,12),IF(ISNUMBER(SEARCH("6",'Procyfloc 500'!D246)),EDATE(AB1245,6),IF(ISNUMBER(SEARCH("3",'Procyfloc 500'!D246)),EDATE(AB1245,3),DATEVALUE('Procyfloc 500'!D246))))),""))</f>
        <v/>
      </c>
      <c r="AM1245" t="str">
        <f t="shared" ca="1" si="136"/>
        <v/>
      </c>
    </row>
    <row r="1246" spans="27:39" x14ac:dyDescent="0.3">
      <c r="AA1246" t="str">
        <f>IF(COUNTA('Procyfloc 500'!A247,'Procyfloc 500'!B247,'Procyfloc 500'!C247)&gt;0,"500","")</f>
        <v/>
      </c>
      <c r="AB1246" t="str">
        <f>IFERROR(IF(ISNUMBER('Procyfloc 500'!A247),'Procyfloc 500'!A247,DATEVALUE('Procyfloc 500'!A247)),"")</f>
        <v/>
      </c>
      <c r="AC1246" t="str">
        <f>IF(AA1246="","",'Procyfloc 500'!B247)</f>
        <v/>
      </c>
      <c r="AD1246" t="str">
        <f>IF(AA1246="","",IFERROR(1*'Procyfloc 500'!C247,IFERROR(_xludf.NUMBERVALUE('Procyfloc 500'!C247,".",","),IFERROR(_xludf.NUMBERVALUE('Procyfloc 500'!C247,",","."),0))))</f>
        <v/>
      </c>
      <c r="AE1246" t="str">
        <f>IF(AA1246="","",'Procyfloc 500'!L247)</f>
        <v/>
      </c>
      <c r="AF1246">
        <f t="shared" si="131"/>
        <v>0</v>
      </c>
      <c r="AG1246" t="str">
        <f t="shared" si="132"/>
        <v/>
      </c>
      <c r="AH1246" t="str">
        <f t="shared" si="133"/>
        <v/>
      </c>
      <c r="AI1246">
        <f t="shared" si="134"/>
        <v>0</v>
      </c>
      <c r="AJ1246">
        <f t="shared" si="135"/>
        <v>0</v>
      </c>
      <c r="AK1246">
        <v>0</v>
      </c>
      <c r="AL1246" t="str">
        <f>IF(AA1246="","",IFERROR(IF(ISNUMBER('Procyfloc 500'!D247),'Procyfloc 500'!D247,IF(ISNUMBER(SEARCH("12",'Procyfloc 500'!D247)),EDATE(AB1246,12),IF(ISNUMBER(SEARCH("6",'Procyfloc 500'!D247)),EDATE(AB1246,6),IF(ISNUMBER(SEARCH("3",'Procyfloc 500'!D247)),EDATE(AB1246,3),DATEVALUE('Procyfloc 500'!D247))))),""))</f>
        <v/>
      </c>
      <c r="AM1246" t="str">
        <f t="shared" ca="1" si="136"/>
        <v/>
      </c>
    </row>
    <row r="1247" spans="27:39" x14ac:dyDescent="0.3">
      <c r="AA1247" t="str">
        <f>IF(COUNTA('Procyfloc 500'!A248,'Procyfloc 500'!B248,'Procyfloc 500'!C248)&gt;0,"500","")</f>
        <v/>
      </c>
      <c r="AB1247" t="str">
        <f>IFERROR(IF(ISNUMBER('Procyfloc 500'!A248),'Procyfloc 500'!A248,DATEVALUE('Procyfloc 500'!A248)),"")</f>
        <v/>
      </c>
      <c r="AC1247" t="str">
        <f>IF(AA1247="","",'Procyfloc 500'!B248)</f>
        <v/>
      </c>
      <c r="AD1247" t="str">
        <f>IF(AA1247="","",IFERROR(1*'Procyfloc 500'!C248,IFERROR(_xludf.NUMBERVALUE('Procyfloc 500'!C248,".",","),IFERROR(_xludf.NUMBERVALUE('Procyfloc 500'!C248,",","."),0))))</f>
        <v/>
      </c>
      <c r="AE1247" t="str">
        <f>IF(AA1247="","",'Procyfloc 500'!L248)</f>
        <v/>
      </c>
      <c r="AF1247">
        <f t="shared" si="131"/>
        <v>0</v>
      </c>
      <c r="AG1247" t="str">
        <f t="shared" si="132"/>
        <v/>
      </c>
      <c r="AH1247" t="str">
        <f t="shared" si="133"/>
        <v/>
      </c>
      <c r="AI1247">
        <f t="shared" si="134"/>
        <v>0</v>
      </c>
      <c r="AJ1247">
        <f t="shared" si="135"/>
        <v>0</v>
      </c>
      <c r="AK1247">
        <v>0</v>
      </c>
      <c r="AL1247" t="str">
        <f>IF(AA1247="","",IFERROR(IF(ISNUMBER('Procyfloc 500'!D248),'Procyfloc 500'!D248,IF(ISNUMBER(SEARCH("12",'Procyfloc 500'!D248)),EDATE(AB1247,12),IF(ISNUMBER(SEARCH("6",'Procyfloc 500'!D248)),EDATE(AB1247,6),IF(ISNUMBER(SEARCH("3",'Procyfloc 500'!D248)),EDATE(AB1247,3),DATEVALUE('Procyfloc 500'!D248))))),""))</f>
        <v/>
      </c>
      <c r="AM1247" t="str">
        <f t="shared" ca="1" si="136"/>
        <v/>
      </c>
    </row>
    <row r="1248" spans="27:39" x14ac:dyDescent="0.3">
      <c r="AA1248" t="str">
        <f>IF(COUNTA('Procyfloc 500'!A249,'Procyfloc 500'!B249,'Procyfloc 500'!C249)&gt;0,"500","")</f>
        <v/>
      </c>
      <c r="AB1248" t="str">
        <f>IFERROR(IF(ISNUMBER('Procyfloc 500'!A249),'Procyfloc 500'!A249,DATEVALUE('Procyfloc 500'!A249)),"")</f>
        <v/>
      </c>
      <c r="AC1248" t="str">
        <f>IF(AA1248="","",'Procyfloc 500'!B249)</f>
        <v/>
      </c>
      <c r="AD1248" t="str">
        <f>IF(AA1248="","",IFERROR(1*'Procyfloc 500'!C249,IFERROR(_xludf.NUMBERVALUE('Procyfloc 500'!C249,".",","),IFERROR(_xludf.NUMBERVALUE('Procyfloc 500'!C249,",","."),0))))</f>
        <v/>
      </c>
      <c r="AE1248" t="str">
        <f>IF(AA1248="","",'Procyfloc 500'!L249)</f>
        <v/>
      </c>
      <c r="AF1248">
        <f t="shared" si="131"/>
        <v>0</v>
      </c>
      <c r="AG1248" t="str">
        <f t="shared" si="132"/>
        <v/>
      </c>
      <c r="AH1248" t="str">
        <f t="shared" si="133"/>
        <v/>
      </c>
      <c r="AI1248">
        <f t="shared" si="134"/>
        <v>0</v>
      </c>
      <c r="AJ1248">
        <f t="shared" si="135"/>
        <v>0</v>
      </c>
      <c r="AK1248">
        <v>0</v>
      </c>
      <c r="AL1248" t="str">
        <f>IF(AA1248="","",IFERROR(IF(ISNUMBER('Procyfloc 500'!D249),'Procyfloc 500'!D249,IF(ISNUMBER(SEARCH("12",'Procyfloc 500'!D249)),EDATE(AB1248,12),IF(ISNUMBER(SEARCH("6",'Procyfloc 500'!D249)),EDATE(AB1248,6),IF(ISNUMBER(SEARCH("3",'Procyfloc 500'!D249)),EDATE(AB1248,3),DATEVALUE('Procyfloc 500'!D249))))),""))</f>
        <v/>
      </c>
      <c r="AM1248" t="str">
        <f t="shared" ca="1" si="136"/>
        <v/>
      </c>
    </row>
    <row r="1249" spans="27:39" x14ac:dyDescent="0.3">
      <c r="AA1249" t="str">
        <f>IF(COUNTA('Procyfloc 500'!A250,'Procyfloc 500'!B250,'Procyfloc 500'!C250)&gt;0,"500","")</f>
        <v/>
      </c>
      <c r="AB1249" t="str">
        <f>IFERROR(IF(ISNUMBER('Procyfloc 500'!A250),'Procyfloc 500'!A250,DATEVALUE('Procyfloc 500'!A250)),"")</f>
        <v/>
      </c>
      <c r="AC1249" t="str">
        <f>IF(AA1249="","",'Procyfloc 500'!B250)</f>
        <v/>
      </c>
      <c r="AD1249" t="str">
        <f>IF(AA1249="","",IFERROR(1*'Procyfloc 500'!C250,IFERROR(_xludf.NUMBERVALUE('Procyfloc 500'!C250,".",","),IFERROR(_xludf.NUMBERVALUE('Procyfloc 500'!C250,",","."),0))))</f>
        <v/>
      </c>
      <c r="AE1249" t="str">
        <f>IF(AA1249="","",'Procyfloc 500'!L250)</f>
        <v/>
      </c>
      <c r="AF1249">
        <f t="shared" si="131"/>
        <v>0</v>
      </c>
      <c r="AG1249" t="str">
        <f t="shared" si="132"/>
        <v/>
      </c>
      <c r="AH1249" t="str">
        <f t="shared" si="133"/>
        <v/>
      </c>
      <c r="AI1249">
        <f t="shared" si="134"/>
        <v>0</v>
      </c>
      <c r="AJ1249">
        <f t="shared" si="135"/>
        <v>0</v>
      </c>
      <c r="AK1249">
        <v>0</v>
      </c>
      <c r="AL1249" t="str">
        <f>IF(AA1249="","",IFERROR(IF(ISNUMBER('Procyfloc 500'!D250),'Procyfloc 500'!D250,IF(ISNUMBER(SEARCH("12",'Procyfloc 500'!D250)),EDATE(AB1249,12),IF(ISNUMBER(SEARCH("6",'Procyfloc 500'!D250)),EDATE(AB1249,6),IF(ISNUMBER(SEARCH("3",'Procyfloc 500'!D250)),EDATE(AB1249,3),DATEVALUE('Procyfloc 500'!D250))))),""))</f>
        <v/>
      </c>
      <c r="AM1249" t="str">
        <f t="shared" ca="1" si="136"/>
        <v/>
      </c>
    </row>
    <row r="1250" spans="27:39" x14ac:dyDescent="0.3">
      <c r="AA1250" t="str">
        <f>IF(COUNTA('Procyfloc 500'!A251,'Procyfloc 500'!B251,'Procyfloc 500'!C251)&gt;0,"500","")</f>
        <v/>
      </c>
      <c r="AB1250" t="str">
        <f>IFERROR(IF(ISNUMBER('Procyfloc 500'!A251),'Procyfloc 500'!A251,DATEVALUE('Procyfloc 500'!A251)),"")</f>
        <v/>
      </c>
      <c r="AC1250" t="str">
        <f>IF(AA1250="","",'Procyfloc 500'!B251)</f>
        <v/>
      </c>
      <c r="AD1250" t="str">
        <f>IF(AA1250="","",IFERROR(1*'Procyfloc 500'!C251,IFERROR(_xludf.NUMBERVALUE('Procyfloc 500'!C251,".",","),IFERROR(_xludf.NUMBERVALUE('Procyfloc 500'!C251,",","."),0))))</f>
        <v/>
      </c>
      <c r="AE1250" t="str">
        <f>IF(AA1250="","",'Procyfloc 500'!L251)</f>
        <v/>
      </c>
      <c r="AF1250">
        <f t="shared" si="131"/>
        <v>0</v>
      </c>
      <c r="AG1250" t="str">
        <f t="shared" si="132"/>
        <v/>
      </c>
      <c r="AH1250" t="str">
        <f t="shared" si="133"/>
        <v/>
      </c>
      <c r="AI1250">
        <f t="shared" si="134"/>
        <v>0</v>
      </c>
      <c r="AJ1250">
        <f t="shared" si="135"/>
        <v>0</v>
      </c>
      <c r="AK1250">
        <v>0</v>
      </c>
      <c r="AL1250" t="str">
        <f>IF(AA1250="","",IFERROR(IF(ISNUMBER('Procyfloc 500'!D251),'Procyfloc 500'!D251,IF(ISNUMBER(SEARCH("12",'Procyfloc 500'!D251)),EDATE(AB1250,12),IF(ISNUMBER(SEARCH("6",'Procyfloc 500'!D251)),EDATE(AB1250,6),IF(ISNUMBER(SEARCH("3",'Procyfloc 500'!D251)),EDATE(AB1250,3),DATEVALUE('Procyfloc 500'!D251))))),""))</f>
        <v/>
      </c>
      <c r="AM1250" t="str">
        <f t="shared" ca="1" si="136"/>
        <v/>
      </c>
    </row>
    <row r="1251" spans="27:39" x14ac:dyDescent="0.3">
      <c r="AA1251" t="str">
        <f>IF(COUNTA('Procyfloc 500'!A252,'Procyfloc 500'!B252,'Procyfloc 500'!C252)&gt;0,"500","")</f>
        <v/>
      </c>
      <c r="AB1251" t="str">
        <f>IFERROR(IF(ISNUMBER('Procyfloc 500'!A252),'Procyfloc 500'!A252,DATEVALUE('Procyfloc 500'!A252)),"")</f>
        <v/>
      </c>
      <c r="AC1251" t="str">
        <f>IF(AA1251="","",'Procyfloc 500'!B252)</f>
        <v/>
      </c>
      <c r="AD1251" t="str">
        <f>IF(AA1251="","",IFERROR(1*'Procyfloc 500'!C252,IFERROR(_xludf.NUMBERVALUE('Procyfloc 500'!C252,".",","),IFERROR(_xludf.NUMBERVALUE('Procyfloc 500'!C252,",","."),0))))</f>
        <v/>
      </c>
      <c r="AE1251" t="str">
        <f>IF(AA1251="","",'Procyfloc 500'!L252)</f>
        <v/>
      </c>
      <c r="AF1251">
        <f t="shared" si="131"/>
        <v>0</v>
      </c>
      <c r="AG1251" t="str">
        <f t="shared" si="132"/>
        <v/>
      </c>
      <c r="AH1251" t="str">
        <f t="shared" si="133"/>
        <v/>
      </c>
      <c r="AI1251">
        <f t="shared" si="134"/>
        <v>0</v>
      </c>
      <c r="AJ1251">
        <f t="shared" si="135"/>
        <v>0</v>
      </c>
      <c r="AK1251">
        <v>0</v>
      </c>
      <c r="AL1251" t="str">
        <f>IF(AA1251="","",IFERROR(IF(ISNUMBER('Procyfloc 500'!D252),'Procyfloc 500'!D252,IF(ISNUMBER(SEARCH("12",'Procyfloc 500'!D252)),EDATE(AB1251,12),IF(ISNUMBER(SEARCH("6",'Procyfloc 500'!D252)),EDATE(AB1251,6),IF(ISNUMBER(SEARCH("3",'Procyfloc 500'!D252)),EDATE(AB1251,3),DATEVALUE('Procyfloc 500'!D252))))),""))</f>
        <v/>
      </c>
      <c r="AM1251" t="str">
        <f t="shared" ca="1" si="136"/>
        <v/>
      </c>
    </row>
    <row r="1252" spans="27:39" x14ac:dyDescent="0.3">
      <c r="AA1252" t="str">
        <f>IF(COUNTA('Procyfloc 500'!A253,'Procyfloc 500'!B253,'Procyfloc 500'!C253)&gt;0,"500","")</f>
        <v/>
      </c>
      <c r="AB1252" t="str">
        <f>IFERROR(IF(ISNUMBER('Procyfloc 500'!A253),'Procyfloc 500'!A253,DATEVALUE('Procyfloc 500'!A253)),"")</f>
        <v/>
      </c>
      <c r="AC1252" t="str">
        <f>IF(AA1252="","",'Procyfloc 500'!B253)</f>
        <v/>
      </c>
      <c r="AD1252" t="str">
        <f>IF(AA1252="","",IFERROR(1*'Procyfloc 500'!C253,IFERROR(_xludf.NUMBERVALUE('Procyfloc 500'!C253,".",","),IFERROR(_xludf.NUMBERVALUE('Procyfloc 500'!C253,",","."),0))))</f>
        <v/>
      </c>
      <c r="AE1252" t="str">
        <f>IF(AA1252="","",'Procyfloc 500'!L253)</f>
        <v/>
      </c>
      <c r="AF1252">
        <f t="shared" si="131"/>
        <v>0</v>
      </c>
      <c r="AG1252" t="str">
        <f t="shared" si="132"/>
        <v/>
      </c>
      <c r="AH1252" t="str">
        <f t="shared" si="133"/>
        <v/>
      </c>
      <c r="AI1252">
        <f t="shared" si="134"/>
        <v>0</v>
      </c>
      <c r="AJ1252">
        <f t="shared" si="135"/>
        <v>0</v>
      </c>
      <c r="AK1252">
        <v>0</v>
      </c>
      <c r="AL1252" t="str">
        <f>IF(AA1252="","",IFERROR(IF(ISNUMBER('Procyfloc 500'!D253),'Procyfloc 500'!D253,IF(ISNUMBER(SEARCH("12",'Procyfloc 500'!D253)),EDATE(AB1252,12),IF(ISNUMBER(SEARCH("6",'Procyfloc 500'!D253)),EDATE(AB1252,6),IF(ISNUMBER(SEARCH("3",'Procyfloc 500'!D253)),EDATE(AB1252,3),DATEVALUE('Procyfloc 500'!D253))))),""))</f>
        <v/>
      </c>
      <c r="AM1252" t="str">
        <f t="shared" ca="1" si="136"/>
        <v/>
      </c>
    </row>
    <row r="1253" spans="27:39" x14ac:dyDescent="0.3">
      <c r="AA1253" t="str">
        <f>IF(COUNTA('Procyfloc 500'!A254,'Procyfloc 500'!B254,'Procyfloc 500'!C254)&gt;0,"500","")</f>
        <v/>
      </c>
      <c r="AB1253" t="str">
        <f>IFERROR(IF(ISNUMBER('Procyfloc 500'!A254),'Procyfloc 500'!A254,DATEVALUE('Procyfloc 500'!A254)),"")</f>
        <v/>
      </c>
      <c r="AC1253" t="str">
        <f>IF(AA1253="","",'Procyfloc 500'!B254)</f>
        <v/>
      </c>
      <c r="AD1253" t="str">
        <f>IF(AA1253="","",IFERROR(1*'Procyfloc 500'!C254,IFERROR(_xludf.NUMBERVALUE('Procyfloc 500'!C254,".",","),IFERROR(_xludf.NUMBERVALUE('Procyfloc 500'!C254,",","."),0))))</f>
        <v/>
      </c>
      <c r="AE1253" t="str">
        <f>IF(AA1253="","",'Procyfloc 500'!L254)</f>
        <v/>
      </c>
      <c r="AF1253">
        <f t="shared" si="131"/>
        <v>0</v>
      </c>
      <c r="AG1253" t="str">
        <f t="shared" si="132"/>
        <v/>
      </c>
      <c r="AH1253" t="str">
        <f t="shared" si="133"/>
        <v/>
      </c>
      <c r="AI1253">
        <f t="shared" si="134"/>
        <v>0</v>
      </c>
      <c r="AJ1253">
        <f t="shared" si="135"/>
        <v>0</v>
      </c>
      <c r="AK1253">
        <v>0</v>
      </c>
      <c r="AL1253" t="str">
        <f>IF(AA1253="","",IFERROR(IF(ISNUMBER('Procyfloc 500'!D254),'Procyfloc 500'!D254,IF(ISNUMBER(SEARCH("12",'Procyfloc 500'!D254)),EDATE(AB1253,12),IF(ISNUMBER(SEARCH("6",'Procyfloc 500'!D254)),EDATE(AB1253,6),IF(ISNUMBER(SEARCH("3",'Procyfloc 500'!D254)),EDATE(AB1253,3),DATEVALUE('Procyfloc 500'!D254))))),""))</f>
        <v/>
      </c>
      <c r="AM1253" t="str">
        <f t="shared" ca="1" si="136"/>
        <v/>
      </c>
    </row>
    <row r="1254" spans="27:39" x14ac:dyDescent="0.3">
      <c r="AA1254" t="str">
        <f>IF(COUNTA('Procyfloc 500'!A255,'Procyfloc 500'!B255,'Procyfloc 500'!C255)&gt;0,"500","")</f>
        <v/>
      </c>
      <c r="AB1254" t="str">
        <f>IFERROR(IF(ISNUMBER('Procyfloc 500'!A255),'Procyfloc 500'!A255,DATEVALUE('Procyfloc 500'!A255)),"")</f>
        <v/>
      </c>
      <c r="AC1254" t="str">
        <f>IF(AA1254="","",'Procyfloc 500'!B255)</f>
        <v/>
      </c>
      <c r="AD1254" t="str">
        <f>IF(AA1254="","",IFERROR(1*'Procyfloc 500'!C255,IFERROR(_xludf.NUMBERVALUE('Procyfloc 500'!C255,".",","),IFERROR(_xludf.NUMBERVALUE('Procyfloc 500'!C255,",","."),0))))</f>
        <v/>
      </c>
      <c r="AE1254" t="str">
        <f>IF(AA1254="","",'Procyfloc 500'!L255)</f>
        <v/>
      </c>
      <c r="AF1254">
        <f t="shared" si="131"/>
        <v>0</v>
      </c>
      <c r="AG1254" t="str">
        <f t="shared" si="132"/>
        <v/>
      </c>
      <c r="AH1254" t="str">
        <f t="shared" si="133"/>
        <v/>
      </c>
      <c r="AI1254">
        <f t="shared" si="134"/>
        <v>0</v>
      </c>
      <c r="AJ1254">
        <f t="shared" si="135"/>
        <v>0</v>
      </c>
      <c r="AK1254">
        <v>0</v>
      </c>
      <c r="AL1254" t="str">
        <f>IF(AA1254="","",IFERROR(IF(ISNUMBER('Procyfloc 500'!D255),'Procyfloc 500'!D255,IF(ISNUMBER(SEARCH("12",'Procyfloc 500'!D255)),EDATE(AB1254,12),IF(ISNUMBER(SEARCH("6",'Procyfloc 500'!D255)),EDATE(AB1254,6),IF(ISNUMBER(SEARCH("3",'Procyfloc 500'!D255)),EDATE(AB1254,3),DATEVALUE('Procyfloc 500'!D255))))),""))</f>
        <v/>
      </c>
      <c r="AM1254" t="str">
        <f t="shared" ca="1" si="136"/>
        <v/>
      </c>
    </row>
    <row r="1255" spans="27:39" x14ac:dyDescent="0.3">
      <c r="AA1255" t="str">
        <f>IF(COUNTA('Procyfloc 500'!A256,'Procyfloc 500'!B256,'Procyfloc 500'!C256)&gt;0,"500","")</f>
        <v/>
      </c>
      <c r="AB1255" t="str">
        <f>IFERROR(IF(ISNUMBER('Procyfloc 500'!A256),'Procyfloc 500'!A256,DATEVALUE('Procyfloc 500'!A256)),"")</f>
        <v/>
      </c>
      <c r="AC1255" t="str">
        <f>IF(AA1255="","",'Procyfloc 500'!B256)</f>
        <v/>
      </c>
      <c r="AD1255" t="str">
        <f>IF(AA1255="","",IFERROR(1*'Procyfloc 500'!C256,IFERROR(_xludf.NUMBERVALUE('Procyfloc 500'!C256,".",","),IFERROR(_xludf.NUMBERVALUE('Procyfloc 500'!C256,",","."),0))))</f>
        <v/>
      </c>
      <c r="AE1255" t="str">
        <f>IF(AA1255="","",'Procyfloc 500'!L256)</f>
        <v/>
      </c>
      <c r="AF1255">
        <f t="shared" si="131"/>
        <v>0</v>
      </c>
      <c r="AG1255" t="str">
        <f t="shared" si="132"/>
        <v/>
      </c>
      <c r="AH1255" t="str">
        <f t="shared" si="133"/>
        <v/>
      </c>
      <c r="AI1255">
        <f t="shared" si="134"/>
        <v>0</v>
      </c>
      <c r="AJ1255">
        <f t="shared" si="135"/>
        <v>0</v>
      </c>
      <c r="AK1255">
        <v>0</v>
      </c>
      <c r="AL1255" t="str">
        <f>IF(AA1255="","",IFERROR(IF(ISNUMBER('Procyfloc 500'!D256),'Procyfloc 500'!D256,IF(ISNUMBER(SEARCH("12",'Procyfloc 500'!D256)),EDATE(AB1255,12),IF(ISNUMBER(SEARCH("6",'Procyfloc 500'!D256)),EDATE(AB1255,6),IF(ISNUMBER(SEARCH("3",'Procyfloc 500'!D256)),EDATE(AB1255,3),DATEVALUE('Procyfloc 500'!D256))))),""))</f>
        <v/>
      </c>
      <c r="AM1255" t="str">
        <f t="shared" ca="1" si="136"/>
        <v/>
      </c>
    </row>
    <row r="1256" spans="27:39" x14ac:dyDescent="0.3">
      <c r="AA1256" t="str">
        <f>IF(COUNTA('Procyfloc 500'!A257,'Procyfloc 500'!B257,'Procyfloc 500'!C257)&gt;0,"500","")</f>
        <v/>
      </c>
      <c r="AB1256" t="str">
        <f>IFERROR(IF(ISNUMBER('Procyfloc 500'!A257),'Procyfloc 500'!A257,DATEVALUE('Procyfloc 500'!A257)),"")</f>
        <v/>
      </c>
      <c r="AC1256" t="str">
        <f>IF(AA1256="","",'Procyfloc 500'!B257)</f>
        <v/>
      </c>
      <c r="AD1256" t="str">
        <f>IF(AA1256="","",IFERROR(1*'Procyfloc 500'!C257,IFERROR(_xludf.NUMBERVALUE('Procyfloc 500'!C257,".",","),IFERROR(_xludf.NUMBERVALUE('Procyfloc 500'!C257,",","."),0))))</f>
        <v/>
      </c>
      <c r="AE1256" t="str">
        <f>IF(AA1256="","",'Procyfloc 500'!L257)</f>
        <v/>
      </c>
      <c r="AF1256">
        <f t="shared" si="131"/>
        <v>0</v>
      </c>
      <c r="AG1256" t="str">
        <f t="shared" si="132"/>
        <v/>
      </c>
      <c r="AH1256" t="str">
        <f t="shared" si="133"/>
        <v/>
      </c>
      <c r="AI1256">
        <f t="shared" si="134"/>
        <v>0</v>
      </c>
      <c r="AJ1256">
        <f t="shared" si="135"/>
        <v>0</v>
      </c>
      <c r="AK1256">
        <v>0</v>
      </c>
      <c r="AL1256" t="str">
        <f>IF(AA1256="","",IFERROR(IF(ISNUMBER('Procyfloc 500'!D257),'Procyfloc 500'!D257,IF(ISNUMBER(SEARCH("12",'Procyfloc 500'!D257)),EDATE(AB1256,12),IF(ISNUMBER(SEARCH("6",'Procyfloc 500'!D257)),EDATE(AB1256,6),IF(ISNUMBER(SEARCH("3",'Procyfloc 500'!D257)),EDATE(AB1256,3),DATEVALUE('Procyfloc 500'!D257))))),""))</f>
        <v/>
      </c>
      <c r="AM1256" t="str">
        <f t="shared" ca="1" si="136"/>
        <v/>
      </c>
    </row>
    <row r="1257" spans="27:39" x14ac:dyDescent="0.3">
      <c r="AA1257" t="str">
        <f>IF(COUNTA('Procyfloc 500'!A258,'Procyfloc 500'!B258,'Procyfloc 500'!C258)&gt;0,"500","")</f>
        <v/>
      </c>
      <c r="AB1257" t="str">
        <f>IFERROR(IF(ISNUMBER('Procyfloc 500'!A258),'Procyfloc 500'!A258,DATEVALUE('Procyfloc 500'!A258)),"")</f>
        <v/>
      </c>
      <c r="AC1257" t="str">
        <f>IF(AA1257="","",'Procyfloc 500'!B258)</f>
        <v/>
      </c>
      <c r="AD1257" t="str">
        <f>IF(AA1257="","",IFERROR(1*'Procyfloc 500'!C258,IFERROR(_xludf.NUMBERVALUE('Procyfloc 500'!C258,".",","),IFERROR(_xludf.NUMBERVALUE('Procyfloc 500'!C258,",","."),0))))</f>
        <v/>
      </c>
      <c r="AE1257" t="str">
        <f>IF(AA1257="","",'Procyfloc 500'!L258)</f>
        <v/>
      </c>
      <c r="AF1257">
        <f t="shared" si="131"/>
        <v>0</v>
      </c>
      <c r="AG1257" t="str">
        <f t="shared" si="132"/>
        <v/>
      </c>
      <c r="AH1257" t="str">
        <f t="shared" si="133"/>
        <v/>
      </c>
      <c r="AI1257">
        <f t="shared" si="134"/>
        <v>0</v>
      </c>
      <c r="AJ1257">
        <f t="shared" si="135"/>
        <v>0</v>
      </c>
      <c r="AK1257">
        <v>0</v>
      </c>
      <c r="AL1257" t="str">
        <f>IF(AA1257="","",IFERROR(IF(ISNUMBER('Procyfloc 500'!D258),'Procyfloc 500'!D258,IF(ISNUMBER(SEARCH("12",'Procyfloc 500'!D258)),EDATE(AB1257,12),IF(ISNUMBER(SEARCH("6",'Procyfloc 500'!D258)),EDATE(AB1257,6),IF(ISNUMBER(SEARCH("3",'Procyfloc 500'!D258)),EDATE(AB1257,3),DATEVALUE('Procyfloc 500'!D258))))),""))</f>
        <v/>
      </c>
      <c r="AM1257" t="str">
        <f t="shared" ca="1" si="136"/>
        <v/>
      </c>
    </row>
    <row r="1258" spans="27:39" x14ac:dyDescent="0.3">
      <c r="AA1258" t="str">
        <f>IF(COUNTA('Procyfloc 500'!A259,'Procyfloc 500'!B259,'Procyfloc 500'!C259)&gt;0,"500","")</f>
        <v/>
      </c>
      <c r="AB1258" t="str">
        <f>IFERROR(IF(ISNUMBER('Procyfloc 500'!A259),'Procyfloc 500'!A259,DATEVALUE('Procyfloc 500'!A259)),"")</f>
        <v/>
      </c>
      <c r="AC1258" t="str">
        <f>IF(AA1258="","",'Procyfloc 500'!B259)</f>
        <v/>
      </c>
      <c r="AD1258" t="str">
        <f>IF(AA1258="","",IFERROR(1*'Procyfloc 500'!C259,IFERROR(_xludf.NUMBERVALUE('Procyfloc 500'!C259,".",","),IFERROR(_xludf.NUMBERVALUE('Procyfloc 500'!C259,",","."),0))))</f>
        <v/>
      </c>
      <c r="AE1258" t="str">
        <f>IF(AA1258="","",'Procyfloc 500'!L259)</f>
        <v/>
      </c>
      <c r="AF1258">
        <f t="shared" si="131"/>
        <v>0</v>
      </c>
      <c r="AG1258" t="str">
        <f t="shared" si="132"/>
        <v/>
      </c>
      <c r="AH1258" t="str">
        <f t="shared" si="133"/>
        <v/>
      </c>
      <c r="AI1258">
        <f t="shared" si="134"/>
        <v>0</v>
      </c>
      <c r="AJ1258">
        <f t="shared" si="135"/>
        <v>0</v>
      </c>
      <c r="AK1258">
        <v>0</v>
      </c>
      <c r="AL1258" t="str">
        <f>IF(AA1258="","",IFERROR(IF(ISNUMBER('Procyfloc 500'!D259),'Procyfloc 500'!D259,IF(ISNUMBER(SEARCH("12",'Procyfloc 500'!D259)),EDATE(AB1258,12),IF(ISNUMBER(SEARCH("6",'Procyfloc 500'!D259)),EDATE(AB1258,6),IF(ISNUMBER(SEARCH("3",'Procyfloc 500'!D259)),EDATE(AB1258,3),DATEVALUE('Procyfloc 500'!D259))))),""))</f>
        <v/>
      </c>
      <c r="AM1258" t="str">
        <f t="shared" ca="1" si="136"/>
        <v/>
      </c>
    </row>
    <row r="1259" spans="27:39" x14ac:dyDescent="0.3">
      <c r="AA1259" t="str">
        <f>IF(COUNTA('Procyfloc 500'!A260,'Procyfloc 500'!B260,'Procyfloc 500'!C260)&gt;0,"500","")</f>
        <v/>
      </c>
      <c r="AB1259" t="str">
        <f>IFERROR(IF(ISNUMBER('Procyfloc 500'!A260),'Procyfloc 500'!A260,DATEVALUE('Procyfloc 500'!A260)),"")</f>
        <v/>
      </c>
      <c r="AC1259" t="str">
        <f>IF(AA1259="","",'Procyfloc 500'!B260)</f>
        <v/>
      </c>
      <c r="AD1259" t="str">
        <f>IF(AA1259="","",IFERROR(1*'Procyfloc 500'!C260,IFERROR(_xludf.NUMBERVALUE('Procyfloc 500'!C260,".",","),IFERROR(_xludf.NUMBERVALUE('Procyfloc 500'!C260,",","."),0))))</f>
        <v/>
      </c>
      <c r="AE1259" t="str">
        <f>IF(AA1259="","",'Procyfloc 500'!L260)</f>
        <v/>
      </c>
      <c r="AF1259">
        <f t="shared" si="131"/>
        <v>0</v>
      </c>
      <c r="AG1259" t="str">
        <f t="shared" si="132"/>
        <v/>
      </c>
      <c r="AH1259" t="str">
        <f t="shared" si="133"/>
        <v/>
      </c>
      <c r="AI1259">
        <f t="shared" si="134"/>
        <v>0</v>
      </c>
      <c r="AJ1259">
        <f t="shared" si="135"/>
        <v>0</v>
      </c>
      <c r="AK1259">
        <v>0</v>
      </c>
      <c r="AL1259" t="str">
        <f>IF(AA1259="","",IFERROR(IF(ISNUMBER('Procyfloc 500'!D260),'Procyfloc 500'!D260,IF(ISNUMBER(SEARCH("12",'Procyfloc 500'!D260)),EDATE(AB1259,12),IF(ISNUMBER(SEARCH("6",'Procyfloc 500'!D260)),EDATE(AB1259,6),IF(ISNUMBER(SEARCH("3",'Procyfloc 500'!D260)),EDATE(AB1259,3),DATEVALUE('Procyfloc 500'!D260))))),""))</f>
        <v/>
      </c>
      <c r="AM1259" t="str">
        <f t="shared" ca="1" si="136"/>
        <v/>
      </c>
    </row>
    <row r="1260" spans="27:39" x14ac:dyDescent="0.3">
      <c r="AA1260" t="str">
        <f>IF(COUNTA('Procyfloc 500'!A261,'Procyfloc 500'!B261,'Procyfloc 500'!C261)&gt;0,"500","")</f>
        <v/>
      </c>
      <c r="AB1260" t="str">
        <f>IFERROR(IF(ISNUMBER('Procyfloc 500'!A261),'Procyfloc 500'!A261,DATEVALUE('Procyfloc 500'!A261)),"")</f>
        <v/>
      </c>
      <c r="AC1260" t="str">
        <f>IF(AA1260="","",'Procyfloc 500'!B261)</f>
        <v/>
      </c>
      <c r="AD1260" t="str">
        <f>IF(AA1260="","",IFERROR(1*'Procyfloc 500'!C261,IFERROR(_xludf.NUMBERVALUE('Procyfloc 500'!C261,".",","),IFERROR(_xludf.NUMBERVALUE('Procyfloc 500'!C261,",","."),0))))</f>
        <v/>
      </c>
      <c r="AE1260" t="str">
        <f>IF(AA1260="","",'Procyfloc 500'!L261)</f>
        <v/>
      </c>
      <c r="AF1260">
        <f t="shared" si="131"/>
        <v>0</v>
      </c>
      <c r="AG1260" t="str">
        <f t="shared" si="132"/>
        <v/>
      </c>
      <c r="AH1260" t="str">
        <f t="shared" si="133"/>
        <v/>
      </c>
      <c r="AI1260">
        <f t="shared" si="134"/>
        <v>0</v>
      </c>
      <c r="AJ1260">
        <f t="shared" si="135"/>
        <v>0</v>
      </c>
      <c r="AK1260">
        <v>0</v>
      </c>
      <c r="AL1260" t="str">
        <f>IF(AA1260="","",IFERROR(IF(ISNUMBER('Procyfloc 500'!D261),'Procyfloc 500'!D261,IF(ISNUMBER(SEARCH("12",'Procyfloc 500'!D261)),EDATE(AB1260,12),IF(ISNUMBER(SEARCH("6",'Procyfloc 500'!D261)),EDATE(AB1260,6),IF(ISNUMBER(SEARCH("3",'Procyfloc 500'!D261)),EDATE(AB1260,3),DATEVALUE('Procyfloc 500'!D261))))),""))</f>
        <v/>
      </c>
      <c r="AM1260" t="str">
        <f t="shared" ca="1" si="136"/>
        <v/>
      </c>
    </row>
    <row r="1261" spans="27:39" x14ac:dyDescent="0.3">
      <c r="AA1261" t="str">
        <f>IF(COUNTA('Procyfloc 500'!A262,'Procyfloc 500'!B262,'Procyfloc 500'!C262)&gt;0,"500","")</f>
        <v/>
      </c>
      <c r="AB1261" t="str">
        <f>IFERROR(IF(ISNUMBER('Procyfloc 500'!A262),'Procyfloc 500'!A262,DATEVALUE('Procyfloc 500'!A262)),"")</f>
        <v/>
      </c>
      <c r="AC1261" t="str">
        <f>IF(AA1261="","",'Procyfloc 500'!B262)</f>
        <v/>
      </c>
      <c r="AD1261" t="str">
        <f>IF(AA1261="","",IFERROR(1*'Procyfloc 500'!C262,IFERROR(_xludf.NUMBERVALUE('Procyfloc 500'!C262,".",","),IFERROR(_xludf.NUMBERVALUE('Procyfloc 500'!C262,",","."),0))))</f>
        <v/>
      </c>
      <c r="AE1261" t="str">
        <f>IF(AA1261="","",'Procyfloc 500'!L262)</f>
        <v/>
      </c>
      <c r="AF1261">
        <f t="shared" si="131"/>
        <v>0</v>
      </c>
      <c r="AG1261" t="str">
        <f t="shared" si="132"/>
        <v/>
      </c>
      <c r="AH1261" t="str">
        <f t="shared" si="133"/>
        <v/>
      </c>
      <c r="AI1261">
        <f t="shared" si="134"/>
        <v>0</v>
      </c>
      <c r="AJ1261">
        <f t="shared" si="135"/>
        <v>0</v>
      </c>
      <c r="AK1261">
        <v>0</v>
      </c>
      <c r="AL1261" t="str">
        <f>IF(AA1261="","",IFERROR(IF(ISNUMBER('Procyfloc 500'!D262),'Procyfloc 500'!D262,IF(ISNUMBER(SEARCH("12",'Procyfloc 500'!D262)),EDATE(AB1261,12),IF(ISNUMBER(SEARCH("6",'Procyfloc 500'!D262)),EDATE(AB1261,6),IF(ISNUMBER(SEARCH("3",'Procyfloc 500'!D262)),EDATE(AB1261,3),DATEVALUE('Procyfloc 500'!D262))))),""))</f>
        <v/>
      </c>
      <c r="AM1261" t="str">
        <f t="shared" ca="1" si="136"/>
        <v/>
      </c>
    </row>
    <row r="1262" spans="27:39" x14ac:dyDescent="0.3">
      <c r="AA1262" t="str">
        <f>IF(COUNTA('Procyfloc 500'!A263,'Procyfloc 500'!B263,'Procyfloc 500'!C263)&gt;0,"500","")</f>
        <v/>
      </c>
      <c r="AB1262" t="str">
        <f>IFERROR(IF(ISNUMBER('Procyfloc 500'!A263),'Procyfloc 500'!A263,DATEVALUE('Procyfloc 500'!A263)),"")</f>
        <v/>
      </c>
      <c r="AC1262" t="str">
        <f>IF(AA1262="","",'Procyfloc 500'!B263)</f>
        <v/>
      </c>
      <c r="AD1262" t="str">
        <f>IF(AA1262="","",IFERROR(1*'Procyfloc 500'!C263,IFERROR(_xludf.NUMBERVALUE('Procyfloc 500'!C263,".",","),IFERROR(_xludf.NUMBERVALUE('Procyfloc 500'!C263,",","."),0))))</f>
        <v/>
      </c>
      <c r="AE1262" t="str">
        <f>IF(AA1262="","",'Procyfloc 500'!L263)</f>
        <v/>
      </c>
      <c r="AF1262">
        <f t="shared" si="131"/>
        <v>0</v>
      </c>
      <c r="AG1262" t="str">
        <f t="shared" si="132"/>
        <v/>
      </c>
      <c r="AH1262" t="str">
        <f t="shared" si="133"/>
        <v/>
      </c>
      <c r="AI1262">
        <f t="shared" si="134"/>
        <v>0</v>
      </c>
      <c r="AJ1262">
        <f t="shared" si="135"/>
        <v>0</v>
      </c>
      <c r="AK1262">
        <v>0</v>
      </c>
      <c r="AL1262" t="str">
        <f>IF(AA1262="","",IFERROR(IF(ISNUMBER('Procyfloc 500'!D263),'Procyfloc 500'!D263,IF(ISNUMBER(SEARCH("12",'Procyfloc 500'!D263)),EDATE(AB1262,12),IF(ISNUMBER(SEARCH("6",'Procyfloc 500'!D263)),EDATE(AB1262,6),IF(ISNUMBER(SEARCH("3",'Procyfloc 500'!D263)),EDATE(AB1262,3),DATEVALUE('Procyfloc 500'!D263))))),""))</f>
        <v/>
      </c>
      <c r="AM1262" t="str">
        <f t="shared" ca="1" si="136"/>
        <v/>
      </c>
    </row>
    <row r="1263" spans="27:39" x14ac:dyDescent="0.3">
      <c r="AA1263" t="str">
        <f>IF(COUNTA('Procyfloc 500'!A264,'Procyfloc 500'!B264,'Procyfloc 500'!C264)&gt;0,"500","")</f>
        <v/>
      </c>
      <c r="AB1263" t="str">
        <f>IFERROR(IF(ISNUMBER('Procyfloc 500'!A264),'Procyfloc 500'!A264,DATEVALUE('Procyfloc 500'!A264)),"")</f>
        <v/>
      </c>
      <c r="AC1263" t="str">
        <f>IF(AA1263="","",'Procyfloc 500'!B264)</f>
        <v/>
      </c>
      <c r="AD1263" t="str">
        <f>IF(AA1263="","",IFERROR(1*'Procyfloc 500'!C264,IFERROR(_xludf.NUMBERVALUE('Procyfloc 500'!C264,".",","),IFERROR(_xludf.NUMBERVALUE('Procyfloc 500'!C264,",","."),0))))</f>
        <v/>
      </c>
      <c r="AE1263" t="str">
        <f>IF(AA1263="","",'Procyfloc 500'!L264)</f>
        <v/>
      </c>
      <c r="AF1263">
        <f t="shared" si="131"/>
        <v>0</v>
      </c>
      <c r="AG1263" t="str">
        <f t="shared" si="132"/>
        <v/>
      </c>
      <c r="AH1263" t="str">
        <f t="shared" si="133"/>
        <v/>
      </c>
      <c r="AI1263">
        <f t="shared" si="134"/>
        <v>0</v>
      </c>
      <c r="AJ1263">
        <f t="shared" si="135"/>
        <v>0</v>
      </c>
      <c r="AK1263">
        <v>0</v>
      </c>
      <c r="AL1263" t="str">
        <f>IF(AA1263="","",IFERROR(IF(ISNUMBER('Procyfloc 500'!D264),'Procyfloc 500'!D264,IF(ISNUMBER(SEARCH("12",'Procyfloc 500'!D264)),EDATE(AB1263,12),IF(ISNUMBER(SEARCH("6",'Procyfloc 500'!D264)),EDATE(AB1263,6),IF(ISNUMBER(SEARCH("3",'Procyfloc 500'!D264)),EDATE(AB1263,3),DATEVALUE('Procyfloc 500'!D264))))),""))</f>
        <v/>
      </c>
      <c r="AM1263" t="str">
        <f t="shared" ca="1" si="136"/>
        <v/>
      </c>
    </row>
    <row r="1264" spans="27:39" x14ac:dyDescent="0.3">
      <c r="AA1264" t="str">
        <f>IF(COUNTA('Procyfloc 500'!A265,'Procyfloc 500'!B265,'Procyfloc 500'!C265)&gt;0,"500","")</f>
        <v/>
      </c>
      <c r="AB1264" t="str">
        <f>IFERROR(IF(ISNUMBER('Procyfloc 500'!A265),'Procyfloc 500'!A265,DATEVALUE('Procyfloc 500'!A265)),"")</f>
        <v/>
      </c>
      <c r="AC1264" t="str">
        <f>IF(AA1264="","",'Procyfloc 500'!B265)</f>
        <v/>
      </c>
      <c r="AD1264" t="str">
        <f>IF(AA1264="","",IFERROR(1*'Procyfloc 500'!C265,IFERROR(_xludf.NUMBERVALUE('Procyfloc 500'!C265,".",","),IFERROR(_xludf.NUMBERVALUE('Procyfloc 500'!C265,",","."),0))))</f>
        <v/>
      </c>
      <c r="AE1264" t="str">
        <f>IF(AA1264="","",'Procyfloc 500'!L265)</f>
        <v/>
      </c>
      <c r="AF1264">
        <f t="shared" si="131"/>
        <v>0</v>
      </c>
      <c r="AG1264" t="str">
        <f t="shared" si="132"/>
        <v/>
      </c>
      <c r="AH1264" t="str">
        <f t="shared" si="133"/>
        <v/>
      </c>
      <c r="AI1264">
        <f t="shared" si="134"/>
        <v>0</v>
      </c>
      <c r="AJ1264">
        <f t="shared" si="135"/>
        <v>0</v>
      </c>
      <c r="AK1264">
        <v>0</v>
      </c>
      <c r="AL1264" t="str">
        <f>IF(AA1264="","",IFERROR(IF(ISNUMBER('Procyfloc 500'!D265),'Procyfloc 500'!D265,IF(ISNUMBER(SEARCH("12",'Procyfloc 500'!D265)),EDATE(AB1264,12),IF(ISNUMBER(SEARCH("6",'Procyfloc 500'!D265)),EDATE(AB1264,6),IF(ISNUMBER(SEARCH("3",'Procyfloc 500'!D265)),EDATE(AB1264,3),DATEVALUE('Procyfloc 500'!D265))))),""))</f>
        <v/>
      </c>
      <c r="AM1264" t="str">
        <f t="shared" ca="1" si="136"/>
        <v/>
      </c>
    </row>
    <row r="1265" spans="27:39" x14ac:dyDescent="0.3">
      <c r="AA1265" t="str">
        <f>IF(COUNTA('Procyfloc 500'!A266,'Procyfloc 500'!B266,'Procyfloc 500'!C266)&gt;0,"500","")</f>
        <v/>
      </c>
      <c r="AB1265" t="str">
        <f>IFERROR(IF(ISNUMBER('Procyfloc 500'!A266),'Procyfloc 500'!A266,DATEVALUE('Procyfloc 500'!A266)),"")</f>
        <v/>
      </c>
      <c r="AC1265" t="str">
        <f>IF(AA1265="","",'Procyfloc 500'!B266)</f>
        <v/>
      </c>
      <c r="AD1265" t="str">
        <f>IF(AA1265="","",IFERROR(1*'Procyfloc 500'!C266,IFERROR(_xludf.NUMBERVALUE('Procyfloc 500'!C266,".",","),IFERROR(_xludf.NUMBERVALUE('Procyfloc 500'!C266,",","."),0))))</f>
        <v/>
      </c>
      <c r="AE1265" t="str">
        <f>IF(AA1265="","",'Procyfloc 500'!L266)</f>
        <v/>
      </c>
      <c r="AF1265">
        <f t="shared" si="131"/>
        <v>0</v>
      </c>
      <c r="AG1265" t="str">
        <f t="shared" si="132"/>
        <v/>
      </c>
      <c r="AH1265" t="str">
        <f t="shared" si="133"/>
        <v/>
      </c>
      <c r="AI1265">
        <f t="shared" si="134"/>
        <v>0</v>
      </c>
      <c r="AJ1265">
        <f t="shared" si="135"/>
        <v>0</v>
      </c>
      <c r="AK1265">
        <v>0</v>
      </c>
      <c r="AL1265" t="str">
        <f>IF(AA1265="","",IFERROR(IF(ISNUMBER('Procyfloc 500'!D266),'Procyfloc 500'!D266,IF(ISNUMBER(SEARCH("12",'Procyfloc 500'!D266)),EDATE(AB1265,12),IF(ISNUMBER(SEARCH("6",'Procyfloc 500'!D266)),EDATE(AB1265,6),IF(ISNUMBER(SEARCH("3",'Procyfloc 500'!D266)),EDATE(AB1265,3),DATEVALUE('Procyfloc 500'!D266))))),""))</f>
        <v/>
      </c>
      <c r="AM1265" t="str">
        <f t="shared" ca="1" si="136"/>
        <v/>
      </c>
    </row>
    <row r="1266" spans="27:39" x14ac:dyDescent="0.3">
      <c r="AA1266" t="str">
        <f>IF(COUNTA('Procyfloc 500'!A267,'Procyfloc 500'!B267,'Procyfloc 500'!C267)&gt;0,"500","")</f>
        <v/>
      </c>
      <c r="AB1266" t="str">
        <f>IFERROR(IF(ISNUMBER('Procyfloc 500'!A267),'Procyfloc 500'!A267,DATEVALUE('Procyfloc 500'!A267)),"")</f>
        <v/>
      </c>
      <c r="AC1266" t="str">
        <f>IF(AA1266="","",'Procyfloc 500'!B267)</f>
        <v/>
      </c>
      <c r="AD1266" t="str">
        <f>IF(AA1266="","",IFERROR(1*'Procyfloc 500'!C267,IFERROR(_xludf.NUMBERVALUE('Procyfloc 500'!C267,".",","),IFERROR(_xludf.NUMBERVALUE('Procyfloc 500'!C267,",","."),0))))</f>
        <v/>
      </c>
      <c r="AE1266" t="str">
        <f>IF(AA1266="","",'Procyfloc 500'!L267)</f>
        <v/>
      </c>
      <c r="AF1266">
        <f t="shared" si="131"/>
        <v>0</v>
      </c>
      <c r="AG1266" t="str">
        <f t="shared" si="132"/>
        <v/>
      </c>
      <c r="AH1266" t="str">
        <f t="shared" si="133"/>
        <v/>
      </c>
      <c r="AI1266">
        <f t="shared" si="134"/>
        <v>0</v>
      </c>
      <c r="AJ1266">
        <f t="shared" si="135"/>
        <v>0</v>
      </c>
      <c r="AK1266">
        <v>0</v>
      </c>
      <c r="AL1266" t="str">
        <f>IF(AA1266="","",IFERROR(IF(ISNUMBER('Procyfloc 500'!D267),'Procyfloc 500'!D267,IF(ISNUMBER(SEARCH("12",'Procyfloc 500'!D267)),EDATE(AB1266,12),IF(ISNUMBER(SEARCH("6",'Procyfloc 500'!D267)),EDATE(AB1266,6),IF(ISNUMBER(SEARCH("3",'Procyfloc 500'!D267)),EDATE(AB1266,3),DATEVALUE('Procyfloc 500'!D267))))),""))</f>
        <v/>
      </c>
      <c r="AM1266" t="str">
        <f t="shared" ca="1" si="136"/>
        <v/>
      </c>
    </row>
    <row r="1267" spans="27:39" x14ac:dyDescent="0.3">
      <c r="AA1267" t="str">
        <f>IF(COUNTA('Procyfloc 500'!A268,'Procyfloc 500'!B268,'Procyfloc 500'!C268)&gt;0,"500","")</f>
        <v/>
      </c>
      <c r="AB1267" t="str">
        <f>IFERROR(IF(ISNUMBER('Procyfloc 500'!A268),'Procyfloc 500'!A268,DATEVALUE('Procyfloc 500'!A268)),"")</f>
        <v/>
      </c>
      <c r="AC1267" t="str">
        <f>IF(AA1267="","",'Procyfloc 500'!B268)</f>
        <v/>
      </c>
      <c r="AD1267" t="str">
        <f>IF(AA1267="","",IFERROR(1*'Procyfloc 500'!C268,IFERROR(_xludf.NUMBERVALUE('Procyfloc 500'!C268,".",","),IFERROR(_xludf.NUMBERVALUE('Procyfloc 500'!C268,",","."),0))))</f>
        <v/>
      </c>
      <c r="AE1267" t="str">
        <f>IF(AA1267="","",'Procyfloc 500'!L268)</f>
        <v/>
      </c>
      <c r="AF1267">
        <f t="shared" si="131"/>
        <v>0</v>
      </c>
      <c r="AG1267" t="str">
        <f t="shared" si="132"/>
        <v/>
      </c>
      <c r="AH1267" t="str">
        <f t="shared" si="133"/>
        <v/>
      </c>
      <c r="AI1267">
        <f t="shared" si="134"/>
        <v>0</v>
      </c>
      <c r="AJ1267">
        <f t="shared" si="135"/>
        <v>0</v>
      </c>
      <c r="AK1267">
        <v>0</v>
      </c>
      <c r="AL1267" t="str">
        <f>IF(AA1267="","",IFERROR(IF(ISNUMBER('Procyfloc 500'!D268),'Procyfloc 500'!D268,IF(ISNUMBER(SEARCH("12",'Procyfloc 500'!D268)),EDATE(AB1267,12),IF(ISNUMBER(SEARCH("6",'Procyfloc 500'!D268)),EDATE(AB1267,6),IF(ISNUMBER(SEARCH("3",'Procyfloc 500'!D268)),EDATE(AB1267,3),DATEVALUE('Procyfloc 500'!D268))))),""))</f>
        <v/>
      </c>
      <c r="AM1267" t="str">
        <f t="shared" ca="1" si="136"/>
        <v/>
      </c>
    </row>
    <row r="1268" spans="27:39" x14ac:dyDescent="0.3">
      <c r="AA1268" t="str">
        <f>IF(COUNTA('Procyfloc 500'!A269,'Procyfloc 500'!B269,'Procyfloc 500'!C269)&gt;0,"500","")</f>
        <v/>
      </c>
      <c r="AB1268" t="str">
        <f>IFERROR(IF(ISNUMBER('Procyfloc 500'!A269),'Procyfloc 500'!A269,DATEVALUE('Procyfloc 500'!A269)),"")</f>
        <v/>
      </c>
      <c r="AC1268" t="str">
        <f>IF(AA1268="","",'Procyfloc 500'!B269)</f>
        <v/>
      </c>
      <c r="AD1268" t="str">
        <f>IF(AA1268="","",IFERROR(1*'Procyfloc 500'!C269,IFERROR(_xludf.NUMBERVALUE('Procyfloc 500'!C269,".",","),IFERROR(_xludf.NUMBERVALUE('Procyfloc 500'!C269,",","."),0))))</f>
        <v/>
      </c>
      <c r="AE1268" t="str">
        <f>IF(AA1268="","",'Procyfloc 500'!L269)</f>
        <v/>
      </c>
      <c r="AF1268">
        <f t="shared" si="131"/>
        <v>0</v>
      </c>
      <c r="AG1268" t="str">
        <f t="shared" si="132"/>
        <v/>
      </c>
      <c r="AH1268" t="str">
        <f t="shared" si="133"/>
        <v/>
      </c>
      <c r="AI1268">
        <f t="shared" si="134"/>
        <v>0</v>
      </c>
      <c r="AJ1268">
        <f t="shared" si="135"/>
        <v>0</v>
      </c>
      <c r="AK1268">
        <v>0</v>
      </c>
      <c r="AL1268" t="str">
        <f>IF(AA1268="","",IFERROR(IF(ISNUMBER('Procyfloc 500'!D269),'Procyfloc 500'!D269,IF(ISNUMBER(SEARCH("12",'Procyfloc 500'!D269)),EDATE(AB1268,12),IF(ISNUMBER(SEARCH("6",'Procyfloc 500'!D269)),EDATE(AB1268,6),IF(ISNUMBER(SEARCH("3",'Procyfloc 500'!D269)),EDATE(AB1268,3),DATEVALUE('Procyfloc 500'!D269))))),""))</f>
        <v/>
      </c>
      <c r="AM1268" t="str">
        <f t="shared" ca="1" si="136"/>
        <v/>
      </c>
    </row>
    <row r="1269" spans="27:39" x14ac:dyDescent="0.3">
      <c r="AA1269" t="str">
        <f>IF(COUNTA('Procyfloc 500'!A270,'Procyfloc 500'!B270,'Procyfloc 500'!C270)&gt;0,"500","")</f>
        <v/>
      </c>
      <c r="AB1269" t="str">
        <f>IFERROR(IF(ISNUMBER('Procyfloc 500'!A270),'Procyfloc 500'!A270,DATEVALUE('Procyfloc 500'!A270)),"")</f>
        <v/>
      </c>
      <c r="AC1269" t="str">
        <f>IF(AA1269="","",'Procyfloc 500'!B270)</f>
        <v/>
      </c>
      <c r="AD1269" t="str">
        <f>IF(AA1269="","",IFERROR(1*'Procyfloc 500'!C270,IFERROR(_xludf.NUMBERVALUE('Procyfloc 500'!C270,".",","),IFERROR(_xludf.NUMBERVALUE('Procyfloc 500'!C270,",","."),0))))</f>
        <v/>
      </c>
      <c r="AE1269" t="str">
        <f>IF(AA1269="","",'Procyfloc 500'!L270)</f>
        <v/>
      </c>
      <c r="AF1269">
        <f t="shared" si="131"/>
        <v>0</v>
      </c>
      <c r="AG1269" t="str">
        <f t="shared" si="132"/>
        <v/>
      </c>
      <c r="AH1269" t="str">
        <f t="shared" si="133"/>
        <v/>
      </c>
      <c r="AI1269">
        <f t="shared" si="134"/>
        <v>0</v>
      </c>
      <c r="AJ1269">
        <f t="shared" si="135"/>
        <v>0</v>
      </c>
      <c r="AK1269">
        <v>0</v>
      </c>
      <c r="AL1269" t="str">
        <f>IF(AA1269="","",IFERROR(IF(ISNUMBER('Procyfloc 500'!D270),'Procyfloc 500'!D270,IF(ISNUMBER(SEARCH("12",'Procyfloc 500'!D270)),EDATE(AB1269,12),IF(ISNUMBER(SEARCH("6",'Procyfloc 500'!D270)),EDATE(AB1269,6),IF(ISNUMBER(SEARCH("3",'Procyfloc 500'!D270)),EDATE(AB1269,3),DATEVALUE('Procyfloc 500'!D270))))),""))</f>
        <v/>
      </c>
      <c r="AM1269" t="str">
        <f t="shared" ca="1" si="136"/>
        <v/>
      </c>
    </row>
    <row r="1270" spans="27:39" x14ac:dyDescent="0.3">
      <c r="AA1270" t="str">
        <f>IF(COUNTA('Procyfloc 500'!A271,'Procyfloc 500'!B271,'Procyfloc 500'!C271)&gt;0,"500","")</f>
        <v/>
      </c>
      <c r="AB1270" t="str">
        <f>IFERROR(IF(ISNUMBER('Procyfloc 500'!A271),'Procyfloc 500'!A271,DATEVALUE('Procyfloc 500'!A271)),"")</f>
        <v/>
      </c>
      <c r="AC1270" t="str">
        <f>IF(AA1270="","",'Procyfloc 500'!B271)</f>
        <v/>
      </c>
      <c r="AD1270" t="str">
        <f>IF(AA1270="","",IFERROR(1*'Procyfloc 500'!C271,IFERROR(_xludf.NUMBERVALUE('Procyfloc 500'!C271,".",","),IFERROR(_xludf.NUMBERVALUE('Procyfloc 500'!C271,",","."),0))))</f>
        <v/>
      </c>
      <c r="AE1270" t="str">
        <f>IF(AA1270="","",'Procyfloc 500'!L271)</f>
        <v/>
      </c>
      <c r="AF1270">
        <f t="shared" si="131"/>
        <v>0</v>
      </c>
      <c r="AG1270" t="str">
        <f t="shared" si="132"/>
        <v/>
      </c>
      <c r="AH1270" t="str">
        <f t="shared" si="133"/>
        <v/>
      </c>
      <c r="AI1270">
        <f t="shared" si="134"/>
        <v>0</v>
      </c>
      <c r="AJ1270">
        <f t="shared" si="135"/>
        <v>0</v>
      </c>
      <c r="AK1270">
        <v>0</v>
      </c>
      <c r="AL1270" t="str">
        <f>IF(AA1270="","",IFERROR(IF(ISNUMBER('Procyfloc 500'!D271),'Procyfloc 500'!D271,IF(ISNUMBER(SEARCH("12",'Procyfloc 500'!D271)),EDATE(AB1270,12),IF(ISNUMBER(SEARCH("6",'Procyfloc 500'!D271)),EDATE(AB1270,6),IF(ISNUMBER(SEARCH("3",'Procyfloc 500'!D271)),EDATE(AB1270,3),DATEVALUE('Procyfloc 500'!D271))))),""))</f>
        <v/>
      </c>
      <c r="AM1270" t="str">
        <f t="shared" ca="1" si="136"/>
        <v/>
      </c>
    </row>
    <row r="1271" spans="27:39" x14ac:dyDescent="0.3">
      <c r="AA1271" t="str">
        <f>IF(COUNTA('Procyfloc 500'!A272,'Procyfloc 500'!B272,'Procyfloc 500'!C272)&gt;0,"500","")</f>
        <v/>
      </c>
      <c r="AB1271" t="str">
        <f>IFERROR(IF(ISNUMBER('Procyfloc 500'!A272),'Procyfloc 500'!A272,DATEVALUE('Procyfloc 500'!A272)),"")</f>
        <v/>
      </c>
      <c r="AC1271" t="str">
        <f>IF(AA1271="","",'Procyfloc 500'!B272)</f>
        <v/>
      </c>
      <c r="AD1271" t="str">
        <f>IF(AA1271="","",IFERROR(1*'Procyfloc 500'!C272,IFERROR(_xludf.NUMBERVALUE('Procyfloc 500'!C272,".",","),IFERROR(_xludf.NUMBERVALUE('Procyfloc 500'!C272,",","."),0))))</f>
        <v/>
      </c>
      <c r="AE1271" t="str">
        <f>IF(AA1271="","",'Procyfloc 500'!L272)</f>
        <v/>
      </c>
      <c r="AF1271">
        <f t="shared" si="131"/>
        <v>0</v>
      </c>
      <c r="AG1271" t="str">
        <f t="shared" si="132"/>
        <v/>
      </c>
      <c r="AH1271" t="str">
        <f t="shared" si="133"/>
        <v/>
      </c>
      <c r="AI1271">
        <f t="shared" si="134"/>
        <v>0</v>
      </c>
      <c r="AJ1271">
        <f t="shared" si="135"/>
        <v>0</v>
      </c>
      <c r="AK1271">
        <v>0</v>
      </c>
      <c r="AL1271" t="str">
        <f>IF(AA1271="","",IFERROR(IF(ISNUMBER('Procyfloc 500'!D272),'Procyfloc 500'!D272,IF(ISNUMBER(SEARCH("12",'Procyfloc 500'!D272)),EDATE(AB1271,12),IF(ISNUMBER(SEARCH("6",'Procyfloc 500'!D272)),EDATE(AB1271,6),IF(ISNUMBER(SEARCH("3",'Procyfloc 500'!D272)),EDATE(AB1271,3),DATEVALUE('Procyfloc 500'!D272))))),""))</f>
        <v/>
      </c>
      <c r="AM1271" t="str">
        <f t="shared" ca="1" si="136"/>
        <v/>
      </c>
    </row>
    <row r="1272" spans="27:39" x14ac:dyDescent="0.3">
      <c r="AA1272" t="str">
        <f>IF(COUNTA('Procyfloc 500'!A273,'Procyfloc 500'!B273,'Procyfloc 500'!C273)&gt;0,"500","")</f>
        <v/>
      </c>
      <c r="AB1272" t="str">
        <f>IFERROR(IF(ISNUMBER('Procyfloc 500'!A273),'Procyfloc 500'!A273,DATEVALUE('Procyfloc 500'!A273)),"")</f>
        <v/>
      </c>
      <c r="AC1272" t="str">
        <f>IF(AA1272="","",'Procyfloc 500'!B273)</f>
        <v/>
      </c>
      <c r="AD1272" t="str">
        <f>IF(AA1272="","",IFERROR(1*'Procyfloc 500'!C273,IFERROR(_xludf.NUMBERVALUE('Procyfloc 500'!C273,".",","),IFERROR(_xludf.NUMBERVALUE('Procyfloc 500'!C273,",","."),0))))</f>
        <v/>
      </c>
      <c r="AE1272" t="str">
        <f>IF(AA1272="","",'Procyfloc 500'!L273)</f>
        <v/>
      </c>
      <c r="AF1272">
        <f t="shared" si="131"/>
        <v>0</v>
      </c>
      <c r="AG1272" t="str">
        <f t="shared" si="132"/>
        <v/>
      </c>
      <c r="AH1272" t="str">
        <f t="shared" si="133"/>
        <v/>
      </c>
      <c r="AI1272">
        <f t="shared" si="134"/>
        <v>0</v>
      </c>
      <c r="AJ1272">
        <f t="shared" si="135"/>
        <v>0</v>
      </c>
      <c r="AK1272">
        <v>0</v>
      </c>
      <c r="AL1272" t="str">
        <f>IF(AA1272="","",IFERROR(IF(ISNUMBER('Procyfloc 500'!D273),'Procyfloc 500'!D273,IF(ISNUMBER(SEARCH("12",'Procyfloc 500'!D273)),EDATE(AB1272,12),IF(ISNUMBER(SEARCH("6",'Procyfloc 500'!D273)),EDATE(AB1272,6),IF(ISNUMBER(SEARCH("3",'Procyfloc 500'!D273)),EDATE(AB1272,3),DATEVALUE('Procyfloc 500'!D273))))),""))</f>
        <v/>
      </c>
      <c r="AM1272" t="str">
        <f t="shared" ca="1" si="136"/>
        <v/>
      </c>
    </row>
    <row r="1273" spans="27:39" x14ac:dyDescent="0.3">
      <c r="AA1273" t="str">
        <f>IF(COUNTA('Procyfloc 500'!A274,'Procyfloc 500'!B274,'Procyfloc 500'!C274)&gt;0,"500","")</f>
        <v/>
      </c>
      <c r="AB1273" t="str">
        <f>IFERROR(IF(ISNUMBER('Procyfloc 500'!A274),'Procyfloc 500'!A274,DATEVALUE('Procyfloc 500'!A274)),"")</f>
        <v/>
      </c>
      <c r="AC1273" t="str">
        <f>IF(AA1273="","",'Procyfloc 500'!B274)</f>
        <v/>
      </c>
      <c r="AD1273" t="str">
        <f>IF(AA1273="","",IFERROR(1*'Procyfloc 500'!C274,IFERROR(_xludf.NUMBERVALUE('Procyfloc 500'!C274,".",","),IFERROR(_xludf.NUMBERVALUE('Procyfloc 500'!C274,",","."),0))))</f>
        <v/>
      </c>
      <c r="AE1273" t="str">
        <f>IF(AA1273="","",'Procyfloc 500'!L274)</f>
        <v/>
      </c>
      <c r="AF1273">
        <f t="shared" si="131"/>
        <v>0</v>
      </c>
      <c r="AG1273" t="str">
        <f t="shared" si="132"/>
        <v/>
      </c>
      <c r="AH1273" t="str">
        <f t="shared" si="133"/>
        <v/>
      </c>
      <c r="AI1273">
        <f t="shared" si="134"/>
        <v>0</v>
      </c>
      <c r="AJ1273">
        <f t="shared" si="135"/>
        <v>0</v>
      </c>
      <c r="AK1273">
        <v>0</v>
      </c>
      <c r="AL1273" t="str">
        <f>IF(AA1273="","",IFERROR(IF(ISNUMBER('Procyfloc 500'!D274),'Procyfloc 500'!D274,IF(ISNUMBER(SEARCH("12",'Procyfloc 500'!D274)),EDATE(AB1273,12),IF(ISNUMBER(SEARCH("6",'Procyfloc 500'!D274)),EDATE(AB1273,6),IF(ISNUMBER(SEARCH("3",'Procyfloc 500'!D274)),EDATE(AB1273,3),DATEVALUE('Procyfloc 500'!D274))))),""))</f>
        <v/>
      </c>
      <c r="AM1273" t="str">
        <f t="shared" ca="1" si="136"/>
        <v/>
      </c>
    </row>
    <row r="1274" spans="27:39" x14ac:dyDescent="0.3">
      <c r="AA1274" t="str">
        <f>IF(COUNTA('Procyfloc 500'!A275,'Procyfloc 500'!B275,'Procyfloc 500'!C275)&gt;0,"500","")</f>
        <v/>
      </c>
      <c r="AB1274" t="str">
        <f>IFERROR(IF(ISNUMBER('Procyfloc 500'!A275),'Procyfloc 500'!A275,DATEVALUE('Procyfloc 500'!A275)),"")</f>
        <v/>
      </c>
      <c r="AC1274" t="str">
        <f>IF(AA1274="","",'Procyfloc 500'!B275)</f>
        <v/>
      </c>
      <c r="AD1274" t="str">
        <f>IF(AA1274="","",IFERROR(1*'Procyfloc 500'!C275,IFERROR(_xludf.NUMBERVALUE('Procyfloc 500'!C275,".",","),IFERROR(_xludf.NUMBERVALUE('Procyfloc 500'!C275,",","."),0))))</f>
        <v/>
      </c>
      <c r="AE1274" t="str">
        <f>IF(AA1274="","",'Procyfloc 500'!L275)</f>
        <v/>
      </c>
      <c r="AF1274">
        <f t="shared" si="131"/>
        <v>0</v>
      </c>
      <c r="AG1274" t="str">
        <f t="shared" si="132"/>
        <v/>
      </c>
      <c r="AH1274" t="str">
        <f t="shared" si="133"/>
        <v/>
      </c>
      <c r="AI1274">
        <f t="shared" si="134"/>
        <v>0</v>
      </c>
      <c r="AJ1274">
        <f t="shared" si="135"/>
        <v>0</v>
      </c>
      <c r="AK1274">
        <v>0</v>
      </c>
      <c r="AL1274" t="str">
        <f>IF(AA1274="","",IFERROR(IF(ISNUMBER('Procyfloc 500'!D275),'Procyfloc 500'!D275,IF(ISNUMBER(SEARCH("12",'Procyfloc 500'!D275)),EDATE(AB1274,12),IF(ISNUMBER(SEARCH("6",'Procyfloc 500'!D275)),EDATE(AB1274,6),IF(ISNUMBER(SEARCH("3",'Procyfloc 500'!D275)),EDATE(AB1274,3),DATEVALUE('Procyfloc 500'!D275))))),""))</f>
        <v/>
      </c>
      <c r="AM1274" t="str">
        <f t="shared" ca="1" si="136"/>
        <v/>
      </c>
    </row>
    <row r="1275" spans="27:39" x14ac:dyDescent="0.3">
      <c r="AA1275" t="str">
        <f>IF(COUNTA('Procyfloc 500'!A276,'Procyfloc 500'!B276,'Procyfloc 500'!C276)&gt;0,"500","")</f>
        <v/>
      </c>
      <c r="AB1275" t="str">
        <f>IFERROR(IF(ISNUMBER('Procyfloc 500'!A276),'Procyfloc 500'!A276,DATEVALUE('Procyfloc 500'!A276)),"")</f>
        <v/>
      </c>
      <c r="AC1275" t="str">
        <f>IF(AA1275="","",'Procyfloc 500'!B276)</f>
        <v/>
      </c>
      <c r="AD1275" t="str">
        <f>IF(AA1275="","",IFERROR(1*'Procyfloc 500'!C276,IFERROR(_xludf.NUMBERVALUE('Procyfloc 500'!C276,".",","),IFERROR(_xludf.NUMBERVALUE('Procyfloc 500'!C276,",","."),0))))</f>
        <v/>
      </c>
      <c r="AE1275" t="str">
        <f>IF(AA1275="","",'Procyfloc 500'!L276)</f>
        <v/>
      </c>
      <c r="AF1275">
        <f t="shared" si="131"/>
        <v>0</v>
      </c>
      <c r="AG1275" t="str">
        <f t="shared" si="132"/>
        <v/>
      </c>
      <c r="AH1275" t="str">
        <f t="shared" si="133"/>
        <v/>
      </c>
      <c r="AI1275">
        <f t="shared" si="134"/>
        <v>0</v>
      </c>
      <c r="AJ1275">
        <f t="shared" si="135"/>
        <v>0</v>
      </c>
      <c r="AK1275">
        <v>0</v>
      </c>
      <c r="AL1275" t="str">
        <f>IF(AA1275="","",IFERROR(IF(ISNUMBER('Procyfloc 500'!D276),'Procyfloc 500'!D276,IF(ISNUMBER(SEARCH("12",'Procyfloc 500'!D276)),EDATE(AB1275,12),IF(ISNUMBER(SEARCH("6",'Procyfloc 500'!D276)),EDATE(AB1275,6),IF(ISNUMBER(SEARCH("3",'Procyfloc 500'!D276)),EDATE(AB1275,3),DATEVALUE('Procyfloc 500'!D276))))),""))</f>
        <v/>
      </c>
      <c r="AM1275" t="str">
        <f t="shared" ca="1" si="136"/>
        <v/>
      </c>
    </row>
    <row r="1276" spans="27:39" x14ac:dyDescent="0.3">
      <c r="AA1276" t="str">
        <f>IF(COUNTA('Procyfloc 500'!A277,'Procyfloc 500'!B277,'Procyfloc 500'!C277)&gt;0,"500","")</f>
        <v/>
      </c>
      <c r="AB1276" t="str">
        <f>IFERROR(IF(ISNUMBER('Procyfloc 500'!A277),'Procyfloc 500'!A277,DATEVALUE('Procyfloc 500'!A277)),"")</f>
        <v/>
      </c>
      <c r="AC1276" t="str">
        <f>IF(AA1276="","",'Procyfloc 500'!B277)</f>
        <v/>
      </c>
      <c r="AD1276" t="str">
        <f>IF(AA1276="","",IFERROR(1*'Procyfloc 500'!C277,IFERROR(_xludf.NUMBERVALUE('Procyfloc 500'!C277,".",","),IFERROR(_xludf.NUMBERVALUE('Procyfloc 500'!C277,",","."),0))))</f>
        <v/>
      </c>
      <c r="AE1276" t="str">
        <f>IF(AA1276="","",'Procyfloc 500'!L277)</f>
        <v/>
      </c>
      <c r="AF1276">
        <f t="shared" si="131"/>
        <v>0</v>
      </c>
      <c r="AG1276" t="str">
        <f t="shared" si="132"/>
        <v/>
      </c>
      <c r="AH1276" t="str">
        <f t="shared" si="133"/>
        <v/>
      </c>
      <c r="AI1276">
        <f t="shared" si="134"/>
        <v>0</v>
      </c>
      <c r="AJ1276">
        <f t="shared" si="135"/>
        <v>0</v>
      </c>
      <c r="AK1276">
        <v>0</v>
      </c>
      <c r="AL1276" t="str">
        <f>IF(AA1276="","",IFERROR(IF(ISNUMBER('Procyfloc 500'!D277),'Procyfloc 500'!D277,IF(ISNUMBER(SEARCH("12",'Procyfloc 500'!D277)),EDATE(AB1276,12),IF(ISNUMBER(SEARCH("6",'Procyfloc 500'!D277)),EDATE(AB1276,6),IF(ISNUMBER(SEARCH("3",'Procyfloc 500'!D277)),EDATE(AB1276,3),DATEVALUE('Procyfloc 500'!D277))))),""))</f>
        <v/>
      </c>
      <c r="AM1276" t="str">
        <f t="shared" ca="1" si="136"/>
        <v/>
      </c>
    </row>
    <row r="1277" spans="27:39" x14ac:dyDescent="0.3">
      <c r="AA1277" t="str">
        <f>IF(COUNTA('Procyfloc 500'!A278,'Procyfloc 500'!B278,'Procyfloc 500'!C278)&gt;0,"500","")</f>
        <v/>
      </c>
      <c r="AB1277" t="str">
        <f>IFERROR(IF(ISNUMBER('Procyfloc 500'!A278),'Procyfloc 500'!A278,DATEVALUE('Procyfloc 500'!A278)),"")</f>
        <v/>
      </c>
      <c r="AC1277" t="str">
        <f>IF(AA1277="","",'Procyfloc 500'!B278)</f>
        <v/>
      </c>
      <c r="AD1277" t="str">
        <f>IF(AA1277="","",IFERROR(1*'Procyfloc 500'!C278,IFERROR(_xludf.NUMBERVALUE('Procyfloc 500'!C278,".",","),IFERROR(_xludf.NUMBERVALUE('Procyfloc 500'!C278,",","."),0))))</f>
        <v/>
      </c>
      <c r="AE1277" t="str">
        <f>IF(AA1277="","",'Procyfloc 500'!L278)</f>
        <v/>
      </c>
      <c r="AF1277">
        <f t="shared" si="131"/>
        <v>0</v>
      </c>
      <c r="AG1277" t="str">
        <f t="shared" si="132"/>
        <v/>
      </c>
      <c r="AH1277" t="str">
        <f t="shared" si="133"/>
        <v/>
      </c>
      <c r="AI1277">
        <f t="shared" si="134"/>
        <v>0</v>
      </c>
      <c r="AJ1277">
        <f t="shared" si="135"/>
        <v>0</v>
      </c>
      <c r="AK1277">
        <v>0</v>
      </c>
      <c r="AL1277" t="str">
        <f>IF(AA1277="","",IFERROR(IF(ISNUMBER('Procyfloc 500'!D278),'Procyfloc 500'!D278,IF(ISNUMBER(SEARCH("12",'Procyfloc 500'!D278)),EDATE(AB1277,12),IF(ISNUMBER(SEARCH("6",'Procyfloc 500'!D278)),EDATE(AB1277,6),IF(ISNUMBER(SEARCH("3",'Procyfloc 500'!D278)),EDATE(AB1277,3),DATEVALUE('Procyfloc 500'!D278))))),""))</f>
        <v/>
      </c>
      <c r="AM1277" t="str">
        <f t="shared" ca="1" si="136"/>
        <v/>
      </c>
    </row>
    <row r="1278" spans="27:39" x14ac:dyDescent="0.3">
      <c r="AA1278" t="str">
        <f>IF(COUNTA('Procyfloc 500'!A279,'Procyfloc 500'!B279,'Procyfloc 500'!C279)&gt;0,"500","")</f>
        <v/>
      </c>
      <c r="AB1278" t="str">
        <f>IFERROR(IF(ISNUMBER('Procyfloc 500'!A279),'Procyfloc 500'!A279,DATEVALUE('Procyfloc 500'!A279)),"")</f>
        <v/>
      </c>
      <c r="AC1278" t="str">
        <f>IF(AA1278="","",'Procyfloc 500'!B279)</f>
        <v/>
      </c>
      <c r="AD1278" t="str">
        <f>IF(AA1278="","",IFERROR(1*'Procyfloc 500'!C279,IFERROR(_xludf.NUMBERVALUE('Procyfloc 500'!C279,".",","),IFERROR(_xludf.NUMBERVALUE('Procyfloc 500'!C279,",","."),0))))</f>
        <v/>
      </c>
      <c r="AE1278" t="str">
        <f>IF(AA1278="","",'Procyfloc 500'!L279)</f>
        <v/>
      </c>
      <c r="AF1278">
        <f t="shared" si="131"/>
        <v>0</v>
      </c>
      <c r="AG1278" t="str">
        <f t="shared" si="132"/>
        <v/>
      </c>
      <c r="AH1278" t="str">
        <f t="shared" si="133"/>
        <v/>
      </c>
      <c r="AI1278">
        <f t="shared" si="134"/>
        <v>0</v>
      </c>
      <c r="AJ1278">
        <f t="shared" si="135"/>
        <v>0</v>
      </c>
      <c r="AK1278">
        <v>0</v>
      </c>
      <c r="AL1278" t="str">
        <f>IF(AA1278="","",IFERROR(IF(ISNUMBER('Procyfloc 500'!D279),'Procyfloc 500'!D279,IF(ISNUMBER(SEARCH("12",'Procyfloc 500'!D279)),EDATE(AB1278,12),IF(ISNUMBER(SEARCH("6",'Procyfloc 500'!D279)),EDATE(AB1278,6),IF(ISNUMBER(SEARCH("3",'Procyfloc 500'!D279)),EDATE(AB1278,3),DATEVALUE('Procyfloc 500'!D279))))),""))</f>
        <v/>
      </c>
      <c r="AM1278" t="str">
        <f t="shared" ca="1" si="136"/>
        <v/>
      </c>
    </row>
    <row r="1279" spans="27:39" x14ac:dyDescent="0.3">
      <c r="AA1279" t="str">
        <f>IF(COUNTA('Procyfloc 500'!A280,'Procyfloc 500'!B280,'Procyfloc 500'!C280)&gt;0,"500","")</f>
        <v/>
      </c>
      <c r="AB1279" t="str">
        <f>IFERROR(IF(ISNUMBER('Procyfloc 500'!A280),'Procyfloc 500'!A280,DATEVALUE('Procyfloc 500'!A280)),"")</f>
        <v/>
      </c>
      <c r="AC1279" t="str">
        <f>IF(AA1279="","",'Procyfloc 500'!B280)</f>
        <v/>
      </c>
      <c r="AD1279" t="str">
        <f>IF(AA1279="","",IFERROR(1*'Procyfloc 500'!C280,IFERROR(_xludf.NUMBERVALUE('Procyfloc 500'!C280,".",","),IFERROR(_xludf.NUMBERVALUE('Procyfloc 500'!C280,",","."),0))))</f>
        <v/>
      </c>
      <c r="AE1279" t="str">
        <f>IF(AA1279="","",'Procyfloc 500'!L280)</f>
        <v/>
      </c>
      <c r="AF1279">
        <f t="shared" si="131"/>
        <v>0</v>
      </c>
      <c r="AG1279" t="str">
        <f t="shared" si="132"/>
        <v/>
      </c>
      <c r="AH1279" t="str">
        <f t="shared" si="133"/>
        <v/>
      </c>
      <c r="AI1279">
        <f t="shared" si="134"/>
        <v>0</v>
      </c>
      <c r="AJ1279">
        <f t="shared" si="135"/>
        <v>0</v>
      </c>
      <c r="AK1279">
        <v>0</v>
      </c>
      <c r="AL1279" t="str">
        <f>IF(AA1279="","",IFERROR(IF(ISNUMBER('Procyfloc 500'!D280),'Procyfloc 500'!D280,IF(ISNUMBER(SEARCH("12",'Procyfloc 500'!D280)),EDATE(AB1279,12),IF(ISNUMBER(SEARCH("6",'Procyfloc 500'!D280)),EDATE(AB1279,6),IF(ISNUMBER(SEARCH("3",'Procyfloc 500'!D280)),EDATE(AB1279,3),DATEVALUE('Procyfloc 500'!D280))))),""))</f>
        <v/>
      </c>
      <c r="AM1279" t="str">
        <f t="shared" ca="1" si="136"/>
        <v/>
      </c>
    </row>
    <row r="1280" spans="27:39" x14ac:dyDescent="0.3">
      <c r="AA1280" t="str">
        <f>IF(COUNTA('Procyfloc 500'!A281,'Procyfloc 500'!B281,'Procyfloc 500'!C281)&gt;0,"500","")</f>
        <v/>
      </c>
      <c r="AB1280" t="str">
        <f>IFERROR(IF(ISNUMBER('Procyfloc 500'!A281),'Procyfloc 500'!A281,DATEVALUE('Procyfloc 500'!A281)),"")</f>
        <v/>
      </c>
      <c r="AC1280" t="str">
        <f>IF(AA1280="","",'Procyfloc 500'!B281)</f>
        <v/>
      </c>
      <c r="AD1280" t="str">
        <f>IF(AA1280="","",IFERROR(1*'Procyfloc 500'!C281,IFERROR(_xludf.NUMBERVALUE('Procyfloc 500'!C281,".",","),IFERROR(_xludf.NUMBERVALUE('Procyfloc 500'!C281,",","."),0))))</f>
        <v/>
      </c>
      <c r="AE1280" t="str">
        <f>IF(AA1280="","",'Procyfloc 500'!L281)</f>
        <v/>
      </c>
      <c r="AF1280">
        <f t="shared" si="131"/>
        <v>0</v>
      </c>
      <c r="AG1280" t="str">
        <f t="shared" si="132"/>
        <v/>
      </c>
      <c r="AH1280" t="str">
        <f t="shared" si="133"/>
        <v/>
      </c>
      <c r="AI1280">
        <f t="shared" si="134"/>
        <v>0</v>
      </c>
      <c r="AJ1280">
        <f t="shared" si="135"/>
        <v>0</v>
      </c>
      <c r="AK1280">
        <v>0</v>
      </c>
      <c r="AL1280" t="str">
        <f>IF(AA1280="","",IFERROR(IF(ISNUMBER('Procyfloc 500'!D281),'Procyfloc 500'!D281,IF(ISNUMBER(SEARCH("12",'Procyfloc 500'!D281)),EDATE(AB1280,12),IF(ISNUMBER(SEARCH("6",'Procyfloc 500'!D281)),EDATE(AB1280,6),IF(ISNUMBER(SEARCH("3",'Procyfloc 500'!D281)),EDATE(AB1280,3),DATEVALUE('Procyfloc 500'!D281))))),""))</f>
        <v/>
      </c>
      <c r="AM1280" t="str">
        <f t="shared" ca="1" si="136"/>
        <v/>
      </c>
    </row>
    <row r="1281" spans="27:39" x14ac:dyDescent="0.3">
      <c r="AA1281" t="str">
        <f>IF(COUNTA('Procyfloc 500'!A282,'Procyfloc 500'!B282,'Procyfloc 500'!C282)&gt;0,"500","")</f>
        <v/>
      </c>
      <c r="AB1281" t="str">
        <f>IFERROR(IF(ISNUMBER('Procyfloc 500'!A282),'Procyfloc 500'!A282,DATEVALUE('Procyfloc 500'!A282)),"")</f>
        <v/>
      </c>
      <c r="AC1281" t="str">
        <f>IF(AA1281="","",'Procyfloc 500'!B282)</f>
        <v/>
      </c>
      <c r="AD1281" t="str">
        <f>IF(AA1281="","",IFERROR(1*'Procyfloc 500'!C282,IFERROR(_xludf.NUMBERVALUE('Procyfloc 500'!C282,".",","),IFERROR(_xludf.NUMBERVALUE('Procyfloc 500'!C282,",","."),0))))</f>
        <v/>
      </c>
      <c r="AE1281" t="str">
        <f>IF(AA1281="","",'Procyfloc 500'!L282)</f>
        <v/>
      </c>
      <c r="AF1281">
        <f t="shared" si="131"/>
        <v>0</v>
      </c>
      <c r="AG1281" t="str">
        <f t="shared" si="132"/>
        <v/>
      </c>
      <c r="AH1281" t="str">
        <f t="shared" si="133"/>
        <v/>
      </c>
      <c r="AI1281">
        <f t="shared" si="134"/>
        <v>0</v>
      </c>
      <c r="AJ1281">
        <f t="shared" si="135"/>
        <v>0</v>
      </c>
      <c r="AK1281">
        <v>0</v>
      </c>
      <c r="AL1281" t="str">
        <f>IF(AA1281="","",IFERROR(IF(ISNUMBER('Procyfloc 500'!D282),'Procyfloc 500'!D282,IF(ISNUMBER(SEARCH("12",'Procyfloc 500'!D282)),EDATE(AB1281,12),IF(ISNUMBER(SEARCH("6",'Procyfloc 500'!D282)),EDATE(AB1281,6),IF(ISNUMBER(SEARCH("3",'Procyfloc 500'!D282)),EDATE(AB1281,3),DATEVALUE('Procyfloc 500'!D282))))),""))</f>
        <v/>
      </c>
      <c r="AM1281" t="str">
        <f t="shared" ca="1" si="136"/>
        <v/>
      </c>
    </row>
    <row r="1282" spans="27:39" x14ac:dyDescent="0.3">
      <c r="AA1282" t="str">
        <f>IF(COUNTA('Procyfloc 500'!A283,'Procyfloc 500'!B283,'Procyfloc 500'!C283)&gt;0,"500","")</f>
        <v/>
      </c>
      <c r="AB1282" t="str">
        <f>IFERROR(IF(ISNUMBER('Procyfloc 500'!A283),'Procyfloc 500'!A283,DATEVALUE('Procyfloc 500'!A283)),"")</f>
        <v/>
      </c>
      <c r="AC1282" t="str">
        <f>IF(AA1282="","",'Procyfloc 500'!B283)</f>
        <v/>
      </c>
      <c r="AD1282" t="str">
        <f>IF(AA1282="","",IFERROR(1*'Procyfloc 500'!C283,IFERROR(_xludf.NUMBERVALUE('Procyfloc 500'!C283,".",","),IFERROR(_xludf.NUMBERVALUE('Procyfloc 500'!C283,",","."),0))))</f>
        <v/>
      </c>
      <c r="AE1282" t="str">
        <f>IF(AA1282="","",'Procyfloc 500'!L283)</f>
        <v/>
      </c>
      <c r="AF1282">
        <f t="shared" ref="AF1282:AF1345" si="137">IF(AA1282="",0,--AND(ISNUMBER(SEARCH("aprov",AE1282)),NOT(ISNUMBER(SEARCH("reprov",AE1282)))))</f>
        <v>0</v>
      </c>
      <c r="AG1282" t="str">
        <f t="shared" ref="AG1282:AG1345" si="138">IF(AB1282="","",YEAR(AB1282))</f>
        <v/>
      </c>
      <c r="AH1282" t="str">
        <f t="shared" ref="AH1282:AH1345" si="139">IF(AB1282="","",MONTH(AB1282))</f>
        <v/>
      </c>
      <c r="AI1282">
        <f t="shared" ref="AI1282:AI1345" si="140">IF(AB1282="",0,AB1282+ROW()/1000000)</f>
        <v>0</v>
      </c>
      <c r="AJ1282">
        <f t="shared" ref="AJ1282:AJ1345" si="141">--(AA1282&lt;&gt;"")</f>
        <v>0</v>
      </c>
      <c r="AK1282">
        <v>0</v>
      </c>
      <c r="AL1282" t="str">
        <f>IF(AA1282="","",IFERROR(IF(ISNUMBER('Procyfloc 500'!D283),'Procyfloc 500'!D283,IF(ISNUMBER(SEARCH("12",'Procyfloc 500'!D283)),EDATE(AB1282,12),IF(ISNUMBER(SEARCH("6",'Procyfloc 500'!D283)),EDATE(AB1282,6),IF(ISNUMBER(SEARCH("3",'Procyfloc 500'!D283)),EDATE(AB1282,3),DATEVALUE('Procyfloc 500'!D283))))),""))</f>
        <v/>
      </c>
      <c r="AM1282" t="str">
        <f t="shared" ref="AM1282:AM1345" ca="1" si="142">IF(AND(AJ1282=1,AL1282&lt;&gt;"",AL1282&gt;=TODAY(),AG1282=$W$3),AL1282+ROW()/1000000,"")</f>
        <v/>
      </c>
    </row>
    <row r="1283" spans="27:39" x14ac:dyDescent="0.3">
      <c r="AA1283" t="str">
        <f>IF(COUNTA('Procyfloc 500'!A284,'Procyfloc 500'!B284,'Procyfloc 500'!C284)&gt;0,"500","")</f>
        <v/>
      </c>
      <c r="AB1283" t="str">
        <f>IFERROR(IF(ISNUMBER('Procyfloc 500'!A284),'Procyfloc 500'!A284,DATEVALUE('Procyfloc 500'!A284)),"")</f>
        <v/>
      </c>
      <c r="AC1283" t="str">
        <f>IF(AA1283="","",'Procyfloc 500'!B284)</f>
        <v/>
      </c>
      <c r="AD1283" t="str">
        <f>IF(AA1283="","",IFERROR(1*'Procyfloc 500'!C284,IFERROR(_xludf.NUMBERVALUE('Procyfloc 500'!C284,".",","),IFERROR(_xludf.NUMBERVALUE('Procyfloc 500'!C284,",","."),0))))</f>
        <v/>
      </c>
      <c r="AE1283" t="str">
        <f>IF(AA1283="","",'Procyfloc 500'!L284)</f>
        <v/>
      </c>
      <c r="AF1283">
        <f t="shared" si="137"/>
        <v>0</v>
      </c>
      <c r="AG1283" t="str">
        <f t="shared" si="138"/>
        <v/>
      </c>
      <c r="AH1283" t="str">
        <f t="shared" si="139"/>
        <v/>
      </c>
      <c r="AI1283">
        <f t="shared" si="140"/>
        <v>0</v>
      </c>
      <c r="AJ1283">
        <f t="shared" si="141"/>
        <v>0</v>
      </c>
      <c r="AK1283">
        <v>0</v>
      </c>
      <c r="AL1283" t="str">
        <f>IF(AA1283="","",IFERROR(IF(ISNUMBER('Procyfloc 500'!D284),'Procyfloc 500'!D284,IF(ISNUMBER(SEARCH("12",'Procyfloc 500'!D284)),EDATE(AB1283,12),IF(ISNUMBER(SEARCH("6",'Procyfloc 500'!D284)),EDATE(AB1283,6),IF(ISNUMBER(SEARCH("3",'Procyfloc 500'!D284)),EDATE(AB1283,3),DATEVALUE('Procyfloc 500'!D284))))),""))</f>
        <v/>
      </c>
      <c r="AM1283" t="str">
        <f t="shared" ca="1" si="142"/>
        <v/>
      </c>
    </row>
    <row r="1284" spans="27:39" x14ac:dyDescent="0.3">
      <c r="AA1284" t="str">
        <f>IF(COUNTA('Procyfloc 500'!A285,'Procyfloc 500'!B285,'Procyfloc 500'!C285)&gt;0,"500","")</f>
        <v/>
      </c>
      <c r="AB1284" t="str">
        <f>IFERROR(IF(ISNUMBER('Procyfloc 500'!A285),'Procyfloc 500'!A285,DATEVALUE('Procyfloc 500'!A285)),"")</f>
        <v/>
      </c>
      <c r="AC1284" t="str">
        <f>IF(AA1284="","",'Procyfloc 500'!B285)</f>
        <v/>
      </c>
      <c r="AD1284" t="str">
        <f>IF(AA1284="","",IFERROR(1*'Procyfloc 500'!C285,IFERROR(_xludf.NUMBERVALUE('Procyfloc 500'!C285,".",","),IFERROR(_xludf.NUMBERVALUE('Procyfloc 500'!C285,",","."),0))))</f>
        <v/>
      </c>
      <c r="AE1284" t="str">
        <f>IF(AA1284="","",'Procyfloc 500'!L285)</f>
        <v/>
      </c>
      <c r="AF1284">
        <f t="shared" si="137"/>
        <v>0</v>
      </c>
      <c r="AG1284" t="str">
        <f t="shared" si="138"/>
        <v/>
      </c>
      <c r="AH1284" t="str">
        <f t="shared" si="139"/>
        <v/>
      </c>
      <c r="AI1284">
        <f t="shared" si="140"/>
        <v>0</v>
      </c>
      <c r="AJ1284">
        <f t="shared" si="141"/>
        <v>0</v>
      </c>
      <c r="AK1284">
        <v>0</v>
      </c>
      <c r="AL1284" t="str">
        <f>IF(AA1284="","",IFERROR(IF(ISNUMBER('Procyfloc 500'!D285),'Procyfloc 500'!D285,IF(ISNUMBER(SEARCH("12",'Procyfloc 500'!D285)),EDATE(AB1284,12),IF(ISNUMBER(SEARCH("6",'Procyfloc 500'!D285)),EDATE(AB1284,6),IF(ISNUMBER(SEARCH("3",'Procyfloc 500'!D285)),EDATE(AB1284,3),DATEVALUE('Procyfloc 500'!D285))))),""))</f>
        <v/>
      </c>
      <c r="AM1284" t="str">
        <f t="shared" ca="1" si="142"/>
        <v/>
      </c>
    </row>
    <row r="1285" spans="27:39" x14ac:dyDescent="0.3">
      <c r="AA1285" t="str">
        <f>IF(COUNTA('Procyfloc 500'!A286,'Procyfloc 500'!B286,'Procyfloc 500'!C286)&gt;0,"500","")</f>
        <v/>
      </c>
      <c r="AB1285" t="str">
        <f>IFERROR(IF(ISNUMBER('Procyfloc 500'!A286),'Procyfloc 500'!A286,DATEVALUE('Procyfloc 500'!A286)),"")</f>
        <v/>
      </c>
      <c r="AC1285" t="str">
        <f>IF(AA1285="","",'Procyfloc 500'!B286)</f>
        <v/>
      </c>
      <c r="AD1285" t="str">
        <f>IF(AA1285="","",IFERROR(1*'Procyfloc 500'!C286,IFERROR(_xludf.NUMBERVALUE('Procyfloc 500'!C286,".",","),IFERROR(_xludf.NUMBERVALUE('Procyfloc 500'!C286,",","."),0))))</f>
        <v/>
      </c>
      <c r="AE1285" t="str">
        <f>IF(AA1285="","",'Procyfloc 500'!L286)</f>
        <v/>
      </c>
      <c r="AF1285">
        <f t="shared" si="137"/>
        <v>0</v>
      </c>
      <c r="AG1285" t="str">
        <f t="shared" si="138"/>
        <v/>
      </c>
      <c r="AH1285" t="str">
        <f t="shared" si="139"/>
        <v/>
      </c>
      <c r="AI1285">
        <f t="shared" si="140"/>
        <v>0</v>
      </c>
      <c r="AJ1285">
        <f t="shared" si="141"/>
        <v>0</v>
      </c>
      <c r="AK1285">
        <v>0</v>
      </c>
      <c r="AL1285" t="str">
        <f>IF(AA1285="","",IFERROR(IF(ISNUMBER('Procyfloc 500'!D286),'Procyfloc 500'!D286,IF(ISNUMBER(SEARCH("12",'Procyfloc 500'!D286)),EDATE(AB1285,12),IF(ISNUMBER(SEARCH("6",'Procyfloc 500'!D286)),EDATE(AB1285,6),IF(ISNUMBER(SEARCH("3",'Procyfloc 500'!D286)),EDATE(AB1285,3),DATEVALUE('Procyfloc 500'!D286))))),""))</f>
        <v/>
      </c>
      <c r="AM1285" t="str">
        <f t="shared" ca="1" si="142"/>
        <v/>
      </c>
    </row>
    <row r="1286" spans="27:39" x14ac:dyDescent="0.3">
      <c r="AA1286" t="str">
        <f>IF(COUNTA('Procyfloc 500'!A287,'Procyfloc 500'!B287,'Procyfloc 500'!C287)&gt;0,"500","")</f>
        <v/>
      </c>
      <c r="AB1286" t="str">
        <f>IFERROR(IF(ISNUMBER('Procyfloc 500'!A287),'Procyfloc 500'!A287,DATEVALUE('Procyfloc 500'!A287)),"")</f>
        <v/>
      </c>
      <c r="AC1286" t="str">
        <f>IF(AA1286="","",'Procyfloc 500'!B287)</f>
        <v/>
      </c>
      <c r="AD1286" t="str">
        <f>IF(AA1286="","",IFERROR(1*'Procyfloc 500'!C287,IFERROR(_xludf.NUMBERVALUE('Procyfloc 500'!C287,".",","),IFERROR(_xludf.NUMBERVALUE('Procyfloc 500'!C287,",","."),0))))</f>
        <v/>
      </c>
      <c r="AE1286" t="str">
        <f>IF(AA1286="","",'Procyfloc 500'!L287)</f>
        <v/>
      </c>
      <c r="AF1286">
        <f t="shared" si="137"/>
        <v>0</v>
      </c>
      <c r="AG1286" t="str">
        <f t="shared" si="138"/>
        <v/>
      </c>
      <c r="AH1286" t="str">
        <f t="shared" si="139"/>
        <v/>
      </c>
      <c r="AI1286">
        <f t="shared" si="140"/>
        <v>0</v>
      </c>
      <c r="AJ1286">
        <f t="shared" si="141"/>
        <v>0</v>
      </c>
      <c r="AK1286">
        <v>0</v>
      </c>
      <c r="AL1286" t="str">
        <f>IF(AA1286="","",IFERROR(IF(ISNUMBER('Procyfloc 500'!D287),'Procyfloc 500'!D287,IF(ISNUMBER(SEARCH("12",'Procyfloc 500'!D287)),EDATE(AB1286,12),IF(ISNUMBER(SEARCH("6",'Procyfloc 500'!D287)),EDATE(AB1286,6),IF(ISNUMBER(SEARCH("3",'Procyfloc 500'!D287)),EDATE(AB1286,3),DATEVALUE('Procyfloc 500'!D287))))),""))</f>
        <v/>
      </c>
      <c r="AM1286" t="str">
        <f t="shared" ca="1" si="142"/>
        <v/>
      </c>
    </row>
    <row r="1287" spans="27:39" x14ac:dyDescent="0.3">
      <c r="AA1287" t="str">
        <f>IF(COUNTA('Procyfloc 500'!A288,'Procyfloc 500'!B288,'Procyfloc 500'!C288)&gt;0,"500","")</f>
        <v/>
      </c>
      <c r="AB1287" t="str">
        <f>IFERROR(IF(ISNUMBER('Procyfloc 500'!A288),'Procyfloc 500'!A288,DATEVALUE('Procyfloc 500'!A288)),"")</f>
        <v/>
      </c>
      <c r="AC1287" t="str">
        <f>IF(AA1287="","",'Procyfloc 500'!B288)</f>
        <v/>
      </c>
      <c r="AD1287" t="str">
        <f>IF(AA1287="","",IFERROR(1*'Procyfloc 500'!C288,IFERROR(_xludf.NUMBERVALUE('Procyfloc 500'!C288,".",","),IFERROR(_xludf.NUMBERVALUE('Procyfloc 500'!C288,",","."),0))))</f>
        <v/>
      </c>
      <c r="AE1287" t="str">
        <f>IF(AA1287="","",'Procyfloc 500'!L288)</f>
        <v/>
      </c>
      <c r="AF1287">
        <f t="shared" si="137"/>
        <v>0</v>
      </c>
      <c r="AG1287" t="str">
        <f t="shared" si="138"/>
        <v/>
      </c>
      <c r="AH1287" t="str">
        <f t="shared" si="139"/>
        <v/>
      </c>
      <c r="AI1287">
        <f t="shared" si="140"/>
        <v>0</v>
      </c>
      <c r="AJ1287">
        <f t="shared" si="141"/>
        <v>0</v>
      </c>
      <c r="AK1287">
        <v>0</v>
      </c>
      <c r="AL1287" t="str">
        <f>IF(AA1287="","",IFERROR(IF(ISNUMBER('Procyfloc 500'!D288),'Procyfloc 500'!D288,IF(ISNUMBER(SEARCH("12",'Procyfloc 500'!D288)),EDATE(AB1287,12),IF(ISNUMBER(SEARCH("6",'Procyfloc 500'!D288)),EDATE(AB1287,6),IF(ISNUMBER(SEARCH("3",'Procyfloc 500'!D288)),EDATE(AB1287,3),DATEVALUE('Procyfloc 500'!D288))))),""))</f>
        <v/>
      </c>
      <c r="AM1287" t="str">
        <f t="shared" ca="1" si="142"/>
        <v/>
      </c>
    </row>
    <row r="1288" spans="27:39" x14ac:dyDescent="0.3">
      <c r="AA1288" t="str">
        <f>IF(COUNTA('Procyfloc 500'!A289,'Procyfloc 500'!B289,'Procyfloc 500'!C289)&gt;0,"500","")</f>
        <v/>
      </c>
      <c r="AB1288" t="str">
        <f>IFERROR(IF(ISNUMBER('Procyfloc 500'!A289),'Procyfloc 500'!A289,DATEVALUE('Procyfloc 500'!A289)),"")</f>
        <v/>
      </c>
      <c r="AC1288" t="str">
        <f>IF(AA1288="","",'Procyfloc 500'!B289)</f>
        <v/>
      </c>
      <c r="AD1288" t="str">
        <f>IF(AA1288="","",IFERROR(1*'Procyfloc 500'!C289,IFERROR(_xludf.NUMBERVALUE('Procyfloc 500'!C289,".",","),IFERROR(_xludf.NUMBERVALUE('Procyfloc 500'!C289,",","."),0))))</f>
        <v/>
      </c>
      <c r="AE1288" t="str">
        <f>IF(AA1288="","",'Procyfloc 500'!L289)</f>
        <v/>
      </c>
      <c r="AF1288">
        <f t="shared" si="137"/>
        <v>0</v>
      </c>
      <c r="AG1288" t="str">
        <f t="shared" si="138"/>
        <v/>
      </c>
      <c r="AH1288" t="str">
        <f t="shared" si="139"/>
        <v/>
      </c>
      <c r="AI1288">
        <f t="shared" si="140"/>
        <v>0</v>
      </c>
      <c r="AJ1288">
        <f t="shared" si="141"/>
        <v>0</v>
      </c>
      <c r="AK1288">
        <v>0</v>
      </c>
      <c r="AL1288" t="str">
        <f>IF(AA1288="","",IFERROR(IF(ISNUMBER('Procyfloc 500'!D289),'Procyfloc 500'!D289,IF(ISNUMBER(SEARCH("12",'Procyfloc 500'!D289)),EDATE(AB1288,12),IF(ISNUMBER(SEARCH("6",'Procyfloc 500'!D289)),EDATE(AB1288,6),IF(ISNUMBER(SEARCH("3",'Procyfloc 500'!D289)),EDATE(AB1288,3),DATEVALUE('Procyfloc 500'!D289))))),""))</f>
        <v/>
      </c>
      <c r="AM1288" t="str">
        <f t="shared" ca="1" si="142"/>
        <v/>
      </c>
    </row>
    <row r="1289" spans="27:39" x14ac:dyDescent="0.3">
      <c r="AA1289" t="str">
        <f>IF(COUNTA('Procyfloc 500'!A290,'Procyfloc 500'!B290,'Procyfloc 500'!C290)&gt;0,"500","")</f>
        <v/>
      </c>
      <c r="AB1289" t="str">
        <f>IFERROR(IF(ISNUMBER('Procyfloc 500'!A290),'Procyfloc 500'!A290,DATEVALUE('Procyfloc 500'!A290)),"")</f>
        <v/>
      </c>
      <c r="AC1289" t="str">
        <f>IF(AA1289="","",'Procyfloc 500'!B290)</f>
        <v/>
      </c>
      <c r="AD1289" t="str">
        <f>IF(AA1289="","",IFERROR(1*'Procyfloc 500'!C290,IFERROR(_xludf.NUMBERVALUE('Procyfloc 500'!C290,".",","),IFERROR(_xludf.NUMBERVALUE('Procyfloc 500'!C290,",","."),0))))</f>
        <v/>
      </c>
      <c r="AE1289" t="str">
        <f>IF(AA1289="","",'Procyfloc 500'!L290)</f>
        <v/>
      </c>
      <c r="AF1289">
        <f t="shared" si="137"/>
        <v>0</v>
      </c>
      <c r="AG1289" t="str">
        <f t="shared" si="138"/>
        <v/>
      </c>
      <c r="AH1289" t="str">
        <f t="shared" si="139"/>
        <v/>
      </c>
      <c r="AI1289">
        <f t="shared" si="140"/>
        <v>0</v>
      </c>
      <c r="AJ1289">
        <f t="shared" si="141"/>
        <v>0</v>
      </c>
      <c r="AK1289">
        <v>0</v>
      </c>
      <c r="AL1289" t="str">
        <f>IF(AA1289="","",IFERROR(IF(ISNUMBER('Procyfloc 500'!D290),'Procyfloc 500'!D290,IF(ISNUMBER(SEARCH("12",'Procyfloc 500'!D290)),EDATE(AB1289,12),IF(ISNUMBER(SEARCH("6",'Procyfloc 500'!D290)),EDATE(AB1289,6),IF(ISNUMBER(SEARCH("3",'Procyfloc 500'!D290)),EDATE(AB1289,3),DATEVALUE('Procyfloc 500'!D290))))),""))</f>
        <v/>
      </c>
      <c r="AM1289" t="str">
        <f t="shared" ca="1" si="142"/>
        <v/>
      </c>
    </row>
    <row r="1290" spans="27:39" x14ac:dyDescent="0.3">
      <c r="AA1290" t="str">
        <f>IF(COUNTA('Procyfloc 500'!A291,'Procyfloc 500'!B291,'Procyfloc 500'!C291)&gt;0,"500","")</f>
        <v/>
      </c>
      <c r="AB1290" t="str">
        <f>IFERROR(IF(ISNUMBER('Procyfloc 500'!A291),'Procyfloc 500'!A291,DATEVALUE('Procyfloc 500'!A291)),"")</f>
        <v/>
      </c>
      <c r="AC1290" t="str">
        <f>IF(AA1290="","",'Procyfloc 500'!B291)</f>
        <v/>
      </c>
      <c r="AD1290" t="str">
        <f>IF(AA1290="","",IFERROR(1*'Procyfloc 500'!C291,IFERROR(_xludf.NUMBERVALUE('Procyfloc 500'!C291,".",","),IFERROR(_xludf.NUMBERVALUE('Procyfloc 500'!C291,",","."),0))))</f>
        <v/>
      </c>
      <c r="AE1290" t="str">
        <f>IF(AA1290="","",'Procyfloc 500'!L291)</f>
        <v/>
      </c>
      <c r="AF1290">
        <f t="shared" si="137"/>
        <v>0</v>
      </c>
      <c r="AG1290" t="str">
        <f t="shared" si="138"/>
        <v/>
      </c>
      <c r="AH1290" t="str">
        <f t="shared" si="139"/>
        <v/>
      </c>
      <c r="AI1290">
        <f t="shared" si="140"/>
        <v>0</v>
      </c>
      <c r="AJ1290">
        <f t="shared" si="141"/>
        <v>0</v>
      </c>
      <c r="AK1290">
        <v>0</v>
      </c>
      <c r="AL1290" t="str">
        <f>IF(AA1290="","",IFERROR(IF(ISNUMBER('Procyfloc 500'!D291),'Procyfloc 500'!D291,IF(ISNUMBER(SEARCH("12",'Procyfloc 500'!D291)),EDATE(AB1290,12),IF(ISNUMBER(SEARCH("6",'Procyfloc 500'!D291)),EDATE(AB1290,6),IF(ISNUMBER(SEARCH("3",'Procyfloc 500'!D291)),EDATE(AB1290,3),DATEVALUE('Procyfloc 500'!D291))))),""))</f>
        <v/>
      </c>
      <c r="AM1290" t="str">
        <f t="shared" ca="1" si="142"/>
        <v/>
      </c>
    </row>
    <row r="1291" spans="27:39" x14ac:dyDescent="0.3">
      <c r="AA1291" t="str">
        <f>IF(COUNTA('Procyfloc 500'!A292,'Procyfloc 500'!B292,'Procyfloc 500'!C292)&gt;0,"500","")</f>
        <v/>
      </c>
      <c r="AB1291" t="str">
        <f>IFERROR(IF(ISNUMBER('Procyfloc 500'!A292),'Procyfloc 500'!A292,DATEVALUE('Procyfloc 500'!A292)),"")</f>
        <v/>
      </c>
      <c r="AC1291" t="str">
        <f>IF(AA1291="","",'Procyfloc 500'!B292)</f>
        <v/>
      </c>
      <c r="AD1291" t="str">
        <f>IF(AA1291="","",IFERROR(1*'Procyfloc 500'!C292,IFERROR(_xludf.NUMBERVALUE('Procyfloc 500'!C292,".",","),IFERROR(_xludf.NUMBERVALUE('Procyfloc 500'!C292,",","."),0))))</f>
        <v/>
      </c>
      <c r="AE1291" t="str">
        <f>IF(AA1291="","",'Procyfloc 500'!L292)</f>
        <v/>
      </c>
      <c r="AF1291">
        <f t="shared" si="137"/>
        <v>0</v>
      </c>
      <c r="AG1291" t="str">
        <f t="shared" si="138"/>
        <v/>
      </c>
      <c r="AH1291" t="str">
        <f t="shared" si="139"/>
        <v/>
      </c>
      <c r="AI1291">
        <f t="shared" si="140"/>
        <v>0</v>
      </c>
      <c r="AJ1291">
        <f t="shared" si="141"/>
        <v>0</v>
      </c>
      <c r="AK1291">
        <v>0</v>
      </c>
      <c r="AL1291" t="str">
        <f>IF(AA1291="","",IFERROR(IF(ISNUMBER('Procyfloc 500'!D292),'Procyfloc 500'!D292,IF(ISNUMBER(SEARCH("12",'Procyfloc 500'!D292)),EDATE(AB1291,12),IF(ISNUMBER(SEARCH("6",'Procyfloc 500'!D292)),EDATE(AB1291,6),IF(ISNUMBER(SEARCH("3",'Procyfloc 500'!D292)),EDATE(AB1291,3),DATEVALUE('Procyfloc 500'!D292))))),""))</f>
        <v/>
      </c>
      <c r="AM1291" t="str">
        <f t="shared" ca="1" si="142"/>
        <v/>
      </c>
    </row>
    <row r="1292" spans="27:39" x14ac:dyDescent="0.3">
      <c r="AA1292" t="str">
        <f>IF(COUNTA('Procyfloc 500'!A293,'Procyfloc 500'!B293,'Procyfloc 500'!C293)&gt;0,"500","")</f>
        <v/>
      </c>
      <c r="AB1292" t="str">
        <f>IFERROR(IF(ISNUMBER('Procyfloc 500'!A293),'Procyfloc 500'!A293,DATEVALUE('Procyfloc 500'!A293)),"")</f>
        <v/>
      </c>
      <c r="AC1292" t="str">
        <f>IF(AA1292="","",'Procyfloc 500'!B293)</f>
        <v/>
      </c>
      <c r="AD1292" t="str">
        <f>IF(AA1292="","",IFERROR(1*'Procyfloc 500'!C293,IFERROR(_xludf.NUMBERVALUE('Procyfloc 500'!C293,".",","),IFERROR(_xludf.NUMBERVALUE('Procyfloc 500'!C293,",","."),0))))</f>
        <v/>
      </c>
      <c r="AE1292" t="str">
        <f>IF(AA1292="","",'Procyfloc 500'!L293)</f>
        <v/>
      </c>
      <c r="AF1292">
        <f t="shared" si="137"/>
        <v>0</v>
      </c>
      <c r="AG1292" t="str">
        <f t="shared" si="138"/>
        <v/>
      </c>
      <c r="AH1292" t="str">
        <f t="shared" si="139"/>
        <v/>
      </c>
      <c r="AI1292">
        <f t="shared" si="140"/>
        <v>0</v>
      </c>
      <c r="AJ1292">
        <f t="shared" si="141"/>
        <v>0</v>
      </c>
      <c r="AK1292">
        <v>0</v>
      </c>
      <c r="AL1292" t="str">
        <f>IF(AA1292="","",IFERROR(IF(ISNUMBER('Procyfloc 500'!D293),'Procyfloc 500'!D293,IF(ISNUMBER(SEARCH("12",'Procyfloc 500'!D293)),EDATE(AB1292,12),IF(ISNUMBER(SEARCH("6",'Procyfloc 500'!D293)),EDATE(AB1292,6),IF(ISNUMBER(SEARCH("3",'Procyfloc 500'!D293)),EDATE(AB1292,3),DATEVALUE('Procyfloc 500'!D293))))),""))</f>
        <v/>
      </c>
      <c r="AM1292" t="str">
        <f t="shared" ca="1" si="142"/>
        <v/>
      </c>
    </row>
    <row r="1293" spans="27:39" x14ac:dyDescent="0.3">
      <c r="AA1293" t="str">
        <f>IF(COUNTA('Procyfloc 500'!A294,'Procyfloc 500'!B294,'Procyfloc 500'!C294)&gt;0,"500","")</f>
        <v/>
      </c>
      <c r="AB1293" t="str">
        <f>IFERROR(IF(ISNUMBER('Procyfloc 500'!A294),'Procyfloc 500'!A294,DATEVALUE('Procyfloc 500'!A294)),"")</f>
        <v/>
      </c>
      <c r="AC1293" t="str">
        <f>IF(AA1293="","",'Procyfloc 500'!B294)</f>
        <v/>
      </c>
      <c r="AD1293" t="str">
        <f>IF(AA1293="","",IFERROR(1*'Procyfloc 500'!C294,IFERROR(_xludf.NUMBERVALUE('Procyfloc 500'!C294,".",","),IFERROR(_xludf.NUMBERVALUE('Procyfloc 500'!C294,",","."),0))))</f>
        <v/>
      </c>
      <c r="AE1293" t="str">
        <f>IF(AA1293="","",'Procyfloc 500'!L294)</f>
        <v/>
      </c>
      <c r="AF1293">
        <f t="shared" si="137"/>
        <v>0</v>
      </c>
      <c r="AG1293" t="str">
        <f t="shared" si="138"/>
        <v/>
      </c>
      <c r="AH1293" t="str">
        <f t="shared" si="139"/>
        <v/>
      </c>
      <c r="AI1293">
        <f t="shared" si="140"/>
        <v>0</v>
      </c>
      <c r="AJ1293">
        <f t="shared" si="141"/>
        <v>0</v>
      </c>
      <c r="AK1293">
        <v>0</v>
      </c>
      <c r="AL1293" t="str">
        <f>IF(AA1293="","",IFERROR(IF(ISNUMBER('Procyfloc 500'!D294),'Procyfloc 500'!D294,IF(ISNUMBER(SEARCH("12",'Procyfloc 500'!D294)),EDATE(AB1293,12),IF(ISNUMBER(SEARCH("6",'Procyfloc 500'!D294)),EDATE(AB1293,6),IF(ISNUMBER(SEARCH("3",'Procyfloc 500'!D294)),EDATE(AB1293,3),DATEVALUE('Procyfloc 500'!D294))))),""))</f>
        <v/>
      </c>
      <c r="AM1293" t="str">
        <f t="shared" ca="1" si="142"/>
        <v/>
      </c>
    </row>
    <row r="1294" spans="27:39" x14ac:dyDescent="0.3">
      <c r="AA1294" t="str">
        <f>IF(COUNTA('Procyfloc 500'!A295,'Procyfloc 500'!B295,'Procyfloc 500'!C295)&gt;0,"500","")</f>
        <v/>
      </c>
      <c r="AB1294" t="str">
        <f>IFERROR(IF(ISNUMBER('Procyfloc 500'!A295),'Procyfloc 500'!A295,DATEVALUE('Procyfloc 500'!A295)),"")</f>
        <v/>
      </c>
      <c r="AC1294" t="str">
        <f>IF(AA1294="","",'Procyfloc 500'!B295)</f>
        <v/>
      </c>
      <c r="AD1294" t="str">
        <f>IF(AA1294="","",IFERROR(1*'Procyfloc 500'!C295,IFERROR(_xludf.NUMBERVALUE('Procyfloc 500'!C295,".",","),IFERROR(_xludf.NUMBERVALUE('Procyfloc 500'!C295,",","."),0))))</f>
        <v/>
      </c>
      <c r="AE1294" t="str">
        <f>IF(AA1294="","",'Procyfloc 500'!L295)</f>
        <v/>
      </c>
      <c r="AF1294">
        <f t="shared" si="137"/>
        <v>0</v>
      </c>
      <c r="AG1294" t="str">
        <f t="shared" si="138"/>
        <v/>
      </c>
      <c r="AH1294" t="str">
        <f t="shared" si="139"/>
        <v/>
      </c>
      <c r="AI1294">
        <f t="shared" si="140"/>
        <v>0</v>
      </c>
      <c r="AJ1294">
        <f t="shared" si="141"/>
        <v>0</v>
      </c>
      <c r="AK1294">
        <v>0</v>
      </c>
      <c r="AL1294" t="str">
        <f>IF(AA1294="","",IFERROR(IF(ISNUMBER('Procyfloc 500'!D295),'Procyfloc 500'!D295,IF(ISNUMBER(SEARCH("12",'Procyfloc 500'!D295)),EDATE(AB1294,12),IF(ISNUMBER(SEARCH("6",'Procyfloc 500'!D295)),EDATE(AB1294,6),IF(ISNUMBER(SEARCH("3",'Procyfloc 500'!D295)),EDATE(AB1294,3),DATEVALUE('Procyfloc 500'!D295))))),""))</f>
        <v/>
      </c>
      <c r="AM1294" t="str">
        <f t="shared" ca="1" si="142"/>
        <v/>
      </c>
    </row>
    <row r="1295" spans="27:39" x14ac:dyDescent="0.3">
      <c r="AA1295" t="str">
        <f>IF(COUNTA('Procyfloc 500'!A296,'Procyfloc 500'!B296,'Procyfloc 500'!C296)&gt;0,"500","")</f>
        <v/>
      </c>
      <c r="AB1295" t="str">
        <f>IFERROR(IF(ISNUMBER('Procyfloc 500'!A296),'Procyfloc 500'!A296,DATEVALUE('Procyfloc 500'!A296)),"")</f>
        <v/>
      </c>
      <c r="AC1295" t="str">
        <f>IF(AA1295="","",'Procyfloc 500'!B296)</f>
        <v/>
      </c>
      <c r="AD1295" t="str">
        <f>IF(AA1295="","",IFERROR(1*'Procyfloc 500'!C296,IFERROR(_xludf.NUMBERVALUE('Procyfloc 500'!C296,".",","),IFERROR(_xludf.NUMBERVALUE('Procyfloc 500'!C296,",","."),0))))</f>
        <v/>
      </c>
      <c r="AE1295" t="str">
        <f>IF(AA1295="","",'Procyfloc 500'!L296)</f>
        <v/>
      </c>
      <c r="AF1295">
        <f t="shared" si="137"/>
        <v>0</v>
      </c>
      <c r="AG1295" t="str">
        <f t="shared" si="138"/>
        <v/>
      </c>
      <c r="AH1295" t="str">
        <f t="shared" si="139"/>
        <v/>
      </c>
      <c r="AI1295">
        <f t="shared" si="140"/>
        <v>0</v>
      </c>
      <c r="AJ1295">
        <f t="shared" si="141"/>
        <v>0</v>
      </c>
      <c r="AK1295">
        <v>0</v>
      </c>
      <c r="AL1295" t="str">
        <f>IF(AA1295="","",IFERROR(IF(ISNUMBER('Procyfloc 500'!D296),'Procyfloc 500'!D296,IF(ISNUMBER(SEARCH("12",'Procyfloc 500'!D296)),EDATE(AB1295,12),IF(ISNUMBER(SEARCH("6",'Procyfloc 500'!D296)),EDATE(AB1295,6),IF(ISNUMBER(SEARCH("3",'Procyfloc 500'!D296)),EDATE(AB1295,3),DATEVALUE('Procyfloc 500'!D296))))),""))</f>
        <v/>
      </c>
      <c r="AM1295" t="str">
        <f t="shared" ca="1" si="142"/>
        <v/>
      </c>
    </row>
    <row r="1296" spans="27:39" x14ac:dyDescent="0.3">
      <c r="AA1296" t="str">
        <f>IF(COUNTA('Procyfloc 500'!A297,'Procyfloc 500'!B297,'Procyfloc 500'!C297)&gt;0,"500","")</f>
        <v/>
      </c>
      <c r="AB1296" t="str">
        <f>IFERROR(IF(ISNUMBER('Procyfloc 500'!A297),'Procyfloc 500'!A297,DATEVALUE('Procyfloc 500'!A297)),"")</f>
        <v/>
      </c>
      <c r="AC1296" t="str">
        <f>IF(AA1296="","",'Procyfloc 500'!B297)</f>
        <v/>
      </c>
      <c r="AD1296" t="str">
        <f>IF(AA1296="","",IFERROR(1*'Procyfloc 500'!C297,IFERROR(_xludf.NUMBERVALUE('Procyfloc 500'!C297,".",","),IFERROR(_xludf.NUMBERVALUE('Procyfloc 500'!C297,",","."),0))))</f>
        <v/>
      </c>
      <c r="AE1296" t="str">
        <f>IF(AA1296="","",'Procyfloc 500'!L297)</f>
        <v/>
      </c>
      <c r="AF1296">
        <f t="shared" si="137"/>
        <v>0</v>
      </c>
      <c r="AG1296" t="str">
        <f t="shared" si="138"/>
        <v/>
      </c>
      <c r="AH1296" t="str">
        <f t="shared" si="139"/>
        <v/>
      </c>
      <c r="AI1296">
        <f t="shared" si="140"/>
        <v>0</v>
      </c>
      <c r="AJ1296">
        <f t="shared" si="141"/>
        <v>0</v>
      </c>
      <c r="AK1296">
        <v>0</v>
      </c>
      <c r="AL1296" t="str">
        <f>IF(AA1296="","",IFERROR(IF(ISNUMBER('Procyfloc 500'!D297),'Procyfloc 500'!D297,IF(ISNUMBER(SEARCH("12",'Procyfloc 500'!D297)),EDATE(AB1296,12),IF(ISNUMBER(SEARCH("6",'Procyfloc 500'!D297)),EDATE(AB1296,6),IF(ISNUMBER(SEARCH("3",'Procyfloc 500'!D297)),EDATE(AB1296,3),DATEVALUE('Procyfloc 500'!D297))))),""))</f>
        <v/>
      </c>
      <c r="AM1296" t="str">
        <f t="shared" ca="1" si="142"/>
        <v/>
      </c>
    </row>
    <row r="1297" spans="27:39" x14ac:dyDescent="0.3">
      <c r="AA1297" t="str">
        <f>IF(COUNTA('Procyfloc 500'!A298,'Procyfloc 500'!B298,'Procyfloc 500'!C298)&gt;0,"500","")</f>
        <v/>
      </c>
      <c r="AB1297" t="str">
        <f>IFERROR(IF(ISNUMBER('Procyfloc 500'!A298),'Procyfloc 500'!A298,DATEVALUE('Procyfloc 500'!A298)),"")</f>
        <v/>
      </c>
      <c r="AC1297" t="str">
        <f>IF(AA1297="","",'Procyfloc 500'!B298)</f>
        <v/>
      </c>
      <c r="AD1297" t="str">
        <f>IF(AA1297="","",IFERROR(1*'Procyfloc 500'!C298,IFERROR(_xludf.NUMBERVALUE('Procyfloc 500'!C298,".",","),IFERROR(_xludf.NUMBERVALUE('Procyfloc 500'!C298,",","."),0))))</f>
        <v/>
      </c>
      <c r="AE1297" t="str">
        <f>IF(AA1297="","",'Procyfloc 500'!L298)</f>
        <v/>
      </c>
      <c r="AF1297">
        <f t="shared" si="137"/>
        <v>0</v>
      </c>
      <c r="AG1297" t="str">
        <f t="shared" si="138"/>
        <v/>
      </c>
      <c r="AH1297" t="str">
        <f t="shared" si="139"/>
        <v/>
      </c>
      <c r="AI1297">
        <f t="shared" si="140"/>
        <v>0</v>
      </c>
      <c r="AJ1297">
        <f t="shared" si="141"/>
        <v>0</v>
      </c>
      <c r="AK1297">
        <v>0</v>
      </c>
      <c r="AL1297" t="str">
        <f>IF(AA1297="","",IFERROR(IF(ISNUMBER('Procyfloc 500'!D298),'Procyfloc 500'!D298,IF(ISNUMBER(SEARCH("12",'Procyfloc 500'!D298)),EDATE(AB1297,12),IF(ISNUMBER(SEARCH("6",'Procyfloc 500'!D298)),EDATE(AB1297,6),IF(ISNUMBER(SEARCH("3",'Procyfloc 500'!D298)),EDATE(AB1297,3),DATEVALUE('Procyfloc 500'!D298))))),""))</f>
        <v/>
      </c>
      <c r="AM1297" t="str">
        <f t="shared" ca="1" si="142"/>
        <v/>
      </c>
    </row>
    <row r="1298" spans="27:39" x14ac:dyDescent="0.3">
      <c r="AA1298" t="str">
        <f>IF(COUNTA('Procyfloc 500'!A299,'Procyfloc 500'!B299,'Procyfloc 500'!C299)&gt;0,"500","")</f>
        <v/>
      </c>
      <c r="AB1298" t="str">
        <f>IFERROR(IF(ISNUMBER('Procyfloc 500'!A299),'Procyfloc 500'!A299,DATEVALUE('Procyfloc 500'!A299)),"")</f>
        <v/>
      </c>
      <c r="AC1298" t="str">
        <f>IF(AA1298="","",'Procyfloc 500'!B299)</f>
        <v/>
      </c>
      <c r="AD1298" t="str">
        <f>IF(AA1298="","",IFERROR(1*'Procyfloc 500'!C299,IFERROR(_xludf.NUMBERVALUE('Procyfloc 500'!C299,".",","),IFERROR(_xludf.NUMBERVALUE('Procyfloc 500'!C299,",","."),0))))</f>
        <v/>
      </c>
      <c r="AE1298" t="str">
        <f>IF(AA1298="","",'Procyfloc 500'!L299)</f>
        <v/>
      </c>
      <c r="AF1298">
        <f t="shared" si="137"/>
        <v>0</v>
      </c>
      <c r="AG1298" t="str">
        <f t="shared" si="138"/>
        <v/>
      </c>
      <c r="AH1298" t="str">
        <f t="shared" si="139"/>
        <v/>
      </c>
      <c r="AI1298">
        <f t="shared" si="140"/>
        <v>0</v>
      </c>
      <c r="AJ1298">
        <f t="shared" si="141"/>
        <v>0</v>
      </c>
      <c r="AK1298">
        <v>0</v>
      </c>
      <c r="AL1298" t="str">
        <f>IF(AA1298="","",IFERROR(IF(ISNUMBER('Procyfloc 500'!D299),'Procyfloc 500'!D299,IF(ISNUMBER(SEARCH("12",'Procyfloc 500'!D299)),EDATE(AB1298,12),IF(ISNUMBER(SEARCH("6",'Procyfloc 500'!D299)),EDATE(AB1298,6),IF(ISNUMBER(SEARCH("3",'Procyfloc 500'!D299)),EDATE(AB1298,3),DATEVALUE('Procyfloc 500'!D299))))),""))</f>
        <v/>
      </c>
      <c r="AM1298" t="str">
        <f t="shared" ca="1" si="142"/>
        <v/>
      </c>
    </row>
    <row r="1299" spans="27:39" x14ac:dyDescent="0.3">
      <c r="AA1299" t="str">
        <f>IF(COUNTA('Procyfloc 500'!A300,'Procyfloc 500'!B300,'Procyfloc 500'!C300)&gt;0,"500","")</f>
        <v/>
      </c>
      <c r="AB1299" t="str">
        <f>IFERROR(IF(ISNUMBER('Procyfloc 500'!A300),'Procyfloc 500'!A300,DATEVALUE('Procyfloc 500'!A300)),"")</f>
        <v/>
      </c>
      <c r="AC1299" t="str">
        <f>IF(AA1299="","",'Procyfloc 500'!B300)</f>
        <v/>
      </c>
      <c r="AD1299" t="str">
        <f>IF(AA1299="","",IFERROR(1*'Procyfloc 500'!C300,IFERROR(_xludf.NUMBERVALUE('Procyfloc 500'!C300,".",","),IFERROR(_xludf.NUMBERVALUE('Procyfloc 500'!C300,",","."),0))))</f>
        <v/>
      </c>
      <c r="AE1299" t="str">
        <f>IF(AA1299="","",'Procyfloc 500'!L300)</f>
        <v/>
      </c>
      <c r="AF1299">
        <f t="shared" si="137"/>
        <v>0</v>
      </c>
      <c r="AG1299" t="str">
        <f t="shared" si="138"/>
        <v/>
      </c>
      <c r="AH1299" t="str">
        <f t="shared" si="139"/>
        <v/>
      </c>
      <c r="AI1299">
        <f t="shared" si="140"/>
        <v>0</v>
      </c>
      <c r="AJ1299">
        <f t="shared" si="141"/>
        <v>0</v>
      </c>
      <c r="AK1299">
        <v>0</v>
      </c>
      <c r="AL1299" t="str">
        <f>IF(AA1299="","",IFERROR(IF(ISNUMBER('Procyfloc 500'!D300),'Procyfloc 500'!D300,IF(ISNUMBER(SEARCH("12",'Procyfloc 500'!D300)),EDATE(AB1299,12),IF(ISNUMBER(SEARCH("6",'Procyfloc 500'!D300)),EDATE(AB1299,6),IF(ISNUMBER(SEARCH("3",'Procyfloc 500'!D300)),EDATE(AB1299,3),DATEVALUE('Procyfloc 500'!D300))))),""))</f>
        <v/>
      </c>
      <c r="AM1299" t="str">
        <f t="shared" ca="1" si="142"/>
        <v/>
      </c>
    </row>
    <row r="1300" spans="27:39" x14ac:dyDescent="0.3">
      <c r="AA1300" t="str">
        <f>IF(COUNTA('Procyfloc 500'!A301,'Procyfloc 500'!B301,'Procyfloc 500'!C301)&gt;0,"500","")</f>
        <v/>
      </c>
      <c r="AB1300" t="str">
        <f>IFERROR(IF(ISNUMBER('Procyfloc 500'!A301),'Procyfloc 500'!A301,DATEVALUE('Procyfloc 500'!A301)),"")</f>
        <v/>
      </c>
      <c r="AC1300" t="str">
        <f>IF(AA1300="","",'Procyfloc 500'!B301)</f>
        <v/>
      </c>
      <c r="AD1300" t="str">
        <f>IF(AA1300="","",IFERROR(1*'Procyfloc 500'!C301,IFERROR(_xludf.NUMBERVALUE('Procyfloc 500'!C301,".",","),IFERROR(_xludf.NUMBERVALUE('Procyfloc 500'!C301,",","."),0))))</f>
        <v/>
      </c>
      <c r="AE1300" t="str">
        <f>IF(AA1300="","",'Procyfloc 500'!L301)</f>
        <v/>
      </c>
      <c r="AF1300">
        <f t="shared" si="137"/>
        <v>0</v>
      </c>
      <c r="AG1300" t="str">
        <f t="shared" si="138"/>
        <v/>
      </c>
      <c r="AH1300" t="str">
        <f t="shared" si="139"/>
        <v/>
      </c>
      <c r="AI1300">
        <f t="shared" si="140"/>
        <v>0</v>
      </c>
      <c r="AJ1300">
        <f t="shared" si="141"/>
        <v>0</v>
      </c>
      <c r="AK1300">
        <v>0</v>
      </c>
      <c r="AL1300" t="str">
        <f>IF(AA1300="","",IFERROR(IF(ISNUMBER('Procyfloc 500'!D301),'Procyfloc 500'!D301,IF(ISNUMBER(SEARCH("12",'Procyfloc 500'!D301)),EDATE(AB1300,12),IF(ISNUMBER(SEARCH("6",'Procyfloc 500'!D301)),EDATE(AB1300,6),IF(ISNUMBER(SEARCH("3",'Procyfloc 500'!D301)),EDATE(AB1300,3),DATEVALUE('Procyfloc 500'!D301))))),""))</f>
        <v/>
      </c>
      <c r="AM1300" t="str">
        <f t="shared" ca="1" si="142"/>
        <v/>
      </c>
    </row>
    <row r="1301" spans="27:39" x14ac:dyDescent="0.3">
      <c r="AA1301" t="str">
        <f>IF(COUNTA('Procyfloc 500'!A302,'Procyfloc 500'!B302,'Procyfloc 500'!C302)&gt;0,"500","")</f>
        <v/>
      </c>
      <c r="AB1301" t="str">
        <f>IFERROR(IF(ISNUMBER('Procyfloc 500'!A302),'Procyfloc 500'!A302,DATEVALUE('Procyfloc 500'!A302)),"")</f>
        <v/>
      </c>
      <c r="AC1301" t="str">
        <f>IF(AA1301="","",'Procyfloc 500'!B302)</f>
        <v/>
      </c>
      <c r="AD1301" t="str">
        <f>IF(AA1301="","",IFERROR(1*'Procyfloc 500'!C302,IFERROR(_xludf.NUMBERVALUE('Procyfloc 500'!C302,".",","),IFERROR(_xludf.NUMBERVALUE('Procyfloc 500'!C302,",","."),0))))</f>
        <v/>
      </c>
      <c r="AE1301" t="str">
        <f>IF(AA1301="","",'Procyfloc 500'!L302)</f>
        <v/>
      </c>
      <c r="AF1301">
        <f t="shared" si="137"/>
        <v>0</v>
      </c>
      <c r="AG1301" t="str">
        <f t="shared" si="138"/>
        <v/>
      </c>
      <c r="AH1301" t="str">
        <f t="shared" si="139"/>
        <v/>
      </c>
      <c r="AI1301">
        <f t="shared" si="140"/>
        <v>0</v>
      </c>
      <c r="AJ1301">
        <f t="shared" si="141"/>
        <v>0</v>
      </c>
      <c r="AK1301">
        <v>0</v>
      </c>
      <c r="AL1301" t="str">
        <f>IF(AA1301="","",IFERROR(IF(ISNUMBER('Procyfloc 500'!D302),'Procyfloc 500'!D302,IF(ISNUMBER(SEARCH("12",'Procyfloc 500'!D302)),EDATE(AB1301,12),IF(ISNUMBER(SEARCH("6",'Procyfloc 500'!D302)),EDATE(AB1301,6),IF(ISNUMBER(SEARCH("3",'Procyfloc 500'!D302)),EDATE(AB1301,3),DATEVALUE('Procyfloc 500'!D302))))),""))</f>
        <v/>
      </c>
      <c r="AM1301" t="str">
        <f t="shared" ca="1" si="142"/>
        <v/>
      </c>
    </row>
    <row r="1302" spans="27:39" x14ac:dyDescent="0.3">
      <c r="AA1302" t="str">
        <f>IF(COUNTA('Procyfloc 500'!A303,'Procyfloc 500'!B303,'Procyfloc 500'!C303)&gt;0,"500","")</f>
        <v/>
      </c>
      <c r="AB1302" t="str">
        <f>IFERROR(IF(ISNUMBER('Procyfloc 500'!A303),'Procyfloc 500'!A303,DATEVALUE('Procyfloc 500'!A303)),"")</f>
        <v/>
      </c>
      <c r="AC1302" t="str">
        <f>IF(AA1302="","",'Procyfloc 500'!B303)</f>
        <v/>
      </c>
      <c r="AD1302" t="str">
        <f>IF(AA1302="","",IFERROR(1*'Procyfloc 500'!C303,IFERROR(_xludf.NUMBERVALUE('Procyfloc 500'!C303,".",","),IFERROR(_xludf.NUMBERVALUE('Procyfloc 500'!C303,",","."),0))))</f>
        <v/>
      </c>
      <c r="AE1302" t="str">
        <f>IF(AA1302="","",'Procyfloc 500'!L303)</f>
        <v/>
      </c>
      <c r="AF1302">
        <f t="shared" si="137"/>
        <v>0</v>
      </c>
      <c r="AG1302" t="str">
        <f t="shared" si="138"/>
        <v/>
      </c>
      <c r="AH1302" t="str">
        <f t="shared" si="139"/>
        <v/>
      </c>
      <c r="AI1302">
        <f t="shared" si="140"/>
        <v>0</v>
      </c>
      <c r="AJ1302">
        <f t="shared" si="141"/>
        <v>0</v>
      </c>
      <c r="AK1302">
        <v>0</v>
      </c>
      <c r="AL1302" t="str">
        <f>IF(AA1302="","",IFERROR(IF(ISNUMBER('Procyfloc 500'!D303),'Procyfloc 500'!D303,IF(ISNUMBER(SEARCH("12",'Procyfloc 500'!D303)),EDATE(AB1302,12),IF(ISNUMBER(SEARCH("6",'Procyfloc 500'!D303)),EDATE(AB1302,6),IF(ISNUMBER(SEARCH("3",'Procyfloc 500'!D303)),EDATE(AB1302,3),DATEVALUE('Procyfloc 500'!D303))))),""))</f>
        <v/>
      </c>
      <c r="AM1302" t="str">
        <f t="shared" ca="1" si="142"/>
        <v/>
      </c>
    </row>
    <row r="1303" spans="27:39" x14ac:dyDescent="0.3">
      <c r="AA1303" t="str">
        <f>IF(COUNTA('Procyfloc 500'!A304,'Procyfloc 500'!B304,'Procyfloc 500'!C304)&gt;0,"500","")</f>
        <v/>
      </c>
      <c r="AB1303" t="str">
        <f>IFERROR(IF(ISNUMBER('Procyfloc 500'!A304),'Procyfloc 500'!A304,DATEVALUE('Procyfloc 500'!A304)),"")</f>
        <v/>
      </c>
      <c r="AC1303" t="str">
        <f>IF(AA1303="","",'Procyfloc 500'!B304)</f>
        <v/>
      </c>
      <c r="AD1303" t="str">
        <f>IF(AA1303="","",IFERROR(1*'Procyfloc 500'!C304,IFERROR(_xludf.NUMBERVALUE('Procyfloc 500'!C304,".",","),IFERROR(_xludf.NUMBERVALUE('Procyfloc 500'!C304,",","."),0))))</f>
        <v/>
      </c>
      <c r="AE1303" t="str">
        <f>IF(AA1303="","",'Procyfloc 500'!L304)</f>
        <v/>
      </c>
      <c r="AF1303">
        <f t="shared" si="137"/>
        <v>0</v>
      </c>
      <c r="AG1303" t="str">
        <f t="shared" si="138"/>
        <v/>
      </c>
      <c r="AH1303" t="str">
        <f t="shared" si="139"/>
        <v/>
      </c>
      <c r="AI1303">
        <f t="shared" si="140"/>
        <v>0</v>
      </c>
      <c r="AJ1303">
        <f t="shared" si="141"/>
        <v>0</v>
      </c>
      <c r="AK1303">
        <v>0</v>
      </c>
      <c r="AL1303" t="str">
        <f>IF(AA1303="","",IFERROR(IF(ISNUMBER('Procyfloc 500'!D304),'Procyfloc 500'!D304,IF(ISNUMBER(SEARCH("12",'Procyfloc 500'!D304)),EDATE(AB1303,12),IF(ISNUMBER(SEARCH("6",'Procyfloc 500'!D304)),EDATE(AB1303,6),IF(ISNUMBER(SEARCH("3",'Procyfloc 500'!D304)),EDATE(AB1303,3),DATEVALUE('Procyfloc 500'!D304))))),""))</f>
        <v/>
      </c>
      <c r="AM1303" t="str">
        <f t="shared" ca="1" si="142"/>
        <v/>
      </c>
    </row>
    <row r="1304" spans="27:39" x14ac:dyDescent="0.3">
      <c r="AA1304" t="str">
        <f>IF(COUNTA('Procyfloc 500'!A305,'Procyfloc 500'!B305,'Procyfloc 500'!C305)&gt;0,"500","")</f>
        <v/>
      </c>
      <c r="AB1304" t="str">
        <f>IFERROR(IF(ISNUMBER('Procyfloc 500'!A305),'Procyfloc 500'!A305,DATEVALUE('Procyfloc 500'!A305)),"")</f>
        <v/>
      </c>
      <c r="AC1304" t="str">
        <f>IF(AA1304="","",'Procyfloc 500'!B305)</f>
        <v/>
      </c>
      <c r="AD1304" t="str">
        <f>IF(AA1304="","",IFERROR(1*'Procyfloc 500'!C305,IFERROR(_xludf.NUMBERVALUE('Procyfloc 500'!C305,".",","),IFERROR(_xludf.NUMBERVALUE('Procyfloc 500'!C305,",","."),0))))</f>
        <v/>
      </c>
      <c r="AE1304" t="str">
        <f>IF(AA1304="","",'Procyfloc 500'!L305)</f>
        <v/>
      </c>
      <c r="AF1304">
        <f t="shared" si="137"/>
        <v>0</v>
      </c>
      <c r="AG1304" t="str">
        <f t="shared" si="138"/>
        <v/>
      </c>
      <c r="AH1304" t="str">
        <f t="shared" si="139"/>
        <v/>
      </c>
      <c r="AI1304">
        <f t="shared" si="140"/>
        <v>0</v>
      </c>
      <c r="AJ1304">
        <f t="shared" si="141"/>
        <v>0</v>
      </c>
      <c r="AK1304">
        <v>0</v>
      </c>
      <c r="AL1304" t="str">
        <f>IF(AA1304="","",IFERROR(IF(ISNUMBER('Procyfloc 500'!D305),'Procyfloc 500'!D305,IF(ISNUMBER(SEARCH("12",'Procyfloc 500'!D305)),EDATE(AB1304,12),IF(ISNUMBER(SEARCH("6",'Procyfloc 500'!D305)),EDATE(AB1304,6),IF(ISNUMBER(SEARCH("3",'Procyfloc 500'!D305)),EDATE(AB1304,3),DATEVALUE('Procyfloc 500'!D305))))),""))</f>
        <v/>
      </c>
      <c r="AM1304" t="str">
        <f t="shared" ca="1" si="142"/>
        <v/>
      </c>
    </row>
    <row r="1305" spans="27:39" x14ac:dyDescent="0.3">
      <c r="AA1305" t="str">
        <f>IF(COUNTA('Procyfloc 500'!A306,'Procyfloc 500'!B306,'Procyfloc 500'!C306)&gt;0,"500","")</f>
        <v/>
      </c>
      <c r="AB1305" t="str">
        <f>IFERROR(IF(ISNUMBER('Procyfloc 500'!A306),'Procyfloc 500'!A306,DATEVALUE('Procyfloc 500'!A306)),"")</f>
        <v/>
      </c>
      <c r="AC1305" t="str">
        <f>IF(AA1305="","",'Procyfloc 500'!B306)</f>
        <v/>
      </c>
      <c r="AD1305" t="str">
        <f>IF(AA1305="","",IFERROR(1*'Procyfloc 500'!C306,IFERROR(_xludf.NUMBERVALUE('Procyfloc 500'!C306,".",","),IFERROR(_xludf.NUMBERVALUE('Procyfloc 500'!C306,",","."),0))))</f>
        <v/>
      </c>
      <c r="AE1305" t="str">
        <f>IF(AA1305="","",'Procyfloc 500'!L306)</f>
        <v/>
      </c>
      <c r="AF1305">
        <f t="shared" si="137"/>
        <v>0</v>
      </c>
      <c r="AG1305" t="str">
        <f t="shared" si="138"/>
        <v/>
      </c>
      <c r="AH1305" t="str">
        <f t="shared" si="139"/>
        <v/>
      </c>
      <c r="AI1305">
        <f t="shared" si="140"/>
        <v>0</v>
      </c>
      <c r="AJ1305">
        <f t="shared" si="141"/>
        <v>0</v>
      </c>
      <c r="AK1305">
        <v>0</v>
      </c>
      <c r="AL1305" t="str">
        <f>IF(AA1305="","",IFERROR(IF(ISNUMBER('Procyfloc 500'!D306),'Procyfloc 500'!D306,IF(ISNUMBER(SEARCH("12",'Procyfloc 500'!D306)),EDATE(AB1305,12),IF(ISNUMBER(SEARCH("6",'Procyfloc 500'!D306)),EDATE(AB1305,6),IF(ISNUMBER(SEARCH("3",'Procyfloc 500'!D306)),EDATE(AB1305,3),DATEVALUE('Procyfloc 500'!D306))))),""))</f>
        <v/>
      </c>
      <c r="AM1305" t="str">
        <f t="shared" ca="1" si="142"/>
        <v/>
      </c>
    </row>
    <row r="1306" spans="27:39" x14ac:dyDescent="0.3">
      <c r="AA1306" t="str">
        <f>IF(COUNTA('Procyfloc 500'!A307,'Procyfloc 500'!B307,'Procyfloc 500'!C307)&gt;0,"500","")</f>
        <v/>
      </c>
      <c r="AB1306" t="str">
        <f>IFERROR(IF(ISNUMBER('Procyfloc 500'!A307),'Procyfloc 500'!A307,DATEVALUE('Procyfloc 500'!A307)),"")</f>
        <v/>
      </c>
      <c r="AC1306" t="str">
        <f>IF(AA1306="","",'Procyfloc 500'!B307)</f>
        <v/>
      </c>
      <c r="AD1306" t="str">
        <f>IF(AA1306="","",IFERROR(1*'Procyfloc 500'!C307,IFERROR(_xludf.NUMBERVALUE('Procyfloc 500'!C307,".",","),IFERROR(_xludf.NUMBERVALUE('Procyfloc 500'!C307,",","."),0))))</f>
        <v/>
      </c>
      <c r="AE1306" t="str">
        <f>IF(AA1306="","",'Procyfloc 500'!L307)</f>
        <v/>
      </c>
      <c r="AF1306">
        <f t="shared" si="137"/>
        <v>0</v>
      </c>
      <c r="AG1306" t="str">
        <f t="shared" si="138"/>
        <v/>
      </c>
      <c r="AH1306" t="str">
        <f t="shared" si="139"/>
        <v/>
      </c>
      <c r="AI1306">
        <f t="shared" si="140"/>
        <v>0</v>
      </c>
      <c r="AJ1306">
        <f t="shared" si="141"/>
        <v>0</v>
      </c>
      <c r="AK1306">
        <v>0</v>
      </c>
      <c r="AL1306" t="str">
        <f>IF(AA1306="","",IFERROR(IF(ISNUMBER('Procyfloc 500'!D307),'Procyfloc 500'!D307,IF(ISNUMBER(SEARCH("12",'Procyfloc 500'!D307)),EDATE(AB1306,12),IF(ISNUMBER(SEARCH("6",'Procyfloc 500'!D307)),EDATE(AB1306,6),IF(ISNUMBER(SEARCH("3",'Procyfloc 500'!D307)),EDATE(AB1306,3),DATEVALUE('Procyfloc 500'!D307))))),""))</f>
        <v/>
      </c>
      <c r="AM1306" t="str">
        <f t="shared" ca="1" si="142"/>
        <v/>
      </c>
    </row>
    <row r="1307" spans="27:39" x14ac:dyDescent="0.3">
      <c r="AA1307" t="str">
        <f>IF(COUNTA('Procyfloc 500'!A308,'Procyfloc 500'!B308,'Procyfloc 500'!C308)&gt;0,"500","")</f>
        <v/>
      </c>
      <c r="AB1307" t="str">
        <f>IFERROR(IF(ISNUMBER('Procyfloc 500'!A308),'Procyfloc 500'!A308,DATEVALUE('Procyfloc 500'!A308)),"")</f>
        <v/>
      </c>
      <c r="AC1307" t="str">
        <f>IF(AA1307="","",'Procyfloc 500'!B308)</f>
        <v/>
      </c>
      <c r="AD1307" t="str">
        <f>IF(AA1307="","",IFERROR(1*'Procyfloc 500'!C308,IFERROR(_xludf.NUMBERVALUE('Procyfloc 500'!C308,".",","),IFERROR(_xludf.NUMBERVALUE('Procyfloc 500'!C308,",","."),0))))</f>
        <v/>
      </c>
      <c r="AE1307" t="str">
        <f>IF(AA1307="","",'Procyfloc 500'!L308)</f>
        <v/>
      </c>
      <c r="AF1307">
        <f t="shared" si="137"/>
        <v>0</v>
      </c>
      <c r="AG1307" t="str">
        <f t="shared" si="138"/>
        <v/>
      </c>
      <c r="AH1307" t="str">
        <f t="shared" si="139"/>
        <v/>
      </c>
      <c r="AI1307">
        <f t="shared" si="140"/>
        <v>0</v>
      </c>
      <c r="AJ1307">
        <f t="shared" si="141"/>
        <v>0</v>
      </c>
      <c r="AK1307">
        <v>0</v>
      </c>
      <c r="AL1307" t="str">
        <f>IF(AA1307="","",IFERROR(IF(ISNUMBER('Procyfloc 500'!D308),'Procyfloc 500'!D308,IF(ISNUMBER(SEARCH("12",'Procyfloc 500'!D308)),EDATE(AB1307,12),IF(ISNUMBER(SEARCH("6",'Procyfloc 500'!D308)),EDATE(AB1307,6),IF(ISNUMBER(SEARCH("3",'Procyfloc 500'!D308)),EDATE(AB1307,3),DATEVALUE('Procyfloc 500'!D308))))),""))</f>
        <v/>
      </c>
      <c r="AM1307" t="str">
        <f t="shared" ca="1" si="142"/>
        <v/>
      </c>
    </row>
    <row r="1308" spans="27:39" x14ac:dyDescent="0.3">
      <c r="AA1308" t="str">
        <f>IF(COUNTA('Procyfloc 500'!A309,'Procyfloc 500'!B309,'Procyfloc 500'!C309)&gt;0,"500","")</f>
        <v/>
      </c>
      <c r="AB1308" t="str">
        <f>IFERROR(IF(ISNUMBER('Procyfloc 500'!A309),'Procyfloc 500'!A309,DATEVALUE('Procyfloc 500'!A309)),"")</f>
        <v/>
      </c>
      <c r="AC1308" t="str">
        <f>IF(AA1308="","",'Procyfloc 500'!B309)</f>
        <v/>
      </c>
      <c r="AD1308" t="str">
        <f>IF(AA1308="","",IFERROR(1*'Procyfloc 500'!C309,IFERROR(_xludf.NUMBERVALUE('Procyfloc 500'!C309,".",","),IFERROR(_xludf.NUMBERVALUE('Procyfloc 500'!C309,",","."),0))))</f>
        <v/>
      </c>
      <c r="AE1308" t="str">
        <f>IF(AA1308="","",'Procyfloc 500'!L309)</f>
        <v/>
      </c>
      <c r="AF1308">
        <f t="shared" si="137"/>
        <v>0</v>
      </c>
      <c r="AG1308" t="str">
        <f t="shared" si="138"/>
        <v/>
      </c>
      <c r="AH1308" t="str">
        <f t="shared" si="139"/>
        <v/>
      </c>
      <c r="AI1308">
        <f t="shared" si="140"/>
        <v>0</v>
      </c>
      <c r="AJ1308">
        <f t="shared" si="141"/>
        <v>0</v>
      </c>
      <c r="AK1308">
        <v>0</v>
      </c>
      <c r="AL1308" t="str">
        <f>IF(AA1308="","",IFERROR(IF(ISNUMBER('Procyfloc 500'!D309),'Procyfloc 500'!D309,IF(ISNUMBER(SEARCH("12",'Procyfloc 500'!D309)),EDATE(AB1308,12),IF(ISNUMBER(SEARCH("6",'Procyfloc 500'!D309)),EDATE(AB1308,6),IF(ISNUMBER(SEARCH("3",'Procyfloc 500'!D309)),EDATE(AB1308,3),DATEVALUE('Procyfloc 500'!D309))))),""))</f>
        <v/>
      </c>
      <c r="AM1308" t="str">
        <f t="shared" ca="1" si="142"/>
        <v/>
      </c>
    </row>
    <row r="1309" spans="27:39" x14ac:dyDescent="0.3">
      <c r="AA1309" t="str">
        <f>IF(COUNTA('Procyfloc 500'!A310,'Procyfloc 500'!B310,'Procyfloc 500'!C310)&gt;0,"500","")</f>
        <v/>
      </c>
      <c r="AB1309" t="str">
        <f>IFERROR(IF(ISNUMBER('Procyfloc 500'!A310),'Procyfloc 500'!A310,DATEVALUE('Procyfloc 500'!A310)),"")</f>
        <v/>
      </c>
      <c r="AC1309" t="str">
        <f>IF(AA1309="","",'Procyfloc 500'!B310)</f>
        <v/>
      </c>
      <c r="AD1309" t="str">
        <f>IF(AA1309="","",IFERROR(1*'Procyfloc 500'!C310,IFERROR(_xludf.NUMBERVALUE('Procyfloc 500'!C310,".",","),IFERROR(_xludf.NUMBERVALUE('Procyfloc 500'!C310,",","."),0))))</f>
        <v/>
      </c>
      <c r="AE1309" t="str">
        <f>IF(AA1309="","",'Procyfloc 500'!L310)</f>
        <v/>
      </c>
      <c r="AF1309">
        <f t="shared" si="137"/>
        <v>0</v>
      </c>
      <c r="AG1309" t="str">
        <f t="shared" si="138"/>
        <v/>
      </c>
      <c r="AH1309" t="str">
        <f t="shared" si="139"/>
        <v/>
      </c>
      <c r="AI1309">
        <f t="shared" si="140"/>
        <v>0</v>
      </c>
      <c r="AJ1309">
        <f t="shared" si="141"/>
        <v>0</v>
      </c>
      <c r="AK1309">
        <v>0</v>
      </c>
      <c r="AL1309" t="str">
        <f>IF(AA1309="","",IFERROR(IF(ISNUMBER('Procyfloc 500'!D310),'Procyfloc 500'!D310,IF(ISNUMBER(SEARCH("12",'Procyfloc 500'!D310)),EDATE(AB1309,12),IF(ISNUMBER(SEARCH("6",'Procyfloc 500'!D310)),EDATE(AB1309,6),IF(ISNUMBER(SEARCH("3",'Procyfloc 500'!D310)),EDATE(AB1309,3),DATEVALUE('Procyfloc 500'!D310))))),""))</f>
        <v/>
      </c>
      <c r="AM1309" t="str">
        <f t="shared" ca="1" si="142"/>
        <v/>
      </c>
    </row>
    <row r="1310" spans="27:39" x14ac:dyDescent="0.3">
      <c r="AA1310" t="str">
        <f>IF(COUNTA('Procyfloc 500'!A311,'Procyfloc 500'!B311,'Procyfloc 500'!C311)&gt;0,"500","")</f>
        <v/>
      </c>
      <c r="AB1310" t="str">
        <f>IFERROR(IF(ISNUMBER('Procyfloc 500'!A311),'Procyfloc 500'!A311,DATEVALUE('Procyfloc 500'!A311)),"")</f>
        <v/>
      </c>
      <c r="AC1310" t="str">
        <f>IF(AA1310="","",'Procyfloc 500'!B311)</f>
        <v/>
      </c>
      <c r="AD1310" t="str">
        <f>IF(AA1310="","",IFERROR(1*'Procyfloc 500'!C311,IFERROR(_xludf.NUMBERVALUE('Procyfloc 500'!C311,".",","),IFERROR(_xludf.NUMBERVALUE('Procyfloc 500'!C311,",","."),0))))</f>
        <v/>
      </c>
      <c r="AE1310" t="str">
        <f>IF(AA1310="","",'Procyfloc 500'!L311)</f>
        <v/>
      </c>
      <c r="AF1310">
        <f t="shared" si="137"/>
        <v>0</v>
      </c>
      <c r="AG1310" t="str">
        <f t="shared" si="138"/>
        <v/>
      </c>
      <c r="AH1310" t="str">
        <f t="shared" si="139"/>
        <v/>
      </c>
      <c r="AI1310">
        <f t="shared" si="140"/>
        <v>0</v>
      </c>
      <c r="AJ1310">
        <f t="shared" si="141"/>
        <v>0</v>
      </c>
      <c r="AK1310">
        <v>0</v>
      </c>
      <c r="AL1310" t="str">
        <f>IF(AA1310="","",IFERROR(IF(ISNUMBER('Procyfloc 500'!D311),'Procyfloc 500'!D311,IF(ISNUMBER(SEARCH("12",'Procyfloc 500'!D311)),EDATE(AB1310,12),IF(ISNUMBER(SEARCH("6",'Procyfloc 500'!D311)),EDATE(AB1310,6),IF(ISNUMBER(SEARCH("3",'Procyfloc 500'!D311)),EDATE(AB1310,3),DATEVALUE('Procyfloc 500'!D311))))),""))</f>
        <v/>
      </c>
      <c r="AM1310" t="str">
        <f t="shared" ca="1" si="142"/>
        <v/>
      </c>
    </row>
    <row r="1311" spans="27:39" x14ac:dyDescent="0.3">
      <c r="AA1311" t="str">
        <f>IF(COUNTA('Procyfloc 500'!A312,'Procyfloc 500'!B312,'Procyfloc 500'!C312)&gt;0,"500","")</f>
        <v/>
      </c>
      <c r="AB1311" t="str">
        <f>IFERROR(IF(ISNUMBER('Procyfloc 500'!A312),'Procyfloc 500'!A312,DATEVALUE('Procyfloc 500'!A312)),"")</f>
        <v/>
      </c>
      <c r="AC1311" t="str">
        <f>IF(AA1311="","",'Procyfloc 500'!B312)</f>
        <v/>
      </c>
      <c r="AD1311" t="str">
        <f>IF(AA1311="","",IFERROR(1*'Procyfloc 500'!C312,IFERROR(_xludf.NUMBERVALUE('Procyfloc 500'!C312,".",","),IFERROR(_xludf.NUMBERVALUE('Procyfloc 500'!C312,",","."),0))))</f>
        <v/>
      </c>
      <c r="AE1311" t="str">
        <f>IF(AA1311="","",'Procyfloc 500'!L312)</f>
        <v/>
      </c>
      <c r="AF1311">
        <f t="shared" si="137"/>
        <v>0</v>
      </c>
      <c r="AG1311" t="str">
        <f t="shared" si="138"/>
        <v/>
      </c>
      <c r="AH1311" t="str">
        <f t="shared" si="139"/>
        <v/>
      </c>
      <c r="AI1311">
        <f t="shared" si="140"/>
        <v>0</v>
      </c>
      <c r="AJ1311">
        <f t="shared" si="141"/>
        <v>0</v>
      </c>
      <c r="AK1311">
        <v>0</v>
      </c>
      <c r="AL1311" t="str">
        <f>IF(AA1311="","",IFERROR(IF(ISNUMBER('Procyfloc 500'!D312),'Procyfloc 500'!D312,IF(ISNUMBER(SEARCH("12",'Procyfloc 500'!D312)),EDATE(AB1311,12),IF(ISNUMBER(SEARCH("6",'Procyfloc 500'!D312)),EDATE(AB1311,6),IF(ISNUMBER(SEARCH("3",'Procyfloc 500'!D312)),EDATE(AB1311,3),DATEVALUE('Procyfloc 500'!D312))))),""))</f>
        <v/>
      </c>
      <c r="AM1311" t="str">
        <f t="shared" ca="1" si="142"/>
        <v/>
      </c>
    </row>
    <row r="1312" spans="27:39" x14ac:dyDescent="0.3">
      <c r="AA1312" t="str">
        <f>IF(COUNTA('Procyfloc 500'!A313,'Procyfloc 500'!B313,'Procyfloc 500'!C313)&gt;0,"500","")</f>
        <v/>
      </c>
      <c r="AB1312" t="str">
        <f>IFERROR(IF(ISNUMBER('Procyfloc 500'!A313),'Procyfloc 500'!A313,DATEVALUE('Procyfloc 500'!A313)),"")</f>
        <v/>
      </c>
      <c r="AC1312" t="str">
        <f>IF(AA1312="","",'Procyfloc 500'!B313)</f>
        <v/>
      </c>
      <c r="AD1312" t="str">
        <f>IF(AA1312="","",IFERROR(1*'Procyfloc 500'!C313,IFERROR(_xludf.NUMBERVALUE('Procyfloc 500'!C313,".",","),IFERROR(_xludf.NUMBERVALUE('Procyfloc 500'!C313,",","."),0))))</f>
        <v/>
      </c>
      <c r="AE1312" t="str">
        <f>IF(AA1312="","",'Procyfloc 500'!L313)</f>
        <v/>
      </c>
      <c r="AF1312">
        <f t="shared" si="137"/>
        <v>0</v>
      </c>
      <c r="AG1312" t="str">
        <f t="shared" si="138"/>
        <v/>
      </c>
      <c r="AH1312" t="str">
        <f t="shared" si="139"/>
        <v/>
      </c>
      <c r="AI1312">
        <f t="shared" si="140"/>
        <v>0</v>
      </c>
      <c r="AJ1312">
        <f t="shared" si="141"/>
        <v>0</v>
      </c>
      <c r="AK1312">
        <v>0</v>
      </c>
      <c r="AL1312" t="str">
        <f>IF(AA1312="","",IFERROR(IF(ISNUMBER('Procyfloc 500'!D313),'Procyfloc 500'!D313,IF(ISNUMBER(SEARCH("12",'Procyfloc 500'!D313)),EDATE(AB1312,12),IF(ISNUMBER(SEARCH("6",'Procyfloc 500'!D313)),EDATE(AB1312,6),IF(ISNUMBER(SEARCH("3",'Procyfloc 500'!D313)),EDATE(AB1312,3),DATEVALUE('Procyfloc 500'!D313))))),""))</f>
        <v/>
      </c>
      <c r="AM1312" t="str">
        <f t="shared" ca="1" si="142"/>
        <v/>
      </c>
    </row>
    <row r="1313" spans="27:39" x14ac:dyDescent="0.3">
      <c r="AA1313" t="str">
        <f>IF(COUNTA('Procyfloc 500'!A314,'Procyfloc 500'!B314,'Procyfloc 500'!C314)&gt;0,"500","")</f>
        <v/>
      </c>
      <c r="AB1313" t="str">
        <f>IFERROR(IF(ISNUMBER('Procyfloc 500'!A314),'Procyfloc 500'!A314,DATEVALUE('Procyfloc 500'!A314)),"")</f>
        <v/>
      </c>
      <c r="AC1313" t="str">
        <f>IF(AA1313="","",'Procyfloc 500'!B314)</f>
        <v/>
      </c>
      <c r="AD1313" t="str">
        <f>IF(AA1313="","",IFERROR(1*'Procyfloc 500'!C314,IFERROR(_xludf.NUMBERVALUE('Procyfloc 500'!C314,".",","),IFERROR(_xludf.NUMBERVALUE('Procyfloc 500'!C314,",","."),0))))</f>
        <v/>
      </c>
      <c r="AE1313" t="str">
        <f>IF(AA1313="","",'Procyfloc 500'!L314)</f>
        <v/>
      </c>
      <c r="AF1313">
        <f t="shared" si="137"/>
        <v>0</v>
      </c>
      <c r="AG1313" t="str">
        <f t="shared" si="138"/>
        <v/>
      </c>
      <c r="AH1313" t="str">
        <f t="shared" si="139"/>
        <v/>
      </c>
      <c r="AI1313">
        <f t="shared" si="140"/>
        <v>0</v>
      </c>
      <c r="AJ1313">
        <f t="shared" si="141"/>
        <v>0</v>
      </c>
      <c r="AK1313">
        <v>0</v>
      </c>
      <c r="AL1313" t="str">
        <f>IF(AA1313="","",IFERROR(IF(ISNUMBER('Procyfloc 500'!D314),'Procyfloc 500'!D314,IF(ISNUMBER(SEARCH("12",'Procyfloc 500'!D314)),EDATE(AB1313,12),IF(ISNUMBER(SEARCH("6",'Procyfloc 500'!D314)),EDATE(AB1313,6),IF(ISNUMBER(SEARCH("3",'Procyfloc 500'!D314)),EDATE(AB1313,3),DATEVALUE('Procyfloc 500'!D314))))),""))</f>
        <v/>
      </c>
      <c r="AM1313" t="str">
        <f t="shared" ca="1" si="142"/>
        <v/>
      </c>
    </row>
    <row r="1314" spans="27:39" x14ac:dyDescent="0.3">
      <c r="AA1314" t="str">
        <f>IF(COUNTA('Procyfloc 500'!A315,'Procyfloc 500'!B315,'Procyfloc 500'!C315)&gt;0,"500","")</f>
        <v/>
      </c>
      <c r="AB1314" t="str">
        <f>IFERROR(IF(ISNUMBER('Procyfloc 500'!A315),'Procyfloc 500'!A315,DATEVALUE('Procyfloc 500'!A315)),"")</f>
        <v/>
      </c>
      <c r="AC1314" t="str">
        <f>IF(AA1314="","",'Procyfloc 500'!B315)</f>
        <v/>
      </c>
      <c r="AD1314" t="str">
        <f>IF(AA1314="","",IFERROR(1*'Procyfloc 500'!C315,IFERROR(_xludf.NUMBERVALUE('Procyfloc 500'!C315,".",","),IFERROR(_xludf.NUMBERVALUE('Procyfloc 500'!C315,",","."),0))))</f>
        <v/>
      </c>
      <c r="AE1314" t="str">
        <f>IF(AA1314="","",'Procyfloc 500'!L315)</f>
        <v/>
      </c>
      <c r="AF1314">
        <f t="shared" si="137"/>
        <v>0</v>
      </c>
      <c r="AG1314" t="str">
        <f t="shared" si="138"/>
        <v/>
      </c>
      <c r="AH1314" t="str">
        <f t="shared" si="139"/>
        <v/>
      </c>
      <c r="AI1314">
        <f t="shared" si="140"/>
        <v>0</v>
      </c>
      <c r="AJ1314">
        <f t="shared" si="141"/>
        <v>0</v>
      </c>
      <c r="AK1314">
        <v>0</v>
      </c>
      <c r="AL1314" t="str">
        <f>IF(AA1314="","",IFERROR(IF(ISNUMBER('Procyfloc 500'!D315),'Procyfloc 500'!D315,IF(ISNUMBER(SEARCH("12",'Procyfloc 500'!D315)),EDATE(AB1314,12),IF(ISNUMBER(SEARCH("6",'Procyfloc 500'!D315)),EDATE(AB1314,6),IF(ISNUMBER(SEARCH("3",'Procyfloc 500'!D315)),EDATE(AB1314,3),DATEVALUE('Procyfloc 500'!D315))))),""))</f>
        <v/>
      </c>
      <c r="AM1314" t="str">
        <f t="shared" ca="1" si="142"/>
        <v/>
      </c>
    </row>
    <row r="1315" spans="27:39" x14ac:dyDescent="0.3">
      <c r="AA1315" t="str">
        <f>IF(COUNTA('Procyfloc 500'!A316,'Procyfloc 500'!B316,'Procyfloc 500'!C316)&gt;0,"500","")</f>
        <v/>
      </c>
      <c r="AB1315" t="str">
        <f>IFERROR(IF(ISNUMBER('Procyfloc 500'!A316),'Procyfloc 500'!A316,DATEVALUE('Procyfloc 500'!A316)),"")</f>
        <v/>
      </c>
      <c r="AC1315" t="str">
        <f>IF(AA1315="","",'Procyfloc 500'!B316)</f>
        <v/>
      </c>
      <c r="AD1315" t="str">
        <f>IF(AA1315="","",IFERROR(1*'Procyfloc 500'!C316,IFERROR(_xludf.NUMBERVALUE('Procyfloc 500'!C316,".",","),IFERROR(_xludf.NUMBERVALUE('Procyfloc 500'!C316,",","."),0))))</f>
        <v/>
      </c>
      <c r="AE1315" t="str">
        <f>IF(AA1315="","",'Procyfloc 500'!L316)</f>
        <v/>
      </c>
      <c r="AF1315">
        <f t="shared" si="137"/>
        <v>0</v>
      </c>
      <c r="AG1315" t="str">
        <f t="shared" si="138"/>
        <v/>
      </c>
      <c r="AH1315" t="str">
        <f t="shared" si="139"/>
        <v/>
      </c>
      <c r="AI1315">
        <f t="shared" si="140"/>
        <v>0</v>
      </c>
      <c r="AJ1315">
        <f t="shared" si="141"/>
        <v>0</v>
      </c>
      <c r="AK1315">
        <v>0</v>
      </c>
      <c r="AL1315" t="str">
        <f>IF(AA1315="","",IFERROR(IF(ISNUMBER('Procyfloc 500'!D316),'Procyfloc 500'!D316,IF(ISNUMBER(SEARCH("12",'Procyfloc 500'!D316)),EDATE(AB1315,12),IF(ISNUMBER(SEARCH("6",'Procyfloc 500'!D316)),EDATE(AB1315,6),IF(ISNUMBER(SEARCH("3",'Procyfloc 500'!D316)),EDATE(AB1315,3),DATEVALUE('Procyfloc 500'!D316))))),""))</f>
        <v/>
      </c>
      <c r="AM1315" t="str">
        <f t="shared" ca="1" si="142"/>
        <v/>
      </c>
    </row>
    <row r="1316" spans="27:39" x14ac:dyDescent="0.3">
      <c r="AA1316" t="str">
        <f>IF(COUNTA('Procyfloc 500'!A317,'Procyfloc 500'!B317,'Procyfloc 500'!C317)&gt;0,"500","")</f>
        <v/>
      </c>
      <c r="AB1316" t="str">
        <f>IFERROR(IF(ISNUMBER('Procyfloc 500'!A317),'Procyfloc 500'!A317,DATEVALUE('Procyfloc 500'!A317)),"")</f>
        <v/>
      </c>
      <c r="AC1316" t="str">
        <f>IF(AA1316="","",'Procyfloc 500'!B317)</f>
        <v/>
      </c>
      <c r="AD1316" t="str">
        <f>IF(AA1316="","",IFERROR(1*'Procyfloc 500'!C317,IFERROR(_xludf.NUMBERVALUE('Procyfloc 500'!C317,".",","),IFERROR(_xludf.NUMBERVALUE('Procyfloc 500'!C317,",","."),0))))</f>
        <v/>
      </c>
      <c r="AE1316" t="str">
        <f>IF(AA1316="","",'Procyfloc 500'!L317)</f>
        <v/>
      </c>
      <c r="AF1316">
        <f t="shared" si="137"/>
        <v>0</v>
      </c>
      <c r="AG1316" t="str">
        <f t="shared" si="138"/>
        <v/>
      </c>
      <c r="AH1316" t="str">
        <f t="shared" si="139"/>
        <v/>
      </c>
      <c r="AI1316">
        <f t="shared" si="140"/>
        <v>0</v>
      </c>
      <c r="AJ1316">
        <f t="shared" si="141"/>
        <v>0</v>
      </c>
      <c r="AK1316">
        <v>0</v>
      </c>
      <c r="AL1316" t="str">
        <f>IF(AA1316="","",IFERROR(IF(ISNUMBER('Procyfloc 500'!D317),'Procyfloc 500'!D317,IF(ISNUMBER(SEARCH("12",'Procyfloc 500'!D317)),EDATE(AB1316,12),IF(ISNUMBER(SEARCH("6",'Procyfloc 500'!D317)),EDATE(AB1316,6),IF(ISNUMBER(SEARCH("3",'Procyfloc 500'!D317)),EDATE(AB1316,3),DATEVALUE('Procyfloc 500'!D317))))),""))</f>
        <v/>
      </c>
      <c r="AM1316" t="str">
        <f t="shared" ca="1" si="142"/>
        <v/>
      </c>
    </row>
    <row r="1317" spans="27:39" x14ac:dyDescent="0.3">
      <c r="AA1317" t="str">
        <f>IF(COUNTA('Procyfloc 500'!A318,'Procyfloc 500'!B318,'Procyfloc 500'!C318)&gt;0,"500","")</f>
        <v/>
      </c>
      <c r="AB1317" t="str">
        <f>IFERROR(IF(ISNUMBER('Procyfloc 500'!A318),'Procyfloc 500'!A318,DATEVALUE('Procyfloc 500'!A318)),"")</f>
        <v/>
      </c>
      <c r="AC1317" t="str">
        <f>IF(AA1317="","",'Procyfloc 500'!B318)</f>
        <v/>
      </c>
      <c r="AD1317" t="str">
        <f>IF(AA1317="","",IFERROR(1*'Procyfloc 500'!C318,IFERROR(_xludf.NUMBERVALUE('Procyfloc 500'!C318,".",","),IFERROR(_xludf.NUMBERVALUE('Procyfloc 500'!C318,",","."),0))))</f>
        <v/>
      </c>
      <c r="AE1317" t="str">
        <f>IF(AA1317="","",'Procyfloc 500'!L318)</f>
        <v/>
      </c>
      <c r="AF1317">
        <f t="shared" si="137"/>
        <v>0</v>
      </c>
      <c r="AG1317" t="str">
        <f t="shared" si="138"/>
        <v/>
      </c>
      <c r="AH1317" t="str">
        <f t="shared" si="139"/>
        <v/>
      </c>
      <c r="AI1317">
        <f t="shared" si="140"/>
        <v>0</v>
      </c>
      <c r="AJ1317">
        <f t="shared" si="141"/>
        <v>0</v>
      </c>
      <c r="AK1317">
        <v>0</v>
      </c>
      <c r="AL1317" t="str">
        <f>IF(AA1317="","",IFERROR(IF(ISNUMBER('Procyfloc 500'!D318),'Procyfloc 500'!D318,IF(ISNUMBER(SEARCH("12",'Procyfloc 500'!D318)),EDATE(AB1317,12),IF(ISNUMBER(SEARCH("6",'Procyfloc 500'!D318)),EDATE(AB1317,6),IF(ISNUMBER(SEARCH("3",'Procyfloc 500'!D318)),EDATE(AB1317,3),DATEVALUE('Procyfloc 500'!D318))))),""))</f>
        <v/>
      </c>
      <c r="AM1317" t="str">
        <f t="shared" ca="1" si="142"/>
        <v/>
      </c>
    </row>
    <row r="1318" spans="27:39" x14ac:dyDescent="0.3">
      <c r="AA1318" t="str">
        <f>IF(COUNTA('Procyfloc 500'!A319,'Procyfloc 500'!B319,'Procyfloc 500'!C319)&gt;0,"500","")</f>
        <v/>
      </c>
      <c r="AB1318" t="str">
        <f>IFERROR(IF(ISNUMBER('Procyfloc 500'!A319),'Procyfloc 500'!A319,DATEVALUE('Procyfloc 500'!A319)),"")</f>
        <v/>
      </c>
      <c r="AC1318" t="str">
        <f>IF(AA1318="","",'Procyfloc 500'!B319)</f>
        <v/>
      </c>
      <c r="AD1318" t="str">
        <f>IF(AA1318="","",IFERROR(1*'Procyfloc 500'!C319,IFERROR(_xludf.NUMBERVALUE('Procyfloc 500'!C319,".",","),IFERROR(_xludf.NUMBERVALUE('Procyfloc 500'!C319,",","."),0))))</f>
        <v/>
      </c>
      <c r="AE1318" t="str">
        <f>IF(AA1318="","",'Procyfloc 500'!L319)</f>
        <v/>
      </c>
      <c r="AF1318">
        <f t="shared" si="137"/>
        <v>0</v>
      </c>
      <c r="AG1318" t="str">
        <f t="shared" si="138"/>
        <v/>
      </c>
      <c r="AH1318" t="str">
        <f t="shared" si="139"/>
        <v/>
      </c>
      <c r="AI1318">
        <f t="shared" si="140"/>
        <v>0</v>
      </c>
      <c r="AJ1318">
        <f t="shared" si="141"/>
        <v>0</v>
      </c>
      <c r="AK1318">
        <v>0</v>
      </c>
      <c r="AL1318" t="str">
        <f>IF(AA1318="","",IFERROR(IF(ISNUMBER('Procyfloc 500'!D319),'Procyfloc 500'!D319,IF(ISNUMBER(SEARCH("12",'Procyfloc 500'!D319)),EDATE(AB1318,12),IF(ISNUMBER(SEARCH("6",'Procyfloc 500'!D319)),EDATE(AB1318,6),IF(ISNUMBER(SEARCH("3",'Procyfloc 500'!D319)),EDATE(AB1318,3),DATEVALUE('Procyfloc 500'!D319))))),""))</f>
        <v/>
      </c>
      <c r="AM1318" t="str">
        <f t="shared" ca="1" si="142"/>
        <v/>
      </c>
    </row>
    <row r="1319" spans="27:39" x14ac:dyDescent="0.3">
      <c r="AA1319" t="str">
        <f>IF(COUNTA('Procyfloc 500'!A320,'Procyfloc 500'!B320,'Procyfloc 500'!C320)&gt;0,"500","")</f>
        <v/>
      </c>
      <c r="AB1319" t="str">
        <f>IFERROR(IF(ISNUMBER('Procyfloc 500'!A320),'Procyfloc 500'!A320,DATEVALUE('Procyfloc 500'!A320)),"")</f>
        <v/>
      </c>
      <c r="AC1319" t="str">
        <f>IF(AA1319="","",'Procyfloc 500'!B320)</f>
        <v/>
      </c>
      <c r="AD1319" t="str">
        <f>IF(AA1319="","",IFERROR(1*'Procyfloc 500'!C320,IFERROR(_xludf.NUMBERVALUE('Procyfloc 500'!C320,".",","),IFERROR(_xludf.NUMBERVALUE('Procyfloc 500'!C320,",","."),0))))</f>
        <v/>
      </c>
      <c r="AE1319" t="str">
        <f>IF(AA1319="","",'Procyfloc 500'!L320)</f>
        <v/>
      </c>
      <c r="AF1319">
        <f t="shared" si="137"/>
        <v>0</v>
      </c>
      <c r="AG1319" t="str">
        <f t="shared" si="138"/>
        <v/>
      </c>
      <c r="AH1319" t="str">
        <f t="shared" si="139"/>
        <v/>
      </c>
      <c r="AI1319">
        <f t="shared" si="140"/>
        <v>0</v>
      </c>
      <c r="AJ1319">
        <f t="shared" si="141"/>
        <v>0</v>
      </c>
      <c r="AK1319">
        <v>0</v>
      </c>
      <c r="AL1319" t="str">
        <f>IF(AA1319="","",IFERROR(IF(ISNUMBER('Procyfloc 500'!D320),'Procyfloc 500'!D320,IF(ISNUMBER(SEARCH("12",'Procyfloc 500'!D320)),EDATE(AB1319,12),IF(ISNUMBER(SEARCH("6",'Procyfloc 500'!D320)),EDATE(AB1319,6),IF(ISNUMBER(SEARCH("3",'Procyfloc 500'!D320)),EDATE(AB1319,3),DATEVALUE('Procyfloc 500'!D320))))),""))</f>
        <v/>
      </c>
      <c r="AM1319" t="str">
        <f t="shared" ca="1" si="142"/>
        <v/>
      </c>
    </row>
    <row r="1320" spans="27:39" x14ac:dyDescent="0.3">
      <c r="AA1320" t="str">
        <f>IF(COUNTA('Procyfloc 500'!A321,'Procyfloc 500'!B321,'Procyfloc 500'!C321)&gt;0,"500","")</f>
        <v/>
      </c>
      <c r="AB1320" t="str">
        <f>IFERROR(IF(ISNUMBER('Procyfloc 500'!A321),'Procyfloc 500'!A321,DATEVALUE('Procyfloc 500'!A321)),"")</f>
        <v/>
      </c>
      <c r="AC1320" t="str">
        <f>IF(AA1320="","",'Procyfloc 500'!B321)</f>
        <v/>
      </c>
      <c r="AD1320" t="str">
        <f>IF(AA1320="","",IFERROR(1*'Procyfloc 500'!C321,IFERROR(_xludf.NUMBERVALUE('Procyfloc 500'!C321,".",","),IFERROR(_xludf.NUMBERVALUE('Procyfloc 500'!C321,",","."),0))))</f>
        <v/>
      </c>
      <c r="AE1320" t="str">
        <f>IF(AA1320="","",'Procyfloc 500'!L321)</f>
        <v/>
      </c>
      <c r="AF1320">
        <f t="shared" si="137"/>
        <v>0</v>
      </c>
      <c r="AG1320" t="str">
        <f t="shared" si="138"/>
        <v/>
      </c>
      <c r="AH1320" t="str">
        <f t="shared" si="139"/>
        <v/>
      </c>
      <c r="AI1320">
        <f t="shared" si="140"/>
        <v>0</v>
      </c>
      <c r="AJ1320">
        <f t="shared" si="141"/>
        <v>0</v>
      </c>
      <c r="AK1320">
        <v>0</v>
      </c>
      <c r="AL1320" t="str">
        <f>IF(AA1320="","",IFERROR(IF(ISNUMBER('Procyfloc 500'!D321),'Procyfloc 500'!D321,IF(ISNUMBER(SEARCH("12",'Procyfloc 500'!D321)),EDATE(AB1320,12),IF(ISNUMBER(SEARCH("6",'Procyfloc 500'!D321)),EDATE(AB1320,6),IF(ISNUMBER(SEARCH("3",'Procyfloc 500'!D321)),EDATE(AB1320,3),DATEVALUE('Procyfloc 500'!D321))))),""))</f>
        <v/>
      </c>
      <c r="AM1320" t="str">
        <f t="shared" ca="1" si="142"/>
        <v/>
      </c>
    </row>
    <row r="1321" spans="27:39" x14ac:dyDescent="0.3">
      <c r="AA1321" t="str">
        <f>IF(COUNTA('Procyfloc 500'!A322,'Procyfloc 500'!B322,'Procyfloc 500'!C322)&gt;0,"500","")</f>
        <v/>
      </c>
      <c r="AB1321" t="str">
        <f>IFERROR(IF(ISNUMBER('Procyfloc 500'!A322),'Procyfloc 500'!A322,DATEVALUE('Procyfloc 500'!A322)),"")</f>
        <v/>
      </c>
      <c r="AC1321" t="str">
        <f>IF(AA1321="","",'Procyfloc 500'!B322)</f>
        <v/>
      </c>
      <c r="AD1321" t="str">
        <f>IF(AA1321="","",IFERROR(1*'Procyfloc 500'!C322,IFERROR(_xludf.NUMBERVALUE('Procyfloc 500'!C322,".",","),IFERROR(_xludf.NUMBERVALUE('Procyfloc 500'!C322,",","."),0))))</f>
        <v/>
      </c>
      <c r="AE1321" t="str">
        <f>IF(AA1321="","",'Procyfloc 500'!L322)</f>
        <v/>
      </c>
      <c r="AF1321">
        <f t="shared" si="137"/>
        <v>0</v>
      </c>
      <c r="AG1321" t="str">
        <f t="shared" si="138"/>
        <v/>
      </c>
      <c r="AH1321" t="str">
        <f t="shared" si="139"/>
        <v/>
      </c>
      <c r="AI1321">
        <f t="shared" si="140"/>
        <v>0</v>
      </c>
      <c r="AJ1321">
        <f t="shared" si="141"/>
        <v>0</v>
      </c>
      <c r="AK1321">
        <v>0</v>
      </c>
      <c r="AL1321" t="str">
        <f>IF(AA1321="","",IFERROR(IF(ISNUMBER('Procyfloc 500'!D322),'Procyfloc 500'!D322,IF(ISNUMBER(SEARCH("12",'Procyfloc 500'!D322)),EDATE(AB1321,12),IF(ISNUMBER(SEARCH("6",'Procyfloc 500'!D322)),EDATE(AB1321,6),IF(ISNUMBER(SEARCH("3",'Procyfloc 500'!D322)),EDATE(AB1321,3),DATEVALUE('Procyfloc 500'!D322))))),""))</f>
        <v/>
      </c>
      <c r="AM1321" t="str">
        <f t="shared" ca="1" si="142"/>
        <v/>
      </c>
    </row>
    <row r="1322" spans="27:39" x14ac:dyDescent="0.3">
      <c r="AA1322" t="str">
        <f>IF(COUNTA('Procyfloc 500'!A323,'Procyfloc 500'!B323,'Procyfloc 500'!C323)&gt;0,"500","")</f>
        <v/>
      </c>
      <c r="AB1322" t="str">
        <f>IFERROR(IF(ISNUMBER('Procyfloc 500'!A323),'Procyfloc 500'!A323,DATEVALUE('Procyfloc 500'!A323)),"")</f>
        <v/>
      </c>
      <c r="AC1322" t="str">
        <f>IF(AA1322="","",'Procyfloc 500'!B323)</f>
        <v/>
      </c>
      <c r="AD1322" t="str">
        <f>IF(AA1322="","",IFERROR(1*'Procyfloc 500'!C323,IFERROR(_xludf.NUMBERVALUE('Procyfloc 500'!C323,".",","),IFERROR(_xludf.NUMBERVALUE('Procyfloc 500'!C323,",","."),0))))</f>
        <v/>
      </c>
      <c r="AE1322" t="str">
        <f>IF(AA1322="","",'Procyfloc 500'!L323)</f>
        <v/>
      </c>
      <c r="AF1322">
        <f t="shared" si="137"/>
        <v>0</v>
      </c>
      <c r="AG1322" t="str">
        <f t="shared" si="138"/>
        <v/>
      </c>
      <c r="AH1322" t="str">
        <f t="shared" si="139"/>
        <v/>
      </c>
      <c r="AI1322">
        <f t="shared" si="140"/>
        <v>0</v>
      </c>
      <c r="AJ1322">
        <f t="shared" si="141"/>
        <v>0</v>
      </c>
      <c r="AK1322">
        <v>0</v>
      </c>
      <c r="AL1322" t="str">
        <f>IF(AA1322="","",IFERROR(IF(ISNUMBER('Procyfloc 500'!D323),'Procyfloc 500'!D323,IF(ISNUMBER(SEARCH("12",'Procyfloc 500'!D323)),EDATE(AB1322,12),IF(ISNUMBER(SEARCH("6",'Procyfloc 500'!D323)),EDATE(AB1322,6),IF(ISNUMBER(SEARCH("3",'Procyfloc 500'!D323)),EDATE(AB1322,3),DATEVALUE('Procyfloc 500'!D323))))),""))</f>
        <v/>
      </c>
      <c r="AM1322" t="str">
        <f t="shared" ca="1" si="142"/>
        <v/>
      </c>
    </row>
    <row r="1323" spans="27:39" x14ac:dyDescent="0.3">
      <c r="AA1323" t="str">
        <f>IF(COUNTA('Procyfloc 500'!A324,'Procyfloc 500'!B324,'Procyfloc 500'!C324)&gt;0,"500","")</f>
        <v/>
      </c>
      <c r="AB1323" t="str">
        <f>IFERROR(IF(ISNUMBER('Procyfloc 500'!A324),'Procyfloc 500'!A324,DATEVALUE('Procyfloc 500'!A324)),"")</f>
        <v/>
      </c>
      <c r="AC1323" t="str">
        <f>IF(AA1323="","",'Procyfloc 500'!B324)</f>
        <v/>
      </c>
      <c r="AD1323" t="str">
        <f>IF(AA1323="","",IFERROR(1*'Procyfloc 500'!C324,IFERROR(_xludf.NUMBERVALUE('Procyfloc 500'!C324,".",","),IFERROR(_xludf.NUMBERVALUE('Procyfloc 500'!C324,",","."),0))))</f>
        <v/>
      </c>
      <c r="AE1323" t="str">
        <f>IF(AA1323="","",'Procyfloc 500'!L324)</f>
        <v/>
      </c>
      <c r="AF1323">
        <f t="shared" si="137"/>
        <v>0</v>
      </c>
      <c r="AG1323" t="str">
        <f t="shared" si="138"/>
        <v/>
      </c>
      <c r="AH1323" t="str">
        <f t="shared" si="139"/>
        <v/>
      </c>
      <c r="AI1323">
        <f t="shared" si="140"/>
        <v>0</v>
      </c>
      <c r="AJ1323">
        <f t="shared" si="141"/>
        <v>0</v>
      </c>
      <c r="AK1323">
        <v>0</v>
      </c>
      <c r="AL1323" t="str">
        <f>IF(AA1323="","",IFERROR(IF(ISNUMBER('Procyfloc 500'!D324),'Procyfloc 500'!D324,IF(ISNUMBER(SEARCH("12",'Procyfloc 500'!D324)),EDATE(AB1323,12),IF(ISNUMBER(SEARCH("6",'Procyfloc 500'!D324)),EDATE(AB1323,6),IF(ISNUMBER(SEARCH("3",'Procyfloc 500'!D324)),EDATE(AB1323,3),DATEVALUE('Procyfloc 500'!D324))))),""))</f>
        <v/>
      </c>
      <c r="AM1323" t="str">
        <f t="shared" ca="1" si="142"/>
        <v/>
      </c>
    </row>
    <row r="1324" spans="27:39" x14ac:dyDescent="0.3">
      <c r="AA1324" t="str">
        <f>IF(COUNTA('Procyfloc 500'!A325,'Procyfloc 500'!B325,'Procyfloc 500'!C325)&gt;0,"500","")</f>
        <v/>
      </c>
      <c r="AB1324" t="str">
        <f>IFERROR(IF(ISNUMBER('Procyfloc 500'!A325),'Procyfloc 500'!A325,DATEVALUE('Procyfloc 500'!A325)),"")</f>
        <v/>
      </c>
      <c r="AC1324" t="str">
        <f>IF(AA1324="","",'Procyfloc 500'!B325)</f>
        <v/>
      </c>
      <c r="AD1324" t="str">
        <f>IF(AA1324="","",IFERROR(1*'Procyfloc 500'!C325,IFERROR(_xludf.NUMBERVALUE('Procyfloc 500'!C325,".",","),IFERROR(_xludf.NUMBERVALUE('Procyfloc 500'!C325,",","."),0))))</f>
        <v/>
      </c>
      <c r="AE1324" t="str">
        <f>IF(AA1324="","",'Procyfloc 500'!L325)</f>
        <v/>
      </c>
      <c r="AF1324">
        <f t="shared" si="137"/>
        <v>0</v>
      </c>
      <c r="AG1324" t="str">
        <f t="shared" si="138"/>
        <v/>
      </c>
      <c r="AH1324" t="str">
        <f t="shared" si="139"/>
        <v/>
      </c>
      <c r="AI1324">
        <f t="shared" si="140"/>
        <v>0</v>
      </c>
      <c r="AJ1324">
        <f t="shared" si="141"/>
        <v>0</v>
      </c>
      <c r="AK1324">
        <v>0</v>
      </c>
      <c r="AL1324" t="str">
        <f>IF(AA1324="","",IFERROR(IF(ISNUMBER('Procyfloc 500'!D325),'Procyfloc 500'!D325,IF(ISNUMBER(SEARCH("12",'Procyfloc 500'!D325)),EDATE(AB1324,12),IF(ISNUMBER(SEARCH("6",'Procyfloc 500'!D325)),EDATE(AB1324,6),IF(ISNUMBER(SEARCH("3",'Procyfloc 500'!D325)),EDATE(AB1324,3),DATEVALUE('Procyfloc 500'!D325))))),""))</f>
        <v/>
      </c>
      <c r="AM1324" t="str">
        <f t="shared" ca="1" si="142"/>
        <v/>
      </c>
    </row>
    <row r="1325" spans="27:39" x14ac:dyDescent="0.3">
      <c r="AA1325" t="str">
        <f>IF(COUNTA('Procyfloc 500'!A326,'Procyfloc 500'!B326,'Procyfloc 500'!C326)&gt;0,"500","")</f>
        <v/>
      </c>
      <c r="AB1325" t="str">
        <f>IFERROR(IF(ISNUMBER('Procyfloc 500'!A326),'Procyfloc 500'!A326,DATEVALUE('Procyfloc 500'!A326)),"")</f>
        <v/>
      </c>
      <c r="AC1325" t="str">
        <f>IF(AA1325="","",'Procyfloc 500'!B326)</f>
        <v/>
      </c>
      <c r="AD1325" t="str">
        <f>IF(AA1325="","",IFERROR(1*'Procyfloc 500'!C326,IFERROR(_xludf.NUMBERVALUE('Procyfloc 500'!C326,".",","),IFERROR(_xludf.NUMBERVALUE('Procyfloc 500'!C326,",","."),0))))</f>
        <v/>
      </c>
      <c r="AE1325" t="str">
        <f>IF(AA1325="","",'Procyfloc 500'!L326)</f>
        <v/>
      </c>
      <c r="AF1325">
        <f t="shared" si="137"/>
        <v>0</v>
      </c>
      <c r="AG1325" t="str">
        <f t="shared" si="138"/>
        <v/>
      </c>
      <c r="AH1325" t="str">
        <f t="shared" si="139"/>
        <v/>
      </c>
      <c r="AI1325">
        <f t="shared" si="140"/>
        <v>0</v>
      </c>
      <c r="AJ1325">
        <f t="shared" si="141"/>
        <v>0</v>
      </c>
      <c r="AK1325">
        <v>0</v>
      </c>
      <c r="AL1325" t="str">
        <f>IF(AA1325="","",IFERROR(IF(ISNUMBER('Procyfloc 500'!D326),'Procyfloc 500'!D326,IF(ISNUMBER(SEARCH("12",'Procyfloc 500'!D326)),EDATE(AB1325,12),IF(ISNUMBER(SEARCH("6",'Procyfloc 500'!D326)),EDATE(AB1325,6),IF(ISNUMBER(SEARCH("3",'Procyfloc 500'!D326)),EDATE(AB1325,3),DATEVALUE('Procyfloc 500'!D326))))),""))</f>
        <v/>
      </c>
      <c r="AM1325" t="str">
        <f t="shared" ca="1" si="142"/>
        <v/>
      </c>
    </row>
    <row r="1326" spans="27:39" x14ac:dyDescent="0.3">
      <c r="AA1326" t="str">
        <f>IF(COUNTA('Procyfloc 500'!A327,'Procyfloc 500'!B327,'Procyfloc 500'!C327)&gt;0,"500","")</f>
        <v/>
      </c>
      <c r="AB1326" t="str">
        <f>IFERROR(IF(ISNUMBER('Procyfloc 500'!A327),'Procyfloc 500'!A327,DATEVALUE('Procyfloc 500'!A327)),"")</f>
        <v/>
      </c>
      <c r="AC1326" t="str">
        <f>IF(AA1326="","",'Procyfloc 500'!B327)</f>
        <v/>
      </c>
      <c r="AD1326" t="str">
        <f>IF(AA1326="","",IFERROR(1*'Procyfloc 500'!C327,IFERROR(_xludf.NUMBERVALUE('Procyfloc 500'!C327,".",","),IFERROR(_xludf.NUMBERVALUE('Procyfloc 500'!C327,",","."),0))))</f>
        <v/>
      </c>
      <c r="AE1326" t="str">
        <f>IF(AA1326="","",'Procyfloc 500'!L327)</f>
        <v/>
      </c>
      <c r="AF1326">
        <f t="shared" si="137"/>
        <v>0</v>
      </c>
      <c r="AG1326" t="str">
        <f t="shared" si="138"/>
        <v/>
      </c>
      <c r="AH1326" t="str">
        <f t="shared" si="139"/>
        <v/>
      </c>
      <c r="AI1326">
        <f t="shared" si="140"/>
        <v>0</v>
      </c>
      <c r="AJ1326">
        <f t="shared" si="141"/>
        <v>0</v>
      </c>
      <c r="AK1326">
        <v>0</v>
      </c>
      <c r="AL1326" t="str">
        <f>IF(AA1326="","",IFERROR(IF(ISNUMBER('Procyfloc 500'!D327),'Procyfloc 500'!D327,IF(ISNUMBER(SEARCH("12",'Procyfloc 500'!D327)),EDATE(AB1326,12),IF(ISNUMBER(SEARCH("6",'Procyfloc 500'!D327)),EDATE(AB1326,6),IF(ISNUMBER(SEARCH("3",'Procyfloc 500'!D327)),EDATE(AB1326,3),DATEVALUE('Procyfloc 500'!D327))))),""))</f>
        <v/>
      </c>
      <c r="AM1326" t="str">
        <f t="shared" ca="1" si="142"/>
        <v/>
      </c>
    </row>
    <row r="1327" spans="27:39" x14ac:dyDescent="0.3">
      <c r="AA1327" t="str">
        <f>IF(COUNTA('Procyfloc 500'!A328,'Procyfloc 500'!B328,'Procyfloc 500'!C328)&gt;0,"500","")</f>
        <v/>
      </c>
      <c r="AB1327" t="str">
        <f>IFERROR(IF(ISNUMBER('Procyfloc 500'!A328),'Procyfloc 500'!A328,DATEVALUE('Procyfloc 500'!A328)),"")</f>
        <v/>
      </c>
      <c r="AC1327" t="str">
        <f>IF(AA1327="","",'Procyfloc 500'!B328)</f>
        <v/>
      </c>
      <c r="AD1327" t="str">
        <f>IF(AA1327="","",IFERROR(1*'Procyfloc 500'!C328,IFERROR(_xludf.NUMBERVALUE('Procyfloc 500'!C328,".",","),IFERROR(_xludf.NUMBERVALUE('Procyfloc 500'!C328,",","."),0))))</f>
        <v/>
      </c>
      <c r="AE1327" t="str">
        <f>IF(AA1327="","",'Procyfloc 500'!L328)</f>
        <v/>
      </c>
      <c r="AF1327">
        <f t="shared" si="137"/>
        <v>0</v>
      </c>
      <c r="AG1327" t="str">
        <f t="shared" si="138"/>
        <v/>
      </c>
      <c r="AH1327" t="str">
        <f t="shared" si="139"/>
        <v/>
      </c>
      <c r="AI1327">
        <f t="shared" si="140"/>
        <v>0</v>
      </c>
      <c r="AJ1327">
        <f t="shared" si="141"/>
        <v>0</v>
      </c>
      <c r="AK1327">
        <v>0</v>
      </c>
      <c r="AL1327" t="str">
        <f>IF(AA1327="","",IFERROR(IF(ISNUMBER('Procyfloc 500'!D328),'Procyfloc 500'!D328,IF(ISNUMBER(SEARCH("12",'Procyfloc 500'!D328)),EDATE(AB1327,12),IF(ISNUMBER(SEARCH("6",'Procyfloc 500'!D328)),EDATE(AB1327,6),IF(ISNUMBER(SEARCH("3",'Procyfloc 500'!D328)),EDATE(AB1327,3),DATEVALUE('Procyfloc 500'!D328))))),""))</f>
        <v/>
      </c>
      <c r="AM1327" t="str">
        <f t="shared" ca="1" si="142"/>
        <v/>
      </c>
    </row>
    <row r="1328" spans="27:39" x14ac:dyDescent="0.3">
      <c r="AA1328" t="str">
        <f>IF(COUNTA('Procyfloc 500'!A329,'Procyfloc 500'!B329,'Procyfloc 500'!C329)&gt;0,"500","")</f>
        <v/>
      </c>
      <c r="AB1328" t="str">
        <f>IFERROR(IF(ISNUMBER('Procyfloc 500'!A329),'Procyfloc 500'!A329,DATEVALUE('Procyfloc 500'!A329)),"")</f>
        <v/>
      </c>
      <c r="AC1328" t="str">
        <f>IF(AA1328="","",'Procyfloc 500'!B329)</f>
        <v/>
      </c>
      <c r="AD1328" t="str">
        <f>IF(AA1328="","",IFERROR(1*'Procyfloc 500'!C329,IFERROR(_xludf.NUMBERVALUE('Procyfloc 500'!C329,".",","),IFERROR(_xludf.NUMBERVALUE('Procyfloc 500'!C329,",","."),0))))</f>
        <v/>
      </c>
      <c r="AE1328" t="str">
        <f>IF(AA1328="","",'Procyfloc 500'!L329)</f>
        <v/>
      </c>
      <c r="AF1328">
        <f t="shared" si="137"/>
        <v>0</v>
      </c>
      <c r="AG1328" t="str">
        <f t="shared" si="138"/>
        <v/>
      </c>
      <c r="AH1328" t="str">
        <f t="shared" si="139"/>
        <v/>
      </c>
      <c r="AI1328">
        <f t="shared" si="140"/>
        <v>0</v>
      </c>
      <c r="AJ1328">
        <f t="shared" si="141"/>
        <v>0</v>
      </c>
      <c r="AK1328">
        <v>0</v>
      </c>
      <c r="AL1328" t="str">
        <f>IF(AA1328="","",IFERROR(IF(ISNUMBER('Procyfloc 500'!D329),'Procyfloc 500'!D329,IF(ISNUMBER(SEARCH("12",'Procyfloc 500'!D329)),EDATE(AB1328,12),IF(ISNUMBER(SEARCH("6",'Procyfloc 500'!D329)),EDATE(AB1328,6),IF(ISNUMBER(SEARCH("3",'Procyfloc 500'!D329)),EDATE(AB1328,3),DATEVALUE('Procyfloc 500'!D329))))),""))</f>
        <v/>
      </c>
      <c r="AM1328" t="str">
        <f t="shared" ca="1" si="142"/>
        <v/>
      </c>
    </row>
    <row r="1329" spans="27:39" x14ac:dyDescent="0.3">
      <c r="AA1329" t="str">
        <f>IF(COUNTA('Procyfloc 500'!A330,'Procyfloc 500'!B330,'Procyfloc 500'!C330)&gt;0,"500","")</f>
        <v/>
      </c>
      <c r="AB1329" t="str">
        <f>IFERROR(IF(ISNUMBER('Procyfloc 500'!A330),'Procyfloc 500'!A330,DATEVALUE('Procyfloc 500'!A330)),"")</f>
        <v/>
      </c>
      <c r="AC1329" t="str">
        <f>IF(AA1329="","",'Procyfloc 500'!B330)</f>
        <v/>
      </c>
      <c r="AD1329" t="str">
        <f>IF(AA1329="","",IFERROR(1*'Procyfloc 500'!C330,IFERROR(_xludf.NUMBERVALUE('Procyfloc 500'!C330,".",","),IFERROR(_xludf.NUMBERVALUE('Procyfloc 500'!C330,",","."),0))))</f>
        <v/>
      </c>
      <c r="AE1329" t="str">
        <f>IF(AA1329="","",'Procyfloc 500'!L330)</f>
        <v/>
      </c>
      <c r="AF1329">
        <f t="shared" si="137"/>
        <v>0</v>
      </c>
      <c r="AG1329" t="str">
        <f t="shared" si="138"/>
        <v/>
      </c>
      <c r="AH1329" t="str">
        <f t="shared" si="139"/>
        <v/>
      </c>
      <c r="AI1329">
        <f t="shared" si="140"/>
        <v>0</v>
      </c>
      <c r="AJ1329">
        <f t="shared" si="141"/>
        <v>0</v>
      </c>
      <c r="AK1329">
        <v>0</v>
      </c>
      <c r="AL1329" t="str">
        <f>IF(AA1329="","",IFERROR(IF(ISNUMBER('Procyfloc 500'!D330),'Procyfloc 500'!D330,IF(ISNUMBER(SEARCH("12",'Procyfloc 500'!D330)),EDATE(AB1329,12),IF(ISNUMBER(SEARCH("6",'Procyfloc 500'!D330)),EDATE(AB1329,6),IF(ISNUMBER(SEARCH("3",'Procyfloc 500'!D330)),EDATE(AB1329,3),DATEVALUE('Procyfloc 500'!D330))))),""))</f>
        <v/>
      </c>
      <c r="AM1329" t="str">
        <f t="shared" ca="1" si="142"/>
        <v/>
      </c>
    </row>
    <row r="1330" spans="27:39" x14ac:dyDescent="0.3">
      <c r="AA1330" t="str">
        <f>IF(COUNTA('Procyfloc 500'!A331,'Procyfloc 500'!B331,'Procyfloc 500'!C331)&gt;0,"500","")</f>
        <v/>
      </c>
      <c r="AB1330" t="str">
        <f>IFERROR(IF(ISNUMBER('Procyfloc 500'!A331),'Procyfloc 500'!A331,DATEVALUE('Procyfloc 500'!A331)),"")</f>
        <v/>
      </c>
      <c r="AC1330" t="str">
        <f>IF(AA1330="","",'Procyfloc 500'!B331)</f>
        <v/>
      </c>
      <c r="AD1330" t="str">
        <f>IF(AA1330="","",IFERROR(1*'Procyfloc 500'!C331,IFERROR(_xludf.NUMBERVALUE('Procyfloc 500'!C331,".",","),IFERROR(_xludf.NUMBERVALUE('Procyfloc 500'!C331,",","."),0))))</f>
        <v/>
      </c>
      <c r="AE1330" t="str">
        <f>IF(AA1330="","",'Procyfloc 500'!L331)</f>
        <v/>
      </c>
      <c r="AF1330">
        <f t="shared" si="137"/>
        <v>0</v>
      </c>
      <c r="AG1330" t="str">
        <f t="shared" si="138"/>
        <v/>
      </c>
      <c r="AH1330" t="str">
        <f t="shared" si="139"/>
        <v/>
      </c>
      <c r="AI1330">
        <f t="shared" si="140"/>
        <v>0</v>
      </c>
      <c r="AJ1330">
        <f t="shared" si="141"/>
        <v>0</v>
      </c>
      <c r="AK1330">
        <v>0</v>
      </c>
      <c r="AL1330" t="str">
        <f>IF(AA1330="","",IFERROR(IF(ISNUMBER('Procyfloc 500'!D331),'Procyfloc 500'!D331,IF(ISNUMBER(SEARCH("12",'Procyfloc 500'!D331)),EDATE(AB1330,12),IF(ISNUMBER(SEARCH("6",'Procyfloc 500'!D331)),EDATE(AB1330,6),IF(ISNUMBER(SEARCH("3",'Procyfloc 500'!D331)),EDATE(AB1330,3),DATEVALUE('Procyfloc 500'!D331))))),""))</f>
        <v/>
      </c>
      <c r="AM1330" t="str">
        <f t="shared" ca="1" si="142"/>
        <v/>
      </c>
    </row>
    <row r="1331" spans="27:39" x14ac:dyDescent="0.3">
      <c r="AA1331" t="str">
        <f>IF(COUNTA('Procyfloc 500'!A332,'Procyfloc 500'!B332,'Procyfloc 500'!C332)&gt;0,"500","")</f>
        <v/>
      </c>
      <c r="AB1331" t="str">
        <f>IFERROR(IF(ISNUMBER('Procyfloc 500'!A332),'Procyfloc 500'!A332,DATEVALUE('Procyfloc 500'!A332)),"")</f>
        <v/>
      </c>
      <c r="AC1331" t="str">
        <f>IF(AA1331="","",'Procyfloc 500'!B332)</f>
        <v/>
      </c>
      <c r="AD1331" t="str">
        <f>IF(AA1331="","",IFERROR(1*'Procyfloc 500'!C332,IFERROR(_xludf.NUMBERVALUE('Procyfloc 500'!C332,".",","),IFERROR(_xludf.NUMBERVALUE('Procyfloc 500'!C332,",","."),0))))</f>
        <v/>
      </c>
      <c r="AE1331" t="str">
        <f>IF(AA1331="","",'Procyfloc 500'!L332)</f>
        <v/>
      </c>
      <c r="AF1331">
        <f t="shared" si="137"/>
        <v>0</v>
      </c>
      <c r="AG1331" t="str">
        <f t="shared" si="138"/>
        <v/>
      </c>
      <c r="AH1331" t="str">
        <f t="shared" si="139"/>
        <v/>
      </c>
      <c r="AI1331">
        <f t="shared" si="140"/>
        <v>0</v>
      </c>
      <c r="AJ1331">
        <f t="shared" si="141"/>
        <v>0</v>
      </c>
      <c r="AK1331">
        <v>0</v>
      </c>
      <c r="AL1331" t="str">
        <f>IF(AA1331="","",IFERROR(IF(ISNUMBER('Procyfloc 500'!D332),'Procyfloc 500'!D332,IF(ISNUMBER(SEARCH("12",'Procyfloc 500'!D332)),EDATE(AB1331,12),IF(ISNUMBER(SEARCH("6",'Procyfloc 500'!D332)),EDATE(AB1331,6),IF(ISNUMBER(SEARCH("3",'Procyfloc 500'!D332)),EDATE(AB1331,3),DATEVALUE('Procyfloc 500'!D332))))),""))</f>
        <v/>
      </c>
      <c r="AM1331" t="str">
        <f t="shared" ca="1" si="142"/>
        <v/>
      </c>
    </row>
    <row r="1332" spans="27:39" x14ac:dyDescent="0.3">
      <c r="AA1332" t="str">
        <f>IF(COUNTA('Procyfloc 500'!A333,'Procyfloc 500'!B333,'Procyfloc 500'!C333)&gt;0,"500","")</f>
        <v/>
      </c>
      <c r="AB1332" t="str">
        <f>IFERROR(IF(ISNUMBER('Procyfloc 500'!A333),'Procyfloc 500'!A333,DATEVALUE('Procyfloc 500'!A333)),"")</f>
        <v/>
      </c>
      <c r="AC1332" t="str">
        <f>IF(AA1332="","",'Procyfloc 500'!B333)</f>
        <v/>
      </c>
      <c r="AD1332" t="str">
        <f>IF(AA1332="","",IFERROR(1*'Procyfloc 500'!C333,IFERROR(_xludf.NUMBERVALUE('Procyfloc 500'!C333,".",","),IFERROR(_xludf.NUMBERVALUE('Procyfloc 500'!C333,",","."),0))))</f>
        <v/>
      </c>
      <c r="AE1332" t="str">
        <f>IF(AA1332="","",'Procyfloc 500'!L333)</f>
        <v/>
      </c>
      <c r="AF1332">
        <f t="shared" si="137"/>
        <v>0</v>
      </c>
      <c r="AG1332" t="str">
        <f t="shared" si="138"/>
        <v/>
      </c>
      <c r="AH1332" t="str">
        <f t="shared" si="139"/>
        <v/>
      </c>
      <c r="AI1332">
        <f t="shared" si="140"/>
        <v>0</v>
      </c>
      <c r="AJ1332">
        <f t="shared" si="141"/>
        <v>0</v>
      </c>
      <c r="AK1332">
        <v>0</v>
      </c>
      <c r="AL1332" t="str">
        <f>IF(AA1332="","",IFERROR(IF(ISNUMBER('Procyfloc 500'!D333),'Procyfloc 500'!D333,IF(ISNUMBER(SEARCH("12",'Procyfloc 500'!D333)),EDATE(AB1332,12),IF(ISNUMBER(SEARCH("6",'Procyfloc 500'!D333)),EDATE(AB1332,6),IF(ISNUMBER(SEARCH("3",'Procyfloc 500'!D333)),EDATE(AB1332,3),DATEVALUE('Procyfloc 500'!D333))))),""))</f>
        <v/>
      </c>
      <c r="AM1332" t="str">
        <f t="shared" ca="1" si="142"/>
        <v/>
      </c>
    </row>
    <row r="1333" spans="27:39" x14ac:dyDescent="0.3">
      <c r="AA1333" t="str">
        <f>IF(COUNTA('Procyfloc 500'!A334,'Procyfloc 500'!B334,'Procyfloc 500'!C334)&gt;0,"500","")</f>
        <v/>
      </c>
      <c r="AB1333" t="str">
        <f>IFERROR(IF(ISNUMBER('Procyfloc 500'!A334),'Procyfloc 500'!A334,DATEVALUE('Procyfloc 500'!A334)),"")</f>
        <v/>
      </c>
      <c r="AC1333" t="str">
        <f>IF(AA1333="","",'Procyfloc 500'!B334)</f>
        <v/>
      </c>
      <c r="AD1333" t="str">
        <f>IF(AA1333="","",IFERROR(1*'Procyfloc 500'!C334,IFERROR(_xludf.NUMBERVALUE('Procyfloc 500'!C334,".",","),IFERROR(_xludf.NUMBERVALUE('Procyfloc 500'!C334,",","."),0))))</f>
        <v/>
      </c>
      <c r="AE1333" t="str">
        <f>IF(AA1333="","",'Procyfloc 500'!L334)</f>
        <v/>
      </c>
      <c r="AF1333">
        <f t="shared" si="137"/>
        <v>0</v>
      </c>
      <c r="AG1333" t="str">
        <f t="shared" si="138"/>
        <v/>
      </c>
      <c r="AH1333" t="str">
        <f t="shared" si="139"/>
        <v/>
      </c>
      <c r="AI1333">
        <f t="shared" si="140"/>
        <v>0</v>
      </c>
      <c r="AJ1333">
        <f t="shared" si="141"/>
        <v>0</v>
      </c>
      <c r="AK1333">
        <v>0</v>
      </c>
      <c r="AL1333" t="str">
        <f>IF(AA1333="","",IFERROR(IF(ISNUMBER('Procyfloc 500'!D334),'Procyfloc 500'!D334,IF(ISNUMBER(SEARCH("12",'Procyfloc 500'!D334)),EDATE(AB1333,12),IF(ISNUMBER(SEARCH("6",'Procyfloc 500'!D334)),EDATE(AB1333,6),IF(ISNUMBER(SEARCH("3",'Procyfloc 500'!D334)),EDATE(AB1333,3),DATEVALUE('Procyfloc 500'!D334))))),""))</f>
        <v/>
      </c>
      <c r="AM1333" t="str">
        <f t="shared" ca="1" si="142"/>
        <v/>
      </c>
    </row>
    <row r="1334" spans="27:39" x14ac:dyDescent="0.3">
      <c r="AA1334" t="str">
        <f>IF(COUNTA('Procyfloc 500'!A335,'Procyfloc 500'!B335,'Procyfloc 500'!C335)&gt;0,"500","")</f>
        <v/>
      </c>
      <c r="AB1334" t="str">
        <f>IFERROR(IF(ISNUMBER('Procyfloc 500'!A335),'Procyfloc 500'!A335,DATEVALUE('Procyfloc 500'!A335)),"")</f>
        <v/>
      </c>
      <c r="AC1334" t="str">
        <f>IF(AA1334="","",'Procyfloc 500'!B335)</f>
        <v/>
      </c>
      <c r="AD1334" t="str">
        <f>IF(AA1334="","",IFERROR(1*'Procyfloc 500'!C335,IFERROR(_xludf.NUMBERVALUE('Procyfloc 500'!C335,".",","),IFERROR(_xludf.NUMBERVALUE('Procyfloc 500'!C335,",","."),0))))</f>
        <v/>
      </c>
      <c r="AE1334" t="str">
        <f>IF(AA1334="","",'Procyfloc 500'!L335)</f>
        <v/>
      </c>
      <c r="AF1334">
        <f t="shared" si="137"/>
        <v>0</v>
      </c>
      <c r="AG1334" t="str">
        <f t="shared" si="138"/>
        <v/>
      </c>
      <c r="AH1334" t="str">
        <f t="shared" si="139"/>
        <v/>
      </c>
      <c r="AI1334">
        <f t="shared" si="140"/>
        <v>0</v>
      </c>
      <c r="AJ1334">
        <f t="shared" si="141"/>
        <v>0</v>
      </c>
      <c r="AK1334">
        <v>0</v>
      </c>
      <c r="AL1334" t="str">
        <f>IF(AA1334="","",IFERROR(IF(ISNUMBER('Procyfloc 500'!D335),'Procyfloc 500'!D335,IF(ISNUMBER(SEARCH("12",'Procyfloc 500'!D335)),EDATE(AB1334,12),IF(ISNUMBER(SEARCH("6",'Procyfloc 500'!D335)),EDATE(AB1334,6),IF(ISNUMBER(SEARCH("3",'Procyfloc 500'!D335)),EDATE(AB1334,3),DATEVALUE('Procyfloc 500'!D335))))),""))</f>
        <v/>
      </c>
      <c r="AM1334" t="str">
        <f t="shared" ca="1" si="142"/>
        <v/>
      </c>
    </row>
    <row r="1335" spans="27:39" x14ac:dyDescent="0.3">
      <c r="AA1335" t="str">
        <f>IF(COUNTA('Procyfloc 500'!A336,'Procyfloc 500'!B336,'Procyfloc 500'!C336)&gt;0,"500","")</f>
        <v/>
      </c>
      <c r="AB1335" t="str">
        <f>IFERROR(IF(ISNUMBER('Procyfloc 500'!A336),'Procyfloc 500'!A336,DATEVALUE('Procyfloc 500'!A336)),"")</f>
        <v/>
      </c>
      <c r="AC1335" t="str">
        <f>IF(AA1335="","",'Procyfloc 500'!B336)</f>
        <v/>
      </c>
      <c r="AD1335" t="str">
        <f>IF(AA1335="","",IFERROR(1*'Procyfloc 500'!C336,IFERROR(_xludf.NUMBERVALUE('Procyfloc 500'!C336,".",","),IFERROR(_xludf.NUMBERVALUE('Procyfloc 500'!C336,",","."),0))))</f>
        <v/>
      </c>
      <c r="AE1335" t="str">
        <f>IF(AA1335="","",'Procyfloc 500'!L336)</f>
        <v/>
      </c>
      <c r="AF1335">
        <f t="shared" si="137"/>
        <v>0</v>
      </c>
      <c r="AG1335" t="str">
        <f t="shared" si="138"/>
        <v/>
      </c>
      <c r="AH1335" t="str">
        <f t="shared" si="139"/>
        <v/>
      </c>
      <c r="AI1335">
        <f t="shared" si="140"/>
        <v>0</v>
      </c>
      <c r="AJ1335">
        <f t="shared" si="141"/>
        <v>0</v>
      </c>
      <c r="AK1335">
        <v>0</v>
      </c>
      <c r="AL1335" t="str">
        <f>IF(AA1335="","",IFERROR(IF(ISNUMBER('Procyfloc 500'!D336),'Procyfloc 500'!D336,IF(ISNUMBER(SEARCH("12",'Procyfloc 500'!D336)),EDATE(AB1335,12),IF(ISNUMBER(SEARCH("6",'Procyfloc 500'!D336)),EDATE(AB1335,6),IF(ISNUMBER(SEARCH("3",'Procyfloc 500'!D336)),EDATE(AB1335,3),DATEVALUE('Procyfloc 500'!D336))))),""))</f>
        <v/>
      </c>
      <c r="AM1335" t="str">
        <f t="shared" ca="1" si="142"/>
        <v/>
      </c>
    </row>
    <row r="1336" spans="27:39" x14ac:dyDescent="0.3">
      <c r="AA1336" t="str">
        <f>IF(COUNTA('Procyfloc 500'!A337,'Procyfloc 500'!B337,'Procyfloc 500'!C337)&gt;0,"500","")</f>
        <v/>
      </c>
      <c r="AB1336" t="str">
        <f>IFERROR(IF(ISNUMBER('Procyfloc 500'!A337),'Procyfloc 500'!A337,DATEVALUE('Procyfloc 500'!A337)),"")</f>
        <v/>
      </c>
      <c r="AC1336" t="str">
        <f>IF(AA1336="","",'Procyfloc 500'!B337)</f>
        <v/>
      </c>
      <c r="AD1336" t="str">
        <f>IF(AA1336="","",IFERROR(1*'Procyfloc 500'!C337,IFERROR(_xludf.NUMBERVALUE('Procyfloc 500'!C337,".",","),IFERROR(_xludf.NUMBERVALUE('Procyfloc 500'!C337,",","."),0))))</f>
        <v/>
      </c>
      <c r="AE1336" t="str">
        <f>IF(AA1336="","",'Procyfloc 500'!L337)</f>
        <v/>
      </c>
      <c r="AF1336">
        <f t="shared" si="137"/>
        <v>0</v>
      </c>
      <c r="AG1336" t="str">
        <f t="shared" si="138"/>
        <v/>
      </c>
      <c r="AH1336" t="str">
        <f t="shared" si="139"/>
        <v/>
      </c>
      <c r="AI1336">
        <f t="shared" si="140"/>
        <v>0</v>
      </c>
      <c r="AJ1336">
        <f t="shared" si="141"/>
        <v>0</v>
      </c>
      <c r="AK1336">
        <v>0</v>
      </c>
      <c r="AL1336" t="str">
        <f>IF(AA1336="","",IFERROR(IF(ISNUMBER('Procyfloc 500'!D337),'Procyfloc 500'!D337,IF(ISNUMBER(SEARCH("12",'Procyfloc 500'!D337)),EDATE(AB1336,12),IF(ISNUMBER(SEARCH("6",'Procyfloc 500'!D337)),EDATE(AB1336,6),IF(ISNUMBER(SEARCH("3",'Procyfloc 500'!D337)),EDATE(AB1336,3),DATEVALUE('Procyfloc 500'!D337))))),""))</f>
        <v/>
      </c>
      <c r="AM1336" t="str">
        <f t="shared" ca="1" si="142"/>
        <v/>
      </c>
    </row>
    <row r="1337" spans="27:39" x14ac:dyDescent="0.3">
      <c r="AA1337" t="str">
        <f>IF(COUNTA('Procyfloc 500'!A338,'Procyfloc 500'!B338,'Procyfloc 500'!C338)&gt;0,"500","")</f>
        <v/>
      </c>
      <c r="AB1337" t="str">
        <f>IFERROR(IF(ISNUMBER('Procyfloc 500'!A338),'Procyfloc 500'!A338,DATEVALUE('Procyfloc 500'!A338)),"")</f>
        <v/>
      </c>
      <c r="AC1337" t="str">
        <f>IF(AA1337="","",'Procyfloc 500'!B338)</f>
        <v/>
      </c>
      <c r="AD1337" t="str">
        <f>IF(AA1337="","",IFERROR(1*'Procyfloc 500'!C338,IFERROR(_xludf.NUMBERVALUE('Procyfloc 500'!C338,".",","),IFERROR(_xludf.NUMBERVALUE('Procyfloc 500'!C338,",","."),0))))</f>
        <v/>
      </c>
      <c r="AE1337" t="str">
        <f>IF(AA1337="","",'Procyfloc 500'!L338)</f>
        <v/>
      </c>
      <c r="AF1337">
        <f t="shared" si="137"/>
        <v>0</v>
      </c>
      <c r="AG1337" t="str">
        <f t="shared" si="138"/>
        <v/>
      </c>
      <c r="AH1337" t="str">
        <f t="shared" si="139"/>
        <v/>
      </c>
      <c r="AI1337">
        <f t="shared" si="140"/>
        <v>0</v>
      </c>
      <c r="AJ1337">
        <f t="shared" si="141"/>
        <v>0</v>
      </c>
      <c r="AK1337">
        <v>0</v>
      </c>
      <c r="AL1337" t="str">
        <f>IF(AA1337="","",IFERROR(IF(ISNUMBER('Procyfloc 500'!D338),'Procyfloc 500'!D338,IF(ISNUMBER(SEARCH("12",'Procyfloc 500'!D338)),EDATE(AB1337,12),IF(ISNUMBER(SEARCH("6",'Procyfloc 500'!D338)),EDATE(AB1337,6),IF(ISNUMBER(SEARCH("3",'Procyfloc 500'!D338)),EDATE(AB1337,3),DATEVALUE('Procyfloc 500'!D338))))),""))</f>
        <v/>
      </c>
      <c r="AM1337" t="str">
        <f t="shared" ca="1" si="142"/>
        <v/>
      </c>
    </row>
    <row r="1338" spans="27:39" x14ac:dyDescent="0.3">
      <c r="AA1338" t="str">
        <f>IF(COUNTA('Procyfloc 500'!A339,'Procyfloc 500'!B339,'Procyfloc 500'!C339)&gt;0,"500","")</f>
        <v/>
      </c>
      <c r="AB1338" t="str">
        <f>IFERROR(IF(ISNUMBER('Procyfloc 500'!A339),'Procyfloc 500'!A339,DATEVALUE('Procyfloc 500'!A339)),"")</f>
        <v/>
      </c>
      <c r="AC1338" t="str">
        <f>IF(AA1338="","",'Procyfloc 500'!B339)</f>
        <v/>
      </c>
      <c r="AD1338" t="str">
        <f>IF(AA1338="","",IFERROR(1*'Procyfloc 500'!C339,IFERROR(_xludf.NUMBERVALUE('Procyfloc 500'!C339,".",","),IFERROR(_xludf.NUMBERVALUE('Procyfloc 500'!C339,",","."),0))))</f>
        <v/>
      </c>
      <c r="AE1338" t="str">
        <f>IF(AA1338="","",'Procyfloc 500'!L339)</f>
        <v/>
      </c>
      <c r="AF1338">
        <f t="shared" si="137"/>
        <v>0</v>
      </c>
      <c r="AG1338" t="str">
        <f t="shared" si="138"/>
        <v/>
      </c>
      <c r="AH1338" t="str">
        <f t="shared" si="139"/>
        <v/>
      </c>
      <c r="AI1338">
        <f t="shared" si="140"/>
        <v>0</v>
      </c>
      <c r="AJ1338">
        <f t="shared" si="141"/>
        <v>0</v>
      </c>
      <c r="AK1338">
        <v>0</v>
      </c>
      <c r="AL1338" t="str">
        <f>IF(AA1338="","",IFERROR(IF(ISNUMBER('Procyfloc 500'!D339),'Procyfloc 500'!D339,IF(ISNUMBER(SEARCH("12",'Procyfloc 500'!D339)),EDATE(AB1338,12),IF(ISNUMBER(SEARCH("6",'Procyfloc 500'!D339)),EDATE(AB1338,6),IF(ISNUMBER(SEARCH("3",'Procyfloc 500'!D339)),EDATE(AB1338,3),DATEVALUE('Procyfloc 500'!D339))))),""))</f>
        <v/>
      </c>
      <c r="AM1338" t="str">
        <f t="shared" ca="1" si="142"/>
        <v/>
      </c>
    </row>
    <row r="1339" spans="27:39" x14ac:dyDescent="0.3">
      <c r="AA1339" t="str">
        <f>IF(COUNTA('Procyfloc 500'!A340,'Procyfloc 500'!B340,'Procyfloc 500'!C340)&gt;0,"500","")</f>
        <v/>
      </c>
      <c r="AB1339" t="str">
        <f>IFERROR(IF(ISNUMBER('Procyfloc 500'!A340),'Procyfloc 500'!A340,DATEVALUE('Procyfloc 500'!A340)),"")</f>
        <v/>
      </c>
      <c r="AC1339" t="str">
        <f>IF(AA1339="","",'Procyfloc 500'!B340)</f>
        <v/>
      </c>
      <c r="AD1339" t="str">
        <f>IF(AA1339="","",IFERROR(1*'Procyfloc 500'!C340,IFERROR(_xludf.NUMBERVALUE('Procyfloc 500'!C340,".",","),IFERROR(_xludf.NUMBERVALUE('Procyfloc 500'!C340,",","."),0))))</f>
        <v/>
      </c>
      <c r="AE1339" t="str">
        <f>IF(AA1339="","",'Procyfloc 500'!L340)</f>
        <v/>
      </c>
      <c r="AF1339">
        <f t="shared" si="137"/>
        <v>0</v>
      </c>
      <c r="AG1339" t="str">
        <f t="shared" si="138"/>
        <v/>
      </c>
      <c r="AH1339" t="str">
        <f t="shared" si="139"/>
        <v/>
      </c>
      <c r="AI1339">
        <f t="shared" si="140"/>
        <v>0</v>
      </c>
      <c r="AJ1339">
        <f t="shared" si="141"/>
        <v>0</v>
      </c>
      <c r="AK1339">
        <v>0</v>
      </c>
      <c r="AL1339" t="str">
        <f>IF(AA1339="","",IFERROR(IF(ISNUMBER('Procyfloc 500'!D340),'Procyfloc 500'!D340,IF(ISNUMBER(SEARCH("12",'Procyfloc 500'!D340)),EDATE(AB1339,12),IF(ISNUMBER(SEARCH("6",'Procyfloc 500'!D340)),EDATE(AB1339,6),IF(ISNUMBER(SEARCH("3",'Procyfloc 500'!D340)),EDATE(AB1339,3),DATEVALUE('Procyfloc 500'!D340))))),""))</f>
        <v/>
      </c>
      <c r="AM1339" t="str">
        <f t="shared" ca="1" si="142"/>
        <v/>
      </c>
    </row>
    <row r="1340" spans="27:39" x14ac:dyDescent="0.3">
      <c r="AA1340" t="str">
        <f>IF(COUNTA('Procyfloc 500'!A341,'Procyfloc 500'!B341,'Procyfloc 500'!C341)&gt;0,"500","")</f>
        <v/>
      </c>
      <c r="AB1340" t="str">
        <f>IFERROR(IF(ISNUMBER('Procyfloc 500'!A341),'Procyfloc 500'!A341,DATEVALUE('Procyfloc 500'!A341)),"")</f>
        <v/>
      </c>
      <c r="AC1340" t="str">
        <f>IF(AA1340="","",'Procyfloc 500'!B341)</f>
        <v/>
      </c>
      <c r="AD1340" t="str">
        <f>IF(AA1340="","",IFERROR(1*'Procyfloc 500'!C341,IFERROR(_xludf.NUMBERVALUE('Procyfloc 500'!C341,".",","),IFERROR(_xludf.NUMBERVALUE('Procyfloc 500'!C341,",","."),0))))</f>
        <v/>
      </c>
      <c r="AE1340" t="str">
        <f>IF(AA1340="","",'Procyfloc 500'!L341)</f>
        <v/>
      </c>
      <c r="AF1340">
        <f t="shared" si="137"/>
        <v>0</v>
      </c>
      <c r="AG1340" t="str">
        <f t="shared" si="138"/>
        <v/>
      </c>
      <c r="AH1340" t="str">
        <f t="shared" si="139"/>
        <v/>
      </c>
      <c r="AI1340">
        <f t="shared" si="140"/>
        <v>0</v>
      </c>
      <c r="AJ1340">
        <f t="shared" si="141"/>
        <v>0</v>
      </c>
      <c r="AK1340">
        <v>0</v>
      </c>
      <c r="AL1340" t="str">
        <f>IF(AA1340="","",IFERROR(IF(ISNUMBER('Procyfloc 500'!D341),'Procyfloc 500'!D341,IF(ISNUMBER(SEARCH("12",'Procyfloc 500'!D341)),EDATE(AB1340,12),IF(ISNUMBER(SEARCH("6",'Procyfloc 500'!D341)),EDATE(AB1340,6),IF(ISNUMBER(SEARCH("3",'Procyfloc 500'!D341)),EDATE(AB1340,3),DATEVALUE('Procyfloc 500'!D341))))),""))</f>
        <v/>
      </c>
      <c r="AM1340" t="str">
        <f t="shared" ca="1" si="142"/>
        <v/>
      </c>
    </row>
    <row r="1341" spans="27:39" x14ac:dyDescent="0.3">
      <c r="AA1341" t="str">
        <f>IF(COUNTA('Procyfloc 500'!A342,'Procyfloc 500'!B342,'Procyfloc 500'!C342)&gt;0,"500","")</f>
        <v/>
      </c>
      <c r="AB1341" t="str">
        <f>IFERROR(IF(ISNUMBER('Procyfloc 500'!A342),'Procyfloc 500'!A342,DATEVALUE('Procyfloc 500'!A342)),"")</f>
        <v/>
      </c>
      <c r="AC1341" t="str">
        <f>IF(AA1341="","",'Procyfloc 500'!B342)</f>
        <v/>
      </c>
      <c r="AD1341" t="str">
        <f>IF(AA1341="","",IFERROR(1*'Procyfloc 500'!C342,IFERROR(_xludf.NUMBERVALUE('Procyfloc 500'!C342,".",","),IFERROR(_xludf.NUMBERVALUE('Procyfloc 500'!C342,",","."),0))))</f>
        <v/>
      </c>
      <c r="AE1341" t="str">
        <f>IF(AA1341="","",'Procyfloc 500'!L342)</f>
        <v/>
      </c>
      <c r="AF1341">
        <f t="shared" si="137"/>
        <v>0</v>
      </c>
      <c r="AG1341" t="str">
        <f t="shared" si="138"/>
        <v/>
      </c>
      <c r="AH1341" t="str">
        <f t="shared" si="139"/>
        <v/>
      </c>
      <c r="AI1341">
        <f t="shared" si="140"/>
        <v>0</v>
      </c>
      <c r="AJ1341">
        <f t="shared" si="141"/>
        <v>0</v>
      </c>
      <c r="AK1341">
        <v>0</v>
      </c>
      <c r="AL1341" t="str">
        <f>IF(AA1341="","",IFERROR(IF(ISNUMBER('Procyfloc 500'!D342),'Procyfloc 500'!D342,IF(ISNUMBER(SEARCH("12",'Procyfloc 500'!D342)),EDATE(AB1341,12),IF(ISNUMBER(SEARCH("6",'Procyfloc 500'!D342)),EDATE(AB1341,6),IF(ISNUMBER(SEARCH("3",'Procyfloc 500'!D342)),EDATE(AB1341,3),DATEVALUE('Procyfloc 500'!D342))))),""))</f>
        <v/>
      </c>
      <c r="AM1341" t="str">
        <f t="shared" ca="1" si="142"/>
        <v/>
      </c>
    </row>
    <row r="1342" spans="27:39" x14ac:dyDescent="0.3">
      <c r="AA1342" t="str">
        <f>IF(COUNTA('Procyfloc 500'!A343,'Procyfloc 500'!B343,'Procyfloc 500'!C343)&gt;0,"500","")</f>
        <v/>
      </c>
      <c r="AB1342" t="str">
        <f>IFERROR(IF(ISNUMBER('Procyfloc 500'!A343),'Procyfloc 500'!A343,DATEVALUE('Procyfloc 500'!A343)),"")</f>
        <v/>
      </c>
      <c r="AC1342" t="str">
        <f>IF(AA1342="","",'Procyfloc 500'!B343)</f>
        <v/>
      </c>
      <c r="AD1342" t="str">
        <f>IF(AA1342="","",IFERROR(1*'Procyfloc 500'!C343,IFERROR(_xludf.NUMBERVALUE('Procyfloc 500'!C343,".",","),IFERROR(_xludf.NUMBERVALUE('Procyfloc 500'!C343,",","."),0))))</f>
        <v/>
      </c>
      <c r="AE1342" t="str">
        <f>IF(AA1342="","",'Procyfloc 500'!L343)</f>
        <v/>
      </c>
      <c r="AF1342">
        <f t="shared" si="137"/>
        <v>0</v>
      </c>
      <c r="AG1342" t="str">
        <f t="shared" si="138"/>
        <v/>
      </c>
      <c r="AH1342" t="str">
        <f t="shared" si="139"/>
        <v/>
      </c>
      <c r="AI1342">
        <f t="shared" si="140"/>
        <v>0</v>
      </c>
      <c r="AJ1342">
        <f t="shared" si="141"/>
        <v>0</v>
      </c>
      <c r="AK1342">
        <v>0</v>
      </c>
      <c r="AL1342" t="str">
        <f>IF(AA1342="","",IFERROR(IF(ISNUMBER('Procyfloc 500'!D343),'Procyfloc 500'!D343,IF(ISNUMBER(SEARCH("12",'Procyfloc 500'!D343)),EDATE(AB1342,12),IF(ISNUMBER(SEARCH("6",'Procyfloc 500'!D343)),EDATE(AB1342,6),IF(ISNUMBER(SEARCH("3",'Procyfloc 500'!D343)),EDATE(AB1342,3),DATEVALUE('Procyfloc 500'!D343))))),""))</f>
        <v/>
      </c>
      <c r="AM1342" t="str">
        <f t="shared" ca="1" si="142"/>
        <v/>
      </c>
    </row>
    <row r="1343" spans="27:39" x14ac:dyDescent="0.3">
      <c r="AA1343" t="str">
        <f>IF(COUNTA('Procyfloc 500'!A344,'Procyfloc 500'!B344,'Procyfloc 500'!C344)&gt;0,"500","")</f>
        <v/>
      </c>
      <c r="AB1343" t="str">
        <f>IFERROR(IF(ISNUMBER('Procyfloc 500'!A344),'Procyfloc 500'!A344,DATEVALUE('Procyfloc 500'!A344)),"")</f>
        <v/>
      </c>
      <c r="AC1343" t="str">
        <f>IF(AA1343="","",'Procyfloc 500'!B344)</f>
        <v/>
      </c>
      <c r="AD1343" t="str">
        <f>IF(AA1343="","",IFERROR(1*'Procyfloc 500'!C344,IFERROR(_xludf.NUMBERVALUE('Procyfloc 500'!C344,".",","),IFERROR(_xludf.NUMBERVALUE('Procyfloc 500'!C344,",","."),0))))</f>
        <v/>
      </c>
      <c r="AE1343" t="str">
        <f>IF(AA1343="","",'Procyfloc 500'!L344)</f>
        <v/>
      </c>
      <c r="AF1343">
        <f t="shared" si="137"/>
        <v>0</v>
      </c>
      <c r="AG1343" t="str">
        <f t="shared" si="138"/>
        <v/>
      </c>
      <c r="AH1343" t="str">
        <f t="shared" si="139"/>
        <v/>
      </c>
      <c r="AI1343">
        <f t="shared" si="140"/>
        <v>0</v>
      </c>
      <c r="AJ1343">
        <f t="shared" si="141"/>
        <v>0</v>
      </c>
      <c r="AK1343">
        <v>0</v>
      </c>
      <c r="AL1343" t="str">
        <f>IF(AA1343="","",IFERROR(IF(ISNUMBER('Procyfloc 500'!D344),'Procyfloc 500'!D344,IF(ISNUMBER(SEARCH("12",'Procyfloc 500'!D344)),EDATE(AB1343,12),IF(ISNUMBER(SEARCH("6",'Procyfloc 500'!D344)),EDATE(AB1343,6),IF(ISNUMBER(SEARCH("3",'Procyfloc 500'!D344)),EDATE(AB1343,3),DATEVALUE('Procyfloc 500'!D344))))),""))</f>
        <v/>
      </c>
      <c r="AM1343" t="str">
        <f t="shared" ca="1" si="142"/>
        <v/>
      </c>
    </row>
    <row r="1344" spans="27:39" x14ac:dyDescent="0.3">
      <c r="AA1344" t="str">
        <f>IF(COUNTA('Procyfloc 500'!A345,'Procyfloc 500'!B345,'Procyfloc 500'!C345)&gt;0,"500","")</f>
        <v/>
      </c>
      <c r="AB1344" t="str">
        <f>IFERROR(IF(ISNUMBER('Procyfloc 500'!A345),'Procyfloc 500'!A345,DATEVALUE('Procyfloc 500'!A345)),"")</f>
        <v/>
      </c>
      <c r="AC1344" t="str">
        <f>IF(AA1344="","",'Procyfloc 500'!B345)</f>
        <v/>
      </c>
      <c r="AD1344" t="str">
        <f>IF(AA1344="","",IFERROR(1*'Procyfloc 500'!C345,IFERROR(_xludf.NUMBERVALUE('Procyfloc 500'!C345,".",","),IFERROR(_xludf.NUMBERVALUE('Procyfloc 500'!C345,",","."),0))))</f>
        <v/>
      </c>
      <c r="AE1344" t="str">
        <f>IF(AA1344="","",'Procyfloc 500'!L345)</f>
        <v/>
      </c>
      <c r="AF1344">
        <f t="shared" si="137"/>
        <v>0</v>
      </c>
      <c r="AG1344" t="str">
        <f t="shared" si="138"/>
        <v/>
      </c>
      <c r="AH1344" t="str">
        <f t="shared" si="139"/>
        <v/>
      </c>
      <c r="AI1344">
        <f t="shared" si="140"/>
        <v>0</v>
      </c>
      <c r="AJ1344">
        <f t="shared" si="141"/>
        <v>0</v>
      </c>
      <c r="AK1344">
        <v>0</v>
      </c>
      <c r="AL1344" t="str">
        <f>IF(AA1344="","",IFERROR(IF(ISNUMBER('Procyfloc 500'!D345),'Procyfloc 500'!D345,IF(ISNUMBER(SEARCH("12",'Procyfloc 500'!D345)),EDATE(AB1344,12),IF(ISNUMBER(SEARCH("6",'Procyfloc 500'!D345)),EDATE(AB1344,6),IF(ISNUMBER(SEARCH("3",'Procyfloc 500'!D345)),EDATE(AB1344,3),DATEVALUE('Procyfloc 500'!D345))))),""))</f>
        <v/>
      </c>
      <c r="AM1344" t="str">
        <f t="shared" ca="1" si="142"/>
        <v/>
      </c>
    </row>
    <row r="1345" spans="27:39" x14ac:dyDescent="0.3">
      <c r="AA1345" t="str">
        <f>IF(COUNTA('Procyfloc 500'!A346,'Procyfloc 500'!B346,'Procyfloc 500'!C346)&gt;0,"500","")</f>
        <v/>
      </c>
      <c r="AB1345" t="str">
        <f>IFERROR(IF(ISNUMBER('Procyfloc 500'!A346),'Procyfloc 500'!A346,DATEVALUE('Procyfloc 500'!A346)),"")</f>
        <v/>
      </c>
      <c r="AC1345" t="str">
        <f>IF(AA1345="","",'Procyfloc 500'!B346)</f>
        <v/>
      </c>
      <c r="AD1345" t="str">
        <f>IF(AA1345="","",IFERROR(1*'Procyfloc 500'!C346,IFERROR(_xludf.NUMBERVALUE('Procyfloc 500'!C346,".",","),IFERROR(_xludf.NUMBERVALUE('Procyfloc 500'!C346,",","."),0))))</f>
        <v/>
      </c>
      <c r="AE1345" t="str">
        <f>IF(AA1345="","",'Procyfloc 500'!L346)</f>
        <v/>
      </c>
      <c r="AF1345">
        <f t="shared" si="137"/>
        <v>0</v>
      </c>
      <c r="AG1345" t="str">
        <f t="shared" si="138"/>
        <v/>
      </c>
      <c r="AH1345" t="str">
        <f t="shared" si="139"/>
        <v/>
      </c>
      <c r="AI1345">
        <f t="shared" si="140"/>
        <v>0</v>
      </c>
      <c r="AJ1345">
        <f t="shared" si="141"/>
        <v>0</v>
      </c>
      <c r="AK1345">
        <v>0</v>
      </c>
      <c r="AL1345" t="str">
        <f>IF(AA1345="","",IFERROR(IF(ISNUMBER('Procyfloc 500'!D346),'Procyfloc 500'!D346,IF(ISNUMBER(SEARCH("12",'Procyfloc 500'!D346)),EDATE(AB1345,12),IF(ISNUMBER(SEARCH("6",'Procyfloc 500'!D346)),EDATE(AB1345,6),IF(ISNUMBER(SEARCH("3",'Procyfloc 500'!D346)),EDATE(AB1345,3),DATEVALUE('Procyfloc 500'!D346))))),""))</f>
        <v/>
      </c>
      <c r="AM1345" t="str">
        <f t="shared" ca="1" si="142"/>
        <v/>
      </c>
    </row>
    <row r="1346" spans="27:39" x14ac:dyDescent="0.3">
      <c r="AA1346" t="str">
        <f>IF(COUNTA('Procyfloc 500'!A347,'Procyfloc 500'!B347,'Procyfloc 500'!C347)&gt;0,"500","")</f>
        <v/>
      </c>
      <c r="AB1346" t="str">
        <f>IFERROR(IF(ISNUMBER('Procyfloc 500'!A347),'Procyfloc 500'!A347,DATEVALUE('Procyfloc 500'!A347)),"")</f>
        <v/>
      </c>
      <c r="AC1346" t="str">
        <f>IF(AA1346="","",'Procyfloc 500'!B347)</f>
        <v/>
      </c>
      <c r="AD1346" t="str">
        <f>IF(AA1346="","",IFERROR(1*'Procyfloc 500'!C347,IFERROR(_xludf.NUMBERVALUE('Procyfloc 500'!C347,".",","),IFERROR(_xludf.NUMBERVALUE('Procyfloc 500'!C347,",","."),0))))</f>
        <v/>
      </c>
      <c r="AE1346" t="str">
        <f>IF(AA1346="","",'Procyfloc 500'!L347)</f>
        <v/>
      </c>
      <c r="AF1346">
        <f t="shared" ref="AF1346:AF1409" si="143">IF(AA1346="",0,--AND(ISNUMBER(SEARCH("aprov",AE1346)),NOT(ISNUMBER(SEARCH("reprov",AE1346)))))</f>
        <v>0</v>
      </c>
      <c r="AG1346" t="str">
        <f t="shared" ref="AG1346:AG1409" si="144">IF(AB1346="","",YEAR(AB1346))</f>
        <v/>
      </c>
      <c r="AH1346" t="str">
        <f t="shared" ref="AH1346:AH1409" si="145">IF(AB1346="","",MONTH(AB1346))</f>
        <v/>
      </c>
      <c r="AI1346">
        <f t="shared" ref="AI1346:AI1409" si="146">IF(AB1346="",0,AB1346+ROW()/1000000)</f>
        <v>0</v>
      </c>
      <c r="AJ1346">
        <f t="shared" ref="AJ1346:AJ1409" si="147">--(AA1346&lt;&gt;"")</f>
        <v>0</v>
      </c>
      <c r="AK1346">
        <v>0</v>
      </c>
      <c r="AL1346" t="str">
        <f>IF(AA1346="","",IFERROR(IF(ISNUMBER('Procyfloc 500'!D347),'Procyfloc 500'!D347,IF(ISNUMBER(SEARCH("12",'Procyfloc 500'!D347)),EDATE(AB1346,12),IF(ISNUMBER(SEARCH("6",'Procyfloc 500'!D347)),EDATE(AB1346,6),IF(ISNUMBER(SEARCH("3",'Procyfloc 500'!D347)),EDATE(AB1346,3),DATEVALUE('Procyfloc 500'!D347))))),""))</f>
        <v/>
      </c>
      <c r="AM1346" t="str">
        <f t="shared" ref="AM1346:AM1409" ca="1" si="148">IF(AND(AJ1346=1,AL1346&lt;&gt;"",AL1346&gt;=TODAY(),AG1346=$W$3),AL1346+ROW()/1000000,"")</f>
        <v/>
      </c>
    </row>
    <row r="1347" spans="27:39" x14ac:dyDescent="0.3">
      <c r="AA1347" t="str">
        <f>IF(COUNTA('Procyfloc 500'!A348,'Procyfloc 500'!B348,'Procyfloc 500'!C348)&gt;0,"500","")</f>
        <v/>
      </c>
      <c r="AB1347" t="str">
        <f>IFERROR(IF(ISNUMBER('Procyfloc 500'!A348),'Procyfloc 500'!A348,DATEVALUE('Procyfloc 500'!A348)),"")</f>
        <v/>
      </c>
      <c r="AC1347" t="str">
        <f>IF(AA1347="","",'Procyfloc 500'!B348)</f>
        <v/>
      </c>
      <c r="AD1347" t="str">
        <f>IF(AA1347="","",IFERROR(1*'Procyfloc 500'!C348,IFERROR(_xludf.NUMBERVALUE('Procyfloc 500'!C348,".",","),IFERROR(_xludf.NUMBERVALUE('Procyfloc 500'!C348,",","."),0))))</f>
        <v/>
      </c>
      <c r="AE1347" t="str">
        <f>IF(AA1347="","",'Procyfloc 500'!L348)</f>
        <v/>
      </c>
      <c r="AF1347">
        <f t="shared" si="143"/>
        <v>0</v>
      </c>
      <c r="AG1347" t="str">
        <f t="shared" si="144"/>
        <v/>
      </c>
      <c r="AH1347" t="str">
        <f t="shared" si="145"/>
        <v/>
      </c>
      <c r="AI1347">
        <f t="shared" si="146"/>
        <v>0</v>
      </c>
      <c r="AJ1347">
        <f t="shared" si="147"/>
        <v>0</v>
      </c>
      <c r="AK1347">
        <v>0</v>
      </c>
      <c r="AL1347" t="str">
        <f>IF(AA1347="","",IFERROR(IF(ISNUMBER('Procyfloc 500'!D348),'Procyfloc 500'!D348,IF(ISNUMBER(SEARCH("12",'Procyfloc 500'!D348)),EDATE(AB1347,12),IF(ISNUMBER(SEARCH("6",'Procyfloc 500'!D348)),EDATE(AB1347,6),IF(ISNUMBER(SEARCH("3",'Procyfloc 500'!D348)),EDATE(AB1347,3),DATEVALUE('Procyfloc 500'!D348))))),""))</f>
        <v/>
      </c>
      <c r="AM1347" t="str">
        <f t="shared" ca="1" si="148"/>
        <v/>
      </c>
    </row>
    <row r="1348" spans="27:39" x14ac:dyDescent="0.3">
      <c r="AA1348" t="str">
        <f>IF(COUNTA('Procyfloc 500'!A349,'Procyfloc 500'!B349,'Procyfloc 500'!C349)&gt;0,"500","")</f>
        <v/>
      </c>
      <c r="AB1348" t="str">
        <f>IFERROR(IF(ISNUMBER('Procyfloc 500'!A349),'Procyfloc 500'!A349,DATEVALUE('Procyfloc 500'!A349)),"")</f>
        <v/>
      </c>
      <c r="AC1348" t="str">
        <f>IF(AA1348="","",'Procyfloc 500'!B349)</f>
        <v/>
      </c>
      <c r="AD1348" t="str">
        <f>IF(AA1348="","",IFERROR(1*'Procyfloc 500'!C349,IFERROR(_xludf.NUMBERVALUE('Procyfloc 500'!C349,".",","),IFERROR(_xludf.NUMBERVALUE('Procyfloc 500'!C349,",","."),0))))</f>
        <v/>
      </c>
      <c r="AE1348" t="str">
        <f>IF(AA1348="","",'Procyfloc 500'!L349)</f>
        <v/>
      </c>
      <c r="AF1348">
        <f t="shared" si="143"/>
        <v>0</v>
      </c>
      <c r="AG1348" t="str">
        <f t="shared" si="144"/>
        <v/>
      </c>
      <c r="AH1348" t="str">
        <f t="shared" si="145"/>
        <v/>
      </c>
      <c r="AI1348">
        <f t="shared" si="146"/>
        <v>0</v>
      </c>
      <c r="AJ1348">
        <f t="shared" si="147"/>
        <v>0</v>
      </c>
      <c r="AK1348">
        <v>0</v>
      </c>
      <c r="AL1348" t="str">
        <f>IF(AA1348="","",IFERROR(IF(ISNUMBER('Procyfloc 500'!D349),'Procyfloc 500'!D349,IF(ISNUMBER(SEARCH("12",'Procyfloc 500'!D349)),EDATE(AB1348,12),IF(ISNUMBER(SEARCH("6",'Procyfloc 500'!D349)),EDATE(AB1348,6),IF(ISNUMBER(SEARCH("3",'Procyfloc 500'!D349)),EDATE(AB1348,3),DATEVALUE('Procyfloc 500'!D349))))),""))</f>
        <v/>
      </c>
      <c r="AM1348" t="str">
        <f t="shared" ca="1" si="148"/>
        <v/>
      </c>
    </row>
    <row r="1349" spans="27:39" x14ac:dyDescent="0.3">
      <c r="AA1349" t="str">
        <f>IF(COUNTA('Procyfloc 500'!A350,'Procyfloc 500'!B350,'Procyfloc 500'!C350)&gt;0,"500","")</f>
        <v/>
      </c>
      <c r="AB1349" t="str">
        <f>IFERROR(IF(ISNUMBER('Procyfloc 500'!A350),'Procyfloc 500'!A350,DATEVALUE('Procyfloc 500'!A350)),"")</f>
        <v/>
      </c>
      <c r="AC1349" t="str">
        <f>IF(AA1349="","",'Procyfloc 500'!B350)</f>
        <v/>
      </c>
      <c r="AD1349" t="str">
        <f>IF(AA1349="","",IFERROR(1*'Procyfloc 500'!C350,IFERROR(_xludf.NUMBERVALUE('Procyfloc 500'!C350,".",","),IFERROR(_xludf.NUMBERVALUE('Procyfloc 500'!C350,",","."),0))))</f>
        <v/>
      </c>
      <c r="AE1349" t="str">
        <f>IF(AA1349="","",'Procyfloc 500'!L350)</f>
        <v/>
      </c>
      <c r="AF1349">
        <f t="shared" si="143"/>
        <v>0</v>
      </c>
      <c r="AG1349" t="str">
        <f t="shared" si="144"/>
        <v/>
      </c>
      <c r="AH1349" t="str">
        <f t="shared" si="145"/>
        <v/>
      </c>
      <c r="AI1349">
        <f t="shared" si="146"/>
        <v>0</v>
      </c>
      <c r="AJ1349">
        <f t="shared" si="147"/>
        <v>0</v>
      </c>
      <c r="AK1349">
        <v>0</v>
      </c>
      <c r="AL1349" t="str">
        <f>IF(AA1349="","",IFERROR(IF(ISNUMBER('Procyfloc 500'!D350),'Procyfloc 500'!D350,IF(ISNUMBER(SEARCH("12",'Procyfloc 500'!D350)),EDATE(AB1349,12),IF(ISNUMBER(SEARCH("6",'Procyfloc 500'!D350)),EDATE(AB1349,6),IF(ISNUMBER(SEARCH("3",'Procyfloc 500'!D350)),EDATE(AB1349,3),DATEVALUE('Procyfloc 500'!D350))))),""))</f>
        <v/>
      </c>
      <c r="AM1349" t="str">
        <f t="shared" ca="1" si="148"/>
        <v/>
      </c>
    </row>
    <row r="1350" spans="27:39" x14ac:dyDescent="0.3">
      <c r="AA1350" t="str">
        <f>IF(COUNTA('Procyfloc 500'!A351,'Procyfloc 500'!B351,'Procyfloc 500'!C351)&gt;0,"500","")</f>
        <v/>
      </c>
      <c r="AB1350" t="str">
        <f>IFERROR(IF(ISNUMBER('Procyfloc 500'!A351),'Procyfloc 500'!A351,DATEVALUE('Procyfloc 500'!A351)),"")</f>
        <v/>
      </c>
      <c r="AC1350" t="str">
        <f>IF(AA1350="","",'Procyfloc 500'!B351)</f>
        <v/>
      </c>
      <c r="AD1350" t="str">
        <f>IF(AA1350="","",IFERROR(1*'Procyfloc 500'!C351,IFERROR(_xludf.NUMBERVALUE('Procyfloc 500'!C351,".",","),IFERROR(_xludf.NUMBERVALUE('Procyfloc 500'!C351,",","."),0))))</f>
        <v/>
      </c>
      <c r="AE1350" t="str">
        <f>IF(AA1350="","",'Procyfloc 500'!L351)</f>
        <v/>
      </c>
      <c r="AF1350">
        <f t="shared" si="143"/>
        <v>0</v>
      </c>
      <c r="AG1350" t="str">
        <f t="shared" si="144"/>
        <v/>
      </c>
      <c r="AH1350" t="str">
        <f t="shared" si="145"/>
        <v/>
      </c>
      <c r="AI1350">
        <f t="shared" si="146"/>
        <v>0</v>
      </c>
      <c r="AJ1350">
        <f t="shared" si="147"/>
        <v>0</v>
      </c>
      <c r="AK1350">
        <v>0</v>
      </c>
      <c r="AL1350" t="str">
        <f>IF(AA1350="","",IFERROR(IF(ISNUMBER('Procyfloc 500'!D351),'Procyfloc 500'!D351,IF(ISNUMBER(SEARCH("12",'Procyfloc 500'!D351)),EDATE(AB1350,12),IF(ISNUMBER(SEARCH("6",'Procyfloc 500'!D351)),EDATE(AB1350,6),IF(ISNUMBER(SEARCH("3",'Procyfloc 500'!D351)),EDATE(AB1350,3),DATEVALUE('Procyfloc 500'!D351))))),""))</f>
        <v/>
      </c>
      <c r="AM1350" t="str">
        <f t="shared" ca="1" si="148"/>
        <v/>
      </c>
    </row>
    <row r="1351" spans="27:39" x14ac:dyDescent="0.3">
      <c r="AA1351" t="str">
        <f>IF(COUNTA('Procyfloc 500'!A352,'Procyfloc 500'!B352,'Procyfloc 500'!C352)&gt;0,"500","")</f>
        <v/>
      </c>
      <c r="AB1351" t="str">
        <f>IFERROR(IF(ISNUMBER('Procyfloc 500'!A352),'Procyfloc 500'!A352,DATEVALUE('Procyfloc 500'!A352)),"")</f>
        <v/>
      </c>
      <c r="AC1351" t="str">
        <f>IF(AA1351="","",'Procyfloc 500'!B352)</f>
        <v/>
      </c>
      <c r="AD1351" t="str">
        <f>IF(AA1351="","",IFERROR(1*'Procyfloc 500'!C352,IFERROR(_xludf.NUMBERVALUE('Procyfloc 500'!C352,".",","),IFERROR(_xludf.NUMBERVALUE('Procyfloc 500'!C352,",","."),0))))</f>
        <v/>
      </c>
      <c r="AE1351" t="str">
        <f>IF(AA1351="","",'Procyfloc 500'!L352)</f>
        <v/>
      </c>
      <c r="AF1351">
        <f t="shared" si="143"/>
        <v>0</v>
      </c>
      <c r="AG1351" t="str">
        <f t="shared" si="144"/>
        <v/>
      </c>
      <c r="AH1351" t="str">
        <f t="shared" si="145"/>
        <v/>
      </c>
      <c r="AI1351">
        <f t="shared" si="146"/>
        <v>0</v>
      </c>
      <c r="AJ1351">
        <f t="shared" si="147"/>
        <v>0</v>
      </c>
      <c r="AK1351">
        <v>0</v>
      </c>
      <c r="AL1351" t="str">
        <f>IF(AA1351="","",IFERROR(IF(ISNUMBER('Procyfloc 500'!D352),'Procyfloc 500'!D352,IF(ISNUMBER(SEARCH("12",'Procyfloc 500'!D352)),EDATE(AB1351,12),IF(ISNUMBER(SEARCH("6",'Procyfloc 500'!D352)),EDATE(AB1351,6),IF(ISNUMBER(SEARCH("3",'Procyfloc 500'!D352)),EDATE(AB1351,3),DATEVALUE('Procyfloc 500'!D352))))),""))</f>
        <v/>
      </c>
      <c r="AM1351" t="str">
        <f t="shared" ca="1" si="148"/>
        <v/>
      </c>
    </row>
    <row r="1352" spans="27:39" x14ac:dyDescent="0.3">
      <c r="AA1352" t="str">
        <f>IF(COUNTA('Procyfloc 500'!A353,'Procyfloc 500'!B353,'Procyfloc 500'!C353)&gt;0,"500","")</f>
        <v/>
      </c>
      <c r="AB1352" t="str">
        <f>IFERROR(IF(ISNUMBER('Procyfloc 500'!A353),'Procyfloc 500'!A353,DATEVALUE('Procyfloc 500'!A353)),"")</f>
        <v/>
      </c>
      <c r="AC1352" t="str">
        <f>IF(AA1352="","",'Procyfloc 500'!B353)</f>
        <v/>
      </c>
      <c r="AD1352" t="str">
        <f>IF(AA1352="","",IFERROR(1*'Procyfloc 500'!C353,IFERROR(_xludf.NUMBERVALUE('Procyfloc 500'!C353,".",","),IFERROR(_xludf.NUMBERVALUE('Procyfloc 500'!C353,",","."),0))))</f>
        <v/>
      </c>
      <c r="AE1352" t="str">
        <f>IF(AA1352="","",'Procyfloc 500'!L353)</f>
        <v/>
      </c>
      <c r="AF1352">
        <f t="shared" si="143"/>
        <v>0</v>
      </c>
      <c r="AG1352" t="str">
        <f t="shared" si="144"/>
        <v/>
      </c>
      <c r="AH1352" t="str">
        <f t="shared" si="145"/>
        <v/>
      </c>
      <c r="AI1352">
        <f t="shared" si="146"/>
        <v>0</v>
      </c>
      <c r="AJ1352">
        <f t="shared" si="147"/>
        <v>0</v>
      </c>
      <c r="AK1352">
        <v>0</v>
      </c>
      <c r="AL1352" t="str">
        <f>IF(AA1352="","",IFERROR(IF(ISNUMBER('Procyfloc 500'!D353),'Procyfloc 500'!D353,IF(ISNUMBER(SEARCH("12",'Procyfloc 500'!D353)),EDATE(AB1352,12),IF(ISNUMBER(SEARCH("6",'Procyfloc 500'!D353)),EDATE(AB1352,6),IF(ISNUMBER(SEARCH("3",'Procyfloc 500'!D353)),EDATE(AB1352,3),DATEVALUE('Procyfloc 500'!D353))))),""))</f>
        <v/>
      </c>
      <c r="AM1352" t="str">
        <f t="shared" ca="1" si="148"/>
        <v/>
      </c>
    </row>
    <row r="1353" spans="27:39" x14ac:dyDescent="0.3">
      <c r="AA1353" t="str">
        <f>IF(COUNTA('Procyfloc 500'!A354,'Procyfloc 500'!B354,'Procyfloc 500'!C354)&gt;0,"500","")</f>
        <v/>
      </c>
      <c r="AB1353" t="str">
        <f>IFERROR(IF(ISNUMBER('Procyfloc 500'!A354),'Procyfloc 500'!A354,DATEVALUE('Procyfloc 500'!A354)),"")</f>
        <v/>
      </c>
      <c r="AC1353" t="str">
        <f>IF(AA1353="","",'Procyfloc 500'!B354)</f>
        <v/>
      </c>
      <c r="AD1353" t="str">
        <f>IF(AA1353="","",IFERROR(1*'Procyfloc 500'!C354,IFERROR(_xludf.NUMBERVALUE('Procyfloc 500'!C354,".",","),IFERROR(_xludf.NUMBERVALUE('Procyfloc 500'!C354,",","."),0))))</f>
        <v/>
      </c>
      <c r="AE1353" t="str">
        <f>IF(AA1353="","",'Procyfloc 500'!L354)</f>
        <v/>
      </c>
      <c r="AF1353">
        <f t="shared" si="143"/>
        <v>0</v>
      </c>
      <c r="AG1353" t="str">
        <f t="shared" si="144"/>
        <v/>
      </c>
      <c r="AH1353" t="str">
        <f t="shared" si="145"/>
        <v/>
      </c>
      <c r="AI1353">
        <f t="shared" si="146"/>
        <v>0</v>
      </c>
      <c r="AJ1353">
        <f t="shared" si="147"/>
        <v>0</v>
      </c>
      <c r="AK1353">
        <v>0</v>
      </c>
      <c r="AL1353" t="str">
        <f>IF(AA1353="","",IFERROR(IF(ISNUMBER('Procyfloc 500'!D354),'Procyfloc 500'!D354,IF(ISNUMBER(SEARCH("12",'Procyfloc 500'!D354)),EDATE(AB1353,12),IF(ISNUMBER(SEARCH("6",'Procyfloc 500'!D354)),EDATE(AB1353,6),IF(ISNUMBER(SEARCH("3",'Procyfloc 500'!D354)),EDATE(AB1353,3),DATEVALUE('Procyfloc 500'!D354))))),""))</f>
        <v/>
      </c>
      <c r="AM1353" t="str">
        <f t="shared" ca="1" si="148"/>
        <v/>
      </c>
    </row>
    <row r="1354" spans="27:39" x14ac:dyDescent="0.3">
      <c r="AA1354" t="str">
        <f>IF(COUNTA('Procyfloc 500'!A355,'Procyfloc 500'!B355,'Procyfloc 500'!C355)&gt;0,"500","")</f>
        <v/>
      </c>
      <c r="AB1354" t="str">
        <f>IFERROR(IF(ISNUMBER('Procyfloc 500'!A355),'Procyfloc 500'!A355,DATEVALUE('Procyfloc 500'!A355)),"")</f>
        <v/>
      </c>
      <c r="AC1354" t="str">
        <f>IF(AA1354="","",'Procyfloc 500'!B355)</f>
        <v/>
      </c>
      <c r="AD1354" t="str">
        <f>IF(AA1354="","",IFERROR(1*'Procyfloc 500'!C355,IFERROR(_xludf.NUMBERVALUE('Procyfloc 500'!C355,".",","),IFERROR(_xludf.NUMBERVALUE('Procyfloc 500'!C355,",","."),0))))</f>
        <v/>
      </c>
      <c r="AE1354" t="str">
        <f>IF(AA1354="","",'Procyfloc 500'!L355)</f>
        <v/>
      </c>
      <c r="AF1354">
        <f t="shared" si="143"/>
        <v>0</v>
      </c>
      <c r="AG1354" t="str">
        <f t="shared" si="144"/>
        <v/>
      </c>
      <c r="AH1354" t="str">
        <f t="shared" si="145"/>
        <v/>
      </c>
      <c r="AI1354">
        <f t="shared" si="146"/>
        <v>0</v>
      </c>
      <c r="AJ1354">
        <f t="shared" si="147"/>
        <v>0</v>
      </c>
      <c r="AK1354">
        <v>0</v>
      </c>
      <c r="AL1354" t="str">
        <f>IF(AA1354="","",IFERROR(IF(ISNUMBER('Procyfloc 500'!D355),'Procyfloc 500'!D355,IF(ISNUMBER(SEARCH("12",'Procyfloc 500'!D355)),EDATE(AB1354,12),IF(ISNUMBER(SEARCH("6",'Procyfloc 500'!D355)),EDATE(AB1354,6),IF(ISNUMBER(SEARCH("3",'Procyfloc 500'!D355)),EDATE(AB1354,3),DATEVALUE('Procyfloc 500'!D355))))),""))</f>
        <v/>
      </c>
      <c r="AM1354" t="str">
        <f t="shared" ca="1" si="148"/>
        <v/>
      </c>
    </row>
    <row r="1355" spans="27:39" x14ac:dyDescent="0.3">
      <c r="AA1355" t="str">
        <f>IF(COUNTA('Procyfloc 500'!A356,'Procyfloc 500'!B356,'Procyfloc 500'!C356)&gt;0,"500","")</f>
        <v/>
      </c>
      <c r="AB1355" t="str">
        <f>IFERROR(IF(ISNUMBER('Procyfloc 500'!A356),'Procyfloc 500'!A356,DATEVALUE('Procyfloc 500'!A356)),"")</f>
        <v/>
      </c>
      <c r="AC1355" t="str">
        <f>IF(AA1355="","",'Procyfloc 500'!B356)</f>
        <v/>
      </c>
      <c r="AD1355" t="str">
        <f>IF(AA1355="","",IFERROR(1*'Procyfloc 500'!C356,IFERROR(_xludf.NUMBERVALUE('Procyfloc 500'!C356,".",","),IFERROR(_xludf.NUMBERVALUE('Procyfloc 500'!C356,",","."),0))))</f>
        <v/>
      </c>
      <c r="AE1355" t="str">
        <f>IF(AA1355="","",'Procyfloc 500'!L356)</f>
        <v/>
      </c>
      <c r="AF1355">
        <f t="shared" si="143"/>
        <v>0</v>
      </c>
      <c r="AG1355" t="str">
        <f t="shared" si="144"/>
        <v/>
      </c>
      <c r="AH1355" t="str">
        <f t="shared" si="145"/>
        <v/>
      </c>
      <c r="AI1355">
        <f t="shared" si="146"/>
        <v>0</v>
      </c>
      <c r="AJ1355">
        <f t="shared" si="147"/>
        <v>0</v>
      </c>
      <c r="AK1355">
        <v>0</v>
      </c>
      <c r="AL1355" t="str">
        <f>IF(AA1355="","",IFERROR(IF(ISNUMBER('Procyfloc 500'!D356),'Procyfloc 500'!D356,IF(ISNUMBER(SEARCH("12",'Procyfloc 500'!D356)),EDATE(AB1355,12),IF(ISNUMBER(SEARCH("6",'Procyfloc 500'!D356)),EDATE(AB1355,6),IF(ISNUMBER(SEARCH("3",'Procyfloc 500'!D356)),EDATE(AB1355,3),DATEVALUE('Procyfloc 500'!D356))))),""))</f>
        <v/>
      </c>
      <c r="AM1355" t="str">
        <f t="shared" ca="1" si="148"/>
        <v/>
      </c>
    </row>
    <row r="1356" spans="27:39" x14ac:dyDescent="0.3">
      <c r="AA1356" t="str">
        <f>IF(COUNTA('Procyfloc 500'!A357,'Procyfloc 500'!B357,'Procyfloc 500'!C357)&gt;0,"500","")</f>
        <v/>
      </c>
      <c r="AB1356" t="str">
        <f>IFERROR(IF(ISNUMBER('Procyfloc 500'!A357),'Procyfloc 500'!A357,DATEVALUE('Procyfloc 500'!A357)),"")</f>
        <v/>
      </c>
      <c r="AC1356" t="str">
        <f>IF(AA1356="","",'Procyfloc 500'!B357)</f>
        <v/>
      </c>
      <c r="AD1356" t="str">
        <f>IF(AA1356="","",IFERROR(1*'Procyfloc 500'!C357,IFERROR(_xludf.NUMBERVALUE('Procyfloc 500'!C357,".",","),IFERROR(_xludf.NUMBERVALUE('Procyfloc 500'!C357,",","."),0))))</f>
        <v/>
      </c>
      <c r="AE1356" t="str">
        <f>IF(AA1356="","",'Procyfloc 500'!L357)</f>
        <v/>
      </c>
      <c r="AF1356">
        <f t="shared" si="143"/>
        <v>0</v>
      </c>
      <c r="AG1356" t="str">
        <f t="shared" si="144"/>
        <v/>
      </c>
      <c r="AH1356" t="str">
        <f t="shared" si="145"/>
        <v/>
      </c>
      <c r="AI1356">
        <f t="shared" si="146"/>
        <v>0</v>
      </c>
      <c r="AJ1356">
        <f t="shared" si="147"/>
        <v>0</v>
      </c>
      <c r="AK1356">
        <v>0</v>
      </c>
      <c r="AL1356" t="str">
        <f>IF(AA1356="","",IFERROR(IF(ISNUMBER('Procyfloc 500'!D357),'Procyfloc 500'!D357,IF(ISNUMBER(SEARCH("12",'Procyfloc 500'!D357)),EDATE(AB1356,12),IF(ISNUMBER(SEARCH("6",'Procyfloc 500'!D357)),EDATE(AB1356,6),IF(ISNUMBER(SEARCH("3",'Procyfloc 500'!D357)),EDATE(AB1356,3),DATEVALUE('Procyfloc 500'!D357))))),""))</f>
        <v/>
      </c>
      <c r="AM1356" t="str">
        <f t="shared" ca="1" si="148"/>
        <v/>
      </c>
    </row>
    <row r="1357" spans="27:39" x14ac:dyDescent="0.3">
      <c r="AA1357" t="str">
        <f>IF(COUNTA('Procyfloc 500'!A358,'Procyfloc 500'!B358,'Procyfloc 500'!C358)&gt;0,"500","")</f>
        <v/>
      </c>
      <c r="AB1357" t="str">
        <f>IFERROR(IF(ISNUMBER('Procyfloc 500'!A358),'Procyfloc 500'!A358,DATEVALUE('Procyfloc 500'!A358)),"")</f>
        <v/>
      </c>
      <c r="AC1357" t="str">
        <f>IF(AA1357="","",'Procyfloc 500'!B358)</f>
        <v/>
      </c>
      <c r="AD1357" t="str">
        <f>IF(AA1357="","",IFERROR(1*'Procyfloc 500'!C358,IFERROR(_xludf.NUMBERVALUE('Procyfloc 500'!C358,".",","),IFERROR(_xludf.NUMBERVALUE('Procyfloc 500'!C358,",","."),0))))</f>
        <v/>
      </c>
      <c r="AE1357" t="str">
        <f>IF(AA1357="","",'Procyfloc 500'!L358)</f>
        <v/>
      </c>
      <c r="AF1357">
        <f t="shared" si="143"/>
        <v>0</v>
      </c>
      <c r="AG1357" t="str">
        <f t="shared" si="144"/>
        <v/>
      </c>
      <c r="AH1357" t="str">
        <f t="shared" si="145"/>
        <v/>
      </c>
      <c r="AI1357">
        <f t="shared" si="146"/>
        <v>0</v>
      </c>
      <c r="AJ1357">
        <f t="shared" si="147"/>
        <v>0</v>
      </c>
      <c r="AK1357">
        <v>0</v>
      </c>
      <c r="AL1357" t="str">
        <f>IF(AA1357="","",IFERROR(IF(ISNUMBER('Procyfloc 500'!D358),'Procyfloc 500'!D358,IF(ISNUMBER(SEARCH("12",'Procyfloc 500'!D358)),EDATE(AB1357,12),IF(ISNUMBER(SEARCH("6",'Procyfloc 500'!D358)),EDATE(AB1357,6),IF(ISNUMBER(SEARCH("3",'Procyfloc 500'!D358)),EDATE(AB1357,3),DATEVALUE('Procyfloc 500'!D358))))),""))</f>
        <v/>
      </c>
      <c r="AM1357" t="str">
        <f t="shared" ca="1" si="148"/>
        <v/>
      </c>
    </row>
    <row r="1358" spans="27:39" x14ac:dyDescent="0.3">
      <c r="AA1358" t="str">
        <f>IF(COUNTA('Procyfloc 500'!A359,'Procyfloc 500'!B359,'Procyfloc 500'!C359)&gt;0,"500","")</f>
        <v/>
      </c>
      <c r="AB1358" t="str">
        <f>IFERROR(IF(ISNUMBER('Procyfloc 500'!A359),'Procyfloc 500'!A359,DATEVALUE('Procyfloc 500'!A359)),"")</f>
        <v/>
      </c>
      <c r="AC1358" t="str">
        <f>IF(AA1358="","",'Procyfloc 500'!B359)</f>
        <v/>
      </c>
      <c r="AD1358" t="str">
        <f>IF(AA1358="","",IFERROR(1*'Procyfloc 500'!C359,IFERROR(_xludf.NUMBERVALUE('Procyfloc 500'!C359,".",","),IFERROR(_xludf.NUMBERVALUE('Procyfloc 500'!C359,",","."),0))))</f>
        <v/>
      </c>
      <c r="AE1358" t="str">
        <f>IF(AA1358="","",'Procyfloc 500'!L359)</f>
        <v/>
      </c>
      <c r="AF1358">
        <f t="shared" si="143"/>
        <v>0</v>
      </c>
      <c r="AG1358" t="str">
        <f t="shared" si="144"/>
        <v/>
      </c>
      <c r="AH1358" t="str">
        <f t="shared" si="145"/>
        <v/>
      </c>
      <c r="AI1358">
        <f t="shared" si="146"/>
        <v>0</v>
      </c>
      <c r="AJ1358">
        <f t="shared" si="147"/>
        <v>0</v>
      </c>
      <c r="AK1358">
        <v>0</v>
      </c>
      <c r="AL1358" t="str">
        <f>IF(AA1358="","",IFERROR(IF(ISNUMBER('Procyfloc 500'!D359),'Procyfloc 500'!D359,IF(ISNUMBER(SEARCH("12",'Procyfloc 500'!D359)),EDATE(AB1358,12),IF(ISNUMBER(SEARCH("6",'Procyfloc 500'!D359)),EDATE(AB1358,6),IF(ISNUMBER(SEARCH("3",'Procyfloc 500'!D359)),EDATE(AB1358,3),DATEVALUE('Procyfloc 500'!D359))))),""))</f>
        <v/>
      </c>
      <c r="AM1358" t="str">
        <f t="shared" ca="1" si="148"/>
        <v/>
      </c>
    </row>
    <row r="1359" spans="27:39" x14ac:dyDescent="0.3">
      <c r="AA1359" t="str">
        <f>IF(COUNTA('Procyfloc 500'!A360,'Procyfloc 500'!B360,'Procyfloc 500'!C360)&gt;0,"500","")</f>
        <v/>
      </c>
      <c r="AB1359" t="str">
        <f>IFERROR(IF(ISNUMBER('Procyfloc 500'!A360),'Procyfloc 500'!A360,DATEVALUE('Procyfloc 500'!A360)),"")</f>
        <v/>
      </c>
      <c r="AC1359" t="str">
        <f>IF(AA1359="","",'Procyfloc 500'!B360)</f>
        <v/>
      </c>
      <c r="AD1359" t="str">
        <f>IF(AA1359="","",IFERROR(1*'Procyfloc 500'!C360,IFERROR(_xludf.NUMBERVALUE('Procyfloc 500'!C360,".",","),IFERROR(_xludf.NUMBERVALUE('Procyfloc 500'!C360,",","."),0))))</f>
        <v/>
      </c>
      <c r="AE1359" t="str">
        <f>IF(AA1359="","",'Procyfloc 500'!L360)</f>
        <v/>
      </c>
      <c r="AF1359">
        <f t="shared" si="143"/>
        <v>0</v>
      </c>
      <c r="AG1359" t="str">
        <f t="shared" si="144"/>
        <v/>
      </c>
      <c r="AH1359" t="str">
        <f t="shared" si="145"/>
        <v/>
      </c>
      <c r="AI1359">
        <f t="shared" si="146"/>
        <v>0</v>
      </c>
      <c r="AJ1359">
        <f t="shared" si="147"/>
        <v>0</v>
      </c>
      <c r="AK1359">
        <v>0</v>
      </c>
      <c r="AL1359" t="str">
        <f>IF(AA1359="","",IFERROR(IF(ISNUMBER('Procyfloc 500'!D360),'Procyfloc 500'!D360,IF(ISNUMBER(SEARCH("12",'Procyfloc 500'!D360)),EDATE(AB1359,12),IF(ISNUMBER(SEARCH("6",'Procyfloc 500'!D360)),EDATE(AB1359,6),IF(ISNUMBER(SEARCH("3",'Procyfloc 500'!D360)),EDATE(AB1359,3),DATEVALUE('Procyfloc 500'!D360))))),""))</f>
        <v/>
      </c>
      <c r="AM1359" t="str">
        <f t="shared" ca="1" si="148"/>
        <v/>
      </c>
    </row>
    <row r="1360" spans="27:39" x14ac:dyDescent="0.3">
      <c r="AA1360" t="str">
        <f>IF(COUNTA('Procyfloc 500'!A361,'Procyfloc 500'!B361,'Procyfloc 500'!C361)&gt;0,"500","")</f>
        <v/>
      </c>
      <c r="AB1360" t="str">
        <f>IFERROR(IF(ISNUMBER('Procyfloc 500'!A361),'Procyfloc 500'!A361,DATEVALUE('Procyfloc 500'!A361)),"")</f>
        <v/>
      </c>
      <c r="AC1360" t="str">
        <f>IF(AA1360="","",'Procyfloc 500'!B361)</f>
        <v/>
      </c>
      <c r="AD1360" t="str">
        <f>IF(AA1360="","",IFERROR(1*'Procyfloc 500'!C361,IFERROR(_xludf.NUMBERVALUE('Procyfloc 500'!C361,".",","),IFERROR(_xludf.NUMBERVALUE('Procyfloc 500'!C361,",","."),0))))</f>
        <v/>
      </c>
      <c r="AE1360" t="str">
        <f>IF(AA1360="","",'Procyfloc 500'!L361)</f>
        <v/>
      </c>
      <c r="AF1360">
        <f t="shared" si="143"/>
        <v>0</v>
      </c>
      <c r="AG1360" t="str">
        <f t="shared" si="144"/>
        <v/>
      </c>
      <c r="AH1360" t="str">
        <f t="shared" si="145"/>
        <v/>
      </c>
      <c r="AI1360">
        <f t="shared" si="146"/>
        <v>0</v>
      </c>
      <c r="AJ1360">
        <f t="shared" si="147"/>
        <v>0</v>
      </c>
      <c r="AK1360">
        <v>0</v>
      </c>
      <c r="AL1360" t="str">
        <f>IF(AA1360="","",IFERROR(IF(ISNUMBER('Procyfloc 500'!D361),'Procyfloc 500'!D361,IF(ISNUMBER(SEARCH("12",'Procyfloc 500'!D361)),EDATE(AB1360,12),IF(ISNUMBER(SEARCH("6",'Procyfloc 500'!D361)),EDATE(AB1360,6),IF(ISNUMBER(SEARCH("3",'Procyfloc 500'!D361)),EDATE(AB1360,3),DATEVALUE('Procyfloc 500'!D361))))),""))</f>
        <v/>
      </c>
      <c r="AM1360" t="str">
        <f t="shared" ca="1" si="148"/>
        <v/>
      </c>
    </row>
    <row r="1361" spans="27:39" x14ac:dyDescent="0.3">
      <c r="AA1361" t="str">
        <f>IF(COUNTA('Procyfloc 500'!A362,'Procyfloc 500'!B362,'Procyfloc 500'!C362)&gt;0,"500","")</f>
        <v/>
      </c>
      <c r="AB1361" t="str">
        <f>IFERROR(IF(ISNUMBER('Procyfloc 500'!A362),'Procyfloc 500'!A362,DATEVALUE('Procyfloc 500'!A362)),"")</f>
        <v/>
      </c>
      <c r="AC1361" t="str">
        <f>IF(AA1361="","",'Procyfloc 500'!B362)</f>
        <v/>
      </c>
      <c r="AD1361" t="str">
        <f>IF(AA1361="","",IFERROR(1*'Procyfloc 500'!C362,IFERROR(_xludf.NUMBERVALUE('Procyfloc 500'!C362,".",","),IFERROR(_xludf.NUMBERVALUE('Procyfloc 500'!C362,",","."),0))))</f>
        <v/>
      </c>
      <c r="AE1361" t="str">
        <f>IF(AA1361="","",'Procyfloc 500'!L362)</f>
        <v/>
      </c>
      <c r="AF1361">
        <f t="shared" si="143"/>
        <v>0</v>
      </c>
      <c r="AG1361" t="str">
        <f t="shared" si="144"/>
        <v/>
      </c>
      <c r="AH1361" t="str">
        <f t="shared" si="145"/>
        <v/>
      </c>
      <c r="AI1361">
        <f t="shared" si="146"/>
        <v>0</v>
      </c>
      <c r="AJ1361">
        <f t="shared" si="147"/>
        <v>0</v>
      </c>
      <c r="AK1361">
        <v>0</v>
      </c>
      <c r="AL1361" t="str">
        <f>IF(AA1361="","",IFERROR(IF(ISNUMBER('Procyfloc 500'!D362),'Procyfloc 500'!D362,IF(ISNUMBER(SEARCH("12",'Procyfloc 500'!D362)),EDATE(AB1361,12),IF(ISNUMBER(SEARCH("6",'Procyfloc 500'!D362)),EDATE(AB1361,6),IF(ISNUMBER(SEARCH("3",'Procyfloc 500'!D362)),EDATE(AB1361,3),DATEVALUE('Procyfloc 500'!D362))))),""))</f>
        <v/>
      </c>
      <c r="AM1361" t="str">
        <f t="shared" ca="1" si="148"/>
        <v/>
      </c>
    </row>
    <row r="1362" spans="27:39" x14ac:dyDescent="0.3">
      <c r="AA1362" t="str">
        <f>IF(COUNTA('Procyfloc 500'!A363,'Procyfloc 500'!B363,'Procyfloc 500'!C363)&gt;0,"500","")</f>
        <v/>
      </c>
      <c r="AB1362" t="str">
        <f>IFERROR(IF(ISNUMBER('Procyfloc 500'!A363),'Procyfloc 500'!A363,DATEVALUE('Procyfloc 500'!A363)),"")</f>
        <v/>
      </c>
      <c r="AC1362" t="str">
        <f>IF(AA1362="","",'Procyfloc 500'!B363)</f>
        <v/>
      </c>
      <c r="AD1362" t="str">
        <f>IF(AA1362="","",IFERROR(1*'Procyfloc 500'!C363,IFERROR(_xludf.NUMBERVALUE('Procyfloc 500'!C363,".",","),IFERROR(_xludf.NUMBERVALUE('Procyfloc 500'!C363,",","."),0))))</f>
        <v/>
      </c>
      <c r="AE1362" t="str">
        <f>IF(AA1362="","",'Procyfloc 500'!L363)</f>
        <v/>
      </c>
      <c r="AF1362">
        <f t="shared" si="143"/>
        <v>0</v>
      </c>
      <c r="AG1362" t="str">
        <f t="shared" si="144"/>
        <v/>
      </c>
      <c r="AH1362" t="str">
        <f t="shared" si="145"/>
        <v/>
      </c>
      <c r="AI1362">
        <f t="shared" si="146"/>
        <v>0</v>
      </c>
      <c r="AJ1362">
        <f t="shared" si="147"/>
        <v>0</v>
      </c>
      <c r="AK1362">
        <v>0</v>
      </c>
      <c r="AL1362" t="str">
        <f>IF(AA1362="","",IFERROR(IF(ISNUMBER('Procyfloc 500'!D363),'Procyfloc 500'!D363,IF(ISNUMBER(SEARCH("12",'Procyfloc 500'!D363)),EDATE(AB1362,12),IF(ISNUMBER(SEARCH("6",'Procyfloc 500'!D363)),EDATE(AB1362,6),IF(ISNUMBER(SEARCH("3",'Procyfloc 500'!D363)),EDATE(AB1362,3),DATEVALUE('Procyfloc 500'!D363))))),""))</f>
        <v/>
      </c>
      <c r="AM1362" t="str">
        <f t="shared" ca="1" si="148"/>
        <v/>
      </c>
    </row>
    <row r="1363" spans="27:39" x14ac:dyDescent="0.3">
      <c r="AA1363" t="str">
        <f>IF(COUNTA('Procyfloc 500'!A364,'Procyfloc 500'!B364,'Procyfloc 500'!C364)&gt;0,"500","")</f>
        <v/>
      </c>
      <c r="AB1363" t="str">
        <f>IFERROR(IF(ISNUMBER('Procyfloc 500'!A364),'Procyfloc 500'!A364,DATEVALUE('Procyfloc 500'!A364)),"")</f>
        <v/>
      </c>
      <c r="AC1363" t="str">
        <f>IF(AA1363="","",'Procyfloc 500'!B364)</f>
        <v/>
      </c>
      <c r="AD1363" t="str">
        <f>IF(AA1363="","",IFERROR(1*'Procyfloc 500'!C364,IFERROR(_xludf.NUMBERVALUE('Procyfloc 500'!C364,".",","),IFERROR(_xludf.NUMBERVALUE('Procyfloc 500'!C364,",","."),0))))</f>
        <v/>
      </c>
      <c r="AE1363" t="str">
        <f>IF(AA1363="","",'Procyfloc 500'!L364)</f>
        <v/>
      </c>
      <c r="AF1363">
        <f t="shared" si="143"/>
        <v>0</v>
      </c>
      <c r="AG1363" t="str">
        <f t="shared" si="144"/>
        <v/>
      </c>
      <c r="AH1363" t="str">
        <f t="shared" si="145"/>
        <v/>
      </c>
      <c r="AI1363">
        <f t="shared" si="146"/>
        <v>0</v>
      </c>
      <c r="AJ1363">
        <f t="shared" si="147"/>
        <v>0</v>
      </c>
      <c r="AK1363">
        <v>0</v>
      </c>
      <c r="AL1363" t="str">
        <f>IF(AA1363="","",IFERROR(IF(ISNUMBER('Procyfloc 500'!D364),'Procyfloc 500'!D364,IF(ISNUMBER(SEARCH("12",'Procyfloc 500'!D364)),EDATE(AB1363,12),IF(ISNUMBER(SEARCH("6",'Procyfloc 500'!D364)),EDATE(AB1363,6),IF(ISNUMBER(SEARCH("3",'Procyfloc 500'!D364)),EDATE(AB1363,3),DATEVALUE('Procyfloc 500'!D364))))),""))</f>
        <v/>
      </c>
      <c r="AM1363" t="str">
        <f t="shared" ca="1" si="148"/>
        <v/>
      </c>
    </row>
    <row r="1364" spans="27:39" x14ac:dyDescent="0.3">
      <c r="AA1364" t="str">
        <f>IF(COUNTA('Procyfloc 500'!A365,'Procyfloc 500'!B365,'Procyfloc 500'!C365)&gt;0,"500","")</f>
        <v/>
      </c>
      <c r="AB1364" t="str">
        <f>IFERROR(IF(ISNUMBER('Procyfloc 500'!A365),'Procyfloc 500'!A365,DATEVALUE('Procyfloc 500'!A365)),"")</f>
        <v/>
      </c>
      <c r="AC1364" t="str">
        <f>IF(AA1364="","",'Procyfloc 500'!B365)</f>
        <v/>
      </c>
      <c r="AD1364" t="str">
        <f>IF(AA1364="","",IFERROR(1*'Procyfloc 500'!C365,IFERROR(_xludf.NUMBERVALUE('Procyfloc 500'!C365,".",","),IFERROR(_xludf.NUMBERVALUE('Procyfloc 500'!C365,",","."),0))))</f>
        <v/>
      </c>
      <c r="AE1364" t="str">
        <f>IF(AA1364="","",'Procyfloc 500'!L365)</f>
        <v/>
      </c>
      <c r="AF1364">
        <f t="shared" si="143"/>
        <v>0</v>
      </c>
      <c r="AG1364" t="str">
        <f t="shared" si="144"/>
        <v/>
      </c>
      <c r="AH1364" t="str">
        <f t="shared" si="145"/>
        <v/>
      </c>
      <c r="AI1364">
        <f t="shared" si="146"/>
        <v>0</v>
      </c>
      <c r="AJ1364">
        <f t="shared" si="147"/>
        <v>0</v>
      </c>
      <c r="AK1364">
        <v>0</v>
      </c>
      <c r="AL1364" t="str">
        <f>IF(AA1364="","",IFERROR(IF(ISNUMBER('Procyfloc 500'!D365),'Procyfloc 500'!D365,IF(ISNUMBER(SEARCH("12",'Procyfloc 500'!D365)),EDATE(AB1364,12),IF(ISNUMBER(SEARCH("6",'Procyfloc 500'!D365)),EDATE(AB1364,6),IF(ISNUMBER(SEARCH("3",'Procyfloc 500'!D365)),EDATE(AB1364,3),DATEVALUE('Procyfloc 500'!D365))))),""))</f>
        <v/>
      </c>
      <c r="AM1364" t="str">
        <f t="shared" ca="1" si="148"/>
        <v/>
      </c>
    </row>
    <row r="1365" spans="27:39" x14ac:dyDescent="0.3">
      <c r="AA1365" t="str">
        <f>IF(COUNTA('Procyfloc 500'!A366,'Procyfloc 500'!B366,'Procyfloc 500'!C366)&gt;0,"500","")</f>
        <v/>
      </c>
      <c r="AB1365" t="str">
        <f>IFERROR(IF(ISNUMBER('Procyfloc 500'!A366),'Procyfloc 500'!A366,DATEVALUE('Procyfloc 500'!A366)),"")</f>
        <v/>
      </c>
      <c r="AC1365" t="str">
        <f>IF(AA1365="","",'Procyfloc 500'!B366)</f>
        <v/>
      </c>
      <c r="AD1365" t="str">
        <f>IF(AA1365="","",IFERROR(1*'Procyfloc 500'!C366,IFERROR(_xludf.NUMBERVALUE('Procyfloc 500'!C366,".",","),IFERROR(_xludf.NUMBERVALUE('Procyfloc 500'!C366,",","."),0))))</f>
        <v/>
      </c>
      <c r="AE1365" t="str">
        <f>IF(AA1365="","",'Procyfloc 500'!L366)</f>
        <v/>
      </c>
      <c r="AF1365">
        <f t="shared" si="143"/>
        <v>0</v>
      </c>
      <c r="AG1365" t="str">
        <f t="shared" si="144"/>
        <v/>
      </c>
      <c r="AH1365" t="str">
        <f t="shared" si="145"/>
        <v/>
      </c>
      <c r="AI1365">
        <f t="shared" si="146"/>
        <v>0</v>
      </c>
      <c r="AJ1365">
        <f t="shared" si="147"/>
        <v>0</v>
      </c>
      <c r="AK1365">
        <v>0</v>
      </c>
      <c r="AL1365" t="str">
        <f>IF(AA1365="","",IFERROR(IF(ISNUMBER('Procyfloc 500'!D366),'Procyfloc 500'!D366,IF(ISNUMBER(SEARCH("12",'Procyfloc 500'!D366)),EDATE(AB1365,12),IF(ISNUMBER(SEARCH("6",'Procyfloc 500'!D366)),EDATE(AB1365,6),IF(ISNUMBER(SEARCH("3",'Procyfloc 500'!D366)),EDATE(AB1365,3),DATEVALUE('Procyfloc 500'!D366))))),""))</f>
        <v/>
      </c>
      <c r="AM1365" t="str">
        <f t="shared" ca="1" si="148"/>
        <v/>
      </c>
    </row>
    <row r="1366" spans="27:39" x14ac:dyDescent="0.3">
      <c r="AA1366" t="str">
        <f>IF(COUNTA('Procyfloc 500'!A367,'Procyfloc 500'!B367,'Procyfloc 500'!C367)&gt;0,"500","")</f>
        <v/>
      </c>
      <c r="AB1366" t="str">
        <f>IFERROR(IF(ISNUMBER('Procyfloc 500'!A367),'Procyfloc 500'!A367,DATEVALUE('Procyfloc 500'!A367)),"")</f>
        <v/>
      </c>
      <c r="AC1366" t="str">
        <f>IF(AA1366="","",'Procyfloc 500'!B367)</f>
        <v/>
      </c>
      <c r="AD1366" t="str">
        <f>IF(AA1366="","",IFERROR(1*'Procyfloc 500'!C367,IFERROR(_xludf.NUMBERVALUE('Procyfloc 500'!C367,".",","),IFERROR(_xludf.NUMBERVALUE('Procyfloc 500'!C367,",","."),0))))</f>
        <v/>
      </c>
      <c r="AE1366" t="str">
        <f>IF(AA1366="","",'Procyfloc 500'!L367)</f>
        <v/>
      </c>
      <c r="AF1366">
        <f t="shared" si="143"/>
        <v>0</v>
      </c>
      <c r="AG1366" t="str">
        <f t="shared" si="144"/>
        <v/>
      </c>
      <c r="AH1366" t="str">
        <f t="shared" si="145"/>
        <v/>
      </c>
      <c r="AI1366">
        <f t="shared" si="146"/>
        <v>0</v>
      </c>
      <c r="AJ1366">
        <f t="shared" si="147"/>
        <v>0</v>
      </c>
      <c r="AK1366">
        <v>0</v>
      </c>
      <c r="AL1366" t="str">
        <f>IF(AA1366="","",IFERROR(IF(ISNUMBER('Procyfloc 500'!D367),'Procyfloc 500'!D367,IF(ISNUMBER(SEARCH("12",'Procyfloc 500'!D367)),EDATE(AB1366,12),IF(ISNUMBER(SEARCH("6",'Procyfloc 500'!D367)),EDATE(AB1366,6),IF(ISNUMBER(SEARCH("3",'Procyfloc 500'!D367)),EDATE(AB1366,3),DATEVALUE('Procyfloc 500'!D367))))),""))</f>
        <v/>
      </c>
      <c r="AM1366" t="str">
        <f t="shared" ca="1" si="148"/>
        <v/>
      </c>
    </row>
    <row r="1367" spans="27:39" x14ac:dyDescent="0.3">
      <c r="AA1367" t="str">
        <f>IF(COUNTA('Procyfloc 500'!A368,'Procyfloc 500'!B368,'Procyfloc 500'!C368)&gt;0,"500","")</f>
        <v/>
      </c>
      <c r="AB1367" t="str">
        <f>IFERROR(IF(ISNUMBER('Procyfloc 500'!A368),'Procyfloc 500'!A368,DATEVALUE('Procyfloc 500'!A368)),"")</f>
        <v/>
      </c>
      <c r="AC1367" t="str">
        <f>IF(AA1367="","",'Procyfloc 500'!B368)</f>
        <v/>
      </c>
      <c r="AD1367" t="str">
        <f>IF(AA1367="","",IFERROR(1*'Procyfloc 500'!C368,IFERROR(_xludf.NUMBERVALUE('Procyfloc 500'!C368,".",","),IFERROR(_xludf.NUMBERVALUE('Procyfloc 500'!C368,",","."),0))))</f>
        <v/>
      </c>
      <c r="AE1367" t="str">
        <f>IF(AA1367="","",'Procyfloc 500'!L368)</f>
        <v/>
      </c>
      <c r="AF1367">
        <f t="shared" si="143"/>
        <v>0</v>
      </c>
      <c r="AG1367" t="str">
        <f t="shared" si="144"/>
        <v/>
      </c>
      <c r="AH1367" t="str">
        <f t="shared" si="145"/>
        <v/>
      </c>
      <c r="AI1367">
        <f t="shared" si="146"/>
        <v>0</v>
      </c>
      <c r="AJ1367">
        <f t="shared" si="147"/>
        <v>0</v>
      </c>
      <c r="AK1367">
        <v>0</v>
      </c>
      <c r="AL1367" t="str">
        <f>IF(AA1367="","",IFERROR(IF(ISNUMBER('Procyfloc 500'!D368),'Procyfloc 500'!D368,IF(ISNUMBER(SEARCH("12",'Procyfloc 500'!D368)),EDATE(AB1367,12),IF(ISNUMBER(SEARCH("6",'Procyfloc 500'!D368)),EDATE(AB1367,6),IF(ISNUMBER(SEARCH("3",'Procyfloc 500'!D368)),EDATE(AB1367,3),DATEVALUE('Procyfloc 500'!D368))))),""))</f>
        <v/>
      </c>
      <c r="AM1367" t="str">
        <f t="shared" ca="1" si="148"/>
        <v/>
      </c>
    </row>
    <row r="1368" spans="27:39" x14ac:dyDescent="0.3">
      <c r="AA1368" t="str">
        <f>IF(COUNTA('Procyfloc 500'!A369,'Procyfloc 500'!B369,'Procyfloc 500'!C369)&gt;0,"500","")</f>
        <v/>
      </c>
      <c r="AB1368" t="str">
        <f>IFERROR(IF(ISNUMBER('Procyfloc 500'!A369),'Procyfloc 500'!A369,DATEVALUE('Procyfloc 500'!A369)),"")</f>
        <v/>
      </c>
      <c r="AC1368" t="str">
        <f>IF(AA1368="","",'Procyfloc 500'!B369)</f>
        <v/>
      </c>
      <c r="AD1368" t="str">
        <f>IF(AA1368="","",IFERROR(1*'Procyfloc 500'!C369,IFERROR(_xludf.NUMBERVALUE('Procyfloc 500'!C369,".",","),IFERROR(_xludf.NUMBERVALUE('Procyfloc 500'!C369,",","."),0))))</f>
        <v/>
      </c>
      <c r="AE1368" t="str">
        <f>IF(AA1368="","",'Procyfloc 500'!L369)</f>
        <v/>
      </c>
      <c r="AF1368">
        <f t="shared" si="143"/>
        <v>0</v>
      </c>
      <c r="AG1368" t="str">
        <f t="shared" si="144"/>
        <v/>
      </c>
      <c r="AH1368" t="str">
        <f t="shared" si="145"/>
        <v/>
      </c>
      <c r="AI1368">
        <f t="shared" si="146"/>
        <v>0</v>
      </c>
      <c r="AJ1368">
        <f t="shared" si="147"/>
        <v>0</v>
      </c>
      <c r="AK1368">
        <v>0</v>
      </c>
      <c r="AL1368" t="str">
        <f>IF(AA1368="","",IFERROR(IF(ISNUMBER('Procyfloc 500'!D369),'Procyfloc 500'!D369,IF(ISNUMBER(SEARCH("12",'Procyfloc 500'!D369)),EDATE(AB1368,12),IF(ISNUMBER(SEARCH("6",'Procyfloc 500'!D369)),EDATE(AB1368,6),IF(ISNUMBER(SEARCH("3",'Procyfloc 500'!D369)),EDATE(AB1368,3),DATEVALUE('Procyfloc 500'!D369))))),""))</f>
        <v/>
      </c>
      <c r="AM1368" t="str">
        <f t="shared" ca="1" si="148"/>
        <v/>
      </c>
    </row>
    <row r="1369" spans="27:39" x14ac:dyDescent="0.3">
      <c r="AA1369" t="str">
        <f>IF(COUNTA('Procyfloc 500'!A370,'Procyfloc 500'!B370,'Procyfloc 500'!C370)&gt;0,"500","")</f>
        <v/>
      </c>
      <c r="AB1369" t="str">
        <f>IFERROR(IF(ISNUMBER('Procyfloc 500'!A370),'Procyfloc 500'!A370,DATEVALUE('Procyfloc 500'!A370)),"")</f>
        <v/>
      </c>
      <c r="AC1369" t="str">
        <f>IF(AA1369="","",'Procyfloc 500'!B370)</f>
        <v/>
      </c>
      <c r="AD1369" t="str">
        <f>IF(AA1369="","",IFERROR(1*'Procyfloc 500'!C370,IFERROR(_xludf.NUMBERVALUE('Procyfloc 500'!C370,".",","),IFERROR(_xludf.NUMBERVALUE('Procyfloc 500'!C370,",","."),0))))</f>
        <v/>
      </c>
      <c r="AE1369" t="str">
        <f>IF(AA1369="","",'Procyfloc 500'!L370)</f>
        <v/>
      </c>
      <c r="AF1369">
        <f t="shared" si="143"/>
        <v>0</v>
      </c>
      <c r="AG1369" t="str">
        <f t="shared" si="144"/>
        <v/>
      </c>
      <c r="AH1369" t="str">
        <f t="shared" si="145"/>
        <v/>
      </c>
      <c r="AI1369">
        <f t="shared" si="146"/>
        <v>0</v>
      </c>
      <c r="AJ1369">
        <f t="shared" si="147"/>
        <v>0</v>
      </c>
      <c r="AK1369">
        <v>0</v>
      </c>
      <c r="AL1369" t="str">
        <f>IF(AA1369="","",IFERROR(IF(ISNUMBER('Procyfloc 500'!D370),'Procyfloc 500'!D370,IF(ISNUMBER(SEARCH("12",'Procyfloc 500'!D370)),EDATE(AB1369,12),IF(ISNUMBER(SEARCH("6",'Procyfloc 500'!D370)),EDATE(AB1369,6),IF(ISNUMBER(SEARCH("3",'Procyfloc 500'!D370)),EDATE(AB1369,3),DATEVALUE('Procyfloc 500'!D370))))),""))</f>
        <v/>
      </c>
      <c r="AM1369" t="str">
        <f t="shared" ca="1" si="148"/>
        <v/>
      </c>
    </row>
    <row r="1370" spans="27:39" x14ac:dyDescent="0.3">
      <c r="AA1370" t="str">
        <f>IF(COUNTA('Procyfloc 500'!A371,'Procyfloc 500'!B371,'Procyfloc 500'!C371)&gt;0,"500","")</f>
        <v/>
      </c>
      <c r="AB1370" t="str">
        <f>IFERROR(IF(ISNUMBER('Procyfloc 500'!A371),'Procyfloc 500'!A371,DATEVALUE('Procyfloc 500'!A371)),"")</f>
        <v/>
      </c>
      <c r="AC1370" t="str">
        <f>IF(AA1370="","",'Procyfloc 500'!B371)</f>
        <v/>
      </c>
      <c r="AD1370" t="str">
        <f>IF(AA1370="","",IFERROR(1*'Procyfloc 500'!C371,IFERROR(_xludf.NUMBERVALUE('Procyfloc 500'!C371,".",","),IFERROR(_xludf.NUMBERVALUE('Procyfloc 500'!C371,",","."),0))))</f>
        <v/>
      </c>
      <c r="AE1370" t="str">
        <f>IF(AA1370="","",'Procyfloc 500'!L371)</f>
        <v/>
      </c>
      <c r="AF1370">
        <f t="shared" si="143"/>
        <v>0</v>
      </c>
      <c r="AG1370" t="str">
        <f t="shared" si="144"/>
        <v/>
      </c>
      <c r="AH1370" t="str">
        <f t="shared" si="145"/>
        <v/>
      </c>
      <c r="AI1370">
        <f t="shared" si="146"/>
        <v>0</v>
      </c>
      <c r="AJ1370">
        <f t="shared" si="147"/>
        <v>0</v>
      </c>
      <c r="AK1370">
        <v>0</v>
      </c>
      <c r="AL1370" t="str">
        <f>IF(AA1370="","",IFERROR(IF(ISNUMBER('Procyfloc 500'!D371),'Procyfloc 500'!D371,IF(ISNUMBER(SEARCH("12",'Procyfloc 500'!D371)),EDATE(AB1370,12),IF(ISNUMBER(SEARCH("6",'Procyfloc 500'!D371)),EDATE(AB1370,6),IF(ISNUMBER(SEARCH("3",'Procyfloc 500'!D371)),EDATE(AB1370,3),DATEVALUE('Procyfloc 500'!D371))))),""))</f>
        <v/>
      </c>
      <c r="AM1370" t="str">
        <f t="shared" ca="1" si="148"/>
        <v/>
      </c>
    </row>
    <row r="1371" spans="27:39" x14ac:dyDescent="0.3">
      <c r="AA1371" t="str">
        <f>IF(COUNTA('Procyfloc 500'!A372,'Procyfloc 500'!B372,'Procyfloc 500'!C372)&gt;0,"500","")</f>
        <v/>
      </c>
      <c r="AB1371" t="str">
        <f>IFERROR(IF(ISNUMBER('Procyfloc 500'!A372),'Procyfloc 500'!A372,DATEVALUE('Procyfloc 500'!A372)),"")</f>
        <v/>
      </c>
      <c r="AC1371" t="str">
        <f>IF(AA1371="","",'Procyfloc 500'!B372)</f>
        <v/>
      </c>
      <c r="AD1371" t="str">
        <f>IF(AA1371="","",IFERROR(1*'Procyfloc 500'!C372,IFERROR(_xludf.NUMBERVALUE('Procyfloc 500'!C372,".",","),IFERROR(_xludf.NUMBERVALUE('Procyfloc 500'!C372,",","."),0))))</f>
        <v/>
      </c>
      <c r="AE1371" t="str">
        <f>IF(AA1371="","",'Procyfloc 500'!L372)</f>
        <v/>
      </c>
      <c r="AF1371">
        <f t="shared" si="143"/>
        <v>0</v>
      </c>
      <c r="AG1371" t="str">
        <f t="shared" si="144"/>
        <v/>
      </c>
      <c r="AH1371" t="str">
        <f t="shared" si="145"/>
        <v/>
      </c>
      <c r="AI1371">
        <f t="shared" si="146"/>
        <v>0</v>
      </c>
      <c r="AJ1371">
        <f t="shared" si="147"/>
        <v>0</v>
      </c>
      <c r="AK1371">
        <v>0</v>
      </c>
      <c r="AL1371" t="str">
        <f>IF(AA1371="","",IFERROR(IF(ISNUMBER('Procyfloc 500'!D372),'Procyfloc 500'!D372,IF(ISNUMBER(SEARCH("12",'Procyfloc 500'!D372)),EDATE(AB1371,12),IF(ISNUMBER(SEARCH("6",'Procyfloc 500'!D372)),EDATE(AB1371,6),IF(ISNUMBER(SEARCH("3",'Procyfloc 500'!D372)),EDATE(AB1371,3),DATEVALUE('Procyfloc 500'!D372))))),""))</f>
        <v/>
      </c>
      <c r="AM1371" t="str">
        <f t="shared" ca="1" si="148"/>
        <v/>
      </c>
    </row>
    <row r="1372" spans="27:39" x14ac:dyDescent="0.3">
      <c r="AA1372" t="str">
        <f>IF(COUNTA('Procyfloc 500'!A373,'Procyfloc 500'!B373,'Procyfloc 500'!C373)&gt;0,"500","")</f>
        <v/>
      </c>
      <c r="AB1372" t="str">
        <f>IFERROR(IF(ISNUMBER('Procyfloc 500'!A373),'Procyfloc 500'!A373,DATEVALUE('Procyfloc 500'!A373)),"")</f>
        <v/>
      </c>
      <c r="AC1372" t="str">
        <f>IF(AA1372="","",'Procyfloc 500'!B373)</f>
        <v/>
      </c>
      <c r="AD1372" t="str">
        <f>IF(AA1372="","",IFERROR(1*'Procyfloc 500'!C373,IFERROR(_xludf.NUMBERVALUE('Procyfloc 500'!C373,".",","),IFERROR(_xludf.NUMBERVALUE('Procyfloc 500'!C373,",","."),0))))</f>
        <v/>
      </c>
      <c r="AE1372" t="str">
        <f>IF(AA1372="","",'Procyfloc 500'!L373)</f>
        <v/>
      </c>
      <c r="AF1372">
        <f t="shared" si="143"/>
        <v>0</v>
      </c>
      <c r="AG1372" t="str">
        <f t="shared" si="144"/>
        <v/>
      </c>
      <c r="AH1372" t="str">
        <f t="shared" si="145"/>
        <v/>
      </c>
      <c r="AI1372">
        <f t="shared" si="146"/>
        <v>0</v>
      </c>
      <c r="AJ1372">
        <f t="shared" si="147"/>
        <v>0</v>
      </c>
      <c r="AK1372">
        <v>0</v>
      </c>
      <c r="AL1372" t="str">
        <f>IF(AA1372="","",IFERROR(IF(ISNUMBER('Procyfloc 500'!D373),'Procyfloc 500'!D373,IF(ISNUMBER(SEARCH("12",'Procyfloc 500'!D373)),EDATE(AB1372,12),IF(ISNUMBER(SEARCH("6",'Procyfloc 500'!D373)),EDATE(AB1372,6),IF(ISNUMBER(SEARCH("3",'Procyfloc 500'!D373)),EDATE(AB1372,3),DATEVALUE('Procyfloc 500'!D373))))),""))</f>
        <v/>
      </c>
      <c r="AM1372" t="str">
        <f t="shared" ca="1" si="148"/>
        <v/>
      </c>
    </row>
    <row r="1373" spans="27:39" x14ac:dyDescent="0.3">
      <c r="AA1373" t="str">
        <f>IF(COUNTA('Procyfloc 500'!A374,'Procyfloc 500'!B374,'Procyfloc 500'!C374)&gt;0,"500","")</f>
        <v/>
      </c>
      <c r="AB1373" t="str">
        <f>IFERROR(IF(ISNUMBER('Procyfloc 500'!A374),'Procyfloc 500'!A374,DATEVALUE('Procyfloc 500'!A374)),"")</f>
        <v/>
      </c>
      <c r="AC1373" t="str">
        <f>IF(AA1373="","",'Procyfloc 500'!B374)</f>
        <v/>
      </c>
      <c r="AD1373" t="str">
        <f>IF(AA1373="","",IFERROR(1*'Procyfloc 500'!C374,IFERROR(_xludf.NUMBERVALUE('Procyfloc 500'!C374,".",","),IFERROR(_xludf.NUMBERVALUE('Procyfloc 500'!C374,",","."),0))))</f>
        <v/>
      </c>
      <c r="AE1373" t="str">
        <f>IF(AA1373="","",'Procyfloc 500'!L374)</f>
        <v/>
      </c>
      <c r="AF1373">
        <f t="shared" si="143"/>
        <v>0</v>
      </c>
      <c r="AG1373" t="str">
        <f t="shared" si="144"/>
        <v/>
      </c>
      <c r="AH1373" t="str">
        <f t="shared" si="145"/>
        <v/>
      </c>
      <c r="AI1373">
        <f t="shared" si="146"/>
        <v>0</v>
      </c>
      <c r="AJ1373">
        <f t="shared" si="147"/>
        <v>0</v>
      </c>
      <c r="AK1373">
        <v>0</v>
      </c>
      <c r="AL1373" t="str">
        <f>IF(AA1373="","",IFERROR(IF(ISNUMBER('Procyfloc 500'!D374),'Procyfloc 500'!D374,IF(ISNUMBER(SEARCH("12",'Procyfloc 500'!D374)),EDATE(AB1373,12),IF(ISNUMBER(SEARCH("6",'Procyfloc 500'!D374)),EDATE(AB1373,6),IF(ISNUMBER(SEARCH("3",'Procyfloc 500'!D374)),EDATE(AB1373,3),DATEVALUE('Procyfloc 500'!D374))))),""))</f>
        <v/>
      </c>
      <c r="AM1373" t="str">
        <f t="shared" ca="1" si="148"/>
        <v/>
      </c>
    </row>
    <row r="1374" spans="27:39" x14ac:dyDescent="0.3">
      <c r="AA1374" t="str">
        <f>IF(COUNTA('Procyfloc 500'!A375,'Procyfloc 500'!B375,'Procyfloc 500'!C375)&gt;0,"500","")</f>
        <v/>
      </c>
      <c r="AB1374" t="str">
        <f>IFERROR(IF(ISNUMBER('Procyfloc 500'!A375),'Procyfloc 500'!A375,DATEVALUE('Procyfloc 500'!A375)),"")</f>
        <v/>
      </c>
      <c r="AC1374" t="str">
        <f>IF(AA1374="","",'Procyfloc 500'!B375)</f>
        <v/>
      </c>
      <c r="AD1374" t="str">
        <f>IF(AA1374="","",IFERROR(1*'Procyfloc 500'!C375,IFERROR(_xludf.NUMBERVALUE('Procyfloc 500'!C375,".",","),IFERROR(_xludf.NUMBERVALUE('Procyfloc 500'!C375,",","."),0))))</f>
        <v/>
      </c>
      <c r="AE1374" t="str">
        <f>IF(AA1374="","",'Procyfloc 500'!L375)</f>
        <v/>
      </c>
      <c r="AF1374">
        <f t="shared" si="143"/>
        <v>0</v>
      </c>
      <c r="AG1374" t="str">
        <f t="shared" si="144"/>
        <v/>
      </c>
      <c r="AH1374" t="str">
        <f t="shared" si="145"/>
        <v/>
      </c>
      <c r="AI1374">
        <f t="shared" si="146"/>
        <v>0</v>
      </c>
      <c r="AJ1374">
        <f t="shared" si="147"/>
        <v>0</v>
      </c>
      <c r="AK1374">
        <v>0</v>
      </c>
      <c r="AL1374" t="str">
        <f>IF(AA1374="","",IFERROR(IF(ISNUMBER('Procyfloc 500'!D375),'Procyfloc 500'!D375,IF(ISNUMBER(SEARCH("12",'Procyfloc 500'!D375)),EDATE(AB1374,12),IF(ISNUMBER(SEARCH("6",'Procyfloc 500'!D375)),EDATE(AB1374,6),IF(ISNUMBER(SEARCH("3",'Procyfloc 500'!D375)),EDATE(AB1374,3),DATEVALUE('Procyfloc 500'!D375))))),""))</f>
        <v/>
      </c>
      <c r="AM1374" t="str">
        <f t="shared" ca="1" si="148"/>
        <v/>
      </c>
    </row>
    <row r="1375" spans="27:39" x14ac:dyDescent="0.3">
      <c r="AA1375" t="str">
        <f>IF(COUNTA('Procyfloc 500'!A376,'Procyfloc 500'!B376,'Procyfloc 500'!C376)&gt;0,"500","")</f>
        <v/>
      </c>
      <c r="AB1375" t="str">
        <f>IFERROR(IF(ISNUMBER('Procyfloc 500'!A376),'Procyfloc 500'!A376,DATEVALUE('Procyfloc 500'!A376)),"")</f>
        <v/>
      </c>
      <c r="AC1375" t="str">
        <f>IF(AA1375="","",'Procyfloc 500'!B376)</f>
        <v/>
      </c>
      <c r="AD1375" t="str">
        <f>IF(AA1375="","",IFERROR(1*'Procyfloc 500'!C376,IFERROR(_xludf.NUMBERVALUE('Procyfloc 500'!C376,".",","),IFERROR(_xludf.NUMBERVALUE('Procyfloc 500'!C376,",","."),0))))</f>
        <v/>
      </c>
      <c r="AE1375" t="str">
        <f>IF(AA1375="","",'Procyfloc 500'!L376)</f>
        <v/>
      </c>
      <c r="AF1375">
        <f t="shared" si="143"/>
        <v>0</v>
      </c>
      <c r="AG1375" t="str">
        <f t="shared" si="144"/>
        <v/>
      </c>
      <c r="AH1375" t="str">
        <f t="shared" si="145"/>
        <v/>
      </c>
      <c r="AI1375">
        <f t="shared" si="146"/>
        <v>0</v>
      </c>
      <c r="AJ1375">
        <f t="shared" si="147"/>
        <v>0</v>
      </c>
      <c r="AK1375">
        <v>0</v>
      </c>
      <c r="AL1375" t="str">
        <f>IF(AA1375="","",IFERROR(IF(ISNUMBER('Procyfloc 500'!D376),'Procyfloc 500'!D376,IF(ISNUMBER(SEARCH("12",'Procyfloc 500'!D376)),EDATE(AB1375,12),IF(ISNUMBER(SEARCH("6",'Procyfloc 500'!D376)),EDATE(AB1375,6),IF(ISNUMBER(SEARCH("3",'Procyfloc 500'!D376)),EDATE(AB1375,3),DATEVALUE('Procyfloc 500'!D376))))),""))</f>
        <v/>
      </c>
      <c r="AM1375" t="str">
        <f t="shared" ca="1" si="148"/>
        <v/>
      </c>
    </row>
    <row r="1376" spans="27:39" x14ac:dyDescent="0.3">
      <c r="AA1376" t="str">
        <f>IF(COUNTA('Procyfloc 500'!A377,'Procyfloc 500'!B377,'Procyfloc 500'!C377)&gt;0,"500","")</f>
        <v/>
      </c>
      <c r="AB1376" t="str">
        <f>IFERROR(IF(ISNUMBER('Procyfloc 500'!A377),'Procyfloc 500'!A377,DATEVALUE('Procyfloc 500'!A377)),"")</f>
        <v/>
      </c>
      <c r="AC1376" t="str">
        <f>IF(AA1376="","",'Procyfloc 500'!B377)</f>
        <v/>
      </c>
      <c r="AD1376" t="str">
        <f>IF(AA1376="","",IFERROR(1*'Procyfloc 500'!C377,IFERROR(_xludf.NUMBERVALUE('Procyfloc 500'!C377,".",","),IFERROR(_xludf.NUMBERVALUE('Procyfloc 500'!C377,",","."),0))))</f>
        <v/>
      </c>
      <c r="AE1376" t="str">
        <f>IF(AA1376="","",'Procyfloc 500'!L377)</f>
        <v/>
      </c>
      <c r="AF1376">
        <f t="shared" si="143"/>
        <v>0</v>
      </c>
      <c r="AG1376" t="str">
        <f t="shared" si="144"/>
        <v/>
      </c>
      <c r="AH1376" t="str">
        <f t="shared" si="145"/>
        <v/>
      </c>
      <c r="AI1376">
        <f t="shared" si="146"/>
        <v>0</v>
      </c>
      <c r="AJ1376">
        <f t="shared" si="147"/>
        <v>0</v>
      </c>
      <c r="AK1376">
        <v>0</v>
      </c>
      <c r="AL1376" t="str">
        <f>IF(AA1376="","",IFERROR(IF(ISNUMBER('Procyfloc 500'!D377),'Procyfloc 500'!D377,IF(ISNUMBER(SEARCH("12",'Procyfloc 500'!D377)),EDATE(AB1376,12),IF(ISNUMBER(SEARCH("6",'Procyfloc 500'!D377)),EDATE(AB1376,6),IF(ISNUMBER(SEARCH("3",'Procyfloc 500'!D377)),EDATE(AB1376,3),DATEVALUE('Procyfloc 500'!D377))))),""))</f>
        <v/>
      </c>
      <c r="AM1376" t="str">
        <f t="shared" ca="1" si="148"/>
        <v/>
      </c>
    </row>
    <row r="1377" spans="27:39" x14ac:dyDescent="0.3">
      <c r="AA1377" t="str">
        <f>IF(COUNTA('Procyfloc 500'!A378,'Procyfloc 500'!B378,'Procyfloc 500'!C378)&gt;0,"500","")</f>
        <v/>
      </c>
      <c r="AB1377" t="str">
        <f>IFERROR(IF(ISNUMBER('Procyfloc 500'!A378),'Procyfloc 500'!A378,DATEVALUE('Procyfloc 500'!A378)),"")</f>
        <v/>
      </c>
      <c r="AC1377" t="str">
        <f>IF(AA1377="","",'Procyfloc 500'!B378)</f>
        <v/>
      </c>
      <c r="AD1377" t="str">
        <f>IF(AA1377="","",IFERROR(1*'Procyfloc 500'!C378,IFERROR(_xludf.NUMBERVALUE('Procyfloc 500'!C378,".",","),IFERROR(_xludf.NUMBERVALUE('Procyfloc 500'!C378,",","."),0))))</f>
        <v/>
      </c>
      <c r="AE1377" t="str">
        <f>IF(AA1377="","",'Procyfloc 500'!L378)</f>
        <v/>
      </c>
      <c r="AF1377">
        <f t="shared" si="143"/>
        <v>0</v>
      </c>
      <c r="AG1377" t="str">
        <f t="shared" si="144"/>
        <v/>
      </c>
      <c r="AH1377" t="str">
        <f t="shared" si="145"/>
        <v/>
      </c>
      <c r="AI1377">
        <f t="shared" si="146"/>
        <v>0</v>
      </c>
      <c r="AJ1377">
        <f t="shared" si="147"/>
        <v>0</v>
      </c>
      <c r="AK1377">
        <v>0</v>
      </c>
      <c r="AL1377" t="str">
        <f>IF(AA1377="","",IFERROR(IF(ISNUMBER('Procyfloc 500'!D378),'Procyfloc 500'!D378,IF(ISNUMBER(SEARCH("12",'Procyfloc 500'!D378)),EDATE(AB1377,12),IF(ISNUMBER(SEARCH("6",'Procyfloc 500'!D378)),EDATE(AB1377,6),IF(ISNUMBER(SEARCH("3",'Procyfloc 500'!D378)),EDATE(AB1377,3),DATEVALUE('Procyfloc 500'!D378))))),""))</f>
        <v/>
      </c>
      <c r="AM1377" t="str">
        <f t="shared" ca="1" si="148"/>
        <v/>
      </c>
    </row>
    <row r="1378" spans="27:39" x14ac:dyDescent="0.3">
      <c r="AA1378" t="str">
        <f>IF(COUNTA('Procyfloc 500'!A379,'Procyfloc 500'!B379,'Procyfloc 500'!C379)&gt;0,"500","")</f>
        <v/>
      </c>
      <c r="AB1378" t="str">
        <f>IFERROR(IF(ISNUMBER('Procyfloc 500'!A379),'Procyfloc 500'!A379,DATEVALUE('Procyfloc 500'!A379)),"")</f>
        <v/>
      </c>
      <c r="AC1378" t="str">
        <f>IF(AA1378="","",'Procyfloc 500'!B379)</f>
        <v/>
      </c>
      <c r="AD1378" t="str">
        <f>IF(AA1378="","",IFERROR(1*'Procyfloc 500'!C379,IFERROR(_xludf.NUMBERVALUE('Procyfloc 500'!C379,".",","),IFERROR(_xludf.NUMBERVALUE('Procyfloc 500'!C379,",","."),0))))</f>
        <v/>
      </c>
      <c r="AE1378" t="str">
        <f>IF(AA1378="","",'Procyfloc 500'!L379)</f>
        <v/>
      </c>
      <c r="AF1378">
        <f t="shared" si="143"/>
        <v>0</v>
      </c>
      <c r="AG1378" t="str">
        <f t="shared" si="144"/>
        <v/>
      </c>
      <c r="AH1378" t="str">
        <f t="shared" si="145"/>
        <v/>
      </c>
      <c r="AI1378">
        <f t="shared" si="146"/>
        <v>0</v>
      </c>
      <c r="AJ1378">
        <f t="shared" si="147"/>
        <v>0</v>
      </c>
      <c r="AK1378">
        <v>0</v>
      </c>
      <c r="AL1378" t="str">
        <f>IF(AA1378="","",IFERROR(IF(ISNUMBER('Procyfloc 500'!D379),'Procyfloc 500'!D379,IF(ISNUMBER(SEARCH("12",'Procyfloc 500'!D379)),EDATE(AB1378,12),IF(ISNUMBER(SEARCH("6",'Procyfloc 500'!D379)),EDATE(AB1378,6),IF(ISNUMBER(SEARCH("3",'Procyfloc 500'!D379)),EDATE(AB1378,3),DATEVALUE('Procyfloc 500'!D379))))),""))</f>
        <v/>
      </c>
      <c r="AM1378" t="str">
        <f t="shared" ca="1" si="148"/>
        <v/>
      </c>
    </row>
    <row r="1379" spans="27:39" x14ac:dyDescent="0.3">
      <c r="AA1379" t="str">
        <f>IF(COUNTA('Procyfloc 500'!A380,'Procyfloc 500'!B380,'Procyfloc 500'!C380)&gt;0,"500","")</f>
        <v/>
      </c>
      <c r="AB1379" t="str">
        <f>IFERROR(IF(ISNUMBER('Procyfloc 500'!A380),'Procyfloc 500'!A380,DATEVALUE('Procyfloc 500'!A380)),"")</f>
        <v/>
      </c>
      <c r="AC1379" t="str">
        <f>IF(AA1379="","",'Procyfloc 500'!B380)</f>
        <v/>
      </c>
      <c r="AD1379" t="str">
        <f>IF(AA1379="","",IFERROR(1*'Procyfloc 500'!C380,IFERROR(_xludf.NUMBERVALUE('Procyfloc 500'!C380,".",","),IFERROR(_xludf.NUMBERVALUE('Procyfloc 500'!C380,",","."),0))))</f>
        <v/>
      </c>
      <c r="AE1379" t="str">
        <f>IF(AA1379="","",'Procyfloc 500'!L380)</f>
        <v/>
      </c>
      <c r="AF1379">
        <f t="shared" si="143"/>
        <v>0</v>
      </c>
      <c r="AG1379" t="str">
        <f t="shared" si="144"/>
        <v/>
      </c>
      <c r="AH1379" t="str">
        <f t="shared" si="145"/>
        <v/>
      </c>
      <c r="AI1379">
        <f t="shared" si="146"/>
        <v>0</v>
      </c>
      <c r="AJ1379">
        <f t="shared" si="147"/>
        <v>0</v>
      </c>
      <c r="AK1379">
        <v>0</v>
      </c>
      <c r="AL1379" t="str">
        <f>IF(AA1379="","",IFERROR(IF(ISNUMBER('Procyfloc 500'!D380),'Procyfloc 500'!D380,IF(ISNUMBER(SEARCH("12",'Procyfloc 500'!D380)),EDATE(AB1379,12),IF(ISNUMBER(SEARCH("6",'Procyfloc 500'!D380)),EDATE(AB1379,6),IF(ISNUMBER(SEARCH("3",'Procyfloc 500'!D380)),EDATE(AB1379,3),DATEVALUE('Procyfloc 500'!D380))))),""))</f>
        <v/>
      </c>
      <c r="AM1379" t="str">
        <f t="shared" ca="1" si="148"/>
        <v/>
      </c>
    </row>
    <row r="1380" spans="27:39" x14ac:dyDescent="0.3">
      <c r="AA1380" t="str">
        <f>IF(COUNTA('Procyfloc 500'!A381,'Procyfloc 500'!B381,'Procyfloc 500'!C381)&gt;0,"500","")</f>
        <v/>
      </c>
      <c r="AB1380" t="str">
        <f>IFERROR(IF(ISNUMBER('Procyfloc 500'!A381),'Procyfloc 500'!A381,DATEVALUE('Procyfloc 500'!A381)),"")</f>
        <v/>
      </c>
      <c r="AC1380" t="str">
        <f>IF(AA1380="","",'Procyfloc 500'!B381)</f>
        <v/>
      </c>
      <c r="AD1380" t="str">
        <f>IF(AA1380="","",IFERROR(1*'Procyfloc 500'!C381,IFERROR(_xludf.NUMBERVALUE('Procyfloc 500'!C381,".",","),IFERROR(_xludf.NUMBERVALUE('Procyfloc 500'!C381,",","."),0))))</f>
        <v/>
      </c>
      <c r="AE1380" t="str">
        <f>IF(AA1380="","",'Procyfloc 500'!L381)</f>
        <v/>
      </c>
      <c r="AF1380">
        <f t="shared" si="143"/>
        <v>0</v>
      </c>
      <c r="AG1380" t="str">
        <f t="shared" si="144"/>
        <v/>
      </c>
      <c r="AH1380" t="str">
        <f t="shared" si="145"/>
        <v/>
      </c>
      <c r="AI1380">
        <f t="shared" si="146"/>
        <v>0</v>
      </c>
      <c r="AJ1380">
        <f t="shared" si="147"/>
        <v>0</v>
      </c>
      <c r="AK1380">
        <v>0</v>
      </c>
      <c r="AL1380" t="str">
        <f>IF(AA1380="","",IFERROR(IF(ISNUMBER('Procyfloc 500'!D381),'Procyfloc 500'!D381,IF(ISNUMBER(SEARCH("12",'Procyfloc 500'!D381)),EDATE(AB1380,12),IF(ISNUMBER(SEARCH("6",'Procyfloc 500'!D381)),EDATE(AB1380,6),IF(ISNUMBER(SEARCH("3",'Procyfloc 500'!D381)),EDATE(AB1380,3),DATEVALUE('Procyfloc 500'!D381))))),""))</f>
        <v/>
      </c>
      <c r="AM1380" t="str">
        <f t="shared" ca="1" si="148"/>
        <v/>
      </c>
    </row>
    <row r="1381" spans="27:39" x14ac:dyDescent="0.3">
      <c r="AA1381" t="str">
        <f>IF(COUNTA('Procyfloc 500'!A382,'Procyfloc 500'!B382,'Procyfloc 500'!C382)&gt;0,"500","")</f>
        <v/>
      </c>
      <c r="AB1381" t="str">
        <f>IFERROR(IF(ISNUMBER('Procyfloc 500'!A382),'Procyfloc 500'!A382,DATEVALUE('Procyfloc 500'!A382)),"")</f>
        <v/>
      </c>
      <c r="AC1381" t="str">
        <f>IF(AA1381="","",'Procyfloc 500'!B382)</f>
        <v/>
      </c>
      <c r="AD1381" t="str">
        <f>IF(AA1381="","",IFERROR(1*'Procyfloc 500'!C382,IFERROR(_xludf.NUMBERVALUE('Procyfloc 500'!C382,".",","),IFERROR(_xludf.NUMBERVALUE('Procyfloc 500'!C382,",","."),0))))</f>
        <v/>
      </c>
      <c r="AE1381" t="str">
        <f>IF(AA1381="","",'Procyfloc 500'!L382)</f>
        <v/>
      </c>
      <c r="AF1381">
        <f t="shared" si="143"/>
        <v>0</v>
      </c>
      <c r="AG1381" t="str">
        <f t="shared" si="144"/>
        <v/>
      </c>
      <c r="AH1381" t="str">
        <f t="shared" si="145"/>
        <v/>
      </c>
      <c r="AI1381">
        <f t="shared" si="146"/>
        <v>0</v>
      </c>
      <c r="AJ1381">
        <f t="shared" si="147"/>
        <v>0</v>
      </c>
      <c r="AK1381">
        <v>0</v>
      </c>
      <c r="AL1381" t="str">
        <f>IF(AA1381="","",IFERROR(IF(ISNUMBER('Procyfloc 500'!D382),'Procyfloc 500'!D382,IF(ISNUMBER(SEARCH("12",'Procyfloc 500'!D382)),EDATE(AB1381,12),IF(ISNUMBER(SEARCH("6",'Procyfloc 500'!D382)),EDATE(AB1381,6),IF(ISNUMBER(SEARCH("3",'Procyfloc 500'!D382)),EDATE(AB1381,3),DATEVALUE('Procyfloc 500'!D382))))),""))</f>
        <v/>
      </c>
      <c r="AM1381" t="str">
        <f t="shared" ca="1" si="148"/>
        <v/>
      </c>
    </row>
    <row r="1382" spans="27:39" x14ac:dyDescent="0.3">
      <c r="AA1382" t="str">
        <f>IF(COUNTA('Procyfloc 500'!A383,'Procyfloc 500'!B383,'Procyfloc 500'!C383)&gt;0,"500","")</f>
        <v/>
      </c>
      <c r="AB1382" t="str">
        <f>IFERROR(IF(ISNUMBER('Procyfloc 500'!A383),'Procyfloc 500'!A383,DATEVALUE('Procyfloc 500'!A383)),"")</f>
        <v/>
      </c>
      <c r="AC1382" t="str">
        <f>IF(AA1382="","",'Procyfloc 500'!B383)</f>
        <v/>
      </c>
      <c r="AD1382" t="str">
        <f>IF(AA1382="","",IFERROR(1*'Procyfloc 500'!C383,IFERROR(_xludf.NUMBERVALUE('Procyfloc 500'!C383,".",","),IFERROR(_xludf.NUMBERVALUE('Procyfloc 500'!C383,",","."),0))))</f>
        <v/>
      </c>
      <c r="AE1382" t="str">
        <f>IF(AA1382="","",'Procyfloc 500'!L383)</f>
        <v/>
      </c>
      <c r="AF1382">
        <f t="shared" si="143"/>
        <v>0</v>
      </c>
      <c r="AG1382" t="str">
        <f t="shared" si="144"/>
        <v/>
      </c>
      <c r="AH1382" t="str">
        <f t="shared" si="145"/>
        <v/>
      </c>
      <c r="AI1382">
        <f t="shared" si="146"/>
        <v>0</v>
      </c>
      <c r="AJ1382">
        <f t="shared" si="147"/>
        <v>0</v>
      </c>
      <c r="AK1382">
        <v>0</v>
      </c>
      <c r="AL1382" t="str">
        <f>IF(AA1382="","",IFERROR(IF(ISNUMBER('Procyfloc 500'!D383),'Procyfloc 500'!D383,IF(ISNUMBER(SEARCH("12",'Procyfloc 500'!D383)),EDATE(AB1382,12),IF(ISNUMBER(SEARCH("6",'Procyfloc 500'!D383)),EDATE(AB1382,6),IF(ISNUMBER(SEARCH("3",'Procyfloc 500'!D383)),EDATE(AB1382,3),DATEVALUE('Procyfloc 500'!D383))))),""))</f>
        <v/>
      </c>
      <c r="AM1382" t="str">
        <f t="shared" ca="1" si="148"/>
        <v/>
      </c>
    </row>
    <row r="1383" spans="27:39" x14ac:dyDescent="0.3">
      <c r="AA1383" t="str">
        <f>IF(COUNTA('Procyfloc 500'!A384,'Procyfloc 500'!B384,'Procyfloc 500'!C384)&gt;0,"500","")</f>
        <v/>
      </c>
      <c r="AB1383" t="str">
        <f>IFERROR(IF(ISNUMBER('Procyfloc 500'!A384),'Procyfloc 500'!A384,DATEVALUE('Procyfloc 500'!A384)),"")</f>
        <v/>
      </c>
      <c r="AC1383" t="str">
        <f>IF(AA1383="","",'Procyfloc 500'!B384)</f>
        <v/>
      </c>
      <c r="AD1383" t="str">
        <f>IF(AA1383="","",IFERROR(1*'Procyfloc 500'!C384,IFERROR(_xludf.NUMBERVALUE('Procyfloc 500'!C384,".",","),IFERROR(_xludf.NUMBERVALUE('Procyfloc 500'!C384,",","."),0))))</f>
        <v/>
      </c>
      <c r="AE1383" t="str">
        <f>IF(AA1383="","",'Procyfloc 500'!L384)</f>
        <v/>
      </c>
      <c r="AF1383">
        <f t="shared" si="143"/>
        <v>0</v>
      </c>
      <c r="AG1383" t="str">
        <f t="shared" si="144"/>
        <v/>
      </c>
      <c r="AH1383" t="str">
        <f t="shared" si="145"/>
        <v/>
      </c>
      <c r="AI1383">
        <f t="shared" si="146"/>
        <v>0</v>
      </c>
      <c r="AJ1383">
        <f t="shared" si="147"/>
        <v>0</v>
      </c>
      <c r="AK1383">
        <v>0</v>
      </c>
      <c r="AL1383" t="str">
        <f>IF(AA1383="","",IFERROR(IF(ISNUMBER('Procyfloc 500'!D384),'Procyfloc 500'!D384,IF(ISNUMBER(SEARCH("12",'Procyfloc 500'!D384)),EDATE(AB1383,12),IF(ISNUMBER(SEARCH("6",'Procyfloc 500'!D384)),EDATE(AB1383,6),IF(ISNUMBER(SEARCH("3",'Procyfloc 500'!D384)),EDATE(AB1383,3),DATEVALUE('Procyfloc 500'!D384))))),""))</f>
        <v/>
      </c>
      <c r="AM1383" t="str">
        <f t="shared" ca="1" si="148"/>
        <v/>
      </c>
    </row>
    <row r="1384" spans="27:39" x14ac:dyDescent="0.3">
      <c r="AA1384" t="str">
        <f>IF(COUNTA('Procyfloc 500'!A385,'Procyfloc 500'!B385,'Procyfloc 500'!C385)&gt;0,"500","")</f>
        <v/>
      </c>
      <c r="AB1384" t="str">
        <f>IFERROR(IF(ISNUMBER('Procyfloc 500'!A385),'Procyfloc 500'!A385,DATEVALUE('Procyfloc 500'!A385)),"")</f>
        <v/>
      </c>
      <c r="AC1384" t="str">
        <f>IF(AA1384="","",'Procyfloc 500'!B385)</f>
        <v/>
      </c>
      <c r="AD1384" t="str">
        <f>IF(AA1384="","",IFERROR(1*'Procyfloc 500'!C385,IFERROR(_xludf.NUMBERVALUE('Procyfloc 500'!C385,".",","),IFERROR(_xludf.NUMBERVALUE('Procyfloc 500'!C385,",","."),0))))</f>
        <v/>
      </c>
      <c r="AE1384" t="str">
        <f>IF(AA1384="","",'Procyfloc 500'!L385)</f>
        <v/>
      </c>
      <c r="AF1384">
        <f t="shared" si="143"/>
        <v>0</v>
      </c>
      <c r="AG1384" t="str">
        <f t="shared" si="144"/>
        <v/>
      </c>
      <c r="AH1384" t="str">
        <f t="shared" si="145"/>
        <v/>
      </c>
      <c r="AI1384">
        <f t="shared" si="146"/>
        <v>0</v>
      </c>
      <c r="AJ1384">
        <f t="shared" si="147"/>
        <v>0</v>
      </c>
      <c r="AK1384">
        <v>0</v>
      </c>
      <c r="AL1384" t="str">
        <f>IF(AA1384="","",IFERROR(IF(ISNUMBER('Procyfloc 500'!D385),'Procyfloc 500'!D385,IF(ISNUMBER(SEARCH("12",'Procyfloc 500'!D385)),EDATE(AB1384,12),IF(ISNUMBER(SEARCH("6",'Procyfloc 500'!D385)),EDATE(AB1384,6),IF(ISNUMBER(SEARCH("3",'Procyfloc 500'!D385)),EDATE(AB1384,3),DATEVALUE('Procyfloc 500'!D385))))),""))</f>
        <v/>
      </c>
      <c r="AM1384" t="str">
        <f t="shared" ca="1" si="148"/>
        <v/>
      </c>
    </row>
    <row r="1385" spans="27:39" x14ac:dyDescent="0.3">
      <c r="AA1385" t="str">
        <f>IF(COUNTA('Procyfloc 500'!A386,'Procyfloc 500'!B386,'Procyfloc 500'!C386)&gt;0,"500","")</f>
        <v/>
      </c>
      <c r="AB1385" t="str">
        <f>IFERROR(IF(ISNUMBER('Procyfloc 500'!A386),'Procyfloc 500'!A386,DATEVALUE('Procyfloc 500'!A386)),"")</f>
        <v/>
      </c>
      <c r="AC1385" t="str">
        <f>IF(AA1385="","",'Procyfloc 500'!B386)</f>
        <v/>
      </c>
      <c r="AD1385" t="str">
        <f>IF(AA1385="","",IFERROR(1*'Procyfloc 500'!C386,IFERROR(_xludf.NUMBERVALUE('Procyfloc 500'!C386,".",","),IFERROR(_xludf.NUMBERVALUE('Procyfloc 500'!C386,",","."),0))))</f>
        <v/>
      </c>
      <c r="AE1385" t="str">
        <f>IF(AA1385="","",'Procyfloc 500'!L386)</f>
        <v/>
      </c>
      <c r="AF1385">
        <f t="shared" si="143"/>
        <v>0</v>
      </c>
      <c r="AG1385" t="str">
        <f t="shared" si="144"/>
        <v/>
      </c>
      <c r="AH1385" t="str">
        <f t="shared" si="145"/>
        <v/>
      </c>
      <c r="AI1385">
        <f t="shared" si="146"/>
        <v>0</v>
      </c>
      <c r="AJ1385">
        <f t="shared" si="147"/>
        <v>0</v>
      </c>
      <c r="AK1385">
        <v>0</v>
      </c>
      <c r="AL1385" t="str">
        <f>IF(AA1385="","",IFERROR(IF(ISNUMBER('Procyfloc 500'!D386),'Procyfloc 500'!D386,IF(ISNUMBER(SEARCH("12",'Procyfloc 500'!D386)),EDATE(AB1385,12),IF(ISNUMBER(SEARCH("6",'Procyfloc 500'!D386)),EDATE(AB1385,6),IF(ISNUMBER(SEARCH("3",'Procyfloc 500'!D386)),EDATE(AB1385,3),DATEVALUE('Procyfloc 500'!D386))))),""))</f>
        <v/>
      </c>
      <c r="AM1385" t="str">
        <f t="shared" ca="1" si="148"/>
        <v/>
      </c>
    </row>
    <row r="1386" spans="27:39" x14ac:dyDescent="0.3">
      <c r="AA1386" t="str">
        <f>IF(COUNTA('Procyfloc 500'!A387,'Procyfloc 500'!B387,'Procyfloc 500'!C387)&gt;0,"500","")</f>
        <v/>
      </c>
      <c r="AB1386" t="str">
        <f>IFERROR(IF(ISNUMBER('Procyfloc 500'!A387),'Procyfloc 500'!A387,DATEVALUE('Procyfloc 500'!A387)),"")</f>
        <v/>
      </c>
      <c r="AC1386" t="str">
        <f>IF(AA1386="","",'Procyfloc 500'!B387)</f>
        <v/>
      </c>
      <c r="AD1386" t="str">
        <f>IF(AA1386="","",IFERROR(1*'Procyfloc 500'!C387,IFERROR(_xludf.NUMBERVALUE('Procyfloc 500'!C387,".",","),IFERROR(_xludf.NUMBERVALUE('Procyfloc 500'!C387,",","."),0))))</f>
        <v/>
      </c>
      <c r="AE1386" t="str">
        <f>IF(AA1386="","",'Procyfloc 500'!L387)</f>
        <v/>
      </c>
      <c r="AF1386">
        <f t="shared" si="143"/>
        <v>0</v>
      </c>
      <c r="AG1386" t="str">
        <f t="shared" si="144"/>
        <v/>
      </c>
      <c r="AH1386" t="str">
        <f t="shared" si="145"/>
        <v/>
      </c>
      <c r="AI1386">
        <f t="shared" si="146"/>
        <v>0</v>
      </c>
      <c r="AJ1386">
        <f t="shared" si="147"/>
        <v>0</v>
      </c>
      <c r="AK1386">
        <v>0</v>
      </c>
      <c r="AL1386" t="str">
        <f>IF(AA1386="","",IFERROR(IF(ISNUMBER('Procyfloc 500'!D387),'Procyfloc 500'!D387,IF(ISNUMBER(SEARCH("12",'Procyfloc 500'!D387)),EDATE(AB1386,12),IF(ISNUMBER(SEARCH("6",'Procyfloc 500'!D387)),EDATE(AB1386,6),IF(ISNUMBER(SEARCH("3",'Procyfloc 500'!D387)),EDATE(AB1386,3),DATEVALUE('Procyfloc 500'!D387))))),""))</f>
        <v/>
      </c>
      <c r="AM1386" t="str">
        <f t="shared" ca="1" si="148"/>
        <v/>
      </c>
    </row>
    <row r="1387" spans="27:39" x14ac:dyDescent="0.3">
      <c r="AA1387" t="str">
        <f>IF(COUNTA('Procyfloc 500'!A388,'Procyfloc 500'!B388,'Procyfloc 500'!C388)&gt;0,"500","")</f>
        <v/>
      </c>
      <c r="AB1387" t="str">
        <f>IFERROR(IF(ISNUMBER('Procyfloc 500'!A388),'Procyfloc 500'!A388,DATEVALUE('Procyfloc 500'!A388)),"")</f>
        <v/>
      </c>
      <c r="AC1387" t="str">
        <f>IF(AA1387="","",'Procyfloc 500'!B388)</f>
        <v/>
      </c>
      <c r="AD1387" t="str">
        <f>IF(AA1387="","",IFERROR(1*'Procyfloc 500'!C388,IFERROR(_xludf.NUMBERVALUE('Procyfloc 500'!C388,".",","),IFERROR(_xludf.NUMBERVALUE('Procyfloc 500'!C388,",","."),0))))</f>
        <v/>
      </c>
      <c r="AE1387" t="str">
        <f>IF(AA1387="","",'Procyfloc 500'!L388)</f>
        <v/>
      </c>
      <c r="AF1387">
        <f t="shared" si="143"/>
        <v>0</v>
      </c>
      <c r="AG1387" t="str">
        <f t="shared" si="144"/>
        <v/>
      </c>
      <c r="AH1387" t="str">
        <f t="shared" si="145"/>
        <v/>
      </c>
      <c r="AI1387">
        <f t="shared" si="146"/>
        <v>0</v>
      </c>
      <c r="AJ1387">
        <f t="shared" si="147"/>
        <v>0</v>
      </c>
      <c r="AK1387">
        <v>0</v>
      </c>
      <c r="AL1387" t="str">
        <f>IF(AA1387="","",IFERROR(IF(ISNUMBER('Procyfloc 500'!D388),'Procyfloc 500'!D388,IF(ISNUMBER(SEARCH("12",'Procyfloc 500'!D388)),EDATE(AB1387,12),IF(ISNUMBER(SEARCH("6",'Procyfloc 500'!D388)),EDATE(AB1387,6),IF(ISNUMBER(SEARCH("3",'Procyfloc 500'!D388)),EDATE(AB1387,3),DATEVALUE('Procyfloc 500'!D388))))),""))</f>
        <v/>
      </c>
      <c r="AM1387" t="str">
        <f t="shared" ca="1" si="148"/>
        <v/>
      </c>
    </row>
    <row r="1388" spans="27:39" x14ac:dyDescent="0.3">
      <c r="AA1388" t="str">
        <f>IF(COUNTA('Procyfloc 500'!A389,'Procyfloc 500'!B389,'Procyfloc 500'!C389)&gt;0,"500","")</f>
        <v/>
      </c>
      <c r="AB1388" t="str">
        <f>IFERROR(IF(ISNUMBER('Procyfloc 500'!A389),'Procyfloc 500'!A389,DATEVALUE('Procyfloc 500'!A389)),"")</f>
        <v/>
      </c>
      <c r="AC1388" t="str">
        <f>IF(AA1388="","",'Procyfloc 500'!B389)</f>
        <v/>
      </c>
      <c r="AD1388" t="str">
        <f>IF(AA1388="","",IFERROR(1*'Procyfloc 500'!C389,IFERROR(_xludf.NUMBERVALUE('Procyfloc 500'!C389,".",","),IFERROR(_xludf.NUMBERVALUE('Procyfloc 500'!C389,",","."),0))))</f>
        <v/>
      </c>
      <c r="AE1388" t="str">
        <f>IF(AA1388="","",'Procyfloc 500'!L389)</f>
        <v/>
      </c>
      <c r="AF1388">
        <f t="shared" si="143"/>
        <v>0</v>
      </c>
      <c r="AG1388" t="str">
        <f t="shared" si="144"/>
        <v/>
      </c>
      <c r="AH1388" t="str">
        <f t="shared" si="145"/>
        <v/>
      </c>
      <c r="AI1388">
        <f t="shared" si="146"/>
        <v>0</v>
      </c>
      <c r="AJ1388">
        <f t="shared" si="147"/>
        <v>0</v>
      </c>
      <c r="AK1388">
        <v>0</v>
      </c>
      <c r="AL1388" t="str">
        <f>IF(AA1388="","",IFERROR(IF(ISNUMBER('Procyfloc 500'!D389),'Procyfloc 500'!D389,IF(ISNUMBER(SEARCH("12",'Procyfloc 500'!D389)),EDATE(AB1388,12),IF(ISNUMBER(SEARCH("6",'Procyfloc 500'!D389)),EDATE(AB1388,6),IF(ISNUMBER(SEARCH("3",'Procyfloc 500'!D389)),EDATE(AB1388,3),DATEVALUE('Procyfloc 500'!D389))))),""))</f>
        <v/>
      </c>
      <c r="AM1388" t="str">
        <f t="shared" ca="1" si="148"/>
        <v/>
      </c>
    </row>
    <row r="1389" spans="27:39" x14ac:dyDescent="0.3">
      <c r="AA1389" t="str">
        <f>IF(COUNTA('Procyfloc 500'!A390,'Procyfloc 500'!B390,'Procyfloc 500'!C390)&gt;0,"500","")</f>
        <v/>
      </c>
      <c r="AB1389" t="str">
        <f>IFERROR(IF(ISNUMBER('Procyfloc 500'!A390),'Procyfloc 500'!A390,DATEVALUE('Procyfloc 500'!A390)),"")</f>
        <v/>
      </c>
      <c r="AC1389" t="str">
        <f>IF(AA1389="","",'Procyfloc 500'!B390)</f>
        <v/>
      </c>
      <c r="AD1389" t="str">
        <f>IF(AA1389="","",IFERROR(1*'Procyfloc 500'!C390,IFERROR(_xludf.NUMBERVALUE('Procyfloc 500'!C390,".",","),IFERROR(_xludf.NUMBERVALUE('Procyfloc 500'!C390,",","."),0))))</f>
        <v/>
      </c>
      <c r="AE1389" t="str">
        <f>IF(AA1389="","",'Procyfloc 500'!L390)</f>
        <v/>
      </c>
      <c r="AF1389">
        <f t="shared" si="143"/>
        <v>0</v>
      </c>
      <c r="AG1389" t="str">
        <f t="shared" si="144"/>
        <v/>
      </c>
      <c r="AH1389" t="str">
        <f t="shared" si="145"/>
        <v/>
      </c>
      <c r="AI1389">
        <f t="shared" si="146"/>
        <v>0</v>
      </c>
      <c r="AJ1389">
        <f t="shared" si="147"/>
        <v>0</v>
      </c>
      <c r="AK1389">
        <v>0</v>
      </c>
      <c r="AL1389" t="str">
        <f>IF(AA1389="","",IFERROR(IF(ISNUMBER('Procyfloc 500'!D390),'Procyfloc 500'!D390,IF(ISNUMBER(SEARCH("12",'Procyfloc 500'!D390)),EDATE(AB1389,12),IF(ISNUMBER(SEARCH("6",'Procyfloc 500'!D390)),EDATE(AB1389,6),IF(ISNUMBER(SEARCH("3",'Procyfloc 500'!D390)),EDATE(AB1389,3),DATEVALUE('Procyfloc 500'!D390))))),""))</f>
        <v/>
      </c>
      <c r="AM1389" t="str">
        <f t="shared" ca="1" si="148"/>
        <v/>
      </c>
    </row>
    <row r="1390" spans="27:39" x14ac:dyDescent="0.3">
      <c r="AA1390" t="str">
        <f>IF(COUNTA('Procyfloc 500'!A391,'Procyfloc 500'!B391,'Procyfloc 500'!C391)&gt;0,"500","")</f>
        <v/>
      </c>
      <c r="AB1390" t="str">
        <f>IFERROR(IF(ISNUMBER('Procyfloc 500'!A391),'Procyfloc 500'!A391,DATEVALUE('Procyfloc 500'!A391)),"")</f>
        <v/>
      </c>
      <c r="AC1390" t="str">
        <f>IF(AA1390="","",'Procyfloc 500'!B391)</f>
        <v/>
      </c>
      <c r="AD1390" t="str">
        <f>IF(AA1390="","",IFERROR(1*'Procyfloc 500'!C391,IFERROR(_xludf.NUMBERVALUE('Procyfloc 500'!C391,".",","),IFERROR(_xludf.NUMBERVALUE('Procyfloc 500'!C391,",","."),0))))</f>
        <v/>
      </c>
      <c r="AE1390" t="str">
        <f>IF(AA1390="","",'Procyfloc 500'!L391)</f>
        <v/>
      </c>
      <c r="AF1390">
        <f t="shared" si="143"/>
        <v>0</v>
      </c>
      <c r="AG1390" t="str">
        <f t="shared" si="144"/>
        <v/>
      </c>
      <c r="AH1390" t="str">
        <f t="shared" si="145"/>
        <v/>
      </c>
      <c r="AI1390">
        <f t="shared" si="146"/>
        <v>0</v>
      </c>
      <c r="AJ1390">
        <f t="shared" si="147"/>
        <v>0</v>
      </c>
      <c r="AK1390">
        <v>0</v>
      </c>
      <c r="AL1390" t="str">
        <f>IF(AA1390="","",IFERROR(IF(ISNUMBER('Procyfloc 500'!D391),'Procyfloc 500'!D391,IF(ISNUMBER(SEARCH("12",'Procyfloc 500'!D391)),EDATE(AB1390,12),IF(ISNUMBER(SEARCH("6",'Procyfloc 500'!D391)),EDATE(AB1390,6),IF(ISNUMBER(SEARCH("3",'Procyfloc 500'!D391)),EDATE(AB1390,3),DATEVALUE('Procyfloc 500'!D391))))),""))</f>
        <v/>
      </c>
      <c r="AM1390" t="str">
        <f t="shared" ca="1" si="148"/>
        <v/>
      </c>
    </row>
    <row r="1391" spans="27:39" x14ac:dyDescent="0.3">
      <c r="AA1391" t="str">
        <f>IF(COUNTA('Procyfloc 500'!A392,'Procyfloc 500'!B392,'Procyfloc 500'!C392)&gt;0,"500","")</f>
        <v/>
      </c>
      <c r="AB1391" t="str">
        <f>IFERROR(IF(ISNUMBER('Procyfloc 500'!A392),'Procyfloc 500'!A392,DATEVALUE('Procyfloc 500'!A392)),"")</f>
        <v/>
      </c>
      <c r="AC1391" t="str">
        <f>IF(AA1391="","",'Procyfloc 500'!B392)</f>
        <v/>
      </c>
      <c r="AD1391" t="str">
        <f>IF(AA1391="","",IFERROR(1*'Procyfloc 500'!C392,IFERROR(_xludf.NUMBERVALUE('Procyfloc 500'!C392,".",","),IFERROR(_xludf.NUMBERVALUE('Procyfloc 500'!C392,",","."),0))))</f>
        <v/>
      </c>
      <c r="AE1391" t="str">
        <f>IF(AA1391="","",'Procyfloc 500'!L392)</f>
        <v/>
      </c>
      <c r="AF1391">
        <f t="shared" si="143"/>
        <v>0</v>
      </c>
      <c r="AG1391" t="str">
        <f t="shared" si="144"/>
        <v/>
      </c>
      <c r="AH1391" t="str">
        <f t="shared" si="145"/>
        <v/>
      </c>
      <c r="AI1391">
        <f t="shared" si="146"/>
        <v>0</v>
      </c>
      <c r="AJ1391">
        <f t="shared" si="147"/>
        <v>0</v>
      </c>
      <c r="AK1391">
        <v>0</v>
      </c>
      <c r="AL1391" t="str">
        <f>IF(AA1391="","",IFERROR(IF(ISNUMBER('Procyfloc 500'!D392),'Procyfloc 500'!D392,IF(ISNUMBER(SEARCH("12",'Procyfloc 500'!D392)),EDATE(AB1391,12),IF(ISNUMBER(SEARCH("6",'Procyfloc 500'!D392)),EDATE(AB1391,6),IF(ISNUMBER(SEARCH("3",'Procyfloc 500'!D392)),EDATE(AB1391,3),DATEVALUE('Procyfloc 500'!D392))))),""))</f>
        <v/>
      </c>
      <c r="AM1391" t="str">
        <f t="shared" ca="1" si="148"/>
        <v/>
      </c>
    </row>
    <row r="1392" spans="27:39" x14ac:dyDescent="0.3">
      <c r="AA1392" t="str">
        <f>IF(COUNTA('Procyfloc 500'!A393,'Procyfloc 500'!B393,'Procyfloc 500'!C393)&gt;0,"500","")</f>
        <v/>
      </c>
      <c r="AB1392" t="str">
        <f>IFERROR(IF(ISNUMBER('Procyfloc 500'!A393),'Procyfloc 500'!A393,DATEVALUE('Procyfloc 500'!A393)),"")</f>
        <v/>
      </c>
      <c r="AC1392" t="str">
        <f>IF(AA1392="","",'Procyfloc 500'!B393)</f>
        <v/>
      </c>
      <c r="AD1392" t="str">
        <f>IF(AA1392="","",IFERROR(1*'Procyfloc 500'!C393,IFERROR(_xludf.NUMBERVALUE('Procyfloc 500'!C393,".",","),IFERROR(_xludf.NUMBERVALUE('Procyfloc 500'!C393,",","."),0))))</f>
        <v/>
      </c>
      <c r="AE1392" t="str">
        <f>IF(AA1392="","",'Procyfloc 500'!L393)</f>
        <v/>
      </c>
      <c r="AF1392">
        <f t="shared" si="143"/>
        <v>0</v>
      </c>
      <c r="AG1392" t="str">
        <f t="shared" si="144"/>
        <v/>
      </c>
      <c r="AH1392" t="str">
        <f t="shared" si="145"/>
        <v/>
      </c>
      <c r="AI1392">
        <f t="shared" si="146"/>
        <v>0</v>
      </c>
      <c r="AJ1392">
        <f t="shared" si="147"/>
        <v>0</v>
      </c>
      <c r="AK1392">
        <v>0</v>
      </c>
      <c r="AL1392" t="str">
        <f>IF(AA1392="","",IFERROR(IF(ISNUMBER('Procyfloc 500'!D393),'Procyfloc 500'!D393,IF(ISNUMBER(SEARCH("12",'Procyfloc 500'!D393)),EDATE(AB1392,12),IF(ISNUMBER(SEARCH("6",'Procyfloc 500'!D393)),EDATE(AB1392,6),IF(ISNUMBER(SEARCH("3",'Procyfloc 500'!D393)),EDATE(AB1392,3),DATEVALUE('Procyfloc 500'!D393))))),""))</f>
        <v/>
      </c>
      <c r="AM1392" t="str">
        <f t="shared" ca="1" si="148"/>
        <v/>
      </c>
    </row>
    <row r="1393" spans="27:39" x14ac:dyDescent="0.3">
      <c r="AA1393" t="str">
        <f>IF(COUNTA('Procyfloc 500'!A394,'Procyfloc 500'!B394,'Procyfloc 500'!C394)&gt;0,"500","")</f>
        <v/>
      </c>
      <c r="AB1393" t="str">
        <f>IFERROR(IF(ISNUMBER('Procyfloc 500'!A394),'Procyfloc 500'!A394,DATEVALUE('Procyfloc 500'!A394)),"")</f>
        <v/>
      </c>
      <c r="AC1393" t="str">
        <f>IF(AA1393="","",'Procyfloc 500'!B394)</f>
        <v/>
      </c>
      <c r="AD1393" t="str">
        <f>IF(AA1393="","",IFERROR(1*'Procyfloc 500'!C394,IFERROR(_xludf.NUMBERVALUE('Procyfloc 500'!C394,".",","),IFERROR(_xludf.NUMBERVALUE('Procyfloc 500'!C394,",","."),0))))</f>
        <v/>
      </c>
      <c r="AE1393" t="str">
        <f>IF(AA1393="","",'Procyfloc 500'!L394)</f>
        <v/>
      </c>
      <c r="AF1393">
        <f t="shared" si="143"/>
        <v>0</v>
      </c>
      <c r="AG1393" t="str">
        <f t="shared" si="144"/>
        <v/>
      </c>
      <c r="AH1393" t="str">
        <f t="shared" si="145"/>
        <v/>
      </c>
      <c r="AI1393">
        <f t="shared" si="146"/>
        <v>0</v>
      </c>
      <c r="AJ1393">
        <f t="shared" si="147"/>
        <v>0</v>
      </c>
      <c r="AK1393">
        <v>0</v>
      </c>
      <c r="AL1393" t="str">
        <f>IF(AA1393="","",IFERROR(IF(ISNUMBER('Procyfloc 500'!D394),'Procyfloc 500'!D394,IF(ISNUMBER(SEARCH("12",'Procyfloc 500'!D394)),EDATE(AB1393,12),IF(ISNUMBER(SEARCH("6",'Procyfloc 500'!D394)),EDATE(AB1393,6),IF(ISNUMBER(SEARCH("3",'Procyfloc 500'!D394)),EDATE(AB1393,3),DATEVALUE('Procyfloc 500'!D394))))),""))</f>
        <v/>
      </c>
      <c r="AM1393" t="str">
        <f t="shared" ca="1" si="148"/>
        <v/>
      </c>
    </row>
    <row r="1394" spans="27:39" x14ac:dyDescent="0.3">
      <c r="AA1394" t="str">
        <f>IF(COUNTA('Procyfloc 500'!A395,'Procyfloc 500'!B395,'Procyfloc 500'!C395)&gt;0,"500","")</f>
        <v/>
      </c>
      <c r="AB1394" t="str">
        <f>IFERROR(IF(ISNUMBER('Procyfloc 500'!A395),'Procyfloc 500'!A395,DATEVALUE('Procyfloc 500'!A395)),"")</f>
        <v/>
      </c>
      <c r="AC1394" t="str">
        <f>IF(AA1394="","",'Procyfloc 500'!B395)</f>
        <v/>
      </c>
      <c r="AD1394" t="str">
        <f>IF(AA1394="","",IFERROR(1*'Procyfloc 500'!C395,IFERROR(_xludf.NUMBERVALUE('Procyfloc 500'!C395,".",","),IFERROR(_xludf.NUMBERVALUE('Procyfloc 500'!C395,",","."),0))))</f>
        <v/>
      </c>
      <c r="AE1394" t="str">
        <f>IF(AA1394="","",'Procyfloc 500'!L395)</f>
        <v/>
      </c>
      <c r="AF1394">
        <f t="shared" si="143"/>
        <v>0</v>
      </c>
      <c r="AG1394" t="str">
        <f t="shared" si="144"/>
        <v/>
      </c>
      <c r="AH1394" t="str">
        <f t="shared" si="145"/>
        <v/>
      </c>
      <c r="AI1394">
        <f t="shared" si="146"/>
        <v>0</v>
      </c>
      <c r="AJ1394">
        <f t="shared" si="147"/>
        <v>0</v>
      </c>
      <c r="AK1394">
        <v>0</v>
      </c>
      <c r="AL1394" t="str">
        <f>IF(AA1394="","",IFERROR(IF(ISNUMBER('Procyfloc 500'!D395),'Procyfloc 500'!D395,IF(ISNUMBER(SEARCH("12",'Procyfloc 500'!D395)),EDATE(AB1394,12),IF(ISNUMBER(SEARCH("6",'Procyfloc 500'!D395)),EDATE(AB1394,6),IF(ISNUMBER(SEARCH("3",'Procyfloc 500'!D395)),EDATE(AB1394,3),DATEVALUE('Procyfloc 500'!D395))))),""))</f>
        <v/>
      </c>
      <c r="AM1394" t="str">
        <f t="shared" ca="1" si="148"/>
        <v/>
      </c>
    </row>
    <row r="1395" spans="27:39" x14ac:dyDescent="0.3">
      <c r="AA1395" t="str">
        <f>IF(COUNTA('Procyfloc 500'!A396,'Procyfloc 500'!B396,'Procyfloc 500'!C396)&gt;0,"500","")</f>
        <v/>
      </c>
      <c r="AB1395" t="str">
        <f>IFERROR(IF(ISNUMBER('Procyfloc 500'!A396),'Procyfloc 500'!A396,DATEVALUE('Procyfloc 500'!A396)),"")</f>
        <v/>
      </c>
      <c r="AC1395" t="str">
        <f>IF(AA1395="","",'Procyfloc 500'!B396)</f>
        <v/>
      </c>
      <c r="AD1395" t="str">
        <f>IF(AA1395="","",IFERROR(1*'Procyfloc 500'!C396,IFERROR(_xludf.NUMBERVALUE('Procyfloc 500'!C396,".",","),IFERROR(_xludf.NUMBERVALUE('Procyfloc 500'!C396,",","."),0))))</f>
        <v/>
      </c>
      <c r="AE1395" t="str">
        <f>IF(AA1395="","",'Procyfloc 500'!L396)</f>
        <v/>
      </c>
      <c r="AF1395">
        <f t="shared" si="143"/>
        <v>0</v>
      </c>
      <c r="AG1395" t="str">
        <f t="shared" si="144"/>
        <v/>
      </c>
      <c r="AH1395" t="str">
        <f t="shared" si="145"/>
        <v/>
      </c>
      <c r="AI1395">
        <f t="shared" si="146"/>
        <v>0</v>
      </c>
      <c r="AJ1395">
        <f t="shared" si="147"/>
        <v>0</v>
      </c>
      <c r="AK1395">
        <v>0</v>
      </c>
      <c r="AL1395" t="str">
        <f>IF(AA1395="","",IFERROR(IF(ISNUMBER('Procyfloc 500'!D396),'Procyfloc 500'!D396,IF(ISNUMBER(SEARCH("12",'Procyfloc 500'!D396)),EDATE(AB1395,12),IF(ISNUMBER(SEARCH("6",'Procyfloc 500'!D396)),EDATE(AB1395,6),IF(ISNUMBER(SEARCH("3",'Procyfloc 500'!D396)),EDATE(AB1395,3),DATEVALUE('Procyfloc 500'!D396))))),""))</f>
        <v/>
      </c>
      <c r="AM1395" t="str">
        <f t="shared" ca="1" si="148"/>
        <v/>
      </c>
    </row>
    <row r="1396" spans="27:39" x14ac:dyDescent="0.3">
      <c r="AA1396" t="str">
        <f>IF(COUNTA('Procyfloc 500'!A397,'Procyfloc 500'!B397,'Procyfloc 500'!C397)&gt;0,"500","")</f>
        <v/>
      </c>
      <c r="AB1396" t="str">
        <f>IFERROR(IF(ISNUMBER('Procyfloc 500'!A397),'Procyfloc 500'!A397,DATEVALUE('Procyfloc 500'!A397)),"")</f>
        <v/>
      </c>
      <c r="AC1396" t="str">
        <f>IF(AA1396="","",'Procyfloc 500'!B397)</f>
        <v/>
      </c>
      <c r="AD1396" t="str">
        <f>IF(AA1396="","",IFERROR(1*'Procyfloc 500'!C397,IFERROR(_xludf.NUMBERVALUE('Procyfloc 500'!C397,".",","),IFERROR(_xludf.NUMBERVALUE('Procyfloc 500'!C397,",","."),0))))</f>
        <v/>
      </c>
      <c r="AE1396" t="str">
        <f>IF(AA1396="","",'Procyfloc 500'!L397)</f>
        <v/>
      </c>
      <c r="AF1396">
        <f t="shared" si="143"/>
        <v>0</v>
      </c>
      <c r="AG1396" t="str">
        <f t="shared" si="144"/>
        <v/>
      </c>
      <c r="AH1396" t="str">
        <f t="shared" si="145"/>
        <v/>
      </c>
      <c r="AI1396">
        <f t="shared" si="146"/>
        <v>0</v>
      </c>
      <c r="AJ1396">
        <f t="shared" si="147"/>
        <v>0</v>
      </c>
      <c r="AK1396">
        <v>0</v>
      </c>
      <c r="AL1396" t="str">
        <f>IF(AA1396="","",IFERROR(IF(ISNUMBER('Procyfloc 500'!D397),'Procyfloc 500'!D397,IF(ISNUMBER(SEARCH("12",'Procyfloc 500'!D397)),EDATE(AB1396,12),IF(ISNUMBER(SEARCH("6",'Procyfloc 500'!D397)),EDATE(AB1396,6),IF(ISNUMBER(SEARCH("3",'Procyfloc 500'!D397)),EDATE(AB1396,3),DATEVALUE('Procyfloc 500'!D397))))),""))</f>
        <v/>
      </c>
      <c r="AM1396" t="str">
        <f t="shared" ca="1" si="148"/>
        <v/>
      </c>
    </row>
    <row r="1397" spans="27:39" x14ac:dyDescent="0.3">
      <c r="AA1397" t="str">
        <f>IF(COUNTA('Procyfloc 500'!A398,'Procyfloc 500'!B398,'Procyfloc 500'!C398)&gt;0,"500","")</f>
        <v/>
      </c>
      <c r="AB1397" t="str">
        <f>IFERROR(IF(ISNUMBER('Procyfloc 500'!A398),'Procyfloc 500'!A398,DATEVALUE('Procyfloc 500'!A398)),"")</f>
        <v/>
      </c>
      <c r="AC1397" t="str">
        <f>IF(AA1397="","",'Procyfloc 500'!B398)</f>
        <v/>
      </c>
      <c r="AD1397" t="str">
        <f>IF(AA1397="","",IFERROR(1*'Procyfloc 500'!C398,IFERROR(_xludf.NUMBERVALUE('Procyfloc 500'!C398,".",","),IFERROR(_xludf.NUMBERVALUE('Procyfloc 500'!C398,",","."),0))))</f>
        <v/>
      </c>
      <c r="AE1397" t="str">
        <f>IF(AA1397="","",'Procyfloc 500'!L398)</f>
        <v/>
      </c>
      <c r="AF1397">
        <f t="shared" si="143"/>
        <v>0</v>
      </c>
      <c r="AG1397" t="str">
        <f t="shared" si="144"/>
        <v/>
      </c>
      <c r="AH1397" t="str">
        <f t="shared" si="145"/>
        <v/>
      </c>
      <c r="AI1397">
        <f t="shared" si="146"/>
        <v>0</v>
      </c>
      <c r="AJ1397">
        <f t="shared" si="147"/>
        <v>0</v>
      </c>
      <c r="AK1397">
        <v>0</v>
      </c>
      <c r="AL1397" t="str">
        <f>IF(AA1397="","",IFERROR(IF(ISNUMBER('Procyfloc 500'!D398),'Procyfloc 500'!D398,IF(ISNUMBER(SEARCH("12",'Procyfloc 500'!D398)),EDATE(AB1397,12),IF(ISNUMBER(SEARCH("6",'Procyfloc 500'!D398)),EDATE(AB1397,6),IF(ISNUMBER(SEARCH("3",'Procyfloc 500'!D398)),EDATE(AB1397,3),DATEVALUE('Procyfloc 500'!D398))))),""))</f>
        <v/>
      </c>
      <c r="AM1397" t="str">
        <f t="shared" ca="1" si="148"/>
        <v/>
      </c>
    </row>
    <row r="1398" spans="27:39" x14ac:dyDescent="0.3">
      <c r="AA1398" t="str">
        <f>IF(COUNTA('Procyfloc 500'!A399,'Procyfloc 500'!B399,'Procyfloc 500'!C399)&gt;0,"500","")</f>
        <v/>
      </c>
      <c r="AB1398" t="str">
        <f>IFERROR(IF(ISNUMBER('Procyfloc 500'!A399),'Procyfloc 500'!A399,DATEVALUE('Procyfloc 500'!A399)),"")</f>
        <v/>
      </c>
      <c r="AC1398" t="str">
        <f>IF(AA1398="","",'Procyfloc 500'!B399)</f>
        <v/>
      </c>
      <c r="AD1398" t="str">
        <f>IF(AA1398="","",IFERROR(1*'Procyfloc 500'!C399,IFERROR(_xludf.NUMBERVALUE('Procyfloc 500'!C399,".",","),IFERROR(_xludf.NUMBERVALUE('Procyfloc 500'!C399,",","."),0))))</f>
        <v/>
      </c>
      <c r="AE1398" t="str">
        <f>IF(AA1398="","",'Procyfloc 500'!L399)</f>
        <v/>
      </c>
      <c r="AF1398">
        <f t="shared" si="143"/>
        <v>0</v>
      </c>
      <c r="AG1398" t="str">
        <f t="shared" si="144"/>
        <v/>
      </c>
      <c r="AH1398" t="str">
        <f t="shared" si="145"/>
        <v/>
      </c>
      <c r="AI1398">
        <f t="shared" si="146"/>
        <v>0</v>
      </c>
      <c r="AJ1398">
        <f t="shared" si="147"/>
        <v>0</v>
      </c>
      <c r="AK1398">
        <v>0</v>
      </c>
      <c r="AL1398" t="str">
        <f>IF(AA1398="","",IFERROR(IF(ISNUMBER('Procyfloc 500'!D399),'Procyfloc 500'!D399,IF(ISNUMBER(SEARCH("12",'Procyfloc 500'!D399)),EDATE(AB1398,12),IF(ISNUMBER(SEARCH("6",'Procyfloc 500'!D399)),EDATE(AB1398,6),IF(ISNUMBER(SEARCH("3",'Procyfloc 500'!D399)),EDATE(AB1398,3),DATEVALUE('Procyfloc 500'!D399))))),""))</f>
        <v/>
      </c>
      <c r="AM1398" t="str">
        <f t="shared" ca="1" si="148"/>
        <v/>
      </c>
    </row>
    <row r="1399" spans="27:39" x14ac:dyDescent="0.3">
      <c r="AA1399" t="str">
        <f>IF(COUNTA('Procyfloc 500'!A400,'Procyfloc 500'!B400,'Procyfloc 500'!C400)&gt;0,"500","")</f>
        <v/>
      </c>
      <c r="AB1399" t="str">
        <f>IFERROR(IF(ISNUMBER('Procyfloc 500'!A400),'Procyfloc 500'!A400,DATEVALUE('Procyfloc 500'!A400)),"")</f>
        <v/>
      </c>
      <c r="AC1399" t="str">
        <f>IF(AA1399="","",'Procyfloc 500'!B400)</f>
        <v/>
      </c>
      <c r="AD1399" t="str">
        <f>IF(AA1399="","",IFERROR(1*'Procyfloc 500'!C400,IFERROR(_xludf.NUMBERVALUE('Procyfloc 500'!C400,".",","),IFERROR(_xludf.NUMBERVALUE('Procyfloc 500'!C400,",","."),0))))</f>
        <v/>
      </c>
      <c r="AE1399" t="str">
        <f>IF(AA1399="","",'Procyfloc 500'!L400)</f>
        <v/>
      </c>
      <c r="AF1399">
        <f t="shared" si="143"/>
        <v>0</v>
      </c>
      <c r="AG1399" t="str">
        <f t="shared" si="144"/>
        <v/>
      </c>
      <c r="AH1399" t="str">
        <f t="shared" si="145"/>
        <v/>
      </c>
      <c r="AI1399">
        <f t="shared" si="146"/>
        <v>0</v>
      </c>
      <c r="AJ1399">
        <f t="shared" si="147"/>
        <v>0</v>
      </c>
      <c r="AK1399">
        <v>0</v>
      </c>
      <c r="AL1399" t="str">
        <f>IF(AA1399="","",IFERROR(IF(ISNUMBER('Procyfloc 500'!D400),'Procyfloc 500'!D400,IF(ISNUMBER(SEARCH("12",'Procyfloc 500'!D400)),EDATE(AB1399,12),IF(ISNUMBER(SEARCH("6",'Procyfloc 500'!D400)),EDATE(AB1399,6),IF(ISNUMBER(SEARCH("3",'Procyfloc 500'!D400)),EDATE(AB1399,3),DATEVALUE('Procyfloc 500'!D400))))),""))</f>
        <v/>
      </c>
      <c r="AM1399" t="str">
        <f t="shared" ca="1" si="148"/>
        <v/>
      </c>
    </row>
    <row r="1400" spans="27:39" x14ac:dyDescent="0.3">
      <c r="AA1400" t="str">
        <f>IF(COUNTA('Procyfloc 500'!A401,'Procyfloc 500'!B401,'Procyfloc 500'!C401)&gt;0,"500","")</f>
        <v/>
      </c>
      <c r="AB1400" t="str">
        <f>IFERROR(IF(ISNUMBER('Procyfloc 500'!A401),'Procyfloc 500'!A401,DATEVALUE('Procyfloc 500'!A401)),"")</f>
        <v/>
      </c>
      <c r="AC1400" t="str">
        <f>IF(AA1400="","",'Procyfloc 500'!B401)</f>
        <v/>
      </c>
      <c r="AD1400" t="str">
        <f>IF(AA1400="","",IFERROR(1*'Procyfloc 500'!C401,IFERROR(_xludf.NUMBERVALUE('Procyfloc 500'!C401,".",","),IFERROR(_xludf.NUMBERVALUE('Procyfloc 500'!C401,",","."),0))))</f>
        <v/>
      </c>
      <c r="AE1400" t="str">
        <f>IF(AA1400="","",'Procyfloc 500'!L401)</f>
        <v/>
      </c>
      <c r="AF1400">
        <f t="shared" si="143"/>
        <v>0</v>
      </c>
      <c r="AG1400" t="str">
        <f t="shared" si="144"/>
        <v/>
      </c>
      <c r="AH1400" t="str">
        <f t="shared" si="145"/>
        <v/>
      </c>
      <c r="AI1400">
        <f t="shared" si="146"/>
        <v>0</v>
      </c>
      <c r="AJ1400">
        <f t="shared" si="147"/>
        <v>0</v>
      </c>
      <c r="AK1400">
        <v>0</v>
      </c>
      <c r="AL1400" t="str">
        <f>IF(AA1400="","",IFERROR(IF(ISNUMBER('Procyfloc 500'!D401),'Procyfloc 500'!D401,IF(ISNUMBER(SEARCH("12",'Procyfloc 500'!D401)),EDATE(AB1400,12),IF(ISNUMBER(SEARCH("6",'Procyfloc 500'!D401)),EDATE(AB1400,6),IF(ISNUMBER(SEARCH("3",'Procyfloc 500'!D401)),EDATE(AB1400,3),DATEVALUE('Procyfloc 500'!D401))))),""))</f>
        <v/>
      </c>
      <c r="AM1400" t="str">
        <f t="shared" ca="1" si="148"/>
        <v/>
      </c>
    </row>
    <row r="1401" spans="27:39" x14ac:dyDescent="0.3">
      <c r="AA1401" t="str">
        <f>IF(COUNTA('Procyfloc 500'!A402,'Procyfloc 500'!B402,'Procyfloc 500'!C402)&gt;0,"500","")</f>
        <v/>
      </c>
      <c r="AB1401" t="str">
        <f>IFERROR(IF(ISNUMBER('Procyfloc 500'!A402),'Procyfloc 500'!A402,DATEVALUE('Procyfloc 500'!A402)),"")</f>
        <v/>
      </c>
      <c r="AC1401" t="str">
        <f>IF(AA1401="","",'Procyfloc 500'!B402)</f>
        <v/>
      </c>
      <c r="AD1401" t="str">
        <f>IF(AA1401="","",IFERROR(1*'Procyfloc 500'!C402,IFERROR(_xludf.NUMBERVALUE('Procyfloc 500'!C402,".",","),IFERROR(_xludf.NUMBERVALUE('Procyfloc 500'!C402,",","."),0))))</f>
        <v/>
      </c>
      <c r="AE1401" t="str">
        <f>IF(AA1401="","",'Procyfloc 500'!L402)</f>
        <v/>
      </c>
      <c r="AF1401">
        <f t="shared" si="143"/>
        <v>0</v>
      </c>
      <c r="AG1401" t="str">
        <f t="shared" si="144"/>
        <v/>
      </c>
      <c r="AH1401" t="str">
        <f t="shared" si="145"/>
        <v/>
      </c>
      <c r="AI1401">
        <f t="shared" si="146"/>
        <v>0</v>
      </c>
      <c r="AJ1401">
        <f t="shared" si="147"/>
        <v>0</v>
      </c>
      <c r="AK1401">
        <v>0</v>
      </c>
      <c r="AL1401" t="str">
        <f>IF(AA1401="","",IFERROR(IF(ISNUMBER('Procyfloc 500'!D402),'Procyfloc 500'!D402,IF(ISNUMBER(SEARCH("12",'Procyfloc 500'!D402)),EDATE(AB1401,12),IF(ISNUMBER(SEARCH("6",'Procyfloc 500'!D402)),EDATE(AB1401,6),IF(ISNUMBER(SEARCH("3",'Procyfloc 500'!D402)),EDATE(AB1401,3),DATEVALUE('Procyfloc 500'!D402))))),""))</f>
        <v/>
      </c>
      <c r="AM1401" t="str">
        <f t="shared" ca="1" si="148"/>
        <v/>
      </c>
    </row>
    <row r="1402" spans="27:39" x14ac:dyDescent="0.3">
      <c r="AA1402" t="str">
        <f>IF(COUNTA('Procyfloc 500'!A403,'Procyfloc 500'!B403,'Procyfloc 500'!C403)&gt;0,"500","")</f>
        <v/>
      </c>
      <c r="AB1402" t="str">
        <f>IFERROR(IF(ISNUMBER('Procyfloc 500'!A403),'Procyfloc 500'!A403,DATEVALUE('Procyfloc 500'!A403)),"")</f>
        <v/>
      </c>
      <c r="AC1402" t="str">
        <f>IF(AA1402="","",'Procyfloc 500'!B403)</f>
        <v/>
      </c>
      <c r="AD1402" t="str">
        <f>IF(AA1402="","",IFERROR(1*'Procyfloc 500'!C403,IFERROR(_xludf.NUMBERVALUE('Procyfloc 500'!C403,".",","),IFERROR(_xludf.NUMBERVALUE('Procyfloc 500'!C403,",","."),0))))</f>
        <v/>
      </c>
      <c r="AE1402" t="str">
        <f>IF(AA1402="","",'Procyfloc 500'!L403)</f>
        <v/>
      </c>
      <c r="AF1402">
        <f t="shared" si="143"/>
        <v>0</v>
      </c>
      <c r="AG1402" t="str">
        <f t="shared" si="144"/>
        <v/>
      </c>
      <c r="AH1402" t="str">
        <f t="shared" si="145"/>
        <v/>
      </c>
      <c r="AI1402">
        <f t="shared" si="146"/>
        <v>0</v>
      </c>
      <c r="AJ1402">
        <f t="shared" si="147"/>
        <v>0</v>
      </c>
      <c r="AK1402">
        <v>0</v>
      </c>
      <c r="AL1402" t="str">
        <f>IF(AA1402="","",IFERROR(IF(ISNUMBER('Procyfloc 500'!D403),'Procyfloc 500'!D403,IF(ISNUMBER(SEARCH("12",'Procyfloc 500'!D403)),EDATE(AB1402,12),IF(ISNUMBER(SEARCH("6",'Procyfloc 500'!D403)),EDATE(AB1402,6),IF(ISNUMBER(SEARCH("3",'Procyfloc 500'!D403)),EDATE(AB1402,3),DATEVALUE('Procyfloc 500'!D403))))),""))</f>
        <v/>
      </c>
      <c r="AM1402" t="str">
        <f t="shared" ca="1" si="148"/>
        <v/>
      </c>
    </row>
    <row r="1403" spans="27:39" x14ac:dyDescent="0.3">
      <c r="AA1403" t="str">
        <f>IF(COUNTA('Procyfloc 500'!A404,'Procyfloc 500'!B404,'Procyfloc 500'!C404)&gt;0,"500","")</f>
        <v/>
      </c>
      <c r="AB1403" t="str">
        <f>IFERROR(IF(ISNUMBER('Procyfloc 500'!A404),'Procyfloc 500'!A404,DATEVALUE('Procyfloc 500'!A404)),"")</f>
        <v/>
      </c>
      <c r="AC1403" t="str">
        <f>IF(AA1403="","",'Procyfloc 500'!B404)</f>
        <v/>
      </c>
      <c r="AD1403" t="str">
        <f>IF(AA1403="","",IFERROR(1*'Procyfloc 500'!C404,IFERROR(_xludf.NUMBERVALUE('Procyfloc 500'!C404,".",","),IFERROR(_xludf.NUMBERVALUE('Procyfloc 500'!C404,",","."),0))))</f>
        <v/>
      </c>
      <c r="AE1403" t="str">
        <f>IF(AA1403="","",'Procyfloc 500'!L404)</f>
        <v/>
      </c>
      <c r="AF1403">
        <f t="shared" si="143"/>
        <v>0</v>
      </c>
      <c r="AG1403" t="str">
        <f t="shared" si="144"/>
        <v/>
      </c>
      <c r="AH1403" t="str">
        <f t="shared" si="145"/>
        <v/>
      </c>
      <c r="AI1403">
        <f t="shared" si="146"/>
        <v>0</v>
      </c>
      <c r="AJ1403">
        <f t="shared" si="147"/>
        <v>0</v>
      </c>
      <c r="AK1403">
        <v>0</v>
      </c>
      <c r="AL1403" t="str">
        <f>IF(AA1403="","",IFERROR(IF(ISNUMBER('Procyfloc 500'!D404),'Procyfloc 500'!D404,IF(ISNUMBER(SEARCH("12",'Procyfloc 500'!D404)),EDATE(AB1403,12),IF(ISNUMBER(SEARCH("6",'Procyfloc 500'!D404)),EDATE(AB1403,6),IF(ISNUMBER(SEARCH("3",'Procyfloc 500'!D404)),EDATE(AB1403,3),DATEVALUE('Procyfloc 500'!D404))))),""))</f>
        <v/>
      </c>
      <c r="AM1403" t="str">
        <f t="shared" ca="1" si="148"/>
        <v/>
      </c>
    </row>
    <row r="1404" spans="27:39" x14ac:dyDescent="0.3">
      <c r="AA1404" t="str">
        <f>IF(COUNTA('Procyfloc 500'!A405,'Procyfloc 500'!B405,'Procyfloc 500'!C405)&gt;0,"500","")</f>
        <v/>
      </c>
      <c r="AB1404" t="str">
        <f>IFERROR(IF(ISNUMBER('Procyfloc 500'!A405),'Procyfloc 500'!A405,DATEVALUE('Procyfloc 500'!A405)),"")</f>
        <v/>
      </c>
      <c r="AC1404" t="str">
        <f>IF(AA1404="","",'Procyfloc 500'!B405)</f>
        <v/>
      </c>
      <c r="AD1404" t="str">
        <f>IF(AA1404="","",IFERROR(1*'Procyfloc 500'!C405,IFERROR(_xludf.NUMBERVALUE('Procyfloc 500'!C405,".",","),IFERROR(_xludf.NUMBERVALUE('Procyfloc 500'!C405,",","."),0))))</f>
        <v/>
      </c>
      <c r="AE1404" t="str">
        <f>IF(AA1404="","",'Procyfloc 500'!L405)</f>
        <v/>
      </c>
      <c r="AF1404">
        <f t="shared" si="143"/>
        <v>0</v>
      </c>
      <c r="AG1404" t="str">
        <f t="shared" si="144"/>
        <v/>
      </c>
      <c r="AH1404" t="str">
        <f t="shared" si="145"/>
        <v/>
      </c>
      <c r="AI1404">
        <f t="shared" si="146"/>
        <v>0</v>
      </c>
      <c r="AJ1404">
        <f t="shared" si="147"/>
        <v>0</v>
      </c>
      <c r="AK1404">
        <v>0</v>
      </c>
      <c r="AL1404" t="str">
        <f>IF(AA1404="","",IFERROR(IF(ISNUMBER('Procyfloc 500'!D405),'Procyfloc 500'!D405,IF(ISNUMBER(SEARCH("12",'Procyfloc 500'!D405)),EDATE(AB1404,12),IF(ISNUMBER(SEARCH("6",'Procyfloc 500'!D405)),EDATE(AB1404,6),IF(ISNUMBER(SEARCH("3",'Procyfloc 500'!D405)),EDATE(AB1404,3),DATEVALUE('Procyfloc 500'!D405))))),""))</f>
        <v/>
      </c>
      <c r="AM1404" t="str">
        <f t="shared" ca="1" si="148"/>
        <v/>
      </c>
    </row>
    <row r="1405" spans="27:39" x14ac:dyDescent="0.3">
      <c r="AA1405" t="str">
        <f>IF(COUNTA('Procyfloc 500'!A406,'Procyfloc 500'!B406,'Procyfloc 500'!C406)&gt;0,"500","")</f>
        <v/>
      </c>
      <c r="AB1405" t="str">
        <f>IFERROR(IF(ISNUMBER('Procyfloc 500'!A406),'Procyfloc 500'!A406,DATEVALUE('Procyfloc 500'!A406)),"")</f>
        <v/>
      </c>
      <c r="AC1405" t="str">
        <f>IF(AA1405="","",'Procyfloc 500'!B406)</f>
        <v/>
      </c>
      <c r="AD1405" t="str">
        <f>IF(AA1405="","",IFERROR(1*'Procyfloc 500'!C406,IFERROR(_xludf.NUMBERVALUE('Procyfloc 500'!C406,".",","),IFERROR(_xludf.NUMBERVALUE('Procyfloc 500'!C406,",","."),0))))</f>
        <v/>
      </c>
      <c r="AE1405" t="str">
        <f>IF(AA1405="","",'Procyfloc 500'!L406)</f>
        <v/>
      </c>
      <c r="AF1405">
        <f t="shared" si="143"/>
        <v>0</v>
      </c>
      <c r="AG1405" t="str">
        <f t="shared" si="144"/>
        <v/>
      </c>
      <c r="AH1405" t="str">
        <f t="shared" si="145"/>
        <v/>
      </c>
      <c r="AI1405">
        <f t="shared" si="146"/>
        <v>0</v>
      </c>
      <c r="AJ1405">
        <f t="shared" si="147"/>
        <v>0</v>
      </c>
      <c r="AK1405">
        <v>0</v>
      </c>
      <c r="AL1405" t="str">
        <f>IF(AA1405="","",IFERROR(IF(ISNUMBER('Procyfloc 500'!D406),'Procyfloc 500'!D406,IF(ISNUMBER(SEARCH("12",'Procyfloc 500'!D406)),EDATE(AB1405,12),IF(ISNUMBER(SEARCH("6",'Procyfloc 500'!D406)),EDATE(AB1405,6),IF(ISNUMBER(SEARCH("3",'Procyfloc 500'!D406)),EDATE(AB1405,3),DATEVALUE('Procyfloc 500'!D406))))),""))</f>
        <v/>
      </c>
      <c r="AM1405" t="str">
        <f t="shared" ca="1" si="148"/>
        <v/>
      </c>
    </row>
    <row r="1406" spans="27:39" x14ac:dyDescent="0.3">
      <c r="AA1406" t="str">
        <f>IF(COUNTA('Procyfloc 500'!A407,'Procyfloc 500'!B407,'Procyfloc 500'!C407)&gt;0,"500","")</f>
        <v/>
      </c>
      <c r="AB1406" t="str">
        <f>IFERROR(IF(ISNUMBER('Procyfloc 500'!A407),'Procyfloc 500'!A407,DATEVALUE('Procyfloc 500'!A407)),"")</f>
        <v/>
      </c>
      <c r="AC1406" t="str">
        <f>IF(AA1406="","",'Procyfloc 500'!B407)</f>
        <v/>
      </c>
      <c r="AD1406" t="str">
        <f>IF(AA1406="","",IFERROR(1*'Procyfloc 500'!C407,IFERROR(_xludf.NUMBERVALUE('Procyfloc 500'!C407,".",","),IFERROR(_xludf.NUMBERVALUE('Procyfloc 500'!C407,",","."),0))))</f>
        <v/>
      </c>
      <c r="AE1406" t="str">
        <f>IF(AA1406="","",'Procyfloc 500'!L407)</f>
        <v/>
      </c>
      <c r="AF1406">
        <f t="shared" si="143"/>
        <v>0</v>
      </c>
      <c r="AG1406" t="str">
        <f t="shared" si="144"/>
        <v/>
      </c>
      <c r="AH1406" t="str">
        <f t="shared" si="145"/>
        <v/>
      </c>
      <c r="AI1406">
        <f t="shared" si="146"/>
        <v>0</v>
      </c>
      <c r="AJ1406">
        <f t="shared" si="147"/>
        <v>0</v>
      </c>
      <c r="AK1406">
        <v>0</v>
      </c>
      <c r="AL1406" t="str">
        <f>IF(AA1406="","",IFERROR(IF(ISNUMBER('Procyfloc 500'!D407),'Procyfloc 500'!D407,IF(ISNUMBER(SEARCH("12",'Procyfloc 500'!D407)),EDATE(AB1406,12),IF(ISNUMBER(SEARCH("6",'Procyfloc 500'!D407)),EDATE(AB1406,6),IF(ISNUMBER(SEARCH("3",'Procyfloc 500'!D407)),EDATE(AB1406,3),DATEVALUE('Procyfloc 500'!D407))))),""))</f>
        <v/>
      </c>
      <c r="AM1406" t="str">
        <f t="shared" ca="1" si="148"/>
        <v/>
      </c>
    </row>
    <row r="1407" spans="27:39" x14ac:dyDescent="0.3">
      <c r="AA1407" t="str">
        <f>IF(COUNTA('Procyfloc 500'!A408,'Procyfloc 500'!B408,'Procyfloc 500'!C408)&gt;0,"500","")</f>
        <v/>
      </c>
      <c r="AB1407" t="str">
        <f>IFERROR(IF(ISNUMBER('Procyfloc 500'!A408),'Procyfloc 500'!A408,DATEVALUE('Procyfloc 500'!A408)),"")</f>
        <v/>
      </c>
      <c r="AC1407" t="str">
        <f>IF(AA1407="","",'Procyfloc 500'!B408)</f>
        <v/>
      </c>
      <c r="AD1407" t="str">
        <f>IF(AA1407="","",IFERROR(1*'Procyfloc 500'!C408,IFERROR(_xludf.NUMBERVALUE('Procyfloc 500'!C408,".",","),IFERROR(_xludf.NUMBERVALUE('Procyfloc 500'!C408,",","."),0))))</f>
        <v/>
      </c>
      <c r="AE1407" t="str">
        <f>IF(AA1407="","",'Procyfloc 500'!L408)</f>
        <v/>
      </c>
      <c r="AF1407">
        <f t="shared" si="143"/>
        <v>0</v>
      </c>
      <c r="AG1407" t="str">
        <f t="shared" si="144"/>
        <v/>
      </c>
      <c r="AH1407" t="str">
        <f t="shared" si="145"/>
        <v/>
      </c>
      <c r="AI1407">
        <f t="shared" si="146"/>
        <v>0</v>
      </c>
      <c r="AJ1407">
        <f t="shared" si="147"/>
        <v>0</v>
      </c>
      <c r="AK1407">
        <v>0</v>
      </c>
      <c r="AL1407" t="str">
        <f>IF(AA1407="","",IFERROR(IF(ISNUMBER('Procyfloc 500'!D408),'Procyfloc 500'!D408,IF(ISNUMBER(SEARCH("12",'Procyfloc 500'!D408)),EDATE(AB1407,12),IF(ISNUMBER(SEARCH("6",'Procyfloc 500'!D408)),EDATE(AB1407,6),IF(ISNUMBER(SEARCH("3",'Procyfloc 500'!D408)),EDATE(AB1407,3),DATEVALUE('Procyfloc 500'!D408))))),""))</f>
        <v/>
      </c>
      <c r="AM1407" t="str">
        <f t="shared" ca="1" si="148"/>
        <v/>
      </c>
    </row>
    <row r="1408" spans="27:39" x14ac:dyDescent="0.3">
      <c r="AA1408" t="str">
        <f>IF(COUNTA('Procyfloc 500'!A409,'Procyfloc 500'!B409,'Procyfloc 500'!C409)&gt;0,"500","")</f>
        <v/>
      </c>
      <c r="AB1408" t="str">
        <f>IFERROR(IF(ISNUMBER('Procyfloc 500'!A409),'Procyfloc 500'!A409,DATEVALUE('Procyfloc 500'!A409)),"")</f>
        <v/>
      </c>
      <c r="AC1408" t="str">
        <f>IF(AA1408="","",'Procyfloc 500'!B409)</f>
        <v/>
      </c>
      <c r="AD1408" t="str">
        <f>IF(AA1408="","",IFERROR(1*'Procyfloc 500'!C409,IFERROR(_xludf.NUMBERVALUE('Procyfloc 500'!C409,".",","),IFERROR(_xludf.NUMBERVALUE('Procyfloc 500'!C409,",","."),0))))</f>
        <v/>
      </c>
      <c r="AE1408" t="str">
        <f>IF(AA1408="","",'Procyfloc 500'!L409)</f>
        <v/>
      </c>
      <c r="AF1408">
        <f t="shared" si="143"/>
        <v>0</v>
      </c>
      <c r="AG1408" t="str">
        <f t="shared" si="144"/>
        <v/>
      </c>
      <c r="AH1408" t="str">
        <f t="shared" si="145"/>
        <v/>
      </c>
      <c r="AI1408">
        <f t="shared" si="146"/>
        <v>0</v>
      </c>
      <c r="AJ1408">
        <f t="shared" si="147"/>
        <v>0</v>
      </c>
      <c r="AK1408">
        <v>0</v>
      </c>
      <c r="AL1408" t="str">
        <f>IF(AA1408="","",IFERROR(IF(ISNUMBER('Procyfloc 500'!D409),'Procyfloc 500'!D409,IF(ISNUMBER(SEARCH("12",'Procyfloc 500'!D409)),EDATE(AB1408,12),IF(ISNUMBER(SEARCH("6",'Procyfloc 500'!D409)),EDATE(AB1408,6),IF(ISNUMBER(SEARCH("3",'Procyfloc 500'!D409)),EDATE(AB1408,3),DATEVALUE('Procyfloc 500'!D409))))),""))</f>
        <v/>
      </c>
      <c r="AM1408" t="str">
        <f t="shared" ca="1" si="148"/>
        <v/>
      </c>
    </row>
    <row r="1409" spans="27:39" x14ac:dyDescent="0.3">
      <c r="AA1409" t="str">
        <f>IF(COUNTA('Procyfloc 500'!A410,'Procyfloc 500'!B410,'Procyfloc 500'!C410)&gt;0,"500","")</f>
        <v/>
      </c>
      <c r="AB1409" t="str">
        <f>IFERROR(IF(ISNUMBER('Procyfloc 500'!A410),'Procyfloc 500'!A410,DATEVALUE('Procyfloc 500'!A410)),"")</f>
        <v/>
      </c>
      <c r="AC1409" t="str">
        <f>IF(AA1409="","",'Procyfloc 500'!B410)</f>
        <v/>
      </c>
      <c r="AD1409" t="str">
        <f>IF(AA1409="","",IFERROR(1*'Procyfloc 500'!C410,IFERROR(_xludf.NUMBERVALUE('Procyfloc 500'!C410,".",","),IFERROR(_xludf.NUMBERVALUE('Procyfloc 500'!C410,",","."),0))))</f>
        <v/>
      </c>
      <c r="AE1409" t="str">
        <f>IF(AA1409="","",'Procyfloc 500'!L410)</f>
        <v/>
      </c>
      <c r="AF1409">
        <f t="shared" si="143"/>
        <v>0</v>
      </c>
      <c r="AG1409" t="str">
        <f t="shared" si="144"/>
        <v/>
      </c>
      <c r="AH1409" t="str">
        <f t="shared" si="145"/>
        <v/>
      </c>
      <c r="AI1409">
        <f t="shared" si="146"/>
        <v>0</v>
      </c>
      <c r="AJ1409">
        <f t="shared" si="147"/>
        <v>0</v>
      </c>
      <c r="AK1409">
        <v>0</v>
      </c>
      <c r="AL1409" t="str">
        <f>IF(AA1409="","",IFERROR(IF(ISNUMBER('Procyfloc 500'!D410),'Procyfloc 500'!D410,IF(ISNUMBER(SEARCH("12",'Procyfloc 500'!D410)),EDATE(AB1409,12),IF(ISNUMBER(SEARCH("6",'Procyfloc 500'!D410)),EDATE(AB1409,6),IF(ISNUMBER(SEARCH("3",'Procyfloc 500'!D410)),EDATE(AB1409,3),DATEVALUE('Procyfloc 500'!D410))))),""))</f>
        <v/>
      </c>
      <c r="AM1409" t="str">
        <f t="shared" ca="1" si="148"/>
        <v/>
      </c>
    </row>
    <row r="1410" spans="27:39" x14ac:dyDescent="0.3">
      <c r="AA1410" t="str">
        <f>IF(COUNTA('Procyfloc 500'!A411,'Procyfloc 500'!B411,'Procyfloc 500'!C411)&gt;0,"500","")</f>
        <v/>
      </c>
      <c r="AB1410" t="str">
        <f>IFERROR(IF(ISNUMBER('Procyfloc 500'!A411),'Procyfloc 500'!A411,DATEVALUE('Procyfloc 500'!A411)),"")</f>
        <v/>
      </c>
      <c r="AC1410" t="str">
        <f>IF(AA1410="","",'Procyfloc 500'!B411)</f>
        <v/>
      </c>
      <c r="AD1410" t="str">
        <f>IF(AA1410="","",IFERROR(1*'Procyfloc 500'!C411,IFERROR(_xludf.NUMBERVALUE('Procyfloc 500'!C411,".",","),IFERROR(_xludf.NUMBERVALUE('Procyfloc 500'!C411,",","."),0))))</f>
        <v/>
      </c>
      <c r="AE1410" t="str">
        <f>IF(AA1410="","",'Procyfloc 500'!L411)</f>
        <v/>
      </c>
      <c r="AF1410">
        <f t="shared" ref="AF1410:AF1473" si="149">IF(AA1410="",0,--AND(ISNUMBER(SEARCH("aprov",AE1410)),NOT(ISNUMBER(SEARCH("reprov",AE1410)))))</f>
        <v>0</v>
      </c>
      <c r="AG1410" t="str">
        <f t="shared" ref="AG1410:AG1473" si="150">IF(AB1410="","",YEAR(AB1410))</f>
        <v/>
      </c>
      <c r="AH1410" t="str">
        <f t="shared" ref="AH1410:AH1473" si="151">IF(AB1410="","",MONTH(AB1410))</f>
        <v/>
      </c>
      <c r="AI1410">
        <f t="shared" ref="AI1410:AI1473" si="152">IF(AB1410="",0,AB1410+ROW()/1000000)</f>
        <v>0</v>
      </c>
      <c r="AJ1410">
        <f t="shared" ref="AJ1410:AJ1473" si="153">--(AA1410&lt;&gt;"")</f>
        <v>0</v>
      </c>
      <c r="AK1410">
        <v>0</v>
      </c>
      <c r="AL1410" t="str">
        <f>IF(AA1410="","",IFERROR(IF(ISNUMBER('Procyfloc 500'!D411),'Procyfloc 500'!D411,IF(ISNUMBER(SEARCH("12",'Procyfloc 500'!D411)),EDATE(AB1410,12),IF(ISNUMBER(SEARCH("6",'Procyfloc 500'!D411)),EDATE(AB1410,6),IF(ISNUMBER(SEARCH("3",'Procyfloc 500'!D411)),EDATE(AB1410,3),DATEVALUE('Procyfloc 500'!D411))))),""))</f>
        <v/>
      </c>
      <c r="AM1410" t="str">
        <f t="shared" ref="AM1410:AM1473" ca="1" si="154">IF(AND(AJ1410=1,AL1410&lt;&gt;"",AL1410&gt;=TODAY(),AG1410=$W$3),AL1410+ROW()/1000000,"")</f>
        <v/>
      </c>
    </row>
    <row r="1411" spans="27:39" x14ac:dyDescent="0.3">
      <c r="AA1411" t="str">
        <f>IF(COUNTA('Procyfloc 500'!A412,'Procyfloc 500'!B412,'Procyfloc 500'!C412)&gt;0,"500","")</f>
        <v/>
      </c>
      <c r="AB1411" t="str">
        <f>IFERROR(IF(ISNUMBER('Procyfloc 500'!A412),'Procyfloc 500'!A412,DATEVALUE('Procyfloc 500'!A412)),"")</f>
        <v/>
      </c>
      <c r="AC1411" t="str">
        <f>IF(AA1411="","",'Procyfloc 500'!B412)</f>
        <v/>
      </c>
      <c r="AD1411" t="str">
        <f>IF(AA1411="","",IFERROR(1*'Procyfloc 500'!C412,IFERROR(_xludf.NUMBERVALUE('Procyfloc 500'!C412,".",","),IFERROR(_xludf.NUMBERVALUE('Procyfloc 500'!C412,",","."),0))))</f>
        <v/>
      </c>
      <c r="AE1411" t="str">
        <f>IF(AA1411="","",'Procyfloc 500'!L412)</f>
        <v/>
      </c>
      <c r="AF1411">
        <f t="shared" si="149"/>
        <v>0</v>
      </c>
      <c r="AG1411" t="str">
        <f t="shared" si="150"/>
        <v/>
      </c>
      <c r="AH1411" t="str">
        <f t="shared" si="151"/>
        <v/>
      </c>
      <c r="AI1411">
        <f t="shared" si="152"/>
        <v>0</v>
      </c>
      <c r="AJ1411">
        <f t="shared" si="153"/>
        <v>0</v>
      </c>
      <c r="AK1411">
        <v>0</v>
      </c>
      <c r="AL1411" t="str">
        <f>IF(AA1411="","",IFERROR(IF(ISNUMBER('Procyfloc 500'!D412),'Procyfloc 500'!D412,IF(ISNUMBER(SEARCH("12",'Procyfloc 500'!D412)),EDATE(AB1411,12),IF(ISNUMBER(SEARCH("6",'Procyfloc 500'!D412)),EDATE(AB1411,6),IF(ISNUMBER(SEARCH("3",'Procyfloc 500'!D412)),EDATE(AB1411,3),DATEVALUE('Procyfloc 500'!D412))))),""))</f>
        <v/>
      </c>
      <c r="AM1411" t="str">
        <f t="shared" ca="1" si="154"/>
        <v/>
      </c>
    </row>
    <row r="1412" spans="27:39" x14ac:dyDescent="0.3">
      <c r="AA1412" t="str">
        <f>IF(COUNTA('Procyfloc 500'!A413,'Procyfloc 500'!B413,'Procyfloc 500'!C413)&gt;0,"500","")</f>
        <v/>
      </c>
      <c r="AB1412" t="str">
        <f>IFERROR(IF(ISNUMBER('Procyfloc 500'!A413),'Procyfloc 500'!A413,DATEVALUE('Procyfloc 500'!A413)),"")</f>
        <v/>
      </c>
      <c r="AC1412" t="str">
        <f>IF(AA1412="","",'Procyfloc 500'!B413)</f>
        <v/>
      </c>
      <c r="AD1412" t="str">
        <f>IF(AA1412="","",IFERROR(1*'Procyfloc 500'!C413,IFERROR(_xludf.NUMBERVALUE('Procyfloc 500'!C413,".",","),IFERROR(_xludf.NUMBERVALUE('Procyfloc 500'!C413,",","."),0))))</f>
        <v/>
      </c>
      <c r="AE1412" t="str">
        <f>IF(AA1412="","",'Procyfloc 500'!L413)</f>
        <v/>
      </c>
      <c r="AF1412">
        <f t="shared" si="149"/>
        <v>0</v>
      </c>
      <c r="AG1412" t="str">
        <f t="shared" si="150"/>
        <v/>
      </c>
      <c r="AH1412" t="str">
        <f t="shared" si="151"/>
        <v/>
      </c>
      <c r="AI1412">
        <f t="shared" si="152"/>
        <v>0</v>
      </c>
      <c r="AJ1412">
        <f t="shared" si="153"/>
        <v>0</v>
      </c>
      <c r="AK1412">
        <v>0</v>
      </c>
      <c r="AL1412" t="str">
        <f>IF(AA1412="","",IFERROR(IF(ISNUMBER('Procyfloc 500'!D413),'Procyfloc 500'!D413,IF(ISNUMBER(SEARCH("12",'Procyfloc 500'!D413)),EDATE(AB1412,12),IF(ISNUMBER(SEARCH("6",'Procyfloc 500'!D413)),EDATE(AB1412,6),IF(ISNUMBER(SEARCH("3",'Procyfloc 500'!D413)),EDATE(AB1412,3),DATEVALUE('Procyfloc 500'!D413))))),""))</f>
        <v/>
      </c>
      <c r="AM1412" t="str">
        <f t="shared" ca="1" si="154"/>
        <v/>
      </c>
    </row>
    <row r="1413" spans="27:39" x14ac:dyDescent="0.3">
      <c r="AA1413" t="str">
        <f>IF(COUNTA('Procyfloc 500'!A414,'Procyfloc 500'!B414,'Procyfloc 500'!C414)&gt;0,"500","")</f>
        <v/>
      </c>
      <c r="AB1413" t="str">
        <f>IFERROR(IF(ISNUMBER('Procyfloc 500'!A414),'Procyfloc 500'!A414,DATEVALUE('Procyfloc 500'!A414)),"")</f>
        <v/>
      </c>
      <c r="AC1413" t="str">
        <f>IF(AA1413="","",'Procyfloc 500'!B414)</f>
        <v/>
      </c>
      <c r="AD1413" t="str">
        <f>IF(AA1413="","",IFERROR(1*'Procyfloc 500'!C414,IFERROR(_xludf.NUMBERVALUE('Procyfloc 500'!C414,".",","),IFERROR(_xludf.NUMBERVALUE('Procyfloc 500'!C414,",","."),0))))</f>
        <v/>
      </c>
      <c r="AE1413" t="str">
        <f>IF(AA1413="","",'Procyfloc 500'!L414)</f>
        <v/>
      </c>
      <c r="AF1413">
        <f t="shared" si="149"/>
        <v>0</v>
      </c>
      <c r="AG1413" t="str">
        <f t="shared" si="150"/>
        <v/>
      </c>
      <c r="AH1413" t="str">
        <f t="shared" si="151"/>
        <v/>
      </c>
      <c r="AI1413">
        <f t="shared" si="152"/>
        <v>0</v>
      </c>
      <c r="AJ1413">
        <f t="shared" si="153"/>
        <v>0</v>
      </c>
      <c r="AK1413">
        <v>0</v>
      </c>
      <c r="AL1413" t="str">
        <f>IF(AA1413="","",IFERROR(IF(ISNUMBER('Procyfloc 500'!D414),'Procyfloc 500'!D414,IF(ISNUMBER(SEARCH("12",'Procyfloc 500'!D414)),EDATE(AB1413,12),IF(ISNUMBER(SEARCH("6",'Procyfloc 500'!D414)),EDATE(AB1413,6),IF(ISNUMBER(SEARCH("3",'Procyfloc 500'!D414)),EDATE(AB1413,3),DATEVALUE('Procyfloc 500'!D414))))),""))</f>
        <v/>
      </c>
      <c r="AM1413" t="str">
        <f t="shared" ca="1" si="154"/>
        <v/>
      </c>
    </row>
    <row r="1414" spans="27:39" x14ac:dyDescent="0.3">
      <c r="AA1414" t="str">
        <f>IF(COUNTA('Procyfloc 500'!A415,'Procyfloc 500'!B415,'Procyfloc 500'!C415)&gt;0,"500","")</f>
        <v/>
      </c>
      <c r="AB1414" t="str">
        <f>IFERROR(IF(ISNUMBER('Procyfloc 500'!A415),'Procyfloc 500'!A415,DATEVALUE('Procyfloc 500'!A415)),"")</f>
        <v/>
      </c>
      <c r="AC1414" t="str">
        <f>IF(AA1414="","",'Procyfloc 500'!B415)</f>
        <v/>
      </c>
      <c r="AD1414" t="str">
        <f>IF(AA1414="","",IFERROR(1*'Procyfloc 500'!C415,IFERROR(_xludf.NUMBERVALUE('Procyfloc 500'!C415,".",","),IFERROR(_xludf.NUMBERVALUE('Procyfloc 500'!C415,",","."),0))))</f>
        <v/>
      </c>
      <c r="AE1414" t="str">
        <f>IF(AA1414="","",'Procyfloc 500'!L415)</f>
        <v/>
      </c>
      <c r="AF1414">
        <f t="shared" si="149"/>
        <v>0</v>
      </c>
      <c r="AG1414" t="str">
        <f t="shared" si="150"/>
        <v/>
      </c>
      <c r="AH1414" t="str">
        <f t="shared" si="151"/>
        <v/>
      </c>
      <c r="AI1414">
        <f t="shared" si="152"/>
        <v>0</v>
      </c>
      <c r="AJ1414">
        <f t="shared" si="153"/>
        <v>0</v>
      </c>
      <c r="AK1414">
        <v>0</v>
      </c>
      <c r="AL1414" t="str">
        <f>IF(AA1414="","",IFERROR(IF(ISNUMBER('Procyfloc 500'!D415),'Procyfloc 500'!D415,IF(ISNUMBER(SEARCH("12",'Procyfloc 500'!D415)),EDATE(AB1414,12),IF(ISNUMBER(SEARCH("6",'Procyfloc 500'!D415)),EDATE(AB1414,6),IF(ISNUMBER(SEARCH("3",'Procyfloc 500'!D415)),EDATE(AB1414,3),DATEVALUE('Procyfloc 500'!D415))))),""))</f>
        <v/>
      </c>
      <c r="AM1414" t="str">
        <f t="shared" ca="1" si="154"/>
        <v/>
      </c>
    </row>
    <row r="1415" spans="27:39" x14ac:dyDescent="0.3">
      <c r="AA1415" t="str">
        <f>IF(COUNTA('Procyfloc 500'!A416,'Procyfloc 500'!B416,'Procyfloc 500'!C416)&gt;0,"500","")</f>
        <v/>
      </c>
      <c r="AB1415" t="str">
        <f>IFERROR(IF(ISNUMBER('Procyfloc 500'!A416),'Procyfloc 500'!A416,DATEVALUE('Procyfloc 500'!A416)),"")</f>
        <v/>
      </c>
      <c r="AC1415" t="str">
        <f>IF(AA1415="","",'Procyfloc 500'!B416)</f>
        <v/>
      </c>
      <c r="AD1415" t="str">
        <f>IF(AA1415="","",IFERROR(1*'Procyfloc 500'!C416,IFERROR(_xludf.NUMBERVALUE('Procyfloc 500'!C416,".",","),IFERROR(_xludf.NUMBERVALUE('Procyfloc 500'!C416,",","."),0))))</f>
        <v/>
      </c>
      <c r="AE1415" t="str">
        <f>IF(AA1415="","",'Procyfloc 500'!L416)</f>
        <v/>
      </c>
      <c r="AF1415">
        <f t="shared" si="149"/>
        <v>0</v>
      </c>
      <c r="AG1415" t="str">
        <f t="shared" si="150"/>
        <v/>
      </c>
      <c r="AH1415" t="str">
        <f t="shared" si="151"/>
        <v/>
      </c>
      <c r="AI1415">
        <f t="shared" si="152"/>
        <v>0</v>
      </c>
      <c r="AJ1415">
        <f t="shared" si="153"/>
        <v>0</v>
      </c>
      <c r="AK1415">
        <v>0</v>
      </c>
      <c r="AL1415" t="str">
        <f>IF(AA1415="","",IFERROR(IF(ISNUMBER('Procyfloc 500'!D416),'Procyfloc 500'!D416,IF(ISNUMBER(SEARCH("12",'Procyfloc 500'!D416)),EDATE(AB1415,12),IF(ISNUMBER(SEARCH("6",'Procyfloc 500'!D416)),EDATE(AB1415,6),IF(ISNUMBER(SEARCH("3",'Procyfloc 500'!D416)),EDATE(AB1415,3),DATEVALUE('Procyfloc 500'!D416))))),""))</f>
        <v/>
      </c>
      <c r="AM1415" t="str">
        <f t="shared" ca="1" si="154"/>
        <v/>
      </c>
    </row>
    <row r="1416" spans="27:39" x14ac:dyDescent="0.3">
      <c r="AA1416" t="str">
        <f>IF(COUNTA('Procyfloc 500'!A417,'Procyfloc 500'!B417,'Procyfloc 500'!C417)&gt;0,"500","")</f>
        <v/>
      </c>
      <c r="AB1416" t="str">
        <f>IFERROR(IF(ISNUMBER('Procyfloc 500'!A417),'Procyfloc 500'!A417,DATEVALUE('Procyfloc 500'!A417)),"")</f>
        <v/>
      </c>
      <c r="AC1416" t="str">
        <f>IF(AA1416="","",'Procyfloc 500'!B417)</f>
        <v/>
      </c>
      <c r="AD1416" t="str">
        <f>IF(AA1416="","",IFERROR(1*'Procyfloc 500'!C417,IFERROR(_xludf.NUMBERVALUE('Procyfloc 500'!C417,".",","),IFERROR(_xludf.NUMBERVALUE('Procyfloc 500'!C417,",","."),0))))</f>
        <v/>
      </c>
      <c r="AE1416" t="str">
        <f>IF(AA1416="","",'Procyfloc 500'!L417)</f>
        <v/>
      </c>
      <c r="AF1416">
        <f t="shared" si="149"/>
        <v>0</v>
      </c>
      <c r="AG1416" t="str">
        <f t="shared" si="150"/>
        <v/>
      </c>
      <c r="AH1416" t="str">
        <f t="shared" si="151"/>
        <v/>
      </c>
      <c r="AI1416">
        <f t="shared" si="152"/>
        <v>0</v>
      </c>
      <c r="AJ1416">
        <f t="shared" si="153"/>
        <v>0</v>
      </c>
      <c r="AK1416">
        <v>0</v>
      </c>
      <c r="AL1416" t="str">
        <f>IF(AA1416="","",IFERROR(IF(ISNUMBER('Procyfloc 500'!D417),'Procyfloc 500'!D417,IF(ISNUMBER(SEARCH("12",'Procyfloc 500'!D417)),EDATE(AB1416,12),IF(ISNUMBER(SEARCH("6",'Procyfloc 500'!D417)),EDATE(AB1416,6),IF(ISNUMBER(SEARCH("3",'Procyfloc 500'!D417)),EDATE(AB1416,3),DATEVALUE('Procyfloc 500'!D417))))),""))</f>
        <v/>
      </c>
      <c r="AM1416" t="str">
        <f t="shared" ca="1" si="154"/>
        <v/>
      </c>
    </row>
    <row r="1417" spans="27:39" x14ac:dyDescent="0.3">
      <c r="AA1417" t="str">
        <f>IF(COUNTA('Procyfloc 500'!A418,'Procyfloc 500'!B418,'Procyfloc 500'!C418)&gt;0,"500","")</f>
        <v/>
      </c>
      <c r="AB1417" t="str">
        <f>IFERROR(IF(ISNUMBER('Procyfloc 500'!A418),'Procyfloc 500'!A418,DATEVALUE('Procyfloc 500'!A418)),"")</f>
        <v/>
      </c>
      <c r="AC1417" t="str">
        <f>IF(AA1417="","",'Procyfloc 500'!B418)</f>
        <v/>
      </c>
      <c r="AD1417" t="str">
        <f>IF(AA1417="","",IFERROR(1*'Procyfloc 500'!C418,IFERROR(_xludf.NUMBERVALUE('Procyfloc 500'!C418,".",","),IFERROR(_xludf.NUMBERVALUE('Procyfloc 500'!C418,",","."),0))))</f>
        <v/>
      </c>
      <c r="AE1417" t="str">
        <f>IF(AA1417="","",'Procyfloc 500'!L418)</f>
        <v/>
      </c>
      <c r="AF1417">
        <f t="shared" si="149"/>
        <v>0</v>
      </c>
      <c r="AG1417" t="str">
        <f t="shared" si="150"/>
        <v/>
      </c>
      <c r="AH1417" t="str">
        <f t="shared" si="151"/>
        <v/>
      </c>
      <c r="AI1417">
        <f t="shared" si="152"/>
        <v>0</v>
      </c>
      <c r="AJ1417">
        <f t="shared" si="153"/>
        <v>0</v>
      </c>
      <c r="AK1417">
        <v>0</v>
      </c>
      <c r="AL1417" t="str">
        <f>IF(AA1417="","",IFERROR(IF(ISNUMBER('Procyfloc 500'!D418),'Procyfloc 500'!D418,IF(ISNUMBER(SEARCH("12",'Procyfloc 500'!D418)),EDATE(AB1417,12),IF(ISNUMBER(SEARCH("6",'Procyfloc 500'!D418)),EDATE(AB1417,6),IF(ISNUMBER(SEARCH("3",'Procyfloc 500'!D418)),EDATE(AB1417,3),DATEVALUE('Procyfloc 500'!D418))))),""))</f>
        <v/>
      </c>
      <c r="AM1417" t="str">
        <f t="shared" ca="1" si="154"/>
        <v/>
      </c>
    </row>
    <row r="1418" spans="27:39" x14ac:dyDescent="0.3">
      <c r="AA1418" t="str">
        <f>IF(COUNTA('Procyfloc 500'!A419,'Procyfloc 500'!B419,'Procyfloc 500'!C419)&gt;0,"500","")</f>
        <v/>
      </c>
      <c r="AB1418" t="str">
        <f>IFERROR(IF(ISNUMBER('Procyfloc 500'!A419),'Procyfloc 500'!A419,DATEVALUE('Procyfloc 500'!A419)),"")</f>
        <v/>
      </c>
      <c r="AC1418" t="str">
        <f>IF(AA1418="","",'Procyfloc 500'!B419)</f>
        <v/>
      </c>
      <c r="AD1418" t="str">
        <f>IF(AA1418="","",IFERROR(1*'Procyfloc 500'!C419,IFERROR(_xludf.NUMBERVALUE('Procyfloc 500'!C419,".",","),IFERROR(_xludf.NUMBERVALUE('Procyfloc 500'!C419,",","."),0))))</f>
        <v/>
      </c>
      <c r="AE1418" t="str">
        <f>IF(AA1418="","",'Procyfloc 500'!L419)</f>
        <v/>
      </c>
      <c r="AF1418">
        <f t="shared" si="149"/>
        <v>0</v>
      </c>
      <c r="AG1418" t="str">
        <f t="shared" si="150"/>
        <v/>
      </c>
      <c r="AH1418" t="str">
        <f t="shared" si="151"/>
        <v/>
      </c>
      <c r="AI1418">
        <f t="shared" si="152"/>
        <v>0</v>
      </c>
      <c r="AJ1418">
        <f t="shared" si="153"/>
        <v>0</v>
      </c>
      <c r="AK1418">
        <v>0</v>
      </c>
      <c r="AL1418" t="str">
        <f>IF(AA1418="","",IFERROR(IF(ISNUMBER('Procyfloc 500'!D419),'Procyfloc 500'!D419,IF(ISNUMBER(SEARCH("12",'Procyfloc 500'!D419)),EDATE(AB1418,12),IF(ISNUMBER(SEARCH("6",'Procyfloc 500'!D419)),EDATE(AB1418,6),IF(ISNUMBER(SEARCH("3",'Procyfloc 500'!D419)),EDATE(AB1418,3),DATEVALUE('Procyfloc 500'!D419))))),""))</f>
        <v/>
      </c>
      <c r="AM1418" t="str">
        <f t="shared" ca="1" si="154"/>
        <v/>
      </c>
    </row>
    <row r="1419" spans="27:39" x14ac:dyDescent="0.3">
      <c r="AA1419" t="str">
        <f>IF(COUNTA('Procyfloc 500'!A420,'Procyfloc 500'!B420,'Procyfloc 500'!C420)&gt;0,"500","")</f>
        <v/>
      </c>
      <c r="AB1419" t="str">
        <f>IFERROR(IF(ISNUMBER('Procyfloc 500'!A420),'Procyfloc 500'!A420,DATEVALUE('Procyfloc 500'!A420)),"")</f>
        <v/>
      </c>
      <c r="AC1419" t="str">
        <f>IF(AA1419="","",'Procyfloc 500'!B420)</f>
        <v/>
      </c>
      <c r="AD1419" t="str">
        <f>IF(AA1419="","",IFERROR(1*'Procyfloc 500'!C420,IFERROR(_xludf.NUMBERVALUE('Procyfloc 500'!C420,".",","),IFERROR(_xludf.NUMBERVALUE('Procyfloc 500'!C420,",","."),0))))</f>
        <v/>
      </c>
      <c r="AE1419" t="str">
        <f>IF(AA1419="","",'Procyfloc 500'!L420)</f>
        <v/>
      </c>
      <c r="AF1419">
        <f t="shared" si="149"/>
        <v>0</v>
      </c>
      <c r="AG1419" t="str">
        <f t="shared" si="150"/>
        <v/>
      </c>
      <c r="AH1419" t="str">
        <f t="shared" si="151"/>
        <v/>
      </c>
      <c r="AI1419">
        <f t="shared" si="152"/>
        <v>0</v>
      </c>
      <c r="AJ1419">
        <f t="shared" si="153"/>
        <v>0</v>
      </c>
      <c r="AK1419">
        <v>0</v>
      </c>
      <c r="AL1419" t="str">
        <f>IF(AA1419="","",IFERROR(IF(ISNUMBER('Procyfloc 500'!D420),'Procyfloc 500'!D420,IF(ISNUMBER(SEARCH("12",'Procyfloc 500'!D420)),EDATE(AB1419,12),IF(ISNUMBER(SEARCH("6",'Procyfloc 500'!D420)),EDATE(AB1419,6),IF(ISNUMBER(SEARCH("3",'Procyfloc 500'!D420)),EDATE(AB1419,3),DATEVALUE('Procyfloc 500'!D420))))),""))</f>
        <v/>
      </c>
      <c r="AM1419" t="str">
        <f t="shared" ca="1" si="154"/>
        <v/>
      </c>
    </row>
    <row r="1420" spans="27:39" x14ac:dyDescent="0.3">
      <c r="AA1420" t="str">
        <f>IF(COUNTA('Procyfloc 500'!A421,'Procyfloc 500'!B421,'Procyfloc 500'!C421)&gt;0,"500","")</f>
        <v/>
      </c>
      <c r="AB1420" t="str">
        <f>IFERROR(IF(ISNUMBER('Procyfloc 500'!A421),'Procyfloc 500'!A421,DATEVALUE('Procyfloc 500'!A421)),"")</f>
        <v/>
      </c>
      <c r="AC1420" t="str">
        <f>IF(AA1420="","",'Procyfloc 500'!B421)</f>
        <v/>
      </c>
      <c r="AD1420" t="str">
        <f>IF(AA1420="","",IFERROR(1*'Procyfloc 500'!C421,IFERROR(_xludf.NUMBERVALUE('Procyfloc 500'!C421,".",","),IFERROR(_xludf.NUMBERVALUE('Procyfloc 500'!C421,",","."),0))))</f>
        <v/>
      </c>
      <c r="AE1420" t="str">
        <f>IF(AA1420="","",'Procyfloc 500'!L421)</f>
        <v/>
      </c>
      <c r="AF1420">
        <f t="shared" si="149"/>
        <v>0</v>
      </c>
      <c r="AG1420" t="str">
        <f t="shared" si="150"/>
        <v/>
      </c>
      <c r="AH1420" t="str">
        <f t="shared" si="151"/>
        <v/>
      </c>
      <c r="AI1420">
        <f t="shared" si="152"/>
        <v>0</v>
      </c>
      <c r="AJ1420">
        <f t="shared" si="153"/>
        <v>0</v>
      </c>
      <c r="AK1420">
        <v>0</v>
      </c>
      <c r="AL1420" t="str">
        <f>IF(AA1420="","",IFERROR(IF(ISNUMBER('Procyfloc 500'!D421),'Procyfloc 500'!D421,IF(ISNUMBER(SEARCH("12",'Procyfloc 500'!D421)),EDATE(AB1420,12),IF(ISNUMBER(SEARCH("6",'Procyfloc 500'!D421)),EDATE(AB1420,6),IF(ISNUMBER(SEARCH("3",'Procyfloc 500'!D421)),EDATE(AB1420,3),DATEVALUE('Procyfloc 500'!D421))))),""))</f>
        <v/>
      </c>
      <c r="AM1420" t="str">
        <f t="shared" ca="1" si="154"/>
        <v/>
      </c>
    </row>
    <row r="1421" spans="27:39" x14ac:dyDescent="0.3">
      <c r="AA1421" t="str">
        <f>IF(COUNTA('Procyfloc 500'!A422,'Procyfloc 500'!B422,'Procyfloc 500'!C422)&gt;0,"500","")</f>
        <v/>
      </c>
      <c r="AB1421" t="str">
        <f>IFERROR(IF(ISNUMBER('Procyfloc 500'!A422),'Procyfloc 500'!A422,DATEVALUE('Procyfloc 500'!A422)),"")</f>
        <v/>
      </c>
      <c r="AC1421" t="str">
        <f>IF(AA1421="","",'Procyfloc 500'!B422)</f>
        <v/>
      </c>
      <c r="AD1421" t="str">
        <f>IF(AA1421="","",IFERROR(1*'Procyfloc 500'!C422,IFERROR(_xludf.NUMBERVALUE('Procyfloc 500'!C422,".",","),IFERROR(_xludf.NUMBERVALUE('Procyfloc 500'!C422,",","."),0))))</f>
        <v/>
      </c>
      <c r="AE1421" t="str">
        <f>IF(AA1421="","",'Procyfloc 500'!L422)</f>
        <v/>
      </c>
      <c r="AF1421">
        <f t="shared" si="149"/>
        <v>0</v>
      </c>
      <c r="AG1421" t="str">
        <f t="shared" si="150"/>
        <v/>
      </c>
      <c r="AH1421" t="str">
        <f t="shared" si="151"/>
        <v/>
      </c>
      <c r="AI1421">
        <f t="shared" si="152"/>
        <v>0</v>
      </c>
      <c r="AJ1421">
        <f t="shared" si="153"/>
        <v>0</v>
      </c>
      <c r="AK1421">
        <v>0</v>
      </c>
      <c r="AL1421" t="str">
        <f>IF(AA1421="","",IFERROR(IF(ISNUMBER('Procyfloc 500'!D422),'Procyfloc 500'!D422,IF(ISNUMBER(SEARCH("12",'Procyfloc 500'!D422)),EDATE(AB1421,12),IF(ISNUMBER(SEARCH("6",'Procyfloc 500'!D422)),EDATE(AB1421,6),IF(ISNUMBER(SEARCH("3",'Procyfloc 500'!D422)),EDATE(AB1421,3),DATEVALUE('Procyfloc 500'!D422))))),""))</f>
        <v/>
      </c>
      <c r="AM1421" t="str">
        <f t="shared" ca="1" si="154"/>
        <v/>
      </c>
    </row>
    <row r="1422" spans="27:39" x14ac:dyDescent="0.3">
      <c r="AA1422" t="str">
        <f>IF(COUNTA('Procyfloc 500'!A423,'Procyfloc 500'!B423,'Procyfloc 500'!C423)&gt;0,"500","")</f>
        <v/>
      </c>
      <c r="AB1422" t="str">
        <f>IFERROR(IF(ISNUMBER('Procyfloc 500'!A423),'Procyfloc 500'!A423,DATEVALUE('Procyfloc 500'!A423)),"")</f>
        <v/>
      </c>
      <c r="AC1422" t="str">
        <f>IF(AA1422="","",'Procyfloc 500'!B423)</f>
        <v/>
      </c>
      <c r="AD1422" t="str">
        <f>IF(AA1422="","",IFERROR(1*'Procyfloc 500'!C423,IFERROR(_xludf.NUMBERVALUE('Procyfloc 500'!C423,".",","),IFERROR(_xludf.NUMBERVALUE('Procyfloc 500'!C423,",","."),0))))</f>
        <v/>
      </c>
      <c r="AE1422" t="str">
        <f>IF(AA1422="","",'Procyfloc 500'!L423)</f>
        <v/>
      </c>
      <c r="AF1422">
        <f t="shared" si="149"/>
        <v>0</v>
      </c>
      <c r="AG1422" t="str">
        <f t="shared" si="150"/>
        <v/>
      </c>
      <c r="AH1422" t="str">
        <f t="shared" si="151"/>
        <v/>
      </c>
      <c r="AI1422">
        <f t="shared" si="152"/>
        <v>0</v>
      </c>
      <c r="AJ1422">
        <f t="shared" si="153"/>
        <v>0</v>
      </c>
      <c r="AK1422">
        <v>0</v>
      </c>
      <c r="AL1422" t="str">
        <f>IF(AA1422="","",IFERROR(IF(ISNUMBER('Procyfloc 500'!D423),'Procyfloc 500'!D423,IF(ISNUMBER(SEARCH("12",'Procyfloc 500'!D423)),EDATE(AB1422,12),IF(ISNUMBER(SEARCH("6",'Procyfloc 500'!D423)),EDATE(AB1422,6),IF(ISNUMBER(SEARCH("3",'Procyfloc 500'!D423)),EDATE(AB1422,3),DATEVALUE('Procyfloc 500'!D423))))),""))</f>
        <v/>
      </c>
      <c r="AM1422" t="str">
        <f t="shared" ca="1" si="154"/>
        <v/>
      </c>
    </row>
    <row r="1423" spans="27:39" x14ac:dyDescent="0.3">
      <c r="AA1423" t="str">
        <f>IF(COUNTA('Procyfloc 500'!A424,'Procyfloc 500'!B424,'Procyfloc 500'!C424)&gt;0,"500","")</f>
        <v/>
      </c>
      <c r="AB1423" t="str">
        <f>IFERROR(IF(ISNUMBER('Procyfloc 500'!A424),'Procyfloc 500'!A424,DATEVALUE('Procyfloc 500'!A424)),"")</f>
        <v/>
      </c>
      <c r="AC1423" t="str">
        <f>IF(AA1423="","",'Procyfloc 500'!B424)</f>
        <v/>
      </c>
      <c r="AD1423" t="str">
        <f>IF(AA1423="","",IFERROR(1*'Procyfloc 500'!C424,IFERROR(_xludf.NUMBERVALUE('Procyfloc 500'!C424,".",","),IFERROR(_xludf.NUMBERVALUE('Procyfloc 500'!C424,",","."),0))))</f>
        <v/>
      </c>
      <c r="AE1423" t="str">
        <f>IF(AA1423="","",'Procyfloc 500'!L424)</f>
        <v/>
      </c>
      <c r="AF1423">
        <f t="shared" si="149"/>
        <v>0</v>
      </c>
      <c r="AG1423" t="str">
        <f t="shared" si="150"/>
        <v/>
      </c>
      <c r="AH1423" t="str">
        <f t="shared" si="151"/>
        <v/>
      </c>
      <c r="AI1423">
        <f t="shared" si="152"/>
        <v>0</v>
      </c>
      <c r="AJ1423">
        <f t="shared" si="153"/>
        <v>0</v>
      </c>
      <c r="AK1423">
        <v>0</v>
      </c>
      <c r="AL1423" t="str">
        <f>IF(AA1423="","",IFERROR(IF(ISNUMBER('Procyfloc 500'!D424),'Procyfloc 500'!D424,IF(ISNUMBER(SEARCH("12",'Procyfloc 500'!D424)),EDATE(AB1423,12),IF(ISNUMBER(SEARCH("6",'Procyfloc 500'!D424)),EDATE(AB1423,6),IF(ISNUMBER(SEARCH("3",'Procyfloc 500'!D424)),EDATE(AB1423,3),DATEVALUE('Procyfloc 500'!D424))))),""))</f>
        <v/>
      </c>
      <c r="AM1423" t="str">
        <f t="shared" ca="1" si="154"/>
        <v/>
      </c>
    </row>
    <row r="1424" spans="27:39" x14ac:dyDescent="0.3">
      <c r="AA1424" t="str">
        <f>IF(COUNTA('Procyfloc 500'!A425,'Procyfloc 500'!B425,'Procyfloc 500'!C425)&gt;0,"500","")</f>
        <v/>
      </c>
      <c r="AB1424" t="str">
        <f>IFERROR(IF(ISNUMBER('Procyfloc 500'!A425),'Procyfloc 500'!A425,DATEVALUE('Procyfloc 500'!A425)),"")</f>
        <v/>
      </c>
      <c r="AC1424" t="str">
        <f>IF(AA1424="","",'Procyfloc 500'!B425)</f>
        <v/>
      </c>
      <c r="AD1424" t="str">
        <f>IF(AA1424="","",IFERROR(1*'Procyfloc 500'!C425,IFERROR(_xludf.NUMBERVALUE('Procyfloc 500'!C425,".",","),IFERROR(_xludf.NUMBERVALUE('Procyfloc 500'!C425,",","."),0))))</f>
        <v/>
      </c>
      <c r="AE1424" t="str">
        <f>IF(AA1424="","",'Procyfloc 500'!L425)</f>
        <v/>
      </c>
      <c r="AF1424">
        <f t="shared" si="149"/>
        <v>0</v>
      </c>
      <c r="AG1424" t="str">
        <f t="shared" si="150"/>
        <v/>
      </c>
      <c r="AH1424" t="str">
        <f t="shared" si="151"/>
        <v/>
      </c>
      <c r="AI1424">
        <f t="shared" si="152"/>
        <v>0</v>
      </c>
      <c r="AJ1424">
        <f t="shared" si="153"/>
        <v>0</v>
      </c>
      <c r="AK1424">
        <v>0</v>
      </c>
      <c r="AL1424" t="str">
        <f>IF(AA1424="","",IFERROR(IF(ISNUMBER('Procyfloc 500'!D425),'Procyfloc 500'!D425,IF(ISNUMBER(SEARCH("12",'Procyfloc 500'!D425)),EDATE(AB1424,12),IF(ISNUMBER(SEARCH("6",'Procyfloc 500'!D425)),EDATE(AB1424,6),IF(ISNUMBER(SEARCH("3",'Procyfloc 500'!D425)),EDATE(AB1424,3),DATEVALUE('Procyfloc 500'!D425))))),""))</f>
        <v/>
      </c>
      <c r="AM1424" t="str">
        <f t="shared" ca="1" si="154"/>
        <v/>
      </c>
    </row>
    <row r="1425" spans="27:39" x14ac:dyDescent="0.3">
      <c r="AA1425" t="str">
        <f>IF(COUNTA('Procyfloc 500'!A426,'Procyfloc 500'!B426,'Procyfloc 500'!C426)&gt;0,"500","")</f>
        <v/>
      </c>
      <c r="AB1425" t="str">
        <f>IFERROR(IF(ISNUMBER('Procyfloc 500'!A426),'Procyfloc 500'!A426,DATEVALUE('Procyfloc 500'!A426)),"")</f>
        <v/>
      </c>
      <c r="AC1425" t="str">
        <f>IF(AA1425="","",'Procyfloc 500'!B426)</f>
        <v/>
      </c>
      <c r="AD1425" t="str">
        <f>IF(AA1425="","",IFERROR(1*'Procyfloc 500'!C426,IFERROR(_xludf.NUMBERVALUE('Procyfloc 500'!C426,".",","),IFERROR(_xludf.NUMBERVALUE('Procyfloc 500'!C426,",","."),0))))</f>
        <v/>
      </c>
      <c r="AE1425" t="str">
        <f>IF(AA1425="","",'Procyfloc 500'!L426)</f>
        <v/>
      </c>
      <c r="AF1425">
        <f t="shared" si="149"/>
        <v>0</v>
      </c>
      <c r="AG1425" t="str">
        <f t="shared" si="150"/>
        <v/>
      </c>
      <c r="AH1425" t="str">
        <f t="shared" si="151"/>
        <v/>
      </c>
      <c r="AI1425">
        <f t="shared" si="152"/>
        <v>0</v>
      </c>
      <c r="AJ1425">
        <f t="shared" si="153"/>
        <v>0</v>
      </c>
      <c r="AK1425">
        <v>0</v>
      </c>
      <c r="AL1425" t="str">
        <f>IF(AA1425="","",IFERROR(IF(ISNUMBER('Procyfloc 500'!D426),'Procyfloc 500'!D426,IF(ISNUMBER(SEARCH("12",'Procyfloc 500'!D426)),EDATE(AB1425,12),IF(ISNUMBER(SEARCH("6",'Procyfloc 500'!D426)),EDATE(AB1425,6),IF(ISNUMBER(SEARCH("3",'Procyfloc 500'!D426)),EDATE(AB1425,3),DATEVALUE('Procyfloc 500'!D426))))),""))</f>
        <v/>
      </c>
      <c r="AM1425" t="str">
        <f t="shared" ca="1" si="154"/>
        <v/>
      </c>
    </row>
    <row r="1426" spans="27:39" x14ac:dyDescent="0.3">
      <c r="AA1426" t="str">
        <f>IF(COUNTA('Procyfloc 500'!A427,'Procyfloc 500'!B427,'Procyfloc 500'!C427)&gt;0,"500","")</f>
        <v/>
      </c>
      <c r="AB1426" t="str">
        <f>IFERROR(IF(ISNUMBER('Procyfloc 500'!A427),'Procyfloc 500'!A427,DATEVALUE('Procyfloc 500'!A427)),"")</f>
        <v/>
      </c>
      <c r="AC1426" t="str">
        <f>IF(AA1426="","",'Procyfloc 500'!B427)</f>
        <v/>
      </c>
      <c r="AD1426" t="str">
        <f>IF(AA1426="","",IFERROR(1*'Procyfloc 500'!C427,IFERROR(_xludf.NUMBERVALUE('Procyfloc 500'!C427,".",","),IFERROR(_xludf.NUMBERVALUE('Procyfloc 500'!C427,",","."),0))))</f>
        <v/>
      </c>
      <c r="AE1426" t="str">
        <f>IF(AA1426="","",'Procyfloc 500'!L427)</f>
        <v/>
      </c>
      <c r="AF1426">
        <f t="shared" si="149"/>
        <v>0</v>
      </c>
      <c r="AG1426" t="str">
        <f t="shared" si="150"/>
        <v/>
      </c>
      <c r="AH1426" t="str">
        <f t="shared" si="151"/>
        <v/>
      </c>
      <c r="AI1426">
        <f t="shared" si="152"/>
        <v>0</v>
      </c>
      <c r="AJ1426">
        <f t="shared" si="153"/>
        <v>0</v>
      </c>
      <c r="AK1426">
        <v>0</v>
      </c>
      <c r="AL1426" t="str">
        <f>IF(AA1426="","",IFERROR(IF(ISNUMBER('Procyfloc 500'!D427),'Procyfloc 500'!D427,IF(ISNUMBER(SEARCH("12",'Procyfloc 500'!D427)),EDATE(AB1426,12),IF(ISNUMBER(SEARCH("6",'Procyfloc 500'!D427)),EDATE(AB1426,6),IF(ISNUMBER(SEARCH("3",'Procyfloc 500'!D427)),EDATE(AB1426,3),DATEVALUE('Procyfloc 500'!D427))))),""))</f>
        <v/>
      </c>
      <c r="AM1426" t="str">
        <f t="shared" ca="1" si="154"/>
        <v/>
      </c>
    </row>
    <row r="1427" spans="27:39" x14ac:dyDescent="0.3">
      <c r="AA1427" t="str">
        <f>IF(COUNTA('Procyfloc 500'!A428,'Procyfloc 500'!B428,'Procyfloc 500'!C428)&gt;0,"500","")</f>
        <v/>
      </c>
      <c r="AB1427" t="str">
        <f>IFERROR(IF(ISNUMBER('Procyfloc 500'!A428),'Procyfloc 500'!A428,DATEVALUE('Procyfloc 500'!A428)),"")</f>
        <v/>
      </c>
      <c r="AC1427" t="str">
        <f>IF(AA1427="","",'Procyfloc 500'!B428)</f>
        <v/>
      </c>
      <c r="AD1427" t="str">
        <f>IF(AA1427="","",IFERROR(1*'Procyfloc 500'!C428,IFERROR(_xludf.NUMBERVALUE('Procyfloc 500'!C428,".",","),IFERROR(_xludf.NUMBERVALUE('Procyfloc 500'!C428,",","."),0))))</f>
        <v/>
      </c>
      <c r="AE1427" t="str">
        <f>IF(AA1427="","",'Procyfloc 500'!L428)</f>
        <v/>
      </c>
      <c r="AF1427">
        <f t="shared" si="149"/>
        <v>0</v>
      </c>
      <c r="AG1427" t="str">
        <f t="shared" si="150"/>
        <v/>
      </c>
      <c r="AH1427" t="str">
        <f t="shared" si="151"/>
        <v/>
      </c>
      <c r="AI1427">
        <f t="shared" si="152"/>
        <v>0</v>
      </c>
      <c r="AJ1427">
        <f t="shared" si="153"/>
        <v>0</v>
      </c>
      <c r="AK1427">
        <v>0</v>
      </c>
      <c r="AL1427" t="str">
        <f>IF(AA1427="","",IFERROR(IF(ISNUMBER('Procyfloc 500'!D428),'Procyfloc 500'!D428,IF(ISNUMBER(SEARCH("12",'Procyfloc 500'!D428)),EDATE(AB1427,12),IF(ISNUMBER(SEARCH("6",'Procyfloc 500'!D428)),EDATE(AB1427,6),IF(ISNUMBER(SEARCH("3",'Procyfloc 500'!D428)),EDATE(AB1427,3),DATEVALUE('Procyfloc 500'!D428))))),""))</f>
        <v/>
      </c>
      <c r="AM1427" t="str">
        <f t="shared" ca="1" si="154"/>
        <v/>
      </c>
    </row>
    <row r="1428" spans="27:39" x14ac:dyDescent="0.3">
      <c r="AA1428" t="str">
        <f>IF(COUNTA('Procyfloc 500'!A429,'Procyfloc 500'!B429,'Procyfloc 500'!C429)&gt;0,"500","")</f>
        <v/>
      </c>
      <c r="AB1428" t="str">
        <f>IFERROR(IF(ISNUMBER('Procyfloc 500'!A429),'Procyfloc 500'!A429,DATEVALUE('Procyfloc 500'!A429)),"")</f>
        <v/>
      </c>
      <c r="AC1428" t="str">
        <f>IF(AA1428="","",'Procyfloc 500'!B429)</f>
        <v/>
      </c>
      <c r="AD1428" t="str">
        <f>IF(AA1428="","",IFERROR(1*'Procyfloc 500'!C429,IFERROR(_xludf.NUMBERVALUE('Procyfloc 500'!C429,".",","),IFERROR(_xludf.NUMBERVALUE('Procyfloc 500'!C429,",","."),0))))</f>
        <v/>
      </c>
      <c r="AE1428" t="str">
        <f>IF(AA1428="","",'Procyfloc 500'!L429)</f>
        <v/>
      </c>
      <c r="AF1428">
        <f t="shared" si="149"/>
        <v>0</v>
      </c>
      <c r="AG1428" t="str">
        <f t="shared" si="150"/>
        <v/>
      </c>
      <c r="AH1428" t="str">
        <f t="shared" si="151"/>
        <v/>
      </c>
      <c r="AI1428">
        <f t="shared" si="152"/>
        <v>0</v>
      </c>
      <c r="AJ1428">
        <f t="shared" si="153"/>
        <v>0</v>
      </c>
      <c r="AK1428">
        <v>0</v>
      </c>
      <c r="AL1428" t="str">
        <f>IF(AA1428="","",IFERROR(IF(ISNUMBER('Procyfloc 500'!D429),'Procyfloc 500'!D429,IF(ISNUMBER(SEARCH("12",'Procyfloc 500'!D429)),EDATE(AB1428,12),IF(ISNUMBER(SEARCH("6",'Procyfloc 500'!D429)),EDATE(AB1428,6),IF(ISNUMBER(SEARCH("3",'Procyfloc 500'!D429)),EDATE(AB1428,3),DATEVALUE('Procyfloc 500'!D429))))),""))</f>
        <v/>
      </c>
      <c r="AM1428" t="str">
        <f t="shared" ca="1" si="154"/>
        <v/>
      </c>
    </row>
    <row r="1429" spans="27:39" x14ac:dyDescent="0.3">
      <c r="AA1429" t="str">
        <f>IF(COUNTA('Procyfloc 500'!A430,'Procyfloc 500'!B430,'Procyfloc 500'!C430)&gt;0,"500","")</f>
        <v/>
      </c>
      <c r="AB1429" t="str">
        <f>IFERROR(IF(ISNUMBER('Procyfloc 500'!A430),'Procyfloc 500'!A430,DATEVALUE('Procyfloc 500'!A430)),"")</f>
        <v/>
      </c>
      <c r="AC1429" t="str">
        <f>IF(AA1429="","",'Procyfloc 500'!B430)</f>
        <v/>
      </c>
      <c r="AD1429" t="str">
        <f>IF(AA1429="","",IFERROR(1*'Procyfloc 500'!C430,IFERROR(_xludf.NUMBERVALUE('Procyfloc 500'!C430,".",","),IFERROR(_xludf.NUMBERVALUE('Procyfloc 500'!C430,",","."),0))))</f>
        <v/>
      </c>
      <c r="AE1429" t="str">
        <f>IF(AA1429="","",'Procyfloc 500'!L430)</f>
        <v/>
      </c>
      <c r="AF1429">
        <f t="shared" si="149"/>
        <v>0</v>
      </c>
      <c r="AG1429" t="str">
        <f t="shared" si="150"/>
        <v/>
      </c>
      <c r="AH1429" t="str">
        <f t="shared" si="151"/>
        <v/>
      </c>
      <c r="AI1429">
        <f t="shared" si="152"/>
        <v>0</v>
      </c>
      <c r="AJ1429">
        <f t="shared" si="153"/>
        <v>0</v>
      </c>
      <c r="AK1429">
        <v>0</v>
      </c>
      <c r="AL1429" t="str">
        <f>IF(AA1429="","",IFERROR(IF(ISNUMBER('Procyfloc 500'!D430),'Procyfloc 500'!D430,IF(ISNUMBER(SEARCH("12",'Procyfloc 500'!D430)),EDATE(AB1429,12),IF(ISNUMBER(SEARCH("6",'Procyfloc 500'!D430)),EDATE(AB1429,6),IF(ISNUMBER(SEARCH("3",'Procyfloc 500'!D430)),EDATE(AB1429,3),DATEVALUE('Procyfloc 500'!D430))))),""))</f>
        <v/>
      </c>
      <c r="AM1429" t="str">
        <f t="shared" ca="1" si="154"/>
        <v/>
      </c>
    </row>
    <row r="1430" spans="27:39" x14ac:dyDescent="0.3">
      <c r="AA1430" t="str">
        <f>IF(COUNTA('Procyfloc 500'!A431,'Procyfloc 500'!B431,'Procyfloc 500'!C431)&gt;0,"500","")</f>
        <v/>
      </c>
      <c r="AB1430" t="str">
        <f>IFERROR(IF(ISNUMBER('Procyfloc 500'!A431),'Procyfloc 500'!A431,DATEVALUE('Procyfloc 500'!A431)),"")</f>
        <v/>
      </c>
      <c r="AC1430" t="str">
        <f>IF(AA1430="","",'Procyfloc 500'!B431)</f>
        <v/>
      </c>
      <c r="AD1430" t="str">
        <f>IF(AA1430="","",IFERROR(1*'Procyfloc 500'!C431,IFERROR(_xludf.NUMBERVALUE('Procyfloc 500'!C431,".",","),IFERROR(_xludf.NUMBERVALUE('Procyfloc 500'!C431,",","."),0))))</f>
        <v/>
      </c>
      <c r="AE1430" t="str">
        <f>IF(AA1430="","",'Procyfloc 500'!L431)</f>
        <v/>
      </c>
      <c r="AF1430">
        <f t="shared" si="149"/>
        <v>0</v>
      </c>
      <c r="AG1430" t="str">
        <f t="shared" si="150"/>
        <v/>
      </c>
      <c r="AH1430" t="str">
        <f t="shared" si="151"/>
        <v/>
      </c>
      <c r="AI1430">
        <f t="shared" si="152"/>
        <v>0</v>
      </c>
      <c r="AJ1430">
        <f t="shared" si="153"/>
        <v>0</v>
      </c>
      <c r="AK1430">
        <v>0</v>
      </c>
      <c r="AL1430" t="str">
        <f>IF(AA1430="","",IFERROR(IF(ISNUMBER('Procyfloc 500'!D431),'Procyfloc 500'!D431,IF(ISNUMBER(SEARCH("12",'Procyfloc 500'!D431)),EDATE(AB1430,12),IF(ISNUMBER(SEARCH("6",'Procyfloc 500'!D431)),EDATE(AB1430,6),IF(ISNUMBER(SEARCH("3",'Procyfloc 500'!D431)),EDATE(AB1430,3),DATEVALUE('Procyfloc 500'!D431))))),""))</f>
        <v/>
      </c>
      <c r="AM1430" t="str">
        <f t="shared" ca="1" si="154"/>
        <v/>
      </c>
    </row>
    <row r="1431" spans="27:39" x14ac:dyDescent="0.3">
      <c r="AA1431" t="str">
        <f>IF(COUNTA('Procyfloc 500'!A432,'Procyfloc 500'!B432,'Procyfloc 500'!C432)&gt;0,"500","")</f>
        <v/>
      </c>
      <c r="AB1431" t="str">
        <f>IFERROR(IF(ISNUMBER('Procyfloc 500'!A432),'Procyfloc 500'!A432,DATEVALUE('Procyfloc 500'!A432)),"")</f>
        <v/>
      </c>
      <c r="AC1431" t="str">
        <f>IF(AA1431="","",'Procyfloc 500'!B432)</f>
        <v/>
      </c>
      <c r="AD1431" t="str">
        <f>IF(AA1431="","",IFERROR(1*'Procyfloc 500'!C432,IFERROR(_xludf.NUMBERVALUE('Procyfloc 500'!C432,".",","),IFERROR(_xludf.NUMBERVALUE('Procyfloc 500'!C432,",","."),0))))</f>
        <v/>
      </c>
      <c r="AE1431" t="str">
        <f>IF(AA1431="","",'Procyfloc 500'!L432)</f>
        <v/>
      </c>
      <c r="AF1431">
        <f t="shared" si="149"/>
        <v>0</v>
      </c>
      <c r="AG1431" t="str">
        <f t="shared" si="150"/>
        <v/>
      </c>
      <c r="AH1431" t="str">
        <f t="shared" si="151"/>
        <v/>
      </c>
      <c r="AI1431">
        <f t="shared" si="152"/>
        <v>0</v>
      </c>
      <c r="AJ1431">
        <f t="shared" si="153"/>
        <v>0</v>
      </c>
      <c r="AK1431">
        <v>0</v>
      </c>
      <c r="AL1431" t="str">
        <f>IF(AA1431="","",IFERROR(IF(ISNUMBER('Procyfloc 500'!D432),'Procyfloc 500'!D432,IF(ISNUMBER(SEARCH("12",'Procyfloc 500'!D432)),EDATE(AB1431,12),IF(ISNUMBER(SEARCH("6",'Procyfloc 500'!D432)),EDATE(AB1431,6),IF(ISNUMBER(SEARCH("3",'Procyfloc 500'!D432)),EDATE(AB1431,3),DATEVALUE('Procyfloc 500'!D432))))),""))</f>
        <v/>
      </c>
      <c r="AM1431" t="str">
        <f t="shared" ca="1" si="154"/>
        <v/>
      </c>
    </row>
    <row r="1432" spans="27:39" x14ac:dyDescent="0.3">
      <c r="AA1432" t="str">
        <f>IF(COUNTA('Procyfloc 500'!A433,'Procyfloc 500'!B433,'Procyfloc 500'!C433)&gt;0,"500","")</f>
        <v/>
      </c>
      <c r="AB1432" t="str">
        <f>IFERROR(IF(ISNUMBER('Procyfloc 500'!A433),'Procyfloc 500'!A433,DATEVALUE('Procyfloc 500'!A433)),"")</f>
        <v/>
      </c>
      <c r="AC1432" t="str">
        <f>IF(AA1432="","",'Procyfloc 500'!B433)</f>
        <v/>
      </c>
      <c r="AD1432" t="str">
        <f>IF(AA1432="","",IFERROR(1*'Procyfloc 500'!C433,IFERROR(_xludf.NUMBERVALUE('Procyfloc 500'!C433,".",","),IFERROR(_xludf.NUMBERVALUE('Procyfloc 500'!C433,",","."),0))))</f>
        <v/>
      </c>
      <c r="AE1432" t="str">
        <f>IF(AA1432="","",'Procyfloc 500'!L433)</f>
        <v/>
      </c>
      <c r="AF1432">
        <f t="shared" si="149"/>
        <v>0</v>
      </c>
      <c r="AG1432" t="str">
        <f t="shared" si="150"/>
        <v/>
      </c>
      <c r="AH1432" t="str">
        <f t="shared" si="151"/>
        <v/>
      </c>
      <c r="AI1432">
        <f t="shared" si="152"/>
        <v>0</v>
      </c>
      <c r="AJ1432">
        <f t="shared" si="153"/>
        <v>0</v>
      </c>
      <c r="AK1432">
        <v>0</v>
      </c>
      <c r="AL1432" t="str">
        <f>IF(AA1432="","",IFERROR(IF(ISNUMBER('Procyfloc 500'!D433),'Procyfloc 500'!D433,IF(ISNUMBER(SEARCH("12",'Procyfloc 500'!D433)),EDATE(AB1432,12),IF(ISNUMBER(SEARCH("6",'Procyfloc 500'!D433)),EDATE(AB1432,6),IF(ISNUMBER(SEARCH("3",'Procyfloc 500'!D433)),EDATE(AB1432,3),DATEVALUE('Procyfloc 500'!D433))))),""))</f>
        <v/>
      </c>
      <c r="AM1432" t="str">
        <f t="shared" ca="1" si="154"/>
        <v/>
      </c>
    </row>
    <row r="1433" spans="27:39" x14ac:dyDescent="0.3">
      <c r="AA1433" t="str">
        <f>IF(COUNTA('Procyfloc 500'!A434,'Procyfloc 500'!B434,'Procyfloc 500'!C434)&gt;0,"500","")</f>
        <v/>
      </c>
      <c r="AB1433" t="str">
        <f>IFERROR(IF(ISNUMBER('Procyfloc 500'!A434),'Procyfloc 500'!A434,DATEVALUE('Procyfloc 500'!A434)),"")</f>
        <v/>
      </c>
      <c r="AC1433" t="str">
        <f>IF(AA1433="","",'Procyfloc 500'!B434)</f>
        <v/>
      </c>
      <c r="AD1433" t="str">
        <f>IF(AA1433="","",IFERROR(1*'Procyfloc 500'!C434,IFERROR(_xludf.NUMBERVALUE('Procyfloc 500'!C434,".",","),IFERROR(_xludf.NUMBERVALUE('Procyfloc 500'!C434,",","."),0))))</f>
        <v/>
      </c>
      <c r="AE1433" t="str">
        <f>IF(AA1433="","",'Procyfloc 500'!L434)</f>
        <v/>
      </c>
      <c r="AF1433">
        <f t="shared" si="149"/>
        <v>0</v>
      </c>
      <c r="AG1433" t="str">
        <f t="shared" si="150"/>
        <v/>
      </c>
      <c r="AH1433" t="str">
        <f t="shared" si="151"/>
        <v/>
      </c>
      <c r="AI1433">
        <f t="shared" si="152"/>
        <v>0</v>
      </c>
      <c r="AJ1433">
        <f t="shared" si="153"/>
        <v>0</v>
      </c>
      <c r="AK1433">
        <v>0</v>
      </c>
      <c r="AL1433" t="str">
        <f>IF(AA1433="","",IFERROR(IF(ISNUMBER('Procyfloc 500'!D434),'Procyfloc 500'!D434,IF(ISNUMBER(SEARCH("12",'Procyfloc 500'!D434)),EDATE(AB1433,12),IF(ISNUMBER(SEARCH("6",'Procyfloc 500'!D434)),EDATE(AB1433,6),IF(ISNUMBER(SEARCH("3",'Procyfloc 500'!D434)),EDATE(AB1433,3),DATEVALUE('Procyfloc 500'!D434))))),""))</f>
        <v/>
      </c>
      <c r="AM1433" t="str">
        <f t="shared" ca="1" si="154"/>
        <v/>
      </c>
    </row>
    <row r="1434" spans="27:39" x14ac:dyDescent="0.3">
      <c r="AA1434" t="str">
        <f>IF(COUNTA('Procyfloc 500'!A435,'Procyfloc 500'!B435,'Procyfloc 500'!C435)&gt;0,"500","")</f>
        <v/>
      </c>
      <c r="AB1434" t="str">
        <f>IFERROR(IF(ISNUMBER('Procyfloc 500'!A435),'Procyfloc 500'!A435,DATEVALUE('Procyfloc 500'!A435)),"")</f>
        <v/>
      </c>
      <c r="AC1434" t="str">
        <f>IF(AA1434="","",'Procyfloc 500'!B435)</f>
        <v/>
      </c>
      <c r="AD1434" t="str">
        <f>IF(AA1434="","",IFERROR(1*'Procyfloc 500'!C435,IFERROR(_xludf.NUMBERVALUE('Procyfloc 500'!C435,".",","),IFERROR(_xludf.NUMBERVALUE('Procyfloc 500'!C435,",","."),0))))</f>
        <v/>
      </c>
      <c r="AE1434" t="str">
        <f>IF(AA1434="","",'Procyfloc 500'!L435)</f>
        <v/>
      </c>
      <c r="AF1434">
        <f t="shared" si="149"/>
        <v>0</v>
      </c>
      <c r="AG1434" t="str">
        <f t="shared" si="150"/>
        <v/>
      </c>
      <c r="AH1434" t="str">
        <f t="shared" si="151"/>
        <v/>
      </c>
      <c r="AI1434">
        <f t="shared" si="152"/>
        <v>0</v>
      </c>
      <c r="AJ1434">
        <f t="shared" si="153"/>
        <v>0</v>
      </c>
      <c r="AK1434">
        <v>0</v>
      </c>
      <c r="AL1434" t="str">
        <f>IF(AA1434="","",IFERROR(IF(ISNUMBER('Procyfloc 500'!D435),'Procyfloc 500'!D435,IF(ISNUMBER(SEARCH("12",'Procyfloc 500'!D435)),EDATE(AB1434,12),IF(ISNUMBER(SEARCH("6",'Procyfloc 500'!D435)),EDATE(AB1434,6),IF(ISNUMBER(SEARCH("3",'Procyfloc 500'!D435)),EDATE(AB1434,3),DATEVALUE('Procyfloc 500'!D435))))),""))</f>
        <v/>
      </c>
      <c r="AM1434" t="str">
        <f t="shared" ca="1" si="154"/>
        <v/>
      </c>
    </row>
    <row r="1435" spans="27:39" x14ac:dyDescent="0.3">
      <c r="AA1435" t="str">
        <f>IF(COUNTA('Procyfloc 500'!A436,'Procyfloc 500'!B436,'Procyfloc 500'!C436)&gt;0,"500","")</f>
        <v/>
      </c>
      <c r="AB1435" t="str">
        <f>IFERROR(IF(ISNUMBER('Procyfloc 500'!A436),'Procyfloc 500'!A436,DATEVALUE('Procyfloc 500'!A436)),"")</f>
        <v/>
      </c>
      <c r="AC1435" t="str">
        <f>IF(AA1435="","",'Procyfloc 500'!B436)</f>
        <v/>
      </c>
      <c r="AD1435" t="str">
        <f>IF(AA1435="","",IFERROR(1*'Procyfloc 500'!C436,IFERROR(_xludf.NUMBERVALUE('Procyfloc 500'!C436,".",","),IFERROR(_xludf.NUMBERVALUE('Procyfloc 500'!C436,",","."),0))))</f>
        <v/>
      </c>
      <c r="AE1435" t="str">
        <f>IF(AA1435="","",'Procyfloc 500'!L436)</f>
        <v/>
      </c>
      <c r="AF1435">
        <f t="shared" si="149"/>
        <v>0</v>
      </c>
      <c r="AG1435" t="str">
        <f t="shared" si="150"/>
        <v/>
      </c>
      <c r="AH1435" t="str">
        <f t="shared" si="151"/>
        <v/>
      </c>
      <c r="AI1435">
        <f t="shared" si="152"/>
        <v>0</v>
      </c>
      <c r="AJ1435">
        <f t="shared" si="153"/>
        <v>0</v>
      </c>
      <c r="AK1435">
        <v>0</v>
      </c>
      <c r="AL1435" t="str">
        <f>IF(AA1435="","",IFERROR(IF(ISNUMBER('Procyfloc 500'!D436),'Procyfloc 500'!D436,IF(ISNUMBER(SEARCH("12",'Procyfloc 500'!D436)),EDATE(AB1435,12),IF(ISNUMBER(SEARCH("6",'Procyfloc 500'!D436)),EDATE(AB1435,6),IF(ISNUMBER(SEARCH("3",'Procyfloc 500'!D436)),EDATE(AB1435,3),DATEVALUE('Procyfloc 500'!D436))))),""))</f>
        <v/>
      </c>
      <c r="AM1435" t="str">
        <f t="shared" ca="1" si="154"/>
        <v/>
      </c>
    </row>
    <row r="1436" spans="27:39" x14ac:dyDescent="0.3">
      <c r="AA1436" t="str">
        <f>IF(COUNTA('Procyfloc 500'!A437,'Procyfloc 500'!B437,'Procyfloc 500'!C437)&gt;0,"500","")</f>
        <v/>
      </c>
      <c r="AB1436" t="str">
        <f>IFERROR(IF(ISNUMBER('Procyfloc 500'!A437),'Procyfloc 500'!A437,DATEVALUE('Procyfloc 500'!A437)),"")</f>
        <v/>
      </c>
      <c r="AC1436" t="str">
        <f>IF(AA1436="","",'Procyfloc 500'!B437)</f>
        <v/>
      </c>
      <c r="AD1436" t="str">
        <f>IF(AA1436="","",IFERROR(1*'Procyfloc 500'!C437,IFERROR(_xludf.NUMBERVALUE('Procyfloc 500'!C437,".",","),IFERROR(_xludf.NUMBERVALUE('Procyfloc 500'!C437,",","."),0))))</f>
        <v/>
      </c>
      <c r="AE1436" t="str">
        <f>IF(AA1436="","",'Procyfloc 500'!L437)</f>
        <v/>
      </c>
      <c r="AF1436">
        <f t="shared" si="149"/>
        <v>0</v>
      </c>
      <c r="AG1436" t="str">
        <f t="shared" si="150"/>
        <v/>
      </c>
      <c r="AH1436" t="str">
        <f t="shared" si="151"/>
        <v/>
      </c>
      <c r="AI1436">
        <f t="shared" si="152"/>
        <v>0</v>
      </c>
      <c r="AJ1436">
        <f t="shared" si="153"/>
        <v>0</v>
      </c>
      <c r="AK1436">
        <v>0</v>
      </c>
      <c r="AL1436" t="str">
        <f>IF(AA1436="","",IFERROR(IF(ISNUMBER('Procyfloc 500'!D437),'Procyfloc 500'!D437,IF(ISNUMBER(SEARCH("12",'Procyfloc 500'!D437)),EDATE(AB1436,12),IF(ISNUMBER(SEARCH("6",'Procyfloc 500'!D437)),EDATE(AB1436,6),IF(ISNUMBER(SEARCH("3",'Procyfloc 500'!D437)),EDATE(AB1436,3),DATEVALUE('Procyfloc 500'!D437))))),""))</f>
        <v/>
      </c>
      <c r="AM1436" t="str">
        <f t="shared" ca="1" si="154"/>
        <v/>
      </c>
    </row>
    <row r="1437" spans="27:39" x14ac:dyDescent="0.3">
      <c r="AA1437" t="str">
        <f>IF(COUNTA('Procyfloc 500'!A438,'Procyfloc 500'!B438,'Procyfloc 500'!C438)&gt;0,"500","")</f>
        <v/>
      </c>
      <c r="AB1437" t="str">
        <f>IFERROR(IF(ISNUMBER('Procyfloc 500'!A438),'Procyfloc 500'!A438,DATEVALUE('Procyfloc 500'!A438)),"")</f>
        <v/>
      </c>
      <c r="AC1437" t="str">
        <f>IF(AA1437="","",'Procyfloc 500'!B438)</f>
        <v/>
      </c>
      <c r="AD1437" t="str">
        <f>IF(AA1437="","",IFERROR(1*'Procyfloc 500'!C438,IFERROR(_xludf.NUMBERVALUE('Procyfloc 500'!C438,".",","),IFERROR(_xludf.NUMBERVALUE('Procyfloc 500'!C438,",","."),0))))</f>
        <v/>
      </c>
      <c r="AE1437" t="str">
        <f>IF(AA1437="","",'Procyfloc 500'!L438)</f>
        <v/>
      </c>
      <c r="AF1437">
        <f t="shared" si="149"/>
        <v>0</v>
      </c>
      <c r="AG1437" t="str">
        <f t="shared" si="150"/>
        <v/>
      </c>
      <c r="AH1437" t="str">
        <f t="shared" si="151"/>
        <v/>
      </c>
      <c r="AI1437">
        <f t="shared" si="152"/>
        <v>0</v>
      </c>
      <c r="AJ1437">
        <f t="shared" si="153"/>
        <v>0</v>
      </c>
      <c r="AK1437">
        <v>0</v>
      </c>
      <c r="AL1437" t="str">
        <f>IF(AA1437="","",IFERROR(IF(ISNUMBER('Procyfloc 500'!D438),'Procyfloc 500'!D438,IF(ISNUMBER(SEARCH("12",'Procyfloc 500'!D438)),EDATE(AB1437,12),IF(ISNUMBER(SEARCH("6",'Procyfloc 500'!D438)),EDATE(AB1437,6),IF(ISNUMBER(SEARCH("3",'Procyfloc 500'!D438)),EDATE(AB1437,3),DATEVALUE('Procyfloc 500'!D438))))),""))</f>
        <v/>
      </c>
      <c r="AM1437" t="str">
        <f t="shared" ca="1" si="154"/>
        <v/>
      </c>
    </row>
    <row r="1438" spans="27:39" x14ac:dyDescent="0.3">
      <c r="AA1438" t="str">
        <f>IF(COUNTA('Procyfloc 500'!A439,'Procyfloc 500'!B439,'Procyfloc 500'!C439)&gt;0,"500","")</f>
        <v/>
      </c>
      <c r="AB1438" t="str">
        <f>IFERROR(IF(ISNUMBER('Procyfloc 500'!A439),'Procyfloc 500'!A439,DATEVALUE('Procyfloc 500'!A439)),"")</f>
        <v/>
      </c>
      <c r="AC1438" t="str">
        <f>IF(AA1438="","",'Procyfloc 500'!B439)</f>
        <v/>
      </c>
      <c r="AD1438" t="str">
        <f>IF(AA1438="","",IFERROR(1*'Procyfloc 500'!C439,IFERROR(_xludf.NUMBERVALUE('Procyfloc 500'!C439,".",","),IFERROR(_xludf.NUMBERVALUE('Procyfloc 500'!C439,",","."),0))))</f>
        <v/>
      </c>
      <c r="AE1438" t="str">
        <f>IF(AA1438="","",'Procyfloc 500'!L439)</f>
        <v/>
      </c>
      <c r="AF1438">
        <f t="shared" si="149"/>
        <v>0</v>
      </c>
      <c r="AG1438" t="str">
        <f t="shared" si="150"/>
        <v/>
      </c>
      <c r="AH1438" t="str">
        <f t="shared" si="151"/>
        <v/>
      </c>
      <c r="AI1438">
        <f t="shared" si="152"/>
        <v>0</v>
      </c>
      <c r="AJ1438">
        <f t="shared" si="153"/>
        <v>0</v>
      </c>
      <c r="AK1438">
        <v>0</v>
      </c>
      <c r="AL1438" t="str">
        <f>IF(AA1438="","",IFERROR(IF(ISNUMBER('Procyfloc 500'!D439),'Procyfloc 500'!D439,IF(ISNUMBER(SEARCH("12",'Procyfloc 500'!D439)),EDATE(AB1438,12),IF(ISNUMBER(SEARCH("6",'Procyfloc 500'!D439)),EDATE(AB1438,6),IF(ISNUMBER(SEARCH("3",'Procyfloc 500'!D439)),EDATE(AB1438,3),DATEVALUE('Procyfloc 500'!D439))))),""))</f>
        <v/>
      </c>
      <c r="AM1438" t="str">
        <f t="shared" ca="1" si="154"/>
        <v/>
      </c>
    </row>
    <row r="1439" spans="27:39" x14ac:dyDescent="0.3">
      <c r="AA1439" t="str">
        <f>IF(COUNTA('Procyfloc 500'!A440,'Procyfloc 500'!B440,'Procyfloc 500'!C440)&gt;0,"500","")</f>
        <v/>
      </c>
      <c r="AB1439" t="str">
        <f>IFERROR(IF(ISNUMBER('Procyfloc 500'!A440),'Procyfloc 500'!A440,DATEVALUE('Procyfloc 500'!A440)),"")</f>
        <v/>
      </c>
      <c r="AC1439" t="str">
        <f>IF(AA1439="","",'Procyfloc 500'!B440)</f>
        <v/>
      </c>
      <c r="AD1439" t="str">
        <f>IF(AA1439="","",IFERROR(1*'Procyfloc 500'!C440,IFERROR(_xludf.NUMBERVALUE('Procyfloc 500'!C440,".",","),IFERROR(_xludf.NUMBERVALUE('Procyfloc 500'!C440,",","."),0))))</f>
        <v/>
      </c>
      <c r="AE1439" t="str">
        <f>IF(AA1439="","",'Procyfloc 500'!L440)</f>
        <v/>
      </c>
      <c r="AF1439">
        <f t="shared" si="149"/>
        <v>0</v>
      </c>
      <c r="AG1439" t="str">
        <f t="shared" si="150"/>
        <v/>
      </c>
      <c r="AH1439" t="str">
        <f t="shared" si="151"/>
        <v/>
      </c>
      <c r="AI1439">
        <f t="shared" si="152"/>
        <v>0</v>
      </c>
      <c r="AJ1439">
        <f t="shared" si="153"/>
        <v>0</v>
      </c>
      <c r="AK1439">
        <v>0</v>
      </c>
      <c r="AL1439" t="str">
        <f>IF(AA1439="","",IFERROR(IF(ISNUMBER('Procyfloc 500'!D440),'Procyfloc 500'!D440,IF(ISNUMBER(SEARCH("12",'Procyfloc 500'!D440)),EDATE(AB1439,12),IF(ISNUMBER(SEARCH("6",'Procyfloc 500'!D440)),EDATE(AB1439,6),IF(ISNUMBER(SEARCH("3",'Procyfloc 500'!D440)),EDATE(AB1439,3),DATEVALUE('Procyfloc 500'!D440))))),""))</f>
        <v/>
      </c>
      <c r="AM1439" t="str">
        <f t="shared" ca="1" si="154"/>
        <v/>
      </c>
    </row>
    <row r="1440" spans="27:39" x14ac:dyDescent="0.3">
      <c r="AA1440" t="str">
        <f>IF(COUNTA('Procyfloc 500'!A441,'Procyfloc 500'!B441,'Procyfloc 500'!C441)&gt;0,"500","")</f>
        <v/>
      </c>
      <c r="AB1440" t="str">
        <f>IFERROR(IF(ISNUMBER('Procyfloc 500'!A441),'Procyfloc 500'!A441,DATEVALUE('Procyfloc 500'!A441)),"")</f>
        <v/>
      </c>
      <c r="AC1440" t="str">
        <f>IF(AA1440="","",'Procyfloc 500'!B441)</f>
        <v/>
      </c>
      <c r="AD1440" t="str">
        <f>IF(AA1440="","",IFERROR(1*'Procyfloc 500'!C441,IFERROR(_xludf.NUMBERVALUE('Procyfloc 500'!C441,".",","),IFERROR(_xludf.NUMBERVALUE('Procyfloc 500'!C441,",","."),0))))</f>
        <v/>
      </c>
      <c r="AE1440" t="str">
        <f>IF(AA1440="","",'Procyfloc 500'!L441)</f>
        <v/>
      </c>
      <c r="AF1440">
        <f t="shared" si="149"/>
        <v>0</v>
      </c>
      <c r="AG1440" t="str">
        <f t="shared" si="150"/>
        <v/>
      </c>
      <c r="AH1440" t="str">
        <f t="shared" si="151"/>
        <v/>
      </c>
      <c r="AI1440">
        <f t="shared" si="152"/>
        <v>0</v>
      </c>
      <c r="AJ1440">
        <f t="shared" si="153"/>
        <v>0</v>
      </c>
      <c r="AK1440">
        <v>0</v>
      </c>
      <c r="AL1440" t="str">
        <f>IF(AA1440="","",IFERROR(IF(ISNUMBER('Procyfloc 500'!D441),'Procyfloc 500'!D441,IF(ISNUMBER(SEARCH("12",'Procyfloc 500'!D441)),EDATE(AB1440,12),IF(ISNUMBER(SEARCH("6",'Procyfloc 500'!D441)),EDATE(AB1440,6),IF(ISNUMBER(SEARCH("3",'Procyfloc 500'!D441)),EDATE(AB1440,3),DATEVALUE('Procyfloc 500'!D441))))),""))</f>
        <v/>
      </c>
      <c r="AM1440" t="str">
        <f t="shared" ca="1" si="154"/>
        <v/>
      </c>
    </row>
    <row r="1441" spans="27:39" x14ac:dyDescent="0.3">
      <c r="AA1441" t="str">
        <f>IF(COUNTA('Procyfloc 500'!A442,'Procyfloc 500'!B442,'Procyfloc 500'!C442)&gt;0,"500","")</f>
        <v/>
      </c>
      <c r="AB1441" t="str">
        <f>IFERROR(IF(ISNUMBER('Procyfloc 500'!A442),'Procyfloc 500'!A442,DATEVALUE('Procyfloc 500'!A442)),"")</f>
        <v/>
      </c>
      <c r="AC1441" t="str">
        <f>IF(AA1441="","",'Procyfloc 500'!B442)</f>
        <v/>
      </c>
      <c r="AD1441" t="str">
        <f>IF(AA1441="","",IFERROR(1*'Procyfloc 500'!C442,IFERROR(_xludf.NUMBERVALUE('Procyfloc 500'!C442,".",","),IFERROR(_xludf.NUMBERVALUE('Procyfloc 500'!C442,",","."),0))))</f>
        <v/>
      </c>
      <c r="AE1441" t="str">
        <f>IF(AA1441="","",'Procyfloc 500'!L442)</f>
        <v/>
      </c>
      <c r="AF1441">
        <f t="shared" si="149"/>
        <v>0</v>
      </c>
      <c r="AG1441" t="str">
        <f t="shared" si="150"/>
        <v/>
      </c>
      <c r="AH1441" t="str">
        <f t="shared" si="151"/>
        <v/>
      </c>
      <c r="AI1441">
        <f t="shared" si="152"/>
        <v>0</v>
      </c>
      <c r="AJ1441">
        <f t="shared" si="153"/>
        <v>0</v>
      </c>
      <c r="AK1441">
        <v>0</v>
      </c>
      <c r="AL1441" t="str">
        <f>IF(AA1441="","",IFERROR(IF(ISNUMBER('Procyfloc 500'!D442),'Procyfloc 500'!D442,IF(ISNUMBER(SEARCH("12",'Procyfloc 500'!D442)),EDATE(AB1441,12),IF(ISNUMBER(SEARCH("6",'Procyfloc 500'!D442)),EDATE(AB1441,6),IF(ISNUMBER(SEARCH("3",'Procyfloc 500'!D442)),EDATE(AB1441,3),DATEVALUE('Procyfloc 500'!D442))))),""))</f>
        <v/>
      </c>
      <c r="AM1441" t="str">
        <f t="shared" ca="1" si="154"/>
        <v/>
      </c>
    </row>
    <row r="1442" spans="27:39" x14ac:dyDescent="0.3">
      <c r="AA1442" t="str">
        <f>IF(COUNTA('Procyfloc 500'!A443,'Procyfloc 500'!B443,'Procyfloc 500'!C443)&gt;0,"500","")</f>
        <v/>
      </c>
      <c r="AB1442" t="str">
        <f>IFERROR(IF(ISNUMBER('Procyfloc 500'!A443),'Procyfloc 500'!A443,DATEVALUE('Procyfloc 500'!A443)),"")</f>
        <v/>
      </c>
      <c r="AC1442" t="str">
        <f>IF(AA1442="","",'Procyfloc 500'!B443)</f>
        <v/>
      </c>
      <c r="AD1442" t="str">
        <f>IF(AA1442="","",IFERROR(1*'Procyfloc 500'!C443,IFERROR(_xludf.NUMBERVALUE('Procyfloc 500'!C443,".",","),IFERROR(_xludf.NUMBERVALUE('Procyfloc 500'!C443,",","."),0))))</f>
        <v/>
      </c>
      <c r="AE1442" t="str">
        <f>IF(AA1442="","",'Procyfloc 500'!L443)</f>
        <v/>
      </c>
      <c r="AF1442">
        <f t="shared" si="149"/>
        <v>0</v>
      </c>
      <c r="AG1442" t="str">
        <f t="shared" si="150"/>
        <v/>
      </c>
      <c r="AH1442" t="str">
        <f t="shared" si="151"/>
        <v/>
      </c>
      <c r="AI1442">
        <f t="shared" si="152"/>
        <v>0</v>
      </c>
      <c r="AJ1442">
        <f t="shared" si="153"/>
        <v>0</v>
      </c>
      <c r="AK1442">
        <v>0</v>
      </c>
      <c r="AL1442" t="str">
        <f>IF(AA1442="","",IFERROR(IF(ISNUMBER('Procyfloc 500'!D443),'Procyfloc 500'!D443,IF(ISNUMBER(SEARCH("12",'Procyfloc 500'!D443)),EDATE(AB1442,12),IF(ISNUMBER(SEARCH("6",'Procyfloc 500'!D443)),EDATE(AB1442,6),IF(ISNUMBER(SEARCH("3",'Procyfloc 500'!D443)),EDATE(AB1442,3),DATEVALUE('Procyfloc 500'!D443))))),""))</f>
        <v/>
      </c>
      <c r="AM1442" t="str">
        <f t="shared" ca="1" si="154"/>
        <v/>
      </c>
    </row>
    <row r="1443" spans="27:39" x14ac:dyDescent="0.3">
      <c r="AA1443" t="str">
        <f>IF(COUNTA('Procyfloc 500'!A444,'Procyfloc 500'!B444,'Procyfloc 500'!C444)&gt;0,"500","")</f>
        <v/>
      </c>
      <c r="AB1443" t="str">
        <f>IFERROR(IF(ISNUMBER('Procyfloc 500'!A444),'Procyfloc 500'!A444,DATEVALUE('Procyfloc 500'!A444)),"")</f>
        <v/>
      </c>
      <c r="AC1443" t="str">
        <f>IF(AA1443="","",'Procyfloc 500'!B444)</f>
        <v/>
      </c>
      <c r="AD1443" t="str">
        <f>IF(AA1443="","",IFERROR(1*'Procyfloc 500'!C444,IFERROR(_xludf.NUMBERVALUE('Procyfloc 500'!C444,".",","),IFERROR(_xludf.NUMBERVALUE('Procyfloc 500'!C444,",","."),0))))</f>
        <v/>
      </c>
      <c r="AE1443" t="str">
        <f>IF(AA1443="","",'Procyfloc 500'!L444)</f>
        <v/>
      </c>
      <c r="AF1443">
        <f t="shared" si="149"/>
        <v>0</v>
      </c>
      <c r="AG1443" t="str">
        <f t="shared" si="150"/>
        <v/>
      </c>
      <c r="AH1443" t="str">
        <f t="shared" si="151"/>
        <v/>
      </c>
      <c r="AI1443">
        <f t="shared" si="152"/>
        <v>0</v>
      </c>
      <c r="AJ1443">
        <f t="shared" si="153"/>
        <v>0</v>
      </c>
      <c r="AK1443">
        <v>0</v>
      </c>
      <c r="AL1443" t="str">
        <f>IF(AA1443="","",IFERROR(IF(ISNUMBER('Procyfloc 500'!D444),'Procyfloc 500'!D444,IF(ISNUMBER(SEARCH("12",'Procyfloc 500'!D444)),EDATE(AB1443,12),IF(ISNUMBER(SEARCH("6",'Procyfloc 500'!D444)),EDATE(AB1443,6),IF(ISNUMBER(SEARCH("3",'Procyfloc 500'!D444)),EDATE(AB1443,3),DATEVALUE('Procyfloc 500'!D444))))),""))</f>
        <v/>
      </c>
      <c r="AM1443" t="str">
        <f t="shared" ca="1" si="154"/>
        <v/>
      </c>
    </row>
    <row r="1444" spans="27:39" x14ac:dyDescent="0.3">
      <c r="AA1444" t="str">
        <f>IF(COUNTA('Procyfloc 500'!A445,'Procyfloc 500'!B445,'Procyfloc 500'!C445)&gt;0,"500","")</f>
        <v/>
      </c>
      <c r="AB1444" t="str">
        <f>IFERROR(IF(ISNUMBER('Procyfloc 500'!A445),'Procyfloc 500'!A445,DATEVALUE('Procyfloc 500'!A445)),"")</f>
        <v/>
      </c>
      <c r="AC1444" t="str">
        <f>IF(AA1444="","",'Procyfloc 500'!B445)</f>
        <v/>
      </c>
      <c r="AD1444" t="str">
        <f>IF(AA1444="","",IFERROR(1*'Procyfloc 500'!C445,IFERROR(_xludf.NUMBERVALUE('Procyfloc 500'!C445,".",","),IFERROR(_xludf.NUMBERVALUE('Procyfloc 500'!C445,",","."),0))))</f>
        <v/>
      </c>
      <c r="AE1444" t="str">
        <f>IF(AA1444="","",'Procyfloc 500'!L445)</f>
        <v/>
      </c>
      <c r="AF1444">
        <f t="shared" si="149"/>
        <v>0</v>
      </c>
      <c r="AG1444" t="str">
        <f t="shared" si="150"/>
        <v/>
      </c>
      <c r="AH1444" t="str">
        <f t="shared" si="151"/>
        <v/>
      </c>
      <c r="AI1444">
        <f t="shared" si="152"/>
        <v>0</v>
      </c>
      <c r="AJ1444">
        <f t="shared" si="153"/>
        <v>0</v>
      </c>
      <c r="AK1444">
        <v>0</v>
      </c>
      <c r="AL1444" t="str">
        <f>IF(AA1444="","",IFERROR(IF(ISNUMBER('Procyfloc 500'!D445),'Procyfloc 500'!D445,IF(ISNUMBER(SEARCH("12",'Procyfloc 500'!D445)),EDATE(AB1444,12),IF(ISNUMBER(SEARCH("6",'Procyfloc 500'!D445)),EDATE(AB1444,6),IF(ISNUMBER(SEARCH("3",'Procyfloc 500'!D445)),EDATE(AB1444,3),DATEVALUE('Procyfloc 500'!D445))))),""))</f>
        <v/>
      </c>
      <c r="AM1444" t="str">
        <f t="shared" ca="1" si="154"/>
        <v/>
      </c>
    </row>
    <row r="1445" spans="27:39" x14ac:dyDescent="0.3">
      <c r="AA1445" t="str">
        <f>IF(COUNTA('Procyfloc 500'!A446,'Procyfloc 500'!B446,'Procyfloc 500'!C446)&gt;0,"500","")</f>
        <v/>
      </c>
      <c r="AB1445" t="str">
        <f>IFERROR(IF(ISNUMBER('Procyfloc 500'!A446),'Procyfloc 500'!A446,DATEVALUE('Procyfloc 500'!A446)),"")</f>
        <v/>
      </c>
      <c r="AC1445" t="str">
        <f>IF(AA1445="","",'Procyfloc 500'!B446)</f>
        <v/>
      </c>
      <c r="AD1445" t="str">
        <f>IF(AA1445="","",IFERROR(1*'Procyfloc 500'!C446,IFERROR(_xludf.NUMBERVALUE('Procyfloc 500'!C446,".",","),IFERROR(_xludf.NUMBERVALUE('Procyfloc 500'!C446,",","."),0))))</f>
        <v/>
      </c>
      <c r="AE1445" t="str">
        <f>IF(AA1445="","",'Procyfloc 500'!L446)</f>
        <v/>
      </c>
      <c r="AF1445">
        <f t="shared" si="149"/>
        <v>0</v>
      </c>
      <c r="AG1445" t="str">
        <f t="shared" si="150"/>
        <v/>
      </c>
      <c r="AH1445" t="str">
        <f t="shared" si="151"/>
        <v/>
      </c>
      <c r="AI1445">
        <f t="shared" si="152"/>
        <v>0</v>
      </c>
      <c r="AJ1445">
        <f t="shared" si="153"/>
        <v>0</v>
      </c>
      <c r="AK1445">
        <v>0</v>
      </c>
      <c r="AL1445" t="str">
        <f>IF(AA1445="","",IFERROR(IF(ISNUMBER('Procyfloc 500'!D446),'Procyfloc 500'!D446,IF(ISNUMBER(SEARCH("12",'Procyfloc 500'!D446)),EDATE(AB1445,12),IF(ISNUMBER(SEARCH("6",'Procyfloc 500'!D446)),EDATE(AB1445,6),IF(ISNUMBER(SEARCH("3",'Procyfloc 500'!D446)),EDATE(AB1445,3),DATEVALUE('Procyfloc 500'!D446))))),""))</f>
        <v/>
      </c>
      <c r="AM1445" t="str">
        <f t="shared" ca="1" si="154"/>
        <v/>
      </c>
    </row>
    <row r="1446" spans="27:39" x14ac:dyDescent="0.3">
      <c r="AA1446" t="str">
        <f>IF(COUNTA('Procyfloc 500'!A447,'Procyfloc 500'!B447,'Procyfloc 500'!C447)&gt;0,"500","")</f>
        <v/>
      </c>
      <c r="AB1446" t="str">
        <f>IFERROR(IF(ISNUMBER('Procyfloc 500'!A447),'Procyfloc 500'!A447,DATEVALUE('Procyfloc 500'!A447)),"")</f>
        <v/>
      </c>
      <c r="AC1446" t="str">
        <f>IF(AA1446="","",'Procyfloc 500'!B447)</f>
        <v/>
      </c>
      <c r="AD1446" t="str">
        <f>IF(AA1446="","",IFERROR(1*'Procyfloc 500'!C447,IFERROR(_xludf.NUMBERVALUE('Procyfloc 500'!C447,".",","),IFERROR(_xludf.NUMBERVALUE('Procyfloc 500'!C447,",","."),0))))</f>
        <v/>
      </c>
      <c r="AE1446" t="str">
        <f>IF(AA1446="","",'Procyfloc 500'!L447)</f>
        <v/>
      </c>
      <c r="AF1446">
        <f t="shared" si="149"/>
        <v>0</v>
      </c>
      <c r="AG1446" t="str">
        <f t="shared" si="150"/>
        <v/>
      </c>
      <c r="AH1446" t="str">
        <f t="shared" si="151"/>
        <v/>
      </c>
      <c r="AI1446">
        <f t="shared" si="152"/>
        <v>0</v>
      </c>
      <c r="AJ1446">
        <f t="shared" si="153"/>
        <v>0</v>
      </c>
      <c r="AK1446">
        <v>0</v>
      </c>
      <c r="AL1446" t="str">
        <f>IF(AA1446="","",IFERROR(IF(ISNUMBER('Procyfloc 500'!D447),'Procyfloc 500'!D447,IF(ISNUMBER(SEARCH("12",'Procyfloc 500'!D447)),EDATE(AB1446,12),IF(ISNUMBER(SEARCH("6",'Procyfloc 500'!D447)),EDATE(AB1446,6),IF(ISNUMBER(SEARCH("3",'Procyfloc 500'!D447)),EDATE(AB1446,3),DATEVALUE('Procyfloc 500'!D447))))),""))</f>
        <v/>
      </c>
      <c r="AM1446" t="str">
        <f t="shared" ca="1" si="154"/>
        <v/>
      </c>
    </row>
    <row r="1447" spans="27:39" x14ac:dyDescent="0.3">
      <c r="AA1447" t="str">
        <f>IF(COUNTA('Procyfloc 500'!A448,'Procyfloc 500'!B448,'Procyfloc 500'!C448)&gt;0,"500","")</f>
        <v/>
      </c>
      <c r="AB1447" t="str">
        <f>IFERROR(IF(ISNUMBER('Procyfloc 500'!A448),'Procyfloc 500'!A448,DATEVALUE('Procyfloc 500'!A448)),"")</f>
        <v/>
      </c>
      <c r="AC1447" t="str">
        <f>IF(AA1447="","",'Procyfloc 500'!B448)</f>
        <v/>
      </c>
      <c r="AD1447" t="str">
        <f>IF(AA1447="","",IFERROR(1*'Procyfloc 500'!C448,IFERROR(_xludf.NUMBERVALUE('Procyfloc 500'!C448,".",","),IFERROR(_xludf.NUMBERVALUE('Procyfloc 500'!C448,",","."),0))))</f>
        <v/>
      </c>
      <c r="AE1447" t="str">
        <f>IF(AA1447="","",'Procyfloc 500'!L448)</f>
        <v/>
      </c>
      <c r="AF1447">
        <f t="shared" si="149"/>
        <v>0</v>
      </c>
      <c r="AG1447" t="str">
        <f t="shared" si="150"/>
        <v/>
      </c>
      <c r="AH1447" t="str">
        <f t="shared" si="151"/>
        <v/>
      </c>
      <c r="AI1447">
        <f t="shared" si="152"/>
        <v>0</v>
      </c>
      <c r="AJ1447">
        <f t="shared" si="153"/>
        <v>0</v>
      </c>
      <c r="AK1447">
        <v>0</v>
      </c>
      <c r="AL1447" t="str">
        <f>IF(AA1447="","",IFERROR(IF(ISNUMBER('Procyfloc 500'!D448),'Procyfloc 500'!D448,IF(ISNUMBER(SEARCH("12",'Procyfloc 500'!D448)),EDATE(AB1447,12),IF(ISNUMBER(SEARCH("6",'Procyfloc 500'!D448)),EDATE(AB1447,6),IF(ISNUMBER(SEARCH("3",'Procyfloc 500'!D448)),EDATE(AB1447,3),DATEVALUE('Procyfloc 500'!D448))))),""))</f>
        <v/>
      </c>
      <c r="AM1447" t="str">
        <f t="shared" ca="1" si="154"/>
        <v/>
      </c>
    </row>
    <row r="1448" spans="27:39" x14ac:dyDescent="0.3">
      <c r="AA1448" t="str">
        <f>IF(COUNTA('Procyfloc 500'!A449,'Procyfloc 500'!B449,'Procyfloc 500'!C449)&gt;0,"500","")</f>
        <v/>
      </c>
      <c r="AB1448" t="str">
        <f>IFERROR(IF(ISNUMBER('Procyfloc 500'!A449),'Procyfloc 500'!A449,DATEVALUE('Procyfloc 500'!A449)),"")</f>
        <v/>
      </c>
      <c r="AC1448" t="str">
        <f>IF(AA1448="","",'Procyfloc 500'!B449)</f>
        <v/>
      </c>
      <c r="AD1448" t="str">
        <f>IF(AA1448="","",IFERROR(1*'Procyfloc 500'!C449,IFERROR(_xludf.NUMBERVALUE('Procyfloc 500'!C449,".",","),IFERROR(_xludf.NUMBERVALUE('Procyfloc 500'!C449,",","."),0))))</f>
        <v/>
      </c>
      <c r="AE1448" t="str">
        <f>IF(AA1448="","",'Procyfloc 500'!L449)</f>
        <v/>
      </c>
      <c r="AF1448">
        <f t="shared" si="149"/>
        <v>0</v>
      </c>
      <c r="AG1448" t="str">
        <f t="shared" si="150"/>
        <v/>
      </c>
      <c r="AH1448" t="str">
        <f t="shared" si="151"/>
        <v/>
      </c>
      <c r="AI1448">
        <f t="shared" si="152"/>
        <v>0</v>
      </c>
      <c r="AJ1448">
        <f t="shared" si="153"/>
        <v>0</v>
      </c>
      <c r="AK1448">
        <v>0</v>
      </c>
      <c r="AL1448" t="str">
        <f>IF(AA1448="","",IFERROR(IF(ISNUMBER('Procyfloc 500'!D449),'Procyfloc 500'!D449,IF(ISNUMBER(SEARCH("12",'Procyfloc 500'!D449)),EDATE(AB1448,12),IF(ISNUMBER(SEARCH("6",'Procyfloc 500'!D449)),EDATE(AB1448,6),IF(ISNUMBER(SEARCH("3",'Procyfloc 500'!D449)),EDATE(AB1448,3),DATEVALUE('Procyfloc 500'!D449))))),""))</f>
        <v/>
      </c>
      <c r="AM1448" t="str">
        <f t="shared" ca="1" si="154"/>
        <v/>
      </c>
    </row>
    <row r="1449" spans="27:39" x14ac:dyDescent="0.3">
      <c r="AA1449" t="str">
        <f>IF(COUNTA('Procyfloc 500'!A450,'Procyfloc 500'!B450,'Procyfloc 500'!C450)&gt;0,"500","")</f>
        <v/>
      </c>
      <c r="AB1449" t="str">
        <f>IFERROR(IF(ISNUMBER('Procyfloc 500'!A450),'Procyfloc 500'!A450,DATEVALUE('Procyfloc 500'!A450)),"")</f>
        <v/>
      </c>
      <c r="AC1449" t="str">
        <f>IF(AA1449="","",'Procyfloc 500'!B450)</f>
        <v/>
      </c>
      <c r="AD1449" t="str">
        <f>IF(AA1449="","",IFERROR(1*'Procyfloc 500'!C450,IFERROR(_xludf.NUMBERVALUE('Procyfloc 500'!C450,".",","),IFERROR(_xludf.NUMBERVALUE('Procyfloc 500'!C450,",","."),0))))</f>
        <v/>
      </c>
      <c r="AE1449" t="str">
        <f>IF(AA1449="","",'Procyfloc 500'!L450)</f>
        <v/>
      </c>
      <c r="AF1449">
        <f t="shared" si="149"/>
        <v>0</v>
      </c>
      <c r="AG1449" t="str">
        <f t="shared" si="150"/>
        <v/>
      </c>
      <c r="AH1449" t="str">
        <f t="shared" si="151"/>
        <v/>
      </c>
      <c r="AI1449">
        <f t="shared" si="152"/>
        <v>0</v>
      </c>
      <c r="AJ1449">
        <f t="shared" si="153"/>
        <v>0</v>
      </c>
      <c r="AK1449">
        <v>0</v>
      </c>
      <c r="AL1449" t="str">
        <f>IF(AA1449="","",IFERROR(IF(ISNUMBER('Procyfloc 500'!D450),'Procyfloc 500'!D450,IF(ISNUMBER(SEARCH("12",'Procyfloc 500'!D450)),EDATE(AB1449,12),IF(ISNUMBER(SEARCH("6",'Procyfloc 500'!D450)),EDATE(AB1449,6),IF(ISNUMBER(SEARCH("3",'Procyfloc 500'!D450)),EDATE(AB1449,3),DATEVALUE('Procyfloc 500'!D450))))),""))</f>
        <v/>
      </c>
      <c r="AM1449" t="str">
        <f t="shared" ca="1" si="154"/>
        <v/>
      </c>
    </row>
    <row r="1450" spans="27:39" x14ac:dyDescent="0.3">
      <c r="AA1450" t="str">
        <f>IF(COUNTA('Procyfloc 500'!A451,'Procyfloc 500'!B451,'Procyfloc 500'!C451)&gt;0,"500","")</f>
        <v/>
      </c>
      <c r="AB1450" t="str">
        <f>IFERROR(IF(ISNUMBER('Procyfloc 500'!A451),'Procyfloc 500'!A451,DATEVALUE('Procyfloc 500'!A451)),"")</f>
        <v/>
      </c>
      <c r="AC1450" t="str">
        <f>IF(AA1450="","",'Procyfloc 500'!B451)</f>
        <v/>
      </c>
      <c r="AD1450" t="str">
        <f>IF(AA1450="","",IFERROR(1*'Procyfloc 500'!C451,IFERROR(_xludf.NUMBERVALUE('Procyfloc 500'!C451,".",","),IFERROR(_xludf.NUMBERVALUE('Procyfloc 500'!C451,",","."),0))))</f>
        <v/>
      </c>
      <c r="AE1450" t="str">
        <f>IF(AA1450="","",'Procyfloc 500'!L451)</f>
        <v/>
      </c>
      <c r="AF1450">
        <f t="shared" si="149"/>
        <v>0</v>
      </c>
      <c r="AG1450" t="str">
        <f t="shared" si="150"/>
        <v/>
      </c>
      <c r="AH1450" t="str">
        <f t="shared" si="151"/>
        <v/>
      </c>
      <c r="AI1450">
        <f t="shared" si="152"/>
        <v>0</v>
      </c>
      <c r="AJ1450">
        <f t="shared" si="153"/>
        <v>0</v>
      </c>
      <c r="AK1450">
        <v>0</v>
      </c>
      <c r="AL1450" t="str">
        <f>IF(AA1450="","",IFERROR(IF(ISNUMBER('Procyfloc 500'!D451),'Procyfloc 500'!D451,IF(ISNUMBER(SEARCH("12",'Procyfloc 500'!D451)),EDATE(AB1450,12),IF(ISNUMBER(SEARCH("6",'Procyfloc 500'!D451)),EDATE(AB1450,6),IF(ISNUMBER(SEARCH("3",'Procyfloc 500'!D451)),EDATE(AB1450,3),DATEVALUE('Procyfloc 500'!D451))))),""))</f>
        <v/>
      </c>
      <c r="AM1450" t="str">
        <f t="shared" ca="1" si="154"/>
        <v/>
      </c>
    </row>
    <row r="1451" spans="27:39" x14ac:dyDescent="0.3">
      <c r="AA1451" t="str">
        <f>IF(COUNTA('Procyfloc 500'!A452,'Procyfloc 500'!B452,'Procyfloc 500'!C452)&gt;0,"500","")</f>
        <v/>
      </c>
      <c r="AB1451" t="str">
        <f>IFERROR(IF(ISNUMBER('Procyfloc 500'!A452),'Procyfloc 500'!A452,DATEVALUE('Procyfloc 500'!A452)),"")</f>
        <v/>
      </c>
      <c r="AC1451" t="str">
        <f>IF(AA1451="","",'Procyfloc 500'!B452)</f>
        <v/>
      </c>
      <c r="AD1451" t="str">
        <f>IF(AA1451="","",IFERROR(1*'Procyfloc 500'!C452,IFERROR(_xludf.NUMBERVALUE('Procyfloc 500'!C452,".",","),IFERROR(_xludf.NUMBERVALUE('Procyfloc 500'!C452,",","."),0))))</f>
        <v/>
      </c>
      <c r="AE1451" t="str">
        <f>IF(AA1451="","",'Procyfloc 500'!L452)</f>
        <v/>
      </c>
      <c r="AF1451">
        <f t="shared" si="149"/>
        <v>0</v>
      </c>
      <c r="AG1451" t="str">
        <f t="shared" si="150"/>
        <v/>
      </c>
      <c r="AH1451" t="str">
        <f t="shared" si="151"/>
        <v/>
      </c>
      <c r="AI1451">
        <f t="shared" si="152"/>
        <v>0</v>
      </c>
      <c r="AJ1451">
        <f t="shared" si="153"/>
        <v>0</v>
      </c>
      <c r="AK1451">
        <v>0</v>
      </c>
      <c r="AL1451" t="str">
        <f>IF(AA1451="","",IFERROR(IF(ISNUMBER('Procyfloc 500'!D452),'Procyfloc 500'!D452,IF(ISNUMBER(SEARCH("12",'Procyfloc 500'!D452)),EDATE(AB1451,12),IF(ISNUMBER(SEARCH("6",'Procyfloc 500'!D452)),EDATE(AB1451,6),IF(ISNUMBER(SEARCH("3",'Procyfloc 500'!D452)),EDATE(AB1451,3),DATEVALUE('Procyfloc 500'!D452))))),""))</f>
        <v/>
      </c>
      <c r="AM1451" t="str">
        <f t="shared" ca="1" si="154"/>
        <v/>
      </c>
    </row>
    <row r="1452" spans="27:39" x14ac:dyDescent="0.3">
      <c r="AA1452" t="str">
        <f>IF(COUNTA('Procyfloc 500'!A453,'Procyfloc 500'!B453,'Procyfloc 500'!C453)&gt;0,"500","")</f>
        <v/>
      </c>
      <c r="AB1452" t="str">
        <f>IFERROR(IF(ISNUMBER('Procyfloc 500'!A453),'Procyfloc 500'!A453,DATEVALUE('Procyfloc 500'!A453)),"")</f>
        <v/>
      </c>
      <c r="AC1452" t="str">
        <f>IF(AA1452="","",'Procyfloc 500'!B453)</f>
        <v/>
      </c>
      <c r="AD1452" t="str">
        <f>IF(AA1452="","",IFERROR(1*'Procyfloc 500'!C453,IFERROR(_xludf.NUMBERVALUE('Procyfloc 500'!C453,".",","),IFERROR(_xludf.NUMBERVALUE('Procyfloc 500'!C453,",","."),0))))</f>
        <v/>
      </c>
      <c r="AE1452" t="str">
        <f>IF(AA1452="","",'Procyfloc 500'!L453)</f>
        <v/>
      </c>
      <c r="AF1452">
        <f t="shared" si="149"/>
        <v>0</v>
      </c>
      <c r="AG1452" t="str">
        <f t="shared" si="150"/>
        <v/>
      </c>
      <c r="AH1452" t="str">
        <f t="shared" si="151"/>
        <v/>
      </c>
      <c r="AI1452">
        <f t="shared" si="152"/>
        <v>0</v>
      </c>
      <c r="AJ1452">
        <f t="shared" si="153"/>
        <v>0</v>
      </c>
      <c r="AK1452">
        <v>0</v>
      </c>
      <c r="AL1452" t="str">
        <f>IF(AA1452="","",IFERROR(IF(ISNUMBER('Procyfloc 500'!D453),'Procyfloc 500'!D453,IF(ISNUMBER(SEARCH("12",'Procyfloc 500'!D453)),EDATE(AB1452,12),IF(ISNUMBER(SEARCH("6",'Procyfloc 500'!D453)),EDATE(AB1452,6),IF(ISNUMBER(SEARCH("3",'Procyfloc 500'!D453)),EDATE(AB1452,3),DATEVALUE('Procyfloc 500'!D453))))),""))</f>
        <v/>
      </c>
      <c r="AM1452" t="str">
        <f t="shared" ca="1" si="154"/>
        <v/>
      </c>
    </row>
    <row r="1453" spans="27:39" x14ac:dyDescent="0.3">
      <c r="AA1453" t="str">
        <f>IF(COUNTA('Procyfloc 500'!A454,'Procyfloc 500'!B454,'Procyfloc 500'!C454)&gt;0,"500","")</f>
        <v/>
      </c>
      <c r="AB1453" t="str">
        <f>IFERROR(IF(ISNUMBER('Procyfloc 500'!A454),'Procyfloc 500'!A454,DATEVALUE('Procyfloc 500'!A454)),"")</f>
        <v/>
      </c>
      <c r="AC1453" t="str">
        <f>IF(AA1453="","",'Procyfloc 500'!B454)</f>
        <v/>
      </c>
      <c r="AD1453" t="str">
        <f>IF(AA1453="","",IFERROR(1*'Procyfloc 500'!C454,IFERROR(_xludf.NUMBERVALUE('Procyfloc 500'!C454,".",","),IFERROR(_xludf.NUMBERVALUE('Procyfloc 500'!C454,",","."),0))))</f>
        <v/>
      </c>
      <c r="AE1453" t="str">
        <f>IF(AA1453="","",'Procyfloc 500'!L454)</f>
        <v/>
      </c>
      <c r="AF1453">
        <f t="shared" si="149"/>
        <v>0</v>
      </c>
      <c r="AG1453" t="str">
        <f t="shared" si="150"/>
        <v/>
      </c>
      <c r="AH1453" t="str">
        <f t="shared" si="151"/>
        <v/>
      </c>
      <c r="AI1453">
        <f t="shared" si="152"/>
        <v>0</v>
      </c>
      <c r="AJ1453">
        <f t="shared" si="153"/>
        <v>0</v>
      </c>
      <c r="AK1453">
        <v>0</v>
      </c>
      <c r="AL1453" t="str">
        <f>IF(AA1453="","",IFERROR(IF(ISNUMBER('Procyfloc 500'!D454),'Procyfloc 500'!D454,IF(ISNUMBER(SEARCH("12",'Procyfloc 500'!D454)),EDATE(AB1453,12),IF(ISNUMBER(SEARCH("6",'Procyfloc 500'!D454)),EDATE(AB1453,6),IF(ISNUMBER(SEARCH("3",'Procyfloc 500'!D454)),EDATE(AB1453,3),DATEVALUE('Procyfloc 500'!D454))))),""))</f>
        <v/>
      </c>
      <c r="AM1453" t="str">
        <f t="shared" ca="1" si="154"/>
        <v/>
      </c>
    </row>
    <row r="1454" spans="27:39" x14ac:dyDescent="0.3">
      <c r="AA1454" t="str">
        <f>IF(COUNTA('Procyfloc 500'!A455,'Procyfloc 500'!B455,'Procyfloc 500'!C455)&gt;0,"500","")</f>
        <v/>
      </c>
      <c r="AB1454" t="str">
        <f>IFERROR(IF(ISNUMBER('Procyfloc 500'!A455),'Procyfloc 500'!A455,DATEVALUE('Procyfloc 500'!A455)),"")</f>
        <v/>
      </c>
      <c r="AC1454" t="str">
        <f>IF(AA1454="","",'Procyfloc 500'!B455)</f>
        <v/>
      </c>
      <c r="AD1454" t="str">
        <f>IF(AA1454="","",IFERROR(1*'Procyfloc 500'!C455,IFERROR(_xludf.NUMBERVALUE('Procyfloc 500'!C455,".",","),IFERROR(_xludf.NUMBERVALUE('Procyfloc 500'!C455,",","."),0))))</f>
        <v/>
      </c>
      <c r="AE1454" t="str">
        <f>IF(AA1454="","",'Procyfloc 500'!L455)</f>
        <v/>
      </c>
      <c r="AF1454">
        <f t="shared" si="149"/>
        <v>0</v>
      </c>
      <c r="AG1454" t="str">
        <f t="shared" si="150"/>
        <v/>
      </c>
      <c r="AH1454" t="str">
        <f t="shared" si="151"/>
        <v/>
      </c>
      <c r="AI1454">
        <f t="shared" si="152"/>
        <v>0</v>
      </c>
      <c r="AJ1454">
        <f t="shared" si="153"/>
        <v>0</v>
      </c>
      <c r="AK1454">
        <v>0</v>
      </c>
      <c r="AL1454" t="str">
        <f>IF(AA1454="","",IFERROR(IF(ISNUMBER('Procyfloc 500'!D455),'Procyfloc 500'!D455,IF(ISNUMBER(SEARCH("12",'Procyfloc 500'!D455)),EDATE(AB1454,12),IF(ISNUMBER(SEARCH("6",'Procyfloc 500'!D455)),EDATE(AB1454,6),IF(ISNUMBER(SEARCH("3",'Procyfloc 500'!D455)),EDATE(AB1454,3),DATEVALUE('Procyfloc 500'!D455))))),""))</f>
        <v/>
      </c>
      <c r="AM1454" t="str">
        <f t="shared" ca="1" si="154"/>
        <v/>
      </c>
    </row>
    <row r="1455" spans="27:39" x14ac:dyDescent="0.3">
      <c r="AA1455" t="str">
        <f>IF(COUNTA('Procyfloc 500'!A456,'Procyfloc 500'!B456,'Procyfloc 500'!C456)&gt;0,"500","")</f>
        <v/>
      </c>
      <c r="AB1455" t="str">
        <f>IFERROR(IF(ISNUMBER('Procyfloc 500'!A456),'Procyfloc 500'!A456,DATEVALUE('Procyfloc 500'!A456)),"")</f>
        <v/>
      </c>
      <c r="AC1455" t="str">
        <f>IF(AA1455="","",'Procyfloc 500'!B456)</f>
        <v/>
      </c>
      <c r="AD1455" t="str">
        <f>IF(AA1455="","",IFERROR(1*'Procyfloc 500'!C456,IFERROR(_xludf.NUMBERVALUE('Procyfloc 500'!C456,".",","),IFERROR(_xludf.NUMBERVALUE('Procyfloc 500'!C456,",","."),0))))</f>
        <v/>
      </c>
      <c r="AE1455" t="str">
        <f>IF(AA1455="","",'Procyfloc 500'!L456)</f>
        <v/>
      </c>
      <c r="AF1455">
        <f t="shared" si="149"/>
        <v>0</v>
      </c>
      <c r="AG1455" t="str">
        <f t="shared" si="150"/>
        <v/>
      </c>
      <c r="AH1455" t="str">
        <f t="shared" si="151"/>
        <v/>
      </c>
      <c r="AI1455">
        <f t="shared" si="152"/>
        <v>0</v>
      </c>
      <c r="AJ1455">
        <f t="shared" si="153"/>
        <v>0</v>
      </c>
      <c r="AK1455">
        <v>0</v>
      </c>
      <c r="AL1455" t="str">
        <f>IF(AA1455="","",IFERROR(IF(ISNUMBER('Procyfloc 500'!D456),'Procyfloc 500'!D456,IF(ISNUMBER(SEARCH("12",'Procyfloc 500'!D456)),EDATE(AB1455,12),IF(ISNUMBER(SEARCH("6",'Procyfloc 500'!D456)),EDATE(AB1455,6),IF(ISNUMBER(SEARCH("3",'Procyfloc 500'!D456)),EDATE(AB1455,3),DATEVALUE('Procyfloc 500'!D456))))),""))</f>
        <v/>
      </c>
      <c r="AM1455" t="str">
        <f t="shared" ca="1" si="154"/>
        <v/>
      </c>
    </row>
    <row r="1456" spans="27:39" x14ac:dyDescent="0.3">
      <c r="AA1456" t="str">
        <f>IF(COUNTA('Procyfloc 500'!A457,'Procyfloc 500'!B457,'Procyfloc 500'!C457)&gt;0,"500","")</f>
        <v/>
      </c>
      <c r="AB1456" t="str">
        <f>IFERROR(IF(ISNUMBER('Procyfloc 500'!A457),'Procyfloc 500'!A457,DATEVALUE('Procyfloc 500'!A457)),"")</f>
        <v/>
      </c>
      <c r="AC1456" t="str">
        <f>IF(AA1456="","",'Procyfloc 500'!B457)</f>
        <v/>
      </c>
      <c r="AD1456" t="str">
        <f>IF(AA1456="","",IFERROR(1*'Procyfloc 500'!C457,IFERROR(_xludf.NUMBERVALUE('Procyfloc 500'!C457,".",","),IFERROR(_xludf.NUMBERVALUE('Procyfloc 500'!C457,",","."),0))))</f>
        <v/>
      </c>
      <c r="AE1456" t="str">
        <f>IF(AA1456="","",'Procyfloc 500'!L457)</f>
        <v/>
      </c>
      <c r="AF1456">
        <f t="shared" si="149"/>
        <v>0</v>
      </c>
      <c r="AG1456" t="str">
        <f t="shared" si="150"/>
        <v/>
      </c>
      <c r="AH1456" t="str">
        <f t="shared" si="151"/>
        <v/>
      </c>
      <c r="AI1456">
        <f t="shared" si="152"/>
        <v>0</v>
      </c>
      <c r="AJ1456">
        <f t="shared" si="153"/>
        <v>0</v>
      </c>
      <c r="AK1456">
        <v>0</v>
      </c>
      <c r="AL1456" t="str">
        <f>IF(AA1456="","",IFERROR(IF(ISNUMBER('Procyfloc 500'!D457),'Procyfloc 500'!D457,IF(ISNUMBER(SEARCH("12",'Procyfloc 500'!D457)),EDATE(AB1456,12),IF(ISNUMBER(SEARCH("6",'Procyfloc 500'!D457)),EDATE(AB1456,6),IF(ISNUMBER(SEARCH("3",'Procyfloc 500'!D457)),EDATE(AB1456,3),DATEVALUE('Procyfloc 500'!D457))))),""))</f>
        <v/>
      </c>
      <c r="AM1456" t="str">
        <f t="shared" ca="1" si="154"/>
        <v/>
      </c>
    </row>
    <row r="1457" spans="27:39" x14ac:dyDescent="0.3">
      <c r="AA1457" t="str">
        <f>IF(COUNTA('Procyfloc 500'!A458,'Procyfloc 500'!B458,'Procyfloc 500'!C458)&gt;0,"500","")</f>
        <v/>
      </c>
      <c r="AB1457" t="str">
        <f>IFERROR(IF(ISNUMBER('Procyfloc 500'!A458),'Procyfloc 500'!A458,DATEVALUE('Procyfloc 500'!A458)),"")</f>
        <v/>
      </c>
      <c r="AC1457" t="str">
        <f>IF(AA1457="","",'Procyfloc 500'!B458)</f>
        <v/>
      </c>
      <c r="AD1457" t="str">
        <f>IF(AA1457="","",IFERROR(1*'Procyfloc 500'!C458,IFERROR(_xludf.NUMBERVALUE('Procyfloc 500'!C458,".",","),IFERROR(_xludf.NUMBERVALUE('Procyfloc 500'!C458,",","."),0))))</f>
        <v/>
      </c>
      <c r="AE1457" t="str">
        <f>IF(AA1457="","",'Procyfloc 500'!L458)</f>
        <v/>
      </c>
      <c r="AF1457">
        <f t="shared" si="149"/>
        <v>0</v>
      </c>
      <c r="AG1457" t="str">
        <f t="shared" si="150"/>
        <v/>
      </c>
      <c r="AH1457" t="str">
        <f t="shared" si="151"/>
        <v/>
      </c>
      <c r="AI1457">
        <f t="shared" si="152"/>
        <v>0</v>
      </c>
      <c r="AJ1457">
        <f t="shared" si="153"/>
        <v>0</v>
      </c>
      <c r="AK1457">
        <v>0</v>
      </c>
      <c r="AL1457" t="str">
        <f>IF(AA1457="","",IFERROR(IF(ISNUMBER('Procyfloc 500'!D458),'Procyfloc 500'!D458,IF(ISNUMBER(SEARCH("12",'Procyfloc 500'!D458)),EDATE(AB1457,12),IF(ISNUMBER(SEARCH("6",'Procyfloc 500'!D458)),EDATE(AB1457,6),IF(ISNUMBER(SEARCH("3",'Procyfloc 500'!D458)),EDATE(AB1457,3),DATEVALUE('Procyfloc 500'!D458))))),""))</f>
        <v/>
      </c>
      <c r="AM1457" t="str">
        <f t="shared" ca="1" si="154"/>
        <v/>
      </c>
    </row>
    <row r="1458" spans="27:39" x14ac:dyDescent="0.3">
      <c r="AA1458" t="str">
        <f>IF(COUNTA('Procyfloc 500'!A459,'Procyfloc 500'!B459,'Procyfloc 500'!C459)&gt;0,"500","")</f>
        <v/>
      </c>
      <c r="AB1458" t="str">
        <f>IFERROR(IF(ISNUMBER('Procyfloc 500'!A459),'Procyfloc 500'!A459,DATEVALUE('Procyfloc 500'!A459)),"")</f>
        <v/>
      </c>
      <c r="AC1458" t="str">
        <f>IF(AA1458="","",'Procyfloc 500'!B459)</f>
        <v/>
      </c>
      <c r="AD1458" t="str">
        <f>IF(AA1458="","",IFERROR(1*'Procyfloc 500'!C459,IFERROR(_xludf.NUMBERVALUE('Procyfloc 500'!C459,".",","),IFERROR(_xludf.NUMBERVALUE('Procyfloc 500'!C459,",","."),0))))</f>
        <v/>
      </c>
      <c r="AE1458" t="str">
        <f>IF(AA1458="","",'Procyfloc 500'!L459)</f>
        <v/>
      </c>
      <c r="AF1458">
        <f t="shared" si="149"/>
        <v>0</v>
      </c>
      <c r="AG1458" t="str">
        <f t="shared" si="150"/>
        <v/>
      </c>
      <c r="AH1458" t="str">
        <f t="shared" si="151"/>
        <v/>
      </c>
      <c r="AI1458">
        <f t="shared" si="152"/>
        <v>0</v>
      </c>
      <c r="AJ1458">
        <f t="shared" si="153"/>
        <v>0</v>
      </c>
      <c r="AK1458">
        <v>0</v>
      </c>
      <c r="AL1458" t="str">
        <f>IF(AA1458="","",IFERROR(IF(ISNUMBER('Procyfloc 500'!D459),'Procyfloc 500'!D459,IF(ISNUMBER(SEARCH("12",'Procyfloc 500'!D459)),EDATE(AB1458,12),IF(ISNUMBER(SEARCH("6",'Procyfloc 500'!D459)),EDATE(AB1458,6),IF(ISNUMBER(SEARCH("3",'Procyfloc 500'!D459)),EDATE(AB1458,3),DATEVALUE('Procyfloc 500'!D459))))),""))</f>
        <v/>
      </c>
      <c r="AM1458" t="str">
        <f t="shared" ca="1" si="154"/>
        <v/>
      </c>
    </row>
    <row r="1459" spans="27:39" x14ac:dyDescent="0.3">
      <c r="AA1459" t="str">
        <f>IF(COUNTA('Procyfloc 500'!A460,'Procyfloc 500'!B460,'Procyfloc 500'!C460)&gt;0,"500","")</f>
        <v/>
      </c>
      <c r="AB1459" t="str">
        <f>IFERROR(IF(ISNUMBER('Procyfloc 500'!A460),'Procyfloc 500'!A460,DATEVALUE('Procyfloc 500'!A460)),"")</f>
        <v/>
      </c>
      <c r="AC1459" t="str">
        <f>IF(AA1459="","",'Procyfloc 500'!B460)</f>
        <v/>
      </c>
      <c r="AD1459" t="str">
        <f>IF(AA1459="","",IFERROR(1*'Procyfloc 500'!C460,IFERROR(_xludf.NUMBERVALUE('Procyfloc 500'!C460,".",","),IFERROR(_xludf.NUMBERVALUE('Procyfloc 500'!C460,",","."),0))))</f>
        <v/>
      </c>
      <c r="AE1459" t="str">
        <f>IF(AA1459="","",'Procyfloc 500'!L460)</f>
        <v/>
      </c>
      <c r="AF1459">
        <f t="shared" si="149"/>
        <v>0</v>
      </c>
      <c r="AG1459" t="str">
        <f t="shared" si="150"/>
        <v/>
      </c>
      <c r="AH1459" t="str">
        <f t="shared" si="151"/>
        <v/>
      </c>
      <c r="AI1459">
        <f t="shared" si="152"/>
        <v>0</v>
      </c>
      <c r="AJ1459">
        <f t="shared" si="153"/>
        <v>0</v>
      </c>
      <c r="AK1459">
        <v>0</v>
      </c>
      <c r="AL1459" t="str">
        <f>IF(AA1459="","",IFERROR(IF(ISNUMBER('Procyfloc 500'!D460),'Procyfloc 500'!D460,IF(ISNUMBER(SEARCH("12",'Procyfloc 500'!D460)),EDATE(AB1459,12),IF(ISNUMBER(SEARCH("6",'Procyfloc 500'!D460)),EDATE(AB1459,6),IF(ISNUMBER(SEARCH("3",'Procyfloc 500'!D460)),EDATE(AB1459,3),DATEVALUE('Procyfloc 500'!D460))))),""))</f>
        <v/>
      </c>
      <c r="AM1459" t="str">
        <f t="shared" ca="1" si="154"/>
        <v/>
      </c>
    </row>
    <row r="1460" spans="27:39" x14ac:dyDescent="0.3">
      <c r="AA1460" t="str">
        <f>IF(COUNTA('Procyfloc 500'!A461,'Procyfloc 500'!B461,'Procyfloc 500'!C461)&gt;0,"500","")</f>
        <v/>
      </c>
      <c r="AB1460" t="str">
        <f>IFERROR(IF(ISNUMBER('Procyfloc 500'!A461),'Procyfloc 500'!A461,DATEVALUE('Procyfloc 500'!A461)),"")</f>
        <v/>
      </c>
      <c r="AC1460" t="str">
        <f>IF(AA1460="","",'Procyfloc 500'!B461)</f>
        <v/>
      </c>
      <c r="AD1460" t="str">
        <f>IF(AA1460="","",IFERROR(1*'Procyfloc 500'!C461,IFERROR(_xludf.NUMBERVALUE('Procyfloc 500'!C461,".",","),IFERROR(_xludf.NUMBERVALUE('Procyfloc 500'!C461,",","."),0))))</f>
        <v/>
      </c>
      <c r="AE1460" t="str">
        <f>IF(AA1460="","",'Procyfloc 500'!L461)</f>
        <v/>
      </c>
      <c r="AF1460">
        <f t="shared" si="149"/>
        <v>0</v>
      </c>
      <c r="AG1460" t="str">
        <f t="shared" si="150"/>
        <v/>
      </c>
      <c r="AH1460" t="str">
        <f t="shared" si="151"/>
        <v/>
      </c>
      <c r="AI1460">
        <f t="shared" si="152"/>
        <v>0</v>
      </c>
      <c r="AJ1460">
        <f t="shared" si="153"/>
        <v>0</v>
      </c>
      <c r="AK1460">
        <v>0</v>
      </c>
      <c r="AL1460" t="str">
        <f>IF(AA1460="","",IFERROR(IF(ISNUMBER('Procyfloc 500'!D461),'Procyfloc 500'!D461,IF(ISNUMBER(SEARCH("12",'Procyfloc 500'!D461)),EDATE(AB1460,12),IF(ISNUMBER(SEARCH("6",'Procyfloc 500'!D461)),EDATE(AB1460,6),IF(ISNUMBER(SEARCH("3",'Procyfloc 500'!D461)),EDATE(AB1460,3),DATEVALUE('Procyfloc 500'!D461))))),""))</f>
        <v/>
      </c>
      <c r="AM1460" t="str">
        <f t="shared" ca="1" si="154"/>
        <v/>
      </c>
    </row>
    <row r="1461" spans="27:39" x14ac:dyDescent="0.3">
      <c r="AA1461" t="str">
        <f>IF(COUNTA('Procyfloc 500'!A462,'Procyfloc 500'!B462,'Procyfloc 500'!C462)&gt;0,"500","")</f>
        <v/>
      </c>
      <c r="AB1461" t="str">
        <f>IFERROR(IF(ISNUMBER('Procyfloc 500'!A462),'Procyfloc 500'!A462,DATEVALUE('Procyfloc 500'!A462)),"")</f>
        <v/>
      </c>
      <c r="AC1461" t="str">
        <f>IF(AA1461="","",'Procyfloc 500'!B462)</f>
        <v/>
      </c>
      <c r="AD1461" t="str">
        <f>IF(AA1461="","",IFERROR(1*'Procyfloc 500'!C462,IFERROR(_xludf.NUMBERVALUE('Procyfloc 500'!C462,".",","),IFERROR(_xludf.NUMBERVALUE('Procyfloc 500'!C462,",","."),0))))</f>
        <v/>
      </c>
      <c r="AE1461" t="str">
        <f>IF(AA1461="","",'Procyfloc 500'!L462)</f>
        <v/>
      </c>
      <c r="AF1461">
        <f t="shared" si="149"/>
        <v>0</v>
      </c>
      <c r="AG1461" t="str">
        <f t="shared" si="150"/>
        <v/>
      </c>
      <c r="AH1461" t="str">
        <f t="shared" si="151"/>
        <v/>
      </c>
      <c r="AI1461">
        <f t="shared" si="152"/>
        <v>0</v>
      </c>
      <c r="AJ1461">
        <f t="shared" si="153"/>
        <v>0</v>
      </c>
      <c r="AK1461">
        <v>0</v>
      </c>
      <c r="AL1461" t="str">
        <f>IF(AA1461="","",IFERROR(IF(ISNUMBER('Procyfloc 500'!D462),'Procyfloc 500'!D462,IF(ISNUMBER(SEARCH("12",'Procyfloc 500'!D462)),EDATE(AB1461,12),IF(ISNUMBER(SEARCH("6",'Procyfloc 500'!D462)),EDATE(AB1461,6),IF(ISNUMBER(SEARCH("3",'Procyfloc 500'!D462)),EDATE(AB1461,3),DATEVALUE('Procyfloc 500'!D462))))),""))</f>
        <v/>
      </c>
      <c r="AM1461" t="str">
        <f t="shared" ca="1" si="154"/>
        <v/>
      </c>
    </row>
    <row r="1462" spans="27:39" x14ac:dyDescent="0.3">
      <c r="AA1462" t="str">
        <f>IF(COUNTA('Procyfloc 500'!A463,'Procyfloc 500'!B463,'Procyfloc 500'!C463)&gt;0,"500","")</f>
        <v/>
      </c>
      <c r="AB1462" t="str">
        <f>IFERROR(IF(ISNUMBER('Procyfloc 500'!A463),'Procyfloc 500'!A463,DATEVALUE('Procyfloc 500'!A463)),"")</f>
        <v/>
      </c>
      <c r="AC1462" t="str">
        <f>IF(AA1462="","",'Procyfloc 500'!B463)</f>
        <v/>
      </c>
      <c r="AD1462" t="str">
        <f>IF(AA1462="","",IFERROR(1*'Procyfloc 500'!C463,IFERROR(_xludf.NUMBERVALUE('Procyfloc 500'!C463,".",","),IFERROR(_xludf.NUMBERVALUE('Procyfloc 500'!C463,",","."),0))))</f>
        <v/>
      </c>
      <c r="AE1462" t="str">
        <f>IF(AA1462="","",'Procyfloc 500'!L463)</f>
        <v/>
      </c>
      <c r="AF1462">
        <f t="shared" si="149"/>
        <v>0</v>
      </c>
      <c r="AG1462" t="str">
        <f t="shared" si="150"/>
        <v/>
      </c>
      <c r="AH1462" t="str">
        <f t="shared" si="151"/>
        <v/>
      </c>
      <c r="AI1462">
        <f t="shared" si="152"/>
        <v>0</v>
      </c>
      <c r="AJ1462">
        <f t="shared" si="153"/>
        <v>0</v>
      </c>
      <c r="AK1462">
        <v>0</v>
      </c>
      <c r="AL1462" t="str">
        <f>IF(AA1462="","",IFERROR(IF(ISNUMBER('Procyfloc 500'!D463),'Procyfloc 500'!D463,IF(ISNUMBER(SEARCH("12",'Procyfloc 500'!D463)),EDATE(AB1462,12),IF(ISNUMBER(SEARCH("6",'Procyfloc 500'!D463)),EDATE(AB1462,6),IF(ISNUMBER(SEARCH("3",'Procyfloc 500'!D463)),EDATE(AB1462,3),DATEVALUE('Procyfloc 500'!D463))))),""))</f>
        <v/>
      </c>
      <c r="AM1462" t="str">
        <f t="shared" ca="1" si="154"/>
        <v/>
      </c>
    </row>
    <row r="1463" spans="27:39" x14ac:dyDescent="0.3">
      <c r="AA1463" t="str">
        <f>IF(COUNTA('Procyfloc 500'!A464,'Procyfloc 500'!B464,'Procyfloc 500'!C464)&gt;0,"500","")</f>
        <v/>
      </c>
      <c r="AB1463" t="str">
        <f>IFERROR(IF(ISNUMBER('Procyfloc 500'!A464),'Procyfloc 500'!A464,DATEVALUE('Procyfloc 500'!A464)),"")</f>
        <v/>
      </c>
      <c r="AC1463" t="str">
        <f>IF(AA1463="","",'Procyfloc 500'!B464)</f>
        <v/>
      </c>
      <c r="AD1463" t="str">
        <f>IF(AA1463="","",IFERROR(1*'Procyfloc 500'!C464,IFERROR(_xludf.NUMBERVALUE('Procyfloc 500'!C464,".",","),IFERROR(_xludf.NUMBERVALUE('Procyfloc 500'!C464,",","."),0))))</f>
        <v/>
      </c>
      <c r="AE1463" t="str">
        <f>IF(AA1463="","",'Procyfloc 500'!L464)</f>
        <v/>
      </c>
      <c r="AF1463">
        <f t="shared" si="149"/>
        <v>0</v>
      </c>
      <c r="AG1463" t="str">
        <f t="shared" si="150"/>
        <v/>
      </c>
      <c r="AH1463" t="str">
        <f t="shared" si="151"/>
        <v/>
      </c>
      <c r="AI1463">
        <f t="shared" si="152"/>
        <v>0</v>
      </c>
      <c r="AJ1463">
        <f t="shared" si="153"/>
        <v>0</v>
      </c>
      <c r="AK1463">
        <v>0</v>
      </c>
      <c r="AL1463" t="str">
        <f>IF(AA1463="","",IFERROR(IF(ISNUMBER('Procyfloc 500'!D464),'Procyfloc 500'!D464,IF(ISNUMBER(SEARCH("12",'Procyfloc 500'!D464)),EDATE(AB1463,12),IF(ISNUMBER(SEARCH("6",'Procyfloc 500'!D464)),EDATE(AB1463,6),IF(ISNUMBER(SEARCH("3",'Procyfloc 500'!D464)),EDATE(AB1463,3),DATEVALUE('Procyfloc 500'!D464))))),""))</f>
        <v/>
      </c>
      <c r="AM1463" t="str">
        <f t="shared" ca="1" si="154"/>
        <v/>
      </c>
    </row>
    <row r="1464" spans="27:39" x14ac:dyDescent="0.3">
      <c r="AA1464" t="str">
        <f>IF(COUNTA('Procyfloc 500'!A465,'Procyfloc 500'!B465,'Procyfloc 500'!C465)&gt;0,"500","")</f>
        <v/>
      </c>
      <c r="AB1464" t="str">
        <f>IFERROR(IF(ISNUMBER('Procyfloc 500'!A465),'Procyfloc 500'!A465,DATEVALUE('Procyfloc 500'!A465)),"")</f>
        <v/>
      </c>
      <c r="AC1464" t="str">
        <f>IF(AA1464="","",'Procyfloc 500'!B465)</f>
        <v/>
      </c>
      <c r="AD1464" t="str">
        <f>IF(AA1464="","",IFERROR(1*'Procyfloc 500'!C465,IFERROR(_xludf.NUMBERVALUE('Procyfloc 500'!C465,".",","),IFERROR(_xludf.NUMBERVALUE('Procyfloc 500'!C465,",","."),0))))</f>
        <v/>
      </c>
      <c r="AE1464" t="str">
        <f>IF(AA1464="","",'Procyfloc 500'!L465)</f>
        <v/>
      </c>
      <c r="AF1464">
        <f t="shared" si="149"/>
        <v>0</v>
      </c>
      <c r="AG1464" t="str">
        <f t="shared" si="150"/>
        <v/>
      </c>
      <c r="AH1464" t="str">
        <f t="shared" si="151"/>
        <v/>
      </c>
      <c r="AI1464">
        <f t="shared" si="152"/>
        <v>0</v>
      </c>
      <c r="AJ1464">
        <f t="shared" si="153"/>
        <v>0</v>
      </c>
      <c r="AK1464">
        <v>0</v>
      </c>
      <c r="AL1464" t="str">
        <f>IF(AA1464="","",IFERROR(IF(ISNUMBER('Procyfloc 500'!D465),'Procyfloc 500'!D465,IF(ISNUMBER(SEARCH("12",'Procyfloc 500'!D465)),EDATE(AB1464,12),IF(ISNUMBER(SEARCH("6",'Procyfloc 500'!D465)),EDATE(AB1464,6),IF(ISNUMBER(SEARCH("3",'Procyfloc 500'!D465)),EDATE(AB1464,3),DATEVALUE('Procyfloc 500'!D465))))),""))</f>
        <v/>
      </c>
      <c r="AM1464" t="str">
        <f t="shared" ca="1" si="154"/>
        <v/>
      </c>
    </row>
    <row r="1465" spans="27:39" x14ac:dyDescent="0.3">
      <c r="AA1465" t="str">
        <f>IF(COUNTA('Procyfloc 500'!A466,'Procyfloc 500'!B466,'Procyfloc 500'!C466)&gt;0,"500","")</f>
        <v/>
      </c>
      <c r="AB1465" t="str">
        <f>IFERROR(IF(ISNUMBER('Procyfloc 500'!A466),'Procyfloc 500'!A466,DATEVALUE('Procyfloc 500'!A466)),"")</f>
        <v/>
      </c>
      <c r="AC1465" t="str">
        <f>IF(AA1465="","",'Procyfloc 500'!B466)</f>
        <v/>
      </c>
      <c r="AD1465" t="str">
        <f>IF(AA1465="","",IFERROR(1*'Procyfloc 500'!C466,IFERROR(_xludf.NUMBERVALUE('Procyfloc 500'!C466,".",","),IFERROR(_xludf.NUMBERVALUE('Procyfloc 500'!C466,",","."),0))))</f>
        <v/>
      </c>
      <c r="AE1465" t="str">
        <f>IF(AA1465="","",'Procyfloc 500'!L466)</f>
        <v/>
      </c>
      <c r="AF1465">
        <f t="shared" si="149"/>
        <v>0</v>
      </c>
      <c r="AG1465" t="str">
        <f t="shared" si="150"/>
        <v/>
      </c>
      <c r="AH1465" t="str">
        <f t="shared" si="151"/>
        <v/>
      </c>
      <c r="AI1465">
        <f t="shared" si="152"/>
        <v>0</v>
      </c>
      <c r="AJ1465">
        <f t="shared" si="153"/>
        <v>0</v>
      </c>
      <c r="AK1465">
        <v>0</v>
      </c>
      <c r="AL1465" t="str">
        <f>IF(AA1465="","",IFERROR(IF(ISNUMBER('Procyfloc 500'!D466),'Procyfloc 500'!D466,IF(ISNUMBER(SEARCH("12",'Procyfloc 500'!D466)),EDATE(AB1465,12),IF(ISNUMBER(SEARCH("6",'Procyfloc 500'!D466)),EDATE(AB1465,6),IF(ISNUMBER(SEARCH("3",'Procyfloc 500'!D466)),EDATE(AB1465,3),DATEVALUE('Procyfloc 500'!D466))))),""))</f>
        <v/>
      </c>
      <c r="AM1465" t="str">
        <f t="shared" ca="1" si="154"/>
        <v/>
      </c>
    </row>
    <row r="1466" spans="27:39" x14ac:dyDescent="0.3">
      <c r="AA1466" t="str">
        <f>IF(COUNTA('Procyfloc 500'!A467,'Procyfloc 500'!B467,'Procyfloc 500'!C467)&gt;0,"500","")</f>
        <v/>
      </c>
      <c r="AB1466" t="str">
        <f>IFERROR(IF(ISNUMBER('Procyfloc 500'!A467),'Procyfloc 500'!A467,DATEVALUE('Procyfloc 500'!A467)),"")</f>
        <v/>
      </c>
      <c r="AC1466" t="str">
        <f>IF(AA1466="","",'Procyfloc 500'!B467)</f>
        <v/>
      </c>
      <c r="AD1466" t="str">
        <f>IF(AA1466="","",IFERROR(1*'Procyfloc 500'!C467,IFERROR(_xludf.NUMBERVALUE('Procyfloc 500'!C467,".",","),IFERROR(_xludf.NUMBERVALUE('Procyfloc 500'!C467,",","."),0))))</f>
        <v/>
      </c>
      <c r="AE1466" t="str">
        <f>IF(AA1466="","",'Procyfloc 500'!L467)</f>
        <v/>
      </c>
      <c r="AF1466">
        <f t="shared" si="149"/>
        <v>0</v>
      </c>
      <c r="AG1466" t="str">
        <f t="shared" si="150"/>
        <v/>
      </c>
      <c r="AH1466" t="str">
        <f t="shared" si="151"/>
        <v/>
      </c>
      <c r="AI1466">
        <f t="shared" si="152"/>
        <v>0</v>
      </c>
      <c r="AJ1466">
        <f t="shared" si="153"/>
        <v>0</v>
      </c>
      <c r="AK1466">
        <v>0</v>
      </c>
      <c r="AL1466" t="str">
        <f>IF(AA1466="","",IFERROR(IF(ISNUMBER('Procyfloc 500'!D467),'Procyfloc 500'!D467,IF(ISNUMBER(SEARCH("12",'Procyfloc 500'!D467)),EDATE(AB1466,12),IF(ISNUMBER(SEARCH("6",'Procyfloc 500'!D467)),EDATE(AB1466,6),IF(ISNUMBER(SEARCH("3",'Procyfloc 500'!D467)),EDATE(AB1466,3),DATEVALUE('Procyfloc 500'!D467))))),""))</f>
        <v/>
      </c>
      <c r="AM1466" t="str">
        <f t="shared" ca="1" si="154"/>
        <v/>
      </c>
    </row>
    <row r="1467" spans="27:39" x14ac:dyDescent="0.3">
      <c r="AA1467" t="str">
        <f>IF(COUNTA('Procyfloc 500'!A468,'Procyfloc 500'!B468,'Procyfloc 500'!C468)&gt;0,"500","")</f>
        <v/>
      </c>
      <c r="AB1467" t="str">
        <f>IFERROR(IF(ISNUMBER('Procyfloc 500'!A468),'Procyfloc 500'!A468,DATEVALUE('Procyfloc 500'!A468)),"")</f>
        <v/>
      </c>
      <c r="AC1467" t="str">
        <f>IF(AA1467="","",'Procyfloc 500'!B468)</f>
        <v/>
      </c>
      <c r="AD1467" t="str">
        <f>IF(AA1467="","",IFERROR(1*'Procyfloc 500'!C468,IFERROR(_xludf.NUMBERVALUE('Procyfloc 500'!C468,".",","),IFERROR(_xludf.NUMBERVALUE('Procyfloc 500'!C468,",","."),0))))</f>
        <v/>
      </c>
      <c r="AE1467" t="str">
        <f>IF(AA1467="","",'Procyfloc 500'!L468)</f>
        <v/>
      </c>
      <c r="AF1467">
        <f t="shared" si="149"/>
        <v>0</v>
      </c>
      <c r="AG1467" t="str">
        <f t="shared" si="150"/>
        <v/>
      </c>
      <c r="AH1467" t="str">
        <f t="shared" si="151"/>
        <v/>
      </c>
      <c r="AI1467">
        <f t="shared" si="152"/>
        <v>0</v>
      </c>
      <c r="AJ1467">
        <f t="shared" si="153"/>
        <v>0</v>
      </c>
      <c r="AK1467">
        <v>0</v>
      </c>
      <c r="AL1467" t="str">
        <f>IF(AA1467="","",IFERROR(IF(ISNUMBER('Procyfloc 500'!D468),'Procyfloc 500'!D468,IF(ISNUMBER(SEARCH("12",'Procyfloc 500'!D468)),EDATE(AB1467,12),IF(ISNUMBER(SEARCH("6",'Procyfloc 500'!D468)),EDATE(AB1467,6),IF(ISNUMBER(SEARCH("3",'Procyfloc 500'!D468)),EDATE(AB1467,3),DATEVALUE('Procyfloc 500'!D468))))),""))</f>
        <v/>
      </c>
      <c r="AM1467" t="str">
        <f t="shared" ca="1" si="154"/>
        <v/>
      </c>
    </row>
    <row r="1468" spans="27:39" x14ac:dyDescent="0.3">
      <c r="AA1468" t="str">
        <f>IF(COUNTA('Procyfloc 500'!A469,'Procyfloc 500'!B469,'Procyfloc 500'!C469)&gt;0,"500","")</f>
        <v/>
      </c>
      <c r="AB1468" t="str">
        <f>IFERROR(IF(ISNUMBER('Procyfloc 500'!A469),'Procyfloc 500'!A469,DATEVALUE('Procyfloc 500'!A469)),"")</f>
        <v/>
      </c>
      <c r="AC1468" t="str">
        <f>IF(AA1468="","",'Procyfloc 500'!B469)</f>
        <v/>
      </c>
      <c r="AD1468" t="str">
        <f>IF(AA1468="","",IFERROR(1*'Procyfloc 500'!C469,IFERROR(_xludf.NUMBERVALUE('Procyfloc 500'!C469,".",","),IFERROR(_xludf.NUMBERVALUE('Procyfloc 500'!C469,",","."),0))))</f>
        <v/>
      </c>
      <c r="AE1468" t="str">
        <f>IF(AA1468="","",'Procyfloc 500'!L469)</f>
        <v/>
      </c>
      <c r="AF1468">
        <f t="shared" si="149"/>
        <v>0</v>
      </c>
      <c r="AG1468" t="str">
        <f t="shared" si="150"/>
        <v/>
      </c>
      <c r="AH1468" t="str">
        <f t="shared" si="151"/>
        <v/>
      </c>
      <c r="AI1468">
        <f t="shared" si="152"/>
        <v>0</v>
      </c>
      <c r="AJ1468">
        <f t="shared" si="153"/>
        <v>0</v>
      </c>
      <c r="AK1468">
        <v>0</v>
      </c>
      <c r="AL1468" t="str">
        <f>IF(AA1468="","",IFERROR(IF(ISNUMBER('Procyfloc 500'!D469),'Procyfloc 500'!D469,IF(ISNUMBER(SEARCH("12",'Procyfloc 500'!D469)),EDATE(AB1468,12),IF(ISNUMBER(SEARCH("6",'Procyfloc 500'!D469)),EDATE(AB1468,6),IF(ISNUMBER(SEARCH("3",'Procyfloc 500'!D469)),EDATE(AB1468,3),DATEVALUE('Procyfloc 500'!D469))))),""))</f>
        <v/>
      </c>
      <c r="AM1468" t="str">
        <f t="shared" ca="1" si="154"/>
        <v/>
      </c>
    </row>
    <row r="1469" spans="27:39" x14ac:dyDescent="0.3">
      <c r="AA1469" t="str">
        <f>IF(COUNTA('Procyfloc 500'!A470,'Procyfloc 500'!B470,'Procyfloc 500'!C470)&gt;0,"500","")</f>
        <v/>
      </c>
      <c r="AB1469" t="str">
        <f>IFERROR(IF(ISNUMBER('Procyfloc 500'!A470),'Procyfloc 500'!A470,DATEVALUE('Procyfloc 500'!A470)),"")</f>
        <v/>
      </c>
      <c r="AC1469" t="str">
        <f>IF(AA1469="","",'Procyfloc 500'!B470)</f>
        <v/>
      </c>
      <c r="AD1469" t="str">
        <f>IF(AA1469="","",IFERROR(1*'Procyfloc 500'!C470,IFERROR(_xludf.NUMBERVALUE('Procyfloc 500'!C470,".",","),IFERROR(_xludf.NUMBERVALUE('Procyfloc 500'!C470,",","."),0))))</f>
        <v/>
      </c>
      <c r="AE1469" t="str">
        <f>IF(AA1469="","",'Procyfloc 500'!L470)</f>
        <v/>
      </c>
      <c r="AF1469">
        <f t="shared" si="149"/>
        <v>0</v>
      </c>
      <c r="AG1469" t="str">
        <f t="shared" si="150"/>
        <v/>
      </c>
      <c r="AH1469" t="str">
        <f t="shared" si="151"/>
        <v/>
      </c>
      <c r="AI1469">
        <f t="shared" si="152"/>
        <v>0</v>
      </c>
      <c r="AJ1469">
        <f t="shared" si="153"/>
        <v>0</v>
      </c>
      <c r="AK1469">
        <v>0</v>
      </c>
      <c r="AL1469" t="str">
        <f>IF(AA1469="","",IFERROR(IF(ISNUMBER('Procyfloc 500'!D470),'Procyfloc 500'!D470,IF(ISNUMBER(SEARCH("12",'Procyfloc 500'!D470)),EDATE(AB1469,12),IF(ISNUMBER(SEARCH("6",'Procyfloc 500'!D470)),EDATE(AB1469,6),IF(ISNUMBER(SEARCH("3",'Procyfloc 500'!D470)),EDATE(AB1469,3),DATEVALUE('Procyfloc 500'!D470))))),""))</f>
        <v/>
      </c>
      <c r="AM1469" t="str">
        <f t="shared" ca="1" si="154"/>
        <v/>
      </c>
    </row>
    <row r="1470" spans="27:39" x14ac:dyDescent="0.3">
      <c r="AA1470" t="str">
        <f>IF(COUNTA('Procyfloc 500'!A471,'Procyfloc 500'!B471,'Procyfloc 500'!C471)&gt;0,"500","")</f>
        <v/>
      </c>
      <c r="AB1470" t="str">
        <f>IFERROR(IF(ISNUMBER('Procyfloc 500'!A471),'Procyfloc 500'!A471,DATEVALUE('Procyfloc 500'!A471)),"")</f>
        <v/>
      </c>
      <c r="AC1470" t="str">
        <f>IF(AA1470="","",'Procyfloc 500'!B471)</f>
        <v/>
      </c>
      <c r="AD1470" t="str">
        <f>IF(AA1470="","",IFERROR(1*'Procyfloc 500'!C471,IFERROR(_xludf.NUMBERVALUE('Procyfloc 500'!C471,".",","),IFERROR(_xludf.NUMBERVALUE('Procyfloc 500'!C471,",","."),0))))</f>
        <v/>
      </c>
      <c r="AE1470" t="str">
        <f>IF(AA1470="","",'Procyfloc 500'!L471)</f>
        <v/>
      </c>
      <c r="AF1470">
        <f t="shared" si="149"/>
        <v>0</v>
      </c>
      <c r="AG1470" t="str">
        <f t="shared" si="150"/>
        <v/>
      </c>
      <c r="AH1470" t="str">
        <f t="shared" si="151"/>
        <v/>
      </c>
      <c r="AI1470">
        <f t="shared" si="152"/>
        <v>0</v>
      </c>
      <c r="AJ1470">
        <f t="shared" si="153"/>
        <v>0</v>
      </c>
      <c r="AK1470">
        <v>0</v>
      </c>
      <c r="AL1470" t="str">
        <f>IF(AA1470="","",IFERROR(IF(ISNUMBER('Procyfloc 500'!D471),'Procyfloc 500'!D471,IF(ISNUMBER(SEARCH("12",'Procyfloc 500'!D471)),EDATE(AB1470,12),IF(ISNUMBER(SEARCH("6",'Procyfloc 500'!D471)),EDATE(AB1470,6),IF(ISNUMBER(SEARCH("3",'Procyfloc 500'!D471)),EDATE(AB1470,3),DATEVALUE('Procyfloc 500'!D471))))),""))</f>
        <v/>
      </c>
      <c r="AM1470" t="str">
        <f t="shared" ca="1" si="154"/>
        <v/>
      </c>
    </row>
    <row r="1471" spans="27:39" x14ac:dyDescent="0.3">
      <c r="AA1471" t="str">
        <f>IF(COUNTA('Procyfloc 500'!A472,'Procyfloc 500'!B472,'Procyfloc 500'!C472)&gt;0,"500","")</f>
        <v/>
      </c>
      <c r="AB1471" t="str">
        <f>IFERROR(IF(ISNUMBER('Procyfloc 500'!A472),'Procyfloc 500'!A472,DATEVALUE('Procyfloc 500'!A472)),"")</f>
        <v/>
      </c>
      <c r="AC1471" t="str">
        <f>IF(AA1471="","",'Procyfloc 500'!B472)</f>
        <v/>
      </c>
      <c r="AD1471" t="str">
        <f>IF(AA1471="","",IFERROR(1*'Procyfloc 500'!C472,IFERROR(_xludf.NUMBERVALUE('Procyfloc 500'!C472,".",","),IFERROR(_xludf.NUMBERVALUE('Procyfloc 500'!C472,",","."),0))))</f>
        <v/>
      </c>
      <c r="AE1471" t="str">
        <f>IF(AA1471="","",'Procyfloc 500'!L472)</f>
        <v/>
      </c>
      <c r="AF1471">
        <f t="shared" si="149"/>
        <v>0</v>
      </c>
      <c r="AG1471" t="str">
        <f t="shared" si="150"/>
        <v/>
      </c>
      <c r="AH1471" t="str">
        <f t="shared" si="151"/>
        <v/>
      </c>
      <c r="AI1471">
        <f t="shared" si="152"/>
        <v>0</v>
      </c>
      <c r="AJ1471">
        <f t="shared" si="153"/>
        <v>0</v>
      </c>
      <c r="AK1471">
        <v>0</v>
      </c>
      <c r="AL1471" t="str">
        <f>IF(AA1471="","",IFERROR(IF(ISNUMBER('Procyfloc 500'!D472),'Procyfloc 500'!D472,IF(ISNUMBER(SEARCH("12",'Procyfloc 500'!D472)),EDATE(AB1471,12),IF(ISNUMBER(SEARCH("6",'Procyfloc 500'!D472)),EDATE(AB1471,6),IF(ISNUMBER(SEARCH("3",'Procyfloc 500'!D472)),EDATE(AB1471,3),DATEVALUE('Procyfloc 500'!D472))))),""))</f>
        <v/>
      </c>
      <c r="AM1471" t="str">
        <f t="shared" ca="1" si="154"/>
        <v/>
      </c>
    </row>
    <row r="1472" spans="27:39" x14ac:dyDescent="0.3">
      <c r="AA1472" t="str">
        <f>IF(COUNTA('Procyfloc 500'!A473,'Procyfloc 500'!B473,'Procyfloc 500'!C473)&gt;0,"500","")</f>
        <v/>
      </c>
      <c r="AB1472" t="str">
        <f>IFERROR(IF(ISNUMBER('Procyfloc 500'!A473),'Procyfloc 500'!A473,DATEVALUE('Procyfloc 500'!A473)),"")</f>
        <v/>
      </c>
      <c r="AC1472" t="str">
        <f>IF(AA1472="","",'Procyfloc 500'!B473)</f>
        <v/>
      </c>
      <c r="AD1472" t="str">
        <f>IF(AA1472="","",IFERROR(1*'Procyfloc 500'!C473,IFERROR(_xludf.NUMBERVALUE('Procyfloc 500'!C473,".",","),IFERROR(_xludf.NUMBERVALUE('Procyfloc 500'!C473,",","."),0))))</f>
        <v/>
      </c>
      <c r="AE1472" t="str">
        <f>IF(AA1472="","",'Procyfloc 500'!L473)</f>
        <v/>
      </c>
      <c r="AF1472">
        <f t="shared" si="149"/>
        <v>0</v>
      </c>
      <c r="AG1472" t="str">
        <f t="shared" si="150"/>
        <v/>
      </c>
      <c r="AH1472" t="str">
        <f t="shared" si="151"/>
        <v/>
      </c>
      <c r="AI1472">
        <f t="shared" si="152"/>
        <v>0</v>
      </c>
      <c r="AJ1472">
        <f t="shared" si="153"/>
        <v>0</v>
      </c>
      <c r="AK1472">
        <v>0</v>
      </c>
      <c r="AL1472" t="str">
        <f>IF(AA1472="","",IFERROR(IF(ISNUMBER('Procyfloc 500'!D473),'Procyfloc 500'!D473,IF(ISNUMBER(SEARCH("12",'Procyfloc 500'!D473)),EDATE(AB1472,12),IF(ISNUMBER(SEARCH("6",'Procyfloc 500'!D473)),EDATE(AB1472,6),IF(ISNUMBER(SEARCH("3",'Procyfloc 500'!D473)),EDATE(AB1472,3),DATEVALUE('Procyfloc 500'!D473))))),""))</f>
        <v/>
      </c>
      <c r="AM1472" t="str">
        <f t="shared" ca="1" si="154"/>
        <v/>
      </c>
    </row>
    <row r="1473" spans="27:39" x14ac:dyDescent="0.3">
      <c r="AA1473" t="str">
        <f>IF(COUNTA('Procyfloc 500'!A474,'Procyfloc 500'!B474,'Procyfloc 500'!C474)&gt;0,"500","")</f>
        <v/>
      </c>
      <c r="AB1473" t="str">
        <f>IFERROR(IF(ISNUMBER('Procyfloc 500'!A474),'Procyfloc 500'!A474,DATEVALUE('Procyfloc 500'!A474)),"")</f>
        <v/>
      </c>
      <c r="AC1473" t="str">
        <f>IF(AA1473="","",'Procyfloc 500'!B474)</f>
        <v/>
      </c>
      <c r="AD1473" t="str">
        <f>IF(AA1473="","",IFERROR(1*'Procyfloc 500'!C474,IFERROR(_xludf.NUMBERVALUE('Procyfloc 500'!C474,".",","),IFERROR(_xludf.NUMBERVALUE('Procyfloc 500'!C474,",","."),0))))</f>
        <v/>
      </c>
      <c r="AE1473" t="str">
        <f>IF(AA1473="","",'Procyfloc 500'!L474)</f>
        <v/>
      </c>
      <c r="AF1473">
        <f t="shared" si="149"/>
        <v>0</v>
      </c>
      <c r="AG1473" t="str">
        <f t="shared" si="150"/>
        <v/>
      </c>
      <c r="AH1473" t="str">
        <f t="shared" si="151"/>
        <v/>
      </c>
      <c r="AI1473">
        <f t="shared" si="152"/>
        <v>0</v>
      </c>
      <c r="AJ1473">
        <f t="shared" si="153"/>
        <v>0</v>
      </c>
      <c r="AK1473">
        <v>0</v>
      </c>
      <c r="AL1473" t="str">
        <f>IF(AA1473="","",IFERROR(IF(ISNUMBER('Procyfloc 500'!D474),'Procyfloc 500'!D474,IF(ISNUMBER(SEARCH("12",'Procyfloc 500'!D474)),EDATE(AB1473,12),IF(ISNUMBER(SEARCH("6",'Procyfloc 500'!D474)),EDATE(AB1473,6),IF(ISNUMBER(SEARCH("3",'Procyfloc 500'!D474)),EDATE(AB1473,3),DATEVALUE('Procyfloc 500'!D474))))),""))</f>
        <v/>
      </c>
      <c r="AM1473" t="str">
        <f t="shared" ca="1" si="154"/>
        <v/>
      </c>
    </row>
    <row r="1474" spans="27:39" x14ac:dyDescent="0.3">
      <c r="AA1474" t="str">
        <f>IF(COUNTA('Procyfloc 500'!A475,'Procyfloc 500'!B475,'Procyfloc 500'!C475)&gt;0,"500","")</f>
        <v/>
      </c>
      <c r="AB1474" t="str">
        <f>IFERROR(IF(ISNUMBER('Procyfloc 500'!A475),'Procyfloc 500'!A475,DATEVALUE('Procyfloc 500'!A475)),"")</f>
        <v/>
      </c>
      <c r="AC1474" t="str">
        <f>IF(AA1474="","",'Procyfloc 500'!B475)</f>
        <v/>
      </c>
      <c r="AD1474" t="str">
        <f>IF(AA1474="","",IFERROR(1*'Procyfloc 500'!C475,IFERROR(_xludf.NUMBERVALUE('Procyfloc 500'!C475,".",","),IFERROR(_xludf.NUMBERVALUE('Procyfloc 500'!C475,",","."),0))))</f>
        <v/>
      </c>
      <c r="AE1474" t="str">
        <f>IF(AA1474="","",'Procyfloc 500'!L475)</f>
        <v/>
      </c>
      <c r="AF1474">
        <f t="shared" ref="AF1474:AF1537" si="155">IF(AA1474="",0,--AND(ISNUMBER(SEARCH("aprov",AE1474)),NOT(ISNUMBER(SEARCH("reprov",AE1474)))))</f>
        <v>0</v>
      </c>
      <c r="AG1474" t="str">
        <f t="shared" ref="AG1474:AG1537" si="156">IF(AB1474="","",YEAR(AB1474))</f>
        <v/>
      </c>
      <c r="AH1474" t="str">
        <f t="shared" ref="AH1474:AH1537" si="157">IF(AB1474="","",MONTH(AB1474))</f>
        <v/>
      </c>
      <c r="AI1474">
        <f t="shared" ref="AI1474:AI1537" si="158">IF(AB1474="",0,AB1474+ROW()/1000000)</f>
        <v>0</v>
      </c>
      <c r="AJ1474">
        <f t="shared" ref="AJ1474:AJ1537" si="159">--(AA1474&lt;&gt;"")</f>
        <v>0</v>
      </c>
      <c r="AK1474">
        <v>0</v>
      </c>
      <c r="AL1474" t="str">
        <f>IF(AA1474="","",IFERROR(IF(ISNUMBER('Procyfloc 500'!D475),'Procyfloc 500'!D475,IF(ISNUMBER(SEARCH("12",'Procyfloc 500'!D475)),EDATE(AB1474,12),IF(ISNUMBER(SEARCH("6",'Procyfloc 500'!D475)),EDATE(AB1474,6),IF(ISNUMBER(SEARCH("3",'Procyfloc 500'!D475)),EDATE(AB1474,3),DATEVALUE('Procyfloc 500'!D475))))),""))</f>
        <v/>
      </c>
      <c r="AM1474" t="str">
        <f t="shared" ref="AM1474:AM1537" ca="1" si="160">IF(AND(AJ1474=1,AL1474&lt;&gt;"",AL1474&gt;=TODAY(),AG1474=$W$3),AL1474+ROW()/1000000,"")</f>
        <v/>
      </c>
    </row>
    <row r="1475" spans="27:39" x14ac:dyDescent="0.3">
      <c r="AA1475" t="str">
        <f>IF(COUNTA('Procyfloc 500'!A476,'Procyfloc 500'!B476,'Procyfloc 500'!C476)&gt;0,"500","")</f>
        <v/>
      </c>
      <c r="AB1475" t="str">
        <f>IFERROR(IF(ISNUMBER('Procyfloc 500'!A476),'Procyfloc 500'!A476,DATEVALUE('Procyfloc 500'!A476)),"")</f>
        <v/>
      </c>
      <c r="AC1475" t="str">
        <f>IF(AA1475="","",'Procyfloc 500'!B476)</f>
        <v/>
      </c>
      <c r="AD1475" t="str">
        <f>IF(AA1475="","",IFERROR(1*'Procyfloc 500'!C476,IFERROR(_xludf.NUMBERVALUE('Procyfloc 500'!C476,".",","),IFERROR(_xludf.NUMBERVALUE('Procyfloc 500'!C476,",","."),0))))</f>
        <v/>
      </c>
      <c r="AE1475" t="str">
        <f>IF(AA1475="","",'Procyfloc 500'!L476)</f>
        <v/>
      </c>
      <c r="AF1475">
        <f t="shared" si="155"/>
        <v>0</v>
      </c>
      <c r="AG1475" t="str">
        <f t="shared" si="156"/>
        <v/>
      </c>
      <c r="AH1475" t="str">
        <f t="shared" si="157"/>
        <v/>
      </c>
      <c r="AI1475">
        <f t="shared" si="158"/>
        <v>0</v>
      </c>
      <c r="AJ1475">
        <f t="shared" si="159"/>
        <v>0</v>
      </c>
      <c r="AK1475">
        <v>0</v>
      </c>
      <c r="AL1475" t="str">
        <f>IF(AA1475="","",IFERROR(IF(ISNUMBER('Procyfloc 500'!D476),'Procyfloc 500'!D476,IF(ISNUMBER(SEARCH("12",'Procyfloc 500'!D476)),EDATE(AB1475,12),IF(ISNUMBER(SEARCH("6",'Procyfloc 500'!D476)),EDATE(AB1475,6),IF(ISNUMBER(SEARCH("3",'Procyfloc 500'!D476)),EDATE(AB1475,3),DATEVALUE('Procyfloc 500'!D476))))),""))</f>
        <v/>
      </c>
      <c r="AM1475" t="str">
        <f t="shared" ca="1" si="160"/>
        <v/>
      </c>
    </row>
    <row r="1476" spans="27:39" x14ac:dyDescent="0.3">
      <c r="AA1476" t="str">
        <f>IF(COUNTA('Procyfloc 500'!A477,'Procyfloc 500'!B477,'Procyfloc 500'!C477)&gt;0,"500","")</f>
        <v/>
      </c>
      <c r="AB1476" t="str">
        <f>IFERROR(IF(ISNUMBER('Procyfloc 500'!A477),'Procyfloc 500'!A477,DATEVALUE('Procyfloc 500'!A477)),"")</f>
        <v/>
      </c>
      <c r="AC1476" t="str">
        <f>IF(AA1476="","",'Procyfloc 500'!B477)</f>
        <v/>
      </c>
      <c r="AD1476" t="str">
        <f>IF(AA1476="","",IFERROR(1*'Procyfloc 500'!C477,IFERROR(_xludf.NUMBERVALUE('Procyfloc 500'!C477,".",","),IFERROR(_xludf.NUMBERVALUE('Procyfloc 500'!C477,",","."),0))))</f>
        <v/>
      </c>
      <c r="AE1476" t="str">
        <f>IF(AA1476="","",'Procyfloc 500'!L477)</f>
        <v/>
      </c>
      <c r="AF1476">
        <f t="shared" si="155"/>
        <v>0</v>
      </c>
      <c r="AG1476" t="str">
        <f t="shared" si="156"/>
        <v/>
      </c>
      <c r="AH1476" t="str">
        <f t="shared" si="157"/>
        <v/>
      </c>
      <c r="AI1476">
        <f t="shared" si="158"/>
        <v>0</v>
      </c>
      <c r="AJ1476">
        <f t="shared" si="159"/>
        <v>0</v>
      </c>
      <c r="AK1476">
        <v>0</v>
      </c>
      <c r="AL1476" t="str">
        <f>IF(AA1476="","",IFERROR(IF(ISNUMBER('Procyfloc 500'!D477),'Procyfloc 500'!D477,IF(ISNUMBER(SEARCH("12",'Procyfloc 500'!D477)),EDATE(AB1476,12),IF(ISNUMBER(SEARCH("6",'Procyfloc 500'!D477)),EDATE(AB1476,6),IF(ISNUMBER(SEARCH("3",'Procyfloc 500'!D477)),EDATE(AB1476,3),DATEVALUE('Procyfloc 500'!D477))))),""))</f>
        <v/>
      </c>
      <c r="AM1476" t="str">
        <f t="shared" ca="1" si="160"/>
        <v/>
      </c>
    </row>
    <row r="1477" spans="27:39" x14ac:dyDescent="0.3">
      <c r="AA1477" t="str">
        <f>IF(COUNTA('Procyfloc 500'!A478,'Procyfloc 500'!B478,'Procyfloc 500'!C478)&gt;0,"500","")</f>
        <v/>
      </c>
      <c r="AB1477" t="str">
        <f>IFERROR(IF(ISNUMBER('Procyfloc 500'!A478),'Procyfloc 500'!A478,DATEVALUE('Procyfloc 500'!A478)),"")</f>
        <v/>
      </c>
      <c r="AC1477" t="str">
        <f>IF(AA1477="","",'Procyfloc 500'!B478)</f>
        <v/>
      </c>
      <c r="AD1477" t="str">
        <f>IF(AA1477="","",IFERROR(1*'Procyfloc 500'!C478,IFERROR(_xludf.NUMBERVALUE('Procyfloc 500'!C478,".",","),IFERROR(_xludf.NUMBERVALUE('Procyfloc 500'!C478,",","."),0))))</f>
        <v/>
      </c>
      <c r="AE1477" t="str">
        <f>IF(AA1477="","",'Procyfloc 500'!L478)</f>
        <v/>
      </c>
      <c r="AF1477">
        <f t="shared" si="155"/>
        <v>0</v>
      </c>
      <c r="AG1477" t="str">
        <f t="shared" si="156"/>
        <v/>
      </c>
      <c r="AH1477" t="str">
        <f t="shared" si="157"/>
        <v/>
      </c>
      <c r="AI1477">
        <f t="shared" si="158"/>
        <v>0</v>
      </c>
      <c r="AJ1477">
        <f t="shared" si="159"/>
        <v>0</v>
      </c>
      <c r="AK1477">
        <v>0</v>
      </c>
      <c r="AL1477" t="str">
        <f>IF(AA1477="","",IFERROR(IF(ISNUMBER('Procyfloc 500'!D478),'Procyfloc 500'!D478,IF(ISNUMBER(SEARCH("12",'Procyfloc 500'!D478)),EDATE(AB1477,12),IF(ISNUMBER(SEARCH("6",'Procyfloc 500'!D478)),EDATE(AB1477,6),IF(ISNUMBER(SEARCH("3",'Procyfloc 500'!D478)),EDATE(AB1477,3),DATEVALUE('Procyfloc 500'!D478))))),""))</f>
        <v/>
      </c>
      <c r="AM1477" t="str">
        <f t="shared" ca="1" si="160"/>
        <v/>
      </c>
    </row>
    <row r="1478" spans="27:39" x14ac:dyDescent="0.3">
      <c r="AA1478" t="str">
        <f>IF(COUNTA('Procyfloc 500'!A479,'Procyfloc 500'!B479,'Procyfloc 500'!C479)&gt;0,"500","")</f>
        <v/>
      </c>
      <c r="AB1478" t="str">
        <f>IFERROR(IF(ISNUMBER('Procyfloc 500'!A479),'Procyfloc 500'!A479,DATEVALUE('Procyfloc 500'!A479)),"")</f>
        <v/>
      </c>
      <c r="AC1478" t="str">
        <f>IF(AA1478="","",'Procyfloc 500'!B479)</f>
        <v/>
      </c>
      <c r="AD1478" t="str">
        <f>IF(AA1478="","",IFERROR(1*'Procyfloc 500'!C479,IFERROR(_xludf.NUMBERVALUE('Procyfloc 500'!C479,".",","),IFERROR(_xludf.NUMBERVALUE('Procyfloc 500'!C479,",","."),0))))</f>
        <v/>
      </c>
      <c r="AE1478" t="str">
        <f>IF(AA1478="","",'Procyfloc 500'!L479)</f>
        <v/>
      </c>
      <c r="AF1478">
        <f t="shared" si="155"/>
        <v>0</v>
      </c>
      <c r="AG1478" t="str">
        <f t="shared" si="156"/>
        <v/>
      </c>
      <c r="AH1478" t="str">
        <f t="shared" si="157"/>
        <v/>
      </c>
      <c r="AI1478">
        <f t="shared" si="158"/>
        <v>0</v>
      </c>
      <c r="AJ1478">
        <f t="shared" si="159"/>
        <v>0</v>
      </c>
      <c r="AK1478">
        <v>0</v>
      </c>
      <c r="AL1478" t="str">
        <f>IF(AA1478="","",IFERROR(IF(ISNUMBER('Procyfloc 500'!D479),'Procyfloc 500'!D479,IF(ISNUMBER(SEARCH("12",'Procyfloc 500'!D479)),EDATE(AB1478,12),IF(ISNUMBER(SEARCH("6",'Procyfloc 500'!D479)),EDATE(AB1478,6),IF(ISNUMBER(SEARCH("3",'Procyfloc 500'!D479)),EDATE(AB1478,3),DATEVALUE('Procyfloc 500'!D479))))),""))</f>
        <v/>
      </c>
      <c r="AM1478" t="str">
        <f t="shared" ca="1" si="160"/>
        <v/>
      </c>
    </row>
    <row r="1479" spans="27:39" x14ac:dyDescent="0.3">
      <c r="AA1479" t="str">
        <f>IF(COUNTA('Procyfloc 500'!A480,'Procyfloc 500'!B480,'Procyfloc 500'!C480)&gt;0,"500","")</f>
        <v/>
      </c>
      <c r="AB1479" t="str">
        <f>IFERROR(IF(ISNUMBER('Procyfloc 500'!A480),'Procyfloc 500'!A480,DATEVALUE('Procyfloc 500'!A480)),"")</f>
        <v/>
      </c>
      <c r="AC1479" t="str">
        <f>IF(AA1479="","",'Procyfloc 500'!B480)</f>
        <v/>
      </c>
      <c r="AD1479" t="str">
        <f>IF(AA1479="","",IFERROR(1*'Procyfloc 500'!C480,IFERROR(_xludf.NUMBERVALUE('Procyfloc 500'!C480,".",","),IFERROR(_xludf.NUMBERVALUE('Procyfloc 500'!C480,",","."),0))))</f>
        <v/>
      </c>
      <c r="AE1479" t="str">
        <f>IF(AA1479="","",'Procyfloc 500'!L480)</f>
        <v/>
      </c>
      <c r="AF1479">
        <f t="shared" si="155"/>
        <v>0</v>
      </c>
      <c r="AG1479" t="str">
        <f t="shared" si="156"/>
        <v/>
      </c>
      <c r="AH1479" t="str">
        <f t="shared" si="157"/>
        <v/>
      </c>
      <c r="AI1479">
        <f t="shared" si="158"/>
        <v>0</v>
      </c>
      <c r="AJ1479">
        <f t="shared" si="159"/>
        <v>0</v>
      </c>
      <c r="AK1479">
        <v>0</v>
      </c>
      <c r="AL1479" t="str">
        <f>IF(AA1479="","",IFERROR(IF(ISNUMBER('Procyfloc 500'!D480),'Procyfloc 500'!D480,IF(ISNUMBER(SEARCH("12",'Procyfloc 500'!D480)),EDATE(AB1479,12),IF(ISNUMBER(SEARCH("6",'Procyfloc 500'!D480)),EDATE(AB1479,6),IF(ISNUMBER(SEARCH("3",'Procyfloc 500'!D480)),EDATE(AB1479,3),DATEVALUE('Procyfloc 500'!D480))))),""))</f>
        <v/>
      </c>
      <c r="AM1479" t="str">
        <f t="shared" ca="1" si="160"/>
        <v/>
      </c>
    </row>
    <row r="1480" spans="27:39" x14ac:dyDescent="0.3">
      <c r="AA1480" t="str">
        <f>IF(COUNTA('Procyfloc 500'!A481,'Procyfloc 500'!B481,'Procyfloc 500'!C481)&gt;0,"500","")</f>
        <v/>
      </c>
      <c r="AB1480" t="str">
        <f>IFERROR(IF(ISNUMBER('Procyfloc 500'!A481),'Procyfloc 500'!A481,DATEVALUE('Procyfloc 500'!A481)),"")</f>
        <v/>
      </c>
      <c r="AC1480" t="str">
        <f>IF(AA1480="","",'Procyfloc 500'!B481)</f>
        <v/>
      </c>
      <c r="AD1480" t="str">
        <f>IF(AA1480="","",IFERROR(1*'Procyfloc 500'!C481,IFERROR(_xludf.NUMBERVALUE('Procyfloc 500'!C481,".",","),IFERROR(_xludf.NUMBERVALUE('Procyfloc 500'!C481,",","."),0))))</f>
        <v/>
      </c>
      <c r="AE1480" t="str">
        <f>IF(AA1480="","",'Procyfloc 500'!L481)</f>
        <v/>
      </c>
      <c r="AF1480">
        <f t="shared" si="155"/>
        <v>0</v>
      </c>
      <c r="AG1480" t="str">
        <f t="shared" si="156"/>
        <v/>
      </c>
      <c r="AH1480" t="str">
        <f t="shared" si="157"/>
        <v/>
      </c>
      <c r="AI1480">
        <f t="shared" si="158"/>
        <v>0</v>
      </c>
      <c r="AJ1480">
        <f t="shared" si="159"/>
        <v>0</v>
      </c>
      <c r="AK1480">
        <v>0</v>
      </c>
      <c r="AL1480" t="str">
        <f>IF(AA1480="","",IFERROR(IF(ISNUMBER('Procyfloc 500'!D481),'Procyfloc 500'!D481,IF(ISNUMBER(SEARCH("12",'Procyfloc 500'!D481)),EDATE(AB1480,12),IF(ISNUMBER(SEARCH("6",'Procyfloc 500'!D481)),EDATE(AB1480,6),IF(ISNUMBER(SEARCH("3",'Procyfloc 500'!D481)),EDATE(AB1480,3),DATEVALUE('Procyfloc 500'!D481))))),""))</f>
        <v/>
      </c>
      <c r="AM1480" t="str">
        <f t="shared" ca="1" si="160"/>
        <v/>
      </c>
    </row>
    <row r="1481" spans="27:39" x14ac:dyDescent="0.3">
      <c r="AA1481" t="str">
        <f>IF(COUNTA('Procyfloc 500'!A482,'Procyfloc 500'!B482,'Procyfloc 500'!C482)&gt;0,"500","")</f>
        <v/>
      </c>
      <c r="AB1481" t="str">
        <f>IFERROR(IF(ISNUMBER('Procyfloc 500'!A482),'Procyfloc 500'!A482,DATEVALUE('Procyfloc 500'!A482)),"")</f>
        <v/>
      </c>
      <c r="AC1481" t="str">
        <f>IF(AA1481="","",'Procyfloc 500'!B482)</f>
        <v/>
      </c>
      <c r="AD1481" t="str">
        <f>IF(AA1481="","",IFERROR(1*'Procyfloc 500'!C482,IFERROR(_xludf.NUMBERVALUE('Procyfloc 500'!C482,".",","),IFERROR(_xludf.NUMBERVALUE('Procyfloc 500'!C482,",","."),0))))</f>
        <v/>
      </c>
      <c r="AE1481" t="str">
        <f>IF(AA1481="","",'Procyfloc 500'!L482)</f>
        <v/>
      </c>
      <c r="AF1481">
        <f t="shared" si="155"/>
        <v>0</v>
      </c>
      <c r="AG1481" t="str">
        <f t="shared" si="156"/>
        <v/>
      </c>
      <c r="AH1481" t="str">
        <f t="shared" si="157"/>
        <v/>
      </c>
      <c r="AI1481">
        <f t="shared" si="158"/>
        <v>0</v>
      </c>
      <c r="AJ1481">
        <f t="shared" si="159"/>
        <v>0</v>
      </c>
      <c r="AK1481">
        <v>0</v>
      </c>
      <c r="AL1481" t="str">
        <f>IF(AA1481="","",IFERROR(IF(ISNUMBER('Procyfloc 500'!D482),'Procyfloc 500'!D482,IF(ISNUMBER(SEARCH("12",'Procyfloc 500'!D482)),EDATE(AB1481,12),IF(ISNUMBER(SEARCH("6",'Procyfloc 500'!D482)),EDATE(AB1481,6),IF(ISNUMBER(SEARCH("3",'Procyfloc 500'!D482)),EDATE(AB1481,3),DATEVALUE('Procyfloc 500'!D482))))),""))</f>
        <v/>
      </c>
      <c r="AM1481" t="str">
        <f t="shared" ca="1" si="160"/>
        <v/>
      </c>
    </row>
    <row r="1482" spans="27:39" x14ac:dyDescent="0.3">
      <c r="AA1482" t="str">
        <f>IF(COUNTA('Procyfloc 500'!A483,'Procyfloc 500'!B483,'Procyfloc 500'!C483)&gt;0,"500","")</f>
        <v/>
      </c>
      <c r="AB1482" t="str">
        <f>IFERROR(IF(ISNUMBER('Procyfloc 500'!A483),'Procyfloc 500'!A483,DATEVALUE('Procyfloc 500'!A483)),"")</f>
        <v/>
      </c>
      <c r="AC1482" t="str">
        <f>IF(AA1482="","",'Procyfloc 500'!B483)</f>
        <v/>
      </c>
      <c r="AD1482" t="str">
        <f>IF(AA1482="","",IFERROR(1*'Procyfloc 500'!C483,IFERROR(_xludf.NUMBERVALUE('Procyfloc 500'!C483,".",","),IFERROR(_xludf.NUMBERVALUE('Procyfloc 500'!C483,",","."),0))))</f>
        <v/>
      </c>
      <c r="AE1482" t="str">
        <f>IF(AA1482="","",'Procyfloc 500'!L483)</f>
        <v/>
      </c>
      <c r="AF1482">
        <f t="shared" si="155"/>
        <v>0</v>
      </c>
      <c r="AG1482" t="str">
        <f t="shared" si="156"/>
        <v/>
      </c>
      <c r="AH1482" t="str">
        <f t="shared" si="157"/>
        <v/>
      </c>
      <c r="AI1482">
        <f t="shared" si="158"/>
        <v>0</v>
      </c>
      <c r="AJ1482">
        <f t="shared" si="159"/>
        <v>0</v>
      </c>
      <c r="AK1482">
        <v>0</v>
      </c>
      <c r="AL1482" t="str">
        <f>IF(AA1482="","",IFERROR(IF(ISNUMBER('Procyfloc 500'!D483),'Procyfloc 500'!D483,IF(ISNUMBER(SEARCH("12",'Procyfloc 500'!D483)),EDATE(AB1482,12),IF(ISNUMBER(SEARCH("6",'Procyfloc 500'!D483)),EDATE(AB1482,6),IF(ISNUMBER(SEARCH("3",'Procyfloc 500'!D483)),EDATE(AB1482,3),DATEVALUE('Procyfloc 500'!D483))))),""))</f>
        <v/>
      </c>
      <c r="AM1482" t="str">
        <f t="shared" ca="1" si="160"/>
        <v/>
      </c>
    </row>
    <row r="1483" spans="27:39" x14ac:dyDescent="0.3">
      <c r="AA1483" t="str">
        <f>IF(COUNTA('Procyfloc 500'!A484,'Procyfloc 500'!B484,'Procyfloc 500'!C484)&gt;0,"500","")</f>
        <v/>
      </c>
      <c r="AB1483" t="str">
        <f>IFERROR(IF(ISNUMBER('Procyfloc 500'!A484),'Procyfloc 500'!A484,DATEVALUE('Procyfloc 500'!A484)),"")</f>
        <v/>
      </c>
      <c r="AC1483" t="str">
        <f>IF(AA1483="","",'Procyfloc 500'!B484)</f>
        <v/>
      </c>
      <c r="AD1483" t="str">
        <f>IF(AA1483="","",IFERROR(1*'Procyfloc 500'!C484,IFERROR(_xludf.NUMBERVALUE('Procyfloc 500'!C484,".",","),IFERROR(_xludf.NUMBERVALUE('Procyfloc 500'!C484,",","."),0))))</f>
        <v/>
      </c>
      <c r="AE1483" t="str">
        <f>IF(AA1483="","",'Procyfloc 500'!L484)</f>
        <v/>
      </c>
      <c r="AF1483">
        <f t="shared" si="155"/>
        <v>0</v>
      </c>
      <c r="AG1483" t="str">
        <f t="shared" si="156"/>
        <v/>
      </c>
      <c r="AH1483" t="str">
        <f t="shared" si="157"/>
        <v/>
      </c>
      <c r="AI1483">
        <f t="shared" si="158"/>
        <v>0</v>
      </c>
      <c r="AJ1483">
        <f t="shared" si="159"/>
        <v>0</v>
      </c>
      <c r="AK1483">
        <v>0</v>
      </c>
      <c r="AL1483" t="str">
        <f>IF(AA1483="","",IFERROR(IF(ISNUMBER('Procyfloc 500'!D484),'Procyfloc 500'!D484,IF(ISNUMBER(SEARCH("12",'Procyfloc 500'!D484)),EDATE(AB1483,12),IF(ISNUMBER(SEARCH("6",'Procyfloc 500'!D484)),EDATE(AB1483,6),IF(ISNUMBER(SEARCH("3",'Procyfloc 500'!D484)),EDATE(AB1483,3),DATEVALUE('Procyfloc 500'!D484))))),""))</f>
        <v/>
      </c>
      <c r="AM1483" t="str">
        <f t="shared" ca="1" si="160"/>
        <v/>
      </c>
    </row>
    <row r="1484" spans="27:39" x14ac:dyDescent="0.3">
      <c r="AA1484" t="str">
        <f>IF(COUNTA('Procyfloc 500'!A485,'Procyfloc 500'!B485,'Procyfloc 500'!C485)&gt;0,"500","")</f>
        <v/>
      </c>
      <c r="AB1484" t="str">
        <f>IFERROR(IF(ISNUMBER('Procyfloc 500'!A485),'Procyfloc 500'!A485,DATEVALUE('Procyfloc 500'!A485)),"")</f>
        <v/>
      </c>
      <c r="AC1484" t="str">
        <f>IF(AA1484="","",'Procyfloc 500'!B485)</f>
        <v/>
      </c>
      <c r="AD1484" t="str">
        <f>IF(AA1484="","",IFERROR(1*'Procyfloc 500'!C485,IFERROR(_xludf.NUMBERVALUE('Procyfloc 500'!C485,".",","),IFERROR(_xludf.NUMBERVALUE('Procyfloc 500'!C485,",","."),0))))</f>
        <v/>
      </c>
      <c r="AE1484" t="str">
        <f>IF(AA1484="","",'Procyfloc 500'!L485)</f>
        <v/>
      </c>
      <c r="AF1484">
        <f t="shared" si="155"/>
        <v>0</v>
      </c>
      <c r="AG1484" t="str">
        <f t="shared" si="156"/>
        <v/>
      </c>
      <c r="AH1484" t="str">
        <f t="shared" si="157"/>
        <v/>
      </c>
      <c r="AI1484">
        <f t="shared" si="158"/>
        <v>0</v>
      </c>
      <c r="AJ1484">
        <f t="shared" si="159"/>
        <v>0</v>
      </c>
      <c r="AK1484">
        <v>0</v>
      </c>
      <c r="AL1484" t="str">
        <f>IF(AA1484="","",IFERROR(IF(ISNUMBER('Procyfloc 500'!D485),'Procyfloc 500'!D485,IF(ISNUMBER(SEARCH("12",'Procyfloc 500'!D485)),EDATE(AB1484,12),IF(ISNUMBER(SEARCH("6",'Procyfloc 500'!D485)),EDATE(AB1484,6),IF(ISNUMBER(SEARCH("3",'Procyfloc 500'!D485)),EDATE(AB1484,3),DATEVALUE('Procyfloc 500'!D485))))),""))</f>
        <v/>
      </c>
      <c r="AM1484" t="str">
        <f t="shared" ca="1" si="160"/>
        <v/>
      </c>
    </row>
    <row r="1485" spans="27:39" x14ac:dyDescent="0.3">
      <c r="AA1485" t="str">
        <f>IF(COUNTA('Procyfloc 500'!A486,'Procyfloc 500'!B486,'Procyfloc 500'!C486)&gt;0,"500","")</f>
        <v/>
      </c>
      <c r="AB1485" t="str">
        <f>IFERROR(IF(ISNUMBER('Procyfloc 500'!A486),'Procyfloc 500'!A486,DATEVALUE('Procyfloc 500'!A486)),"")</f>
        <v/>
      </c>
      <c r="AC1485" t="str">
        <f>IF(AA1485="","",'Procyfloc 500'!B486)</f>
        <v/>
      </c>
      <c r="AD1485" t="str">
        <f>IF(AA1485="","",IFERROR(1*'Procyfloc 500'!C486,IFERROR(_xludf.NUMBERVALUE('Procyfloc 500'!C486,".",","),IFERROR(_xludf.NUMBERVALUE('Procyfloc 500'!C486,",","."),0))))</f>
        <v/>
      </c>
      <c r="AE1485" t="str">
        <f>IF(AA1485="","",'Procyfloc 500'!L486)</f>
        <v/>
      </c>
      <c r="AF1485">
        <f t="shared" si="155"/>
        <v>0</v>
      </c>
      <c r="AG1485" t="str">
        <f t="shared" si="156"/>
        <v/>
      </c>
      <c r="AH1485" t="str">
        <f t="shared" si="157"/>
        <v/>
      </c>
      <c r="AI1485">
        <f t="shared" si="158"/>
        <v>0</v>
      </c>
      <c r="AJ1485">
        <f t="shared" si="159"/>
        <v>0</v>
      </c>
      <c r="AK1485">
        <v>0</v>
      </c>
      <c r="AL1485" t="str">
        <f>IF(AA1485="","",IFERROR(IF(ISNUMBER('Procyfloc 500'!D486),'Procyfloc 500'!D486,IF(ISNUMBER(SEARCH("12",'Procyfloc 500'!D486)),EDATE(AB1485,12),IF(ISNUMBER(SEARCH("6",'Procyfloc 500'!D486)),EDATE(AB1485,6),IF(ISNUMBER(SEARCH("3",'Procyfloc 500'!D486)),EDATE(AB1485,3),DATEVALUE('Procyfloc 500'!D486))))),""))</f>
        <v/>
      </c>
      <c r="AM1485" t="str">
        <f t="shared" ca="1" si="160"/>
        <v/>
      </c>
    </row>
    <row r="1486" spans="27:39" x14ac:dyDescent="0.3">
      <c r="AA1486" t="str">
        <f>IF(COUNTA('Procyfloc 500'!A487,'Procyfloc 500'!B487,'Procyfloc 500'!C487)&gt;0,"500","")</f>
        <v/>
      </c>
      <c r="AB1486" t="str">
        <f>IFERROR(IF(ISNUMBER('Procyfloc 500'!A487),'Procyfloc 500'!A487,DATEVALUE('Procyfloc 500'!A487)),"")</f>
        <v/>
      </c>
      <c r="AC1486" t="str">
        <f>IF(AA1486="","",'Procyfloc 500'!B487)</f>
        <v/>
      </c>
      <c r="AD1486" t="str">
        <f>IF(AA1486="","",IFERROR(1*'Procyfloc 500'!C487,IFERROR(_xludf.NUMBERVALUE('Procyfloc 500'!C487,".",","),IFERROR(_xludf.NUMBERVALUE('Procyfloc 500'!C487,",","."),0))))</f>
        <v/>
      </c>
      <c r="AE1486" t="str">
        <f>IF(AA1486="","",'Procyfloc 500'!L487)</f>
        <v/>
      </c>
      <c r="AF1486">
        <f t="shared" si="155"/>
        <v>0</v>
      </c>
      <c r="AG1486" t="str">
        <f t="shared" si="156"/>
        <v/>
      </c>
      <c r="AH1486" t="str">
        <f t="shared" si="157"/>
        <v/>
      </c>
      <c r="AI1486">
        <f t="shared" si="158"/>
        <v>0</v>
      </c>
      <c r="AJ1486">
        <f t="shared" si="159"/>
        <v>0</v>
      </c>
      <c r="AK1486">
        <v>0</v>
      </c>
      <c r="AL1486" t="str">
        <f>IF(AA1486="","",IFERROR(IF(ISNUMBER('Procyfloc 500'!D487),'Procyfloc 500'!D487,IF(ISNUMBER(SEARCH("12",'Procyfloc 500'!D487)),EDATE(AB1486,12),IF(ISNUMBER(SEARCH("6",'Procyfloc 500'!D487)),EDATE(AB1486,6),IF(ISNUMBER(SEARCH("3",'Procyfloc 500'!D487)),EDATE(AB1486,3),DATEVALUE('Procyfloc 500'!D487))))),""))</f>
        <v/>
      </c>
      <c r="AM1486" t="str">
        <f t="shared" ca="1" si="160"/>
        <v/>
      </c>
    </row>
    <row r="1487" spans="27:39" x14ac:dyDescent="0.3">
      <c r="AA1487" t="str">
        <f>IF(COUNTA('Procyfloc 500'!A488,'Procyfloc 500'!B488,'Procyfloc 500'!C488)&gt;0,"500","")</f>
        <v/>
      </c>
      <c r="AB1487" t="str">
        <f>IFERROR(IF(ISNUMBER('Procyfloc 500'!A488),'Procyfloc 500'!A488,DATEVALUE('Procyfloc 500'!A488)),"")</f>
        <v/>
      </c>
      <c r="AC1487" t="str">
        <f>IF(AA1487="","",'Procyfloc 500'!B488)</f>
        <v/>
      </c>
      <c r="AD1487" t="str">
        <f>IF(AA1487="","",IFERROR(1*'Procyfloc 500'!C488,IFERROR(_xludf.NUMBERVALUE('Procyfloc 500'!C488,".",","),IFERROR(_xludf.NUMBERVALUE('Procyfloc 500'!C488,",","."),0))))</f>
        <v/>
      </c>
      <c r="AE1487" t="str">
        <f>IF(AA1487="","",'Procyfloc 500'!L488)</f>
        <v/>
      </c>
      <c r="AF1487">
        <f t="shared" si="155"/>
        <v>0</v>
      </c>
      <c r="AG1487" t="str">
        <f t="shared" si="156"/>
        <v/>
      </c>
      <c r="AH1487" t="str">
        <f t="shared" si="157"/>
        <v/>
      </c>
      <c r="AI1487">
        <f t="shared" si="158"/>
        <v>0</v>
      </c>
      <c r="AJ1487">
        <f t="shared" si="159"/>
        <v>0</v>
      </c>
      <c r="AK1487">
        <v>0</v>
      </c>
      <c r="AL1487" t="str">
        <f>IF(AA1487="","",IFERROR(IF(ISNUMBER('Procyfloc 500'!D488),'Procyfloc 500'!D488,IF(ISNUMBER(SEARCH("12",'Procyfloc 500'!D488)),EDATE(AB1487,12),IF(ISNUMBER(SEARCH("6",'Procyfloc 500'!D488)),EDATE(AB1487,6),IF(ISNUMBER(SEARCH("3",'Procyfloc 500'!D488)),EDATE(AB1487,3),DATEVALUE('Procyfloc 500'!D488))))),""))</f>
        <v/>
      </c>
      <c r="AM1487" t="str">
        <f t="shared" ca="1" si="160"/>
        <v/>
      </c>
    </row>
    <row r="1488" spans="27:39" x14ac:dyDescent="0.3">
      <c r="AA1488" t="str">
        <f>IF(COUNTA('Procyfloc 500'!A489,'Procyfloc 500'!B489,'Procyfloc 500'!C489)&gt;0,"500","")</f>
        <v/>
      </c>
      <c r="AB1488" t="str">
        <f>IFERROR(IF(ISNUMBER('Procyfloc 500'!A489),'Procyfloc 500'!A489,DATEVALUE('Procyfloc 500'!A489)),"")</f>
        <v/>
      </c>
      <c r="AC1488" t="str">
        <f>IF(AA1488="","",'Procyfloc 500'!B489)</f>
        <v/>
      </c>
      <c r="AD1488" t="str">
        <f>IF(AA1488="","",IFERROR(1*'Procyfloc 500'!C489,IFERROR(_xludf.NUMBERVALUE('Procyfloc 500'!C489,".",","),IFERROR(_xludf.NUMBERVALUE('Procyfloc 500'!C489,",","."),0))))</f>
        <v/>
      </c>
      <c r="AE1488" t="str">
        <f>IF(AA1488="","",'Procyfloc 500'!L489)</f>
        <v/>
      </c>
      <c r="AF1488">
        <f t="shared" si="155"/>
        <v>0</v>
      </c>
      <c r="AG1488" t="str">
        <f t="shared" si="156"/>
        <v/>
      </c>
      <c r="AH1488" t="str">
        <f t="shared" si="157"/>
        <v/>
      </c>
      <c r="AI1488">
        <f t="shared" si="158"/>
        <v>0</v>
      </c>
      <c r="AJ1488">
        <f t="shared" si="159"/>
        <v>0</v>
      </c>
      <c r="AK1488">
        <v>0</v>
      </c>
      <c r="AL1488" t="str">
        <f>IF(AA1488="","",IFERROR(IF(ISNUMBER('Procyfloc 500'!D489),'Procyfloc 500'!D489,IF(ISNUMBER(SEARCH("12",'Procyfloc 500'!D489)),EDATE(AB1488,12),IF(ISNUMBER(SEARCH("6",'Procyfloc 500'!D489)),EDATE(AB1488,6),IF(ISNUMBER(SEARCH("3",'Procyfloc 500'!D489)),EDATE(AB1488,3),DATEVALUE('Procyfloc 500'!D489))))),""))</f>
        <v/>
      </c>
      <c r="AM1488" t="str">
        <f t="shared" ca="1" si="160"/>
        <v/>
      </c>
    </row>
    <row r="1489" spans="27:39" x14ac:dyDescent="0.3">
      <c r="AA1489" t="str">
        <f>IF(COUNTA('Procyfloc 500'!A490,'Procyfloc 500'!B490,'Procyfloc 500'!C490)&gt;0,"500","")</f>
        <v/>
      </c>
      <c r="AB1489" t="str">
        <f>IFERROR(IF(ISNUMBER('Procyfloc 500'!A490),'Procyfloc 500'!A490,DATEVALUE('Procyfloc 500'!A490)),"")</f>
        <v/>
      </c>
      <c r="AC1489" t="str">
        <f>IF(AA1489="","",'Procyfloc 500'!B490)</f>
        <v/>
      </c>
      <c r="AD1489" t="str">
        <f>IF(AA1489="","",IFERROR(1*'Procyfloc 500'!C490,IFERROR(_xludf.NUMBERVALUE('Procyfloc 500'!C490,".",","),IFERROR(_xludf.NUMBERVALUE('Procyfloc 500'!C490,",","."),0))))</f>
        <v/>
      </c>
      <c r="AE1489" t="str">
        <f>IF(AA1489="","",'Procyfloc 500'!L490)</f>
        <v/>
      </c>
      <c r="AF1489">
        <f t="shared" si="155"/>
        <v>0</v>
      </c>
      <c r="AG1489" t="str">
        <f t="shared" si="156"/>
        <v/>
      </c>
      <c r="AH1489" t="str">
        <f t="shared" si="157"/>
        <v/>
      </c>
      <c r="AI1489">
        <f t="shared" si="158"/>
        <v>0</v>
      </c>
      <c r="AJ1489">
        <f t="shared" si="159"/>
        <v>0</v>
      </c>
      <c r="AK1489">
        <v>0</v>
      </c>
      <c r="AL1489" t="str">
        <f>IF(AA1489="","",IFERROR(IF(ISNUMBER('Procyfloc 500'!D490),'Procyfloc 500'!D490,IF(ISNUMBER(SEARCH("12",'Procyfloc 500'!D490)),EDATE(AB1489,12),IF(ISNUMBER(SEARCH("6",'Procyfloc 500'!D490)),EDATE(AB1489,6),IF(ISNUMBER(SEARCH("3",'Procyfloc 500'!D490)),EDATE(AB1489,3),DATEVALUE('Procyfloc 500'!D490))))),""))</f>
        <v/>
      </c>
      <c r="AM1489" t="str">
        <f t="shared" ca="1" si="160"/>
        <v/>
      </c>
    </row>
    <row r="1490" spans="27:39" x14ac:dyDescent="0.3">
      <c r="AA1490" t="str">
        <f>IF(COUNTA('Procyfloc 500'!A491,'Procyfloc 500'!B491,'Procyfloc 500'!C491)&gt;0,"500","")</f>
        <v/>
      </c>
      <c r="AB1490" t="str">
        <f>IFERROR(IF(ISNUMBER('Procyfloc 500'!A491),'Procyfloc 500'!A491,DATEVALUE('Procyfloc 500'!A491)),"")</f>
        <v/>
      </c>
      <c r="AC1490" t="str">
        <f>IF(AA1490="","",'Procyfloc 500'!B491)</f>
        <v/>
      </c>
      <c r="AD1490" t="str">
        <f>IF(AA1490="","",IFERROR(1*'Procyfloc 500'!C491,IFERROR(_xludf.NUMBERVALUE('Procyfloc 500'!C491,".",","),IFERROR(_xludf.NUMBERVALUE('Procyfloc 500'!C491,",","."),0))))</f>
        <v/>
      </c>
      <c r="AE1490" t="str">
        <f>IF(AA1490="","",'Procyfloc 500'!L491)</f>
        <v/>
      </c>
      <c r="AF1490">
        <f t="shared" si="155"/>
        <v>0</v>
      </c>
      <c r="AG1490" t="str">
        <f t="shared" si="156"/>
        <v/>
      </c>
      <c r="AH1490" t="str">
        <f t="shared" si="157"/>
        <v/>
      </c>
      <c r="AI1490">
        <f t="shared" si="158"/>
        <v>0</v>
      </c>
      <c r="AJ1490">
        <f t="shared" si="159"/>
        <v>0</v>
      </c>
      <c r="AK1490">
        <v>0</v>
      </c>
      <c r="AL1490" t="str">
        <f>IF(AA1490="","",IFERROR(IF(ISNUMBER('Procyfloc 500'!D491),'Procyfloc 500'!D491,IF(ISNUMBER(SEARCH("12",'Procyfloc 500'!D491)),EDATE(AB1490,12),IF(ISNUMBER(SEARCH("6",'Procyfloc 500'!D491)),EDATE(AB1490,6),IF(ISNUMBER(SEARCH("3",'Procyfloc 500'!D491)),EDATE(AB1490,3),DATEVALUE('Procyfloc 500'!D491))))),""))</f>
        <v/>
      </c>
      <c r="AM1490" t="str">
        <f t="shared" ca="1" si="160"/>
        <v/>
      </c>
    </row>
    <row r="1491" spans="27:39" x14ac:dyDescent="0.3">
      <c r="AA1491" t="str">
        <f>IF(COUNTA('Procyfloc 500'!A492,'Procyfloc 500'!B492,'Procyfloc 500'!C492)&gt;0,"500","")</f>
        <v/>
      </c>
      <c r="AB1491" t="str">
        <f>IFERROR(IF(ISNUMBER('Procyfloc 500'!A492),'Procyfloc 500'!A492,DATEVALUE('Procyfloc 500'!A492)),"")</f>
        <v/>
      </c>
      <c r="AC1491" t="str">
        <f>IF(AA1491="","",'Procyfloc 500'!B492)</f>
        <v/>
      </c>
      <c r="AD1491" t="str">
        <f>IF(AA1491="","",IFERROR(1*'Procyfloc 500'!C492,IFERROR(_xludf.NUMBERVALUE('Procyfloc 500'!C492,".",","),IFERROR(_xludf.NUMBERVALUE('Procyfloc 500'!C492,",","."),0))))</f>
        <v/>
      </c>
      <c r="AE1491" t="str">
        <f>IF(AA1491="","",'Procyfloc 500'!L492)</f>
        <v/>
      </c>
      <c r="AF1491">
        <f t="shared" si="155"/>
        <v>0</v>
      </c>
      <c r="AG1491" t="str">
        <f t="shared" si="156"/>
        <v/>
      </c>
      <c r="AH1491" t="str">
        <f t="shared" si="157"/>
        <v/>
      </c>
      <c r="AI1491">
        <f t="shared" si="158"/>
        <v>0</v>
      </c>
      <c r="AJ1491">
        <f t="shared" si="159"/>
        <v>0</v>
      </c>
      <c r="AK1491">
        <v>0</v>
      </c>
      <c r="AL1491" t="str">
        <f>IF(AA1491="","",IFERROR(IF(ISNUMBER('Procyfloc 500'!D492),'Procyfloc 500'!D492,IF(ISNUMBER(SEARCH("12",'Procyfloc 500'!D492)),EDATE(AB1491,12),IF(ISNUMBER(SEARCH("6",'Procyfloc 500'!D492)),EDATE(AB1491,6),IF(ISNUMBER(SEARCH("3",'Procyfloc 500'!D492)),EDATE(AB1491,3),DATEVALUE('Procyfloc 500'!D492))))),""))</f>
        <v/>
      </c>
      <c r="AM1491" t="str">
        <f t="shared" ca="1" si="160"/>
        <v/>
      </c>
    </row>
    <row r="1492" spans="27:39" x14ac:dyDescent="0.3">
      <c r="AA1492" t="str">
        <f>IF(COUNTA('Procyfloc 500'!A493,'Procyfloc 500'!B493,'Procyfloc 500'!C493)&gt;0,"500","")</f>
        <v/>
      </c>
      <c r="AB1492" t="str">
        <f>IFERROR(IF(ISNUMBER('Procyfloc 500'!A493),'Procyfloc 500'!A493,DATEVALUE('Procyfloc 500'!A493)),"")</f>
        <v/>
      </c>
      <c r="AC1492" t="str">
        <f>IF(AA1492="","",'Procyfloc 500'!B493)</f>
        <v/>
      </c>
      <c r="AD1492" t="str">
        <f>IF(AA1492="","",IFERROR(1*'Procyfloc 500'!C493,IFERROR(_xludf.NUMBERVALUE('Procyfloc 500'!C493,".",","),IFERROR(_xludf.NUMBERVALUE('Procyfloc 500'!C493,",","."),0))))</f>
        <v/>
      </c>
      <c r="AE1492" t="str">
        <f>IF(AA1492="","",'Procyfloc 500'!L493)</f>
        <v/>
      </c>
      <c r="AF1492">
        <f t="shared" si="155"/>
        <v>0</v>
      </c>
      <c r="AG1492" t="str">
        <f t="shared" si="156"/>
        <v/>
      </c>
      <c r="AH1492" t="str">
        <f t="shared" si="157"/>
        <v/>
      </c>
      <c r="AI1492">
        <f t="shared" si="158"/>
        <v>0</v>
      </c>
      <c r="AJ1492">
        <f t="shared" si="159"/>
        <v>0</v>
      </c>
      <c r="AK1492">
        <v>0</v>
      </c>
      <c r="AL1492" t="str">
        <f>IF(AA1492="","",IFERROR(IF(ISNUMBER('Procyfloc 500'!D493),'Procyfloc 500'!D493,IF(ISNUMBER(SEARCH("12",'Procyfloc 500'!D493)),EDATE(AB1492,12),IF(ISNUMBER(SEARCH("6",'Procyfloc 500'!D493)),EDATE(AB1492,6),IF(ISNUMBER(SEARCH("3",'Procyfloc 500'!D493)),EDATE(AB1492,3),DATEVALUE('Procyfloc 500'!D493))))),""))</f>
        <v/>
      </c>
      <c r="AM1492" t="str">
        <f t="shared" ca="1" si="160"/>
        <v/>
      </c>
    </row>
    <row r="1493" spans="27:39" x14ac:dyDescent="0.3">
      <c r="AA1493" t="str">
        <f>IF(COUNTA('Procyfloc 500'!A494,'Procyfloc 500'!B494,'Procyfloc 500'!C494)&gt;0,"500","")</f>
        <v/>
      </c>
      <c r="AB1493" t="str">
        <f>IFERROR(IF(ISNUMBER('Procyfloc 500'!A494),'Procyfloc 500'!A494,DATEVALUE('Procyfloc 500'!A494)),"")</f>
        <v/>
      </c>
      <c r="AC1493" t="str">
        <f>IF(AA1493="","",'Procyfloc 500'!B494)</f>
        <v/>
      </c>
      <c r="AD1493" t="str">
        <f>IF(AA1493="","",IFERROR(1*'Procyfloc 500'!C494,IFERROR(_xludf.NUMBERVALUE('Procyfloc 500'!C494,".",","),IFERROR(_xludf.NUMBERVALUE('Procyfloc 500'!C494,",","."),0))))</f>
        <v/>
      </c>
      <c r="AE1493" t="str">
        <f>IF(AA1493="","",'Procyfloc 500'!L494)</f>
        <v/>
      </c>
      <c r="AF1493">
        <f t="shared" si="155"/>
        <v>0</v>
      </c>
      <c r="AG1493" t="str">
        <f t="shared" si="156"/>
        <v/>
      </c>
      <c r="AH1493" t="str">
        <f t="shared" si="157"/>
        <v/>
      </c>
      <c r="AI1493">
        <f t="shared" si="158"/>
        <v>0</v>
      </c>
      <c r="AJ1493">
        <f t="shared" si="159"/>
        <v>0</v>
      </c>
      <c r="AK1493">
        <v>0</v>
      </c>
      <c r="AL1493" t="str">
        <f>IF(AA1493="","",IFERROR(IF(ISNUMBER('Procyfloc 500'!D494),'Procyfloc 500'!D494,IF(ISNUMBER(SEARCH("12",'Procyfloc 500'!D494)),EDATE(AB1493,12),IF(ISNUMBER(SEARCH("6",'Procyfloc 500'!D494)),EDATE(AB1493,6),IF(ISNUMBER(SEARCH("3",'Procyfloc 500'!D494)),EDATE(AB1493,3),DATEVALUE('Procyfloc 500'!D494))))),""))</f>
        <v/>
      </c>
      <c r="AM1493" t="str">
        <f t="shared" ca="1" si="160"/>
        <v/>
      </c>
    </row>
    <row r="1494" spans="27:39" x14ac:dyDescent="0.3">
      <c r="AA1494" t="str">
        <f>IF(COUNTA('Procyfloc 500'!A495,'Procyfloc 500'!B495,'Procyfloc 500'!C495)&gt;0,"500","")</f>
        <v/>
      </c>
      <c r="AB1494" t="str">
        <f>IFERROR(IF(ISNUMBER('Procyfloc 500'!A495),'Procyfloc 500'!A495,DATEVALUE('Procyfloc 500'!A495)),"")</f>
        <v/>
      </c>
      <c r="AC1494" t="str">
        <f>IF(AA1494="","",'Procyfloc 500'!B495)</f>
        <v/>
      </c>
      <c r="AD1494" t="str">
        <f>IF(AA1494="","",IFERROR(1*'Procyfloc 500'!C495,IFERROR(_xludf.NUMBERVALUE('Procyfloc 500'!C495,".",","),IFERROR(_xludf.NUMBERVALUE('Procyfloc 500'!C495,",","."),0))))</f>
        <v/>
      </c>
      <c r="AE1494" t="str">
        <f>IF(AA1494="","",'Procyfloc 500'!L495)</f>
        <v/>
      </c>
      <c r="AF1494">
        <f t="shared" si="155"/>
        <v>0</v>
      </c>
      <c r="AG1494" t="str">
        <f t="shared" si="156"/>
        <v/>
      </c>
      <c r="AH1494" t="str">
        <f t="shared" si="157"/>
        <v/>
      </c>
      <c r="AI1494">
        <f t="shared" si="158"/>
        <v>0</v>
      </c>
      <c r="AJ1494">
        <f t="shared" si="159"/>
        <v>0</v>
      </c>
      <c r="AK1494">
        <v>0</v>
      </c>
      <c r="AL1494" t="str">
        <f>IF(AA1494="","",IFERROR(IF(ISNUMBER('Procyfloc 500'!D495),'Procyfloc 500'!D495,IF(ISNUMBER(SEARCH("12",'Procyfloc 500'!D495)),EDATE(AB1494,12),IF(ISNUMBER(SEARCH("6",'Procyfloc 500'!D495)),EDATE(AB1494,6),IF(ISNUMBER(SEARCH("3",'Procyfloc 500'!D495)),EDATE(AB1494,3),DATEVALUE('Procyfloc 500'!D495))))),""))</f>
        <v/>
      </c>
      <c r="AM1494" t="str">
        <f t="shared" ca="1" si="160"/>
        <v/>
      </c>
    </row>
    <row r="1495" spans="27:39" x14ac:dyDescent="0.3">
      <c r="AA1495" t="str">
        <f>IF(COUNTA('Procyfloc 500'!A496,'Procyfloc 500'!B496,'Procyfloc 500'!C496)&gt;0,"500","")</f>
        <v/>
      </c>
      <c r="AB1495" t="str">
        <f>IFERROR(IF(ISNUMBER('Procyfloc 500'!A496),'Procyfloc 500'!A496,DATEVALUE('Procyfloc 500'!A496)),"")</f>
        <v/>
      </c>
      <c r="AC1495" t="str">
        <f>IF(AA1495="","",'Procyfloc 500'!B496)</f>
        <v/>
      </c>
      <c r="AD1495" t="str">
        <f>IF(AA1495="","",IFERROR(1*'Procyfloc 500'!C496,IFERROR(_xludf.NUMBERVALUE('Procyfloc 500'!C496,".",","),IFERROR(_xludf.NUMBERVALUE('Procyfloc 500'!C496,",","."),0))))</f>
        <v/>
      </c>
      <c r="AE1495" t="str">
        <f>IF(AA1495="","",'Procyfloc 500'!L496)</f>
        <v/>
      </c>
      <c r="AF1495">
        <f t="shared" si="155"/>
        <v>0</v>
      </c>
      <c r="AG1495" t="str">
        <f t="shared" si="156"/>
        <v/>
      </c>
      <c r="AH1495" t="str">
        <f t="shared" si="157"/>
        <v/>
      </c>
      <c r="AI1495">
        <f t="shared" si="158"/>
        <v>0</v>
      </c>
      <c r="AJ1495">
        <f t="shared" si="159"/>
        <v>0</v>
      </c>
      <c r="AK1495">
        <v>0</v>
      </c>
      <c r="AL1495" t="str">
        <f>IF(AA1495="","",IFERROR(IF(ISNUMBER('Procyfloc 500'!D496),'Procyfloc 500'!D496,IF(ISNUMBER(SEARCH("12",'Procyfloc 500'!D496)),EDATE(AB1495,12),IF(ISNUMBER(SEARCH("6",'Procyfloc 500'!D496)),EDATE(AB1495,6),IF(ISNUMBER(SEARCH("3",'Procyfloc 500'!D496)),EDATE(AB1495,3),DATEVALUE('Procyfloc 500'!D496))))),""))</f>
        <v/>
      </c>
      <c r="AM1495" t="str">
        <f t="shared" ca="1" si="160"/>
        <v/>
      </c>
    </row>
    <row r="1496" spans="27:39" x14ac:dyDescent="0.3">
      <c r="AA1496" t="str">
        <f>IF(COUNTA('Procyfloc 500'!A497,'Procyfloc 500'!B497,'Procyfloc 500'!C497)&gt;0,"500","")</f>
        <v/>
      </c>
      <c r="AB1496" t="str">
        <f>IFERROR(IF(ISNUMBER('Procyfloc 500'!A497),'Procyfloc 500'!A497,DATEVALUE('Procyfloc 500'!A497)),"")</f>
        <v/>
      </c>
      <c r="AC1496" t="str">
        <f>IF(AA1496="","",'Procyfloc 500'!B497)</f>
        <v/>
      </c>
      <c r="AD1496" t="str">
        <f>IF(AA1496="","",IFERROR(1*'Procyfloc 500'!C497,IFERROR(_xludf.NUMBERVALUE('Procyfloc 500'!C497,".",","),IFERROR(_xludf.NUMBERVALUE('Procyfloc 500'!C497,",","."),0))))</f>
        <v/>
      </c>
      <c r="AE1496" t="str">
        <f>IF(AA1496="","",'Procyfloc 500'!L497)</f>
        <v/>
      </c>
      <c r="AF1496">
        <f t="shared" si="155"/>
        <v>0</v>
      </c>
      <c r="AG1496" t="str">
        <f t="shared" si="156"/>
        <v/>
      </c>
      <c r="AH1496" t="str">
        <f t="shared" si="157"/>
        <v/>
      </c>
      <c r="AI1496">
        <f t="shared" si="158"/>
        <v>0</v>
      </c>
      <c r="AJ1496">
        <f t="shared" si="159"/>
        <v>0</v>
      </c>
      <c r="AK1496">
        <v>0</v>
      </c>
      <c r="AL1496" t="str">
        <f>IF(AA1496="","",IFERROR(IF(ISNUMBER('Procyfloc 500'!D497),'Procyfloc 500'!D497,IF(ISNUMBER(SEARCH("12",'Procyfloc 500'!D497)),EDATE(AB1496,12),IF(ISNUMBER(SEARCH("6",'Procyfloc 500'!D497)),EDATE(AB1496,6),IF(ISNUMBER(SEARCH("3",'Procyfloc 500'!D497)),EDATE(AB1496,3),DATEVALUE('Procyfloc 500'!D497))))),""))</f>
        <v/>
      </c>
      <c r="AM1496" t="str">
        <f t="shared" ca="1" si="160"/>
        <v/>
      </c>
    </row>
    <row r="1497" spans="27:39" x14ac:dyDescent="0.3">
      <c r="AA1497" t="str">
        <f>IF(COUNTA('Procyfloc 500'!A498,'Procyfloc 500'!B498,'Procyfloc 500'!C498)&gt;0,"500","")</f>
        <v/>
      </c>
      <c r="AB1497" t="str">
        <f>IFERROR(IF(ISNUMBER('Procyfloc 500'!A498),'Procyfloc 500'!A498,DATEVALUE('Procyfloc 500'!A498)),"")</f>
        <v/>
      </c>
      <c r="AC1497" t="str">
        <f>IF(AA1497="","",'Procyfloc 500'!B498)</f>
        <v/>
      </c>
      <c r="AD1497" t="str">
        <f>IF(AA1497="","",IFERROR(1*'Procyfloc 500'!C498,IFERROR(_xludf.NUMBERVALUE('Procyfloc 500'!C498,".",","),IFERROR(_xludf.NUMBERVALUE('Procyfloc 500'!C498,",","."),0))))</f>
        <v/>
      </c>
      <c r="AE1497" t="str">
        <f>IF(AA1497="","",'Procyfloc 500'!L498)</f>
        <v/>
      </c>
      <c r="AF1497">
        <f t="shared" si="155"/>
        <v>0</v>
      </c>
      <c r="AG1497" t="str">
        <f t="shared" si="156"/>
        <v/>
      </c>
      <c r="AH1497" t="str">
        <f t="shared" si="157"/>
        <v/>
      </c>
      <c r="AI1497">
        <f t="shared" si="158"/>
        <v>0</v>
      </c>
      <c r="AJ1497">
        <f t="shared" si="159"/>
        <v>0</v>
      </c>
      <c r="AK1497">
        <v>0</v>
      </c>
      <c r="AL1497" t="str">
        <f>IF(AA1497="","",IFERROR(IF(ISNUMBER('Procyfloc 500'!D498),'Procyfloc 500'!D498,IF(ISNUMBER(SEARCH("12",'Procyfloc 500'!D498)),EDATE(AB1497,12),IF(ISNUMBER(SEARCH("6",'Procyfloc 500'!D498)),EDATE(AB1497,6),IF(ISNUMBER(SEARCH("3",'Procyfloc 500'!D498)),EDATE(AB1497,3),DATEVALUE('Procyfloc 500'!D498))))),""))</f>
        <v/>
      </c>
      <c r="AM1497" t="str">
        <f t="shared" ca="1" si="160"/>
        <v/>
      </c>
    </row>
    <row r="1498" spans="27:39" x14ac:dyDescent="0.3">
      <c r="AA1498" t="str">
        <f>IF(COUNTA('Procyfloc 500'!A499,'Procyfloc 500'!B499,'Procyfloc 500'!C499)&gt;0,"500","")</f>
        <v/>
      </c>
      <c r="AB1498" t="str">
        <f>IFERROR(IF(ISNUMBER('Procyfloc 500'!A499),'Procyfloc 500'!A499,DATEVALUE('Procyfloc 500'!A499)),"")</f>
        <v/>
      </c>
      <c r="AC1498" t="str">
        <f>IF(AA1498="","",'Procyfloc 500'!B499)</f>
        <v/>
      </c>
      <c r="AD1498" t="str">
        <f>IF(AA1498="","",IFERROR(1*'Procyfloc 500'!C499,IFERROR(_xludf.NUMBERVALUE('Procyfloc 500'!C499,".",","),IFERROR(_xludf.NUMBERVALUE('Procyfloc 500'!C499,",","."),0))))</f>
        <v/>
      </c>
      <c r="AE1498" t="str">
        <f>IF(AA1498="","",'Procyfloc 500'!L499)</f>
        <v/>
      </c>
      <c r="AF1498">
        <f t="shared" si="155"/>
        <v>0</v>
      </c>
      <c r="AG1498" t="str">
        <f t="shared" si="156"/>
        <v/>
      </c>
      <c r="AH1498" t="str">
        <f t="shared" si="157"/>
        <v/>
      </c>
      <c r="AI1498">
        <f t="shared" si="158"/>
        <v>0</v>
      </c>
      <c r="AJ1498">
        <f t="shared" si="159"/>
        <v>0</v>
      </c>
      <c r="AK1498">
        <v>0</v>
      </c>
      <c r="AL1498" t="str">
        <f>IF(AA1498="","",IFERROR(IF(ISNUMBER('Procyfloc 500'!D499),'Procyfloc 500'!D499,IF(ISNUMBER(SEARCH("12",'Procyfloc 500'!D499)),EDATE(AB1498,12),IF(ISNUMBER(SEARCH("6",'Procyfloc 500'!D499)),EDATE(AB1498,6),IF(ISNUMBER(SEARCH("3",'Procyfloc 500'!D499)),EDATE(AB1498,3),DATEVALUE('Procyfloc 500'!D499))))),""))</f>
        <v/>
      </c>
      <c r="AM1498" t="str">
        <f t="shared" ca="1" si="160"/>
        <v/>
      </c>
    </row>
    <row r="1499" spans="27:39" x14ac:dyDescent="0.3">
      <c r="AA1499" t="str">
        <f>IF(COUNTA('Procyfloc 500'!A500,'Procyfloc 500'!B500,'Procyfloc 500'!C500)&gt;0,"500","")</f>
        <v/>
      </c>
      <c r="AB1499" t="str">
        <f>IFERROR(IF(ISNUMBER('Procyfloc 500'!A500),'Procyfloc 500'!A500,DATEVALUE('Procyfloc 500'!A500)),"")</f>
        <v/>
      </c>
      <c r="AC1499" t="str">
        <f>IF(AA1499="","",'Procyfloc 500'!B500)</f>
        <v/>
      </c>
      <c r="AD1499" t="str">
        <f>IF(AA1499="","",IFERROR(1*'Procyfloc 500'!C500,IFERROR(_xludf.NUMBERVALUE('Procyfloc 500'!C500,".",","),IFERROR(_xludf.NUMBERVALUE('Procyfloc 500'!C500,",","."),0))))</f>
        <v/>
      </c>
      <c r="AE1499" t="str">
        <f>IF(AA1499="","",'Procyfloc 500'!L500)</f>
        <v/>
      </c>
      <c r="AF1499">
        <f t="shared" si="155"/>
        <v>0</v>
      </c>
      <c r="AG1499" t="str">
        <f t="shared" si="156"/>
        <v/>
      </c>
      <c r="AH1499" t="str">
        <f t="shared" si="157"/>
        <v/>
      </c>
      <c r="AI1499">
        <f t="shared" si="158"/>
        <v>0</v>
      </c>
      <c r="AJ1499">
        <f t="shared" si="159"/>
        <v>0</v>
      </c>
      <c r="AK1499">
        <v>0</v>
      </c>
      <c r="AL1499" t="str">
        <f>IF(AA1499="","",IFERROR(IF(ISNUMBER('Procyfloc 500'!D500),'Procyfloc 500'!D500,IF(ISNUMBER(SEARCH("12",'Procyfloc 500'!D500)),EDATE(AB1499,12),IF(ISNUMBER(SEARCH("6",'Procyfloc 500'!D500)),EDATE(AB1499,6),IF(ISNUMBER(SEARCH("3",'Procyfloc 500'!D500)),EDATE(AB1499,3),DATEVALUE('Procyfloc 500'!D500))))),""))</f>
        <v/>
      </c>
      <c r="AM1499" t="str">
        <f t="shared" ca="1" si="160"/>
        <v/>
      </c>
    </row>
    <row r="1500" spans="27:39" x14ac:dyDescent="0.3">
      <c r="AA1500" t="str">
        <f>IF(COUNTA('Procyfloc 500'!A501,'Procyfloc 500'!B501,'Procyfloc 500'!C501)&gt;0,"500","")</f>
        <v/>
      </c>
      <c r="AB1500" t="str">
        <f>IFERROR(IF(ISNUMBER('Procyfloc 500'!A501),'Procyfloc 500'!A501,DATEVALUE('Procyfloc 500'!A501)),"")</f>
        <v/>
      </c>
      <c r="AC1500" t="str">
        <f>IF(AA1500="","",'Procyfloc 500'!B501)</f>
        <v/>
      </c>
      <c r="AD1500" t="str">
        <f>IF(AA1500="","",IFERROR(1*'Procyfloc 500'!C501,IFERROR(_xludf.NUMBERVALUE('Procyfloc 500'!C501,".",","),IFERROR(_xludf.NUMBERVALUE('Procyfloc 500'!C501,",","."),0))))</f>
        <v/>
      </c>
      <c r="AE1500" t="str">
        <f>IF(AA1500="","",'Procyfloc 500'!L501)</f>
        <v/>
      </c>
      <c r="AF1500">
        <f t="shared" si="155"/>
        <v>0</v>
      </c>
      <c r="AG1500" t="str">
        <f t="shared" si="156"/>
        <v/>
      </c>
      <c r="AH1500" t="str">
        <f t="shared" si="157"/>
        <v/>
      </c>
      <c r="AI1500">
        <f t="shared" si="158"/>
        <v>0</v>
      </c>
      <c r="AJ1500">
        <f t="shared" si="159"/>
        <v>0</v>
      </c>
      <c r="AK1500">
        <v>0</v>
      </c>
      <c r="AL1500" t="str">
        <f>IF(AA1500="","",IFERROR(IF(ISNUMBER('Procyfloc 500'!D501),'Procyfloc 500'!D501,IF(ISNUMBER(SEARCH("12",'Procyfloc 500'!D501)),EDATE(AB1500,12),IF(ISNUMBER(SEARCH("6",'Procyfloc 500'!D501)),EDATE(AB1500,6),IF(ISNUMBER(SEARCH("3",'Procyfloc 500'!D501)),EDATE(AB1500,3),DATEVALUE('Procyfloc 500'!D501))))),""))</f>
        <v/>
      </c>
      <c r="AM1500" t="str">
        <f t="shared" ca="1" si="160"/>
        <v/>
      </c>
    </row>
    <row r="1501" spans="27:39" x14ac:dyDescent="0.3">
      <c r="AA1501" t="str">
        <f>IF(COUNTA('Procyfloc 500'!A502,'Procyfloc 500'!B502,'Procyfloc 500'!C502)&gt;0,"500","")</f>
        <v/>
      </c>
      <c r="AB1501" t="str">
        <f>IFERROR(IF(ISNUMBER('Procyfloc 500'!A502),'Procyfloc 500'!A502,DATEVALUE('Procyfloc 500'!A502)),"")</f>
        <v/>
      </c>
      <c r="AC1501" t="str">
        <f>IF(AA1501="","",'Procyfloc 500'!B502)</f>
        <v/>
      </c>
      <c r="AD1501" t="str">
        <f>IF(AA1501="","",IFERROR(1*'Procyfloc 500'!C502,IFERROR(_xludf.NUMBERVALUE('Procyfloc 500'!C502,".",","),IFERROR(_xludf.NUMBERVALUE('Procyfloc 500'!C502,",","."),0))))</f>
        <v/>
      </c>
      <c r="AE1501" t="str">
        <f>IF(AA1501="","",'Procyfloc 500'!L502)</f>
        <v/>
      </c>
      <c r="AF1501">
        <f t="shared" si="155"/>
        <v>0</v>
      </c>
      <c r="AG1501" t="str">
        <f t="shared" si="156"/>
        <v/>
      </c>
      <c r="AH1501" t="str">
        <f t="shared" si="157"/>
        <v/>
      </c>
      <c r="AI1501">
        <f t="shared" si="158"/>
        <v>0</v>
      </c>
      <c r="AJ1501">
        <f t="shared" si="159"/>
        <v>0</v>
      </c>
      <c r="AK1501">
        <v>0</v>
      </c>
      <c r="AL1501" t="str">
        <f>IF(AA1501="","",IFERROR(IF(ISNUMBER('Procyfloc 500'!D502),'Procyfloc 500'!D502,IF(ISNUMBER(SEARCH("12",'Procyfloc 500'!D502)),EDATE(AB1501,12),IF(ISNUMBER(SEARCH("6",'Procyfloc 500'!D502)),EDATE(AB1501,6),IF(ISNUMBER(SEARCH("3",'Procyfloc 500'!D502)),EDATE(AB1501,3),DATEVALUE('Procyfloc 500'!D502))))),""))</f>
        <v/>
      </c>
      <c r="AM1501" t="str">
        <f t="shared" ca="1" si="160"/>
        <v/>
      </c>
    </row>
    <row r="1502" spans="27:39" x14ac:dyDescent="0.3">
      <c r="AA1502" t="str">
        <f>IF(COUNTA('Procyflof 700'!A3,'Procyflof 700'!B3,'Procyflof 700'!C3)&gt;0,"700","")</f>
        <v>700</v>
      </c>
      <c r="AB1502">
        <f>IFERROR(IF(ISNUMBER('Procyflof 700'!A3),'Procyflof 700'!A3,DATEVALUE('Procyflof 700'!A3)),"")</f>
        <v>45856</v>
      </c>
      <c r="AC1502" t="str">
        <f>IF(AA1502="","",'Procyflof 700'!B3)</f>
        <v>8962/25</v>
      </c>
      <c r="AD1502">
        <f ca="1">IF(AA1502="","",IFERROR(1*'Procyflof 700'!C3,IFERROR(_xludf.NUMBERVALUE('Procyflof 700'!C3,".",","),IFERROR(_xludf.NUMBERVALUE('Procyflof 700'!C3,",","."),0))))</f>
        <v>0</v>
      </c>
      <c r="AE1502" t="str">
        <f>IF(AA1502="","",'Procyflof 700'!N3)</f>
        <v>Aprovação</v>
      </c>
      <c r="AF1502">
        <f t="shared" si="155"/>
        <v>1</v>
      </c>
      <c r="AG1502">
        <f t="shared" si="156"/>
        <v>2025</v>
      </c>
      <c r="AH1502">
        <f t="shared" si="157"/>
        <v>7</v>
      </c>
      <c r="AI1502">
        <f t="shared" si="158"/>
        <v>45856.001501999999</v>
      </c>
      <c r="AJ1502">
        <f t="shared" si="159"/>
        <v>1</v>
      </c>
      <c r="AK1502">
        <v>0</v>
      </c>
      <c r="AL1502">
        <f>IF(AA1502="","",IFERROR(IF(ISNUMBER('Procyflof 700'!D3),'Procyflof 700'!D3,IF(ISNUMBER(SEARCH("12",'Procyflof 700'!D3)),EDATE(AB1502,12),IF(ISNUMBER(SEARCH("6",'Procyflof 700'!D3)),EDATE(AB1502,6),IF(ISNUMBER(SEARCH("3",'Procyflof 700'!D3)),EDATE(AB1502,3),DATEVALUE('Procyflof 700'!D3))))),""))</f>
        <v>46040</v>
      </c>
      <c r="AM1502" t="str">
        <f t="shared" ca="1" si="160"/>
        <v/>
      </c>
    </row>
    <row r="1503" spans="27:39" x14ac:dyDescent="0.3">
      <c r="AA1503" t="str">
        <f>IF(COUNTA('Procyflof 700'!A4,'Procyflof 700'!B4,'Procyflof 700'!C4)&gt;0,"700","")</f>
        <v/>
      </c>
      <c r="AB1503" t="str">
        <f>IFERROR(IF(ISNUMBER('Procyflof 700'!A4),'Procyflof 700'!A4,DATEVALUE('Procyflof 700'!A4)),"")</f>
        <v/>
      </c>
      <c r="AC1503" t="str">
        <f>IF(AA1503="","",'Procyflof 700'!B4)</f>
        <v/>
      </c>
      <c r="AD1503" t="str">
        <f>IF(AA1503="","",IFERROR(1*'Procyflof 700'!C4,IFERROR(_xludf.NUMBERVALUE('Procyflof 700'!C4,".",","),IFERROR(_xludf.NUMBERVALUE('Procyflof 700'!C4,",","."),0))))</f>
        <v/>
      </c>
      <c r="AE1503" t="str">
        <f>IF(AA1503="","",'Procyflof 700'!N4)</f>
        <v/>
      </c>
      <c r="AF1503">
        <f t="shared" si="155"/>
        <v>0</v>
      </c>
      <c r="AG1503" t="str">
        <f t="shared" si="156"/>
        <v/>
      </c>
      <c r="AH1503" t="str">
        <f t="shared" si="157"/>
        <v/>
      </c>
      <c r="AI1503">
        <f t="shared" si="158"/>
        <v>0</v>
      </c>
      <c r="AJ1503">
        <f t="shared" si="159"/>
        <v>0</v>
      </c>
      <c r="AK1503">
        <v>0</v>
      </c>
      <c r="AL1503" t="str">
        <f>IF(AA1503="","",IFERROR(IF(ISNUMBER('Procyflof 700'!D4),'Procyflof 700'!D4,IF(ISNUMBER(SEARCH("12",'Procyflof 700'!D4)),EDATE(AB1503,12),IF(ISNUMBER(SEARCH("6",'Procyflof 700'!D4)),EDATE(AB1503,6),IF(ISNUMBER(SEARCH("3",'Procyflof 700'!D4)),EDATE(AB1503,3),DATEVALUE('Procyflof 700'!D4))))),""))</f>
        <v/>
      </c>
      <c r="AM1503" t="str">
        <f t="shared" ca="1" si="160"/>
        <v/>
      </c>
    </row>
    <row r="1504" spans="27:39" x14ac:dyDescent="0.3">
      <c r="AA1504" t="str">
        <f>IF(COUNTA('Procyflof 700'!A5,'Procyflof 700'!B5,'Procyflof 700'!C5)&gt;0,"700","")</f>
        <v/>
      </c>
      <c r="AB1504" t="str">
        <f>IFERROR(IF(ISNUMBER('Procyflof 700'!A5),'Procyflof 700'!A5,DATEVALUE('Procyflof 700'!A5)),"")</f>
        <v/>
      </c>
      <c r="AC1504" t="str">
        <f>IF(AA1504="","",'Procyflof 700'!B5)</f>
        <v/>
      </c>
      <c r="AD1504" t="str">
        <f>IF(AA1504="","",IFERROR(1*'Procyflof 700'!C5,IFERROR(_xludf.NUMBERVALUE('Procyflof 700'!C5,".",","),IFERROR(_xludf.NUMBERVALUE('Procyflof 700'!C5,",","."),0))))</f>
        <v/>
      </c>
      <c r="AE1504" t="str">
        <f>IF(AA1504="","",'Procyflof 700'!N5)</f>
        <v/>
      </c>
      <c r="AF1504">
        <f t="shared" si="155"/>
        <v>0</v>
      </c>
      <c r="AG1504" t="str">
        <f t="shared" si="156"/>
        <v/>
      </c>
      <c r="AH1504" t="str">
        <f t="shared" si="157"/>
        <v/>
      </c>
      <c r="AI1504">
        <f t="shared" si="158"/>
        <v>0</v>
      </c>
      <c r="AJ1504">
        <f t="shared" si="159"/>
        <v>0</v>
      </c>
      <c r="AK1504">
        <v>0</v>
      </c>
      <c r="AL1504" t="str">
        <f>IF(AA1504="","",IFERROR(IF(ISNUMBER('Procyflof 700'!D5),'Procyflof 700'!D5,IF(ISNUMBER(SEARCH("12",'Procyflof 700'!D5)),EDATE(AB1504,12),IF(ISNUMBER(SEARCH("6",'Procyflof 700'!D5)),EDATE(AB1504,6),IF(ISNUMBER(SEARCH("3",'Procyflof 700'!D5)),EDATE(AB1504,3),DATEVALUE('Procyflof 700'!D5))))),""))</f>
        <v/>
      </c>
      <c r="AM1504" t="str">
        <f t="shared" ca="1" si="160"/>
        <v/>
      </c>
    </row>
    <row r="1505" spans="27:39" x14ac:dyDescent="0.3">
      <c r="AA1505" t="str">
        <f>IF(COUNTA('Procyflof 700'!A6,'Procyflof 700'!B6,'Procyflof 700'!C6)&gt;0,"700","")</f>
        <v/>
      </c>
      <c r="AB1505" t="str">
        <f>IFERROR(IF(ISNUMBER('Procyflof 700'!A6),'Procyflof 700'!A6,DATEVALUE('Procyflof 700'!A6)),"")</f>
        <v/>
      </c>
      <c r="AC1505" t="str">
        <f>IF(AA1505="","",'Procyflof 700'!B6)</f>
        <v/>
      </c>
      <c r="AD1505" t="str">
        <f>IF(AA1505="","",IFERROR(1*'Procyflof 700'!C6,IFERROR(_xludf.NUMBERVALUE('Procyflof 700'!C6,".",","),IFERROR(_xludf.NUMBERVALUE('Procyflof 700'!C6,",","."),0))))</f>
        <v/>
      </c>
      <c r="AE1505" t="str">
        <f>IF(AA1505="","",'Procyflof 700'!N6)</f>
        <v/>
      </c>
      <c r="AF1505">
        <f t="shared" si="155"/>
        <v>0</v>
      </c>
      <c r="AG1505" t="str">
        <f t="shared" si="156"/>
        <v/>
      </c>
      <c r="AH1505" t="str">
        <f t="shared" si="157"/>
        <v/>
      </c>
      <c r="AI1505">
        <f t="shared" si="158"/>
        <v>0</v>
      </c>
      <c r="AJ1505">
        <f t="shared" si="159"/>
        <v>0</v>
      </c>
      <c r="AK1505">
        <v>0</v>
      </c>
      <c r="AL1505" t="str">
        <f>IF(AA1505="","",IFERROR(IF(ISNUMBER('Procyflof 700'!D6),'Procyflof 700'!D6,IF(ISNUMBER(SEARCH("12",'Procyflof 700'!D6)),EDATE(AB1505,12),IF(ISNUMBER(SEARCH("6",'Procyflof 700'!D6)),EDATE(AB1505,6),IF(ISNUMBER(SEARCH("3",'Procyflof 700'!D6)),EDATE(AB1505,3),DATEVALUE('Procyflof 700'!D6))))),""))</f>
        <v/>
      </c>
      <c r="AM1505" t="str">
        <f t="shared" ca="1" si="160"/>
        <v/>
      </c>
    </row>
    <row r="1506" spans="27:39" x14ac:dyDescent="0.3">
      <c r="AA1506" t="str">
        <f>IF(COUNTA('Procyflof 700'!A7,'Procyflof 700'!B7,'Procyflof 700'!C7)&gt;0,"700","")</f>
        <v/>
      </c>
      <c r="AB1506" t="str">
        <f>IFERROR(IF(ISNUMBER('Procyflof 700'!A7),'Procyflof 700'!A7,DATEVALUE('Procyflof 700'!A7)),"")</f>
        <v/>
      </c>
      <c r="AC1506" t="str">
        <f>IF(AA1506="","",'Procyflof 700'!B7)</f>
        <v/>
      </c>
      <c r="AD1506" t="str">
        <f>IF(AA1506="","",IFERROR(1*'Procyflof 700'!C7,IFERROR(_xludf.NUMBERVALUE('Procyflof 700'!C7,".",","),IFERROR(_xludf.NUMBERVALUE('Procyflof 700'!C7,",","."),0))))</f>
        <v/>
      </c>
      <c r="AE1506" t="str">
        <f>IF(AA1506="","",'Procyflof 700'!N7)</f>
        <v/>
      </c>
      <c r="AF1506">
        <f t="shared" si="155"/>
        <v>0</v>
      </c>
      <c r="AG1506" t="str">
        <f t="shared" si="156"/>
        <v/>
      </c>
      <c r="AH1506" t="str">
        <f t="shared" si="157"/>
        <v/>
      </c>
      <c r="AI1506">
        <f t="shared" si="158"/>
        <v>0</v>
      </c>
      <c r="AJ1506">
        <f t="shared" si="159"/>
        <v>0</v>
      </c>
      <c r="AK1506">
        <v>0</v>
      </c>
      <c r="AL1506" t="str">
        <f>IF(AA1506="","",IFERROR(IF(ISNUMBER('Procyflof 700'!D7),'Procyflof 700'!D7,IF(ISNUMBER(SEARCH("12",'Procyflof 700'!D7)),EDATE(AB1506,12),IF(ISNUMBER(SEARCH("6",'Procyflof 700'!D7)),EDATE(AB1506,6),IF(ISNUMBER(SEARCH("3",'Procyflof 700'!D7)),EDATE(AB1506,3),DATEVALUE('Procyflof 700'!D7))))),""))</f>
        <v/>
      </c>
      <c r="AM1506" t="str">
        <f t="shared" ca="1" si="160"/>
        <v/>
      </c>
    </row>
    <row r="1507" spans="27:39" x14ac:dyDescent="0.3">
      <c r="AA1507" t="str">
        <f>IF(COUNTA('Procyflof 700'!A8,'Procyflof 700'!B8,'Procyflof 700'!C8)&gt;0,"700","")</f>
        <v/>
      </c>
      <c r="AB1507" t="str">
        <f>IFERROR(IF(ISNUMBER('Procyflof 700'!A8),'Procyflof 700'!A8,DATEVALUE('Procyflof 700'!A8)),"")</f>
        <v/>
      </c>
      <c r="AC1507" t="str">
        <f>IF(AA1507="","",'Procyflof 700'!B8)</f>
        <v/>
      </c>
      <c r="AD1507" t="str">
        <f>IF(AA1507="","",IFERROR(1*'Procyflof 700'!C8,IFERROR(_xludf.NUMBERVALUE('Procyflof 700'!C8,".",","),IFERROR(_xludf.NUMBERVALUE('Procyflof 700'!C8,",","."),0))))</f>
        <v/>
      </c>
      <c r="AE1507" t="str">
        <f>IF(AA1507="","",'Procyflof 700'!N8)</f>
        <v/>
      </c>
      <c r="AF1507">
        <f t="shared" si="155"/>
        <v>0</v>
      </c>
      <c r="AG1507" t="str">
        <f t="shared" si="156"/>
        <v/>
      </c>
      <c r="AH1507" t="str">
        <f t="shared" si="157"/>
        <v/>
      </c>
      <c r="AI1507">
        <f t="shared" si="158"/>
        <v>0</v>
      </c>
      <c r="AJ1507">
        <f t="shared" si="159"/>
        <v>0</v>
      </c>
      <c r="AK1507">
        <v>0</v>
      </c>
      <c r="AL1507" t="str">
        <f>IF(AA1507="","",IFERROR(IF(ISNUMBER('Procyflof 700'!D8),'Procyflof 700'!D8,IF(ISNUMBER(SEARCH("12",'Procyflof 700'!D8)),EDATE(AB1507,12),IF(ISNUMBER(SEARCH("6",'Procyflof 700'!D8)),EDATE(AB1507,6),IF(ISNUMBER(SEARCH("3",'Procyflof 700'!D8)),EDATE(AB1507,3),DATEVALUE('Procyflof 700'!D8))))),""))</f>
        <v/>
      </c>
      <c r="AM1507" t="str">
        <f t="shared" ca="1" si="160"/>
        <v/>
      </c>
    </row>
    <row r="1508" spans="27:39" x14ac:dyDescent="0.3">
      <c r="AA1508" t="str">
        <f>IF(COUNTA('Procyflof 700'!A9,'Procyflof 700'!B9,'Procyflof 700'!C9)&gt;0,"700","")</f>
        <v/>
      </c>
      <c r="AB1508" t="str">
        <f>IFERROR(IF(ISNUMBER('Procyflof 700'!A9),'Procyflof 700'!A9,DATEVALUE('Procyflof 700'!A9)),"")</f>
        <v/>
      </c>
      <c r="AC1508" t="str">
        <f>IF(AA1508="","",'Procyflof 700'!B9)</f>
        <v/>
      </c>
      <c r="AD1508" t="str">
        <f>IF(AA1508="","",IFERROR(1*'Procyflof 700'!C9,IFERROR(_xludf.NUMBERVALUE('Procyflof 700'!C9,".",","),IFERROR(_xludf.NUMBERVALUE('Procyflof 700'!C9,",","."),0))))</f>
        <v/>
      </c>
      <c r="AE1508" t="str">
        <f>IF(AA1508="","",'Procyflof 700'!N9)</f>
        <v/>
      </c>
      <c r="AF1508">
        <f t="shared" si="155"/>
        <v>0</v>
      </c>
      <c r="AG1508" t="str">
        <f t="shared" si="156"/>
        <v/>
      </c>
      <c r="AH1508" t="str">
        <f t="shared" si="157"/>
        <v/>
      </c>
      <c r="AI1508">
        <f t="shared" si="158"/>
        <v>0</v>
      </c>
      <c r="AJ1508">
        <f t="shared" si="159"/>
        <v>0</v>
      </c>
      <c r="AK1508">
        <v>0</v>
      </c>
      <c r="AL1508" t="str">
        <f>IF(AA1508="","",IFERROR(IF(ISNUMBER('Procyflof 700'!D9),'Procyflof 700'!D9,IF(ISNUMBER(SEARCH("12",'Procyflof 700'!D9)),EDATE(AB1508,12),IF(ISNUMBER(SEARCH("6",'Procyflof 700'!D9)),EDATE(AB1508,6),IF(ISNUMBER(SEARCH("3",'Procyflof 700'!D9)),EDATE(AB1508,3),DATEVALUE('Procyflof 700'!D9))))),""))</f>
        <v/>
      </c>
      <c r="AM1508" t="str">
        <f t="shared" ca="1" si="160"/>
        <v/>
      </c>
    </row>
    <row r="1509" spans="27:39" x14ac:dyDescent="0.3">
      <c r="AA1509" t="str">
        <f>IF(COUNTA('Procyflof 700'!A10,'Procyflof 700'!B10,'Procyflof 700'!C10)&gt;0,"700","")</f>
        <v/>
      </c>
      <c r="AB1509" t="str">
        <f>IFERROR(IF(ISNUMBER('Procyflof 700'!A10),'Procyflof 700'!A10,DATEVALUE('Procyflof 700'!A10)),"")</f>
        <v/>
      </c>
      <c r="AC1509" t="str">
        <f>IF(AA1509="","",'Procyflof 700'!B10)</f>
        <v/>
      </c>
      <c r="AD1509" t="str">
        <f>IF(AA1509="","",IFERROR(1*'Procyflof 700'!C10,IFERROR(_xludf.NUMBERVALUE('Procyflof 700'!C10,".",","),IFERROR(_xludf.NUMBERVALUE('Procyflof 700'!C10,",","."),0))))</f>
        <v/>
      </c>
      <c r="AE1509" t="str">
        <f>IF(AA1509="","",'Procyflof 700'!N10)</f>
        <v/>
      </c>
      <c r="AF1509">
        <f t="shared" si="155"/>
        <v>0</v>
      </c>
      <c r="AG1509" t="str">
        <f t="shared" si="156"/>
        <v/>
      </c>
      <c r="AH1509" t="str">
        <f t="shared" si="157"/>
        <v/>
      </c>
      <c r="AI1509">
        <f t="shared" si="158"/>
        <v>0</v>
      </c>
      <c r="AJ1509">
        <f t="shared" si="159"/>
        <v>0</v>
      </c>
      <c r="AK1509">
        <v>0</v>
      </c>
      <c r="AL1509" t="str">
        <f>IF(AA1509="","",IFERROR(IF(ISNUMBER('Procyflof 700'!D10),'Procyflof 700'!D10,IF(ISNUMBER(SEARCH("12",'Procyflof 700'!D10)),EDATE(AB1509,12),IF(ISNUMBER(SEARCH("6",'Procyflof 700'!D10)),EDATE(AB1509,6),IF(ISNUMBER(SEARCH("3",'Procyflof 700'!D10)),EDATE(AB1509,3),DATEVALUE('Procyflof 700'!D10))))),""))</f>
        <v/>
      </c>
      <c r="AM1509" t="str">
        <f t="shared" ca="1" si="160"/>
        <v/>
      </c>
    </row>
    <row r="1510" spans="27:39" x14ac:dyDescent="0.3">
      <c r="AA1510" t="str">
        <f>IF(COUNTA('Procyflof 700'!A11,'Procyflof 700'!B11,'Procyflof 700'!C11)&gt;0,"700","")</f>
        <v/>
      </c>
      <c r="AB1510" t="str">
        <f>IFERROR(IF(ISNUMBER('Procyflof 700'!A11),'Procyflof 700'!A11,DATEVALUE('Procyflof 700'!A11)),"")</f>
        <v/>
      </c>
      <c r="AC1510" t="str">
        <f>IF(AA1510="","",'Procyflof 700'!B11)</f>
        <v/>
      </c>
      <c r="AD1510" t="str">
        <f>IF(AA1510="","",IFERROR(1*'Procyflof 700'!C11,IFERROR(_xludf.NUMBERVALUE('Procyflof 700'!C11,".",","),IFERROR(_xludf.NUMBERVALUE('Procyflof 700'!C11,",","."),0))))</f>
        <v/>
      </c>
      <c r="AE1510" t="str">
        <f>IF(AA1510="","",'Procyflof 700'!N11)</f>
        <v/>
      </c>
      <c r="AF1510">
        <f t="shared" si="155"/>
        <v>0</v>
      </c>
      <c r="AG1510" t="str">
        <f t="shared" si="156"/>
        <v/>
      </c>
      <c r="AH1510" t="str">
        <f t="shared" si="157"/>
        <v/>
      </c>
      <c r="AI1510">
        <f t="shared" si="158"/>
        <v>0</v>
      </c>
      <c r="AJ1510">
        <f t="shared" si="159"/>
        <v>0</v>
      </c>
      <c r="AK1510">
        <v>0</v>
      </c>
      <c r="AL1510" t="str">
        <f>IF(AA1510="","",IFERROR(IF(ISNUMBER('Procyflof 700'!D11),'Procyflof 700'!D11,IF(ISNUMBER(SEARCH("12",'Procyflof 700'!D11)),EDATE(AB1510,12),IF(ISNUMBER(SEARCH("6",'Procyflof 700'!D11)),EDATE(AB1510,6),IF(ISNUMBER(SEARCH("3",'Procyflof 700'!D11)),EDATE(AB1510,3),DATEVALUE('Procyflof 700'!D11))))),""))</f>
        <v/>
      </c>
      <c r="AM1510" t="str">
        <f t="shared" ca="1" si="160"/>
        <v/>
      </c>
    </row>
    <row r="1511" spans="27:39" x14ac:dyDescent="0.3">
      <c r="AA1511" t="str">
        <f>IF(COUNTA('Procyflof 700'!A12,'Procyflof 700'!B12,'Procyflof 700'!C12)&gt;0,"700","")</f>
        <v/>
      </c>
      <c r="AB1511" t="str">
        <f>IFERROR(IF(ISNUMBER('Procyflof 700'!A12),'Procyflof 700'!A12,DATEVALUE('Procyflof 700'!A12)),"")</f>
        <v/>
      </c>
      <c r="AC1511" t="str">
        <f>IF(AA1511="","",'Procyflof 700'!B12)</f>
        <v/>
      </c>
      <c r="AD1511" t="str">
        <f>IF(AA1511="","",IFERROR(1*'Procyflof 700'!C12,IFERROR(_xludf.NUMBERVALUE('Procyflof 700'!C12,".",","),IFERROR(_xludf.NUMBERVALUE('Procyflof 700'!C12,",","."),0))))</f>
        <v/>
      </c>
      <c r="AE1511" t="str">
        <f>IF(AA1511="","",'Procyflof 700'!N12)</f>
        <v/>
      </c>
      <c r="AF1511">
        <f t="shared" si="155"/>
        <v>0</v>
      </c>
      <c r="AG1511" t="str">
        <f t="shared" si="156"/>
        <v/>
      </c>
      <c r="AH1511" t="str">
        <f t="shared" si="157"/>
        <v/>
      </c>
      <c r="AI1511">
        <f t="shared" si="158"/>
        <v>0</v>
      </c>
      <c r="AJ1511">
        <f t="shared" si="159"/>
        <v>0</v>
      </c>
      <c r="AK1511">
        <v>0</v>
      </c>
      <c r="AL1511" t="str">
        <f>IF(AA1511="","",IFERROR(IF(ISNUMBER('Procyflof 700'!D12),'Procyflof 700'!D12,IF(ISNUMBER(SEARCH("12",'Procyflof 700'!D12)),EDATE(AB1511,12),IF(ISNUMBER(SEARCH("6",'Procyflof 700'!D12)),EDATE(AB1511,6),IF(ISNUMBER(SEARCH("3",'Procyflof 700'!D12)),EDATE(AB1511,3),DATEVALUE('Procyflof 700'!D12))))),""))</f>
        <v/>
      </c>
      <c r="AM1511" t="str">
        <f t="shared" ca="1" si="160"/>
        <v/>
      </c>
    </row>
    <row r="1512" spans="27:39" x14ac:dyDescent="0.3">
      <c r="AA1512" t="str">
        <f>IF(COUNTA('Procyflof 700'!A13,'Procyflof 700'!B13,'Procyflof 700'!C13)&gt;0,"700","")</f>
        <v/>
      </c>
      <c r="AB1512" t="str">
        <f>IFERROR(IF(ISNUMBER('Procyflof 700'!A13),'Procyflof 700'!A13,DATEVALUE('Procyflof 700'!A13)),"")</f>
        <v/>
      </c>
      <c r="AC1512" t="str">
        <f>IF(AA1512="","",'Procyflof 700'!B13)</f>
        <v/>
      </c>
      <c r="AD1512" t="str">
        <f>IF(AA1512="","",IFERROR(1*'Procyflof 700'!C13,IFERROR(_xludf.NUMBERVALUE('Procyflof 700'!C13,".",","),IFERROR(_xludf.NUMBERVALUE('Procyflof 700'!C13,",","."),0))))</f>
        <v/>
      </c>
      <c r="AE1512" t="str">
        <f>IF(AA1512="","",'Procyflof 700'!N13)</f>
        <v/>
      </c>
      <c r="AF1512">
        <f t="shared" si="155"/>
        <v>0</v>
      </c>
      <c r="AG1512" t="str">
        <f t="shared" si="156"/>
        <v/>
      </c>
      <c r="AH1512" t="str">
        <f t="shared" si="157"/>
        <v/>
      </c>
      <c r="AI1512">
        <f t="shared" si="158"/>
        <v>0</v>
      </c>
      <c r="AJ1512">
        <f t="shared" si="159"/>
        <v>0</v>
      </c>
      <c r="AK1512">
        <v>0</v>
      </c>
      <c r="AL1512" t="str">
        <f>IF(AA1512="","",IFERROR(IF(ISNUMBER('Procyflof 700'!D13),'Procyflof 700'!D13,IF(ISNUMBER(SEARCH("12",'Procyflof 700'!D13)),EDATE(AB1512,12),IF(ISNUMBER(SEARCH("6",'Procyflof 700'!D13)),EDATE(AB1512,6),IF(ISNUMBER(SEARCH("3",'Procyflof 700'!D13)),EDATE(AB1512,3),DATEVALUE('Procyflof 700'!D13))))),""))</f>
        <v/>
      </c>
      <c r="AM1512" t="str">
        <f t="shared" ca="1" si="160"/>
        <v/>
      </c>
    </row>
    <row r="1513" spans="27:39" x14ac:dyDescent="0.3">
      <c r="AA1513" t="str">
        <f>IF(COUNTA('Procyflof 700'!A14,'Procyflof 700'!B14,'Procyflof 700'!C14)&gt;0,"700","")</f>
        <v/>
      </c>
      <c r="AB1513" t="str">
        <f>IFERROR(IF(ISNUMBER('Procyflof 700'!A14),'Procyflof 700'!A14,DATEVALUE('Procyflof 700'!A14)),"")</f>
        <v/>
      </c>
      <c r="AC1513" t="str">
        <f>IF(AA1513="","",'Procyflof 700'!B14)</f>
        <v/>
      </c>
      <c r="AD1513" t="str">
        <f>IF(AA1513="","",IFERROR(1*'Procyflof 700'!C14,IFERROR(_xludf.NUMBERVALUE('Procyflof 700'!C14,".",","),IFERROR(_xludf.NUMBERVALUE('Procyflof 700'!C14,",","."),0))))</f>
        <v/>
      </c>
      <c r="AE1513" t="str">
        <f>IF(AA1513="","",'Procyflof 700'!N14)</f>
        <v/>
      </c>
      <c r="AF1513">
        <f t="shared" si="155"/>
        <v>0</v>
      </c>
      <c r="AG1513" t="str">
        <f t="shared" si="156"/>
        <v/>
      </c>
      <c r="AH1513" t="str">
        <f t="shared" si="157"/>
        <v/>
      </c>
      <c r="AI1513">
        <f t="shared" si="158"/>
        <v>0</v>
      </c>
      <c r="AJ1513">
        <f t="shared" si="159"/>
        <v>0</v>
      </c>
      <c r="AK1513">
        <v>0</v>
      </c>
      <c r="AL1513" t="str">
        <f>IF(AA1513="","",IFERROR(IF(ISNUMBER('Procyflof 700'!D14),'Procyflof 700'!D14,IF(ISNUMBER(SEARCH("12",'Procyflof 700'!D14)),EDATE(AB1513,12),IF(ISNUMBER(SEARCH("6",'Procyflof 700'!D14)),EDATE(AB1513,6),IF(ISNUMBER(SEARCH("3",'Procyflof 700'!D14)),EDATE(AB1513,3),DATEVALUE('Procyflof 700'!D14))))),""))</f>
        <v/>
      </c>
      <c r="AM1513" t="str">
        <f t="shared" ca="1" si="160"/>
        <v/>
      </c>
    </row>
    <row r="1514" spans="27:39" x14ac:dyDescent="0.3">
      <c r="AA1514" t="str">
        <f>IF(COUNTA('Procyflof 700'!A15,'Procyflof 700'!B15,'Procyflof 700'!C15)&gt;0,"700","")</f>
        <v/>
      </c>
      <c r="AB1514" t="str">
        <f>IFERROR(IF(ISNUMBER('Procyflof 700'!A15),'Procyflof 700'!A15,DATEVALUE('Procyflof 700'!A15)),"")</f>
        <v/>
      </c>
      <c r="AC1514" t="str">
        <f>IF(AA1514="","",'Procyflof 700'!B15)</f>
        <v/>
      </c>
      <c r="AD1514" t="str">
        <f>IF(AA1514="","",IFERROR(1*'Procyflof 700'!C15,IFERROR(_xludf.NUMBERVALUE('Procyflof 700'!C15,".",","),IFERROR(_xludf.NUMBERVALUE('Procyflof 700'!C15,",","."),0))))</f>
        <v/>
      </c>
      <c r="AE1514" t="str">
        <f>IF(AA1514="","",'Procyflof 700'!N15)</f>
        <v/>
      </c>
      <c r="AF1514">
        <f t="shared" si="155"/>
        <v>0</v>
      </c>
      <c r="AG1514" t="str">
        <f t="shared" si="156"/>
        <v/>
      </c>
      <c r="AH1514" t="str">
        <f t="shared" si="157"/>
        <v/>
      </c>
      <c r="AI1514">
        <f t="shared" si="158"/>
        <v>0</v>
      </c>
      <c r="AJ1514">
        <f t="shared" si="159"/>
        <v>0</v>
      </c>
      <c r="AK1514">
        <v>0</v>
      </c>
      <c r="AL1514" t="str">
        <f>IF(AA1514="","",IFERROR(IF(ISNUMBER('Procyflof 700'!D15),'Procyflof 700'!D15,IF(ISNUMBER(SEARCH("12",'Procyflof 700'!D15)),EDATE(AB1514,12),IF(ISNUMBER(SEARCH("6",'Procyflof 700'!D15)),EDATE(AB1514,6),IF(ISNUMBER(SEARCH("3",'Procyflof 700'!D15)),EDATE(AB1514,3),DATEVALUE('Procyflof 700'!D15))))),""))</f>
        <v/>
      </c>
      <c r="AM1514" t="str">
        <f t="shared" ca="1" si="160"/>
        <v/>
      </c>
    </row>
    <row r="1515" spans="27:39" x14ac:dyDescent="0.3">
      <c r="AA1515" t="str">
        <f>IF(COUNTA('Procyflof 700'!A16,'Procyflof 700'!B16,'Procyflof 700'!C16)&gt;0,"700","")</f>
        <v/>
      </c>
      <c r="AB1515" t="str">
        <f>IFERROR(IF(ISNUMBER('Procyflof 700'!A16),'Procyflof 700'!A16,DATEVALUE('Procyflof 700'!A16)),"")</f>
        <v/>
      </c>
      <c r="AC1515" t="str">
        <f>IF(AA1515="","",'Procyflof 700'!B16)</f>
        <v/>
      </c>
      <c r="AD1515" t="str">
        <f>IF(AA1515="","",IFERROR(1*'Procyflof 700'!C16,IFERROR(_xludf.NUMBERVALUE('Procyflof 700'!C16,".",","),IFERROR(_xludf.NUMBERVALUE('Procyflof 700'!C16,",","."),0))))</f>
        <v/>
      </c>
      <c r="AE1515" t="str">
        <f>IF(AA1515="","",'Procyflof 700'!N16)</f>
        <v/>
      </c>
      <c r="AF1515">
        <f t="shared" si="155"/>
        <v>0</v>
      </c>
      <c r="AG1515" t="str">
        <f t="shared" si="156"/>
        <v/>
      </c>
      <c r="AH1515" t="str">
        <f t="shared" si="157"/>
        <v/>
      </c>
      <c r="AI1515">
        <f t="shared" si="158"/>
        <v>0</v>
      </c>
      <c r="AJ1515">
        <f t="shared" si="159"/>
        <v>0</v>
      </c>
      <c r="AK1515">
        <v>0</v>
      </c>
      <c r="AL1515" t="str">
        <f>IF(AA1515="","",IFERROR(IF(ISNUMBER('Procyflof 700'!D16),'Procyflof 700'!D16,IF(ISNUMBER(SEARCH("12",'Procyflof 700'!D16)),EDATE(AB1515,12),IF(ISNUMBER(SEARCH("6",'Procyflof 700'!D16)),EDATE(AB1515,6),IF(ISNUMBER(SEARCH("3",'Procyflof 700'!D16)),EDATE(AB1515,3),DATEVALUE('Procyflof 700'!D16))))),""))</f>
        <v/>
      </c>
      <c r="AM1515" t="str">
        <f t="shared" ca="1" si="160"/>
        <v/>
      </c>
    </row>
    <row r="1516" spans="27:39" x14ac:dyDescent="0.3">
      <c r="AA1516" t="str">
        <f>IF(COUNTA('Procyflof 700'!A17,'Procyflof 700'!B17,'Procyflof 700'!C17)&gt;0,"700","")</f>
        <v/>
      </c>
      <c r="AB1516" t="str">
        <f>IFERROR(IF(ISNUMBER('Procyflof 700'!A17),'Procyflof 700'!A17,DATEVALUE('Procyflof 700'!A17)),"")</f>
        <v/>
      </c>
      <c r="AC1516" t="str">
        <f>IF(AA1516="","",'Procyflof 700'!B17)</f>
        <v/>
      </c>
      <c r="AD1516" t="str">
        <f>IF(AA1516="","",IFERROR(1*'Procyflof 700'!C17,IFERROR(_xludf.NUMBERVALUE('Procyflof 700'!C17,".",","),IFERROR(_xludf.NUMBERVALUE('Procyflof 700'!C17,",","."),0))))</f>
        <v/>
      </c>
      <c r="AE1516" t="str">
        <f>IF(AA1516="","",'Procyflof 700'!N17)</f>
        <v/>
      </c>
      <c r="AF1516">
        <f t="shared" si="155"/>
        <v>0</v>
      </c>
      <c r="AG1516" t="str">
        <f t="shared" si="156"/>
        <v/>
      </c>
      <c r="AH1516" t="str">
        <f t="shared" si="157"/>
        <v/>
      </c>
      <c r="AI1516">
        <f t="shared" si="158"/>
        <v>0</v>
      </c>
      <c r="AJ1516">
        <f t="shared" si="159"/>
        <v>0</v>
      </c>
      <c r="AK1516">
        <v>0</v>
      </c>
      <c r="AL1516" t="str">
        <f>IF(AA1516="","",IFERROR(IF(ISNUMBER('Procyflof 700'!D17),'Procyflof 700'!D17,IF(ISNUMBER(SEARCH("12",'Procyflof 700'!D17)),EDATE(AB1516,12),IF(ISNUMBER(SEARCH("6",'Procyflof 700'!D17)),EDATE(AB1516,6),IF(ISNUMBER(SEARCH("3",'Procyflof 700'!D17)),EDATE(AB1516,3),DATEVALUE('Procyflof 700'!D17))))),""))</f>
        <v/>
      </c>
      <c r="AM1516" t="str">
        <f t="shared" ca="1" si="160"/>
        <v/>
      </c>
    </row>
    <row r="1517" spans="27:39" x14ac:dyDescent="0.3">
      <c r="AA1517" t="str">
        <f>IF(COUNTA('Procyflof 700'!A18,'Procyflof 700'!B18,'Procyflof 700'!C18)&gt;0,"700","")</f>
        <v/>
      </c>
      <c r="AB1517" t="str">
        <f>IFERROR(IF(ISNUMBER('Procyflof 700'!A18),'Procyflof 700'!A18,DATEVALUE('Procyflof 700'!A18)),"")</f>
        <v/>
      </c>
      <c r="AC1517" t="str">
        <f>IF(AA1517="","",'Procyflof 700'!B18)</f>
        <v/>
      </c>
      <c r="AD1517" t="str">
        <f>IF(AA1517="","",IFERROR(1*'Procyflof 700'!C18,IFERROR(_xludf.NUMBERVALUE('Procyflof 700'!C18,".",","),IFERROR(_xludf.NUMBERVALUE('Procyflof 700'!C18,",","."),0))))</f>
        <v/>
      </c>
      <c r="AE1517" t="str">
        <f>IF(AA1517="","",'Procyflof 700'!N18)</f>
        <v/>
      </c>
      <c r="AF1517">
        <f t="shared" si="155"/>
        <v>0</v>
      </c>
      <c r="AG1517" t="str">
        <f t="shared" si="156"/>
        <v/>
      </c>
      <c r="AH1517" t="str">
        <f t="shared" si="157"/>
        <v/>
      </c>
      <c r="AI1517">
        <f t="shared" si="158"/>
        <v>0</v>
      </c>
      <c r="AJ1517">
        <f t="shared" si="159"/>
        <v>0</v>
      </c>
      <c r="AK1517">
        <v>0</v>
      </c>
      <c r="AL1517" t="str">
        <f>IF(AA1517="","",IFERROR(IF(ISNUMBER('Procyflof 700'!D18),'Procyflof 700'!D18,IF(ISNUMBER(SEARCH("12",'Procyflof 700'!D18)),EDATE(AB1517,12),IF(ISNUMBER(SEARCH("6",'Procyflof 700'!D18)),EDATE(AB1517,6),IF(ISNUMBER(SEARCH("3",'Procyflof 700'!D18)),EDATE(AB1517,3),DATEVALUE('Procyflof 700'!D18))))),""))</f>
        <v/>
      </c>
      <c r="AM1517" t="str">
        <f t="shared" ca="1" si="160"/>
        <v/>
      </c>
    </row>
    <row r="1518" spans="27:39" x14ac:dyDescent="0.3">
      <c r="AA1518" t="str">
        <f>IF(COUNTA('Procyflof 700'!A19,'Procyflof 700'!B19,'Procyflof 700'!C19)&gt;0,"700","")</f>
        <v/>
      </c>
      <c r="AB1518" t="str">
        <f>IFERROR(IF(ISNUMBER('Procyflof 700'!A19),'Procyflof 700'!A19,DATEVALUE('Procyflof 700'!A19)),"")</f>
        <v/>
      </c>
      <c r="AC1518" t="str">
        <f>IF(AA1518="","",'Procyflof 700'!B19)</f>
        <v/>
      </c>
      <c r="AD1518" t="str">
        <f>IF(AA1518="","",IFERROR(1*'Procyflof 700'!C19,IFERROR(_xludf.NUMBERVALUE('Procyflof 700'!C19,".",","),IFERROR(_xludf.NUMBERVALUE('Procyflof 700'!C19,",","."),0))))</f>
        <v/>
      </c>
      <c r="AE1518" t="str">
        <f>IF(AA1518="","",'Procyflof 700'!N19)</f>
        <v/>
      </c>
      <c r="AF1518">
        <f t="shared" si="155"/>
        <v>0</v>
      </c>
      <c r="AG1518" t="str">
        <f t="shared" si="156"/>
        <v/>
      </c>
      <c r="AH1518" t="str">
        <f t="shared" si="157"/>
        <v/>
      </c>
      <c r="AI1518">
        <f t="shared" si="158"/>
        <v>0</v>
      </c>
      <c r="AJ1518">
        <f t="shared" si="159"/>
        <v>0</v>
      </c>
      <c r="AK1518">
        <v>0</v>
      </c>
      <c r="AL1518" t="str">
        <f>IF(AA1518="","",IFERROR(IF(ISNUMBER('Procyflof 700'!D19),'Procyflof 700'!D19,IF(ISNUMBER(SEARCH("12",'Procyflof 700'!D19)),EDATE(AB1518,12),IF(ISNUMBER(SEARCH("6",'Procyflof 700'!D19)),EDATE(AB1518,6),IF(ISNUMBER(SEARCH("3",'Procyflof 700'!D19)),EDATE(AB1518,3),DATEVALUE('Procyflof 700'!D19))))),""))</f>
        <v/>
      </c>
      <c r="AM1518" t="str">
        <f t="shared" ca="1" si="160"/>
        <v/>
      </c>
    </row>
    <row r="1519" spans="27:39" x14ac:dyDescent="0.3">
      <c r="AA1519" t="str">
        <f>IF(COUNTA('Procyflof 700'!A20,'Procyflof 700'!B20,'Procyflof 700'!C20)&gt;0,"700","")</f>
        <v/>
      </c>
      <c r="AB1519" t="str">
        <f>IFERROR(IF(ISNUMBER('Procyflof 700'!A20),'Procyflof 700'!A20,DATEVALUE('Procyflof 700'!A20)),"")</f>
        <v/>
      </c>
      <c r="AC1519" t="str">
        <f>IF(AA1519="","",'Procyflof 700'!B20)</f>
        <v/>
      </c>
      <c r="AD1519" t="str">
        <f>IF(AA1519="","",IFERROR(1*'Procyflof 700'!C20,IFERROR(_xludf.NUMBERVALUE('Procyflof 700'!C20,".",","),IFERROR(_xludf.NUMBERVALUE('Procyflof 700'!C20,",","."),0))))</f>
        <v/>
      </c>
      <c r="AE1519" t="str">
        <f>IF(AA1519="","",'Procyflof 700'!N20)</f>
        <v/>
      </c>
      <c r="AF1519">
        <f t="shared" si="155"/>
        <v>0</v>
      </c>
      <c r="AG1519" t="str">
        <f t="shared" si="156"/>
        <v/>
      </c>
      <c r="AH1519" t="str">
        <f t="shared" si="157"/>
        <v/>
      </c>
      <c r="AI1519">
        <f t="shared" si="158"/>
        <v>0</v>
      </c>
      <c r="AJ1519">
        <f t="shared" si="159"/>
        <v>0</v>
      </c>
      <c r="AK1519">
        <v>0</v>
      </c>
      <c r="AL1519" t="str">
        <f>IF(AA1519="","",IFERROR(IF(ISNUMBER('Procyflof 700'!D20),'Procyflof 700'!D20,IF(ISNUMBER(SEARCH("12",'Procyflof 700'!D20)),EDATE(AB1519,12),IF(ISNUMBER(SEARCH("6",'Procyflof 700'!D20)),EDATE(AB1519,6),IF(ISNUMBER(SEARCH("3",'Procyflof 700'!D20)),EDATE(AB1519,3),DATEVALUE('Procyflof 700'!D20))))),""))</f>
        <v/>
      </c>
      <c r="AM1519" t="str">
        <f t="shared" ca="1" si="160"/>
        <v/>
      </c>
    </row>
    <row r="1520" spans="27:39" x14ac:dyDescent="0.3">
      <c r="AA1520" t="str">
        <f>IF(COUNTA('Procyflof 700'!A21,'Procyflof 700'!B21,'Procyflof 700'!C21)&gt;0,"700","")</f>
        <v/>
      </c>
      <c r="AB1520" t="str">
        <f>IFERROR(IF(ISNUMBER('Procyflof 700'!A21),'Procyflof 700'!A21,DATEVALUE('Procyflof 700'!A21)),"")</f>
        <v/>
      </c>
      <c r="AC1520" t="str">
        <f>IF(AA1520="","",'Procyflof 700'!B21)</f>
        <v/>
      </c>
      <c r="AD1520" t="str">
        <f>IF(AA1520="","",IFERROR(1*'Procyflof 700'!C21,IFERROR(_xludf.NUMBERVALUE('Procyflof 700'!C21,".",","),IFERROR(_xludf.NUMBERVALUE('Procyflof 700'!C21,",","."),0))))</f>
        <v/>
      </c>
      <c r="AE1520" t="str">
        <f>IF(AA1520="","",'Procyflof 700'!N21)</f>
        <v/>
      </c>
      <c r="AF1520">
        <f t="shared" si="155"/>
        <v>0</v>
      </c>
      <c r="AG1520" t="str">
        <f t="shared" si="156"/>
        <v/>
      </c>
      <c r="AH1520" t="str">
        <f t="shared" si="157"/>
        <v/>
      </c>
      <c r="AI1520">
        <f t="shared" si="158"/>
        <v>0</v>
      </c>
      <c r="AJ1520">
        <f t="shared" si="159"/>
        <v>0</v>
      </c>
      <c r="AK1520">
        <v>0</v>
      </c>
      <c r="AL1520" t="str">
        <f>IF(AA1520="","",IFERROR(IF(ISNUMBER('Procyflof 700'!D21),'Procyflof 700'!D21,IF(ISNUMBER(SEARCH("12",'Procyflof 700'!D21)),EDATE(AB1520,12),IF(ISNUMBER(SEARCH("6",'Procyflof 700'!D21)),EDATE(AB1520,6),IF(ISNUMBER(SEARCH("3",'Procyflof 700'!D21)),EDATE(AB1520,3),DATEVALUE('Procyflof 700'!D21))))),""))</f>
        <v/>
      </c>
      <c r="AM1520" t="str">
        <f t="shared" ca="1" si="160"/>
        <v/>
      </c>
    </row>
    <row r="1521" spans="27:39" x14ac:dyDescent="0.3">
      <c r="AA1521" t="str">
        <f>IF(COUNTA('Procyflof 700'!A22,'Procyflof 700'!B22,'Procyflof 700'!C22)&gt;0,"700","")</f>
        <v/>
      </c>
      <c r="AB1521" t="str">
        <f>IFERROR(IF(ISNUMBER('Procyflof 700'!A22),'Procyflof 700'!A22,DATEVALUE('Procyflof 700'!A22)),"")</f>
        <v/>
      </c>
      <c r="AC1521" t="str">
        <f>IF(AA1521="","",'Procyflof 700'!B22)</f>
        <v/>
      </c>
      <c r="AD1521" t="str">
        <f>IF(AA1521="","",IFERROR(1*'Procyflof 700'!C22,IFERROR(_xludf.NUMBERVALUE('Procyflof 700'!C22,".",","),IFERROR(_xludf.NUMBERVALUE('Procyflof 700'!C22,",","."),0))))</f>
        <v/>
      </c>
      <c r="AE1521" t="str">
        <f>IF(AA1521="","",'Procyflof 700'!N22)</f>
        <v/>
      </c>
      <c r="AF1521">
        <f t="shared" si="155"/>
        <v>0</v>
      </c>
      <c r="AG1521" t="str">
        <f t="shared" si="156"/>
        <v/>
      </c>
      <c r="AH1521" t="str">
        <f t="shared" si="157"/>
        <v/>
      </c>
      <c r="AI1521">
        <f t="shared" si="158"/>
        <v>0</v>
      </c>
      <c r="AJ1521">
        <f t="shared" si="159"/>
        <v>0</v>
      </c>
      <c r="AK1521">
        <v>0</v>
      </c>
      <c r="AL1521" t="str">
        <f>IF(AA1521="","",IFERROR(IF(ISNUMBER('Procyflof 700'!D22),'Procyflof 700'!D22,IF(ISNUMBER(SEARCH("12",'Procyflof 700'!D22)),EDATE(AB1521,12),IF(ISNUMBER(SEARCH("6",'Procyflof 700'!D22)),EDATE(AB1521,6),IF(ISNUMBER(SEARCH("3",'Procyflof 700'!D22)),EDATE(AB1521,3),DATEVALUE('Procyflof 700'!D22))))),""))</f>
        <v/>
      </c>
      <c r="AM1521" t="str">
        <f t="shared" ca="1" si="160"/>
        <v/>
      </c>
    </row>
    <row r="1522" spans="27:39" x14ac:dyDescent="0.3">
      <c r="AA1522" t="str">
        <f>IF(COUNTA('Procyflof 700'!A23,'Procyflof 700'!B23,'Procyflof 700'!C23)&gt;0,"700","")</f>
        <v/>
      </c>
      <c r="AB1522" t="str">
        <f>IFERROR(IF(ISNUMBER('Procyflof 700'!A23),'Procyflof 700'!A23,DATEVALUE('Procyflof 700'!A23)),"")</f>
        <v/>
      </c>
      <c r="AC1522" t="str">
        <f>IF(AA1522="","",'Procyflof 700'!B23)</f>
        <v/>
      </c>
      <c r="AD1522" t="str">
        <f>IF(AA1522="","",IFERROR(1*'Procyflof 700'!C23,IFERROR(_xludf.NUMBERVALUE('Procyflof 700'!C23,".",","),IFERROR(_xludf.NUMBERVALUE('Procyflof 700'!C23,",","."),0))))</f>
        <v/>
      </c>
      <c r="AE1522" t="str">
        <f>IF(AA1522="","",'Procyflof 700'!N23)</f>
        <v/>
      </c>
      <c r="AF1522">
        <f t="shared" si="155"/>
        <v>0</v>
      </c>
      <c r="AG1522" t="str">
        <f t="shared" si="156"/>
        <v/>
      </c>
      <c r="AH1522" t="str">
        <f t="shared" si="157"/>
        <v/>
      </c>
      <c r="AI1522">
        <f t="shared" si="158"/>
        <v>0</v>
      </c>
      <c r="AJ1522">
        <f t="shared" si="159"/>
        <v>0</v>
      </c>
      <c r="AK1522">
        <v>0</v>
      </c>
      <c r="AL1522" t="str">
        <f>IF(AA1522="","",IFERROR(IF(ISNUMBER('Procyflof 700'!D23),'Procyflof 700'!D23,IF(ISNUMBER(SEARCH("12",'Procyflof 700'!D23)),EDATE(AB1522,12),IF(ISNUMBER(SEARCH("6",'Procyflof 700'!D23)),EDATE(AB1522,6),IF(ISNUMBER(SEARCH("3",'Procyflof 700'!D23)),EDATE(AB1522,3),DATEVALUE('Procyflof 700'!D23))))),""))</f>
        <v/>
      </c>
      <c r="AM1522" t="str">
        <f t="shared" ca="1" si="160"/>
        <v/>
      </c>
    </row>
    <row r="1523" spans="27:39" x14ac:dyDescent="0.3">
      <c r="AA1523" t="str">
        <f>IF(COUNTA('Procyflof 700'!A24,'Procyflof 700'!B24,'Procyflof 700'!C24)&gt;0,"700","")</f>
        <v/>
      </c>
      <c r="AB1523" t="str">
        <f>IFERROR(IF(ISNUMBER('Procyflof 700'!A24),'Procyflof 700'!A24,DATEVALUE('Procyflof 700'!A24)),"")</f>
        <v/>
      </c>
      <c r="AC1523" t="str">
        <f>IF(AA1523="","",'Procyflof 700'!B24)</f>
        <v/>
      </c>
      <c r="AD1523" t="str">
        <f>IF(AA1523="","",IFERROR(1*'Procyflof 700'!C24,IFERROR(_xludf.NUMBERVALUE('Procyflof 700'!C24,".",","),IFERROR(_xludf.NUMBERVALUE('Procyflof 700'!C24,",","."),0))))</f>
        <v/>
      </c>
      <c r="AE1523" t="str">
        <f>IF(AA1523="","",'Procyflof 700'!N24)</f>
        <v/>
      </c>
      <c r="AF1523">
        <f t="shared" si="155"/>
        <v>0</v>
      </c>
      <c r="AG1523" t="str">
        <f t="shared" si="156"/>
        <v/>
      </c>
      <c r="AH1523" t="str">
        <f t="shared" si="157"/>
        <v/>
      </c>
      <c r="AI1523">
        <f t="shared" si="158"/>
        <v>0</v>
      </c>
      <c r="AJ1523">
        <f t="shared" si="159"/>
        <v>0</v>
      </c>
      <c r="AK1523">
        <v>0</v>
      </c>
      <c r="AL1523" t="str">
        <f>IF(AA1523="","",IFERROR(IF(ISNUMBER('Procyflof 700'!D24),'Procyflof 700'!D24,IF(ISNUMBER(SEARCH("12",'Procyflof 700'!D24)),EDATE(AB1523,12),IF(ISNUMBER(SEARCH("6",'Procyflof 700'!D24)),EDATE(AB1523,6),IF(ISNUMBER(SEARCH("3",'Procyflof 700'!D24)),EDATE(AB1523,3),DATEVALUE('Procyflof 700'!D24))))),""))</f>
        <v/>
      </c>
      <c r="AM1523" t="str">
        <f t="shared" ca="1" si="160"/>
        <v/>
      </c>
    </row>
    <row r="1524" spans="27:39" x14ac:dyDescent="0.3">
      <c r="AA1524" t="str">
        <f>IF(COUNTA('Procyflof 700'!A25,'Procyflof 700'!B25,'Procyflof 700'!C25)&gt;0,"700","")</f>
        <v/>
      </c>
      <c r="AB1524" t="str">
        <f>IFERROR(IF(ISNUMBER('Procyflof 700'!A25),'Procyflof 700'!A25,DATEVALUE('Procyflof 700'!A25)),"")</f>
        <v/>
      </c>
      <c r="AC1524" t="str">
        <f>IF(AA1524="","",'Procyflof 700'!B25)</f>
        <v/>
      </c>
      <c r="AD1524" t="str">
        <f>IF(AA1524="","",IFERROR(1*'Procyflof 700'!C25,IFERROR(_xludf.NUMBERVALUE('Procyflof 700'!C25,".",","),IFERROR(_xludf.NUMBERVALUE('Procyflof 700'!C25,",","."),0))))</f>
        <v/>
      </c>
      <c r="AE1524" t="str">
        <f>IF(AA1524="","",'Procyflof 700'!N25)</f>
        <v/>
      </c>
      <c r="AF1524">
        <f t="shared" si="155"/>
        <v>0</v>
      </c>
      <c r="AG1524" t="str">
        <f t="shared" si="156"/>
        <v/>
      </c>
      <c r="AH1524" t="str">
        <f t="shared" si="157"/>
        <v/>
      </c>
      <c r="AI1524">
        <f t="shared" si="158"/>
        <v>0</v>
      </c>
      <c r="AJ1524">
        <f t="shared" si="159"/>
        <v>0</v>
      </c>
      <c r="AK1524">
        <v>0</v>
      </c>
      <c r="AL1524" t="str">
        <f>IF(AA1524="","",IFERROR(IF(ISNUMBER('Procyflof 700'!D25),'Procyflof 700'!D25,IF(ISNUMBER(SEARCH("12",'Procyflof 700'!D25)),EDATE(AB1524,12),IF(ISNUMBER(SEARCH("6",'Procyflof 700'!D25)),EDATE(AB1524,6),IF(ISNUMBER(SEARCH("3",'Procyflof 700'!D25)),EDATE(AB1524,3),DATEVALUE('Procyflof 700'!D25))))),""))</f>
        <v/>
      </c>
      <c r="AM1524" t="str">
        <f t="shared" ca="1" si="160"/>
        <v/>
      </c>
    </row>
    <row r="1525" spans="27:39" x14ac:dyDescent="0.3">
      <c r="AA1525" t="str">
        <f>IF(COUNTA('Procyflof 700'!A26,'Procyflof 700'!B26,'Procyflof 700'!C26)&gt;0,"700","")</f>
        <v/>
      </c>
      <c r="AB1525" t="str">
        <f>IFERROR(IF(ISNUMBER('Procyflof 700'!A26),'Procyflof 700'!A26,DATEVALUE('Procyflof 700'!A26)),"")</f>
        <v/>
      </c>
      <c r="AC1525" t="str">
        <f>IF(AA1525="","",'Procyflof 700'!B26)</f>
        <v/>
      </c>
      <c r="AD1525" t="str">
        <f>IF(AA1525="","",IFERROR(1*'Procyflof 700'!C26,IFERROR(_xludf.NUMBERVALUE('Procyflof 700'!C26,".",","),IFERROR(_xludf.NUMBERVALUE('Procyflof 700'!C26,",","."),0))))</f>
        <v/>
      </c>
      <c r="AE1525" t="str">
        <f>IF(AA1525="","",'Procyflof 700'!N26)</f>
        <v/>
      </c>
      <c r="AF1525">
        <f t="shared" si="155"/>
        <v>0</v>
      </c>
      <c r="AG1525" t="str">
        <f t="shared" si="156"/>
        <v/>
      </c>
      <c r="AH1525" t="str">
        <f t="shared" si="157"/>
        <v/>
      </c>
      <c r="AI1525">
        <f t="shared" si="158"/>
        <v>0</v>
      </c>
      <c r="AJ1525">
        <f t="shared" si="159"/>
        <v>0</v>
      </c>
      <c r="AK1525">
        <v>0</v>
      </c>
      <c r="AL1525" t="str">
        <f>IF(AA1525="","",IFERROR(IF(ISNUMBER('Procyflof 700'!D26),'Procyflof 700'!D26,IF(ISNUMBER(SEARCH("12",'Procyflof 700'!D26)),EDATE(AB1525,12),IF(ISNUMBER(SEARCH("6",'Procyflof 700'!D26)),EDATE(AB1525,6),IF(ISNUMBER(SEARCH("3",'Procyflof 700'!D26)),EDATE(AB1525,3),DATEVALUE('Procyflof 700'!D26))))),""))</f>
        <v/>
      </c>
      <c r="AM1525" t="str">
        <f t="shared" ca="1" si="160"/>
        <v/>
      </c>
    </row>
    <row r="1526" spans="27:39" x14ac:dyDescent="0.3">
      <c r="AA1526" t="str">
        <f>IF(COUNTA('Procyflof 700'!A27,'Procyflof 700'!B27,'Procyflof 700'!C27)&gt;0,"700","")</f>
        <v/>
      </c>
      <c r="AB1526" t="str">
        <f>IFERROR(IF(ISNUMBER('Procyflof 700'!A27),'Procyflof 700'!A27,DATEVALUE('Procyflof 700'!A27)),"")</f>
        <v/>
      </c>
      <c r="AC1526" t="str">
        <f>IF(AA1526="","",'Procyflof 700'!B27)</f>
        <v/>
      </c>
      <c r="AD1526" t="str">
        <f>IF(AA1526="","",IFERROR(1*'Procyflof 700'!C27,IFERROR(_xludf.NUMBERVALUE('Procyflof 700'!C27,".",","),IFERROR(_xludf.NUMBERVALUE('Procyflof 700'!C27,",","."),0))))</f>
        <v/>
      </c>
      <c r="AE1526" t="str">
        <f>IF(AA1526="","",'Procyflof 700'!N27)</f>
        <v/>
      </c>
      <c r="AF1526">
        <f t="shared" si="155"/>
        <v>0</v>
      </c>
      <c r="AG1526" t="str">
        <f t="shared" si="156"/>
        <v/>
      </c>
      <c r="AH1526" t="str">
        <f t="shared" si="157"/>
        <v/>
      </c>
      <c r="AI1526">
        <f t="shared" si="158"/>
        <v>0</v>
      </c>
      <c r="AJ1526">
        <f t="shared" si="159"/>
        <v>0</v>
      </c>
      <c r="AK1526">
        <v>0</v>
      </c>
      <c r="AL1526" t="str">
        <f>IF(AA1526="","",IFERROR(IF(ISNUMBER('Procyflof 700'!D27),'Procyflof 700'!D27,IF(ISNUMBER(SEARCH("12",'Procyflof 700'!D27)),EDATE(AB1526,12),IF(ISNUMBER(SEARCH("6",'Procyflof 700'!D27)),EDATE(AB1526,6),IF(ISNUMBER(SEARCH("3",'Procyflof 700'!D27)),EDATE(AB1526,3),DATEVALUE('Procyflof 700'!D27))))),""))</f>
        <v/>
      </c>
      <c r="AM1526" t="str">
        <f t="shared" ca="1" si="160"/>
        <v/>
      </c>
    </row>
    <row r="1527" spans="27:39" x14ac:dyDescent="0.3">
      <c r="AA1527" t="str">
        <f>IF(COUNTA('Procyflof 700'!A28,'Procyflof 700'!B28,'Procyflof 700'!C28)&gt;0,"700","")</f>
        <v/>
      </c>
      <c r="AB1527" t="str">
        <f>IFERROR(IF(ISNUMBER('Procyflof 700'!A28),'Procyflof 700'!A28,DATEVALUE('Procyflof 700'!A28)),"")</f>
        <v/>
      </c>
      <c r="AC1527" t="str">
        <f>IF(AA1527="","",'Procyflof 700'!B28)</f>
        <v/>
      </c>
      <c r="AD1527" t="str">
        <f>IF(AA1527="","",IFERROR(1*'Procyflof 700'!C28,IFERROR(_xludf.NUMBERVALUE('Procyflof 700'!C28,".",","),IFERROR(_xludf.NUMBERVALUE('Procyflof 700'!C28,",","."),0))))</f>
        <v/>
      </c>
      <c r="AE1527" t="str">
        <f>IF(AA1527="","",'Procyflof 700'!N28)</f>
        <v/>
      </c>
      <c r="AF1527">
        <f t="shared" si="155"/>
        <v>0</v>
      </c>
      <c r="AG1527" t="str">
        <f t="shared" si="156"/>
        <v/>
      </c>
      <c r="AH1527" t="str">
        <f t="shared" si="157"/>
        <v/>
      </c>
      <c r="AI1527">
        <f t="shared" si="158"/>
        <v>0</v>
      </c>
      <c r="AJ1527">
        <f t="shared" si="159"/>
        <v>0</v>
      </c>
      <c r="AK1527">
        <v>0</v>
      </c>
      <c r="AL1527" t="str">
        <f>IF(AA1527="","",IFERROR(IF(ISNUMBER('Procyflof 700'!D28),'Procyflof 700'!D28,IF(ISNUMBER(SEARCH("12",'Procyflof 700'!D28)),EDATE(AB1527,12),IF(ISNUMBER(SEARCH("6",'Procyflof 700'!D28)),EDATE(AB1527,6),IF(ISNUMBER(SEARCH("3",'Procyflof 700'!D28)),EDATE(AB1527,3),DATEVALUE('Procyflof 700'!D28))))),""))</f>
        <v/>
      </c>
      <c r="AM1527" t="str">
        <f t="shared" ca="1" si="160"/>
        <v/>
      </c>
    </row>
    <row r="1528" spans="27:39" x14ac:dyDescent="0.3">
      <c r="AA1528" t="str">
        <f>IF(COUNTA('Procyflof 700'!A29,'Procyflof 700'!B29,'Procyflof 700'!C29)&gt;0,"700","")</f>
        <v/>
      </c>
      <c r="AB1528" t="str">
        <f>IFERROR(IF(ISNUMBER('Procyflof 700'!A29),'Procyflof 700'!A29,DATEVALUE('Procyflof 700'!A29)),"")</f>
        <v/>
      </c>
      <c r="AC1528" t="str">
        <f>IF(AA1528="","",'Procyflof 700'!B29)</f>
        <v/>
      </c>
      <c r="AD1528" t="str">
        <f>IF(AA1528="","",IFERROR(1*'Procyflof 700'!C29,IFERROR(_xludf.NUMBERVALUE('Procyflof 700'!C29,".",","),IFERROR(_xludf.NUMBERVALUE('Procyflof 700'!C29,",","."),0))))</f>
        <v/>
      </c>
      <c r="AE1528" t="str">
        <f>IF(AA1528="","",'Procyflof 700'!N29)</f>
        <v/>
      </c>
      <c r="AF1528">
        <f t="shared" si="155"/>
        <v>0</v>
      </c>
      <c r="AG1528" t="str">
        <f t="shared" si="156"/>
        <v/>
      </c>
      <c r="AH1528" t="str">
        <f t="shared" si="157"/>
        <v/>
      </c>
      <c r="AI1528">
        <f t="shared" si="158"/>
        <v>0</v>
      </c>
      <c r="AJ1528">
        <f t="shared" si="159"/>
        <v>0</v>
      </c>
      <c r="AK1528">
        <v>0</v>
      </c>
      <c r="AL1528" t="str">
        <f>IF(AA1528="","",IFERROR(IF(ISNUMBER('Procyflof 700'!D29),'Procyflof 700'!D29,IF(ISNUMBER(SEARCH("12",'Procyflof 700'!D29)),EDATE(AB1528,12),IF(ISNUMBER(SEARCH("6",'Procyflof 700'!D29)),EDATE(AB1528,6),IF(ISNUMBER(SEARCH("3",'Procyflof 700'!D29)),EDATE(AB1528,3),DATEVALUE('Procyflof 700'!D29))))),""))</f>
        <v/>
      </c>
      <c r="AM1528" t="str">
        <f t="shared" ca="1" si="160"/>
        <v/>
      </c>
    </row>
    <row r="1529" spans="27:39" x14ac:dyDescent="0.3">
      <c r="AA1529" t="str">
        <f>IF(COUNTA('Procyflof 700'!A30,'Procyflof 700'!B30,'Procyflof 700'!C30)&gt;0,"700","")</f>
        <v/>
      </c>
      <c r="AB1529" t="str">
        <f>IFERROR(IF(ISNUMBER('Procyflof 700'!A30),'Procyflof 700'!A30,DATEVALUE('Procyflof 700'!A30)),"")</f>
        <v/>
      </c>
      <c r="AC1529" t="str">
        <f>IF(AA1529="","",'Procyflof 700'!B30)</f>
        <v/>
      </c>
      <c r="AD1529" t="str">
        <f>IF(AA1529="","",IFERROR(1*'Procyflof 700'!C30,IFERROR(_xludf.NUMBERVALUE('Procyflof 700'!C30,".",","),IFERROR(_xludf.NUMBERVALUE('Procyflof 700'!C30,",","."),0))))</f>
        <v/>
      </c>
      <c r="AE1529" t="str">
        <f>IF(AA1529="","",'Procyflof 700'!N30)</f>
        <v/>
      </c>
      <c r="AF1529">
        <f t="shared" si="155"/>
        <v>0</v>
      </c>
      <c r="AG1529" t="str">
        <f t="shared" si="156"/>
        <v/>
      </c>
      <c r="AH1529" t="str">
        <f t="shared" si="157"/>
        <v/>
      </c>
      <c r="AI1529">
        <f t="shared" si="158"/>
        <v>0</v>
      </c>
      <c r="AJ1529">
        <f t="shared" si="159"/>
        <v>0</v>
      </c>
      <c r="AK1529">
        <v>0</v>
      </c>
      <c r="AL1529" t="str">
        <f>IF(AA1529="","",IFERROR(IF(ISNUMBER('Procyflof 700'!D30),'Procyflof 700'!D30,IF(ISNUMBER(SEARCH("12",'Procyflof 700'!D30)),EDATE(AB1529,12),IF(ISNUMBER(SEARCH("6",'Procyflof 700'!D30)),EDATE(AB1529,6),IF(ISNUMBER(SEARCH("3",'Procyflof 700'!D30)),EDATE(AB1529,3),DATEVALUE('Procyflof 700'!D30))))),""))</f>
        <v/>
      </c>
      <c r="AM1529" t="str">
        <f t="shared" ca="1" si="160"/>
        <v/>
      </c>
    </row>
    <row r="1530" spans="27:39" x14ac:dyDescent="0.3">
      <c r="AA1530" t="str">
        <f>IF(COUNTA('Procyflof 700'!A31,'Procyflof 700'!B31,'Procyflof 700'!C31)&gt;0,"700","")</f>
        <v/>
      </c>
      <c r="AB1530" t="str">
        <f>IFERROR(IF(ISNUMBER('Procyflof 700'!A31),'Procyflof 700'!A31,DATEVALUE('Procyflof 700'!A31)),"")</f>
        <v/>
      </c>
      <c r="AC1530" t="str">
        <f>IF(AA1530="","",'Procyflof 700'!B31)</f>
        <v/>
      </c>
      <c r="AD1530" t="str">
        <f>IF(AA1530="","",IFERROR(1*'Procyflof 700'!C31,IFERROR(_xludf.NUMBERVALUE('Procyflof 700'!C31,".",","),IFERROR(_xludf.NUMBERVALUE('Procyflof 700'!C31,",","."),0))))</f>
        <v/>
      </c>
      <c r="AE1530" t="str">
        <f>IF(AA1530="","",'Procyflof 700'!N31)</f>
        <v/>
      </c>
      <c r="AF1530">
        <f t="shared" si="155"/>
        <v>0</v>
      </c>
      <c r="AG1530" t="str">
        <f t="shared" si="156"/>
        <v/>
      </c>
      <c r="AH1530" t="str">
        <f t="shared" si="157"/>
        <v/>
      </c>
      <c r="AI1530">
        <f t="shared" si="158"/>
        <v>0</v>
      </c>
      <c r="AJ1530">
        <f t="shared" si="159"/>
        <v>0</v>
      </c>
      <c r="AK1530">
        <v>0</v>
      </c>
      <c r="AL1530" t="str">
        <f>IF(AA1530="","",IFERROR(IF(ISNUMBER('Procyflof 700'!D31),'Procyflof 700'!D31,IF(ISNUMBER(SEARCH("12",'Procyflof 700'!D31)),EDATE(AB1530,12),IF(ISNUMBER(SEARCH("6",'Procyflof 700'!D31)),EDATE(AB1530,6),IF(ISNUMBER(SEARCH("3",'Procyflof 700'!D31)),EDATE(AB1530,3),DATEVALUE('Procyflof 700'!D31))))),""))</f>
        <v/>
      </c>
      <c r="AM1530" t="str">
        <f t="shared" ca="1" si="160"/>
        <v/>
      </c>
    </row>
    <row r="1531" spans="27:39" x14ac:dyDescent="0.3">
      <c r="AA1531" t="str">
        <f>IF(COUNTA('Procyflof 700'!A32,'Procyflof 700'!B32,'Procyflof 700'!C32)&gt;0,"700","")</f>
        <v/>
      </c>
      <c r="AB1531" t="str">
        <f>IFERROR(IF(ISNUMBER('Procyflof 700'!A32),'Procyflof 700'!A32,DATEVALUE('Procyflof 700'!A32)),"")</f>
        <v/>
      </c>
      <c r="AC1531" t="str">
        <f>IF(AA1531="","",'Procyflof 700'!B32)</f>
        <v/>
      </c>
      <c r="AD1531" t="str">
        <f>IF(AA1531="","",IFERROR(1*'Procyflof 700'!C32,IFERROR(_xludf.NUMBERVALUE('Procyflof 700'!C32,".",","),IFERROR(_xludf.NUMBERVALUE('Procyflof 700'!C32,",","."),0))))</f>
        <v/>
      </c>
      <c r="AE1531" t="str">
        <f>IF(AA1531="","",'Procyflof 700'!N32)</f>
        <v/>
      </c>
      <c r="AF1531">
        <f t="shared" si="155"/>
        <v>0</v>
      </c>
      <c r="AG1531" t="str">
        <f t="shared" si="156"/>
        <v/>
      </c>
      <c r="AH1531" t="str">
        <f t="shared" si="157"/>
        <v/>
      </c>
      <c r="AI1531">
        <f t="shared" si="158"/>
        <v>0</v>
      </c>
      <c r="AJ1531">
        <f t="shared" si="159"/>
        <v>0</v>
      </c>
      <c r="AK1531">
        <v>0</v>
      </c>
      <c r="AL1531" t="str">
        <f>IF(AA1531="","",IFERROR(IF(ISNUMBER('Procyflof 700'!D32),'Procyflof 700'!D32,IF(ISNUMBER(SEARCH("12",'Procyflof 700'!D32)),EDATE(AB1531,12),IF(ISNUMBER(SEARCH("6",'Procyflof 700'!D32)),EDATE(AB1531,6),IF(ISNUMBER(SEARCH("3",'Procyflof 700'!D32)),EDATE(AB1531,3),DATEVALUE('Procyflof 700'!D32))))),""))</f>
        <v/>
      </c>
      <c r="AM1531" t="str">
        <f t="shared" ca="1" si="160"/>
        <v/>
      </c>
    </row>
    <row r="1532" spans="27:39" x14ac:dyDescent="0.3">
      <c r="AA1532" t="str">
        <f>IF(COUNTA('Procyflof 700'!A33,'Procyflof 700'!B33,'Procyflof 700'!C33)&gt;0,"700","")</f>
        <v/>
      </c>
      <c r="AB1532" t="str">
        <f>IFERROR(IF(ISNUMBER('Procyflof 700'!A33),'Procyflof 700'!A33,DATEVALUE('Procyflof 700'!A33)),"")</f>
        <v/>
      </c>
      <c r="AC1532" t="str">
        <f>IF(AA1532="","",'Procyflof 700'!B33)</f>
        <v/>
      </c>
      <c r="AD1532" t="str">
        <f>IF(AA1532="","",IFERROR(1*'Procyflof 700'!C33,IFERROR(_xludf.NUMBERVALUE('Procyflof 700'!C33,".",","),IFERROR(_xludf.NUMBERVALUE('Procyflof 700'!C33,",","."),0))))</f>
        <v/>
      </c>
      <c r="AE1532" t="str">
        <f>IF(AA1532="","",'Procyflof 700'!N33)</f>
        <v/>
      </c>
      <c r="AF1532">
        <f t="shared" si="155"/>
        <v>0</v>
      </c>
      <c r="AG1532" t="str">
        <f t="shared" si="156"/>
        <v/>
      </c>
      <c r="AH1532" t="str">
        <f t="shared" si="157"/>
        <v/>
      </c>
      <c r="AI1532">
        <f t="shared" si="158"/>
        <v>0</v>
      </c>
      <c r="AJ1532">
        <f t="shared" si="159"/>
        <v>0</v>
      </c>
      <c r="AK1532">
        <v>0</v>
      </c>
      <c r="AL1532" t="str">
        <f>IF(AA1532="","",IFERROR(IF(ISNUMBER('Procyflof 700'!D33),'Procyflof 700'!D33,IF(ISNUMBER(SEARCH("12",'Procyflof 700'!D33)),EDATE(AB1532,12),IF(ISNUMBER(SEARCH("6",'Procyflof 700'!D33)),EDATE(AB1532,6),IF(ISNUMBER(SEARCH("3",'Procyflof 700'!D33)),EDATE(AB1532,3),DATEVALUE('Procyflof 700'!D33))))),""))</f>
        <v/>
      </c>
      <c r="AM1532" t="str">
        <f t="shared" ca="1" si="160"/>
        <v/>
      </c>
    </row>
    <row r="1533" spans="27:39" x14ac:dyDescent="0.3">
      <c r="AA1533" t="str">
        <f>IF(COUNTA('Procyflof 700'!A34,'Procyflof 700'!B34,'Procyflof 700'!C34)&gt;0,"700","")</f>
        <v/>
      </c>
      <c r="AB1533" t="str">
        <f>IFERROR(IF(ISNUMBER('Procyflof 700'!A34),'Procyflof 700'!A34,DATEVALUE('Procyflof 700'!A34)),"")</f>
        <v/>
      </c>
      <c r="AC1533" t="str">
        <f>IF(AA1533="","",'Procyflof 700'!B34)</f>
        <v/>
      </c>
      <c r="AD1533" t="str">
        <f>IF(AA1533="","",IFERROR(1*'Procyflof 700'!C34,IFERROR(_xludf.NUMBERVALUE('Procyflof 700'!C34,".",","),IFERROR(_xludf.NUMBERVALUE('Procyflof 700'!C34,",","."),0))))</f>
        <v/>
      </c>
      <c r="AE1533" t="str">
        <f>IF(AA1533="","",'Procyflof 700'!N34)</f>
        <v/>
      </c>
      <c r="AF1533">
        <f t="shared" si="155"/>
        <v>0</v>
      </c>
      <c r="AG1533" t="str">
        <f t="shared" si="156"/>
        <v/>
      </c>
      <c r="AH1533" t="str">
        <f t="shared" si="157"/>
        <v/>
      </c>
      <c r="AI1533">
        <f t="shared" si="158"/>
        <v>0</v>
      </c>
      <c r="AJ1533">
        <f t="shared" si="159"/>
        <v>0</v>
      </c>
      <c r="AK1533">
        <v>0</v>
      </c>
      <c r="AL1533" t="str">
        <f>IF(AA1533="","",IFERROR(IF(ISNUMBER('Procyflof 700'!D34),'Procyflof 700'!D34,IF(ISNUMBER(SEARCH("12",'Procyflof 700'!D34)),EDATE(AB1533,12),IF(ISNUMBER(SEARCH("6",'Procyflof 700'!D34)),EDATE(AB1533,6),IF(ISNUMBER(SEARCH("3",'Procyflof 700'!D34)),EDATE(AB1533,3),DATEVALUE('Procyflof 700'!D34))))),""))</f>
        <v/>
      </c>
      <c r="AM1533" t="str">
        <f t="shared" ca="1" si="160"/>
        <v/>
      </c>
    </row>
    <row r="1534" spans="27:39" x14ac:dyDescent="0.3">
      <c r="AA1534" t="str">
        <f>IF(COUNTA('Procyflof 700'!A35,'Procyflof 700'!B35,'Procyflof 700'!C35)&gt;0,"700","")</f>
        <v/>
      </c>
      <c r="AB1534" t="str">
        <f>IFERROR(IF(ISNUMBER('Procyflof 700'!A35),'Procyflof 700'!A35,DATEVALUE('Procyflof 700'!A35)),"")</f>
        <v/>
      </c>
      <c r="AC1534" t="str">
        <f>IF(AA1534="","",'Procyflof 700'!B35)</f>
        <v/>
      </c>
      <c r="AD1534" t="str">
        <f>IF(AA1534="","",IFERROR(1*'Procyflof 700'!C35,IFERROR(_xludf.NUMBERVALUE('Procyflof 700'!C35,".",","),IFERROR(_xludf.NUMBERVALUE('Procyflof 700'!C35,",","."),0))))</f>
        <v/>
      </c>
      <c r="AE1534" t="str">
        <f>IF(AA1534="","",'Procyflof 700'!N35)</f>
        <v/>
      </c>
      <c r="AF1534">
        <f t="shared" si="155"/>
        <v>0</v>
      </c>
      <c r="AG1534" t="str">
        <f t="shared" si="156"/>
        <v/>
      </c>
      <c r="AH1534" t="str">
        <f t="shared" si="157"/>
        <v/>
      </c>
      <c r="AI1534">
        <f t="shared" si="158"/>
        <v>0</v>
      </c>
      <c r="AJ1534">
        <f t="shared" si="159"/>
        <v>0</v>
      </c>
      <c r="AK1534">
        <v>0</v>
      </c>
      <c r="AL1534" t="str">
        <f>IF(AA1534="","",IFERROR(IF(ISNUMBER('Procyflof 700'!D35),'Procyflof 700'!D35,IF(ISNUMBER(SEARCH("12",'Procyflof 700'!D35)),EDATE(AB1534,12),IF(ISNUMBER(SEARCH("6",'Procyflof 700'!D35)),EDATE(AB1534,6),IF(ISNUMBER(SEARCH("3",'Procyflof 700'!D35)),EDATE(AB1534,3),DATEVALUE('Procyflof 700'!D35))))),""))</f>
        <v/>
      </c>
      <c r="AM1534" t="str">
        <f t="shared" ca="1" si="160"/>
        <v/>
      </c>
    </row>
    <row r="1535" spans="27:39" x14ac:dyDescent="0.3">
      <c r="AA1535" t="str">
        <f>IF(COUNTA('Procyflof 700'!A36,'Procyflof 700'!B36,'Procyflof 700'!C36)&gt;0,"700","")</f>
        <v/>
      </c>
      <c r="AB1535" t="str">
        <f>IFERROR(IF(ISNUMBER('Procyflof 700'!A36),'Procyflof 700'!A36,DATEVALUE('Procyflof 700'!A36)),"")</f>
        <v/>
      </c>
      <c r="AC1535" t="str">
        <f>IF(AA1535="","",'Procyflof 700'!B36)</f>
        <v/>
      </c>
      <c r="AD1535" t="str">
        <f>IF(AA1535="","",IFERROR(1*'Procyflof 700'!C36,IFERROR(_xludf.NUMBERVALUE('Procyflof 700'!C36,".",","),IFERROR(_xludf.NUMBERVALUE('Procyflof 700'!C36,",","."),0))))</f>
        <v/>
      </c>
      <c r="AE1535" t="str">
        <f>IF(AA1535="","",'Procyflof 700'!N36)</f>
        <v/>
      </c>
      <c r="AF1535">
        <f t="shared" si="155"/>
        <v>0</v>
      </c>
      <c r="AG1535" t="str">
        <f t="shared" si="156"/>
        <v/>
      </c>
      <c r="AH1535" t="str">
        <f t="shared" si="157"/>
        <v/>
      </c>
      <c r="AI1535">
        <f t="shared" si="158"/>
        <v>0</v>
      </c>
      <c r="AJ1535">
        <f t="shared" si="159"/>
        <v>0</v>
      </c>
      <c r="AK1535">
        <v>0</v>
      </c>
      <c r="AL1535" t="str">
        <f>IF(AA1535="","",IFERROR(IF(ISNUMBER('Procyflof 700'!D36),'Procyflof 700'!D36,IF(ISNUMBER(SEARCH("12",'Procyflof 700'!D36)),EDATE(AB1535,12),IF(ISNUMBER(SEARCH("6",'Procyflof 700'!D36)),EDATE(AB1535,6),IF(ISNUMBER(SEARCH("3",'Procyflof 700'!D36)),EDATE(AB1535,3),DATEVALUE('Procyflof 700'!D36))))),""))</f>
        <v/>
      </c>
      <c r="AM1535" t="str">
        <f t="shared" ca="1" si="160"/>
        <v/>
      </c>
    </row>
    <row r="1536" spans="27:39" x14ac:dyDescent="0.3">
      <c r="AA1536" t="str">
        <f>IF(COUNTA('Procyflof 700'!A37,'Procyflof 700'!B37,'Procyflof 700'!C37)&gt;0,"700","")</f>
        <v/>
      </c>
      <c r="AB1536" t="str">
        <f>IFERROR(IF(ISNUMBER('Procyflof 700'!A37),'Procyflof 700'!A37,DATEVALUE('Procyflof 700'!A37)),"")</f>
        <v/>
      </c>
      <c r="AC1536" t="str">
        <f>IF(AA1536="","",'Procyflof 700'!B37)</f>
        <v/>
      </c>
      <c r="AD1536" t="str">
        <f>IF(AA1536="","",IFERROR(1*'Procyflof 700'!C37,IFERROR(_xludf.NUMBERVALUE('Procyflof 700'!C37,".",","),IFERROR(_xludf.NUMBERVALUE('Procyflof 700'!C37,",","."),0))))</f>
        <v/>
      </c>
      <c r="AE1536" t="str">
        <f>IF(AA1536="","",'Procyflof 700'!N37)</f>
        <v/>
      </c>
      <c r="AF1536">
        <f t="shared" si="155"/>
        <v>0</v>
      </c>
      <c r="AG1536" t="str">
        <f t="shared" si="156"/>
        <v/>
      </c>
      <c r="AH1536" t="str">
        <f t="shared" si="157"/>
        <v/>
      </c>
      <c r="AI1536">
        <f t="shared" si="158"/>
        <v>0</v>
      </c>
      <c r="AJ1536">
        <f t="shared" si="159"/>
        <v>0</v>
      </c>
      <c r="AK1536">
        <v>0</v>
      </c>
      <c r="AL1536" t="str">
        <f>IF(AA1536="","",IFERROR(IF(ISNUMBER('Procyflof 700'!D37),'Procyflof 700'!D37,IF(ISNUMBER(SEARCH("12",'Procyflof 700'!D37)),EDATE(AB1536,12),IF(ISNUMBER(SEARCH("6",'Procyflof 700'!D37)),EDATE(AB1536,6),IF(ISNUMBER(SEARCH("3",'Procyflof 700'!D37)),EDATE(AB1536,3),DATEVALUE('Procyflof 700'!D37))))),""))</f>
        <v/>
      </c>
      <c r="AM1536" t="str">
        <f t="shared" ca="1" si="160"/>
        <v/>
      </c>
    </row>
    <row r="1537" spans="27:39" x14ac:dyDescent="0.3">
      <c r="AA1537" t="str">
        <f>IF(COUNTA('Procyflof 700'!A38,'Procyflof 700'!B38,'Procyflof 700'!C38)&gt;0,"700","")</f>
        <v/>
      </c>
      <c r="AB1537" t="str">
        <f>IFERROR(IF(ISNUMBER('Procyflof 700'!A38),'Procyflof 700'!A38,DATEVALUE('Procyflof 700'!A38)),"")</f>
        <v/>
      </c>
      <c r="AC1537" t="str">
        <f>IF(AA1537="","",'Procyflof 700'!B38)</f>
        <v/>
      </c>
      <c r="AD1537" t="str">
        <f>IF(AA1537="","",IFERROR(1*'Procyflof 700'!C38,IFERROR(_xludf.NUMBERVALUE('Procyflof 700'!C38,".",","),IFERROR(_xludf.NUMBERVALUE('Procyflof 700'!C38,",","."),0))))</f>
        <v/>
      </c>
      <c r="AE1537" t="str">
        <f>IF(AA1537="","",'Procyflof 700'!N38)</f>
        <v/>
      </c>
      <c r="AF1537">
        <f t="shared" si="155"/>
        <v>0</v>
      </c>
      <c r="AG1537" t="str">
        <f t="shared" si="156"/>
        <v/>
      </c>
      <c r="AH1537" t="str">
        <f t="shared" si="157"/>
        <v/>
      </c>
      <c r="AI1537">
        <f t="shared" si="158"/>
        <v>0</v>
      </c>
      <c r="AJ1537">
        <f t="shared" si="159"/>
        <v>0</v>
      </c>
      <c r="AK1537">
        <v>0</v>
      </c>
      <c r="AL1537" t="str">
        <f>IF(AA1537="","",IFERROR(IF(ISNUMBER('Procyflof 700'!D38),'Procyflof 700'!D38,IF(ISNUMBER(SEARCH("12",'Procyflof 700'!D38)),EDATE(AB1537,12),IF(ISNUMBER(SEARCH("6",'Procyflof 700'!D38)),EDATE(AB1537,6),IF(ISNUMBER(SEARCH("3",'Procyflof 700'!D38)),EDATE(AB1537,3),DATEVALUE('Procyflof 700'!D38))))),""))</f>
        <v/>
      </c>
      <c r="AM1537" t="str">
        <f t="shared" ca="1" si="160"/>
        <v/>
      </c>
    </row>
    <row r="1538" spans="27:39" x14ac:dyDescent="0.3">
      <c r="AA1538" t="str">
        <f>IF(COUNTA('Procyflof 700'!A39,'Procyflof 700'!B39,'Procyflof 700'!C39)&gt;0,"700","")</f>
        <v/>
      </c>
      <c r="AB1538" t="str">
        <f>IFERROR(IF(ISNUMBER('Procyflof 700'!A39),'Procyflof 700'!A39,DATEVALUE('Procyflof 700'!A39)),"")</f>
        <v/>
      </c>
      <c r="AC1538" t="str">
        <f>IF(AA1538="","",'Procyflof 700'!B39)</f>
        <v/>
      </c>
      <c r="AD1538" t="str">
        <f>IF(AA1538="","",IFERROR(1*'Procyflof 700'!C39,IFERROR(_xludf.NUMBERVALUE('Procyflof 700'!C39,".",","),IFERROR(_xludf.NUMBERVALUE('Procyflof 700'!C39,",","."),0))))</f>
        <v/>
      </c>
      <c r="AE1538" t="str">
        <f>IF(AA1538="","",'Procyflof 700'!N39)</f>
        <v/>
      </c>
      <c r="AF1538">
        <f t="shared" ref="AF1538:AF1601" si="161">IF(AA1538="",0,--AND(ISNUMBER(SEARCH("aprov",AE1538)),NOT(ISNUMBER(SEARCH("reprov",AE1538)))))</f>
        <v>0</v>
      </c>
      <c r="AG1538" t="str">
        <f t="shared" ref="AG1538:AG1601" si="162">IF(AB1538="","",YEAR(AB1538))</f>
        <v/>
      </c>
      <c r="AH1538" t="str">
        <f t="shared" ref="AH1538:AH1601" si="163">IF(AB1538="","",MONTH(AB1538))</f>
        <v/>
      </c>
      <c r="AI1538">
        <f t="shared" ref="AI1538:AI1601" si="164">IF(AB1538="",0,AB1538+ROW()/1000000)</f>
        <v>0</v>
      </c>
      <c r="AJ1538">
        <f t="shared" ref="AJ1538:AJ1601" si="165">--(AA1538&lt;&gt;"")</f>
        <v>0</v>
      </c>
      <c r="AK1538">
        <v>0</v>
      </c>
      <c r="AL1538" t="str">
        <f>IF(AA1538="","",IFERROR(IF(ISNUMBER('Procyflof 700'!D39),'Procyflof 700'!D39,IF(ISNUMBER(SEARCH("12",'Procyflof 700'!D39)),EDATE(AB1538,12),IF(ISNUMBER(SEARCH("6",'Procyflof 700'!D39)),EDATE(AB1538,6),IF(ISNUMBER(SEARCH("3",'Procyflof 700'!D39)),EDATE(AB1538,3),DATEVALUE('Procyflof 700'!D39))))),""))</f>
        <v/>
      </c>
      <c r="AM1538" t="str">
        <f t="shared" ref="AM1538:AM1601" ca="1" si="166">IF(AND(AJ1538=1,AL1538&lt;&gt;"",AL1538&gt;=TODAY(),AG1538=$W$3),AL1538+ROW()/1000000,"")</f>
        <v/>
      </c>
    </row>
    <row r="1539" spans="27:39" x14ac:dyDescent="0.3">
      <c r="AA1539" t="str">
        <f>IF(COUNTA('Procyflof 700'!A40,'Procyflof 700'!B40,'Procyflof 700'!C40)&gt;0,"700","")</f>
        <v/>
      </c>
      <c r="AB1539" t="str">
        <f>IFERROR(IF(ISNUMBER('Procyflof 700'!A40),'Procyflof 700'!A40,DATEVALUE('Procyflof 700'!A40)),"")</f>
        <v/>
      </c>
      <c r="AC1539" t="str">
        <f>IF(AA1539="","",'Procyflof 700'!B40)</f>
        <v/>
      </c>
      <c r="AD1539" t="str">
        <f>IF(AA1539="","",IFERROR(1*'Procyflof 700'!C40,IFERROR(_xludf.NUMBERVALUE('Procyflof 700'!C40,".",","),IFERROR(_xludf.NUMBERVALUE('Procyflof 700'!C40,",","."),0))))</f>
        <v/>
      </c>
      <c r="AE1539" t="str">
        <f>IF(AA1539="","",'Procyflof 700'!N40)</f>
        <v/>
      </c>
      <c r="AF1539">
        <f t="shared" si="161"/>
        <v>0</v>
      </c>
      <c r="AG1539" t="str">
        <f t="shared" si="162"/>
        <v/>
      </c>
      <c r="AH1539" t="str">
        <f t="shared" si="163"/>
        <v/>
      </c>
      <c r="AI1539">
        <f t="shared" si="164"/>
        <v>0</v>
      </c>
      <c r="AJ1539">
        <f t="shared" si="165"/>
        <v>0</v>
      </c>
      <c r="AK1539">
        <v>0</v>
      </c>
      <c r="AL1539" t="str">
        <f>IF(AA1539="","",IFERROR(IF(ISNUMBER('Procyflof 700'!D40),'Procyflof 700'!D40,IF(ISNUMBER(SEARCH("12",'Procyflof 700'!D40)),EDATE(AB1539,12),IF(ISNUMBER(SEARCH("6",'Procyflof 700'!D40)),EDATE(AB1539,6),IF(ISNUMBER(SEARCH("3",'Procyflof 700'!D40)),EDATE(AB1539,3),DATEVALUE('Procyflof 700'!D40))))),""))</f>
        <v/>
      </c>
      <c r="AM1539" t="str">
        <f t="shared" ca="1" si="166"/>
        <v/>
      </c>
    </row>
    <row r="1540" spans="27:39" x14ac:dyDescent="0.3">
      <c r="AA1540" t="str">
        <f>IF(COUNTA('Procyflof 700'!A41,'Procyflof 700'!B41,'Procyflof 700'!C41)&gt;0,"700","")</f>
        <v/>
      </c>
      <c r="AB1540" t="str">
        <f>IFERROR(IF(ISNUMBER('Procyflof 700'!A41),'Procyflof 700'!A41,DATEVALUE('Procyflof 700'!A41)),"")</f>
        <v/>
      </c>
      <c r="AC1540" t="str">
        <f>IF(AA1540="","",'Procyflof 700'!B41)</f>
        <v/>
      </c>
      <c r="AD1540" t="str">
        <f>IF(AA1540="","",IFERROR(1*'Procyflof 700'!C41,IFERROR(_xludf.NUMBERVALUE('Procyflof 700'!C41,".",","),IFERROR(_xludf.NUMBERVALUE('Procyflof 700'!C41,",","."),0))))</f>
        <v/>
      </c>
      <c r="AE1540" t="str">
        <f>IF(AA1540="","",'Procyflof 700'!N41)</f>
        <v/>
      </c>
      <c r="AF1540">
        <f t="shared" si="161"/>
        <v>0</v>
      </c>
      <c r="AG1540" t="str">
        <f t="shared" si="162"/>
        <v/>
      </c>
      <c r="AH1540" t="str">
        <f t="shared" si="163"/>
        <v/>
      </c>
      <c r="AI1540">
        <f t="shared" si="164"/>
        <v>0</v>
      </c>
      <c r="AJ1540">
        <f t="shared" si="165"/>
        <v>0</v>
      </c>
      <c r="AK1540">
        <v>0</v>
      </c>
      <c r="AL1540" t="str">
        <f>IF(AA1540="","",IFERROR(IF(ISNUMBER('Procyflof 700'!D41),'Procyflof 700'!D41,IF(ISNUMBER(SEARCH("12",'Procyflof 700'!D41)),EDATE(AB1540,12),IF(ISNUMBER(SEARCH("6",'Procyflof 700'!D41)),EDATE(AB1540,6),IF(ISNUMBER(SEARCH("3",'Procyflof 700'!D41)),EDATE(AB1540,3),DATEVALUE('Procyflof 700'!D41))))),""))</f>
        <v/>
      </c>
      <c r="AM1540" t="str">
        <f t="shared" ca="1" si="166"/>
        <v/>
      </c>
    </row>
    <row r="1541" spans="27:39" x14ac:dyDescent="0.3">
      <c r="AA1541" t="str">
        <f>IF(COUNTA('Procyflof 700'!A42,'Procyflof 700'!B42,'Procyflof 700'!C42)&gt;0,"700","")</f>
        <v/>
      </c>
      <c r="AB1541" t="str">
        <f>IFERROR(IF(ISNUMBER('Procyflof 700'!A42),'Procyflof 700'!A42,DATEVALUE('Procyflof 700'!A42)),"")</f>
        <v/>
      </c>
      <c r="AC1541" t="str">
        <f>IF(AA1541="","",'Procyflof 700'!B42)</f>
        <v/>
      </c>
      <c r="AD1541" t="str">
        <f>IF(AA1541="","",IFERROR(1*'Procyflof 700'!C42,IFERROR(_xludf.NUMBERVALUE('Procyflof 700'!C42,".",","),IFERROR(_xludf.NUMBERVALUE('Procyflof 700'!C42,",","."),0))))</f>
        <v/>
      </c>
      <c r="AE1541" t="str">
        <f>IF(AA1541="","",'Procyflof 700'!N42)</f>
        <v/>
      </c>
      <c r="AF1541">
        <f t="shared" si="161"/>
        <v>0</v>
      </c>
      <c r="AG1541" t="str">
        <f t="shared" si="162"/>
        <v/>
      </c>
      <c r="AH1541" t="str">
        <f t="shared" si="163"/>
        <v/>
      </c>
      <c r="AI1541">
        <f t="shared" si="164"/>
        <v>0</v>
      </c>
      <c r="AJ1541">
        <f t="shared" si="165"/>
        <v>0</v>
      </c>
      <c r="AK1541">
        <v>0</v>
      </c>
      <c r="AL1541" t="str">
        <f>IF(AA1541="","",IFERROR(IF(ISNUMBER('Procyflof 700'!D42),'Procyflof 700'!D42,IF(ISNUMBER(SEARCH("12",'Procyflof 700'!D42)),EDATE(AB1541,12),IF(ISNUMBER(SEARCH("6",'Procyflof 700'!D42)),EDATE(AB1541,6),IF(ISNUMBER(SEARCH("3",'Procyflof 700'!D42)),EDATE(AB1541,3),DATEVALUE('Procyflof 700'!D42))))),""))</f>
        <v/>
      </c>
      <c r="AM1541" t="str">
        <f t="shared" ca="1" si="166"/>
        <v/>
      </c>
    </row>
    <row r="1542" spans="27:39" x14ac:dyDescent="0.3">
      <c r="AA1542" t="str">
        <f>IF(COUNTA('Procyflof 700'!A43,'Procyflof 700'!B43,'Procyflof 700'!C43)&gt;0,"700","")</f>
        <v/>
      </c>
      <c r="AB1542" t="str">
        <f>IFERROR(IF(ISNUMBER('Procyflof 700'!A43),'Procyflof 700'!A43,DATEVALUE('Procyflof 700'!A43)),"")</f>
        <v/>
      </c>
      <c r="AC1542" t="str">
        <f>IF(AA1542="","",'Procyflof 700'!B43)</f>
        <v/>
      </c>
      <c r="AD1542" t="str">
        <f>IF(AA1542="","",IFERROR(1*'Procyflof 700'!C43,IFERROR(_xludf.NUMBERVALUE('Procyflof 700'!C43,".",","),IFERROR(_xludf.NUMBERVALUE('Procyflof 700'!C43,",","."),0))))</f>
        <v/>
      </c>
      <c r="AE1542" t="str">
        <f>IF(AA1542="","",'Procyflof 700'!N43)</f>
        <v/>
      </c>
      <c r="AF1542">
        <f t="shared" si="161"/>
        <v>0</v>
      </c>
      <c r="AG1542" t="str">
        <f t="shared" si="162"/>
        <v/>
      </c>
      <c r="AH1542" t="str">
        <f t="shared" si="163"/>
        <v/>
      </c>
      <c r="AI1542">
        <f t="shared" si="164"/>
        <v>0</v>
      </c>
      <c r="AJ1542">
        <f t="shared" si="165"/>
        <v>0</v>
      </c>
      <c r="AK1542">
        <v>0</v>
      </c>
      <c r="AL1542" t="str">
        <f>IF(AA1542="","",IFERROR(IF(ISNUMBER('Procyflof 700'!D43),'Procyflof 700'!D43,IF(ISNUMBER(SEARCH("12",'Procyflof 700'!D43)),EDATE(AB1542,12),IF(ISNUMBER(SEARCH("6",'Procyflof 700'!D43)),EDATE(AB1542,6),IF(ISNUMBER(SEARCH("3",'Procyflof 700'!D43)),EDATE(AB1542,3),DATEVALUE('Procyflof 700'!D43))))),""))</f>
        <v/>
      </c>
      <c r="AM1542" t="str">
        <f t="shared" ca="1" si="166"/>
        <v/>
      </c>
    </row>
    <row r="1543" spans="27:39" x14ac:dyDescent="0.3">
      <c r="AA1543" t="str">
        <f>IF(COUNTA('Procyflof 700'!A44,'Procyflof 700'!B44,'Procyflof 700'!C44)&gt;0,"700","")</f>
        <v/>
      </c>
      <c r="AB1543" t="str">
        <f>IFERROR(IF(ISNUMBER('Procyflof 700'!A44),'Procyflof 700'!A44,DATEVALUE('Procyflof 700'!A44)),"")</f>
        <v/>
      </c>
      <c r="AC1543" t="str">
        <f>IF(AA1543="","",'Procyflof 700'!B44)</f>
        <v/>
      </c>
      <c r="AD1543" t="str">
        <f>IF(AA1543="","",IFERROR(1*'Procyflof 700'!C44,IFERROR(_xludf.NUMBERVALUE('Procyflof 700'!C44,".",","),IFERROR(_xludf.NUMBERVALUE('Procyflof 700'!C44,",","."),0))))</f>
        <v/>
      </c>
      <c r="AE1543" t="str">
        <f>IF(AA1543="","",'Procyflof 700'!N44)</f>
        <v/>
      </c>
      <c r="AF1543">
        <f t="shared" si="161"/>
        <v>0</v>
      </c>
      <c r="AG1543" t="str">
        <f t="shared" si="162"/>
        <v/>
      </c>
      <c r="AH1543" t="str">
        <f t="shared" si="163"/>
        <v/>
      </c>
      <c r="AI1543">
        <f t="shared" si="164"/>
        <v>0</v>
      </c>
      <c r="AJ1543">
        <f t="shared" si="165"/>
        <v>0</v>
      </c>
      <c r="AK1543">
        <v>0</v>
      </c>
      <c r="AL1543" t="str">
        <f>IF(AA1543="","",IFERROR(IF(ISNUMBER('Procyflof 700'!D44),'Procyflof 700'!D44,IF(ISNUMBER(SEARCH("12",'Procyflof 700'!D44)),EDATE(AB1543,12),IF(ISNUMBER(SEARCH("6",'Procyflof 700'!D44)),EDATE(AB1543,6),IF(ISNUMBER(SEARCH("3",'Procyflof 700'!D44)),EDATE(AB1543,3),DATEVALUE('Procyflof 700'!D44))))),""))</f>
        <v/>
      </c>
      <c r="AM1543" t="str">
        <f t="shared" ca="1" si="166"/>
        <v/>
      </c>
    </row>
    <row r="1544" spans="27:39" x14ac:dyDescent="0.3">
      <c r="AA1544" t="str">
        <f>IF(COUNTA('Procyflof 700'!A45,'Procyflof 700'!B45,'Procyflof 700'!C45)&gt;0,"700","")</f>
        <v/>
      </c>
      <c r="AB1544" t="str">
        <f>IFERROR(IF(ISNUMBER('Procyflof 700'!A45),'Procyflof 700'!A45,DATEVALUE('Procyflof 700'!A45)),"")</f>
        <v/>
      </c>
      <c r="AC1544" t="str">
        <f>IF(AA1544="","",'Procyflof 700'!B45)</f>
        <v/>
      </c>
      <c r="AD1544" t="str">
        <f>IF(AA1544="","",IFERROR(1*'Procyflof 700'!C45,IFERROR(_xludf.NUMBERVALUE('Procyflof 700'!C45,".",","),IFERROR(_xludf.NUMBERVALUE('Procyflof 700'!C45,",","."),0))))</f>
        <v/>
      </c>
      <c r="AE1544" t="str">
        <f>IF(AA1544="","",'Procyflof 700'!N45)</f>
        <v/>
      </c>
      <c r="AF1544">
        <f t="shared" si="161"/>
        <v>0</v>
      </c>
      <c r="AG1544" t="str">
        <f t="shared" si="162"/>
        <v/>
      </c>
      <c r="AH1544" t="str">
        <f t="shared" si="163"/>
        <v/>
      </c>
      <c r="AI1544">
        <f t="shared" si="164"/>
        <v>0</v>
      </c>
      <c r="AJ1544">
        <f t="shared" si="165"/>
        <v>0</v>
      </c>
      <c r="AK1544">
        <v>0</v>
      </c>
      <c r="AL1544" t="str">
        <f>IF(AA1544="","",IFERROR(IF(ISNUMBER('Procyflof 700'!D45),'Procyflof 700'!D45,IF(ISNUMBER(SEARCH("12",'Procyflof 700'!D45)),EDATE(AB1544,12),IF(ISNUMBER(SEARCH("6",'Procyflof 700'!D45)),EDATE(AB1544,6),IF(ISNUMBER(SEARCH("3",'Procyflof 700'!D45)),EDATE(AB1544,3),DATEVALUE('Procyflof 700'!D45))))),""))</f>
        <v/>
      </c>
      <c r="AM1544" t="str">
        <f t="shared" ca="1" si="166"/>
        <v/>
      </c>
    </row>
    <row r="1545" spans="27:39" x14ac:dyDescent="0.3">
      <c r="AA1545" t="str">
        <f>IF(COUNTA('Procyflof 700'!A46,'Procyflof 700'!B46,'Procyflof 700'!C46)&gt;0,"700","")</f>
        <v/>
      </c>
      <c r="AB1545" t="str">
        <f>IFERROR(IF(ISNUMBER('Procyflof 700'!A46),'Procyflof 700'!A46,DATEVALUE('Procyflof 700'!A46)),"")</f>
        <v/>
      </c>
      <c r="AC1545" t="str">
        <f>IF(AA1545="","",'Procyflof 700'!B46)</f>
        <v/>
      </c>
      <c r="AD1545" t="str">
        <f>IF(AA1545="","",IFERROR(1*'Procyflof 700'!C46,IFERROR(_xludf.NUMBERVALUE('Procyflof 700'!C46,".",","),IFERROR(_xludf.NUMBERVALUE('Procyflof 700'!C46,",","."),0))))</f>
        <v/>
      </c>
      <c r="AE1545" t="str">
        <f>IF(AA1545="","",'Procyflof 700'!N46)</f>
        <v/>
      </c>
      <c r="AF1545">
        <f t="shared" si="161"/>
        <v>0</v>
      </c>
      <c r="AG1545" t="str">
        <f t="shared" si="162"/>
        <v/>
      </c>
      <c r="AH1545" t="str">
        <f t="shared" si="163"/>
        <v/>
      </c>
      <c r="AI1545">
        <f t="shared" si="164"/>
        <v>0</v>
      </c>
      <c r="AJ1545">
        <f t="shared" si="165"/>
        <v>0</v>
      </c>
      <c r="AK1545">
        <v>0</v>
      </c>
      <c r="AL1545" t="str">
        <f>IF(AA1545="","",IFERROR(IF(ISNUMBER('Procyflof 700'!D46),'Procyflof 700'!D46,IF(ISNUMBER(SEARCH("12",'Procyflof 700'!D46)),EDATE(AB1545,12),IF(ISNUMBER(SEARCH("6",'Procyflof 700'!D46)),EDATE(AB1545,6),IF(ISNUMBER(SEARCH("3",'Procyflof 700'!D46)),EDATE(AB1545,3),DATEVALUE('Procyflof 700'!D46))))),""))</f>
        <v/>
      </c>
      <c r="AM1545" t="str">
        <f t="shared" ca="1" si="166"/>
        <v/>
      </c>
    </row>
    <row r="1546" spans="27:39" x14ac:dyDescent="0.3">
      <c r="AA1546" t="str">
        <f>IF(COUNTA('Procyflof 700'!A47,'Procyflof 700'!B47,'Procyflof 700'!C47)&gt;0,"700","")</f>
        <v/>
      </c>
      <c r="AB1546" t="str">
        <f>IFERROR(IF(ISNUMBER('Procyflof 700'!A47),'Procyflof 700'!A47,DATEVALUE('Procyflof 700'!A47)),"")</f>
        <v/>
      </c>
      <c r="AC1546" t="str">
        <f>IF(AA1546="","",'Procyflof 700'!B47)</f>
        <v/>
      </c>
      <c r="AD1546" t="str">
        <f>IF(AA1546="","",IFERROR(1*'Procyflof 700'!C47,IFERROR(_xludf.NUMBERVALUE('Procyflof 700'!C47,".",","),IFERROR(_xludf.NUMBERVALUE('Procyflof 700'!C47,",","."),0))))</f>
        <v/>
      </c>
      <c r="AE1546" t="str">
        <f>IF(AA1546="","",'Procyflof 700'!N47)</f>
        <v/>
      </c>
      <c r="AF1546">
        <f t="shared" si="161"/>
        <v>0</v>
      </c>
      <c r="AG1546" t="str">
        <f t="shared" si="162"/>
        <v/>
      </c>
      <c r="AH1546" t="str">
        <f t="shared" si="163"/>
        <v/>
      </c>
      <c r="AI1546">
        <f t="shared" si="164"/>
        <v>0</v>
      </c>
      <c r="AJ1546">
        <f t="shared" si="165"/>
        <v>0</v>
      </c>
      <c r="AK1546">
        <v>0</v>
      </c>
      <c r="AL1546" t="str">
        <f>IF(AA1546="","",IFERROR(IF(ISNUMBER('Procyflof 700'!D47),'Procyflof 700'!D47,IF(ISNUMBER(SEARCH("12",'Procyflof 700'!D47)),EDATE(AB1546,12),IF(ISNUMBER(SEARCH("6",'Procyflof 700'!D47)),EDATE(AB1546,6),IF(ISNUMBER(SEARCH("3",'Procyflof 700'!D47)),EDATE(AB1546,3),DATEVALUE('Procyflof 700'!D47))))),""))</f>
        <v/>
      </c>
      <c r="AM1546" t="str">
        <f t="shared" ca="1" si="166"/>
        <v/>
      </c>
    </row>
    <row r="1547" spans="27:39" x14ac:dyDescent="0.3">
      <c r="AA1547" t="str">
        <f>IF(COUNTA('Procyflof 700'!A48,'Procyflof 700'!B48,'Procyflof 700'!C48)&gt;0,"700","")</f>
        <v/>
      </c>
      <c r="AB1547" t="str">
        <f>IFERROR(IF(ISNUMBER('Procyflof 700'!A48),'Procyflof 700'!A48,DATEVALUE('Procyflof 700'!A48)),"")</f>
        <v/>
      </c>
      <c r="AC1547" t="str">
        <f>IF(AA1547="","",'Procyflof 700'!B48)</f>
        <v/>
      </c>
      <c r="AD1547" t="str">
        <f>IF(AA1547="","",IFERROR(1*'Procyflof 700'!C48,IFERROR(_xludf.NUMBERVALUE('Procyflof 700'!C48,".",","),IFERROR(_xludf.NUMBERVALUE('Procyflof 700'!C48,",","."),0))))</f>
        <v/>
      </c>
      <c r="AE1547" t="str">
        <f>IF(AA1547="","",'Procyflof 700'!N48)</f>
        <v/>
      </c>
      <c r="AF1547">
        <f t="shared" si="161"/>
        <v>0</v>
      </c>
      <c r="AG1547" t="str">
        <f t="shared" si="162"/>
        <v/>
      </c>
      <c r="AH1547" t="str">
        <f t="shared" si="163"/>
        <v/>
      </c>
      <c r="AI1547">
        <f t="shared" si="164"/>
        <v>0</v>
      </c>
      <c r="AJ1547">
        <f t="shared" si="165"/>
        <v>0</v>
      </c>
      <c r="AK1547">
        <v>0</v>
      </c>
      <c r="AL1547" t="str">
        <f>IF(AA1547="","",IFERROR(IF(ISNUMBER('Procyflof 700'!D48),'Procyflof 700'!D48,IF(ISNUMBER(SEARCH("12",'Procyflof 700'!D48)),EDATE(AB1547,12),IF(ISNUMBER(SEARCH("6",'Procyflof 700'!D48)),EDATE(AB1547,6),IF(ISNUMBER(SEARCH("3",'Procyflof 700'!D48)),EDATE(AB1547,3),DATEVALUE('Procyflof 700'!D48))))),""))</f>
        <v/>
      </c>
      <c r="AM1547" t="str">
        <f t="shared" ca="1" si="166"/>
        <v/>
      </c>
    </row>
    <row r="1548" spans="27:39" x14ac:dyDescent="0.3">
      <c r="AA1548" t="str">
        <f>IF(COUNTA('Procyflof 700'!A49,'Procyflof 700'!B49,'Procyflof 700'!C49)&gt;0,"700","")</f>
        <v/>
      </c>
      <c r="AB1548" t="str">
        <f>IFERROR(IF(ISNUMBER('Procyflof 700'!A49),'Procyflof 700'!A49,DATEVALUE('Procyflof 700'!A49)),"")</f>
        <v/>
      </c>
      <c r="AC1548" t="str">
        <f>IF(AA1548="","",'Procyflof 700'!B49)</f>
        <v/>
      </c>
      <c r="AD1548" t="str">
        <f>IF(AA1548="","",IFERROR(1*'Procyflof 700'!C49,IFERROR(_xludf.NUMBERVALUE('Procyflof 700'!C49,".",","),IFERROR(_xludf.NUMBERVALUE('Procyflof 700'!C49,",","."),0))))</f>
        <v/>
      </c>
      <c r="AE1548" t="str">
        <f>IF(AA1548="","",'Procyflof 700'!N49)</f>
        <v/>
      </c>
      <c r="AF1548">
        <f t="shared" si="161"/>
        <v>0</v>
      </c>
      <c r="AG1548" t="str">
        <f t="shared" si="162"/>
        <v/>
      </c>
      <c r="AH1548" t="str">
        <f t="shared" si="163"/>
        <v/>
      </c>
      <c r="AI1548">
        <f t="shared" si="164"/>
        <v>0</v>
      </c>
      <c r="AJ1548">
        <f t="shared" si="165"/>
        <v>0</v>
      </c>
      <c r="AK1548">
        <v>0</v>
      </c>
      <c r="AL1548" t="str">
        <f>IF(AA1548="","",IFERROR(IF(ISNUMBER('Procyflof 700'!D49),'Procyflof 700'!D49,IF(ISNUMBER(SEARCH("12",'Procyflof 700'!D49)),EDATE(AB1548,12),IF(ISNUMBER(SEARCH("6",'Procyflof 700'!D49)),EDATE(AB1548,6),IF(ISNUMBER(SEARCH("3",'Procyflof 700'!D49)),EDATE(AB1548,3),DATEVALUE('Procyflof 700'!D49))))),""))</f>
        <v/>
      </c>
      <c r="AM1548" t="str">
        <f t="shared" ca="1" si="166"/>
        <v/>
      </c>
    </row>
    <row r="1549" spans="27:39" x14ac:dyDescent="0.3">
      <c r="AA1549" t="str">
        <f>IF(COUNTA('Procyflof 700'!A50,'Procyflof 700'!B50,'Procyflof 700'!C50)&gt;0,"700","")</f>
        <v/>
      </c>
      <c r="AB1549" t="str">
        <f>IFERROR(IF(ISNUMBER('Procyflof 700'!A50),'Procyflof 700'!A50,DATEVALUE('Procyflof 700'!A50)),"")</f>
        <v/>
      </c>
      <c r="AC1549" t="str">
        <f>IF(AA1549="","",'Procyflof 700'!B50)</f>
        <v/>
      </c>
      <c r="AD1549" t="str">
        <f>IF(AA1549="","",IFERROR(1*'Procyflof 700'!C50,IFERROR(_xludf.NUMBERVALUE('Procyflof 700'!C50,".",","),IFERROR(_xludf.NUMBERVALUE('Procyflof 700'!C50,",","."),0))))</f>
        <v/>
      </c>
      <c r="AE1549" t="str">
        <f>IF(AA1549="","",'Procyflof 700'!N50)</f>
        <v/>
      </c>
      <c r="AF1549">
        <f t="shared" si="161"/>
        <v>0</v>
      </c>
      <c r="AG1549" t="str">
        <f t="shared" si="162"/>
        <v/>
      </c>
      <c r="AH1549" t="str">
        <f t="shared" si="163"/>
        <v/>
      </c>
      <c r="AI1549">
        <f t="shared" si="164"/>
        <v>0</v>
      </c>
      <c r="AJ1549">
        <f t="shared" si="165"/>
        <v>0</v>
      </c>
      <c r="AK1549">
        <v>0</v>
      </c>
      <c r="AL1549" t="str">
        <f>IF(AA1549="","",IFERROR(IF(ISNUMBER('Procyflof 700'!D50),'Procyflof 700'!D50,IF(ISNUMBER(SEARCH("12",'Procyflof 700'!D50)),EDATE(AB1549,12),IF(ISNUMBER(SEARCH("6",'Procyflof 700'!D50)),EDATE(AB1549,6),IF(ISNUMBER(SEARCH("3",'Procyflof 700'!D50)),EDATE(AB1549,3),DATEVALUE('Procyflof 700'!D50))))),""))</f>
        <v/>
      </c>
      <c r="AM1549" t="str">
        <f t="shared" ca="1" si="166"/>
        <v/>
      </c>
    </row>
    <row r="1550" spans="27:39" x14ac:dyDescent="0.3">
      <c r="AA1550" t="str">
        <f>IF(COUNTA('Procyflof 700'!A51,'Procyflof 700'!B51,'Procyflof 700'!C51)&gt;0,"700","")</f>
        <v/>
      </c>
      <c r="AB1550" t="str">
        <f>IFERROR(IF(ISNUMBER('Procyflof 700'!A51),'Procyflof 700'!A51,DATEVALUE('Procyflof 700'!A51)),"")</f>
        <v/>
      </c>
      <c r="AC1550" t="str">
        <f>IF(AA1550="","",'Procyflof 700'!B51)</f>
        <v/>
      </c>
      <c r="AD1550" t="str">
        <f>IF(AA1550="","",IFERROR(1*'Procyflof 700'!C51,IFERROR(_xludf.NUMBERVALUE('Procyflof 700'!C51,".",","),IFERROR(_xludf.NUMBERVALUE('Procyflof 700'!C51,",","."),0))))</f>
        <v/>
      </c>
      <c r="AE1550" t="str">
        <f>IF(AA1550="","",'Procyflof 700'!N51)</f>
        <v/>
      </c>
      <c r="AF1550">
        <f t="shared" si="161"/>
        <v>0</v>
      </c>
      <c r="AG1550" t="str">
        <f t="shared" si="162"/>
        <v/>
      </c>
      <c r="AH1550" t="str">
        <f t="shared" si="163"/>
        <v/>
      </c>
      <c r="AI1550">
        <f t="shared" si="164"/>
        <v>0</v>
      </c>
      <c r="AJ1550">
        <f t="shared" si="165"/>
        <v>0</v>
      </c>
      <c r="AK1550">
        <v>0</v>
      </c>
      <c r="AL1550" t="str">
        <f>IF(AA1550="","",IFERROR(IF(ISNUMBER('Procyflof 700'!D51),'Procyflof 700'!D51,IF(ISNUMBER(SEARCH("12",'Procyflof 700'!D51)),EDATE(AB1550,12),IF(ISNUMBER(SEARCH("6",'Procyflof 700'!D51)),EDATE(AB1550,6),IF(ISNUMBER(SEARCH("3",'Procyflof 700'!D51)),EDATE(AB1550,3),DATEVALUE('Procyflof 700'!D51))))),""))</f>
        <v/>
      </c>
      <c r="AM1550" t="str">
        <f t="shared" ca="1" si="166"/>
        <v/>
      </c>
    </row>
    <row r="1551" spans="27:39" x14ac:dyDescent="0.3">
      <c r="AA1551" t="str">
        <f>IF(COUNTA('Procyflof 700'!A52,'Procyflof 700'!B52,'Procyflof 700'!C52)&gt;0,"700","")</f>
        <v/>
      </c>
      <c r="AB1551" t="str">
        <f>IFERROR(IF(ISNUMBER('Procyflof 700'!A52),'Procyflof 700'!A52,DATEVALUE('Procyflof 700'!A52)),"")</f>
        <v/>
      </c>
      <c r="AC1551" t="str">
        <f>IF(AA1551="","",'Procyflof 700'!B52)</f>
        <v/>
      </c>
      <c r="AD1551" t="str">
        <f>IF(AA1551="","",IFERROR(1*'Procyflof 700'!C52,IFERROR(_xludf.NUMBERVALUE('Procyflof 700'!C52,".",","),IFERROR(_xludf.NUMBERVALUE('Procyflof 700'!C52,",","."),0))))</f>
        <v/>
      </c>
      <c r="AE1551" t="str">
        <f>IF(AA1551="","",'Procyflof 700'!N52)</f>
        <v/>
      </c>
      <c r="AF1551">
        <f t="shared" si="161"/>
        <v>0</v>
      </c>
      <c r="AG1551" t="str">
        <f t="shared" si="162"/>
        <v/>
      </c>
      <c r="AH1551" t="str">
        <f t="shared" si="163"/>
        <v/>
      </c>
      <c r="AI1551">
        <f t="shared" si="164"/>
        <v>0</v>
      </c>
      <c r="AJ1551">
        <f t="shared" si="165"/>
        <v>0</v>
      </c>
      <c r="AK1551">
        <v>0</v>
      </c>
      <c r="AL1551" t="str">
        <f>IF(AA1551="","",IFERROR(IF(ISNUMBER('Procyflof 700'!D52),'Procyflof 700'!D52,IF(ISNUMBER(SEARCH("12",'Procyflof 700'!D52)),EDATE(AB1551,12),IF(ISNUMBER(SEARCH("6",'Procyflof 700'!D52)),EDATE(AB1551,6),IF(ISNUMBER(SEARCH("3",'Procyflof 700'!D52)),EDATE(AB1551,3),DATEVALUE('Procyflof 700'!D52))))),""))</f>
        <v/>
      </c>
      <c r="AM1551" t="str">
        <f t="shared" ca="1" si="166"/>
        <v/>
      </c>
    </row>
    <row r="1552" spans="27:39" x14ac:dyDescent="0.3">
      <c r="AA1552" t="str">
        <f>IF(COUNTA('Procyflof 700'!A53,'Procyflof 700'!B53,'Procyflof 700'!C53)&gt;0,"700","")</f>
        <v/>
      </c>
      <c r="AB1552" t="str">
        <f>IFERROR(IF(ISNUMBER('Procyflof 700'!A53),'Procyflof 700'!A53,DATEVALUE('Procyflof 700'!A53)),"")</f>
        <v/>
      </c>
      <c r="AC1552" t="str">
        <f>IF(AA1552="","",'Procyflof 700'!B53)</f>
        <v/>
      </c>
      <c r="AD1552" t="str">
        <f>IF(AA1552="","",IFERROR(1*'Procyflof 700'!C53,IFERROR(_xludf.NUMBERVALUE('Procyflof 700'!C53,".",","),IFERROR(_xludf.NUMBERVALUE('Procyflof 700'!C53,",","."),0))))</f>
        <v/>
      </c>
      <c r="AE1552" t="str">
        <f>IF(AA1552="","",'Procyflof 700'!N53)</f>
        <v/>
      </c>
      <c r="AF1552">
        <f t="shared" si="161"/>
        <v>0</v>
      </c>
      <c r="AG1552" t="str">
        <f t="shared" si="162"/>
        <v/>
      </c>
      <c r="AH1552" t="str">
        <f t="shared" si="163"/>
        <v/>
      </c>
      <c r="AI1552">
        <f t="shared" si="164"/>
        <v>0</v>
      </c>
      <c r="AJ1552">
        <f t="shared" si="165"/>
        <v>0</v>
      </c>
      <c r="AK1552">
        <v>0</v>
      </c>
      <c r="AL1552" t="str">
        <f>IF(AA1552="","",IFERROR(IF(ISNUMBER('Procyflof 700'!D53),'Procyflof 700'!D53,IF(ISNUMBER(SEARCH("12",'Procyflof 700'!D53)),EDATE(AB1552,12),IF(ISNUMBER(SEARCH("6",'Procyflof 700'!D53)),EDATE(AB1552,6),IF(ISNUMBER(SEARCH("3",'Procyflof 700'!D53)),EDATE(AB1552,3),DATEVALUE('Procyflof 700'!D53))))),""))</f>
        <v/>
      </c>
      <c r="AM1552" t="str">
        <f t="shared" ca="1" si="166"/>
        <v/>
      </c>
    </row>
    <row r="1553" spans="27:39" x14ac:dyDescent="0.3">
      <c r="AA1553" t="str">
        <f>IF(COUNTA('Procyflof 700'!A54,'Procyflof 700'!B54,'Procyflof 700'!C54)&gt;0,"700","")</f>
        <v/>
      </c>
      <c r="AB1553" t="str">
        <f>IFERROR(IF(ISNUMBER('Procyflof 700'!A54),'Procyflof 700'!A54,DATEVALUE('Procyflof 700'!A54)),"")</f>
        <v/>
      </c>
      <c r="AC1553" t="str">
        <f>IF(AA1553="","",'Procyflof 700'!B54)</f>
        <v/>
      </c>
      <c r="AD1553" t="str">
        <f>IF(AA1553="","",IFERROR(1*'Procyflof 700'!C54,IFERROR(_xludf.NUMBERVALUE('Procyflof 700'!C54,".",","),IFERROR(_xludf.NUMBERVALUE('Procyflof 700'!C54,",","."),0))))</f>
        <v/>
      </c>
      <c r="AE1553" t="str">
        <f>IF(AA1553="","",'Procyflof 700'!N54)</f>
        <v/>
      </c>
      <c r="AF1553">
        <f t="shared" si="161"/>
        <v>0</v>
      </c>
      <c r="AG1553" t="str">
        <f t="shared" si="162"/>
        <v/>
      </c>
      <c r="AH1553" t="str">
        <f t="shared" si="163"/>
        <v/>
      </c>
      <c r="AI1553">
        <f t="shared" si="164"/>
        <v>0</v>
      </c>
      <c r="AJ1553">
        <f t="shared" si="165"/>
        <v>0</v>
      </c>
      <c r="AK1553">
        <v>0</v>
      </c>
      <c r="AL1553" t="str">
        <f>IF(AA1553="","",IFERROR(IF(ISNUMBER('Procyflof 700'!D54),'Procyflof 700'!D54,IF(ISNUMBER(SEARCH("12",'Procyflof 700'!D54)),EDATE(AB1553,12),IF(ISNUMBER(SEARCH("6",'Procyflof 700'!D54)),EDATE(AB1553,6),IF(ISNUMBER(SEARCH("3",'Procyflof 700'!D54)),EDATE(AB1553,3),DATEVALUE('Procyflof 700'!D54))))),""))</f>
        <v/>
      </c>
      <c r="AM1553" t="str">
        <f t="shared" ca="1" si="166"/>
        <v/>
      </c>
    </row>
    <row r="1554" spans="27:39" x14ac:dyDescent="0.3">
      <c r="AA1554" t="str">
        <f>IF(COUNTA('Procyflof 700'!A55,'Procyflof 700'!B55,'Procyflof 700'!C55)&gt;0,"700","")</f>
        <v/>
      </c>
      <c r="AB1554" t="str">
        <f>IFERROR(IF(ISNUMBER('Procyflof 700'!A55),'Procyflof 700'!A55,DATEVALUE('Procyflof 700'!A55)),"")</f>
        <v/>
      </c>
      <c r="AC1554" t="str">
        <f>IF(AA1554="","",'Procyflof 700'!B55)</f>
        <v/>
      </c>
      <c r="AD1554" t="str">
        <f>IF(AA1554="","",IFERROR(1*'Procyflof 700'!C55,IFERROR(_xludf.NUMBERVALUE('Procyflof 700'!C55,".",","),IFERROR(_xludf.NUMBERVALUE('Procyflof 700'!C55,",","."),0))))</f>
        <v/>
      </c>
      <c r="AE1554" t="str">
        <f>IF(AA1554="","",'Procyflof 700'!N55)</f>
        <v/>
      </c>
      <c r="AF1554">
        <f t="shared" si="161"/>
        <v>0</v>
      </c>
      <c r="AG1554" t="str">
        <f t="shared" si="162"/>
        <v/>
      </c>
      <c r="AH1554" t="str">
        <f t="shared" si="163"/>
        <v/>
      </c>
      <c r="AI1554">
        <f t="shared" si="164"/>
        <v>0</v>
      </c>
      <c r="AJ1554">
        <f t="shared" si="165"/>
        <v>0</v>
      </c>
      <c r="AK1554">
        <v>0</v>
      </c>
      <c r="AL1554" t="str">
        <f>IF(AA1554="","",IFERROR(IF(ISNUMBER('Procyflof 700'!D55),'Procyflof 700'!D55,IF(ISNUMBER(SEARCH("12",'Procyflof 700'!D55)),EDATE(AB1554,12),IF(ISNUMBER(SEARCH("6",'Procyflof 700'!D55)),EDATE(AB1554,6),IF(ISNUMBER(SEARCH("3",'Procyflof 700'!D55)),EDATE(AB1554,3),DATEVALUE('Procyflof 700'!D55))))),""))</f>
        <v/>
      </c>
      <c r="AM1554" t="str">
        <f t="shared" ca="1" si="166"/>
        <v/>
      </c>
    </row>
    <row r="1555" spans="27:39" x14ac:dyDescent="0.3">
      <c r="AA1555" t="str">
        <f>IF(COUNTA('Procyflof 700'!A56,'Procyflof 700'!B56,'Procyflof 700'!C56)&gt;0,"700","")</f>
        <v/>
      </c>
      <c r="AB1555" t="str">
        <f>IFERROR(IF(ISNUMBER('Procyflof 700'!A56),'Procyflof 700'!A56,DATEVALUE('Procyflof 700'!A56)),"")</f>
        <v/>
      </c>
      <c r="AC1555" t="str">
        <f>IF(AA1555="","",'Procyflof 700'!B56)</f>
        <v/>
      </c>
      <c r="AD1555" t="str">
        <f>IF(AA1555="","",IFERROR(1*'Procyflof 700'!C56,IFERROR(_xludf.NUMBERVALUE('Procyflof 700'!C56,".",","),IFERROR(_xludf.NUMBERVALUE('Procyflof 700'!C56,",","."),0))))</f>
        <v/>
      </c>
      <c r="AE1555" t="str">
        <f>IF(AA1555="","",'Procyflof 700'!N56)</f>
        <v/>
      </c>
      <c r="AF1555">
        <f t="shared" si="161"/>
        <v>0</v>
      </c>
      <c r="AG1555" t="str">
        <f t="shared" si="162"/>
        <v/>
      </c>
      <c r="AH1555" t="str">
        <f t="shared" si="163"/>
        <v/>
      </c>
      <c r="AI1555">
        <f t="shared" si="164"/>
        <v>0</v>
      </c>
      <c r="AJ1555">
        <f t="shared" si="165"/>
        <v>0</v>
      </c>
      <c r="AK1555">
        <v>0</v>
      </c>
      <c r="AL1555" t="str">
        <f>IF(AA1555="","",IFERROR(IF(ISNUMBER('Procyflof 700'!D56),'Procyflof 700'!D56,IF(ISNUMBER(SEARCH("12",'Procyflof 700'!D56)),EDATE(AB1555,12),IF(ISNUMBER(SEARCH("6",'Procyflof 700'!D56)),EDATE(AB1555,6),IF(ISNUMBER(SEARCH("3",'Procyflof 700'!D56)),EDATE(AB1555,3),DATEVALUE('Procyflof 700'!D56))))),""))</f>
        <v/>
      </c>
      <c r="AM1555" t="str">
        <f t="shared" ca="1" si="166"/>
        <v/>
      </c>
    </row>
    <row r="1556" spans="27:39" x14ac:dyDescent="0.3">
      <c r="AA1556" t="str">
        <f>IF(COUNTA('Procyflof 700'!A57,'Procyflof 700'!B57,'Procyflof 700'!C57)&gt;0,"700","")</f>
        <v/>
      </c>
      <c r="AB1556" t="str">
        <f>IFERROR(IF(ISNUMBER('Procyflof 700'!A57),'Procyflof 700'!A57,DATEVALUE('Procyflof 700'!A57)),"")</f>
        <v/>
      </c>
      <c r="AC1556" t="str">
        <f>IF(AA1556="","",'Procyflof 700'!B57)</f>
        <v/>
      </c>
      <c r="AD1556" t="str">
        <f>IF(AA1556="","",IFERROR(1*'Procyflof 700'!C57,IFERROR(_xludf.NUMBERVALUE('Procyflof 700'!C57,".",","),IFERROR(_xludf.NUMBERVALUE('Procyflof 700'!C57,",","."),0))))</f>
        <v/>
      </c>
      <c r="AE1556" t="str">
        <f>IF(AA1556="","",'Procyflof 700'!N57)</f>
        <v/>
      </c>
      <c r="AF1556">
        <f t="shared" si="161"/>
        <v>0</v>
      </c>
      <c r="AG1556" t="str">
        <f t="shared" si="162"/>
        <v/>
      </c>
      <c r="AH1556" t="str">
        <f t="shared" si="163"/>
        <v/>
      </c>
      <c r="AI1556">
        <f t="shared" si="164"/>
        <v>0</v>
      </c>
      <c r="AJ1556">
        <f t="shared" si="165"/>
        <v>0</v>
      </c>
      <c r="AK1556">
        <v>0</v>
      </c>
      <c r="AL1556" t="str">
        <f>IF(AA1556="","",IFERROR(IF(ISNUMBER('Procyflof 700'!D57),'Procyflof 700'!D57,IF(ISNUMBER(SEARCH("12",'Procyflof 700'!D57)),EDATE(AB1556,12),IF(ISNUMBER(SEARCH("6",'Procyflof 700'!D57)),EDATE(AB1556,6),IF(ISNUMBER(SEARCH("3",'Procyflof 700'!D57)),EDATE(AB1556,3),DATEVALUE('Procyflof 700'!D57))))),""))</f>
        <v/>
      </c>
      <c r="AM1556" t="str">
        <f t="shared" ca="1" si="166"/>
        <v/>
      </c>
    </row>
    <row r="1557" spans="27:39" x14ac:dyDescent="0.3">
      <c r="AA1557" t="str">
        <f>IF(COUNTA('Procyflof 700'!A58,'Procyflof 700'!B58,'Procyflof 700'!C58)&gt;0,"700","")</f>
        <v/>
      </c>
      <c r="AB1557" t="str">
        <f>IFERROR(IF(ISNUMBER('Procyflof 700'!A58),'Procyflof 700'!A58,DATEVALUE('Procyflof 700'!A58)),"")</f>
        <v/>
      </c>
      <c r="AC1557" t="str">
        <f>IF(AA1557="","",'Procyflof 700'!B58)</f>
        <v/>
      </c>
      <c r="AD1557" t="str">
        <f>IF(AA1557="","",IFERROR(1*'Procyflof 700'!C58,IFERROR(_xludf.NUMBERVALUE('Procyflof 700'!C58,".",","),IFERROR(_xludf.NUMBERVALUE('Procyflof 700'!C58,",","."),0))))</f>
        <v/>
      </c>
      <c r="AE1557" t="str">
        <f>IF(AA1557="","",'Procyflof 700'!N58)</f>
        <v/>
      </c>
      <c r="AF1557">
        <f t="shared" si="161"/>
        <v>0</v>
      </c>
      <c r="AG1557" t="str">
        <f t="shared" si="162"/>
        <v/>
      </c>
      <c r="AH1557" t="str">
        <f t="shared" si="163"/>
        <v/>
      </c>
      <c r="AI1557">
        <f t="shared" si="164"/>
        <v>0</v>
      </c>
      <c r="AJ1557">
        <f t="shared" si="165"/>
        <v>0</v>
      </c>
      <c r="AK1557">
        <v>0</v>
      </c>
      <c r="AL1557" t="str">
        <f>IF(AA1557="","",IFERROR(IF(ISNUMBER('Procyflof 700'!D58),'Procyflof 700'!D58,IF(ISNUMBER(SEARCH("12",'Procyflof 700'!D58)),EDATE(AB1557,12),IF(ISNUMBER(SEARCH("6",'Procyflof 700'!D58)),EDATE(AB1557,6),IF(ISNUMBER(SEARCH("3",'Procyflof 700'!D58)),EDATE(AB1557,3),DATEVALUE('Procyflof 700'!D58))))),""))</f>
        <v/>
      </c>
      <c r="AM1557" t="str">
        <f t="shared" ca="1" si="166"/>
        <v/>
      </c>
    </row>
    <row r="1558" spans="27:39" x14ac:dyDescent="0.3">
      <c r="AA1558" t="str">
        <f>IF(COUNTA('Procyflof 700'!A59,'Procyflof 700'!B59,'Procyflof 700'!C59)&gt;0,"700","")</f>
        <v/>
      </c>
      <c r="AB1558" t="str">
        <f>IFERROR(IF(ISNUMBER('Procyflof 700'!A59),'Procyflof 700'!A59,DATEVALUE('Procyflof 700'!A59)),"")</f>
        <v/>
      </c>
      <c r="AC1558" t="str">
        <f>IF(AA1558="","",'Procyflof 700'!B59)</f>
        <v/>
      </c>
      <c r="AD1558" t="str">
        <f>IF(AA1558="","",IFERROR(1*'Procyflof 700'!C59,IFERROR(_xludf.NUMBERVALUE('Procyflof 700'!C59,".",","),IFERROR(_xludf.NUMBERVALUE('Procyflof 700'!C59,",","."),0))))</f>
        <v/>
      </c>
      <c r="AE1558" t="str">
        <f>IF(AA1558="","",'Procyflof 700'!N59)</f>
        <v/>
      </c>
      <c r="AF1558">
        <f t="shared" si="161"/>
        <v>0</v>
      </c>
      <c r="AG1558" t="str">
        <f t="shared" si="162"/>
        <v/>
      </c>
      <c r="AH1558" t="str">
        <f t="shared" si="163"/>
        <v/>
      </c>
      <c r="AI1558">
        <f t="shared" si="164"/>
        <v>0</v>
      </c>
      <c r="AJ1558">
        <f t="shared" si="165"/>
        <v>0</v>
      </c>
      <c r="AK1558">
        <v>0</v>
      </c>
      <c r="AL1558" t="str">
        <f>IF(AA1558="","",IFERROR(IF(ISNUMBER('Procyflof 700'!D59),'Procyflof 700'!D59,IF(ISNUMBER(SEARCH("12",'Procyflof 700'!D59)),EDATE(AB1558,12),IF(ISNUMBER(SEARCH("6",'Procyflof 700'!D59)),EDATE(AB1558,6),IF(ISNUMBER(SEARCH("3",'Procyflof 700'!D59)),EDATE(AB1558,3),DATEVALUE('Procyflof 700'!D59))))),""))</f>
        <v/>
      </c>
      <c r="AM1558" t="str">
        <f t="shared" ca="1" si="166"/>
        <v/>
      </c>
    </row>
    <row r="1559" spans="27:39" x14ac:dyDescent="0.3">
      <c r="AA1559" t="str">
        <f>IF(COUNTA('Procyflof 700'!A60,'Procyflof 700'!B60,'Procyflof 700'!C60)&gt;0,"700","")</f>
        <v/>
      </c>
      <c r="AB1559" t="str">
        <f>IFERROR(IF(ISNUMBER('Procyflof 700'!A60),'Procyflof 700'!A60,DATEVALUE('Procyflof 700'!A60)),"")</f>
        <v/>
      </c>
      <c r="AC1559" t="str">
        <f>IF(AA1559="","",'Procyflof 700'!B60)</f>
        <v/>
      </c>
      <c r="AD1559" t="str">
        <f>IF(AA1559="","",IFERROR(1*'Procyflof 700'!C60,IFERROR(_xludf.NUMBERVALUE('Procyflof 700'!C60,".",","),IFERROR(_xludf.NUMBERVALUE('Procyflof 700'!C60,",","."),0))))</f>
        <v/>
      </c>
      <c r="AE1559" t="str">
        <f>IF(AA1559="","",'Procyflof 700'!N60)</f>
        <v/>
      </c>
      <c r="AF1559">
        <f t="shared" si="161"/>
        <v>0</v>
      </c>
      <c r="AG1559" t="str">
        <f t="shared" si="162"/>
        <v/>
      </c>
      <c r="AH1559" t="str">
        <f t="shared" si="163"/>
        <v/>
      </c>
      <c r="AI1559">
        <f t="shared" si="164"/>
        <v>0</v>
      </c>
      <c r="AJ1559">
        <f t="shared" si="165"/>
        <v>0</v>
      </c>
      <c r="AK1559">
        <v>0</v>
      </c>
      <c r="AL1559" t="str">
        <f>IF(AA1559="","",IFERROR(IF(ISNUMBER('Procyflof 700'!D60),'Procyflof 700'!D60,IF(ISNUMBER(SEARCH("12",'Procyflof 700'!D60)),EDATE(AB1559,12),IF(ISNUMBER(SEARCH("6",'Procyflof 700'!D60)),EDATE(AB1559,6),IF(ISNUMBER(SEARCH("3",'Procyflof 700'!D60)),EDATE(AB1559,3),DATEVALUE('Procyflof 700'!D60))))),""))</f>
        <v/>
      </c>
      <c r="AM1559" t="str">
        <f t="shared" ca="1" si="166"/>
        <v/>
      </c>
    </row>
    <row r="1560" spans="27:39" x14ac:dyDescent="0.3">
      <c r="AA1560" t="str">
        <f>IF(COUNTA('Procyflof 700'!A61,'Procyflof 700'!B61,'Procyflof 700'!C61)&gt;0,"700","")</f>
        <v/>
      </c>
      <c r="AB1560" t="str">
        <f>IFERROR(IF(ISNUMBER('Procyflof 700'!A61),'Procyflof 700'!A61,DATEVALUE('Procyflof 700'!A61)),"")</f>
        <v/>
      </c>
      <c r="AC1560" t="str">
        <f>IF(AA1560="","",'Procyflof 700'!B61)</f>
        <v/>
      </c>
      <c r="AD1560" t="str">
        <f>IF(AA1560="","",IFERROR(1*'Procyflof 700'!C61,IFERROR(_xludf.NUMBERVALUE('Procyflof 700'!C61,".",","),IFERROR(_xludf.NUMBERVALUE('Procyflof 700'!C61,",","."),0))))</f>
        <v/>
      </c>
      <c r="AE1560" t="str">
        <f>IF(AA1560="","",'Procyflof 700'!N61)</f>
        <v/>
      </c>
      <c r="AF1560">
        <f t="shared" si="161"/>
        <v>0</v>
      </c>
      <c r="AG1560" t="str">
        <f t="shared" si="162"/>
        <v/>
      </c>
      <c r="AH1560" t="str">
        <f t="shared" si="163"/>
        <v/>
      </c>
      <c r="AI1560">
        <f t="shared" si="164"/>
        <v>0</v>
      </c>
      <c r="AJ1560">
        <f t="shared" si="165"/>
        <v>0</v>
      </c>
      <c r="AK1560">
        <v>0</v>
      </c>
      <c r="AL1560" t="str">
        <f>IF(AA1560="","",IFERROR(IF(ISNUMBER('Procyflof 700'!D61),'Procyflof 700'!D61,IF(ISNUMBER(SEARCH("12",'Procyflof 700'!D61)),EDATE(AB1560,12),IF(ISNUMBER(SEARCH("6",'Procyflof 700'!D61)),EDATE(AB1560,6),IF(ISNUMBER(SEARCH("3",'Procyflof 700'!D61)),EDATE(AB1560,3),DATEVALUE('Procyflof 700'!D61))))),""))</f>
        <v/>
      </c>
      <c r="AM1560" t="str">
        <f t="shared" ca="1" si="166"/>
        <v/>
      </c>
    </row>
    <row r="1561" spans="27:39" x14ac:dyDescent="0.3">
      <c r="AA1561" t="str">
        <f>IF(COUNTA('Procyflof 700'!A62,'Procyflof 700'!B62,'Procyflof 700'!C62)&gt;0,"700","")</f>
        <v/>
      </c>
      <c r="AB1561" t="str">
        <f>IFERROR(IF(ISNUMBER('Procyflof 700'!A62),'Procyflof 700'!A62,DATEVALUE('Procyflof 700'!A62)),"")</f>
        <v/>
      </c>
      <c r="AC1561" t="str">
        <f>IF(AA1561="","",'Procyflof 700'!B62)</f>
        <v/>
      </c>
      <c r="AD1561" t="str">
        <f>IF(AA1561="","",IFERROR(1*'Procyflof 700'!C62,IFERROR(_xludf.NUMBERVALUE('Procyflof 700'!C62,".",","),IFERROR(_xludf.NUMBERVALUE('Procyflof 700'!C62,",","."),0))))</f>
        <v/>
      </c>
      <c r="AE1561" t="str">
        <f>IF(AA1561="","",'Procyflof 700'!N62)</f>
        <v/>
      </c>
      <c r="AF1561">
        <f t="shared" si="161"/>
        <v>0</v>
      </c>
      <c r="AG1561" t="str">
        <f t="shared" si="162"/>
        <v/>
      </c>
      <c r="AH1561" t="str">
        <f t="shared" si="163"/>
        <v/>
      </c>
      <c r="AI1561">
        <f t="shared" si="164"/>
        <v>0</v>
      </c>
      <c r="AJ1561">
        <f t="shared" si="165"/>
        <v>0</v>
      </c>
      <c r="AK1561">
        <v>0</v>
      </c>
      <c r="AL1561" t="str">
        <f>IF(AA1561="","",IFERROR(IF(ISNUMBER('Procyflof 700'!D62),'Procyflof 700'!D62,IF(ISNUMBER(SEARCH("12",'Procyflof 700'!D62)),EDATE(AB1561,12),IF(ISNUMBER(SEARCH("6",'Procyflof 700'!D62)),EDATE(AB1561,6),IF(ISNUMBER(SEARCH("3",'Procyflof 700'!D62)),EDATE(AB1561,3),DATEVALUE('Procyflof 700'!D62))))),""))</f>
        <v/>
      </c>
      <c r="AM1561" t="str">
        <f t="shared" ca="1" si="166"/>
        <v/>
      </c>
    </row>
    <row r="1562" spans="27:39" x14ac:dyDescent="0.3">
      <c r="AA1562" t="str">
        <f>IF(COUNTA('Procyflof 700'!A63,'Procyflof 700'!B63,'Procyflof 700'!C63)&gt;0,"700","")</f>
        <v/>
      </c>
      <c r="AB1562" t="str">
        <f>IFERROR(IF(ISNUMBER('Procyflof 700'!A63),'Procyflof 700'!A63,DATEVALUE('Procyflof 700'!A63)),"")</f>
        <v/>
      </c>
      <c r="AC1562" t="str">
        <f>IF(AA1562="","",'Procyflof 700'!B63)</f>
        <v/>
      </c>
      <c r="AD1562" t="str">
        <f>IF(AA1562="","",IFERROR(1*'Procyflof 700'!C63,IFERROR(_xludf.NUMBERVALUE('Procyflof 700'!C63,".",","),IFERROR(_xludf.NUMBERVALUE('Procyflof 700'!C63,",","."),0))))</f>
        <v/>
      </c>
      <c r="AE1562" t="str">
        <f>IF(AA1562="","",'Procyflof 700'!N63)</f>
        <v/>
      </c>
      <c r="AF1562">
        <f t="shared" si="161"/>
        <v>0</v>
      </c>
      <c r="AG1562" t="str">
        <f t="shared" si="162"/>
        <v/>
      </c>
      <c r="AH1562" t="str">
        <f t="shared" si="163"/>
        <v/>
      </c>
      <c r="AI1562">
        <f t="shared" si="164"/>
        <v>0</v>
      </c>
      <c r="AJ1562">
        <f t="shared" si="165"/>
        <v>0</v>
      </c>
      <c r="AK1562">
        <v>0</v>
      </c>
      <c r="AL1562" t="str">
        <f>IF(AA1562="","",IFERROR(IF(ISNUMBER('Procyflof 700'!D63),'Procyflof 700'!D63,IF(ISNUMBER(SEARCH("12",'Procyflof 700'!D63)),EDATE(AB1562,12),IF(ISNUMBER(SEARCH("6",'Procyflof 700'!D63)),EDATE(AB1562,6),IF(ISNUMBER(SEARCH("3",'Procyflof 700'!D63)),EDATE(AB1562,3),DATEVALUE('Procyflof 700'!D63))))),""))</f>
        <v/>
      </c>
      <c r="AM1562" t="str">
        <f t="shared" ca="1" si="166"/>
        <v/>
      </c>
    </row>
    <row r="1563" spans="27:39" x14ac:dyDescent="0.3">
      <c r="AA1563" t="str">
        <f>IF(COUNTA('Procyflof 700'!A64,'Procyflof 700'!B64,'Procyflof 700'!C64)&gt;0,"700","")</f>
        <v/>
      </c>
      <c r="AB1563" t="str">
        <f>IFERROR(IF(ISNUMBER('Procyflof 700'!A64),'Procyflof 700'!A64,DATEVALUE('Procyflof 700'!A64)),"")</f>
        <v/>
      </c>
      <c r="AC1563" t="str">
        <f>IF(AA1563="","",'Procyflof 700'!B64)</f>
        <v/>
      </c>
      <c r="AD1563" t="str">
        <f>IF(AA1563="","",IFERROR(1*'Procyflof 700'!C64,IFERROR(_xludf.NUMBERVALUE('Procyflof 700'!C64,".",","),IFERROR(_xludf.NUMBERVALUE('Procyflof 700'!C64,",","."),0))))</f>
        <v/>
      </c>
      <c r="AE1563" t="str">
        <f>IF(AA1563="","",'Procyflof 700'!N64)</f>
        <v/>
      </c>
      <c r="AF1563">
        <f t="shared" si="161"/>
        <v>0</v>
      </c>
      <c r="AG1563" t="str">
        <f t="shared" si="162"/>
        <v/>
      </c>
      <c r="AH1563" t="str">
        <f t="shared" si="163"/>
        <v/>
      </c>
      <c r="AI1563">
        <f t="shared" si="164"/>
        <v>0</v>
      </c>
      <c r="AJ1563">
        <f t="shared" si="165"/>
        <v>0</v>
      </c>
      <c r="AK1563">
        <v>0</v>
      </c>
      <c r="AL1563" t="str">
        <f>IF(AA1563="","",IFERROR(IF(ISNUMBER('Procyflof 700'!D64),'Procyflof 700'!D64,IF(ISNUMBER(SEARCH("12",'Procyflof 700'!D64)),EDATE(AB1563,12),IF(ISNUMBER(SEARCH("6",'Procyflof 700'!D64)),EDATE(AB1563,6),IF(ISNUMBER(SEARCH("3",'Procyflof 700'!D64)),EDATE(AB1563,3),DATEVALUE('Procyflof 700'!D64))))),""))</f>
        <v/>
      </c>
      <c r="AM1563" t="str">
        <f t="shared" ca="1" si="166"/>
        <v/>
      </c>
    </row>
    <row r="1564" spans="27:39" x14ac:dyDescent="0.3">
      <c r="AA1564" t="str">
        <f>IF(COUNTA('Procyflof 700'!A65,'Procyflof 700'!B65,'Procyflof 700'!C65)&gt;0,"700","")</f>
        <v/>
      </c>
      <c r="AB1564" t="str">
        <f>IFERROR(IF(ISNUMBER('Procyflof 700'!A65),'Procyflof 700'!A65,DATEVALUE('Procyflof 700'!A65)),"")</f>
        <v/>
      </c>
      <c r="AC1564" t="str">
        <f>IF(AA1564="","",'Procyflof 700'!B65)</f>
        <v/>
      </c>
      <c r="AD1564" t="str">
        <f>IF(AA1564="","",IFERROR(1*'Procyflof 700'!C65,IFERROR(_xludf.NUMBERVALUE('Procyflof 700'!C65,".",","),IFERROR(_xludf.NUMBERVALUE('Procyflof 700'!C65,",","."),0))))</f>
        <v/>
      </c>
      <c r="AE1564" t="str">
        <f>IF(AA1564="","",'Procyflof 700'!N65)</f>
        <v/>
      </c>
      <c r="AF1564">
        <f t="shared" si="161"/>
        <v>0</v>
      </c>
      <c r="AG1564" t="str">
        <f t="shared" si="162"/>
        <v/>
      </c>
      <c r="AH1564" t="str">
        <f t="shared" si="163"/>
        <v/>
      </c>
      <c r="AI1564">
        <f t="shared" si="164"/>
        <v>0</v>
      </c>
      <c r="AJ1564">
        <f t="shared" si="165"/>
        <v>0</v>
      </c>
      <c r="AK1564">
        <v>0</v>
      </c>
      <c r="AL1564" t="str">
        <f>IF(AA1564="","",IFERROR(IF(ISNUMBER('Procyflof 700'!D65),'Procyflof 700'!D65,IF(ISNUMBER(SEARCH("12",'Procyflof 700'!D65)),EDATE(AB1564,12),IF(ISNUMBER(SEARCH("6",'Procyflof 700'!D65)),EDATE(AB1564,6),IF(ISNUMBER(SEARCH("3",'Procyflof 700'!D65)),EDATE(AB1564,3),DATEVALUE('Procyflof 700'!D65))))),""))</f>
        <v/>
      </c>
      <c r="AM1564" t="str">
        <f t="shared" ca="1" si="166"/>
        <v/>
      </c>
    </row>
    <row r="1565" spans="27:39" x14ac:dyDescent="0.3">
      <c r="AA1565" t="str">
        <f>IF(COUNTA('Procyflof 700'!A66,'Procyflof 700'!B66,'Procyflof 700'!C66)&gt;0,"700","")</f>
        <v/>
      </c>
      <c r="AB1565" t="str">
        <f>IFERROR(IF(ISNUMBER('Procyflof 700'!A66),'Procyflof 700'!A66,DATEVALUE('Procyflof 700'!A66)),"")</f>
        <v/>
      </c>
      <c r="AC1565" t="str">
        <f>IF(AA1565="","",'Procyflof 700'!B66)</f>
        <v/>
      </c>
      <c r="AD1565" t="str">
        <f>IF(AA1565="","",IFERROR(1*'Procyflof 700'!C66,IFERROR(_xludf.NUMBERVALUE('Procyflof 700'!C66,".",","),IFERROR(_xludf.NUMBERVALUE('Procyflof 700'!C66,",","."),0))))</f>
        <v/>
      </c>
      <c r="AE1565" t="str">
        <f>IF(AA1565="","",'Procyflof 700'!N66)</f>
        <v/>
      </c>
      <c r="AF1565">
        <f t="shared" si="161"/>
        <v>0</v>
      </c>
      <c r="AG1565" t="str">
        <f t="shared" si="162"/>
        <v/>
      </c>
      <c r="AH1565" t="str">
        <f t="shared" si="163"/>
        <v/>
      </c>
      <c r="AI1565">
        <f t="shared" si="164"/>
        <v>0</v>
      </c>
      <c r="AJ1565">
        <f t="shared" si="165"/>
        <v>0</v>
      </c>
      <c r="AK1565">
        <v>0</v>
      </c>
      <c r="AL1565" t="str">
        <f>IF(AA1565="","",IFERROR(IF(ISNUMBER('Procyflof 700'!D66),'Procyflof 700'!D66,IF(ISNUMBER(SEARCH("12",'Procyflof 700'!D66)),EDATE(AB1565,12),IF(ISNUMBER(SEARCH("6",'Procyflof 700'!D66)),EDATE(AB1565,6),IF(ISNUMBER(SEARCH("3",'Procyflof 700'!D66)),EDATE(AB1565,3),DATEVALUE('Procyflof 700'!D66))))),""))</f>
        <v/>
      </c>
      <c r="AM1565" t="str">
        <f t="shared" ca="1" si="166"/>
        <v/>
      </c>
    </row>
    <row r="1566" spans="27:39" x14ac:dyDescent="0.3">
      <c r="AA1566" t="str">
        <f>IF(COUNTA('Procyflof 700'!A67,'Procyflof 700'!B67,'Procyflof 700'!C67)&gt;0,"700","")</f>
        <v/>
      </c>
      <c r="AB1566" t="str">
        <f>IFERROR(IF(ISNUMBER('Procyflof 700'!A67),'Procyflof 700'!A67,DATEVALUE('Procyflof 700'!A67)),"")</f>
        <v/>
      </c>
      <c r="AC1566" t="str">
        <f>IF(AA1566="","",'Procyflof 700'!B67)</f>
        <v/>
      </c>
      <c r="AD1566" t="str">
        <f>IF(AA1566="","",IFERROR(1*'Procyflof 700'!C67,IFERROR(_xludf.NUMBERVALUE('Procyflof 700'!C67,".",","),IFERROR(_xludf.NUMBERVALUE('Procyflof 700'!C67,",","."),0))))</f>
        <v/>
      </c>
      <c r="AE1566" t="str">
        <f>IF(AA1566="","",'Procyflof 700'!N67)</f>
        <v/>
      </c>
      <c r="AF1566">
        <f t="shared" si="161"/>
        <v>0</v>
      </c>
      <c r="AG1566" t="str">
        <f t="shared" si="162"/>
        <v/>
      </c>
      <c r="AH1566" t="str">
        <f t="shared" si="163"/>
        <v/>
      </c>
      <c r="AI1566">
        <f t="shared" si="164"/>
        <v>0</v>
      </c>
      <c r="AJ1566">
        <f t="shared" si="165"/>
        <v>0</v>
      </c>
      <c r="AK1566">
        <v>0</v>
      </c>
      <c r="AL1566" t="str">
        <f>IF(AA1566="","",IFERROR(IF(ISNUMBER('Procyflof 700'!D67),'Procyflof 700'!D67,IF(ISNUMBER(SEARCH("12",'Procyflof 700'!D67)),EDATE(AB1566,12),IF(ISNUMBER(SEARCH("6",'Procyflof 700'!D67)),EDATE(AB1566,6),IF(ISNUMBER(SEARCH("3",'Procyflof 700'!D67)),EDATE(AB1566,3),DATEVALUE('Procyflof 700'!D67))))),""))</f>
        <v/>
      </c>
      <c r="AM1566" t="str">
        <f t="shared" ca="1" si="166"/>
        <v/>
      </c>
    </row>
    <row r="1567" spans="27:39" x14ac:dyDescent="0.3">
      <c r="AA1567" t="str">
        <f>IF(COUNTA('Procyflof 700'!A68,'Procyflof 700'!B68,'Procyflof 700'!C68)&gt;0,"700","")</f>
        <v/>
      </c>
      <c r="AB1567" t="str">
        <f>IFERROR(IF(ISNUMBER('Procyflof 700'!A68),'Procyflof 700'!A68,DATEVALUE('Procyflof 700'!A68)),"")</f>
        <v/>
      </c>
      <c r="AC1567" t="str">
        <f>IF(AA1567="","",'Procyflof 700'!B68)</f>
        <v/>
      </c>
      <c r="AD1567" t="str">
        <f>IF(AA1567="","",IFERROR(1*'Procyflof 700'!C68,IFERROR(_xludf.NUMBERVALUE('Procyflof 700'!C68,".",","),IFERROR(_xludf.NUMBERVALUE('Procyflof 700'!C68,",","."),0))))</f>
        <v/>
      </c>
      <c r="AE1567" t="str">
        <f>IF(AA1567="","",'Procyflof 700'!N68)</f>
        <v/>
      </c>
      <c r="AF1567">
        <f t="shared" si="161"/>
        <v>0</v>
      </c>
      <c r="AG1567" t="str">
        <f t="shared" si="162"/>
        <v/>
      </c>
      <c r="AH1567" t="str">
        <f t="shared" si="163"/>
        <v/>
      </c>
      <c r="AI1567">
        <f t="shared" si="164"/>
        <v>0</v>
      </c>
      <c r="AJ1567">
        <f t="shared" si="165"/>
        <v>0</v>
      </c>
      <c r="AK1567">
        <v>0</v>
      </c>
      <c r="AL1567" t="str">
        <f>IF(AA1567="","",IFERROR(IF(ISNUMBER('Procyflof 700'!D68),'Procyflof 700'!D68,IF(ISNUMBER(SEARCH("12",'Procyflof 700'!D68)),EDATE(AB1567,12),IF(ISNUMBER(SEARCH("6",'Procyflof 700'!D68)),EDATE(AB1567,6),IF(ISNUMBER(SEARCH("3",'Procyflof 700'!D68)),EDATE(AB1567,3),DATEVALUE('Procyflof 700'!D68))))),""))</f>
        <v/>
      </c>
      <c r="AM1567" t="str">
        <f t="shared" ca="1" si="166"/>
        <v/>
      </c>
    </row>
    <row r="1568" spans="27:39" x14ac:dyDescent="0.3">
      <c r="AA1568" t="str">
        <f>IF(COUNTA('Procyflof 700'!A69,'Procyflof 700'!B69,'Procyflof 700'!C69)&gt;0,"700","")</f>
        <v/>
      </c>
      <c r="AB1568" t="str">
        <f>IFERROR(IF(ISNUMBER('Procyflof 700'!A69),'Procyflof 700'!A69,DATEVALUE('Procyflof 700'!A69)),"")</f>
        <v/>
      </c>
      <c r="AC1568" t="str">
        <f>IF(AA1568="","",'Procyflof 700'!B69)</f>
        <v/>
      </c>
      <c r="AD1568" t="str">
        <f>IF(AA1568="","",IFERROR(1*'Procyflof 700'!C69,IFERROR(_xludf.NUMBERVALUE('Procyflof 700'!C69,".",","),IFERROR(_xludf.NUMBERVALUE('Procyflof 700'!C69,",","."),0))))</f>
        <v/>
      </c>
      <c r="AE1568" t="str">
        <f>IF(AA1568="","",'Procyflof 700'!N69)</f>
        <v/>
      </c>
      <c r="AF1568">
        <f t="shared" si="161"/>
        <v>0</v>
      </c>
      <c r="AG1568" t="str">
        <f t="shared" si="162"/>
        <v/>
      </c>
      <c r="AH1568" t="str">
        <f t="shared" si="163"/>
        <v/>
      </c>
      <c r="AI1568">
        <f t="shared" si="164"/>
        <v>0</v>
      </c>
      <c r="AJ1568">
        <f t="shared" si="165"/>
        <v>0</v>
      </c>
      <c r="AK1568">
        <v>0</v>
      </c>
      <c r="AL1568" t="str">
        <f>IF(AA1568="","",IFERROR(IF(ISNUMBER('Procyflof 700'!D69),'Procyflof 700'!D69,IF(ISNUMBER(SEARCH("12",'Procyflof 700'!D69)),EDATE(AB1568,12),IF(ISNUMBER(SEARCH("6",'Procyflof 700'!D69)),EDATE(AB1568,6),IF(ISNUMBER(SEARCH("3",'Procyflof 700'!D69)),EDATE(AB1568,3),DATEVALUE('Procyflof 700'!D69))))),""))</f>
        <v/>
      </c>
      <c r="AM1568" t="str">
        <f t="shared" ca="1" si="166"/>
        <v/>
      </c>
    </row>
    <row r="1569" spans="27:39" x14ac:dyDescent="0.3">
      <c r="AA1569" t="str">
        <f>IF(COUNTA('Procyflof 700'!A70,'Procyflof 700'!B70,'Procyflof 700'!C70)&gt;0,"700","")</f>
        <v/>
      </c>
      <c r="AB1569" t="str">
        <f>IFERROR(IF(ISNUMBER('Procyflof 700'!A70),'Procyflof 700'!A70,DATEVALUE('Procyflof 700'!A70)),"")</f>
        <v/>
      </c>
      <c r="AC1569" t="str">
        <f>IF(AA1569="","",'Procyflof 700'!B70)</f>
        <v/>
      </c>
      <c r="AD1569" t="str">
        <f>IF(AA1569="","",IFERROR(1*'Procyflof 700'!C70,IFERROR(_xludf.NUMBERVALUE('Procyflof 700'!C70,".",","),IFERROR(_xludf.NUMBERVALUE('Procyflof 700'!C70,",","."),0))))</f>
        <v/>
      </c>
      <c r="AE1569" t="str">
        <f>IF(AA1569="","",'Procyflof 700'!N70)</f>
        <v/>
      </c>
      <c r="AF1569">
        <f t="shared" si="161"/>
        <v>0</v>
      </c>
      <c r="AG1569" t="str">
        <f t="shared" si="162"/>
        <v/>
      </c>
      <c r="AH1569" t="str">
        <f t="shared" si="163"/>
        <v/>
      </c>
      <c r="AI1569">
        <f t="shared" si="164"/>
        <v>0</v>
      </c>
      <c r="AJ1569">
        <f t="shared" si="165"/>
        <v>0</v>
      </c>
      <c r="AK1569">
        <v>0</v>
      </c>
      <c r="AL1569" t="str">
        <f>IF(AA1569="","",IFERROR(IF(ISNUMBER('Procyflof 700'!D70),'Procyflof 700'!D70,IF(ISNUMBER(SEARCH("12",'Procyflof 700'!D70)),EDATE(AB1569,12),IF(ISNUMBER(SEARCH("6",'Procyflof 700'!D70)),EDATE(AB1569,6),IF(ISNUMBER(SEARCH("3",'Procyflof 700'!D70)),EDATE(AB1569,3),DATEVALUE('Procyflof 700'!D70))))),""))</f>
        <v/>
      </c>
      <c r="AM1569" t="str">
        <f t="shared" ca="1" si="166"/>
        <v/>
      </c>
    </row>
    <row r="1570" spans="27:39" x14ac:dyDescent="0.3">
      <c r="AA1570" t="str">
        <f>IF(COUNTA('Procyflof 700'!A71,'Procyflof 700'!B71,'Procyflof 700'!C71)&gt;0,"700","")</f>
        <v/>
      </c>
      <c r="AB1570" t="str">
        <f>IFERROR(IF(ISNUMBER('Procyflof 700'!A71),'Procyflof 700'!A71,DATEVALUE('Procyflof 700'!A71)),"")</f>
        <v/>
      </c>
      <c r="AC1570" t="str">
        <f>IF(AA1570="","",'Procyflof 700'!B71)</f>
        <v/>
      </c>
      <c r="AD1570" t="str">
        <f>IF(AA1570="","",IFERROR(1*'Procyflof 700'!C71,IFERROR(_xludf.NUMBERVALUE('Procyflof 700'!C71,".",","),IFERROR(_xludf.NUMBERVALUE('Procyflof 700'!C71,",","."),0))))</f>
        <v/>
      </c>
      <c r="AE1570" t="str">
        <f>IF(AA1570="","",'Procyflof 700'!N71)</f>
        <v/>
      </c>
      <c r="AF1570">
        <f t="shared" si="161"/>
        <v>0</v>
      </c>
      <c r="AG1570" t="str">
        <f t="shared" si="162"/>
        <v/>
      </c>
      <c r="AH1570" t="str">
        <f t="shared" si="163"/>
        <v/>
      </c>
      <c r="AI1570">
        <f t="shared" si="164"/>
        <v>0</v>
      </c>
      <c r="AJ1570">
        <f t="shared" si="165"/>
        <v>0</v>
      </c>
      <c r="AK1570">
        <v>0</v>
      </c>
      <c r="AL1570" t="str">
        <f>IF(AA1570="","",IFERROR(IF(ISNUMBER('Procyflof 700'!D71),'Procyflof 700'!D71,IF(ISNUMBER(SEARCH("12",'Procyflof 700'!D71)),EDATE(AB1570,12),IF(ISNUMBER(SEARCH("6",'Procyflof 700'!D71)),EDATE(AB1570,6),IF(ISNUMBER(SEARCH("3",'Procyflof 700'!D71)),EDATE(AB1570,3),DATEVALUE('Procyflof 700'!D71))))),""))</f>
        <v/>
      </c>
      <c r="AM1570" t="str">
        <f t="shared" ca="1" si="166"/>
        <v/>
      </c>
    </row>
    <row r="1571" spans="27:39" x14ac:dyDescent="0.3">
      <c r="AA1571" t="str">
        <f>IF(COUNTA('Procyflof 700'!A72,'Procyflof 700'!B72,'Procyflof 700'!C72)&gt;0,"700","")</f>
        <v/>
      </c>
      <c r="AB1571" t="str">
        <f>IFERROR(IF(ISNUMBER('Procyflof 700'!A72),'Procyflof 700'!A72,DATEVALUE('Procyflof 700'!A72)),"")</f>
        <v/>
      </c>
      <c r="AC1571" t="str">
        <f>IF(AA1571="","",'Procyflof 700'!B72)</f>
        <v/>
      </c>
      <c r="AD1571" t="str">
        <f>IF(AA1571="","",IFERROR(1*'Procyflof 700'!C72,IFERROR(_xludf.NUMBERVALUE('Procyflof 700'!C72,".",","),IFERROR(_xludf.NUMBERVALUE('Procyflof 700'!C72,",","."),0))))</f>
        <v/>
      </c>
      <c r="AE1571" t="str">
        <f>IF(AA1571="","",'Procyflof 700'!N72)</f>
        <v/>
      </c>
      <c r="AF1571">
        <f t="shared" si="161"/>
        <v>0</v>
      </c>
      <c r="AG1571" t="str">
        <f t="shared" si="162"/>
        <v/>
      </c>
      <c r="AH1571" t="str">
        <f t="shared" si="163"/>
        <v/>
      </c>
      <c r="AI1571">
        <f t="shared" si="164"/>
        <v>0</v>
      </c>
      <c r="AJ1571">
        <f t="shared" si="165"/>
        <v>0</v>
      </c>
      <c r="AK1571">
        <v>0</v>
      </c>
      <c r="AL1571" t="str">
        <f>IF(AA1571="","",IFERROR(IF(ISNUMBER('Procyflof 700'!D72),'Procyflof 700'!D72,IF(ISNUMBER(SEARCH("12",'Procyflof 700'!D72)),EDATE(AB1571,12),IF(ISNUMBER(SEARCH("6",'Procyflof 700'!D72)),EDATE(AB1571,6),IF(ISNUMBER(SEARCH("3",'Procyflof 700'!D72)),EDATE(AB1571,3),DATEVALUE('Procyflof 700'!D72))))),""))</f>
        <v/>
      </c>
      <c r="AM1571" t="str">
        <f t="shared" ca="1" si="166"/>
        <v/>
      </c>
    </row>
    <row r="1572" spans="27:39" x14ac:dyDescent="0.3">
      <c r="AA1572" t="str">
        <f>IF(COUNTA('Procyflof 700'!A73,'Procyflof 700'!B73,'Procyflof 700'!C73)&gt;0,"700","")</f>
        <v/>
      </c>
      <c r="AB1572" t="str">
        <f>IFERROR(IF(ISNUMBER('Procyflof 700'!A73),'Procyflof 700'!A73,DATEVALUE('Procyflof 700'!A73)),"")</f>
        <v/>
      </c>
      <c r="AC1572" t="str">
        <f>IF(AA1572="","",'Procyflof 700'!B73)</f>
        <v/>
      </c>
      <c r="AD1572" t="str">
        <f>IF(AA1572="","",IFERROR(1*'Procyflof 700'!C73,IFERROR(_xludf.NUMBERVALUE('Procyflof 700'!C73,".",","),IFERROR(_xludf.NUMBERVALUE('Procyflof 700'!C73,",","."),0))))</f>
        <v/>
      </c>
      <c r="AE1572" t="str">
        <f>IF(AA1572="","",'Procyflof 700'!N73)</f>
        <v/>
      </c>
      <c r="AF1572">
        <f t="shared" si="161"/>
        <v>0</v>
      </c>
      <c r="AG1572" t="str">
        <f t="shared" si="162"/>
        <v/>
      </c>
      <c r="AH1572" t="str">
        <f t="shared" si="163"/>
        <v/>
      </c>
      <c r="AI1572">
        <f t="shared" si="164"/>
        <v>0</v>
      </c>
      <c r="AJ1572">
        <f t="shared" si="165"/>
        <v>0</v>
      </c>
      <c r="AK1572">
        <v>0</v>
      </c>
      <c r="AL1572" t="str">
        <f>IF(AA1572="","",IFERROR(IF(ISNUMBER('Procyflof 700'!D73),'Procyflof 700'!D73,IF(ISNUMBER(SEARCH("12",'Procyflof 700'!D73)),EDATE(AB1572,12),IF(ISNUMBER(SEARCH("6",'Procyflof 700'!D73)),EDATE(AB1572,6),IF(ISNUMBER(SEARCH("3",'Procyflof 700'!D73)),EDATE(AB1572,3),DATEVALUE('Procyflof 700'!D73))))),""))</f>
        <v/>
      </c>
      <c r="AM1572" t="str">
        <f t="shared" ca="1" si="166"/>
        <v/>
      </c>
    </row>
    <row r="1573" spans="27:39" x14ac:dyDescent="0.3">
      <c r="AA1573" t="str">
        <f>IF(COUNTA('Procyflof 700'!A74,'Procyflof 700'!B74,'Procyflof 700'!C74)&gt;0,"700","")</f>
        <v/>
      </c>
      <c r="AB1573" t="str">
        <f>IFERROR(IF(ISNUMBER('Procyflof 700'!A74),'Procyflof 700'!A74,DATEVALUE('Procyflof 700'!A74)),"")</f>
        <v/>
      </c>
      <c r="AC1573" t="str">
        <f>IF(AA1573="","",'Procyflof 700'!B74)</f>
        <v/>
      </c>
      <c r="AD1573" t="str">
        <f>IF(AA1573="","",IFERROR(1*'Procyflof 700'!C74,IFERROR(_xludf.NUMBERVALUE('Procyflof 700'!C74,".",","),IFERROR(_xludf.NUMBERVALUE('Procyflof 700'!C74,",","."),0))))</f>
        <v/>
      </c>
      <c r="AE1573" t="str">
        <f>IF(AA1573="","",'Procyflof 700'!N74)</f>
        <v/>
      </c>
      <c r="AF1573">
        <f t="shared" si="161"/>
        <v>0</v>
      </c>
      <c r="AG1573" t="str">
        <f t="shared" si="162"/>
        <v/>
      </c>
      <c r="AH1573" t="str">
        <f t="shared" si="163"/>
        <v/>
      </c>
      <c r="AI1573">
        <f t="shared" si="164"/>
        <v>0</v>
      </c>
      <c r="AJ1573">
        <f t="shared" si="165"/>
        <v>0</v>
      </c>
      <c r="AK1573">
        <v>0</v>
      </c>
      <c r="AL1573" t="str">
        <f>IF(AA1573="","",IFERROR(IF(ISNUMBER('Procyflof 700'!D74),'Procyflof 700'!D74,IF(ISNUMBER(SEARCH("12",'Procyflof 700'!D74)),EDATE(AB1573,12),IF(ISNUMBER(SEARCH("6",'Procyflof 700'!D74)),EDATE(AB1573,6),IF(ISNUMBER(SEARCH("3",'Procyflof 700'!D74)),EDATE(AB1573,3),DATEVALUE('Procyflof 700'!D74))))),""))</f>
        <v/>
      </c>
      <c r="AM1573" t="str">
        <f t="shared" ca="1" si="166"/>
        <v/>
      </c>
    </row>
    <row r="1574" spans="27:39" x14ac:dyDescent="0.3">
      <c r="AA1574" t="str">
        <f>IF(COUNTA('Procyflof 700'!A75,'Procyflof 700'!B75,'Procyflof 700'!C75)&gt;0,"700","")</f>
        <v/>
      </c>
      <c r="AB1574" t="str">
        <f>IFERROR(IF(ISNUMBER('Procyflof 700'!A75),'Procyflof 700'!A75,DATEVALUE('Procyflof 700'!A75)),"")</f>
        <v/>
      </c>
      <c r="AC1574" t="str">
        <f>IF(AA1574="","",'Procyflof 700'!B75)</f>
        <v/>
      </c>
      <c r="AD1574" t="str">
        <f>IF(AA1574="","",IFERROR(1*'Procyflof 700'!C75,IFERROR(_xludf.NUMBERVALUE('Procyflof 700'!C75,".",","),IFERROR(_xludf.NUMBERVALUE('Procyflof 700'!C75,",","."),0))))</f>
        <v/>
      </c>
      <c r="AE1574" t="str">
        <f>IF(AA1574="","",'Procyflof 700'!N75)</f>
        <v/>
      </c>
      <c r="AF1574">
        <f t="shared" si="161"/>
        <v>0</v>
      </c>
      <c r="AG1574" t="str">
        <f t="shared" si="162"/>
        <v/>
      </c>
      <c r="AH1574" t="str">
        <f t="shared" si="163"/>
        <v/>
      </c>
      <c r="AI1574">
        <f t="shared" si="164"/>
        <v>0</v>
      </c>
      <c r="AJ1574">
        <f t="shared" si="165"/>
        <v>0</v>
      </c>
      <c r="AK1574">
        <v>0</v>
      </c>
      <c r="AL1574" t="str">
        <f>IF(AA1574="","",IFERROR(IF(ISNUMBER('Procyflof 700'!D75),'Procyflof 700'!D75,IF(ISNUMBER(SEARCH("12",'Procyflof 700'!D75)),EDATE(AB1574,12),IF(ISNUMBER(SEARCH("6",'Procyflof 700'!D75)),EDATE(AB1574,6),IF(ISNUMBER(SEARCH("3",'Procyflof 700'!D75)),EDATE(AB1574,3),DATEVALUE('Procyflof 700'!D75))))),""))</f>
        <v/>
      </c>
      <c r="AM1574" t="str">
        <f t="shared" ca="1" si="166"/>
        <v/>
      </c>
    </row>
    <row r="1575" spans="27:39" x14ac:dyDescent="0.3">
      <c r="AA1575" t="str">
        <f>IF(COUNTA('Procyflof 700'!A76,'Procyflof 700'!B76,'Procyflof 700'!C76)&gt;0,"700","")</f>
        <v/>
      </c>
      <c r="AB1575" t="str">
        <f>IFERROR(IF(ISNUMBER('Procyflof 700'!A76),'Procyflof 700'!A76,DATEVALUE('Procyflof 700'!A76)),"")</f>
        <v/>
      </c>
      <c r="AC1575" t="str">
        <f>IF(AA1575="","",'Procyflof 700'!B76)</f>
        <v/>
      </c>
      <c r="AD1575" t="str">
        <f>IF(AA1575="","",IFERROR(1*'Procyflof 700'!C76,IFERROR(_xludf.NUMBERVALUE('Procyflof 700'!C76,".",","),IFERROR(_xludf.NUMBERVALUE('Procyflof 700'!C76,",","."),0))))</f>
        <v/>
      </c>
      <c r="AE1575" t="str">
        <f>IF(AA1575="","",'Procyflof 700'!N76)</f>
        <v/>
      </c>
      <c r="AF1575">
        <f t="shared" si="161"/>
        <v>0</v>
      </c>
      <c r="AG1575" t="str">
        <f t="shared" si="162"/>
        <v/>
      </c>
      <c r="AH1575" t="str">
        <f t="shared" si="163"/>
        <v/>
      </c>
      <c r="AI1575">
        <f t="shared" si="164"/>
        <v>0</v>
      </c>
      <c r="AJ1575">
        <f t="shared" si="165"/>
        <v>0</v>
      </c>
      <c r="AK1575">
        <v>0</v>
      </c>
      <c r="AL1575" t="str">
        <f>IF(AA1575="","",IFERROR(IF(ISNUMBER('Procyflof 700'!D76),'Procyflof 700'!D76,IF(ISNUMBER(SEARCH("12",'Procyflof 700'!D76)),EDATE(AB1575,12),IF(ISNUMBER(SEARCH("6",'Procyflof 700'!D76)),EDATE(AB1575,6),IF(ISNUMBER(SEARCH("3",'Procyflof 700'!D76)),EDATE(AB1575,3),DATEVALUE('Procyflof 700'!D76))))),""))</f>
        <v/>
      </c>
      <c r="AM1575" t="str">
        <f t="shared" ca="1" si="166"/>
        <v/>
      </c>
    </row>
    <row r="1576" spans="27:39" x14ac:dyDescent="0.3">
      <c r="AA1576" t="str">
        <f>IF(COUNTA('Procyflof 700'!A77,'Procyflof 700'!B77,'Procyflof 700'!C77)&gt;0,"700","")</f>
        <v/>
      </c>
      <c r="AB1576" t="str">
        <f>IFERROR(IF(ISNUMBER('Procyflof 700'!A77),'Procyflof 700'!A77,DATEVALUE('Procyflof 700'!A77)),"")</f>
        <v/>
      </c>
      <c r="AC1576" t="str">
        <f>IF(AA1576="","",'Procyflof 700'!B77)</f>
        <v/>
      </c>
      <c r="AD1576" t="str">
        <f>IF(AA1576="","",IFERROR(1*'Procyflof 700'!C77,IFERROR(_xludf.NUMBERVALUE('Procyflof 700'!C77,".",","),IFERROR(_xludf.NUMBERVALUE('Procyflof 700'!C77,",","."),0))))</f>
        <v/>
      </c>
      <c r="AE1576" t="str">
        <f>IF(AA1576="","",'Procyflof 700'!N77)</f>
        <v/>
      </c>
      <c r="AF1576">
        <f t="shared" si="161"/>
        <v>0</v>
      </c>
      <c r="AG1576" t="str">
        <f t="shared" si="162"/>
        <v/>
      </c>
      <c r="AH1576" t="str">
        <f t="shared" si="163"/>
        <v/>
      </c>
      <c r="AI1576">
        <f t="shared" si="164"/>
        <v>0</v>
      </c>
      <c r="AJ1576">
        <f t="shared" si="165"/>
        <v>0</v>
      </c>
      <c r="AK1576">
        <v>0</v>
      </c>
      <c r="AL1576" t="str">
        <f>IF(AA1576="","",IFERROR(IF(ISNUMBER('Procyflof 700'!D77),'Procyflof 700'!D77,IF(ISNUMBER(SEARCH("12",'Procyflof 700'!D77)),EDATE(AB1576,12),IF(ISNUMBER(SEARCH("6",'Procyflof 700'!D77)),EDATE(AB1576,6),IF(ISNUMBER(SEARCH("3",'Procyflof 700'!D77)),EDATE(AB1576,3),DATEVALUE('Procyflof 700'!D77))))),""))</f>
        <v/>
      </c>
      <c r="AM1576" t="str">
        <f t="shared" ca="1" si="166"/>
        <v/>
      </c>
    </row>
    <row r="1577" spans="27:39" x14ac:dyDescent="0.3">
      <c r="AA1577" t="str">
        <f>IF(COUNTA('Procyflof 700'!A78,'Procyflof 700'!B78,'Procyflof 700'!C78)&gt;0,"700","")</f>
        <v/>
      </c>
      <c r="AB1577" t="str">
        <f>IFERROR(IF(ISNUMBER('Procyflof 700'!A78),'Procyflof 700'!A78,DATEVALUE('Procyflof 700'!A78)),"")</f>
        <v/>
      </c>
      <c r="AC1577" t="str">
        <f>IF(AA1577="","",'Procyflof 700'!B78)</f>
        <v/>
      </c>
      <c r="AD1577" t="str">
        <f>IF(AA1577="","",IFERROR(1*'Procyflof 700'!C78,IFERROR(_xludf.NUMBERVALUE('Procyflof 700'!C78,".",","),IFERROR(_xludf.NUMBERVALUE('Procyflof 700'!C78,",","."),0))))</f>
        <v/>
      </c>
      <c r="AE1577" t="str">
        <f>IF(AA1577="","",'Procyflof 700'!N78)</f>
        <v/>
      </c>
      <c r="AF1577">
        <f t="shared" si="161"/>
        <v>0</v>
      </c>
      <c r="AG1577" t="str">
        <f t="shared" si="162"/>
        <v/>
      </c>
      <c r="AH1577" t="str">
        <f t="shared" si="163"/>
        <v/>
      </c>
      <c r="AI1577">
        <f t="shared" si="164"/>
        <v>0</v>
      </c>
      <c r="AJ1577">
        <f t="shared" si="165"/>
        <v>0</v>
      </c>
      <c r="AK1577">
        <v>0</v>
      </c>
      <c r="AL1577" t="str">
        <f>IF(AA1577="","",IFERROR(IF(ISNUMBER('Procyflof 700'!D78),'Procyflof 700'!D78,IF(ISNUMBER(SEARCH("12",'Procyflof 700'!D78)),EDATE(AB1577,12),IF(ISNUMBER(SEARCH("6",'Procyflof 700'!D78)),EDATE(AB1577,6),IF(ISNUMBER(SEARCH("3",'Procyflof 700'!D78)),EDATE(AB1577,3),DATEVALUE('Procyflof 700'!D78))))),""))</f>
        <v/>
      </c>
      <c r="AM1577" t="str">
        <f t="shared" ca="1" si="166"/>
        <v/>
      </c>
    </row>
    <row r="1578" spans="27:39" x14ac:dyDescent="0.3">
      <c r="AA1578" t="str">
        <f>IF(COUNTA('Procyflof 700'!A79,'Procyflof 700'!B79,'Procyflof 700'!C79)&gt;0,"700","")</f>
        <v/>
      </c>
      <c r="AB1578" t="str">
        <f>IFERROR(IF(ISNUMBER('Procyflof 700'!A79),'Procyflof 700'!A79,DATEVALUE('Procyflof 700'!A79)),"")</f>
        <v/>
      </c>
      <c r="AC1578" t="str">
        <f>IF(AA1578="","",'Procyflof 700'!B79)</f>
        <v/>
      </c>
      <c r="AD1578" t="str">
        <f>IF(AA1578="","",IFERROR(1*'Procyflof 700'!C79,IFERROR(_xludf.NUMBERVALUE('Procyflof 700'!C79,".",","),IFERROR(_xludf.NUMBERVALUE('Procyflof 700'!C79,",","."),0))))</f>
        <v/>
      </c>
      <c r="AE1578" t="str">
        <f>IF(AA1578="","",'Procyflof 700'!N79)</f>
        <v/>
      </c>
      <c r="AF1578">
        <f t="shared" si="161"/>
        <v>0</v>
      </c>
      <c r="AG1578" t="str">
        <f t="shared" si="162"/>
        <v/>
      </c>
      <c r="AH1578" t="str">
        <f t="shared" si="163"/>
        <v/>
      </c>
      <c r="AI1578">
        <f t="shared" si="164"/>
        <v>0</v>
      </c>
      <c r="AJ1578">
        <f t="shared" si="165"/>
        <v>0</v>
      </c>
      <c r="AK1578">
        <v>0</v>
      </c>
      <c r="AL1578" t="str">
        <f>IF(AA1578="","",IFERROR(IF(ISNUMBER('Procyflof 700'!D79),'Procyflof 700'!D79,IF(ISNUMBER(SEARCH("12",'Procyflof 700'!D79)),EDATE(AB1578,12),IF(ISNUMBER(SEARCH("6",'Procyflof 700'!D79)),EDATE(AB1578,6),IF(ISNUMBER(SEARCH("3",'Procyflof 700'!D79)),EDATE(AB1578,3),DATEVALUE('Procyflof 700'!D79))))),""))</f>
        <v/>
      </c>
      <c r="AM1578" t="str">
        <f t="shared" ca="1" si="166"/>
        <v/>
      </c>
    </row>
    <row r="1579" spans="27:39" x14ac:dyDescent="0.3">
      <c r="AA1579" t="str">
        <f>IF(COUNTA('Procyflof 700'!A80,'Procyflof 700'!B80,'Procyflof 700'!C80)&gt;0,"700","")</f>
        <v/>
      </c>
      <c r="AB1579" t="str">
        <f>IFERROR(IF(ISNUMBER('Procyflof 700'!A80),'Procyflof 700'!A80,DATEVALUE('Procyflof 700'!A80)),"")</f>
        <v/>
      </c>
      <c r="AC1579" t="str">
        <f>IF(AA1579="","",'Procyflof 700'!B80)</f>
        <v/>
      </c>
      <c r="AD1579" t="str">
        <f>IF(AA1579="","",IFERROR(1*'Procyflof 700'!C80,IFERROR(_xludf.NUMBERVALUE('Procyflof 700'!C80,".",","),IFERROR(_xludf.NUMBERVALUE('Procyflof 700'!C80,",","."),0))))</f>
        <v/>
      </c>
      <c r="AE1579" t="str">
        <f>IF(AA1579="","",'Procyflof 700'!N80)</f>
        <v/>
      </c>
      <c r="AF1579">
        <f t="shared" si="161"/>
        <v>0</v>
      </c>
      <c r="AG1579" t="str">
        <f t="shared" si="162"/>
        <v/>
      </c>
      <c r="AH1579" t="str">
        <f t="shared" si="163"/>
        <v/>
      </c>
      <c r="AI1579">
        <f t="shared" si="164"/>
        <v>0</v>
      </c>
      <c r="AJ1579">
        <f t="shared" si="165"/>
        <v>0</v>
      </c>
      <c r="AK1579">
        <v>0</v>
      </c>
      <c r="AL1579" t="str">
        <f>IF(AA1579="","",IFERROR(IF(ISNUMBER('Procyflof 700'!D80),'Procyflof 700'!D80,IF(ISNUMBER(SEARCH("12",'Procyflof 700'!D80)),EDATE(AB1579,12),IF(ISNUMBER(SEARCH("6",'Procyflof 700'!D80)),EDATE(AB1579,6),IF(ISNUMBER(SEARCH("3",'Procyflof 700'!D80)),EDATE(AB1579,3),DATEVALUE('Procyflof 700'!D80))))),""))</f>
        <v/>
      </c>
      <c r="AM1579" t="str">
        <f t="shared" ca="1" si="166"/>
        <v/>
      </c>
    </row>
    <row r="1580" spans="27:39" x14ac:dyDescent="0.3">
      <c r="AA1580" t="str">
        <f>IF(COUNTA('Procyflof 700'!A81,'Procyflof 700'!B81,'Procyflof 700'!C81)&gt;0,"700","")</f>
        <v/>
      </c>
      <c r="AB1580" t="str">
        <f>IFERROR(IF(ISNUMBER('Procyflof 700'!A81),'Procyflof 700'!A81,DATEVALUE('Procyflof 700'!A81)),"")</f>
        <v/>
      </c>
      <c r="AC1580" t="str">
        <f>IF(AA1580="","",'Procyflof 700'!B81)</f>
        <v/>
      </c>
      <c r="AD1580" t="str">
        <f>IF(AA1580="","",IFERROR(1*'Procyflof 700'!C81,IFERROR(_xludf.NUMBERVALUE('Procyflof 700'!C81,".",","),IFERROR(_xludf.NUMBERVALUE('Procyflof 700'!C81,",","."),0))))</f>
        <v/>
      </c>
      <c r="AE1580" t="str">
        <f>IF(AA1580="","",'Procyflof 700'!N81)</f>
        <v/>
      </c>
      <c r="AF1580">
        <f t="shared" si="161"/>
        <v>0</v>
      </c>
      <c r="AG1580" t="str">
        <f t="shared" si="162"/>
        <v/>
      </c>
      <c r="AH1580" t="str">
        <f t="shared" si="163"/>
        <v/>
      </c>
      <c r="AI1580">
        <f t="shared" si="164"/>
        <v>0</v>
      </c>
      <c r="AJ1580">
        <f t="shared" si="165"/>
        <v>0</v>
      </c>
      <c r="AK1580">
        <v>0</v>
      </c>
      <c r="AL1580" t="str">
        <f>IF(AA1580="","",IFERROR(IF(ISNUMBER('Procyflof 700'!D81),'Procyflof 700'!D81,IF(ISNUMBER(SEARCH("12",'Procyflof 700'!D81)),EDATE(AB1580,12),IF(ISNUMBER(SEARCH("6",'Procyflof 700'!D81)),EDATE(AB1580,6),IF(ISNUMBER(SEARCH("3",'Procyflof 700'!D81)),EDATE(AB1580,3),DATEVALUE('Procyflof 700'!D81))))),""))</f>
        <v/>
      </c>
      <c r="AM1580" t="str">
        <f t="shared" ca="1" si="166"/>
        <v/>
      </c>
    </row>
    <row r="1581" spans="27:39" x14ac:dyDescent="0.3">
      <c r="AA1581" t="str">
        <f>IF(COUNTA('Procyflof 700'!A82,'Procyflof 700'!B82,'Procyflof 700'!C82)&gt;0,"700","")</f>
        <v/>
      </c>
      <c r="AB1581" t="str">
        <f>IFERROR(IF(ISNUMBER('Procyflof 700'!A82),'Procyflof 700'!A82,DATEVALUE('Procyflof 700'!A82)),"")</f>
        <v/>
      </c>
      <c r="AC1581" t="str">
        <f>IF(AA1581="","",'Procyflof 700'!B82)</f>
        <v/>
      </c>
      <c r="AD1581" t="str">
        <f>IF(AA1581="","",IFERROR(1*'Procyflof 700'!C82,IFERROR(_xludf.NUMBERVALUE('Procyflof 700'!C82,".",","),IFERROR(_xludf.NUMBERVALUE('Procyflof 700'!C82,",","."),0))))</f>
        <v/>
      </c>
      <c r="AE1581" t="str">
        <f>IF(AA1581="","",'Procyflof 700'!N82)</f>
        <v/>
      </c>
      <c r="AF1581">
        <f t="shared" si="161"/>
        <v>0</v>
      </c>
      <c r="AG1581" t="str">
        <f t="shared" si="162"/>
        <v/>
      </c>
      <c r="AH1581" t="str">
        <f t="shared" si="163"/>
        <v/>
      </c>
      <c r="AI1581">
        <f t="shared" si="164"/>
        <v>0</v>
      </c>
      <c r="AJ1581">
        <f t="shared" si="165"/>
        <v>0</v>
      </c>
      <c r="AK1581">
        <v>0</v>
      </c>
      <c r="AL1581" t="str">
        <f>IF(AA1581="","",IFERROR(IF(ISNUMBER('Procyflof 700'!D82),'Procyflof 700'!D82,IF(ISNUMBER(SEARCH("12",'Procyflof 700'!D82)),EDATE(AB1581,12),IF(ISNUMBER(SEARCH("6",'Procyflof 700'!D82)),EDATE(AB1581,6),IF(ISNUMBER(SEARCH("3",'Procyflof 700'!D82)),EDATE(AB1581,3),DATEVALUE('Procyflof 700'!D82))))),""))</f>
        <v/>
      </c>
      <c r="AM1581" t="str">
        <f t="shared" ca="1" si="166"/>
        <v/>
      </c>
    </row>
    <row r="1582" spans="27:39" x14ac:dyDescent="0.3">
      <c r="AA1582" t="str">
        <f>IF(COUNTA('Procyflof 700'!A83,'Procyflof 700'!B83,'Procyflof 700'!C83)&gt;0,"700","")</f>
        <v/>
      </c>
      <c r="AB1582" t="str">
        <f>IFERROR(IF(ISNUMBER('Procyflof 700'!A83),'Procyflof 700'!A83,DATEVALUE('Procyflof 700'!A83)),"")</f>
        <v/>
      </c>
      <c r="AC1582" t="str">
        <f>IF(AA1582="","",'Procyflof 700'!B83)</f>
        <v/>
      </c>
      <c r="AD1582" t="str">
        <f>IF(AA1582="","",IFERROR(1*'Procyflof 700'!C83,IFERROR(_xludf.NUMBERVALUE('Procyflof 700'!C83,".",","),IFERROR(_xludf.NUMBERVALUE('Procyflof 700'!C83,",","."),0))))</f>
        <v/>
      </c>
      <c r="AE1582" t="str">
        <f>IF(AA1582="","",'Procyflof 700'!N83)</f>
        <v/>
      </c>
      <c r="AF1582">
        <f t="shared" si="161"/>
        <v>0</v>
      </c>
      <c r="AG1582" t="str">
        <f t="shared" si="162"/>
        <v/>
      </c>
      <c r="AH1582" t="str">
        <f t="shared" si="163"/>
        <v/>
      </c>
      <c r="AI1582">
        <f t="shared" si="164"/>
        <v>0</v>
      </c>
      <c r="AJ1582">
        <f t="shared" si="165"/>
        <v>0</v>
      </c>
      <c r="AK1582">
        <v>0</v>
      </c>
      <c r="AL1582" t="str">
        <f>IF(AA1582="","",IFERROR(IF(ISNUMBER('Procyflof 700'!D83),'Procyflof 700'!D83,IF(ISNUMBER(SEARCH("12",'Procyflof 700'!D83)),EDATE(AB1582,12),IF(ISNUMBER(SEARCH("6",'Procyflof 700'!D83)),EDATE(AB1582,6),IF(ISNUMBER(SEARCH("3",'Procyflof 700'!D83)),EDATE(AB1582,3),DATEVALUE('Procyflof 700'!D83))))),""))</f>
        <v/>
      </c>
      <c r="AM1582" t="str">
        <f t="shared" ca="1" si="166"/>
        <v/>
      </c>
    </row>
    <row r="1583" spans="27:39" x14ac:dyDescent="0.3">
      <c r="AA1583" t="str">
        <f>IF(COUNTA('Procyflof 700'!A84,'Procyflof 700'!B84,'Procyflof 700'!C84)&gt;0,"700","")</f>
        <v/>
      </c>
      <c r="AB1583" t="str">
        <f>IFERROR(IF(ISNUMBER('Procyflof 700'!A84),'Procyflof 700'!A84,DATEVALUE('Procyflof 700'!A84)),"")</f>
        <v/>
      </c>
      <c r="AC1583" t="str">
        <f>IF(AA1583="","",'Procyflof 700'!B84)</f>
        <v/>
      </c>
      <c r="AD1583" t="str">
        <f>IF(AA1583="","",IFERROR(1*'Procyflof 700'!C84,IFERROR(_xludf.NUMBERVALUE('Procyflof 700'!C84,".",","),IFERROR(_xludf.NUMBERVALUE('Procyflof 700'!C84,",","."),0))))</f>
        <v/>
      </c>
      <c r="AE1583" t="str">
        <f>IF(AA1583="","",'Procyflof 700'!N84)</f>
        <v/>
      </c>
      <c r="AF1583">
        <f t="shared" si="161"/>
        <v>0</v>
      </c>
      <c r="AG1583" t="str">
        <f t="shared" si="162"/>
        <v/>
      </c>
      <c r="AH1583" t="str">
        <f t="shared" si="163"/>
        <v/>
      </c>
      <c r="AI1583">
        <f t="shared" si="164"/>
        <v>0</v>
      </c>
      <c r="AJ1583">
        <f t="shared" si="165"/>
        <v>0</v>
      </c>
      <c r="AK1583">
        <v>0</v>
      </c>
      <c r="AL1583" t="str">
        <f>IF(AA1583="","",IFERROR(IF(ISNUMBER('Procyflof 700'!D84),'Procyflof 700'!D84,IF(ISNUMBER(SEARCH("12",'Procyflof 700'!D84)),EDATE(AB1583,12),IF(ISNUMBER(SEARCH("6",'Procyflof 700'!D84)),EDATE(AB1583,6),IF(ISNUMBER(SEARCH("3",'Procyflof 700'!D84)),EDATE(AB1583,3),DATEVALUE('Procyflof 700'!D84))))),""))</f>
        <v/>
      </c>
      <c r="AM1583" t="str">
        <f t="shared" ca="1" si="166"/>
        <v/>
      </c>
    </row>
    <row r="1584" spans="27:39" x14ac:dyDescent="0.3">
      <c r="AA1584" t="str">
        <f>IF(COUNTA('Procyflof 700'!A85,'Procyflof 700'!B85,'Procyflof 700'!C85)&gt;0,"700","")</f>
        <v/>
      </c>
      <c r="AB1584" t="str">
        <f>IFERROR(IF(ISNUMBER('Procyflof 700'!A85),'Procyflof 700'!A85,DATEVALUE('Procyflof 700'!A85)),"")</f>
        <v/>
      </c>
      <c r="AC1584" t="str">
        <f>IF(AA1584="","",'Procyflof 700'!B85)</f>
        <v/>
      </c>
      <c r="AD1584" t="str">
        <f>IF(AA1584="","",IFERROR(1*'Procyflof 700'!C85,IFERROR(_xludf.NUMBERVALUE('Procyflof 700'!C85,".",","),IFERROR(_xludf.NUMBERVALUE('Procyflof 700'!C85,",","."),0))))</f>
        <v/>
      </c>
      <c r="AE1584" t="str">
        <f>IF(AA1584="","",'Procyflof 700'!N85)</f>
        <v/>
      </c>
      <c r="AF1584">
        <f t="shared" si="161"/>
        <v>0</v>
      </c>
      <c r="AG1584" t="str">
        <f t="shared" si="162"/>
        <v/>
      </c>
      <c r="AH1584" t="str">
        <f t="shared" si="163"/>
        <v/>
      </c>
      <c r="AI1584">
        <f t="shared" si="164"/>
        <v>0</v>
      </c>
      <c r="AJ1584">
        <f t="shared" si="165"/>
        <v>0</v>
      </c>
      <c r="AK1584">
        <v>0</v>
      </c>
      <c r="AL1584" t="str">
        <f>IF(AA1584="","",IFERROR(IF(ISNUMBER('Procyflof 700'!D85),'Procyflof 700'!D85,IF(ISNUMBER(SEARCH("12",'Procyflof 700'!D85)),EDATE(AB1584,12),IF(ISNUMBER(SEARCH("6",'Procyflof 700'!D85)),EDATE(AB1584,6),IF(ISNUMBER(SEARCH("3",'Procyflof 700'!D85)),EDATE(AB1584,3),DATEVALUE('Procyflof 700'!D85))))),""))</f>
        <v/>
      </c>
      <c r="AM1584" t="str">
        <f t="shared" ca="1" si="166"/>
        <v/>
      </c>
    </row>
    <row r="1585" spans="27:39" x14ac:dyDescent="0.3">
      <c r="AA1585" t="str">
        <f>IF(COUNTA('Procyflof 700'!A86,'Procyflof 700'!B86,'Procyflof 700'!C86)&gt;0,"700","")</f>
        <v/>
      </c>
      <c r="AB1585" t="str">
        <f>IFERROR(IF(ISNUMBER('Procyflof 700'!A86),'Procyflof 700'!A86,DATEVALUE('Procyflof 700'!A86)),"")</f>
        <v/>
      </c>
      <c r="AC1585" t="str">
        <f>IF(AA1585="","",'Procyflof 700'!B86)</f>
        <v/>
      </c>
      <c r="AD1585" t="str">
        <f>IF(AA1585="","",IFERROR(1*'Procyflof 700'!C86,IFERROR(_xludf.NUMBERVALUE('Procyflof 700'!C86,".",","),IFERROR(_xludf.NUMBERVALUE('Procyflof 700'!C86,",","."),0))))</f>
        <v/>
      </c>
      <c r="AE1585" t="str">
        <f>IF(AA1585="","",'Procyflof 700'!N86)</f>
        <v/>
      </c>
      <c r="AF1585">
        <f t="shared" si="161"/>
        <v>0</v>
      </c>
      <c r="AG1585" t="str">
        <f t="shared" si="162"/>
        <v/>
      </c>
      <c r="AH1585" t="str">
        <f t="shared" si="163"/>
        <v/>
      </c>
      <c r="AI1585">
        <f t="shared" si="164"/>
        <v>0</v>
      </c>
      <c r="AJ1585">
        <f t="shared" si="165"/>
        <v>0</v>
      </c>
      <c r="AK1585">
        <v>0</v>
      </c>
      <c r="AL1585" t="str">
        <f>IF(AA1585="","",IFERROR(IF(ISNUMBER('Procyflof 700'!D86),'Procyflof 700'!D86,IF(ISNUMBER(SEARCH("12",'Procyflof 700'!D86)),EDATE(AB1585,12),IF(ISNUMBER(SEARCH("6",'Procyflof 700'!D86)),EDATE(AB1585,6),IF(ISNUMBER(SEARCH("3",'Procyflof 700'!D86)),EDATE(AB1585,3),DATEVALUE('Procyflof 700'!D86))))),""))</f>
        <v/>
      </c>
      <c r="AM1585" t="str">
        <f t="shared" ca="1" si="166"/>
        <v/>
      </c>
    </row>
    <row r="1586" spans="27:39" x14ac:dyDescent="0.3">
      <c r="AA1586" t="str">
        <f>IF(COUNTA('Procyflof 700'!A87,'Procyflof 700'!B87,'Procyflof 700'!C87)&gt;0,"700","")</f>
        <v/>
      </c>
      <c r="AB1586" t="str">
        <f>IFERROR(IF(ISNUMBER('Procyflof 700'!A87),'Procyflof 700'!A87,DATEVALUE('Procyflof 700'!A87)),"")</f>
        <v/>
      </c>
      <c r="AC1586" t="str">
        <f>IF(AA1586="","",'Procyflof 700'!B87)</f>
        <v/>
      </c>
      <c r="AD1586" t="str">
        <f>IF(AA1586="","",IFERROR(1*'Procyflof 700'!C87,IFERROR(_xludf.NUMBERVALUE('Procyflof 700'!C87,".",","),IFERROR(_xludf.NUMBERVALUE('Procyflof 700'!C87,",","."),0))))</f>
        <v/>
      </c>
      <c r="AE1586" t="str">
        <f>IF(AA1586="","",'Procyflof 700'!N87)</f>
        <v/>
      </c>
      <c r="AF1586">
        <f t="shared" si="161"/>
        <v>0</v>
      </c>
      <c r="AG1586" t="str">
        <f t="shared" si="162"/>
        <v/>
      </c>
      <c r="AH1586" t="str">
        <f t="shared" si="163"/>
        <v/>
      </c>
      <c r="AI1586">
        <f t="shared" si="164"/>
        <v>0</v>
      </c>
      <c r="AJ1586">
        <f t="shared" si="165"/>
        <v>0</v>
      </c>
      <c r="AK1586">
        <v>0</v>
      </c>
      <c r="AL1586" t="str">
        <f>IF(AA1586="","",IFERROR(IF(ISNUMBER('Procyflof 700'!D87),'Procyflof 700'!D87,IF(ISNUMBER(SEARCH("12",'Procyflof 700'!D87)),EDATE(AB1586,12),IF(ISNUMBER(SEARCH("6",'Procyflof 700'!D87)),EDATE(AB1586,6),IF(ISNUMBER(SEARCH("3",'Procyflof 700'!D87)),EDATE(AB1586,3),DATEVALUE('Procyflof 700'!D87))))),""))</f>
        <v/>
      </c>
      <c r="AM1586" t="str">
        <f t="shared" ca="1" si="166"/>
        <v/>
      </c>
    </row>
    <row r="1587" spans="27:39" x14ac:dyDescent="0.3">
      <c r="AA1587" t="str">
        <f>IF(COUNTA('Procyflof 700'!A88,'Procyflof 700'!B88,'Procyflof 700'!C88)&gt;0,"700","")</f>
        <v/>
      </c>
      <c r="AB1587" t="str">
        <f>IFERROR(IF(ISNUMBER('Procyflof 700'!A88),'Procyflof 700'!A88,DATEVALUE('Procyflof 700'!A88)),"")</f>
        <v/>
      </c>
      <c r="AC1587" t="str">
        <f>IF(AA1587="","",'Procyflof 700'!B88)</f>
        <v/>
      </c>
      <c r="AD1587" t="str">
        <f>IF(AA1587="","",IFERROR(1*'Procyflof 700'!C88,IFERROR(_xludf.NUMBERVALUE('Procyflof 700'!C88,".",","),IFERROR(_xludf.NUMBERVALUE('Procyflof 700'!C88,",","."),0))))</f>
        <v/>
      </c>
      <c r="AE1587" t="str">
        <f>IF(AA1587="","",'Procyflof 700'!N88)</f>
        <v/>
      </c>
      <c r="AF1587">
        <f t="shared" si="161"/>
        <v>0</v>
      </c>
      <c r="AG1587" t="str">
        <f t="shared" si="162"/>
        <v/>
      </c>
      <c r="AH1587" t="str">
        <f t="shared" si="163"/>
        <v/>
      </c>
      <c r="AI1587">
        <f t="shared" si="164"/>
        <v>0</v>
      </c>
      <c r="AJ1587">
        <f t="shared" si="165"/>
        <v>0</v>
      </c>
      <c r="AK1587">
        <v>0</v>
      </c>
      <c r="AL1587" t="str">
        <f>IF(AA1587="","",IFERROR(IF(ISNUMBER('Procyflof 700'!D88),'Procyflof 700'!D88,IF(ISNUMBER(SEARCH("12",'Procyflof 700'!D88)),EDATE(AB1587,12),IF(ISNUMBER(SEARCH("6",'Procyflof 700'!D88)),EDATE(AB1587,6),IF(ISNUMBER(SEARCH("3",'Procyflof 700'!D88)),EDATE(AB1587,3),DATEVALUE('Procyflof 700'!D88))))),""))</f>
        <v/>
      </c>
      <c r="AM1587" t="str">
        <f t="shared" ca="1" si="166"/>
        <v/>
      </c>
    </row>
    <row r="1588" spans="27:39" x14ac:dyDescent="0.3">
      <c r="AA1588" t="str">
        <f>IF(COUNTA('Procyflof 700'!A89,'Procyflof 700'!B89,'Procyflof 700'!C89)&gt;0,"700","")</f>
        <v/>
      </c>
      <c r="AB1588" t="str">
        <f>IFERROR(IF(ISNUMBER('Procyflof 700'!A89),'Procyflof 700'!A89,DATEVALUE('Procyflof 700'!A89)),"")</f>
        <v/>
      </c>
      <c r="AC1588" t="str">
        <f>IF(AA1588="","",'Procyflof 700'!B89)</f>
        <v/>
      </c>
      <c r="AD1588" t="str">
        <f>IF(AA1588="","",IFERROR(1*'Procyflof 700'!C89,IFERROR(_xludf.NUMBERVALUE('Procyflof 700'!C89,".",","),IFERROR(_xludf.NUMBERVALUE('Procyflof 700'!C89,",","."),0))))</f>
        <v/>
      </c>
      <c r="AE1588" t="str">
        <f>IF(AA1588="","",'Procyflof 700'!N89)</f>
        <v/>
      </c>
      <c r="AF1588">
        <f t="shared" si="161"/>
        <v>0</v>
      </c>
      <c r="AG1588" t="str">
        <f t="shared" si="162"/>
        <v/>
      </c>
      <c r="AH1588" t="str">
        <f t="shared" si="163"/>
        <v/>
      </c>
      <c r="AI1588">
        <f t="shared" si="164"/>
        <v>0</v>
      </c>
      <c r="AJ1588">
        <f t="shared" si="165"/>
        <v>0</v>
      </c>
      <c r="AK1588">
        <v>0</v>
      </c>
      <c r="AL1588" t="str">
        <f>IF(AA1588="","",IFERROR(IF(ISNUMBER('Procyflof 700'!D89),'Procyflof 700'!D89,IF(ISNUMBER(SEARCH("12",'Procyflof 700'!D89)),EDATE(AB1588,12),IF(ISNUMBER(SEARCH("6",'Procyflof 700'!D89)),EDATE(AB1588,6),IF(ISNUMBER(SEARCH("3",'Procyflof 700'!D89)),EDATE(AB1588,3),DATEVALUE('Procyflof 700'!D89))))),""))</f>
        <v/>
      </c>
      <c r="AM1588" t="str">
        <f t="shared" ca="1" si="166"/>
        <v/>
      </c>
    </row>
    <row r="1589" spans="27:39" x14ac:dyDescent="0.3">
      <c r="AA1589" t="str">
        <f>IF(COUNTA('Procyflof 700'!A90,'Procyflof 700'!B90,'Procyflof 700'!C90)&gt;0,"700","")</f>
        <v/>
      </c>
      <c r="AB1589" t="str">
        <f>IFERROR(IF(ISNUMBER('Procyflof 700'!A90),'Procyflof 700'!A90,DATEVALUE('Procyflof 700'!A90)),"")</f>
        <v/>
      </c>
      <c r="AC1589" t="str">
        <f>IF(AA1589="","",'Procyflof 700'!B90)</f>
        <v/>
      </c>
      <c r="AD1589" t="str">
        <f>IF(AA1589="","",IFERROR(1*'Procyflof 700'!C90,IFERROR(_xludf.NUMBERVALUE('Procyflof 700'!C90,".",","),IFERROR(_xludf.NUMBERVALUE('Procyflof 700'!C90,",","."),0))))</f>
        <v/>
      </c>
      <c r="AE1589" t="str">
        <f>IF(AA1589="","",'Procyflof 700'!N90)</f>
        <v/>
      </c>
      <c r="AF1589">
        <f t="shared" si="161"/>
        <v>0</v>
      </c>
      <c r="AG1589" t="str">
        <f t="shared" si="162"/>
        <v/>
      </c>
      <c r="AH1589" t="str">
        <f t="shared" si="163"/>
        <v/>
      </c>
      <c r="AI1589">
        <f t="shared" si="164"/>
        <v>0</v>
      </c>
      <c r="AJ1589">
        <f t="shared" si="165"/>
        <v>0</v>
      </c>
      <c r="AK1589">
        <v>0</v>
      </c>
      <c r="AL1589" t="str">
        <f>IF(AA1589="","",IFERROR(IF(ISNUMBER('Procyflof 700'!D90),'Procyflof 700'!D90,IF(ISNUMBER(SEARCH("12",'Procyflof 700'!D90)),EDATE(AB1589,12),IF(ISNUMBER(SEARCH("6",'Procyflof 700'!D90)),EDATE(AB1589,6),IF(ISNUMBER(SEARCH("3",'Procyflof 700'!D90)),EDATE(AB1589,3),DATEVALUE('Procyflof 700'!D90))))),""))</f>
        <v/>
      </c>
      <c r="AM1589" t="str">
        <f t="shared" ca="1" si="166"/>
        <v/>
      </c>
    </row>
    <row r="1590" spans="27:39" x14ac:dyDescent="0.3">
      <c r="AA1590" t="str">
        <f>IF(COUNTA('Procyflof 700'!A91,'Procyflof 700'!B91,'Procyflof 700'!C91)&gt;0,"700","")</f>
        <v/>
      </c>
      <c r="AB1590" t="str">
        <f>IFERROR(IF(ISNUMBER('Procyflof 700'!A91),'Procyflof 700'!A91,DATEVALUE('Procyflof 700'!A91)),"")</f>
        <v/>
      </c>
      <c r="AC1590" t="str">
        <f>IF(AA1590="","",'Procyflof 700'!B91)</f>
        <v/>
      </c>
      <c r="AD1590" t="str">
        <f>IF(AA1590="","",IFERROR(1*'Procyflof 700'!C91,IFERROR(_xludf.NUMBERVALUE('Procyflof 700'!C91,".",","),IFERROR(_xludf.NUMBERVALUE('Procyflof 700'!C91,",","."),0))))</f>
        <v/>
      </c>
      <c r="AE1590" t="str">
        <f>IF(AA1590="","",'Procyflof 700'!N91)</f>
        <v/>
      </c>
      <c r="AF1590">
        <f t="shared" si="161"/>
        <v>0</v>
      </c>
      <c r="AG1590" t="str">
        <f t="shared" si="162"/>
        <v/>
      </c>
      <c r="AH1590" t="str">
        <f t="shared" si="163"/>
        <v/>
      </c>
      <c r="AI1590">
        <f t="shared" si="164"/>
        <v>0</v>
      </c>
      <c r="AJ1590">
        <f t="shared" si="165"/>
        <v>0</v>
      </c>
      <c r="AK1590">
        <v>0</v>
      </c>
      <c r="AL1590" t="str">
        <f>IF(AA1590="","",IFERROR(IF(ISNUMBER('Procyflof 700'!D91),'Procyflof 700'!D91,IF(ISNUMBER(SEARCH("12",'Procyflof 700'!D91)),EDATE(AB1590,12),IF(ISNUMBER(SEARCH("6",'Procyflof 700'!D91)),EDATE(AB1590,6),IF(ISNUMBER(SEARCH("3",'Procyflof 700'!D91)),EDATE(AB1590,3),DATEVALUE('Procyflof 700'!D91))))),""))</f>
        <v/>
      </c>
      <c r="AM1590" t="str">
        <f t="shared" ca="1" si="166"/>
        <v/>
      </c>
    </row>
    <row r="1591" spans="27:39" x14ac:dyDescent="0.3">
      <c r="AA1591" t="str">
        <f>IF(COUNTA('Procyflof 700'!A92,'Procyflof 700'!B92,'Procyflof 700'!C92)&gt;0,"700","")</f>
        <v/>
      </c>
      <c r="AB1591" t="str">
        <f>IFERROR(IF(ISNUMBER('Procyflof 700'!A92),'Procyflof 700'!A92,DATEVALUE('Procyflof 700'!A92)),"")</f>
        <v/>
      </c>
      <c r="AC1591" t="str">
        <f>IF(AA1591="","",'Procyflof 700'!B92)</f>
        <v/>
      </c>
      <c r="AD1591" t="str">
        <f>IF(AA1591="","",IFERROR(1*'Procyflof 700'!C92,IFERROR(_xludf.NUMBERVALUE('Procyflof 700'!C92,".",","),IFERROR(_xludf.NUMBERVALUE('Procyflof 700'!C92,",","."),0))))</f>
        <v/>
      </c>
      <c r="AE1591" t="str">
        <f>IF(AA1591="","",'Procyflof 700'!N92)</f>
        <v/>
      </c>
      <c r="AF1591">
        <f t="shared" si="161"/>
        <v>0</v>
      </c>
      <c r="AG1591" t="str">
        <f t="shared" si="162"/>
        <v/>
      </c>
      <c r="AH1591" t="str">
        <f t="shared" si="163"/>
        <v/>
      </c>
      <c r="AI1591">
        <f t="shared" si="164"/>
        <v>0</v>
      </c>
      <c r="AJ1591">
        <f t="shared" si="165"/>
        <v>0</v>
      </c>
      <c r="AK1591">
        <v>0</v>
      </c>
      <c r="AL1591" t="str">
        <f>IF(AA1591="","",IFERROR(IF(ISNUMBER('Procyflof 700'!D92),'Procyflof 700'!D92,IF(ISNUMBER(SEARCH("12",'Procyflof 700'!D92)),EDATE(AB1591,12),IF(ISNUMBER(SEARCH("6",'Procyflof 700'!D92)),EDATE(AB1591,6),IF(ISNUMBER(SEARCH("3",'Procyflof 700'!D92)),EDATE(AB1591,3),DATEVALUE('Procyflof 700'!D92))))),""))</f>
        <v/>
      </c>
      <c r="AM1591" t="str">
        <f t="shared" ca="1" si="166"/>
        <v/>
      </c>
    </row>
    <row r="1592" spans="27:39" x14ac:dyDescent="0.3">
      <c r="AA1592" t="str">
        <f>IF(COUNTA('Procyflof 700'!A93,'Procyflof 700'!B93,'Procyflof 700'!C93)&gt;0,"700","")</f>
        <v/>
      </c>
      <c r="AB1592" t="str">
        <f>IFERROR(IF(ISNUMBER('Procyflof 700'!A93),'Procyflof 700'!A93,DATEVALUE('Procyflof 700'!A93)),"")</f>
        <v/>
      </c>
      <c r="AC1592" t="str">
        <f>IF(AA1592="","",'Procyflof 700'!B93)</f>
        <v/>
      </c>
      <c r="AD1592" t="str">
        <f>IF(AA1592="","",IFERROR(1*'Procyflof 700'!C93,IFERROR(_xludf.NUMBERVALUE('Procyflof 700'!C93,".",","),IFERROR(_xludf.NUMBERVALUE('Procyflof 700'!C93,",","."),0))))</f>
        <v/>
      </c>
      <c r="AE1592" t="str">
        <f>IF(AA1592="","",'Procyflof 700'!N93)</f>
        <v/>
      </c>
      <c r="AF1592">
        <f t="shared" si="161"/>
        <v>0</v>
      </c>
      <c r="AG1592" t="str">
        <f t="shared" si="162"/>
        <v/>
      </c>
      <c r="AH1592" t="str">
        <f t="shared" si="163"/>
        <v/>
      </c>
      <c r="AI1592">
        <f t="shared" si="164"/>
        <v>0</v>
      </c>
      <c r="AJ1592">
        <f t="shared" si="165"/>
        <v>0</v>
      </c>
      <c r="AK1592">
        <v>0</v>
      </c>
      <c r="AL1592" t="str">
        <f>IF(AA1592="","",IFERROR(IF(ISNUMBER('Procyflof 700'!D93),'Procyflof 700'!D93,IF(ISNUMBER(SEARCH("12",'Procyflof 700'!D93)),EDATE(AB1592,12),IF(ISNUMBER(SEARCH("6",'Procyflof 700'!D93)),EDATE(AB1592,6),IF(ISNUMBER(SEARCH("3",'Procyflof 700'!D93)),EDATE(AB1592,3),DATEVALUE('Procyflof 700'!D93))))),""))</f>
        <v/>
      </c>
      <c r="AM1592" t="str">
        <f t="shared" ca="1" si="166"/>
        <v/>
      </c>
    </row>
    <row r="1593" spans="27:39" x14ac:dyDescent="0.3">
      <c r="AA1593" t="str">
        <f>IF(COUNTA('Procyflof 700'!A94,'Procyflof 700'!B94,'Procyflof 700'!C94)&gt;0,"700","")</f>
        <v/>
      </c>
      <c r="AB1593" t="str">
        <f>IFERROR(IF(ISNUMBER('Procyflof 700'!A94),'Procyflof 700'!A94,DATEVALUE('Procyflof 700'!A94)),"")</f>
        <v/>
      </c>
      <c r="AC1593" t="str">
        <f>IF(AA1593="","",'Procyflof 700'!B94)</f>
        <v/>
      </c>
      <c r="AD1593" t="str">
        <f>IF(AA1593="","",IFERROR(1*'Procyflof 700'!C94,IFERROR(_xludf.NUMBERVALUE('Procyflof 700'!C94,".",","),IFERROR(_xludf.NUMBERVALUE('Procyflof 700'!C94,",","."),0))))</f>
        <v/>
      </c>
      <c r="AE1593" t="str">
        <f>IF(AA1593="","",'Procyflof 700'!N94)</f>
        <v/>
      </c>
      <c r="AF1593">
        <f t="shared" si="161"/>
        <v>0</v>
      </c>
      <c r="AG1593" t="str">
        <f t="shared" si="162"/>
        <v/>
      </c>
      <c r="AH1593" t="str">
        <f t="shared" si="163"/>
        <v/>
      </c>
      <c r="AI1593">
        <f t="shared" si="164"/>
        <v>0</v>
      </c>
      <c r="AJ1593">
        <f t="shared" si="165"/>
        <v>0</v>
      </c>
      <c r="AK1593">
        <v>0</v>
      </c>
      <c r="AL1593" t="str">
        <f>IF(AA1593="","",IFERROR(IF(ISNUMBER('Procyflof 700'!D94),'Procyflof 700'!D94,IF(ISNUMBER(SEARCH("12",'Procyflof 700'!D94)),EDATE(AB1593,12),IF(ISNUMBER(SEARCH("6",'Procyflof 700'!D94)),EDATE(AB1593,6),IF(ISNUMBER(SEARCH("3",'Procyflof 700'!D94)),EDATE(AB1593,3),DATEVALUE('Procyflof 700'!D94))))),""))</f>
        <v/>
      </c>
      <c r="AM1593" t="str">
        <f t="shared" ca="1" si="166"/>
        <v/>
      </c>
    </row>
    <row r="1594" spans="27:39" x14ac:dyDescent="0.3">
      <c r="AA1594" t="str">
        <f>IF(COUNTA('Procyflof 700'!A95,'Procyflof 700'!B95,'Procyflof 700'!C95)&gt;0,"700","")</f>
        <v/>
      </c>
      <c r="AB1594" t="str">
        <f>IFERROR(IF(ISNUMBER('Procyflof 700'!A95),'Procyflof 700'!A95,DATEVALUE('Procyflof 700'!A95)),"")</f>
        <v/>
      </c>
      <c r="AC1594" t="str">
        <f>IF(AA1594="","",'Procyflof 700'!B95)</f>
        <v/>
      </c>
      <c r="AD1594" t="str">
        <f>IF(AA1594="","",IFERROR(1*'Procyflof 700'!C95,IFERROR(_xludf.NUMBERVALUE('Procyflof 700'!C95,".",","),IFERROR(_xludf.NUMBERVALUE('Procyflof 700'!C95,",","."),0))))</f>
        <v/>
      </c>
      <c r="AE1594" t="str">
        <f>IF(AA1594="","",'Procyflof 700'!N95)</f>
        <v/>
      </c>
      <c r="AF1594">
        <f t="shared" si="161"/>
        <v>0</v>
      </c>
      <c r="AG1594" t="str">
        <f t="shared" si="162"/>
        <v/>
      </c>
      <c r="AH1594" t="str">
        <f t="shared" si="163"/>
        <v/>
      </c>
      <c r="AI1594">
        <f t="shared" si="164"/>
        <v>0</v>
      </c>
      <c r="AJ1594">
        <f t="shared" si="165"/>
        <v>0</v>
      </c>
      <c r="AK1594">
        <v>0</v>
      </c>
      <c r="AL1594" t="str">
        <f>IF(AA1594="","",IFERROR(IF(ISNUMBER('Procyflof 700'!D95),'Procyflof 700'!D95,IF(ISNUMBER(SEARCH("12",'Procyflof 700'!D95)),EDATE(AB1594,12),IF(ISNUMBER(SEARCH("6",'Procyflof 700'!D95)),EDATE(AB1594,6),IF(ISNUMBER(SEARCH("3",'Procyflof 700'!D95)),EDATE(AB1594,3),DATEVALUE('Procyflof 700'!D95))))),""))</f>
        <v/>
      </c>
      <c r="AM1594" t="str">
        <f t="shared" ca="1" si="166"/>
        <v/>
      </c>
    </row>
    <row r="1595" spans="27:39" x14ac:dyDescent="0.3">
      <c r="AA1595" t="str">
        <f>IF(COUNTA('Procyflof 700'!A96,'Procyflof 700'!B96,'Procyflof 700'!C96)&gt;0,"700","")</f>
        <v/>
      </c>
      <c r="AB1595" t="str">
        <f>IFERROR(IF(ISNUMBER('Procyflof 700'!A96),'Procyflof 700'!A96,DATEVALUE('Procyflof 700'!A96)),"")</f>
        <v/>
      </c>
      <c r="AC1595" t="str">
        <f>IF(AA1595="","",'Procyflof 700'!B96)</f>
        <v/>
      </c>
      <c r="AD1595" t="str">
        <f>IF(AA1595="","",IFERROR(1*'Procyflof 700'!C96,IFERROR(_xludf.NUMBERVALUE('Procyflof 700'!C96,".",","),IFERROR(_xludf.NUMBERVALUE('Procyflof 700'!C96,",","."),0))))</f>
        <v/>
      </c>
      <c r="AE1595" t="str">
        <f>IF(AA1595="","",'Procyflof 700'!N96)</f>
        <v/>
      </c>
      <c r="AF1595">
        <f t="shared" si="161"/>
        <v>0</v>
      </c>
      <c r="AG1595" t="str">
        <f t="shared" si="162"/>
        <v/>
      </c>
      <c r="AH1595" t="str">
        <f t="shared" si="163"/>
        <v/>
      </c>
      <c r="AI1595">
        <f t="shared" si="164"/>
        <v>0</v>
      </c>
      <c r="AJ1595">
        <f t="shared" si="165"/>
        <v>0</v>
      </c>
      <c r="AK1595">
        <v>0</v>
      </c>
      <c r="AL1595" t="str">
        <f>IF(AA1595="","",IFERROR(IF(ISNUMBER('Procyflof 700'!D96),'Procyflof 700'!D96,IF(ISNUMBER(SEARCH("12",'Procyflof 700'!D96)),EDATE(AB1595,12),IF(ISNUMBER(SEARCH("6",'Procyflof 700'!D96)),EDATE(AB1595,6),IF(ISNUMBER(SEARCH("3",'Procyflof 700'!D96)),EDATE(AB1595,3),DATEVALUE('Procyflof 700'!D96))))),""))</f>
        <v/>
      </c>
      <c r="AM1595" t="str">
        <f t="shared" ca="1" si="166"/>
        <v/>
      </c>
    </row>
    <row r="1596" spans="27:39" x14ac:dyDescent="0.3">
      <c r="AA1596" t="str">
        <f>IF(COUNTA('Procyflof 700'!A97,'Procyflof 700'!B97,'Procyflof 700'!C97)&gt;0,"700","")</f>
        <v/>
      </c>
      <c r="AB1596" t="str">
        <f>IFERROR(IF(ISNUMBER('Procyflof 700'!A97),'Procyflof 700'!A97,DATEVALUE('Procyflof 700'!A97)),"")</f>
        <v/>
      </c>
      <c r="AC1596" t="str">
        <f>IF(AA1596="","",'Procyflof 700'!B97)</f>
        <v/>
      </c>
      <c r="AD1596" t="str">
        <f>IF(AA1596="","",IFERROR(1*'Procyflof 700'!C97,IFERROR(_xludf.NUMBERVALUE('Procyflof 700'!C97,".",","),IFERROR(_xludf.NUMBERVALUE('Procyflof 700'!C97,",","."),0))))</f>
        <v/>
      </c>
      <c r="AE1596" t="str">
        <f>IF(AA1596="","",'Procyflof 700'!N97)</f>
        <v/>
      </c>
      <c r="AF1596">
        <f t="shared" si="161"/>
        <v>0</v>
      </c>
      <c r="AG1596" t="str">
        <f t="shared" si="162"/>
        <v/>
      </c>
      <c r="AH1596" t="str">
        <f t="shared" si="163"/>
        <v/>
      </c>
      <c r="AI1596">
        <f t="shared" si="164"/>
        <v>0</v>
      </c>
      <c r="AJ1596">
        <f t="shared" si="165"/>
        <v>0</v>
      </c>
      <c r="AK1596">
        <v>0</v>
      </c>
      <c r="AL1596" t="str">
        <f>IF(AA1596="","",IFERROR(IF(ISNUMBER('Procyflof 700'!D97),'Procyflof 700'!D97,IF(ISNUMBER(SEARCH("12",'Procyflof 700'!D97)),EDATE(AB1596,12),IF(ISNUMBER(SEARCH("6",'Procyflof 700'!D97)),EDATE(AB1596,6),IF(ISNUMBER(SEARCH("3",'Procyflof 700'!D97)),EDATE(AB1596,3),DATEVALUE('Procyflof 700'!D97))))),""))</f>
        <v/>
      </c>
      <c r="AM1596" t="str">
        <f t="shared" ca="1" si="166"/>
        <v/>
      </c>
    </row>
    <row r="1597" spans="27:39" x14ac:dyDescent="0.3">
      <c r="AA1597" t="str">
        <f>IF(COUNTA('Procyflof 700'!A98,'Procyflof 700'!B98,'Procyflof 700'!C98)&gt;0,"700","")</f>
        <v/>
      </c>
      <c r="AB1597" t="str">
        <f>IFERROR(IF(ISNUMBER('Procyflof 700'!A98),'Procyflof 700'!A98,DATEVALUE('Procyflof 700'!A98)),"")</f>
        <v/>
      </c>
      <c r="AC1597" t="str">
        <f>IF(AA1597="","",'Procyflof 700'!B98)</f>
        <v/>
      </c>
      <c r="AD1597" t="str">
        <f>IF(AA1597="","",IFERROR(1*'Procyflof 700'!C98,IFERROR(_xludf.NUMBERVALUE('Procyflof 700'!C98,".",","),IFERROR(_xludf.NUMBERVALUE('Procyflof 700'!C98,",","."),0))))</f>
        <v/>
      </c>
      <c r="AE1597" t="str">
        <f>IF(AA1597="","",'Procyflof 700'!N98)</f>
        <v/>
      </c>
      <c r="AF1597">
        <f t="shared" si="161"/>
        <v>0</v>
      </c>
      <c r="AG1597" t="str">
        <f t="shared" si="162"/>
        <v/>
      </c>
      <c r="AH1597" t="str">
        <f t="shared" si="163"/>
        <v/>
      </c>
      <c r="AI1597">
        <f t="shared" si="164"/>
        <v>0</v>
      </c>
      <c r="AJ1597">
        <f t="shared" si="165"/>
        <v>0</v>
      </c>
      <c r="AK1597">
        <v>0</v>
      </c>
      <c r="AL1597" t="str">
        <f>IF(AA1597="","",IFERROR(IF(ISNUMBER('Procyflof 700'!D98),'Procyflof 700'!D98,IF(ISNUMBER(SEARCH("12",'Procyflof 700'!D98)),EDATE(AB1597,12),IF(ISNUMBER(SEARCH("6",'Procyflof 700'!D98)),EDATE(AB1597,6),IF(ISNUMBER(SEARCH("3",'Procyflof 700'!D98)),EDATE(AB1597,3),DATEVALUE('Procyflof 700'!D98))))),""))</f>
        <v/>
      </c>
      <c r="AM1597" t="str">
        <f t="shared" ca="1" si="166"/>
        <v/>
      </c>
    </row>
    <row r="1598" spans="27:39" x14ac:dyDescent="0.3">
      <c r="AA1598" t="str">
        <f>IF(COUNTA('Procyflof 700'!A99,'Procyflof 700'!B99,'Procyflof 700'!C99)&gt;0,"700","")</f>
        <v/>
      </c>
      <c r="AB1598" t="str">
        <f>IFERROR(IF(ISNUMBER('Procyflof 700'!A99),'Procyflof 700'!A99,DATEVALUE('Procyflof 700'!A99)),"")</f>
        <v/>
      </c>
      <c r="AC1598" t="str">
        <f>IF(AA1598="","",'Procyflof 700'!B99)</f>
        <v/>
      </c>
      <c r="AD1598" t="str">
        <f>IF(AA1598="","",IFERROR(1*'Procyflof 700'!C99,IFERROR(_xludf.NUMBERVALUE('Procyflof 700'!C99,".",","),IFERROR(_xludf.NUMBERVALUE('Procyflof 700'!C99,",","."),0))))</f>
        <v/>
      </c>
      <c r="AE1598" t="str">
        <f>IF(AA1598="","",'Procyflof 700'!N99)</f>
        <v/>
      </c>
      <c r="AF1598">
        <f t="shared" si="161"/>
        <v>0</v>
      </c>
      <c r="AG1598" t="str">
        <f t="shared" si="162"/>
        <v/>
      </c>
      <c r="AH1598" t="str">
        <f t="shared" si="163"/>
        <v/>
      </c>
      <c r="AI1598">
        <f t="shared" si="164"/>
        <v>0</v>
      </c>
      <c r="AJ1598">
        <f t="shared" si="165"/>
        <v>0</v>
      </c>
      <c r="AK1598">
        <v>0</v>
      </c>
      <c r="AL1598" t="str">
        <f>IF(AA1598="","",IFERROR(IF(ISNUMBER('Procyflof 700'!D99),'Procyflof 700'!D99,IF(ISNUMBER(SEARCH("12",'Procyflof 700'!D99)),EDATE(AB1598,12),IF(ISNUMBER(SEARCH("6",'Procyflof 700'!D99)),EDATE(AB1598,6),IF(ISNUMBER(SEARCH("3",'Procyflof 700'!D99)),EDATE(AB1598,3),DATEVALUE('Procyflof 700'!D99))))),""))</f>
        <v/>
      </c>
      <c r="AM1598" t="str">
        <f t="shared" ca="1" si="166"/>
        <v/>
      </c>
    </row>
    <row r="1599" spans="27:39" x14ac:dyDescent="0.3">
      <c r="AA1599" t="str">
        <f>IF(COUNTA('Procyflof 700'!A100,'Procyflof 700'!B100,'Procyflof 700'!C100)&gt;0,"700","")</f>
        <v/>
      </c>
      <c r="AB1599" t="str">
        <f>IFERROR(IF(ISNUMBER('Procyflof 700'!A100),'Procyflof 700'!A100,DATEVALUE('Procyflof 700'!A100)),"")</f>
        <v/>
      </c>
      <c r="AC1599" t="str">
        <f>IF(AA1599="","",'Procyflof 700'!B100)</f>
        <v/>
      </c>
      <c r="AD1599" t="str">
        <f>IF(AA1599="","",IFERROR(1*'Procyflof 700'!C100,IFERROR(_xludf.NUMBERVALUE('Procyflof 700'!C100,".",","),IFERROR(_xludf.NUMBERVALUE('Procyflof 700'!C100,",","."),0))))</f>
        <v/>
      </c>
      <c r="AE1599" t="str">
        <f>IF(AA1599="","",'Procyflof 700'!N100)</f>
        <v/>
      </c>
      <c r="AF1599">
        <f t="shared" si="161"/>
        <v>0</v>
      </c>
      <c r="AG1599" t="str">
        <f t="shared" si="162"/>
        <v/>
      </c>
      <c r="AH1599" t="str">
        <f t="shared" si="163"/>
        <v/>
      </c>
      <c r="AI1599">
        <f t="shared" si="164"/>
        <v>0</v>
      </c>
      <c r="AJ1599">
        <f t="shared" si="165"/>
        <v>0</v>
      </c>
      <c r="AK1599">
        <v>0</v>
      </c>
      <c r="AL1599" t="str">
        <f>IF(AA1599="","",IFERROR(IF(ISNUMBER('Procyflof 700'!D100),'Procyflof 700'!D100,IF(ISNUMBER(SEARCH("12",'Procyflof 700'!D100)),EDATE(AB1599,12),IF(ISNUMBER(SEARCH("6",'Procyflof 700'!D100)),EDATE(AB1599,6),IF(ISNUMBER(SEARCH("3",'Procyflof 700'!D100)),EDATE(AB1599,3),DATEVALUE('Procyflof 700'!D100))))),""))</f>
        <v/>
      </c>
      <c r="AM1599" t="str">
        <f t="shared" ca="1" si="166"/>
        <v/>
      </c>
    </row>
    <row r="1600" spans="27:39" x14ac:dyDescent="0.3">
      <c r="AA1600" t="str">
        <f>IF(COUNTA('Procyflof 700'!A101,'Procyflof 700'!B101,'Procyflof 700'!C101)&gt;0,"700","")</f>
        <v/>
      </c>
      <c r="AB1600" t="str">
        <f>IFERROR(IF(ISNUMBER('Procyflof 700'!A101),'Procyflof 700'!A101,DATEVALUE('Procyflof 700'!A101)),"")</f>
        <v/>
      </c>
      <c r="AC1600" t="str">
        <f>IF(AA1600="","",'Procyflof 700'!B101)</f>
        <v/>
      </c>
      <c r="AD1600" t="str">
        <f>IF(AA1600="","",IFERROR(1*'Procyflof 700'!C101,IFERROR(_xludf.NUMBERVALUE('Procyflof 700'!C101,".",","),IFERROR(_xludf.NUMBERVALUE('Procyflof 700'!C101,",","."),0))))</f>
        <v/>
      </c>
      <c r="AE1600" t="str">
        <f>IF(AA1600="","",'Procyflof 700'!N101)</f>
        <v/>
      </c>
      <c r="AF1600">
        <f t="shared" si="161"/>
        <v>0</v>
      </c>
      <c r="AG1600" t="str">
        <f t="shared" si="162"/>
        <v/>
      </c>
      <c r="AH1600" t="str">
        <f t="shared" si="163"/>
        <v/>
      </c>
      <c r="AI1600">
        <f t="shared" si="164"/>
        <v>0</v>
      </c>
      <c r="AJ1600">
        <f t="shared" si="165"/>
        <v>0</v>
      </c>
      <c r="AK1600">
        <v>0</v>
      </c>
      <c r="AL1600" t="str">
        <f>IF(AA1600="","",IFERROR(IF(ISNUMBER('Procyflof 700'!D101),'Procyflof 700'!D101,IF(ISNUMBER(SEARCH("12",'Procyflof 700'!D101)),EDATE(AB1600,12),IF(ISNUMBER(SEARCH("6",'Procyflof 700'!D101)),EDATE(AB1600,6),IF(ISNUMBER(SEARCH("3",'Procyflof 700'!D101)),EDATE(AB1600,3),DATEVALUE('Procyflof 700'!D101))))),""))</f>
        <v/>
      </c>
      <c r="AM1600" t="str">
        <f t="shared" ca="1" si="166"/>
        <v/>
      </c>
    </row>
    <row r="1601" spans="27:39" x14ac:dyDescent="0.3">
      <c r="AA1601" t="str">
        <f>IF(COUNTA('Procyflof 700'!A102,'Procyflof 700'!B102,'Procyflof 700'!C102)&gt;0,"700","")</f>
        <v/>
      </c>
      <c r="AB1601" t="str">
        <f>IFERROR(IF(ISNUMBER('Procyflof 700'!A102),'Procyflof 700'!A102,DATEVALUE('Procyflof 700'!A102)),"")</f>
        <v/>
      </c>
      <c r="AC1601" t="str">
        <f>IF(AA1601="","",'Procyflof 700'!B102)</f>
        <v/>
      </c>
      <c r="AD1601" t="str">
        <f>IF(AA1601="","",IFERROR(1*'Procyflof 700'!C102,IFERROR(_xludf.NUMBERVALUE('Procyflof 700'!C102,".",","),IFERROR(_xludf.NUMBERVALUE('Procyflof 700'!C102,",","."),0))))</f>
        <v/>
      </c>
      <c r="AE1601" t="str">
        <f>IF(AA1601="","",'Procyflof 700'!N102)</f>
        <v/>
      </c>
      <c r="AF1601">
        <f t="shared" si="161"/>
        <v>0</v>
      </c>
      <c r="AG1601" t="str">
        <f t="shared" si="162"/>
        <v/>
      </c>
      <c r="AH1601" t="str">
        <f t="shared" si="163"/>
        <v/>
      </c>
      <c r="AI1601">
        <f t="shared" si="164"/>
        <v>0</v>
      </c>
      <c r="AJ1601">
        <f t="shared" si="165"/>
        <v>0</v>
      </c>
      <c r="AK1601">
        <v>0</v>
      </c>
      <c r="AL1601" t="str">
        <f>IF(AA1601="","",IFERROR(IF(ISNUMBER('Procyflof 700'!D102),'Procyflof 700'!D102,IF(ISNUMBER(SEARCH("12",'Procyflof 700'!D102)),EDATE(AB1601,12),IF(ISNUMBER(SEARCH("6",'Procyflof 700'!D102)),EDATE(AB1601,6),IF(ISNUMBER(SEARCH("3",'Procyflof 700'!D102)),EDATE(AB1601,3),DATEVALUE('Procyflof 700'!D102))))),""))</f>
        <v/>
      </c>
      <c r="AM1601" t="str">
        <f t="shared" ca="1" si="166"/>
        <v/>
      </c>
    </row>
    <row r="1602" spans="27:39" x14ac:dyDescent="0.3">
      <c r="AA1602" t="str">
        <f>IF(COUNTA('Procyflof 700'!A103,'Procyflof 700'!B103,'Procyflof 700'!C103)&gt;0,"700","")</f>
        <v/>
      </c>
      <c r="AB1602" t="str">
        <f>IFERROR(IF(ISNUMBER('Procyflof 700'!A103),'Procyflof 700'!A103,DATEVALUE('Procyflof 700'!A103)),"")</f>
        <v/>
      </c>
      <c r="AC1602" t="str">
        <f>IF(AA1602="","",'Procyflof 700'!B103)</f>
        <v/>
      </c>
      <c r="AD1602" t="str">
        <f>IF(AA1602="","",IFERROR(1*'Procyflof 700'!C103,IFERROR(_xludf.NUMBERVALUE('Procyflof 700'!C103,".",","),IFERROR(_xludf.NUMBERVALUE('Procyflof 700'!C103,",","."),0))))</f>
        <v/>
      </c>
      <c r="AE1602" t="str">
        <f>IF(AA1602="","",'Procyflof 700'!N103)</f>
        <v/>
      </c>
      <c r="AF1602">
        <f t="shared" ref="AF1602:AF1665" si="167">IF(AA1602="",0,--AND(ISNUMBER(SEARCH("aprov",AE1602)),NOT(ISNUMBER(SEARCH("reprov",AE1602)))))</f>
        <v>0</v>
      </c>
      <c r="AG1602" t="str">
        <f t="shared" ref="AG1602:AG1665" si="168">IF(AB1602="","",YEAR(AB1602))</f>
        <v/>
      </c>
      <c r="AH1602" t="str">
        <f t="shared" ref="AH1602:AH1665" si="169">IF(AB1602="","",MONTH(AB1602))</f>
        <v/>
      </c>
      <c r="AI1602">
        <f t="shared" ref="AI1602:AI1665" si="170">IF(AB1602="",0,AB1602+ROW()/1000000)</f>
        <v>0</v>
      </c>
      <c r="AJ1602">
        <f t="shared" ref="AJ1602:AJ1665" si="171">--(AA1602&lt;&gt;"")</f>
        <v>0</v>
      </c>
      <c r="AK1602">
        <v>0</v>
      </c>
      <c r="AL1602" t="str">
        <f>IF(AA1602="","",IFERROR(IF(ISNUMBER('Procyflof 700'!D103),'Procyflof 700'!D103,IF(ISNUMBER(SEARCH("12",'Procyflof 700'!D103)),EDATE(AB1602,12),IF(ISNUMBER(SEARCH("6",'Procyflof 700'!D103)),EDATE(AB1602,6),IF(ISNUMBER(SEARCH("3",'Procyflof 700'!D103)),EDATE(AB1602,3),DATEVALUE('Procyflof 700'!D103))))),""))</f>
        <v/>
      </c>
      <c r="AM1602" t="str">
        <f t="shared" ref="AM1602:AM1665" ca="1" si="172">IF(AND(AJ1602=1,AL1602&lt;&gt;"",AL1602&gt;=TODAY(),AG1602=$W$3),AL1602+ROW()/1000000,"")</f>
        <v/>
      </c>
    </row>
    <row r="1603" spans="27:39" x14ac:dyDescent="0.3">
      <c r="AA1603" t="str">
        <f>IF(COUNTA('Procyflof 700'!A104,'Procyflof 700'!B104,'Procyflof 700'!C104)&gt;0,"700","")</f>
        <v/>
      </c>
      <c r="AB1603" t="str">
        <f>IFERROR(IF(ISNUMBER('Procyflof 700'!A104),'Procyflof 700'!A104,DATEVALUE('Procyflof 700'!A104)),"")</f>
        <v/>
      </c>
      <c r="AC1603" t="str">
        <f>IF(AA1603="","",'Procyflof 700'!B104)</f>
        <v/>
      </c>
      <c r="AD1603" t="str">
        <f>IF(AA1603="","",IFERROR(1*'Procyflof 700'!C104,IFERROR(_xludf.NUMBERVALUE('Procyflof 700'!C104,".",","),IFERROR(_xludf.NUMBERVALUE('Procyflof 700'!C104,",","."),0))))</f>
        <v/>
      </c>
      <c r="AE1603" t="str">
        <f>IF(AA1603="","",'Procyflof 700'!N104)</f>
        <v/>
      </c>
      <c r="AF1603">
        <f t="shared" si="167"/>
        <v>0</v>
      </c>
      <c r="AG1603" t="str">
        <f t="shared" si="168"/>
        <v/>
      </c>
      <c r="AH1603" t="str">
        <f t="shared" si="169"/>
        <v/>
      </c>
      <c r="AI1603">
        <f t="shared" si="170"/>
        <v>0</v>
      </c>
      <c r="AJ1603">
        <f t="shared" si="171"/>
        <v>0</v>
      </c>
      <c r="AK1603">
        <v>0</v>
      </c>
      <c r="AL1603" t="str">
        <f>IF(AA1603="","",IFERROR(IF(ISNUMBER('Procyflof 700'!D104),'Procyflof 700'!D104,IF(ISNUMBER(SEARCH("12",'Procyflof 700'!D104)),EDATE(AB1603,12),IF(ISNUMBER(SEARCH("6",'Procyflof 700'!D104)),EDATE(AB1603,6),IF(ISNUMBER(SEARCH("3",'Procyflof 700'!D104)),EDATE(AB1603,3),DATEVALUE('Procyflof 700'!D104))))),""))</f>
        <v/>
      </c>
      <c r="AM1603" t="str">
        <f t="shared" ca="1" si="172"/>
        <v/>
      </c>
    </row>
    <row r="1604" spans="27:39" x14ac:dyDescent="0.3">
      <c r="AA1604" t="str">
        <f>IF(COUNTA('Procyflof 700'!A105,'Procyflof 700'!B105,'Procyflof 700'!C105)&gt;0,"700","")</f>
        <v/>
      </c>
      <c r="AB1604" t="str">
        <f>IFERROR(IF(ISNUMBER('Procyflof 700'!A105),'Procyflof 700'!A105,DATEVALUE('Procyflof 700'!A105)),"")</f>
        <v/>
      </c>
      <c r="AC1604" t="str">
        <f>IF(AA1604="","",'Procyflof 700'!B105)</f>
        <v/>
      </c>
      <c r="AD1604" t="str">
        <f>IF(AA1604="","",IFERROR(1*'Procyflof 700'!C105,IFERROR(_xludf.NUMBERVALUE('Procyflof 700'!C105,".",","),IFERROR(_xludf.NUMBERVALUE('Procyflof 700'!C105,",","."),0))))</f>
        <v/>
      </c>
      <c r="AE1604" t="str">
        <f>IF(AA1604="","",'Procyflof 700'!N105)</f>
        <v/>
      </c>
      <c r="AF1604">
        <f t="shared" si="167"/>
        <v>0</v>
      </c>
      <c r="AG1604" t="str">
        <f t="shared" si="168"/>
        <v/>
      </c>
      <c r="AH1604" t="str">
        <f t="shared" si="169"/>
        <v/>
      </c>
      <c r="AI1604">
        <f t="shared" si="170"/>
        <v>0</v>
      </c>
      <c r="AJ1604">
        <f t="shared" si="171"/>
        <v>0</v>
      </c>
      <c r="AK1604">
        <v>0</v>
      </c>
      <c r="AL1604" t="str">
        <f>IF(AA1604="","",IFERROR(IF(ISNUMBER('Procyflof 700'!D105),'Procyflof 700'!D105,IF(ISNUMBER(SEARCH("12",'Procyflof 700'!D105)),EDATE(AB1604,12),IF(ISNUMBER(SEARCH("6",'Procyflof 700'!D105)),EDATE(AB1604,6),IF(ISNUMBER(SEARCH("3",'Procyflof 700'!D105)),EDATE(AB1604,3),DATEVALUE('Procyflof 700'!D105))))),""))</f>
        <v/>
      </c>
      <c r="AM1604" t="str">
        <f t="shared" ca="1" si="172"/>
        <v/>
      </c>
    </row>
    <row r="1605" spans="27:39" x14ac:dyDescent="0.3">
      <c r="AA1605" t="str">
        <f>IF(COUNTA('Procyflof 700'!A106,'Procyflof 700'!B106,'Procyflof 700'!C106)&gt;0,"700","")</f>
        <v/>
      </c>
      <c r="AB1605" t="str">
        <f>IFERROR(IF(ISNUMBER('Procyflof 700'!A106),'Procyflof 700'!A106,DATEVALUE('Procyflof 700'!A106)),"")</f>
        <v/>
      </c>
      <c r="AC1605" t="str">
        <f>IF(AA1605="","",'Procyflof 700'!B106)</f>
        <v/>
      </c>
      <c r="AD1605" t="str">
        <f>IF(AA1605="","",IFERROR(1*'Procyflof 700'!C106,IFERROR(_xludf.NUMBERVALUE('Procyflof 700'!C106,".",","),IFERROR(_xludf.NUMBERVALUE('Procyflof 700'!C106,",","."),0))))</f>
        <v/>
      </c>
      <c r="AE1605" t="str">
        <f>IF(AA1605="","",'Procyflof 700'!N106)</f>
        <v/>
      </c>
      <c r="AF1605">
        <f t="shared" si="167"/>
        <v>0</v>
      </c>
      <c r="AG1605" t="str">
        <f t="shared" si="168"/>
        <v/>
      </c>
      <c r="AH1605" t="str">
        <f t="shared" si="169"/>
        <v/>
      </c>
      <c r="AI1605">
        <f t="shared" si="170"/>
        <v>0</v>
      </c>
      <c r="AJ1605">
        <f t="shared" si="171"/>
        <v>0</v>
      </c>
      <c r="AK1605">
        <v>0</v>
      </c>
      <c r="AL1605" t="str">
        <f>IF(AA1605="","",IFERROR(IF(ISNUMBER('Procyflof 700'!D106),'Procyflof 700'!D106,IF(ISNUMBER(SEARCH("12",'Procyflof 700'!D106)),EDATE(AB1605,12),IF(ISNUMBER(SEARCH("6",'Procyflof 700'!D106)),EDATE(AB1605,6),IF(ISNUMBER(SEARCH("3",'Procyflof 700'!D106)),EDATE(AB1605,3),DATEVALUE('Procyflof 700'!D106))))),""))</f>
        <v/>
      </c>
      <c r="AM1605" t="str">
        <f t="shared" ca="1" si="172"/>
        <v/>
      </c>
    </row>
    <row r="1606" spans="27:39" x14ac:dyDescent="0.3">
      <c r="AA1606" t="str">
        <f>IF(COUNTA('Procyflof 700'!A107,'Procyflof 700'!B107,'Procyflof 700'!C107)&gt;0,"700","")</f>
        <v/>
      </c>
      <c r="AB1606" t="str">
        <f>IFERROR(IF(ISNUMBER('Procyflof 700'!A107),'Procyflof 700'!A107,DATEVALUE('Procyflof 700'!A107)),"")</f>
        <v/>
      </c>
      <c r="AC1606" t="str">
        <f>IF(AA1606="","",'Procyflof 700'!B107)</f>
        <v/>
      </c>
      <c r="AD1606" t="str">
        <f>IF(AA1606="","",IFERROR(1*'Procyflof 700'!C107,IFERROR(_xludf.NUMBERVALUE('Procyflof 700'!C107,".",","),IFERROR(_xludf.NUMBERVALUE('Procyflof 700'!C107,",","."),0))))</f>
        <v/>
      </c>
      <c r="AE1606" t="str">
        <f>IF(AA1606="","",'Procyflof 700'!N107)</f>
        <v/>
      </c>
      <c r="AF1606">
        <f t="shared" si="167"/>
        <v>0</v>
      </c>
      <c r="AG1606" t="str">
        <f t="shared" si="168"/>
        <v/>
      </c>
      <c r="AH1606" t="str">
        <f t="shared" si="169"/>
        <v/>
      </c>
      <c r="AI1606">
        <f t="shared" si="170"/>
        <v>0</v>
      </c>
      <c r="AJ1606">
        <f t="shared" si="171"/>
        <v>0</v>
      </c>
      <c r="AK1606">
        <v>0</v>
      </c>
      <c r="AL1606" t="str">
        <f>IF(AA1606="","",IFERROR(IF(ISNUMBER('Procyflof 700'!D107),'Procyflof 700'!D107,IF(ISNUMBER(SEARCH("12",'Procyflof 700'!D107)),EDATE(AB1606,12),IF(ISNUMBER(SEARCH("6",'Procyflof 700'!D107)),EDATE(AB1606,6),IF(ISNUMBER(SEARCH("3",'Procyflof 700'!D107)),EDATE(AB1606,3),DATEVALUE('Procyflof 700'!D107))))),""))</f>
        <v/>
      </c>
      <c r="AM1606" t="str">
        <f t="shared" ca="1" si="172"/>
        <v/>
      </c>
    </row>
    <row r="1607" spans="27:39" x14ac:dyDescent="0.3">
      <c r="AA1607" t="str">
        <f>IF(COUNTA('Procyflof 700'!A108,'Procyflof 700'!B108,'Procyflof 700'!C108)&gt;0,"700","")</f>
        <v/>
      </c>
      <c r="AB1607" t="str">
        <f>IFERROR(IF(ISNUMBER('Procyflof 700'!A108),'Procyflof 700'!A108,DATEVALUE('Procyflof 700'!A108)),"")</f>
        <v/>
      </c>
      <c r="AC1607" t="str">
        <f>IF(AA1607="","",'Procyflof 700'!B108)</f>
        <v/>
      </c>
      <c r="AD1607" t="str">
        <f>IF(AA1607="","",IFERROR(1*'Procyflof 700'!C108,IFERROR(_xludf.NUMBERVALUE('Procyflof 700'!C108,".",","),IFERROR(_xludf.NUMBERVALUE('Procyflof 700'!C108,",","."),0))))</f>
        <v/>
      </c>
      <c r="AE1607" t="str">
        <f>IF(AA1607="","",'Procyflof 700'!N108)</f>
        <v/>
      </c>
      <c r="AF1607">
        <f t="shared" si="167"/>
        <v>0</v>
      </c>
      <c r="AG1607" t="str">
        <f t="shared" si="168"/>
        <v/>
      </c>
      <c r="AH1607" t="str">
        <f t="shared" si="169"/>
        <v/>
      </c>
      <c r="AI1607">
        <f t="shared" si="170"/>
        <v>0</v>
      </c>
      <c r="AJ1607">
        <f t="shared" si="171"/>
        <v>0</v>
      </c>
      <c r="AK1607">
        <v>0</v>
      </c>
      <c r="AL1607" t="str">
        <f>IF(AA1607="","",IFERROR(IF(ISNUMBER('Procyflof 700'!D108),'Procyflof 700'!D108,IF(ISNUMBER(SEARCH("12",'Procyflof 700'!D108)),EDATE(AB1607,12),IF(ISNUMBER(SEARCH("6",'Procyflof 700'!D108)),EDATE(AB1607,6),IF(ISNUMBER(SEARCH("3",'Procyflof 700'!D108)),EDATE(AB1607,3),DATEVALUE('Procyflof 700'!D108))))),""))</f>
        <v/>
      </c>
      <c r="AM1607" t="str">
        <f t="shared" ca="1" si="172"/>
        <v/>
      </c>
    </row>
    <row r="1608" spans="27:39" x14ac:dyDescent="0.3">
      <c r="AA1608" t="str">
        <f>IF(COUNTA('Procyflof 700'!A109,'Procyflof 700'!B109,'Procyflof 700'!C109)&gt;0,"700","")</f>
        <v/>
      </c>
      <c r="AB1608" t="str">
        <f>IFERROR(IF(ISNUMBER('Procyflof 700'!A109),'Procyflof 700'!A109,DATEVALUE('Procyflof 700'!A109)),"")</f>
        <v/>
      </c>
      <c r="AC1608" t="str">
        <f>IF(AA1608="","",'Procyflof 700'!B109)</f>
        <v/>
      </c>
      <c r="AD1608" t="str">
        <f>IF(AA1608="","",IFERROR(1*'Procyflof 700'!C109,IFERROR(_xludf.NUMBERVALUE('Procyflof 700'!C109,".",","),IFERROR(_xludf.NUMBERVALUE('Procyflof 700'!C109,",","."),0))))</f>
        <v/>
      </c>
      <c r="AE1608" t="str">
        <f>IF(AA1608="","",'Procyflof 700'!N109)</f>
        <v/>
      </c>
      <c r="AF1608">
        <f t="shared" si="167"/>
        <v>0</v>
      </c>
      <c r="AG1608" t="str">
        <f t="shared" si="168"/>
        <v/>
      </c>
      <c r="AH1608" t="str">
        <f t="shared" si="169"/>
        <v/>
      </c>
      <c r="AI1608">
        <f t="shared" si="170"/>
        <v>0</v>
      </c>
      <c r="AJ1608">
        <f t="shared" si="171"/>
        <v>0</v>
      </c>
      <c r="AK1608">
        <v>0</v>
      </c>
      <c r="AL1608" t="str">
        <f>IF(AA1608="","",IFERROR(IF(ISNUMBER('Procyflof 700'!D109),'Procyflof 700'!D109,IF(ISNUMBER(SEARCH("12",'Procyflof 700'!D109)),EDATE(AB1608,12),IF(ISNUMBER(SEARCH("6",'Procyflof 700'!D109)),EDATE(AB1608,6),IF(ISNUMBER(SEARCH("3",'Procyflof 700'!D109)),EDATE(AB1608,3),DATEVALUE('Procyflof 700'!D109))))),""))</f>
        <v/>
      </c>
      <c r="AM1608" t="str">
        <f t="shared" ca="1" si="172"/>
        <v/>
      </c>
    </row>
    <row r="1609" spans="27:39" x14ac:dyDescent="0.3">
      <c r="AA1609" t="str">
        <f>IF(COUNTA('Procyflof 700'!A110,'Procyflof 700'!B110,'Procyflof 700'!C110)&gt;0,"700","")</f>
        <v/>
      </c>
      <c r="AB1609" t="str">
        <f>IFERROR(IF(ISNUMBER('Procyflof 700'!A110),'Procyflof 700'!A110,DATEVALUE('Procyflof 700'!A110)),"")</f>
        <v/>
      </c>
      <c r="AC1609" t="str">
        <f>IF(AA1609="","",'Procyflof 700'!B110)</f>
        <v/>
      </c>
      <c r="AD1609" t="str">
        <f>IF(AA1609="","",IFERROR(1*'Procyflof 700'!C110,IFERROR(_xludf.NUMBERVALUE('Procyflof 700'!C110,".",","),IFERROR(_xludf.NUMBERVALUE('Procyflof 700'!C110,",","."),0))))</f>
        <v/>
      </c>
      <c r="AE1609" t="str">
        <f>IF(AA1609="","",'Procyflof 700'!N110)</f>
        <v/>
      </c>
      <c r="AF1609">
        <f t="shared" si="167"/>
        <v>0</v>
      </c>
      <c r="AG1609" t="str">
        <f t="shared" si="168"/>
        <v/>
      </c>
      <c r="AH1609" t="str">
        <f t="shared" si="169"/>
        <v/>
      </c>
      <c r="AI1609">
        <f t="shared" si="170"/>
        <v>0</v>
      </c>
      <c r="AJ1609">
        <f t="shared" si="171"/>
        <v>0</v>
      </c>
      <c r="AK1609">
        <v>0</v>
      </c>
      <c r="AL1609" t="str">
        <f>IF(AA1609="","",IFERROR(IF(ISNUMBER('Procyflof 700'!D110),'Procyflof 700'!D110,IF(ISNUMBER(SEARCH("12",'Procyflof 700'!D110)),EDATE(AB1609,12),IF(ISNUMBER(SEARCH("6",'Procyflof 700'!D110)),EDATE(AB1609,6),IF(ISNUMBER(SEARCH("3",'Procyflof 700'!D110)),EDATE(AB1609,3),DATEVALUE('Procyflof 700'!D110))))),""))</f>
        <v/>
      </c>
      <c r="AM1609" t="str">
        <f t="shared" ca="1" si="172"/>
        <v/>
      </c>
    </row>
    <row r="1610" spans="27:39" x14ac:dyDescent="0.3">
      <c r="AA1610" t="str">
        <f>IF(COUNTA('Procyflof 700'!A111,'Procyflof 700'!B111,'Procyflof 700'!C111)&gt;0,"700","")</f>
        <v/>
      </c>
      <c r="AB1610" t="str">
        <f>IFERROR(IF(ISNUMBER('Procyflof 700'!A111),'Procyflof 700'!A111,DATEVALUE('Procyflof 700'!A111)),"")</f>
        <v/>
      </c>
      <c r="AC1610" t="str">
        <f>IF(AA1610="","",'Procyflof 700'!B111)</f>
        <v/>
      </c>
      <c r="AD1610" t="str">
        <f>IF(AA1610="","",IFERROR(1*'Procyflof 700'!C111,IFERROR(_xludf.NUMBERVALUE('Procyflof 700'!C111,".",","),IFERROR(_xludf.NUMBERVALUE('Procyflof 700'!C111,",","."),0))))</f>
        <v/>
      </c>
      <c r="AE1610" t="str">
        <f>IF(AA1610="","",'Procyflof 700'!N111)</f>
        <v/>
      </c>
      <c r="AF1610">
        <f t="shared" si="167"/>
        <v>0</v>
      </c>
      <c r="AG1610" t="str">
        <f t="shared" si="168"/>
        <v/>
      </c>
      <c r="AH1610" t="str">
        <f t="shared" si="169"/>
        <v/>
      </c>
      <c r="AI1610">
        <f t="shared" si="170"/>
        <v>0</v>
      </c>
      <c r="AJ1610">
        <f t="shared" si="171"/>
        <v>0</v>
      </c>
      <c r="AK1610">
        <v>0</v>
      </c>
      <c r="AL1610" t="str">
        <f>IF(AA1610="","",IFERROR(IF(ISNUMBER('Procyflof 700'!D111),'Procyflof 700'!D111,IF(ISNUMBER(SEARCH("12",'Procyflof 700'!D111)),EDATE(AB1610,12),IF(ISNUMBER(SEARCH("6",'Procyflof 700'!D111)),EDATE(AB1610,6),IF(ISNUMBER(SEARCH("3",'Procyflof 700'!D111)),EDATE(AB1610,3),DATEVALUE('Procyflof 700'!D111))))),""))</f>
        <v/>
      </c>
      <c r="AM1610" t="str">
        <f t="shared" ca="1" si="172"/>
        <v/>
      </c>
    </row>
    <row r="1611" spans="27:39" x14ac:dyDescent="0.3">
      <c r="AA1611" t="str">
        <f>IF(COUNTA('Procyflof 700'!A112,'Procyflof 700'!B112,'Procyflof 700'!C112)&gt;0,"700","")</f>
        <v/>
      </c>
      <c r="AB1611" t="str">
        <f>IFERROR(IF(ISNUMBER('Procyflof 700'!A112),'Procyflof 700'!A112,DATEVALUE('Procyflof 700'!A112)),"")</f>
        <v/>
      </c>
      <c r="AC1611" t="str">
        <f>IF(AA1611="","",'Procyflof 700'!B112)</f>
        <v/>
      </c>
      <c r="AD1611" t="str">
        <f>IF(AA1611="","",IFERROR(1*'Procyflof 700'!C112,IFERROR(_xludf.NUMBERVALUE('Procyflof 700'!C112,".",","),IFERROR(_xludf.NUMBERVALUE('Procyflof 700'!C112,",","."),0))))</f>
        <v/>
      </c>
      <c r="AE1611" t="str">
        <f>IF(AA1611="","",'Procyflof 700'!N112)</f>
        <v/>
      </c>
      <c r="AF1611">
        <f t="shared" si="167"/>
        <v>0</v>
      </c>
      <c r="AG1611" t="str">
        <f t="shared" si="168"/>
        <v/>
      </c>
      <c r="AH1611" t="str">
        <f t="shared" si="169"/>
        <v/>
      </c>
      <c r="AI1611">
        <f t="shared" si="170"/>
        <v>0</v>
      </c>
      <c r="AJ1611">
        <f t="shared" si="171"/>
        <v>0</v>
      </c>
      <c r="AK1611">
        <v>0</v>
      </c>
      <c r="AL1611" t="str">
        <f>IF(AA1611="","",IFERROR(IF(ISNUMBER('Procyflof 700'!D112),'Procyflof 700'!D112,IF(ISNUMBER(SEARCH("12",'Procyflof 700'!D112)),EDATE(AB1611,12),IF(ISNUMBER(SEARCH("6",'Procyflof 700'!D112)),EDATE(AB1611,6),IF(ISNUMBER(SEARCH("3",'Procyflof 700'!D112)),EDATE(AB1611,3),DATEVALUE('Procyflof 700'!D112))))),""))</f>
        <v/>
      </c>
      <c r="AM1611" t="str">
        <f t="shared" ca="1" si="172"/>
        <v/>
      </c>
    </row>
    <row r="1612" spans="27:39" x14ac:dyDescent="0.3">
      <c r="AA1612" t="str">
        <f>IF(COUNTA('Procyflof 700'!A113,'Procyflof 700'!B113,'Procyflof 700'!C113)&gt;0,"700","")</f>
        <v/>
      </c>
      <c r="AB1612" t="str">
        <f>IFERROR(IF(ISNUMBER('Procyflof 700'!A113),'Procyflof 700'!A113,DATEVALUE('Procyflof 700'!A113)),"")</f>
        <v/>
      </c>
      <c r="AC1612" t="str">
        <f>IF(AA1612="","",'Procyflof 700'!B113)</f>
        <v/>
      </c>
      <c r="AD1612" t="str">
        <f>IF(AA1612="","",IFERROR(1*'Procyflof 700'!C113,IFERROR(_xludf.NUMBERVALUE('Procyflof 700'!C113,".",","),IFERROR(_xludf.NUMBERVALUE('Procyflof 700'!C113,",","."),0))))</f>
        <v/>
      </c>
      <c r="AE1612" t="str">
        <f>IF(AA1612="","",'Procyflof 700'!N113)</f>
        <v/>
      </c>
      <c r="AF1612">
        <f t="shared" si="167"/>
        <v>0</v>
      </c>
      <c r="AG1612" t="str">
        <f t="shared" si="168"/>
        <v/>
      </c>
      <c r="AH1612" t="str">
        <f t="shared" si="169"/>
        <v/>
      </c>
      <c r="AI1612">
        <f t="shared" si="170"/>
        <v>0</v>
      </c>
      <c r="AJ1612">
        <f t="shared" si="171"/>
        <v>0</v>
      </c>
      <c r="AK1612">
        <v>0</v>
      </c>
      <c r="AL1612" t="str">
        <f>IF(AA1612="","",IFERROR(IF(ISNUMBER('Procyflof 700'!D113),'Procyflof 700'!D113,IF(ISNUMBER(SEARCH("12",'Procyflof 700'!D113)),EDATE(AB1612,12),IF(ISNUMBER(SEARCH("6",'Procyflof 700'!D113)),EDATE(AB1612,6),IF(ISNUMBER(SEARCH("3",'Procyflof 700'!D113)),EDATE(AB1612,3),DATEVALUE('Procyflof 700'!D113))))),""))</f>
        <v/>
      </c>
      <c r="AM1612" t="str">
        <f t="shared" ca="1" si="172"/>
        <v/>
      </c>
    </row>
    <row r="1613" spans="27:39" x14ac:dyDescent="0.3">
      <c r="AA1613" t="str">
        <f>IF(COUNTA('Procyflof 700'!A114,'Procyflof 700'!B114,'Procyflof 700'!C114)&gt;0,"700","")</f>
        <v/>
      </c>
      <c r="AB1613" t="str">
        <f>IFERROR(IF(ISNUMBER('Procyflof 700'!A114),'Procyflof 700'!A114,DATEVALUE('Procyflof 700'!A114)),"")</f>
        <v/>
      </c>
      <c r="AC1613" t="str">
        <f>IF(AA1613="","",'Procyflof 700'!B114)</f>
        <v/>
      </c>
      <c r="AD1613" t="str">
        <f>IF(AA1613="","",IFERROR(1*'Procyflof 700'!C114,IFERROR(_xludf.NUMBERVALUE('Procyflof 700'!C114,".",","),IFERROR(_xludf.NUMBERVALUE('Procyflof 700'!C114,",","."),0))))</f>
        <v/>
      </c>
      <c r="AE1613" t="str">
        <f>IF(AA1613="","",'Procyflof 700'!N114)</f>
        <v/>
      </c>
      <c r="AF1613">
        <f t="shared" si="167"/>
        <v>0</v>
      </c>
      <c r="AG1613" t="str">
        <f t="shared" si="168"/>
        <v/>
      </c>
      <c r="AH1613" t="str">
        <f t="shared" si="169"/>
        <v/>
      </c>
      <c r="AI1613">
        <f t="shared" si="170"/>
        <v>0</v>
      </c>
      <c r="AJ1613">
        <f t="shared" si="171"/>
        <v>0</v>
      </c>
      <c r="AK1613">
        <v>0</v>
      </c>
      <c r="AL1613" t="str">
        <f>IF(AA1613="","",IFERROR(IF(ISNUMBER('Procyflof 700'!D114),'Procyflof 700'!D114,IF(ISNUMBER(SEARCH("12",'Procyflof 700'!D114)),EDATE(AB1613,12),IF(ISNUMBER(SEARCH("6",'Procyflof 700'!D114)),EDATE(AB1613,6),IF(ISNUMBER(SEARCH("3",'Procyflof 700'!D114)),EDATE(AB1613,3),DATEVALUE('Procyflof 700'!D114))))),""))</f>
        <v/>
      </c>
      <c r="AM1613" t="str">
        <f t="shared" ca="1" si="172"/>
        <v/>
      </c>
    </row>
    <row r="1614" spans="27:39" x14ac:dyDescent="0.3">
      <c r="AA1614" t="str">
        <f>IF(COUNTA('Procyflof 700'!A115,'Procyflof 700'!B115,'Procyflof 700'!C115)&gt;0,"700","")</f>
        <v/>
      </c>
      <c r="AB1614" t="str">
        <f>IFERROR(IF(ISNUMBER('Procyflof 700'!A115),'Procyflof 700'!A115,DATEVALUE('Procyflof 700'!A115)),"")</f>
        <v/>
      </c>
      <c r="AC1614" t="str">
        <f>IF(AA1614="","",'Procyflof 700'!B115)</f>
        <v/>
      </c>
      <c r="AD1614" t="str">
        <f>IF(AA1614="","",IFERROR(1*'Procyflof 700'!C115,IFERROR(_xludf.NUMBERVALUE('Procyflof 700'!C115,".",","),IFERROR(_xludf.NUMBERVALUE('Procyflof 700'!C115,",","."),0))))</f>
        <v/>
      </c>
      <c r="AE1614" t="str">
        <f>IF(AA1614="","",'Procyflof 700'!N115)</f>
        <v/>
      </c>
      <c r="AF1614">
        <f t="shared" si="167"/>
        <v>0</v>
      </c>
      <c r="AG1614" t="str">
        <f t="shared" si="168"/>
        <v/>
      </c>
      <c r="AH1614" t="str">
        <f t="shared" si="169"/>
        <v/>
      </c>
      <c r="AI1614">
        <f t="shared" si="170"/>
        <v>0</v>
      </c>
      <c r="AJ1614">
        <f t="shared" si="171"/>
        <v>0</v>
      </c>
      <c r="AK1614">
        <v>0</v>
      </c>
      <c r="AL1614" t="str">
        <f>IF(AA1614="","",IFERROR(IF(ISNUMBER('Procyflof 700'!D115),'Procyflof 700'!D115,IF(ISNUMBER(SEARCH("12",'Procyflof 700'!D115)),EDATE(AB1614,12),IF(ISNUMBER(SEARCH("6",'Procyflof 700'!D115)),EDATE(AB1614,6),IF(ISNUMBER(SEARCH("3",'Procyflof 700'!D115)),EDATE(AB1614,3),DATEVALUE('Procyflof 700'!D115))))),""))</f>
        <v/>
      </c>
      <c r="AM1614" t="str">
        <f t="shared" ca="1" si="172"/>
        <v/>
      </c>
    </row>
    <row r="1615" spans="27:39" x14ac:dyDescent="0.3">
      <c r="AA1615" t="str">
        <f>IF(COUNTA('Procyflof 700'!A116,'Procyflof 700'!B116,'Procyflof 700'!C116)&gt;0,"700","")</f>
        <v/>
      </c>
      <c r="AB1615" t="str">
        <f>IFERROR(IF(ISNUMBER('Procyflof 700'!A116),'Procyflof 700'!A116,DATEVALUE('Procyflof 700'!A116)),"")</f>
        <v/>
      </c>
      <c r="AC1615" t="str">
        <f>IF(AA1615="","",'Procyflof 700'!B116)</f>
        <v/>
      </c>
      <c r="AD1615" t="str">
        <f>IF(AA1615="","",IFERROR(1*'Procyflof 700'!C116,IFERROR(_xludf.NUMBERVALUE('Procyflof 700'!C116,".",","),IFERROR(_xludf.NUMBERVALUE('Procyflof 700'!C116,",","."),0))))</f>
        <v/>
      </c>
      <c r="AE1615" t="str">
        <f>IF(AA1615="","",'Procyflof 700'!N116)</f>
        <v/>
      </c>
      <c r="AF1615">
        <f t="shared" si="167"/>
        <v>0</v>
      </c>
      <c r="AG1615" t="str">
        <f t="shared" si="168"/>
        <v/>
      </c>
      <c r="AH1615" t="str">
        <f t="shared" si="169"/>
        <v/>
      </c>
      <c r="AI1615">
        <f t="shared" si="170"/>
        <v>0</v>
      </c>
      <c r="AJ1615">
        <f t="shared" si="171"/>
        <v>0</v>
      </c>
      <c r="AK1615">
        <v>0</v>
      </c>
      <c r="AL1615" t="str">
        <f>IF(AA1615="","",IFERROR(IF(ISNUMBER('Procyflof 700'!D116),'Procyflof 700'!D116,IF(ISNUMBER(SEARCH("12",'Procyflof 700'!D116)),EDATE(AB1615,12),IF(ISNUMBER(SEARCH("6",'Procyflof 700'!D116)),EDATE(AB1615,6),IF(ISNUMBER(SEARCH("3",'Procyflof 700'!D116)),EDATE(AB1615,3),DATEVALUE('Procyflof 700'!D116))))),""))</f>
        <v/>
      </c>
      <c r="AM1615" t="str">
        <f t="shared" ca="1" si="172"/>
        <v/>
      </c>
    </row>
    <row r="1616" spans="27:39" x14ac:dyDescent="0.3">
      <c r="AA1616" t="str">
        <f>IF(COUNTA('Procyflof 700'!A117,'Procyflof 700'!B117,'Procyflof 700'!C117)&gt;0,"700","")</f>
        <v/>
      </c>
      <c r="AB1616" t="str">
        <f>IFERROR(IF(ISNUMBER('Procyflof 700'!A117),'Procyflof 700'!A117,DATEVALUE('Procyflof 700'!A117)),"")</f>
        <v/>
      </c>
      <c r="AC1616" t="str">
        <f>IF(AA1616="","",'Procyflof 700'!B117)</f>
        <v/>
      </c>
      <c r="AD1616" t="str">
        <f>IF(AA1616="","",IFERROR(1*'Procyflof 700'!C117,IFERROR(_xludf.NUMBERVALUE('Procyflof 700'!C117,".",","),IFERROR(_xludf.NUMBERVALUE('Procyflof 700'!C117,",","."),0))))</f>
        <v/>
      </c>
      <c r="AE1616" t="str">
        <f>IF(AA1616="","",'Procyflof 700'!N117)</f>
        <v/>
      </c>
      <c r="AF1616">
        <f t="shared" si="167"/>
        <v>0</v>
      </c>
      <c r="AG1616" t="str">
        <f t="shared" si="168"/>
        <v/>
      </c>
      <c r="AH1616" t="str">
        <f t="shared" si="169"/>
        <v/>
      </c>
      <c r="AI1616">
        <f t="shared" si="170"/>
        <v>0</v>
      </c>
      <c r="AJ1616">
        <f t="shared" si="171"/>
        <v>0</v>
      </c>
      <c r="AK1616">
        <v>0</v>
      </c>
      <c r="AL1616" t="str">
        <f>IF(AA1616="","",IFERROR(IF(ISNUMBER('Procyflof 700'!D117),'Procyflof 700'!D117,IF(ISNUMBER(SEARCH("12",'Procyflof 700'!D117)),EDATE(AB1616,12),IF(ISNUMBER(SEARCH("6",'Procyflof 700'!D117)),EDATE(AB1616,6),IF(ISNUMBER(SEARCH("3",'Procyflof 700'!D117)),EDATE(AB1616,3),DATEVALUE('Procyflof 700'!D117))))),""))</f>
        <v/>
      </c>
      <c r="AM1616" t="str">
        <f t="shared" ca="1" si="172"/>
        <v/>
      </c>
    </row>
    <row r="1617" spans="27:39" x14ac:dyDescent="0.3">
      <c r="AA1617" t="str">
        <f>IF(COUNTA('Procyflof 700'!A118,'Procyflof 700'!B118,'Procyflof 700'!C118)&gt;0,"700","")</f>
        <v/>
      </c>
      <c r="AB1617" t="str">
        <f>IFERROR(IF(ISNUMBER('Procyflof 700'!A118),'Procyflof 700'!A118,DATEVALUE('Procyflof 700'!A118)),"")</f>
        <v/>
      </c>
      <c r="AC1617" t="str">
        <f>IF(AA1617="","",'Procyflof 700'!B118)</f>
        <v/>
      </c>
      <c r="AD1617" t="str">
        <f>IF(AA1617="","",IFERROR(1*'Procyflof 700'!C118,IFERROR(_xludf.NUMBERVALUE('Procyflof 700'!C118,".",","),IFERROR(_xludf.NUMBERVALUE('Procyflof 700'!C118,",","."),0))))</f>
        <v/>
      </c>
      <c r="AE1617" t="str">
        <f>IF(AA1617="","",'Procyflof 700'!N118)</f>
        <v/>
      </c>
      <c r="AF1617">
        <f t="shared" si="167"/>
        <v>0</v>
      </c>
      <c r="AG1617" t="str">
        <f t="shared" si="168"/>
        <v/>
      </c>
      <c r="AH1617" t="str">
        <f t="shared" si="169"/>
        <v/>
      </c>
      <c r="AI1617">
        <f t="shared" si="170"/>
        <v>0</v>
      </c>
      <c r="AJ1617">
        <f t="shared" si="171"/>
        <v>0</v>
      </c>
      <c r="AK1617">
        <v>0</v>
      </c>
      <c r="AL1617" t="str">
        <f>IF(AA1617="","",IFERROR(IF(ISNUMBER('Procyflof 700'!D118),'Procyflof 700'!D118,IF(ISNUMBER(SEARCH("12",'Procyflof 700'!D118)),EDATE(AB1617,12),IF(ISNUMBER(SEARCH("6",'Procyflof 700'!D118)),EDATE(AB1617,6),IF(ISNUMBER(SEARCH("3",'Procyflof 700'!D118)),EDATE(AB1617,3),DATEVALUE('Procyflof 700'!D118))))),""))</f>
        <v/>
      </c>
      <c r="AM1617" t="str">
        <f t="shared" ca="1" si="172"/>
        <v/>
      </c>
    </row>
    <row r="1618" spans="27:39" x14ac:dyDescent="0.3">
      <c r="AA1618" t="str">
        <f>IF(COUNTA('Procyflof 700'!A119,'Procyflof 700'!B119,'Procyflof 700'!C119)&gt;0,"700","")</f>
        <v/>
      </c>
      <c r="AB1618" t="str">
        <f>IFERROR(IF(ISNUMBER('Procyflof 700'!A119),'Procyflof 700'!A119,DATEVALUE('Procyflof 700'!A119)),"")</f>
        <v/>
      </c>
      <c r="AC1618" t="str">
        <f>IF(AA1618="","",'Procyflof 700'!B119)</f>
        <v/>
      </c>
      <c r="AD1618" t="str">
        <f>IF(AA1618="","",IFERROR(1*'Procyflof 700'!C119,IFERROR(_xludf.NUMBERVALUE('Procyflof 700'!C119,".",","),IFERROR(_xludf.NUMBERVALUE('Procyflof 700'!C119,",","."),0))))</f>
        <v/>
      </c>
      <c r="AE1618" t="str">
        <f>IF(AA1618="","",'Procyflof 700'!N119)</f>
        <v/>
      </c>
      <c r="AF1618">
        <f t="shared" si="167"/>
        <v>0</v>
      </c>
      <c r="AG1618" t="str">
        <f t="shared" si="168"/>
        <v/>
      </c>
      <c r="AH1618" t="str">
        <f t="shared" si="169"/>
        <v/>
      </c>
      <c r="AI1618">
        <f t="shared" si="170"/>
        <v>0</v>
      </c>
      <c r="AJ1618">
        <f t="shared" si="171"/>
        <v>0</v>
      </c>
      <c r="AK1618">
        <v>0</v>
      </c>
      <c r="AL1618" t="str">
        <f>IF(AA1618="","",IFERROR(IF(ISNUMBER('Procyflof 700'!D119),'Procyflof 700'!D119,IF(ISNUMBER(SEARCH("12",'Procyflof 700'!D119)),EDATE(AB1618,12),IF(ISNUMBER(SEARCH("6",'Procyflof 700'!D119)),EDATE(AB1618,6),IF(ISNUMBER(SEARCH("3",'Procyflof 700'!D119)),EDATE(AB1618,3),DATEVALUE('Procyflof 700'!D119))))),""))</f>
        <v/>
      </c>
      <c r="AM1618" t="str">
        <f t="shared" ca="1" si="172"/>
        <v/>
      </c>
    </row>
    <row r="1619" spans="27:39" x14ac:dyDescent="0.3">
      <c r="AA1619" t="str">
        <f>IF(COUNTA('Procyflof 700'!A120,'Procyflof 700'!B120,'Procyflof 700'!C120)&gt;0,"700","")</f>
        <v/>
      </c>
      <c r="AB1619" t="str">
        <f>IFERROR(IF(ISNUMBER('Procyflof 700'!A120),'Procyflof 700'!A120,DATEVALUE('Procyflof 700'!A120)),"")</f>
        <v/>
      </c>
      <c r="AC1619" t="str">
        <f>IF(AA1619="","",'Procyflof 700'!B120)</f>
        <v/>
      </c>
      <c r="AD1619" t="str">
        <f>IF(AA1619="","",IFERROR(1*'Procyflof 700'!C120,IFERROR(_xludf.NUMBERVALUE('Procyflof 700'!C120,".",","),IFERROR(_xludf.NUMBERVALUE('Procyflof 700'!C120,",","."),0))))</f>
        <v/>
      </c>
      <c r="AE1619" t="str">
        <f>IF(AA1619="","",'Procyflof 700'!N120)</f>
        <v/>
      </c>
      <c r="AF1619">
        <f t="shared" si="167"/>
        <v>0</v>
      </c>
      <c r="AG1619" t="str">
        <f t="shared" si="168"/>
        <v/>
      </c>
      <c r="AH1619" t="str">
        <f t="shared" si="169"/>
        <v/>
      </c>
      <c r="AI1619">
        <f t="shared" si="170"/>
        <v>0</v>
      </c>
      <c r="AJ1619">
        <f t="shared" si="171"/>
        <v>0</v>
      </c>
      <c r="AK1619">
        <v>0</v>
      </c>
      <c r="AL1619" t="str">
        <f>IF(AA1619="","",IFERROR(IF(ISNUMBER('Procyflof 700'!D120),'Procyflof 700'!D120,IF(ISNUMBER(SEARCH("12",'Procyflof 700'!D120)),EDATE(AB1619,12),IF(ISNUMBER(SEARCH("6",'Procyflof 700'!D120)),EDATE(AB1619,6),IF(ISNUMBER(SEARCH("3",'Procyflof 700'!D120)),EDATE(AB1619,3),DATEVALUE('Procyflof 700'!D120))))),""))</f>
        <v/>
      </c>
      <c r="AM1619" t="str">
        <f t="shared" ca="1" si="172"/>
        <v/>
      </c>
    </row>
    <row r="1620" spans="27:39" x14ac:dyDescent="0.3">
      <c r="AA1620" t="str">
        <f>IF(COUNTA('Procyflof 700'!A121,'Procyflof 700'!B121,'Procyflof 700'!C121)&gt;0,"700","")</f>
        <v/>
      </c>
      <c r="AB1620" t="str">
        <f>IFERROR(IF(ISNUMBER('Procyflof 700'!A121),'Procyflof 700'!A121,DATEVALUE('Procyflof 700'!A121)),"")</f>
        <v/>
      </c>
      <c r="AC1620" t="str">
        <f>IF(AA1620="","",'Procyflof 700'!B121)</f>
        <v/>
      </c>
      <c r="AD1620" t="str">
        <f>IF(AA1620="","",IFERROR(1*'Procyflof 700'!C121,IFERROR(_xludf.NUMBERVALUE('Procyflof 700'!C121,".",","),IFERROR(_xludf.NUMBERVALUE('Procyflof 700'!C121,",","."),0))))</f>
        <v/>
      </c>
      <c r="AE1620" t="str">
        <f>IF(AA1620="","",'Procyflof 700'!N121)</f>
        <v/>
      </c>
      <c r="AF1620">
        <f t="shared" si="167"/>
        <v>0</v>
      </c>
      <c r="AG1620" t="str">
        <f t="shared" si="168"/>
        <v/>
      </c>
      <c r="AH1620" t="str">
        <f t="shared" si="169"/>
        <v/>
      </c>
      <c r="AI1620">
        <f t="shared" si="170"/>
        <v>0</v>
      </c>
      <c r="AJ1620">
        <f t="shared" si="171"/>
        <v>0</v>
      </c>
      <c r="AK1620">
        <v>0</v>
      </c>
      <c r="AL1620" t="str">
        <f>IF(AA1620="","",IFERROR(IF(ISNUMBER('Procyflof 700'!D121),'Procyflof 700'!D121,IF(ISNUMBER(SEARCH("12",'Procyflof 700'!D121)),EDATE(AB1620,12),IF(ISNUMBER(SEARCH("6",'Procyflof 700'!D121)),EDATE(AB1620,6),IF(ISNUMBER(SEARCH("3",'Procyflof 700'!D121)),EDATE(AB1620,3),DATEVALUE('Procyflof 700'!D121))))),""))</f>
        <v/>
      </c>
      <c r="AM1620" t="str">
        <f t="shared" ca="1" si="172"/>
        <v/>
      </c>
    </row>
    <row r="1621" spans="27:39" x14ac:dyDescent="0.3">
      <c r="AA1621" t="str">
        <f>IF(COUNTA('Procyflof 700'!A122,'Procyflof 700'!B122,'Procyflof 700'!C122)&gt;0,"700","")</f>
        <v/>
      </c>
      <c r="AB1621" t="str">
        <f>IFERROR(IF(ISNUMBER('Procyflof 700'!A122),'Procyflof 700'!A122,DATEVALUE('Procyflof 700'!A122)),"")</f>
        <v/>
      </c>
      <c r="AC1621" t="str">
        <f>IF(AA1621="","",'Procyflof 700'!B122)</f>
        <v/>
      </c>
      <c r="AD1621" t="str">
        <f>IF(AA1621="","",IFERROR(1*'Procyflof 700'!C122,IFERROR(_xludf.NUMBERVALUE('Procyflof 700'!C122,".",","),IFERROR(_xludf.NUMBERVALUE('Procyflof 700'!C122,",","."),0))))</f>
        <v/>
      </c>
      <c r="AE1621" t="str">
        <f>IF(AA1621="","",'Procyflof 700'!N122)</f>
        <v/>
      </c>
      <c r="AF1621">
        <f t="shared" si="167"/>
        <v>0</v>
      </c>
      <c r="AG1621" t="str">
        <f t="shared" si="168"/>
        <v/>
      </c>
      <c r="AH1621" t="str">
        <f t="shared" si="169"/>
        <v/>
      </c>
      <c r="AI1621">
        <f t="shared" si="170"/>
        <v>0</v>
      </c>
      <c r="AJ1621">
        <f t="shared" si="171"/>
        <v>0</v>
      </c>
      <c r="AK1621">
        <v>0</v>
      </c>
      <c r="AL1621" t="str">
        <f>IF(AA1621="","",IFERROR(IF(ISNUMBER('Procyflof 700'!D122),'Procyflof 700'!D122,IF(ISNUMBER(SEARCH("12",'Procyflof 700'!D122)),EDATE(AB1621,12),IF(ISNUMBER(SEARCH("6",'Procyflof 700'!D122)),EDATE(AB1621,6),IF(ISNUMBER(SEARCH("3",'Procyflof 700'!D122)),EDATE(AB1621,3),DATEVALUE('Procyflof 700'!D122))))),""))</f>
        <v/>
      </c>
      <c r="AM1621" t="str">
        <f t="shared" ca="1" si="172"/>
        <v/>
      </c>
    </row>
    <row r="1622" spans="27:39" x14ac:dyDescent="0.3">
      <c r="AA1622" t="str">
        <f>IF(COUNTA('Procyflof 700'!A123,'Procyflof 700'!B123,'Procyflof 700'!C123)&gt;0,"700","")</f>
        <v/>
      </c>
      <c r="AB1622" t="str">
        <f>IFERROR(IF(ISNUMBER('Procyflof 700'!A123),'Procyflof 700'!A123,DATEVALUE('Procyflof 700'!A123)),"")</f>
        <v/>
      </c>
      <c r="AC1622" t="str">
        <f>IF(AA1622="","",'Procyflof 700'!B123)</f>
        <v/>
      </c>
      <c r="AD1622" t="str">
        <f>IF(AA1622="","",IFERROR(1*'Procyflof 700'!C123,IFERROR(_xludf.NUMBERVALUE('Procyflof 700'!C123,".",","),IFERROR(_xludf.NUMBERVALUE('Procyflof 700'!C123,",","."),0))))</f>
        <v/>
      </c>
      <c r="AE1622" t="str">
        <f>IF(AA1622="","",'Procyflof 700'!N123)</f>
        <v/>
      </c>
      <c r="AF1622">
        <f t="shared" si="167"/>
        <v>0</v>
      </c>
      <c r="AG1622" t="str">
        <f t="shared" si="168"/>
        <v/>
      </c>
      <c r="AH1622" t="str">
        <f t="shared" si="169"/>
        <v/>
      </c>
      <c r="AI1622">
        <f t="shared" si="170"/>
        <v>0</v>
      </c>
      <c r="AJ1622">
        <f t="shared" si="171"/>
        <v>0</v>
      </c>
      <c r="AK1622">
        <v>0</v>
      </c>
      <c r="AL1622" t="str">
        <f>IF(AA1622="","",IFERROR(IF(ISNUMBER('Procyflof 700'!D123),'Procyflof 700'!D123,IF(ISNUMBER(SEARCH("12",'Procyflof 700'!D123)),EDATE(AB1622,12),IF(ISNUMBER(SEARCH("6",'Procyflof 700'!D123)),EDATE(AB1622,6),IF(ISNUMBER(SEARCH("3",'Procyflof 700'!D123)),EDATE(AB1622,3),DATEVALUE('Procyflof 700'!D123))))),""))</f>
        <v/>
      </c>
      <c r="AM1622" t="str">
        <f t="shared" ca="1" si="172"/>
        <v/>
      </c>
    </row>
    <row r="1623" spans="27:39" x14ac:dyDescent="0.3">
      <c r="AA1623" t="str">
        <f>IF(COUNTA('Procyflof 700'!A124,'Procyflof 700'!B124,'Procyflof 700'!C124)&gt;0,"700","")</f>
        <v/>
      </c>
      <c r="AB1623" t="str">
        <f>IFERROR(IF(ISNUMBER('Procyflof 700'!A124),'Procyflof 700'!A124,DATEVALUE('Procyflof 700'!A124)),"")</f>
        <v/>
      </c>
      <c r="AC1623" t="str">
        <f>IF(AA1623="","",'Procyflof 700'!B124)</f>
        <v/>
      </c>
      <c r="AD1623" t="str">
        <f>IF(AA1623="","",IFERROR(1*'Procyflof 700'!C124,IFERROR(_xludf.NUMBERVALUE('Procyflof 700'!C124,".",","),IFERROR(_xludf.NUMBERVALUE('Procyflof 700'!C124,",","."),0))))</f>
        <v/>
      </c>
      <c r="AE1623" t="str">
        <f>IF(AA1623="","",'Procyflof 700'!N124)</f>
        <v/>
      </c>
      <c r="AF1623">
        <f t="shared" si="167"/>
        <v>0</v>
      </c>
      <c r="AG1623" t="str">
        <f t="shared" si="168"/>
        <v/>
      </c>
      <c r="AH1623" t="str">
        <f t="shared" si="169"/>
        <v/>
      </c>
      <c r="AI1623">
        <f t="shared" si="170"/>
        <v>0</v>
      </c>
      <c r="AJ1623">
        <f t="shared" si="171"/>
        <v>0</v>
      </c>
      <c r="AK1623">
        <v>0</v>
      </c>
      <c r="AL1623" t="str">
        <f>IF(AA1623="","",IFERROR(IF(ISNUMBER('Procyflof 700'!D124),'Procyflof 700'!D124,IF(ISNUMBER(SEARCH("12",'Procyflof 700'!D124)),EDATE(AB1623,12),IF(ISNUMBER(SEARCH("6",'Procyflof 700'!D124)),EDATE(AB1623,6),IF(ISNUMBER(SEARCH("3",'Procyflof 700'!D124)),EDATE(AB1623,3),DATEVALUE('Procyflof 700'!D124))))),""))</f>
        <v/>
      </c>
      <c r="AM1623" t="str">
        <f t="shared" ca="1" si="172"/>
        <v/>
      </c>
    </row>
    <row r="1624" spans="27:39" x14ac:dyDescent="0.3">
      <c r="AA1624" t="str">
        <f>IF(COUNTA('Procyflof 700'!A125,'Procyflof 700'!B125,'Procyflof 700'!C125)&gt;0,"700","")</f>
        <v/>
      </c>
      <c r="AB1624" t="str">
        <f>IFERROR(IF(ISNUMBER('Procyflof 700'!A125),'Procyflof 700'!A125,DATEVALUE('Procyflof 700'!A125)),"")</f>
        <v/>
      </c>
      <c r="AC1624" t="str">
        <f>IF(AA1624="","",'Procyflof 700'!B125)</f>
        <v/>
      </c>
      <c r="AD1624" t="str">
        <f>IF(AA1624="","",IFERROR(1*'Procyflof 700'!C125,IFERROR(_xludf.NUMBERVALUE('Procyflof 700'!C125,".",","),IFERROR(_xludf.NUMBERVALUE('Procyflof 700'!C125,",","."),0))))</f>
        <v/>
      </c>
      <c r="AE1624" t="str">
        <f>IF(AA1624="","",'Procyflof 700'!N125)</f>
        <v/>
      </c>
      <c r="AF1624">
        <f t="shared" si="167"/>
        <v>0</v>
      </c>
      <c r="AG1624" t="str">
        <f t="shared" si="168"/>
        <v/>
      </c>
      <c r="AH1624" t="str">
        <f t="shared" si="169"/>
        <v/>
      </c>
      <c r="AI1624">
        <f t="shared" si="170"/>
        <v>0</v>
      </c>
      <c r="AJ1624">
        <f t="shared" si="171"/>
        <v>0</v>
      </c>
      <c r="AK1624">
        <v>0</v>
      </c>
      <c r="AL1624" t="str">
        <f>IF(AA1624="","",IFERROR(IF(ISNUMBER('Procyflof 700'!D125),'Procyflof 700'!D125,IF(ISNUMBER(SEARCH("12",'Procyflof 700'!D125)),EDATE(AB1624,12),IF(ISNUMBER(SEARCH("6",'Procyflof 700'!D125)),EDATE(AB1624,6),IF(ISNUMBER(SEARCH("3",'Procyflof 700'!D125)),EDATE(AB1624,3),DATEVALUE('Procyflof 700'!D125))))),""))</f>
        <v/>
      </c>
      <c r="AM1624" t="str">
        <f t="shared" ca="1" si="172"/>
        <v/>
      </c>
    </row>
    <row r="1625" spans="27:39" x14ac:dyDescent="0.3">
      <c r="AA1625" t="str">
        <f>IF(COUNTA('Procyflof 700'!A126,'Procyflof 700'!B126,'Procyflof 700'!C126)&gt;0,"700","")</f>
        <v/>
      </c>
      <c r="AB1625" t="str">
        <f>IFERROR(IF(ISNUMBER('Procyflof 700'!A126),'Procyflof 700'!A126,DATEVALUE('Procyflof 700'!A126)),"")</f>
        <v/>
      </c>
      <c r="AC1625" t="str">
        <f>IF(AA1625="","",'Procyflof 700'!B126)</f>
        <v/>
      </c>
      <c r="AD1625" t="str">
        <f>IF(AA1625="","",IFERROR(1*'Procyflof 700'!C126,IFERROR(_xludf.NUMBERVALUE('Procyflof 700'!C126,".",","),IFERROR(_xludf.NUMBERVALUE('Procyflof 700'!C126,",","."),0))))</f>
        <v/>
      </c>
      <c r="AE1625" t="str">
        <f>IF(AA1625="","",'Procyflof 700'!N126)</f>
        <v/>
      </c>
      <c r="AF1625">
        <f t="shared" si="167"/>
        <v>0</v>
      </c>
      <c r="AG1625" t="str">
        <f t="shared" si="168"/>
        <v/>
      </c>
      <c r="AH1625" t="str">
        <f t="shared" si="169"/>
        <v/>
      </c>
      <c r="AI1625">
        <f t="shared" si="170"/>
        <v>0</v>
      </c>
      <c r="AJ1625">
        <f t="shared" si="171"/>
        <v>0</v>
      </c>
      <c r="AK1625">
        <v>0</v>
      </c>
      <c r="AL1625" t="str">
        <f>IF(AA1625="","",IFERROR(IF(ISNUMBER('Procyflof 700'!D126),'Procyflof 700'!D126,IF(ISNUMBER(SEARCH("12",'Procyflof 700'!D126)),EDATE(AB1625,12),IF(ISNUMBER(SEARCH("6",'Procyflof 700'!D126)),EDATE(AB1625,6),IF(ISNUMBER(SEARCH("3",'Procyflof 700'!D126)),EDATE(AB1625,3),DATEVALUE('Procyflof 700'!D126))))),""))</f>
        <v/>
      </c>
      <c r="AM1625" t="str">
        <f t="shared" ca="1" si="172"/>
        <v/>
      </c>
    </row>
    <row r="1626" spans="27:39" x14ac:dyDescent="0.3">
      <c r="AA1626" t="str">
        <f>IF(COUNTA('Procyflof 700'!A127,'Procyflof 700'!B127,'Procyflof 700'!C127)&gt;0,"700","")</f>
        <v/>
      </c>
      <c r="AB1626" t="str">
        <f>IFERROR(IF(ISNUMBER('Procyflof 700'!A127),'Procyflof 700'!A127,DATEVALUE('Procyflof 700'!A127)),"")</f>
        <v/>
      </c>
      <c r="AC1626" t="str">
        <f>IF(AA1626="","",'Procyflof 700'!B127)</f>
        <v/>
      </c>
      <c r="AD1626" t="str">
        <f>IF(AA1626="","",IFERROR(1*'Procyflof 700'!C127,IFERROR(_xludf.NUMBERVALUE('Procyflof 700'!C127,".",","),IFERROR(_xludf.NUMBERVALUE('Procyflof 700'!C127,",","."),0))))</f>
        <v/>
      </c>
      <c r="AE1626" t="str">
        <f>IF(AA1626="","",'Procyflof 700'!N127)</f>
        <v/>
      </c>
      <c r="AF1626">
        <f t="shared" si="167"/>
        <v>0</v>
      </c>
      <c r="AG1626" t="str">
        <f t="shared" si="168"/>
        <v/>
      </c>
      <c r="AH1626" t="str">
        <f t="shared" si="169"/>
        <v/>
      </c>
      <c r="AI1626">
        <f t="shared" si="170"/>
        <v>0</v>
      </c>
      <c r="AJ1626">
        <f t="shared" si="171"/>
        <v>0</v>
      </c>
      <c r="AK1626">
        <v>0</v>
      </c>
      <c r="AL1626" t="str">
        <f>IF(AA1626="","",IFERROR(IF(ISNUMBER('Procyflof 700'!D127),'Procyflof 700'!D127,IF(ISNUMBER(SEARCH("12",'Procyflof 700'!D127)),EDATE(AB1626,12),IF(ISNUMBER(SEARCH("6",'Procyflof 700'!D127)),EDATE(AB1626,6),IF(ISNUMBER(SEARCH("3",'Procyflof 700'!D127)),EDATE(AB1626,3),DATEVALUE('Procyflof 700'!D127))))),""))</f>
        <v/>
      </c>
      <c r="AM1626" t="str">
        <f t="shared" ca="1" si="172"/>
        <v/>
      </c>
    </row>
    <row r="1627" spans="27:39" x14ac:dyDescent="0.3">
      <c r="AA1627" t="str">
        <f>IF(COUNTA('Procyflof 700'!A128,'Procyflof 700'!B128,'Procyflof 700'!C128)&gt;0,"700","")</f>
        <v/>
      </c>
      <c r="AB1627" t="str">
        <f>IFERROR(IF(ISNUMBER('Procyflof 700'!A128),'Procyflof 700'!A128,DATEVALUE('Procyflof 700'!A128)),"")</f>
        <v/>
      </c>
      <c r="AC1627" t="str">
        <f>IF(AA1627="","",'Procyflof 700'!B128)</f>
        <v/>
      </c>
      <c r="AD1627" t="str">
        <f>IF(AA1627="","",IFERROR(1*'Procyflof 700'!C128,IFERROR(_xludf.NUMBERVALUE('Procyflof 700'!C128,".",","),IFERROR(_xludf.NUMBERVALUE('Procyflof 700'!C128,",","."),0))))</f>
        <v/>
      </c>
      <c r="AE1627" t="str">
        <f>IF(AA1627="","",'Procyflof 700'!N128)</f>
        <v/>
      </c>
      <c r="AF1627">
        <f t="shared" si="167"/>
        <v>0</v>
      </c>
      <c r="AG1627" t="str">
        <f t="shared" si="168"/>
        <v/>
      </c>
      <c r="AH1627" t="str">
        <f t="shared" si="169"/>
        <v/>
      </c>
      <c r="AI1627">
        <f t="shared" si="170"/>
        <v>0</v>
      </c>
      <c r="AJ1627">
        <f t="shared" si="171"/>
        <v>0</v>
      </c>
      <c r="AK1627">
        <v>0</v>
      </c>
      <c r="AL1627" t="str">
        <f>IF(AA1627="","",IFERROR(IF(ISNUMBER('Procyflof 700'!D128),'Procyflof 700'!D128,IF(ISNUMBER(SEARCH("12",'Procyflof 700'!D128)),EDATE(AB1627,12),IF(ISNUMBER(SEARCH("6",'Procyflof 700'!D128)),EDATE(AB1627,6),IF(ISNUMBER(SEARCH("3",'Procyflof 700'!D128)),EDATE(AB1627,3),DATEVALUE('Procyflof 700'!D128))))),""))</f>
        <v/>
      </c>
      <c r="AM1627" t="str">
        <f t="shared" ca="1" si="172"/>
        <v/>
      </c>
    </row>
    <row r="1628" spans="27:39" x14ac:dyDescent="0.3">
      <c r="AA1628" t="str">
        <f>IF(COUNTA('Procyflof 700'!A129,'Procyflof 700'!B129,'Procyflof 700'!C129)&gt;0,"700","")</f>
        <v/>
      </c>
      <c r="AB1628" t="str">
        <f>IFERROR(IF(ISNUMBER('Procyflof 700'!A129),'Procyflof 700'!A129,DATEVALUE('Procyflof 700'!A129)),"")</f>
        <v/>
      </c>
      <c r="AC1628" t="str">
        <f>IF(AA1628="","",'Procyflof 700'!B129)</f>
        <v/>
      </c>
      <c r="AD1628" t="str">
        <f>IF(AA1628="","",IFERROR(1*'Procyflof 700'!C129,IFERROR(_xludf.NUMBERVALUE('Procyflof 700'!C129,".",","),IFERROR(_xludf.NUMBERVALUE('Procyflof 700'!C129,",","."),0))))</f>
        <v/>
      </c>
      <c r="AE1628" t="str">
        <f>IF(AA1628="","",'Procyflof 700'!N129)</f>
        <v/>
      </c>
      <c r="AF1628">
        <f t="shared" si="167"/>
        <v>0</v>
      </c>
      <c r="AG1628" t="str">
        <f t="shared" si="168"/>
        <v/>
      </c>
      <c r="AH1628" t="str">
        <f t="shared" si="169"/>
        <v/>
      </c>
      <c r="AI1628">
        <f t="shared" si="170"/>
        <v>0</v>
      </c>
      <c r="AJ1628">
        <f t="shared" si="171"/>
        <v>0</v>
      </c>
      <c r="AK1628">
        <v>0</v>
      </c>
      <c r="AL1628" t="str">
        <f>IF(AA1628="","",IFERROR(IF(ISNUMBER('Procyflof 700'!D129),'Procyflof 700'!D129,IF(ISNUMBER(SEARCH("12",'Procyflof 700'!D129)),EDATE(AB1628,12),IF(ISNUMBER(SEARCH("6",'Procyflof 700'!D129)),EDATE(AB1628,6),IF(ISNUMBER(SEARCH("3",'Procyflof 700'!D129)),EDATE(AB1628,3),DATEVALUE('Procyflof 700'!D129))))),""))</f>
        <v/>
      </c>
      <c r="AM1628" t="str">
        <f t="shared" ca="1" si="172"/>
        <v/>
      </c>
    </row>
    <row r="1629" spans="27:39" x14ac:dyDescent="0.3">
      <c r="AA1629" t="str">
        <f>IF(COUNTA('Procyflof 700'!A130,'Procyflof 700'!B130,'Procyflof 700'!C130)&gt;0,"700","")</f>
        <v/>
      </c>
      <c r="AB1629" t="str">
        <f>IFERROR(IF(ISNUMBER('Procyflof 700'!A130),'Procyflof 700'!A130,DATEVALUE('Procyflof 700'!A130)),"")</f>
        <v/>
      </c>
      <c r="AC1629" t="str">
        <f>IF(AA1629="","",'Procyflof 700'!B130)</f>
        <v/>
      </c>
      <c r="AD1629" t="str">
        <f>IF(AA1629="","",IFERROR(1*'Procyflof 700'!C130,IFERROR(_xludf.NUMBERVALUE('Procyflof 700'!C130,".",","),IFERROR(_xludf.NUMBERVALUE('Procyflof 700'!C130,",","."),0))))</f>
        <v/>
      </c>
      <c r="AE1629" t="str">
        <f>IF(AA1629="","",'Procyflof 700'!N130)</f>
        <v/>
      </c>
      <c r="AF1629">
        <f t="shared" si="167"/>
        <v>0</v>
      </c>
      <c r="AG1629" t="str">
        <f t="shared" si="168"/>
        <v/>
      </c>
      <c r="AH1629" t="str">
        <f t="shared" si="169"/>
        <v/>
      </c>
      <c r="AI1629">
        <f t="shared" si="170"/>
        <v>0</v>
      </c>
      <c r="AJ1629">
        <f t="shared" si="171"/>
        <v>0</v>
      </c>
      <c r="AK1629">
        <v>0</v>
      </c>
      <c r="AL1629" t="str">
        <f>IF(AA1629="","",IFERROR(IF(ISNUMBER('Procyflof 700'!D130),'Procyflof 700'!D130,IF(ISNUMBER(SEARCH("12",'Procyflof 700'!D130)),EDATE(AB1629,12),IF(ISNUMBER(SEARCH("6",'Procyflof 700'!D130)),EDATE(AB1629,6),IF(ISNUMBER(SEARCH("3",'Procyflof 700'!D130)),EDATE(AB1629,3),DATEVALUE('Procyflof 700'!D130))))),""))</f>
        <v/>
      </c>
      <c r="AM1629" t="str">
        <f t="shared" ca="1" si="172"/>
        <v/>
      </c>
    </row>
    <row r="1630" spans="27:39" x14ac:dyDescent="0.3">
      <c r="AA1630" t="str">
        <f>IF(COUNTA('Procyflof 700'!A131,'Procyflof 700'!B131,'Procyflof 700'!C131)&gt;0,"700","")</f>
        <v/>
      </c>
      <c r="AB1630" t="str">
        <f>IFERROR(IF(ISNUMBER('Procyflof 700'!A131),'Procyflof 700'!A131,DATEVALUE('Procyflof 700'!A131)),"")</f>
        <v/>
      </c>
      <c r="AC1630" t="str">
        <f>IF(AA1630="","",'Procyflof 700'!B131)</f>
        <v/>
      </c>
      <c r="AD1630" t="str">
        <f>IF(AA1630="","",IFERROR(1*'Procyflof 700'!C131,IFERROR(_xludf.NUMBERVALUE('Procyflof 700'!C131,".",","),IFERROR(_xludf.NUMBERVALUE('Procyflof 700'!C131,",","."),0))))</f>
        <v/>
      </c>
      <c r="AE1630" t="str">
        <f>IF(AA1630="","",'Procyflof 700'!N131)</f>
        <v/>
      </c>
      <c r="AF1630">
        <f t="shared" si="167"/>
        <v>0</v>
      </c>
      <c r="AG1630" t="str">
        <f t="shared" si="168"/>
        <v/>
      </c>
      <c r="AH1630" t="str">
        <f t="shared" si="169"/>
        <v/>
      </c>
      <c r="AI1630">
        <f t="shared" si="170"/>
        <v>0</v>
      </c>
      <c r="AJ1630">
        <f t="shared" si="171"/>
        <v>0</v>
      </c>
      <c r="AK1630">
        <v>0</v>
      </c>
      <c r="AL1630" t="str">
        <f>IF(AA1630="","",IFERROR(IF(ISNUMBER('Procyflof 700'!D131),'Procyflof 700'!D131,IF(ISNUMBER(SEARCH("12",'Procyflof 700'!D131)),EDATE(AB1630,12),IF(ISNUMBER(SEARCH("6",'Procyflof 700'!D131)),EDATE(AB1630,6),IF(ISNUMBER(SEARCH("3",'Procyflof 700'!D131)),EDATE(AB1630,3),DATEVALUE('Procyflof 700'!D131))))),""))</f>
        <v/>
      </c>
      <c r="AM1630" t="str">
        <f t="shared" ca="1" si="172"/>
        <v/>
      </c>
    </row>
    <row r="1631" spans="27:39" x14ac:dyDescent="0.3">
      <c r="AA1631" t="str">
        <f>IF(COUNTA('Procyflof 700'!A132,'Procyflof 700'!B132,'Procyflof 700'!C132)&gt;0,"700","")</f>
        <v/>
      </c>
      <c r="AB1631" t="str">
        <f>IFERROR(IF(ISNUMBER('Procyflof 700'!A132),'Procyflof 700'!A132,DATEVALUE('Procyflof 700'!A132)),"")</f>
        <v/>
      </c>
      <c r="AC1631" t="str">
        <f>IF(AA1631="","",'Procyflof 700'!B132)</f>
        <v/>
      </c>
      <c r="AD1631" t="str">
        <f>IF(AA1631="","",IFERROR(1*'Procyflof 700'!C132,IFERROR(_xludf.NUMBERVALUE('Procyflof 700'!C132,".",","),IFERROR(_xludf.NUMBERVALUE('Procyflof 700'!C132,",","."),0))))</f>
        <v/>
      </c>
      <c r="AE1631" t="str">
        <f>IF(AA1631="","",'Procyflof 700'!N132)</f>
        <v/>
      </c>
      <c r="AF1631">
        <f t="shared" si="167"/>
        <v>0</v>
      </c>
      <c r="AG1631" t="str">
        <f t="shared" si="168"/>
        <v/>
      </c>
      <c r="AH1631" t="str">
        <f t="shared" si="169"/>
        <v/>
      </c>
      <c r="AI1631">
        <f t="shared" si="170"/>
        <v>0</v>
      </c>
      <c r="AJ1631">
        <f t="shared" si="171"/>
        <v>0</v>
      </c>
      <c r="AK1631">
        <v>0</v>
      </c>
      <c r="AL1631" t="str">
        <f>IF(AA1631="","",IFERROR(IF(ISNUMBER('Procyflof 700'!D132),'Procyflof 700'!D132,IF(ISNUMBER(SEARCH("12",'Procyflof 700'!D132)),EDATE(AB1631,12),IF(ISNUMBER(SEARCH("6",'Procyflof 700'!D132)),EDATE(AB1631,6),IF(ISNUMBER(SEARCH("3",'Procyflof 700'!D132)),EDATE(AB1631,3),DATEVALUE('Procyflof 700'!D132))))),""))</f>
        <v/>
      </c>
      <c r="AM1631" t="str">
        <f t="shared" ca="1" si="172"/>
        <v/>
      </c>
    </row>
    <row r="1632" spans="27:39" x14ac:dyDescent="0.3">
      <c r="AA1632" t="str">
        <f>IF(COUNTA('Procyflof 700'!A133,'Procyflof 700'!B133,'Procyflof 700'!C133)&gt;0,"700","")</f>
        <v/>
      </c>
      <c r="AB1632" t="str">
        <f>IFERROR(IF(ISNUMBER('Procyflof 700'!A133),'Procyflof 700'!A133,DATEVALUE('Procyflof 700'!A133)),"")</f>
        <v/>
      </c>
      <c r="AC1632" t="str">
        <f>IF(AA1632="","",'Procyflof 700'!B133)</f>
        <v/>
      </c>
      <c r="AD1632" t="str">
        <f>IF(AA1632="","",IFERROR(1*'Procyflof 700'!C133,IFERROR(_xludf.NUMBERVALUE('Procyflof 700'!C133,".",","),IFERROR(_xludf.NUMBERVALUE('Procyflof 700'!C133,",","."),0))))</f>
        <v/>
      </c>
      <c r="AE1632" t="str">
        <f>IF(AA1632="","",'Procyflof 700'!N133)</f>
        <v/>
      </c>
      <c r="AF1632">
        <f t="shared" si="167"/>
        <v>0</v>
      </c>
      <c r="AG1632" t="str">
        <f t="shared" si="168"/>
        <v/>
      </c>
      <c r="AH1632" t="str">
        <f t="shared" si="169"/>
        <v/>
      </c>
      <c r="AI1632">
        <f t="shared" si="170"/>
        <v>0</v>
      </c>
      <c r="AJ1632">
        <f t="shared" si="171"/>
        <v>0</v>
      </c>
      <c r="AK1632">
        <v>0</v>
      </c>
      <c r="AL1632" t="str">
        <f>IF(AA1632="","",IFERROR(IF(ISNUMBER('Procyflof 700'!D133),'Procyflof 700'!D133,IF(ISNUMBER(SEARCH("12",'Procyflof 700'!D133)),EDATE(AB1632,12),IF(ISNUMBER(SEARCH("6",'Procyflof 700'!D133)),EDATE(AB1632,6),IF(ISNUMBER(SEARCH("3",'Procyflof 700'!D133)),EDATE(AB1632,3),DATEVALUE('Procyflof 700'!D133))))),""))</f>
        <v/>
      </c>
      <c r="AM1632" t="str">
        <f t="shared" ca="1" si="172"/>
        <v/>
      </c>
    </row>
    <row r="1633" spans="27:39" x14ac:dyDescent="0.3">
      <c r="AA1633" t="str">
        <f>IF(COUNTA('Procyflof 700'!A134,'Procyflof 700'!B134,'Procyflof 700'!C134)&gt;0,"700","")</f>
        <v/>
      </c>
      <c r="AB1633" t="str">
        <f>IFERROR(IF(ISNUMBER('Procyflof 700'!A134),'Procyflof 700'!A134,DATEVALUE('Procyflof 700'!A134)),"")</f>
        <v/>
      </c>
      <c r="AC1633" t="str">
        <f>IF(AA1633="","",'Procyflof 700'!B134)</f>
        <v/>
      </c>
      <c r="AD1633" t="str">
        <f>IF(AA1633="","",IFERROR(1*'Procyflof 700'!C134,IFERROR(_xludf.NUMBERVALUE('Procyflof 700'!C134,".",","),IFERROR(_xludf.NUMBERVALUE('Procyflof 700'!C134,",","."),0))))</f>
        <v/>
      </c>
      <c r="AE1633" t="str">
        <f>IF(AA1633="","",'Procyflof 700'!N134)</f>
        <v/>
      </c>
      <c r="AF1633">
        <f t="shared" si="167"/>
        <v>0</v>
      </c>
      <c r="AG1633" t="str">
        <f t="shared" si="168"/>
        <v/>
      </c>
      <c r="AH1633" t="str">
        <f t="shared" si="169"/>
        <v/>
      </c>
      <c r="AI1633">
        <f t="shared" si="170"/>
        <v>0</v>
      </c>
      <c r="AJ1633">
        <f t="shared" si="171"/>
        <v>0</v>
      </c>
      <c r="AK1633">
        <v>0</v>
      </c>
      <c r="AL1633" t="str">
        <f>IF(AA1633="","",IFERROR(IF(ISNUMBER('Procyflof 700'!D134),'Procyflof 700'!D134,IF(ISNUMBER(SEARCH("12",'Procyflof 700'!D134)),EDATE(AB1633,12),IF(ISNUMBER(SEARCH("6",'Procyflof 700'!D134)),EDATE(AB1633,6),IF(ISNUMBER(SEARCH("3",'Procyflof 700'!D134)),EDATE(AB1633,3),DATEVALUE('Procyflof 700'!D134))))),""))</f>
        <v/>
      </c>
      <c r="AM1633" t="str">
        <f t="shared" ca="1" si="172"/>
        <v/>
      </c>
    </row>
    <row r="1634" spans="27:39" x14ac:dyDescent="0.3">
      <c r="AA1634" t="str">
        <f>IF(COUNTA('Procyflof 700'!A135,'Procyflof 700'!B135,'Procyflof 700'!C135)&gt;0,"700","")</f>
        <v/>
      </c>
      <c r="AB1634" t="str">
        <f>IFERROR(IF(ISNUMBER('Procyflof 700'!A135),'Procyflof 700'!A135,DATEVALUE('Procyflof 700'!A135)),"")</f>
        <v/>
      </c>
      <c r="AC1634" t="str">
        <f>IF(AA1634="","",'Procyflof 700'!B135)</f>
        <v/>
      </c>
      <c r="AD1634" t="str">
        <f>IF(AA1634="","",IFERROR(1*'Procyflof 700'!C135,IFERROR(_xludf.NUMBERVALUE('Procyflof 700'!C135,".",","),IFERROR(_xludf.NUMBERVALUE('Procyflof 700'!C135,",","."),0))))</f>
        <v/>
      </c>
      <c r="AE1634" t="str">
        <f>IF(AA1634="","",'Procyflof 700'!N135)</f>
        <v/>
      </c>
      <c r="AF1634">
        <f t="shared" si="167"/>
        <v>0</v>
      </c>
      <c r="AG1634" t="str">
        <f t="shared" si="168"/>
        <v/>
      </c>
      <c r="AH1634" t="str">
        <f t="shared" si="169"/>
        <v/>
      </c>
      <c r="AI1634">
        <f t="shared" si="170"/>
        <v>0</v>
      </c>
      <c r="AJ1634">
        <f t="shared" si="171"/>
        <v>0</v>
      </c>
      <c r="AK1634">
        <v>0</v>
      </c>
      <c r="AL1634" t="str">
        <f>IF(AA1634="","",IFERROR(IF(ISNUMBER('Procyflof 700'!D135),'Procyflof 700'!D135,IF(ISNUMBER(SEARCH("12",'Procyflof 700'!D135)),EDATE(AB1634,12),IF(ISNUMBER(SEARCH("6",'Procyflof 700'!D135)),EDATE(AB1634,6),IF(ISNUMBER(SEARCH("3",'Procyflof 700'!D135)),EDATE(AB1634,3),DATEVALUE('Procyflof 700'!D135))))),""))</f>
        <v/>
      </c>
      <c r="AM1634" t="str">
        <f t="shared" ca="1" si="172"/>
        <v/>
      </c>
    </row>
    <row r="1635" spans="27:39" x14ac:dyDescent="0.3">
      <c r="AA1635" t="str">
        <f>IF(COUNTA('Procyflof 700'!A136,'Procyflof 700'!B136,'Procyflof 700'!C136)&gt;0,"700","")</f>
        <v/>
      </c>
      <c r="AB1635" t="str">
        <f>IFERROR(IF(ISNUMBER('Procyflof 700'!A136),'Procyflof 700'!A136,DATEVALUE('Procyflof 700'!A136)),"")</f>
        <v/>
      </c>
      <c r="AC1635" t="str">
        <f>IF(AA1635="","",'Procyflof 700'!B136)</f>
        <v/>
      </c>
      <c r="AD1635" t="str">
        <f>IF(AA1635="","",IFERROR(1*'Procyflof 700'!C136,IFERROR(_xludf.NUMBERVALUE('Procyflof 700'!C136,".",","),IFERROR(_xludf.NUMBERVALUE('Procyflof 700'!C136,",","."),0))))</f>
        <v/>
      </c>
      <c r="AE1635" t="str">
        <f>IF(AA1635="","",'Procyflof 700'!N136)</f>
        <v/>
      </c>
      <c r="AF1635">
        <f t="shared" si="167"/>
        <v>0</v>
      </c>
      <c r="AG1635" t="str">
        <f t="shared" si="168"/>
        <v/>
      </c>
      <c r="AH1635" t="str">
        <f t="shared" si="169"/>
        <v/>
      </c>
      <c r="AI1635">
        <f t="shared" si="170"/>
        <v>0</v>
      </c>
      <c r="AJ1635">
        <f t="shared" si="171"/>
        <v>0</v>
      </c>
      <c r="AK1635">
        <v>0</v>
      </c>
      <c r="AL1635" t="str">
        <f>IF(AA1635="","",IFERROR(IF(ISNUMBER('Procyflof 700'!D136),'Procyflof 700'!D136,IF(ISNUMBER(SEARCH("12",'Procyflof 700'!D136)),EDATE(AB1635,12),IF(ISNUMBER(SEARCH("6",'Procyflof 700'!D136)),EDATE(AB1635,6),IF(ISNUMBER(SEARCH("3",'Procyflof 700'!D136)),EDATE(AB1635,3),DATEVALUE('Procyflof 700'!D136))))),""))</f>
        <v/>
      </c>
      <c r="AM1635" t="str">
        <f t="shared" ca="1" si="172"/>
        <v/>
      </c>
    </row>
    <row r="1636" spans="27:39" x14ac:dyDescent="0.3">
      <c r="AA1636" t="str">
        <f>IF(COUNTA('Procyflof 700'!A137,'Procyflof 700'!B137,'Procyflof 700'!C137)&gt;0,"700","")</f>
        <v/>
      </c>
      <c r="AB1636" t="str">
        <f>IFERROR(IF(ISNUMBER('Procyflof 700'!A137),'Procyflof 700'!A137,DATEVALUE('Procyflof 700'!A137)),"")</f>
        <v/>
      </c>
      <c r="AC1636" t="str">
        <f>IF(AA1636="","",'Procyflof 700'!B137)</f>
        <v/>
      </c>
      <c r="AD1636" t="str">
        <f>IF(AA1636="","",IFERROR(1*'Procyflof 700'!C137,IFERROR(_xludf.NUMBERVALUE('Procyflof 700'!C137,".",","),IFERROR(_xludf.NUMBERVALUE('Procyflof 700'!C137,",","."),0))))</f>
        <v/>
      </c>
      <c r="AE1636" t="str">
        <f>IF(AA1636="","",'Procyflof 700'!N137)</f>
        <v/>
      </c>
      <c r="AF1636">
        <f t="shared" si="167"/>
        <v>0</v>
      </c>
      <c r="AG1636" t="str">
        <f t="shared" si="168"/>
        <v/>
      </c>
      <c r="AH1636" t="str">
        <f t="shared" si="169"/>
        <v/>
      </c>
      <c r="AI1636">
        <f t="shared" si="170"/>
        <v>0</v>
      </c>
      <c r="AJ1636">
        <f t="shared" si="171"/>
        <v>0</v>
      </c>
      <c r="AK1636">
        <v>0</v>
      </c>
      <c r="AL1636" t="str">
        <f>IF(AA1636="","",IFERROR(IF(ISNUMBER('Procyflof 700'!D137),'Procyflof 700'!D137,IF(ISNUMBER(SEARCH("12",'Procyflof 700'!D137)),EDATE(AB1636,12),IF(ISNUMBER(SEARCH("6",'Procyflof 700'!D137)),EDATE(AB1636,6),IF(ISNUMBER(SEARCH("3",'Procyflof 700'!D137)),EDATE(AB1636,3),DATEVALUE('Procyflof 700'!D137))))),""))</f>
        <v/>
      </c>
      <c r="AM1636" t="str">
        <f t="shared" ca="1" si="172"/>
        <v/>
      </c>
    </row>
    <row r="1637" spans="27:39" x14ac:dyDescent="0.3">
      <c r="AA1637" t="str">
        <f>IF(COUNTA('Procyflof 700'!A138,'Procyflof 700'!B138,'Procyflof 700'!C138)&gt;0,"700","")</f>
        <v/>
      </c>
      <c r="AB1637" t="str">
        <f>IFERROR(IF(ISNUMBER('Procyflof 700'!A138),'Procyflof 700'!A138,DATEVALUE('Procyflof 700'!A138)),"")</f>
        <v/>
      </c>
      <c r="AC1637" t="str">
        <f>IF(AA1637="","",'Procyflof 700'!B138)</f>
        <v/>
      </c>
      <c r="AD1637" t="str">
        <f>IF(AA1637="","",IFERROR(1*'Procyflof 700'!C138,IFERROR(_xludf.NUMBERVALUE('Procyflof 700'!C138,".",","),IFERROR(_xludf.NUMBERVALUE('Procyflof 700'!C138,",","."),0))))</f>
        <v/>
      </c>
      <c r="AE1637" t="str">
        <f>IF(AA1637="","",'Procyflof 700'!N138)</f>
        <v/>
      </c>
      <c r="AF1637">
        <f t="shared" si="167"/>
        <v>0</v>
      </c>
      <c r="AG1637" t="str">
        <f t="shared" si="168"/>
        <v/>
      </c>
      <c r="AH1637" t="str">
        <f t="shared" si="169"/>
        <v/>
      </c>
      <c r="AI1637">
        <f t="shared" si="170"/>
        <v>0</v>
      </c>
      <c r="AJ1637">
        <f t="shared" si="171"/>
        <v>0</v>
      </c>
      <c r="AK1637">
        <v>0</v>
      </c>
      <c r="AL1637" t="str">
        <f>IF(AA1637="","",IFERROR(IF(ISNUMBER('Procyflof 700'!D138),'Procyflof 700'!D138,IF(ISNUMBER(SEARCH("12",'Procyflof 700'!D138)),EDATE(AB1637,12),IF(ISNUMBER(SEARCH("6",'Procyflof 700'!D138)),EDATE(AB1637,6),IF(ISNUMBER(SEARCH("3",'Procyflof 700'!D138)),EDATE(AB1637,3),DATEVALUE('Procyflof 700'!D138))))),""))</f>
        <v/>
      </c>
      <c r="AM1637" t="str">
        <f t="shared" ca="1" si="172"/>
        <v/>
      </c>
    </row>
    <row r="1638" spans="27:39" x14ac:dyDescent="0.3">
      <c r="AA1638" t="str">
        <f>IF(COUNTA('Procyflof 700'!A139,'Procyflof 700'!B139,'Procyflof 700'!C139)&gt;0,"700","")</f>
        <v/>
      </c>
      <c r="AB1638" t="str">
        <f>IFERROR(IF(ISNUMBER('Procyflof 700'!A139),'Procyflof 700'!A139,DATEVALUE('Procyflof 700'!A139)),"")</f>
        <v/>
      </c>
      <c r="AC1638" t="str">
        <f>IF(AA1638="","",'Procyflof 700'!B139)</f>
        <v/>
      </c>
      <c r="AD1638" t="str">
        <f>IF(AA1638="","",IFERROR(1*'Procyflof 700'!C139,IFERROR(_xludf.NUMBERVALUE('Procyflof 700'!C139,".",","),IFERROR(_xludf.NUMBERVALUE('Procyflof 700'!C139,",","."),0))))</f>
        <v/>
      </c>
      <c r="AE1638" t="str">
        <f>IF(AA1638="","",'Procyflof 700'!N139)</f>
        <v/>
      </c>
      <c r="AF1638">
        <f t="shared" si="167"/>
        <v>0</v>
      </c>
      <c r="AG1638" t="str">
        <f t="shared" si="168"/>
        <v/>
      </c>
      <c r="AH1638" t="str">
        <f t="shared" si="169"/>
        <v/>
      </c>
      <c r="AI1638">
        <f t="shared" si="170"/>
        <v>0</v>
      </c>
      <c r="AJ1638">
        <f t="shared" si="171"/>
        <v>0</v>
      </c>
      <c r="AK1638">
        <v>0</v>
      </c>
      <c r="AL1638" t="str">
        <f>IF(AA1638="","",IFERROR(IF(ISNUMBER('Procyflof 700'!D139),'Procyflof 700'!D139,IF(ISNUMBER(SEARCH("12",'Procyflof 700'!D139)),EDATE(AB1638,12),IF(ISNUMBER(SEARCH("6",'Procyflof 700'!D139)),EDATE(AB1638,6),IF(ISNUMBER(SEARCH("3",'Procyflof 700'!D139)),EDATE(AB1638,3),DATEVALUE('Procyflof 700'!D139))))),""))</f>
        <v/>
      </c>
      <c r="AM1638" t="str">
        <f t="shared" ca="1" si="172"/>
        <v/>
      </c>
    </row>
    <row r="1639" spans="27:39" x14ac:dyDescent="0.3">
      <c r="AA1639" t="str">
        <f>IF(COUNTA('Procyflof 700'!A140,'Procyflof 700'!B140,'Procyflof 700'!C140)&gt;0,"700","")</f>
        <v/>
      </c>
      <c r="AB1639" t="str">
        <f>IFERROR(IF(ISNUMBER('Procyflof 700'!A140),'Procyflof 700'!A140,DATEVALUE('Procyflof 700'!A140)),"")</f>
        <v/>
      </c>
      <c r="AC1639" t="str">
        <f>IF(AA1639="","",'Procyflof 700'!B140)</f>
        <v/>
      </c>
      <c r="AD1639" t="str">
        <f>IF(AA1639="","",IFERROR(1*'Procyflof 700'!C140,IFERROR(_xludf.NUMBERVALUE('Procyflof 700'!C140,".",","),IFERROR(_xludf.NUMBERVALUE('Procyflof 700'!C140,",","."),0))))</f>
        <v/>
      </c>
      <c r="AE1639" t="str">
        <f>IF(AA1639="","",'Procyflof 700'!N140)</f>
        <v/>
      </c>
      <c r="AF1639">
        <f t="shared" si="167"/>
        <v>0</v>
      </c>
      <c r="AG1639" t="str">
        <f t="shared" si="168"/>
        <v/>
      </c>
      <c r="AH1639" t="str">
        <f t="shared" si="169"/>
        <v/>
      </c>
      <c r="AI1639">
        <f t="shared" si="170"/>
        <v>0</v>
      </c>
      <c r="AJ1639">
        <f t="shared" si="171"/>
        <v>0</v>
      </c>
      <c r="AK1639">
        <v>0</v>
      </c>
      <c r="AL1639" t="str">
        <f>IF(AA1639="","",IFERROR(IF(ISNUMBER('Procyflof 700'!D140),'Procyflof 700'!D140,IF(ISNUMBER(SEARCH("12",'Procyflof 700'!D140)),EDATE(AB1639,12),IF(ISNUMBER(SEARCH("6",'Procyflof 700'!D140)),EDATE(AB1639,6),IF(ISNUMBER(SEARCH("3",'Procyflof 700'!D140)),EDATE(AB1639,3),DATEVALUE('Procyflof 700'!D140))))),""))</f>
        <v/>
      </c>
      <c r="AM1639" t="str">
        <f t="shared" ca="1" si="172"/>
        <v/>
      </c>
    </row>
    <row r="1640" spans="27:39" x14ac:dyDescent="0.3">
      <c r="AA1640" t="str">
        <f>IF(COUNTA('Procyflof 700'!A141,'Procyflof 700'!B141,'Procyflof 700'!C141)&gt;0,"700","")</f>
        <v/>
      </c>
      <c r="AB1640" t="str">
        <f>IFERROR(IF(ISNUMBER('Procyflof 700'!A141),'Procyflof 700'!A141,DATEVALUE('Procyflof 700'!A141)),"")</f>
        <v/>
      </c>
      <c r="AC1640" t="str">
        <f>IF(AA1640="","",'Procyflof 700'!B141)</f>
        <v/>
      </c>
      <c r="AD1640" t="str">
        <f>IF(AA1640="","",IFERROR(1*'Procyflof 700'!C141,IFERROR(_xludf.NUMBERVALUE('Procyflof 700'!C141,".",","),IFERROR(_xludf.NUMBERVALUE('Procyflof 700'!C141,",","."),0))))</f>
        <v/>
      </c>
      <c r="AE1640" t="str">
        <f>IF(AA1640="","",'Procyflof 700'!N141)</f>
        <v/>
      </c>
      <c r="AF1640">
        <f t="shared" si="167"/>
        <v>0</v>
      </c>
      <c r="AG1640" t="str">
        <f t="shared" si="168"/>
        <v/>
      </c>
      <c r="AH1640" t="str">
        <f t="shared" si="169"/>
        <v/>
      </c>
      <c r="AI1640">
        <f t="shared" si="170"/>
        <v>0</v>
      </c>
      <c r="AJ1640">
        <f t="shared" si="171"/>
        <v>0</v>
      </c>
      <c r="AK1640">
        <v>0</v>
      </c>
      <c r="AL1640" t="str">
        <f>IF(AA1640="","",IFERROR(IF(ISNUMBER('Procyflof 700'!D141),'Procyflof 700'!D141,IF(ISNUMBER(SEARCH("12",'Procyflof 700'!D141)),EDATE(AB1640,12),IF(ISNUMBER(SEARCH("6",'Procyflof 700'!D141)),EDATE(AB1640,6),IF(ISNUMBER(SEARCH("3",'Procyflof 700'!D141)),EDATE(AB1640,3),DATEVALUE('Procyflof 700'!D141))))),""))</f>
        <v/>
      </c>
      <c r="AM1640" t="str">
        <f t="shared" ca="1" si="172"/>
        <v/>
      </c>
    </row>
    <row r="1641" spans="27:39" x14ac:dyDescent="0.3">
      <c r="AA1641" t="str">
        <f>IF(COUNTA('Procyflof 700'!A142,'Procyflof 700'!B142,'Procyflof 700'!C142)&gt;0,"700","")</f>
        <v/>
      </c>
      <c r="AB1641" t="str">
        <f>IFERROR(IF(ISNUMBER('Procyflof 700'!A142),'Procyflof 700'!A142,DATEVALUE('Procyflof 700'!A142)),"")</f>
        <v/>
      </c>
      <c r="AC1641" t="str">
        <f>IF(AA1641="","",'Procyflof 700'!B142)</f>
        <v/>
      </c>
      <c r="AD1641" t="str">
        <f>IF(AA1641="","",IFERROR(1*'Procyflof 700'!C142,IFERROR(_xludf.NUMBERVALUE('Procyflof 700'!C142,".",","),IFERROR(_xludf.NUMBERVALUE('Procyflof 700'!C142,",","."),0))))</f>
        <v/>
      </c>
      <c r="AE1641" t="str">
        <f>IF(AA1641="","",'Procyflof 700'!N142)</f>
        <v/>
      </c>
      <c r="AF1641">
        <f t="shared" si="167"/>
        <v>0</v>
      </c>
      <c r="AG1641" t="str">
        <f t="shared" si="168"/>
        <v/>
      </c>
      <c r="AH1641" t="str">
        <f t="shared" si="169"/>
        <v/>
      </c>
      <c r="AI1641">
        <f t="shared" si="170"/>
        <v>0</v>
      </c>
      <c r="AJ1641">
        <f t="shared" si="171"/>
        <v>0</v>
      </c>
      <c r="AK1641">
        <v>0</v>
      </c>
      <c r="AL1641" t="str">
        <f>IF(AA1641="","",IFERROR(IF(ISNUMBER('Procyflof 700'!D142),'Procyflof 700'!D142,IF(ISNUMBER(SEARCH("12",'Procyflof 700'!D142)),EDATE(AB1641,12),IF(ISNUMBER(SEARCH("6",'Procyflof 700'!D142)),EDATE(AB1641,6),IF(ISNUMBER(SEARCH("3",'Procyflof 700'!D142)),EDATE(AB1641,3),DATEVALUE('Procyflof 700'!D142))))),""))</f>
        <v/>
      </c>
      <c r="AM1641" t="str">
        <f t="shared" ca="1" si="172"/>
        <v/>
      </c>
    </row>
    <row r="1642" spans="27:39" x14ac:dyDescent="0.3">
      <c r="AA1642" t="str">
        <f>IF(COUNTA('Procyflof 700'!A143,'Procyflof 700'!B143,'Procyflof 700'!C143)&gt;0,"700","")</f>
        <v/>
      </c>
      <c r="AB1642" t="str">
        <f>IFERROR(IF(ISNUMBER('Procyflof 700'!A143),'Procyflof 700'!A143,DATEVALUE('Procyflof 700'!A143)),"")</f>
        <v/>
      </c>
      <c r="AC1642" t="str">
        <f>IF(AA1642="","",'Procyflof 700'!B143)</f>
        <v/>
      </c>
      <c r="AD1642" t="str">
        <f>IF(AA1642="","",IFERROR(1*'Procyflof 700'!C143,IFERROR(_xludf.NUMBERVALUE('Procyflof 700'!C143,".",","),IFERROR(_xludf.NUMBERVALUE('Procyflof 700'!C143,",","."),0))))</f>
        <v/>
      </c>
      <c r="AE1642" t="str">
        <f>IF(AA1642="","",'Procyflof 700'!N143)</f>
        <v/>
      </c>
      <c r="AF1642">
        <f t="shared" si="167"/>
        <v>0</v>
      </c>
      <c r="AG1642" t="str">
        <f t="shared" si="168"/>
        <v/>
      </c>
      <c r="AH1642" t="str">
        <f t="shared" si="169"/>
        <v/>
      </c>
      <c r="AI1642">
        <f t="shared" si="170"/>
        <v>0</v>
      </c>
      <c r="AJ1642">
        <f t="shared" si="171"/>
        <v>0</v>
      </c>
      <c r="AK1642">
        <v>0</v>
      </c>
      <c r="AL1642" t="str">
        <f>IF(AA1642="","",IFERROR(IF(ISNUMBER('Procyflof 700'!D143),'Procyflof 700'!D143,IF(ISNUMBER(SEARCH("12",'Procyflof 700'!D143)),EDATE(AB1642,12),IF(ISNUMBER(SEARCH("6",'Procyflof 700'!D143)),EDATE(AB1642,6),IF(ISNUMBER(SEARCH("3",'Procyflof 700'!D143)),EDATE(AB1642,3),DATEVALUE('Procyflof 700'!D143))))),""))</f>
        <v/>
      </c>
      <c r="AM1642" t="str">
        <f t="shared" ca="1" si="172"/>
        <v/>
      </c>
    </row>
    <row r="1643" spans="27:39" x14ac:dyDescent="0.3">
      <c r="AA1643" t="str">
        <f>IF(COUNTA('Procyflof 700'!A144,'Procyflof 700'!B144,'Procyflof 700'!C144)&gt;0,"700","")</f>
        <v/>
      </c>
      <c r="AB1643" t="str">
        <f>IFERROR(IF(ISNUMBER('Procyflof 700'!A144),'Procyflof 700'!A144,DATEVALUE('Procyflof 700'!A144)),"")</f>
        <v/>
      </c>
      <c r="AC1643" t="str">
        <f>IF(AA1643="","",'Procyflof 700'!B144)</f>
        <v/>
      </c>
      <c r="AD1643" t="str">
        <f>IF(AA1643="","",IFERROR(1*'Procyflof 700'!C144,IFERROR(_xludf.NUMBERVALUE('Procyflof 700'!C144,".",","),IFERROR(_xludf.NUMBERVALUE('Procyflof 700'!C144,",","."),0))))</f>
        <v/>
      </c>
      <c r="AE1643" t="str">
        <f>IF(AA1643="","",'Procyflof 700'!N144)</f>
        <v/>
      </c>
      <c r="AF1643">
        <f t="shared" si="167"/>
        <v>0</v>
      </c>
      <c r="AG1643" t="str">
        <f t="shared" si="168"/>
        <v/>
      </c>
      <c r="AH1643" t="str">
        <f t="shared" si="169"/>
        <v/>
      </c>
      <c r="AI1643">
        <f t="shared" si="170"/>
        <v>0</v>
      </c>
      <c r="AJ1643">
        <f t="shared" si="171"/>
        <v>0</v>
      </c>
      <c r="AK1643">
        <v>0</v>
      </c>
      <c r="AL1643" t="str">
        <f>IF(AA1643="","",IFERROR(IF(ISNUMBER('Procyflof 700'!D144),'Procyflof 700'!D144,IF(ISNUMBER(SEARCH("12",'Procyflof 700'!D144)),EDATE(AB1643,12),IF(ISNUMBER(SEARCH("6",'Procyflof 700'!D144)),EDATE(AB1643,6),IF(ISNUMBER(SEARCH("3",'Procyflof 700'!D144)),EDATE(AB1643,3),DATEVALUE('Procyflof 700'!D144))))),""))</f>
        <v/>
      </c>
      <c r="AM1643" t="str">
        <f t="shared" ca="1" si="172"/>
        <v/>
      </c>
    </row>
    <row r="1644" spans="27:39" x14ac:dyDescent="0.3">
      <c r="AA1644" t="str">
        <f>IF(COUNTA('Procyflof 700'!A145,'Procyflof 700'!B145,'Procyflof 700'!C145)&gt;0,"700","")</f>
        <v/>
      </c>
      <c r="AB1644" t="str">
        <f>IFERROR(IF(ISNUMBER('Procyflof 700'!A145),'Procyflof 700'!A145,DATEVALUE('Procyflof 700'!A145)),"")</f>
        <v/>
      </c>
      <c r="AC1644" t="str">
        <f>IF(AA1644="","",'Procyflof 700'!B145)</f>
        <v/>
      </c>
      <c r="AD1644" t="str">
        <f>IF(AA1644="","",IFERROR(1*'Procyflof 700'!C145,IFERROR(_xludf.NUMBERVALUE('Procyflof 700'!C145,".",","),IFERROR(_xludf.NUMBERVALUE('Procyflof 700'!C145,",","."),0))))</f>
        <v/>
      </c>
      <c r="AE1644" t="str">
        <f>IF(AA1644="","",'Procyflof 700'!N145)</f>
        <v/>
      </c>
      <c r="AF1644">
        <f t="shared" si="167"/>
        <v>0</v>
      </c>
      <c r="AG1644" t="str">
        <f t="shared" si="168"/>
        <v/>
      </c>
      <c r="AH1644" t="str">
        <f t="shared" si="169"/>
        <v/>
      </c>
      <c r="AI1644">
        <f t="shared" si="170"/>
        <v>0</v>
      </c>
      <c r="AJ1644">
        <f t="shared" si="171"/>
        <v>0</v>
      </c>
      <c r="AK1644">
        <v>0</v>
      </c>
      <c r="AL1644" t="str">
        <f>IF(AA1644="","",IFERROR(IF(ISNUMBER('Procyflof 700'!D145),'Procyflof 700'!D145,IF(ISNUMBER(SEARCH("12",'Procyflof 700'!D145)),EDATE(AB1644,12),IF(ISNUMBER(SEARCH("6",'Procyflof 700'!D145)),EDATE(AB1644,6),IF(ISNUMBER(SEARCH("3",'Procyflof 700'!D145)),EDATE(AB1644,3),DATEVALUE('Procyflof 700'!D145))))),""))</f>
        <v/>
      </c>
      <c r="AM1644" t="str">
        <f t="shared" ca="1" si="172"/>
        <v/>
      </c>
    </row>
    <row r="1645" spans="27:39" x14ac:dyDescent="0.3">
      <c r="AA1645" t="str">
        <f>IF(COUNTA('Procyflof 700'!A146,'Procyflof 700'!B146,'Procyflof 700'!C146)&gt;0,"700","")</f>
        <v/>
      </c>
      <c r="AB1645" t="str">
        <f>IFERROR(IF(ISNUMBER('Procyflof 700'!A146),'Procyflof 700'!A146,DATEVALUE('Procyflof 700'!A146)),"")</f>
        <v/>
      </c>
      <c r="AC1645" t="str">
        <f>IF(AA1645="","",'Procyflof 700'!B146)</f>
        <v/>
      </c>
      <c r="AD1645" t="str">
        <f>IF(AA1645="","",IFERROR(1*'Procyflof 700'!C146,IFERROR(_xludf.NUMBERVALUE('Procyflof 700'!C146,".",","),IFERROR(_xludf.NUMBERVALUE('Procyflof 700'!C146,",","."),0))))</f>
        <v/>
      </c>
      <c r="AE1645" t="str">
        <f>IF(AA1645="","",'Procyflof 700'!N146)</f>
        <v/>
      </c>
      <c r="AF1645">
        <f t="shared" si="167"/>
        <v>0</v>
      </c>
      <c r="AG1645" t="str">
        <f t="shared" si="168"/>
        <v/>
      </c>
      <c r="AH1645" t="str">
        <f t="shared" si="169"/>
        <v/>
      </c>
      <c r="AI1645">
        <f t="shared" si="170"/>
        <v>0</v>
      </c>
      <c r="AJ1645">
        <f t="shared" si="171"/>
        <v>0</v>
      </c>
      <c r="AK1645">
        <v>0</v>
      </c>
      <c r="AL1645" t="str">
        <f>IF(AA1645="","",IFERROR(IF(ISNUMBER('Procyflof 700'!D146),'Procyflof 700'!D146,IF(ISNUMBER(SEARCH("12",'Procyflof 700'!D146)),EDATE(AB1645,12),IF(ISNUMBER(SEARCH("6",'Procyflof 700'!D146)),EDATE(AB1645,6),IF(ISNUMBER(SEARCH("3",'Procyflof 700'!D146)),EDATE(AB1645,3),DATEVALUE('Procyflof 700'!D146))))),""))</f>
        <v/>
      </c>
      <c r="AM1645" t="str">
        <f t="shared" ca="1" si="172"/>
        <v/>
      </c>
    </row>
    <row r="1646" spans="27:39" x14ac:dyDescent="0.3">
      <c r="AA1646" t="str">
        <f>IF(COUNTA('Procyflof 700'!A147,'Procyflof 700'!B147,'Procyflof 700'!C147)&gt;0,"700","")</f>
        <v/>
      </c>
      <c r="AB1646" t="str">
        <f>IFERROR(IF(ISNUMBER('Procyflof 700'!A147),'Procyflof 700'!A147,DATEVALUE('Procyflof 700'!A147)),"")</f>
        <v/>
      </c>
      <c r="AC1646" t="str">
        <f>IF(AA1646="","",'Procyflof 700'!B147)</f>
        <v/>
      </c>
      <c r="AD1646" t="str">
        <f>IF(AA1646="","",IFERROR(1*'Procyflof 700'!C147,IFERROR(_xludf.NUMBERVALUE('Procyflof 700'!C147,".",","),IFERROR(_xludf.NUMBERVALUE('Procyflof 700'!C147,",","."),0))))</f>
        <v/>
      </c>
      <c r="AE1646" t="str">
        <f>IF(AA1646="","",'Procyflof 700'!N147)</f>
        <v/>
      </c>
      <c r="AF1646">
        <f t="shared" si="167"/>
        <v>0</v>
      </c>
      <c r="AG1646" t="str">
        <f t="shared" si="168"/>
        <v/>
      </c>
      <c r="AH1646" t="str">
        <f t="shared" si="169"/>
        <v/>
      </c>
      <c r="AI1646">
        <f t="shared" si="170"/>
        <v>0</v>
      </c>
      <c r="AJ1646">
        <f t="shared" si="171"/>
        <v>0</v>
      </c>
      <c r="AK1646">
        <v>0</v>
      </c>
      <c r="AL1646" t="str">
        <f>IF(AA1646="","",IFERROR(IF(ISNUMBER('Procyflof 700'!D147),'Procyflof 700'!D147,IF(ISNUMBER(SEARCH("12",'Procyflof 700'!D147)),EDATE(AB1646,12),IF(ISNUMBER(SEARCH("6",'Procyflof 700'!D147)),EDATE(AB1646,6),IF(ISNUMBER(SEARCH("3",'Procyflof 700'!D147)),EDATE(AB1646,3),DATEVALUE('Procyflof 700'!D147))))),""))</f>
        <v/>
      </c>
      <c r="AM1646" t="str">
        <f t="shared" ca="1" si="172"/>
        <v/>
      </c>
    </row>
    <row r="1647" spans="27:39" x14ac:dyDescent="0.3">
      <c r="AA1647" t="str">
        <f>IF(COUNTA('Procyflof 700'!A148,'Procyflof 700'!B148,'Procyflof 700'!C148)&gt;0,"700","")</f>
        <v/>
      </c>
      <c r="AB1647" t="str">
        <f>IFERROR(IF(ISNUMBER('Procyflof 700'!A148),'Procyflof 700'!A148,DATEVALUE('Procyflof 700'!A148)),"")</f>
        <v/>
      </c>
      <c r="AC1647" t="str">
        <f>IF(AA1647="","",'Procyflof 700'!B148)</f>
        <v/>
      </c>
      <c r="AD1647" t="str">
        <f>IF(AA1647="","",IFERROR(1*'Procyflof 700'!C148,IFERROR(_xludf.NUMBERVALUE('Procyflof 700'!C148,".",","),IFERROR(_xludf.NUMBERVALUE('Procyflof 700'!C148,",","."),0))))</f>
        <v/>
      </c>
      <c r="AE1647" t="str">
        <f>IF(AA1647="","",'Procyflof 700'!N148)</f>
        <v/>
      </c>
      <c r="AF1647">
        <f t="shared" si="167"/>
        <v>0</v>
      </c>
      <c r="AG1647" t="str">
        <f t="shared" si="168"/>
        <v/>
      </c>
      <c r="AH1647" t="str">
        <f t="shared" si="169"/>
        <v/>
      </c>
      <c r="AI1647">
        <f t="shared" si="170"/>
        <v>0</v>
      </c>
      <c r="AJ1647">
        <f t="shared" si="171"/>
        <v>0</v>
      </c>
      <c r="AK1647">
        <v>0</v>
      </c>
      <c r="AL1647" t="str">
        <f>IF(AA1647="","",IFERROR(IF(ISNUMBER('Procyflof 700'!D148),'Procyflof 700'!D148,IF(ISNUMBER(SEARCH("12",'Procyflof 700'!D148)),EDATE(AB1647,12),IF(ISNUMBER(SEARCH("6",'Procyflof 700'!D148)),EDATE(AB1647,6),IF(ISNUMBER(SEARCH("3",'Procyflof 700'!D148)),EDATE(AB1647,3),DATEVALUE('Procyflof 700'!D148))))),""))</f>
        <v/>
      </c>
      <c r="AM1647" t="str">
        <f t="shared" ca="1" si="172"/>
        <v/>
      </c>
    </row>
    <row r="1648" spans="27:39" x14ac:dyDescent="0.3">
      <c r="AA1648" t="str">
        <f>IF(COUNTA('Procyflof 700'!A149,'Procyflof 700'!B149,'Procyflof 700'!C149)&gt;0,"700","")</f>
        <v/>
      </c>
      <c r="AB1648" t="str">
        <f>IFERROR(IF(ISNUMBER('Procyflof 700'!A149),'Procyflof 700'!A149,DATEVALUE('Procyflof 700'!A149)),"")</f>
        <v/>
      </c>
      <c r="AC1648" t="str">
        <f>IF(AA1648="","",'Procyflof 700'!B149)</f>
        <v/>
      </c>
      <c r="AD1648" t="str">
        <f>IF(AA1648="","",IFERROR(1*'Procyflof 700'!C149,IFERROR(_xludf.NUMBERVALUE('Procyflof 700'!C149,".",","),IFERROR(_xludf.NUMBERVALUE('Procyflof 700'!C149,",","."),0))))</f>
        <v/>
      </c>
      <c r="AE1648" t="str">
        <f>IF(AA1648="","",'Procyflof 700'!N149)</f>
        <v/>
      </c>
      <c r="AF1648">
        <f t="shared" si="167"/>
        <v>0</v>
      </c>
      <c r="AG1648" t="str">
        <f t="shared" si="168"/>
        <v/>
      </c>
      <c r="AH1648" t="str">
        <f t="shared" si="169"/>
        <v/>
      </c>
      <c r="AI1648">
        <f t="shared" si="170"/>
        <v>0</v>
      </c>
      <c r="AJ1648">
        <f t="shared" si="171"/>
        <v>0</v>
      </c>
      <c r="AK1648">
        <v>0</v>
      </c>
      <c r="AL1648" t="str">
        <f>IF(AA1648="","",IFERROR(IF(ISNUMBER('Procyflof 700'!D149),'Procyflof 700'!D149,IF(ISNUMBER(SEARCH("12",'Procyflof 700'!D149)),EDATE(AB1648,12),IF(ISNUMBER(SEARCH("6",'Procyflof 700'!D149)),EDATE(AB1648,6),IF(ISNUMBER(SEARCH("3",'Procyflof 700'!D149)),EDATE(AB1648,3),DATEVALUE('Procyflof 700'!D149))))),""))</f>
        <v/>
      </c>
      <c r="AM1648" t="str">
        <f t="shared" ca="1" si="172"/>
        <v/>
      </c>
    </row>
    <row r="1649" spans="27:39" x14ac:dyDescent="0.3">
      <c r="AA1649" t="str">
        <f>IF(COUNTA('Procyflof 700'!A150,'Procyflof 700'!B150,'Procyflof 700'!C150)&gt;0,"700","")</f>
        <v/>
      </c>
      <c r="AB1649" t="str">
        <f>IFERROR(IF(ISNUMBER('Procyflof 700'!A150),'Procyflof 700'!A150,DATEVALUE('Procyflof 700'!A150)),"")</f>
        <v/>
      </c>
      <c r="AC1649" t="str">
        <f>IF(AA1649="","",'Procyflof 700'!B150)</f>
        <v/>
      </c>
      <c r="AD1649" t="str">
        <f>IF(AA1649="","",IFERROR(1*'Procyflof 700'!C150,IFERROR(_xludf.NUMBERVALUE('Procyflof 700'!C150,".",","),IFERROR(_xludf.NUMBERVALUE('Procyflof 700'!C150,",","."),0))))</f>
        <v/>
      </c>
      <c r="AE1649" t="str">
        <f>IF(AA1649="","",'Procyflof 700'!N150)</f>
        <v/>
      </c>
      <c r="AF1649">
        <f t="shared" si="167"/>
        <v>0</v>
      </c>
      <c r="AG1649" t="str">
        <f t="shared" si="168"/>
        <v/>
      </c>
      <c r="AH1649" t="str">
        <f t="shared" si="169"/>
        <v/>
      </c>
      <c r="AI1649">
        <f t="shared" si="170"/>
        <v>0</v>
      </c>
      <c r="AJ1649">
        <f t="shared" si="171"/>
        <v>0</v>
      </c>
      <c r="AK1649">
        <v>0</v>
      </c>
      <c r="AL1649" t="str">
        <f>IF(AA1649="","",IFERROR(IF(ISNUMBER('Procyflof 700'!D150),'Procyflof 700'!D150,IF(ISNUMBER(SEARCH("12",'Procyflof 700'!D150)),EDATE(AB1649,12),IF(ISNUMBER(SEARCH("6",'Procyflof 700'!D150)),EDATE(AB1649,6),IF(ISNUMBER(SEARCH("3",'Procyflof 700'!D150)),EDATE(AB1649,3),DATEVALUE('Procyflof 700'!D150))))),""))</f>
        <v/>
      </c>
      <c r="AM1649" t="str">
        <f t="shared" ca="1" si="172"/>
        <v/>
      </c>
    </row>
    <row r="1650" spans="27:39" x14ac:dyDescent="0.3">
      <c r="AA1650" t="str">
        <f>IF(COUNTA('Procyflof 700'!A151,'Procyflof 700'!B151,'Procyflof 700'!C151)&gt;0,"700","")</f>
        <v/>
      </c>
      <c r="AB1650" t="str">
        <f>IFERROR(IF(ISNUMBER('Procyflof 700'!A151),'Procyflof 700'!A151,DATEVALUE('Procyflof 700'!A151)),"")</f>
        <v/>
      </c>
      <c r="AC1650" t="str">
        <f>IF(AA1650="","",'Procyflof 700'!B151)</f>
        <v/>
      </c>
      <c r="AD1650" t="str">
        <f>IF(AA1650="","",IFERROR(1*'Procyflof 700'!C151,IFERROR(_xludf.NUMBERVALUE('Procyflof 700'!C151,".",","),IFERROR(_xludf.NUMBERVALUE('Procyflof 700'!C151,",","."),0))))</f>
        <v/>
      </c>
      <c r="AE1650" t="str">
        <f>IF(AA1650="","",'Procyflof 700'!N151)</f>
        <v/>
      </c>
      <c r="AF1650">
        <f t="shared" si="167"/>
        <v>0</v>
      </c>
      <c r="AG1650" t="str">
        <f t="shared" si="168"/>
        <v/>
      </c>
      <c r="AH1650" t="str">
        <f t="shared" si="169"/>
        <v/>
      </c>
      <c r="AI1650">
        <f t="shared" si="170"/>
        <v>0</v>
      </c>
      <c r="AJ1650">
        <f t="shared" si="171"/>
        <v>0</v>
      </c>
      <c r="AK1650">
        <v>0</v>
      </c>
      <c r="AL1650" t="str">
        <f>IF(AA1650="","",IFERROR(IF(ISNUMBER('Procyflof 700'!D151),'Procyflof 700'!D151,IF(ISNUMBER(SEARCH("12",'Procyflof 700'!D151)),EDATE(AB1650,12),IF(ISNUMBER(SEARCH("6",'Procyflof 700'!D151)),EDATE(AB1650,6),IF(ISNUMBER(SEARCH("3",'Procyflof 700'!D151)),EDATE(AB1650,3),DATEVALUE('Procyflof 700'!D151))))),""))</f>
        <v/>
      </c>
      <c r="AM1650" t="str">
        <f t="shared" ca="1" si="172"/>
        <v/>
      </c>
    </row>
    <row r="1651" spans="27:39" x14ac:dyDescent="0.3">
      <c r="AA1651" t="str">
        <f>IF(COUNTA('Procyflof 700'!A152,'Procyflof 700'!B152,'Procyflof 700'!C152)&gt;0,"700","")</f>
        <v/>
      </c>
      <c r="AB1651" t="str">
        <f>IFERROR(IF(ISNUMBER('Procyflof 700'!A152),'Procyflof 700'!A152,DATEVALUE('Procyflof 700'!A152)),"")</f>
        <v/>
      </c>
      <c r="AC1651" t="str">
        <f>IF(AA1651="","",'Procyflof 700'!B152)</f>
        <v/>
      </c>
      <c r="AD1651" t="str">
        <f>IF(AA1651="","",IFERROR(1*'Procyflof 700'!C152,IFERROR(_xludf.NUMBERVALUE('Procyflof 700'!C152,".",","),IFERROR(_xludf.NUMBERVALUE('Procyflof 700'!C152,",","."),0))))</f>
        <v/>
      </c>
      <c r="AE1651" t="str">
        <f>IF(AA1651="","",'Procyflof 700'!N152)</f>
        <v/>
      </c>
      <c r="AF1651">
        <f t="shared" si="167"/>
        <v>0</v>
      </c>
      <c r="AG1651" t="str">
        <f t="shared" si="168"/>
        <v/>
      </c>
      <c r="AH1651" t="str">
        <f t="shared" si="169"/>
        <v/>
      </c>
      <c r="AI1651">
        <f t="shared" si="170"/>
        <v>0</v>
      </c>
      <c r="AJ1651">
        <f t="shared" si="171"/>
        <v>0</v>
      </c>
      <c r="AK1651">
        <v>0</v>
      </c>
      <c r="AL1651" t="str">
        <f>IF(AA1651="","",IFERROR(IF(ISNUMBER('Procyflof 700'!D152),'Procyflof 700'!D152,IF(ISNUMBER(SEARCH("12",'Procyflof 700'!D152)),EDATE(AB1651,12),IF(ISNUMBER(SEARCH("6",'Procyflof 700'!D152)),EDATE(AB1651,6),IF(ISNUMBER(SEARCH("3",'Procyflof 700'!D152)),EDATE(AB1651,3),DATEVALUE('Procyflof 700'!D152))))),""))</f>
        <v/>
      </c>
      <c r="AM1651" t="str">
        <f t="shared" ca="1" si="172"/>
        <v/>
      </c>
    </row>
    <row r="1652" spans="27:39" x14ac:dyDescent="0.3">
      <c r="AA1652" t="str">
        <f>IF(COUNTA('Procyflof 700'!A153,'Procyflof 700'!B153,'Procyflof 700'!C153)&gt;0,"700","")</f>
        <v/>
      </c>
      <c r="AB1652" t="str">
        <f>IFERROR(IF(ISNUMBER('Procyflof 700'!A153),'Procyflof 700'!A153,DATEVALUE('Procyflof 700'!A153)),"")</f>
        <v/>
      </c>
      <c r="AC1652" t="str">
        <f>IF(AA1652="","",'Procyflof 700'!B153)</f>
        <v/>
      </c>
      <c r="AD1652" t="str">
        <f>IF(AA1652="","",IFERROR(1*'Procyflof 700'!C153,IFERROR(_xludf.NUMBERVALUE('Procyflof 700'!C153,".",","),IFERROR(_xludf.NUMBERVALUE('Procyflof 700'!C153,",","."),0))))</f>
        <v/>
      </c>
      <c r="AE1652" t="str">
        <f>IF(AA1652="","",'Procyflof 700'!N153)</f>
        <v/>
      </c>
      <c r="AF1652">
        <f t="shared" si="167"/>
        <v>0</v>
      </c>
      <c r="AG1652" t="str">
        <f t="shared" si="168"/>
        <v/>
      </c>
      <c r="AH1652" t="str">
        <f t="shared" si="169"/>
        <v/>
      </c>
      <c r="AI1652">
        <f t="shared" si="170"/>
        <v>0</v>
      </c>
      <c r="AJ1652">
        <f t="shared" si="171"/>
        <v>0</v>
      </c>
      <c r="AK1652">
        <v>0</v>
      </c>
      <c r="AL1652" t="str">
        <f>IF(AA1652="","",IFERROR(IF(ISNUMBER('Procyflof 700'!D153),'Procyflof 700'!D153,IF(ISNUMBER(SEARCH("12",'Procyflof 700'!D153)),EDATE(AB1652,12),IF(ISNUMBER(SEARCH("6",'Procyflof 700'!D153)),EDATE(AB1652,6),IF(ISNUMBER(SEARCH("3",'Procyflof 700'!D153)),EDATE(AB1652,3),DATEVALUE('Procyflof 700'!D153))))),""))</f>
        <v/>
      </c>
      <c r="AM1652" t="str">
        <f t="shared" ca="1" si="172"/>
        <v/>
      </c>
    </row>
    <row r="1653" spans="27:39" x14ac:dyDescent="0.3">
      <c r="AA1653" t="str">
        <f>IF(COUNTA('Procyflof 700'!A154,'Procyflof 700'!B154,'Procyflof 700'!C154)&gt;0,"700","")</f>
        <v/>
      </c>
      <c r="AB1653" t="str">
        <f>IFERROR(IF(ISNUMBER('Procyflof 700'!A154),'Procyflof 700'!A154,DATEVALUE('Procyflof 700'!A154)),"")</f>
        <v/>
      </c>
      <c r="AC1653" t="str">
        <f>IF(AA1653="","",'Procyflof 700'!B154)</f>
        <v/>
      </c>
      <c r="AD1653" t="str">
        <f>IF(AA1653="","",IFERROR(1*'Procyflof 700'!C154,IFERROR(_xludf.NUMBERVALUE('Procyflof 700'!C154,".",","),IFERROR(_xludf.NUMBERVALUE('Procyflof 700'!C154,",","."),0))))</f>
        <v/>
      </c>
      <c r="AE1653" t="str">
        <f>IF(AA1653="","",'Procyflof 700'!N154)</f>
        <v/>
      </c>
      <c r="AF1653">
        <f t="shared" si="167"/>
        <v>0</v>
      </c>
      <c r="AG1653" t="str">
        <f t="shared" si="168"/>
        <v/>
      </c>
      <c r="AH1653" t="str">
        <f t="shared" si="169"/>
        <v/>
      </c>
      <c r="AI1653">
        <f t="shared" si="170"/>
        <v>0</v>
      </c>
      <c r="AJ1653">
        <f t="shared" si="171"/>
        <v>0</v>
      </c>
      <c r="AK1653">
        <v>0</v>
      </c>
      <c r="AL1653" t="str">
        <f>IF(AA1653="","",IFERROR(IF(ISNUMBER('Procyflof 700'!D154),'Procyflof 700'!D154,IF(ISNUMBER(SEARCH("12",'Procyflof 700'!D154)),EDATE(AB1653,12),IF(ISNUMBER(SEARCH("6",'Procyflof 700'!D154)),EDATE(AB1653,6),IF(ISNUMBER(SEARCH("3",'Procyflof 700'!D154)),EDATE(AB1653,3),DATEVALUE('Procyflof 700'!D154))))),""))</f>
        <v/>
      </c>
      <c r="AM1653" t="str">
        <f t="shared" ca="1" si="172"/>
        <v/>
      </c>
    </row>
    <row r="1654" spans="27:39" x14ac:dyDescent="0.3">
      <c r="AA1654" t="str">
        <f>IF(COUNTA('Procyflof 700'!A155,'Procyflof 700'!B155,'Procyflof 700'!C155)&gt;0,"700","")</f>
        <v/>
      </c>
      <c r="AB1654" t="str">
        <f>IFERROR(IF(ISNUMBER('Procyflof 700'!A155),'Procyflof 700'!A155,DATEVALUE('Procyflof 700'!A155)),"")</f>
        <v/>
      </c>
      <c r="AC1654" t="str">
        <f>IF(AA1654="","",'Procyflof 700'!B155)</f>
        <v/>
      </c>
      <c r="AD1654" t="str">
        <f>IF(AA1654="","",IFERROR(1*'Procyflof 700'!C155,IFERROR(_xludf.NUMBERVALUE('Procyflof 700'!C155,".",","),IFERROR(_xludf.NUMBERVALUE('Procyflof 700'!C155,",","."),0))))</f>
        <v/>
      </c>
      <c r="AE1654" t="str">
        <f>IF(AA1654="","",'Procyflof 700'!N155)</f>
        <v/>
      </c>
      <c r="AF1654">
        <f t="shared" si="167"/>
        <v>0</v>
      </c>
      <c r="AG1654" t="str">
        <f t="shared" si="168"/>
        <v/>
      </c>
      <c r="AH1654" t="str">
        <f t="shared" si="169"/>
        <v/>
      </c>
      <c r="AI1654">
        <f t="shared" si="170"/>
        <v>0</v>
      </c>
      <c r="AJ1654">
        <f t="shared" si="171"/>
        <v>0</v>
      </c>
      <c r="AK1654">
        <v>0</v>
      </c>
      <c r="AL1654" t="str">
        <f>IF(AA1654="","",IFERROR(IF(ISNUMBER('Procyflof 700'!D155),'Procyflof 700'!D155,IF(ISNUMBER(SEARCH("12",'Procyflof 700'!D155)),EDATE(AB1654,12),IF(ISNUMBER(SEARCH("6",'Procyflof 700'!D155)),EDATE(AB1654,6),IF(ISNUMBER(SEARCH("3",'Procyflof 700'!D155)),EDATE(AB1654,3),DATEVALUE('Procyflof 700'!D155))))),""))</f>
        <v/>
      </c>
      <c r="AM1654" t="str">
        <f t="shared" ca="1" si="172"/>
        <v/>
      </c>
    </row>
    <row r="1655" spans="27:39" x14ac:dyDescent="0.3">
      <c r="AA1655" t="str">
        <f>IF(COUNTA('Procyflof 700'!A156,'Procyflof 700'!B156,'Procyflof 700'!C156)&gt;0,"700","")</f>
        <v/>
      </c>
      <c r="AB1655" t="str">
        <f>IFERROR(IF(ISNUMBER('Procyflof 700'!A156),'Procyflof 700'!A156,DATEVALUE('Procyflof 700'!A156)),"")</f>
        <v/>
      </c>
      <c r="AC1655" t="str">
        <f>IF(AA1655="","",'Procyflof 700'!B156)</f>
        <v/>
      </c>
      <c r="AD1655" t="str">
        <f>IF(AA1655="","",IFERROR(1*'Procyflof 700'!C156,IFERROR(_xludf.NUMBERVALUE('Procyflof 700'!C156,".",","),IFERROR(_xludf.NUMBERVALUE('Procyflof 700'!C156,",","."),0))))</f>
        <v/>
      </c>
      <c r="AE1655" t="str">
        <f>IF(AA1655="","",'Procyflof 700'!N156)</f>
        <v/>
      </c>
      <c r="AF1655">
        <f t="shared" si="167"/>
        <v>0</v>
      </c>
      <c r="AG1655" t="str">
        <f t="shared" si="168"/>
        <v/>
      </c>
      <c r="AH1655" t="str">
        <f t="shared" si="169"/>
        <v/>
      </c>
      <c r="AI1655">
        <f t="shared" si="170"/>
        <v>0</v>
      </c>
      <c r="AJ1655">
        <f t="shared" si="171"/>
        <v>0</v>
      </c>
      <c r="AK1655">
        <v>0</v>
      </c>
      <c r="AL1655" t="str">
        <f>IF(AA1655="","",IFERROR(IF(ISNUMBER('Procyflof 700'!D156),'Procyflof 700'!D156,IF(ISNUMBER(SEARCH("12",'Procyflof 700'!D156)),EDATE(AB1655,12),IF(ISNUMBER(SEARCH("6",'Procyflof 700'!D156)),EDATE(AB1655,6),IF(ISNUMBER(SEARCH("3",'Procyflof 700'!D156)),EDATE(AB1655,3),DATEVALUE('Procyflof 700'!D156))))),""))</f>
        <v/>
      </c>
      <c r="AM1655" t="str">
        <f t="shared" ca="1" si="172"/>
        <v/>
      </c>
    </row>
    <row r="1656" spans="27:39" x14ac:dyDescent="0.3">
      <c r="AA1656" t="str">
        <f>IF(COUNTA('Procyflof 700'!A157,'Procyflof 700'!B157,'Procyflof 700'!C157)&gt;0,"700","")</f>
        <v/>
      </c>
      <c r="AB1656" t="str">
        <f>IFERROR(IF(ISNUMBER('Procyflof 700'!A157),'Procyflof 700'!A157,DATEVALUE('Procyflof 700'!A157)),"")</f>
        <v/>
      </c>
      <c r="AC1656" t="str">
        <f>IF(AA1656="","",'Procyflof 700'!B157)</f>
        <v/>
      </c>
      <c r="AD1656" t="str">
        <f>IF(AA1656="","",IFERROR(1*'Procyflof 700'!C157,IFERROR(_xludf.NUMBERVALUE('Procyflof 700'!C157,".",","),IFERROR(_xludf.NUMBERVALUE('Procyflof 700'!C157,",","."),0))))</f>
        <v/>
      </c>
      <c r="AE1656" t="str">
        <f>IF(AA1656="","",'Procyflof 700'!N157)</f>
        <v/>
      </c>
      <c r="AF1656">
        <f t="shared" si="167"/>
        <v>0</v>
      </c>
      <c r="AG1656" t="str">
        <f t="shared" si="168"/>
        <v/>
      </c>
      <c r="AH1656" t="str">
        <f t="shared" si="169"/>
        <v/>
      </c>
      <c r="AI1656">
        <f t="shared" si="170"/>
        <v>0</v>
      </c>
      <c r="AJ1656">
        <f t="shared" si="171"/>
        <v>0</v>
      </c>
      <c r="AK1656">
        <v>0</v>
      </c>
      <c r="AL1656" t="str">
        <f>IF(AA1656="","",IFERROR(IF(ISNUMBER('Procyflof 700'!D157),'Procyflof 700'!D157,IF(ISNUMBER(SEARCH("12",'Procyflof 700'!D157)),EDATE(AB1656,12),IF(ISNUMBER(SEARCH("6",'Procyflof 700'!D157)),EDATE(AB1656,6),IF(ISNUMBER(SEARCH("3",'Procyflof 700'!D157)),EDATE(AB1656,3),DATEVALUE('Procyflof 700'!D157))))),""))</f>
        <v/>
      </c>
      <c r="AM1656" t="str">
        <f t="shared" ca="1" si="172"/>
        <v/>
      </c>
    </row>
    <row r="1657" spans="27:39" x14ac:dyDescent="0.3">
      <c r="AA1657" t="str">
        <f>IF(COUNTA('Procyflof 700'!A158,'Procyflof 700'!B158,'Procyflof 700'!C158)&gt;0,"700","")</f>
        <v/>
      </c>
      <c r="AB1657" t="str">
        <f>IFERROR(IF(ISNUMBER('Procyflof 700'!A158),'Procyflof 700'!A158,DATEVALUE('Procyflof 700'!A158)),"")</f>
        <v/>
      </c>
      <c r="AC1657" t="str">
        <f>IF(AA1657="","",'Procyflof 700'!B158)</f>
        <v/>
      </c>
      <c r="AD1657" t="str">
        <f>IF(AA1657="","",IFERROR(1*'Procyflof 700'!C158,IFERROR(_xludf.NUMBERVALUE('Procyflof 700'!C158,".",","),IFERROR(_xludf.NUMBERVALUE('Procyflof 700'!C158,",","."),0))))</f>
        <v/>
      </c>
      <c r="AE1657" t="str">
        <f>IF(AA1657="","",'Procyflof 700'!N158)</f>
        <v/>
      </c>
      <c r="AF1657">
        <f t="shared" si="167"/>
        <v>0</v>
      </c>
      <c r="AG1657" t="str">
        <f t="shared" si="168"/>
        <v/>
      </c>
      <c r="AH1657" t="str">
        <f t="shared" si="169"/>
        <v/>
      </c>
      <c r="AI1657">
        <f t="shared" si="170"/>
        <v>0</v>
      </c>
      <c r="AJ1657">
        <f t="shared" si="171"/>
        <v>0</v>
      </c>
      <c r="AK1657">
        <v>0</v>
      </c>
      <c r="AL1657" t="str">
        <f>IF(AA1657="","",IFERROR(IF(ISNUMBER('Procyflof 700'!D158),'Procyflof 700'!D158,IF(ISNUMBER(SEARCH("12",'Procyflof 700'!D158)),EDATE(AB1657,12),IF(ISNUMBER(SEARCH("6",'Procyflof 700'!D158)),EDATE(AB1657,6),IF(ISNUMBER(SEARCH("3",'Procyflof 700'!D158)),EDATE(AB1657,3),DATEVALUE('Procyflof 700'!D158))))),""))</f>
        <v/>
      </c>
      <c r="AM1657" t="str">
        <f t="shared" ca="1" si="172"/>
        <v/>
      </c>
    </row>
    <row r="1658" spans="27:39" x14ac:dyDescent="0.3">
      <c r="AA1658" t="str">
        <f>IF(COUNTA('Procyflof 700'!A159,'Procyflof 700'!B159,'Procyflof 700'!C159)&gt;0,"700","")</f>
        <v/>
      </c>
      <c r="AB1658" t="str">
        <f>IFERROR(IF(ISNUMBER('Procyflof 700'!A159),'Procyflof 700'!A159,DATEVALUE('Procyflof 700'!A159)),"")</f>
        <v/>
      </c>
      <c r="AC1658" t="str">
        <f>IF(AA1658="","",'Procyflof 700'!B159)</f>
        <v/>
      </c>
      <c r="AD1658" t="str">
        <f>IF(AA1658="","",IFERROR(1*'Procyflof 700'!C159,IFERROR(_xludf.NUMBERVALUE('Procyflof 700'!C159,".",","),IFERROR(_xludf.NUMBERVALUE('Procyflof 700'!C159,",","."),0))))</f>
        <v/>
      </c>
      <c r="AE1658" t="str">
        <f>IF(AA1658="","",'Procyflof 700'!N159)</f>
        <v/>
      </c>
      <c r="AF1658">
        <f t="shared" si="167"/>
        <v>0</v>
      </c>
      <c r="AG1658" t="str">
        <f t="shared" si="168"/>
        <v/>
      </c>
      <c r="AH1658" t="str">
        <f t="shared" si="169"/>
        <v/>
      </c>
      <c r="AI1658">
        <f t="shared" si="170"/>
        <v>0</v>
      </c>
      <c r="AJ1658">
        <f t="shared" si="171"/>
        <v>0</v>
      </c>
      <c r="AK1658">
        <v>0</v>
      </c>
      <c r="AL1658" t="str">
        <f>IF(AA1658="","",IFERROR(IF(ISNUMBER('Procyflof 700'!D159),'Procyflof 700'!D159,IF(ISNUMBER(SEARCH("12",'Procyflof 700'!D159)),EDATE(AB1658,12),IF(ISNUMBER(SEARCH("6",'Procyflof 700'!D159)),EDATE(AB1658,6),IF(ISNUMBER(SEARCH("3",'Procyflof 700'!D159)),EDATE(AB1658,3),DATEVALUE('Procyflof 700'!D159))))),""))</f>
        <v/>
      </c>
      <c r="AM1658" t="str">
        <f t="shared" ca="1" si="172"/>
        <v/>
      </c>
    </row>
    <row r="1659" spans="27:39" x14ac:dyDescent="0.3">
      <c r="AA1659" t="str">
        <f>IF(COUNTA('Procyflof 700'!A160,'Procyflof 700'!B160,'Procyflof 700'!C160)&gt;0,"700","")</f>
        <v/>
      </c>
      <c r="AB1659" t="str">
        <f>IFERROR(IF(ISNUMBER('Procyflof 700'!A160),'Procyflof 700'!A160,DATEVALUE('Procyflof 700'!A160)),"")</f>
        <v/>
      </c>
      <c r="AC1659" t="str">
        <f>IF(AA1659="","",'Procyflof 700'!B160)</f>
        <v/>
      </c>
      <c r="AD1659" t="str">
        <f>IF(AA1659="","",IFERROR(1*'Procyflof 700'!C160,IFERROR(_xludf.NUMBERVALUE('Procyflof 700'!C160,".",","),IFERROR(_xludf.NUMBERVALUE('Procyflof 700'!C160,",","."),0))))</f>
        <v/>
      </c>
      <c r="AE1659" t="str">
        <f>IF(AA1659="","",'Procyflof 700'!N160)</f>
        <v/>
      </c>
      <c r="AF1659">
        <f t="shared" si="167"/>
        <v>0</v>
      </c>
      <c r="AG1659" t="str">
        <f t="shared" si="168"/>
        <v/>
      </c>
      <c r="AH1659" t="str">
        <f t="shared" si="169"/>
        <v/>
      </c>
      <c r="AI1659">
        <f t="shared" si="170"/>
        <v>0</v>
      </c>
      <c r="AJ1659">
        <f t="shared" si="171"/>
        <v>0</v>
      </c>
      <c r="AK1659">
        <v>0</v>
      </c>
      <c r="AL1659" t="str">
        <f>IF(AA1659="","",IFERROR(IF(ISNUMBER('Procyflof 700'!D160),'Procyflof 700'!D160,IF(ISNUMBER(SEARCH("12",'Procyflof 700'!D160)),EDATE(AB1659,12),IF(ISNUMBER(SEARCH("6",'Procyflof 700'!D160)),EDATE(AB1659,6),IF(ISNUMBER(SEARCH("3",'Procyflof 700'!D160)),EDATE(AB1659,3),DATEVALUE('Procyflof 700'!D160))))),""))</f>
        <v/>
      </c>
      <c r="AM1659" t="str">
        <f t="shared" ca="1" si="172"/>
        <v/>
      </c>
    </row>
    <row r="1660" spans="27:39" x14ac:dyDescent="0.3">
      <c r="AA1660" t="str">
        <f>IF(COUNTA('Procyflof 700'!A161,'Procyflof 700'!B161,'Procyflof 700'!C161)&gt;0,"700","")</f>
        <v/>
      </c>
      <c r="AB1660" t="str">
        <f>IFERROR(IF(ISNUMBER('Procyflof 700'!A161),'Procyflof 700'!A161,DATEVALUE('Procyflof 700'!A161)),"")</f>
        <v/>
      </c>
      <c r="AC1660" t="str">
        <f>IF(AA1660="","",'Procyflof 700'!B161)</f>
        <v/>
      </c>
      <c r="AD1660" t="str">
        <f>IF(AA1660="","",IFERROR(1*'Procyflof 700'!C161,IFERROR(_xludf.NUMBERVALUE('Procyflof 700'!C161,".",","),IFERROR(_xludf.NUMBERVALUE('Procyflof 700'!C161,",","."),0))))</f>
        <v/>
      </c>
      <c r="AE1660" t="str">
        <f>IF(AA1660="","",'Procyflof 700'!N161)</f>
        <v/>
      </c>
      <c r="AF1660">
        <f t="shared" si="167"/>
        <v>0</v>
      </c>
      <c r="AG1660" t="str">
        <f t="shared" si="168"/>
        <v/>
      </c>
      <c r="AH1660" t="str">
        <f t="shared" si="169"/>
        <v/>
      </c>
      <c r="AI1660">
        <f t="shared" si="170"/>
        <v>0</v>
      </c>
      <c r="AJ1660">
        <f t="shared" si="171"/>
        <v>0</v>
      </c>
      <c r="AK1660">
        <v>0</v>
      </c>
      <c r="AL1660" t="str">
        <f>IF(AA1660="","",IFERROR(IF(ISNUMBER('Procyflof 700'!D161),'Procyflof 700'!D161,IF(ISNUMBER(SEARCH("12",'Procyflof 700'!D161)),EDATE(AB1660,12),IF(ISNUMBER(SEARCH("6",'Procyflof 700'!D161)),EDATE(AB1660,6),IF(ISNUMBER(SEARCH("3",'Procyflof 700'!D161)),EDATE(AB1660,3),DATEVALUE('Procyflof 700'!D161))))),""))</f>
        <v/>
      </c>
      <c r="AM1660" t="str">
        <f t="shared" ca="1" si="172"/>
        <v/>
      </c>
    </row>
    <row r="1661" spans="27:39" x14ac:dyDescent="0.3">
      <c r="AA1661" t="str">
        <f>IF(COUNTA('Procyflof 700'!A162,'Procyflof 700'!B162,'Procyflof 700'!C162)&gt;0,"700","")</f>
        <v/>
      </c>
      <c r="AB1661" t="str">
        <f>IFERROR(IF(ISNUMBER('Procyflof 700'!A162),'Procyflof 700'!A162,DATEVALUE('Procyflof 700'!A162)),"")</f>
        <v/>
      </c>
      <c r="AC1661" t="str">
        <f>IF(AA1661="","",'Procyflof 700'!B162)</f>
        <v/>
      </c>
      <c r="AD1661" t="str">
        <f>IF(AA1661="","",IFERROR(1*'Procyflof 700'!C162,IFERROR(_xludf.NUMBERVALUE('Procyflof 700'!C162,".",","),IFERROR(_xludf.NUMBERVALUE('Procyflof 700'!C162,",","."),0))))</f>
        <v/>
      </c>
      <c r="AE1661" t="str">
        <f>IF(AA1661="","",'Procyflof 700'!N162)</f>
        <v/>
      </c>
      <c r="AF1661">
        <f t="shared" si="167"/>
        <v>0</v>
      </c>
      <c r="AG1661" t="str">
        <f t="shared" si="168"/>
        <v/>
      </c>
      <c r="AH1661" t="str">
        <f t="shared" si="169"/>
        <v/>
      </c>
      <c r="AI1661">
        <f t="shared" si="170"/>
        <v>0</v>
      </c>
      <c r="AJ1661">
        <f t="shared" si="171"/>
        <v>0</v>
      </c>
      <c r="AK1661">
        <v>0</v>
      </c>
      <c r="AL1661" t="str">
        <f>IF(AA1661="","",IFERROR(IF(ISNUMBER('Procyflof 700'!D162),'Procyflof 700'!D162,IF(ISNUMBER(SEARCH("12",'Procyflof 700'!D162)),EDATE(AB1661,12),IF(ISNUMBER(SEARCH("6",'Procyflof 700'!D162)),EDATE(AB1661,6),IF(ISNUMBER(SEARCH("3",'Procyflof 700'!D162)),EDATE(AB1661,3),DATEVALUE('Procyflof 700'!D162))))),""))</f>
        <v/>
      </c>
      <c r="AM1661" t="str">
        <f t="shared" ca="1" si="172"/>
        <v/>
      </c>
    </row>
    <row r="1662" spans="27:39" x14ac:dyDescent="0.3">
      <c r="AA1662" t="str">
        <f>IF(COUNTA('Procyflof 700'!A163,'Procyflof 700'!B163,'Procyflof 700'!C163)&gt;0,"700","")</f>
        <v/>
      </c>
      <c r="AB1662" t="str">
        <f>IFERROR(IF(ISNUMBER('Procyflof 700'!A163),'Procyflof 700'!A163,DATEVALUE('Procyflof 700'!A163)),"")</f>
        <v/>
      </c>
      <c r="AC1662" t="str">
        <f>IF(AA1662="","",'Procyflof 700'!B163)</f>
        <v/>
      </c>
      <c r="AD1662" t="str">
        <f>IF(AA1662="","",IFERROR(1*'Procyflof 700'!C163,IFERROR(_xludf.NUMBERVALUE('Procyflof 700'!C163,".",","),IFERROR(_xludf.NUMBERVALUE('Procyflof 700'!C163,",","."),0))))</f>
        <v/>
      </c>
      <c r="AE1662" t="str">
        <f>IF(AA1662="","",'Procyflof 700'!N163)</f>
        <v/>
      </c>
      <c r="AF1662">
        <f t="shared" si="167"/>
        <v>0</v>
      </c>
      <c r="AG1662" t="str">
        <f t="shared" si="168"/>
        <v/>
      </c>
      <c r="AH1662" t="str">
        <f t="shared" si="169"/>
        <v/>
      </c>
      <c r="AI1662">
        <f t="shared" si="170"/>
        <v>0</v>
      </c>
      <c r="AJ1662">
        <f t="shared" si="171"/>
        <v>0</v>
      </c>
      <c r="AK1662">
        <v>0</v>
      </c>
      <c r="AL1662" t="str">
        <f>IF(AA1662="","",IFERROR(IF(ISNUMBER('Procyflof 700'!D163),'Procyflof 700'!D163,IF(ISNUMBER(SEARCH("12",'Procyflof 700'!D163)),EDATE(AB1662,12),IF(ISNUMBER(SEARCH("6",'Procyflof 700'!D163)),EDATE(AB1662,6),IF(ISNUMBER(SEARCH("3",'Procyflof 700'!D163)),EDATE(AB1662,3),DATEVALUE('Procyflof 700'!D163))))),""))</f>
        <v/>
      </c>
      <c r="AM1662" t="str">
        <f t="shared" ca="1" si="172"/>
        <v/>
      </c>
    </row>
    <row r="1663" spans="27:39" x14ac:dyDescent="0.3">
      <c r="AA1663" t="str">
        <f>IF(COUNTA('Procyflof 700'!A164,'Procyflof 700'!B164,'Procyflof 700'!C164)&gt;0,"700","")</f>
        <v/>
      </c>
      <c r="AB1663" t="str">
        <f>IFERROR(IF(ISNUMBER('Procyflof 700'!A164),'Procyflof 700'!A164,DATEVALUE('Procyflof 700'!A164)),"")</f>
        <v/>
      </c>
      <c r="AC1663" t="str">
        <f>IF(AA1663="","",'Procyflof 700'!B164)</f>
        <v/>
      </c>
      <c r="AD1663" t="str">
        <f>IF(AA1663="","",IFERROR(1*'Procyflof 700'!C164,IFERROR(_xludf.NUMBERVALUE('Procyflof 700'!C164,".",","),IFERROR(_xludf.NUMBERVALUE('Procyflof 700'!C164,",","."),0))))</f>
        <v/>
      </c>
      <c r="AE1663" t="str">
        <f>IF(AA1663="","",'Procyflof 700'!N164)</f>
        <v/>
      </c>
      <c r="AF1663">
        <f t="shared" si="167"/>
        <v>0</v>
      </c>
      <c r="AG1663" t="str">
        <f t="shared" si="168"/>
        <v/>
      </c>
      <c r="AH1663" t="str">
        <f t="shared" si="169"/>
        <v/>
      </c>
      <c r="AI1663">
        <f t="shared" si="170"/>
        <v>0</v>
      </c>
      <c r="AJ1663">
        <f t="shared" si="171"/>
        <v>0</v>
      </c>
      <c r="AK1663">
        <v>0</v>
      </c>
      <c r="AL1663" t="str">
        <f>IF(AA1663="","",IFERROR(IF(ISNUMBER('Procyflof 700'!D164),'Procyflof 700'!D164,IF(ISNUMBER(SEARCH("12",'Procyflof 700'!D164)),EDATE(AB1663,12),IF(ISNUMBER(SEARCH("6",'Procyflof 700'!D164)),EDATE(AB1663,6),IF(ISNUMBER(SEARCH("3",'Procyflof 700'!D164)),EDATE(AB1663,3),DATEVALUE('Procyflof 700'!D164))))),""))</f>
        <v/>
      </c>
      <c r="AM1663" t="str">
        <f t="shared" ca="1" si="172"/>
        <v/>
      </c>
    </row>
    <row r="1664" spans="27:39" x14ac:dyDescent="0.3">
      <c r="AA1664" t="str">
        <f>IF(COUNTA('Procyflof 700'!A165,'Procyflof 700'!B165,'Procyflof 700'!C165)&gt;0,"700","")</f>
        <v/>
      </c>
      <c r="AB1664" t="str">
        <f>IFERROR(IF(ISNUMBER('Procyflof 700'!A165),'Procyflof 700'!A165,DATEVALUE('Procyflof 700'!A165)),"")</f>
        <v/>
      </c>
      <c r="AC1664" t="str">
        <f>IF(AA1664="","",'Procyflof 700'!B165)</f>
        <v/>
      </c>
      <c r="AD1664" t="str">
        <f>IF(AA1664="","",IFERROR(1*'Procyflof 700'!C165,IFERROR(_xludf.NUMBERVALUE('Procyflof 700'!C165,".",","),IFERROR(_xludf.NUMBERVALUE('Procyflof 700'!C165,",","."),0))))</f>
        <v/>
      </c>
      <c r="AE1664" t="str">
        <f>IF(AA1664="","",'Procyflof 700'!N165)</f>
        <v/>
      </c>
      <c r="AF1664">
        <f t="shared" si="167"/>
        <v>0</v>
      </c>
      <c r="AG1664" t="str">
        <f t="shared" si="168"/>
        <v/>
      </c>
      <c r="AH1664" t="str">
        <f t="shared" si="169"/>
        <v/>
      </c>
      <c r="AI1664">
        <f t="shared" si="170"/>
        <v>0</v>
      </c>
      <c r="AJ1664">
        <f t="shared" si="171"/>
        <v>0</v>
      </c>
      <c r="AK1664">
        <v>0</v>
      </c>
      <c r="AL1664" t="str">
        <f>IF(AA1664="","",IFERROR(IF(ISNUMBER('Procyflof 700'!D165),'Procyflof 700'!D165,IF(ISNUMBER(SEARCH("12",'Procyflof 700'!D165)),EDATE(AB1664,12),IF(ISNUMBER(SEARCH("6",'Procyflof 700'!D165)),EDATE(AB1664,6),IF(ISNUMBER(SEARCH("3",'Procyflof 700'!D165)),EDATE(AB1664,3),DATEVALUE('Procyflof 700'!D165))))),""))</f>
        <v/>
      </c>
      <c r="AM1664" t="str">
        <f t="shared" ca="1" si="172"/>
        <v/>
      </c>
    </row>
    <row r="1665" spans="27:39" x14ac:dyDescent="0.3">
      <c r="AA1665" t="str">
        <f>IF(COUNTA('Procyflof 700'!A166,'Procyflof 700'!B166,'Procyflof 700'!C166)&gt;0,"700","")</f>
        <v/>
      </c>
      <c r="AB1665" t="str">
        <f>IFERROR(IF(ISNUMBER('Procyflof 700'!A166),'Procyflof 700'!A166,DATEVALUE('Procyflof 700'!A166)),"")</f>
        <v/>
      </c>
      <c r="AC1665" t="str">
        <f>IF(AA1665="","",'Procyflof 700'!B166)</f>
        <v/>
      </c>
      <c r="AD1665" t="str">
        <f>IF(AA1665="","",IFERROR(1*'Procyflof 700'!C166,IFERROR(_xludf.NUMBERVALUE('Procyflof 700'!C166,".",","),IFERROR(_xludf.NUMBERVALUE('Procyflof 700'!C166,",","."),0))))</f>
        <v/>
      </c>
      <c r="AE1665" t="str">
        <f>IF(AA1665="","",'Procyflof 700'!N166)</f>
        <v/>
      </c>
      <c r="AF1665">
        <f t="shared" si="167"/>
        <v>0</v>
      </c>
      <c r="AG1665" t="str">
        <f t="shared" si="168"/>
        <v/>
      </c>
      <c r="AH1665" t="str">
        <f t="shared" si="169"/>
        <v/>
      </c>
      <c r="AI1665">
        <f t="shared" si="170"/>
        <v>0</v>
      </c>
      <c r="AJ1665">
        <f t="shared" si="171"/>
        <v>0</v>
      </c>
      <c r="AK1665">
        <v>0</v>
      </c>
      <c r="AL1665" t="str">
        <f>IF(AA1665="","",IFERROR(IF(ISNUMBER('Procyflof 700'!D166),'Procyflof 700'!D166,IF(ISNUMBER(SEARCH("12",'Procyflof 700'!D166)),EDATE(AB1665,12),IF(ISNUMBER(SEARCH("6",'Procyflof 700'!D166)),EDATE(AB1665,6),IF(ISNUMBER(SEARCH("3",'Procyflof 700'!D166)),EDATE(AB1665,3),DATEVALUE('Procyflof 700'!D166))))),""))</f>
        <v/>
      </c>
      <c r="AM1665" t="str">
        <f t="shared" ca="1" si="172"/>
        <v/>
      </c>
    </row>
    <row r="1666" spans="27:39" x14ac:dyDescent="0.3">
      <c r="AA1666" t="str">
        <f>IF(COUNTA('Procyflof 700'!A167,'Procyflof 700'!B167,'Procyflof 700'!C167)&gt;0,"700","")</f>
        <v/>
      </c>
      <c r="AB1666" t="str">
        <f>IFERROR(IF(ISNUMBER('Procyflof 700'!A167),'Procyflof 700'!A167,DATEVALUE('Procyflof 700'!A167)),"")</f>
        <v/>
      </c>
      <c r="AC1666" t="str">
        <f>IF(AA1666="","",'Procyflof 700'!B167)</f>
        <v/>
      </c>
      <c r="AD1666" t="str">
        <f>IF(AA1666="","",IFERROR(1*'Procyflof 700'!C167,IFERROR(_xludf.NUMBERVALUE('Procyflof 700'!C167,".",","),IFERROR(_xludf.NUMBERVALUE('Procyflof 700'!C167,",","."),0))))</f>
        <v/>
      </c>
      <c r="AE1666" t="str">
        <f>IF(AA1666="","",'Procyflof 700'!N167)</f>
        <v/>
      </c>
      <c r="AF1666">
        <f t="shared" ref="AF1666:AF1729" si="173">IF(AA1666="",0,--AND(ISNUMBER(SEARCH("aprov",AE1666)),NOT(ISNUMBER(SEARCH("reprov",AE1666)))))</f>
        <v>0</v>
      </c>
      <c r="AG1666" t="str">
        <f t="shared" ref="AG1666:AG1729" si="174">IF(AB1666="","",YEAR(AB1666))</f>
        <v/>
      </c>
      <c r="AH1666" t="str">
        <f t="shared" ref="AH1666:AH1729" si="175">IF(AB1666="","",MONTH(AB1666))</f>
        <v/>
      </c>
      <c r="AI1666">
        <f t="shared" ref="AI1666:AI1729" si="176">IF(AB1666="",0,AB1666+ROW()/1000000)</f>
        <v>0</v>
      </c>
      <c r="AJ1666">
        <f t="shared" ref="AJ1666:AJ1729" si="177">--(AA1666&lt;&gt;"")</f>
        <v>0</v>
      </c>
      <c r="AK1666">
        <v>0</v>
      </c>
      <c r="AL1666" t="str">
        <f>IF(AA1666="","",IFERROR(IF(ISNUMBER('Procyflof 700'!D167),'Procyflof 700'!D167,IF(ISNUMBER(SEARCH("12",'Procyflof 700'!D167)),EDATE(AB1666,12),IF(ISNUMBER(SEARCH("6",'Procyflof 700'!D167)),EDATE(AB1666,6),IF(ISNUMBER(SEARCH("3",'Procyflof 700'!D167)),EDATE(AB1666,3),DATEVALUE('Procyflof 700'!D167))))),""))</f>
        <v/>
      </c>
      <c r="AM1666" t="str">
        <f t="shared" ref="AM1666:AM1729" ca="1" si="178">IF(AND(AJ1666=1,AL1666&lt;&gt;"",AL1666&gt;=TODAY(),AG1666=$W$3),AL1666+ROW()/1000000,"")</f>
        <v/>
      </c>
    </row>
    <row r="1667" spans="27:39" x14ac:dyDescent="0.3">
      <c r="AA1667" t="str">
        <f>IF(COUNTA('Procyflof 700'!A168,'Procyflof 700'!B168,'Procyflof 700'!C168)&gt;0,"700","")</f>
        <v/>
      </c>
      <c r="AB1667" t="str">
        <f>IFERROR(IF(ISNUMBER('Procyflof 700'!A168),'Procyflof 700'!A168,DATEVALUE('Procyflof 700'!A168)),"")</f>
        <v/>
      </c>
      <c r="AC1667" t="str">
        <f>IF(AA1667="","",'Procyflof 700'!B168)</f>
        <v/>
      </c>
      <c r="AD1667" t="str">
        <f>IF(AA1667="","",IFERROR(1*'Procyflof 700'!C168,IFERROR(_xludf.NUMBERVALUE('Procyflof 700'!C168,".",","),IFERROR(_xludf.NUMBERVALUE('Procyflof 700'!C168,",","."),0))))</f>
        <v/>
      </c>
      <c r="AE1667" t="str">
        <f>IF(AA1667="","",'Procyflof 700'!N168)</f>
        <v/>
      </c>
      <c r="AF1667">
        <f t="shared" si="173"/>
        <v>0</v>
      </c>
      <c r="AG1667" t="str">
        <f t="shared" si="174"/>
        <v/>
      </c>
      <c r="AH1667" t="str">
        <f t="shared" si="175"/>
        <v/>
      </c>
      <c r="AI1667">
        <f t="shared" si="176"/>
        <v>0</v>
      </c>
      <c r="AJ1667">
        <f t="shared" si="177"/>
        <v>0</v>
      </c>
      <c r="AK1667">
        <v>0</v>
      </c>
      <c r="AL1667" t="str">
        <f>IF(AA1667="","",IFERROR(IF(ISNUMBER('Procyflof 700'!D168),'Procyflof 700'!D168,IF(ISNUMBER(SEARCH("12",'Procyflof 700'!D168)),EDATE(AB1667,12),IF(ISNUMBER(SEARCH("6",'Procyflof 700'!D168)),EDATE(AB1667,6),IF(ISNUMBER(SEARCH("3",'Procyflof 700'!D168)),EDATE(AB1667,3),DATEVALUE('Procyflof 700'!D168))))),""))</f>
        <v/>
      </c>
      <c r="AM1667" t="str">
        <f t="shared" ca="1" si="178"/>
        <v/>
      </c>
    </row>
    <row r="1668" spans="27:39" x14ac:dyDescent="0.3">
      <c r="AA1668" t="str">
        <f>IF(COUNTA('Procyflof 700'!A169,'Procyflof 700'!B169,'Procyflof 700'!C169)&gt;0,"700","")</f>
        <v/>
      </c>
      <c r="AB1668" t="str">
        <f>IFERROR(IF(ISNUMBER('Procyflof 700'!A169),'Procyflof 700'!A169,DATEVALUE('Procyflof 700'!A169)),"")</f>
        <v/>
      </c>
      <c r="AC1668" t="str">
        <f>IF(AA1668="","",'Procyflof 700'!B169)</f>
        <v/>
      </c>
      <c r="AD1668" t="str">
        <f>IF(AA1668="","",IFERROR(1*'Procyflof 700'!C169,IFERROR(_xludf.NUMBERVALUE('Procyflof 700'!C169,".",","),IFERROR(_xludf.NUMBERVALUE('Procyflof 700'!C169,",","."),0))))</f>
        <v/>
      </c>
      <c r="AE1668" t="str">
        <f>IF(AA1668="","",'Procyflof 700'!N169)</f>
        <v/>
      </c>
      <c r="AF1668">
        <f t="shared" si="173"/>
        <v>0</v>
      </c>
      <c r="AG1668" t="str">
        <f t="shared" si="174"/>
        <v/>
      </c>
      <c r="AH1668" t="str">
        <f t="shared" si="175"/>
        <v/>
      </c>
      <c r="AI1668">
        <f t="shared" si="176"/>
        <v>0</v>
      </c>
      <c r="AJ1668">
        <f t="shared" si="177"/>
        <v>0</v>
      </c>
      <c r="AK1668">
        <v>0</v>
      </c>
      <c r="AL1668" t="str">
        <f>IF(AA1668="","",IFERROR(IF(ISNUMBER('Procyflof 700'!D169),'Procyflof 700'!D169,IF(ISNUMBER(SEARCH("12",'Procyflof 700'!D169)),EDATE(AB1668,12),IF(ISNUMBER(SEARCH("6",'Procyflof 700'!D169)),EDATE(AB1668,6),IF(ISNUMBER(SEARCH("3",'Procyflof 700'!D169)),EDATE(AB1668,3),DATEVALUE('Procyflof 700'!D169))))),""))</f>
        <v/>
      </c>
      <c r="AM1668" t="str">
        <f t="shared" ca="1" si="178"/>
        <v/>
      </c>
    </row>
    <row r="1669" spans="27:39" x14ac:dyDescent="0.3">
      <c r="AA1669" t="str">
        <f>IF(COUNTA('Procyflof 700'!A170,'Procyflof 700'!B170,'Procyflof 700'!C170)&gt;0,"700","")</f>
        <v/>
      </c>
      <c r="AB1669" t="str">
        <f>IFERROR(IF(ISNUMBER('Procyflof 700'!A170),'Procyflof 700'!A170,DATEVALUE('Procyflof 700'!A170)),"")</f>
        <v/>
      </c>
      <c r="AC1669" t="str">
        <f>IF(AA1669="","",'Procyflof 700'!B170)</f>
        <v/>
      </c>
      <c r="AD1669" t="str">
        <f>IF(AA1669="","",IFERROR(1*'Procyflof 700'!C170,IFERROR(_xludf.NUMBERVALUE('Procyflof 700'!C170,".",","),IFERROR(_xludf.NUMBERVALUE('Procyflof 700'!C170,",","."),0))))</f>
        <v/>
      </c>
      <c r="AE1669" t="str">
        <f>IF(AA1669="","",'Procyflof 700'!N170)</f>
        <v/>
      </c>
      <c r="AF1669">
        <f t="shared" si="173"/>
        <v>0</v>
      </c>
      <c r="AG1669" t="str">
        <f t="shared" si="174"/>
        <v/>
      </c>
      <c r="AH1669" t="str">
        <f t="shared" si="175"/>
        <v/>
      </c>
      <c r="AI1669">
        <f t="shared" si="176"/>
        <v>0</v>
      </c>
      <c r="AJ1669">
        <f t="shared" si="177"/>
        <v>0</v>
      </c>
      <c r="AK1669">
        <v>0</v>
      </c>
      <c r="AL1669" t="str">
        <f>IF(AA1669="","",IFERROR(IF(ISNUMBER('Procyflof 700'!D170),'Procyflof 700'!D170,IF(ISNUMBER(SEARCH("12",'Procyflof 700'!D170)),EDATE(AB1669,12),IF(ISNUMBER(SEARCH("6",'Procyflof 700'!D170)),EDATE(AB1669,6),IF(ISNUMBER(SEARCH("3",'Procyflof 700'!D170)),EDATE(AB1669,3),DATEVALUE('Procyflof 700'!D170))))),""))</f>
        <v/>
      </c>
      <c r="AM1669" t="str">
        <f t="shared" ca="1" si="178"/>
        <v/>
      </c>
    </row>
    <row r="1670" spans="27:39" x14ac:dyDescent="0.3">
      <c r="AA1670" t="str">
        <f>IF(COUNTA('Procyflof 700'!A171,'Procyflof 700'!B171,'Procyflof 700'!C171)&gt;0,"700","")</f>
        <v/>
      </c>
      <c r="AB1670" t="str">
        <f>IFERROR(IF(ISNUMBER('Procyflof 700'!A171),'Procyflof 700'!A171,DATEVALUE('Procyflof 700'!A171)),"")</f>
        <v/>
      </c>
      <c r="AC1670" t="str">
        <f>IF(AA1670="","",'Procyflof 700'!B171)</f>
        <v/>
      </c>
      <c r="AD1670" t="str">
        <f>IF(AA1670="","",IFERROR(1*'Procyflof 700'!C171,IFERROR(_xludf.NUMBERVALUE('Procyflof 700'!C171,".",","),IFERROR(_xludf.NUMBERVALUE('Procyflof 700'!C171,",","."),0))))</f>
        <v/>
      </c>
      <c r="AE1670" t="str">
        <f>IF(AA1670="","",'Procyflof 700'!N171)</f>
        <v/>
      </c>
      <c r="AF1670">
        <f t="shared" si="173"/>
        <v>0</v>
      </c>
      <c r="AG1670" t="str">
        <f t="shared" si="174"/>
        <v/>
      </c>
      <c r="AH1670" t="str">
        <f t="shared" si="175"/>
        <v/>
      </c>
      <c r="AI1670">
        <f t="shared" si="176"/>
        <v>0</v>
      </c>
      <c r="AJ1670">
        <f t="shared" si="177"/>
        <v>0</v>
      </c>
      <c r="AK1670">
        <v>0</v>
      </c>
      <c r="AL1670" t="str">
        <f>IF(AA1670="","",IFERROR(IF(ISNUMBER('Procyflof 700'!D171),'Procyflof 700'!D171,IF(ISNUMBER(SEARCH("12",'Procyflof 700'!D171)),EDATE(AB1670,12),IF(ISNUMBER(SEARCH("6",'Procyflof 700'!D171)),EDATE(AB1670,6),IF(ISNUMBER(SEARCH("3",'Procyflof 700'!D171)),EDATE(AB1670,3),DATEVALUE('Procyflof 700'!D171))))),""))</f>
        <v/>
      </c>
      <c r="AM1670" t="str">
        <f t="shared" ca="1" si="178"/>
        <v/>
      </c>
    </row>
    <row r="1671" spans="27:39" x14ac:dyDescent="0.3">
      <c r="AA1671" t="str">
        <f>IF(COUNTA('Procyflof 700'!A172,'Procyflof 700'!B172,'Procyflof 700'!C172)&gt;0,"700","")</f>
        <v/>
      </c>
      <c r="AB1671" t="str">
        <f>IFERROR(IF(ISNUMBER('Procyflof 700'!A172),'Procyflof 700'!A172,DATEVALUE('Procyflof 700'!A172)),"")</f>
        <v/>
      </c>
      <c r="AC1671" t="str">
        <f>IF(AA1671="","",'Procyflof 700'!B172)</f>
        <v/>
      </c>
      <c r="AD1671" t="str">
        <f>IF(AA1671="","",IFERROR(1*'Procyflof 700'!C172,IFERROR(_xludf.NUMBERVALUE('Procyflof 700'!C172,".",","),IFERROR(_xludf.NUMBERVALUE('Procyflof 700'!C172,",","."),0))))</f>
        <v/>
      </c>
      <c r="AE1671" t="str">
        <f>IF(AA1671="","",'Procyflof 700'!N172)</f>
        <v/>
      </c>
      <c r="AF1671">
        <f t="shared" si="173"/>
        <v>0</v>
      </c>
      <c r="AG1671" t="str">
        <f t="shared" si="174"/>
        <v/>
      </c>
      <c r="AH1671" t="str">
        <f t="shared" si="175"/>
        <v/>
      </c>
      <c r="AI1671">
        <f t="shared" si="176"/>
        <v>0</v>
      </c>
      <c r="AJ1671">
        <f t="shared" si="177"/>
        <v>0</v>
      </c>
      <c r="AK1671">
        <v>0</v>
      </c>
      <c r="AL1671" t="str">
        <f>IF(AA1671="","",IFERROR(IF(ISNUMBER('Procyflof 700'!D172),'Procyflof 700'!D172,IF(ISNUMBER(SEARCH("12",'Procyflof 700'!D172)),EDATE(AB1671,12),IF(ISNUMBER(SEARCH("6",'Procyflof 700'!D172)),EDATE(AB1671,6),IF(ISNUMBER(SEARCH("3",'Procyflof 700'!D172)),EDATE(AB1671,3),DATEVALUE('Procyflof 700'!D172))))),""))</f>
        <v/>
      </c>
      <c r="AM1671" t="str">
        <f t="shared" ca="1" si="178"/>
        <v/>
      </c>
    </row>
    <row r="1672" spans="27:39" x14ac:dyDescent="0.3">
      <c r="AA1672" t="str">
        <f>IF(COUNTA('Procyflof 700'!A173,'Procyflof 700'!B173,'Procyflof 700'!C173)&gt;0,"700","")</f>
        <v/>
      </c>
      <c r="AB1672" t="str">
        <f>IFERROR(IF(ISNUMBER('Procyflof 700'!A173),'Procyflof 700'!A173,DATEVALUE('Procyflof 700'!A173)),"")</f>
        <v/>
      </c>
      <c r="AC1672" t="str">
        <f>IF(AA1672="","",'Procyflof 700'!B173)</f>
        <v/>
      </c>
      <c r="AD1672" t="str">
        <f>IF(AA1672="","",IFERROR(1*'Procyflof 700'!C173,IFERROR(_xludf.NUMBERVALUE('Procyflof 700'!C173,".",","),IFERROR(_xludf.NUMBERVALUE('Procyflof 700'!C173,",","."),0))))</f>
        <v/>
      </c>
      <c r="AE1672" t="str">
        <f>IF(AA1672="","",'Procyflof 700'!N173)</f>
        <v/>
      </c>
      <c r="AF1672">
        <f t="shared" si="173"/>
        <v>0</v>
      </c>
      <c r="AG1672" t="str">
        <f t="shared" si="174"/>
        <v/>
      </c>
      <c r="AH1672" t="str">
        <f t="shared" si="175"/>
        <v/>
      </c>
      <c r="AI1672">
        <f t="shared" si="176"/>
        <v>0</v>
      </c>
      <c r="AJ1672">
        <f t="shared" si="177"/>
        <v>0</v>
      </c>
      <c r="AK1672">
        <v>0</v>
      </c>
      <c r="AL1672" t="str">
        <f>IF(AA1672="","",IFERROR(IF(ISNUMBER('Procyflof 700'!D173),'Procyflof 700'!D173,IF(ISNUMBER(SEARCH("12",'Procyflof 700'!D173)),EDATE(AB1672,12),IF(ISNUMBER(SEARCH("6",'Procyflof 700'!D173)),EDATE(AB1672,6),IF(ISNUMBER(SEARCH("3",'Procyflof 700'!D173)),EDATE(AB1672,3),DATEVALUE('Procyflof 700'!D173))))),""))</f>
        <v/>
      </c>
      <c r="AM1672" t="str">
        <f t="shared" ca="1" si="178"/>
        <v/>
      </c>
    </row>
    <row r="1673" spans="27:39" x14ac:dyDescent="0.3">
      <c r="AA1673" t="str">
        <f>IF(COUNTA('Procyflof 700'!A174,'Procyflof 700'!B174,'Procyflof 700'!C174)&gt;0,"700","")</f>
        <v/>
      </c>
      <c r="AB1673" t="str">
        <f>IFERROR(IF(ISNUMBER('Procyflof 700'!A174),'Procyflof 700'!A174,DATEVALUE('Procyflof 700'!A174)),"")</f>
        <v/>
      </c>
      <c r="AC1673" t="str">
        <f>IF(AA1673="","",'Procyflof 700'!B174)</f>
        <v/>
      </c>
      <c r="AD1673" t="str">
        <f>IF(AA1673="","",IFERROR(1*'Procyflof 700'!C174,IFERROR(_xludf.NUMBERVALUE('Procyflof 700'!C174,".",","),IFERROR(_xludf.NUMBERVALUE('Procyflof 700'!C174,",","."),0))))</f>
        <v/>
      </c>
      <c r="AE1673" t="str">
        <f>IF(AA1673="","",'Procyflof 700'!N174)</f>
        <v/>
      </c>
      <c r="AF1673">
        <f t="shared" si="173"/>
        <v>0</v>
      </c>
      <c r="AG1673" t="str">
        <f t="shared" si="174"/>
        <v/>
      </c>
      <c r="AH1673" t="str">
        <f t="shared" si="175"/>
        <v/>
      </c>
      <c r="AI1673">
        <f t="shared" si="176"/>
        <v>0</v>
      </c>
      <c r="AJ1673">
        <f t="shared" si="177"/>
        <v>0</v>
      </c>
      <c r="AK1673">
        <v>0</v>
      </c>
      <c r="AL1673" t="str">
        <f>IF(AA1673="","",IFERROR(IF(ISNUMBER('Procyflof 700'!D174),'Procyflof 700'!D174,IF(ISNUMBER(SEARCH("12",'Procyflof 700'!D174)),EDATE(AB1673,12),IF(ISNUMBER(SEARCH("6",'Procyflof 700'!D174)),EDATE(AB1673,6),IF(ISNUMBER(SEARCH("3",'Procyflof 700'!D174)),EDATE(AB1673,3),DATEVALUE('Procyflof 700'!D174))))),""))</f>
        <v/>
      </c>
      <c r="AM1673" t="str">
        <f t="shared" ca="1" si="178"/>
        <v/>
      </c>
    </row>
    <row r="1674" spans="27:39" x14ac:dyDescent="0.3">
      <c r="AA1674" t="str">
        <f>IF(COUNTA('Procyflof 700'!A175,'Procyflof 700'!B175,'Procyflof 700'!C175)&gt;0,"700","")</f>
        <v/>
      </c>
      <c r="AB1674" t="str">
        <f>IFERROR(IF(ISNUMBER('Procyflof 700'!A175),'Procyflof 700'!A175,DATEVALUE('Procyflof 700'!A175)),"")</f>
        <v/>
      </c>
      <c r="AC1674" t="str">
        <f>IF(AA1674="","",'Procyflof 700'!B175)</f>
        <v/>
      </c>
      <c r="AD1674" t="str">
        <f>IF(AA1674="","",IFERROR(1*'Procyflof 700'!C175,IFERROR(_xludf.NUMBERVALUE('Procyflof 700'!C175,".",","),IFERROR(_xludf.NUMBERVALUE('Procyflof 700'!C175,",","."),0))))</f>
        <v/>
      </c>
      <c r="AE1674" t="str">
        <f>IF(AA1674="","",'Procyflof 700'!N175)</f>
        <v/>
      </c>
      <c r="AF1674">
        <f t="shared" si="173"/>
        <v>0</v>
      </c>
      <c r="AG1674" t="str">
        <f t="shared" si="174"/>
        <v/>
      </c>
      <c r="AH1674" t="str">
        <f t="shared" si="175"/>
        <v/>
      </c>
      <c r="AI1674">
        <f t="shared" si="176"/>
        <v>0</v>
      </c>
      <c r="AJ1674">
        <f t="shared" si="177"/>
        <v>0</v>
      </c>
      <c r="AK1674">
        <v>0</v>
      </c>
      <c r="AL1674" t="str">
        <f>IF(AA1674="","",IFERROR(IF(ISNUMBER('Procyflof 700'!D175),'Procyflof 700'!D175,IF(ISNUMBER(SEARCH("12",'Procyflof 700'!D175)),EDATE(AB1674,12),IF(ISNUMBER(SEARCH("6",'Procyflof 700'!D175)),EDATE(AB1674,6),IF(ISNUMBER(SEARCH("3",'Procyflof 700'!D175)),EDATE(AB1674,3),DATEVALUE('Procyflof 700'!D175))))),""))</f>
        <v/>
      </c>
      <c r="AM1674" t="str">
        <f t="shared" ca="1" si="178"/>
        <v/>
      </c>
    </row>
    <row r="1675" spans="27:39" x14ac:dyDescent="0.3">
      <c r="AA1675" t="str">
        <f>IF(COUNTA('Procyflof 700'!A176,'Procyflof 700'!B176,'Procyflof 700'!C176)&gt;0,"700","")</f>
        <v/>
      </c>
      <c r="AB1675" t="str">
        <f>IFERROR(IF(ISNUMBER('Procyflof 700'!A176),'Procyflof 700'!A176,DATEVALUE('Procyflof 700'!A176)),"")</f>
        <v/>
      </c>
      <c r="AC1675" t="str">
        <f>IF(AA1675="","",'Procyflof 700'!B176)</f>
        <v/>
      </c>
      <c r="AD1675" t="str">
        <f>IF(AA1675="","",IFERROR(1*'Procyflof 700'!C176,IFERROR(_xludf.NUMBERVALUE('Procyflof 700'!C176,".",","),IFERROR(_xludf.NUMBERVALUE('Procyflof 700'!C176,",","."),0))))</f>
        <v/>
      </c>
      <c r="AE1675" t="str">
        <f>IF(AA1675="","",'Procyflof 700'!N176)</f>
        <v/>
      </c>
      <c r="AF1675">
        <f t="shared" si="173"/>
        <v>0</v>
      </c>
      <c r="AG1675" t="str">
        <f t="shared" si="174"/>
        <v/>
      </c>
      <c r="AH1675" t="str">
        <f t="shared" si="175"/>
        <v/>
      </c>
      <c r="AI1675">
        <f t="shared" si="176"/>
        <v>0</v>
      </c>
      <c r="AJ1675">
        <f t="shared" si="177"/>
        <v>0</v>
      </c>
      <c r="AK1675">
        <v>0</v>
      </c>
      <c r="AL1675" t="str">
        <f>IF(AA1675="","",IFERROR(IF(ISNUMBER('Procyflof 700'!D176),'Procyflof 700'!D176,IF(ISNUMBER(SEARCH("12",'Procyflof 700'!D176)),EDATE(AB1675,12),IF(ISNUMBER(SEARCH("6",'Procyflof 700'!D176)),EDATE(AB1675,6),IF(ISNUMBER(SEARCH("3",'Procyflof 700'!D176)),EDATE(AB1675,3),DATEVALUE('Procyflof 700'!D176))))),""))</f>
        <v/>
      </c>
      <c r="AM1675" t="str">
        <f t="shared" ca="1" si="178"/>
        <v/>
      </c>
    </row>
    <row r="1676" spans="27:39" x14ac:dyDescent="0.3">
      <c r="AA1676" t="str">
        <f>IF(COUNTA('Procyflof 700'!A177,'Procyflof 700'!B177,'Procyflof 700'!C177)&gt;0,"700","")</f>
        <v/>
      </c>
      <c r="AB1676" t="str">
        <f>IFERROR(IF(ISNUMBER('Procyflof 700'!A177),'Procyflof 700'!A177,DATEVALUE('Procyflof 700'!A177)),"")</f>
        <v/>
      </c>
      <c r="AC1676" t="str">
        <f>IF(AA1676="","",'Procyflof 700'!B177)</f>
        <v/>
      </c>
      <c r="AD1676" t="str">
        <f>IF(AA1676="","",IFERROR(1*'Procyflof 700'!C177,IFERROR(_xludf.NUMBERVALUE('Procyflof 700'!C177,".",","),IFERROR(_xludf.NUMBERVALUE('Procyflof 700'!C177,",","."),0))))</f>
        <v/>
      </c>
      <c r="AE1676" t="str">
        <f>IF(AA1676="","",'Procyflof 700'!N177)</f>
        <v/>
      </c>
      <c r="AF1676">
        <f t="shared" si="173"/>
        <v>0</v>
      </c>
      <c r="AG1676" t="str">
        <f t="shared" si="174"/>
        <v/>
      </c>
      <c r="AH1676" t="str">
        <f t="shared" si="175"/>
        <v/>
      </c>
      <c r="AI1676">
        <f t="shared" si="176"/>
        <v>0</v>
      </c>
      <c r="AJ1676">
        <f t="shared" si="177"/>
        <v>0</v>
      </c>
      <c r="AK1676">
        <v>0</v>
      </c>
      <c r="AL1676" t="str">
        <f>IF(AA1676="","",IFERROR(IF(ISNUMBER('Procyflof 700'!D177),'Procyflof 700'!D177,IF(ISNUMBER(SEARCH("12",'Procyflof 700'!D177)),EDATE(AB1676,12),IF(ISNUMBER(SEARCH("6",'Procyflof 700'!D177)),EDATE(AB1676,6),IF(ISNUMBER(SEARCH("3",'Procyflof 700'!D177)),EDATE(AB1676,3),DATEVALUE('Procyflof 700'!D177))))),""))</f>
        <v/>
      </c>
      <c r="AM1676" t="str">
        <f t="shared" ca="1" si="178"/>
        <v/>
      </c>
    </row>
    <row r="1677" spans="27:39" x14ac:dyDescent="0.3">
      <c r="AA1677" t="str">
        <f>IF(COUNTA('Procyflof 700'!A178,'Procyflof 700'!B178,'Procyflof 700'!C178)&gt;0,"700","")</f>
        <v/>
      </c>
      <c r="AB1677" t="str">
        <f>IFERROR(IF(ISNUMBER('Procyflof 700'!A178),'Procyflof 700'!A178,DATEVALUE('Procyflof 700'!A178)),"")</f>
        <v/>
      </c>
      <c r="AC1677" t="str">
        <f>IF(AA1677="","",'Procyflof 700'!B178)</f>
        <v/>
      </c>
      <c r="AD1677" t="str">
        <f>IF(AA1677="","",IFERROR(1*'Procyflof 700'!C178,IFERROR(_xludf.NUMBERVALUE('Procyflof 700'!C178,".",","),IFERROR(_xludf.NUMBERVALUE('Procyflof 700'!C178,",","."),0))))</f>
        <v/>
      </c>
      <c r="AE1677" t="str">
        <f>IF(AA1677="","",'Procyflof 700'!N178)</f>
        <v/>
      </c>
      <c r="AF1677">
        <f t="shared" si="173"/>
        <v>0</v>
      </c>
      <c r="AG1677" t="str">
        <f t="shared" si="174"/>
        <v/>
      </c>
      <c r="AH1677" t="str">
        <f t="shared" si="175"/>
        <v/>
      </c>
      <c r="AI1677">
        <f t="shared" si="176"/>
        <v>0</v>
      </c>
      <c r="AJ1677">
        <f t="shared" si="177"/>
        <v>0</v>
      </c>
      <c r="AK1677">
        <v>0</v>
      </c>
      <c r="AL1677" t="str">
        <f>IF(AA1677="","",IFERROR(IF(ISNUMBER('Procyflof 700'!D178),'Procyflof 700'!D178,IF(ISNUMBER(SEARCH("12",'Procyflof 700'!D178)),EDATE(AB1677,12),IF(ISNUMBER(SEARCH("6",'Procyflof 700'!D178)),EDATE(AB1677,6),IF(ISNUMBER(SEARCH("3",'Procyflof 700'!D178)),EDATE(AB1677,3),DATEVALUE('Procyflof 700'!D178))))),""))</f>
        <v/>
      </c>
      <c r="AM1677" t="str">
        <f t="shared" ca="1" si="178"/>
        <v/>
      </c>
    </row>
    <row r="1678" spans="27:39" x14ac:dyDescent="0.3">
      <c r="AA1678" t="str">
        <f>IF(COUNTA('Procyflof 700'!A179,'Procyflof 700'!B179,'Procyflof 700'!C179)&gt;0,"700","")</f>
        <v/>
      </c>
      <c r="AB1678" t="str">
        <f>IFERROR(IF(ISNUMBER('Procyflof 700'!A179),'Procyflof 700'!A179,DATEVALUE('Procyflof 700'!A179)),"")</f>
        <v/>
      </c>
      <c r="AC1678" t="str">
        <f>IF(AA1678="","",'Procyflof 700'!B179)</f>
        <v/>
      </c>
      <c r="AD1678" t="str">
        <f>IF(AA1678="","",IFERROR(1*'Procyflof 700'!C179,IFERROR(_xludf.NUMBERVALUE('Procyflof 700'!C179,".",","),IFERROR(_xludf.NUMBERVALUE('Procyflof 700'!C179,",","."),0))))</f>
        <v/>
      </c>
      <c r="AE1678" t="str">
        <f>IF(AA1678="","",'Procyflof 700'!N179)</f>
        <v/>
      </c>
      <c r="AF1678">
        <f t="shared" si="173"/>
        <v>0</v>
      </c>
      <c r="AG1678" t="str">
        <f t="shared" si="174"/>
        <v/>
      </c>
      <c r="AH1678" t="str">
        <f t="shared" si="175"/>
        <v/>
      </c>
      <c r="AI1678">
        <f t="shared" si="176"/>
        <v>0</v>
      </c>
      <c r="AJ1678">
        <f t="shared" si="177"/>
        <v>0</v>
      </c>
      <c r="AK1678">
        <v>0</v>
      </c>
      <c r="AL1678" t="str">
        <f>IF(AA1678="","",IFERROR(IF(ISNUMBER('Procyflof 700'!D179),'Procyflof 700'!D179,IF(ISNUMBER(SEARCH("12",'Procyflof 700'!D179)),EDATE(AB1678,12),IF(ISNUMBER(SEARCH("6",'Procyflof 700'!D179)),EDATE(AB1678,6),IF(ISNUMBER(SEARCH("3",'Procyflof 700'!D179)),EDATE(AB1678,3),DATEVALUE('Procyflof 700'!D179))))),""))</f>
        <v/>
      </c>
      <c r="AM1678" t="str">
        <f t="shared" ca="1" si="178"/>
        <v/>
      </c>
    </row>
    <row r="1679" spans="27:39" x14ac:dyDescent="0.3">
      <c r="AA1679" t="str">
        <f>IF(COUNTA('Procyflof 700'!A180,'Procyflof 700'!B180,'Procyflof 700'!C180)&gt;0,"700","")</f>
        <v/>
      </c>
      <c r="AB1679" t="str">
        <f>IFERROR(IF(ISNUMBER('Procyflof 700'!A180),'Procyflof 700'!A180,DATEVALUE('Procyflof 700'!A180)),"")</f>
        <v/>
      </c>
      <c r="AC1679" t="str">
        <f>IF(AA1679="","",'Procyflof 700'!B180)</f>
        <v/>
      </c>
      <c r="AD1679" t="str">
        <f>IF(AA1679="","",IFERROR(1*'Procyflof 700'!C180,IFERROR(_xludf.NUMBERVALUE('Procyflof 700'!C180,".",","),IFERROR(_xludf.NUMBERVALUE('Procyflof 700'!C180,",","."),0))))</f>
        <v/>
      </c>
      <c r="AE1679" t="str">
        <f>IF(AA1679="","",'Procyflof 700'!N180)</f>
        <v/>
      </c>
      <c r="AF1679">
        <f t="shared" si="173"/>
        <v>0</v>
      </c>
      <c r="AG1679" t="str">
        <f t="shared" si="174"/>
        <v/>
      </c>
      <c r="AH1679" t="str">
        <f t="shared" si="175"/>
        <v/>
      </c>
      <c r="AI1679">
        <f t="shared" si="176"/>
        <v>0</v>
      </c>
      <c r="AJ1679">
        <f t="shared" si="177"/>
        <v>0</v>
      </c>
      <c r="AK1679">
        <v>0</v>
      </c>
      <c r="AL1679" t="str">
        <f>IF(AA1679="","",IFERROR(IF(ISNUMBER('Procyflof 700'!D180),'Procyflof 700'!D180,IF(ISNUMBER(SEARCH("12",'Procyflof 700'!D180)),EDATE(AB1679,12),IF(ISNUMBER(SEARCH("6",'Procyflof 700'!D180)),EDATE(AB1679,6),IF(ISNUMBER(SEARCH("3",'Procyflof 700'!D180)),EDATE(AB1679,3),DATEVALUE('Procyflof 700'!D180))))),""))</f>
        <v/>
      </c>
      <c r="AM1679" t="str">
        <f t="shared" ca="1" si="178"/>
        <v/>
      </c>
    </row>
    <row r="1680" spans="27:39" x14ac:dyDescent="0.3">
      <c r="AA1680" t="str">
        <f>IF(COUNTA('Procyflof 700'!A181,'Procyflof 700'!B181,'Procyflof 700'!C181)&gt;0,"700","")</f>
        <v/>
      </c>
      <c r="AB1680" t="str">
        <f>IFERROR(IF(ISNUMBER('Procyflof 700'!A181),'Procyflof 700'!A181,DATEVALUE('Procyflof 700'!A181)),"")</f>
        <v/>
      </c>
      <c r="AC1680" t="str">
        <f>IF(AA1680="","",'Procyflof 700'!B181)</f>
        <v/>
      </c>
      <c r="AD1680" t="str">
        <f>IF(AA1680="","",IFERROR(1*'Procyflof 700'!C181,IFERROR(_xludf.NUMBERVALUE('Procyflof 700'!C181,".",","),IFERROR(_xludf.NUMBERVALUE('Procyflof 700'!C181,",","."),0))))</f>
        <v/>
      </c>
      <c r="AE1680" t="str">
        <f>IF(AA1680="","",'Procyflof 700'!N181)</f>
        <v/>
      </c>
      <c r="AF1680">
        <f t="shared" si="173"/>
        <v>0</v>
      </c>
      <c r="AG1680" t="str">
        <f t="shared" si="174"/>
        <v/>
      </c>
      <c r="AH1680" t="str">
        <f t="shared" si="175"/>
        <v/>
      </c>
      <c r="AI1680">
        <f t="shared" si="176"/>
        <v>0</v>
      </c>
      <c r="AJ1680">
        <f t="shared" si="177"/>
        <v>0</v>
      </c>
      <c r="AK1680">
        <v>0</v>
      </c>
      <c r="AL1680" t="str">
        <f>IF(AA1680="","",IFERROR(IF(ISNUMBER('Procyflof 700'!D181),'Procyflof 700'!D181,IF(ISNUMBER(SEARCH("12",'Procyflof 700'!D181)),EDATE(AB1680,12),IF(ISNUMBER(SEARCH("6",'Procyflof 700'!D181)),EDATE(AB1680,6),IF(ISNUMBER(SEARCH("3",'Procyflof 700'!D181)),EDATE(AB1680,3),DATEVALUE('Procyflof 700'!D181))))),""))</f>
        <v/>
      </c>
      <c r="AM1680" t="str">
        <f t="shared" ca="1" si="178"/>
        <v/>
      </c>
    </row>
    <row r="1681" spans="27:39" x14ac:dyDescent="0.3">
      <c r="AA1681" t="str">
        <f>IF(COUNTA('Procyflof 700'!A182,'Procyflof 700'!B182,'Procyflof 700'!C182)&gt;0,"700","")</f>
        <v/>
      </c>
      <c r="AB1681" t="str">
        <f>IFERROR(IF(ISNUMBER('Procyflof 700'!A182),'Procyflof 700'!A182,DATEVALUE('Procyflof 700'!A182)),"")</f>
        <v/>
      </c>
      <c r="AC1681" t="str">
        <f>IF(AA1681="","",'Procyflof 700'!B182)</f>
        <v/>
      </c>
      <c r="AD1681" t="str">
        <f>IF(AA1681="","",IFERROR(1*'Procyflof 700'!C182,IFERROR(_xludf.NUMBERVALUE('Procyflof 700'!C182,".",","),IFERROR(_xludf.NUMBERVALUE('Procyflof 700'!C182,",","."),0))))</f>
        <v/>
      </c>
      <c r="AE1681" t="str">
        <f>IF(AA1681="","",'Procyflof 700'!N182)</f>
        <v/>
      </c>
      <c r="AF1681">
        <f t="shared" si="173"/>
        <v>0</v>
      </c>
      <c r="AG1681" t="str">
        <f t="shared" si="174"/>
        <v/>
      </c>
      <c r="AH1681" t="str">
        <f t="shared" si="175"/>
        <v/>
      </c>
      <c r="AI1681">
        <f t="shared" si="176"/>
        <v>0</v>
      </c>
      <c r="AJ1681">
        <f t="shared" si="177"/>
        <v>0</v>
      </c>
      <c r="AK1681">
        <v>0</v>
      </c>
      <c r="AL1681" t="str">
        <f>IF(AA1681="","",IFERROR(IF(ISNUMBER('Procyflof 700'!D182),'Procyflof 700'!D182,IF(ISNUMBER(SEARCH("12",'Procyflof 700'!D182)),EDATE(AB1681,12),IF(ISNUMBER(SEARCH("6",'Procyflof 700'!D182)),EDATE(AB1681,6),IF(ISNUMBER(SEARCH("3",'Procyflof 700'!D182)),EDATE(AB1681,3),DATEVALUE('Procyflof 700'!D182))))),""))</f>
        <v/>
      </c>
      <c r="AM1681" t="str">
        <f t="shared" ca="1" si="178"/>
        <v/>
      </c>
    </row>
    <row r="1682" spans="27:39" x14ac:dyDescent="0.3">
      <c r="AA1682" t="str">
        <f>IF(COUNTA('Procyflof 700'!A183,'Procyflof 700'!B183,'Procyflof 700'!C183)&gt;0,"700","")</f>
        <v/>
      </c>
      <c r="AB1682" t="str">
        <f>IFERROR(IF(ISNUMBER('Procyflof 700'!A183),'Procyflof 700'!A183,DATEVALUE('Procyflof 700'!A183)),"")</f>
        <v/>
      </c>
      <c r="AC1682" t="str">
        <f>IF(AA1682="","",'Procyflof 700'!B183)</f>
        <v/>
      </c>
      <c r="AD1682" t="str">
        <f>IF(AA1682="","",IFERROR(1*'Procyflof 700'!C183,IFERROR(_xludf.NUMBERVALUE('Procyflof 700'!C183,".",","),IFERROR(_xludf.NUMBERVALUE('Procyflof 700'!C183,",","."),0))))</f>
        <v/>
      </c>
      <c r="AE1682" t="str">
        <f>IF(AA1682="","",'Procyflof 700'!N183)</f>
        <v/>
      </c>
      <c r="AF1682">
        <f t="shared" si="173"/>
        <v>0</v>
      </c>
      <c r="AG1682" t="str">
        <f t="shared" si="174"/>
        <v/>
      </c>
      <c r="AH1682" t="str">
        <f t="shared" si="175"/>
        <v/>
      </c>
      <c r="AI1682">
        <f t="shared" si="176"/>
        <v>0</v>
      </c>
      <c r="AJ1682">
        <f t="shared" si="177"/>
        <v>0</v>
      </c>
      <c r="AK1682">
        <v>0</v>
      </c>
      <c r="AL1682" t="str">
        <f>IF(AA1682="","",IFERROR(IF(ISNUMBER('Procyflof 700'!D183),'Procyflof 700'!D183,IF(ISNUMBER(SEARCH("12",'Procyflof 700'!D183)),EDATE(AB1682,12),IF(ISNUMBER(SEARCH("6",'Procyflof 700'!D183)),EDATE(AB1682,6),IF(ISNUMBER(SEARCH("3",'Procyflof 700'!D183)),EDATE(AB1682,3),DATEVALUE('Procyflof 700'!D183))))),""))</f>
        <v/>
      </c>
      <c r="AM1682" t="str">
        <f t="shared" ca="1" si="178"/>
        <v/>
      </c>
    </row>
    <row r="1683" spans="27:39" x14ac:dyDescent="0.3">
      <c r="AA1683" t="str">
        <f>IF(COUNTA('Procyflof 700'!A184,'Procyflof 700'!B184,'Procyflof 700'!C184)&gt;0,"700","")</f>
        <v/>
      </c>
      <c r="AB1683" t="str">
        <f>IFERROR(IF(ISNUMBER('Procyflof 700'!A184),'Procyflof 700'!A184,DATEVALUE('Procyflof 700'!A184)),"")</f>
        <v/>
      </c>
      <c r="AC1683" t="str">
        <f>IF(AA1683="","",'Procyflof 700'!B184)</f>
        <v/>
      </c>
      <c r="AD1683" t="str">
        <f>IF(AA1683="","",IFERROR(1*'Procyflof 700'!C184,IFERROR(_xludf.NUMBERVALUE('Procyflof 700'!C184,".",","),IFERROR(_xludf.NUMBERVALUE('Procyflof 700'!C184,",","."),0))))</f>
        <v/>
      </c>
      <c r="AE1683" t="str">
        <f>IF(AA1683="","",'Procyflof 700'!N184)</f>
        <v/>
      </c>
      <c r="AF1683">
        <f t="shared" si="173"/>
        <v>0</v>
      </c>
      <c r="AG1683" t="str">
        <f t="shared" si="174"/>
        <v/>
      </c>
      <c r="AH1683" t="str">
        <f t="shared" si="175"/>
        <v/>
      </c>
      <c r="AI1683">
        <f t="shared" si="176"/>
        <v>0</v>
      </c>
      <c r="AJ1683">
        <f t="shared" si="177"/>
        <v>0</v>
      </c>
      <c r="AK1683">
        <v>0</v>
      </c>
      <c r="AL1683" t="str">
        <f>IF(AA1683="","",IFERROR(IF(ISNUMBER('Procyflof 700'!D184),'Procyflof 700'!D184,IF(ISNUMBER(SEARCH("12",'Procyflof 700'!D184)),EDATE(AB1683,12),IF(ISNUMBER(SEARCH("6",'Procyflof 700'!D184)),EDATE(AB1683,6),IF(ISNUMBER(SEARCH("3",'Procyflof 700'!D184)),EDATE(AB1683,3),DATEVALUE('Procyflof 700'!D184))))),""))</f>
        <v/>
      </c>
      <c r="AM1683" t="str">
        <f t="shared" ca="1" si="178"/>
        <v/>
      </c>
    </row>
    <row r="1684" spans="27:39" x14ac:dyDescent="0.3">
      <c r="AA1684" t="str">
        <f>IF(COUNTA('Procyflof 700'!A185,'Procyflof 700'!B185,'Procyflof 700'!C185)&gt;0,"700","")</f>
        <v/>
      </c>
      <c r="AB1684" t="str">
        <f>IFERROR(IF(ISNUMBER('Procyflof 700'!A185),'Procyflof 700'!A185,DATEVALUE('Procyflof 700'!A185)),"")</f>
        <v/>
      </c>
      <c r="AC1684" t="str">
        <f>IF(AA1684="","",'Procyflof 700'!B185)</f>
        <v/>
      </c>
      <c r="AD1684" t="str">
        <f>IF(AA1684="","",IFERROR(1*'Procyflof 700'!C185,IFERROR(_xludf.NUMBERVALUE('Procyflof 700'!C185,".",","),IFERROR(_xludf.NUMBERVALUE('Procyflof 700'!C185,",","."),0))))</f>
        <v/>
      </c>
      <c r="AE1684" t="str">
        <f>IF(AA1684="","",'Procyflof 700'!N185)</f>
        <v/>
      </c>
      <c r="AF1684">
        <f t="shared" si="173"/>
        <v>0</v>
      </c>
      <c r="AG1684" t="str">
        <f t="shared" si="174"/>
        <v/>
      </c>
      <c r="AH1684" t="str">
        <f t="shared" si="175"/>
        <v/>
      </c>
      <c r="AI1684">
        <f t="shared" si="176"/>
        <v>0</v>
      </c>
      <c r="AJ1684">
        <f t="shared" si="177"/>
        <v>0</v>
      </c>
      <c r="AK1684">
        <v>0</v>
      </c>
      <c r="AL1684" t="str">
        <f>IF(AA1684="","",IFERROR(IF(ISNUMBER('Procyflof 700'!D185),'Procyflof 700'!D185,IF(ISNUMBER(SEARCH("12",'Procyflof 700'!D185)),EDATE(AB1684,12),IF(ISNUMBER(SEARCH("6",'Procyflof 700'!D185)),EDATE(AB1684,6),IF(ISNUMBER(SEARCH("3",'Procyflof 700'!D185)),EDATE(AB1684,3),DATEVALUE('Procyflof 700'!D185))))),""))</f>
        <v/>
      </c>
      <c r="AM1684" t="str">
        <f t="shared" ca="1" si="178"/>
        <v/>
      </c>
    </row>
    <row r="1685" spans="27:39" x14ac:dyDescent="0.3">
      <c r="AA1685" t="str">
        <f>IF(COUNTA('Procyflof 700'!A186,'Procyflof 700'!B186,'Procyflof 700'!C186)&gt;0,"700","")</f>
        <v/>
      </c>
      <c r="AB1685" t="str">
        <f>IFERROR(IF(ISNUMBER('Procyflof 700'!A186),'Procyflof 700'!A186,DATEVALUE('Procyflof 700'!A186)),"")</f>
        <v/>
      </c>
      <c r="AC1685" t="str">
        <f>IF(AA1685="","",'Procyflof 700'!B186)</f>
        <v/>
      </c>
      <c r="AD1685" t="str">
        <f>IF(AA1685="","",IFERROR(1*'Procyflof 700'!C186,IFERROR(_xludf.NUMBERVALUE('Procyflof 700'!C186,".",","),IFERROR(_xludf.NUMBERVALUE('Procyflof 700'!C186,",","."),0))))</f>
        <v/>
      </c>
      <c r="AE1685" t="str">
        <f>IF(AA1685="","",'Procyflof 700'!N186)</f>
        <v/>
      </c>
      <c r="AF1685">
        <f t="shared" si="173"/>
        <v>0</v>
      </c>
      <c r="AG1685" t="str">
        <f t="shared" si="174"/>
        <v/>
      </c>
      <c r="AH1685" t="str">
        <f t="shared" si="175"/>
        <v/>
      </c>
      <c r="AI1685">
        <f t="shared" si="176"/>
        <v>0</v>
      </c>
      <c r="AJ1685">
        <f t="shared" si="177"/>
        <v>0</v>
      </c>
      <c r="AK1685">
        <v>0</v>
      </c>
      <c r="AL1685" t="str">
        <f>IF(AA1685="","",IFERROR(IF(ISNUMBER('Procyflof 700'!D186),'Procyflof 700'!D186,IF(ISNUMBER(SEARCH("12",'Procyflof 700'!D186)),EDATE(AB1685,12),IF(ISNUMBER(SEARCH("6",'Procyflof 700'!D186)),EDATE(AB1685,6),IF(ISNUMBER(SEARCH("3",'Procyflof 700'!D186)),EDATE(AB1685,3),DATEVALUE('Procyflof 700'!D186))))),""))</f>
        <v/>
      </c>
      <c r="AM1685" t="str">
        <f t="shared" ca="1" si="178"/>
        <v/>
      </c>
    </row>
    <row r="1686" spans="27:39" x14ac:dyDescent="0.3">
      <c r="AA1686" t="str">
        <f>IF(COUNTA('Procyflof 700'!A187,'Procyflof 700'!B187,'Procyflof 700'!C187)&gt;0,"700","")</f>
        <v/>
      </c>
      <c r="AB1686" t="str">
        <f>IFERROR(IF(ISNUMBER('Procyflof 700'!A187),'Procyflof 700'!A187,DATEVALUE('Procyflof 700'!A187)),"")</f>
        <v/>
      </c>
      <c r="AC1686" t="str">
        <f>IF(AA1686="","",'Procyflof 700'!B187)</f>
        <v/>
      </c>
      <c r="AD1686" t="str">
        <f>IF(AA1686="","",IFERROR(1*'Procyflof 700'!C187,IFERROR(_xludf.NUMBERVALUE('Procyflof 700'!C187,".",","),IFERROR(_xludf.NUMBERVALUE('Procyflof 700'!C187,",","."),0))))</f>
        <v/>
      </c>
      <c r="AE1686" t="str">
        <f>IF(AA1686="","",'Procyflof 700'!N187)</f>
        <v/>
      </c>
      <c r="AF1686">
        <f t="shared" si="173"/>
        <v>0</v>
      </c>
      <c r="AG1686" t="str">
        <f t="shared" si="174"/>
        <v/>
      </c>
      <c r="AH1686" t="str">
        <f t="shared" si="175"/>
        <v/>
      </c>
      <c r="AI1686">
        <f t="shared" si="176"/>
        <v>0</v>
      </c>
      <c r="AJ1686">
        <f t="shared" si="177"/>
        <v>0</v>
      </c>
      <c r="AK1686">
        <v>0</v>
      </c>
      <c r="AL1686" t="str">
        <f>IF(AA1686="","",IFERROR(IF(ISNUMBER('Procyflof 700'!D187),'Procyflof 700'!D187,IF(ISNUMBER(SEARCH("12",'Procyflof 700'!D187)),EDATE(AB1686,12),IF(ISNUMBER(SEARCH("6",'Procyflof 700'!D187)),EDATE(AB1686,6),IF(ISNUMBER(SEARCH("3",'Procyflof 700'!D187)),EDATE(AB1686,3),DATEVALUE('Procyflof 700'!D187))))),""))</f>
        <v/>
      </c>
      <c r="AM1686" t="str">
        <f t="shared" ca="1" si="178"/>
        <v/>
      </c>
    </row>
    <row r="1687" spans="27:39" x14ac:dyDescent="0.3">
      <c r="AA1687" t="str">
        <f>IF(COUNTA('Procyflof 700'!A188,'Procyflof 700'!B188,'Procyflof 700'!C188)&gt;0,"700","")</f>
        <v/>
      </c>
      <c r="AB1687" t="str">
        <f>IFERROR(IF(ISNUMBER('Procyflof 700'!A188),'Procyflof 700'!A188,DATEVALUE('Procyflof 700'!A188)),"")</f>
        <v/>
      </c>
      <c r="AC1687" t="str">
        <f>IF(AA1687="","",'Procyflof 700'!B188)</f>
        <v/>
      </c>
      <c r="AD1687" t="str">
        <f>IF(AA1687="","",IFERROR(1*'Procyflof 700'!C188,IFERROR(_xludf.NUMBERVALUE('Procyflof 700'!C188,".",","),IFERROR(_xludf.NUMBERVALUE('Procyflof 700'!C188,",","."),0))))</f>
        <v/>
      </c>
      <c r="AE1687" t="str">
        <f>IF(AA1687="","",'Procyflof 700'!N188)</f>
        <v/>
      </c>
      <c r="AF1687">
        <f t="shared" si="173"/>
        <v>0</v>
      </c>
      <c r="AG1687" t="str">
        <f t="shared" si="174"/>
        <v/>
      </c>
      <c r="AH1687" t="str">
        <f t="shared" si="175"/>
        <v/>
      </c>
      <c r="AI1687">
        <f t="shared" si="176"/>
        <v>0</v>
      </c>
      <c r="AJ1687">
        <f t="shared" si="177"/>
        <v>0</v>
      </c>
      <c r="AK1687">
        <v>0</v>
      </c>
      <c r="AL1687" t="str">
        <f>IF(AA1687="","",IFERROR(IF(ISNUMBER('Procyflof 700'!D188),'Procyflof 700'!D188,IF(ISNUMBER(SEARCH("12",'Procyflof 700'!D188)),EDATE(AB1687,12),IF(ISNUMBER(SEARCH("6",'Procyflof 700'!D188)),EDATE(AB1687,6),IF(ISNUMBER(SEARCH("3",'Procyflof 700'!D188)),EDATE(AB1687,3),DATEVALUE('Procyflof 700'!D188))))),""))</f>
        <v/>
      </c>
      <c r="AM1687" t="str">
        <f t="shared" ca="1" si="178"/>
        <v/>
      </c>
    </row>
    <row r="1688" spans="27:39" x14ac:dyDescent="0.3">
      <c r="AA1688" t="str">
        <f>IF(COUNTA('Procyflof 700'!A189,'Procyflof 700'!B189,'Procyflof 700'!C189)&gt;0,"700","")</f>
        <v/>
      </c>
      <c r="AB1688" t="str">
        <f>IFERROR(IF(ISNUMBER('Procyflof 700'!A189),'Procyflof 700'!A189,DATEVALUE('Procyflof 700'!A189)),"")</f>
        <v/>
      </c>
      <c r="AC1688" t="str">
        <f>IF(AA1688="","",'Procyflof 700'!B189)</f>
        <v/>
      </c>
      <c r="AD1688" t="str">
        <f>IF(AA1688="","",IFERROR(1*'Procyflof 700'!C189,IFERROR(_xludf.NUMBERVALUE('Procyflof 700'!C189,".",","),IFERROR(_xludf.NUMBERVALUE('Procyflof 700'!C189,",","."),0))))</f>
        <v/>
      </c>
      <c r="AE1688" t="str">
        <f>IF(AA1688="","",'Procyflof 700'!N189)</f>
        <v/>
      </c>
      <c r="AF1688">
        <f t="shared" si="173"/>
        <v>0</v>
      </c>
      <c r="AG1688" t="str">
        <f t="shared" si="174"/>
        <v/>
      </c>
      <c r="AH1688" t="str">
        <f t="shared" si="175"/>
        <v/>
      </c>
      <c r="AI1688">
        <f t="shared" si="176"/>
        <v>0</v>
      </c>
      <c r="AJ1688">
        <f t="shared" si="177"/>
        <v>0</v>
      </c>
      <c r="AK1688">
        <v>0</v>
      </c>
      <c r="AL1688" t="str">
        <f>IF(AA1688="","",IFERROR(IF(ISNUMBER('Procyflof 700'!D189),'Procyflof 700'!D189,IF(ISNUMBER(SEARCH("12",'Procyflof 700'!D189)),EDATE(AB1688,12),IF(ISNUMBER(SEARCH("6",'Procyflof 700'!D189)),EDATE(AB1688,6),IF(ISNUMBER(SEARCH("3",'Procyflof 700'!D189)),EDATE(AB1688,3),DATEVALUE('Procyflof 700'!D189))))),""))</f>
        <v/>
      </c>
      <c r="AM1688" t="str">
        <f t="shared" ca="1" si="178"/>
        <v/>
      </c>
    </row>
    <row r="1689" spans="27:39" x14ac:dyDescent="0.3">
      <c r="AA1689" t="str">
        <f>IF(COUNTA('Procyflof 700'!A190,'Procyflof 700'!B190,'Procyflof 700'!C190)&gt;0,"700","")</f>
        <v/>
      </c>
      <c r="AB1689" t="str">
        <f>IFERROR(IF(ISNUMBER('Procyflof 700'!A190),'Procyflof 700'!A190,DATEVALUE('Procyflof 700'!A190)),"")</f>
        <v/>
      </c>
      <c r="AC1689" t="str">
        <f>IF(AA1689="","",'Procyflof 700'!B190)</f>
        <v/>
      </c>
      <c r="AD1689" t="str">
        <f>IF(AA1689="","",IFERROR(1*'Procyflof 700'!C190,IFERROR(_xludf.NUMBERVALUE('Procyflof 700'!C190,".",","),IFERROR(_xludf.NUMBERVALUE('Procyflof 700'!C190,",","."),0))))</f>
        <v/>
      </c>
      <c r="AE1689" t="str">
        <f>IF(AA1689="","",'Procyflof 700'!N190)</f>
        <v/>
      </c>
      <c r="AF1689">
        <f t="shared" si="173"/>
        <v>0</v>
      </c>
      <c r="AG1689" t="str">
        <f t="shared" si="174"/>
        <v/>
      </c>
      <c r="AH1689" t="str">
        <f t="shared" si="175"/>
        <v/>
      </c>
      <c r="AI1689">
        <f t="shared" si="176"/>
        <v>0</v>
      </c>
      <c r="AJ1689">
        <f t="shared" si="177"/>
        <v>0</v>
      </c>
      <c r="AK1689">
        <v>0</v>
      </c>
      <c r="AL1689" t="str">
        <f>IF(AA1689="","",IFERROR(IF(ISNUMBER('Procyflof 700'!D190),'Procyflof 700'!D190,IF(ISNUMBER(SEARCH("12",'Procyflof 700'!D190)),EDATE(AB1689,12),IF(ISNUMBER(SEARCH("6",'Procyflof 700'!D190)),EDATE(AB1689,6),IF(ISNUMBER(SEARCH("3",'Procyflof 700'!D190)),EDATE(AB1689,3),DATEVALUE('Procyflof 700'!D190))))),""))</f>
        <v/>
      </c>
      <c r="AM1689" t="str">
        <f t="shared" ca="1" si="178"/>
        <v/>
      </c>
    </row>
    <row r="1690" spans="27:39" x14ac:dyDescent="0.3">
      <c r="AA1690" t="str">
        <f>IF(COUNTA('Procyflof 700'!A191,'Procyflof 700'!B191,'Procyflof 700'!C191)&gt;0,"700","")</f>
        <v/>
      </c>
      <c r="AB1690" t="str">
        <f>IFERROR(IF(ISNUMBER('Procyflof 700'!A191),'Procyflof 700'!A191,DATEVALUE('Procyflof 700'!A191)),"")</f>
        <v/>
      </c>
      <c r="AC1690" t="str">
        <f>IF(AA1690="","",'Procyflof 700'!B191)</f>
        <v/>
      </c>
      <c r="AD1690" t="str">
        <f>IF(AA1690="","",IFERROR(1*'Procyflof 700'!C191,IFERROR(_xludf.NUMBERVALUE('Procyflof 700'!C191,".",","),IFERROR(_xludf.NUMBERVALUE('Procyflof 700'!C191,",","."),0))))</f>
        <v/>
      </c>
      <c r="AE1690" t="str">
        <f>IF(AA1690="","",'Procyflof 700'!N191)</f>
        <v/>
      </c>
      <c r="AF1690">
        <f t="shared" si="173"/>
        <v>0</v>
      </c>
      <c r="AG1690" t="str">
        <f t="shared" si="174"/>
        <v/>
      </c>
      <c r="AH1690" t="str">
        <f t="shared" si="175"/>
        <v/>
      </c>
      <c r="AI1690">
        <f t="shared" si="176"/>
        <v>0</v>
      </c>
      <c r="AJ1690">
        <f t="shared" si="177"/>
        <v>0</v>
      </c>
      <c r="AK1690">
        <v>0</v>
      </c>
      <c r="AL1690" t="str">
        <f>IF(AA1690="","",IFERROR(IF(ISNUMBER('Procyflof 700'!D191),'Procyflof 700'!D191,IF(ISNUMBER(SEARCH("12",'Procyflof 700'!D191)),EDATE(AB1690,12),IF(ISNUMBER(SEARCH("6",'Procyflof 700'!D191)),EDATE(AB1690,6),IF(ISNUMBER(SEARCH("3",'Procyflof 700'!D191)),EDATE(AB1690,3),DATEVALUE('Procyflof 700'!D191))))),""))</f>
        <v/>
      </c>
      <c r="AM1690" t="str">
        <f t="shared" ca="1" si="178"/>
        <v/>
      </c>
    </row>
    <row r="1691" spans="27:39" x14ac:dyDescent="0.3">
      <c r="AA1691" t="str">
        <f>IF(COUNTA('Procyflof 700'!A192,'Procyflof 700'!B192,'Procyflof 700'!C192)&gt;0,"700","")</f>
        <v/>
      </c>
      <c r="AB1691" t="str">
        <f>IFERROR(IF(ISNUMBER('Procyflof 700'!A192),'Procyflof 700'!A192,DATEVALUE('Procyflof 700'!A192)),"")</f>
        <v/>
      </c>
      <c r="AC1691" t="str">
        <f>IF(AA1691="","",'Procyflof 700'!B192)</f>
        <v/>
      </c>
      <c r="AD1691" t="str">
        <f>IF(AA1691="","",IFERROR(1*'Procyflof 700'!C192,IFERROR(_xludf.NUMBERVALUE('Procyflof 700'!C192,".",","),IFERROR(_xludf.NUMBERVALUE('Procyflof 700'!C192,",","."),0))))</f>
        <v/>
      </c>
      <c r="AE1691" t="str">
        <f>IF(AA1691="","",'Procyflof 700'!N192)</f>
        <v/>
      </c>
      <c r="AF1691">
        <f t="shared" si="173"/>
        <v>0</v>
      </c>
      <c r="AG1691" t="str">
        <f t="shared" si="174"/>
        <v/>
      </c>
      <c r="AH1691" t="str">
        <f t="shared" si="175"/>
        <v/>
      </c>
      <c r="AI1691">
        <f t="shared" si="176"/>
        <v>0</v>
      </c>
      <c r="AJ1691">
        <f t="shared" si="177"/>
        <v>0</v>
      </c>
      <c r="AK1691">
        <v>0</v>
      </c>
      <c r="AL1691" t="str">
        <f>IF(AA1691="","",IFERROR(IF(ISNUMBER('Procyflof 700'!D192),'Procyflof 700'!D192,IF(ISNUMBER(SEARCH("12",'Procyflof 700'!D192)),EDATE(AB1691,12),IF(ISNUMBER(SEARCH("6",'Procyflof 700'!D192)),EDATE(AB1691,6),IF(ISNUMBER(SEARCH("3",'Procyflof 700'!D192)),EDATE(AB1691,3),DATEVALUE('Procyflof 700'!D192))))),""))</f>
        <v/>
      </c>
      <c r="AM1691" t="str">
        <f t="shared" ca="1" si="178"/>
        <v/>
      </c>
    </row>
    <row r="1692" spans="27:39" x14ac:dyDescent="0.3">
      <c r="AA1692" t="str">
        <f>IF(COUNTA('Procyflof 700'!A193,'Procyflof 700'!B193,'Procyflof 700'!C193)&gt;0,"700","")</f>
        <v/>
      </c>
      <c r="AB1692" t="str">
        <f>IFERROR(IF(ISNUMBER('Procyflof 700'!A193),'Procyflof 700'!A193,DATEVALUE('Procyflof 700'!A193)),"")</f>
        <v/>
      </c>
      <c r="AC1692" t="str">
        <f>IF(AA1692="","",'Procyflof 700'!B193)</f>
        <v/>
      </c>
      <c r="AD1692" t="str">
        <f>IF(AA1692="","",IFERROR(1*'Procyflof 700'!C193,IFERROR(_xludf.NUMBERVALUE('Procyflof 700'!C193,".",","),IFERROR(_xludf.NUMBERVALUE('Procyflof 700'!C193,",","."),0))))</f>
        <v/>
      </c>
      <c r="AE1692" t="str">
        <f>IF(AA1692="","",'Procyflof 700'!N193)</f>
        <v/>
      </c>
      <c r="AF1692">
        <f t="shared" si="173"/>
        <v>0</v>
      </c>
      <c r="AG1692" t="str">
        <f t="shared" si="174"/>
        <v/>
      </c>
      <c r="AH1692" t="str">
        <f t="shared" si="175"/>
        <v/>
      </c>
      <c r="AI1692">
        <f t="shared" si="176"/>
        <v>0</v>
      </c>
      <c r="AJ1692">
        <f t="shared" si="177"/>
        <v>0</v>
      </c>
      <c r="AK1692">
        <v>0</v>
      </c>
      <c r="AL1692" t="str">
        <f>IF(AA1692="","",IFERROR(IF(ISNUMBER('Procyflof 700'!D193),'Procyflof 700'!D193,IF(ISNUMBER(SEARCH("12",'Procyflof 700'!D193)),EDATE(AB1692,12),IF(ISNUMBER(SEARCH("6",'Procyflof 700'!D193)),EDATE(AB1692,6),IF(ISNUMBER(SEARCH("3",'Procyflof 700'!D193)),EDATE(AB1692,3),DATEVALUE('Procyflof 700'!D193))))),""))</f>
        <v/>
      </c>
      <c r="AM1692" t="str">
        <f t="shared" ca="1" si="178"/>
        <v/>
      </c>
    </row>
    <row r="1693" spans="27:39" x14ac:dyDescent="0.3">
      <c r="AA1693" t="str">
        <f>IF(COUNTA('Procyflof 700'!A194,'Procyflof 700'!B194,'Procyflof 700'!C194)&gt;0,"700","")</f>
        <v/>
      </c>
      <c r="AB1693" t="str">
        <f>IFERROR(IF(ISNUMBER('Procyflof 700'!A194),'Procyflof 700'!A194,DATEVALUE('Procyflof 700'!A194)),"")</f>
        <v/>
      </c>
      <c r="AC1693" t="str">
        <f>IF(AA1693="","",'Procyflof 700'!B194)</f>
        <v/>
      </c>
      <c r="AD1693" t="str">
        <f>IF(AA1693="","",IFERROR(1*'Procyflof 700'!C194,IFERROR(_xludf.NUMBERVALUE('Procyflof 700'!C194,".",","),IFERROR(_xludf.NUMBERVALUE('Procyflof 700'!C194,",","."),0))))</f>
        <v/>
      </c>
      <c r="AE1693" t="str">
        <f>IF(AA1693="","",'Procyflof 700'!N194)</f>
        <v/>
      </c>
      <c r="AF1693">
        <f t="shared" si="173"/>
        <v>0</v>
      </c>
      <c r="AG1693" t="str">
        <f t="shared" si="174"/>
        <v/>
      </c>
      <c r="AH1693" t="str">
        <f t="shared" si="175"/>
        <v/>
      </c>
      <c r="AI1693">
        <f t="shared" si="176"/>
        <v>0</v>
      </c>
      <c r="AJ1693">
        <f t="shared" si="177"/>
        <v>0</v>
      </c>
      <c r="AK1693">
        <v>0</v>
      </c>
      <c r="AL1693" t="str">
        <f>IF(AA1693="","",IFERROR(IF(ISNUMBER('Procyflof 700'!D194),'Procyflof 700'!D194,IF(ISNUMBER(SEARCH("12",'Procyflof 700'!D194)),EDATE(AB1693,12),IF(ISNUMBER(SEARCH("6",'Procyflof 700'!D194)),EDATE(AB1693,6),IF(ISNUMBER(SEARCH("3",'Procyflof 700'!D194)),EDATE(AB1693,3),DATEVALUE('Procyflof 700'!D194))))),""))</f>
        <v/>
      </c>
      <c r="AM1693" t="str">
        <f t="shared" ca="1" si="178"/>
        <v/>
      </c>
    </row>
    <row r="1694" spans="27:39" x14ac:dyDescent="0.3">
      <c r="AA1694" t="str">
        <f>IF(COUNTA('Procyflof 700'!A195,'Procyflof 700'!B195,'Procyflof 700'!C195)&gt;0,"700","")</f>
        <v/>
      </c>
      <c r="AB1694" t="str">
        <f>IFERROR(IF(ISNUMBER('Procyflof 700'!A195),'Procyflof 700'!A195,DATEVALUE('Procyflof 700'!A195)),"")</f>
        <v/>
      </c>
      <c r="AC1694" t="str">
        <f>IF(AA1694="","",'Procyflof 700'!B195)</f>
        <v/>
      </c>
      <c r="AD1694" t="str">
        <f>IF(AA1694="","",IFERROR(1*'Procyflof 700'!C195,IFERROR(_xludf.NUMBERVALUE('Procyflof 700'!C195,".",","),IFERROR(_xludf.NUMBERVALUE('Procyflof 700'!C195,",","."),0))))</f>
        <v/>
      </c>
      <c r="AE1694" t="str">
        <f>IF(AA1694="","",'Procyflof 700'!N195)</f>
        <v/>
      </c>
      <c r="AF1694">
        <f t="shared" si="173"/>
        <v>0</v>
      </c>
      <c r="AG1694" t="str">
        <f t="shared" si="174"/>
        <v/>
      </c>
      <c r="AH1694" t="str">
        <f t="shared" si="175"/>
        <v/>
      </c>
      <c r="AI1694">
        <f t="shared" si="176"/>
        <v>0</v>
      </c>
      <c r="AJ1694">
        <f t="shared" si="177"/>
        <v>0</v>
      </c>
      <c r="AK1694">
        <v>0</v>
      </c>
      <c r="AL1694" t="str">
        <f>IF(AA1694="","",IFERROR(IF(ISNUMBER('Procyflof 700'!D195),'Procyflof 700'!D195,IF(ISNUMBER(SEARCH("12",'Procyflof 700'!D195)),EDATE(AB1694,12),IF(ISNUMBER(SEARCH("6",'Procyflof 700'!D195)),EDATE(AB1694,6),IF(ISNUMBER(SEARCH("3",'Procyflof 700'!D195)),EDATE(AB1694,3),DATEVALUE('Procyflof 700'!D195))))),""))</f>
        <v/>
      </c>
      <c r="AM1694" t="str">
        <f t="shared" ca="1" si="178"/>
        <v/>
      </c>
    </row>
    <row r="1695" spans="27:39" x14ac:dyDescent="0.3">
      <c r="AA1695" t="str">
        <f>IF(COUNTA('Procyflof 700'!A196,'Procyflof 700'!B196,'Procyflof 700'!C196)&gt;0,"700","")</f>
        <v/>
      </c>
      <c r="AB1695" t="str">
        <f>IFERROR(IF(ISNUMBER('Procyflof 700'!A196),'Procyflof 700'!A196,DATEVALUE('Procyflof 700'!A196)),"")</f>
        <v/>
      </c>
      <c r="AC1695" t="str">
        <f>IF(AA1695="","",'Procyflof 700'!B196)</f>
        <v/>
      </c>
      <c r="AD1695" t="str">
        <f>IF(AA1695="","",IFERROR(1*'Procyflof 700'!C196,IFERROR(_xludf.NUMBERVALUE('Procyflof 700'!C196,".",","),IFERROR(_xludf.NUMBERVALUE('Procyflof 700'!C196,",","."),0))))</f>
        <v/>
      </c>
      <c r="AE1695" t="str">
        <f>IF(AA1695="","",'Procyflof 700'!N196)</f>
        <v/>
      </c>
      <c r="AF1695">
        <f t="shared" si="173"/>
        <v>0</v>
      </c>
      <c r="AG1695" t="str">
        <f t="shared" si="174"/>
        <v/>
      </c>
      <c r="AH1695" t="str">
        <f t="shared" si="175"/>
        <v/>
      </c>
      <c r="AI1695">
        <f t="shared" si="176"/>
        <v>0</v>
      </c>
      <c r="AJ1695">
        <f t="shared" si="177"/>
        <v>0</v>
      </c>
      <c r="AK1695">
        <v>0</v>
      </c>
      <c r="AL1695" t="str">
        <f>IF(AA1695="","",IFERROR(IF(ISNUMBER('Procyflof 700'!D196),'Procyflof 700'!D196,IF(ISNUMBER(SEARCH("12",'Procyflof 700'!D196)),EDATE(AB1695,12),IF(ISNUMBER(SEARCH("6",'Procyflof 700'!D196)),EDATE(AB1695,6),IF(ISNUMBER(SEARCH("3",'Procyflof 700'!D196)),EDATE(AB1695,3),DATEVALUE('Procyflof 700'!D196))))),""))</f>
        <v/>
      </c>
      <c r="AM1695" t="str">
        <f t="shared" ca="1" si="178"/>
        <v/>
      </c>
    </row>
    <row r="1696" spans="27:39" x14ac:dyDescent="0.3">
      <c r="AA1696" t="str">
        <f>IF(COUNTA('Procyflof 700'!A197,'Procyflof 700'!B197,'Procyflof 700'!C197)&gt;0,"700","")</f>
        <v/>
      </c>
      <c r="AB1696" t="str">
        <f>IFERROR(IF(ISNUMBER('Procyflof 700'!A197),'Procyflof 700'!A197,DATEVALUE('Procyflof 700'!A197)),"")</f>
        <v/>
      </c>
      <c r="AC1696" t="str">
        <f>IF(AA1696="","",'Procyflof 700'!B197)</f>
        <v/>
      </c>
      <c r="AD1696" t="str">
        <f>IF(AA1696="","",IFERROR(1*'Procyflof 700'!C197,IFERROR(_xludf.NUMBERVALUE('Procyflof 700'!C197,".",","),IFERROR(_xludf.NUMBERVALUE('Procyflof 700'!C197,",","."),0))))</f>
        <v/>
      </c>
      <c r="AE1696" t="str">
        <f>IF(AA1696="","",'Procyflof 700'!N197)</f>
        <v/>
      </c>
      <c r="AF1696">
        <f t="shared" si="173"/>
        <v>0</v>
      </c>
      <c r="AG1696" t="str">
        <f t="shared" si="174"/>
        <v/>
      </c>
      <c r="AH1696" t="str">
        <f t="shared" si="175"/>
        <v/>
      </c>
      <c r="AI1696">
        <f t="shared" si="176"/>
        <v>0</v>
      </c>
      <c r="AJ1696">
        <f t="shared" si="177"/>
        <v>0</v>
      </c>
      <c r="AK1696">
        <v>0</v>
      </c>
      <c r="AL1696" t="str">
        <f>IF(AA1696="","",IFERROR(IF(ISNUMBER('Procyflof 700'!D197),'Procyflof 700'!D197,IF(ISNUMBER(SEARCH("12",'Procyflof 700'!D197)),EDATE(AB1696,12),IF(ISNUMBER(SEARCH("6",'Procyflof 700'!D197)),EDATE(AB1696,6),IF(ISNUMBER(SEARCH("3",'Procyflof 700'!D197)),EDATE(AB1696,3),DATEVALUE('Procyflof 700'!D197))))),""))</f>
        <v/>
      </c>
      <c r="AM1696" t="str">
        <f t="shared" ca="1" si="178"/>
        <v/>
      </c>
    </row>
    <row r="1697" spans="27:39" x14ac:dyDescent="0.3">
      <c r="AA1697" t="str">
        <f>IF(COUNTA('Procyflof 700'!A198,'Procyflof 700'!B198,'Procyflof 700'!C198)&gt;0,"700","")</f>
        <v/>
      </c>
      <c r="AB1697" t="str">
        <f>IFERROR(IF(ISNUMBER('Procyflof 700'!A198),'Procyflof 700'!A198,DATEVALUE('Procyflof 700'!A198)),"")</f>
        <v/>
      </c>
      <c r="AC1697" t="str">
        <f>IF(AA1697="","",'Procyflof 700'!B198)</f>
        <v/>
      </c>
      <c r="AD1697" t="str">
        <f>IF(AA1697="","",IFERROR(1*'Procyflof 700'!C198,IFERROR(_xludf.NUMBERVALUE('Procyflof 700'!C198,".",","),IFERROR(_xludf.NUMBERVALUE('Procyflof 700'!C198,",","."),0))))</f>
        <v/>
      </c>
      <c r="AE1697" t="str">
        <f>IF(AA1697="","",'Procyflof 700'!N198)</f>
        <v/>
      </c>
      <c r="AF1697">
        <f t="shared" si="173"/>
        <v>0</v>
      </c>
      <c r="AG1697" t="str">
        <f t="shared" si="174"/>
        <v/>
      </c>
      <c r="AH1697" t="str">
        <f t="shared" si="175"/>
        <v/>
      </c>
      <c r="AI1697">
        <f t="shared" si="176"/>
        <v>0</v>
      </c>
      <c r="AJ1697">
        <f t="shared" si="177"/>
        <v>0</v>
      </c>
      <c r="AK1697">
        <v>0</v>
      </c>
      <c r="AL1697" t="str">
        <f>IF(AA1697="","",IFERROR(IF(ISNUMBER('Procyflof 700'!D198),'Procyflof 700'!D198,IF(ISNUMBER(SEARCH("12",'Procyflof 700'!D198)),EDATE(AB1697,12),IF(ISNUMBER(SEARCH("6",'Procyflof 700'!D198)),EDATE(AB1697,6),IF(ISNUMBER(SEARCH("3",'Procyflof 700'!D198)),EDATE(AB1697,3),DATEVALUE('Procyflof 700'!D198))))),""))</f>
        <v/>
      </c>
      <c r="AM1697" t="str">
        <f t="shared" ca="1" si="178"/>
        <v/>
      </c>
    </row>
    <row r="1698" spans="27:39" x14ac:dyDescent="0.3">
      <c r="AA1698" t="str">
        <f>IF(COUNTA('Procyflof 700'!A199,'Procyflof 700'!B199,'Procyflof 700'!C199)&gt;0,"700","")</f>
        <v/>
      </c>
      <c r="AB1698" t="str">
        <f>IFERROR(IF(ISNUMBER('Procyflof 700'!A199),'Procyflof 700'!A199,DATEVALUE('Procyflof 700'!A199)),"")</f>
        <v/>
      </c>
      <c r="AC1698" t="str">
        <f>IF(AA1698="","",'Procyflof 700'!B199)</f>
        <v/>
      </c>
      <c r="AD1698" t="str">
        <f>IF(AA1698="","",IFERROR(1*'Procyflof 700'!C199,IFERROR(_xludf.NUMBERVALUE('Procyflof 700'!C199,".",","),IFERROR(_xludf.NUMBERVALUE('Procyflof 700'!C199,",","."),0))))</f>
        <v/>
      </c>
      <c r="AE1698" t="str">
        <f>IF(AA1698="","",'Procyflof 700'!N199)</f>
        <v/>
      </c>
      <c r="AF1698">
        <f t="shared" si="173"/>
        <v>0</v>
      </c>
      <c r="AG1698" t="str">
        <f t="shared" si="174"/>
        <v/>
      </c>
      <c r="AH1698" t="str">
        <f t="shared" si="175"/>
        <v/>
      </c>
      <c r="AI1698">
        <f t="shared" si="176"/>
        <v>0</v>
      </c>
      <c r="AJ1698">
        <f t="shared" si="177"/>
        <v>0</v>
      </c>
      <c r="AK1698">
        <v>0</v>
      </c>
      <c r="AL1698" t="str">
        <f>IF(AA1698="","",IFERROR(IF(ISNUMBER('Procyflof 700'!D199),'Procyflof 700'!D199,IF(ISNUMBER(SEARCH("12",'Procyflof 700'!D199)),EDATE(AB1698,12),IF(ISNUMBER(SEARCH("6",'Procyflof 700'!D199)),EDATE(AB1698,6),IF(ISNUMBER(SEARCH("3",'Procyflof 700'!D199)),EDATE(AB1698,3),DATEVALUE('Procyflof 700'!D199))))),""))</f>
        <v/>
      </c>
      <c r="AM1698" t="str">
        <f t="shared" ca="1" si="178"/>
        <v/>
      </c>
    </row>
    <row r="1699" spans="27:39" x14ac:dyDescent="0.3">
      <c r="AA1699" t="str">
        <f>IF(COUNTA('Procyflof 700'!A200,'Procyflof 700'!B200,'Procyflof 700'!C200)&gt;0,"700","")</f>
        <v/>
      </c>
      <c r="AB1699" t="str">
        <f>IFERROR(IF(ISNUMBER('Procyflof 700'!A200),'Procyflof 700'!A200,DATEVALUE('Procyflof 700'!A200)),"")</f>
        <v/>
      </c>
      <c r="AC1699" t="str">
        <f>IF(AA1699="","",'Procyflof 700'!B200)</f>
        <v/>
      </c>
      <c r="AD1699" t="str">
        <f>IF(AA1699="","",IFERROR(1*'Procyflof 700'!C200,IFERROR(_xludf.NUMBERVALUE('Procyflof 700'!C200,".",","),IFERROR(_xludf.NUMBERVALUE('Procyflof 700'!C200,",","."),0))))</f>
        <v/>
      </c>
      <c r="AE1699" t="str">
        <f>IF(AA1699="","",'Procyflof 700'!N200)</f>
        <v/>
      </c>
      <c r="AF1699">
        <f t="shared" si="173"/>
        <v>0</v>
      </c>
      <c r="AG1699" t="str">
        <f t="shared" si="174"/>
        <v/>
      </c>
      <c r="AH1699" t="str">
        <f t="shared" si="175"/>
        <v/>
      </c>
      <c r="AI1699">
        <f t="shared" si="176"/>
        <v>0</v>
      </c>
      <c r="AJ1699">
        <f t="shared" si="177"/>
        <v>0</v>
      </c>
      <c r="AK1699">
        <v>0</v>
      </c>
      <c r="AL1699" t="str">
        <f>IF(AA1699="","",IFERROR(IF(ISNUMBER('Procyflof 700'!D200),'Procyflof 700'!D200,IF(ISNUMBER(SEARCH("12",'Procyflof 700'!D200)),EDATE(AB1699,12),IF(ISNUMBER(SEARCH("6",'Procyflof 700'!D200)),EDATE(AB1699,6),IF(ISNUMBER(SEARCH("3",'Procyflof 700'!D200)),EDATE(AB1699,3),DATEVALUE('Procyflof 700'!D200))))),""))</f>
        <v/>
      </c>
      <c r="AM1699" t="str">
        <f t="shared" ca="1" si="178"/>
        <v/>
      </c>
    </row>
    <row r="1700" spans="27:39" x14ac:dyDescent="0.3">
      <c r="AA1700" t="str">
        <f>IF(COUNTA('Procyflof 700'!A201,'Procyflof 700'!B201,'Procyflof 700'!C201)&gt;0,"700","")</f>
        <v/>
      </c>
      <c r="AB1700" t="str">
        <f>IFERROR(IF(ISNUMBER('Procyflof 700'!A201),'Procyflof 700'!A201,DATEVALUE('Procyflof 700'!A201)),"")</f>
        <v/>
      </c>
      <c r="AC1700" t="str">
        <f>IF(AA1700="","",'Procyflof 700'!B201)</f>
        <v/>
      </c>
      <c r="AD1700" t="str">
        <f>IF(AA1700="","",IFERROR(1*'Procyflof 700'!C201,IFERROR(_xludf.NUMBERVALUE('Procyflof 700'!C201,".",","),IFERROR(_xludf.NUMBERVALUE('Procyflof 700'!C201,",","."),0))))</f>
        <v/>
      </c>
      <c r="AE1700" t="str">
        <f>IF(AA1700="","",'Procyflof 700'!N201)</f>
        <v/>
      </c>
      <c r="AF1700">
        <f t="shared" si="173"/>
        <v>0</v>
      </c>
      <c r="AG1700" t="str">
        <f t="shared" si="174"/>
        <v/>
      </c>
      <c r="AH1700" t="str">
        <f t="shared" si="175"/>
        <v/>
      </c>
      <c r="AI1700">
        <f t="shared" si="176"/>
        <v>0</v>
      </c>
      <c r="AJ1700">
        <f t="shared" si="177"/>
        <v>0</v>
      </c>
      <c r="AK1700">
        <v>0</v>
      </c>
      <c r="AL1700" t="str">
        <f>IF(AA1700="","",IFERROR(IF(ISNUMBER('Procyflof 700'!D201),'Procyflof 700'!D201,IF(ISNUMBER(SEARCH("12",'Procyflof 700'!D201)),EDATE(AB1700,12),IF(ISNUMBER(SEARCH("6",'Procyflof 700'!D201)),EDATE(AB1700,6),IF(ISNUMBER(SEARCH("3",'Procyflof 700'!D201)),EDATE(AB1700,3),DATEVALUE('Procyflof 700'!D201))))),""))</f>
        <v/>
      </c>
      <c r="AM1700" t="str">
        <f t="shared" ca="1" si="178"/>
        <v/>
      </c>
    </row>
    <row r="1701" spans="27:39" x14ac:dyDescent="0.3">
      <c r="AA1701" t="str">
        <f>IF(COUNTA('Procyflof 700'!A202,'Procyflof 700'!B202,'Procyflof 700'!C202)&gt;0,"700","")</f>
        <v/>
      </c>
      <c r="AB1701" t="str">
        <f>IFERROR(IF(ISNUMBER('Procyflof 700'!A202),'Procyflof 700'!A202,DATEVALUE('Procyflof 700'!A202)),"")</f>
        <v/>
      </c>
      <c r="AC1701" t="str">
        <f>IF(AA1701="","",'Procyflof 700'!B202)</f>
        <v/>
      </c>
      <c r="AD1701" t="str">
        <f>IF(AA1701="","",IFERROR(1*'Procyflof 700'!C202,IFERROR(_xludf.NUMBERVALUE('Procyflof 700'!C202,".",","),IFERROR(_xludf.NUMBERVALUE('Procyflof 700'!C202,",","."),0))))</f>
        <v/>
      </c>
      <c r="AE1701" t="str">
        <f>IF(AA1701="","",'Procyflof 700'!N202)</f>
        <v/>
      </c>
      <c r="AF1701">
        <f t="shared" si="173"/>
        <v>0</v>
      </c>
      <c r="AG1701" t="str">
        <f t="shared" si="174"/>
        <v/>
      </c>
      <c r="AH1701" t="str">
        <f t="shared" si="175"/>
        <v/>
      </c>
      <c r="AI1701">
        <f t="shared" si="176"/>
        <v>0</v>
      </c>
      <c r="AJ1701">
        <f t="shared" si="177"/>
        <v>0</v>
      </c>
      <c r="AK1701">
        <v>0</v>
      </c>
      <c r="AL1701" t="str">
        <f>IF(AA1701="","",IFERROR(IF(ISNUMBER('Procyflof 700'!D202),'Procyflof 700'!D202,IF(ISNUMBER(SEARCH("12",'Procyflof 700'!D202)),EDATE(AB1701,12),IF(ISNUMBER(SEARCH("6",'Procyflof 700'!D202)),EDATE(AB1701,6),IF(ISNUMBER(SEARCH("3",'Procyflof 700'!D202)),EDATE(AB1701,3),DATEVALUE('Procyflof 700'!D202))))),""))</f>
        <v/>
      </c>
      <c r="AM1701" t="str">
        <f t="shared" ca="1" si="178"/>
        <v/>
      </c>
    </row>
    <row r="1702" spans="27:39" x14ac:dyDescent="0.3">
      <c r="AA1702" t="str">
        <f>IF(COUNTA('Procyflof 700'!A203,'Procyflof 700'!B203,'Procyflof 700'!C203)&gt;0,"700","")</f>
        <v/>
      </c>
      <c r="AB1702" t="str">
        <f>IFERROR(IF(ISNUMBER('Procyflof 700'!A203),'Procyflof 700'!A203,DATEVALUE('Procyflof 700'!A203)),"")</f>
        <v/>
      </c>
      <c r="AC1702" t="str">
        <f>IF(AA1702="","",'Procyflof 700'!B203)</f>
        <v/>
      </c>
      <c r="AD1702" t="str">
        <f>IF(AA1702="","",IFERROR(1*'Procyflof 700'!C203,IFERROR(_xludf.NUMBERVALUE('Procyflof 700'!C203,".",","),IFERROR(_xludf.NUMBERVALUE('Procyflof 700'!C203,",","."),0))))</f>
        <v/>
      </c>
      <c r="AE1702" t="str">
        <f>IF(AA1702="","",'Procyflof 700'!N203)</f>
        <v/>
      </c>
      <c r="AF1702">
        <f t="shared" si="173"/>
        <v>0</v>
      </c>
      <c r="AG1702" t="str">
        <f t="shared" si="174"/>
        <v/>
      </c>
      <c r="AH1702" t="str">
        <f t="shared" si="175"/>
        <v/>
      </c>
      <c r="AI1702">
        <f t="shared" si="176"/>
        <v>0</v>
      </c>
      <c r="AJ1702">
        <f t="shared" si="177"/>
        <v>0</v>
      </c>
      <c r="AK1702">
        <v>0</v>
      </c>
      <c r="AL1702" t="str">
        <f>IF(AA1702="","",IFERROR(IF(ISNUMBER('Procyflof 700'!D203),'Procyflof 700'!D203,IF(ISNUMBER(SEARCH("12",'Procyflof 700'!D203)),EDATE(AB1702,12),IF(ISNUMBER(SEARCH("6",'Procyflof 700'!D203)),EDATE(AB1702,6),IF(ISNUMBER(SEARCH("3",'Procyflof 700'!D203)),EDATE(AB1702,3),DATEVALUE('Procyflof 700'!D203))))),""))</f>
        <v/>
      </c>
      <c r="AM1702" t="str">
        <f t="shared" ca="1" si="178"/>
        <v/>
      </c>
    </row>
    <row r="1703" spans="27:39" x14ac:dyDescent="0.3">
      <c r="AA1703" t="str">
        <f>IF(COUNTA('Procyflof 700'!A204,'Procyflof 700'!B204,'Procyflof 700'!C204)&gt;0,"700","")</f>
        <v/>
      </c>
      <c r="AB1703" t="str">
        <f>IFERROR(IF(ISNUMBER('Procyflof 700'!A204),'Procyflof 700'!A204,DATEVALUE('Procyflof 700'!A204)),"")</f>
        <v/>
      </c>
      <c r="AC1703" t="str">
        <f>IF(AA1703="","",'Procyflof 700'!B204)</f>
        <v/>
      </c>
      <c r="AD1703" t="str">
        <f>IF(AA1703="","",IFERROR(1*'Procyflof 700'!C204,IFERROR(_xludf.NUMBERVALUE('Procyflof 700'!C204,".",","),IFERROR(_xludf.NUMBERVALUE('Procyflof 700'!C204,",","."),0))))</f>
        <v/>
      </c>
      <c r="AE1703" t="str">
        <f>IF(AA1703="","",'Procyflof 700'!N204)</f>
        <v/>
      </c>
      <c r="AF1703">
        <f t="shared" si="173"/>
        <v>0</v>
      </c>
      <c r="AG1703" t="str">
        <f t="shared" si="174"/>
        <v/>
      </c>
      <c r="AH1703" t="str">
        <f t="shared" si="175"/>
        <v/>
      </c>
      <c r="AI1703">
        <f t="shared" si="176"/>
        <v>0</v>
      </c>
      <c r="AJ1703">
        <f t="shared" si="177"/>
        <v>0</v>
      </c>
      <c r="AK1703">
        <v>0</v>
      </c>
      <c r="AL1703" t="str">
        <f>IF(AA1703="","",IFERROR(IF(ISNUMBER('Procyflof 700'!D204),'Procyflof 700'!D204,IF(ISNUMBER(SEARCH("12",'Procyflof 700'!D204)),EDATE(AB1703,12),IF(ISNUMBER(SEARCH("6",'Procyflof 700'!D204)),EDATE(AB1703,6),IF(ISNUMBER(SEARCH("3",'Procyflof 700'!D204)),EDATE(AB1703,3),DATEVALUE('Procyflof 700'!D204))))),""))</f>
        <v/>
      </c>
      <c r="AM1703" t="str">
        <f t="shared" ca="1" si="178"/>
        <v/>
      </c>
    </row>
    <row r="1704" spans="27:39" x14ac:dyDescent="0.3">
      <c r="AA1704" t="str">
        <f>IF(COUNTA('Procyflof 700'!A205,'Procyflof 700'!B205,'Procyflof 700'!C205)&gt;0,"700","")</f>
        <v/>
      </c>
      <c r="AB1704" t="str">
        <f>IFERROR(IF(ISNUMBER('Procyflof 700'!A205),'Procyflof 700'!A205,DATEVALUE('Procyflof 700'!A205)),"")</f>
        <v/>
      </c>
      <c r="AC1704" t="str">
        <f>IF(AA1704="","",'Procyflof 700'!B205)</f>
        <v/>
      </c>
      <c r="AD1704" t="str">
        <f>IF(AA1704="","",IFERROR(1*'Procyflof 700'!C205,IFERROR(_xludf.NUMBERVALUE('Procyflof 700'!C205,".",","),IFERROR(_xludf.NUMBERVALUE('Procyflof 700'!C205,",","."),0))))</f>
        <v/>
      </c>
      <c r="AE1704" t="str">
        <f>IF(AA1704="","",'Procyflof 700'!N205)</f>
        <v/>
      </c>
      <c r="AF1704">
        <f t="shared" si="173"/>
        <v>0</v>
      </c>
      <c r="AG1704" t="str">
        <f t="shared" si="174"/>
        <v/>
      </c>
      <c r="AH1704" t="str">
        <f t="shared" si="175"/>
        <v/>
      </c>
      <c r="AI1704">
        <f t="shared" si="176"/>
        <v>0</v>
      </c>
      <c r="AJ1704">
        <f t="shared" si="177"/>
        <v>0</v>
      </c>
      <c r="AK1704">
        <v>0</v>
      </c>
      <c r="AL1704" t="str">
        <f>IF(AA1704="","",IFERROR(IF(ISNUMBER('Procyflof 700'!D205),'Procyflof 700'!D205,IF(ISNUMBER(SEARCH("12",'Procyflof 700'!D205)),EDATE(AB1704,12),IF(ISNUMBER(SEARCH("6",'Procyflof 700'!D205)),EDATE(AB1704,6),IF(ISNUMBER(SEARCH("3",'Procyflof 700'!D205)),EDATE(AB1704,3),DATEVALUE('Procyflof 700'!D205))))),""))</f>
        <v/>
      </c>
      <c r="AM1704" t="str">
        <f t="shared" ca="1" si="178"/>
        <v/>
      </c>
    </row>
    <row r="1705" spans="27:39" x14ac:dyDescent="0.3">
      <c r="AA1705" t="str">
        <f>IF(COUNTA('Procyflof 700'!A206,'Procyflof 700'!B206,'Procyflof 700'!C206)&gt;0,"700","")</f>
        <v/>
      </c>
      <c r="AB1705" t="str">
        <f>IFERROR(IF(ISNUMBER('Procyflof 700'!A206),'Procyflof 700'!A206,DATEVALUE('Procyflof 700'!A206)),"")</f>
        <v/>
      </c>
      <c r="AC1705" t="str">
        <f>IF(AA1705="","",'Procyflof 700'!B206)</f>
        <v/>
      </c>
      <c r="AD1705" t="str">
        <f>IF(AA1705="","",IFERROR(1*'Procyflof 700'!C206,IFERROR(_xludf.NUMBERVALUE('Procyflof 700'!C206,".",","),IFERROR(_xludf.NUMBERVALUE('Procyflof 700'!C206,",","."),0))))</f>
        <v/>
      </c>
      <c r="AE1705" t="str">
        <f>IF(AA1705="","",'Procyflof 700'!N206)</f>
        <v/>
      </c>
      <c r="AF1705">
        <f t="shared" si="173"/>
        <v>0</v>
      </c>
      <c r="AG1705" t="str">
        <f t="shared" si="174"/>
        <v/>
      </c>
      <c r="AH1705" t="str">
        <f t="shared" si="175"/>
        <v/>
      </c>
      <c r="AI1705">
        <f t="shared" si="176"/>
        <v>0</v>
      </c>
      <c r="AJ1705">
        <f t="shared" si="177"/>
        <v>0</v>
      </c>
      <c r="AK1705">
        <v>0</v>
      </c>
      <c r="AL1705" t="str">
        <f>IF(AA1705="","",IFERROR(IF(ISNUMBER('Procyflof 700'!D206),'Procyflof 700'!D206,IF(ISNUMBER(SEARCH("12",'Procyflof 700'!D206)),EDATE(AB1705,12),IF(ISNUMBER(SEARCH("6",'Procyflof 700'!D206)),EDATE(AB1705,6),IF(ISNUMBER(SEARCH("3",'Procyflof 700'!D206)),EDATE(AB1705,3),DATEVALUE('Procyflof 700'!D206))))),""))</f>
        <v/>
      </c>
      <c r="AM1705" t="str">
        <f t="shared" ca="1" si="178"/>
        <v/>
      </c>
    </row>
    <row r="1706" spans="27:39" x14ac:dyDescent="0.3">
      <c r="AA1706" t="str">
        <f>IF(COUNTA('Procyflof 700'!A207,'Procyflof 700'!B207,'Procyflof 700'!C207)&gt;0,"700","")</f>
        <v/>
      </c>
      <c r="AB1706" t="str">
        <f>IFERROR(IF(ISNUMBER('Procyflof 700'!A207),'Procyflof 700'!A207,DATEVALUE('Procyflof 700'!A207)),"")</f>
        <v/>
      </c>
      <c r="AC1706" t="str">
        <f>IF(AA1706="","",'Procyflof 700'!B207)</f>
        <v/>
      </c>
      <c r="AD1706" t="str">
        <f>IF(AA1706="","",IFERROR(1*'Procyflof 700'!C207,IFERROR(_xludf.NUMBERVALUE('Procyflof 700'!C207,".",","),IFERROR(_xludf.NUMBERVALUE('Procyflof 700'!C207,",","."),0))))</f>
        <v/>
      </c>
      <c r="AE1706" t="str">
        <f>IF(AA1706="","",'Procyflof 700'!N207)</f>
        <v/>
      </c>
      <c r="AF1706">
        <f t="shared" si="173"/>
        <v>0</v>
      </c>
      <c r="AG1706" t="str">
        <f t="shared" si="174"/>
        <v/>
      </c>
      <c r="AH1706" t="str">
        <f t="shared" si="175"/>
        <v/>
      </c>
      <c r="AI1706">
        <f t="shared" si="176"/>
        <v>0</v>
      </c>
      <c r="AJ1706">
        <f t="shared" si="177"/>
        <v>0</v>
      </c>
      <c r="AK1706">
        <v>0</v>
      </c>
      <c r="AL1706" t="str">
        <f>IF(AA1706="","",IFERROR(IF(ISNUMBER('Procyflof 700'!D207),'Procyflof 700'!D207,IF(ISNUMBER(SEARCH("12",'Procyflof 700'!D207)),EDATE(AB1706,12),IF(ISNUMBER(SEARCH("6",'Procyflof 700'!D207)),EDATE(AB1706,6),IF(ISNUMBER(SEARCH("3",'Procyflof 700'!D207)),EDATE(AB1706,3),DATEVALUE('Procyflof 700'!D207))))),""))</f>
        <v/>
      </c>
      <c r="AM1706" t="str">
        <f t="shared" ca="1" si="178"/>
        <v/>
      </c>
    </row>
    <row r="1707" spans="27:39" x14ac:dyDescent="0.3">
      <c r="AA1707" t="str">
        <f>IF(COUNTA('Procyflof 700'!A208,'Procyflof 700'!B208,'Procyflof 700'!C208)&gt;0,"700","")</f>
        <v/>
      </c>
      <c r="AB1707" t="str">
        <f>IFERROR(IF(ISNUMBER('Procyflof 700'!A208),'Procyflof 700'!A208,DATEVALUE('Procyflof 700'!A208)),"")</f>
        <v/>
      </c>
      <c r="AC1707" t="str">
        <f>IF(AA1707="","",'Procyflof 700'!B208)</f>
        <v/>
      </c>
      <c r="AD1707" t="str">
        <f>IF(AA1707="","",IFERROR(1*'Procyflof 700'!C208,IFERROR(_xludf.NUMBERVALUE('Procyflof 700'!C208,".",","),IFERROR(_xludf.NUMBERVALUE('Procyflof 700'!C208,",","."),0))))</f>
        <v/>
      </c>
      <c r="AE1707" t="str">
        <f>IF(AA1707="","",'Procyflof 700'!N208)</f>
        <v/>
      </c>
      <c r="AF1707">
        <f t="shared" si="173"/>
        <v>0</v>
      </c>
      <c r="AG1707" t="str">
        <f t="shared" si="174"/>
        <v/>
      </c>
      <c r="AH1707" t="str">
        <f t="shared" si="175"/>
        <v/>
      </c>
      <c r="AI1707">
        <f t="shared" si="176"/>
        <v>0</v>
      </c>
      <c r="AJ1707">
        <f t="shared" si="177"/>
        <v>0</v>
      </c>
      <c r="AK1707">
        <v>0</v>
      </c>
      <c r="AL1707" t="str">
        <f>IF(AA1707="","",IFERROR(IF(ISNUMBER('Procyflof 700'!D208),'Procyflof 700'!D208,IF(ISNUMBER(SEARCH("12",'Procyflof 700'!D208)),EDATE(AB1707,12),IF(ISNUMBER(SEARCH("6",'Procyflof 700'!D208)),EDATE(AB1707,6),IF(ISNUMBER(SEARCH("3",'Procyflof 700'!D208)),EDATE(AB1707,3),DATEVALUE('Procyflof 700'!D208))))),""))</f>
        <v/>
      </c>
      <c r="AM1707" t="str">
        <f t="shared" ca="1" si="178"/>
        <v/>
      </c>
    </row>
    <row r="1708" spans="27:39" x14ac:dyDescent="0.3">
      <c r="AA1708" t="str">
        <f>IF(COUNTA('Procyflof 700'!A209,'Procyflof 700'!B209,'Procyflof 700'!C209)&gt;0,"700","")</f>
        <v/>
      </c>
      <c r="AB1708" t="str">
        <f>IFERROR(IF(ISNUMBER('Procyflof 700'!A209),'Procyflof 700'!A209,DATEVALUE('Procyflof 700'!A209)),"")</f>
        <v/>
      </c>
      <c r="AC1708" t="str">
        <f>IF(AA1708="","",'Procyflof 700'!B209)</f>
        <v/>
      </c>
      <c r="AD1708" t="str">
        <f>IF(AA1708="","",IFERROR(1*'Procyflof 700'!C209,IFERROR(_xludf.NUMBERVALUE('Procyflof 700'!C209,".",","),IFERROR(_xludf.NUMBERVALUE('Procyflof 700'!C209,",","."),0))))</f>
        <v/>
      </c>
      <c r="AE1708" t="str">
        <f>IF(AA1708="","",'Procyflof 700'!N209)</f>
        <v/>
      </c>
      <c r="AF1708">
        <f t="shared" si="173"/>
        <v>0</v>
      </c>
      <c r="AG1708" t="str">
        <f t="shared" si="174"/>
        <v/>
      </c>
      <c r="AH1708" t="str">
        <f t="shared" si="175"/>
        <v/>
      </c>
      <c r="AI1708">
        <f t="shared" si="176"/>
        <v>0</v>
      </c>
      <c r="AJ1708">
        <f t="shared" si="177"/>
        <v>0</v>
      </c>
      <c r="AK1708">
        <v>0</v>
      </c>
      <c r="AL1708" t="str">
        <f>IF(AA1708="","",IFERROR(IF(ISNUMBER('Procyflof 700'!D209),'Procyflof 700'!D209,IF(ISNUMBER(SEARCH("12",'Procyflof 700'!D209)),EDATE(AB1708,12),IF(ISNUMBER(SEARCH("6",'Procyflof 700'!D209)),EDATE(AB1708,6),IF(ISNUMBER(SEARCH("3",'Procyflof 700'!D209)),EDATE(AB1708,3),DATEVALUE('Procyflof 700'!D209))))),""))</f>
        <v/>
      </c>
      <c r="AM1708" t="str">
        <f t="shared" ca="1" si="178"/>
        <v/>
      </c>
    </row>
    <row r="1709" spans="27:39" x14ac:dyDescent="0.3">
      <c r="AA1709" t="str">
        <f>IF(COUNTA('Procyflof 700'!A210,'Procyflof 700'!B210,'Procyflof 700'!C210)&gt;0,"700","")</f>
        <v/>
      </c>
      <c r="AB1709" t="str">
        <f>IFERROR(IF(ISNUMBER('Procyflof 700'!A210),'Procyflof 700'!A210,DATEVALUE('Procyflof 700'!A210)),"")</f>
        <v/>
      </c>
      <c r="AC1709" t="str">
        <f>IF(AA1709="","",'Procyflof 700'!B210)</f>
        <v/>
      </c>
      <c r="AD1709" t="str">
        <f>IF(AA1709="","",IFERROR(1*'Procyflof 700'!C210,IFERROR(_xludf.NUMBERVALUE('Procyflof 700'!C210,".",","),IFERROR(_xludf.NUMBERVALUE('Procyflof 700'!C210,",","."),0))))</f>
        <v/>
      </c>
      <c r="AE1709" t="str">
        <f>IF(AA1709="","",'Procyflof 700'!N210)</f>
        <v/>
      </c>
      <c r="AF1709">
        <f t="shared" si="173"/>
        <v>0</v>
      </c>
      <c r="AG1709" t="str">
        <f t="shared" si="174"/>
        <v/>
      </c>
      <c r="AH1709" t="str">
        <f t="shared" si="175"/>
        <v/>
      </c>
      <c r="AI1709">
        <f t="shared" si="176"/>
        <v>0</v>
      </c>
      <c r="AJ1709">
        <f t="shared" si="177"/>
        <v>0</v>
      </c>
      <c r="AK1709">
        <v>0</v>
      </c>
      <c r="AL1709" t="str">
        <f>IF(AA1709="","",IFERROR(IF(ISNUMBER('Procyflof 700'!D210),'Procyflof 700'!D210,IF(ISNUMBER(SEARCH("12",'Procyflof 700'!D210)),EDATE(AB1709,12),IF(ISNUMBER(SEARCH("6",'Procyflof 700'!D210)),EDATE(AB1709,6),IF(ISNUMBER(SEARCH("3",'Procyflof 700'!D210)),EDATE(AB1709,3),DATEVALUE('Procyflof 700'!D210))))),""))</f>
        <v/>
      </c>
      <c r="AM1709" t="str">
        <f t="shared" ca="1" si="178"/>
        <v/>
      </c>
    </row>
    <row r="1710" spans="27:39" x14ac:dyDescent="0.3">
      <c r="AA1710" t="str">
        <f>IF(COUNTA('Procyflof 700'!A211,'Procyflof 700'!B211,'Procyflof 700'!C211)&gt;0,"700","")</f>
        <v/>
      </c>
      <c r="AB1710" t="str">
        <f>IFERROR(IF(ISNUMBER('Procyflof 700'!A211),'Procyflof 700'!A211,DATEVALUE('Procyflof 700'!A211)),"")</f>
        <v/>
      </c>
      <c r="AC1710" t="str">
        <f>IF(AA1710="","",'Procyflof 700'!B211)</f>
        <v/>
      </c>
      <c r="AD1710" t="str">
        <f>IF(AA1710="","",IFERROR(1*'Procyflof 700'!C211,IFERROR(_xludf.NUMBERVALUE('Procyflof 700'!C211,".",","),IFERROR(_xludf.NUMBERVALUE('Procyflof 700'!C211,",","."),0))))</f>
        <v/>
      </c>
      <c r="AE1710" t="str">
        <f>IF(AA1710="","",'Procyflof 700'!N211)</f>
        <v/>
      </c>
      <c r="AF1710">
        <f t="shared" si="173"/>
        <v>0</v>
      </c>
      <c r="AG1710" t="str">
        <f t="shared" si="174"/>
        <v/>
      </c>
      <c r="AH1710" t="str">
        <f t="shared" si="175"/>
        <v/>
      </c>
      <c r="AI1710">
        <f t="shared" si="176"/>
        <v>0</v>
      </c>
      <c r="AJ1710">
        <f t="shared" si="177"/>
        <v>0</v>
      </c>
      <c r="AK1710">
        <v>0</v>
      </c>
      <c r="AL1710" t="str">
        <f>IF(AA1710="","",IFERROR(IF(ISNUMBER('Procyflof 700'!D211),'Procyflof 700'!D211,IF(ISNUMBER(SEARCH("12",'Procyflof 700'!D211)),EDATE(AB1710,12),IF(ISNUMBER(SEARCH("6",'Procyflof 700'!D211)),EDATE(AB1710,6),IF(ISNUMBER(SEARCH("3",'Procyflof 700'!D211)),EDATE(AB1710,3),DATEVALUE('Procyflof 700'!D211))))),""))</f>
        <v/>
      </c>
      <c r="AM1710" t="str">
        <f t="shared" ca="1" si="178"/>
        <v/>
      </c>
    </row>
    <row r="1711" spans="27:39" x14ac:dyDescent="0.3">
      <c r="AA1711" t="str">
        <f>IF(COUNTA('Procyflof 700'!A212,'Procyflof 700'!B212,'Procyflof 700'!C212)&gt;0,"700","")</f>
        <v/>
      </c>
      <c r="AB1711" t="str">
        <f>IFERROR(IF(ISNUMBER('Procyflof 700'!A212),'Procyflof 700'!A212,DATEVALUE('Procyflof 700'!A212)),"")</f>
        <v/>
      </c>
      <c r="AC1711" t="str">
        <f>IF(AA1711="","",'Procyflof 700'!B212)</f>
        <v/>
      </c>
      <c r="AD1711" t="str">
        <f>IF(AA1711="","",IFERROR(1*'Procyflof 700'!C212,IFERROR(_xludf.NUMBERVALUE('Procyflof 700'!C212,".",","),IFERROR(_xludf.NUMBERVALUE('Procyflof 700'!C212,",","."),0))))</f>
        <v/>
      </c>
      <c r="AE1711" t="str">
        <f>IF(AA1711="","",'Procyflof 700'!N212)</f>
        <v/>
      </c>
      <c r="AF1711">
        <f t="shared" si="173"/>
        <v>0</v>
      </c>
      <c r="AG1711" t="str">
        <f t="shared" si="174"/>
        <v/>
      </c>
      <c r="AH1711" t="str">
        <f t="shared" si="175"/>
        <v/>
      </c>
      <c r="AI1711">
        <f t="shared" si="176"/>
        <v>0</v>
      </c>
      <c r="AJ1711">
        <f t="shared" si="177"/>
        <v>0</v>
      </c>
      <c r="AK1711">
        <v>0</v>
      </c>
      <c r="AL1711" t="str">
        <f>IF(AA1711="","",IFERROR(IF(ISNUMBER('Procyflof 700'!D212),'Procyflof 700'!D212,IF(ISNUMBER(SEARCH("12",'Procyflof 700'!D212)),EDATE(AB1711,12),IF(ISNUMBER(SEARCH("6",'Procyflof 700'!D212)),EDATE(AB1711,6),IF(ISNUMBER(SEARCH("3",'Procyflof 700'!D212)),EDATE(AB1711,3),DATEVALUE('Procyflof 700'!D212))))),""))</f>
        <v/>
      </c>
      <c r="AM1711" t="str">
        <f t="shared" ca="1" si="178"/>
        <v/>
      </c>
    </row>
    <row r="1712" spans="27:39" x14ac:dyDescent="0.3">
      <c r="AA1712" t="str">
        <f>IF(COUNTA('Procyflof 700'!A213,'Procyflof 700'!B213,'Procyflof 700'!C213)&gt;0,"700","")</f>
        <v/>
      </c>
      <c r="AB1712" t="str">
        <f>IFERROR(IF(ISNUMBER('Procyflof 700'!A213),'Procyflof 700'!A213,DATEVALUE('Procyflof 700'!A213)),"")</f>
        <v/>
      </c>
      <c r="AC1712" t="str">
        <f>IF(AA1712="","",'Procyflof 700'!B213)</f>
        <v/>
      </c>
      <c r="AD1712" t="str">
        <f>IF(AA1712="","",IFERROR(1*'Procyflof 700'!C213,IFERROR(_xludf.NUMBERVALUE('Procyflof 700'!C213,".",","),IFERROR(_xludf.NUMBERVALUE('Procyflof 700'!C213,",","."),0))))</f>
        <v/>
      </c>
      <c r="AE1712" t="str">
        <f>IF(AA1712="","",'Procyflof 700'!N213)</f>
        <v/>
      </c>
      <c r="AF1712">
        <f t="shared" si="173"/>
        <v>0</v>
      </c>
      <c r="AG1712" t="str">
        <f t="shared" si="174"/>
        <v/>
      </c>
      <c r="AH1712" t="str">
        <f t="shared" si="175"/>
        <v/>
      </c>
      <c r="AI1712">
        <f t="shared" si="176"/>
        <v>0</v>
      </c>
      <c r="AJ1712">
        <f t="shared" si="177"/>
        <v>0</v>
      </c>
      <c r="AK1712">
        <v>0</v>
      </c>
      <c r="AL1712" t="str">
        <f>IF(AA1712="","",IFERROR(IF(ISNUMBER('Procyflof 700'!D213),'Procyflof 700'!D213,IF(ISNUMBER(SEARCH("12",'Procyflof 700'!D213)),EDATE(AB1712,12),IF(ISNUMBER(SEARCH("6",'Procyflof 700'!D213)),EDATE(AB1712,6),IF(ISNUMBER(SEARCH("3",'Procyflof 700'!D213)),EDATE(AB1712,3),DATEVALUE('Procyflof 700'!D213))))),""))</f>
        <v/>
      </c>
      <c r="AM1712" t="str">
        <f t="shared" ca="1" si="178"/>
        <v/>
      </c>
    </row>
    <row r="1713" spans="27:39" x14ac:dyDescent="0.3">
      <c r="AA1713" t="str">
        <f>IF(COUNTA('Procyflof 700'!A214,'Procyflof 700'!B214,'Procyflof 700'!C214)&gt;0,"700","")</f>
        <v/>
      </c>
      <c r="AB1713" t="str">
        <f>IFERROR(IF(ISNUMBER('Procyflof 700'!A214),'Procyflof 700'!A214,DATEVALUE('Procyflof 700'!A214)),"")</f>
        <v/>
      </c>
      <c r="AC1713" t="str">
        <f>IF(AA1713="","",'Procyflof 700'!B214)</f>
        <v/>
      </c>
      <c r="AD1713" t="str">
        <f>IF(AA1713="","",IFERROR(1*'Procyflof 700'!C214,IFERROR(_xludf.NUMBERVALUE('Procyflof 700'!C214,".",","),IFERROR(_xludf.NUMBERVALUE('Procyflof 700'!C214,",","."),0))))</f>
        <v/>
      </c>
      <c r="AE1713" t="str">
        <f>IF(AA1713="","",'Procyflof 700'!N214)</f>
        <v/>
      </c>
      <c r="AF1713">
        <f t="shared" si="173"/>
        <v>0</v>
      </c>
      <c r="AG1713" t="str">
        <f t="shared" si="174"/>
        <v/>
      </c>
      <c r="AH1713" t="str">
        <f t="shared" si="175"/>
        <v/>
      </c>
      <c r="AI1713">
        <f t="shared" si="176"/>
        <v>0</v>
      </c>
      <c r="AJ1713">
        <f t="shared" si="177"/>
        <v>0</v>
      </c>
      <c r="AK1713">
        <v>0</v>
      </c>
      <c r="AL1713" t="str">
        <f>IF(AA1713="","",IFERROR(IF(ISNUMBER('Procyflof 700'!D214),'Procyflof 700'!D214,IF(ISNUMBER(SEARCH("12",'Procyflof 700'!D214)),EDATE(AB1713,12),IF(ISNUMBER(SEARCH("6",'Procyflof 700'!D214)),EDATE(AB1713,6),IF(ISNUMBER(SEARCH("3",'Procyflof 700'!D214)),EDATE(AB1713,3),DATEVALUE('Procyflof 700'!D214))))),""))</f>
        <v/>
      </c>
      <c r="AM1713" t="str">
        <f t="shared" ca="1" si="178"/>
        <v/>
      </c>
    </row>
    <row r="1714" spans="27:39" x14ac:dyDescent="0.3">
      <c r="AA1714" t="str">
        <f>IF(COUNTA('Procyflof 700'!A215,'Procyflof 700'!B215,'Procyflof 700'!C215)&gt;0,"700","")</f>
        <v/>
      </c>
      <c r="AB1714" t="str">
        <f>IFERROR(IF(ISNUMBER('Procyflof 700'!A215),'Procyflof 700'!A215,DATEVALUE('Procyflof 700'!A215)),"")</f>
        <v/>
      </c>
      <c r="AC1714" t="str">
        <f>IF(AA1714="","",'Procyflof 700'!B215)</f>
        <v/>
      </c>
      <c r="AD1714" t="str">
        <f>IF(AA1714="","",IFERROR(1*'Procyflof 700'!C215,IFERROR(_xludf.NUMBERVALUE('Procyflof 700'!C215,".",","),IFERROR(_xludf.NUMBERVALUE('Procyflof 700'!C215,",","."),0))))</f>
        <v/>
      </c>
      <c r="AE1714" t="str">
        <f>IF(AA1714="","",'Procyflof 700'!N215)</f>
        <v/>
      </c>
      <c r="AF1714">
        <f t="shared" si="173"/>
        <v>0</v>
      </c>
      <c r="AG1714" t="str">
        <f t="shared" si="174"/>
        <v/>
      </c>
      <c r="AH1714" t="str">
        <f t="shared" si="175"/>
        <v/>
      </c>
      <c r="AI1714">
        <f t="shared" si="176"/>
        <v>0</v>
      </c>
      <c r="AJ1714">
        <f t="shared" si="177"/>
        <v>0</v>
      </c>
      <c r="AK1714">
        <v>0</v>
      </c>
      <c r="AL1714" t="str">
        <f>IF(AA1714="","",IFERROR(IF(ISNUMBER('Procyflof 700'!D215),'Procyflof 700'!D215,IF(ISNUMBER(SEARCH("12",'Procyflof 700'!D215)),EDATE(AB1714,12),IF(ISNUMBER(SEARCH("6",'Procyflof 700'!D215)),EDATE(AB1714,6),IF(ISNUMBER(SEARCH("3",'Procyflof 700'!D215)),EDATE(AB1714,3),DATEVALUE('Procyflof 700'!D215))))),""))</f>
        <v/>
      </c>
      <c r="AM1714" t="str">
        <f t="shared" ca="1" si="178"/>
        <v/>
      </c>
    </row>
    <row r="1715" spans="27:39" x14ac:dyDescent="0.3">
      <c r="AA1715" t="str">
        <f>IF(COUNTA('Procyflof 700'!A216,'Procyflof 700'!B216,'Procyflof 700'!C216)&gt;0,"700","")</f>
        <v/>
      </c>
      <c r="AB1715" t="str">
        <f>IFERROR(IF(ISNUMBER('Procyflof 700'!A216),'Procyflof 700'!A216,DATEVALUE('Procyflof 700'!A216)),"")</f>
        <v/>
      </c>
      <c r="AC1715" t="str">
        <f>IF(AA1715="","",'Procyflof 700'!B216)</f>
        <v/>
      </c>
      <c r="AD1715" t="str">
        <f>IF(AA1715="","",IFERROR(1*'Procyflof 700'!C216,IFERROR(_xludf.NUMBERVALUE('Procyflof 700'!C216,".",","),IFERROR(_xludf.NUMBERVALUE('Procyflof 700'!C216,",","."),0))))</f>
        <v/>
      </c>
      <c r="AE1715" t="str">
        <f>IF(AA1715="","",'Procyflof 700'!N216)</f>
        <v/>
      </c>
      <c r="AF1715">
        <f t="shared" si="173"/>
        <v>0</v>
      </c>
      <c r="AG1715" t="str">
        <f t="shared" si="174"/>
        <v/>
      </c>
      <c r="AH1715" t="str">
        <f t="shared" si="175"/>
        <v/>
      </c>
      <c r="AI1715">
        <f t="shared" si="176"/>
        <v>0</v>
      </c>
      <c r="AJ1715">
        <f t="shared" si="177"/>
        <v>0</v>
      </c>
      <c r="AK1715">
        <v>0</v>
      </c>
      <c r="AL1715" t="str">
        <f>IF(AA1715="","",IFERROR(IF(ISNUMBER('Procyflof 700'!D216),'Procyflof 700'!D216,IF(ISNUMBER(SEARCH("12",'Procyflof 700'!D216)),EDATE(AB1715,12),IF(ISNUMBER(SEARCH("6",'Procyflof 700'!D216)),EDATE(AB1715,6),IF(ISNUMBER(SEARCH("3",'Procyflof 700'!D216)),EDATE(AB1715,3),DATEVALUE('Procyflof 700'!D216))))),""))</f>
        <v/>
      </c>
      <c r="AM1715" t="str">
        <f t="shared" ca="1" si="178"/>
        <v/>
      </c>
    </row>
    <row r="1716" spans="27:39" x14ac:dyDescent="0.3">
      <c r="AA1716" t="str">
        <f>IF(COUNTA('Procyflof 700'!A217,'Procyflof 700'!B217,'Procyflof 700'!C217)&gt;0,"700","")</f>
        <v/>
      </c>
      <c r="AB1716" t="str">
        <f>IFERROR(IF(ISNUMBER('Procyflof 700'!A217),'Procyflof 700'!A217,DATEVALUE('Procyflof 700'!A217)),"")</f>
        <v/>
      </c>
      <c r="AC1716" t="str">
        <f>IF(AA1716="","",'Procyflof 700'!B217)</f>
        <v/>
      </c>
      <c r="AD1716" t="str">
        <f>IF(AA1716="","",IFERROR(1*'Procyflof 700'!C217,IFERROR(_xludf.NUMBERVALUE('Procyflof 700'!C217,".",","),IFERROR(_xludf.NUMBERVALUE('Procyflof 700'!C217,",","."),0))))</f>
        <v/>
      </c>
      <c r="AE1716" t="str">
        <f>IF(AA1716="","",'Procyflof 700'!N217)</f>
        <v/>
      </c>
      <c r="AF1716">
        <f t="shared" si="173"/>
        <v>0</v>
      </c>
      <c r="AG1716" t="str">
        <f t="shared" si="174"/>
        <v/>
      </c>
      <c r="AH1716" t="str">
        <f t="shared" si="175"/>
        <v/>
      </c>
      <c r="AI1716">
        <f t="shared" si="176"/>
        <v>0</v>
      </c>
      <c r="AJ1716">
        <f t="shared" si="177"/>
        <v>0</v>
      </c>
      <c r="AK1716">
        <v>0</v>
      </c>
      <c r="AL1716" t="str">
        <f>IF(AA1716="","",IFERROR(IF(ISNUMBER('Procyflof 700'!D217),'Procyflof 700'!D217,IF(ISNUMBER(SEARCH("12",'Procyflof 700'!D217)),EDATE(AB1716,12),IF(ISNUMBER(SEARCH("6",'Procyflof 700'!D217)),EDATE(AB1716,6),IF(ISNUMBER(SEARCH("3",'Procyflof 700'!D217)),EDATE(AB1716,3),DATEVALUE('Procyflof 700'!D217))))),""))</f>
        <v/>
      </c>
      <c r="AM1716" t="str">
        <f t="shared" ca="1" si="178"/>
        <v/>
      </c>
    </row>
    <row r="1717" spans="27:39" x14ac:dyDescent="0.3">
      <c r="AA1717" t="str">
        <f>IF(COUNTA('Procyflof 700'!A218,'Procyflof 700'!B218,'Procyflof 700'!C218)&gt;0,"700","")</f>
        <v/>
      </c>
      <c r="AB1717" t="str">
        <f>IFERROR(IF(ISNUMBER('Procyflof 700'!A218),'Procyflof 700'!A218,DATEVALUE('Procyflof 700'!A218)),"")</f>
        <v/>
      </c>
      <c r="AC1717" t="str">
        <f>IF(AA1717="","",'Procyflof 700'!B218)</f>
        <v/>
      </c>
      <c r="AD1717" t="str">
        <f>IF(AA1717="","",IFERROR(1*'Procyflof 700'!C218,IFERROR(_xludf.NUMBERVALUE('Procyflof 700'!C218,".",","),IFERROR(_xludf.NUMBERVALUE('Procyflof 700'!C218,",","."),0))))</f>
        <v/>
      </c>
      <c r="AE1717" t="str">
        <f>IF(AA1717="","",'Procyflof 700'!N218)</f>
        <v/>
      </c>
      <c r="AF1717">
        <f t="shared" si="173"/>
        <v>0</v>
      </c>
      <c r="AG1717" t="str">
        <f t="shared" si="174"/>
        <v/>
      </c>
      <c r="AH1717" t="str">
        <f t="shared" si="175"/>
        <v/>
      </c>
      <c r="AI1717">
        <f t="shared" si="176"/>
        <v>0</v>
      </c>
      <c r="AJ1717">
        <f t="shared" si="177"/>
        <v>0</v>
      </c>
      <c r="AK1717">
        <v>0</v>
      </c>
      <c r="AL1717" t="str">
        <f>IF(AA1717="","",IFERROR(IF(ISNUMBER('Procyflof 700'!D218),'Procyflof 700'!D218,IF(ISNUMBER(SEARCH("12",'Procyflof 700'!D218)),EDATE(AB1717,12),IF(ISNUMBER(SEARCH("6",'Procyflof 700'!D218)),EDATE(AB1717,6),IF(ISNUMBER(SEARCH("3",'Procyflof 700'!D218)),EDATE(AB1717,3),DATEVALUE('Procyflof 700'!D218))))),""))</f>
        <v/>
      </c>
      <c r="AM1717" t="str">
        <f t="shared" ca="1" si="178"/>
        <v/>
      </c>
    </row>
    <row r="1718" spans="27:39" x14ac:dyDescent="0.3">
      <c r="AA1718" t="str">
        <f>IF(COUNTA('Procyflof 700'!A219,'Procyflof 700'!B219,'Procyflof 700'!C219)&gt;0,"700","")</f>
        <v/>
      </c>
      <c r="AB1718" t="str">
        <f>IFERROR(IF(ISNUMBER('Procyflof 700'!A219),'Procyflof 700'!A219,DATEVALUE('Procyflof 700'!A219)),"")</f>
        <v/>
      </c>
      <c r="AC1718" t="str">
        <f>IF(AA1718="","",'Procyflof 700'!B219)</f>
        <v/>
      </c>
      <c r="AD1718" t="str">
        <f>IF(AA1718="","",IFERROR(1*'Procyflof 700'!C219,IFERROR(_xludf.NUMBERVALUE('Procyflof 700'!C219,".",","),IFERROR(_xludf.NUMBERVALUE('Procyflof 700'!C219,",","."),0))))</f>
        <v/>
      </c>
      <c r="AE1718" t="str">
        <f>IF(AA1718="","",'Procyflof 700'!N219)</f>
        <v/>
      </c>
      <c r="AF1718">
        <f t="shared" si="173"/>
        <v>0</v>
      </c>
      <c r="AG1718" t="str">
        <f t="shared" si="174"/>
        <v/>
      </c>
      <c r="AH1718" t="str">
        <f t="shared" si="175"/>
        <v/>
      </c>
      <c r="AI1718">
        <f t="shared" si="176"/>
        <v>0</v>
      </c>
      <c r="AJ1718">
        <f t="shared" si="177"/>
        <v>0</v>
      </c>
      <c r="AK1718">
        <v>0</v>
      </c>
      <c r="AL1718" t="str">
        <f>IF(AA1718="","",IFERROR(IF(ISNUMBER('Procyflof 700'!D219),'Procyflof 700'!D219,IF(ISNUMBER(SEARCH("12",'Procyflof 700'!D219)),EDATE(AB1718,12),IF(ISNUMBER(SEARCH("6",'Procyflof 700'!D219)),EDATE(AB1718,6),IF(ISNUMBER(SEARCH("3",'Procyflof 700'!D219)),EDATE(AB1718,3),DATEVALUE('Procyflof 700'!D219))))),""))</f>
        <v/>
      </c>
      <c r="AM1718" t="str">
        <f t="shared" ca="1" si="178"/>
        <v/>
      </c>
    </row>
    <row r="1719" spans="27:39" x14ac:dyDescent="0.3">
      <c r="AA1719" t="str">
        <f>IF(COUNTA('Procyflof 700'!A220,'Procyflof 700'!B220,'Procyflof 700'!C220)&gt;0,"700","")</f>
        <v/>
      </c>
      <c r="AB1719" t="str">
        <f>IFERROR(IF(ISNUMBER('Procyflof 700'!A220),'Procyflof 700'!A220,DATEVALUE('Procyflof 700'!A220)),"")</f>
        <v/>
      </c>
      <c r="AC1719" t="str">
        <f>IF(AA1719="","",'Procyflof 700'!B220)</f>
        <v/>
      </c>
      <c r="AD1719" t="str">
        <f>IF(AA1719="","",IFERROR(1*'Procyflof 700'!C220,IFERROR(_xludf.NUMBERVALUE('Procyflof 700'!C220,".",","),IFERROR(_xludf.NUMBERVALUE('Procyflof 700'!C220,",","."),0))))</f>
        <v/>
      </c>
      <c r="AE1719" t="str">
        <f>IF(AA1719="","",'Procyflof 700'!N220)</f>
        <v/>
      </c>
      <c r="AF1719">
        <f t="shared" si="173"/>
        <v>0</v>
      </c>
      <c r="AG1719" t="str">
        <f t="shared" si="174"/>
        <v/>
      </c>
      <c r="AH1719" t="str">
        <f t="shared" si="175"/>
        <v/>
      </c>
      <c r="AI1719">
        <f t="shared" si="176"/>
        <v>0</v>
      </c>
      <c r="AJ1719">
        <f t="shared" si="177"/>
        <v>0</v>
      </c>
      <c r="AK1719">
        <v>0</v>
      </c>
      <c r="AL1719" t="str">
        <f>IF(AA1719="","",IFERROR(IF(ISNUMBER('Procyflof 700'!D220),'Procyflof 700'!D220,IF(ISNUMBER(SEARCH("12",'Procyflof 700'!D220)),EDATE(AB1719,12),IF(ISNUMBER(SEARCH("6",'Procyflof 700'!D220)),EDATE(AB1719,6),IF(ISNUMBER(SEARCH("3",'Procyflof 700'!D220)),EDATE(AB1719,3),DATEVALUE('Procyflof 700'!D220))))),""))</f>
        <v/>
      </c>
      <c r="AM1719" t="str">
        <f t="shared" ca="1" si="178"/>
        <v/>
      </c>
    </row>
    <row r="1720" spans="27:39" x14ac:dyDescent="0.3">
      <c r="AA1720" t="str">
        <f>IF(COUNTA('Procyflof 700'!A221,'Procyflof 700'!B221,'Procyflof 700'!C221)&gt;0,"700","")</f>
        <v/>
      </c>
      <c r="AB1720" t="str">
        <f>IFERROR(IF(ISNUMBER('Procyflof 700'!A221),'Procyflof 700'!A221,DATEVALUE('Procyflof 700'!A221)),"")</f>
        <v/>
      </c>
      <c r="AC1720" t="str">
        <f>IF(AA1720="","",'Procyflof 700'!B221)</f>
        <v/>
      </c>
      <c r="AD1720" t="str">
        <f>IF(AA1720="","",IFERROR(1*'Procyflof 700'!C221,IFERROR(_xludf.NUMBERVALUE('Procyflof 700'!C221,".",","),IFERROR(_xludf.NUMBERVALUE('Procyflof 700'!C221,",","."),0))))</f>
        <v/>
      </c>
      <c r="AE1720" t="str">
        <f>IF(AA1720="","",'Procyflof 700'!N221)</f>
        <v/>
      </c>
      <c r="AF1720">
        <f t="shared" si="173"/>
        <v>0</v>
      </c>
      <c r="AG1720" t="str">
        <f t="shared" si="174"/>
        <v/>
      </c>
      <c r="AH1720" t="str">
        <f t="shared" si="175"/>
        <v/>
      </c>
      <c r="AI1720">
        <f t="shared" si="176"/>
        <v>0</v>
      </c>
      <c r="AJ1720">
        <f t="shared" si="177"/>
        <v>0</v>
      </c>
      <c r="AK1720">
        <v>0</v>
      </c>
      <c r="AL1720" t="str">
        <f>IF(AA1720="","",IFERROR(IF(ISNUMBER('Procyflof 700'!D221),'Procyflof 700'!D221,IF(ISNUMBER(SEARCH("12",'Procyflof 700'!D221)),EDATE(AB1720,12),IF(ISNUMBER(SEARCH("6",'Procyflof 700'!D221)),EDATE(AB1720,6),IF(ISNUMBER(SEARCH("3",'Procyflof 700'!D221)),EDATE(AB1720,3),DATEVALUE('Procyflof 700'!D221))))),""))</f>
        <v/>
      </c>
      <c r="AM1720" t="str">
        <f t="shared" ca="1" si="178"/>
        <v/>
      </c>
    </row>
    <row r="1721" spans="27:39" x14ac:dyDescent="0.3">
      <c r="AA1721" t="str">
        <f>IF(COUNTA('Procyflof 700'!A222,'Procyflof 700'!B222,'Procyflof 700'!C222)&gt;0,"700","")</f>
        <v/>
      </c>
      <c r="AB1721" t="str">
        <f>IFERROR(IF(ISNUMBER('Procyflof 700'!A222),'Procyflof 700'!A222,DATEVALUE('Procyflof 700'!A222)),"")</f>
        <v/>
      </c>
      <c r="AC1721" t="str">
        <f>IF(AA1721="","",'Procyflof 700'!B222)</f>
        <v/>
      </c>
      <c r="AD1721" t="str">
        <f>IF(AA1721="","",IFERROR(1*'Procyflof 700'!C222,IFERROR(_xludf.NUMBERVALUE('Procyflof 700'!C222,".",","),IFERROR(_xludf.NUMBERVALUE('Procyflof 700'!C222,",","."),0))))</f>
        <v/>
      </c>
      <c r="AE1721" t="str">
        <f>IF(AA1721="","",'Procyflof 700'!N222)</f>
        <v/>
      </c>
      <c r="AF1721">
        <f t="shared" si="173"/>
        <v>0</v>
      </c>
      <c r="AG1721" t="str">
        <f t="shared" si="174"/>
        <v/>
      </c>
      <c r="AH1721" t="str">
        <f t="shared" si="175"/>
        <v/>
      </c>
      <c r="AI1721">
        <f t="shared" si="176"/>
        <v>0</v>
      </c>
      <c r="AJ1721">
        <f t="shared" si="177"/>
        <v>0</v>
      </c>
      <c r="AK1721">
        <v>0</v>
      </c>
      <c r="AL1721" t="str">
        <f>IF(AA1721="","",IFERROR(IF(ISNUMBER('Procyflof 700'!D222),'Procyflof 700'!D222,IF(ISNUMBER(SEARCH("12",'Procyflof 700'!D222)),EDATE(AB1721,12),IF(ISNUMBER(SEARCH("6",'Procyflof 700'!D222)),EDATE(AB1721,6),IF(ISNUMBER(SEARCH("3",'Procyflof 700'!D222)),EDATE(AB1721,3),DATEVALUE('Procyflof 700'!D222))))),""))</f>
        <v/>
      </c>
      <c r="AM1721" t="str">
        <f t="shared" ca="1" si="178"/>
        <v/>
      </c>
    </row>
    <row r="1722" spans="27:39" x14ac:dyDescent="0.3">
      <c r="AA1722" t="str">
        <f>IF(COUNTA('Procyflof 700'!A223,'Procyflof 700'!B223,'Procyflof 700'!C223)&gt;0,"700","")</f>
        <v/>
      </c>
      <c r="AB1722" t="str">
        <f>IFERROR(IF(ISNUMBER('Procyflof 700'!A223),'Procyflof 700'!A223,DATEVALUE('Procyflof 700'!A223)),"")</f>
        <v/>
      </c>
      <c r="AC1722" t="str">
        <f>IF(AA1722="","",'Procyflof 700'!B223)</f>
        <v/>
      </c>
      <c r="AD1722" t="str">
        <f>IF(AA1722="","",IFERROR(1*'Procyflof 700'!C223,IFERROR(_xludf.NUMBERVALUE('Procyflof 700'!C223,".",","),IFERROR(_xludf.NUMBERVALUE('Procyflof 700'!C223,",","."),0))))</f>
        <v/>
      </c>
      <c r="AE1722" t="str">
        <f>IF(AA1722="","",'Procyflof 700'!N223)</f>
        <v/>
      </c>
      <c r="AF1722">
        <f t="shared" si="173"/>
        <v>0</v>
      </c>
      <c r="AG1722" t="str">
        <f t="shared" si="174"/>
        <v/>
      </c>
      <c r="AH1722" t="str">
        <f t="shared" si="175"/>
        <v/>
      </c>
      <c r="AI1722">
        <f t="shared" si="176"/>
        <v>0</v>
      </c>
      <c r="AJ1722">
        <f t="shared" si="177"/>
        <v>0</v>
      </c>
      <c r="AK1722">
        <v>0</v>
      </c>
      <c r="AL1722" t="str">
        <f>IF(AA1722="","",IFERROR(IF(ISNUMBER('Procyflof 700'!D223),'Procyflof 700'!D223,IF(ISNUMBER(SEARCH("12",'Procyflof 700'!D223)),EDATE(AB1722,12),IF(ISNUMBER(SEARCH("6",'Procyflof 700'!D223)),EDATE(AB1722,6),IF(ISNUMBER(SEARCH("3",'Procyflof 700'!D223)),EDATE(AB1722,3),DATEVALUE('Procyflof 700'!D223))))),""))</f>
        <v/>
      </c>
      <c r="AM1722" t="str">
        <f t="shared" ca="1" si="178"/>
        <v/>
      </c>
    </row>
    <row r="1723" spans="27:39" x14ac:dyDescent="0.3">
      <c r="AA1723" t="str">
        <f>IF(COUNTA('Procyflof 700'!A224,'Procyflof 700'!B224,'Procyflof 700'!C224)&gt;0,"700","")</f>
        <v/>
      </c>
      <c r="AB1723" t="str">
        <f>IFERROR(IF(ISNUMBER('Procyflof 700'!A224),'Procyflof 700'!A224,DATEVALUE('Procyflof 700'!A224)),"")</f>
        <v/>
      </c>
      <c r="AC1723" t="str">
        <f>IF(AA1723="","",'Procyflof 700'!B224)</f>
        <v/>
      </c>
      <c r="AD1723" t="str">
        <f>IF(AA1723="","",IFERROR(1*'Procyflof 700'!C224,IFERROR(_xludf.NUMBERVALUE('Procyflof 700'!C224,".",","),IFERROR(_xludf.NUMBERVALUE('Procyflof 700'!C224,",","."),0))))</f>
        <v/>
      </c>
      <c r="AE1723" t="str">
        <f>IF(AA1723="","",'Procyflof 700'!N224)</f>
        <v/>
      </c>
      <c r="AF1723">
        <f t="shared" si="173"/>
        <v>0</v>
      </c>
      <c r="AG1723" t="str">
        <f t="shared" si="174"/>
        <v/>
      </c>
      <c r="AH1723" t="str">
        <f t="shared" si="175"/>
        <v/>
      </c>
      <c r="AI1723">
        <f t="shared" si="176"/>
        <v>0</v>
      </c>
      <c r="AJ1723">
        <f t="shared" si="177"/>
        <v>0</v>
      </c>
      <c r="AK1723">
        <v>0</v>
      </c>
      <c r="AL1723" t="str">
        <f>IF(AA1723="","",IFERROR(IF(ISNUMBER('Procyflof 700'!D224),'Procyflof 700'!D224,IF(ISNUMBER(SEARCH("12",'Procyflof 700'!D224)),EDATE(AB1723,12),IF(ISNUMBER(SEARCH("6",'Procyflof 700'!D224)),EDATE(AB1723,6),IF(ISNUMBER(SEARCH("3",'Procyflof 700'!D224)),EDATE(AB1723,3),DATEVALUE('Procyflof 700'!D224))))),""))</f>
        <v/>
      </c>
      <c r="AM1723" t="str">
        <f t="shared" ca="1" si="178"/>
        <v/>
      </c>
    </row>
    <row r="1724" spans="27:39" x14ac:dyDescent="0.3">
      <c r="AA1724" t="str">
        <f>IF(COUNTA('Procyflof 700'!A225,'Procyflof 700'!B225,'Procyflof 700'!C225)&gt;0,"700","")</f>
        <v/>
      </c>
      <c r="AB1724" t="str">
        <f>IFERROR(IF(ISNUMBER('Procyflof 700'!A225),'Procyflof 700'!A225,DATEVALUE('Procyflof 700'!A225)),"")</f>
        <v/>
      </c>
      <c r="AC1724" t="str">
        <f>IF(AA1724="","",'Procyflof 700'!B225)</f>
        <v/>
      </c>
      <c r="AD1724" t="str">
        <f>IF(AA1724="","",IFERROR(1*'Procyflof 700'!C225,IFERROR(_xludf.NUMBERVALUE('Procyflof 700'!C225,".",","),IFERROR(_xludf.NUMBERVALUE('Procyflof 700'!C225,",","."),0))))</f>
        <v/>
      </c>
      <c r="AE1724" t="str">
        <f>IF(AA1724="","",'Procyflof 700'!N225)</f>
        <v/>
      </c>
      <c r="AF1724">
        <f t="shared" si="173"/>
        <v>0</v>
      </c>
      <c r="AG1724" t="str">
        <f t="shared" si="174"/>
        <v/>
      </c>
      <c r="AH1724" t="str">
        <f t="shared" si="175"/>
        <v/>
      </c>
      <c r="AI1724">
        <f t="shared" si="176"/>
        <v>0</v>
      </c>
      <c r="AJ1724">
        <f t="shared" si="177"/>
        <v>0</v>
      </c>
      <c r="AK1724">
        <v>0</v>
      </c>
      <c r="AL1724" t="str">
        <f>IF(AA1724="","",IFERROR(IF(ISNUMBER('Procyflof 700'!D225),'Procyflof 700'!D225,IF(ISNUMBER(SEARCH("12",'Procyflof 700'!D225)),EDATE(AB1724,12),IF(ISNUMBER(SEARCH("6",'Procyflof 700'!D225)),EDATE(AB1724,6),IF(ISNUMBER(SEARCH("3",'Procyflof 700'!D225)),EDATE(AB1724,3),DATEVALUE('Procyflof 700'!D225))))),""))</f>
        <v/>
      </c>
      <c r="AM1724" t="str">
        <f t="shared" ca="1" si="178"/>
        <v/>
      </c>
    </row>
    <row r="1725" spans="27:39" x14ac:dyDescent="0.3">
      <c r="AA1725" t="str">
        <f>IF(COUNTA('Procyflof 700'!A226,'Procyflof 700'!B226,'Procyflof 700'!C226)&gt;0,"700","")</f>
        <v/>
      </c>
      <c r="AB1725" t="str">
        <f>IFERROR(IF(ISNUMBER('Procyflof 700'!A226),'Procyflof 700'!A226,DATEVALUE('Procyflof 700'!A226)),"")</f>
        <v/>
      </c>
      <c r="AC1725" t="str">
        <f>IF(AA1725="","",'Procyflof 700'!B226)</f>
        <v/>
      </c>
      <c r="AD1725" t="str">
        <f>IF(AA1725="","",IFERROR(1*'Procyflof 700'!C226,IFERROR(_xludf.NUMBERVALUE('Procyflof 700'!C226,".",","),IFERROR(_xludf.NUMBERVALUE('Procyflof 700'!C226,",","."),0))))</f>
        <v/>
      </c>
      <c r="AE1725" t="str">
        <f>IF(AA1725="","",'Procyflof 700'!N226)</f>
        <v/>
      </c>
      <c r="AF1725">
        <f t="shared" si="173"/>
        <v>0</v>
      </c>
      <c r="AG1725" t="str">
        <f t="shared" si="174"/>
        <v/>
      </c>
      <c r="AH1725" t="str">
        <f t="shared" si="175"/>
        <v/>
      </c>
      <c r="AI1725">
        <f t="shared" si="176"/>
        <v>0</v>
      </c>
      <c r="AJ1725">
        <f t="shared" si="177"/>
        <v>0</v>
      </c>
      <c r="AK1725">
        <v>0</v>
      </c>
      <c r="AL1725" t="str">
        <f>IF(AA1725="","",IFERROR(IF(ISNUMBER('Procyflof 700'!D226),'Procyflof 700'!D226,IF(ISNUMBER(SEARCH("12",'Procyflof 700'!D226)),EDATE(AB1725,12),IF(ISNUMBER(SEARCH("6",'Procyflof 700'!D226)),EDATE(AB1725,6),IF(ISNUMBER(SEARCH("3",'Procyflof 700'!D226)),EDATE(AB1725,3),DATEVALUE('Procyflof 700'!D226))))),""))</f>
        <v/>
      </c>
      <c r="AM1725" t="str">
        <f t="shared" ca="1" si="178"/>
        <v/>
      </c>
    </row>
    <row r="1726" spans="27:39" x14ac:dyDescent="0.3">
      <c r="AA1726" t="str">
        <f>IF(COUNTA('Procyflof 700'!A227,'Procyflof 700'!B227,'Procyflof 700'!C227)&gt;0,"700","")</f>
        <v/>
      </c>
      <c r="AB1726" t="str">
        <f>IFERROR(IF(ISNUMBER('Procyflof 700'!A227),'Procyflof 700'!A227,DATEVALUE('Procyflof 700'!A227)),"")</f>
        <v/>
      </c>
      <c r="AC1726" t="str">
        <f>IF(AA1726="","",'Procyflof 700'!B227)</f>
        <v/>
      </c>
      <c r="AD1726" t="str">
        <f>IF(AA1726="","",IFERROR(1*'Procyflof 700'!C227,IFERROR(_xludf.NUMBERVALUE('Procyflof 700'!C227,".",","),IFERROR(_xludf.NUMBERVALUE('Procyflof 700'!C227,",","."),0))))</f>
        <v/>
      </c>
      <c r="AE1726" t="str">
        <f>IF(AA1726="","",'Procyflof 700'!N227)</f>
        <v/>
      </c>
      <c r="AF1726">
        <f t="shared" si="173"/>
        <v>0</v>
      </c>
      <c r="AG1726" t="str">
        <f t="shared" si="174"/>
        <v/>
      </c>
      <c r="AH1726" t="str">
        <f t="shared" si="175"/>
        <v/>
      </c>
      <c r="AI1726">
        <f t="shared" si="176"/>
        <v>0</v>
      </c>
      <c r="AJ1726">
        <f t="shared" si="177"/>
        <v>0</v>
      </c>
      <c r="AK1726">
        <v>0</v>
      </c>
      <c r="AL1726" t="str">
        <f>IF(AA1726="","",IFERROR(IF(ISNUMBER('Procyflof 700'!D227),'Procyflof 700'!D227,IF(ISNUMBER(SEARCH("12",'Procyflof 700'!D227)),EDATE(AB1726,12),IF(ISNUMBER(SEARCH("6",'Procyflof 700'!D227)),EDATE(AB1726,6),IF(ISNUMBER(SEARCH("3",'Procyflof 700'!D227)),EDATE(AB1726,3),DATEVALUE('Procyflof 700'!D227))))),""))</f>
        <v/>
      </c>
      <c r="AM1726" t="str">
        <f t="shared" ca="1" si="178"/>
        <v/>
      </c>
    </row>
    <row r="1727" spans="27:39" x14ac:dyDescent="0.3">
      <c r="AA1727" t="str">
        <f>IF(COUNTA('Procyflof 700'!A228,'Procyflof 700'!B228,'Procyflof 700'!C228)&gt;0,"700","")</f>
        <v/>
      </c>
      <c r="AB1727" t="str">
        <f>IFERROR(IF(ISNUMBER('Procyflof 700'!A228),'Procyflof 700'!A228,DATEVALUE('Procyflof 700'!A228)),"")</f>
        <v/>
      </c>
      <c r="AC1727" t="str">
        <f>IF(AA1727="","",'Procyflof 700'!B228)</f>
        <v/>
      </c>
      <c r="AD1727" t="str">
        <f>IF(AA1727="","",IFERROR(1*'Procyflof 700'!C228,IFERROR(_xludf.NUMBERVALUE('Procyflof 700'!C228,".",","),IFERROR(_xludf.NUMBERVALUE('Procyflof 700'!C228,",","."),0))))</f>
        <v/>
      </c>
      <c r="AE1727" t="str">
        <f>IF(AA1727="","",'Procyflof 700'!N228)</f>
        <v/>
      </c>
      <c r="AF1727">
        <f t="shared" si="173"/>
        <v>0</v>
      </c>
      <c r="AG1727" t="str">
        <f t="shared" si="174"/>
        <v/>
      </c>
      <c r="AH1727" t="str">
        <f t="shared" si="175"/>
        <v/>
      </c>
      <c r="AI1727">
        <f t="shared" si="176"/>
        <v>0</v>
      </c>
      <c r="AJ1727">
        <f t="shared" si="177"/>
        <v>0</v>
      </c>
      <c r="AK1727">
        <v>0</v>
      </c>
      <c r="AL1727" t="str">
        <f>IF(AA1727="","",IFERROR(IF(ISNUMBER('Procyflof 700'!D228),'Procyflof 700'!D228,IF(ISNUMBER(SEARCH("12",'Procyflof 700'!D228)),EDATE(AB1727,12),IF(ISNUMBER(SEARCH("6",'Procyflof 700'!D228)),EDATE(AB1727,6),IF(ISNUMBER(SEARCH("3",'Procyflof 700'!D228)),EDATE(AB1727,3),DATEVALUE('Procyflof 700'!D228))))),""))</f>
        <v/>
      </c>
      <c r="AM1727" t="str">
        <f t="shared" ca="1" si="178"/>
        <v/>
      </c>
    </row>
    <row r="1728" spans="27:39" x14ac:dyDescent="0.3">
      <c r="AA1728" t="str">
        <f>IF(COUNTA('Procyflof 700'!A229,'Procyflof 700'!B229,'Procyflof 700'!C229)&gt;0,"700","")</f>
        <v/>
      </c>
      <c r="AB1728" t="str">
        <f>IFERROR(IF(ISNUMBER('Procyflof 700'!A229),'Procyflof 700'!A229,DATEVALUE('Procyflof 700'!A229)),"")</f>
        <v/>
      </c>
      <c r="AC1728" t="str">
        <f>IF(AA1728="","",'Procyflof 700'!B229)</f>
        <v/>
      </c>
      <c r="AD1728" t="str">
        <f>IF(AA1728="","",IFERROR(1*'Procyflof 700'!C229,IFERROR(_xludf.NUMBERVALUE('Procyflof 700'!C229,".",","),IFERROR(_xludf.NUMBERVALUE('Procyflof 700'!C229,",","."),0))))</f>
        <v/>
      </c>
      <c r="AE1728" t="str">
        <f>IF(AA1728="","",'Procyflof 700'!N229)</f>
        <v/>
      </c>
      <c r="AF1728">
        <f t="shared" si="173"/>
        <v>0</v>
      </c>
      <c r="AG1728" t="str">
        <f t="shared" si="174"/>
        <v/>
      </c>
      <c r="AH1728" t="str">
        <f t="shared" si="175"/>
        <v/>
      </c>
      <c r="AI1728">
        <f t="shared" si="176"/>
        <v>0</v>
      </c>
      <c r="AJ1728">
        <f t="shared" si="177"/>
        <v>0</v>
      </c>
      <c r="AK1728">
        <v>0</v>
      </c>
      <c r="AL1728" t="str">
        <f>IF(AA1728="","",IFERROR(IF(ISNUMBER('Procyflof 700'!D229),'Procyflof 700'!D229,IF(ISNUMBER(SEARCH("12",'Procyflof 700'!D229)),EDATE(AB1728,12),IF(ISNUMBER(SEARCH("6",'Procyflof 700'!D229)),EDATE(AB1728,6),IF(ISNUMBER(SEARCH("3",'Procyflof 700'!D229)),EDATE(AB1728,3),DATEVALUE('Procyflof 700'!D229))))),""))</f>
        <v/>
      </c>
      <c r="AM1728" t="str">
        <f t="shared" ca="1" si="178"/>
        <v/>
      </c>
    </row>
    <row r="1729" spans="27:39" x14ac:dyDescent="0.3">
      <c r="AA1729" t="str">
        <f>IF(COUNTA('Procyflof 700'!A230,'Procyflof 700'!B230,'Procyflof 700'!C230)&gt;0,"700","")</f>
        <v/>
      </c>
      <c r="AB1729" t="str">
        <f>IFERROR(IF(ISNUMBER('Procyflof 700'!A230),'Procyflof 700'!A230,DATEVALUE('Procyflof 700'!A230)),"")</f>
        <v/>
      </c>
      <c r="AC1729" t="str">
        <f>IF(AA1729="","",'Procyflof 700'!B230)</f>
        <v/>
      </c>
      <c r="AD1729" t="str">
        <f>IF(AA1729="","",IFERROR(1*'Procyflof 700'!C230,IFERROR(_xludf.NUMBERVALUE('Procyflof 700'!C230,".",","),IFERROR(_xludf.NUMBERVALUE('Procyflof 700'!C230,",","."),0))))</f>
        <v/>
      </c>
      <c r="AE1729" t="str">
        <f>IF(AA1729="","",'Procyflof 700'!N230)</f>
        <v/>
      </c>
      <c r="AF1729">
        <f t="shared" si="173"/>
        <v>0</v>
      </c>
      <c r="AG1729" t="str">
        <f t="shared" si="174"/>
        <v/>
      </c>
      <c r="AH1729" t="str">
        <f t="shared" si="175"/>
        <v/>
      </c>
      <c r="AI1729">
        <f t="shared" si="176"/>
        <v>0</v>
      </c>
      <c r="AJ1729">
        <f t="shared" si="177"/>
        <v>0</v>
      </c>
      <c r="AK1729">
        <v>0</v>
      </c>
      <c r="AL1729" t="str">
        <f>IF(AA1729="","",IFERROR(IF(ISNUMBER('Procyflof 700'!D230),'Procyflof 700'!D230,IF(ISNUMBER(SEARCH("12",'Procyflof 700'!D230)),EDATE(AB1729,12),IF(ISNUMBER(SEARCH("6",'Procyflof 700'!D230)),EDATE(AB1729,6),IF(ISNUMBER(SEARCH("3",'Procyflof 700'!D230)),EDATE(AB1729,3),DATEVALUE('Procyflof 700'!D230))))),""))</f>
        <v/>
      </c>
      <c r="AM1729" t="str">
        <f t="shared" ca="1" si="178"/>
        <v/>
      </c>
    </row>
    <row r="1730" spans="27:39" x14ac:dyDescent="0.3">
      <c r="AA1730" t="str">
        <f>IF(COUNTA('Procyflof 700'!A231,'Procyflof 700'!B231,'Procyflof 700'!C231)&gt;0,"700","")</f>
        <v/>
      </c>
      <c r="AB1730" t="str">
        <f>IFERROR(IF(ISNUMBER('Procyflof 700'!A231),'Procyflof 700'!A231,DATEVALUE('Procyflof 700'!A231)),"")</f>
        <v/>
      </c>
      <c r="AC1730" t="str">
        <f>IF(AA1730="","",'Procyflof 700'!B231)</f>
        <v/>
      </c>
      <c r="AD1730" t="str">
        <f>IF(AA1730="","",IFERROR(1*'Procyflof 700'!C231,IFERROR(_xludf.NUMBERVALUE('Procyflof 700'!C231,".",","),IFERROR(_xludf.NUMBERVALUE('Procyflof 700'!C231,",","."),0))))</f>
        <v/>
      </c>
      <c r="AE1730" t="str">
        <f>IF(AA1730="","",'Procyflof 700'!N231)</f>
        <v/>
      </c>
      <c r="AF1730">
        <f t="shared" ref="AF1730:AF1793" si="179">IF(AA1730="",0,--AND(ISNUMBER(SEARCH("aprov",AE1730)),NOT(ISNUMBER(SEARCH("reprov",AE1730)))))</f>
        <v>0</v>
      </c>
      <c r="AG1730" t="str">
        <f t="shared" ref="AG1730:AG1793" si="180">IF(AB1730="","",YEAR(AB1730))</f>
        <v/>
      </c>
      <c r="AH1730" t="str">
        <f t="shared" ref="AH1730:AH1793" si="181">IF(AB1730="","",MONTH(AB1730))</f>
        <v/>
      </c>
      <c r="AI1730">
        <f t="shared" ref="AI1730:AI1793" si="182">IF(AB1730="",0,AB1730+ROW()/1000000)</f>
        <v>0</v>
      </c>
      <c r="AJ1730">
        <f t="shared" ref="AJ1730:AJ1793" si="183">--(AA1730&lt;&gt;"")</f>
        <v>0</v>
      </c>
      <c r="AK1730">
        <v>0</v>
      </c>
      <c r="AL1730" t="str">
        <f>IF(AA1730="","",IFERROR(IF(ISNUMBER('Procyflof 700'!D231),'Procyflof 700'!D231,IF(ISNUMBER(SEARCH("12",'Procyflof 700'!D231)),EDATE(AB1730,12),IF(ISNUMBER(SEARCH("6",'Procyflof 700'!D231)),EDATE(AB1730,6),IF(ISNUMBER(SEARCH("3",'Procyflof 700'!D231)),EDATE(AB1730,3),DATEVALUE('Procyflof 700'!D231))))),""))</f>
        <v/>
      </c>
      <c r="AM1730" t="str">
        <f t="shared" ref="AM1730:AM1793" ca="1" si="184">IF(AND(AJ1730=1,AL1730&lt;&gt;"",AL1730&gt;=TODAY(),AG1730=$W$3),AL1730+ROW()/1000000,"")</f>
        <v/>
      </c>
    </row>
    <row r="1731" spans="27:39" x14ac:dyDescent="0.3">
      <c r="AA1731" t="str">
        <f>IF(COUNTA('Procyflof 700'!A232,'Procyflof 700'!B232,'Procyflof 700'!C232)&gt;0,"700","")</f>
        <v/>
      </c>
      <c r="AB1731" t="str">
        <f>IFERROR(IF(ISNUMBER('Procyflof 700'!A232),'Procyflof 700'!A232,DATEVALUE('Procyflof 700'!A232)),"")</f>
        <v/>
      </c>
      <c r="AC1731" t="str">
        <f>IF(AA1731="","",'Procyflof 700'!B232)</f>
        <v/>
      </c>
      <c r="AD1731" t="str">
        <f>IF(AA1731="","",IFERROR(1*'Procyflof 700'!C232,IFERROR(_xludf.NUMBERVALUE('Procyflof 700'!C232,".",","),IFERROR(_xludf.NUMBERVALUE('Procyflof 700'!C232,",","."),0))))</f>
        <v/>
      </c>
      <c r="AE1731" t="str">
        <f>IF(AA1731="","",'Procyflof 700'!N232)</f>
        <v/>
      </c>
      <c r="AF1731">
        <f t="shared" si="179"/>
        <v>0</v>
      </c>
      <c r="AG1731" t="str">
        <f t="shared" si="180"/>
        <v/>
      </c>
      <c r="AH1731" t="str">
        <f t="shared" si="181"/>
        <v/>
      </c>
      <c r="AI1731">
        <f t="shared" si="182"/>
        <v>0</v>
      </c>
      <c r="AJ1731">
        <f t="shared" si="183"/>
        <v>0</v>
      </c>
      <c r="AK1731">
        <v>0</v>
      </c>
      <c r="AL1731" t="str">
        <f>IF(AA1731="","",IFERROR(IF(ISNUMBER('Procyflof 700'!D232),'Procyflof 700'!D232,IF(ISNUMBER(SEARCH("12",'Procyflof 700'!D232)),EDATE(AB1731,12),IF(ISNUMBER(SEARCH("6",'Procyflof 700'!D232)),EDATE(AB1731,6),IF(ISNUMBER(SEARCH("3",'Procyflof 700'!D232)),EDATE(AB1731,3),DATEVALUE('Procyflof 700'!D232))))),""))</f>
        <v/>
      </c>
      <c r="AM1731" t="str">
        <f t="shared" ca="1" si="184"/>
        <v/>
      </c>
    </row>
    <row r="1732" spans="27:39" x14ac:dyDescent="0.3">
      <c r="AA1732" t="str">
        <f>IF(COUNTA('Procyflof 700'!A233,'Procyflof 700'!B233,'Procyflof 700'!C233)&gt;0,"700","")</f>
        <v/>
      </c>
      <c r="AB1732" t="str">
        <f>IFERROR(IF(ISNUMBER('Procyflof 700'!A233),'Procyflof 700'!A233,DATEVALUE('Procyflof 700'!A233)),"")</f>
        <v/>
      </c>
      <c r="AC1732" t="str">
        <f>IF(AA1732="","",'Procyflof 700'!B233)</f>
        <v/>
      </c>
      <c r="AD1732" t="str">
        <f>IF(AA1732="","",IFERROR(1*'Procyflof 700'!C233,IFERROR(_xludf.NUMBERVALUE('Procyflof 700'!C233,".",","),IFERROR(_xludf.NUMBERVALUE('Procyflof 700'!C233,",","."),0))))</f>
        <v/>
      </c>
      <c r="AE1732" t="str">
        <f>IF(AA1732="","",'Procyflof 700'!N233)</f>
        <v/>
      </c>
      <c r="AF1732">
        <f t="shared" si="179"/>
        <v>0</v>
      </c>
      <c r="AG1732" t="str">
        <f t="shared" si="180"/>
        <v/>
      </c>
      <c r="AH1732" t="str">
        <f t="shared" si="181"/>
        <v/>
      </c>
      <c r="AI1732">
        <f t="shared" si="182"/>
        <v>0</v>
      </c>
      <c r="AJ1732">
        <f t="shared" si="183"/>
        <v>0</v>
      </c>
      <c r="AK1732">
        <v>0</v>
      </c>
      <c r="AL1732" t="str">
        <f>IF(AA1732="","",IFERROR(IF(ISNUMBER('Procyflof 700'!D233),'Procyflof 700'!D233,IF(ISNUMBER(SEARCH("12",'Procyflof 700'!D233)),EDATE(AB1732,12),IF(ISNUMBER(SEARCH("6",'Procyflof 700'!D233)),EDATE(AB1732,6),IF(ISNUMBER(SEARCH("3",'Procyflof 700'!D233)),EDATE(AB1732,3),DATEVALUE('Procyflof 700'!D233))))),""))</f>
        <v/>
      </c>
      <c r="AM1732" t="str">
        <f t="shared" ca="1" si="184"/>
        <v/>
      </c>
    </row>
    <row r="1733" spans="27:39" x14ac:dyDescent="0.3">
      <c r="AA1733" t="str">
        <f>IF(COUNTA('Procyflof 700'!A234,'Procyflof 700'!B234,'Procyflof 700'!C234)&gt;0,"700","")</f>
        <v/>
      </c>
      <c r="AB1733" t="str">
        <f>IFERROR(IF(ISNUMBER('Procyflof 700'!A234),'Procyflof 700'!A234,DATEVALUE('Procyflof 700'!A234)),"")</f>
        <v/>
      </c>
      <c r="AC1733" t="str">
        <f>IF(AA1733="","",'Procyflof 700'!B234)</f>
        <v/>
      </c>
      <c r="AD1733" t="str">
        <f>IF(AA1733="","",IFERROR(1*'Procyflof 700'!C234,IFERROR(_xludf.NUMBERVALUE('Procyflof 700'!C234,".",","),IFERROR(_xludf.NUMBERVALUE('Procyflof 700'!C234,",","."),0))))</f>
        <v/>
      </c>
      <c r="AE1733" t="str">
        <f>IF(AA1733="","",'Procyflof 700'!N234)</f>
        <v/>
      </c>
      <c r="AF1733">
        <f t="shared" si="179"/>
        <v>0</v>
      </c>
      <c r="AG1733" t="str">
        <f t="shared" si="180"/>
        <v/>
      </c>
      <c r="AH1733" t="str">
        <f t="shared" si="181"/>
        <v/>
      </c>
      <c r="AI1733">
        <f t="shared" si="182"/>
        <v>0</v>
      </c>
      <c r="AJ1733">
        <f t="shared" si="183"/>
        <v>0</v>
      </c>
      <c r="AK1733">
        <v>0</v>
      </c>
      <c r="AL1733" t="str">
        <f>IF(AA1733="","",IFERROR(IF(ISNUMBER('Procyflof 700'!D234),'Procyflof 700'!D234,IF(ISNUMBER(SEARCH("12",'Procyflof 700'!D234)),EDATE(AB1733,12),IF(ISNUMBER(SEARCH("6",'Procyflof 700'!D234)),EDATE(AB1733,6),IF(ISNUMBER(SEARCH("3",'Procyflof 700'!D234)),EDATE(AB1733,3),DATEVALUE('Procyflof 700'!D234))))),""))</f>
        <v/>
      </c>
      <c r="AM1733" t="str">
        <f t="shared" ca="1" si="184"/>
        <v/>
      </c>
    </row>
    <row r="1734" spans="27:39" x14ac:dyDescent="0.3">
      <c r="AA1734" t="str">
        <f>IF(COUNTA('Procyflof 700'!A235,'Procyflof 700'!B235,'Procyflof 700'!C235)&gt;0,"700","")</f>
        <v/>
      </c>
      <c r="AB1734" t="str">
        <f>IFERROR(IF(ISNUMBER('Procyflof 700'!A235),'Procyflof 700'!A235,DATEVALUE('Procyflof 700'!A235)),"")</f>
        <v/>
      </c>
      <c r="AC1734" t="str">
        <f>IF(AA1734="","",'Procyflof 700'!B235)</f>
        <v/>
      </c>
      <c r="AD1734" t="str">
        <f>IF(AA1734="","",IFERROR(1*'Procyflof 700'!C235,IFERROR(_xludf.NUMBERVALUE('Procyflof 700'!C235,".",","),IFERROR(_xludf.NUMBERVALUE('Procyflof 700'!C235,",","."),0))))</f>
        <v/>
      </c>
      <c r="AE1734" t="str">
        <f>IF(AA1734="","",'Procyflof 700'!N235)</f>
        <v/>
      </c>
      <c r="AF1734">
        <f t="shared" si="179"/>
        <v>0</v>
      </c>
      <c r="AG1734" t="str">
        <f t="shared" si="180"/>
        <v/>
      </c>
      <c r="AH1734" t="str">
        <f t="shared" si="181"/>
        <v/>
      </c>
      <c r="AI1734">
        <f t="shared" si="182"/>
        <v>0</v>
      </c>
      <c r="AJ1734">
        <f t="shared" si="183"/>
        <v>0</v>
      </c>
      <c r="AK1734">
        <v>0</v>
      </c>
      <c r="AL1734" t="str">
        <f>IF(AA1734="","",IFERROR(IF(ISNUMBER('Procyflof 700'!D235),'Procyflof 700'!D235,IF(ISNUMBER(SEARCH("12",'Procyflof 700'!D235)),EDATE(AB1734,12),IF(ISNUMBER(SEARCH("6",'Procyflof 700'!D235)),EDATE(AB1734,6),IF(ISNUMBER(SEARCH("3",'Procyflof 700'!D235)),EDATE(AB1734,3),DATEVALUE('Procyflof 700'!D235))))),""))</f>
        <v/>
      </c>
      <c r="AM1734" t="str">
        <f t="shared" ca="1" si="184"/>
        <v/>
      </c>
    </row>
    <row r="1735" spans="27:39" x14ac:dyDescent="0.3">
      <c r="AA1735" t="str">
        <f>IF(COUNTA('Procyflof 700'!A236,'Procyflof 700'!B236,'Procyflof 700'!C236)&gt;0,"700","")</f>
        <v/>
      </c>
      <c r="AB1735" t="str">
        <f>IFERROR(IF(ISNUMBER('Procyflof 700'!A236),'Procyflof 700'!A236,DATEVALUE('Procyflof 700'!A236)),"")</f>
        <v/>
      </c>
      <c r="AC1735" t="str">
        <f>IF(AA1735="","",'Procyflof 700'!B236)</f>
        <v/>
      </c>
      <c r="AD1735" t="str">
        <f>IF(AA1735="","",IFERROR(1*'Procyflof 700'!C236,IFERROR(_xludf.NUMBERVALUE('Procyflof 700'!C236,".",","),IFERROR(_xludf.NUMBERVALUE('Procyflof 700'!C236,",","."),0))))</f>
        <v/>
      </c>
      <c r="AE1735" t="str">
        <f>IF(AA1735="","",'Procyflof 700'!N236)</f>
        <v/>
      </c>
      <c r="AF1735">
        <f t="shared" si="179"/>
        <v>0</v>
      </c>
      <c r="AG1735" t="str">
        <f t="shared" si="180"/>
        <v/>
      </c>
      <c r="AH1735" t="str">
        <f t="shared" si="181"/>
        <v/>
      </c>
      <c r="AI1735">
        <f t="shared" si="182"/>
        <v>0</v>
      </c>
      <c r="AJ1735">
        <f t="shared" si="183"/>
        <v>0</v>
      </c>
      <c r="AK1735">
        <v>0</v>
      </c>
      <c r="AL1735" t="str">
        <f>IF(AA1735="","",IFERROR(IF(ISNUMBER('Procyflof 700'!D236),'Procyflof 700'!D236,IF(ISNUMBER(SEARCH("12",'Procyflof 700'!D236)),EDATE(AB1735,12),IF(ISNUMBER(SEARCH("6",'Procyflof 700'!D236)),EDATE(AB1735,6),IF(ISNUMBER(SEARCH("3",'Procyflof 700'!D236)),EDATE(AB1735,3),DATEVALUE('Procyflof 700'!D236))))),""))</f>
        <v/>
      </c>
      <c r="AM1735" t="str">
        <f t="shared" ca="1" si="184"/>
        <v/>
      </c>
    </row>
    <row r="1736" spans="27:39" x14ac:dyDescent="0.3">
      <c r="AA1736" t="str">
        <f>IF(COUNTA('Procyflof 700'!A237,'Procyflof 700'!B237,'Procyflof 700'!C237)&gt;0,"700","")</f>
        <v/>
      </c>
      <c r="AB1736" t="str">
        <f>IFERROR(IF(ISNUMBER('Procyflof 700'!A237),'Procyflof 700'!A237,DATEVALUE('Procyflof 700'!A237)),"")</f>
        <v/>
      </c>
      <c r="AC1736" t="str">
        <f>IF(AA1736="","",'Procyflof 700'!B237)</f>
        <v/>
      </c>
      <c r="AD1736" t="str">
        <f>IF(AA1736="","",IFERROR(1*'Procyflof 700'!C237,IFERROR(_xludf.NUMBERVALUE('Procyflof 700'!C237,".",","),IFERROR(_xludf.NUMBERVALUE('Procyflof 700'!C237,",","."),0))))</f>
        <v/>
      </c>
      <c r="AE1736" t="str">
        <f>IF(AA1736="","",'Procyflof 700'!N237)</f>
        <v/>
      </c>
      <c r="AF1736">
        <f t="shared" si="179"/>
        <v>0</v>
      </c>
      <c r="AG1736" t="str">
        <f t="shared" si="180"/>
        <v/>
      </c>
      <c r="AH1736" t="str">
        <f t="shared" si="181"/>
        <v/>
      </c>
      <c r="AI1736">
        <f t="shared" si="182"/>
        <v>0</v>
      </c>
      <c r="AJ1736">
        <f t="shared" si="183"/>
        <v>0</v>
      </c>
      <c r="AK1736">
        <v>0</v>
      </c>
      <c r="AL1736" t="str">
        <f>IF(AA1736="","",IFERROR(IF(ISNUMBER('Procyflof 700'!D237),'Procyflof 700'!D237,IF(ISNUMBER(SEARCH("12",'Procyflof 700'!D237)),EDATE(AB1736,12),IF(ISNUMBER(SEARCH("6",'Procyflof 700'!D237)),EDATE(AB1736,6),IF(ISNUMBER(SEARCH("3",'Procyflof 700'!D237)),EDATE(AB1736,3),DATEVALUE('Procyflof 700'!D237))))),""))</f>
        <v/>
      </c>
      <c r="AM1736" t="str">
        <f t="shared" ca="1" si="184"/>
        <v/>
      </c>
    </row>
    <row r="1737" spans="27:39" x14ac:dyDescent="0.3">
      <c r="AA1737" t="str">
        <f>IF(COUNTA('Procyflof 700'!A238,'Procyflof 700'!B238,'Procyflof 700'!C238)&gt;0,"700","")</f>
        <v/>
      </c>
      <c r="AB1737" t="str">
        <f>IFERROR(IF(ISNUMBER('Procyflof 700'!A238),'Procyflof 700'!A238,DATEVALUE('Procyflof 700'!A238)),"")</f>
        <v/>
      </c>
      <c r="AC1737" t="str">
        <f>IF(AA1737="","",'Procyflof 700'!B238)</f>
        <v/>
      </c>
      <c r="AD1737" t="str">
        <f>IF(AA1737="","",IFERROR(1*'Procyflof 700'!C238,IFERROR(_xludf.NUMBERVALUE('Procyflof 700'!C238,".",","),IFERROR(_xludf.NUMBERVALUE('Procyflof 700'!C238,",","."),0))))</f>
        <v/>
      </c>
      <c r="AE1737" t="str">
        <f>IF(AA1737="","",'Procyflof 700'!N238)</f>
        <v/>
      </c>
      <c r="AF1737">
        <f t="shared" si="179"/>
        <v>0</v>
      </c>
      <c r="AG1737" t="str">
        <f t="shared" si="180"/>
        <v/>
      </c>
      <c r="AH1737" t="str">
        <f t="shared" si="181"/>
        <v/>
      </c>
      <c r="AI1737">
        <f t="shared" si="182"/>
        <v>0</v>
      </c>
      <c r="AJ1737">
        <f t="shared" si="183"/>
        <v>0</v>
      </c>
      <c r="AK1737">
        <v>0</v>
      </c>
      <c r="AL1737" t="str">
        <f>IF(AA1737="","",IFERROR(IF(ISNUMBER('Procyflof 700'!D238),'Procyflof 700'!D238,IF(ISNUMBER(SEARCH("12",'Procyflof 700'!D238)),EDATE(AB1737,12),IF(ISNUMBER(SEARCH("6",'Procyflof 700'!D238)),EDATE(AB1737,6),IF(ISNUMBER(SEARCH("3",'Procyflof 700'!D238)),EDATE(AB1737,3),DATEVALUE('Procyflof 700'!D238))))),""))</f>
        <v/>
      </c>
      <c r="AM1737" t="str">
        <f t="shared" ca="1" si="184"/>
        <v/>
      </c>
    </row>
    <row r="1738" spans="27:39" x14ac:dyDescent="0.3">
      <c r="AA1738" t="str">
        <f>IF(COUNTA('Procyflof 700'!A239,'Procyflof 700'!B239,'Procyflof 700'!C239)&gt;0,"700","")</f>
        <v/>
      </c>
      <c r="AB1738" t="str">
        <f>IFERROR(IF(ISNUMBER('Procyflof 700'!A239),'Procyflof 700'!A239,DATEVALUE('Procyflof 700'!A239)),"")</f>
        <v/>
      </c>
      <c r="AC1738" t="str">
        <f>IF(AA1738="","",'Procyflof 700'!B239)</f>
        <v/>
      </c>
      <c r="AD1738" t="str">
        <f>IF(AA1738="","",IFERROR(1*'Procyflof 700'!C239,IFERROR(_xludf.NUMBERVALUE('Procyflof 700'!C239,".",","),IFERROR(_xludf.NUMBERVALUE('Procyflof 700'!C239,",","."),0))))</f>
        <v/>
      </c>
      <c r="AE1738" t="str">
        <f>IF(AA1738="","",'Procyflof 700'!N239)</f>
        <v/>
      </c>
      <c r="AF1738">
        <f t="shared" si="179"/>
        <v>0</v>
      </c>
      <c r="AG1738" t="str">
        <f t="shared" si="180"/>
        <v/>
      </c>
      <c r="AH1738" t="str">
        <f t="shared" si="181"/>
        <v/>
      </c>
      <c r="AI1738">
        <f t="shared" si="182"/>
        <v>0</v>
      </c>
      <c r="AJ1738">
        <f t="shared" si="183"/>
        <v>0</v>
      </c>
      <c r="AK1738">
        <v>0</v>
      </c>
      <c r="AL1738" t="str">
        <f>IF(AA1738="","",IFERROR(IF(ISNUMBER('Procyflof 700'!D239),'Procyflof 700'!D239,IF(ISNUMBER(SEARCH("12",'Procyflof 700'!D239)),EDATE(AB1738,12),IF(ISNUMBER(SEARCH("6",'Procyflof 700'!D239)),EDATE(AB1738,6),IF(ISNUMBER(SEARCH("3",'Procyflof 700'!D239)),EDATE(AB1738,3),DATEVALUE('Procyflof 700'!D239))))),""))</f>
        <v/>
      </c>
      <c r="AM1738" t="str">
        <f t="shared" ca="1" si="184"/>
        <v/>
      </c>
    </row>
    <row r="1739" spans="27:39" x14ac:dyDescent="0.3">
      <c r="AA1739" t="str">
        <f>IF(COUNTA('Procyflof 700'!A240,'Procyflof 700'!B240,'Procyflof 700'!C240)&gt;0,"700","")</f>
        <v/>
      </c>
      <c r="AB1739" t="str">
        <f>IFERROR(IF(ISNUMBER('Procyflof 700'!A240),'Procyflof 700'!A240,DATEVALUE('Procyflof 700'!A240)),"")</f>
        <v/>
      </c>
      <c r="AC1739" t="str">
        <f>IF(AA1739="","",'Procyflof 700'!B240)</f>
        <v/>
      </c>
      <c r="AD1739" t="str">
        <f>IF(AA1739="","",IFERROR(1*'Procyflof 700'!C240,IFERROR(_xludf.NUMBERVALUE('Procyflof 700'!C240,".",","),IFERROR(_xludf.NUMBERVALUE('Procyflof 700'!C240,",","."),0))))</f>
        <v/>
      </c>
      <c r="AE1739" t="str">
        <f>IF(AA1739="","",'Procyflof 700'!N240)</f>
        <v/>
      </c>
      <c r="AF1739">
        <f t="shared" si="179"/>
        <v>0</v>
      </c>
      <c r="AG1739" t="str">
        <f t="shared" si="180"/>
        <v/>
      </c>
      <c r="AH1739" t="str">
        <f t="shared" si="181"/>
        <v/>
      </c>
      <c r="AI1739">
        <f t="shared" si="182"/>
        <v>0</v>
      </c>
      <c r="AJ1739">
        <f t="shared" si="183"/>
        <v>0</v>
      </c>
      <c r="AK1739">
        <v>0</v>
      </c>
      <c r="AL1739" t="str">
        <f>IF(AA1739="","",IFERROR(IF(ISNUMBER('Procyflof 700'!D240),'Procyflof 700'!D240,IF(ISNUMBER(SEARCH("12",'Procyflof 700'!D240)),EDATE(AB1739,12),IF(ISNUMBER(SEARCH("6",'Procyflof 700'!D240)),EDATE(AB1739,6),IF(ISNUMBER(SEARCH("3",'Procyflof 700'!D240)),EDATE(AB1739,3),DATEVALUE('Procyflof 700'!D240))))),""))</f>
        <v/>
      </c>
      <c r="AM1739" t="str">
        <f t="shared" ca="1" si="184"/>
        <v/>
      </c>
    </row>
    <row r="1740" spans="27:39" x14ac:dyDescent="0.3">
      <c r="AA1740" t="str">
        <f>IF(COUNTA('Procyflof 700'!A241,'Procyflof 700'!B241,'Procyflof 700'!C241)&gt;0,"700","")</f>
        <v/>
      </c>
      <c r="AB1740" t="str">
        <f>IFERROR(IF(ISNUMBER('Procyflof 700'!A241),'Procyflof 700'!A241,DATEVALUE('Procyflof 700'!A241)),"")</f>
        <v/>
      </c>
      <c r="AC1740" t="str">
        <f>IF(AA1740="","",'Procyflof 700'!B241)</f>
        <v/>
      </c>
      <c r="AD1740" t="str">
        <f>IF(AA1740="","",IFERROR(1*'Procyflof 700'!C241,IFERROR(_xludf.NUMBERVALUE('Procyflof 700'!C241,".",","),IFERROR(_xludf.NUMBERVALUE('Procyflof 700'!C241,",","."),0))))</f>
        <v/>
      </c>
      <c r="AE1740" t="str">
        <f>IF(AA1740="","",'Procyflof 700'!N241)</f>
        <v/>
      </c>
      <c r="AF1740">
        <f t="shared" si="179"/>
        <v>0</v>
      </c>
      <c r="AG1740" t="str">
        <f t="shared" si="180"/>
        <v/>
      </c>
      <c r="AH1740" t="str">
        <f t="shared" si="181"/>
        <v/>
      </c>
      <c r="AI1740">
        <f t="shared" si="182"/>
        <v>0</v>
      </c>
      <c r="AJ1740">
        <f t="shared" si="183"/>
        <v>0</v>
      </c>
      <c r="AK1740">
        <v>0</v>
      </c>
      <c r="AL1740" t="str">
        <f>IF(AA1740="","",IFERROR(IF(ISNUMBER('Procyflof 700'!D241),'Procyflof 700'!D241,IF(ISNUMBER(SEARCH("12",'Procyflof 700'!D241)),EDATE(AB1740,12),IF(ISNUMBER(SEARCH("6",'Procyflof 700'!D241)),EDATE(AB1740,6),IF(ISNUMBER(SEARCH("3",'Procyflof 700'!D241)),EDATE(AB1740,3),DATEVALUE('Procyflof 700'!D241))))),""))</f>
        <v/>
      </c>
      <c r="AM1740" t="str">
        <f t="shared" ca="1" si="184"/>
        <v/>
      </c>
    </row>
    <row r="1741" spans="27:39" x14ac:dyDescent="0.3">
      <c r="AA1741" t="str">
        <f>IF(COUNTA('Procyflof 700'!A242,'Procyflof 700'!B242,'Procyflof 700'!C242)&gt;0,"700","")</f>
        <v/>
      </c>
      <c r="AB1741" t="str">
        <f>IFERROR(IF(ISNUMBER('Procyflof 700'!A242),'Procyflof 700'!A242,DATEVALUE('Procyflof 700'!A242)),"")</f>
        <v/>
      </c>
      <c r="AC1741" t="str">
        <f>IF(AA1741="","",'Procyflof 700'!B242)</f>
        <v/>
      </c>
      <c r="AD1741" t="str">
        <f>IF(AA1741="","",IFERROR(1*'Procyflof 700'!C242,IFERROR(_xludf.NUMBERVALUE('Procyflof 700'!C242,".",","),IFERROR(_xludf.NUMBERVALUE('Procyflof 700'!C242,",","."),0))))</f>
        <v/>
      </c>
      <c r="AE1741" t="str">
        <f>IF(AA1741="","",'Procyflof 700'!N242)</f>
        <v/>
      </c>
      <c r="AF1741">
        <f t="shared" si="179"/>
        <v>0</v>
      </c>
      <c r="AG1741" t="str">
        <f t="shared" si="180"/>
        <v/>
      </c>
      <c r="AH1741" t="str">
        <f t="shared" si="181"/>
        <v/>
      </c>
      <c r="AI1741">
        <f t="shared" si="182"/>
        <v>0</v>
      </c>
      <c r="AJ1741">
        <f t="shared" si="183"/>
        <v>0</v>
      </c>
      <c r="AK1741">
        <v>0</v>
      </c>
      <c r="AL1741" t="str">
        <f>IF(AA1741="","",IFERROR(IF(ISNUMBER('Procyflof 700'!D242),'Procyflof 700'!D242,IF(ISNUMBER(SEARCH("12",'Procyflof 700'!D242)),EDATE(AB1741,12),IF(ISNUMBER(SEARCH("6",'Procyflof 700'!D242)),EDATE(AB1741,6),IF(ISNUMBER(SEARCH("3",'Procyflof 700'!D242)),EDATE(AB1741,3),DATEVALUE('Procyflof 700'!D242))))),""))</f>
        <v/>
      </c>
      <c r="AM1741" t="str">
        <f t="shared" ca="1" si="184"/>
        <v/>
      </c>
    </row>
    <row r="1742" spans="27:39" x14ac:dyDescent="0.3">
      <c r="AA1742" t="str">
        <f>IF(COUNTA('Procyflof 700'!A243,'Procyflof 700'!B243,'Procyflof 700'!C243)&gt;0,"700","")</f>
        <v/>
      </c>
      <c r="AB1742" t="str">
        <f>IFERROR(IF(ISNUMBER('Procyflof 700'!A243),'Procyflof 700'!A243,DATEVALUE('Procyflof 700'!A243)),"")</f>
        <v/>
      </c>
      <c r="AC1742" t="str">
        <f>IF(AA1742="","",'Procyflof 700'!B243)</f>
        <v/>
      </c>
      <c r="AD1742" t="str">
        <f>IF(AA1742="","",IFERROR(1*'Procyflof 700'!C243,IFERROR(_xludf.NUMBERVALUE('Procyflof 700'!C243,".",","),IFERROR(_xludf.NUMBERVALUE('Procyflof 700'!C243,",","."),0))))</f>
        <v/>
      </c>
      <c r="AE1742" t="str">
        <f>IF(AA1742="","",'Procyflof 700'!N243)</f>
        <v/>
      </c>
      <c r="AF1742">
        <f t="shared" si="179"/>
        <v>0</v>
      </c>
      <c r="AG1742" t="str">
        <f t="shared" si="180"/>
        <v/>
      </c>
      <c r="AH1742" t="str">
        <f t="shared" si="181"/>
        <v/>
      </c>
      <c r="AI1742">
        <f t="shared" si="182"/>
        <v>0</v>
      </c>
      <c r="AJ1742">
        <f t="shared" si="183"/>
        <v>0</v>
      </c>
      <c r="AK1742">
        <v>0</v>
      </c>
      <c r="AL1742" t="str">
        <f>IF(AA1742="","",IFERROR(IF(ISNUMBER('Procyflof 700'!D243),'Procyflof 700'!D243,IF(ISNUMBER(SEARCH("12",'Procyflof 700'!D243)),EDATE(AB1742,12),IF(ISNUMBER(SEARCH("6",'Procyflof 700'!D243)),EDATE(AB1742,6),IF(ISNUMBER(SEARCH("3",'Procyflof 700'!D243)),EDATE(AB1742,3),DATEVALUE('Procyflof 700'!D243))))),""))</f>
        <v/>
      </c>
      <c r="AM1742" t="str">
        <f t="shared" ca="1" si="184"/>
        <v/>
      </c>
    </row>
    <row r="1743" spans="27:39" x14ac:dyDescent="0.3">
      <c r="AA1743" t="str">
        <f>IF(COUNTA('Procyflof 700'!A244,'Procyflof 700'!B244,'Procyflof 700'!C244)&gt;0,"700","")</f>
        <v/>
      </c>
      <c r="AB1743" t="str">
        <f>IFERROR(IF(ISNUMBER('Procyflof 700'!A244),'Procyflof 700'!A244,DATEVALUE('Procyflof 700'!A244)),"")</f>
        <v/>
      </c>
      <c r="AC1743" t="str">
        <f>IF(AA1743="","",'Procyflof 700'!B244)</f>
        <v/>
      </c>
      <c r="AD1743" t="str">
        <f>IF(AA1743="","",IFERROR(1*'Procyflof 700'!C244,IFERROR(_xludf.NUMBERVALUE('Procyflof 700'!C244,".",","),IFERROR(_xludf.NUMBERVALUE('Procyflof 700'!C244,",","."),0))))</f>
        <v/>
      </c>
      <c r="AE1743" t="str">
        <f>IF(AA1743="","",'Procyflof 700'!N244)</f>
        <v/>
      </c>
      <c r="AF1743">
        <f t="shared" si="179"/>
        <v>0</v>
      </c>
      <c r="AG1743" t="str">
        <f t="shared" si="180"/>
        <v/>
      </c>
      <c r="AH1743" t="str">
        <f t="shared" si="181"/>
        <v/>
      </c>
      <c r="AI1743">
        <f t="shared" si="182"/>
        <v>0</v>
      </c>
      <c r="AJ1743">
        <f t="shared" si="183"/>
        <v>0</v>
      </c>
      <c r="AK1743">
        <v>0</v>
      </c>
      <c r="AL1743" t="str">
        <f>IF(AA1743="","",IFERROR(IF(ISNUMBER('Procyflof 700'!D244),'Procyflof 700'!D244,IF(ISNUMBER(SEARCH("12",'Procyflof 700'!D244)),EDATE(AB1743,12),IF(ISNUMBER(SEARCH("6",'Procyflof 700'!D244)),EDATE(AB1743,6),IF(ISNUMBER(SEARCH("3",'Procyflof 700'!D244)),EDATE(AB1743,3),DATEVALUE('Procyflof 700'!D244))))),""))</f>
        <v/>
      </c>
      <c r="AM1743" t="str">
        <f t="shared" ca="1" si="184"/>
        <v/>
      </c>
    </row>
    <row r="1744" spans="27:39" x14ac:dyDescent="0.3">
      <c r="AA1744" t="str">
        <f>IF(COUNTA('Procyflof 700'!A245,'Procyflof 700'!B245,'Procyflof 700'!C245)&gt;0,"700","")</f>
        <v/>
      </c>
      <c r="AB1744" t="str">
        <f>IFERROR(IF(ISNUMBER('Procyflof 700'!A245),'Procyflof 700'!A245,DATEVALUE('Procyflof 700'!A245)),"")</f>
        <v/>
      </c>
      <c r="AC1744" t="str">
        <f>IF(AA1744="","",'Procyflof 700'!B245)</f>
        <v/>
      </c>
      <c r="AD1744" t="str">
        <f>IF(AA1744="","",IFERROR(1*'Procyflof 700'!C245,IFERROR(_xludf.NUMBERVALUE('Procyflof 700'!C245,".",","),IFERROR(_xludf.NUMBERVALUE('Procyflof 700'!C245,",","."),0))))</f>
        <v/>
      </c>
      <c r="AE1744" t="str">
        <f>IF(AA1744="","",'Procyflof 700'!N245)</f>
        <v/>
      </c>
      <c r="AF1744">
        <f t="shared" si="179"/>
        <v>0</v>
      </c>
      <c r="AG1744" t="str">
        <f t="shared" si="180"/>
        <v/>
      </c>
      <c r="AH1744" t="str">
        <f t="shared" si="181"/>
        <v/>
      </c>
      <c r="AI1744">
        <f t="shared" si="182"/>
        <v>0</v>
      </c>
      <c r="AJ1744">
        <f t="shared" si="183"/>
        <v>0</v>
      </c>
      <c r="AK1744">
        <v>0</v>
      </c>
      <c r="AL1744" t="str">
        <f>IF(AA1744="","",IFERROR(IF(ISNUMBER('Procyflof 700'!D245),'Procyflof 700'!D245,IF(ISNUMBER(SEARCH("12",'Procyflof 700'!D245)),EDATE(AB1744,12),IF(ISNUMBER(SEARCH("6",'Procyflof 700'!D245)),EDATE(AB1744,6),IF(ISNUMBER(SEARCH("3",'Procyflof 700'!D245)),EDATE(AB1744,3),DATEVALUE('Procyflof 700'!D245))))),""))</f>
        <v/>
      </c>
      <c r="AM1744" t="str">
        <f t="shared" ca="1" si="184"/>
        <v/>
      </c>
    </row>
    <row r="1745" spans="27:39" x14ac:dyDescent="0.3">
      <c r="AA1745" t="str">
        <f>IF(COUNTA('Procyflof 700'!A246,'Procyflof 700'!B246,'Procyflof 700'!C246)&gt;0,"700","")</f>
        <v/>
      </c>
      <c r="AB1745" t="str">
        <f>IFERROR(IF(ISNUMBER('Procyflof 700'!A246),'Procyflof 700'!A246,DATEVALUE('Procyflof 700'!A246)),"")</f>
        <v/>
      </c>
      <c r="AC1745" t="str">
        <f>IF(AA1745="","",'Procyflof 700'!B246)</f>
        <v/>
      </c>
      <c r="AD1745" t="str">
        <f>IF(AA1745="","",IFERROR(1*'Procyflof 700'!C246,IFERROR(_xludf.NUMBERVALUE('Procyflof 700'!C246,".",","),IFERROR(_xludf.NUMBERVALUE('Procyflof 700'!C246,",","."),0))))</f>
        <v/>
      </c>
      <c r="AE1745" t="str">
        <f>IF(AA1745="","",'Procyflof 700'!N246)</f>
        <v/>
      </c>
      <c r="AF1745">
        <f t="shared" si="179"/>
        <v>0</v>
      </c>
      <c r="AG1745" t="str">
        <f t="shared" si="180"/>
        <v/>
      </c>
      <c r="AH1745" t="str">
        <f t="shared" si="181"/>
        <v/>
      </c>
      <c r="AI1745">
        <f t="shared" si="182"/>
        <v>0</v>
      </c>
      <c r="AJ1745">
        <f t="shared" si="183"/>
        <v>0</v>
      </c>
      <c r="AK1745">
        <v>0</v>
      </c>
      <c r="AL1745" t="str">
        <f>IF(AA1745="","",IFERROR(IF(ISNUMBER('Procyflof 700'!D246),'Procyflof 700'!D246,IF(ISNUMBER(SEARCH("12",'Procyflof 700'!D246)),EDATE(AB1745,12),IF(ISNUMBER(SEARCH("6",'Procyflof 700'!D246)),EDATE(AB1745,6),IF(ISNUMBER(SEARCH("3",'Procyflof 700'!D246)),EDATE(AB1745,3),DATEVALUE('Procyflof 700'!D246))))),""))</f>
        <v/>
      </c>
      <c r="AM1745" t="str">
        <f t="shared" ca="1" si="184"/>
        <v/>
      </c>
    </row>
    <row r="1746" spans="27:39" x14ac:dyDescent="0.3">
      <c r="AA1746" t="str">
        <f>IF(COUNTA('Procyflof 700'!A247,'Procyflof 700'!B247,'Procyflof 700'!C247)&gt;0,"700","")</f>
        <v/>
      </c>
      <c r="AB1746" t="str">
        <f>IFERROR(IF(ISNUMBER('Procyflof 700'!A247),'Procyflof 700'!A247,DATEVALUE('Procyflof 700'!A247)),"")</f>
        <v/>
      </c>
      <c r="AC1746" t="str">
        <f>IF(AA1746="","",'Procyflof 700'!B247)</f>
        <v/>
      </c>
      <c r="AD1746" t="str">
        <f>IF(AA1746="","",IFERROR(1*'Procyflof 700'!C247,IFERROR(_xludf.NUMBERVALUE('Procyflof 700'!C247,".",","),IFERROR(_xludf.NUMBERVALUE('Procyflof 700'!C247,",","."),0))))</f>
        <v/>
      </c>
      <c r="AE1746" t="str">
        <f>IF(AA1746="","",'Procyflof 700'!N247)</f>
        <v/>
      </c>
      <c r="AF1746">
        <f t="shared" si="179"/>
        <v>0</v>
      </c>
      <c r="AG1746" t="str">
        <f t="shared" si="180"/>
        <v/>
      </c>
      <c r="AH1746" t="str">
        <f t="shared" si="181"/>
        <v/>
      </c>
      <c r="AI1746">
        <f t="shared" si="182"/>
        <v>0</v>
      </c>
      <c r="AJ1746">
        <f t="shared" si="183"/>
        <v>0</v>
      </c>
      <c r="AK1746">
        <v>0</v>
      </c>
      <c r="AL1746" t="str">
        <f>IF(AA1746="","",IFERROR(IF(ISNUMBER('Procyflof 700'!D247),'Procyflof 700'!D247,IF(ISNUMBER(SEARCH("12",'Procyflof 700'!D247)),EDATE(AB1746,12),IF(ISNUMBER(SEARCH("6",'Procyflof 700'!D247)),EDATE(AB1746,6),IF(ISNUMBER(SEARCH("3",'Procyflof 700'!D247)),EDATE(AB1746,3),DATEVALUE('Procyflof 700'!D247))))),""))</f>
        <v/>
      </c>
      <c r="AM1746" t="str">
        <f t="shared" ca="1" si="184"/>
        <v/>
      </c>
    </row>
    <row r="1747" spans="27:39" x14ac:dyDescent="0.3">
      <c r="AA1747" t="str">
        <f>IF(COUNTA('Procyflof 700'!A248,'Procyflof 700'!B248,'Procyflof 700'!C248)&gt;0,"700","")</f>
        <v/>
      </c>
      <c r="AB1747" t="str">
        <f>IFERROR(IF(ISNUMBER('Procyflof 700'!A248),'Procyflof 700'!A248,DATEVALUE('Procyflof 700'!A248)),"")</f>
        <v/>
      </c>
      <c r="AC1747" t="str">
        <f>IF(AA1747="","",'Procyflof 700'!B248)</f>
        <v/>
      </c>
      <c r="AD1747" t="str">
        <f>IF(AA1747="","",IFERROR(1*'Procyflof 700'!C248,IFERROR(_xludf.NUMBERVALUE('Procyflof 700'!C248,".",","),IFERROR(_xludf.NUMBERVALUE('Procyflof 700'!C248,",","."),0))))</f>
        <v/>
      </c>
      <c r="AE1747" t="str">
        <f>IF(AA1747="","",'Procyflof 700'!N248)</f>
        <v/>
      </c>
      <c r="AF1747">
        <f t="shared" si="179"/>
        <v>0</v>
      </c>
      <c r="AG1747" t="str">
        <f t="shared" si="180"/>
        <v/>
      </c>
      <c r="AH1747" t="str">
        <f t="shared" si="181"/>
        <v/>
      </c>
      <c r="AI1747">
        <f t="shared" si="182"/>
        <v>0</v>
      </c>
      <c r="AJ1747">
        <f t="shared" si="183"/>
        <v>0</v>
      </c>
      <c r="AK1747">
        <v>0</v>
      </c>
      <c r="AL1747" t="str">
        <f>IF(AA1747="","",IFERROR(IF(ISNUMBER('Procyflof 700'!D248),'Procyflof 700'!D248,IF(ISNUMBER(SEARCH("12",'Procyflof 700'!D248)),EDATE(AB1747,12),IF(ISNUMBER(SEARCH("6",'Procyflof 700'!D248)),EDATE(AB1747,6),IF(ISNUMBER(SEARCH("3",'Procyflof 700'!D248)),EDATE(AB1747,3),DATEVALUE('Procyflof 700'!D248))))),""))</f>
        <v/>
      </c>
      <c r="AM1747" t="str">
        <f t="shared" ca="1" si="184"/>
        <v/>
      </c>
    </row>
    <row r="1748" spans="27:39" x14ac:dyDescent="0.3">
      <c r="AA1748" t="str">
        <f>IF(COUNTA('Procyflof 700'!A249,'Procyflof 700'!B249,'Procyflof 700'!C249)&gt;0,"700","")</f>
        <v/>
      </c>
      <c r="AB1748" t="str">
        <f>IFERROR(IF(ISNUMBER('Procyflof 700'!A249),'Procyflof 700'!A249,DATEVALUE('Procyflof 700'!A249)),"")</f>
        <v/>
      </c>
      <c r="AC1748" t="str">
        <f>IF(AA1748="","",'Procyflof 700'!B249)</f>
        <v/>
      </c>
      <c r="AD1748" t="str">
        <f>IF(AA1748="","",IFERROR(1*'Procyflof 700'!C249,IFERROR(_xludf.NUMBERVALUE('Procyflof 700'!C249,".",","),IFERROR(_xludf.NUMBERVALUE('Procyflof 700'!C249,",","."),0))))</f>
        <v/>
      </c>
      <c r="AE1748" t="str">
        <f>IF(AA1748="","",'Procyflof 700'!N249)</f>
        <v/>
      </c>
      <c r="AF1748">
        <f t="shared" si="179"/>
        <v>0</v>
      </c>
      <c r="AG1748" t="str">
        <f t="shared" si="180"/>
        <v/>
      </c>
      <c r="AH1748" t="str">
        <f t="shared" si="181"/>
        <v/>
      </c>
      <c r="AI1748">
        <f t="shared" si="182"/>
        <v>0</v>
      </c>
      <c r="AJ1748">
        <f t="shared" si="183"/>
        <v>0</v>
      </c>
      <c r="AK1748">
        <v>0</v>
      </c>
      <c r="AL1748" t="str">
        <f>IF(AA1748="","",IFERROR(IF(ISNUMBER('Procyflof 700'!D249),'Procyflof 700'!D249,IF(ISNUMBER(SEARCH("12",'Procyflof 700'!D249)),EDATE(AB1748,12),IF(ISNUMBER(SEARCH("6",'Procyflof 700'!D249)),EDATE(AB1748,6),IF(ISNUMBER(SEARCH("3",'Procyflof 700'!D249)),EDATE(AB1748,3),DATEVALUE('Procyflof 700'!D249))))),""))</f>
        <v/>
      </c>
      <c r="AM1748" t="str">
        <f t="shared" ca="1" si="184"/>
        <v/>
      </c>
    </row>
    <row r="1749" spans="27:39" x14ac:dyDescent="0.3">
      <c r="AA1749" t="str">
        <f>IF(COUNTA('Procyflof 700'!A250,'Procyflof 700'!B250,'Procyflof 700'!C250)&gt;0,"700","")</f>
        <v/>
      </c>
      <c r="AB1749" t="str">
        <f>IFERROR(IF(ISNUMBER('Procyflof 700'!A250),'Procyflof 700'!A250,DATEVALUE('Procyflof 700'!A250)),"")</f>
        <v/>
      </c>
      <c r="AC1749" t="str">
        <f>IF(AA1749="","",'Procyflof 700'!B250)</f>
        <v/>
      </c>
      <c r="AD1749" t="str">
        <f>IF(AA1749="","",IFERROR(1*'Procyflof 700'!C250,IFERROR(_xludf.NUMBERVALUE('Procyflof 700'!C250,".",","),IFERROR(_xludf.NUMBERVALUE('Procyflof 700'!C250,",","."),0))))</f>
        <v/>
      </c>
      <c r="AE1749" t="str">
        <f>IF(AA1749="","",'Procyflof 700'!N250)</f>
        <v/>
      </c>
      <c r="AF1749">
        <f t="shared" si="179"/>
        <v>0</v>
      </c>
      <c r="AG1749" t="str">
        <f t="shared" si="180"/>
        <v/>
      </c>
      <c r="AH1749" t="str">
        <f t="shared" si="181"/>
        <v/>
      </c>
      <c r="AI1749">
        <f t="shared" si="182"/>
        <v>0</v>
      </c>
      <c r="AJ1749">
        <f t="shared" si="183"/>
        <v>0</v>
      </c>
      <c r="AK1749">
        <v>0</v>
      </c>
      <c r="AL1749" t="str">
        <f>IF(AA1749="","",IFERROR(IF(ISNUMBER('Procyflof 700'!D250),'Procyflof 700'!D250,IF(ISNUMBER(SEARCH("12",'Procyflof 700'!D250)),EDATE(AB1749,12),IF(ISNUMBER(SEARCH("6",'Procyflof 700'!D250)),EDATE(AB1749,6),IF(ISNUMBER(SEARCH("3",'Procyflof 700'!D250)),EDATE(AB1749,3),DATEVALUE('Procyflof 700'!D250))))),""))</f>
        <v/>
      </c>
      <c r="AM1749" t="str">
        <f t="shared" ca="1" si="184"/>
        <v/>
      </c>
    </row>
    <row r="1750" spans="27:39" x14ac:dyDescent="0.3">
      <c r="AA1750" t="str">
        <f>IF(COUNTA('Procyflof 700'!A251,'Procyflof 700'!B251,'Procyflof 700'!C251)&gt;0,"700","")</f>
        <v/>
      </c>
      <c r="AB1750" t="str">
        <f>IFERROR(IF(ISNUMBER('Procyflof 700'!A251),'Procyflof 700'!A251,DATEVALUE('Procyflof 700'!A251)),"")</f>
        <v/>
      </c>
      <c r="AC1750" t="str">
        <f>IF(AA1750="","",'Procyflof 700'!B251)</f>
        <v/>
      </c>
      <c r="AD1750" t="str">
        <f>IF(AA1750="","",IFERROR(1*'Procyflof 700'!C251,IFERROR(_xludf.NUMBERVALUE('Procyflof 700'!C251,".",","),IFERROR(_xludf.NUMBERVALUE('Procyflof 700'!C251,",","."),0))))</f>
        <v/>
      </c>
      <c r="AE1750" t="str">
        <f>IF(AA1750="","",'Procyflof 700'!N251)</f>
        <v/>
      </c>
      <c r="AF1750">
        <f t="shared" si="179"/>
        <v>0</v>
      </c>
      <c r="AG1750" t="str">
        <f t="shared" si="180"/>
        <v/>
      </c>
      <c r="AH1750" t="str">
        <f t="shared" si="181"/>
        <v/>
      </c>
      <c r="AI1750">
        <f t="shared" si="182"/>
        <v>0</v>
      </c>
      <c r="AJ1750">
        <f t="shared" si="183"/>
        <v>0</v>
      </c>
      <c r="AK1750">
        <v>0</v>
      </c>
      <c r="AL1750" t="str">
        <f>IF(AA1750="","",IFERROR(IF(ISNUMBER('Procyflof 700'!D251),'Procyflof 700'!D251,IF(ISNUMBER(SEARCH("12",'Procyflof 700'!D251)),EDATE(AB1750,12),IF(ISNUMBER(SEARCH("6",'Procyflof 700'!D251)),EDATE(AB1750,6),IF(ISNUMBER(SEARCH("3",'Procyflof 700'!D251)),EDATE(AB1750,3),DATEVALUE('Procyflof 700'!D251))))),""))</f>
        <v/>
      </c>
      <c r="AM1750" t="str">
        <f t="shared" ca="1" si="184"/>
        <v/>
      </c>
    </row>
    <row r="1751" spans="27:39" x14ac:dyDescent="0.3">
      <c r="AA1751" t="str">
        <f>IF(COUNTA('Procyflof 700'!A252,'Procyflof 700'!B252,'Procyflof 700'!C252)&gt;0,"700","")</f>
        <v/>
      </c>
      <c r="AB1751" t="str">
        <f>IFERROR(IF(ISNUMBER('Procyflof 700'!A252),'Procyflof 700'!A252,DATEVALUE('Procyflof 700'!A252)),"")</f>
        <v/>
      </c>
      <c r="AC1751" t="str">
        <f>IF(AA1751="","",'Procyflof 700'!B252)</f>
        <v/>
      </c>
      <c r="AD1751" t="str">
        <f>IF(AA1751="","",IFERROR(1*'Procyflof 700'!C252,IFERROR(_xludf.NUMBERVALUE('Procyflof 700'!C252,".",","),IFERROR(_xludf.NUMBERVALUE('Procyflof 700'!C252,",","."),0))))</f>
        <v/>
      </c>
      <c r="AE1751" t="str">
        <f>IF(AA1751="","",'Procyflof 700'!N252)</f>
        <v/>
      </c>
      <c r="AF1751">
        <f t="shared" si="179"/>
        <v>0</v>
      </c>
      <c r="AG1751" t="str">
        <f t="shared" si="180"/>
        <v/>
      </c>
      <c r="AH1751" t="str">
        <f t="shared" si="181"/>
        <v/>
      </c>
      <c r="AI1751">
        <f t="shared" si="182"/>
        <v>0</v>
      </c>
      <c r="AJ1751">
        <f t="shared" si="183"/>
        <v>0</v>
      </c>
      <c r="AK1751">
        <v>0</v>
      </c>
      <c r="AL1751" t="str">
        <f>IF(AA1751="","",IFERROR(IF(ISNUMBER('Procyflof 700'!D252),'Procyflof 700'!D252,IF(ISNUMBER(SEARCH("12",'Procyflof 700'!D252)),EDATE(AB1751,12),IF(ISNUMBER(SEARCH("6",'Procyflof 700'!D252)),EDATE(AB1751,6),IF(ISNUMBER(SEARCH("3",'Procyflof 700'!D252)),EDATE(AB1751,3),DATEVALUE('Procyflof 700'!D252))))),""))</f>
        <v/>
      </c>
      <c r="AM1751" t="str">
        <f t="shared" ca="1" si="184"/>
        <v/>
      </c>
    </row>
    <row r="1752" spans="27:39" x14ac:dyDescent="0.3">
      <c r="AA1752" t="str">
        <f>IF(COUNTA('Procyflof 700'!A253,'Procyflof 700'!B253,'Procyflof 700'!C253)&gt;0,"700","")</f>
        <v/>
      </c>
      <c r="AB1752" t="str">
        <f>IFERROR(IF(ISNUMBER('Procyflof 700'!A253),'Procyflof 700'!A253,DATEVALUE('Procyflof 700'!A253)),"")</f>
        <v/>
      </c>
      <c r="AC1752" t="str">
        <f>IF(AA1752="","",'Procyflof 700'!B253)</f>
        <v/>
      </c>
      <c r="AD1752" t="str">
        <f>IF(AA1752="","",IFERROR(1*'Procyflof 700'!C253,IFERROR(_xludf.NUMBERVALUE('Procyflof 700'!C253,".",","),IFERROR(_xludf.NUMBERVALUE('Procyflof 700'!C253,",","."),0))))</f>
        <v/>
      </c>
      <c r="AE1752" t="str">
        <f>IF(AA1752="","",'Procyflof 700'!N253)</f>
        <v/>
      </c>
      <c r="AF1752">
        <f t="shared" si="179"/>
        <v>0</v>
      </c>
      <c r="AG1752" t="str">
        <f t="shared" si="180"/>
        <v/>
      </c>
      <c r="AH1752" t="str">
        <f t="shared" si="181"/>
        <v/>
      </c>
      <c r="AI1752">
        <f t="shared" si="182"/>
        <v>0</v>
      </c>
      <c r="AJ1752">
        <f t="shared" si="183"/>
        <v>0</v>
      </c>
      <c r="AK1752">
        <v>0</v>
      </c>
      <c r="AL1752" t="str">
        <f>IF(AA1752="","",IFERROR(IF(ISNUMBER('Procyflof 700'!D253),'Procyflof 700'!D253,IF(ISNUMBER(SEARCH("12",'Procyflof 700'!D253)),EDATE(AB1752,12),IF(ISNUMBER(SEARCH("6",'Procyflof 700'!D253)),EDATE(AB1752,6),IF(ISNUMBER(SEARCH("3",'Procyflof 700'!D253)),EDATE(AB1752,3),DATEVALUE('Procyflof 700'!D253))))),""))</f>
        <v/>
      </c>
      <c r="AM1752" t="str">
        <f t="shared" ca="1" si="184"/>
        <v/>
      </c>
    </row>
    <row r="1753" spans="27:39" x14ac:dyDescent="0.3">
      <c r="AA1753" t="str">
        <f>IF(COUNTA('Procyflof 700'!A254,'Procyflof 700'!B254,'Procyflof 700'!C254)&gt;0,"700","")</f>
        <v/>
      </c>
      <c r="AB1753" t="str">
        <f>IFERROR(IF(ISNUMBER('Procyflof 700'!A254),'Procyflof 700'!A254,DATEVALUE('Procyflof 700'!A254)),"")</f>
        <v/>
      </c>
      <c r="AC1753" t="str">
        <f>IF(AA1753="","",'Procyflof 700'!B254)</f>
        <v/>
      </c>
      <c r="AD1753" t="str">
        <f>IF(AA1753="","",IFERROR(1*'Procyflof 700'!C254,IFERROR(_xludf.NUMBERVALUE('Procyflof 700'!C254,".",","),IFERROR(_xludf.NUMBERVALUE('Procyflof 700'!C254,",","."),0))))</f>
        <v/>
      </c>
      <c r="AE1753" t="str">
        <f>IF(AA1753="","",'Procyflof 700'!N254)</f>
        <v/>
      </c>
      <c r="AF1753">
        <f t="shared" si="179"/>
        <v>0</v>
      </c>
      <c r="AG1753" t="str">
        <f t="shared" si="180"/>
        <v/>
      </c>
      <c r="AH1753" t="str">
        <f t="shared" si="181"/>
        <v/>
      </c>
      <c r="AI1753">
        <f t="shared" si="182"/>
        <v>0</v>
      </c>
      <c r="AJ1753">
        <f t="shared" si="183"/>
        <v>0</v>
      </c>
      <c r="AK1753">
        <v>0</v>
      </c>
      <c r="AL1753" t="str">
        <f>IF(AA1753="","",IFERROR(IF(ISNUMBER('Procyflof 700'!D254),'Procyflof 700'!D254,IF(ISNUMBER(SEARCH("12",'Procyflof 700'!D254)),EDATE(AB1753,12),IF(ISNUMBER(SEARCH("6",'Procyflof 700'!D254)),EDATE(AB1753,6),IF(ISNUMBER(SEARCH("3",'Procyflof 700'!D254)),EDATE(AB1753,3),DATEVALUE('Procyflof 700'!D254))))),""))</f>
        <v/>
      </c>
      <c r="AM1753" t="str">
        <f t="shared" ca="1" si="184"/>
        <v/>
      </c>
    </row>
    <row r="1754" spans="27:39" x14ac:dyDescent="0.3">
      <c r="AA1754" t="str">
        <f>IF(COUNTA('Procyflof 700'!A255,'Procyflof 700'!B255,'Procyflof 700'!C255)&gt;0,"700","")</f>
        <v/>
      </c>
      <c r="AB1754" t="str">
        <f>IFERROR(IF(ISNUMBER('Procyflof 700'!A255),'Procyflof 700'!A255,DATEVALUE('Procyflof 700'!A255)),"")</f>
        <v/>
      </c>
      <c r="AC1754" t="str">
        <f>IF(AA1754="","",'Procyflof 700'!B255)</f>
        <v/>
      </c>
      <c r="AD1754" t="str">
        <f>IF(AA1754="","",IFERROR(1*'Procyflof 700'!C255,IFERROR(_xludf.NUMBERVALUE('Procyflof 700'!C255,".",","),IFERROR(_xludf.NUMBERVALUE('Procyflof 700'!C255,",","."),0))))</f>
        <v/>
      </c>
      <c r="AE1754" t="str">
        <f>IF(AA1754="","",'Procyflof 700'!N255)</f>
        <v/>
      </c>
      <c r="AF1754">
        <f t="shared" si="179"/>
        <v>0</v>
      </c>
      <c r="AG1754" t="str">
        <f t="shared" si="180"/>
        <v/>
      </c>
      <c r="AH1754" t="str">
        <f t="shared" si="181"/>
        <v/>
      </c>
      <c r="AI1754">
        <f t="shared" si="182"/>
        <v>0</v>
      </c>
      <c r="AJ1754">
        <f t="shared" si="183"/>
        <v>0</v>
      </c>
      <c r="AK1754">
        <v>0</v>
      </c>
      <c r="AL1754" t="str">
        <f>IF(AA1754="","",IFERROR(IF(ISNUMBER('Procyflof 700'!D255),'Procyflof 700'!D255,IF(ISNUMBER(SEARCH("12",'Procyflof 700'!D255)),EDATE(AB1754,12),IF(ISNUMBER(SEARCH("6",'Procyflof 700'!D255)),EDATE(AB1754,6),IF(ISNUMBER(SEARCH("3",'Procyflof 700'!D255)),EDATE(AB1754,3),DATEVALUE('Procyflof 700'!D255))))),""))</f>
        <v/>
      </c>
      <c r="AM1754" t="str">
        <f t="shared" ca="1" si="184"/>
        <v/>
      </c>
    </row>
    <row r="1755" spans="27:39" x14ac:dyDescent="0.3">
      <c r="AA1755" t="str">
        <f>IF(COUNTA('Procyflof 700'!A256,'Procyflof 700'!B256,'Procyflof 700'!C256)&gt;0,"700","")</f>
        <v/>
      </c>
      <c r="AB1755" t="str">
        <f>IFERROR(IF(ISNUMBER('Procyflof 700'!A256),'Procyflof 700'!A256,DATEVALUE('Procyflof 700'!A256)),"")</f>
        <v/>
      </c>
      <c r="AC1755" t="str">
        <f>IF(AA1755="","",'Procyflof 700'!B256)</f>
        <v/>
      </c>
      <c r="AD1755" t="str">
        <f>IF(AA1755="","",IFERROR(1*'Procyflof 700'!C256,IFERROR(_xludf.NUMBERVALUE('Procyflof 700'!C256,".",","),IFERROR(_xludf.NUMBERVALUE('Procyflof 700'!C256,",","."),0))))</f>
        <v/>
      </c>
      <c r="AE1755" t="str">
        <f>IF(AA1755="","",'Procyflof 700'!N256)</f>
        <v/>
      </c>
      <c r="AF1755">
        <f t="shared" si="179"/>
        <v>0</v>
      </c>
      <c r="AG1755" t="str">
        <f t="shared" si="180"/>
        <v/>
      </c>
      <c r="AH1755" t="str">
        <f t="shared" si="181"/>
        <v/>
      </c>
      <c r="AI1755">
        <f t="shared" si="182"/>
        <v>0</v>
      </c>
      <c r="AJ1755">
        <f t="shared" si="183"/>
        <v>0</v>
      </c>
      <c r="AK1755">
        <v>0</v>
      </c>
      <c r="AL1755" t="str">
        <f>IF(AA1755="","",IFERROR(IF(ISNUMBER('Procyflof 700'!D256),'Procyflof 700'!D256,IF(ISNUMBER(SEARCH("12",'Procyflof 700'!D256)),EDATE(AB1755,12),IF(ISNUMBER(SEARCH("6",'Procyflof 700'!D256)),EDATE(AB1755,6),IF(ISNUMBER(SEARCH("3",'Procyflof 700'!D256)),EDATE(AB1755,3),DATEVALUE('Procyflof 700'!D256))))),""))</f>
        <v/>
      </c>
      <c r="AM1755" t="str">
        <f t="shared" ca="1" si="184"/>
        <v/>
      </c>
    </row>
    <row r="1756" spans="27:39" x14ac:dyDescent="0.3">
      <c r="AA1756" t="str">
        <f>IF(COUNTA('Procyflof 700'!A257,'Procyflof 700'!B257,'Procyflof 700'!C257)&gt;0,"700","")</f>
        <v/>
      </c>
      <c r="AB1756" t="str">
        <f>IFERROR(IF(ISNUMBER('Procyflof 700'!A257),'Procyflof 700'!A257,DATEVALUE('Procyflof 700'!A257)),"")</f>
        <v/>
      </c>
      <c r="AC1756" t="str">
        <f>IF(AA1756="","",'Procyflof 700'!B257)</f>
        <v/>
      </c>
      <c r="AD1756" t="str">
        <f>IF(AA1756="","",IFERROR(1*'Procyflof 700'!C257,IFERROR(_xludf.NUMBERVALUE('Procyflof 700'!C257,".",","),IFERROR(_xludf.NUMBERVALUE('Procyflof 700'!C257,",","."),0))))</f>
        <v/>
      </c>
      <c r="AE1756" t="str">
        <f>IF(AA1756="","",'Procyflof 700'!N257)</f>
        <v/>
      </c>
      <c r="AF1756">
        <f t="shared" si="179"/>
        <v>0</v>
      </c>
      <c r="AG1756" t="str">
        <f t="shared" si="180"/>
        <v/>
      </c>
      <c r="AH1756" t="str">
        <f t="shared" si="181"/>
        <v/>
      </c>
      <c r="AI1756">
        <f t="shared" si="182"/>
        <v>0</v>
      </c>
      <c r="AJ1756">
        <f t="shared" si="183"/>
        <v>0</v>
      </c>
      <c r="AK1756">
        <v>0</v>
      </c>
      <c r="AL1756" t="str">
        <f>IF(AA1756="","",IFERROR(IF(ISNUMBER('Procyflof 700'!D257),'Procyflof 700'!D257,IF(ISNUMBER(SEARCH("12",'Procyflof 700'!D257)),EDATE(AB1756,12),IF(ISNUMBER(SEARCH("6",'Procyflof 700'!D257)),EDATE(AB1756,6),IF(ISNUMBER(SEARCH("3",'Procyflof 700'!D257)),EDATE(AB1756,3),DATEVALUE('Procyflof 700'!D257))))),""))</f>
        <v/>
      </c>
      <c r="AM1756" t="str">
        <f t="shared" ca="1" si="184"/>
        <v/>
      </c>
    </row>
    <row r="1757" spans="27:39" x14ac:dyDescent="0.3">
      <c r="AA1757" t="str">
        <f>IF(COUNTA('Procyflof 700'!A258,'Procyflof 700'!B258,'Procyflof 700'!C258)&gt;0,"700","")</f>
        <v/>
      </c>
      <c r="AB1757" t="str">
        <f>IFERROR(IF(ISNUMBER('Procyflof 700'!A258),'Procyflof 700'!A258,DATEVALUE('Procyflof 700'!A258)),"")</f>
        <v/>
      </c>
      <c r="AC1757" t="str">
        <f>IF(AA1757="","",'Procyflof 700'!B258)</f>
        <v/>
      </c>
      <c r="AD1757" t="str">
        <f>IF(AA1757="","",IFERROR(1*'Procyflof 700'!C258,IFERROR(_xludf.NUMBERVALUE('Procyflof 700'!C258,".",","),IFERROR(_xludf.NUMBERVALUE('Procyflof 700'!C258,",","."),0))))</f>
        <v/>
      </c>
      <c r="AE1757" t="str">
        <f>IF(AA1757="","",'Procyflof 700'!N258)</f>
        <v/>
      </c>
      <c r="AF1757">
        <f t="shared" si="179"/>
        <v>0</v>
      </c>
      <c r="AG1757" t="str">
        <f t="shared" si="180"/>
        <v/>
      </c>
      <c r="AH1757" t="str">
        <f t="shared" si="181"/>
        <v/>
      </c>
      <c r="AI1757">
        <f t="shared" si="182"/>
        <v>0</v>
      </c>
      <c r="AJ1757">
        <f t="shared" si="183"/>
        <v>0</v>
      </c>
      <c r="AK1757">
        <v>0</v>
      </c>
      <c r="AL1757" t="str">
        <f>IF(AA1757="","",IFERROR(IF(ISNUMBER('Procyflof 700'!D258),'Procyflof 700'!D258,IF(ISNUMBER(SEARCH("12",'Procyflof 700'!D258)),EDATE(AB1757,12),IF(ISNUMBER(SEARCH("6",'Procyflof 700'!D258)),EDATE(AB1757,6),IF(ISNUMBER(SEARCH("3",'Procyflof 700'!D258)),EDATE(AB1757,3),DATEVALUE('Procyflof 700'!D258))))),""))</f>
        <v/>
      </c>
      <c r="AM1757" t="str">
        <f t="shared" ca="1" si="184"/>
        <v/>
      </c>
    </row>
    <row r="1758" spans="27:39" x14ac:dyDescent="0.3">
      <c r="AA1758" t="str">
        <f>IF(COUNTA('Procyflof 700'!A259,'Procyflof 700'!B259,'Procyflof 700'!C259)&gt;0,"700","")</f>
        <v/>
      </c>
      <c r="AB1758" t="str">
        <f>IFERROR(IF(ISNUMBER('Procyflof 700'!A259),'Procyflof 700'!A259,DATEVALUE('Procyflof 700'!A259)),"")</f>
        <v/>
      </c>
      <c r="AC1758" t="str">
        <f>IF(AA1758="","",'Procyflof 700'!B259)</f>
        <v/>
      </c>
      <c r="AD1758" t="str">
        <f>IF(AA1758="","",IFERROR(1*'Procyflof 700'!C259,IFERROR(_xludf.NUMBERVALUE('Procyflof 700'!C259,".",","),IFERROR(_xludf.NUMBERVALUE('Procyflof 700'!C259,",","."),0))))</f>
        <v/>
      </c>
      <c r="AE1758" t="str">
        <f>IF(AA1758="","",'Procyflof 700'!N259)</f>
        <v/>
      </c>
      <c r="AF1758">
        <f t="shared" si="179"/>
        <v>0</v>
      </c>
      <c r="AG1758" t="str">
        <f t="shared" si="180"/>
        <v/>
      </c>
      <c r="AH1758" t="str">
        <f t="shared" si="181"/>
        <v/>
      </c>
      <c r="AI1758">
        <f t="shared" si="182"/>
        <v>0</v>
      </c>
      <c r="AJ1758">
        <f t="shared" si="183"/>
        <v>0</v>
      </c>
      <c r="AK1758">
        <v>0</v>
      </c>
      <c r="AL1758" t="str">
        <f>IF(AA1758="","",IFERROR(IF(ISNUMBER('Procyflof 700'!D259),'Procyflof 700'!D259,IF(ISNUMBER(SEARCH("12",'Procyflof 700'!D259)),EDATE(AB1758,12),IF(ISNUMBER(SEARCH("6",'Procyflof 700'!D259)),EDATE(AB1758,6),IF(ISNUMBER(SEARCH("3",'Procyflof 700'!D259)),EDATE(AB1758,3),DATEVALUE('Procyflof 700'!D259))))),""))</f>
        <v/>
      </c>
      <c r="AM1758" t="str">
        <f t="shared" ca="1" si="184"/>
        <v/>
      </c>
    </row>
    <row r="1759" spans="27:39" x14ac:dyDescent="0.3">
      <c r="AA1759" t="str">
        <f>IF(COUNTA('Procyflof 700'!A260,'Procyflof 700'!B260,'Procyflof 700'!C260)&gt;0,"700","")</f>
        <v/>
      </c>
      <c r="AB1759" t="str">
        <f>IFERROR(IF(ISNUMBER('Procyflof 700'!A260),'Procyflof 700'!A260,DATEVALUE('Procyflof 700'!A260)),"")</f>
        <v/>
      </c>
      <c r="AC1759" t="str">
        <f>IF(AA1759="","",'Procyflof 700'!B260)</f>
        <v/>
      </c>
      <c r="AD1759" t="str">
        <f>IF(AA1759="","",IFERROR(1*'Procyflof 700'!C260,IFERROR(_xludf.NUMBERVALUE('Procyflof 700'!C260,".",","),IFERROR(_xludf.NUMBERVALUE('Procyflof 700'!C260,",","."),0))))</f>
        <v/>
      </c>
      <c r="AE1759" t="str">
        <f>IF(AA1759="","",'Procyflof 700'!N260)</f>
        <v/>
      </c>
      <c r="AF1759">
        <f t="shared" si="179"/>
        <v>0</v>
      </c>
      <c r="AG1759" t="str">
        <f t="shared" si="180"/>
        <v/>
      </c>
      <c r="AH1759" t="str">
        <f t="shared" si="181"/>
        <v/>
      </c>
      <c r="AI1759">
        <f t="shared" si="182"/>
        <v>0</v>
      </c>
      <c r="AJ1759">
        <f t="shared" si="183"/>
        <v>0</v>
      </c>
      <c r="AK1759">
        <v>0</v>
      </c>
      <c r="AL1759" t="str">
        <f>IF(AA1759="","",IFERROR(IF(ISNUMBER('Procyflof 700'!D260),'Procyflof 700'!D260,IF(ISNUMBER(SEARCH("12",'Procyflof 700'!D260)),EDATE(AB1759,12),IF(ISNUMBER(SEARCH("6",'Procyflof 700'!D260)),EDATE(AB1759,6),IF(ISNUMBER(SEARCH("3",'Procyflof 700'!D260)),EDATE(AB1759,3),DATEVALUE('Procyflof 700'!D260))))),""))</f>
        <v/>
      </c>
      <c r="AM1759" t="str">
        <f t="shared" ca="1" si="184"/>
        <v/>
      </c>
    </row>
    <row r="1760" spans="27:39" x14ac:dyDescent="0.3">
      <c r="AA1760" t="str">
        <f>IF(COUNTA('Procyflof 700'!A261,'Procyflof 700'!B261,'Procyflof 700'!C261)&gt;0,"700","")</f>
        <v/>
      </c>
      <c r="AB1760" t="str">
        <f>IFERROR(IF(ISNUMBER('Procyflof 700'!A261),'Procyflof 700'!A261,DATEVALUE('Procyflof 700'!A261)),"")</f>
        <v/>
      </c>
      <c r="AC1760" t="str">
        <f>IF(AA1760="","",'Procyflof 700'!B261)</f>
        <v/>
      </c>
      <c r="AD1760" t="str">
        <f>IF(AA1760="","",IFERROR(1*'Procyflof 700'!C261,IFERROR(_xludf.NUMBERVALUE('Procyflof 700'!C261,".",","),IFERROR(_xludf.NUMBERVALUE('Procyflof 700'!C261,",","."),0))))</f>
        <v/>
      </c>
      <c r="AE1760" t="str">
        <f>IF(AA1760="","",'Procyflof 700'!N261)</f>
        <v/>
      </c>
      <c r="AF1760">
        <f t="shared" si="179"/>
        <v>0</v>
      </c>
      <c r="AG1760" t="str">
        <f t="shared" si="180"/>
        <v/>
      </c>
      <c r="AH1760" t="str">
        <f t="shared" si="181"/>
        <v/>
      </c>
      <c r="AI1760">
        <f t="shared" si="182"/>
        <v>0</v>
      </c>
      <c r="AJ1760">
        <f t="shared" si="183"/>
        <v>0</v>
      </c>
      <c r="AK1760">
        <v>0</v>
      </c>
      <c r="AL1760" t="str">
        <f>IF(AA1760="","",IFERROR(IF(ISNUMBER('Procyflof 700'!D261),'Procyflof 700'!D261,IF(ISNUMBER(SEARCH("12",'Procyflof 700'!D261)),EDATE(AB1760,12),IF(ISNUMBER(SEARCH("6",'Procyflof 700'!D261)),EDATE(AB1760,6),IF(ISNUMBER(SEARCH("3",'Procyflof 700'!D261)),EDATE(AB1760,3),DATEVALUE('Procyflof 700'!D261))))),""))</f>
        <v/>
      </c>
      <c r="AM1760" t="str">
        <f t="shared" ca="1" si="184"/>
        <v/>
      </c>
    </row>
    <row r="1761" spans="27:39" x14ac:dyDescent="0.3">
      <c r="AA1761" t="str">
        <f>IF(COUNTA('Procyflof 700'!A262,'Procyflof 700'!B262,'Procyflof 700'!C262)&gt;0,"700","")</f>
        <v/>
      </c>
      <c r="AB1761" t="str">
        <f>IFERROR(IF(ISNUMBER('Procyflof 700'!A262),'Procyflof 700'!A262,DATEVALUE('Procyflof 700'!A262)),"")</f>
        <v/>
      </c>
      <c r="AC1761" t="str">
        <f>IF(AA1761="","",'Procyflof 700'!B262)</f>
        <v/>
      </c>
      <c r="AD1761" t="str">
        <f>IF(AA1761="","",IFERROR(1*'Procyflof 700'!C262,IFERROR(_xludf.NUMBERVALUE('Procyflof 700'!C262,".",","),IFERROR(_xludf.NUMBERVALUE('Procyflof 700'!C262,",","."),0))))</f>
        <v/>
      </c>
      <c r="AE1761" t="str">
        <f>IF(AA1761="","",'Procyflof 700'!N262)</f>
        <v/>
      </c>
      <c r="AF1761">
        <f t="shared" si="179"/>
        <v>0</v>
      </c>
      <c r="AG1761" t="str">
        <f t="shared" si="180"/>
        <v/>
      </c>
      <c r="AH1761" t="str">
        <f t="shared" si="181"/>
        <v/>
      </c>
      <c r="AI1761">
        <f t="shared" si="182"/>
        <v>0</v>
      </c>
      <c r="AJ1761">
        <f t="shared" si="183"/>
        <v>0</v>
      </c>
      <c r="AK1761">
        <v>0</v>
      </c>
      <c r="AL1761" t="str">
        <f>IF(AA1761="","",IFERROR(IF(ISNUMBER('Procyflof 700'!D262),'Procyflof 700'!D262,IF(ISNUMBER(SEARCH("12",'Procyflof 700'!D262)),EDATE(AB1761,12),IF(ISNUMBER(SEARCH("6",'Procyflof 700'!D262)),EDATE(AB1761,6),IF(ISNUMBER(SEARCH("3",'Procyflof 700'!D262)),EDATE(AB1761,3),DATEVALUE('Procyflof 700'!D262))))),""))</f>
        <v/>
      </c>
      <c r="AM1761" t="str">
        <f t="shared" ca="1" si="184"/>
        <v/>
      </c>
    </row>
    <row r="1762" spans="27:39" x14ac:dyDescent="0.3">
      <c r="AA1762" t="str">
        <f>IF(COUNTA('Procyflof 700'!A263,'Procyflof 700'!B263,'Procyflof 700'!C263)&gt;0,"700","")</f>
        <v/>
      </c>
      <c r="AB1762" t="str">
        <f>IFERROR(IF(ISNUMBER('Procyflof 700'!A263),'Procyflof 700'!A263,DATEVALUE('Procyflof 700'!A263)),"")</f>
        <v/>
      </c>
      <c r="AC1762" t="str">
        <f>IF(AA1762="","",'Procyflof 700'!B263)</f>
        <v/>
      </c>
      <c r="AD1762" t="str">
        <f>IF(AA1762="","",IFERROR(1*'Procyflof 700'!C263,IFERROR(_xludf.NUMBERVALUE('Procyflof 700'!C263,".",","),IFERROR(_xludf.NUMBERVALUE('Procyflof 700'!C263,",","."),0))))</f>
        <v/>
      </c>
      <c r="AE1762" t="str">
        <f>IF(AA1762="","",'Procyflof 700'!N263)</f>
        <v/>
      </c>
      <c r="AF1762">
        <f t="shared" si="179"/>
        <v>0</v>
      </c>
      <c r="AG1762" t="str">
        <f t="shared" si="180"/>
        <v/>
      </c>
      <c r="AH1762" t="str">
        <f t="shared" si="181"/>
        <v/>
      </c>
      <c r="AI1762">
        <f t="shared" si="182"/>
        <v>0</v>
      </c>
      <c r="AJ1762">
        <f t="shared" si="183"/>
        <v>0</v>
      </c>
      <c r="AK1762">
        <v>0</v>
      </c>
      <c r="AL1762" t="str">
        <f>IF(AA1762="","",IFERROR(IF(ISNUMBER('Procyflof 700'!D263),'Procyflof 700'!D263,IF(ISNUMBER(SEARCH("12",'Procyflof 700'!D263)),EDATE(AB1762,12),IF(ISNUMBER(SEARCH("6",'Procyflof 700'!D263)),EDATE(AB1762,6),IF(ISNUMBER(SEARCH("3",'Procyflof 700'!D263)),EDATE(AB1762,3),DATEVALUE('Procyflof 700'!D263))))),""))</f>
        <v/>
      </c>
      <c r="AM1762" t="str">
        <f t="shared" ca="1" si="184"/>
        <v/>
      </c>
    </row>
    <row r="1763" spans="27:39" x14ac:dyDescent="0.3">
      <c r="AA1763" t="str">
        <f>IF(COUNTA('Procyflof 700'!A264,'Procyflof 700'!B264,'Procyflof 700'!C264)&gt;0,"700","")</f>
        <v/>
      </c>
      <c r="AB1763" t="str">
        <f>IFERROR(IF(ISNUMBER('Procyflof 700'!A264),'Procyflof 700'!A264,DATEVALUE('Procyflof 700'!A264)),"")</f>
        <v/>
      </c>
      <c r="AC1763" t="str">
        <f>IF(AA1763="","",'Procyflof 700'!B264)</f>
        <v/>
      </c>
      <c r="AD1763" t="str">
        <f>IF(AA1763="","",IFERROR(1*'Procyflof 700'!C264,IFERROR(_xludf.NUMBERVALUE('Procyflof 700'!C264,".",","),IFERROR(_xludf.NUMBERVALUE('Procyflof 700'!C264,",","."),0))))</f>
        <v/>
      </c>
      <c r="AE1763" t="str">
        <f>IF(AA1763="","",'Procyflof 700'!N264)</f>
        <v/>
      </c>
      <c r="AF1763">
        <f t="shared" si="179"/>
        <v>0</v>
      </c>
      <c r="AG1763" t="str">
        <f t="shared" si="180"/>
        <v/>
      </c>
      <c r="AH1763" t="str">
        <f t="shared" si="181"/>
        <v/>
      </c>
      <c r="AI1763">
        <f t="shared" si="182"/>
        <v>0</v>
      </c>
      <c r="AJ1763">
        <f t="shared" si="183"/>
        <v>0</v>
      </c>
      <c r="AK1763">
        <v>0</v>
      </c>
      <c r="AL1763" t="str">
        <f>IF(AA1763="","",IFERROR(IF(ISNUMBER('Procyflof 700'!D264),'Procyflof 700'!D264,IF(ISNUMBER(SEARCH("12",'Procyflof 700'!D264)),EDATE(AB1763,12),IF(ISNUMBER(SEARCH("6",'Procyflof 700'!D264)),EDATE(AB1763,6),IF(ISNUMBER(SEARCH("3",'Procyflof 700'!D264)),EDATE(AB1763,3),DATEVALUE('Procyflof 700'!D264))))),""))</f>
        <v/>
      </c>
      <c r="AM1763" t="str">
        <f t="shared" ca="1" si="184"/>
        <v/>
      </c>
    </row>
    <row r="1764" spans="27:39" x14ac:dyDescent="0.3">
      <c r="AA1764" t="str">
        <f>IF(COUNTA('Procyflof 700'!A265,'Procyflof 700'!B265,'Procyflof 700'!C265)&gt;0,"700","")</f>
        <v/>
      </c>
      <c r="AB1764" t="str">
        <f>IFERROR(IF(ISNUMBER('Procyflof 700'!A265),'Procyflof 700'!A265,DATEVALUE('Procyflof 700'!A265)),"")</f>
        <v/>
      </c>
      <c r="AC1764" t="str">
        <f>IF(AA1764="","",'Procyflof 700'!B265)</f>
        <v/>
      </c>
      <c r="AD1764" t="str">
        <f>IF(AA1764="","",IFERROR(1*'Procyflof 700'!C265,IFERROR(_xludf.NUMBERVALUE('Procyflof 700'!C265,".",","),IFERROR(_xludf.NUMBERVALUE('Procyflof 700'!C265,",","."),0))))</f>
        <v/>
      </c>
      <c r="AE1764" t="str">
        <f>IF(AA1764="","",'Procyflof 700'!N265)</f>
        <v/>
      </c>
      <c r="AF1764">
        <f t="shared" si="179"/>
        <v>0</v>
      </c>
      <c r="AG1764" t="str">
        <f t="shared" si="180"/>
        <v/>
      </c>
      <c r="AH1764" t="str">
        <f t="shared" si="181"/>
        <v/>
      </c>
      <c r="AI1764">
        <f t="shared" si="182"/>
        <v>0</v>
      </c>
      <c r="AJ1764">
        <f t="shared" si="183"/>
        <v>0</v>
      </c>
      <c r="AK1764">
        <v>0</v>
      </c>
      <c r="AL1764" t="str">
        <f>IF(AA1764="","",IFERROR(IF(ISNUMBER('Procyflof 700'!D265),'Procyflof 700'!D265,IF(ISNUMBER(SEARCH("12",'Procyflof 700'!D265)),EDATE(AB1764,12),IF(ISNUMBER(SEARCH("6",'Procyflof 700'!D265)),EDATE(AB1764,6),IF(ISNUMBER(SEARCH("3",'Procyflof 700'!D265)),EDATE(AB1764,3),DATEVALUE('Procyflof 700'!D265))))),""))</f>
        <v/>
      </c>
      <c r="AM1764" t="str">
        <f t="shared" ca="1" si="184"/>
        <v/>
      </c>
    </row>
    <row r="1765" spans="27:39" x14ac:dyDescent="0.3">
      <c r="AA1765" t="str">
        <f>IF(COUNTA('Procyflof 700'!A266,'Procyflof 700'!B266,'Procyflof 700'!C266)&gt;0,"700","")</f>
        <v/>
      </c>
      <c r="AB1765" t="str">
        <f>IFERROR(IF(ISNUMBER('Procyflof 700'!A266),'Procyflof 700'!A266,DATEVALUE('Procyflof 700'!A266)),"")</f>
        <v/>
      </c>
      <c r="AC1765" t="str">
        <f>IF(AA1765="","",'Procyflof 700'!B266)</f>
        <v/>
      </c>
      <c r="AD1765" t="str">
        <f>IF(AA1765="","",IFERROR(1*'Procyflof 700'!C266,IFERROR(_xludf.NUMBERVALUE('Procyflof 700'!C266,".",","),IFERROR(_xludf.NUMBERVALUE('Procyflof 700'!C266,",","."),0))))</f>
        <v/>
      </c>
      <c r="AE1765" t="str">
        <f>IF(AA1765="","",'Procyflof 700'!N266)</f>
        <v/>
      </c>
      <c r="AF1765">
        <f t="shared" si="179"/>
        <v>0</v>
      </c>
      <c r="AG1765" t="str">
        <f t="shared" si="180"/>
        <v/>
      </c>
      <c r="AH1765" t="str">
        <f t="shared" si="181"/>
        <v/>
      </c>
      <c r="AI1765">
        <f t="shared" si="182"/>
        <v>0</v>
      </c>
      <c r="AJ1765">
        <f t="shared" si="183"/>
        <v>0</v>
      </c>
      <c r="AK1765">
        <v>0</v>
      </c>
      <c r="AL1765" t="str">
        <f>IF(AA1765="","",IFERROR(IF(ISNUMBER('Procyflof 700'!D266),'Procyflof 700'!D266,IF(ISNUMBER(SEARCH("12",'Procyflof 700'!D266)),EDATE(AB1765,12),IF(ISNUMBER(SEARCH("6",'Procyflof 700'!D266)),EDATE(AB1765,6),IF(ISNUMBER(SEARCH("3",'Procyflof 700'!D266)),EDATE(AB1765,3),DATEVALUE('Procyflof 700'!D266))))),""))</f>
        <v/>
      </c>
      <c r="AM1765" t="str">
        <f t="shared" ca="1" si="184"/>
        <v/>
      </c>
    </row>
    <row r="1766" spans="27:39" x14ac:dyDescent="0.3">
      <c r="AA1766" t="str">
        <f>IF(COUNTA('Procyflof 700'!A267,'Procyflof 700'!B267,'Procyflof 700'!C267)&gt;0,"700","")</f>
        <v/>
      </c>
      <c r="AB1766" t="str">
        <f>IFERROR(IF(ISNUMBER('Procyflof 700'!A267),'Procyflof 700'!A267,DATEVALUE('Procyflof 700'!A267)),"")</f>
        <v/>
      </c>
      <c r="AC1766" t="str">
        <f>IF(AA1766="","",'Procyflof 700'!B267)</f>
        <v/>
      </c>
      <c r="AD1766" t="str">
        <f>IF(AA1766="","",IFERROR(1*'Procyflof 700'!C267,IFERROR(_xludf.NUMBERVALUE('Procyflof 700'!C267,".",","),IFERROR(_xludf.NUMBERVALUE('Procyflof 700'!C267,",","."),0))))</f>
        <v/>
      </c>
      <c r="AE1766" t="str">
        <f>IF(AA1766="","",'Procyflof 700'!N267)</f>
        <v/>
      </c>
      <c r="AF1766">
        <f t="shared" si="179"/>
        <v>0</v>
      </c>
      <c r="AG1766" t="str">
        <f t="shared" si="180"/>
        <v/>
      </c>
      <c r="AH1766" t="str">
        <f t="shared" si="181"/>
        <v/>
      </c>
      <c r="AI1766">
        <f t="shared" si="182"/>
        <v>0</v>
      </c>
      <c r="AJ1766">
        <f t="shared" si="183"/>
        <v>0</v>
      </c>
      <c r="AK1766">
        <v>0</v>
      </c>
      <c r="AL1766" t="str">
        <f>IF(AA1766="","",IFERROR(IF(ISNUMBER('Procyflof 700'!D267),'Procyflof 700'!D267,IF(ISNUMBER(SEARCH("12",'Procyflof 700'!D267)),EDATE(AB1766,12),IF(ISNUMBER(SEARCH("6",'Procyflof 700'!D267)),EDATE(AB1766,6),IF(ISNUMBER(SEARCH("3",'Procyflof 700'!D267)),EDATE(AB1766,3),DATEVALUE('Procyflof 700'!D267))))),""))</f>
        <v/>
      </c>
      <c r="AM1766" t="str">
        <f t="shared" ca="1" si="184"/>
        <v/>
      </c>
    </row>
    <row r="1767" spans="27:39" x14ac:dyDescent="0.3">
      <c r="AA1767" t="str">
        <f>IF(COUNTA('Procyflof 700'!A268,'Procyflof 700'!B268,'Procyflof 700'!C268)&gt;0,"700","")</f>
        <v/>
      </c>
      <c r="AB1767" t="str">
        <f>IFERROR(IF(ISNUMBER('Procyflof 700'!A268),'Procyflof 700'!A268,DATEVALUE('Procyflof 700'!A268)),"")</f>
        <v/>
      </c>
      <c r="AC1767" t="str">
        <f>IF(AA1767="","",'Procyflof 700'!B268)</f>
        <v/>
      </c>
      <c r="AD1767" t="str">
        <f>IF(AA1767="","",IFERROR(1*'Procyflof 700'!C268,IFERROR(_xludf.NUMBERVALUE('Procyflof 700'!C268,".",","),IFERROR(_xludf.NUMBERVALUE('Procyflof 700'!C268,",","."),0))))</f>
        <v/>
      </c>
      <c r="AE1767" t="str">
        <f>IF(AA1767="","",'Procyflof 700'!N268)</f>
        <v/>
      </c>
      <c r="AF1767">
        <f t="shared" si="179"/>
        <v>0</v>
      </c>
      <c r="AG1767" t="str">
        <f t="shared" si="180"/>
        <v/>
      </c>
      <c r="AH1767" t="str">
        <f t="shared" si="181"/>
        <v/>
      </c>
      <c r="AI1767">
        <f t="shared" si="182"/>
        <v>0</v>
      </c>
      <c r="AJ1767">
        <f t="shared" si="183"/>
        <v>0</v>
      </c>
      <c r="AK1767">
        <v>0</v>
      </c>
      <c r="AL1767" t="str">
        <f>IF(AA1767="","",IFERROR(IF(ISNUMBER('Procyflof 700'!D268),'Procyflof 700'!D268,IF(ISNUMBER(SEARCH("12",'Procyflof 700'!D268)),EDATE(AB1767,12),IF(ISNUMBER(SEARCH("6",'Procyflof 700'!D268)),EDATE(AB1767,6),IF(ISNUMBER(SEARCH("3",'Procyflof 700'!D268)),EDATE(AB1767,3),DATEVALUE('Procyflof 700'!D268))))),""))</f>
        <v/>
      </c>
      <c r="AM1767" t="str">
        <f t="shared" ca="1" si="184"/>
        <v/>
      </c>
    </row>
    <row r="1768" spans="27:39" x14ac:dyDescent="0.3">
      <c r="AA1768" t="str">
        <f>IF(COUNTA('Procyflof 700'!A269,'Procyflof 700'!B269,'Procyflof 700'!C269)&gt;0,"700","")</f>
        <v/>
      </c>
      <c r="AB1768" t="str">
        <f>IFERROR(IF(ISNUMBER('Procyflof 700'!A269),'Procyflof 700'!A269,DATEVALUE('Procyflof 700'!A269)),"")</f>
        <v/>
      </c>
      <c r="AC1768" t="str">
        <f>IF(AA1768="","",'Procyflof 700'!B269)</f>
        <v/>
      </c>
      <c r="AD1768" t="str">
        <f>IF(AA1768="","",IFERROR(1*'Procyflof 700'!C269,IFERROR(_xludf.NUMBERVALUE('Procyflof 700'!C269,".",","),IFERROR(_xludf.NUMBERVALUE('Procyflof 700'!C269,",","."),0))))</f>
        <v/>
      </c>
      <c r="AE1768" t="str">
        <f>IF(AA1768="","",'Procyflof 700'!N269)</f>
        <v/>
      </c>
      <c r="AF1768">
        <f t="shared" si="179"/>
        <v>0</v>
      </c>
      <c r="AG1768" t="str">
        <f t="shared" si="180"/>
        <v/>
      </c>
      <c r="AH1768" t="str">
        <f t="shared" si="181"/>
        <v/>
      </c>
      <c r="AI1768">
        <f t="shared" si="182"/>
        <v>0</v>
      </c>
      <c r="AJ1768">
        <f t="shared" si="183"/>
        <v>0</v>
      </c>
      <c r="AK1768">
        <v>0</v>
      </c>
      <c r="AL1768" t="str">
        <f>IF(AA1768="","",IFERROR(IF(ISNUMBER('Procyflof 700'!D269),'Procyflof 700'!D269,IF(ISNUMBER(SEARCH("12",'Procyflof 700'!D269)),EDATE(AB1768,12),IF(ISNUMBER(SEARCH("6",'Procyflof 700'!D269)),EDATE(AB1768,6),IF(ISNUMBER(SEARCH("3",'Procyflof 700'!D269)),EDATE(AB1768,3),DATEVALUE('Procyflof 700'!D269))))),""))</f>
        <v/>
      </c>
      <c r="AM1768" t="str">
        <f t="shared" ca="1" si="184"/>
        <v/>
      </c>
    </row>
    <row r="1769" spans="27:39" x14ac:dyDescent="0.3">
      <c r="AA1769" t="str">
        <f>IF(COUNTA('Procyflof 700'!A270,'Procyflof 700'!B270,'Procyflof 700'!C270)&gt;0,"700","")</f>
        <v/>
      </c>
      <c r="AB1769" t="str">
        <f>IFERROR(IF(ISNUMBER('Procyflof 700'!A270),'Procyflof 700'!A270,DATEVALUE('Procyflof 700'!A270)),"")</f>
        <v/>
      </c>
      <c r="AC1769" t="str">
        <f>IF(AA1769="","",'Procyflof 700'!B270)</f>
        <v/>
      </c>
      <c r="AD1769" t="str">
        <f>IF(AA1769="","",IFERROR(1*'Procyflof 700'!C270,IFERROR(_xludf.NUMBERVALUE('Procyflof 700'!C270,".",","),IFERROR(_xludf.NUMBERVALUE('Procyflof 700'!C270,",","."),0))))</f>
        <v/>
      </c>
      <c r="AE1769" t="str">
        <f>IF(AA1769="","",'Procyflof 700'!N270)</f>
        <v/>
      </c>
      <c r="AF1769">
        <f t="shared" si="179"/>
        <v>0</v>
      </c>
      <c r="AG1769" t="str">
        <f t="shared" si="180"/>
        <v/>
      </c>
      <c r="AH1769" t="str">
        <f t="shared" si="181"/>
        <v/>
      </c>
      <c r="AI1769">
        <f t="shared" si="182"/>
        <v>0</v>
      </c>
      <c r="AJ1769">
        <f t="shared" si="183"/>
        <v>0</v>
      </c>
      <c r="AK1769">
        <v>0</v>
      </c>
      <c r="AL1769" t="str">
        <f>IF(AA1769="","",IFERROR(IF(ISNUMBER('Procyflof 700'!D270),'Procyflof 700'!D270,IF(ISNUMBER(SEARCH("12",'Procyflof 700'!D270)),EDATE(AB1769,12),IF(ISNUMBER(SEARCH("6",'Procyflof 700'!D270)),EDATE(AB1769,6),IF(ISNUMBER(SEARCH("3",'Procyflof 700'!D270)),EDATE(AB1769,3),DATEVALUE('Procyflof 700'!D270))))),""))</f>
        <v/>
      </c>
      <c r="AM1769" t="str">
        <f t="shared" ca="1" si="184"/>
        <v/>
      </c>
    </row>
    <row r="1770" spans="27:39" x14ac:dyDescent="0.3">
      <c r="AA1770" t="str">
        <f>IF(COUNTA('Procyflof 700'!A271,'Procyflof 700'!B271,'Procyflof 700'!C271)&gt;0,"700","")</f>
        <v/>
      </c>
      <c r="AB1770" t="str">
        <f>IFERROR(IF(ISNUMBER('Procyflof 700'!A271),'Procyflof 700'!A271,DATEVALUE('Procyflof 700'!A271)),"")</f>
        <v/>
      </c>
      <c r="AC1770" t="str">
        <f>IF(AA1770="","",'Procyflof 700'!B271)</f>
        <v/>
      </c>
      <c r="AD1770" t="str">
        <f>IF(AA1770="","",IFERROR(1*'Procyflof 700'!C271,IFERROR(_xludf.NUMBERVALUE('Procyflof 700'!C271,".",","),IFERROR(_xludf.NUMBERVALUE('Procyflof 700'!C271,",","."),0))))</f>
        <v/>
      </c>
      <c r="AE1770" t="str">
        <f>IF(AA1770="","",'Procyflof 700'!N271)</f>
        <v/>
      </c>
      <c r="AF1770">
        <f t="shared" si="179"/>
        <v>0</v>
      </c>
      <c r="AG1770" t="str">
        <f t="shared" si="180"/>
        <v/>
      </c>
      <c r="AH1770" t="str">
        <f t="shared" si="181"/>
        <v/>
      </c>
      <c r="AI1770">
        <f t="shared" si="182"/>
        <v>0</v>
      </c>
      <c r="AJ1770">
        <f t="shared" si="183"/>
        <v>0</v>
      </c>
      <c r="AK1770">
        <v>0</v>
      </c>
      <c r="AL1770" t="str">
        <f>IF(AA1770="","",IFERROR(IF(ISNUMBER('Procyflof 700'!D271),'Procyflof 700'!D271,IF(ISNUMBER(SEARCH("12",'Procyflof 700'!D271)),EDATE(AB1770,12),IF(ISNUMBER(SEARCH("6",'Procyflof 700'!D271)),EDATE(AB1770,6),IF(ISNUMBER(SEARCH("3",'Procyflof 700'!D271)),EDATE(AB1770,3),DATEVALUE('Procyflof 700'!D271))))),""))</f>
        <v/>
      </c>
      <c r="AM1770" t="str">
        <f t="shared" ca="1" si="184"/>
        <v/>
      </c>
    </row>
    <row r="1771" spans="27:39" x14ac:dyDescent="0.3">
      <c r="AA1771" t="str">
        <f>IF(COUNTA('Procyflof 700'!A272,'Procyflof 700'!B272,'Procyflof 700'!C272)&gt;0,"700","")</f>
        <v/>
      </c>
      <c r="AB1771" t="str">
        <f>IFERROR(IF(ISNUMBER('Procyflof 700'!A272),'Procyflof 700'!A272,DATEVALUE('Procyflof 700'!A272)),"")</f>
        <v/>
      </c>
      <c r="AC1771" t="str">
        <f>IF(AA1771="","",'Procyflof 700'!B272)</f>
        <v/>
      </c>
      <c r="AD1771" t="str">
        <f>IF(AA1771="","",IFERROR(1*'Procyflof 700'!C272,IFERROR(_xludf.NUMBERVALUE('Procyflof 700'!C272,".",","),IFERROR(_xludf.NUMBERVALUE('Procyflof 700'!C272,",","."),0))))</f>
        <v/>
      </c>
      <c r="AE1771" t="str">
        <f>IF(AA1771="","",'Procyflof 700'!N272)</f>
        <v/>
      </c>
      <c r="AF1771">
        <f t="shared" si="179"/>
        <v>0</v>
      </c>
      <c r="AG1771" t="str">
        <f t="shared" si="180"/>
        <v/>
      </c>
      <c r="AH1771" t="str">
        <f t="shared" si="181"/>
        <v/>
      </c>
      <c r="AI1771">
        <f t="shared" si="182"/>
        <v>0</v>
      </c>
      <c r="AJ1771">
        <f t="shared" si="183"/>
        <v>0</v>
      </c>
      <c r="AK1771">
        <v>0</v>
      </c>
      <c r="AL1771" t="str">
        <f>IF(AA1771="","",IFERROR(IF(ISNUMBER('Procyflof 700'!D272),'Procyflof 700'!D272,IF(ISNUMBER(SEARCH("12",'Procyflof 700'!D272)),EDATE(AB1771,12),IF(ISNUMBER(SEARCH("6",'Procyflof 700'!D272)),EDATE(AB1771,6),IF(ISNUMBER(SEARCH("3",'Procyflof 700'!D272)),EDATE(AB1771,3),DATEVALUE('Procyflof 700'!D272))))),""))</f>
        <v/>
      </c>
      <c r="AM1771" t="str">
        <f t="shared" ca="1" si="184"/>
        <v/>
      </c>
    </row>
    <row r="1772" spans="27:39" x14ac:dyDescent="0.3">
      <c r="AA1772" t="str">
        <f>IF(COUNTA('Procyflof 700'!A273,'Procyflof 700'!B273,'Procyflof 700'!C273)&gt;0,"700","")</f>
        <v/>
      </c>
      <c r="AB1772" t="str">
        <f>IFERROR(IF(ISNUMBER('Procyflof 700'!A273),'Procyflof 700'!A273,DATEVALUE('Procyflof 700'!A273)),"")</f>
        <v/>
      </c>
      <c r="AC1772" t="str">
        <f>IF(AA1772="","",'Procyflof 700'!B273)</f>
        <v/>
      </c>
      <c r="AD1772" t="str">
        <f>IF(AA1772="","",IFERROR(1*'Procyflof 700'!C273,IFERROR(_xludf.NUMBERVALUE('Procyflof 700'!C273,".",","),IFERROR(_xludf.NUMBERVALUE('Procyflof 700'!C273,",","."),0))))</f>
        <v/>
      </c>
      <c r="AE1772" t="str">
        <f>IF(AA1772="","",'Procyflof 700'!N273)</f>
        <v/>
      </c>
      <c r="AF1772">
        <f t="shared" si="179"/>
        <v>0</v>
      </c>
      <c r="AG1772" t="str">
        <f t="shared" si="180"/>
        <v/>
      </c>
      <c r="AH1772" t="str">
        <f t="shared" si="181"/>
        <v/>
      </c>
      <c r="AI1772">
        <f t="shared" si="182"/>
        <v>0</v>
      </c>
      <c r="AJ1772">
        <f t="shared" si="183"/>
        <v>0</v>
      </c>
      <c r="AK1772">
        <v>0</v>
      </c>
      <c r="AL1772" t="str">
        <f>IF(AA1772="","",IFERROR(IF(ISNUMBER('Procyflof 700'!D273),'Procyflof 700'!D273,IF(ISNUMBER(SEARCH("12",'Procyflof 700'!D273)),EDATE(AB1772,12),IF(ISNUMBER(SEARCH("6",'Procyflof 700'!D273)),EDATE(AB1772,6),IF(ISNUMBER(SEARCH("3",'Procyflof 700'!D273)),EDATE(AB1772,3),DATEVALUE('Procyflof 700'!D273))))),""))</f>
        <v/>
      </c>
      <c r="AM1772" t="str">
        <f t="shared" ca="1" si="184"/>
        <v/>
      </c>
    </row>
    <row r="1773" spans="27:39" x14ac:dyDescent="0.3">
      <c r="AA1773" t="str">
        <f>IF(COUNTA('Procyflof 700'!A274,'Procyflof 700'!B274,'Procyflof 700'!C274)&gt;0,"700","")</f>
        <v/>
      </c>
      <c r="AB1773" t="str">
        <f>IFERROR(IF(ISNUMBER('Procyflof 700'!A274),'Procyflof 700'!A274,DATEVALUE('Procyflof 700'!A274)),"")</f>
        <v/>
      </c>
      <c r="AC1773" t="str">
        <f>IF(AA1773="","",'Procyflof 700'!B274)</f>
        <v/>
      </c>
      <c r="AD1773" t="str">
        <f>IF(AA1773="","",IFERROR(1*'Procyflof 700'!C274,IFERROR(_xludf.NUMBERVALUE('Procyflof 700'!C274,".",","),IFERROR(_xludf.NUMBERVALUE('Procyflof 700'!C274,",","."),0))))</f>
        <v/>
      </c>
      <c r="AE1773" t="str">
        <f>IF(AA1773="","",'Procyflof 700'!N274)</f>
        <v/>
      </c>
      <c r="AF1773">
        <f t="shared" si="179"/>
        <v>0</v>
      </c>
      <c r="AG1773" t="str">
        <f t="shared" si="180"/>
        <v/>
      </c>
      <c r="AH1773" t="str">
        <f t="shared" si="181"/>
        <v/>
      </c>
      <c r="AI1773">
        <f t="shared" si="182"/>
        <v>0</v>
      </c>
      <c r="AJ1773">
        <f t="shared" si="183"/>
        <v>0</v>
      </c>
      <c r="AK1773">
        <v>0</v>
      </c>
      <c r="AL1773" t="str">
        <f>IF(AA1773="","",IFERROR(IF(ISNUMBER('Procyflof 700'!D274),'Procyflof 700'!D274,IF(ISNUMBER(SEARCH("12",'Procyflof 700'!D274)),EDATE(AB1773,12),IF(ISNUMBER(SEARCH("6",'Procyflof 700'!D274)),EDATE(AB1773,6),IF(ISNUMBER(SEARCH("3",'Procyflof 700'!D274)),EDATE(AB1773,3),DATEVALUE('Procyflof 700'!D274))))),""))</f>
        <v/>
      </c>
      <c r="AM1773" t="str">
        <f t="shared" ca="1" si="184"/>
        <v/>
      </c>
    </row>
    <row r="1774" spans="27:39" x14ac:dyDescent="0.3">
      <c r="AA1774" t="str">
        <f>IF(COUNTA('Procyflof 700'!A275,'Procyflof 700'!B275,'Procyflof 700'!C275)&gt;0,"700","")</f>
        <v/>
      </c>
      <c r="AB1774" t="str">
        <f>IFERROR(IF(ISNUMBER('Procyflof 700'!A275),'Procyflof 700'!A275,DATEVALUE('Procyflof 700'!A275)),"")</f>
        <v/>
      </c>
      <c r="AC1774" t="str">
        <f>IF(AA1774="","",'Procyflof 700'!B275)</f>
        <v/>
      </c>
      <c r="AD1774" t="str">
        <f>IF(AA1774="","",IFERROR(1*'Procyflof 700'!C275,IFERROR(_xludf.NUMBERVALUE('Procyflof 700'!C275,".",","),IFERROR(_xludf.NUMBERVALUE('Procyflof 700'!C275,",","."),0))))</f>
        <v/>
      </c>
      <c r="AE1774" t="str">
        <f>IF(AA1774="","",'Procyflof 700'!N275)</f>
        <v/>
      </c>
      <c r="AF1774">
        <f t="shared" si="179"/>
        <v>0</v>
      </c>
      <c r="AG1774" t="str">
        <f t="shared" si="180"/>
        <v/>
      </c>
      <c r="AH1774" t="str">
        <f t="shared" si="181"/>
        <v/>
      </c>
      <c r="AI1774">
        <f t="shared" si="182"/>
        <v>0</v>
      </c>
      <c r="AJ1774">
        <f t="shared" si="183"/>
        <v>0</v>
      </c>
      <c r="AK1774">
        <v>0</v>
      </c>
      <c r="AL1774" t="str">
        <f>IF(AA1774="","",IFERROR(IF(ISNUMBER('Procyflof 700'!D275),'Procyflof 700'!D275,IF(ISNUMBER(SEARCH("12",'Procyflof 700'!D275)),EDATE(AB1774,12),IF(ISNUMBER(SEARCH("6",'Procyflof 700'!D275)),EDATE(AB1774,6),IF(ISNUMBER(SEARCH("3",'Procyflof 700'!D275)),EDATE(AB1774,3),DATEVALUE('Procyflof 700'!D275))))),""))</f>
        <v/>
      </c>
      <c r="AM1774" t="str">
        <f t="shared" ca="1" si="184"/>
        <v/>
      </c>
    </row>
    <row r="1775" spans="27:39" x14ac:dyDescent="0.3">
      <c r="AA1775" t="str">
        <f>IF(COUNTA('Procyflof 700'!A276,'Procyflof 700'!B276,'Procyflof 700'!C276)&gt;0,"700","")</f>
        <v/>
      </c>
      <c r="AB1775" t="str">
        <f>IFERROR(IF(ISNUMBER('Procyflof 700'!A276),'Procyflof 700'!A276,DATEVALUE('Procyflof 700'!A276)),"")</f>
        <v/>
      </c>
      <c r="AC1775" t="str">
        <f>IF(AA1775="","",'Procyflof 700'!B276)</f>
        <v/>
      </c>
      <c r="AD1775" t="str">
        <f>IF(AA1775="","",IFERROR(1*'Procyflof 700'!C276,IFERROR(_xludf.NUMBERVALUE('Procyflof 700'!C276,".",","),IFERROR(_xludf.NUMBERVALUE('Procyflof 700'!C276,",","."),0))))</f>
        <v/>
      </c>
      <c r="AE1775" t="str">
        <f>IF(AA1775="","",'Procyflof 700'!N276)</f>
        <v/>
      </c>
      <c r="AF1775">
        <f t="shared" si="179"/>
        <v>0</v>
      </c>
      <c r="AG1775" t="str">
        <f t="shared" si="180"/>
        <v/>
      </c>
      <c r="AH1775" t="str">
        <f t="shared" si="181"/>
        <v/>
      </c>
      <c r="AI1775">
        <f t="shared" si="182"/>
        <v>0</v>
      </c>
      <c r="AJ1775">
        <f t="shared" si="183"/>
        <v>0</v>
      </c>
      <c r="AK1775">
        <v>0</v>
      </c>
      <c r="AL1775" t="str">
        <f>IF(AA1775="","",IFERROR(IF(ISNUMBER('Procyflof 700'!D276),'Procyflof 700'!D276,IF(ISNUMBER(SEARCH("12",'Procyflof 700'!D276)),EDATE(AB1775,12),IF(ISNUMBER(SEARCH("6",'Procyflof 700'!D276)),EDATE(AB1775,6),IF(ISNUMBER(SEARCH("3",'Procyflof 700'!D276)),EDATE(AB1775,3),DATEVALUE('Procyflof 700'!D276))))),""))</f>
        <v/>
      </c>
      <c r="AM1775" t="str">
        <f t="shared" ca="1" si="184"/>
        <v/>
      </c>
    </row>
    <row r="1776" spans="27:39" x14ac:dyDescent="0.3">
      <c r="AA1776" t="str">
        <f>IF(COUNTA('Procyflof 700'!A277,'Procyflof 700'!B277,'Procyflof 700'!C277)&gt;0,"700","")</f>
        <v/>
      </c>
      <c r="AB1776" t="str">
        <f>IFERROR(IF(ISNUMBER('Procyflof 700'!A277),'Procyflof 700'!A277,DATEVALUE('Procyflof 700'!A277)),"")</f>
        <v/>
      </c>
      <c r="AC1776" t="str">
        <f>IF(AA1776="","",'Procyflof 700'!B277)</f>
        <v/>
      </c>
      <c r="AD1776" t="str">
        <f>IF(AA1776="","",IFERROR(1*'Procyflof 700'!C277,IFERROR(_xludf.NUMBERVALUE('Procyflof 700'!C277,".",","),IFERROR(_xludf.NUMBERVALUE('Procyflof 700'!C277,",","."),0))))</f>
        <v/>
      </c>
      <c r="AE1776" t="str">
        <f>IF(AA1776="","",'Procyflof 700'!N277)</f>
        <v/>
      </c>
      <c r="AF1776">
        <f t="shared" si="179"/>
        <v>0</v>
      </c>
      <c r="AG1776" t="str">
        <f t="shared" si="180"/>
        <v/>
      </c>
      <c r="AH1776" t="str">
        <f t="shared" si="181"/>
        <v/>
      </c>
      <c r="AI1776">
        <f t="shared" si="182"/>
        <v>0</v>
      </c>
      <c r="AJ1776">
        <f t="shared" si="183"/>
        <v>0</v>
      </c>
      <c r="AK1776">
        <v>0</v>
      </c>
      <c r="AL1776" t="str">
        <f>IF(AA1776="","",IFERROR(IF(ISNUMBER('Procyflof 700'!D277),'Procyflof 700'!D277,IF(ISNUMBER(SEARCH("12",'Procyflof 700'!D277)),EDATE(AB1776,12),IF(ISNUMBER(SEARCH("6",'Procyflof 700'!D277)),EDATE(AB1776,6),IF(ISNUMBER(SEARCH("3",'Procyflof 700'!D277)),EDATE(AB1776,3),DATEVALUE('Procyflof 700'!D277))))),""))</f>
        <v/>
      </c>
      <c r="AM1776" t="str">
        <f t="shared" ca="1" si="184"/>
        <v/>
      </c>
    </row>
    <row r="1777" spans="27:39" x14ac:dyDescent="0.3">
      <c r="AA1777" t="str">
        <f>IF(COUNTA('Procyflof 700'!A278,'Procyflof 700'!B278,'Procyflof 700'!C278)&gt;0,"700","")</f>
        <v/>
      </c>
      <c r="AB1777" t="str">
        <f>IFERROR(IF(ISNUMBER('Procyflof 700'!A278),'Procyflof 700'!A278,DATEVALUE('Procyflof 700'!A278)),"")</f>
        <v/>
      </c>
      <c r="AC1777" t="str">
        <f>IF(AA1777="","",'Procyflof 700'!B278)</f>
        <v/>
      </c>
      <c r="AD1777" t="str">
        <f>IF(AA1777="","",IFERROR(1*'Procyflof 700'!C278,IFERROR(_xludf.NUMBERVALUE('Procyflof 700'!C278,".",","),IFERROR(_xludf.NUMBERVALUE('Procyflof 700'!C278,",","."),0))))</f>
        <v/>
      </c>
      <c r="AE1777" t="str">
        <f>IF(AA1777="","",'Procyflof 700'!N278)</f>
        <v/>
      </c>
      <c r="AF1777">
        <f t="shared" si="179"/>
        <v>0</v>
      </c>
      <c r="AG1777" t="str">
        <f t="shared" si="180"/>
        <v/>
      </c>
      <c r="AH1777" t="str">
        <f t="shared" si="181"/>
        <v/>
      </c>
      <c r="AI1777">
        <f t="shared" si="182"/>
        <v>0</v>
      </c>
      <c r="AJ1777">
        <f t="shared" si="183"/>
        <v>0</v>
      </c>
      <c r="AK1777">
        <v>0</v>
      </c>
      <c r="AL1777" t="str">
        <f>IF(AA1777="","",IFERROR(IF(ISNUMBER('Procyflof 700'!D278),'Procyflof 700'!D278,IF(ISNUMBER(SEARCH("12",'Procyflof 700'!D278)),EDATE(AB1777,12),IF(ISNUMBER(SEARCH("6",'Procyflof 700'!D278)),EDATE(AB1777,6),IF(ISNUMBER(SEARCH("3",'Procyflof 700'!D278)),EDATE(AB1777,3),DATEVALUE('Procyflof 700'!D278))))),""))</f>
        <v/>
      </c>
      <c r="AM1777" t="str">
        <f t="shared" ca="1" si="184"/>
        <v/>
      </c>
    </row>
    <row r="1778" spans="27:39" x14ac:dyDescent="0.3">
      <c r="AA1778" t="str">
        <f>IF(COUNTA('Procyflof 700'!A279,'Procyflof 700'!B279,'Procyflof 700'!C279)&gt;0,"700","")</f>
        <v/>
      </c>
      <c r="AB1778" t="str">
        <f>IFERROR(IF(ISNUMBER('Procyflof 700'!A279),'Procyflof 700'!A279,DATEVALUE('Procyflof 700'!A279)),"")</f>
        <v/>
      </c>
      <c r="AC1778" t="str">
        <f>IF(AA1778="","",'Procyflof 700'!B279)</f>
        <v/>
      </c>
      <c r="AD1778" t="str">
        <f>IF(AA1778="","",IFERROR(1*'Procyflof 700'!C279,IFERROR(_xludf.NUMBERVALUE('Procyflof 700'!C279,".",","),IFERROR(_xludf.NUMBERVALUE('Procyflof 700'!C279,",","."),0))))</f>
        <v/>
      </c>
      <c r="AE1778" t="str">
        <f>IF(AA1778="","",'Procyflof 700'!N279)</f>
        <v/>
      </c>
      <c r="AF1778">
        <f t="shared" si="179"/>
        <v>0</v>
      </c>
      <c r="AG1778" t="str">
        <f t="shared" si="180"/>
        <v/>
      </c>
      <c r="AH1778" t="str">
        <f t="shared" si="181"/>
        <v/>
      </c>
      <c r="AI1778">
        <f t="shared" si="182"/>
        <v>0</v>
      </c>
      <c r="AJ1778">
        <f t="shared" si="183"/>
        <v>0</v>
      </c>
      <c r="AK1778">
        <v>0</v>
      </c>
      <c r="AL1778" t="str">
        <f>IF(AA1778="","",IFERROR(IF(ISNUMBER('Procyflof 700'!D279),'Procyflof 700'!D279,IF(ISNUMBER(SEARCH("12",'Procyflof 700'!D279)),EDATE(AB1778,12),IF(ISNUMBER(SEARCH("6",'Procyflof 700'!D279)),EDATE(AB1778,6),IF(ISNUMBER(SEARCH("3",'Procyflof 700'!D279)),EDATE(AB1778,3),DATEVALUE('Procyflof 700'!D279))))),""))</f>
        <v/>
      </c>
      <c r="AM1778" t="str">
        <f t="shared" ca="1" si="184"/>
        <v/>
      </c>
    </row>
    <row r="1779" spans="27:39" x14ac:dyDescent="0.3">
      <c r="AA1779" t="str">
        <f>IF(COUNTA('Procyflof 700'!A280,'Procyflof 700'!B280,'Procyflof 700'!C280)&gt;0,"700","")</f>
        <v/>
      </c>
      <c r="AB1779" t="str">
        <f>IFERROR(IF(ISNUMBER('Procyflof 700'!A280),'Procyflof 700'!A280,DATEVALUE('Procyflof 700'!A280)),"")</f>
        <v/>
      </c>
      <c r="AC1779" t="str">
        <f>IF(AA1779="","",'Procyflof 700'!B280)</f>
        <v/>
      </c>
      <c r="AD1779" t="str">
        <f>IF(AA1779="","",IFERROR(1*'Procyflof 700'!C280,IFERROR(_xludf.NUMBERVALUE('Procyflof 700'!C280,".",","),IFERROR(_xludf.NUMBERVALUE('Procyflof 700'!C280,",","."),0))))</f>
        <v/>
      </c>
      <c r="AE1779" t="str">
        <f>IF(AA1779="","",'Procyflof 700'!N280)</f>
        <v/>
      </c>
      <c r="AF1779">
        <f t="shared" si="179"/>
        <v>0</v>
      </c>
      <c r="AG1779" t="str">
        <f t="shared" si="180"/>
        <v/>
      </c>
      <c r="AH1779" t="str">
        <f t="shared" si="181"/>
        <v/>
      </c>
      <c r="AI1779">
        <f t="shared" si="182"/>
        <v>0</v>
      </c>
      <c r="AJ1779">
        <f t="shared" si="183"/>
        <v>0</v>
      </c>
      <c r="AK1779">
        <v>0</v>
      </c>
      <c r="AL1779" t="str">
        <f>IF(AA1779="","",IFERROR(IF(ISNUMBER('Procyflof 700'!D280),'Procyflof 700'!D280,IF(ISNUMBER(SEARCH("12",'Procyflof 700'!D280)),EDATE(AB1779,12),IF(ISNUMBER(SEARCH("6",'Procyflof 700'!D280)),EDATE(AB1779,6),IF(ISNUMBER(SEARCH("3",'Procyflof 700'!D280)),EDATE(AB1779,3),DATEVALUE('Procyflof 700'!D280))))),""))</f>
        <v/>
      </c>
      <c r="AM1779" t="str">
        <f t="shared" ca="1" si="184"/>
        <v/>
      </c>
    </row>
    <row r="1780" spans="27:39" x14ac:dyDescent="0.3">
      <c r="AA1780" t="str">
        <f>IF(COUNTA('Procyflof 700'!A281,'Procyflof 700'!B281,'Procyflof 700'!C281)&gt;0,"700","")</f>
        <v/>
      </c>
      <c r="AB1780" t="str">
        <f>IFERROR(IF(ISNUMBER('Procyflof 700'!A281),'Procyflof 700'!A281,DATEVALUE('Procyflof 700'!A281)),"")</f>
        <v/>
      </c>
      <c r="AC1780" t="str">
        <f>IF(AA1780="","",'Procyflof 700'!B281)</f>
        <v/>
      </c>
      <c r="AD1780" t="str">
        <f>IF(AA1780="","",IFERROR(1*'Procyflof 700'!C281,IFERROR(_xludf.NUMBERVALUE('Procyflof 700'!C281,".",","),IFERROR(_xludf.NUMBERVALUE('Procyflof 700'!C281,",","."),0))))</f>
        <v/>
      </c>
      <c r="AE1780" t="str">
        <f>IF(AA1780="","",'Procyflof 700'!N281)</f>
        <v/>
      </c>
      <c r="AF1780">
        <f t="shared" si="179"/>
        <v>0</v>
      </c>
      <c r="AG1780" t="str">
        <f t="shared" si="180"/>
        <v/>
      </c>
      <c r="AH1780" t="str">
        <f t="shared" si="181"/>
        <v/>
      </c>
      <c r="AI1780">
        <f t="shared" si="182"/>
        <v>0</v>
      </c>
      <c r="AJ1780">
        <f t="shared" si="183"/>
        <v>0</v>
      </c>
      <c r="AK1780">
        <v>0</v>
      </c>
      <c r="AL1780" t="str">
        <f>IF(AA1780="","",IFERROR(IF(ISNUMBER('Procyflof 700'!D281),'Procyflof 700'!D281,IF(ISNUMBER(SEARCH("12",'Procyflof 700'!D281)),EDATE(AB1780,12),IF(ISNUMBER(SEARCH("6",'Procyflof 700'!D281)),EDATE(AB1780,6),IF(ISNUMBER(SEARCH("3",'Procyflof 700'!D281)),EDATE(AB1780,3),DATEVALUE('Procyflof 700'!D281))))),""))</f>
        <v/>
      </c>
      <c r="AM1780" t="str">
        <f t="shared" ca="1" si="184"/>
        <v/>
      </c>
    </row>
    <row r="1781" spans="27:39" x14ac:dyDescent="0.3">
      <c r="AA1781" t="str">
        <f>IF(COUNTA('Procyflof 700'!A282,'Procyflof 700'!B282,'Procyflof 700'!C282)&gt;0,"700","")</f>
        <v/>
      </c>
      <c r="AB1781" t="str">
        <f>IFERROR(IF(ISNUMBER('Procyflof 700'!A282),'Procyflof 700'!A282,DATEVALUE('Procyflof 700'!A282)),"")</f>
        <v/>
      </c>
      <c r="AC1781" t="str">
        <f>IF(AA1781="","",'Procyflof 700'!B282)</f>
        <v/>
      </c>
      <c r="AD1781" t="str">
        <f>IF(AA1781="","",IFERROR(1*'Procyflof 700'!C282,IFERROR(_xludf.NUMBERVALUE('Procyflof 700'!C282,".",","),IFERROR(_xludf.NUMBERVALUE('Procyflof 700'!C282,",","."),0))))</f>
        <v/>
      </c>
      <c r="AE1781" t="str">
        <f>IF(AA1781="","",'Procyflof 700'!N282)</f>
        <v/>
      </c>
      <c r="AF1781">
        <f t="shared" si="179"/>
        <v>0</v>
      </c>
      <c r="AG1781" t="str">
        <f t="shared" si="180"/>
        <v/>
      </c>
      <c r="AH1781" t="str">
        <f t="shared" si="181"/>
        <v/>
      </c>
      <c r="AI1781">
        <f t="shared" si="182"/>
        <v>0</v>
      </c>
      <c r="AJ1781">
        <f t="shared" si="183"/>
        <v>0</v>
      </c>
      <c r="AK1781">
        <v>0</v>
      </c>
      <c r="AL1781" t="str">
        <f>IF(AA1781="","",IFERROR(IF(ISNUMBER('Procyflof 700'!D282),'Procyflof 700'!D282,IF(ISNUMBER(SEARCH("12",'Procyflof 700'!D282)),EDATE(AB1781,12),IF(ISNUMBER(SEARCH("6",'Procyflof 700'!D282)),EDATE(AB1781,6),IF(ISNUMBER(SEARCH("3",'Procyflof 700'!D282)),EDATE(AB1781,3),DATEVALUE('Procyflof 700'!D282))))),""))</f>
        <v/>
      </c>
      <c r="AM1781" t="str">
        <f t="shared" ca="1" si="184"/>
        <v/>
      </c>
    </row>
    <row r="1782" spans="27:39" x14ac:dyDescent="0.3">
      <c r="AA1782" t="str">
        <f>IF(COUNTA('Procyflof 700'!A283,'Procyflof 700'!B283,'Procyflof 700'!C283)&gt;0,"700","")</f>
        <v/>
      </c>
      <c r="AB1782" t="str">
        <f>IFERROR(IF(ISNUMBER('Procyflof 700'!A283),'Procyflof 700'!A283,DATEVALUE('Procyflof 700'!A283)),"")</f>
        <v/>
      </c>
      <c r="AC1782" t="str">
        <f>IF(AA1782="","",'Procyflof 700'!B283)</f>
        <v/>
      </c>
      <c r="AD1782" t="str">
        <f>IF(AA1782="","",IFERROR(1*'Procyflof 700'!C283,IFERROR(_xludf.NUMBERVALUE('Procyflof 700'!C283,".",","),IFERROR(_xludf.NUMBERVALUE('Procyflof 700'!C283,",","."),0))))</f>
        <v/>
      </c>
      <c r="AE1782" t="str">
        <f>IF(AA1782="","",'Procyflof 700'!N283)</f>
        <v/>
      </c>
      <c r="AF1782">
        <f t="shared" si="179"/>
        <v>0</v>
      </c>
      <c r="AG1782" t="str">
        <f t="shared" si="180"/>
        <v/>
      </c>
      <c r="AH1782" t="str">
        <f t="shared" si="181"/>
        <v/>
      </c>
      <c r="AI1782">
        <f t="shared" si="182"/>
        <v>0</v>
      </c>
      <c r="AJ1782">
        <f t="shared" si="183"/>
        <v>0</v>
      </c>
      <c r="AK1782">
        <v>0</v>
      </c>
      <c r="AL1782" t="str">
        <f>IF(AA1782="","",IFERROR(IF(ISNUMBER('Procyflof 700'!D283),'Procyflof 700'!D283,IF(ISNUMBER(SEARCH("12",'Procyflof 700'!D283)),EDATE(AB1782,12),IF(ISNUMBER(SEARCH("6",'Procyflof 700'!D283)),EDATE(AB1782,6),IF(ISNUMBER(SEARCH("3",'Procyflof 700'!D283)),EDATE(AB1782,3),DATEVALUE('Procyflof 700'!D283))))),""))</f>
        <v/>
      </c>
      <c r="AM1782" t="str">
        <f t="shared" ca="1" si="184"/>
        <v/>
      </c>
    </row>
    <row r="1783" spans="27:39" x14ac:dyDescent="0.3">
      <c r="AA1783" t="str">
        <f>IF(COUNTA('Procyflof 700'!A284,'Procyflof 700'!B284,'Procyflof 700'!C284)&gt;0,"700","")</f>
        <v/>
      </c>
      <c r="AB1783" t="str">
        <f>IFERROR(IF(ISNUMBER('Procyflof 700'!A284),'Procyflof 700'!A284,DATEVALUE('Procyflof 700'!A284)),"")</f>
        <v/>
      </c>
      <c r="AC1783" t="str">
        <f>IF(AA1783="","",'Procyflof 700'!B284)</f>
        <v/>
      </c>
      <c r="AD1783" t="str">
        <f>IF(AA1783="","",IFERROR(1*'Procyflof 700'!C284,IFERROR(_xludf.NUMBERVALUE('Procyflof 700'!C284,".",","),IFERROR(_xludf.NUMBERVALUE('Procyflof 700'!C284,",","."),0))))</f>
        <v/>
      </c>
      <c r="AE1783" t="str">
        <f>IF(AA1783="","",'Procyflof 700'!N284)</f>
        <v/>
      </c>
      <c r="AF1783">
        <f t="shared" si="179"/>
        <v>0</v>
      </c>
      <c r="AG1783" t="str">
        <f t="shared" si="180"/>
        <v/>
      </c>
      <c r="AH1783" t="str">
        <f t="shared" si="181"/>
        <v/>
      </c>
      <c r="AI1783">
        <f t="shared" si="182"/>
        <v>0</v>
      </c>
      <c r="AJ1783">
        <f t="shared" si="183"/>
        <v>0</v>
      </c>
      <c r="AK1783">
        <v>0</v>
      </c>
      <c r="AL1783" t="str">
        <f>IF(AA1783="","",IFERROR(IF(ISNUMBER('Procyflof 700'!D284),'Procyflof 700'!D284,IF(ISNUMBER(SEARCH("12",'Procyflof 700'!D284)),EDATE(AB1783,12),IF(ISNUMBER(SEARCH("6",'Procyflof 700'!D284)),EDATE(AB1783,6),IF(ISNUMBER(SEARCH("3",'Procyflof 700'!D284)),EDATE(AB1783,3),DATEVALUE('Procyflof 700'!D284))))),""))</f>
        <v/>
      </c>
      <c r="AM1783" t="str">
        <f t="shared" ca="1" si="184"/>
        <v/>
      </c>
    </row>
    <row r="1784" spans="27:39" x14ac:dyDescent="0.3">
      <c r="AA1784" t="str">
        <f>IF(COUNTA('Procyflof 700'!A285,'Procyflof 700'!B285,'Procyflof 700'!C285)&gt;0,"700","")</f>
        <v/>
      </c>
      <c r="AB1784" t="str">
        <f>IFERROR(IF(ISNUMBER('Procyflof 700'!A285),'Procyflof 700'!A285,DATEVALUE('Procyflof 700'!A285)),"")</f>
        <v/>
      </c>
      <c r="AC1784" t="str">
        <f>IF(AA1784="","",'Procyflof 700'!B285)</f>
        <v/>
      </c>
      <c r="AD1784" t="str">
        <f>IF(AA1784="","",IFERROR(1*'Procyflof 700'!C285,IFERROR(_xludf.NUMBERVALUE('Procyflof 700'!C285,".",","),IFERROR(_xludf.NUMBERVALUE('Procyflof 700'!C285,",","."),0))))</f>
        <v/>
      </c>
      <c r="AE1784" t="str">
        <f>IF(AA1784="","",'Procyflof 700'!N285)</f>
        <v/>
      </c>
      <c r="AF1784">
        <f t="shared" si="179"/>
        <v>0</v>
      </c>
      <c r="AG1784" t="str">
        <f t="shared" si="180"/>
        <v/>
      </c>
      <c r="AH1784" t="str">
        <f t="shared" si="181"/>
        <v/>
      </c>
      <c r="AI1784">
        <f t="shared" si="182"/>
        <v>0</v>
      </c>
      <c r="AJ1784">
        <f t="shared" si="183"/>
        <v>0</v>
      </c>
      <c r="AK1784">
        <v>0</v>
      </c>
      <c r="AL1784" t="str">
        <f>IF(AA1784="","",IFERROR(IF(ISNUMBER('Procyflof 700'!D285),'Procyflof 700'!D285,IF(ISNUMBER(SEARCH("12",'Procyflof 700'!D285)),EDATE(AB1784,12),IF(ISNUMBER(SEARCH("6",'Procyflof 700'!D285)),EDATE(AB1784,6),IF(ISNUMBER(SEARCH("3",'Procyflof 700'!D285)),EDATE(AB1784,3),DATEVALUE('Procyflof 700'!D285))))),""))</f>
        <v/>
      </c>
      <c r="AM1784" t="str">
        <f t="shared" ca="1" si="184"/>
        <v/>
      </c>
    </row>
    <row r="1785" spans="27:39" x14ac:dyDescent="0.3">
      <c r="AA1785" t="str">
        <f>IF(COUNTA('Procyflof 700'!A286,'Procyflof 700'!B286,'Procyflof 700'!C286)&gt;0,"700","")</f>
        <v/>
      </c>
      <c r="AB1785" t="str">
        <f>IFERROR(IF(ISNUMBER('Procyflof 700'!A286),'Procyflof 700'!A286,DATEVALUE('Procyflof 700'!A286)),"")</f>
        <v/>
      </c>
      <c r="AC1785" t="str">
        <f>IF(AA1785="","",'Procyflof 700'!B286)</f>
        <v/>
      </c>
      <c r="AD1785" t="str">
        <f>IF(AA1785="","",IFERROR(1*'Procyflof 700'!C286,IFERROR(_xludf.NUMBERVALUE('Procyflof 700'!C286,".",","),IFERROR(_xludf.NUMBERVALUE('Procyflof 700'!C286,",","."),0))))</f>
        <v/>
      </c>
      <c r="AE1785" t="str">
        <f>IF(AA1785="","",'Procyflof 700'!N286)</f>
        <v/>
      </c>
      <c r="AF1785">
        <f t="shared" si="179"/>
        <v>0</v>
      </c>
      <c r="AG1785" t="str">
        <f t="shared" si="180"/>
        <v/>
      </c>
      <c r="AH1785" t="str">
        <f t="shared" si="181"/>
        <v/>
      </c>
      <c r="AI1785">
        <f t="shared" si="182"/>
        <v>0</v>
      </c>
      <c r="AJ1785">
        <f t="shared" si="183"/>
        <v>0</v>
      </c>
      <c r="AK1785">
        <v>0</v>
      </c>
      <c r="AL1785" t="str">
        <f>IF(AA1785="","",IFERROR(IF(ISNUMBER('Procyflof 700'!D286),'Procyflof 700'!D286,IF(ISNUMBER(SEARCH("12",'Procyflof 700'!D286)),EDATE(AB1785,12),IF(ISNUMBER(SEARCH("6",'Procyflof 700'!D286)),EDATE(AB1785,6),IF(ISNUMBER(SEARCH("3",'Procyflof 700'!D286)),EDATE(AB1785,3),DATEVALUE('Procyflof 700'!D286))))),""))</f>
        <v/>
      </c>
      <c r="AM1785" t="str">
        <f t="shared" ca="1" si="184"/>
        <v/>
      </c>
    </row>
    <row r="1786" spans="27:39" x14ac:dyDescent="0.3">
      <c r="AA1786" t="str">
        <f>IF(COUNTA('Procyflof 700'!A287,'Procyflof 700'!B287,'Procyflof 700'!C287)&gt;0,"700","")</f>
        <v/>
      </c>
      <c r="AB1786" t="str">
        <f>IFERROR(IF(ISNUMBER('Procyflof 700'!A287),'Procyflof 700'!A287,DATEVALUE('Procyflof 700'!A287)),"")</f>
        <v/>
      </c>
      <c r="AC1786" t="str">
        <f>IF(AA1786="","",'Procyflof 700'!B287)</f>
        <v/>
      </c>
      <c r="AD1786" t="str">
        <f>IF(AA1786="","",IFERROR(1*'Procyflof 700'!C287,IFERROR(_xludf.NUMBERVALUE('Procyflof 700'!C287,".",","),IFERROR(_xludf.NUMBERVALUE('Procyflof 700'!C287,",","."),0))))</f>
        <v/>
      </c>
      <c r="AE1786" t="str">
        <f>IF(AA1786="","",'Procyflof 700'!N287)</f>
        <v/>
      </c>
      <c r="AF1786">
        <f t="shared" si="179"/>
        <v>0</v>
      </c>
      <c r="AG1786" t="str">
        <f t="shared" si="180"/>
        <v/>
      </c>
      <c r="AH1786" t="str">
        <f t="shared" si="181"/>
        <v/>
      </c>
      <c r="AI1786">
        <f t="shared" si="182"/>
        <v>0</v>
      </c>
      <c r="AJ1786">
        <f t="shared" si="183"/>
        <v>0</v>
      </c>
      <c r="AK1786">
        <v>0</v>
      </c>
      <c r="AL1786" t="str">
        <f>IF(AA1786="","",IFERROR(IF(ISNUMBER('Procyflof 700'!D287),'Procyflof 700'!D287,IF(ISNUMBER(SEARCH("12",'Procyflof 700'!D287)),EDATE(AB1786,12),IF(ISNUMBER(SEARCH("6",'Procyflof 700'!D287)),EDATE(AB1786,6),IF(ISNUMBER(SEARCH("3",'Procyflof 700'!D287)),EDATE(AB1786,3),DATEVALUE('Procyflof 700'!D287))))),""))</f>
        <v/>
      </c>
      <c r="AM1786" t="str">
        <f t="shared" ca="1" si="184"/>
        <v/>
      </c>
    </row>
    <row r="1787" spans="27:39" x14ac:dyDescent="0.3">
      <c r="AA1787" t="str">
        <f>IF(COUNTA('Procyflof 700'!A288,'Procyflof 700'!B288,'Procyflof 700'!C288)&gt;0,"700","")</f>
        <v/>
      </c>
      <c r="AB1787" t="str">
        <f>IFERROR(IF(ISNUMBER('Procyflof 700'!A288),'Procyflof 700'!A288,DATEVALUE('Procyflof 700'!A288)),"")</f>
        <v/>
      </c>
      <c r="AC1787" t="str">
        <f>IF(AA1787="","",'Procyflof 700'!B288)</f>
        <v/>
      </c>
      <c r="AD1787" t="str">
        <f>IF(AA1787="","",IFERROR(1*'Procyflof 700'!C288,IFERROR(_xludf.NUMBERVALUE('Procyflof 700'!C288,".",","),IFERROR(_xludf.NUMBERVALUE('Procyflof 700'!C288,",","."),0))))</f>
        <v/>
      </c>
      <c r="AE1787" t="str">
        <f>IF(AA1787="","",'Procyflof 700'!N288)</f>
        <v/>
      </c>
      <c r="AF1787">
        <f t="shared" si="179"/>
        <v>0</v>
      </c>
      <c r="AG1787" t="str">
        <f t="shared" si="180"/>
        <v/>
      </c>
      <c r="AH1787" t="str">
        <f t="shared" si="181"/>
        <v/>
      </c>
      <c r="AI1787">
        <f t="shared" si="182"/>
        <v>0</v>
      </c>
      <c r="AJ1787">
        <f t="shared" si="183"/>
        <v>0</v>
      </c>
      <c r="AK1787">
        <v>0</v>
      </c>
      <c r="AL1787" t="str">
        <f>IF(AA1787="","",IFERROR(IF(ISNUMBER('Procyflof 700'!D288),'Procyflof 700'!D288,IF(ISNUMBER(SEARCH("12",'Procyflof 700'!D288)),EDATE(AB1787,12),IF(ISNUMBER(SEARCH("6",'Procyflof 700'!D288)),EDATE(AB1787,6),IF(ISNUMBER(SEARCH("3",'Procyflof 700'!D288)),EDATE(AB1787,3),DATEVALUE('Procyflof 700'!D288))))),""))</f>
        <v/>
      </c>
      <c r="AM1787" t="str">
        <f t="shared" ca="1" si="184"/>
        <v/>
      </c>
    </row>
    <row r="1788" spans="27:39" x14ac:dyDescent="0.3">
      <c r="AA1788" t="str">
        <f>IF(COUNTA('Procyflof 700'!A289,'Procyflof 700'!B289,'Procyflof 700'!C289)&gt;0,"700","")</f>
        <v/>
      </c>
      <c r="AB1788" t="str">
        <f>IFERROR(IF(ISNUMBER('Procyflof 700'!A289),'Procyflof 700'!A289,DATEVALUE('Procyflof 700'!A289)),"")</f>
        <v/>
      </c>
      <c r="AC1788" t="str">
        <f>IF(AA1788="","",'Procyflof 700'!B289)</f>
        <v/>
      </c>
      <c r="AD1788" t="str">
        <f>IF(AA1788="","",IFERROR(1*'Procyflof 700'!C289,IFERROR(_xludf.NUMBERVALUE('Procyflof 700'!C289,".",","),IFERROR(_xludf.NUMBERVALUE('Procyflof 700'!C289,",","."),0))))</f>
        <v/>
      </c>
      <c r="AE1788" t="str">
        <f>IF(AA1788="","",'Procyflof 700'!N289)</f>
        <v/>
      </c>
      <c r="AF1788">
        <f t="shared" si="179"/>
        <v>0</v>
      </c>
      <c r="AG1788" t="str">
        <f t="shared" si="180"/>
        <v/>
      </c>
      <c r="AH1788" t="str">
        <f t="shared" si="181"/>
        <v/>
      </c>
      <c r="AI1788">
        <f t="shared" si="182"/>
        <v>0</v>
      </c>
      <c r="AJ1788">
        <f t="shared" si="183"/>
        <v>0</v>
      </c>
      <c r="AK1788">
        <v>0</v>
      </c>
      <c r="AL1788" t="str">
        <f>IF(AA1788="","",IFERROR(IF(ISNUMBER('Procyflof 700'!D289),'Procyflof 700'!D289,IF(ISNUMBER(SEARCH("12",'Procyflof 700'!D289)),EDATE(AB1788,12),IF(ISNUMBER(SEARCH("6",'Procyflof 700'!D289)),EDATE(AB1788,6),IF(ISNUMBER(SEARCH("3",'Procyflof 700'!D289)),EDATE(AB1788,3),DATEVALUE('Procyflof 700'!D289))))),""))</f>
        <v/>
      </c>
      <c r="AM1788" t="str">
        <f t="shared" ca="1" si="184"/>
        <v/>
      </c>
    </row>
    <row r="1789" spans="27:39" x14ac:dyDescent="0.3">
      <c r="AA1789" t="str">
        <f>IF(COUNTA('Procyflof 700'!A290,'Procyflof 700'!B290,'Procyflof 700'!C290)&gt;0,"700","")</f>
        <v/>
      </c>
      <c r="AB1789" t="str">
        <f>IFERROR(IF(ISNUMBER('Procyflof 700'!A290),'Procyflof 700'!A290,DATEVALUE('Procyflof 700'!A290)),"")</f>
        <v/>
      </c>
      <c r="AC1789" t="str">
        <f>IF(AA1789="","",'Procyflof 700'!B290)</f>
        <v/>
      </c>
      <c r="AD1789" t="str">
        <f>IF(AA1789="","",IFERROR(1*'Procyflof 700'!C290,IFERROR(_xludf.NUMBERVALUE('Procyflof 700'!C290,".",","),IFERROR(_xludf.NUMBERVALUE('Procyflof 700'!C290,",","."),0))))</f>
        <v/>
      </c>
      <c r="AE1789" t="str">
        <f>IF(AA1789="","",'Procyflof 700'!N290)</f>
        <v/>
      </c>
      <c r="AF1789">
        <f t="shared" si="179"/>
        <v>0</v>
      </c>
      <c r="AG1789" t="str">
        <f t="shared" si="180"/>
        <v/>
      </c>
      <c r="AH1789" t="str">
        <f t="shared" si="181"/>
        <v/>
      </c>
      <c r="AI1789">
        <f t="shared" si="182"/>
        <v>0</v>
      </c>
      <c r="AJ1789">
        <f t="shared" si="183"/>
        <v>0</v>
      </c>
      <c r="AK1789">
        <v>0</v>
      </c>
      <c r="AL1789" t="str">
        <f>IF(AA1789="","",IFERROR(IF(ISNUMBER('Procyflof 700'!D290),'Procyflof 700'!D290,IF(ISNUMBER(SEARCH("12",'Procyflof 700'!D290)),EDATE(AB1789,12),IF(ISNUMBER(SEARCH("6",'Procyflof 700'!D290)),EDATE(AB1789,6),IF(ISNUMBER(SEARCH("3",'Procyflof 700'!D290)),EDATE(AB1789,3),DATEVALUE('Procyflof 700'!D290))))),""))</f>
        <v/>
      </c>
      <c r="AM1789" t="str">
        <f t="shared" ca="1" si="184"/>
        <v/>
      </c>
    </row>
    <row r="1790" spans="27:39" x14ac:dyDescent="0.3">
      <c r="AA1790" t="str">
        <f>IF(COUNTA('Procyflof 700'!A291,'Procyflof 700'!B291,'Procyflof 700'!C291)&gt;0,"700","")</f>
        <v/>
      </c>
      <c r="AB1790" t="str">
        <f>IFERROR(IF(ISNUMBER('Procyflof 700'!A291),'Procyflof 700'!A291,DATEVALUE('Procyflof 700'!A291)),"")</f>
        <v/>
      </c>
      <c r="AC1790" t="str">
        <f>IF(AA1790="","",'Procyflof 700'!B291)</f>
        <v/>
      </c>
      <c r="AD1790" t="str">
        <f>IF(AA1790="","",IFERROR(1*'Procyflof 700'!C291,IFERROR(_xludf.NUMBERVALUE('Procyflof 700'!C291,".",","),IFERROR(_xludf.NUMBERVALUE('Procyflof 700'!C291,",","."),0))))</f>
        <v/>
      </c>
      <c r="AE1790" t="str">
        <f>IF(AA1790="","",'Procyflof 700'!N291)</f>
        <v/>
      </c>
      <c r="AF1790">
        <f t="shared" si="179"/>
        <v>0</v>
      </c>
      <c r="AG1790" t="str">
        <f t="shared" si="180"/>
        <v/>
      </c>
      <c r="AH1790" t="str">
        <f t="shared" si="181"/>
        <v/>
      </c>
      <c r="AI1790">
        <f t="shared" si="182"/>
        <v>0</v>
      </c>
      <c r="AJ1790">
        <f t="shared" si="183"/>
        <v>0</v>
      </c>
      <c r="AK1790">
        <v>0</v>
      </c>
      <c r="AL1790" t="str">
        <f>IF(AA1790="","",IFERROR(IF(ISNUMBER('Procyflof 700'!D291),'Procyflof 700'!D291,IF(ISNUMBER(SEARCH("12",'Procyflof 700'!D291)),EDATE(AB1790,12),IF(ISNUMBER(SEARCH("6",'Procyflof 700'!D291)),EDATE(AB1790,6),IF(ISNUMBER(SEARCH("3",'Procyflof 700'!D291)),EDATE(AB1790,3),DATEVALUE('Procyflof 700'!D291))))),""))</f>
        <v/>
      </c>
      <c r="AM1790" t="str">
        <f t="shared" ca="1" si="184"/>
        <v/>
      </c>
    </row>
    <row r="1791" spans="27:39" x14ac:dyDescent="0.3">
      <c r="AA1791" t="str">
        <f>IF(COUNTA('Procyflof 700'!A292,'Procyflof 700'!B292,'Procyflof 700'!C292)&gt;0,"700","")</f>
        <v/>
      </c>
      <c r="AB1791" t="str">
        <f>IFERROR(IF(ISNUMBER('Procyflof 700'!A292),'Procyflof 700'!A292,DATEVALUE('Procyflof 700'!A292)),"")</f>
        <v/>
      </c>
      <c r="AC1791" t="str">
        <f>IF(AA1791="","",'Procyflof 700'!B292)</f>
        <v/>
      </c>
      <c r="AD1791" t="str">
        <f>IF(AA1791="","",IFERROR(1*'Procyflof 700'!C292,IFERROR(_xludf.NUMBERVALUE('Procyflof 700'!C292,".",","),IFERROR(_xludf.NUMBERVALUE('Procyflof 700'!C292,",","."),0))))</f>
        <v/>
      </c>
      <c r="AE1791" t="str">
        <f>IF(AA1791="","",'Procyflof 700'!N292)</f>
        <v/>
      </c>
      <c r="AF1791">
        <f t="shared" si="179"/>
        <v>0</v>
      </c>
      <c r="AG1791" t="str">
        <f t="shared" si="180"/>
        <v/>
      </c>
      <c r="AH1791" t="str">
        <f t="shared" si="181"/>
        <v/>
      </c>
      <c r="AI1791">
        <f t="shared" si="182"/>
        <v>0</v>
      </c>
      <c r="AJ1791">
        <f t="shared" si="183"/>
        <v>0</v>
      </c>
      <c r="AK1791">
        <v>0</v>
      </c>
      <c r="AL1791" t="str">
        <f>IF(AA1791="","",IFERROR(IF(ISNUMBER('Procyflof 700'!D292),'Procyflof 700'!D292,IF(ISNUMBER(SEARCH("12",'Procyflof 700'!D292)),EDATE(AB1791,12),IF(ISNUMBER(SEARCH("6",'Procyflof 700'!D292)),EDATE(AB1791,6),IF(ISNUMBER(SEARCH("3",'Procyflof 700'!D292)),EDATE(AB1791,3),DATEVALUE('Procyflof 700'!D292))))),""))</f>
        <v/>
      </c>
      <c r="AM1791" t="str">
        <f t="shared" ca="1" si="184"/>
        <v/>
      </c>
    </row>
    <row r="1792" spans="27:39" x14ac:dyDescent="0.3">
      <c r="AA1792" t="str">
        <f>IF(COUNTA('Procyflof 700'!A293,'Procyflof 700'!B293,'Procyflof 700'!C293)&gt;0,"700","")</f>
        <v/>
      </c>
      <c r="AB1792" t="str">
        <f>IFERROR(IF(ISNUMBER('Procyflof 700'!A293),'Procyflof 700'!A293,DATEVALUE('Procyflof 700'!A293)),"")</f>
        <v/>
      </c>
      <c r="AC1792" t="str">
        <f>IF(AA1792="","",'Procyflof 700'!B293)</f>
        <v/>
      </c>
      <c r="AD1792" t="str">
        <f>IF(AA1792="","",IFERROR(1*'Procyflof 700'!C293,IFERROR(_xludf.NUMBERVALUE('Procyflof 700'!C293,".",","),IFERROR(_xludf.NUMBERVALUE('Procyflof 700'!C293,",","."),0))))</f>
        <v/>
      </c>
      <c r="AE1792" t="str">
        <f>IF(AA1792="","",'Procyflof 700'!N293)</f>
        <v/>
      </c>
      <c r="AF1792">
        <f t="shared" si="179"/>
        <v>0</v>
      </c>
      <c r="AG1792" t="str">
        <f t="shared" si="180"/>
        <v/>
      </c>
      <c r="AH1792" t="str">
        <f t="shared" si="181"/>
        <v/>
      </c>
      <c r="AI1792">
        <f t="shared" si="182"/>
        <v>0</v>
      </c>
      <c r="AJ1792">
        <f t="shared" si="183"/>
        <v>0</v>
      </c>
      <c r="AK1792">
        <v>0</v>
      </c>
      <c r="AL1792" t="str">
        <f>IF(AA1792="","",IFERROR(IF(ISNUMBER('Procyflof 700'!D293),'Procyflof 700'!D293,IF(ISNUMBER(SEARCH("12",'Procyflof 700'!D293)),EDATE(AB1792,12),IF(ISNUMBER(SEARCH("6",'Procyflof 700'!D293)),EDATE(AB1792,6),IF(ISNUMBER(SEARCH("3",'Procyflof 700'!D293)),EDATE(AB1792,3),DATEVALUE('Procyflof 700'!D293))))),""))</f>
        <v/>
      </c>
      <c r="AM1792" t="str">
        <f t="shared" ca="1" si="184"/>
        <v/>
      </c>
    </row>
    <row r="1793" spans="27:39" x14ac:dyDescent="0.3">
      <c r="AA1793" t="str">
        <f>IF(COUNTA('Procyflof 700'!A294,'Procyflof 700'!B294,'Procyflof 700'!C294)&gt;0,"700","")</f>
        <v/>
      </c>
      <c r="AB1793" t="str">
        <f>IFERROR(IF(ISNUMBER('Procyflof 700'!A294),'Procyflof 700'!A294,DATEVALUE('Procyflof 700'!A294)),"")</f>
        <v/>
      </c>
      <c r="AC1793" t="str">
        <f>IF(AA1793="","",'Procyflof 700'!B294)</f>
        <v/>
      </c>
      <c r="AD1793" t="str">
        <f>IF(AA1793="","",IFERROR(1*'Procyflof 700'!C294,IFERROR(_xludf.NUMBERVALUE('Procyflof 700'!C294,".",","),IFERROR(_xludf.NUMBERVALUE('Procyflof 700'!C294,",","."),0))))</f>
        <v/>
      </c>
      <c r="AE1793" t="str">
        <f>IF(AA1793="","",'Procyflof 700'!N294)</f>
        <v/>
      </c>
      <c r="AF1793">
        <f t="shared" si="179"/>
        <v>0</v>
      </c>
      <c r="AG1793" t="str">
        <f t="shared" si="180"/>
        <v/>
      </c>
      <c r="AH1793" t="str">
        <f t="shared" si="181"/>
        <v/>
      </c>
      <c r="AI1793">
        <f t="shared" si="182"/>
        <v>0</v>
      </c>
      <c r="AJ1793">
        <f t="shared" si="183"/>
        <v>0</v>
      </c>
      <c r="AK1793">
        <v>0</v>
      </c>
      <c r="AL1793" t="str">
        <f>IF(AA1793="","",IFERROR(IF(ISNUMBER('Procyflof 700'!D294),'Procyflof 700'!D294,IF(ISNUMBER(SEARCH("12",'Procyflof 700'!D294)),EDATE(AB1793,12),IF(ISNUMBER(SEARCH("6",'Procyflof 700'!D294)),EDATE(AB1793,6),IF(ISNUMBER(SEARCH("3",'Procyflof 700'!D294)),EDATE(AB1793,3),DATEVALUE('Procyflof 700'!D294))))),""))</f>
        <v/>
      </c>
      <c r="AM1793" t="str">
        <f t="shared" ca="1" si="184"/>
        <v/>
      </c>
    </row>
    <row r="1794" spans="27:39" x14ac:dyDescent="0.3">
      <c r="AA1794" t="str">
        <f>IF(COUNTA('Procyflof 700'!A295,'Procyflof 700'!B295,'Procyflof 700'!C295)&gt;0,"700","")</f>
        <v/>
      </c>
      <c r="AB1794" t="str">
        <f>IFERROR(IF(ISNUMBER('Procyflof 700'!A295),'Procyflof 700'!A295,DATEVALUE('Procyflof 700'!A295)),"")</f>
        <v/>
      </c>
      <c r="AC1794" t="str">
        <f>IF(AA1794="","",'Procyflof 700'!B295)</f>
        <v/>
      </c>
      <c r="AD1794" t="str">
        <f>IF(AA1794="","",IFERROR(1*'Procyflof 700'!C295,IFERROR(_xludf.NUMBERVALUE('Procyflof 700'!C295,".",","),IFERROR(_xludf.NUMBERVALUE('Procyflof 700'!C295,",","."),0))))</f>
        <v/>
      </c>
      <c r="AE1794" t="str">
        <f>IF(AA1794="","",'Procyflof 700'!N295)</f>
        <v/>
      </c>
      <c r="AF1794">
        <f t="shared" ref="AF1794:AF1857" si="185">IF(AA1794="",0,--AND(ISNUMBER(SEARCH("aprov",AE1794)),NOT(ISNUMBER(SEARCH("reprov",AE1794)))))</f>
        <v>0</v>
      </c>
      <c r="AG1794" t="str">
        <f t="shared" ref="AG1794:AG1857" si="186">IF(AB1794="","",YEAR(AB1794))</f>
        <v/>
      </c>
      <c r="AH1794" t="str">
        <f t="shared" ref="AH1794:AH1857" si="187">IF(AB1794="","",MONTH(AB1794))</f>
        <v/>
      </c>
      <c r="AI1794">
        <f t="shared" ref="AI1794:AI1857" si="188">IF(AB1794="",0,AB1794+ROW()/1000000)</f>
        <v>0</v>
      </c>
      <c r="AJ1794">
        <f t="shared" ref="AJ1794:AJ1857" si="189">--(AA1794&lt;&gt;"")</f>
        <v>0</v>
      </c>
      <c r="AK1794">
        <v>0</v>
      </c>
      <c r="AL1794" t="str">
        <f>IF(AA1794="","",IFERROR(IF(ISNUMBER('Procyflof 700'!D295),'Procyflof 700'!D295,IF(ISNUMBER(SEARCH("12",'Procyflof 700'!D295)),EDATE(AB1794,12),IF(ISNUMBER(SEARCH("6",'Procyflof 700'!D295)),EDATE(AB1794,6),IF(ISNUMBER(SEARCH("3",'Procyflof 700'!D295)),EDATE(AB1794,3),DATEVALUE('Procyflof 700'!D295))))),""))</f>
        <v/>
      </c>
      <c r="AM1794" t="str">
        <f t="shared" ref="AM1794:AM1857" ca="1" si="190">IF(AND(AJ1794=1,AL1794&lt;&gt;"",AL1794&gt;=TODAY(),AG1794=$W$3),AL1794+ROW()/1000000,"")</f>
        <v/>
      </c>
    </row>
    <row r="1795" spans="27:39" x14ac:dyDescent="0.3">
      <c r="AA1795" t="str">
        <f>IF(COUNTA('Procyflof 700'!A296,'Procyflof 700'!B296,'Procyflof 700'!C296)&gt;0,"700","")</f>
        <v/>
      </c>
      <c r="AB1795" t="str">
        <f>IFERROR(IF(ISNUMBER('Procyflof 700'!A296),'Procyflof 700'!A296,DATEVALUE('Procyflof 700'!A296)),"")</f>
        <v/>
      </c>
      <c r="AC1795" t="str">
        <f>IF(AA1795="","",'Procyflof 700'!B296)</f>
        <v/>
      </c>
      <c r="AD1795" t="str">
        <f>IF(AA1795="","",IFERROR(1*'Procyflof 700'!C296,IFERROR(_xludf.NUMBERVALUE('Procyflof 700'!C296,".",","),IFERROR(_xludf.NUMBERVALUE('Procyflof 700'!C296,",","."),0))))</f>
        <v/>
      </c>
      <c r="AE1795" t="str">
        <f>IF(AA1795="","",'Procyflof 700'!N296)</f>
        <v/>
      </c>
      <c r="AF1795">
        <f t="shared" si="185"/>
        <v>0</v>
      </c>
      <c r="AG1795" t="str">
        <f t="shared" si="186"/>
        <v/>
      </c>
      <c r="AH1795" t="str">
        <f t="shared" si="187"/>
        <v/>
      </c>
      <c r="AI1795">
        <f t="shared" si="188"/>
        <v>0</v>
      </c>
      <c r="AJ1795">
        <f t="shared" si="189"/>
        <v>0</v>
      </c>
      <c r="AK1795">
        <v>0</v>
      </c>
      <c r="AL1795" t="str">
        <f>IF(AA1795="","",IFERROR(IF(ISNUMBER('Procyflof 700'!D296),'Procyflof 700'!D296,IF(ISNUMBER(SEARCH("12",'Procyflof 700'!D296)),EDATE(AB1795,12),IF(ISNUMBER(SEARCH("6",'Procyflof 700'!D296)),EDATE(AB1795,6),IF(ISNUMBER(SEARCH("3",'Procyflof 700'!D296)),EDATE(AB1795,3),DATEVALUE('Procyflof 700'!D296))))),""))</f>
        <v/>
      </c>
      <c r="AM1795" t="str">
        <f t="shared" ca="1" si="190"/>
        <v/>
      </c>
    </row>
    <row r="1796" spans="27:39" x14ac:dyDescent="0.3">
      <c r="AA1796" t="str">
        <f>IF(COUNTA('Procyflof 700'!A297,'Procyflof 700'!B297,'Procyflof 700'!C297)&gt;0,"700","")</f>
        <v/>
      </c>
      <c r="AB1796" t="str">
        <f>IFERROR(IF(ISNUMBER('Procyflof 700'!A297),'Procyflof 700'!A297,DATEVALUE('Procyflof 700'!A297)),"")</f>
        <v/>
      </c>
      <c r="AC1796" t="str">
        <f>IF(AA1796="","",'Procyflof 700'!B297)</f>
        <v/>
      </c>
      <c r="AD1796" t="str">
        <f>IF(AA1796="","",IFERROR(1*'Procyflof 700'!C297,IFERROR(_xludf.NUMBERVALUE('Procyflof 700'!C297,".",","),IFERROR(_xludf.NUMBERVALUE('Procyflof 700'!C297,",","."),0))))</f>
        <v/>
      </c>
      <c r="AE1796" t="str">
        <f>IF(AA1796="","",'Procyflof 700'!N297)</f>
        <v/>
      </c>
      <c r="AF1796">
        <f t="shared" si="185"/>
        <v>0</v>
      </c>
      <c r="AG1796" t="str">
        <f t="shared" si="186"/>
        <v/>
      </c>
      <c r="AH1796" t="str">
        <f t="shared" si="187"/>
        <v/>
      </c>
      <c r="AI1796">
        <f t="shared" si="188"/>
        <v>0</v>
      </c>
      <c r="AJ1796">
        <f t="shared" si="189"/>
        <v>0</v>
      </c>
      <c r="AK1796">
        <v>0</v>
      </c>
      <c r="AL1796" t="str">
        <f>IF(AA1796="","",IFERROR(IF(ISNUMBER('Procyflof 700'!D297),'Procyflof 700'!D297,IF(ISNUMBER(SEARCH("12",'Procyflof 700'!D297)),EDATE(AB1796,12),IF(ISNUMBER(SEARCH("6",'Procyflof 700'!D297)),EDATE(AB1796,6),IF(ISNUMBER(SEARCH("3",'Procyflof 700'!D297)),EDATE(AB1796,3),DATEVALUE('Procyflof 700'!D297))))),""))</f>
        <v/>
      </c>
      <c r="AM1796" t="str">
        <f t="shared" ca="1" si="190"/>
        <v/>
      </c>
    </row>
    <row r="1797" spans="27:39" x14ac:dyDescent="0.3">
      <c r="AA1797" t="str">
        <f>IF(COUNTA('Procyflof 700'!A298,'Procyflof 700'!B298,'Procyflof 700'!C298)&gt;0,"700","")</f>
        <v/>
      </c>
      <c r="AB1797" t="str">
        <f>IFERROR(IF(ISNUMBER('Procyflof 700'!A298),'Procyflof 700'!A298,DATEVALUE('Procyflof 700'!A298)),"")</f>
        <v/>
      </c>
      <c r="AC1797" t="str">
        <f>IF(AA1797="","",'Procyflof 700'!B298)</f>
        <v/>
      </c>
      <c r="AD1797" t="str">
        <f>IF(AA1797="","",IFERROR(1*'Procyflof 700'!C298,IFERROR(_xludf.NUMBERVALUE('Procyflof 700'!C298,".",","),IFERROR(_xludf.NUMBERVALUE('Procyflof 700'!C298,",","."),0))))</f>
        <v/>
      </c>
      <c r="AE1797" t="str">
        <f>IF(AA1797="","",'Procyflof 700'!N298)</f>
        <v/>
      </c>
      <c r="AF1797">
        <f t="shared" si="185"/>
        <v>0</v>
      </c>
      <c r="AG1797" t="str">
        <f t="shared" si="186"/>
        <v/>
      </c>
      <c r="AH1797" t="str">
        <f t="shared" si="187"/>
        <v/>
      </c>
      <c r="AI1797">
        <f t="shared" si="188"/>
        <v>0</v>
      </c>
      <c r="AJ1797">
        <f t="shared" si="189"/>
        <v>0</v>
      </c>
      <c r="AK1797">
        <v>0</v>
      </c>
      <c r="AL1797" t="str">
        <f>IF(AA1797="","",IFERROR(IF(ISNUMBER('Procyflof 700'!D298),'Procyflof 700'!D298,IF(ISNUMBER(SEARCH("12",'Procyflof 700'!D298)),EDATE(AB1797,12),IF(ISNUMBER(SEARCH("6",'Procyflof 700'!D298)),EDATE(AB1797,6),IF(ISNUMBER(SEARCH("3",'Procyflof 700'!D298)),EDATE(AB1797,3),DATEVALUE('Procyflof 700'!D298))))),""))</f>
        <v/>
      </c>
      <c r="AM1797" t="str">
        <f t="shared" ca="1" si="190"/>
        <v/>
      </c>
    </row>
    <row r="1798" spans="27:39" x14ac:dyDescent="0.3">
      <c r="AA1798" t="str">
        <f>IF(COUNTA('Procyflof 700'!A299,'Procyflof 700'!B299,'Procyflof 700'!C299)&gt;0,"700","")</f>
        <v/>
      </c>
      <c r="AB1798" t="str">
        <f>IFERROR(IF(ISNUMBER('Procyflof 700'!A299),'Procyflof 700'!A299,DATEVALUE('Procyflof 700'!A299)),"")</f>
        <v/>
      </c>
      <c r="AC1798" t="str">
        <f>IF(AA1798="","",'Procyflof 700'!B299)</f>
        <v/>
      </c>
      <c r="AD1798" t="str">
        <f>IF(AA1798="","",IFERROR(1*'Procyflof 700'!C299,IFERROR(_xludf.NUMBERVALUE('Procyflof 700'!C299,".",","),IFERROR(_xludf.NUMBERVALUE('Procyflof 700'!C299,",","."),0))))</f>
        <v/>
      </c>
      <c r="AE1798" t="str">
        <f>IF(AA1798="","",'Procyflof 700'!N299)</f>
        <v/>
      </c>
      <c r="AF1798">
        <f t="shared" si="185"/>
        <v>0</v>
      </c>
      <c r="AG1798" t="str">
        <f t="shared" si="186"/>
        <v/>
      </c>
      <c r="AH1798" t="str">
        <f t="shared" si="187"/>
        <v/>
      </c>
      <c r="AI1798">
        <f t="shared" si="188"/>
        <v>0</v>
      </c>
      <c r="AJ1798">
        <f t="shared" si="189"/>
        <v>0</v>
      </c>
      <c r="AK1798">
        <v>0</v>
      </c>
      <c r="AL1798" t="str">
        <f>IF(AA1798="","",IFERROR(IF(ISNUMBER('Procyflof 700'!D299),'Procyflof 700'!D299,IF(ISNUMBER(SEARCH("12",'Procyflof 700'!D299)),EDATE(AB1798,12),IF(ISNUMBER(SEARCH("6",'Procyflof 700'!D299)),EDATE(AB1798,6),IF(ISNUMBER(SEARCH("3",'Procyflof 700'!D299)),EDATE(AB1798,3),DATEVALUE('Procyflof 700'!D299))))),""))</f>
        <v/>
      </c>
      <c r="AM1798" t="str">
        <f t="shared" ca="1" si="190"/>
        <v/>
      </c>
    </row>
    <row r="1799" spans="27:39" x14ac:dyDescent="0.3">
      <c r="AA1799" t="str">
        <f>IF(COUNTA('Procyflof 700'!A300,'Procyflof 700'!B300,'Procyflof 700'!C300)&gt;0,"700","")</f>
        <v/>
      </c>
      <c r="AB1799" t="str">
        <f>IFERROR(IF(ISNUMBER('Procyflof 700'!A300),'Procyflof 700'!A300,DATEVALUE('Procyflof 700'!A300)),"")</f>
        <v/>
      </c>
      <c r="AC1799" t="str">
        <f>IF(AA1799="","",'Procyflof 700'!B300)</f>
        <v/>
      </c>
      <c r="AD1799" t="str">
        <f>IF(AA1799="","",IFERROR(1*'Procyflof 700'!C300,IFERROR(_xludf.NUMBERVALUE('Procyflof 700'!C300,".",","),IFERROR(_xludf.NUMBERVALUE('Procyflof 700'!C300,",","."),0))))</f>
        <v/>
      </c>
      <c r="AE1799" t="str">
        <f>IF(AA1799="","",'Procyflof 700'!N300)</f>
        <v/>
      </c>
      <c r="AF1799">
        <f t="shared" si="185"/>
        <v>0</v>
      </c>
      <c r="AG1799" t="str">
        <f t="shared" si="186"/>
        <v/>
      </c>
      <c r="AH1799" t="str">
        <f t="shared" si="187"/>
        <v/>
      </c>
      <c r="AI1799">
        <f t="shared" si="188"/>
        <v>0</v>
      </c>
      <c r="AJ1799">
        <f t="shared" si="189"/>
        <v>0</v>
      </c>
      <c r="AK1799">
        <v>0</v>
      </c>
      <c r="AL1799" t="str">
        <f>IF(AA1799="","",IFERROR(IF(ISNUMBER('Procyflof 700'!D300),'Procyflof 700'!D300,IF(ISNUMBER(SEARCH("12",'Procyflof 700'!D300)),EDATE(AB1799,12),IF(ISNUMBER(SEARCH("6",'Procyflof 700'!D300)),EDATE(AB1799,6),IF(ISNUMBER(SEARCH("3",'Procyflof 700'!D300)),EDATE(AB1799,3),DATEVALUE('Procyflof 700'!D300))))),""))</f>
        <v/>
      </c>
      <c r="AM1799" t="str">
        <f t="shared" ca="1" si="190"/>
        <v/>
      </c>
    </row>
    <row r="1800" spans="27:39" x14ac:dyDescent="0.3">
      <c r="AA1800" t="str">
        <f>IF(COUNTA('Procyflof 700'!A301,'Procyflof 700'!B301,'Procyflof 700'!C301)&gt;0,"700","")</f>
        <v/>
      </c>
      <c r="AB1800" t="str">
        <f>IFERROR(IF(ISNUMBER('Procyflof 700'!A301),'Procyflof 700'!A301,DATEVALUE('Procyflof 700'!A301)),"")</f>
        <v/>
      </c>
      <c r="AC1800" t="str">
        <f>IF(AA1800="","",'Procyflof 700'!B301)</f>
        <v/>
      </c>
      <c r="AD1800" t="str">
        <f>IF(AA1800="","",IFERROR(1*'Procyflof 700'!C301,IFERROR(_xludf.NUMBERVALUE('Procyflof 700'!C301,".",","),IFERROR(_xludf.NUMBERVALUE('Procyflof 700'!C301,",","."),0))))</f>
        <v/>
      </c>
      <c r="AE1800" t="str">
        <f>IF(AA1800="","",'Procyflof 700'!N301)</f>
        <v/>
      </c>
      <c r="AF1800">
        <f t="shared" si="185"/>
        <v>0</v>
      </c>
      <c r="AG1800" t="str">
        <f t="shared" si="186"/>
        <v/>
      </c>
      <c r="AH1800" t="str">
        <f t="shared" si="187"/>
        <v/>
      </c>
      <c r="AI1800">
        <f t="shared" si="188"/>
        <v>0</v>
      </c>
      <c r="AJ1800">
        <f t="shared" si="189"/>
        <v>0</v>
      </c>
      <c r="AK1800">
        <v>0</v>
      </c>
      <c r="AL1800" t="str">
        <f>IF(AA1800="","",IFERROR(IF(ISNUMBER('Procyflof 700'!D301),'Procyflof 700'!D301,IF(ISNUMBER(SEARCH("12",'Procyflof 700'!D301)),EDATE(AB1800,12),IF(ISNUMBER(SEARCH("6",'Procyflof 700'!D301)),EDATE(AB1800,6),IF(ISNUMBER(SEARCH("3",'Procyflof 700'!D301)),EDATE(AB1800,3),DATEVALUE('Procyflof 700'!D301))))),""))</f>
        <v/>
      </c>
      <c r="AM1800" t="str">
        <f t="shared" ca="1" si="190"/>
        <v/>
      </c>
    </row>
    <row r="1801" spans="27:39" x14ac:dyDescent="0.3">
      <c r="AA1801" t="str">
        <f>IF(COUNTA('Procyflof 700'!A302,'Procyflof 700'!B302,'Procyflof 700'!C302)&gt;0,"700","")</f>
        <v/>
      </c>
      <c r="AB1801" t="str">
        <f>IFERROR(IF(ISNUMBER('Procyflof 700'!A302),'Procyflof 700'!A302,DATEVALUE('Procyflof 700'!A302)),"")</f>
        <v/>
      </c>
      <c r="AC1801" t="str">
        <f>IF(AA1801="","",'Procyflof 700'!B302)</f>
        <v/>
      </c>
      <c r="AD1801" t="str">
        <f>IF(AA1801="","",IFERROR(1*'Procyflof 700'!C302,IFERROR(_xludf.NUMBERVALUE('Procyflof 700'!C302,".",","),IFERROR(_xludf.NUMBERVALUE('Procyflof 700'!C302,",","."),0))))</f>
        <v/>
      </c>
      <c r="AE1801" t="str">
        <f>IF(AA1801="","",'Procyflof 700'!N302)</f>
        <v/>
      </c>
      <c r="AF1801">
        <f t="shared" si="185"/>
        <v>0</v>
      </c>
      <c r="AG1801" t="str">
        <f t="shared" si="186"/>
        <v/>
      </c>
      <c r="AH1801" t="str">
        <f t="shared" si="187"/>
        <v/>
      </c>
      <c r="AI1801">
        <f t="shared" si="188"/>
        <v>0</v>
      </c>
      <c r="AJ1801">
        <f t="shared" si="189"/>
        <v>0</v>
      </c>
      <c r="AK1801">
        <v>0</v>
      </c>
      <c r="AL1801" t="str">
        <f>IF(AA1801="","",IFERROR(IF(ISNUMBER('Procyflof 700'!D302),'Procyflof 700'!D302,IF(ISNUMBER(SEARCH("12",'Procyflof 700'!D302)),EDATE(AB1801,12),IF(ISNUMBER(SEARCH("6",'Procyflof 700'!D302)),EDATE(AB1801,6),IF(ISNUMBER(SEARCH("3",'Procyflof 700'!D302)),EDATE(AB1801,3),DATEVALUE('Procyflof 700'!D302))))),""))</f>
        <v/>
      </c>
      <c r="AM1801" t="str">
        <f t="shared" ca="1" si="190"/>
        <v/>
      </c>
    </row>
    <row r="1802" spans="27:39" x14ac:dyDescent="0.3">
      <c r="AA1802" t="str">
        <f>IF(COUNTA('Procyflof 700'!A303,'Procyflof 700'!B303,'Procyflof 700'!C303)&gt;0,"700","")</f>
        <v/>
      </c>
      <c r="AB1802" t="str">
        <f>IFERROR(IF(ISNUMBER('Procyflof 700'!A303),'Procyflof 700'!A303,DATEVALUE('Procyflof 700'!A303)),"")</f>
        <v/>
      </c>
      <c r="AC1802" t="str">
        <f>IF(AA1802="","",'Procyflof 700'!B303)</f>
        <v/>
      </c>
      <c r="AD1802" t="str">
        <f>IF(AA1802="","",IFERROR(1*'Procyflof 700'!C303,IFERROR(_xludf.NUMBERVALUE('Procyflof 700'!C303,".",","),IFERROR(_xludf.NUMBERVALUE('Procyflof 700'!C303,",","."),0))))</f>
        <v/>
      </c>
      <c r="AE1802" t="str">
        <f>IF(AA1802="","",'Procyflof 700'!N303)</f>
        <v/>
      </c>
      <c r="AF1802">
        <f t="shared" si="185"/>
        <v>0</v>
      </c>
      <c r="AG1802" t="str">
        <f t="shared" si="186"/>
        <v/>
      </c>
      <c r="AH1802" t="str">
        <f t="shared" si="187"/>
        <v/>
      </c>
      <c r="AI1802">
        <f t="shared" si="188"/>
        <v>0</v>
      </c>
      <c r="AJ1802">
        <f t="shared" si="189"/>
        <v>0</v>
      </c>
      <c r="AK1802">
        <v>0</v>
      </c>
      <c r="AL1802" t="str">
        <f>IF(AA1802="","",IFERROR(IF(ISNUMBER('Procyflof 700'!D303),'Procyflof 700'!D303,IF(ISNUMBER(SEARCH("12",'Procyflof 700'!D303)),EDATE(AB1802,12),IF(ISNUMBER(SEARCH("6",'Procyflof 700'!D303)),EDATE(AB1802,6),IF(ISNUMBER(SEARCH("3",'Procyflof 700'!D303)),EDATE(AB1802,3),DATEVALUE('Procyflof 700'!D303))))),""))</f>
        <v/>
      </c>
      <c r="AM1802" t="str">
        <f t="shared" ca="1" si="190"/>
        <v/>
      </c>
    </row>
    <row r="1803" spans="27:39" x14ac:dyDescent="0.3">
      <c r="AA1803" t="str">
        <f>IF(COUNTA('Procyflof 700'!A304,'Procyflof 700'!B304,'Procyflof 700'!C304)&gt;0,"700","")</f>
        <v/>
      </c>
      <c r="AB1803" t="str">
        <f>IFERROR(IF(ISNUMBER('Procyflof 700'!A304),'Procyflof 700'!A304,DATEVALUE('Procyflof 700'!A304)),"")</f>
        <v/>
      </c>
      <c r="AC1803" t="str">
        <f>IF(AA1803="","",'Procyflof 700'!B304)</f>
        <v/>
      </c>
      <c r="AD1803" t="str">
        <f>IF(AA1803="","",IFERROR(1*'Procyflof 700'!C304,IFERROR(_xludf.NUMBERVALUE('Procyflof 700'!C304,".",","),IFERROR(_xludf.NUMBERVALUE('Procyflof 700'!C304,",","."),0))))</f>
        <v/>
      </c>
      <c r="AE1803" t="str">
        <f>IF(AA1803="","",'Procyflof 700'!N304)</f>
        <v/>
      </c>
      <c r="AF1803">
        <f t="shared" si="185"/>
        <v>0</v>
      </c>
      <c r="AG1803" t="str">
        <f t="shared" si="186"/>
        <v/>
      </c>
      <c r="AH1803" t="str">
        <f t="shared" si="187"/>
        <v/>
      </c>
      <c r="AI1803">
        <f t="shared" si="188"/>
        <v>0</v>
      </c>
      <c r="AJ1803">
        <f t="shared" si="189"/>
        <v>0</v>
      </c>
      <c r="AK1803">
        <v>0</v>
      </c>
      <c r="AL1803" t="str">
        <f>IF(AA1803="","",IFERROR(IF(ISNUMBER('Procyflof 700'!D304),'Procyflof 700'!D304,IF(ISNUMBER(SEARCH("12",'Procyflof 700'!D304)),EDATE(AB1803,12),IF(ISNUMBER(SEARCH("6",'Procyflof 700'!D304)),EDATE(AB1803,6),IF(ISNUMBER(SEARCH("3",'Procyflof 700'!D304)),EDATE(AB1803,3),DATEVALUE('Procyflof 700'!D304))))),""))</f>
        <v/>
      </c>
      <c r="AM1803" t="str">
        <f t="shared" ca="1" si="190"/>
        <v/>
      </c>
    </row>
    <row r="1804" spans="27:39" x14ac:dyDescent="0.3">
      <c r="AA1804" t="str">
        <f>IF(COUNTA('Procyflof 700'!A305,'Procyflof 700'!B305,'Procyflof 700'!C305)&gt;0,"700","")</f>
        <v/>
      </c>
      <c r="AB1804" t="str">
        <f>IFERROR(IF(ISNUMBER('Procyflof 700'!A305),'Procyflof 700'!A305,DATEVALUE('Procyflof 700'!A305)),"")</f>
        <v/>
      </c>
      <c r="AC1804" t="str">
        <f>IF(AA1804="","",'Procyflof 700'!B305)</f>
        <v/>
      </c>
      <c r="AD1804" t="str">
        <f>IF(AA1804="","",IFERROR(1*'Procyflof 700'!C305,IFERROR(_xludf.NUMBERVALUE('Procyflof 700'!C305,".",","),IFERROR(_xludf.NUMBERVALUE('Procyflof 700'!C305,",","."),0))))</f>
        <v/>
      </c>
      <c r="AE1804" t="str">
        <f>IF(AA1804="","",'Procyflof 700'!N305)</f>
        <v/>
      </c>
      <c r="AF1804">
        <f t="shared" si="185"/>
        <v>0</v>
      </c>
      <c r="AG1804" t="str">
        <f t="shared" si="186"/>
        <v/>
      </c>
      <c r="AH1804" t="str">
        <f t="shared" si="187"/>
        <v/>
      </c>
      <c r="AI1804">
        <f t="shared" si="188"/>
        <v>0</v>
      </c>
      <c r="AJ1804">
        <f t="shared" si="189"/>
        <v>0</v>
      </c>
      <c r="AK1804">
        <v>0</v>
      </c>
      <c r="AL1804" t="str">
        <f>IF(AA1804="","",IFERROR(IF(ISNUMBER('Procyflof 700'!D305),'Procyflof 700'!D305,IF(ISNUMBER(SEARCH("12",'Procyflof 700'!D305)),EDATE(AB1804,12),IF(ISNUMBER(SEARCH("6",'Procyflof 700'!D305)),EDATE(AB1804,6),IF(ISNUMBER(SEARCH("3",'Procyflof 700'!D305)),EDATE(AB1804,3),DATEVALUE('Procyflof 700'!D305))))),""))</f>
        <v/>
      </c>
      <c r="AM1804" t="str">
        <f t="shared" ca="1" si="190"/>
        <v/>
      </c>
    </row>
    <row r="1805" spans="27:39" x14ac:dyDescent="0.3">
      <c r="AA1805" t="str">
        <f>IF(COUNTA('Procyflof 700'!A306,'Procyflof 700'!B306,'Procyflof 700'!C306)&gt;0,"700","")</f>
        <v/>
      </c>
      <c r="AB1805" t="str">
        <f>IFERROR(IF(ISNUMBER('Procyflof 700'!A306),'Procyflof 700'!A306,DATEVALUE('Procyflof 700'!A306)),"")</f>
        <v/>
      </c>
      <c r="AC1805" t="str">
        <f>IF(AA1805="","",'Procyflof 700'!B306)</f>
        <v/>
      </c>
      <c r="AD1805" t="str">
        <f>IF(AA1805="","",IFERROR(1*'Procyflof 700'!C306,IFERROR(_xludf.NUMBERVALUE('Procyflof 700'!C306,".",","),IFERROR(_xludf.NUMBERVALUE('Procyflof 700'!C306,",","."),0))))</f>
        <v/>
      </c>
      <c r="AE1805" t="str">
        <f>IF(AA1805="","",'Procyflof 700'!N306)</f>
        <v/>
      </c>
      <c r="AF1805">
        <f t="shared" si="185"/>
        <v>0</v>
      </c>
      <c r="AG1805" t="str">
        <f t="shared" si="186"/>
        <v/>
      </c>
      <c r="AH1805" t="str">
        <f t="shared" si="187"/>
        <v/>
      </c>
      <c r="AI1805">
        <f t="shared" si="188"/>
        <v>0</v>
      </c>
      <c r="AJ1805">
        <f t="shared" si="189"/>
        <v>0</v>
      </c>
      <c r="AK1805">
        <v>0</v>
      </c>
      <c r="AL1805" t="str">
        <f>IF(AA1805="","",IFERROR(IF(ISNUMBER('Procyflof 700'!D306),'Procyflof 700'!D306,IF(ISNUMBER(SEARCH("12",'Procyflof 700'!D306)),EDATE(AB1805,12),IF(ISNUMBER(SEARCH("6",'Procyflof 700'!D306)),EDATE(AB1805,6),IF(ISNUMBER(SEARCH("3",'Procyflof 700'!D306)),EDATE(AB1805,3),DATEVALUE('Procyflof 700'!D306))))),""))</f>
        <v/>
      </c>
      <c r="AM1805" t="str">
        <f t="shared" ca="1" si="190"/>
        <v/>
      </c>
    </row>
    <row r="1806" spans="27:39" x14ac:dyDescent="0.3">
      <c r="AA1806" t="str">
        <f>IF(COUNTA('Procyflof 700'!A307,'Procyflof 700'!B307,'Procyflof 700'!C307)&gt;0,"700","")</f>
        <v/>
      </c>
      <c r="AB1806" t="str">
        <f>IFERROR(IF(ISNUMBER('Procyflof 700'!A307),'Procyflof 700'!A307,DATEVALUE('Procyflof 700'!A307)),"")</f>
        <v/>
      </c>
      <c r="AC1806" t="str">
        <f>IF(AA1806="","",'Procyflof 700'!B307)</f>
        <v/>
      </c>
      <c r="AD1806" t="str">
        <f>IF(AA1806="","",IFERROR(1*'Procyflof 700'!C307,IFERROR(_xludf.NUMBERVALUE('Procyflof 700'!C307,".",","),IFERROR(_xludf.NUMBERVALUE('Procyflof 700'!C307,",","."),0))))</f>
        <v/>
      </c>
      <c r="AE1806" t="str">
        <f>IF(AA1806="","",'Procyflof 700'!N307)</f>
        <v/>
      </c>
      <c r="AF1806">
        <f t="shared" si="185"/>
        <v>0</v>
      </c>
      <c r="AG1806" t="str">
        <f t="shared" si="186"/>
        <v/>
      </c>
      <c r="AH1806" t="str">
        <f t="shared" si="187"/>
        <v/>
      </c>
      <c r="AI1806">
        <f t="shared" si="188"/>
        <v>0</v>
      </c>
      <c r="AJ1806">
        <f t="shared" si="189"/>
        <v>0</v>
      </c>
      <c r="AK1806">
        <v>0</v>
      </c>
      <c r="AL1806" t="str">
        <f>IF(AA1806="","",IFERROR(IF(ISNUMBER('Procyflof 700'!D307),'Procyflof 700'!D307,IF(ISNUMBER(SEARCH("12",'Procyflof 700'!D307)),EDATE(AB1806,12),IF(ISNUMBER(SEARCH("6",'Procyflof 700'!D307)),EDATE(AB1806,6),IF(ISNUMBER(SEARCH("3",'Procyflof 700'!D307)),EDATE(AB1806,3),DATEVALUE('Procyflof 700'!D307))))),""))</f>
        <v/>
      </c>
      <c r="AM1806" t="str">
        <f t="shared" ca="1" si="190"/>
        <v/>
      </c>
    </row>
    <row r="1807" spans="27:39" x14ac:dyDescent="0.3">
      <c r="AA1807" t="str">
        <f>IF(COUNTA('Procyflof 700'!A308,'Procyflof 700'!B308,'Procyflof 700'!C308)&gt;0,"700","")</f>
        <v/>
      </c>
      <c r="AB1807" t="str">
        <f>IFERROR(IF(ISNUMBER('Procyflof 700'!A308),'Procyflof 700'!A308,DATEVALUE('Procyflof 700'!A308)),"")</f>
        <v/>
      </c>
      <c r="AC1807" t="str">
        <f>IF(AA1807="","",'Procyflof 700'!B308)</f>
        <v/>
      </c>
      <c r="AD1807" t="str">
        <f>IF(AA1807="","",IFERROR(1*'Procyflof 700'!C308,IFERROR(_xludf.NUMBERVALUE('Procyflof 700'!C308,".",","),IFERROR(_xludf.NUMBERVALUE('Procyflof 700'!C308,",","."),0))))</f>
        <v/>
      </c>
      <c r="AE1807" t="str">
        <f>IF(AA1807="","",'Procyflof 700'!N308)</f>
        <v/>
      </c>
      <c r="AF1807">
        <f t="shared" si="185"/>
        <v>0</v>
      </c>
      <c r="AG1807" t="str">
        <f t="shared" si="186"/>
        <v/>
      </c>
      <c r="AH1807" t="str">
        <f t="shared" si="187"/>
        <v/>
      </c>
      <c r="AI1807">
        <f t="shared" si="188"/>
        <v>0</v>
      </c>
      <c r="AJ1807">
        <f t="shared" si="189"/>
        <v>0</v>
      </c>
      <c r="AK1807">
        <v>0</v>
      </c>
      <c r="AL1807" t="str">
        <f>IF(AA1807="","",IFERROR(IF(ISNUMBER('Procyflof 700'!D308),'Procyflof 700'!D308,IF(ISNUMBER(SEARCH("12",'Procyflof 700'!D308)),EDATE(AB1807,12),IF(ISNUMBER(SEARCH("6",'Procyflof 700'!D308)),EDATE(AB1807,6),IF(ISNUMBER(SEARCH("3",'Procyflof 700'!D308)),EDATE(AB1807,3),DATEVALUE('Procyflof 700'!D308))))),""))</f>
        <v/>
      </c>
      <c r="AM1807" t="str">
        <f t="shared" ca="1" si="190"/>
        <v/>
      </c>
    </row>
    <row r="1808" spans="27:39" x14ac:dyDescent="0.3">
      <c r="AA1808" t="str">
        <f>IF(COUNTA('Procyflof 700'!A309,'Procyflof 700'!B309,'Procyflof 700'!C309)&gt;0,"700","")</f>
        <v/>
      </c>
      <c r="AB1808" t="str">
        <f>IFERROR(IF(ISNUMBER('Procyflof 700'!A309),'Procyflof 700'!A309,DATEVALUE('Procyflof 700'!A309)),"")</f>
        <v/>
      </c>
      <c r="AC1808" t="str">
        <f>IF(AA1808="","",'Procyflof 700'!B309)</f>
        <v/>
      </c>
      <c r="AD1808" t="str">
        <f>IF(AA1808="","",IFERROR(1*'Procyflof 700'!C309,IFERROR(_xludf.NUMBERVALUE('Procyflof 700'!C309,".",","),IFERROR(_xludf.NUMBERVALUE('Procyflof 700'!C309,",","."),0))))</f>
        <v/>
      </c>
      <c r="AE1808" t="str">
        <f>IF(AA1808="","",'Procyflof 700'!N309)</f>
        <v/>
      </c>
      <c r="AF1808">
        <f t="shared" si="185"/>
        <v>0</v>
      </c>
      <c r="AG1808" t="str">
        <f t="shared" si="186"/>
        <v/>
      </c>
      <c r="AH1808" t="str">
        <f t="shared" si="187"/>
        <v/>
      </c>
      <c r="AI1808">
        <f t="shared" si="188"/>
        <v>0</v>
      </c>
      <c r="AJ1808">
        <f t="shared" si="189"/>
        <v>0</v>
      </c>
      <c r="AK1808">
        <v>0</v>
      </c>
      <c r="AL1808" t="str">
        <f>IF(AA1808="","",IFERROR(IF(ISNUMBER('Procyflof 700'!D309),'Procyflof 700'!D309,IF(ISNUMBER(SEARCH("12",'Procyflof 700'!D309)),EDATE(AB1808,12),IF(ISNUMBER(SEARCH("6",'Procyflof 700'!D309)),EDATE(AB1808,6),IF(ISNUMBER(SEARCH("3",'Procyflof 700'!D309)),EDATE(AB1808,3),DATEVALUE('Procyflof 700'!D309))))),""))</f>
        <v/>
      </c>
      <c r="AM1808" t="str">
        <f t="shared" ca="1" si="190"/>
        <v/>
      </c>
    </row>
    <row r="1809" spans="27:39" x14ac:dyDescent="0.3">
      <c r="AA1809" t="str">
        <f>IF(COUNTA('Procyflof 700'!A310,'Procyflof 700'!B310,'Procyflof 700'!C310)&gt;0,"700","")</f>
        <v/>
      </c>
      <c r="AB1809" t="str">
        <f>IFERROR(IF(ISNUMBER('Procyflof 700'!A310),'Procyflof 700'!A310,DATEVALUE('Procyflof 700'!A310)),"")</f>
        <v/>
      </c>
      <c r="AC1809" t="str">
        <f>IF(AA1809="","",'Procyflof 700'!B310)</f>
        <v/>
      </c>
      <c r="AD1809" t="str">
        <f>IF(AA1809="","",IFERROR(1*'Procyflof 700'!C310,IFERROR(_xludf.NUMBERVALUE('Procyflof 700'!C310,".",","),IFERROR(_xludf.NUMBERVALUE('Procyflof 700'!C310,",","."),0))))</f>
        <v/>
      </c>
      <c r="AE1809" t="str">
        <f>IF(AA1809="","",'Procyflof 700'!N310)</f>
        <v/>
      </c>
      <c r="AF1809">
        <f t="shared" si="185"/>
        <v>0</v>
      </c>
      <c r="AG1809" t="str">
        <f t="shared" si="186"/>
        <v/>
      </c>
      <c r="AH1809" t="str">
        <f t="shared" si="187"/>
        <v/>
      </c>
      <c r="AI1809">
        <f t="shared" si="188"/>
        <v>0</v>
      </c>
      <c r="AJ1809">
        <f t="shared" si="189"/>
        <v>0</v>
      </c>
      <c r="AK1809">
        <v>0</v>
      </c>
      <c r="AL1809" t="str">
        <f>IF(AA1809="","",IFERROR(IF(ISNUMBER('Procyflof 700'!D310),'Procyflof 700'!D310,IF(ISNUMBER(SEARCH("12",'Procyflof 700'!D310)),EDATE(AB1809,12),IF(ISNUMBER(SEARCH("6",'Procyflof 700'!D310)),EDATE(AB1809,6),IF(ISNUMBER(SEARCH("3",'Procyflof 700'!D310)),EDATE(AB1809,3),DATEVALUE('Procyflof 700'!D310))))),""))</f>
        <v/>
      </c>
      <c r="AM1809" t="str">
        <f t="shared" ca="1" si="190"/>
        <v/>
      </c>
    </row>
    <row r="1810" spans="27:39" x14ac:dyDescent="0.3">
      <c r="AA1810" t="str">
        <f>IF(COUNTA('Procyflof 700'!A311,'Procyflof 700'!B311,'Procyflof 700'!C311)&gt;0,"700","")</f>
        <v/>
      </c>
      <c r="AB1810" t="str">
        <f>IFERROR(IF(ISNUMBER('Procyflof 700'!A311),'Procyflof 700'!A311,DATEVALUE('Procyflof 700'!A311)),"")</f>
        <v/>
      </c>
      <c r="AC1810" t="str">
        <f>IF(AA1810="","",'Procyflof 700'!B311)</f>
        <v/>
      </c>
      <c r="AD1810" t="str">
        <f>IF(AA1810="","",IFERROR(1*'Procyflof 700'!C311,IFERROR(_xludf.NUMBERVALUE('Procyflof 700'!C311,".",","),IFERROR(_xludf.NUMBERVALUE('Procyflof 700'!C311,",","."),0))))</f>
        <v/>
      </c>
      <c r="AE1810" t="str">
        <f>IF(AA1810="","",'Procyflof 700'!N311)</f>
        <v/>
      </c>
      <c r="AF1810">
        <f t="shared" si="185"/>
        <v>0</v>
      </c>
      <c r="AG1810" t="str">
        <f t="shared" si="186"/>
        <v/>
      </c>
      <c r="AH1810" t="str">
        <f t="shared" si="187"/>
        <v/>
      </c>
      <c r="AI1810">
        <f t="shared" si="188"/>
        <v>0</v>
      </c>
      <c r="AJ1810">
        <f t="shared" si="189"/>
        <v>0</v>
      </c>
      <c r="AK1810">
        <v>0</v>
      </c>
      <c r="AL1810" t="str">
        <f>IF(AA1810="","",IFERROR(IF(ISNUMBER('Procyflof 700'!D311),'Procyflof 700'!D311,IF(ISNUMBER(SEARCH("12",'Procyflof 700'!D311)),EDATE(AB1810,12),IF(ISNUMBER(SEARCH("6",'Procyflof 700'!D311)),EDATE(AB1810,6),IF(ISNUMBER(SEARCH("3",'Procyflof 700'!D311)),EDATE(AB1810,3),DATEVALUE('Procyflof 700'!D311))))),""))</f>
        <v/>
      </c>
      <c r="AM1810" t="str">
        <f t="shared" ca="1" si="190"/>
        <v/>
      </c>
    </row>
    <row r="1811" spans="27:39" x14ac:dyDescent="0.3">
      <c r="AA1811" t="str">
        <f>IF(COUNTA('Procyflof 700'!A312,'Procyflof 700'!B312,'Procyflof 700'!C312)&gt;0,"700","")</f>
        <v/>
      </c>
      <c r="AB1811" t="str">
        <f>IFERROR(IF(ISNUMBER('Procyflof 700'!A312),'Procyflof 700'!A312,DATEVALUE('Procyflof 700'!A312)),"")</f>
        <v/>
      </c>
      <c r="AC1811" t="str">
        <f>IF(AA1811="","",'Procyflof 700'!B312)</f>
        <v/>
      </c>
      <c r="AD1811" t="str">
        <f>IF(AA1811="","",IFERROR(1*'Procyflof 700'!C312,IFERROR(_xludf.NUMBERVALUE('Procyflof 700'!C312,".",","),IFERROR(_xludf.NUMBERVALUE('Procyflof 700'!C312,",","."),0))))</f>
        <v/>
      </c>
      <c r="AE1811" t="str">
        <f>IF(AA1811="","",'Procyflof 700'!N312)</f>
        <v/>
      </c>
      <c r="AF1811">
        <f t="shared" si="185"/>
        <v>0</v>
      </c>
      <c r="AG1811" t="str">
        <f t="shared" si="186"/>
        <v/>
      </c>
      <c r="AH1811" t="str">
        <f t="shared" si="187"/>
        <v/>
      </c>
      <c r="AI1811">
        <f t="shared" si="188"/>
        <v>0</v>
      </c>
      <c r="AJ1811">
        <f t="shared" si="189"/>
        <v>0</v>
      </c>
      <c r="AK1811">
        <v>0</v>
      </c>
      <c r="AL1811" t="str">
        <f>IF(AA1811="","",IFERROR(IF(ISNUMBER('Procyflof 700'!D312),'Procyflof 700'!D312,IF(ISNUMBER(SEARCH("12",'Procyflof 700'!D312)),EDATE(AB1811,12),IF(ISNUMBER(SEARCH("6",'Procyflof 700'!D312)),EDATE(AB1811,6),IF(ISNUMBER(SEARCH("3",'Procyflof 700'!D312)),EDATE(AB1811,3),DATEVALUE('Procyflof 700'!D312))))),""))</f>
        <v/>
      </c>
      <c r="AM1811" t="str">
        <f t="shared" ca="1" si="190"/>
        <v/>
      </c>
    </row>
    <row r="1812" spans="27:39" x14ac:dyDescent="0.3">
      <c r="AA1812" t="str">
        <f>IF(COUNTA('Procyflof 700'!A313,'Procyflof 700'!B313,'Procyflof 700'!C313)&gt;0,"700","")</f>
        <v/>
      </c>
      <c r="AB1812" t="str">
        <f>IFERROR(IF(ISNUMBER('Procyflof 700'!A313),'Procyflof 700'!A313,DATEVALUE('Procyflof 700'!A313)),"")</f>
        <v/>
      </c>
      <c r="AC1812" t="str">
        <f>IF(AA1812="","",'Procyflof 700'!B313)</f>
        <v/>
      </c>
      <c r="AD1812" t="str">
        <f>IF(AA1812="","",IFERROR(1*'Procyflof 700'!C313,IFERROR(_xludf.NUMBERVALUE('Procyflof 700'!C313,".",","),IFERROR(_xludf.NUMBERVALUE('Procyflof 700'!C313,",","."),0))))</f>
        <v/>
      </c>
      <c r="AE1812" t="str">
        <f>IF(AA1812="","",'Procyflof 700'!N313)</f>
        <v/>
      </c>
      <c r="AF1812">
        <f t="shared" si="185"/>
        <v>0</v>
      </c>
      <c r="AG1812" t="str">
        <f t="shared" si="186"/>
        <v/>
      </c>
      <c r="AH1812" t="str">
        <f t="shared" si="187"/>
        <v/>
      </c>
      <c r="AI1812">
        <f t="shared" si="188"/>
        <v>0</v>
      </c>
      <c r="AJ1812">
        <f t="shared" si="189"/>
        <v>0</v>
      </c>
      <c r="AK1812">
        <v>0</v>
      </c>
      <c r="AL1812" t="str">
        <f>IF(AA1812="","",IFERROR(IF(ISNUMBER('Procyflof 700'!D313),'Procyflof 700'!D313,IF(ISNUMBER(SEARCH("12",'Procyflof 700'!D313)),EDATE(AB1812,12),IF(ISNUMBER(SEARCH("6",'Procyflof 700'!D313)),EDATE(AB1812,6),IF(ISNUMBER(SEARCH("3",'Procyflof 700'!D313)),EDATE(AB1812,3),DATEVALUE('Procyflof 700'!D313))))),""))</f>
        <v/>
      </c>
      <c r="AM1812" t="str">
        <f t="shared" ca="1" si="190"/>
        <v/>
      </c>
    </row>
    <row r="1813" spans="27:39" x14ac:dyDescent="0.3">
      <c r="AA1813" t="str">
        <f>IF(COUNTA('Procyflof 700'!A314,'Procyflof 700'!B314,'Procyflof 700'!C314)&gt;0,"700","")</f>
        <v/>
      </c>
      <c r="AB1813" t="str">
        <f>IFERROR(IF(ISNUMBER('Procyflof 700'!A314),'Procyflof 700'!A314,DATEVALUE('Procyflof 700'!A314)),"")</f>
        <v/>
      </c>
      <c r="AC1813" t="str">
        <f>IF(AA1813="","",'Procyflof 700'!B314)</f>
        <v/>
      </c>
      <c r="AD1813" t="str">
        <f>IF(AA1813="","",IFERROR(1*'Procyflof 700'!C314,IFERROR(_xludf.NUMBERVALUE('Procyflof 700'!C314,".",","),IFERROR(_xludf.NUMBERVALUE('Procyflof 700'!C314,",","."),0))))</f>
        <v/>
      </c>
      <c r="AE1813" t="str">
        <f>IF(AA1813="","",'Procyflof 700'!N314)</f>
        <v/>
      </c>
      <c r="AF1813">
        <f t="shared" si="185"/>
        <v>0</v>
      </c>
      <c r="AG1813" t="str">
        <f t="shared" si="186"/>
        <v/>
      </c>
      <c r="AH1813" t="str">
        <f t="shared" si="187"/>
        <v/>
      </c>
      <c r="AI1813">
        <f t="shared" si="188"/>
        <v>0</v>
      </c>
      <c r="AJ1813">
        <f t="shared" si="189"/>
        <v>0</v>
      </c>
      <c r="AK1813">
        <v>0</v>
      </c>
      <c r="AL1813" t="str">
        <f>IF(AA1813="","",IFERROR(IF(ISNUMBER('Procyflof 700'!D314),'Procyflof 700'!D314,IF(ISNUMBER(SEARCH("12",'Procyflof 700'!D314)),EDATE(AB1813,12),IF(ISNUMBER(SEARCH("6",'Procyflof 700'!D314)),EDATE(AB1813,6),IF(ISNUMBER(SEARCH("3",'Procyflof 700'!D314)),EDATE(AB1813,3),DATEVALUE('Procyflof 700'!D314))))),""))</f>
        <v/>
      </c>
      <c r="AM1813" t="str">
        <f t="shared" ca="1" si="190"/>
        <v/>
      </c>
    </row>
    <row r="1814" spans="27:39" x14ac:dyDescent="0.3">
      <c r="AA1814" t="str">
        <f>IF(COUNTA('Procyflof 700'!A315,'Procyflof 700'!B315,'Procyflof 700'!C315)&gt;0,"700","")</f>
        <v/>
      </c>
      <c r="AB1814" t="str">
        <f>IFERROR(IF(ISNUMBER('Procyflof 700'!A315),'Procyflof 700'!A315,DATEVALUE('Procyflof 700'!A315)),"")</f>
        <v/>
      </c>
      <c r="AC1814" t="str">
        <f>IF(AA1814="","",'Procyflof 700'!B315)</f>
        <v/>
      </c>
      <c r="AD1814" t="str">
        <f>IF(AA1814="","",IFERROR(1*'Procyflof 700'!C315,IFERROR(_xludf.NUMBERVALUE('Procyflof 700'!C315,".",","),IFERROR(_xludf.NUMBERVALUE('Procyflof 700'!C315,",","."),0))))</f>
        <v/>
      </c>
      <c r="AE1814" t="str">
        <f>IF(AA1814="","",'Procyflof 700'!N315)</f>
        <v/>
      </c>
      <c r="AF1814">
        <f t="shared" si="185"/>
        <v>0</v>
      </c>
      <c r="AG1814" t="str">
        <f t="shared" si="186"/>
        <v/>
      </c>
      <c r="AH1814" t="str">
        <f t="shared" si="187"/>
        <v/>
      </c>
      <c r="AI1814">
        <f t="shared" si="188"/>
        <v>0</v>
      </c>
      <c r="AJ1814">
        <f t="shared" si="189"/>
        <v>0</v>
      </c>
      <c r="AK1814">
        <v>0</v>
      </c>
      <c r="AL1814" t="str">
        <f>IF(AA1814="","",IFERROR(IF(ISNUMBER('Procyflof 700'!D315),'Procyflof 700'!D315,IF(ISNUMBER(SEARCH("12",'Procyflof 700'!D315)),EDATE(AB1814,12),IF(ISNUMBER(SEARCH("6",'Procyflof 700'!D315)),EDATE(AB1814,6),IF(ISNUMBER(SEARCH("3",'Procyflof 700'!D315)),EDATE(AB1814,3),DATEVALUE('Procyflof 700'!D315))))),""))</f>
        <v/>
      </c>
      <c r="AM1814" t="str">
        <f t="shared" ca="1" si="190"/>
        <v/>
      </c>
    </row>
    <row r="1815" spans="27:39" x14ac:dyDescent="0.3">
      <c r="AA1815" t="str">
        <f>IF(COUNTA('Procyflof 700'!A316,'Procyflof 700'!B316,'Procyflof 700'!C316)&gt;0,"700","")</f>
        <v/>
      </c>
      <c r="AB1815" t="str">
        <f>IFERROR(IF(ISNUMBER('Procyflof 700'!A316),'Procyflof 700'!A316,DATEVALUE('Procyflof 700'!A316)),"")</f>
        <v/>
      </c>
      <c r="AC1815" t="str">
        <f>IF(AA1815="","",'Procyflof 700'!B316)</f>
        <v/>
      </c>
      <c r="AD1815" t="str">
        <f>IF(AA1815="","",IFERROR(1*'Procyflof 700'!C316,IFERROR(_xludf.NUMBERVALUE('Procyflof 700'!C316,".",","),IFERROR(_xludf.NUMBERVALUE('Procyflof 700'!C316,",","."),0))))</f>
        <v/>
      </c>
      <c r="AE1815" t="str">
        <f>IF(AA1815="","",'Procyflof 700'!N316)</f>
        <v/>
      </c>
      <c r="AF1815">
        <f t="shared" si="185"/>
        <v>0</v>
      </c>
      <c r="AG1815" t="str">
        <f t="shared" si="186"/>
        <v/>
      </c>
      <c r="AH1815" t="str">
        <f t="shared" si="187"/>
        <v/>
      </c>
      <c r="AI1815">
        <f t="shared" si="188"/>
        <v>0</v>
      </c>
      <c r="AJ1815">
        <f t="shared" si="189"/>
        <v>0</v>
      </c>
      <c r="AK1815">
        <v>0</v>
      </c>
      <c r="AL1815" t="str">
        <f>IF(AA1815="","",IFERROR(IF(ISNUMBER('Procyflof 700'!D316),'Procyflof 700'!D316,IF(ISNUMBER(SEARCH("12",'Procyflof 700'!D316)),EDATE(AB1815,12),IF(ISNUMBER(SEARCH("6",'Procyflof 700'!D316)),EDATE(AB1815,6),IF(ISNUMBER(SEARCH("3",'Procyflof 700'!D316)),EDATE(AB1815,3),DATEVALUE('Procyflof 700'!D316))))),""))</f>
        <v/>
      </c>
      <c r="AM1815" t="str">
        <f t="shared" ca="1" si="190"/>
        <v/>
      </c>
    </row>
    <row r="1816" spans="27:39" x14ac:dyDescent="0.3">
      <c r="AA1816" t="str">
        <f>IF(COUNTA('Procyflof 700'!A317,'Procyflof 700'!B317,'Procyflof 700'!C317)&gt;0,"700","")</f>
        <v/>
      </c>
      <c r="AB1816" t="str">
        <f>IFERROR(IF(ISNUMBER('Procyflof 700'!A317),'Procyflof 700'!A317,DATEVALUE('Procyflof 700'!A317)),"")</f>
        <v/>
      </c>
      <c r="AC1816" t="str">
        <f>IF(AA1816="","",'Procyflof 700'!B317)</f>
        <v/>
      </c>
      <c r="AD1816" t="str">
        <f>IF(AA1816="","",IFERROR(1*'Procyflof 700'!C317,IFERROR(_xludf.NUMBERVALUE('Procyflof 700'!C317,".",","),IFERROR(_xludf.NUMBERVALUE('Procyflof 700'!C317,",","."),0))))</f>
        <v/>
      </c>
      <c r="AE1816" t="str">
        <f>IF(AA1816="","",'Procyflof 700'!N317)</f>
        <v/>
      </c>
      <c r="AF1816">
        <f t="shared" si="185"/>
        <v>0</v>
      </c>
      <c r="AG1816" t="str">
        <f t="shared" si="186"/>
        <v/>
      </c>
      <c r="AH1816" t="str">
        <f t="shared" si="187"/>
        <v/>
      </c>
      <c r="AI1816">
        <f t="shared" si="188"/>
        <v>0</v>
      </c>
      <c r="AJ1816">
        <f t="shared" si="189"/>
        <v>0</v>
      </c>
      <c r="AK1816">
        <v>0</v>
      </c>
      <c r="AL1816" t="str">
        <f>IF(AA1816="","",IFERROR(IF(ISNUMBER('Procyflof 700'!D317),'Procyflof 700'!D317,IF(ISNUMBER(SEARCH("12",'Procyflof 700'!D317)),EDATE(AB1816,12),IF(ISNUMBER(SEARCH("6",'Procyflof 700'!D317)),EDATE(AB1816,6),IF(ISNUMBER(SEARCH("3",'Procyflof 700'!D317)),EDATE(AB1816,3),DATEVALUE('Procyflof 700'!D317))))),""))</f>
        <v/>
      </c>
      <c r="AM1816" t="str">
        <f t="shared" ca="1" si="190"/>
        <v/>
      </c>
    </row>
    <row r="1817" spans="27:39" x14ac:dyDescent="0.3">
      <c r="AA1817" t="str">
        <f>IF(COUNTA('Procyflof 700'!A318,'Procyflof 700'!B318,'Procyflof 700'!C318)&gt;0,"700","")</f>
        <v/>
      </c>
      <c r="AB1817" t="str">
        <f>IFERROR(IF(ISNUMBER('Procyflof 700'!A318),'Procyflof 700'!A318,DATEVALUE('Procyflof 700'!A318)),"")</f>
        <v/>
      </c>
      <c r="AC1817" t="str">
        <f>IF(AA1817="","",'Procyflof 700'!B318)</f>
        <v/>
      </c>
      <c r="AD1817" t="str">
        <f>IF(AA1817="","",IFERROR(1*'Procyflof 700'!C318,IFERROR(_xludf.NUMBERVALUE('Procyflof 700'!C318,".",","),IFERROR(_xludf.NUMBERVALUE('Procyflof 700'!C318,",","."),0))))</f>
        <v/>
      </c>
      <c r="AE1817" t="str">
        <f>IF(AA1817="","",'Procyflof 700'!N318)</f>
        <v/>
      </c>
      <c r="AF1817">
        <f t="shared" si="185"/>
        <v>0</v>
      </c>
      <c r="AG1817" t="str">
        <f t="shared" si="186"/>
        <v/>
      </c>
      <c r="AH1817" t="str">
        <f t="shared" si="187"/>
        <v/>
      </c>
      <c r="AI1817">
        <f t="shared" si="188"/>
        <v>0</v>
      </c>
      <c r="AJ1817">
        <f t="shared" si="189"/>
        <v>0</v>
      </c>
      <c r="AK1817">
        <v>0</v>
      </c>
      <c r="AL1817" t="str">
        <f>IF(AA1817="","",IFERROR(IF(ISNUMBER('Procyflof 700'!D318),'Procyflof 700'!D318,IF(ISNUMBER(SEARCH("12",'Procyflof 700'!D318)),EDATE(AB1817,12),IF(ISNUMBER(SEARCH("6",'Procyflof 700'!D318)),EDATE(AB1817,6),IF(ISNUMBER(SEARCH("3",'Procyflof 700'!D318)),EDATE(AB1817,3),DATEVALUE('Procyflof 700'!D318))))),""))</f>
        <v/>
      </c>
      <c r="AM1817" t="str">
        <f t="shared" ca="1" si="190"/>
        <v/>
      </c>
    </row>
    <row r="1818" spans="27:39" x14ac:dyDescent="0.3">
      <c r="AA1818" t="str">
        <f>IF(COUNTA('Procyflof 700'!A319,'Procyflof 700'!B319,'Procyflof 700'!C319)&gt;0,"700","")</f>
        <v/>
      </c>
      <c r="AB1818" t="str">
        <f>IFERROR(IF(ISNUMBER('Procyflof 700'!A319),'Procyflof 700'!A319,DATEVALUE('Procyflof 700'!A319)),"")</f>
        <v/>
      </c>
      <c r="AC1818" t="str">
        <f>IF(AA1818="","",'Procyflof 700'!B319)</f>
        <v/>
      </c>
      <c r="AD1818" t="str">
        <f>IF(AA1818="","",IFERROR(1*'Procyflof 700'!C319,IFERROR(_xludf.NUMBERVALUE('Procyflof 700'!C319,".",","),IFERROR(_xludf.NUMBERVALUE('Procyflof 700'!C319,",","."),0))))</f>
        <v/>
      </c>
      <c r="AE1818" t="str">
        <f>IF(AA1818="","",'Procyflof 700'!N319)</f>
        <v/>
      </c>
      <c r="AF1818">
        <f t="shared" si="185"/>
        <v>0</v>
      </c>
      <c r="AG1818" t="str">
        <f t="shared" si="186"/>
        <v/>
      </c>
      <c r="AH1818" t="str">
        <f t="shared" si="187"/>
        <v/>
      </c>
      <c r="AI1818">
        <f t="shared" si="188"/>
        <v>0</v>
      </c>
      <c r="AJ1818">
        <f t="shared" si="189"/>
        <v>0</v>
      </c>
      <c r="AK1818">
        <v>0</v>
      </c>
      <c r="AL1818" t="str">
        <f>IF(AA1818="","",IFERROR(IF(ISNUMBER('Procyflof 700'!D319),'Procyflof 700'!D319,IF(ISNUMBER(SEARCH("12",'Procyflof 700'!D319)),EDATE(AB1818,12),IF(ISNUMBER(SEARCH("6",'Procyflof 700'!D319)),EDATE(AB1818,6),IF(ISNUMBER(SEARCH("3",'Procyflof 700'!D319)),EDATE(AB1818,3),DATEVALUE('Procyflof 700'!D319))))),""))</f>
        <v/>
      </c>
      <c r="AM1818" t="str">
        <f t="shared" ca="1" si="190"/>
        <v/>
      </c>
    </row>
    <row r="1819" spans="27:39" x14ac:dyDescent="0.3">
      <c r="AA1819" t="str">
        <f>IF(COUNTA('Procyflof 700'!A320,'Procyflof 700'!B320,'Procyflof 700'!C320)&gt;0,"700","")</f>
        <v/>
      </c>
      <c r="AB1819" t="str">
        <f>IFERROR(IF(ISNUMBER('Procyflof 700'!A320),'Procyflof 700'!A320,DATEVALUE('Procyflof 700'!A320)),"")</f>
        <v/>
      </c>
      <c r="AC1819" t="str">
        <f>IF(AA1819="","",'Procyflof 700'!B320)</f>
        <v/>
      </c>
      <c r="AD1819" t="str">
        <f>IF(AA1819="","",IFERROR(1*'Procyflof 700'!C320,IFERROR(_xludf.NUMBERVALUE('Procyflof 700'!C320,".",","),IFERROR(_xludf.NUMBERVALUE('Procyflof 700'!C320,",","."),0))))</f>
        <v/>
      </c>
      <c r="AE1819" t="str">
        <f>IF(AA1819="","",'Procyflof 700'!N320)</f>
        <v/>
      </c>
      <c r="AF1819">
        <f t="shared" si="185"/>
        <v>0</v>
      </c>
      <c r="AG1819" t="str">
        <f t="shared" si="186"/>
        <v/>
      </c>
      <c r="AH1819" t="str">
        <f t="shared" si="187"/>
        <v/>
      </c>
      <c r="AI1819">
        <f t="shared" si="188"/>
        <v>0</v>
      </c>
      <c r="AJ1819">
        <f t="shared" si="189"/>
        <v>0</v>
      </c>
      <c r="AK1819">
        <v>0</v>
      </c>
      <c r="AL1819" t="str">
        <f>IF(AA1819="","",IFERROR(IF(ISNUMBER('Procyflof 700'!D320),'Procyflof 700'!D320,IF(ISNUMBER(SEARCH("12",'Procyflof 700'!D320)),EDATE(AB1819,12),IF(ISNUMBER(SEARCH("6",'Procyflof 700'!D320)),EDATE(AB1819,6),IF(ISNUMBER(SEARCH("3",'Procyflof 700'!D320)),EDATE(AB1819,3),DATEVALUE('Procyflof 700'!D320))))),""))</f>
        <v/>
      </c>
      <c r="AM1819" t="str">
        <f t="shared" ca="1" si="190"/>
        <v/>
      </c>
    </row>
    <row r="1820" spans="27:39" x14ac:dyDescent="0.3">
      <c r="AA1820" t="str">
        <f>IF(COUNTA('Procyflof 700'!A321,'Procyflof 700'!B321,'Procyflof 700'!C321)&gt;0,"700","")</f>
        <v/>
      </c>
      <c r="AB1820" t="str">
        <f>IFERROR(IF(ISNUMBER('Procyflof 700'!A321),'Procyflof 700'!A321,DATEVALUE('Procyflof 700'!A321)),"")</f>
        <v/>
      </c>
      <c r="AC1820" t="str">
        <f>IF(AA1820="","",'Procyflof 700'!B321)</f>
        <v/>
      </c>
      <c r="AD1820" t="str">
        <f>IF(AA1820="","",IFERROR(1*'Procyflof 700'!C321,IFERROR(_xludf.NUMBERVALUE('Procyflof 700'!C321,".",","),IFERROR(_xludf.NUMBERVALUE('Procyflof 700'!C321,",","."),0))))</f>
        <v/>
      </c>
      <c r="AE1820" t="str">
        <f>IF(AA1820="","",'Procyflof 700'!N321)</f>
        <v/>
      </c>
      <c r="AF1820">
        <f t="shared" si="185"/>
        <v>0</v>
      </c>
      <c r="AG1820" t="str">
        <f t="shared" si="186"/>
        <v/>
      </c>
      <c r="AH1820" t="str">
        <f t="shared" si="187"/>
        <v/>
      </c>
      <c r="AI1820">
        <f t="shared" si="188"/>
        <v>0</v>
      </c>
      <c r="AJ1820">
        <f t="shared" si="189"/>
        <v>0</v>
      </c>
      <c r="AK1820">
        <v>0</v>
      </c>
      <c r="AL1820" t="str">
        <f>IF(AA1820="","",IFERROR(IF(ISNUMBER('Procyflof 700'!D321),'Procyflof 700'!D321,IF(ISNUMBER(SEARCH("12",'Procyflof 700'!D321)),EDATE(AB1820,12),IF(ISNUMBER(SEARCH("6",'Procyflof 700'!D321)),EDATE(AB1820,6),IF(ISNUMBER(SEARCH("3",'Procyflof 700'!D321)),EDATE(AB1820,3),DATEVALUE('Procyflof 700'!D321))))),""))</f>
        <v/>
      </c>
      <c r="AM1820" t="str">
        <f t="shared" ca="1" si="190"/>
        <v/>
      </c>
    </row>
    <row r="1821" spans="27:39" x14ac:dyDescent="0.3">
      <c r="AA1821" t="str">
        <f>IF(COUNTA('Procyflof 700'!A322,'Procyflof 700'!B322,'Procyflof 700'!C322)&gt;0,"700","")</f>
        <v/>
      </c>
      <c r="AB1821" t="str">
        <f>IFERROR(IF(ISNUMBER('Procyflof 700'!A322),'Procyflof 700'!A322,DATEVALUE('Procyflof 700'!A322)),"")</f>
        <v/>
      </c>
      <c r="AC1821" t="str">
        <f>IF(AA1821="","",'Procyflof 700'!B322)</f>
        <v/>
      </c>
      <c r="AD1821" t="str">
        <f>IF(AA1821="","",IFERROR(1*'Procyflof 700'!C322,IFERROR(_xludf.NUMBERVALUE('Procyflof 700'!C322,".",","),IFERROR(_xludf.NUMBERVALUE('Procyflof 700'!C322,",","."),0))))</f>
        <v/>
      </c>
      <c r="AE1821" t="str">
        <f>IF(AA1821="","",'Procyflof 700'!N322)</f>
        <v/>
      </c>
      <c r="AF1821">
        <f t="shared" si="185"/>
        <v>0</v>
      </c>
      <c r="AG1821" t="str">
        <f t="shared" si="186"/>
        <v/>
      </c>
      <c r="AH1821" t="str">
        <f t="shared" si="187"/>
        <v/>
      </c>
      <c r="AI1821">
        <f t="shared" si="188"/>
        <v>0</v>
      </c>
      <c r="AJ1821">
        <f t="shared" si="189"/>
        <v>0</v>
      </c>
      <c r="AK1821">
        <v>0</v>
      </c>
      <c r="AL1821" t="str">
        <f>IF(AA1821="","",IFERROR(IF(ISNUMBER('Procyflof 700'!D322),'Procyflof 700'!D322,IF(ISNUMBER(SEARCH("12",'Procyflof 700'!D322)),EDATE(AB1821,12),IF(ISNUMBER(SEARCH("6",'Procyflof 700'!D322)),EDATE(AB1821,6),IF(ISNUMBER(SEARCH("3",'Procyflof 700'!D322)),EDATE(AB1821,3),DATEVALUE('Procyflof 700'!D322))))),""))</f>
        <v/>
      </c>
      <c r="AM1821" t="str">
        <f t="shared" ca="1" si="190"/>
        <v/>
      </c>
    </row>
    <row r="1822" spans="27:39" x14ac:dyDescent="0.3">
      <c r="AA1822" t="str">
        <f>IF(COUNTA('Procyflof 700'!A323,'Procyflof 700'!B323,'Procyflof 700'!C323)&gt;0,"700","")</f>
        <v/>
      </c>
      <c r="AB1822" t="str">
        <f>IFERROR(IF(ISNUMBER('Procyflof 700'!A323),'Procyflof 700'!A323,DATEVALUE('Procyflof 700'!A323)),"")</f>
        <v/>
      </c>
      <c r="AC1822" t="str">
        <f>IF(AA1822="","",'Procyflof 700'!B323)</f>
        <v/>
      </c>
      <c r="AD1822" t="str">
        <f>IF(AA1822="","",IFERROR(1*'Procyflof 700'!C323,IFERROR(_xludf.NUMBERVALUE('Procyflof 700'!C323,".",","),IFERROR(_xludf.NUMBERVALUE('Procyflof 700'!C323,",","."),0))))</f>
        <v/>
      </c>
      <c r="AE1822" t="str">
        <f>IF(AA1822="","",'Procyflof 700'!N323)</f>
        <v/>
      </c>
      <c r="AF1822">
        <f t="shared" si="185"/>
        <v>0</v>
      </c>
      <c r="AG1822" t="str">
        <f t="shared" si="186"/>
        <v/>
      </c>
      <c r="AH1822" t="str">
        <f t="shared" si="187"/>
        <v/>
      </c>
      <c r="AI1822">
        <f t="shared" si="188"/>
        <v>0</v>
      </c>
      <c r="AJ1822">
        <f t="shared" si="189"/>
        <v>0</v>
      </c>
      <c r="AK1822">
        <v>0</v>
      </c>
      <c r="AL1822" t="str">
        <f>IF(AA1822="","",IFERROR(IF(ISNUMBER('Procyflof 700'!D323),'Procyflof 700'!D323,IF(ISNUMBER(SEARCH("12",'Procyflof 700'!D323)),EDATE(AB1822,12),IF(ISNUMBER(SEARCH("6",'Procyflof 700'!D323)),EDATE(AB1822,6),IF(ISNUMBER(SEARCH("3",'Procyflof 700'!D323)),EDATE(AB1822,3),DATEVALUE('Procyflof 700'!D323))))),""))</f>
        <v/>
      </c>
      <c r="AM1822" t="str">
        <f t="shared" ca="1" si="190"/>
        <v/>
      </c>
    </row>
    <row r="1823" spans="27:39" x14ac:dyDescent="0.3">
      <c r="AA1823" t="str">
        <f>IF(COUNTA('Procyflof 700'!A324,'Procyflof 700'!B324,'Procyflof 700'!C324)&gt;0,"700","")</f>
        <v/>
      </c>
      <c r="AB1823" t="str">
        <f>IFERROR(IF(ISNUMBER('Procyflof 700'!A324),'Procyflof 700'!A324,DATEVALUE('Procyflof 700'!A324)),"")</f>
        <v/>
      </c>
      <c r="AC1823" t="str">
        <f>IF(AA1823="","",'Procyflof 700'!B324)</f>
        <v/>
      </c>
      <c r="AD1823" t="str">
        <f>IF(AA1823="","",IFERROR(1*'Procyflof 700'!C324,IFERROR(_xludf.NUMBERVALUE('Procyflof 700'!C324,".",","),IFERROR(_xludf.NUMBERVALUE('Procyflof 700'!C324,",","."),0))))</f>
        <v/>
      </c>
      <c r="AE1823" t="str">
        <f>IF(AA1823="","",'Procyflof 700'!N324)</f>
        <v/>
      </c>
      <c r="AF1823">
        <f t="shared" si="185"/>
        <v>0</v>
      </c>
      <c r="AG1823" t="str">
        <f t="shared" si="186"/>
        <v/>
      </c>
      <c r="AH1823" t="str">
        <f t="shared" si="187"/>
        <v/>
      </c>
      <c r="AI1823">
        <f t="shared" si="188"/>
        <v>0</v>
      </c>
      <c r="AJ1823">
        <f t="shared" si="189"/>
        <v>0</v>
      </c>
      <c r="AK1823">
        <v>0</v>
      </c>
      <c r="AL1823" t="str">
        <f>IF(AA1823="","",IFERROR(IF(ISNUMBER('Procyflof 700'!D324),'Procyflof 700'!D324,IF(ISNUMBER(SEARCH("12",'Procyflof 700'!D324)),EDATE(AB1823,12),IF(ISNUMBER(SEARCH("6",'Procyflof 700'!D324)),EDATE(AB1823,6),IF(ISNUMBER(SEARCH("3",'Procyflof 700'!D324)),EDATE(AB1823,3),DATEVALUE('Procyflof 700'!D324))))),""))</f>
        <v/>
      </c>
      <c r="AM1823" t="str">
        <f t="shared" ca="1" si="190"/>
        <v/>
      </c>
    </row>
    <row r="1824" spans="27:39" x14ac:dyDescent="0.3">
      <c r="AA1824" t="str">
        <f>IF(COUNTA('Procyflof 700'!A325,'Procyflof 700'!B325,'Procyflof 700'!C325)&gt;0,"700","")</f>
        <v/>
      </c>
      <c r="AB1824" t="str">
        <f>IFERROR(IF(ISNUMBER('Procyflof 700'!A325),'Procyflof 700'!A325,DATEVALUE('Procyflof 700'!A325)),"")</f>
        <v/>
      </c>
      <c r="AC1824" t="str">
        <f>IF(AA1824="","",'Procyflof 700'!B325)</f>
        <v/>
      </c>
      <c r="AD1824" t="str">
        <f>IF(AA1824="","",IFERROR(1*'Procyflof 700'!C325,IFERROR(_xludf.NUMBERVALUE('Procyflof 700'!C325,".",","),IFERROR(_xludf.NUMBERVALUE('Procyflof 700'!C325,",","."),0))))</f>
        <v/>
      </c>
      <c r="AE1824" t="str">
        <f>IF(AA1824="","",'Procyflof 700'!N325)</f>
        <v/>
      </c>
      <c r="AF1824">
        <f t="shared" si="185"/>
        <v>0</v>
      </c>
      <c r="AG1824" t="str">
        <f t="shared" si="186"/>
        <v/>
      </c>
      <c r="AH1824" t="str">
        <f t="shared" si="187"/>
        <v/>
      </c>
      <c r="AI1824">
        <f t="shared" si="188"/>
        <v>0</v>
      </c>
      <c r="AJ1824">
        <f t="shared" si="189"/>
        <v>0</v>
      </c>
      <c r="AK1824">
        <v>0</v>
      </c>
      <c r="AL1824" t="str">
        <f>IF(AA1824="","",IFERROR(IF(ISNUMBER('Procyflof 700'!D325),'Procyflof 700'!D325,IF(ISNUMBER(SEARCH("12",'Procyflof 700'!D325)),EDATE(AB1824,12),IF(ISNUMBER(SEARCH("6",'Procyflof 700'!D325)),EDATE(AB1824,6),IF(ISNUMBER(SEARCH("3",'Procyflof 700'!D325)),EDATE(AB1824,3),DATEVALUE('Procyflof 700'!D325))))),""))</f>
        <v/>
      </c>
      <c r="AM1824" t="str">
        <f t="shared" ca="1" si="190"/>
        <v/>
      </c>
    </row>
    <row r="1825" spans="27:39" x14ac:dyDescent="0.3">
      <c r="AA1825" t="str">
        <f>IF(COUNTA('Procyflof 700'!A326,'Procyflof 700'!B326,'Procyflof 700'!C326)&gt;0,"700","")</f>
        <v/>
      </c>
      <c r="AB1825" t="str">
        <f>IFERROR(IF(ISNUMBER('Procyflof 700'!A326),'Procyflof 700'!A326,DATEVALUE('Procyflof 700'!A326)),"")</f>
        <v/>
      </c>
      <c r="AC1825" t="str">
        <f>IF(AA1825="","",'Procyflof 700'!B326)</f>
        <v/>
      </c>
      <c r="AD1825" t="str">
        <f>IF(AA1825="","",IFERROR(1*'Procyflof 700'!C326,IFERROR(_xludf.NUMBERVALUE('Procyflof 700'!C326,".",","),IFERROR(_xludf.NUMBERVALUE('Procyflof 700'!C326,",","."),0))))</f>
        <v/>
      </c>
      <c r="AE1825" t="str">
        <f>IF(AA1825="","",'Procyflof 700'!N326)</f>
        <v/>
      </c>
      <c r="AF1825">
        <f t="shared" si="185"/>
        <v>0</v>
      </c>
      <c r="AG1825" t="str">
        <f t="shared" si="186"/>
        <v/>
      </c>
      <c r="AH1825" t="str">
        <f t="shared" si="187"/>
        <v/>
      </c>
      <c r="AI1825">
        <f t="shared" si="188"/>
        <v>0</v>
      </c>
      <c r="AJ1825">
        <f t="shared" si="189"/>
        <v>0</v>
      </c>
      <c r="AK1825">
        <v>0</v>
      </c>
      <c r="AL1825" t="str">
        <f>IF(AA1825="","",IFERROR(IF(ISNUMBER('Procyflof 700'!D326),'Procyflof 700'!D326,IF(ISNUMBER(SEARCH("12",'Procyflof 700'!D326)),EDATE(AB1825,12),IF(ISNUMBER(SEARCH("6",'Procyflof 700'!D326)),EDATE(AB1825,6),IF(ISNUMBER(SEARCH("3",'Procyflof 700'!D326)),EDATE(AB1825,3),DATEVALUE('Procyflof 700'!D326))))),""))</f>
        <v/>
      </c>
      <c r="AM1825" t="str">
        <f t="shared" ca="1" si="190"/>
        <v/>
      </c>
    </row>
    <row r="1826" spans="27:39" x14ac:dyDescent="0.3">
      <c r="AA1826" t="str">
        <f>IF(COUNTA('Procyflof 700'!A327,'Procyflof 700'!B327,'Procyflof 700'!C327)&gt;0,"700","")</f>
        <v/>
      </c>
      <c r="AB1826" t="str">
        <f>IFERROR(IF(ISNUMBER('Procyflof 700'!A327),'Procyflof 700'!A327,DATEVALUE('Procyflof 700'!A327)),"")</f>
        <v/>
      </c>
      <c r="AC1826" t="str">
        <f>IF(AA1826="","",'Procyflof 700'!B327)</f>
        <v/>
      </c>
      <c r="AD1826" t="str">
        <f>IF(AA1826="","",IFERROR(1*'Procyflof 700'!C327,IFERROR(_xludf.NUMBERVALUE('Procyflof 700'!C327,".",","),IFERROR(_xludf.NUMBERVALUE('Procyflof 700'!C327,",","."),0))))</f>
        <v/>
      </c>
      <c r="AE1826" t="str">
        <f>IF(AA1826="","",'Procyflof 700'!N327)</f>
        <v/>
      </c>
      <c r="AF1826">
        <f t="shared" si="185"/>
        <v>0</v>
      </c>
      <c r="AG1826" t="str">
        <f t="shared" si="186"/>
        <v/>
      </c>
      <c r="AH1826" t="str">
        <f t="shared" si="187"/>
        <v/>
      </c>
      <c r="AI1826">
        <f t="shared" si="188"/>
        <v>0</v>
      </c>
      <c r="AJ1826">
        <f t="shared" si="189"/>
        <v>0</v>
      </c>
      <c r="AK1826">
        <v>0</v>
      </c>
      <c r="AL1826" t="str">
        <f>IF(AA1826="","",IFERROR(IF(ISNUMBER('Procyflof 700'!D327),'Procyflof 700'!D327,IF(ISNUMBER(SEARCH("12",'Procyflof 700'!D327)),EDATE(AB1826,12),IF(ISNUMBER(SEARCH("6",'Procyflof 700'!D327)),EDATE(AB1826,6),IF(ISNUMBER(SEARCH("3",'Procyflof 700'!D327)),EDATE(AB1826,3),DATEVALUE('Procyflof 700'!D327))))),""))</f>
        <v/>
      </c>
      <c r="AM1826" t="str">
        <f t="shared" ca="1" si="190"/>
        <v/>
      </c>
    </row>
    <row r="1827" spans="27:39" x14ac:dyDescent="0.3">
      <c r="AA1827" t="str">
        <f>IF(COUNTA('Procyflof 700'!A328,'Procyflof 700'!B328,'Procyflof 700'!C328)&gt;0,"700","")</f>
        <v/>
      </c>
      <c r="AB1827" t="str">
        <f>IFERROR(IF(ISNUMBER('Procyflof 700'!A328),'Procyflof 700'!A328,DATEVALUE('Procyflof 700'!A328)),"")</f>
        <v/>
      </c>
      <c r="AC1827" t="str">
        <f>IF(AA1827="","",'Procyflof 700'!B328)</f>
        <v/>
      </c>
      <c r="AD1827" t="str">
        <f>IF(AA1827="","",IFERROR(1*'Procyflof 700'!C328,IFERROR(_xludf.NUMBERVALUE('Procyflof 700'!C328,".",","),IFERROR(_xludf.NUMBERVALUE('Procyflof 700'!C328,",","."),0))))</f>
        <v/>
      </c>
      <c r="AE1827" t="str">
        <f>IF(AA1827="","",'Procyflof 700'!N328)</f>
        <v/>
      </c>
      <c r="AF1827">
        <f t="shared" si="185"/>
        <v>0</v>
      </c>
      <c r="AG1827" t="str">
        <f t="shared" si="186"/>
        <v/>
      </c>
      <c r="AH1827" t="str">
        <f t="shared" si="187"/>
        <v/>
      </c>
      <c r="AI1827">
        <f t="shared" si="188"/>
        <v>0</v>
      </c>
      <c r="AJ1827">
        <f t="shared" si="189"/>
        <v>0</v>
      </c>
      <c r="AK1827">
        <v>0</v>
      </c>
      <c r="AL1827" t="str">
        <f>IF(AA1827="","",IFERROR(IF(ISNUMBER('Procyflof 700'!D328),'Procyflof 700'!D328,IF(ISNUMBER(SEARCH("12",'Procyflof 700'!D328)),EDATE(AB1827,12),IF(ISNUMBER(SEARCH("6",'Procyflof 700'!D328)),EDATE(AB1827,6),IF(ISNUMBER(SEARCH("3",'Procyflof 700'!D328)),EDATE(AB1827,3),DATEVALUE('Procyflof 700'!D328))))),""))</f>
        <v/>
      </c>
      <c r="AM1827" t="str">
        <f t="shared" ca="1" si="190"/>
        <v/>
      </c>
    </row>
    <row r="1828" spans="27:39" x14ac:dyDescent="0.3">
      <c r="AA1828" t="str">
        <f>IF(COUNTA('Procyflof 700'!A329,'Procyflof 700'!B329,'Procyflof 700'!C329)&gt;0,"700","")</f>
        <v/>
      </c>
      <c r="AB1828" t="str">
        <f>IFERROR(IF(ISNUMBER('Procyflof 700'!A329),'Procyflof 700'!A329,DATEVALUE('Procyflof 700'!A329)),"")</f>
        <v/>
      </c>
      <c r="AC1828" t="str">
        <f>IF(AA1828="","",'Procyflof 700'!B329)</f>
        <v/>
      </c>
      <c r="AD1828" t="str">
        <f>IF(AA1828="","",IFERROR(1*'Procyflof 700'!C329,IFERROR(_xludf.NUMBERVALUE('Procyflof 700'!C329,".",","),IFERROR(_xludf.NUMBERVALUE('Procyflof 700'!C329,",","."),0))))</f>
        <v/>
      </c>
      <c r="AE1828" t="str">
        <f>IF(AA1828="","",'Procyflof 700'!N329)</f>
        <v/>
      </c>
      <c r="AF1828">
        <f t="shared" si="185"/>
        <v>0</v>
      </c>
      <c r="AG1828" t="str">
        <f t="shared" si="186"/>
        <v/>
      </c>
      <c r="AH1828" t="str">
        <f t="shared" si="187"/>
        <v/>
      </c>
      <c r="AI1828">
        <f t="shared" si="188"/>
        <v>0</v>
      </c>
      <c r="AJ1828">
        <f t="shared" si="189"/>
        <v>0</v>
      </c>
      <c r="AK1828">
        <v>0</v>
      </c>
      <c r="AL1828" t="str">
        <f>IF(AA1828="","",IFERROR(IF(ISNUMBER('Procyflof 700'!D329),'Procyflof 700'!D329,IF(ISNUMBER(SEARCH("12",'Procyflof 700'!D329)),EDATE(AB1828,12),IF(ISNUMBER(SEARCH("6",'Procyflof 700'!D329)),EDATE(AB1828,6),IF(ISNUMBER(SEARCH("3",'Procyflof 700'!D329)),EDATE(AB1828,3),DATEVALUE('Procyflof 700'!D329))))),""))</f>
        <v/>
      </c>
      <c r="AM1828" t="str">
        <f t="shared" ca="1" si="190"/>
        <v/>
      </c>
    </row>
    <row r="1829" spans="27:39" x14ac:dyDescent="0.3">
      <c r="AA1829" t="str">
        <f>IF(COUNTA('Procyflof 700'!A330,'Procyflof 700'!B330,'Procyflof 700'!C330)&gt;0,"700","")</f>
        <v/>
      </c>
      <c r="AB1829" t="str">
        <f>IFERROR(IF(ISNUMBER('Procyflof 700'!A330),'Procyflof 700'!A330,DATEVALUE('Procyflof 700'!A330)),"")</f>
        <v/>
      </c>
      <c r="AC1829" t="str">
        <f>IF(AA1829="","",'Procyflof 700'!B330)</f>
        <v/>
      </c>
      <c r="AD1829" t="str">
        <f>IF(AA1829="","",IFERROR(1*'Procyflof 700'!C330,IFERROR(_xludf.NUMBERVALUE('Procyflof 700'!C330,".",","),IFERROR(_xludf.NUMBERVALUE('Procyflof 700'!C330,",","."),0))))</f>
        <v/>
      </c>
      <c r="AE1829" t="str">
        <f>IF(AA1829="","",'Procyflof 700'!N330)</f>
        <v/>
      </c>
      <c r="AF1829">
        <f t="shared" si="185"/>
        <v>0</v>
      </c>
      <c r="AG1829" t="str">
        <f t="shared" si="186"/>
        <v/>
      </c>
      <c r="AH1829" t="str">
        <f t="shared" si="187"/>
        <v/>
      </c>
      <c r="AI1829">
        <f t="shared" si="188"/>
        <v>0</v>
      </c>
      <c r="AJ1829">
        <f t="shared" si="189"/>
        <v>0</v>
      </c>
      <c r="AK1829">
        <v>0</v>
      </c>
      <c r="AL1829" t="str">
        <f>IF(AA1829="","",IFERROR(IF(ISNUMBER('Procyflof 700'!D330),'Procyflof 700'!D330,IF(ISNUMBER(SEARCH("12",'Procyflof 700'!D330)),EDATE(AB1829,12),IF(ISNUMBER(SEARCH("6",'Procyflof 700'!D330)),EDATE(AB1829,6),IF(ISNUMBER(SEARCH("3",'Procyflof 700'!D330)),EDATE(AB1829,3),DATEVALUE('Procyflof 700'!D330))))),""))</f>
        <v/>
      </c>
      <c r="AM1829" t="str">
        <f t="shared" ca="1" si="190"/>
        <v/>
      </c>
    </row>
    <row r="1830" spans="27:39" x14ac:dyDescent="0.3">
      <c r="AA1830" t="str">
        <f>IF(COUNTA('Procyflof 700'!A331,'Procyflof 700'!B331,'Procyflof 700'!C331)&gt;0,"700","")</f>
        <v/>
      </c>
      <c r="AB1830" t="str">
        <f>IFERROR(IF(ISNUMBER('Procyflof 700'!A331),'Procyflof 700'!A331,DATEVALUE('Procyflof 700'!A331)),"")</f>
        <v/>
      </c>
      <c r="AC1830" t="str">
        <f>IF(AA1830="","",'Procyflof 700'!B331)</f>
        <v/>
      </c>
      <c r="AD1830" t="str">
        <f>IF(AA1830="","",IFERROR(1*'Procyflof 700'!C331,IFERROR(_xludf.NUMBERVALUE('Procyflof 700'!C331,".",","),IFERROR(_xludf.NUMBERVALUE('Procyflof 700'!C331,",","."),0))))</f>
        <v/>
      </c>
      <c r="AE1830" t="str">
        <f>IF(AA1830="","",'Procyflof 700'!N331)</f>
        <v/>
      </c>
      <c r="AF1830">
        <f t="shared" si="185"/>
        <v>0</v>
      </c>
      <c r="AG1830" t="str">
        <f t="shared" si="186"/>
        <v/>
      </c>
      <c r="AH1830" t="str">
        <f t="shared" si="187"/>
        <v/>
      </c>
      <c r="AI1830">
        <f t="shared" si="188"/>
        <v>0</v>
      </c>
      <c r="AJ1830">
        <f t="shared" si="189"/>
        <v>0</v>
      </c>
      <c r="AK1830">
        <v>0</v>
      </c>
      <c r="AL1830" t="str">
        <f>IF(AA1830="","",IFERROR(IF(ISNUMBER('Procyflof 700'!D331),'Procyflof 700'!D331,IF(ISNUMBER(SEARCH("12",'Procyflof 700'!D331)),EDATE(AB1830,12),IF(ISNUMBER(SEARCH("6",'Procyflof 700'!D331)),EDATE(AB1830,6),IF(ISNUMBER(SEARCH("3",'Procyflof 700'!D331)),EDATE(AB1830,3),DATEVALUE('Procyflof 700'!D331))))),""))</f>
        <v/>
      </c>
      <c r="AM1830" t="str">
        <f t="shared" ca="1" si="190"/>
        <v/>
      </c>
    </row>
    <row r="1831" spans="27:39" x14ac:dyDescent="0.3">
      <c r="AA1831" t="str">
        <f>IF(COUNTA('Procyflof 700'!A332,'Procyflof 700'!B332,'Procyflof 700'!C332)&gt;0,"700","")</f>
        <v/>
      </c>
      <c r="AB1831" t="str">
        <f>IFERROR(IF(ISNUMBER('Procyflof 700'!A332),'Procyflof 700'!A332,DATEVALUE('Procyflof 700'!A332)),"")</f>
        <v/>
      </c>
      <c r="AC1831" t="str">
        <f>IF(AA1831="","",'Procyflof 700'!B332)</f>
        <v/>
      </c>
      <c r="AD1831" t="str">
        <f>IF(AA1831="","",IFERROR(1*'Procyflof 700'!C332,IFERROR(_xludf.NUMBERVALUE('Procyflof 700'!C332,".",","),IFERROR(_xludf.NUMBERVALUE('Procyflof 700'!C332,",","."),0))))</f>
        <v/>
      </c>
      <c r="AE1831" t="str">
        <f>IF(AA1831="","",'Procyflof 700'!N332)</f>
        <v/>
      </c>
      <c r="AF1831">
        <f t="shared" si="185"/>
        <v>0</v>
      </c>
      <c r="AG1831" t="str">
        <f t="shared" si="186"/>
        <v/>
      </c>
      <c r="AH1831" t="str">
        <f t="shared" si="187"/>
        <v/>
      </c>
      <c r="AI1831">
        <f t="shared" si="188"/>
        <v>0</v>
      </c>
      <c r="AJ1831">
        <f t="shared" si="189"/>
        <v>0</v>
      </c>
      <c r="AK1831">
        <v>0</v>
      </c>
      <c r="AL1831" t="str">
        <f>IF(AA1831="","",IFERROR(IF(ISNUMBER('Procyflof 700'!D332),'Procyflof 700'!D332,IF(ISNUMBER(SEARCH("12",'Procyflof 700'!D332)),EDATE(AB1831,12),IF(ISNUMBER(SEARCH("6",'Procyflof 700'!D332)),EDATE(AB1831,6),IF(ISNUMBER(SEARCH("3",'Procyflof 700'!D332)),EDATE(AB1831,3),DATEVALUE('Procyflof 700'!D332))))),""))</f>
        <v/>
      </c>
      <c r="AM1831" t="str">
        <f t="shared" ca="1" si="190"/>
        <v/>
      </c>
    </row>
    <row r="1832" spans="27:39" x14ac:dyDescent="0.3">
      <c r="AA1832" t="str">
        <f>IF(COUNTA('Procyflof 700'!A333,'Procyflof 700'!B333,'Procyflof 700'!C333)&gt;0,"700","")</f>
        <v/>
      </c>
      <c r="AB1832" t="str">
        <f>IFERROR(IF(ISNUMBER('Procyflof 700'!A333),'Procyflof 700'!A333,DATEVALUE('Procyflof 700'!A333)),"")</f>
        <v/>
      </c>
      <c r="AC1832" t="str">
        <f>IF(AA1832="","",'Procyflof 700'!B333)</f>
        <v/>
      </c>
      <c r="AD1832" t="str">
        <f>IF(AA1832="","",IFERROR(1*'Procyflof 700'!C333,IFERROR(_xludf.NUMBERVALUE('Procyflof 700'!C333,".",","),IFERROR(_xludf.NUMBERVALUE('Procyflof 700'!C333,",","."),0))))</f>
        <v/>
      </c>
      <c r="AE1832" t="str">
        <f>IF(AA1832="","",'Procyflof 700'!N333)</f>
        <v/>
      </c>
      <c r="AF1832">
        <f t="shared" si="185"/>
        <v>0</v>
      </c>
      <c r="AG1832" t="str">
        <f t="shared" si="186"/>
        <v/>
      </c>
      <c r="AH1832" t="str">
        <f t="shared" si="187"/>
        <v/>
      </c>
      <c r="AI1832">
        <f t="shared" si="188"/>
        <v>0</v>
      </c>
      <c r="AJ1832">
        <f t="shared" si="189"/>
        <v>0</v>
      </c>
      <c r="AK1832">
        <v>0</v>
      </c>
      <c r="AL1832" t="str">
        <f>IF(AA1832="","",IFERROR(IF(ISNUMBER('Procyflof 700'!D333),'Procyflof 700'!D333,IF(ISNUMBER(SEARCH("12",'Procyflof 700'!D333)),EDATE(AB1832,12),IF(ISNUMBER(SEARCH("6",'Procyflof 700'!D333)),EDATE(AB1832,6),IF(ISNUMBER(SEARCH("3",'Procyflof 700'!D333)),EDATE(AB1832,3),DATEVALUE('Procyflof 700'!D333))))),""))</f>
        <v/>
      </c>
      <c r="AM1832" t="str">
        <f t="shared" ca="1" si="190"/>
        <v/>
      </c>
    </row>
    <row r="1833" spans="27:39" x14ac:dyDescent="0.3">
      <c r="AA1833" t="str">
        <f>IF(COUNTA('Procyflof 700'!A334,'Procyflof 700'!B334,'Procyflof 700'!C334)&gt;0,"700","")</f>
        <v/>
      </c>
      <c r="AB1833" t="str">
        <f>IFERROR(IF(ISNUMBER('Procyflof 700'!A334),'Procyflof 700'!A334,DATEVALUE('Procyflof 700'!A334)),"")</f>
        <v/>
      </c>
      <c r="AC1833" t="str">
        <f>IF(AA1833="","",'Procyflof 700'!B334)</f>
        <v/>
      </c>
      <c r="AD1833" t="str">
        <f>IF(AA1833="","",IFERROR(1*'Procyflof 700'!C334,IFERROR(_xludf.NUMBERVALUE('Procyflof 700'!C334,".",","),IFERROR(_xludf.NUMBERVALUE('Procyflof 700'!C334,",","."),0))))</f>
        <v/>
      </c>
      <c r="AE1833" t="str">
        <f>IF(AA1833="","",'Procyflof 700'!N334)</f>
        <v/>
      </c>
      <c r="AF1833">
        <f t="shared" si="185"/>
        <v>0</v>
      </c>
      <c r="AG1833" t="str">
        <f t="shared" si="186"/>
        <v/>
      </c>
      <c r="AH1833" t="str">
        <f t="shared" si="187"/>
        <v/>
      </c>
      <c r="AI1833">
        <f t="shared" si="188"/>
        <v>0</v>
      </c>
      <c r="AJ1833">
        <f t="shared" si="189"/>
        <v>0</v>
      </c>
      <c r="AK1833">
        <v>0</v>
      </c>
      <c r="AL1833" t="str">
        <f>IF(AA1833="","",IFERROR(IF(ISNUMBER('Procyflof 700'!D334),'Procyflof 700'!D334,IF(ISNUMBER(SEARCH("12",'Procyflof 700'!D334)),EDATE(AB1833,12),IF(ISNUMBER(SEARCH("6",'Procyflof 700'!D334)),EDATE(AB1833,6),IF(ISNUMBER(SEARCH("3",'Procyflof 700'!D334)),EDATE(AB1833,3),DATEVALUE('Procyflof 700'!D334))))),""))</f>
        <v/>
      </c>
      <c r="AM1833" t="str">
        <f t="shared" ca="1" si="190"/>
        <v/>
      </c>
    </row>
    <row r="1834" spans="27:39" x14ac:dyDescent="0.3">
      <c r="AA1834" t="str">
        <f>IF(COUNTA('Procyflof 700'!A335,'Procyflof 700'!B335,'Procyflof 700'!C335)&gt;0,"700","")</f>
        <v/>
      </c>
      <c r="AB1834" t="str">
        <f>IFERROR(IF(ISNUMBER('Procyflof 700'!A335),'Procyflof 700'!A335,DATEVALUE('Procyflof 700'!A335)),"")</f>
        <v/>
      </c>
      <c r="AC1834" t="str">
        <f>IF(AA1834="","",'Procyflof 700'!B335)</f>
        <v/>
      </c>
      <c r="AD1834" t="str">
        <f>IF(AA1834="","",IFERROR(1*'Procyflof 700'!C335,IFERROR(_xludf.NUMBERVALUE('Procyflof 700'!C335,".",","),IFERROR(_xludf.NUMBERVALUE('Procyflof 700'!C335,",","."),0))))</f>
        <v/>
      </c>
      <c r="AE1834" t="str">
        <f>IF(AA1834="","",'Procyflof 700'!N335)</f>
        <v/>
      </c>
      <c r="AF1834">
        <f t="shared" si="185"/>
        <v>0</v>
      </c>
      <c r="AG1834" t="str">
        <f t="shared" si="186"/>
        <v/>
      </c>
      <c r="AH1834" t="str">
        <f t="shared" si="187"/>
        <v/>
      </c>
      <c r="AI1834">
        <f t="shared" si="188"/>
        <v>0</v>
      </c>
      <c r="AJ1834">
        <f t="shared" si="189"/>
        <v>0</v>
      </c>
      <c r="AK1834">
        <v>0</v>
      </c>
      <c r="AL1834" t="str">
        <f>IF(AA1834="","",IFERROR(IF(ISNUMBER('Procyflof 700'!D335),'Procyflof 700'!D335,IF(ISNUMBER(SEARCH("12",'Procyflof 700'!D335)),EDATE(AB1834,12),IF(ISNUMBER(SEARCH("6",'Procyflof 700'!D335)),EDATE(AB1834,6),IF(ISNUMBER(SEARCH("3",'Procyflof 700'!D335)),EDATE(AB1834,3),DATEVALUE('Procyflof 700'!D335))))),""))</f>
        <v/>
      </c>
      <c r="AM1834" t="str">
        <f t="shared" ca="1" si="190"/>
        <v/>
      </c>
    </row>
    <row r="1835" spans="27:39" x14ac:dyDescent="0.3">
      <c r="AA1835" t="str">
        <f>IF(COUNTA('Procyflof 700'!A336,'Procyflof 700'!B336,'Procyflof 700'!C336)&gt;0,"700","")</f>
        <v/>
      </c>
      <c r="AB1835" t="str">
        <f>IFERROR(IF(ISNUMBER('Procyflof 700'!A336),'Procyflof 700'!A336,DATEVALUE('Procyflof 700'!A336)),"")</f>
        <v/>
      </c>
      <c r="AC1835" t="str">
        <f>IF(AA1835="","",'Procyflof 700'!B336)</f>
        <v/>
      </c>
      <c r="AD1835" t="str">
        <f>IF(AA1835="","",IFERROR(1*'Procyflof 700'!C336,IFERROR(_xludf.NUMBERVALUE('Procyflof 700'!C336,".",","),IFERROR(_xludf.NUMBERVALUE('Procyflof 700'!C336,",","."),0))))</f>
        <v/>
      </c>
      <c r="AE1835" t="str">
        <f>IF(AA1835="","",'Procyflof 700'!N336)</f>
        <v/>
      </c>
      <c r="AF1835">
        <f t="shared" si="185"/>
        <v>0</v>
      </c>
      <c r="AG1835" t="str">
        <f t="shared" si="186"/>
        <v/>
      </c>
      <c r="AH1835" t="str">
        <f t="shared" si="187"/>
        <v/>
      </c>
      <c r="AI1835">
        <f t="shared" si="188"/>
        <v>0</v>
      </c>
      <c r="AJ1835">
        <f t="shared" si="189"/>
        <v>0</v>
      </c>
      <c r="AK1835">
        <v>0</v>
      </c>
      <c r="AL1835" t="str">
        <f>IF(AA1835="","",IFERROR(IF(ISNUMBER('Procyflof 700'!D336),'Procyflof 700'!D336,IF(ISNUMBER(SEARCH("12",'Procyflof 700'!D336)),EDATE(AB1835,12),IF(ISNUMBER(SEARCH("6",'Procyflof 700'!D336)),EDATE(AB1835,6),IF(ISNUMBER(SEARCH("3",'Procyflof 700'!D336)),EDATE(AB1835,3),DATEVALUE('Procyflof 700'!D336))))),""))</f>
        <v/>
      </c>
      <c r="AM1835" t="str">
        <f t="shared" ca="1" si="190"/>
        <v/>
      </c>
    </row>
    <row r="1836" spans="27:39" x14ac:dyDescent="0.3">
      <c r="AA1836" t="str">
        <f>IF(COUNTA('Procyflof 700'!A337,'Procyflof 700'!B337,'Procyflof 700'!C337)&gt;0,"700","")</f>
        <v/>
      </c>
      <c r="AB1836" t="str">
        <f>IFERROR(IF(ISNUMBER('Procyflof 700'!A337),'Procyflof 700'!A337,DATEVALUE('Procyflof 700'!A337)),"")</f>
        <v/>
      </c>
      <c r="AC1836" t="str">
        <f>IF(AA1836="","",'Procyflof 700'!B337)</f>
        <v/>
      </c>
      <c r="AD1836" t="str">
        <f>IF(AA1836="","",IFERROR(1*'Procyflof 700'!C337,IFERROR(_xludf.NUMBERVALUE('Procyflof 700'!C337,".",","),IFERROR(_xludf.NUMBERVALUE('Procyflof 700'!C337,",","."),0))))</f>
        <v/>
      </c>
      <c r="AE1836" t="str">
        <f>IF(AA1836="","",'Procyflof 700'!N337)</f>
        <v/>
      </c>
      <c r="AF1836">
        <f t="shared" si="185"/>
        <v>0</v>
      </c>
      <c r="AG1836" t="str">
        <f t="shared" si="186"/>
        <v/>
      </c>
      <c r="AH1836" t="str">
        <f t="shared" si="187"/>
        <v/>
      </c>
      <c r="AI1836">
        <f t="shared" si="188"/>
        <v>0</v>
      </c>
      <c r="AJ1836">
        <f t="shared" si="189"/>
        <v>0</v>
      </c>
      <c r="AK1836">
        <v>0</v>
      </c>
      <c r="AL1836" t="str">
        <f>IF(AA1836="","",IFERROR(IF(ISNUMBER('Procyflof 700'!D337),'Procyflof 700'!D337,IF(ISNUMBER(SEARCH("12",'Procyflof 700'!D337)),EDATE(AB1836,12),IF(ISNUMBER(SEARCH("6",'Procyflof 700'!D337)),EDATE(AB1836,6),IF(ISNUMBER(SEARCH("3",'Procyflof 700'!D337)),EDATE(AB1836,3),DATEVALUE('Procyflof 700'!D337))))),""))</f>
        <v/>
      </c>
      <c r="AM1836" t="str">
        <f t="shared" ca="1" si="190"/>
        <v/>
      </c>
    </row>
    <row r="1837" spans="27:39" x14ac:dyDescent="0.3">
      <c r="AA1837" t="str">
        <f>IF(COUNTA('Procyflof 700'!A338,'Procyflof 700'!B338,'Procyflof 700'!C338)&gt;0,"700","")</f>
        <v/>
      </c>
      <c r="AB1837" t="str">
        <f>IFERROR(IF(ISNUMBER('Procyflof 700'!A338),'Procyflof 700'!A338,DATEVALUE('Procyflof 700'!A338)),"")</f>
        <v/>
      </c>
      <c r="AC1837" t="str">
        <f>IF(AA1837="","",'Procyflof 700'!B338)</f>
        <v/>
      </c>
      <c r="AD1837" t="str">
        <f>IF(AA1837="","",IFERROR(1*'Procyflof 700'!C338,IFERROR(_xludf.NUMBERVALUE('Procyflof 700'!C338,".",","),IFERROR(_xludf.NUMBERVALUE('Procyflof 700'!C338,",","."),0))))</f>
        <v/>
      </c>
      <c r="AE1837" t="str">
        <f>IF(AA1837="","",'Procyflof 700'!N338)</f>
        <v/>
      </c>
      <c r="AF1837">
        <f t="shared" si="185"/>
        <v>0</v>
      </c>
      <c r="AG1837" t="str">
        <f t="shared" si="186"/>
        <v/>
      </c>
      <c r="AH1837" t="str">
        <f t="shared" si="187"/>
        <v/>
      </c>
      <c r="AI1837">
        <f t="shared" si="188"/>
        <v>0</v>
      </c>
      <c r="AJ1837">
        <f t="shared" si="189"/>
        <v>0</v>
      </c>
      <c r="AK1837">
        <v>0</v>
      </c>
      <c r="AL1837" t="str">
        <f>IF(AA1837="","",IFERROR(IF(ISNUMBER('Procyflof 700'!D338),'Procyflof 700'!D338,IF(ISNUMBER(SEARCH("12",'Procyflof 700'!D338)),EDATE(AB1837,12),IF(ISNUMBER(SEARCH("6",'Procyflof 700'!D338)),EDATE(AB1837,6),IF(ISNUMBER(SEARCH("3",'Procyflof 700'!D338)),EDATE(AB1837,3),DATEVALUE('Procyflof 700'!D338))))),""))</f>
        <v/>
      </c>
      <c r="AM1837" t="str">
        <f t="shared" ca="1" si="190"/>
        <v/>
      </c>
    </row>
    <row r="1838" spans="27:39" x14ac:dyDescent="0.3">
      <c r="AA1838" t="str">
        <f>IF(COUNTA('Procyflof 700'!A339,'Procyflof 700'!B339,'Procyflof 700'!C339)&gt;0,"700","")</f>
        <v/>
      </c>
      <c r="AB1838" t="str">
        <f>IFERROR(IF(ISNUMBER('Procyflof 700'!A339),'Procyflof 700'!A339,DATEVALUE('Procyflof 700'!A339)),"")</f>
        <v/>
      </c>
      <c r="AC1838" t="str">
        <f>IF(AA1838="","",'Procyflof 700'!B339)</f>
        <v/>
      </c>
      <c r="AD1838" t="str">
        <f>IF(AA1838="","",IFERROR(1*'Procyflof 700'!C339,IFERROR(_xludf.NUMBERVALUE('Procyflof 700'!C339,".",","),IFERROR(_xludf.NUMBERVALUE('Procyflof 700'!C339,",","."),0))))</f>
        <v/>
      </c>
      <c r="AE1838" t="str">
        <f>IF(AA1838="","",'Procyflof 700'!N339)</f>
        <v/>
      </c>
      <c r="AF1838">
        <f t="shared" si="185"/>
        <v>0</v>
      </c>
      <c r="AG1838" t="str">
        <f t="shared" si="186"/>
        <v/>
      </c>
      <c r="AH1838" t="str">
        <f t="shared" si="187"/>
        <v/>
      </c>
      <c r="AI1838">
        <f t="shared" si="188"/>
        <v>0</v>
      </c>
      <c r="AJ1838">
        <f t="shared" si="189"/>
        <v>0</v>
      </c>
      <c r="AK1838">
        <v>0</v>
      </c>
      <c r="AL1838" t="str">
        <f>IF(AA1838="","",IFERROR(IF(ISNUMBER('Procyflof 700'!D339),'Procyflof 700'!D339,IF(ISNUMBER(SEARCH("12",'Procyflof 700'!D339)),EDATE(AB1838,12),IF(ISNUMBER(SEARCH("6",'Procyflof 700'!D339)),EDATE(AB1838,6),IF(ISNUMBER(SEARCH("3",'Procyflof 700'!D339)),EDATE(AB1838,3),DATEVALUE('Procyflof 700'!D339))))),""))</f>
        <v/>
      </c>
      <c r="AM1838" t="str">
        <f t="shared" ca="1" si="190"/>
        <v/>
      </c>
    </row>
    <row r="1839" spans="27:39" x14ac:dyDescent="0.3">
      <c r="AA1839" t="str">
        <f>IF(COUNTA('Procyflof 700'!A340,'Procyflof 700'!B340,'Procyflof 700'!C340)&gt;0,"700","")</f>
        <v/>
      </c>
      <c r="AB1839" t="str">
        <f>IFERROR(IF(ISNUMBER('Procyflof 700'!A340),'Procyflof 700'!A340,DATEVALUE('Procyflof 700'!A340)),"")</f>
        <v/>
      </c>
      <c r="AC1839" t="str">
        <f>IF(AA1839="","",'Procyflof 700'!B340)</f>
        <v/>
      </c>
      <c r="AD1839" t="str">
        <f>IF(AA1839="","",IFERROR(1*'Procyflof 700'!C340,IFERROR(_xludf.NUMBERVALUE('Procyflof 700'!C340,".",","),IFERROR(_xludf.NUMBERVALUE('Procyflof 700'!C340,",","."),0))))</f>
        <v/>
      </c>
      <c r="AE1839" t="str">
        <f>IF(AA1839="","",'Procyflof 700'!N340)</f>
        <v/>
      </c>
      <c r="AF1839">
        <f t="shared" si="185"/>
        <v>0</v>
      </c>
      <c r="AG1839" t="str">
        <f t="shared" si="186"/>
        <v/>
      </c>
      <c r="AH1839" t="str">
        <f t="shared" si="187"/>
        <v/>
      </c>
      <c r="AI1839">
        <f t="shared" si="188"/>
        <v>0</v>
      </c>
      <c r="AJ1839">
        <f t="shared" si="189"/>
        <v>0</v>
      </c>
      <c r="AK1839">
        <v>0</v>
      </c>
      <c r="AL1839" t="str">
        <f>IF(AA1839="","",IFERROR(IF(ISNUMBER('Procyflof 700'!D340),'Procyflof 700'!D340,IF(ISNUMBER(SEARCH("12",'Procyflof 700'!D340)),EDATE(AB1839,12),IF(ISNUMBER(SEARCH("6",'Procyflof 700'!D340)),EDATE(AB1839,6),IF(ISNUMBER(SEARCH("3",'Procyflof 700'!D340)),EDATE(AB1839,3),DATEVALUE('Procyflof 700'!D340))))),""))</f>
        <v/>
      </c>
      <c r="AM1839" t="str">
        <f t="shared" ca="1" si="190"/>
        <v/>
      </c>
    </row>
    <row r="1840" spans="27:39" x14ac:dyDescent="0.3">
      <c r="AA1840" t="str">
        <f>IF(COUNTA('Procyflof 700'!A341,'Procyflof 700'!B341,'Procyflof 700'!C341)&gt;0,"700","")</f>
        <v/>
      </c>
      <c r="AB1840" t="str">
        <f>IFERROR(IF(ISNUMBER('Procyflof 700'!A341),'Procyflof 700'!A341,DATEVALUE('Procyflof 700'!A341)),"")</f>
        <v/>
      </c>
      <c r="AC1840" t="str">
        <f>IF(AA1840="","",'Procyflof 700'!B341)</f>
        <v/>
      </c>
      <c r="AD1840" t="str">
        <f>IF(AA1840="","",IFERROR(1*'Procyflof 700'!C341,IFERROR(_xludf.NUMBERVALUE('Procyflof 700'!C341,".",","),IFERROR(_xludf.NUMBERVALUE('Procyflof 700'!C341,",","."),0))))</f>
        <v/>
      </c>
      <c r="AE1840" t="str">
        <f>IF(AA1840="","",'Procyflof 700'!N341)</f>
        <v/>
      </c>
      <c r="AF1840">
        <f t="shared" si="185"/>
        <v>0</v>
      </c>
      <c r="AG1840" t="str">
        <f t="shared" si="186"/>
        <v/>
      </c>
      <c r="AH1840" t="str">
        <f t="shared" si="187"/>
        <v/>
      </c>
      <c r="AI1840">
        <f t="shared" si="188"/>
        <v>0</v>
      </c>
      <c r="AJ1840">
        <f t="shared" si="189"/>
        <v>0</v>
      </c>
      <c r="AK1840">
        <v>0</v>
      </c>
      <c r="AL1840" t="str">
        <f>IF(AA1840="","",IFERROR(IF(ISNUMBER('Procyflof 700'!D341),'Procyflof 700'!D341,IF(ISNUMBER(SEARCH("12",'Procyflof 700'!D341)),EDATE(AB1840,12),IF(ISNUMBER(SEARCH("6",'Procyflof 700'!D341)),EDATE(AB1840,6),IF(ISNUMBER(SEARCH("3",'Procyflof 700'!D341)),EDATE(AB1840,3),DATEVALUE('Procyflof 700'!D341))))),""))</f>
        <v/>
      </c>
      <c r="AM1840" t="str">
        <f t="shared" ca="1" si="190"/>
        <v/>
      </c>
    </row>
    <row r="1841" spans="27:39" x14ac:dyDescent="0.3">
      <c r="AA1841" t="str">
        <f>IF(COUNTA('Procyflof 700'!A342,'Procyflof 700'!B342,'Procyflof 700'!C342)&gt;0,"700","")</f>
        <v/>
      </c>
      <c r="AB1841" t="str">
        <f>IFERROR(IF(ISNUMBER('Procyflof 700'!A342),'Procyflof 700'!A342,DATEVALUE('Procyflof 700'!A342)),"")</f>
        <v/>
      </c>
      <c r="AC1841" t="str">
        <f>IF(AA1841="","",'Procyflof 700'!B342)</f>
        <v/>
      </c>
      <c r="AD1841" t="str">
        <f>IF(AA1841="","",IFERROR(1*'Procyflof 700'!C342,IFERROR(_xludf.NUMBERVALUE('Procyflof 700'!C342,".",","),IFERROR(_xludf.NUMBERVALUE('Procyflof 700'!C342,",","."),0))))</f>
        <v/>
      </c>
      <c r="AE1841" t="str">
        <f>IF(AA1841="","",'Procyflof 700'!N342)</f>
        <v/>
      </c>
      <c r="AF1841">
        <f t="shared" si="185"/>
        <v>0</v>
      </c>
      <c r="AG1841" t="str">
        <f t="shared" si="186"/>
        <v/>
      </c>
      <c r="AH1841" t="str">
        <f t="shared" si="187"/>
        <v/>
      </c>
      <c r="AI1841">
        <f t="shared" si="188"/>
        <v>0</v>
      </c>
      <c r="AJ1841">
        <f t="shared" si="189"/>
        <v>0</v>
      </c>
      <c r="AK1841">
        <v>0</v>
      </c>
      <c r="AL1841" t="str">
        <f>IF(AA1841="","",IFERROR(IF(ISNUMBER('Procyflof 700'!D342),'Procyflof 700'!D342,IF(ISNUMBER(SEARCH("12",'Procyflof 700'!D342)),EDATE(AB1841,12),IF(ISNUMBER(SEARCH("6",'Procyflof 700'!D342)),EDATE(AB1841,6),IF(ISNUMBER(SEARCH("3",'Procyflof 700'!D342)),EDATE(AB1841,3),DATEVALUE('Procyflof 700'!D342))))),""))</f>
        <v/>
      </c>
      <c r="AM1841" t="str">
        <f t="shared" ca="1" si="190"/>
        <v/>
      </c>
    </row>
    <row r="1842" spans="27:39" x14ac:dyDescent="0.3">
      <c r="AA1842" t="str">
        <f>IF(COUNTA('Procyflof 700'!A343,'Procyflof 700'!B343,'Procyflof 700'!C343)&gt;0,"700","")</f>
        <v/>
      </c>
      <c r="AB1842" t="str">
        <f>IFERROR(IF(ISNUMBER('Procyflof 700'!A343),'Procyflof 700'!A343,DATEVALUE('Procyflof 700'!A343)),"")</f>
        <v/>
      </c>
      <c r="AC1842" t="str">
        <f>IF(AA1842="","",'Procyflof 700'!B343)</f>
        <v/>
      </c>
      <c r="AD1842" t="str">
        <f>IF(AA1842="","",IFERROR(1*'Procyflof 700'!C343,IFERROR(_xludf.NUMBERVALUE('Procyflof 700'!C343,".",","),IFERROR(_xludf.NUMBERVALUE('Procyflof 700'!C343,",","."),0))))</f>
        <v/>
      </c>
      <c r="AE1842" t="str">
        <f>IF(AA1842="","",'Procyflof 700'!N343)</f>
        <v/>
      </c>
      <c r="AF1842">
        <f t="shared" si="185"/>
        <v>0</v>
      </c>
      <c r="AG1842" t="str">
        <f t="shared" si="186"/>
        <v/>
      </c>
      <c r="AH1842" t="str">
        <f t="shared" si="187"/>
        <v/>
      </c>
      <c r="AI1842">
        <f t="shared" si="188"/>
        <v>0</v>
      </c>
      <c r="AJ1842">
        <f t="shared" si="189"/>
        <v>0</v>
      </c>
      <c r="AK1842">
        <v>0</v>
      </c>
      <c r="AL1842" t="str">
        <f>IF(AA1842="","",IFERROR(IF(ISNUMBER('Procyflof 700'!D343),'Procyflof 700'!D343,IF(ISNUMBER(SEARCH("12",'Procyflof 700'!D343)),EDATE(AB1842,12),IF(ISNUMBER(SEARCH("6",'Procyflof 700'!D343)),EDATE(AB1842,6),IF(ISNUMBER(SEARCH("3",'Procyflof 700'!D343)),EDATE(AB1842,3),DATEVALUE('Procyflof 700'!D343))))),""))</f>
        <v/>
      </c>
      <c r="AM1842" t="str">
        <f t="shared" ca="1" si="190"/>
        <v/>
      </c>
    </row>
    <row r="1843" spans="27:39" x14ac:dyDescent="0.3">
      <c r="AA1843" t="str">
        <f>IF(COUNTA('Procyflof 700'!A344,'Procyflof 700'!B344,'Procyflof 700'!C344)&gt;0,"700","")</f>
        <v/>
      </c>
      <c r="AB1843" t="str">
        <f>IFERROR(IF(ISNUMBER('Procyflof 700'!A344),'Procyflof 700'!A344,DATEVALUE('Procyflof 700'!A344)),"")</f>
        <v/>
      </c>
      <c r="AC1843" t="str">
        <f>IF(AA1843="","",'Procyflof 700'!B344)</f>
        <v/>
      </c>
      <c r="AD1843" t="str">
        <f>IF(AA1843="","",IFERROR(1*'Procyflof 700'!C344,IFERROR(_xludf.NUMBERVALUE('Procyflof 700'!C344,".",","),IFERROR(_xludf.NUMBERVALUE('Procyflof 700'!C344,",","."),0))))</f>
        <v/>
      </c>
      <c r="AE1843" t="str">
        <f>IF(AA1843="","",'Procyflof 700'!N344)</f>
        <v/>
      </c>
      <c r="AF1843">
        <f t="shared" si="185"/>
        <v>0</v>
      </c>
      <c r="AG1843" t="str">
        <f t="shared" si="186"/>
        <v/>
      </c>
      <c r="AH1843" t="str">
        <f t="shared" si="187"/>
        <v/>
      </c>
      <c r="AI1843">
        <f t="shared" si="188"/>
        <v>0</v>
      </c>
      <c r="AJ1843">
        <f t="shared" si="189"/>
        <v>0</v>
      </c>
      <c r="AK1843">
        <v>0</v>
      </c>
      <c r="AL1843" t="str">
        <f>IF(AA1843="","",IFERROR(IF(ISNUMBER('Procyflof 700'!D344),'Procyflof 700'!D344,IF(ISNUMBER(SEARCH("12",'Procyflof 700'!D344)),EDATE(AB1843,12),IF(ISNUMBER(SEARCH("6",'Procyflof 700'!D344)),EDATE(AB1843,6),IF(ISNUMBER(SEARCH("3",'Procyflof 700'!D344)),EDATE(AB1843,3),DATEVALUE('Procyflof 700'!D344))))),""))</f>
        <v/>
      </c>
      <c r="AM1843" t="str">
        <f t="shared" ca="1" si="190"/>
        <v/>
      </c>
    </row>
    <row r="1844" spans="27:39" x14ac:dyDescent="0.3">
      <c r="AA1844" t="str">
        <f>IF(COUNTA('Procyflof 700'!A345,'Procyflof 700'!B345,'Procyflof 700'!C345)&gt;0,"700","")</f>
        <v/>
      </c>
      <c r="AB1844" t="str">
        <f>IFERROR(IF(ISNUMBER('Procyflof 700'!A345),'Procyflof 700'!A345,DATEVALUE('Procyflof 700'!A345)),"")</f>
        <v/>
      </c>
      <c r="AC1844" t="str">
        <f>IF(AA1844="","",'Procyflof 700'!B345)</f>
        <v/>
      </c>
      <c r="AD1844" t="str">
        <f>IF(AA1844="","",IFERROR(1*'Procyflof 700'!C345,IFERROR(_xludf.NUMBERVALUE('Procyflof 700'!C345,".",","),IFERROR(_xludf.NUMBERVALUE('Procyflof 700'!C345,",","."),0))))</f>
        <v/>
      </c>
      <c r="AE1844" t="str">
        <f>IF(AA1844="","",'Procyflof 700'!N345)</f>
        <v/>
      </c>
      <c r="AF1844">
        <f t="shared" si="185"/>
        <v>0</v>
      </c>
      <c r="AG1844" t="str">
        <f t="shared" si="186"/>
        <v/>
      </c>
      <c r="AH1844" t="str">
        <f t="shared" si="187"/>
        <v/>
      </c>
      <c r="AI1844">
        <f t="shared" si="188"/>
        <v>0</v>
      </c>
      <c r="AJ1844">
        <f t="shared" si="189"/>
        <v>0</v>
      </c>
      <c r="AK1844">
        <v>0</v>
      </c>
      <c r="AL1844" t="str">
        <f>IF(AA1844="","",IFERROR(IF(ISNUMBER('Procyflof 700'!D345),'Procyflof 700'!D345,IF(ISNUMBER(SEARCH("12",'Procyflof 700'!D345)),EDATE(AB1844,12),IF(ISNUMBER(SEARCH("6",'Procyflof 700'!D345)),EDATE(AB1844,6),IF(ISNUMBER(SEARCH("3",'Procyflof 700'!D345)),EDATE(AB1844,3),DATEVALUE('Procyflof 700'!D345))))),""))</f>
        <v/>
      </c>
      <c r="AM1844" t="str">
        <f t="shared" ca="1" si="190"/>
        <v/>
      </c>
    </row>
    <row r="1845" spans="27:39" x14ac:dyDescent="0.3">
      <c r="AA1845" t="str">
        <f>IF(COUNTA('Procyflof 700'!A346,'Procyflof 700'!B346,'Procyflof 700'!C346)&gt;0,"700","")</f>
        <v/>
      </c>
      <c r="AB1845" t="str">
        <f>IFERROR(IF(ISNUMBER('Procyflof 700'!A346),'Procyflof 700'!A346,DATEVALUE('Procyflof 700'!A346)),"")</f>
        <v/>
      </c>
      <c r="AC1845" t="str">
        <f>IF(AA1845="","",'Procyflof 700'!B346)</f>
        <v/>
      </c>
      <c r="AD1845" t="str">
        <f>IF(AA1845="","",IFERROR(1*'Procyflof 700'!C346,IFERROR(_xludf.NUMBERVALUE('Procyflof 700'!C346,".",","),IFERROR(_xludf.NUMBERVALUE('Procyflof 700'!C346,",","."),0))))</f>
        <v/>
      </c>
      <c r="AE1845" t="str">
        <f>IF(AA1845="","",'Procyflof 700'!N346)</f>
        <v/>
      </c>
      <c r="AF1845">
        <f t="shared" si="185"/>
        <v>0</v>
      </c>
      <c r="AG1845" t="str">
        <f t="shared" si="186"/>
        <v/>
      </c>
      <c r="AH1845" t="str">
        <f t="shared" si="187"/>
        <v/>
      </c>
      <c r="AI1845">
        <f t="shared" si="188"/>
        <v>0</v>
      </c>
      <c r="AJ1845">
        <f t="shared" si="189"/>
        <v>0</v>
      </c>
      <c r="AK1845">
        <v>0</v>
      </c>
      <c r="AL1845" t="str">
        <f>IF(AA1845="","",IFERROR(IF(ISNUMBER('Procyflof 700'!D346),'Procyflof 700'!D346,IF(ISNUMBER(SEARCH("12",'Procyflof 700'!D346)),EDATE(AB1845,12),IF(ISNUMBER(SEARCH("6",'Procyflof 700'!D346)),EDATE(AB1845,6),IF(ISNUMBER(SEARCH("3",'Procyflof 700'!D346)),EDATE(AB1845,3),DATEVALUE('Procyflof 700'!D346))))),""))</f>
        <v/>
      </c>
      <c r="AM1845" t="str">
        <f t="shared" ca="1" si="190"/>
        <v/>
      </c>
    </row>
    <row r="1846" spans="27:39" x14ac:dyDescent="0.3">
      <c r="AA1846" t="str">
        <f>IF(COUNTA('Procyflof 700'!A347,'Procyflof 700'!B347,'Procyflof 700'!C347)&gt;0,"700","")</f>
        <v/>
      </c>
      <c r="AB1846" t="str">
        <f>IFERROR(IF(ISNUMBER('Procyflof 700'!A347),'Procyflof 700'!A347,DATEVALUE('Procyflof 700'!A347)),"")</f>
        <v/>
      </c>
      <c r="AC1846" t="str">
        <f>IF(AA1846="","",'Procyflof 700'!B347)</f>
        <v/>
      </c>
      <c r="AD1846" t="str">
        <f>IF(AA1846="","",IFERROR(1*'Procyflof 700'!C347,IFERROR(_xludf.NUMBERVALUE('Procyflof 700'!C347,".",","),IFERROR(_xludf.NUMBERVALUE('Procyflof 700'!C347,",","."),0))))</f>
        <v/>
      </c>
      <c r="AE1846" t="str">
        <f>IF(AA1846="","",'Procyflof 700'!N347)</f>
        <v/>
      </c>
      <c r="AF1846">
        <f t="shared" si="185"/>
        <v>0</v>
      </c>
      <c r="AG1846" t="str">
        <f t="shared" si="186"/>
        <v/>
      </c>
      <c r="AH1846" t="str">
        <f t="shared" si="187"/>
        <v/>
      </c>
      <c r="AI1846">
        <f t="shared" si="188"/>
        <v>0</v>
      </c>
      <c r="AJ1846">
        <f t="shared" si="189"/>
        <v>0</v>
      </c>
      <c r="AK1846">
        <v>0</v>
      </c>
      <c r="AL1846" t="str">
        <f>IF(AA1846="","",IFERROR(IF(ISNUMBER('Procyflof 700'!D347),'Procyflof 700'!D347,IF(ISNUMBER(SEARCH("12",'Procyflof 700'!D347)),EDATE(AB1846,12),IF(ISNUMBER(SEARCH("6",'Procyflof 700'!D347)),EDATE(AB1846,6),IF(ISNUMBER(SEARCH("3",'Procyflof 700'!D347)),EDATE(AB1846,3),DATEVALUE('Procyflof 700'!D347))))),""))</f>
        <v/>
      </c>
      <c r="AM1846" t="str">
        <f t="shared" ca="1" si="190"/>
        <v/>
      </c>
    </row>
    <row r="1847" spans="27:39" x14ac:dyDescent="0.3">
      <c r="AA1847" t="str">
        <f>IF(COUNTA('Procyflof 700'!A348,'Procyflof 700'!B348,'Procyflof 700'!C348)&gt;0,"700","")</f>
        <v/>
      </c>
      <c r="AB1847" t="str">
        <f>IFERROR(IF(ISNUMBER('Procyflof 700'!A348),'Procyflof 700'!A348,DATEVALUE('Procyflof 700'!A348)),"")</f>
        <v/>
      </c>
      <c r="AC1847" t="str">
        <f>IF(AA1847="","",'Procyflof 700'!B348)</f>
        <v/>
      </c>
      <c r="AD1847" t="str">
        <f>IF(AA1847="","",IFERROR(1*'Procyflof 700'!C348,IFERROR(_xludf.NUMBERVALUE('Procyflof 700'!C348,".",","),IFERROR(_xludf.NUMBERVALUE('Procyflof 700'!C348,",","."),0))))</f>
        <v/>
      </c>
      <c r="AE1847" t="str">
        <f>IF(AA1847="","",'Procyflof 700'!N348)</f>
        <v/>
      </c>
      <c r="AF1847">
        <f t="shared" si="185"/>
        <v>0</v>
      </c>
      <c r="AG1847" t="str">
        <f t="shared" si="186"/>
        <v/>
      </c>
      <c r="AH1847" t="str">
        <f t="shared" si="187"/>
        <v/>
      </c>
      <c r="AI1847">
        <f t="shared" si="188"/>
        <v>0</v>
      </c>
      <c r="AJ1847">
        <f t="shared" si="189"/>
        <v>0</v>
      </c>
      <c r="AK1847">
        <v>0</v>
      </c>
      <c r="AL1847" t="str">
        <f>IF(AA1847="","",IFERROR(IF(ISNUMBER('Procyflof 700'!D348),'Procyflof 700'!D348,IF(ISNUMBER(SEARCH("12",'Procyflof 700'!D348)),EDATE(AB1847,12),IF(ISNUMBER(SEARCH("6",'Procyflof 700'!D348)),EDATE(AB1847,6),IF(ISNUMBER(SEARCH("3",'Procyflof 700'!D348)),EDATE(AB1847,3),DATEVALUE('Procyflof 700'!D348))))),""))</f>
        <v/>
      </c>
      <c r="AM1847" t="str">
        <f t="shared" ca="1" si="190"/>
        <v/>
      </c>
    </row>
    <row r="1848" spans="27:39" x14ac:dyDescent="0.3">
      <c r="AA1848" t="str">
        <f>IF(COUNTA('Procyflof 700'!A349,'Procyflof 700'!B349,'Procyflof 700'!C349)&gt;0,"700","")</f>
        <v/>
      </c>
      <c r="AB1848" t="str">
        <f>IFERROR(IF(ISNUMBER('Procyflof 700'!A349),'Procyflof 700'!A349,DATEVALUE('Procyflof 700'!A349)),"")</f>
        <v/>
      </c>
      <c r="AC1848" t="str">
        <f>IF(AA1848="","",'Procyflof 700'!B349)</f>
        <v/>
      </c>
      <c r="AD1848" t="str">
        <f>IF(AA1848="","",IFERROR(1*'Procyflof 700'!C349,IFERROR(_xludf.NUMBERVALUE('Procyflof 700'!C349,".",","),IFERROR(_xludf.NUMBERVALUE('Procyflof 700'!C349,",","."),0))))</f>
        <v/>
      </c>
      <c r="AE1848" t="str">
        <f>IF(AA1848="","",'Procyflof 700'!N349)</f>
        <v/>
      </c>
      <c r="AF1848">
        <f t="shared" si="185"/>
        <v>0</v>
      </c>
      <c r="AG1848" t="str">
        <f t="shared" si="186"/>
        <v/>
      </c>
      <c r="AH1848" t="str">
        <f t="shared" si="187"/>
        <v/>
      </c>
      <c r="AI1848">
        <f t="shared" si="188"/>
        <v>0</v>
      </c>
      <c r="AJ1848">
        <f t="shared" si="189"/>
        <v>0</v>
      </c>
      <c r="AK1848">
        <v>0</v>
      </c>
      <c r="AL1848" t="str">
        <f>IF(AA1848="","",IFERROR(IF(ISNUMBER('Procyflof 700'!D349),'Procyflof 700'!D349,IF(ISNUMBER(SEARCH("12",'Procyflof 700'!D349)),EDATE(AB1848,12),IF(ISNUMBER(SEARCH("6",'Procyflof 700'!D349)),EDATE(AB1848,6),IF(ISNUMBER(SEARCH("3",'Procyflof 700'!D349)),EDATE(AB1848,3),DATEVALUE('Procyflof 700'!D349))))),""))</f>
        <v/>
      </c>
      <c r="AM1848" t="str">
        <f t="shared" ca="1" si="190"/>
        <v/>
      </c>
    </row>
    <row r="1849" spans="27:39" x14ac:dyDescent="0.3">
      <c r="AA1849" t="str">
        <f>IF(COUNTA('Procyflof 700'!A350,'Procyflof 700'!B350,'Procyflof 700'!C350)&gt;0,"700","")</f>
        <v/>
      </c>
      <c r="AB1849" t="str">
        <f>IFERROR(IF(ISNUMBER('Procyflof 700'!A350),'Procyflof 700'!A350,DATEVALUE('Procyflof 700'!A350)),"")</f>
        <v/>
      </c>
      <c r="AC1849" t="str">
        <f>IF(AA1849="","",'Procyflof 700'!B350)</f>
        <v/>
      </c>
      <c r="AD1849" t="str">
        <f>IF(AA1849="","",IFERROR(1*'Procyflof 700'!C350,IFERROR(_xludf.NUMBERVALUE('Procyflof 700'!C350,".",","),IFERROR(_xludf.NUMBERVALUE('Procyflof 700'!C350,",","."),0))))</f>
        <v/>
      </c>
      <c r="AE1849" t="str">
        <f>IF(AA1849="","",'Procyflof 700'!N350)</f>
        <v/>
      </c>
      <c r="AF1849">
        <f t="shared" si="185"/>
        <v>0</v>
      </c>
      <c r="AG1849" t="str">
        <f t="shared" si="186"/>
        <v/>
      </c>
      <c r="AH1849" t="str">
        <f t="shared" si="187"/>
        <v/>
      </c>
      <c r="AI1849">
        <f t="shared" si="188"/>
        <v>0</v>
      </c>
      <c r="AJ1849">
        <f t="shared" si="189"/>
        <v>0</v>
      </c>
      <c r="AK1849">
        <v>0</v>
      </c>
      <c r="AL1849" t="str">
        <f>IF(AA1849="","",IFERROR(IF(ISNUMBER('Procyflof 700'!D350),'Procyflof 700'!D350,IF(ISNUMBER(SEARCH("12",'Procyflof 700'!D350)),EDATE(AB1849,12),IF(ISNUMBER(SEARCH("6",'Procyflof 700'!D350)),EDATE(AB1849,6),IF(ISNUMBER(SEARCH("3",'Procyflof 700'!D350)),EDATE(AB1849,3),DATEVALUE('Procyflof 700'!D350))))),""))</f>
        <v/>
      </c>
      <c r="AM1849" t="str">
        <f t="shared" ca="1" si="190"/>
        <v/>
      </c>
    </row>
    <row r="1850" spans="27:39" x14ac:dyDescent="0.3">
      <c r="AA1850" t="str">
        <f>IF(COUNTA('Procyflof 700'!A351,'Procyflof 700'!B351,'Procyflof 700'!C351)&gt;0,"700","")</f>
        <v/>
      </c>
      <c r="AB1850" t="str">
        <f>IFERROR(IF(ISNUMBER('Procyflof 700'!A351),'Procyflof 700'!A351,DATEVALUE('Procyflof 700'!A351)),"")</f>
        <v/>
      </c>
      <c r="AC1850" t="str">
        <f>IF(AA1850="","",'Procyflof 700'!B351)</f>
        <v/>
      </c>
      <c r="AD1850" t="str">
        <f>IF(AA1850="","",IFERROR(1*'Procyflof 700'!C351,IFERROR(_xludf.NUMBERVALUE('Procyflof 700'!C351,".",","),IFERROR(_xludf.NUMBERVALUE('Procyflof 700'!C351,",","."),0))))</f>
        <v/>
      </c>
      <c r="AE1850" t="str">
        <f>IF(AA1850="","",'Procyflof 700'!N351)</f>
        <v/>
      </c>
      <c r="AF1850">
        <f t="shared" si="185"/>
        <v>0</v>
      </c>
      <c r="AG1850" t="str">
        <f t="shared" si="186"/>
        <v/>
      </c>
      <c r="AH1850" t="str">
        <f t="shared" si="187"/>
        <v/>
      </c>
      <c r="AI1850">
        <f t="shared" si="188"/>
        <v>0</v>
      </c>
      <c r="AJ1850">
        <f t="shared" si="189"/>
        <v>0</v>
      </c>
      <c r="AK1850">
        <v>0</v>
      </c>
      <c r="AL1850" t="str">
        <f>IF(AA1850="","",IFERROR(IF(ISNUMBER('Procyflof 700'!D351),'Procyflof 700'!D351,IF(ISNUMBER(SEARCH("12",'Procyflof 700'!D351)),EDATE(AB1850,12),IF(ISNUMBER(SEARCH("6",'Procyflof 700'!D351)),EDATE(AB1850,6),IF(ISNUMBER(SEARCH("3",'Procyflof 700'!D351)),EDATE(AB1850,3),DATEVALUE('Procyflof 700'!D351))))),""))</f>
        <v/>
      </c>
      <c r="AM1850" t="str">
        <f t="shared" ca="1" si="190"/>
        <v/>
      </c>
    </row>
    <row r="1851" spans="27:39" x14ac:dyDescent="0.3">
      <c r="AA1851" t="str">
        <f>IF(COUNTA('Procyflof 700'!A352,'Procyflof 700'!B352,'Procyflof 700'!C352)&gt;0,"700","")</f>
        <v/>
      </c>
      <c r="AB1851" t="str">
        <f>IFERROR(IF(ISNUMBER('Procyflof 700'!A352),'Procyflof 700'!A352,DATEVALUE('Procyflof 700'!A352)),"")</f>
        <v/>
      </c>
      <c r="AC1851" t="str">
        <f>IF(AA1851="","",'Procyflof 700'!B352)</f>
        <v/>
      </c>
      <c r="AD1851" t="str">
        <f>IF(AA1851="","",IFERROR(1*'Procyflof 700'!C352,IFERROR(_xludf.NUMBERVALUE('Procyflof 700'!C352,".",","),IFERROR(_xludf.NUMBERVALUE('Procyflof 700'!C352,",","."),0))))</f>
        <v/>
      </c>
      <c r="AE1851" t="str">
        <f>IF(AA1851="","",'Procyflof 700'!N352)</f>
        <v/>
      </c>
      <c r="AF1851">
        <f t="shared" si="185"/>
        <v>0</v>
      </c>
      <c r="AG1851" t="str">
        <f t="shared" si="186"/>
        <v/>
      </c>
      <c r="AH1851" t="str">
        <f t="shared" si="187"/>
        <v/>
      </c>
      <c r="AI1851">
        <f t="shared" si="188"/>
        <v>0</v>
      </c>
      <c r="AJ1851">
        <f t="shared" si="189"/>
        <v>0</v>
      </c>
      <c r="AK1851">
        <v>0</v>
      </c>
      <c r="AL1851" t="str">
        <f>IF(AA1851="","",IFERROR(IF(ISNUMBER('Procyflof 700'!D352),'Procyflof 700'!D352,IF(ISNUMBER(SEARCH("12",'Procyflof 700'!D352)),EDATE(AB1851,12),IF(ISNUMBER(SEARCH("6",'Procyflof 700'!D352)),EDATE(AB1851,6),IF(ISNUMBER(SEARCH("3",'Procyflof 700'!D352)),EDATE(AB1851,3),DATEVALUE('Procyflof 700'!D352))))),""))</f>
        <v/>
      </c>
      <c r="AM1851" t="str">
        <f t="shared" ca="1" si="190"/>
        <v/>
      </c>
    </row>
    <row r="1852" spans="27:39" x14ac:dyDescent="0.3">
      <c r="AA1852" t="str">
        <f>IF(COUNTA('Procyflof 700'!A353,'Procyflof 700'!B353,'Procyflof 700'!C353)&gt;0,"700","")</f>
        <v/>
      </c>
      <c r="AB1852" t="str">
        <f>IFERROR(IF(ISNUMBER('Procyflof 700'!A353),'Procyflof 700'!A353,DATEVALUE('Procyflof 700'!A353)),"")</f>
        <v/>
      </c>
      <c r="AC1852" t="str">
        <f>IF(AA1852="","",'Procyflof 700'!B353)</f>
        <v/>
      </c>
      <c r="AD1852" t="str">
        <f>IF(AA1852="","",IFERROR(1*'Procyflof 700'!C353,IFERROR(_xludf.NUMBERVALUE('Procyflof 700'!C353,".",","),IFERROR(_xludf.NUMBERVALUE('Procyflof 700'!C353,",","."),0))))</f>
        <v/>
      </c>
      <c r="AE1852" t="str">
        <f>IF(AA1852="","",'Procyflof 700'!N353)</f>
        <v/>
      </c>
      <c r="AF1852">
        <f t="shared" si="185"/>
        <v>0</v>
      </c>
      <c r="AG1852" t="str">
        <f t="shared" si="186"/>
        <v/>
      </c>
      <c r="AH1852" t="str">
        <f t="shared" si="187"/>
        <v/>
      </c>
      <c r="AI1852">
        <f t="shared" si="188"/>
        <v>0</v>
      </c>
      <c r="AJ1852">
        <f t="shared" si="189"/>
        <v>0</v>
      </c>
      <c r="AK1852">
        <v>0</v>
      </c>
      <c r="AL1852" t="str">
        <f>IF(AA1852="","",IFERROR(IF(ISNUMBER('Procyflof 700'!D353),'Procyflof 700'!D353,IF(ISNUMBER(SEARCH("12",'Procyflof 700'!D353)),EDATE(AB1852,12),IF(ISNUMBER(SEARCH("6",'Procyflof 700'!D353)),EDATE(AB1852,6),IF(ISNUMBER(SEARCH("3",'Procyflof 700'!D353)),EDATE(AB1852,3),DATEVALUE('Procyflof 700'!D353))))),""))</f>
        <v/>
      </c>
      <c r="AM1852" t="str">
        <f t="shared" ca="1" si="190"/>
        <v/>
      </c>
    </row>
    <row r="1853" spans="27:39" x14ac:dyDescent="0.3">
      <c r="AA1853" t="str">
        <f>IF(COUNTA('Procyflof 700'!A354,'Procyflof 700'!B354,'Procyflof 700'!C354)&gt;0,"700","")</f>
        <v/>
      </c>
      <c r="AB1853" t="str">
        <f>IFERROR(IF(ISNUMBER('Procyflof 700'!A354),'Procyflof 700'!A354,DATEVALUE('Procyflof 700'!A354)),"")</f>
        <v/>
      </c>
      <c r="AC1853" t="str">
        <f>IF(AA1853="","",'Procyflof 700'!B354)</f>
        <v/>
      </c>
      <c r="AD1853" t="str">
        <f>IF(AA1853="","",IFERROR(1*'Procyflof 700'!C354,IFERROR(_xludf.NUMBERVALUE('Procyflof 700'!C354,".",","),IFERROR(_xludf.NUMBERVALUE('Procyflof 700'!C354,",","."),0))))</f>
        <v/>
      </c>
      <c r="AE1853" t="str">
        <f>IF(AA1853="","",'Procyflof 700'!N354)</f>
        <v/>
      </c>
      <c r="AF1853">
        <f t="shared" si="185"/>
        <v>0</v>
      </c>
      <c r="AG1853" t="str">
        <f t="shared" si="186"/>
        <v/>
      </c>
      <c r="AH1853" t="str">
        <f t="shared" si="187"/>
        <v/>
      </c>
      <c r="AI1853">
        <f t="shared" si="188"/>
        <v>0</v>
      </c>
      <c r="AJ1853">
        <f t="shared" si="189"/>
        <v>0</v>
      </c>
      <c r="AK1853">
        <v>0</v>
      </c>
      <c r="AL1853" t="str">
        <f>IF(AA1853="","",IFERROR(IF(ISNUMBER('Procyflof 700'!D354),'Procyflof 700'!D354,IF(ISNUMBER(SEARCH("12",'Procyflof 700'!D354)),EDATE(AB1853,12),IF(ISNUMBER(SEARCH("6",'Procyflof 700'!D354)),EDATE(AB1853,6),IF(ISNUMBER(SEARCH("3",'Procyflof 700'!D354)),EDATE(AB1853,3),DATEVALUE('Procyflof 700'!D354))))),""))</f>
        <v/>
      </c>
      <c r="AM1853" t="str">
        <f t="shared" ca="1" si="190"/>
        <v/>
      </c>
    </row>
    <row r="1854" spans="27:39" x14ac:dyDescent="0.3">
      <c r="AA1854" t="str">
        <f>IF(COUNTA('Procyflof 700'!A355,'Procyflof 700'!B355,'Procyflof 700'!C355)&gt;0,"700","")</f>
        <v/>
      </c>
      <c r="AB1854" t="str">
        <f>IFERROR(IF(ISNUMBER('Procyflof 700'!A355),'Procyflof 700'!A355,DATEVALUE('Procyflof 700'!A355)),"")</f>
        <v/>
      </c>
      <c r="AC1854" t="str">
        <f>IF(AA1854="","",'Procyflof 700'!B355)</f>
        <v/>
      </c>
      <c r="AD1854" t="str">
        <f>IF(AA1854="","",IFERROR(1*'Procyflof 700'!C355,IFERROR(_xludf.NUMBERVALUE('Procyflof 700'!C355,".",","),IFERROR(_xludf.NUMBERVALUE('Procyflof 700'!C355,",","."),0))))</f>
        <v/>
      </c>
      <c r="AE1854" t="str">
        <f>IF(AA1854="","",'Procyflof 700'!N355)</f>
        <v/>
      </c>
      <c r="AF1854">
        <f t="shared" si="185"/>
        <v>0</v>
      </c>
      <c r="AG1854" t="str">
        <f t="shared" si="186"/>
        <v/>
      </c>
      <c r="AH1854" t="str">
        <f t="shared" si="187"/>
        <v/>
      </c>
      <c r="AI1854">
        <f t="shared" si="188"/>
        <v>0</v>
      </c>
      <c r="AJ1854">
        <f t="shared" si="189"/>
        <v>0</v>
      </c>
      <c r="AK1854">
        <v>0</v>
      </c>
      <c r="AL1854" t="str">
        <f>IF(AA1854="","",IFERROR(IF(ISNUMBER('Procyflof 700'!D355),'Procyflof 700'!D355,IF(ISNUMBER(SEARCH("12",'Procyflof 700'!D355)),EDATE(AB1854,12),IF(ISNUMBER(SEARCH("6",'Procyflof 700'!D355)),EDATE(AB1854,6),IF(ISNUMBER(SEARCH("3",'Procyflof 700'!D355)),EDATE(AB1854,3),DATEVALUE('Procyflof 700'!D355))))),""))</f>
        <v/>
      </c>
      <c r="AM1854" t="str">
        <f t="shared" ca="1" si="190"/>
        <v/>
      </c>
    </row>
    <row r="1855" spans="27:39" x14ac:dyDescent="0.3">
      <c r="AA1855" t="str">
        <f>IF(COUNTA('Procyflof 700'!A356,'Procyflof 700'!B356,'Procyflof 700'!C356)&gt;0,"700","")</f>
        <v/>
      </c>
      <c r="AB1855" t="str">
        <f>IFERROR(IF(ISNUMBER('Procyflof 700'!A356),'Procyflof 700'!A356,DATEVALUE('Procyflof 700'!A356)),"")</f>
        <v/>
      </c>
      <c r="AC1855" t="str">
        <f>IF(AA1855="","",'Procyflof 700'!B356)</f>
        <v/>
      </c>
      <c r="AD1855" t="str">
        <f>IF(AA1855="","",IFERROR(1*'Procyflof 700'!C356,IFERROR(_xludf.NUMBERVALUE('Procyflof 700'!C356,".",","),IFERROR(_xludf.NUMBERVALUE('Procyflof 700'!C356,",","."),0))))</f>
        <v/>
      </c>
      <c r="AE1855" t="str">
        <f>IF(AA1855="","",'Procyflof 700'!N356)</f>
        <v/>
      </c>
      <c r="AF1855">
        <f t="shared" si="185"/>
        <v>0</v>
      </c>
      <c r="AG1855" t="str">
        <f t="shared" si="186"/>
        <v/>
      </c>
      <c r="AH1855" t="str">
        <f t="shared" si="187"/>
        <v/>
      </c>
      <c r="AI1855">
        <f t="shared" si="188"/>
        <v>0</v>
      </c>
      <c r="AJ1855">
        <f t="shared" si="189"/>
        <v>0</v>
      </c>
      <c r="AK1855">
        <v>0</v>
      </c>
      <c r="AL1855" t="str">
        <f>IF(AA1855="","",IFERROR(IF(ISNUMBER('Procyflof 700'!D356),'Procyflof 700'!D356,IF(ISNUMBER(SEARCH("12",'Procyflof 700'!D356)),EDATE(AB1855,12),IF(ISNUMBER(SEARCH("6",'Procyflof 700'!D356)),EDATE(AB1855,6),IF(ISNUMBER(SEARCH("3",'Procyflof 700'!D356)),EDATE(AB1855,3),DATEVALUE('Procyflof 700'!D356))))),""))</f>
        <v/>
      </c>
      <c r="AM1855" t="str">
        <f t="shared" ca="1" si="190"/>
        <v/>
      </c>
    </row>
    <row r="1856" spans="27:39" x14ac:dyDescent="0.3">
      <c r="AA1856" t="str">
        <f>IF(COUNTA('Procyflof 700'!A357,'Procyflof 700'!B357,'Procyflof 700'!C357)&gt;0,"700","")</f>
        <v/>
      </c>
      <c r="AB1856" t="str">
        <f>IFERROR(IF(ISNUMBER('Procyflof 700'!A357),'Procyflof 700'!A357,DATEVALUE('Procyflof 700'!A357)),"")</f>
        <v/>
      </c>
      <c r="AC1856" t="str">
        <f>IF(AA1856="","",'Procyflof 700'!B357)</f>
        <v/>
      </c>
      <c r="AD1856" t="str">
        <f>IF(AA1856="","",IFERROR(1*'Procyflof 700'!C357,IFERROR(_xludf.NUMBERVALUE('Procyflof 700'!C357,".",","),IFERROR(_xludf.NUMBERVALUE('Procyflof 700'!C357,",","."),0))))</f>
        <v/>
      </c>
      <c r="AE1856" t="str">
        <f>IF(AA1856="","",'Procyflof 700'!N357)</f>
        <v/>
      </c>
      <c r="AF1856">
        <f t="shared" si="185"/>
        <v>0</v>
      </c>
      <c r="AG1856" t="str">
        <f t="shared" si="186"/>
        <v/>
      </c>
      <c r="AH1856" t="str">
        <f t="shared" si="187"/>
        <v/>
      </c>
      <c r="AI1856">
        <f t="shared" si="188"/>
        <v>0</v>
      </c>
      <c r="AJ1856">
        <f t="shared" si="189"/>
        <v>0</v>
      </c>
      <c r="AK1856">
        <v>0</v>
      </c>
      <c r="AL1856" t="str">
        <f>IF(AA1856="","",IFERROR(IF(ISNUMBER('Procyflof 700'!D357),'Procyflof 700'!D357,IF(ISNUMBER(SEARCH("12",'Procyflof 700'!D357)),EDATE(AB1856,12),IF(ISNUMBER(SEARCH("6",'Procyflof 700'!D357)),EDATE(AB1856,6),IF(ISNUMBER(SEARCH("3",'Procyflof 700'!D357)),EDATE(AB1856,3),DATEVALUE('Procyflof 700'!D357))))),""))</f>
        <v/>
      </c>
      <c r="AM1856" t="str">
        <f t="shared" ca="1" si="190"/>
        <v/>
      </c>
    </row>
    <row r="1857" spans="27:39" x14ac:dyDescent="0.3">
      <c r="AA1857" t="str">
        <f>IF(COUNTA('Procyflof 700'!A358,'Procyflof 700'!B358,'Procyflof 700'!C358)&gt;0,"700","")</f>
        <v/>
      </c>
      <c r="AB1857" t="str">
        <f>IFERROR(IF(ISNUMBER('Procyflof 700'!A358),'Procyflof 700'!A358,DATEVALUE('Procyflof 700'!A358)),"")</f>
        <v/>
      </c>
      <c r="AC1857" t="str">
        <f>IF(AA1857="","",'Procyflof 700'!B358)</f>
        <v/>
      </c>
      <c r="AD1857" t="str">
        <f>IF(AA1857="","",IFERROR(1*'Procyflof 700'!C358,IFERROR(_xludf.NUMBERVALUE('Procyflof 700'!C358,".",","),IFERROR(_xludf.NUMBERVALUE('Procyflof 700'!C358,",","."),0))))</f>
        <v/>
      </c>
      <c r="AE1857" t="str">
        <f>IF(AA1857="","",'Procyflof 700'!N358)</f>
        <v/>
      </c>
      <c r="AF1857">
        <f t="shared" si="185"/>
        <v>0</v>
      </c>
      <c r="AG1857" t="str">
        <f t="shared" si="186"/>
        <v/>
      </c>
      <c r="AH1857" t="str">
        <f t="shared" si="187"/>
        <v/>
      </c>
      <c r="AI1857">
        <f t="shared" si="188"/>
        <v>0</v>
      </c>
      <c r="AJ1857">
        <f t="shared" si="189"/>
        <v>0</v>
      </c>
      <c r="AK1857">
        <v>0</v>
      </c>
      <c r="AL1857" t="str">
        <f>IF(AA1857="","",IFERROR(IF(ISNUMBER('Procyflof 700'!D358),'Procyflof 700'!D358,IF(ISNUMBER(SEARCH("12",'Procyflof 700'!D358)),EDATE(AB1857,12),IF(ISNUMBER(SEARCH("6",'Procyflof 700'!D358)),EDATE(AB1857,6),IF(ISNUMBER(SEARCH("3",'Procyflof 700'!D358)),EDATE(AB1857,3),DATEVALUE('Procyflof 700'!D358))))),""))</f>
        <v/>
      </c>
      <c r="AM1857" t="str">
        <f t="shared" ca="1" si="190"/>
        <v/>
      </c>
    </row>
    <row r="1858" spans="27:39" x14ac:dyDescent="0.3">
      <c r="AA1858" t="str">
        <f>IF(COUNTA('Procyflof 700'!A359,'Procyflof 700'!B359,'Procyflof 700'!C359)&gt;0,"700","")</f>
        <v/>
      </c>
      <c r="AB1858" t="str">
        <f>IFERROR(IF(ISNUMBER('Procyflof 700'!A359),'Procyflof 700'!A359,DATEVALUE('Procyflof 700'!A359)),"")</f>
        <v/>
      </c>
      <c r="AC1858" t="str">
        <f>IF(AA1858="","",'Procyflof 700'!B359)</f>
        <v/>
      </c>
      <c r="AD1858" t="str">
        <f>IF(AA1858="","",IFERROR(1*'Procyflof 700'!C359,IFERROR(_xludf.NUMBERVALUE('Procyflof 700'!C359,".",","),IFERROR(_xludf.NUMBERVALUE('Procyflof 700'!C359,",","."),0))))</f>
        <v/>
      </c>
      <c r="AE1858" t="str">
        <f>IF(AA1858="","",'Procyflof 700'!N359)</f>
        <v/>
      </c>
      <c r="AF1858">
        <f t="shared" ref="AF1858:AF1921" si="191">IF(AA1858="",0,--AND(ISNUMBER(SEARCH("aprov",AE1858)),NOT(ISNUMBER(SEARCH("reprov",AE1858)))))</f>
        <v>0</v>
      </c>
      <c r="AG1858" t="str">
        <f t="shared" ref="AG1858:AG1921" si="192">IF(AB1858="","",YEAR(AB1858))</f>
        <v/>
      </c>
      <c r="AH1858" t="str">
        <f t="shared" ref="AH1858:AH1921" si="193">IF(AB1858="","",MONTH(AB1858))</f>
        <v/>
      </c>
      <c r="AI1858">
        <f t="shared" ref="AI1858:AI1921" si="194">IF(AB1858="",0,AB1858+ROW()/1000000)</f>
        <v>0</v>
      </c>
      <c r="AJ1858">
        <f t="shared" ref="AJ1858:AJ1921" si="195">--(AA1858&lt;&gt;"")</f>
        <v>0</v>
      </c>
      <c r="AK1858">
        <v>0</v>
      </c>
      <c r="AL1858" t="str">
        <f>IF(AA1858="","",IFERROR(IF(ISNUMBER('Procyflof 700'!D359),'Procyflof 700'!D359,IF(ISNUMBER(SEARCH("12",'Procyflof 700'!D359)),EDATE(AB1858,12),IF(ISNUMBER(SEARCH("6",'Procyflof 700'!D359)),EDATE(AB1858,6),IF(ISNUMBER(SEARCH("3",'Procyflof 700'!D359)),EDATE(AB1858,3),DATEVALUE('Procyflof 700'!D359))))),""))</f>
        <v/>
      </c>
      <c r="AM1858" t="str">
        <f t="shared" ref="AM1858:AM1921" ca="1" si="196">IF(AND(AJ1858=1,AL1858&lt;&gt;"",AL1858&gt;=TODAY(),AG1858=$W$3),AL1858+ROW()/1000000,"")</f>
        <v/>
      </c>
    </row>
    <row r="1859" spans="27:39" x14ac:dyDescent="0.3">
      <c r="AA1859" t="str">
        <f>IF(COUNTA('Procyflof 700'!A360,'Procyflof 700'!B360,'Procyflof 700'!C360)&gt;0,"700","")</f>
        <v/>
      </c>
      <c r="AB1859" t="str">
        <f>IFERROR(IF(ISNUMBER('Procyflof 700'!A360),'Procyflof 700'!A360,DATEVALUE('Procyflof 700'!A360)),"")</f>
        <v/>
      </c>
      <c r="AC1859" t="str">
        <f>IF(AA1859="","",'Procyflof 700'!B360)</f>
        <v/>
      </c>
      <c r="AD1859" t="str">
        <f>IF(AA1859="","",IFERROR(1*'Procyflof 700'!C360,IFERROR(_xludf.NUMBERVALUE('Procyflof 700'!C360,".",","),IFERROR(_xludf.NUMBERVALUE('Procyflof 700'!C360,",","."),0))))</f>
        <v/>
      </c>
      <c r="AE1859" t="str">
        <f>IF(AA1859="","",'Procyflof 700'!N360)</f>
        <v/>
      </c>
      <c r="AF1859">
        <f t="shared" si="191"/>
        <v>0</v>
      </c>
      <c r="AG1859" t="str">
        <f t="shared" si="192"/>
        <v/>
      </c>
      <c r="AH1859" t="str">
        <f t="shared" si="193"/>
        <v/>
      </c>
      <c r="AI1859">
        <f t="shared" si="194"/>
        <v>0</v>
      </c>
      <c r="AJ1859">
        <f t="shared" si="195"/>
        <v>0</v>
      </c>
      <c r="AK1859">
        <v>0</v>
      </c>
      <c r="AL1859" t="str">
        <f>IF(AA1859="","",IFERROR(IF(ISNUMBER('Procyflof 700'!D360),'Procyflof 700'!D360,IF(ISNUMBER(SEARCH("12",'Procyflof 700'!D360)),EDATE(AB1859,12),IF(ISNUMBER(SEARCH("6",'Procyflof 700'!D360)),EDATE(AB1859,6),IF(ISNUMBER(SEARCH("3",'Procyflof 700'!D360)),EDATE(AB1859,3),DATEVALUE('Procyflof 700'!D360))))),""))</f>
        <v/>
      </c>
      <c r="AM1859" t="str">
        <f t="shared" ca="1" si="196"/>
        <v/>
      </c>
    </row>
    <row r="1860" spans="27:39" x14ac:dyDescent="0.3">
      <c r="AA1860" t="str">
        <f>IF(COUNTA('Procyflof 700'!A361,'Procyflof 700'!B361,'Procyflof 700'!C361)&gt;0,"700","")</f>
        <v/>
      </c>
      <c r="AB1860" t="str">
        <f>IFERROR(IF(ISNUMBER('Procyflof 700'!A361),'Procyflof 700'!A361,DATEVALUE('Procyflof 700'!A361)),"")</f>
        <v/>
      </c>
      <c r="AC1860" t="str">
        <f>IF(AA1860="","",'Procyflof 700'!B361)</f>
        <v/>
      </c>
      <c r="AD1860" t="str">
        <f>IF(AA1860="","",IFERROR(1*'Procyflof 700'!C361,IFERROR(_xludf.NUMBERVALUE('Procyflof 700'!C361,".",","),IFERROR(_xludf.NUMBERVALUE('Procyflof 700'!C361,",","."),0))))</f>
        <v/>
      </c>
      <c r="AE1860" t="str">
        <f>IF(AA1860="","",'Procyflof 700'!N361)</f>
        <v/>
      </c>
      <c r="AF1860">
        <f t="shared" si="191"/>
        <v>0</v>
      </c>
      <c r="AG1860" t="str">
        <f t="shared" si="192"/>
        <v/>
      </c>
      <c r="AH1860" t="str">
        <f t="shared" si="193"/>
        <v/>
      </c>
      <c r="AI1860">
        <f t="shared" si="194"/>
        <v>0</v>
      </c>
      <c r="AJ1860">
        <f t="shared" si="195"/>
        <v>0</v>
      </c>
      <c r="AK1860">
        <v>0</v>
      </c>
      <c r="AL1860" t="str">
        <f>IF(AA1860="","",IFERROR(IF(ISNUMBER('Procyflof 700'!D361),'Procyflof 700'!D361,IF(ISNUMBER(SEARCH("12",'Procyflof 700'!D361)),EDATE(AB1860,12),IF(ISNUMBER(SEARCH("6",'Procyflof 700'!D361)),EDATE(AB1860,6),IF(ISNUMBER(SEARCH("3",'Procyflof 700'!D361)),EDATE(AB1860,3),DATEVALUE('Procyflof 700'!D361))))),""))</f>
        <v/>
      </c>
      <c r="AM1860" t="str">
        <f t="shared" ca="1" si="196"/>
        <v/>
      </c>
    </row>
    <row r="1861" spans="27:39" x14ac:dyDescent="0.3">
      <c r="AA1861" t="str">
        <f>IF(COUNTA('Procyflof 700'!A362,'Procyflof 700'!B362,'Procyflof 700'!C362)&gt;0,"700","")</f>
        <v/>
      </c>
      <c r="AB1861" t="str">
        <f>IFERROR(IF(ISNUMBER('Procyflof 700'!A362),'Procyflof 700'!A362,DATEVALUE('Procyflof 700'!A362)),"")</f>
        <v/>
      </c>
      <c r="AC1861" t="str">
        <f>IF(AA1861="","",'Procyflof 700'!B362)</f>
        <v/>
      </c>
      <c r="AD1861" t="str">
        <f>IF(AA1861="","",IFERROR(1*'Procyflof 700'!C362,IFERROR(_xludf.NUMBERVALUE('Procyflof 700'!C362,".",","),IFERROR(_xludf.NUMBERVALUE('Procyflof 700'!C362,",","."),0))))</f>
        <v/>
      </c>
      <c r="AE1861" t="str">
        <f>IF(AA1861="","",'Procyflof 700'!N362)</f>
        <v/>
      </c>
      <c r="AF1861">
        <f t="shared" si="191"/>
        <v>0</v>
      </c>
      <c r="AG1861" t="str">
        <f t="shared" si="192"/>
        <v/>
      </c>
      <c r="AH1861" t="str">
        <f t="shared" si="193"/>
        <v/>
      </c>
      <c r="AI1861">
        <f t="shared" si="194"/>
        <v>0</v>
      </c>
      <c r="AJ1861">
        <f t="shared" si="195"/>
        <v>0</v>
      </c>
      <c r="AK1861">
        <v>0</v>
      </c>
      <c r="AL1861" t="str">
        <f>IF(AA1861="","",IFERROR(IF(ISNUMBER('Procyflof 700'!D362),'Procyflof 700'!D362,IF(ISNUMBER(SEARCH("12",'Procyflof 700'!D362)),EDATE(AB1861,12),IF(ISNUMBER(SEARCH("6",'Procyflof 700'!D362)),EDATE(AB1861,6),IF(ISNUMBER(SEARCH("3",'Procyflof 700'!D362)),EDATE(AB1861,3),DATEVALUE('Procyflof 700'!D362))))),""))</f>
        <v/>
      </c>
      <c r="AM1861" t="str">
        <f t="shared" ca="1" si="196"/>
        <v/>
      </c>
    </row>
    <row r="1862" spans="27:39" x14ac:dyDescent="0.3">
      <c r="AA1862" t="str">
        <f>IF(COUNTA('Procyflof 700'!A363,'Procyflof 700'!B363,'Procyflof 700'!C363)&gt;0,"700","")</f>
        <v/>
      </c>
      <c r="AB1862" t="str">
        <f>IFERROR(IF(ISNUMBER('Procyflof 700'!A363),'Procyflof 700'!A363,DATEVALUE('Procyflof 700'!A363)),"")</f>
        <v/>
      </c>
      <c r="AC1862" t="str">
        <f>IF(AA1862="","",'Procyflof 700'!B363)</f>
        <v/>
      </c>
      <c r="AD1862" t="str">
        <f>IF(AA1862="","",IFERROR(1*'Procyflof 700'!C363,IFERROR(_xludf.NUMBERVALUE('Procyflof 700'!C363,".",","),IFERROR(_xludf.NUMBERVALUE('Procyflof 700'!C363,",","."),0))))</f>
        <v/>
      </c>
      <c r="AE1862" t="str">
        <f>IF(AA1862="","",'Procyflof 700'!N363)</f>
        <v/>
      </c>
      <c r="AF1862">
        <f t="shared" si="191"/>
        <v>0</v>
      </c>
      <c r="AG1862" t="str">
        <f t="shared" si="192"/>
        <v/>
      </c>
      <c r="AH1862" t="str">
        <f t="shared" si="193"/>
        <v/>
      </c>
      <c r="AI1862">
        <f t="shared" si="194"/>
        <v>0</v>
      </c>
      <c r="AJ1862">
        <f t="shared" si="195"/>
        <v>0</v>
      </c>
      <c r="AK1862">
        <v>0</v>
      </c>
      <c r="AL1862" t="str">
        <f>IF(AA1862="","",IFERROR(IF(ISNUMBER('Procyflof 700'!D363),'Procyflof 700'!D363,IF(ISNUMBER(SEARCH("12",'Procyflof 700'!D363)),EDATE(AB1862,12),IF(ISNUMBER(SEARCH("6",'Procyflof 700'!D363)),EDATE(AB1862,6),IF(ISNUMBER(SEARCH("3",'Procyflof 700'!D363)),EDATE(AB1862,3),DATEVALUE('Procyflof 700'!D363))))),""))</f>
        <v/>
      </c>
      <c r="AM1862" t="str">
        <f t="shared" ca="1" si="196"/>
        <v/>
      </c>
    </row>
    <row r="1863" spans="27:39" x14ac:dyDescent="0.3">
      <c r="AA1863" t="str">
        <f>IF(COUNTA('Procyflof 700'!A364,'Procyflof 700'!B364,'Procyflof 700'!C364)&gt;0,"700","")</f>
        <v/>
      </c>
      <c r="AB1863" t="str">
        <f>IFERROR(IF(ISNUMBER('Procyflof 700'!A364),'Procyflof 700'!A364,DATEVALUE('Procyflof 700'!A364)),"")</f>
        <v/>
      </c>
      <c r="AC1863" t="str">
        <f>IF(AA1863="","",'Procyflof 700'!B364)</f>
        <v/>
      </c>
      <c r="AD1863" t="str">
        <f>IF(AA1863="","",IFERROR(1*'Procyflof 700'!C364,IFERROR(_xludf.NUMBERVALUE('Procyflof 700'!C364,".",","),IFERROR(_xludf.NUMBERVALUE('Procyflof 700'!C364,",","."),0))))</f>
        <v/>
      </c>
      <c r="AE1863" t="str">
        <f>IF(AA1863="","",'Procyflof 700'!N364)</f>
        <v/>
      </c>
      <c r="AF1863">
        <f t="shared" si="191"/>
        <v>0</v>
      </c>
      <c r="AG1863" t="str">
        <f t="shared" si="192"/>
        <v/>
      </c>
      <c r="AH1863" t="str">
        <f t="shared" si="193"/>
        <v/>
      </c>
      <c r="AI1863">
        <f t="shared" si="194"/>
        <v>0</v>
      </c>
      <c r="AJ1863">
        <f t="shared" si="195"/>
        <v>0</v>
      </c>
      <c r="AK1863">
        <v>0</v>
      </c>
      <c r="AL1863" t="str">
        <f>IF(AA1863="","",IFERROR(IF(ISNUMBER('Procyflof 700'!D364),'Procyflof 700'!D364,IF(ISNUMBER(SEARCH("12",'Procyflof 700'!D364)),EDATE(AB1863,12),IF(ISNUMBER(SEARCH("6",'Procyflof 700'!D364)),EDATE(AB1863,6),IF(ISNUMBER(SEARCH("3",'Procyflof 700'!D364)),EDATE(AB1863,3),DATEVALUE('Procyflof 700'!D364))))),""))</f>
        <v/>
      </c>
      <c r="AM1863" t="str">
        <f t="shared" ca="1" si="196"/>
        <v/>
      </c>
    </row>
    <row r="1864" spans="27:39" x14ac:dyDescent="0.3">
      <c r="AA1864" t="str">
        <f>IF(COUNTA('Procyflof 700'!A365,'Procyflof 700'!B365,'Procyflof 700'!C365)&gt;0,"700","")</f>
        <v/>
      </c>
      <c r="AB1864" t="str">
        <f>IFERROR(IF(ISNUMBER('Procyflof 700'!A365),'Procyflof 700'!A365,DATEVALUE('Procyflof 700'!A365)),"")</f>
        <v/>
      </c>
      <c r="AC1864" t="str">
        <f>IF(AA1864="","",'Procyflof 700'!B365)</f>
        <v/>
      </c>
      <c r="AD1864" t="str">
        <f>IF(AA1864="","",IFERROR(1*'Procyflof 700'!C365,IFERROR(_xludf.NUMBERVALUE('Procyflof 700'!C365,".",","),IFERROR(_xludf.NUMBERVALUE('Procyflof 700'!C365,",","."),0))))</f>
        <v/>
      </c>
      <c r="AE1864" t="str">
        <f>IF(AA1864="","",'Procyflof 700'!N365)</f>
        <v/>
      </c>
      <c r="AF1864">
        <f t="shared" si="191"/>
        <v>0</v>
      </c>
      <c r="AG1864" t="str">
        <f t="shared" si="192"/>
        <v/>
      </c>
      <c r="AH1864" t="str">
        <f t="shared" si="193"/>
        <v/>
      </c>
      <c r="AI1864">
        <f t="shared" si="194"/>
        <v>0</v>
      </c>
      <c r="AJ1864">
        <f t="shared" si="195"/>
        <v>0</v>
      </c>
      <c r="AK1864">
        <v>0</v>
      </c>
      <c r="AL1864" t="str">
        <f>IF(AA1864="","",IFERROR(IF(ISNUMBER('Procyflof 700'!D365),'Procyflof 700'!D365,IF(ISNUMBER(SEARCH("12",'Procyflof 700'!D365)),EDATE(AB1864,12),IF(ISNUMBER(SEARCH("6",'Procyflof 700'!D365)),EDATE(AB1864,6),IF(ISNUMBER(SEARCH("3",'Procyflof 700'!D365)),EDATE(AB1864,3),DATEVALUE('Procyflof 700'!D365))))),""))</f>
        <v/>
      </c>
      <c r="AM1864" t="str">
        <f t="shared" ca="1" si="196"/>
        <v/>
      </c>
    </row>
    <row r="1865" spans="27:39" x14ac:dyDescent="0.3">
      <c r="AA1865" t="str">
        <f>IF(COUNTA('Procyflof 700'!A366,'Procyflof 700'!B366,'Procyflof 700'!C366)&gt;0,"700","")</f>
        <v/>
      </c>
      <c r="AB1865" t="str">
        <f>IFERROR(IF(ISNUMBER('Procyflof 700'!A366),'Procyflof 700'!A366,DATEVALUE('Procyflof 700'!A366)),"")</f>
        <v/>
      </c>
      <c r="AC1865" t="str">
        <f>IF(AA1865="","",'Procyflof 700'!B366)</f>
        <v/>
      </c>
      <c r="AD1865" t="str">
        <f>IF(AA1865="","",IFERROR(1*'Procyflof 700'!C366,IFERROR(_xludf.NUMBERVALUE('Procyflof 700'!C366,".",","),IFERROR(_xludf.NUMBERVALUE('Procyflof 700'!C366,",","."),0))))</f>
        <v/>
      </c>
      <c r="AE1865" t="str">
        <f>IF(AA1865="","",'Procyflof 700'!N366)</f>
        <v/>
      </c>
      <c r="AF1865">
        <f t="shared" si="191"/>
        <v>0</v>
      </c>
      <c r="AG1865" t="str">
        <f t="shared" si="192"/>
        <v/>
      </c>
      <c r="AH1865" t="str">
        <f t="shared" si="193"/>
        <v/>
      </c>
      <c r="AI1865">
        <f t="shared" si="194"/>
        <v>0</v>
      </c>
      <c r="AJ1865">
        <f t="shared" si="195"/>
        <v>0</v>
      </c>
      <c r="AK1865">
        <v>0</v>
      </c>
      <c r="AL1865" t="str">
        <f>IF(AA1865="","",IFERROR(IF(ISNUMBER('Procyflof 700'!D366),'Procyflof 700'!D366,IF(ISNUMBER(SEARCH("12",'Procyflof 700'!D366)),EDATE(AB1865,12),IF(ISNUMBER(SEARCH("6",'Procyflof 700'!D366)),EDATE(AB1865,6),IF(ISNUMBER(SEARCH("3",'Procyflof 700'!D366)),EDATE(AB1865,3),DATEVALUE('Procyflof 700'!D366))))),""))</f>
        <v/>
      </c>
      <c r="AM1865" t="str">
        <f t="shared" ca="1" si="196"/>
        <v/>
      </c>
    </row>
    <row r="1866" spans="27:39" x14ac:dyDescent="0.3">
      <c r="AA1866" t="str">
        <f>IF(COUNTA('Procyflof 700'!A367,'Procyflof 700'!B367,'Procyflof 700'!C367)&gt;0,"700","")</f>
        <v/>
      </c>
      <c r="AB1866" t="str">
        <f>IFERROR(IF(ISNUMBER('Procyflof 700'!A367),'Procyflof 700'!A367,DATEVALUE('Procyflof 700'!A367)),"")</f>
        <v/>
      </c>
      <c r="AC1866" t="str">
        <f>IF(AA1866="","",'Procyflof 700'!B367)</f>
        <v/>
      </c>
      <c r="AD1866" t="str">
        <f>IF(AA1866="","",IFERROR(1*'Procyflof 700'!C367,IFERROR(_xludf.NUMBERVALUE('Procyflof 700'!C367,".",","),IFERROR(_xludf.NUMBERVALUE('Procyflof 700'!C367,",","."),0))))</f>
        <v/>
      </c>
      <c r="AE1866" t="str">
        <f>IF(AA1866="","",'Procyflof 700'!N367)</f>
        <v/>
      </c>
      <c r="AF1866">
        <f t="shared" si="191"/>
        <v>0</v>
      </c>
      <c r="AG1866" t="str">
        <f t="shared" si="192"/>
        <v/>
      </c>
      <c r="AH1866" t="str">
        <f t="shared" si="193"/>
        <v/>
      </c>
      <c r="AI1866">
        <f t="shared" si="194"/>
        <v>0</v>
      </c>
      <c r="AJ1866">
        <f t="shared" si="195"/>
        <v>0</v>
      </c>
      <c r="AK1866">
        <v>0</v>
      </c>
      <c r="AL1866" t="str">
        <f>IF(AA1866="","",IFERROR(IF(ISNUMBER('Procyflof 700'!D367),'Procyflof 700'!D367,IF(ISNUMBER(SEARCH("12",'Procyflof 700'!D367)),EDATE(AB1866,12),IF(ISNUMBER(SEARCH("6",'Procyflof 700'!D367)),EDATE(AB1866,6),IF(ISNUMBER(SEARCH("3",'Procyflof 700'!D367)),EDATE(AB1866,3),DATEVALUE('Procyflof 700'!D367))))),""))</f>
        <v/>
      </c>
      <c r="AM1866" t="str">
        <f t="shared" ca="1" si="196"/>
        <v/>
      </c>
    </row>
    <row r="1867" spans="27:39" x14ac:dyDescent="0.3">
      <c r="AA1867" t="str">
        <f>IF(COUNTA('Procyflof 700'!A368,'Procyflof 700'!B368,'Procyflof 700'!C368)&gt;0,"700","")</f>
        <v/>
      </c>
      <c r="AB1867" t="str">
        <f>IFERROR(IF(ISNUMBER('Procyflof 700'!A368),'Procyflof 700'!A368,DATEVALUE('Procyflof 700'!A368)),"")</f>
        <v/>
      </c>
      <c r="AC1867" t="str">
        <f>IF(AA1867="","",'Procyflof 700'!B368)</f>
        <v/>
      </c>
      <c r="AD1867" t="str">
        <f>IF(AA1867="","",IFERROR(1*'Procyflof 700'!C368,IFERROR(_xludf.NUMBERVALUE('Procyflof 700'!C368,".",","),IFERROR(_xludf.NUMBERVALUE('Procyflof 700'!C368,",","."),0))))</f>
        <v/>
      </c>
      <c r="AE1867" t="str">
        <f>IF(AA1867="","",'Procyflof 700'!N368)</f>
        <v/>
      </c>
      <c r="AF1867">
        <f t="shared" si="191"/>
        <v>0</v>
      </c>
      <c r="AG1867" t="str">
        <f t="shared" si="192"/>
        <v/>
      </c>
      <c r="AH1867" t="str">
        <f t="shared" si="193"/>
        <v/>
      </c>
      <c r="AI1867">
        <f t="shared" si="194"/>
        <v>0</v>
      </c>
      <c r="AJ1867">
        <f t="shared" si="195"/>
        <v>0</v>
      </c>
      <c r="AK1867">
        <v>0</v>
      </c>
      <c r="AL1867" t="str">
        <f>IF(AA1867="","",IFERROR(IF(ISNUMBER('Procyflof 700'!D368),'Procyflof 700'!D368,IF(ISNUMBER(SEARCH("12",'Procyflof 700'!D368)),EDATE(AB1867,12),IF(ISNUMBER(SEARCH("6",'Procyflof 700'!D368)),EDATE(AB1867,6),IF(ISNUMBER(SEARCH("3",'Procyflof 700'!D368)),EDATE(AB1867,3),DATEVALUE('Procyflof 700'!D368))))),""))</f>
        <v/>
      </c>
      <c r="AM1867" t="str">
        <f t="shared" ca="1" si="196"/>
        <v/>
      </c>
    </row>
    <row r="1868" spans="27:39" x14ac:dyDescent="0.3">
      <c r="AA1868" t="str">
        <f>IF(COUNTA('Procyflof 700'!A369,'Procyflof 700'!B369,'Procyflof 700'!C369)&gt;0,"700","")</f>
        <v/>
      </c>
      <c r="AB1868" t="str">
        <f>IFERROR(IF(ISNUMBER('Procyflof 700'!A369),'Procyflof 700'!A369,DATEVALUE('Procyflof 700'!A369)),"")</f>
        <v/>
      </c>
      <c r="AC1868" t="str">
        <f>IF(AA1868="","",'Procyflof 700'!B369)</f>
        <v/>
      </c>
      <c r="AD1868" t="str">
        <f>IF(AA1868="","",IFERROR(1*'Procyflof 700'!C369,IFERROR(_xludf.NUMBERVALUE('Procyflof 700'!C369,".",","),IFERROR(_xludf.NUMBERVALUE('Procyflof 700'!C369,",","."),0))))</f>
        <v/>
      </c>
      <c r="AE1868" t="str">
        <f>IF(AA1868="","",'Procyflof 700'!N369)</f>
        <v/>
      </c>
      <c r="AF1868">
        <f t="shared" si="191"/>
        <v>0</v>
      </c>
      <c r="AG1868" t="str">
        <f t="shared" si="192"/>
        <v/>
      </c>
      <c r="AH1868" t="str">
        <f t="shared" si="193"/>
        <v/>
      </c>
      <c r="AI1868">
        <f t="shared" si="194"/>
        <v>0</v>
      </c>
      <c r="AJ1868">
        <f t="shared" si="195"/>
        <v>0</v>
      </c>
      <c r="AK1868">
        <v>0</v>
      </c>
      <c r="AL1868" t="str">
        <f>IF(AA1868="","",IFERROR(IF(ISNUMBER('Procyflof 700'!D369),'Procyflof 700'!D369,IF(ISNUMBER(SEARCH("12",'Procyflof 700'!D369)),EDATE(AB1868,12),IF(ISNUMBER(SEARCH("6",'Procyflof 700'!D369)),EDATE(AB1868,6),IF(ISNUMBER(SEARCH("3",'Procyflof 700'!D369)),EDATE(AB1868,3),DATEVALUE('Procyflof 700'!D369))))),""))</f>
        <v/>
      </c>
      <c r="AM1868" t="str">
        <f t="shared" ca="1" si="196"/>
        <v/>
      </c>
    </row>
    <row r="1869" spans="27:39" x14ac:dyDescent="0.3">
      <c r="AA1869" t="str">
        <f>IF(COUNTA('Procyflof 700'!A370,'Procyflof 700'!B370,'Procyflof 700'!C370)&gt;0,"700","")</f>
        <v/>
      </c>
      <c r="AB1869" t="str">
        <f>IFERROR(IF(ISNUMBER('Procyflof 700'!A370),'Procyflof 700'!A370,DATEVALUE('Procyflof 700'!A370)),"")</f>
        <v/>
      </c>
      <c r="AC1869" t="str">
        <f>IF(AA1869="","",'Procyflof 700'!B370)</f>
        <v/>
      </c>
      <c r="AD1869" t="str">
        <f>IF(AA1869="","",IFERROR(1*'Procyflof 700'!C370,IFERROR(_xludf.NUMBERVALUE('Procyflof 700'!C370,".",","),IFERROR(_xludf.NUMBERVALUE('Procyflof 700'!C370,",","."),0))))</f>
        <v/>
      </c>
      <c r="AE1869" t="str">
        <f>IF(AA1869="","",'Procyflof 700'!N370)</f>
        <v/>
      </c>
      <c r="AF1869">
        <f t="shared" si="191"/>
        <v>0</v>
      </c>
      <c r="AG1869" t="str">
        <f t="shared" si="192"/>
        <v/>
      </c>
      <c r="AH1869" t="str">
        <f t="shared" si="193"/>
        <v/>
      </c>
      <c r="AI1869">
        <f t="shared" si="194"/>
        <v>0</v>
      </c>
      <c r="AJ1869">
        <f t="shared" si="195"/>
        <v>0</v>
      </c>
      <c r="AK1869">
        <v>0</v>
      </c>
      <c r="AL1869" t="str">
        <f>IF(AA1869="","",IFERROR(IF(ISNUMBER('Procyflof 700'!D370),'Procyflof 700'!D370,IF(ISNUMBER(SEARCH("12",'Procyflof 700'!D370)),EDATE(AB1869,12),IF(ISNUMBER(SEARCH("6",'Procyflof 700'!D370)),EDATE(AB1869,6),IF(ISNUMBER(SEARCH("3",'Procyflof 700'!D370)),EDATE(AB1869,3),DATEVALUE('Procyflof 700'!D370))))),""))</f>
        <v/>
      </c>
      <c r="AM1869" t="str">
        <f t="shared" ca="1" si="196"/>
        <v/>
      </c>
    </row>
    <row r="1870" spans="27:39" x14ac:dyDescent="0.3">
      <c r="AA1870" t="str">
        <f>IF(COUNTA('Procyflof 700'!A371,'Procyflof 700'!B371,'Procyflof 700'!C371)&gt;0,"700","")</f>
        <v/>
      </c>
      <c r="AB1870" t="str">
        <f>IFERROR(IF(ISNUMBER('Procyflof 700'!A371),'Procyflof 700'!A371,DATEVALUE('Procyflof 700'!A371)),"")</f>
        <v/>
      </c>
      <c r="AC1870" t="str">
        <f>IF(AA1870="","",'Procyflof 700'!B371)</f>
        <v/>
      </c>
      <c r="AD1870" t="str">
        <f>IF(AA1870="","",IFERROR(1*'Procyflof 700'!C371,IFERROR(_xludf.NUMBERVALUE('Procyflof 700'!C371,".",","),IFERROR(_xludf.NUMBERVALUE('Procyflof 700'!C371,",","."),0))))</f>
        <v/>
      </c>
      <c r="AE1870" t="str">
        <f>IF(AA1870="","",'Procyflof 700'!N371)</f>
        <v/>
      </c>
      <c r="AF1870">
        <f t="shared" si="191"/>
        <v>0</v>
      </c>
      <c r="AG1870" t="str">
        <f t="shared" si="192"/>
        <v/>
      </c>
      <c r="AH1870" t="str">
        <f t="shared" si="193"/>
        <v/>
      </c>
      <c r="AI1870">
        <f t="shared" si="194"/>
        <v>0</v>
      </c>
      <c r="AJ1870">
        <f t="shared" si="195"/>
        <v>0</v>
      </c>
      <c r="AK1870">
        <v>0</v>
      </c>
      <c r="AL1870" t="str">
        <f>IF(AA1870="","",IFERROR(IF(ISNUMBER('Procyflof 700'!D371),'Procyflof 700'!D371,IF(ISNUMBER(SEARCH("12",'Procyflof 700'!D371)),EDATE(AB1870,12),IF(ISNUMBER(SEARCH("6",'Procyflof 700'!D371)),EDATE(AB1870,6),IF(ISNUMBER(SEARCH("3",'Procyflof 700'!D371)),EDATE(AB1870,3),DATEVALUE('Procyflof 700'!D371))))),""))</f>
        <v/>
      </c>
      <c r="AM1870" t="str">
        <f t="shared" ca="1" si="196"/>
        <v/>
      </c>
    </row>
    <row r="1871" spans="27:39" x14ac:dyDescent="0.3">
      <c r="AA1871" t="str">
        <f>IF(COUNTA('Procyflof 700'!A372,'Procyflof 700'!B372,'Procyflof 700'!C372)&gt;0,"700","")</f>
        <v/>
      </c>
      <c r="AB1871" t="str">
        <f>IFERROR(IF(ISNUMBER('Procyflof 700'!A372),'Procyflof 700'!A372,DATEVALUE('Procyflof 700'!A372)),"")</f>
        <v/>
      </c>
      <c r="AC1871" t="str">
        <f>IF(AA1871="","",'Procyflof 700'!B372)</f>
        <v/>
      </c>
      <c r="AD1871" t="str">
        <f>IF(AA1871="","",IFERROR(1*'Procyflof 700'!C372,IFERROR(_xludf.NUMBERVALUE('Procyflof 700'!C372,".",","),IFERROR(_xludf.NUMBERVALUE('Procyflof 700'!C372,",","."),0))))</f>
        <v/>
      </c>
      <c r="AE1871" t="str">
        <f>IF(AA1871="","",'Procyflof 700'!N372)</f>
        <v/>
      </c>
      <c r="AF1871">
        <f t="shared" si="191"/>
        <v>0</v>
      </c>
      <c r="AG1871" t="str">
        <f t="shared" si="192"/>
        <v/>
      </c>
      <c r="AH1871" t="str">
        <f t="shared" si="193"/>
        <v/>
      </c>
      <c r="AI1871">
        <f t="shared" si="194"/>
        <v>0</v>
      </c>
      <c r="AJ1871">
        <f t="shared" si="195"/>
        <v>0</v>
      </c>
      <c r="AK1871">
        <v>0</v>
      </c>
      <c r="AL1871" t="str">
        <f>IF(AA1871="","",IFERROR(IF(ISNUMBER('Procyflof 700'!D372),'Procyflof 700'!D372,IF(ISNUMBER(SEARCH("12",'Procyflof 700'!D372)),EDATE(AB1871,12),IF(ISNUMBER(SEARCH("6",'Procyflof 700'!D372)),EDATE(AB1871,6),IF(ISNUMBER(SEARCH("3",'Procyflof 700'!D372)),EDATE(AB1871,3),DATEVALUE('Procyflof 700'!D372))))),""))</f>
        <v/>
      </c>
      <c r="AM1871" t="str">
        <f t="shared" ca="1" si="196"/>
        <v/>
      </c>
    </row>
    <row r="1872" spans="27:39" x14ac:dyDescent="0.3">
      <c r="AA1872" t="str">
        <f>IF(COUNTA('Procyflof 700'!A373,'Procyflof 700'!B373,'Procyflof 700'!C373)&gt;0,"700","")</f>
        <v/>
      </c>
      <c r="AB1872" t="str">
        <f>IFERROR(IF(ISNUMBER('Procyflof 700'!A373),'Procyflof 700'!A373,DATEVALUE('Procyflof 700'!A373)),"")</f>
        <v/>
      </c>
      <c r="AC1872" t="str">
        <f>IF(AA1872="","",'Procyflof 700'!B373)</f>
        <v/>
      </c>
      <c r="AD1872" t="str">
        <f>IF(AA1872="","",IFERROR(1*'Procyflof 700'!C373,IFERROR(_xludf.NUMBERVALUE('Procyflof 700'!C373,".",","),IFERROR(_xludf.NUMBERVALUE('Procyflof 700'!C373,",","."),0))))</f>
        <v/>
      </c>
      <c r="AE1872" t="str">
        <f>IF(AA1872="","",'Procyflof 700'!N373)</f>
        <v/>
      </c>
      <c r="AF1872">
        <f t="shared" si="191"/>
        <v>0</v>
      </c>
      <c r="AG1872" t="str">
        <f t="shared" si="192"/>
        <v/>
      </c>
      <c r="AH1872" t="str">
        <f t="shared" si="193"/>
        <v/>
      </c>
      <c r="AI1872">
        <f t="shared" si="194"/>
        <v>0</v>
      </c>
      <c r="AJ1872">
        <f t="shared" si="195"/>
        <v>0</v>
      </c>
      <c r="AK1872">
        <v>0</v>
      </c>
      <c r="AL1872" t="str">
        <f>IF(AA1872="","",IFERROR(IF(ISNUMBER('Procyflof 700'!D373),'Procyflof 700'!D373,IF(ISNUMBER(SEARCH("12",'Procyflof 700'!D373)),EDATE(AB1872,12),IF(ISNUMBER(SEARCH("6",'Procyflof 700'!D373)),EDATE(AB1872,6),IF(ISNUMBER(SEARCH("3",'Procyflof 700'!D373)),EDATE(AB1872,3),DATEVALUE('Procyflof 700'!D373))))),""))</f>
        <v/>
      </c>
      <c r="AM1872" t="str">
        <f t="shared" ca="1" si="196"/>
        <v/>
      </c>
    </row>
    <row r="1873" spans="27:39" x14ac:dyDescent="0.3">
      <c r="AA1873" t="str">
        <f>IF(COUNTA('Procyflof 700'!A374,'Procyflof 700'!B374,'Procyflof 700'!C374)&gt;0,"700","")</f>
        <v/>
      </c>
      <c r="AB1873" t="str">
        <f>IFERROR(IF(ISNUMBER('Procyflof 700'!A374),'Procyflof 700'!A374,DATEVALUE('Procyflof 700'!A374)),"")</f>
        <v/>
      </c>
      <c r="AC1873" t="str">
        <f>IF(AA1873="","",'Procyflof 700'!B374)</f>
        <v/>
      </c>
      <c r="AD1873" t="str">
        <f>IF(AA1873="","",IFERROR(1*'Procyflof 700'!C374,IFERROR(_xludf.NUMBERVALUE('Procyflof 700'!C374,".",","),IFERROR(_xludf.NUMBERVALUE('Procyflof 700'!C374,",","."),0))))</f>
        <v/>
      </c>
      <c r="AE1873" t="str">
        <f>IF(AA1873="","",'Procyflof 700'!N374)</f>
        <v/>
      </c>
      <c r="AF1873">
        <f t="shared" si="191"/>
        <v>0</v>
      </c>
      <c r="AG1873" t="str">
        <f t="shared" si="192"/>
        <v/>
      </c>
      <c r="AH1873" t="str">
        <f t="shared" si="193"/>
        <v/>
      </c>
      <c r="AI1873">
        <f t="shared" si="194"/>
        <v>0</v>
      </c>
      <c r="AJ1873">
        <f t="shared" si="195"/>
        <v>0</v>
      </c>
      <c r="AK1873">
        <v>0</v>
      </c>
      <c r="AL1873" t="str">
        <f>IF(AA1873="","",IFERROR(IF(ISNUMBER('Procyflof 700'!D374),'Procyflof 700'!D374,IF(ISNUMBER(SEARCH("12",'Procyflof 700'!D374)),EDATE(AB1873,12),IF(ISNUMBER(SEARCH("6",'Procyflof 700'!D374)),EDATE(AB1873,6),IF(ISNUMBER(SEARCH("3",'Procyflof 700'!D374)),EDATE(AB1873,3),DATEVALUE('Procyflof 700'!D374))))),""))</f>
        <v/>
      </c>
      <c r="AM1873" t="str">
        <f t="shared" ca="1" si="196"/>
        <v/>
      </c>
    </row>
    <row r="1874" spans="27:39" x14ac:dyDescent="0.3">
      <c r="AA1874" t="str">
        <f>IF(COUNTA('Procyflof 700'!A375,'Procyflof 700'!B375,'Procyflof 700'!C375)&gt;0,"700","")</f>
        <v/>
      </c>
      <c r="AB1874" t="str">
        <f>IFERROR(IF(ISNUMBER('Procyflof 700'!A375),'Procyflof 700'!A375,DATEVALUE('Procyflof 700'!A375)),"")</f>
        <v/>
      </c>
      <c r="AC1874" t="str">
        <f>IF(AA1874="","",'Procyflof 700'!B375)</f>
        <v/>
      </c>
      <c r="AD1874" t="str">
        <f>IF(AA1874="","",IFERROR(1*'Procyflof 700'!C375,IFERROR(_xludf.NUMBERVALUE('Procyflof 700'!C375,".",","),IFERROR(_xludf.NUMBERVALUE('Procyflof 700'!C375,",","."),0))))</f>
        <v/>
      </c>
      <c r="AE1874" t="str">
        <f>IF(AA1874="","",'Procyflof 700'!N375)</f>
        <v/>
      </c>
      <c r="AF1874">
        <f t="shared" si="191"/>
        <v>0</v>
      </c>
      <c r="AG1874" t="str">
        <f t="shared" si="192"/>
        <v/>
      </c>
      <c r="AH1874" t="str">
        <f t="shared" si="193"/>
        <v/>
      </c>
      <c r="AI1874">
        <f t="shared" si="194"/>
        <v>0</v>
      </c>
      <c r="AJ1874">
        <f t="shared" si="195"/>
        <v>0</v>
      </c>
      <c r="AK1874">
        <v>0</v>
      </c>
      <c r="AL1874" t="str">
        <f>IF(AA1874="","",IFERROR(IF(ISNUMBER('Procyflof 700'!D375),'Procyflof 700'!D375,IF(ISNUMBER(SEARCH("12",'Procyflof 700'!D375)),EDATE(AB1874,12),IF(ISNUMBER(SEARCH("6",'Procyflof 700'!D375)),EDATE(AB1874,6),IF(ISNUMBER(SEARCH("3",'Procyflof 700'!D375)),EDATE(AB1874,3),DATEVALUE('Procyflof 700'!D375))))),""))</f>
        <v/>
      </c>
      <c r="AM1874" t="str">
        <f t="shared" ca="1" si="196"/>
        <v/>
      </c>
    </row>
    <row r="1875" spans="27:39" x14ac:dyDescent="0.3">
      <c r="AA1875" t="str">
        <f>IF(COUNTA('Procyflof 700'!A376,'Procyflof 700'!B376,'Procyflof 700'!C376)&gt;0,"700","")</f>
        <v/>
      </c>
      <c r="AB1875" t="str">
        <f>IFERROR(IF(ISNUMBER('Procyflof 700'!A376),'Procyflof 700'!A376,DATEVALUE('Procyflof 700'!A376)),"")</f>
        <v/>
      </c>
      <c r="AC1875" t="str">
        <f>IF(AA1875="","",'Procyflof 700'!B376)</f>
        <v/>
      </c>
      <c r="AD1875" t="str">
        <f>IF(AA1875="","",IFERROR(1*'Procyflof 700'!C376,IFERROR(_xludf.NUMBERVALUE('Procyflof 700'!C376,".",","),IFERROR(_xludf.NUMBERVALUE('Procyflof 700'!C376,",","."),0))))</f>
        <v/>
      </c>
      <c r="AE1875" t="str">
        <f>IF(AA1875="","",'Procyflof 700'!N376)</f>
        <v/>
      </c>
      <c r="AF1875">
        <f t="shared" si="191"/>
        <v>0</v>
      </c>
      <c r="AG1875" t="str">
        <f t="shared" si="192"/>
        <v/>
      </c>
      <c r="AH1875" t="str">
        <f t="shared" si="193"/>
        <v/>
      </c>
      <c r="AI1875">
        <f t="shared" si="194"/>
        <v>0</v>
      </c>
      <c r="AJ1875">
        <f t="shared" si="195"/>
        <v>0</v>
      </c>
      <c r="AK1875">
        <v>0</v>
      </c>
      <c r="AL1875" t="str">
        <f>IF(AA1875="","",IFERROR(IF(ISNUMBER('Procyflof 700'!D376),'Procyflof 700'!D376,IF(ISNUMBER(SEARCH("12",'Procyflof 700'!D376)),EDATE(AB1875,12),IF(ISNUMBER(SEARCH("6",'Procyflof 700'!D376)),EDATE(AB1875,6),IF(ISNUMBER(SEARCH("3",'Procyflof 700'!D376)),EDATE(AB1875,3),DATEVALUE('Procyflof 700'!D376))))),""))</f>
        <v/>
      </c>
      <c r="AM1875" t="str">
        <f t="shared" ca="1" si="196"/>
        <v/>
      </c>
    </row>
    <row r="1876" spans="27:39" x14ac:dyDescent="0.3">
      <c r="AA1876" t="str">
        <f>IF(COUNTA('Procyflof 700'!A377,'Procyflof 700'!B377,'Procyflof 700'!C377)&gt;0,"700","")</f>
        <v/>
      </c>
      <c r="AB1876" t="str">
        <f>IFERROR(IF(ISNUMBER('Procyflof 700'!A377),'Procyflof 700'!A377,DATEVALUE('Procyflof 700'!A377)),"")</f>
        <v/>
      </c>
      <c r="AC1876" t="str">
        <f>IF(AA1876="","",'Procyflof 700'!B377)</f>
        <v/>
      </c>
      <c r="AD1876" t="str">
        <f>IF(AA1876="","",IFERROR(1*'Procyflof 700'!C377,IFERROR(_xludf.NUMBERVALUE('Procyflof 700'!C377,".",","),IFERROR(_xludf.NUMBERVALUE('Procyflof 700'!C377,",","."),0))))</f>
        <v/>
      </c>
      <c r="AE1876" t="str">
        <f>IF(AA1876="","",'Procyflof 700'!N377)</f>
        <v/>
      </c>
      <c r="AF1876">
        <f t="shared" si="191"/>
        <v>0</v>
      </c>
      <c r="AG1876" t="str">
        <f t="shared" si="192"/>
        <v/>
      </c>
      <c r="AH1876" t="str">
        <f t="shared" si="193"/>
        <v/>
      </c>
      <c r="AI1876">
        <f t="shared" si="194"/>
        <v>0</v>
      </c>
      <c r="AJ1876">
        <f t="shared" si="195"/>
        <v>0</v>
      </c>
      <c r="AK1876">
        <v>0</v>
      </c>
      <c r="AL1876" t="str">
        <f>IF(AA1876="","",IFERROR(IF(ISNUMBER('Procyflof 700'!D377),'Procyflof 700'!D377,IF(ISNUMBER(SEARCH("12",'Procyflof 700'!D377)),EDATE(AB1876,12),IF(ISNUMBER(SEARCH("6",'Procyflof 700'!D377)),EDATE(AB1876,6),IF(ISNUMBER(SEARCH("3",'Procyflof 700'!D377)),EDATE(AB1876,3),DATEVALUE('Procyflof 700'!D377))))),""))</f>
        <v/>
      </c>
      <c r="AM1876" t="str">
        <f t="shared" ca="1" si="196"/>
        <v/>
      </c>
    </row>
    <row r="1877" spans="27:39" x14ac:dyDescent="0.3">
      <c r="AA1877" t="str">
        <f>IF(COUNTA('Procyflof 700'!A378,'Procyflof 700'!B378,'Procyflof 700'!C378)&gt;0,"700","")</f>
        <v/>
      </c>
      <c r="AB1877" t="str">
        <f>IFERROR(IF(ISNUMBER('Procyflof 700'!A378),'Procyflof 700'!A378,DATEVALUE('Procyflof 700'!A378)),"")</f>
        <v/>
      </c>
      <c r="AC1877" t="str">
        <f>IF(AA1877="","",'Procyflof 700'!B378)</f>
        <v/>
      </c>
      <c r="AD1877" t="str">
        <f>IF(AA1877="","",IFERROR(1*'Procyflof 700'!C378,IFERROR(_xludf.NUMBERVALUE('Procyflof 700'!C378,".",","),IFERROR(_xludf.NUMBERVALUE('Procyflof 700'!C378,",","."),0))))</f>
        <v/>
      </c>
      <c r="AE1877" t="str">
        <f>IF(AA1877="","",'Procyflof 700'!N378)</f>
        <v/>
      </c>
      <c r="AF1877">
        <f t="shared" si="191"/>
        <v>0</v>
      </c>
      <c r="AG1877" t="str">
        <f t="shared" si="192"/>
        <v/>
      </c>
      <c r="AH1877" t="str">
        <f t="shared" si="193"/>
        <v/>
      </c>
      <c r="AI1877">
        <f t="shared" si="194"/>
        <v>0</v>
      </c>
      <c r="AJ1877">
        <f t="shared" si="195"/>
        <v>0</v>
      </c>
      <c r="AK1877">
        <v>0</v>
      </c>
      <c r="AL1877" t="str">
        <f>IF(AA1877="","",IFERROR(IF(ISNUMBER('Procyflof 700'!D378),'Procyflof 700'!D378,IF(ISNUMBER(SEARCH("12",'Procyflof 700'!D378)),EDATE(AB1877,12),IF(ISNUMBER(SEARCH("6",'Procyflof 700'!D378)),EDATE(AB1877,6),IF(ISNUMBER(SEARCH("3",'Procyflof 700'!D378)),EDATE(AB1877,3),DATEVALUE('Procyflof 700'!D378))))),""))</f>
        <v/>
      </c>
      <c r="AM1877" t="str">
        <f t="shared" ca="1" si="196"/>
        <v/>
      </c>
    </row>
    <row r="1878" spans="27:39" x14ac:dyDescent="0.3">
      <c r="AA1878" t="str">
        <f>IF(COUNTA('Procyflof 700'!A379,'Procyflof 700'!B379,'Procyflof 700'!C379)&gt;0,"700","")</f>
        <v/>
      </c>
      <c r="AB1878" t="str">
        <f>IFERROR(IF(ISNUMBER('Procyflof 700'!A379),'Procyflof 700'!A379,DATEVALUE('Procyflof 700'!A379)),"")</f>
        <v/>
      </c>
      <c r="AC1878" t="str">
        <f>IF(AA1878="","",'Procyflof 700'!B379)</f>
        <v/>
      </c>
      <c r="AD1878" t="str">
        <f>IF(AA1878="","",IFERROR(1*'Procyflof 700'!C379,IFERROR(_xludf.NUMBERVALUE('Procyflof 700'!C379,".",","),IFERROR(_xludf.NUMBERVALUE('Procyflof 700'!C379,",","."),0))))</f>
        <v/>
      </c>
      <c r="AE1878" t="str">
        <f>IF(AA1878="","",'Procyflof 700'!N379)</f>
        <v/>
      </c>
      <c r="AF1878">
        <f t="shared" si="191"/>
        <v>0</v>
      </c>
      <c r="AG1878" t="str">
        <f t="shared" si="192"/>
        <v/>
      </c>
      <c r="AH1878" t="str">
        <f t="shared" si="193"/>
        <v/>
      </c>
      <c r="AI1878">
        <f t="shared" si="194"/>
        <v>0</v>
      </c>
      <c r="AJ1878">
        <f t="shared" si="195"/>
        <v>0</v>
      </c>
      <c r="AK1878">
        <v>0</v>
      </c>
      <c r="AL1878" t="str">
        <f>IF(AA1878="","",IFERROR(IF(ISNUMBER('Procyflof 700'!D379),'Procyflof 700'!D379,IF(ISNUMBER(SEARCH("12",'Procyflof 700'!D379)),EDATE(AB1878,12),IF(ISNUMBER(SEARCH("6",'Procyflof 700'!D379)),EDATE(AB1878,6),IF(ISNUMBER(SEARCH("3",'Procyflof 700'!D379)),EDATE(AB1878,3),DATEVALUE('Procyflof 700'!D379))))),""))</f>
        <v/>
      </c>
      <c r="AM1878" t="str">
        <f t="shared" ca="1" si="196"/>
        <v/>
      </c>
    </row>
    <row r="1879" spans="27:39" x14ac:dyDescent="0.3">
      <c r="AA1879" t="str">
        <f>IF(COUNTA('Procyflof 700'!A380,'Procyflof 700'!B380,'Procyflof 700'!C380)&gt;0,"700","")</f>
        <v/>
      </c>
      <c r="AB1879" t="str">
        <f>IFERROR(IF(ISNUMBER('Procyflof 700'!A380),'Procyflof 700'!A380,DATEVALUE('Procyflof 700'!A380)),"")</f>
        <v/>
      </c>
      <c r="AC1879" t="str">
        <f>IF(AA1879="","",'Procyflof 700'!B380)</f>
        <v/>
      </c>
      <c r="AD1879" t="str">
        <f>IF(AA1879="","",IFERROR(1*'Procyflof 700'!C380,IFERROR(_xludf.NUMBERVALUE('Procyflof 700'!C380,".",","),IFERROR(_xludf.NUMBERVALUE('Procyflof 700'!C380,",","."),0))))</f>
        <v/>
      </c>
      <c r="AE1879" t="str">
        <f>IF(AA1879="","",'Procyflof 700'!N380)</f>
        <v/>
      </c>
      <c r="AF1879">
        <f t="shared" si="191"/>
        <v>0</v>
      </c>
      <c r="AG1879" t="str">
        <f t="shared" si="192"/>
        <v/>
      </c>
      <c r="AH1879" t="str">
        <f t="shared" si="193"/>
        <v/>
      </c>
      <c r="AI1879">
        <f t="shared" si="194"/>
        <v>0</v>
      </c>
      <c r="AJ1879">
        <f t="shared" si="195"/>
        <v>0</v>
      </c>
      <c r="AK1879">
        <v>0</v>
      </c>
      <c r="AL1879" t="str">
        <f>IF(AA1879="","",IFERROR(IF(ISNUMBER('Procyflof 700'!D380),'Procyflof 700'!D380,IF(ISNUMBER(SEARCH("12",'Procyflof 700'!D380)),EDATE(AB1879,12),IF(ISNUMBER(SEARCH("6",'Procyflof 700'!D380)),EDATE(AB1879,6),IF(ISNUMBER(SEARCH("3",'Procyflof 700'!D380)),EDATE(AB1879,3),DATEVALUE('Procyflof 700'!D380))))),""))</f>
        <v/>
      </c>
      <c r="AM1879" t="str">
        <f t="shared" ca="1" si="196"/>
        <v/>
      </c>
    </row>
    <row r="1880" spans="27:39" x14ac:dyDescent="0.3">
      <c r="AA1880" t="str">
        <f>IF(COUNTA('Procyflof 700'!A381,'Procyflof 700'!B381,'Procyflof 700'!C381)&gt;0,"700","")</f>
        <v/>
      </c>
      <c r="AB1880" t="str">
        <f>IFERROR(IF(ISNUMBER('Procyflof 700'!A381),'Procyflof 700'!A381,DATEVALUE('Procyflof 700'!A381)),"")</f>
        <v/>
      </c>
      <c r="AC1880" t="str">
        <f>IF(AA1880="","",'Procyflof 700'!B381)</f>
        <v/>
      </c>
      <c r="AD1880" t="str">
        <f>IF(AA1880="","",IFERROR(1*'Procyflof 700'!C381,IFERROR(_xludf.NUMBERVALUE('Procyflof 700'!C381,".",","),IFERROR(_xludf.NUMBERVALUE('Procyflof 700'!C381,",","."),0))))</f>
        <v/>
      </c>
      <c r="AE1880" t="str">
        <f>IF(AA1880="","",'Procyflof 700'!N381)</f>
        <v/>
      </c>
      <c r="AF1880">
        <f t="shared" si="191"/>
        <v>0</v>
      </c>
      <c r="AG1880" t="str">
        <f t="shared" si="192"/>
        <v/>
      </c>
      <c r="AH1880" t="str">
        <f t="shared" si="193"/>
        <v/>
      </c>
      <c r="AI1880">
        <f t="shared" si="194"/>
        <v>0</v>
      </c>
      <c r="AJ1880">
        <f t="shared" si="195"/>
        <v>0</v>
      </c>
      <c r="AK1880">
        <v>0</v>
      </c>
      <c r="AL1880" t="str">
        <f>IF(AA1880="","",IFERROR(IF(ISNUMBER('Procyflof 700'!D381),'Procyflof 700'!D381,IF(ISNUMBER(SEARCH("12",'Procyflof 700'!D381)),EDATE(AB1880,12),IF(ISNUMBER(SEARCH("6",'Procyflof 700'!D381)),EDATE(AB1880,6),IF(ISNUMBER(SEARCH("3",'Procyflof 700'!D381)),EDATE(AB1880,3),DATEVALUE('Procyflof 700'!D381))))),""))</f>
        <v/>
      </c>
      <c r="AM1880" t="str">
        <f t="shared" ca="1" si="196"/>
        <v/>
      </c>
    </row>
    <row r="1881" spans="27:39" x14ac:dyDescent="0.3">
      <c r="AA1881" t="str">
        <f>IF(COUNTA('Procyflof 700'!A382,'Procyflof 700'!B382,'Procyflof 700'!C382)&gt;0,"700","")</f>
        <v/>
      </c>
      <c r="AB1881" t="str">
        <f>IFERROR(IF(ISNUMBER('Procyflof 700'!A382),'Procyflof 700'!A382,DATEVALUE('Procyflof 700'!A382)),"")</f>
        <v/>
      </c>
      <c r="AC1881" t="str">
        <f>IF(AA1881="","",'Procyflof 700'!B382)</f>
        <v/>
      </c>
      <c r="AD1881" t="str">
        <f>IF(AA1881="","",IFERROR(1*'Procyflof 700'!C382,IFERROR(_xludf.NUMBERVALUE('Procyflof 700'!C382,".",","),IFERROR(_xludf.NUMBERVALUE('Procyflof 700'!C382,",","."),0))))</f>
        <v/>
      </c>
      <c r="AE1881" t="str">
        <f>IF(AA1881="","",'Procyflof 700'!N382)</f>
        <v/>
      </c>
      <c r="AF1881">
        <f t="shared" si="191"/>
        <v>0</v>
      </c>
      <c r="AG1881" t="str">
        <f t="shared" si="192"/>
        <v/>
      </c>
      <c r="AH1881" t="str">
        <f t="shared" si="193"/>
        <v/>
      </c>
      <c r="AI1881">
        <f t="shared" si="194"/>
        <v>0</v>
      </c>
      <c r="AJ1881">
        <f t="shared" si="195"/>
        <v>0</v>
      </c>
      <c r="AK1881">
        <v>0</v>
      </c>
      <c r="AL1881" t="str">
        <f>IF(AA1881="","",IFERROR(IF(ISNUMBER('Procyflof 700'!D382),'Procyflof 700'!D382,IF(ISNUMBER(SEARCH("12",'Procyflof 700'!D382)),EDATE(AB1881,12),IF(ISNUMBER(SEARCH("6",'Procyflof 700'!D382)),EDATE(AB1881,6),IF(ISNUMBER(SEARCH("3",'Procyflof 700'!D382)),EDATE(AB1881,3),DATEVALUE('Procyflof 700'!D382))))),""))</f>
        <v/>
      </c>
      <c r="AM1881" t="str">
        <f t="shared" ca="1" si="196"/>
        <v/>
      </c>
    </row>
    <row r="1882" spans="27:39" x14ac:dyDescent="0.3">
      <c r="AA1882" t="str">
        <f>IF(COUNTA('Procyflof 700'!A383,'Procyflof 700'!B383,'Procyflof 700'!C383)&gt;0,"700","")</f>
        <v/>
      </c>
      <c r="AB1882" t="str">
        <f>IFERROR(IF(ISNUMBER('Procyflof 700'!A383),'Procyflof 700'!A383,DATEVALUE('Procyflof 700'!A383)),"")</f>
        <v/>
      </c>
      <c r="AC1882" t="str">
        <f>IF(AA1882="","",'Procyflof 700'!B383)</f>
        <v/>
      </c>
      <c r="AD1882" t="str">
        <f>IF(AA1882="","",IFERROR(1*'Procyflof 700'!C383,IFERROR(_xludf.NUMBERVALUE('Procyflof 700'!C383,".",","),IFERROR(_xludf.NUMBERVALUE('Procyflof 700'!C383,",","."),0))))</f>
        <v/>
      </c>
      <c r="AE1882" t="str">
        <f>IF(AA1882="","",'Procyflof 700'!N383)</f>
        <v/>
      </c>
      <c r="AF1882">
        <f t="shared" si="191"/>
        <v>0</v>
      </c>
      <c r="AG1882" t="str">
        <f t="shared" si="192"/>
        <v/>
      </c>
      <c r="AH1882" t="str">
        <f t="shared" si="193"/>
        <v/>
      </c>
      <c r="AI1882">
        <f t="shared" si="194"/>
        <v>0</v>
      </c>
      <c r="AJ1882">
        <f t="shared" si="195"/>
        <v>0</v>
      </c>
      <c r="AK1882">
        <v>0</v>
      </c>
      <c r="AL1882" t="str">
        <f>IF(AA1882="","",IFERROR(IF(ISNUMBER('Procyflof 700'!D383),'Procyflof 700'!D383,IF(ISNUMBER(SEARCH("12",'Procyflof 700'!D383)),EDATE(AB1882,12),IF(ISNUMBER(SEARCH("6",'Procyflof 700'!D383)),EDATE(AB1882,6),IF(ISNUMBER(SEARCH("3",'Procyflof 700'!D383)),EDATE(AB1882,3),DATEVALUE('Procyflof 700'!D383))))),""))</f>
        <v/>
      </c>
      <c r="AM1882" t="str">
        <f t="shared" ca="1" si="196"/>
        <v/>
      </c>
    </row>
    <row r="1883" spans="27:39" x14ac:dyDescent="0.3">
      <c r="AA1883" t="str">
        <f>IF(COUNTA('Procyflof 700'!A384,'Procyflof 700'!B384,'Procyflof 700'!C384)&gt;0,"700","")</f>
        <v/>
      </c>
      <c r="AB1883" t="str">
        <f>IFERROR(IF(ISNUMBER('Procyflof 700'!A384),'Procyflof 700'!A384,DATEVALUE('Procyflof 700'!A384)),"")</f>
        <v/>
      </c>
      <c r="AC1883" t="str">
        <f>IF(AA1883="","",'Procyflof 700'!B384)</f>
        <v/>
      </c>
      <c r="AD1883" t="str">
        <f>IF(AA1883="","",IFERROR(1*'Procyflof 700'!C384,IFERROR(_xludf.NUMBERVALUE('Procyflof 700'!C384,".",","),IFERROR(_xludf.NUMBERVALUE('Procyflof 700'!C384,",","."),0))))</f>
        <v/>
      </c>
      <c r="AE1883" t="str">
        <f>IF(AA1883="","",'Procyflof 700'!N384)</f>
        <v/>
      </c>
      <c r="AF1883">
        <f t="shared" si="191"/>
        <v>0</v>
      </c>
      <c r="AG1883" t="str">
        <f t="shared" si="192"/>
        <v/>
      </c>
      <c r="AH1883" t="str">
        <f t="shared" si="193"/>
        <v/>
      </c>
      <c r="AI1883">
        <f t="shared" si="194"/>
        <v>0</v>
      </c>
      <c r="AJ1883">
        <f t="shared" si="195"/>
        <v>0</v>
      </c>
      <c r="AK1883">
        <v>0</v>
      </c>
      <c r="AL1883" t="str">
        <f>IF(AA1883="","",IFERROR(IF(ISNUMBER('Procyflof 700'!D384),'Procyflof 700'!D384,IF(ISNUMBER(SEARCH("12",'Procyflof 700'!D384)),EDATE(AB1883,12),IF(ISNUMBER(SEARCH("6",'Procyflof 700'!D384)),EDATE(AB1883,6),IF(ISNUMBER(SEARCH("3",'Procyflof 700'!D384)),EDATE(AB1883,3),DATEVALUE('Procyflof 700'!D384))))),""))</f>
        <v/>
      </c>
      <c r="AM1883" t="str">
        <f t="shared" ca="1" si="196"/>
        <v/>
      </c>
    </row>
    <row r="1884" spans="27:39" x14ac:dyDescent="0.3">
      <c r="AA1884" t="str">
        <f>IF(COUNTA('Procyflof 700'!A385,'Procyflof 700'!B385,'Procyflof 700'!C385)&gt;0,"700","")</f>
        <v/>
      </c>
      <c r="AB1884" t="str">
        <f>IFERROR(IF(ISNUMBER('Procyflof 700'!A385),'Procyflof 700'!A385,DATEVALUE('Procyflof 700'!A385)),"")</f>
        <v/>
      </c>
      <c r="AC1884" t="str">
        <f>IF(AA1884="","",'Procyflof 700'!B385)</f>
        <v/>
      </c>
      <c r="AD1884" t="str">
        <f>IF(AA1884="","",IFERROR(1*'Procyflof 700'!C385,IFERROR(_xludf.NUMBERVALUE('Procyflof 700'!C385,".",","),IFERROR(_xludf.NUMBERVALUE('Procyflof 700'!C385,",","."),0))))</f>
        <v/>
      </c>
      <c r="AE1884" t="str">
        <f>IF(AA1884="","",'Procyflof 700'!N385)</f>
        <v/>
      </c>
      <c r="AF1884">
        <f t="shared" si="191"/>
        <v>0</v>
      </c>
      <c r="AG1884" t="str">
        <f t="shared" si="192"/>
        <v/>
      </c>
      <c r="AH1884" t="str">
        <f t="shared" si="193"/>
        <v/>
      </c>
      <c r="AI1884">
        <f t="shared" si="194"/>
        <v>0</v>
      </c>
      <c r="AJ1884">
        <f t="shared" si="195"/>
        <v>0</v>
      </c>
      <c r="AK1884">
        <v>0</v>
      </c>
      <c r="AL1884" t="str">
        <f>IF(AA1884="","",IFERROR(IF(ISNUMBER('Procyflof 700'!D385),'Procyflof 700'!D385,IF(ISNUMBER(SEARCH("12",'Procyflof 700'!D385)),EDATE(AB1884,12),IF(ISNUMBER(SEARCH("6",'Procyflof 700'!D385)),EDATE(AB1884,6),IF(ISNUMBER(SEARCH("3",'Procyflof 700'!D385)),EDATE(AB1884,3),DATEVALUE('Procyflof 700'!D385))))),""))</f>
        <v/>
      </c>
      <c r="AM1884" t="str">
        <f t="shared" ca="1" si="196"/>
        <v/>
      </c>
    </row>
    <row r="1885" spans="27:39" x14ac:dyDescent="0.3">
      <c r="AA1885" t="str">
        <f>IF(COUNTA('Procyflof 700'!A386,'Procyflof 700'!B386,'Procyflof 700'!C386)&gt;0,"700","")</f>
        <v/>
      </c>
      <c r="AB1885" t="str">
        <f>IFERROR(IF(ISNUMBER('Procyflof 700'!A386),'Procyflof 700'!A386,DATEVALUE('Procyflof 700'!A386)),"")</f>
        <v/>
      </c>
      <c r="AC1885" t="str">
        <f>IF(AA1885="","",'Procyflof 700'!B386)</f>
        <v/>
      </c>
      <c r="AD1885" t="str">
        <f>IF(AA1885="","",IFERROR(1*'Procyflof 700'!C386,IFERROR(_xludf.NUMBERVALUE('Procyflof 700'!C386,".",","),IFERROR(_xludf.NUMBERVALUE('Procyflof 700'!C386,",","."),0))))</f>
        <v/>
      </c>
      <c r="AE1885" t="str">
        <f>IF(AA1885="","",'Procyflof 700'!N386)</f>
        <v/>
      </c>
      <c r="AF1885">
        <f t="shared" si="191"/>
        <v>0</v>
      </c>
      <c r="AG1885" t="str">
        <f t="shared" si="192"/>
        <v/>
      </c>
      <c r="AH1885" t="str">
        <f t="shared" si="193"/>
        <v/>
      </c>
      <c r="AI1885">
        <f t="shared" si="194"/>
        <v>0</v>
      </c>
      <c r="AJ1885">
        <f t="shared" si="195"/>
        <v>0</v>
      </c>
      <c r="AK1885">
        <v>0</v>
      </c>
      <c r="AL1885" t="str">
        <f>IF(AA1885="","",IFERROR(IF(ISNUMBER('Procyflof 700'!D386),'Procyflof 700'!D386,IF(ISNUMBER(SEARCH("12",'Procyflof 700'!D386)),EDATE(AB1885,12),IF(ISNUMBER(SEARCH("6",'Procyflof 700'!D386)),EDATE(AB1885,6),IF(ISNUMBER(SEARCH("3",'Procyflof 700'!D386)),EDATE(AB1885,3),DATEVALUE('Procyflof 700'!D386))))),""))</f>
        <v/>
      </c>
      <c r="AM1885" t="str">
        <f t="shared" ca="1" si="196"/>
        <v/>
      </c>
    </row>
    <row r="1886" spans="27:39" x14ac:dyDescent="0.3">
      <c r="AA1886" t="str">
        <f>IF(COUNTA('Procyflof 700'!A387,'Procyflof 700'!B387,'Procyflof 700'!C387)&gt;0,"700","")</f>
        <v/>
      </c>
      <c r="AB1886" t="str">
        <f>IFERROR(IF(ISNUMBER('Procyflof 700'!A387),'Procyflof 700'!A387,DATEVALUE('Procyflof 700'!A387)),"")</f>
        <v/>
      </c>
      <c r="AC1886" t="str">
        <f>IF(AA1886="","",'Procyflof 700'!B387)</f>
        <v/>
      </c>
      <c r="AD1886" t="str">
        <f>IF(AA1886="","",IFERROR(1*'Procyflof 700'!C387,IFERROR(_xludf.NUMBERVALUE('Procyflof 700'!C387,".",","),IFERROR(_xludf.NUMBERVALUE('Procyflof 700'!C387,",","."),0))))</f>
        <v/>
      </c>
      <c r="AE1886" t="str">
        <f>IF(AA1886="","",'Procyflof 700'!N387)</f>
        <v/>
      </c>
      <c r="AF1886">
        <f t="shared" si="191"/>
        <v>0</v>
      </c>
      <c r="AG1886" t="str">
        <f t="shared" si="192"/>
        <v/>
      </c>
      <c r="AH1886" t="str">
        <f t="shared" si="193"/>
        <v/>
      </c>
      <c r="AI1886">
        <f t="shared" si="194"/>
        <v>0</v>
      </c>
      <c r="AJ1886">
        <f t="shared" si="195"/>
        <v>0</v>
      </c>
      <c r="AK1886">
        <v>0</v>
      </c>
      <c r="AL1886" t="str">
        <f>IF(AA1886="","",IFERROR(IF(ISNUMBER('Procyflof 700'!D387),'Procyflof 700'!D387,IF(ISNUMBER(SEARCH("12",'Procyflof 700'!D387)),EDATE(AB1886,12),IF(ISNUMBER(SEARCH("6",'Procyflof 700'!D387)),EDATE(AB1886,6),IF(ISNUMBER(SEARCH("3",'Procyflof 700'!D387)),EDATE(AB1886,3),DATEVALUE('Procyflof 700'!D387))))),""))</f>
        <v/>
      </c>
      <c r="AM1886" t="str">
        <f t="shared" ca="1" si="196"/>
        <v/>
      </c>
    </row>
    <row r="1887" spans="27:39" x14ac:dyDescent="0.3">
      <c r="AA1887" t="str">
        <f>IF(COUNTA('Procyflof 700'!A388,'Procyflof 700'!B388,'Procyflof 700'!C388)&gt;0,"700","")</f>
        <v/>
      </c>
      <c r="AB1887" t="str">
        <f>IFERROR(IF(ISNUMBER('Procyflof 700'!A388),'Procyflof 700'!A388,DATEVALUE('Procyflof 700'!A388)),"")</f>
        <v/>
      </c>
      <c r="AC1887" t="str">
        <f>IF(AA1887="","",'Procyflof 700'!B388)</f>
        <v/>
      </c>
      <c r="AD1887" t="str">
        <f>IF(AA1887="","",IFERROR(1*'Procyflof 700'!C388,IFERROR(_xludf.NUMBERVALUE('Procyflof 700'!C388,".",","),IFERROR(_xludf.NUMBERVALUE('Procyflof 700'!C388,",","."),0))))</f>
        <v/>
      </c>
      <c r="AE1887" t="str">
        <f>IF(AA1887="","",'Procyflof 700'!N388)</f>
        <v/>
      </c>
      <c r="AF1887">
        <f t="shared" si="191"/>
        <v>0</v>
      </c>
      <c r="AG1887" t="str">
        <f t="shared" si="192"/>
        <v/>
      </c>
      <c r="AH1887" t="str">
        <f t="shared" si="193"/>
        <v/>
      </c>
      <c r="AI1887">
        <f t="shared" si="194"/>
        <v>0</v>
      </c>
      <c r="AJ1887">
        <f t="shared" si="195"/>
        <v>0</v>
      </c>
      <c r="AK1887">
        <v>0</v>
      </c>
      <c r="AL1887" t="str">
        <f>IF(AA1887="","",IFERROR(IF(ISNUMBER('Procyflof 700'!D388),'Procyflof 700'!D388,IF(ISNUMBER(SEARCH("12",'Procyflof 700'!D388)),EDATE(AB1887,12),IF(ISNUMBER(SEARCH("6",'Procyflof 700'!D388)),EDATE(AB1887,6),IF(ISNUMBER(SEARCH("3",'Procyflof 700'!D388)),EDATE(AB1887,3),DATEVALUE('Procyflof 700'!D388))))),""))</f>
        <v/>
      </c>
      <c r="AM1887" t="str">
        <f t="shared" ca="1" si="196"/>
        <v/>
      </c>
    </row>
    <row r="1888" spans="27:39" x14ac:dyDescent="0.3">
      <c r="AA1888" t="str">
        <f>IF(COUNTA('Procyflof 700'!A389,'Procyflof 700'!B389,'Procyflof 700'!C389)&gt;0,"700","")</f>
        <v/>
      </c>
      <c r="AB1888" t="str">
        <f>IFERROR(IF(ISNUMBER('Procyflof 700'!A389),'Procyflof 700'!A389,DATEVALUE('Procyflof 700'!A389)),"")</f>
        <v/>
      </c>
      <c r="AC1888" t="str">
        <f>IF(AA1888="","",'Procyflof 700'!B389)</f>
        <v/>
      </c>
      <c r="AD1888" t="str">
        <f>IF(AA1888="","",IFERROR(1*'Procyflof 700'!C389,IFERROR(_xludf.NUMBERVALUE('Procyflof 700'!C389,".",","),IFERROR(_xludf.NUMBERVALUE('Procyflof 700'!C389,",","."),0))))</f>
        <v/>
      </c>
      <c r="AE1888" t="str">
        <f>IF(AA1888="","",'Procyflof 700'!N389)</f>
        <v/>
      </c>
      <c r="AF1888">
        <f t="shared" si="191"/>
        <v>0</v>
      </c>
      <c r="AG1888" t="str">
        <f t="shared" si="192"/>
        <v/>
      </c>
      <c r="AH1888" t="str">
        <f t="shared" si="193"/>
        <v/>
      </c>
      <c r="AI1888">
        <f t="shared" si="194"/>
        <v>0</v>
      </c>
      <c r="AJ1888">
        <f t="shared" si="195"/>
        <v>0</v>
      </c>
      <c r="AK1888">
        <v>0</v>
      </c>
      <c r="AL1888" t="str">
        <f>IF(AA1888="","",IFERROR(IF(ISNUMBER('Procyflof 700'!D389),'Procyflof 700'!D389,IF(ISNUMBER(SEARCH("12",'Procyflof 700'!D389)),EDATE(AB1888,12),IF(ISNUMBER(SEARCH("6",'Procyflof 700'!D389)),EDATE(AB1888,6),IF(ISNUMBER(SEARCH("3",'Procyflof 700'!D389)),EDATE(AB1888,3),DATEVALUE('Procyflof 700'!D389))))),""))</f>
        <v/>
      </c>
      <c r="AM1888" t="str">
        <f t="shared" ca="1" si="196"/>
        <v/>
      </c>
    </row>
    <row r="1889" spans="27:39" x14ac:dyDescent="0.3">
      <c r="AA1889" t="str">
        <f>IF(COUNTA('Procyflof 700'!A390,'Procyflof 700'!B390,'Procyflof 700'!C390)&gt;0,"700","")</f>
        <v/>
      </c>
      <c r="AB1889" t="str">
        <f>IFERROR(IF(ISNUMBER('Procyflof 700'!A390),'Procyflof 700'!A390,DATEVALUE('Procyflof 700'!A390)),"")</f>
        <v/>
      </c>
      <c r="AC1889" t="str">
        <f>IF(AA1889="","",'Procyflof 700'!B390)</f>
        <v/>
      </c>
      <c r="AD1889" t="str">
        <f>IF(AA1889="","",IFERROR(1*'Procyflof 700'!C390,IFERROR(_xludf.NUMBERVALUE('Procyflof 700'!C390,".",","),IFERROR(_xludf.NUMBERVALUE('Procyflof 700'!C390,",","."),0))))</f>
        <v/>
      </c>
      <c r="AE1889" t="str">
        <f>IF(AA1889="","",'Procyflof 700'!N390)</f>
        <v/>
      </c>
      <c r="AF1889">
        <f t="shared" si="191"/>
        <v>0</v>
      </c>
      <c r="AG1889" t="str">
        <f t="shared" si="192"/>
        <v/>
      </c>
      <c r="AH1889" t="str">
        <f t="shared" si="193"/>
        <v/>
      </c>
      <c r="AI1889">
        <f t="shared" si="194"/>
        <v>0</v>
      </c>
      <c r="AJ1889">
        <f t="shared" si="195"/>
        <v>0</v>
      </c>
      <c r="AK1889">
        <v>0</v>
      </c>
      <c r="AL1889" t="str">
        <f>IF(AA1889="","",IFERROR(IF(ISNUMBER('Procyflof 700'!D390),'Procyflof 700'!D390,IF(ISNUMBER(SEARCH("12",'Procyflof 700'!D390)),EDATE(AB1889,12),IF(ISNUMBER(SEARCH("6",'Procyflof 700'!D390)),EDATE(AB1889,6),IF(ISNUMBER(SEARCH("3",'Procyflof 700'!D390)),EDATE(AB1889,3),DATEVALUE('Procyflof 700'!D390))))),""))</f>
        <v/>
      </c>
      <c r="AM1889" t="str">
        <f t="shared" ca="1" si="196"/>
        <v/>
      </c>
    </row>
    <row r="1890" spans="27:39" x14ac:dyDescent="0.3">
      <c r="AA1890" t="str">
        <f>IF(COUNTA('Procyflof 700'!A391,'Procyflof 700'!B391,'Procyflof 700'!C391)&gt;0,"700","")</f>
        <v/>
      </c>
      <c r="AB1890" t="str">
        <f>IFERROR(IF(ISNUMBER('Procyflof 700'!A391),'Procyflof 700'!A391,DATEVALUE('Procyflof 700'!A391)),"")</f>
        <v/>
      </c>
      <c r="AC1890" t="str">
        <f>IF(AA1890="","",'Procyflof 700'!B391)</f>
        <v/>
      </c>
      <c r="AD1890" t="str">
        <f>IF(AA1890="","",IFERROR(1*'Procyflof 700'!C391,IFERROR(_xludf.NUMBERVALUE('Procyflof 700'!C391,".",","),IFERROR(_xludf.NUMBERVALUE('Procyflof 700'!C391,",","."),0))))</f>
        <v/>
      </c>
      <c r="AE1890" t="str">
        <f>IF(AA1890="","",'Procyflof 700'!N391)</f>
        <v/>
      </c>
      <c r="AF1890">
        <f t="shared" si="191"/>
        <v>0</v>
      </c>
      <c r="AG1890" t="str">
        <f t="shared" si="192"/>
        <v/>
      </c>
      <c r="AH1890" t="str">
        <f t="shared" si="193"/>
        <v/>
      </c>
      <c r="AI1890">
        <f t="shared" si="194"/>
        <v>0</v>
      </c>
      <c r="AJ1890">
        <f t="shared" si="195"/>
        <v>0</v>
      </c>
      <c r="AK1890">
        <v>0</v>
      </c>
      <c r="AL1890" t="str">
        <f>IF(AA1890="","",IFERROR(IF(ISNUMBER('Procyflof 700'!D391),'Procyflof 700'!D391,IF(ISNUMBER(SEARCH("12",'Procyflof 700'!D391)),EDATE(AB1890,12),IF(ISNUMBER(SEARCH("6",'Procyflof 700'!D391)),EDATE(AB1890,6),IF(ISNUMBER(SEARCH("3",'Procyflof 700'!D391)),EDATE(AB1890,3),DATEVALUE('Procyflof 700'!D391))))),""))</f>
        <v/>
      </c>
      <c r="AM1890" t="str">
        <f t="shared" ca="1" si="196"/>
        <v/>
      </c>
    </row>
    <row r="1891" spans="27:39" x14ac:dyDescent="0.3">
      <c r="AA1891" t="str">
        <f>IF(COUNTA('Procyflof 700'!A392,'Procyflof 700'!B392,'Procyflof 700'!C392)&gt;0,"700","")</f>
        <v/>
      </c>
      <c r="AB1891" t="str">
        <f>IFERROR(IF(ISNUMBER('Procyflof 700'!A392),'Procyflof 700'!A392,DATEVALUE('Procyflof 700'!A392)),"")</f>
        <v/>
      </c>
      <c r="AC1891" t="str">
        <f>IF(AA1891="","",'Procyflof 700'!B392)</f>
        <v/>
      </c>
      <c r="AD1891" t="str">
        <f>IF(AA1891="","",IFERROR(1*'Procyflof 700'!C392,IFERROR(_xludf.NUMBERVALUE('Procyflof 700'!C392,".",","),IFERROR(_xludf.NUMBERVALUE('Procyflof 700'!C392,",","."),0))))</f>
        <v/>
      </c>
      <c r="AE1891" t="str">
        <f>IF(AA1891="","",'Procyflof 700'!N392)</f>
        <v/>
      </c>
      <c r="AF1891">
        <f t="shared" si="191"/>
        <v>0</v>
      </c>
      <c r="AG1891" t="str">
        <f t="shared" si="192"/>
        <v/>
      </c>
      <c r="AH1891" t="str">
        <f t="shared" si="193"/>
        <v/>
      </c>
      <c r="AI1891">
        <f t="shared" si="194"/>
        <v>0</v>
      </c>
      <c r="AJ1891">
        <f t="shared" si="195"/>
        <v>0</v>
      </c>
      <c r="AK1891">
        <v>0</v>
      </c>
      <c r="AL1891" t="str">
        <f>IF(AA1891="","",IFERROR(IF(ISNUMBER('Procyflof 700'!D392),'Procyflof 700'!D392,IF(ISNUMBER(SEARCH("12",'Procyflof 700'!D392)),EDATE(AB1891,12),IF(ISNUMBER(SEARCH("6",'Procyflof 700'!D392)),EDATE(AB1891,6),IF(ISNUMBER(SEARCH("3",'Procyflof 700'!D392)),EDATE(AB1891,3),DATEVALUE('Procyflof 700'!D392))))),""))</f>
        <v/>
      </c>
      <c r="AM1891" t="str">
        <f t="shared" ca="1" si="196"/>
        <v/>
      </c>
    </row>
    <row r="1892" spans="27:39" x14ac:dyDescent="0.3">
      <c r="AA1892" t="str">
        <f>IF(COUNTA('Procyflof 700'!A393,'Procyflof 700'!B393,'Procyflof 700'!C393)&gt;0,"700","")</f>
        <v/>
      </c>
      <c r="AB1892" t="str">
        <f>IFERROR(IF(ISNUMBER('Procyflof 700'!A393),'Procyflof 700'!A393,DATEVALUE('Procyflof 700'!A393)),"")</f>
        <v/>
      </c>
      <c r="AC1892" t="str">
        <f>IF(AA1892="","",'Procyflof 700'!B393)</f>
        <v/>
      </c>
      <c r="AD1892" t="str">
        <f>IF(AA1892="","",IFERROR(1*'Procyflof 700'!C393,IFERROR(_xludf.NUMBERVALUE('Procyflof 700'!C393,".",","),IFERROR(_xludf.NUMBERVALUE('Procyflof 700'!C393,",","."),0))))</f>
        <v/>
      </c>
      <c r="AE1892" t="str">
        <f>IF(AA1892="","",'Procyflof 700'!N393)</f>
        <v/>
      </c>
      <c r="AF1892">
        <f t="shared" si="191"/>
        <v>0</v>
      </c>
      <c r="AG1892" t="str">
        <f t="shared" si="192"/>
        <v/>
      </c>
      <c r="AH1892" t="str">
        <f t="shared" si="193"/>
        <v/>
      </c>
      <c r="AI1892">
        <f t="shared" si="194"/>
        <v>0</v>
      </c>
      <c r="AJ1892">
        <f t="shared" si="195"/>
        <v>0</v>
      </c>
      <c r="AK1892">
        <v>0</v>
      </c>
      <c r="AL1892" t="str">
        <f>IF(AA1892="","",IFERROR(IF(ISNUMBER('Procyflof 700'!D393),'Procyflof 700'!D393,IF(ISNUMBER(SEARCH("12",'Procyflof 700'!D393)),EDATE(AB1892,12),IF(ISNUMBER(SEARCH("6",'Procyflof 700'!D393)),EDATE(AB1892,6),IF(ISNUMBER(SEARCH("3",'Procyflof 700'!D393)),EDATE(AB1892,3),DATEVALUE('Procyflof 700'!D393))))),""))</f>
        <v/>
      </c>
      <c r="AM1892" t="str">
        <f t="shared" ca="1" si="196"/>
        <v/>
      </c>
    </row>
    <row r="1893" spans="27:39" x14ac:dyDescent="0.3">
      <c r="AA1893" t="str">
        <f>IF(COUNTA('Procyflof 700'!A394,'Procyflof 700'!B394,'Procyflof 700'!C394)&gt;0,"700","")</f>
        <v/>
      </c>
      <c r="AB1893" t="str">
        <f>IFERROR(IF(ISNUMBER('Procyflof 700'!A394),'Procyflof 700'!A394,DATEVALUE('Procyflof 700'!A394)),"")</f>
        <v/>
      </c>
      <c r="AC1893" t="str">
        <f>IF(AA1893="","",'Procyflof 700'!B394)</f>
        <v/>
      </c>
      <c r="AD1893" t="str">
        <f>IF(AA1893="","",IFERROR(1*'Procyflof 700'!C394,IFERROR(_xludf.NUMBERVALUE('Procyflof 700'!C394,".",","),IFERROR(_xludf.NUMBERVALUE('Procyflof 700'!C394,",","."),0))))</f>
        <v/>
      </c>
      <c r="AE1893" t="str">
        <f>IF(AA1893="","",'Procyflof 700'!N394)</f>
        <v/>
      </c>
      <c r="AF1893">
        <f t="shared" si="191"/>
        <v>0</v>
      </c>
      <c r="AG1893" t="str">
        <f t="shared" si="192"/>
        <v/>
      </c>
      <c r="AH1893" t="str">
        <f t="shared" si="193"/>
        <v/>
      </c>
      <c r="AI1893">
        <f t="shared" si="194"/>
        <v>0</v>
      </c>
      <c r="AJ1893">
        <f t="shared" si="195"/>
        <v>0</v>
      </c>
      <c r="AK1893">
        <v>0</v>
      </c>
      <c r="AL1893" t="str">
        <f>IF(AA1893="","",IFERROR(IF(ISNUMBER('Procyflof 700'!D394),'Procyflof 700'!D394,IF(ISNUMBER(SEARCH("12",'Procyflof 700'!D394)),EDATE(AB1893,12),IF(ISNUMBER(SEARCH("6",'Procyflof 700'!D394)),EDATE(AB1893,6),IF(ISNUMBER(SEARCH("3",'Procyflof 700'!D394)),EDATE(AB1893,3),DATEVALUE('Procyflof 700'!D394))))),""))</f>
        <v/>
      </c>
      <c r="AM1893" t="str">
        <f t="shared" ca="1" si="196"/>
        <v/>
      </c>
    </row>
    <row r="1894" spans="27:39" x14ac:dyDescent="0.3">
      <c r="AA1894" t="str">
        <f>IF(COUNTA('Procyflof 700'!A395,'Procyflof 700'!B395,'Procyflof 700'!C395)&gt;0,"700","")</f>
        <v/>
      </c>
      <c r="AB1894" t="str">
        <f>IFERROR(IF(ISNUMBER('Procyflof 700'!A395),'Procyflof 700'!A395,DATEVALUE('Procyflof 700'!A395)),"")</f>
        <v/>
      </c>
      <c r="AC1894" t="str">
        <f>IF(AA1894="","",'Procyflof 700'!B395)</f>
        <v/>
      </c>
      <c r="AD1894" t="str">
        <f>IF(AA1894="","",IFERROR(1*'Procyflof 700'!C395,IFERROR(_xludf.NUMBERVALUE('Procyflof 700'!C395,".",","),IFERROR(_xludf.NUMBERVALUE('Procyflof 700'!C395,",","."),0))))</f>
        <v/>
      </c>
      <c r="AE1894" t="str">
        <f>IF(AA1894="","",'Procyflof 700'!N395)</f>
        <v/>
      </c>
      <c r="AF1894">
        <f t="shared" si="191"/>
        <v>0</v>
      </c>
      <c r="AG1894" t="str">
        <f t="shared" si="192"/>
        <v/>
      </c>
      <c r="AH1894" t="str">
        <f t="shared" si="193"/>
        <v/>
      </c>
      <c r="AI1894">
        <f t="shared" si="194"/>
        <v>0</v>
      </c>
      <c r="AJ1894">
        <f t="shared" si="195"/>
        <v>0</v>
      </c>
      <c r="AK1894">
        <v>0</v>
      </c>
      <c r="AL1894" t="str">
        <f>IF(AA1894="","",IFERROR(IF(ISNUMBER('Procyflof 700'!D395),'Procyflof 700'!D395,IF(ISNUMBER(SEARCH("12",'Procyflof 700'!D395)),EDATE(AB1894,12),IF(ISNUMBER(SEARCH("6",'Procyflof 700'!D395)),EDATE(AB1894,6),IF(ISNUMBER(SEARCH("3",'Procyflof 700'!D395)),EDATE(AB1894,3),DATEVALUE('Procyflof 700'!D395))))),""))</f>
        <v/>
      </c>
      <c r="AM1894" t="str">
        <f t="shared" ca="1" si="196"/>
        <v/>
      </c>
    </row>
    <row r="1895" spans="27:39" x14ac:dyDescent="0.3">
      <c r="AA1895" t="str">
        <f>IF(COUNTA('Procyflof 700'!A396,'Procyflof 700'!B396,'Procyflof 700'!C396)&gt;0,"700","")</f>
        <v/>
      </c>
      <c r="AB1895" t="str">
        <f>IFERROR(IF(ISNUMBER('Procyflof 700'!A396),'Procyflof 700'!A396,DATEVALUE('Procyflof 700'!A396)),"")</f>
        <v/>
      </c>
      <c r="AC1895" t="str">
        <f>IF(AA1895="","",'Procyflof 700'!B396)</f>
        <v/>
      </c>
      <c r="AD1895" t="str">
        <f>IF(AA1895="","",IFERROR(1*'Procyflof 700'!C396,IFERROR(_xludf.NUMBERVALUE('Procyflof 700'!C396,".",","),IFERROR(_xludf.NUMBERVALUE('Procyflof 700'!C396,",","."),0))))</f>
        <v/>
      </c>
      <c r="AE1895" t="str">
        <f>IF(AA1895="","",'Procyflof 700'!N396)</f>
        <v/>
      </c>
      <c r="AF1895">
        <f t="shared" si="191"/>
        <v>0</v>
      </c>
      <c r="AG1895" t="str">
        <f t="shared" si="192"/>
        <v/>
      </c>
      <c r="AH1895" t="str">
        <f t="shared" si="193"/>
        <v/>
      </c>
      <c r="AI1895">
        <f t="shared" si="194"/>
        <v>0</v>
      </c>
      <c r="AJ1895">
        <f t="shared" si="195"/>
        <v>0</v>
      </c>
      <c r="AK1895">
        <v>0</v>
      </c>
      <c r="AL1895" t="str">
        <f>IF(AA1895="","",IFERROR(IF(ISNUMBER('Procyflof 700'!D396),'Procyflof 700'!D396,IF(ISNUMBER(SEARCH("12",'Procyflof 700'!D396)),EDATE(AB1895,12),IF(ISNUMBER(SEARCH("6",'Procyflof 700'!D396)),EDATE(AB1895,6),IF(ISNUMBER(SEARCH("3",'Procyflof 700'!D396)),EDATE(AB1895,3),DATEVALUE('Procyflof 700'!D396))))),""))</f>
        <v/>
      </c>
      <c r="AM1895" t="str">
        <f t="shared" ca="1" si="196"/>
        <v/>
      </c>
    </row>
    <row r="1896" spans="27:39" x14ac:dyDescent="0.3">
      <c r="AA1896" t="str">
        <f>IF(COUNTA('Procyflof 700'!A397,'Procyflof 700'!B397,'Procyflof 700'!C397)&gt;0,"700","")</f>
        <v/>
      </c>
      <c r="AB1896" t="str">
        <f>IFERROR(IF(ISNUMBER('Procyflof 700'!A397),'Procyflof 700'!A397,DATEVALUE('Procyflof 700'!A397)),"")</f>
        <v/>
      </c>
      <c r="AC1896" t="str">
        <f>IF(AA1896="","",'Procyflof 700'!B397)</f>
        <v/>
      </c>
      <c r="AD1896" t="str">
        <f>IF(AA1896="","",IFERROR(1*'Procyflof 700'!C397,IFERROR(_xludf.NUMBERVALUE('Procyflof 700'!C397,".",","),IFERROR(_xludf.NUMBERVALUE('Procyflof 700'!C397,",","."),0))))</f>
        <v/>
      </c>
      <c r="AE1896" t="str">
        <f>IF(AA1896="","",'Procyflof 700'!N397)</f>
        <v/>
      </c>
      <c r="AF1896">
        <f t="shared" si="191"/>
        <v>0</v>
      </c>
      <c r="AG1896" t="str">
        <f t="shared" si="192"/>
        <v/>
      </c>
      <c r="AH1896" t="str">
        <f t="shared" si="193"/>
        <v/>
      </c>
      <c r="AI1896">
        <f t="shared" si="194"/>
        <v>0</v>
      </c>
      <c r="AJ1896">
        <f t="shared" si="195"/>
        <v>0</v>
      </c>
      <c r="AK1896">
        <v>0</v>
      </c>
      <c r="AL1896" t="str">
        <f>IF(AA1896="","",IFERROR(IF(ISNUMBER('Procyflof 700'!D397),'Procyflof 700'!D397,IF(ISNUMBER(SEARCH("12",'Procyflof 700'!D397)),EDATE(AB1896,12),IF(ISNUMBER(SEARCH("6",'Procyflof 700'!D397)),EDATE(AB1896,6),IF(ISNUMBER(SEARCH("3",'Procyflof 700'!D397)),EDATE(AB1896,3),DATEVALUE('Procyflof 700'!D397))))),""))</f>
        <v/>
      </c>
      <c r="AM1896" t="str">
        <f t="shared" ca="1" si="196"/>
        <v/>
      </c>
    </row>
    <row r="1897" spans="27:39" x14ac:dyDescent="0.3">
      <c r="AA1897" t="str">
        <f>IF(COUNTA('Procyflof 700'!A398,'Procyflof 700'!B398,'Procyflof 700'!C398)&gt;0,"700","")</f>
        <v/>
      </c>
      <c r="AB1897" t="str">
        <f>IFERROR(IF(ISNUMBER('Procyflof 700'!A398),'Procyflof 700'!A398,DATEVALUE('Procyflof 700'!A398)),"")</f>
        <v/>
      </c>
      <c r="AC1897" t="str">
        <f>IF(AA1897="","",'Procyflof 700'!B398)</f>
        <v/>
      </c>
      <c r="AD1897" t="str">
        <f>IF(AA1897="","",IFERROR(1*'Procyflof 700'!C398,IFERROR(_xludf.NUMBERVALUE('Procyflof 700'!C398,".",","),IFERROR(_xludf.NUMBERVALUE('Procyflof 700'!C398,",","."),0))))</f>
        <v/>
      </c>
      <c r="AE1897" t="str">
        <f>IF(AA1897="","",'Procyflof 700'!N398)</f>
        <v/>
      </c>
      <c r="AF1897">
        <f t="shared" si="191"/>
        <v>0</v>
      </c>
      <c r="AG1897" t="str">
        <f t="shared" si="192"/>
        <v/>
      </c>
      <c r="AH1897" t="str">
        <f t="shared" si="193"/>
        <v/>
      </c>
      <c r="AI1897">
        <f t="shared" si="194"/>
        <v>0</v>
      </c>
      <c r="AJ1897">
        <f t="shared" si="195"/>
        <v>0</v>
      </c>
      <c r="AK1897">
        <v>0</v>
      </c>
      <c r="AL1897" t="str">
        <f>IF(AA1897="","",IFERROR(IF(ISNUMBER('Procyflof 700'!D398),'Procyflof 700'!D398,IF(ISNUMBER(SEARCH("12",'Procyflof 700'!D398)),EDATE(AB1897,12),IF(ISNUMBER(SEARCH("6",'Procyflof 700'!D398)),EDATE(AB1897,6),IF(ISNUMBER(SEARCH("3",'Procyflof 700'!D398)),EDATE(AB1897,3),DATEVALUE('Procyflof 700'!D398))))),""))</f>
        <v/>
      </c>
      <c r="AM1897" t="str">
        <f t="shared" ca="1" si="196"/>
        <v/>
      </c>
    </row>
    <row r="1898" spans="27:39" x14ac:dyDescent="0.3">
      <c r="AA1898" t="str">
        <f>IF(COUNTA('Procyflof 700'!A399,'Procyflof 700'!B399,'Procyflof 700'!C399)&gt;0,"700","")</f>
        <v/>
      </c>
      <c r="AB1898" t="str">
        <f>IFERROR(IF(ISNUMBER('Procyflof 700'!A399),'Procyflof 700'!A399,DATEVALUE('Procyflof 700'!A399)),"")</f>
        <v/>
      </c>
      <c r="AC1898" t="str">
        <f>IF(AA1898="","",'Procyflof 700'!B399)</f>
        <v/>
      </c>
      <c r="AD1898" t="str">
        <f>IF(AA1898="","",IFERROR(1*'Procyflof 700'!C399,IFERROR(_xludf.NUMBERVALUE('Procyflof 700'!C399,".",","),IFERROR(_xludf.NUMBERVALUE('Procyflof 700'!C399,",","."),0))))</f>
        <v/>
      </c>
      <c r="AE1898" t="str">
        <f>IF(AA1898="","",'Procyflof 700'!N399)</f>
        <v/>
      </c>
      <c r="AF1898">
        <f t="shared" si="191"/>
        <v>0</v>
      </c>
      <c r="AG1898" t="str">
        <f t="shared" si="192"/>
        <v/>
      </c>
      <c r="AH1898" t="str">
        <f t="shared" si="193"/>
        <v/>
      </c>
      <c r="AI1898">
        <f t="shared" si="194"/>
        <v>0</v>
      </c>
      <c r="AJ1898">
        <f t="shared" si="195"/>
        <v>0</v>
      </c>
      <c r="AK1898">
        <v>0</v>
      </c>
      <c r="AL1898" t="str">
        <f>IF(AA1898="","",IFERROR(IF(ISNUMBER('Procyflof 700'!D399),'Procyflof 700'!D399,IF(ISNUMBER(SEARCH("12",'Procyflof 700'!D399)),EDATE(AB1898,12),IF(ISNUMBER(SEARCH("6",'Procyflof 700'!D399)),EDATE(AB1898,6),IF(ISNUMBER(SEARCH("3",'Procyflof 700'!D399)),EDATE(AB1898,3),DATEVALUE('Procyflof 700'!D399))))),""))</f>
        <v/>
      </c>
      <c r="AM1898" t="str">
        <f t="shared" ca="1" si="196"/>
        <v/>
      </c>
    </row>
    <row r="1899" spans="27:39" x14ac:dyDescent="0.3">
      <c r="AA1899" t="str">
        <f>IF(COUNTA('Procyflof 700'!A400,'Procyflof 700'!B400,'Procyflof 700'!C400)&gt;0,"700","")</f>
        <v/>
      </c>
      <c r="AB1899" t="str">
        <f>IFERROR(IF(ISNUMBER('Procyflof 700'!A400),'Procyflof 700'!A400,DATEVALUE('Procyflof 700'!A400)),"")</f>
        <v/>
      </c>
      <c r="AC1899" t="str">
        <f>IF(AA1899="","",'Procyflof 700'!B400)</f>
        <v/>
      </c>
      <c r="AD1899" t="str">
        <f>IF(AA1899="","",IFERROR(1*'Procyflof 700'!C400,IFERROR(_xludf.NUMBERVALUE('Procyflof 700'!C400,".",","),IFERROR(_xludf.NUMBERVALUE('Procyflof 700'!C400,",","."),0))))</f>
        <v/>
      </c>
      <c r="AE1899" t="str">
        <f>IF(AA1899="","",'Procyflof 700'!N400)</f>
        <v/>
      </c>
      <c r="AF1899">
        <f t="shared" si="191"/>
        <v>0</v>
      </c>
      <c r="AG1899" t="str">
        <f t="shared" si="192"/>
        <v/>
      </c>
      <c r="AH1899" t="str">
        <f t="shared" si="193"/>
        <v/>
      </c>
      <c r="AI1899">
        <f t="shared" si="194"/>
        <v>0</v>
      </c>
      <c r="AJ1899">
        <f t="shared" si="195"/>
        <v>0</v>
      </c>
      <c r="AK1899">
        <v>0</v>
      </c>
      <c r="AL1899" t="str">
        <f>IF(AA1899="","",IFERROR(IF(ISNUMBER('Procyflof 700'!D400),'Procyflof 700'!D400,IF(ISNUMBER(SEARCH("12",'Procyflof 700'!D400)),EDATE(AB1899,12),IF(ISNUMBER(SEARCH("6",'Procyflof 700'!D400)),EDATE(AB1899,6),IF(ISNUMBER(SEARCH("3",'Procyflof 700'!D400)),EDATE(AB1899,3),DATEVALUE('Procyflof 700'!D400))))),""))</f>
        <v/>
      </c>
      <c r="AM1899" t="str">
        <f t="shared" ca="1" si="196"/>
        <v/>
      </c>
    </row>
    <row r="1900" spans="27:39" x14ac:dyDescent="0.3">
      <c r="AA1900" t="str">
        <f>IF(COUNTA('Procyflof 700'!A401,'Procyflof 700'!B401,'Procyflof 700'!C401)&gt;0,"700","")</f>
        <v/>
      </c>
      <c r="AB1900" t="str">
        <f>IFERROR(IF(ISNUMBER('Procyflof 700'!A401),'Procyflof 700'!A401,DATEVALUE('Procyflof 700'!A401)),"")</f>
        <v/>
      </c>
      <c r="AC1900" t="str">
        <f>IF(AA1900="","",'Procyflof 700'!B401)</f>
        <v/>
      </c>
      <c r="AD1900" t="str">
        <f>IF(AA1900="","",IFERROR(1*'Procyflof 700'!C401,IFERROR(_xludf.NUMBERVALUE('Procyflof 700'!C401,".",","),IFERROR(_xludf.NUMBERVALUE('Procyflof 700'!C401,",","."),0))))</f>
        <v/>
      </c>
      <c r="AE1900" t="str">
        <f>IF(AA1900="","",'Procyflof 700'!N401)</f>
        <v/>
      </c>
      <c r="AF1900">
        <f t="shared" si="191"/>
        <v>0</v>
      </c>
      <c r="AG1900" t="str">
        <f t="shared" si="192"/>
        <v/>
      </c>
      <c r="AH1900" t="str">
        <f t="shared" si="193"/>
        <v/>
      </c>
      <c r="AI1900">
        <f t="shared" si="194"/>
        <v>0</v>
      </c>
      <c r="AJ1900">
        <f t="shared" si="195"/>
        <v>0</v>
      </c>
      <c r="AK1900">
        <v>0</v>
      </c>
      <c r="AL1900" t="str">
        <f>IF(AA1900="","",IFERROR(IF(ISNUMBER('Procyflof 700'!D401),'Procyflof 700'!D401,IF(ISNUMBER(SEARCH("12",'Procyflof 700'!D401)),EDATE(AB1900,12),IF(ISNUMBER(SEARCH("6",'Procyflof 700'!D401)),EDATE(AB1900,6),IF(ISNUMBER(SEARCH("3",'Procyflof 700'!D401)),EDATE(AB1900,3),DATEVALUE('Procyflof 700'!D401))))),""))</f>
        <v/>
      </c>
      <c r="AM1900" t="str">
        <f t="shared" ca="1" si="196"/>
        <v/>
      </c>
    </row>
    <row r="1901" spans="27:39" x14ac:dyDescent="0.3">
      <c r="AA1901" t="str">
        <f>IF(COUNTA('Procyflof 700'!A402,'Procyflof 700'!B402,'Procyflof 700'!C402)&gt;0,"700","")</f>
        <v/>
      </c>
      <c r="AB1901" t="str">
        <f>IFERROR(IF(ISNUMBER('Procyflof 700'!A402),'Procyflof 700'!A402,DATEVALUE('Procyflof 700'!A402)),"")</f>
        <v/>
      </c>
      <c r="AC1901" t="str">
        <f>IF(AA1901="","",'Procyflof 700'!B402)</f>
        <v/>
      </c>
      <c r="AD1901" t="str">
        <f>IF(AA1901="","",IFERROR(1*'Procyflof 700'!C402,IFERROR(_xludf.NUMBERVALUE('Procyflof 700'!C402,".",","),IFERROR(_xludf.NUMBERVALUE('Procyflof 700'!C402,",","."),0))))</f>
        <v/>
      </c>
      <c r="AE1901" t="str">
        <f>IF(AA1901="","",'Procyflof 700'!N402)</f>
        <v/>
      </c>
      <c r="AF1901">
        <f t="shared" si="191"/>
        <v>0</v>
      </c>
      <c r="AG1901" t="str">
        <f t="shared" si="192"/>
        <v/>
      </c>
      <c r="AH1901" t="str">
        <f t="shared" si="193"/>
        <v/>
      </c>
      <c r="AI1901">
        <f t="shared" si="194"/>
        <v>0</v>
      </c>
      <c r="AJ1901">
        <f t="shared" si="195"/>
        <v>0</v>
      </c>
      <c r="AK1901">
        <v>0</v>
      </c>
      <c r="AL1901" t="str">
        <f>IF(AA1901="","",IFERROR(IF(ISNUMBER('Procyflof 700'!D402),'Procyflof 700'!D402,IF(ISNUMBER(SEARCH("12",'Procyflof 700'!D402)),EDATE(AB1901,12),IF(ISNUMBER(SEARCH("6",'Procyflof 700'!D402)),EDATE(AB1901,6),IF(ISNUMBER(SEARCH("3",'Procyflof 700'!D402)),EDATE(AB1901,3),DATEVALUE('Procyflof 700'!D402))))),""))</f>
        <v/>
      </c>
      <c r="AM1901" t="str">
        <f t="shared" ca="1" si="196"/>
        <v/>
      </c>
    </row>
    <row r="1902" spans="27:39" x14ac:dyDescent="0.3">
      <c r="AA1902" t="str">
        <f>IF(COUNTA('Procyflof 700'!A403,'Procyflof 700'!B403,'Procyflof 700'!C403)&gt;0,"700","")</f>
        <v/>
      </c>
      <c r="AB1902" t="str">
        <f>IFERROR(IF(ISNUMBER('Procyflof 700'!A403),'Procyflof 700'!A403,DATEVALUE('Procyflof 700'!A403)),"")</f>
        <v/>
      </c>
      <c r="AC1902" t="str">
        <f>IF(AA1902="","",'Procyflof 700'!B403)</f>
        <v/>
      </c>
      <c r="AD1902" t="str">
        <f>IF(AA1902="","",IFERROR(1*'Procyflof 700'!C403,IFERROR(_xludf.NUMBERVALUE('Procyflof 700'!C403,".",","),IFERROR(_xludf.NUMBERVALUE('Procyflof 700'!C403,",","."),0))))</f>
        <v/>
      </c>
      <c r="AE1902" t="str">
        <f>IF(AA1902="","",'Procyflof 700'!N403)</f>
        <v/>
      </c>
      <c r="AF1902">
        <f t="shared" si="191"/>
        <v>0</v>
      </c>
      <c r="AG1902" t="str">
        <f t="shared" si="192"/>
        <v/>
      </c>
      <c r="AH1902" t="str">
        <f t="shared" si="193"/>
        <v/>
      </c>
      <c r="AI1902">
        <f t="shared" si="194"/>
        <v>0</v>
      </c>
      <c r="AJ1902">
        <f t="shared" si="195"/>
        <v>0</v>
      </c>
      <c r="AK1902">
        <v>0</v>
      </c>
      <c r="AL1902" t="str">
        <f>IF(AA1902="","",IFERROR(IF(ISNUMBER('Procyflof 700'!D403),'Procyflof 700'!D403,IF(ISNUMBER(SEARCH("12",'Procyflof 700'!D403)),EDATE(AB1902,12),IF(ISNUMBER(SEARCH("6",'Procyflof 700'!D403)),EDATE(AB1902,6),IF(ISNUMBER(SEARCH("3",'Procyflof 700'!D403)),EDATE(AB1902,3),DATEVALUE('Procyflof 700'!D403))))),""))</f>
        <v/>
      </c>
      <c r="AM1902" t="str">
        <f t="shared" ca="1" si="196"/>
        <v/>
      </c>
    </row>
    <row r="1903" spans="27:39" x14ac:dyDescent="0.3">
      <c r="AA1903" t="str">
        <f>IF(COUNTA('Procyflof 700'!A404,'Procyflof 700'!B404,'Procyflof 700'!C404)&gt;0,"700","")</f>
        <v/>
      </c>
      <c r="AB1903" t="str">
        <f>IFERROR(IF(ISNUMBER('Procyflof 700'!A404),'Procyflof 700'!A404,DATEVALUE('Procyflof 700'!A404)),"")</f>
        <v/>
      </c>
      <c r="AC1903" t="str">
        <f>IF(AA1903="","",'Procyflof 700'!B404)</f>
        <v/>
      </c>
      <c r="AD1903" t="str">
        <f>IF(AA1903="","",IFERROR(1*'Procyflof 700'!C404,IFERROR(_xludf.NUMBERVALUE('Procyflof 700'!C404,".",","),IFERROR(_xludf.NUMBERVALUE('Procyflof 700'!C404,",","."),0))))</f>
        <v/>
      </c>
      <c r="AE1903" t="str">
        <f>IF(AA1903="","",'Procyflof 700'!N404)</f>
        <v/>
      </c>
      <c r="AF1903">
        <f t="shared" si="191"/>
        <v>0</v>
      </c>
      <c r="AG1903" t="str">
        <f t="shared" si="192"/>
        <v/>
      </c>
      <c r="AH1903" t="str">
        <f t="shared" si="193"/>
        <v/>
      </c>
      <c r="AI1903">
        <f t="shared" si="194"/>
        <v>0</v>
      </c>
      <c r="AJ1903">
        <f t="shared" si="195"/>
        <v>0</v>
      </c>
      <c r="AK1903">
        <v>0</v>
      </c>
      <c r="AL1903" t="str">
        <f>IF(AA1903="","",IFERROR(IF(ISNUMBER('Procyflof 700'!D404),'Procyflof 700'!D404,IF(ISNUMBER(SEARCH("12",'Procyflof 700'!D404)),EDATE(AB1903,12),IF(ISNUMBER(SEARCH("6",'Procyflof 700'!D404)),EDATE(AB1903,6),IF(ISNUMBER(SEARCH("3",'Procyflof 700'!D404)),EDATE(AB1903,3),DATEVALUE('Procyflof 700'!D404))))),""))</f>
        <v/>
      </c>
      <c r="AM1903" t="str">
        <f t="shared" ca="1" si="196"/>
        <v/>
      </c>
    </row>
    <row r="1904" spans="27:39" x14ac:dyDescent="0.3">
      <c r="AA1904" t="str">
        <f>IF(COUNTA('Procyflof 700'!A405,'Procyflof 700'!B405,'Procyflof 700'!C405)&gt;0,"700","")</f>
        <v/>
      </c>
      <c r="AB1904" t="str">
        <f>IFERROR(IF(ISNUMBER('Procyflof 700'!A405),'Procyflof 700'!A405,DATEVALUE('Procyflof 700'!A405)),"")</f>
        <v/>
      </c>
      <c r="AC1904" t="str">
        <f>IF(AA1904="","",'Procyflof 700'!B405)</f>
        <v/>
      </c>
      <c r="AD1904" t="str">
        <f>IF(AA1904="","",IFERROR(1*'Procyflof 700'!C405,IFERROR(_xludf.NUMBERVALUE('Procyflof 700'!C405,".",","),IFERROR(_xludf.NUMBERVALUE('Procyflof 700'!C405,",","."),0))))</f>
        <v/>
      </c>
      <c r="AE1904" t="str">
        <f>IF(AA1904="","",'Procyflof 700'!N405)</f>
        <v/>
      </c>
      <c r="AF1904">
        <f t="shared" si="191"/>
        <v>0</v>
      </c>
      <c r="AG1904" t="str">
        <f t="shared" si="192"/>
        <v/>
      </c>
      <c r="AH1904" t="str">
        <f t="shared" si="193"/>
        <v/>
      </c>
      <c r="AI1904">
        <f t="shared" si="194"/>
        <v>0</v>
      </c>
      <c r="AJ1904">
        <f t="shared" si="195"/>
        <v>0</v>
      </c>
      <c r="AK1904">
        <v>0</v>
      </c>
      <c r="AL1904" t="str">
        <f>IF(AA1904="","",IFERROR(IF(ISNUMBER('Procyflof 700'!D405),'Procyflof 700'!D405,IF(ISNUMBER(SEARCH("12",'Procyflof 700'!D405)),EDATE(AB1904,12),IF(ISNUMBER(SEARCH("6",'Procyflof 700'!D405)),EDATE(AB1904,6),IF(ISNUMBER(SEARCH("3",'Procyflof 700'!D405)),EDATE(AB1904,3),DATEVALUE('Procyflof 700'!D405))))),""))</f>
        <v/>
      </c>
      <c r="AM1904" t="str">
        <f t="shared" ca="1" si="196"/>
        <v/>
      </c>
    </row>
    <row r="1905" spans="27:39" x14ac:dyDescent="0.3">
      <c r="AA1905" t="str">
        <f>IF(COUNTA('Procyflof 700'!A406,'Procyflof 700'!B406,'Procyflof 700'!C406)&gt;0,"700","")</f>
        <v/>
      </c>
      <c r="AB1905" t="str">
        <f>IFERROR(IF(ISNUMBER('Procyflof 700'!A406),'Procyflof 700'!A406,DATEVALUE('Procyflof 700'!A406)),"")</f>
        <v/>
      </c>
      <c r="AC1905" t="str">
        <f>IF(AA1905="","",'Procyflof 700'!B406)</f>
        <v/>
      </c>
      <c r="AD1905" t="str">
        <f>IF(AA1905="","",IFERROR(1*'Procyflof 700'!C406,IFERROR(_xludf.NUMBERVALUE('Procyflof 700'!C406,".",","),IFERROR(_xludf.NUMBERVALUE('Procyflof 700'!C406,",","."),0))))</f>
        <v/>
      </c>
      <c r="AE1905" t="str">
        <f>IF(AA1905="","",'Procyflof 700'!N406)</f>
        <v/>
      </c>
      <c r="AF1905">
        <f t="shared" si="191"/>
        <v>0</v>
      </c>
      <c r="AG1905" t="str">
        <f t="shared" si="192"/>
        <v/>
      </c>
      <c r="AH1905" t="str">
        <f t="shared" si="193"/>
        <v/>
      </c>
      <c r="AI1905">
        <f t="shared" si="194"/>
        <v>0</v>
      </c>
      <c r="AJ1905">
        <f t="shared" si="195"/>
        <v>0</v>
      </c>
      <c r="AK1905">
        <v>0</v>
      </c>
      <c r="AL1905" t="str">
        <f>IF(AA1905="","",IFERROR(IF(ISNUMBER('Procyflof 700'!D406),'Procyflof 700'!D406,IF(ISNUMBER(SEARCH("12",'Procyflof 700'!D406)),EDATE(AB1905,12),IF(ISNUMBER(SEARCH("6",'Procyflof 700'!D406)),EDATE(AB1905,6),IF(ISNUMBER(SEARCH("3",'Procyflof 700'!D406)),EDATE(AB1905,3),DATEVALUE('Procyflof 700'!D406))))),""))</f>
        <v/>
      </c>
      <c r="AM1905" t="str">
        <f t="shared" ca="1" si="196"/>
        <v/>
      </c>
    </row>
    <row r="1906" spans="27:39" x14ac:dyDescent="0.3">
      <c r="AA1906" t="str">
        <f>IF(COUNTA('Procyflof 700'!A407,'Procyflof 700'!B407,'Procyflof 700'!C407)&gt;0,"700","")</f>
        <v/>
      </c>
      <c r="AB1906" t="str">
        <f>IFERROR(IF(ISNUMBER('Procyflof 700'!A407),'Procyflof 700'!A407,DATEVALUE('Procyflof 700'!A407)),"")</f>
        <v/>
      </c>
      <c r="AC1906" t="str">
        <f>IF(AA1906="","",'Procyflof 700'!B407)</f>
        <v/>
      </c>
      <c r="AD1906" t="str">
        <f>IF(AA1906="","",IFERROR(1*'Procyflof 700'!C407,IFERROR(_xludf.NUMBERVALUE('Procyflof 700'!C407,".",","),IFERROR(_xludf.NUMBERVALUE('Procyflof 700'!C407,",","."),0))))</f>
        <v/>
      </c>
      <c r="AE1906" t="str">
        <f>IF(AA1906="","",'Procyflof 700'!N407)</f>
        <v/>
      </c>
      <c r="AF1906">
        <f t="shared" si="191"/>
        <v>0</v>
      </c>
      <c r="AG1906" t="str">
        <f t="shared" si="192"/>
        <v/>
      </c>
      <c r="AH1906" t="str">
        <f t="shared" si="193"/>
        <v/>
      </c>
      <c r="AI1906">
        <f t="shared" si="194"/>
        <v>0</v>
      </c>
      <c r="AJ1906">
        <f t="shared" si="195"/>
        <v>0</v>
      </c>
      <c r="AK1906">
        <v>0</v>
      </c>
      <c r="AL1906" t="str">
        <f>IF(AA1906="","",IFERROR(IF(ISNUMBER('Procyflof 700'!D407),'Procyflof 700'!D407,IF(ISNUMBER(SEARCH("12",'Procyflof 700'!D407)),EDATE(AB1906,12),IF(ISNUMBER(SEARCH("6",'Procyflof 700'!D407)),EDATE(AB1906,6),IF(ISNUMBER(SEARCH("3",'Procyflof 700'!D407)),EDATE(AB1906,3),DATEVALUE('Procyflof 700'!D407))))),""))</f>
        <v/>
      </c>
      <c r="AM1906" t="str">
        <f t="shared" ca="1" si="196"/>
        <v/>
      </c>
    </row>
    <row r="1907" spans="27:39" x14ac:dyDescent="0.3">
      <c r="AA1907" t="str">
        <f>IF(COUNTA('Procyflof 700'!A408,'Procyflof 700'!B408,'Procyflof 700'!C408)&gt;0,"700","")</f>
        <v/>
      </c>
      <c r="AB1907" t="str">
        <f>IFERROR(IF(ISNUMBER('Procyflof 700'!A408),'Procyflof 700'!A408,DATEVALUE('Procyflof 700'!A408)),"")</f>
        <v/>
      </c>
      <c r="AC1907" t="str">
        <f>IF(AA1907="","",'Procyflof 700'!B408)</f>
        <v/>
      </c>
      <c r="AD1907" t="str">
        <f>IF(AA1907="","",IFERROR(1*'Procyflof 700'!C408,IFERROR(_xludf.NUMBERVALUE('Procyflof 700'!C408,".",","),IFERROR(_xludf.NUMBERVALUE('Procyflof 700'!C408,",","."),0))))</f>
        <v/>
      </c>
      <c r="AE1907" t="str">
        <f>IF(AA1907="","",'Procyflof 700'!N408)</f>
        <v/>
      </c>
      <c r="AF1907">
        <f t="shared" si="191"/>
        <v>0</v>
      </c>
      <c r="AG1907" t="str">
        <f t="shared" si="192"/>
        <v/>
      </c>
      <c r="AH1907" t="str">
        <f t="shared" si="193"/>
        <v/>
      </c>
      <c r="AI1907">
        <f t="shared" si="194"/>
        <v>0</v>
      </c>
      <c r="AJ1907">
        <f t="shared" si="195"/>
        <v>0</v>
      </c>
      <c r="AK1907">
        <v>0</v>
      </c>
      <c r="AL1907" t="str">
        <f>IF(AA1907="","",IFERROR(IF(ISNUMBER('Procyflof 700'!D408),'Procyflof 700'!D408,IF(ISNUMBER(SEARCH("12",'Procyflof 700'!D408)),EDATE(AB1907,12),IF(ISNUMBER(SEARCH("6",'Procyflof 700'!D408)),EDATE(AB1907,6),IF(ISNUMBER(SEARCH("3",'Procyflof 700'!D408)),EDATE(AB1907,3),DATEVALUE('Procyflof 700'!D408))))),""))</f>
        <v/>
      </c>
      <c r="AM1907" t="str">
        <f t="shared" ca="1" si="196"/>
        <v/>
      </c>
    </row>
    <row r="1908" spans="27:39" x14ac:dyDescent="0.3">
      <c r="AA1908" t="str">
        <f>IF(COUNTA('Procyflof 700'!A409,'Procyflof 700'!B409,'Procyflof 700'!C409)&gt;0,"700","")</f>
        <v/>
      </c>
      <c r="AB1908" t="str">
        <f>IFERROR(IF(ISNUMBER('Procyflof 700'!A409),'Procyflof 700'!A409,DATEVALUE('Procyflof 700'!A409)),"")</f>
        <v/>
      </c>
      <c r="AC1908" t="str">
        <f>IF(AA1908="","",'Procyflof 700'!B409)</f>
        <v/>
      </c>
      <c r="AD1908" t="str">
        <f>IF(AA1908="","",IFERROR(1*'Procyflof 700'!C409,IFERROR(_xludf.NUMBERVALUE('Procyflof 700'!C409,".",","),IFERROR(_xludf.NUMBERVALUE('Procyflof 700'!C409,",","."),0))))</f>
        <v/>
      </c>
      <c r="AE1908" t="str">
        <f>IF(AA1908="","",'Procyflof 700'!N409)</f>
        <v/>
      </c>
      <c r="AF1908">
        <f t="shared" si="191"/>
        <v>0</v>
      </c>
      <c r="AG1908" t="str">
        <f t="shared" si="192"/>
        <v/>
      </c>
      <c r="AH1908" t="str">
        <f t="shared" si="193"/>
        <v/>
      </c>
      <c r="AI1908">
        <f t="shared" si="194"/>
        <v>0</v>
      </c>
      <c r="AJ1908">
        <f t="shared" si="195"/>
        <v>0</v>
      </c>
      <c r="AK1908">
        <v>0</v>
      </c>
      <c r="AL1908" t="str">
        <f>IF(AA1908="","",IFERROR(IF(ISNUMBER('Procyflof 700'!D409),'Procyflof 700'!D409,IF(ISNUMBER(SEARCH("12",'Procyflof 700'!D409)),EDATE(AB1908,12),IF(ISNUMBER(SEARCH("6",'Procyflof 700'!D409)),EDATE(AB1908,6),IF(ISNUMBER(SEARCH("3",'Procyflof 700'!D409)),EDATE(AB1908,3),DATEVALUE('Procyflof 700'!D409))))),""))</f>
        <v/>
      </c>
      <c r="AM1908" t="str">
        <f t="shared" ca="1" si="196"/>
        <v/>
      </c>
    </row>
    <row r="1909" spans="27:39" x14ac:dyDescent="0.3">
      <c r="AA1909" t="str">
        <f>IF(COUNTA('Procyflof 700'!A410,'Procyflof 700'!B410,'Procyflof 700'!C410)&gt;0,"700","")</f>
        <v/>
      </c>
      <c r="AB1909" t="str">
        <f>IFERROR(IF(ISNUMBER('Procyflof 700'!A410),'Procyflof 700'!A410,DATEVALUE('Procyflof 700'!A410)),"")</f>
        <v/>
      </c>
      <c r="AC1909" t="str">
        <f>IF(AA1909="","",'Procyflof 700'!B410)</f>
        <v/>
      </c>
      <c r="AD1909" t="str">
        <f>IF(AA1909="","",IFERROR(1*'Procyflof 700'!C410,IFERROR(_xludf.NUMBERVALUE('Procyflof 700'!C410,".",","),IFERROR(_xludf.NUMBERVALUE('Procyflof 700'!C410,",","."),0))))</f>
        <v/>
      </c>
      <c r="AE1909" t="str">
        <f>IF(AA1909="","",'Procyflof 700'!N410)</f>
        <v/>
      </c>
      <c r="AF1909">
        <f t="shared" si="191"/>
        <v>0</v>
      </c>
      <c r="AG1909" t="str">
        <f t="shared" si="192"/>
        <v/>
      </c>
      <c r="AH1909" t="str">
        <f t="shared" si="193"/>
        <v/>
      </c>
      <c r="AI1909">
        <f t="shared" si="194"/>
        <v>0</v>
      </c>
      <c r="AJ1909">
        <f t="shared" si="195"/>
        <v>0</v>
      </c>
      <c r="AK1909">
        <v>0</v>
      </c>
      <c r="AL1909" t="str">
        <f>IF(AA1909="","",IFERROR(IF(ISNUMBER('Procyflof 700'!D410),'Procyflof 700'!D410,IF(ISNUMBER(SEARCH("12",'Procyflof 700'!D410)),EDATE(AB1909,12),IF(ISNUMBER(SEARCH("6",'Procyflof 700'!D410)),EDATE(AB1909,6),IF(ISNUMBER(SEARCH("3",'Procyflof 700'!D410)),EDATE(AB1909,3),DATEVALUE('Procyflof 700'!D410))))),""))</f>
        <v/>
      </c>
      <c r="AM1909" t="str">
        <f t="shared" ca="1" si="196"/>
        <v/>
      </c>
    </row>
    <row r="1910" spans="27:39" x14ac:dyDescent="0.3">
      <c r="AA1910" t="str">
        <f>IF(COUNTA('Procyflof 700'!A411,'Procyflof 700'!B411,'Procyflof 700'!C411)&gt;0,"700","")</f>
        <v/>
      </c>
      <c r="AB1910" t="str">
        <f>IFERROR(IF(ISNUMBER('Procyflof 700'!A411),'Procyflof 700'!A411,DATEVALUE('Procyflof 700'!A411)),"")</f>
        <v/>
      </c>
      <c r="AC1910" t="str">
        <f>IF(AA1910="","",'Procyflof 700'!B411)</f>
        <v/>
      </c>
      <c r="AD1910" t="str">
        <f>IF(AA1910="","",IFERROR(1*'Procyflof 700'!C411,IFERROR(_xludf.NUMBERVALUE('Procyflof 700'!C411,".",","),IFERROR(_xludf.NUMBERVALUE('Procyflof 700'!C411,",","."),0))))</f>
        <v/>
      </c>
      <c r="AE1910" t="str">
        <f>IF(AA1910="","",'Procyflof 700'!N411)</f>
        <v/>
      </c>
      <c r="AF1910">
        <f t="shared" si="191"/>
        <v>0</v>
      </c>
      <c r="AG1910" t="str">
        <f t="shared" si="192"/>
        <v/>
      </c>
      <c r="AH1910" t="str">
        <f t="shared" si="193"/>
        <v/>
      </c>
      <c r="AI1910">
        <f t="shared" si="194"/>
        <v>0</v>
      </c>
      <c r="AJ1910">
        <f t="shared" si="195"/>
        <v>0</v>
      </c>
      <c r="AK1910">
        <v>0</v>
      </c>
      <c r="AL1910" t="str">
        <f>IF(AA1910="","",IFERROR(IF(ISNUMBER('Procyflof 700'!D411),'Procyflof 700'!D411,IF(ISNUMBER(SEARCH("12",'Procyflof 700'!D411)),EDATE(AB1910,12),IF(ISNUMBER(SEARCH("6",'Procyflof 700'!D411)),EDATE(AB1910,6),IF(ISNUMBER(SEARCH("3",'Procyflof 700'!D411)),EDATE(AB1910,3),DATEVALUE('Procyflof 700'!D411))))),""))</f>
        <v/>
      </c>
      <c r="AM1910" t="str">
        <f t="shared" ca="1" si="196"/>
        <v/>
      </c>
    </row>
    <row r="1911" spans="27:39" x14ac:dyDescent="0.3">
      <c r="AA1911" t="str">
        <f>IF(COUNTA('Procyflof 700'!A412,'Procyflof 700'!B412,'Procyflof 700'!C412)&gt;0,"700","")</f>
        <v/>
      </c>
      <c r="AB1911" t="str">
        <f>IFERROR(IF(ISNUMBER('Procyflof 700'!A412),'Procyflof 700'!A412,DATEVALUE('Procyflof 700'!A412)),"")</f>
        <v/>
      </c>
      <c r="AC1911" t="str">
        <f>IF(AA1911="","",'Procyflof 700'!B412)</f>
        <v/>
      </c>
      <c r="AD1911" t="str">
        <f>IF(AA1911="","",IFERROR(1*'Procyflof 700'!C412,IFERROR(_xludf.NUMBERVALUE('Procyflof 700'!C412,".",","),IFERROR(_xludf.NUMBERVALUE('Procyflof 700'!C412,",","."),0))))</f>
        <v/>
      </c>
      <c r="AE1911" t="str">
        <f>IF(AA1911="","",'Procyflof 700'!N412)</f>
        <v/>
      </c>
      <c r="AF1911">
        <f t="shared" si="191"/>
        <v>0</v>
      </c>
      <c r="AG1911" t="str">
        <f t="shared" si="192"/>
        <v/>
      </c>
      <c r="AH1911" t="str">
        <f t="shared" si="193"/>
        <v/>
      </c>
      <c r="AI1911">
        <f t="shared" si="194"/>
        <v>0</v>
      </c>
      <c r="AJ1911">
        <f t="shared" si="195"/>
        <v>0</v>
      </c>
      <c r="AK1911">
        <v>0</v>
      </c>
      <c r="AL1911" t="str">
        <f>IF(AA1911="","",IFERROR(IF(ISNUMBER('Procyflof 700'!D412),'Procyflof 700'!D412,IF(ISNUMBER(SEARCH("12",'Procyflof 700'!D412)),EDATE(AB1911,12),IF(ISNUMBER(SEARCH("6",'Procyflof 700'!D412)),EDATE(AB1911,6),IF(ISNUMBER(SEARCH("3",'Procyflof 700'!D412)),EDATE(AB1911,3),DATEVALUE('Procyflof 700'!D412))))),""))</f>
        <v/>
      </c>
      <c r="AM1911" t="str">
        <f t="shared" ca="1" si="196"/>
        <v/>
      </c>
    </row>
    <row r="1912" spans="27:39" x14ac:dyDescent="0.3">
      <c r="AA1912" t="str">
        <f>IF(COUNTA('Procyflof 700'!A413,'Procyflof 700'!B413,'Procyflof 700'!C413)&gt;0,"700","")</f>
        <v/>
      </c>
      <c r="AB1912" t="str">
        <f>IFERROR(IF(ISNUMBER('Procyflof 700'!A413),'Procyflof 700'!A413,DATEVALUE('Procyflof 700'!A413)),"")</f>
        <v/>
      </c>
      <c r="AC1912" t="str">
        <f>IF(AA1912="","",'Procyflof 700'!B413)</f>
        <v/>
      </c>
      <c r="AD1912" t="str">
        <f>IF(AA1912="","",IFERROR(1*'Procyflof 700'!C413,IFERROR(_xludf.NUMBERVALUE('Procyflof 700'!C413,".",","),IFERROR(_xludf.NUMBERVALUE('Procyflof 700'!C413,",","."),0))))</f>
        <v/>
      </c>
      <c r="AE1912" t="str">
        <f>IF(AA1912="","",'Procyflof 700'!N413)</f>
        <v/>
      </c>
      <c r="AF1912">
        <f t="shared" si="191"/>
        <v>0</v>
      </c>
      <c r="AG1912" t="str">
        <f t="shared" si="192"/>
        <v/>
      </c>
      <c r="AH1912" t="str">
        <f t="shared" si="193"/>
        <v/>
      </c>
      <c r="AI1912">
        <f t="shared" si="194"/>
        <v>0</v>
      </c>
      <c r="AJ1912">
        <f t="shared" si="195"/>
        <v>0</v>
      </c>
      <c r="AK1912">
        <v>0</v>
      </c>
      <c r="AL1912" t="str">
        <f>IF(AA1912="","",IFERROR(IF(ISNUMBER('Procyflof 700'!D413),'Procyflof 700'!D413,IF(ISNUMBER(SEARCH("12",'Procyflof 700'!D413)),EDATE(AB1912,12),IF(ISNUMBER(SEARCH("6",'Procyflof 700'!D413)),EDATE(AB1912,6),IF(ISNUMBER(SEARCH("3",'Procyflof 700'!D413)),EDATE(AB1912,3),DATEVALUE('Procyflof 700'!D413))))),""))</f>
        <v/>
      </c>
      <c r="AM1912" t="str">
        <f t="shared" ca="1" si="196"/>
        <v/>
      </c>
    </row>
    <row r="1913" spans="27:39" x14ac:dyDescent="0.3">
      <c r="AA1913" t="str">
        <f>IF(COUNTA('Procyflof 700'!A414,'Procyflof 700'!B414,'Procyflof 700'!C414)&gt;0,"700","")</f>
        <v/>
      </c>
      <c r="AB1913" t="str">
        <f>IFERROR(IF(ISNUMBER('Procyflof 700'!A414),'Procyflof 700'!A414,DATEVALUE('Procyflof 700'!A414)),"")</f>
        <v/>
      </c>
      <c r="AC1913" t="str">
        <f>IF(AA1913="","",'Procyflof 700'!B414)</f>
        <v/>
      </c>
      <c r="AD1913" t="str">
        <f>IF(AA1913="","",IFERROR(1*'Procyflof 700'!C414,IFERROR(_xludf.NUMBERVALUE('Procyflof 700'!C414,".",","),IFERROR(_xludf.NUMBERVALUE('Procyflof 700'!C414,",","."),0))))</f>
        <v/>
      </c>
      <c r="AE1913" t="str">
        <f>IF(AA1913="","",'Procyflof 700'!N414)</f>
        <v/>
      </c>
      <c r="AF1913">
        <f t="shared" si="191"/>
        <v>0</v>
      </c>
      <c r="AG1913" t="str">
        <f t="shared" si="192"/>
        <v/>
      </c>
      <c r="AH1913" t="str">
        <f t="shared" si="193"/>
        <v/>
      </c>
      <c r="AI1913">
        <f t="shared" si="194"/>
        <v>0</v>
      </c>
      <c r="AJ1913">
        <f t="shared" si="195"/>
        <v>0</v>
      </c>
      <c r="AK1913">
        <v>0</v>
      </c>
      <c r="AL1913" t="str">
        <f>IF(AA1913="","",IFERROR(IF(ISNUMBER('Procyflof 700'!D414),'Procyflof 700'!D414,IF(ISNUMBER(SEARCH("12",'Procyflof 700'!D414)),EDATE(AB1913,12),IF(ISNUMBER(SEARCH("6",'Procyflof 700'!D414)),EDATE(AB1913,6),IF(ISNUMBER(SEARCH("3",'Procyflof 700'!D414)),EDATE(AB1913,3),DATEVALUE('Procyflof 700'!D414))))),""))</f>
        <v/>
      </c>
      <c r="AM1913" t="str">
        <f t="shared" ca="1" si="196"/>
        <v/>
      </c>
    </row>
    <row r="1914" spans="27:39" x14ac:dyDescent="0.3">
      <c r="AA1914" t="str">
        <f>IF(COUNTA('Procyflof 700'!A415,'Procyflof 700'!B415,'Procyflof 700'!C415)&gt;0,"700","")</f>
        <v/>
      </c>
      <c r="AB1914" t="str">
        <f>IFERROR(IF(ISNUMBER('Procyflof 700'!A415),'Procyflof 700'!A415,DATEVALUE('Procyflof 700'!A415)),"")</f>
        <v/>
      </c>
      <c r="AC1914" t="str">
        <f>IF(AA1914="","",'Procyflof 700'!B415)</f>
        <v/>
      </c>
      <c r="AD1914" t="str">
        <f>IF(AA1914="","",IFERROR(1*'Procyflof 700'!C415,IFERROR(_xludf.NUMBERVALUE('Procyflof 700'!C415,".",","),IFERROR(_xludf.NUMBERVALUE('Procyflof 700'!C415,",","."),0))))</f>
        <v/>
      </c>
      <c r="AE1914" t="str">
        <f>IF(AA1914="","",'Procyflof 700'!N415)</f>
        <v/>
      </c>
      <c r="AF1914">
        <f t="shared" si="191"/>
        <v>0</v>
      </c>
      <c r="AG1914" t="str">
        <f t="shared" si="192"/>
        <v/>
      </c>
      <c r="AH1914" t="str">
        <f t="shared" si="193"/>
        <v/>
      </c>
      <c r="AI1914">
        <f t="shared" si="194"/>
        <v>0</v>
      </c>
      <c r="AJ1914">
        <f t="shared" si="195"/>
        <v>0</v>
      </c>
      <c r="AK1914">
        <v>0</v>
      </c>
      <c r="AL1914" t="str">
        <f>IF(AA1914="","",IFERROR(IF(ISNUMBER('Procyflof 700'!D415),'Procyflof 700'!D415,IF(ISNUMBER(SEARCH("12",'Procyflof 700'!D415)),EDATE(AB1914,12),IF(ISNUMBER(SEARCH("6",'Procyflof 700'!D415)),EDATE(AB1914,6),IF(ISNUMBER(SEARCH("3",'Procyflof 700'!D415)),EDATE(AB1914,3),DATEVALUE('Procyflof 700'!D415))))),""))</f>
        <v/>
      </c>
      <c r="AM1914" t="str">
        <f t="shared" ca="1" si="196"/>
        <v/>
      </c>
    </row>
    <row r="1915" spans="27:39" x14ac:dyDescent="0.3">
      <c r="AA1915" t="str">
        <f>IF(COUNTA('Procyflof 700'!A416,'Procyflof 700'!B416,'Procyflof 700'!C416)&gt;0,"700","")</f>
        <v/>
      </c>
      <c r="AB1915" t="str">
        <f>IFERROR(IF(ISNUMBER('Procyflof 700'!A416),'Procyflof 700'!A416,DATEVALUE('Procyflof 700'!A416)),"")</f>
        <v/>
      </c>
      <c r="AC1915" t="str">
        <f>IF(AA1915="","",'Procyflof 700'!B416)</f>
        <v/>
      </c>
      <c r="AD1915" t="str">
        <f>IF(AA1915="","",IFERROR(1*'Procyflof 700'!C416,IFERROR(_xludf.NUMBERVALUE('Procyflof 700'!C416,".",","),IFERROR(_xludf.NUMBERVALUE('Procyflof 700'!C416,",","."),0))))</f>
        <v/>
      </c>
      <c r="AE1915" t="str">
        <f>IF(AA1915="","",'Procyflof 700'!N416)</f>
        <v/>
      </c>
      <c r="AF1915">
        <f t="shared" si="191"/>
        <v>0</v>
      </c>
      <c r="AG1915" t="str">
        <f t="shared" si="192"/>
        <v/>
      </c>
      <c r="AH1915" t="str">
        <f t="shared" si="193"/>
        <v/>
      </c>
      <c r="AI1915">
        <f t="shared" si="194"/>
        <v>0</v>
      </c>
      <c r="AJ1915">
        <f t="shared" si="195"/>
        <v>0</v>
      </c>
      <c r="AK1915">
        <v>0</v>
      </c>
      <c r="AL1915" t="str">
        <f>IF(AA1915="","",IFERROR(IF(ISNUMBER('Procyflof 700'!D416),'Procyflof 700'!D416,IF(ISNUMBER(SEARCH("12",'Procyflof 700'!D416)),EDATE(AB1915,12),IF(ISNUMBER(SEARCH("6",'Procyflof 700'!D416)),EDATE(AB1915,6),IF(ISNUMBER(SEARCH("3",'Procyflof 700'!D416)),EDATE(AB1915,3),DATEVALUE('Procyflof 700'!D416))))),""))</f>
        <v/>
      </c>
      <c r="AM1915" t="str">
        <f t="shared" ca="1" si="196"/>
        <v/>
      </c>
    </row>
    <row r="1916" spans="27:39" x14ac:dyDescent="0.3">
      <c r="AA1916" t="str">
        <f>IF(COUNTA('Procyflof 700'!A417,'Procyflof 700'!B417,'Procyflof 700'!C417)&gt;0,"700","")</f>
        <v/>
      </c>
      <c r="AB1916" t="str">
        <f>IFERROR(IF(ISNUMBER('Procyflof 700'!A417),'Procyflof 700'!A417,DATEVALUE('Procyflof 700'!A417)),"")</f>
        <v/>
      </c>
      <c r="AC1916" t="str">
        <f>IF(AA1916="","",'Procyflof 700'!B417)</f>
        <v/>
      </c>
      <c r="AD1916" t="str">
        <f>IF(AA1916="","",IFERROR(1*'Procyflof 700'!C417,IFERROR(_xludf.NUMBERVALUE('Procyflof 700'!C417,".",","),IFERROR(_xludf.NUMBERVALUE('Procyflof 700'!C417,",","."),0))))</f>
        <v/>
      </c>
      <c r="AE1916" t="str">
        <f>IF(AA1916="","",'Procyflof 700'!N417)</f>
        <v/>
      </c>
      <c r="AF1916">
        <f t="shared" si="191"/>
        <v>0</v>
      </c>
      <c r="AG1916" t="str">
        <f t="shared" si="192"/>
        <v/>
      </c>
      <c r="AH1916" t="str">
        <f t="shared" si="193"/>
        <v/>
      </c>
      <c r="AI1916">
        <f t="shared" si="194"/>
        <v>0</v>
      </c>
      <c r="AJ1916">
        <f t="shared" si="195"/>
        <v>0</v>
      </c>
      <c r="AK1916">
        <v>0</v>
      </c>
      <c r="AL1916" t="str">
        <f>IF(AA1916="","",IFERROR(IF(ISNUMBER('Procyflof 700'!D417),'Procyflof 700'!D417,IF(ISNUMBER(SEARCH("12",'Procyflof 700'!D417)),EDATE(AB1916,12),IF(ISNUMBER(SEARCH("6",'Procyflof 700'!D417)),EDATE(AB1916,6),IF(ISNUMBER(SEARCH("3",'Procyflof 700'!D417)),EDATE(AB1916,3),DATEVALUE('Procyflof 700'!D417))))),""))</f>
        <v/>
      </c>
      <c r="AM1916" t="str">
        <f t="shared" ca="1" si="196"/>
        <v/>
      </c>
    </row>
    <row r="1917" spans="27:39" x14ac:dyDescent="0.3">
      <c r="AA1917" t="str">
        <f>IF(COUNTA('Procyflof 700'!A418,'Procyflof 700'!B418,'Procyflof 700'!C418)&gt;0,"700","")</f>
        <v/>
      </c>
      <c r="AB1917" t="str">
        <f>IFERROR(IF(ISNUMBER('Procyflof 700'!A418),'Procyflof 700'!A418,DATEVALUE('Procyflof 700'!A418)),"")</f>
        <v/>
      </c>
      <c r="AC1917" t="str">
        <f>IF(AA1917="","",'Procyflof 700'!B418)</f>
        <v/>
      </c>
      <c r="AD1917" t="str">
        <f>IF(AA1917="","",IFERROR(1*'Procyflof 700'!C418,IFERROR(_xludf.NUMBERVALUE('Procyflof 700'!C418,".",","),IFERROR(_xludf.NUMBERVALUE('Procyflof 700'!C418,",","."),0))))</f>
        <v/>
      </c>
      <c r="AE1917" t="str">
        <f>IF(AA1917="","",'Procyflof 700'!N418)</f>
        <v/>
      </c>
      <c r="AF1917">
        <f t="shared" si="191"/>
        <v>0</v>
      </c>
      <c r="AG1917" t="str">
        <f t="shared" si="192"/>
        <v/>
      </c>
      <c r="AH1917" t="str">
        <f t="shared" si="193"/>
        <v/>
      </c>
      <c r="AI1917">
        <f t="shared" si="194"/>
        <v>0</v>
      </c>
      <c r="AJ1917">
        <f t="shared" si="195"/>
        <v>0</v>
      </c>
      <c r="AK1917">
        <v>0</v>
      </c>
      <c r="AL1917" t="str">
        <f>IF(AA1917="","",IFERROR(IF(ISNUMBER('Procyflof 700'!D418),'Procyflof 700'!D418,IF(ISNUMBER(SEARCH("12",'Procyflof 700'!D418)),EDATE(AB1917,12),IF(ISNUMBER(SEARCH("6",'Procyflof 700'!D418)),EDATE(AB1917,6),IF(ISNUMBER(SEARCH("3",'Procyflof 700'!D418)),EDATE(AB1917,3),DATEVALUE('Procyflof 700'!D418))))),""))</f>
        <v/>
      </c>
      <c r="AM1917" t="str">
        <f t="shared" ca="1" si="196"/>
        <v/>
      </c>
    </row>
    <row r="1918" spans="27:39" x14ac:dyDescent="0.3">
      <c r="AA1918" t="str">
        <f>IF(COUNTA('Procyflof 700'!A419,'Procyflof 700'!B419,'Procyflof 700'!C419)&gt;0,"700","")</f>
        <v/>
      </c>
      <c r="AB1918" t="str">
        <f>IFERROR(IF(ISNUMBER('Procyflof 700'!A419),'Procyflof 700'!A419,DATEVALUE('Procyflof 700'!A419)),"")</f>
        <v/>
      </c>
      <c r="AC1918" t="str">
        <f>IF(AA1918="","",'Procyflof 700'!B419)</f>
        <v/>
      </c>
      <c r="AD1918" t="str">
        <f>IF(AA1918="","",IFERROR(1*'Procyflof 700'!C419,IFERROR(_xludf.NUMBERVALUE('Procyflof 700'!C419,".",","),IFERROR(_xludf.NUMBERVALUE('Procyflof 700'!C419,",","."),0))))</f>
        <v/>
      </c>
      <c r="AE1918" t="str">
        <f>IF(AA1918="","",'Procyflof 700'!N419)</f>
        <v/>
      </c>
      <c r="AF1918">
        <f t="shared" si="191"/>
        <v>0</v>
      </c>
      <c r="AG1918" t="str">
        <f t="shared" si="192"/>
        <v/>
      </c>
      <c r="AH1918" t="str">
        <f t="shared" si="193"/>
        <v/>
      </c>
      <c r="AI1918">
        <f t="shared" si="194"/>
        <v>0</v>
      </c>
      <c r="AJ1918">
        <f t="shared" si="195"/>
        <v>0</v>
      </c>
      <c r="AK1918">
        <v>0</v>
      </c>
      <c r="AL1918" t="str">
        <f>IF(AA1918="","",IFERROR(IF(ISNUMBER('Procyflof 700'!D419),'Procyflof 700'!D419,IF(ISNUMBER(SEARCH("12",'Procyflof 700'!D419)),EDATE(AB1918,12),IF(ISNUMBER(SEARCH("6",'Procyflof 700'!D419)),EDATE(AB1918,6),IF(ISNUMBER(SEARCH("3",'Procyflof 700'!D419)),EDATE(AB1918,3),DATEVALUE('Procyflof 700'!D419))))),""))</f>
        <v/>
      </c>
      <c r="AM1918" t="str">
        <f t="shared" ca="1" si="196"/>
        <v/>
      </c>
    </row>
    <row r="1919" spans="27:39" x14ac:dyDescent="0.3">
      <c r="AA1919" t="str">
        <f>IF(COUNTA('Procyflof 700'!A420,'Procyflof 700'!B420,'Procyflof 700'!C420)&gt;0,"700","")</f>
        <v/>
      </c>
      <c r="AB1919" t="str">
        <f>IFERROR(IF(ISNUMBER('Procyflof 700'!A420),'Procyflof 700'!A420,DATEVALUE('Procyflof 700'!A420)),"")</f>
        <v/>
      </c>
      <c r="AC1919" t="str">
        <f>IF(AA1919="","",'Procyflof 700'!B420)</f>
        <v/>
      </c>
      <c r="AD1919" t="str">
        <f>IF(AA1919="","",IFERROR(1*'Procyflof 700'!C420,IFERROR(_xludf.NUMBERVALUE('Procyflof 700'!C420,".",","),IFERROR(_xludf.NUMBERVALUE('Procyflof 700'!C420,",","."),0))))</f>
        <v/>
      </c>
      <c r="AE1919" t="str">
        <f>IF(AA1919="","",'Procyflof 700'!N420)</f>
        <v/>
      </c>
      <c r="AF1919">
        <f t="shared" si="191"/>
        <v>0</v>
      </c>
      <c r="AG1919" t="str">
        <f t="shared" si="192"/>
        <v/>
      </c>
      <c r="AH1919" t="str">
        <f t="shared" si="193"/>
        <v/>
      </c>
      <c r="AI1919">
        <f t="shared" si="194"/>
        <v>0</v>
      </c>
      <c r="AJ1919">
        <f t="shared" si="195"/>
        <v>0</v>
      </c>
      <c r="AK1919">
        <v>0</v>
      </c>
      <c r="AL1919" t="str">
        <f>IF(AA1919="","",IFERROR(IF(ISNUMBER('Procyflof 700'!D420),'Procyflof 700'!D420,IF(ISNUMBER(SEARCH("12",'Procyflof 700'!D420)),EDATE(AB1919,12),IF(ISNUMBER(SEARCH("6",'Procyflof 700'!D420)),EDATE(AB1919,6),IF(ISNUMBER(SEARCH("3",'Procyflof 700'!D420)),EDATE(AB1919,3),DATEVALUE('Procyflof 700'!D420))))),""))</f>
        <v/>
      </c>
      <c r="AM1919" t="str">
        <f t="shared" ca="1" si="196"/>
        <v/>
      </c>
    </row>
    <row r="1920" spans="27:39" x14ac:dyDescent="0.3">
      <c r="AA1920" t="str">
        <f>IF(COUNTA('Procyflof 700'!A421,'Procyflof 700'!B421,'Procyflof 700'!C421)&gt;0,"700","")</f>
        <v/>
      </c>
      <c r="AB1920" t="str">
        <f>IFERROR(IF(ISNUMBER('Procyflof 700'!A421),'Procyflof 700'!A421,DATEVALUE('Procyflof 700'!A421)),"")</f>
        <v/>
      </c>
      <c r="AC1920" t="str">
        <f>IF(AA1920="","",'Procyflof 700'!B421)</f>
        <v/>
      </c>
      <c r="AD1920" t="str">
        <f>IF(AA1920="","",IFERROR(1*'Procyflof 700'!C421,IFERROR(_xludf.NUMBERVALUE('Procyflof 700'!C421,".",","),IFERROR(_xludf.NUMBERVALUE('Procyflof 700'!C421,",","."),0))))</f>
        <v/>
      </c>
      <c r="AE1920" t="str">
        <f>IF(AA1920="","",'Procyflof 700'!N421)</f>
        <v/>
      </c>
      <c r="AF1920">
        <f t="shared" si="191"/>
        <v>0</v>
      </c>
      <c r="AG1920" t="str">
        <f t="shared" si="192"/>
        <v/>
      </c>
      <c r="AH1920" t="str">
        <f t="shared" si="193"/>
        <v/>
      </c>
      <c r="AI1920">
        <f t="shared" si="194"/>
        <v>0</v>
      </c>
      <c r="AJ1920">
        <f t="shared" si="195"/>
        <v>0</v>
      </c>
      <c r="AK1920">
        <v>0</v>
      </c>
      <c r="AL1920" t="str">
        <f>IF(AA1920="","",IFERROR(IF(ISNUMBER('Procyflof 700'!D421),'Procyflof 700'!D421,IF(ISNUMBER(SEARCH("12",'Procyflof 700'!D421)),EDATE(AB1920,12),IF(ISNUMBER(SEARCH("6",'Procyflof 700'!D421)),EDATE(AB1920,6),IF(ISNUMBER(SEARCH("3",'Procyflof 700'!D421)),EDATE(AB1920,3),DATEVALUE('Procyflof 700'!D421))))),""))</f>
        <v/>
      </c>
      <c r="AM1920" t="str">
        <f t="shared" ca="1" si="196"/>
        <v/>
      </c>
    </row>
    <row r="1921" spans="27:39" x14ac:dyDescent="0.3">
      <c r="AA1921" t="str">
        <f>IF(COUNTA('Procyflof 700'!A422,'Procyflof 700'!B422,'Procyflof 700'!C422)&gt;0,"700","")</f>
        <v/>
      </c>
      <c r="AB1921" t="str">
        <f>IFERROR(IF(ISNUMBER('Procyflof 700'!A422),'Procyflof 700'!A422,DATEVALUE('Procyflof 700'!A422)),"")</f>
        <v/>
      </c>
      <c r="AC1921" t="str">
        <f>IF(AA1921="","",'Procyflof 700'!B422)</f>
        <v/>
      </c>
      <c r="AD1921" t="str">
        <f>IF(AA1921="","",IFERROR(1*'Procyflof 700'!C422,IFERROR(_xludf.NUMBERVALUE('Procyflof 700'!C422,".",","),IFERROR(_xludf.NUMBERVALUE('Procyflof 700'!C422,",","."),0))))</f>
        <v/>
      </c>
      <c r="AE1921" t="str">
        <f>IF(AA1921="","",'Procyflof 700'!N422)</f>
        <v/>
      </c>
      <c r="AF1921">
        <f t="shared" si="191"/>
        <v>0</v>
      </c>
      <c r="AG1921" t="str">
        <f t="shared" si="192"/>
        <v/>
      </c>
      <c r="AH1921" t="str">
        <f t="shared" si="193"/>
        <v/>
      </c>
      <c r="AI1921">
        <f t="shared" si="194"/>
        <v>0</v>
      </c>
      <c r="AJ1921">
        <f t="shared" si="195"/>
        <v>0</v>
      </c>
      <c r="AK1921">
        <v>0</v>
      </c>
      <c r="AL1921" t="str">
        <f>IF(AA1921="","",IFERROR(IF(ISNUMBER('Procyflof 700'!D422),'Procyflof 700'!D422,IF(ISNUMBER(SEARCH("12",'Procyflof 700'!D422)),EDATE(AB1921,12),IF(ISNUMBER(SEARCH("6",'Procyflof 700'!D422)),EDATE(AB1921,6),IF(ISNUMBER(SEARCH("3",'Procyflof 700'!D422)),EDATE(AB1921,3),DATEVALUE('Procyflof 700'!D422))))),""))</f>
        <v/>
      </c>
      <c r="AM1921" t="str">
        <f t="shared" ca="1" si="196"/>
        <v/>
      </c>
    </row>
    <row r="1922" spans="27:39" x14ac:dyDescent="0.3">
      <c r="AA1922" t="str">
        <f>IF(COUNTA('Procyflof 700'!A423,'Procyflof 700'!B423,'Procyflof 700'!C423)&gt;0,"700","")</f>
        <v/>
      </c>
      <c r="AB1922" t="str">
        <f>IFERROR(IF(ISNUMBER('Procyflof 700'!A423),'Procyflof 700'!A423,DATEVALUE('Procyflof 700'!A423)),"")</f>
        <v/>
      </c>
      <c r="AC1922" t="str">
        <f>IF(AA1922="","",'Procyflof 700'!B423)</f>
        <v/>
      </c>
      <c r="AD1922" t="str">
        <f>IF(AA1922="","",IFERROR(1*'Procyflof 700'!C423,IFERROR(_xludf.NUMBERVALUE('Procyflof 700'!C423,".",","),IFERROR(_xludf.NUMBERVALUE('Procyflof 700'!C423,",","."),0))))</f>
        <v/>
      </c>
      <c r="AE1922" t="str">
        <f>IF(AA1922="","",'Procyflof 700'!N423)</f>
        <v/>
      </c>
      <c r="AF1922">
        <f t="shared" ref="AF1922:AF1985" si="197">IF(AA1922="",0,--AND(ISNUMBER(SEARCH("aprov",AE1922)),NOT(ISNUMBER(SEARCH("reprov",AE1922)))))</f>
        <v>0</v>
      </c>
      <c r="AG1922" t="str">
        <f t="shared" ref="AG1922:AG1985" si="198">IF(AB1922="","",YEAR(AB1922))</f>
        <v/>
      </c>
      <c r="AH1922" t="str">
        <f t="shared" ref="AH1922:AH1985" si="199">IF(AB1922="","",MONTH(AB1922))</f>
        <v/>
      </c>
      <c r="AI1922">
        <f t="shared" ref="AI1922:AI1985" si="200">IF(AB1922="",0,AB1922+ROW()/1000000)</f>
        <v>0</v>
      </c>
      <c r="AJ1922">
        <f t="shared" ref="AJ1922:AJ1985" si="201">--(AA1922&lt;&gt;"")</f>
        <v>0</v>
      </c>
      <c r="AK1922">
        <v>0</v>
      </c>
      <c r="AL1922" t="str">
        <f>IF(AA1922="","",IFERROR(IF(ISNUMBER('Procyflof 700'!D423),'Procyflof 700'!D423,IF(ISNUMBER(SEARCH("12",'Procyflof 700'!D423)),EDATE(AB1922,12),IF(ISNUMBER(SEARCH("6",'Procyflof 700'!D423)),EDATE(AB1922,6),IF(ISNUMBER(SEARCH("3",'Procyflof 700'!D423)),EDATE(AB1922,3),DATEVALUE('Procyflof 700'!D423))))),""))</f>
        <v/>
      </c>
      <c r="AM1922" t="str">
        <f t="shared" ref="AM1922:AM1985" ca="1" si="202">IF(AND(AJ1922=1,AL1922&lt;&gt;"",AL1922&gt;=TODAY(),AG1922=$W$3),AL1922+ROW()/1000000,"")</f>
        <v/>
      </c>
    </row>
    <row r="1923" spans="27:39" x14ac:dyDescent="0.3">
      <c r="AA1923" t="str">
        <f>IF(COUNTA('Procyflof 700'!A424,'Procyflof 700'!B424,'Procyflof 700'!C424)&gt;0,"700","")</f>
        <v/>
      </c>
      <c r="AB1923" t="str">
        <f>IFERROR(IF(ISNUMBER('Procyflof 700'!A424),'Procyflof 700'!A424,DATEVALUE('Procyflof 700'!A424)),"")</f>
        <v/>
      </c>
      <c r="AC1923" t="str">
        <f>IF(AA1923="","",'Procyflof 700'!B424)</f>
        <v/>
      </c>
      <c r="AD1923" t="str">
        <f>IF(AA1923="","",IFERROR(1*'Procyflof 700'!C424,IFERROR(_xludf.NUMBERVALUE('Procyflof 700'!C424,".",","),IFERROR(_xludf.NUMBERVALUE('Procyflof 700'!C424,",","."),0))))</f>
        <v/>
      </c>
      <c r="AE1923" t="str">
        <f>IF(AA1923="","",'Procyflof 700'!N424)</f>
        <v/>
      </c>
      <c r="AF1923">
        <f t="shared" si="197"/>
        <v>0</v>
      </c>
      <c r="AG1923" t="str">
        <f t="shared" si="198"/>
        <v/>
      </c>
      <c r="AH1923" t="str">
        <f t="shared" si="199"/>
        <v/>
      </c>
      <c r="AI1923">
        <f t="shared" si="200"/>
        <v>0</v>
      </c>
      <c r="AJ1923">
        <f t="shared" si="201"/>
        <v>0</v>
      </c>
      <c r="AK1923">
        <v>0</v>
      </c>
      <c r="AL1923" t="str">
        <f>IF(AA1923="","",IFERROR(IF(ISNUMBER('Procyflof 700'!D424),'Procyflof 700'!D424,IF(ISNUMBER(SEARCH("12",'Procyflof 700'!D424)),EDATE(AB1923,12),IF(ISNUMBER(SEARCH("6",'Procyflof 700'!D424)),EDATE(AB1923,6),IF(ISNUMBER(SEARCH("3",'Procyflof 700'!D424)),EDATE(AB1923,3),DATEVALUE('Procyflof 700'!D424))))),""))</f>
        <v/>
      </c>
      <c r="AM1923" t="str">
        <f t="shared" ca="1" si="202"/>
        <v/>
      </c>
    </row>
    <row r="1924" spans="27:39" x14ac:dyDescent="0.3">
      <c r="AA1924" t="str">
        <f>IF(COUNTA('Procyflof 700'!A425,'Procyflof 700'!B425,'Procyflof 700'!C425)&gt;0,"700","")</f>
        <v/>
      </c>
      <c r="AB1924" t="str">
        <f>IFERROR(IF(ISNUMBER('Procyflof 700'!A425),'Procyflof 700'!A425,DATEVALUE('Procyflof 700'!A425)),"")</f>
        <v/>
      </c>
      <c r="AC1924" t="str">
        <f>IF(AA1924="","",'Procyflof 700'!B425)</f>
        <v/>
      </c>
      <c r="AD1924" t="str">
        <f>IF(AA1924="","",IFERROR(1*'Procyflof 700'!C425,IFERROR(_xludf.NUMBERVALUE('Procyflof 700'!C425,".",","),IFERROR(_xludf.NUMBERVALUE('Procyflof 700'!C425,",","."),0))))</f>
        <v/>
      </c>
      <c r="AE1924" t="str">
        <f>IF(AA1924="","",'Procyflof 700'!N425)</f>
        <v/>
      </c>
      <c r="AF1924">
        <f t="shared" si="197"/>
        <v>0</v>
      </c>
      <c r="AG1924" t="str">
        <f t="shared" si="198"/>
        <v/>
      </c>
      <c r="AH1924" t="str">
        <f t="shared" si="199"/>
        <v/>
      </c>
      <c r="AI1924">
        <f t="shared" si="200"/>
        <v>0</v>
      </c>
      <c r="AJ1924">
        <f t="shared" si="201"/>
        <v>0</v>
      </c>
      <c r="AK1924">
        <v>0</v>
      </c>
      <c r="AL1924" t="str">
        <f>IF(AA1924="","",IFERROR(IF(ISNUMBER('Procyflof 700'!D425),'Procyflof 700'!D425,IF(ISNUMBER(SEARCH("12",'Procyflof 700'!D425)),EDATE(AB1924,12),IF(ISNUMBER(SEARCH("6",'Procyflof 700'!D425)),EDATE(AB1924,6),IF(ISNUMBER(SEARCH("3",'Procyflof 700'!D425)),EDATE(AB1924,3),DATEVALUE('Procyflof 700'!D425))))),""))</f>
        <v/>
      </c>
      <c r="AM1924" t="str">
        <f t="shared" ca="1" si="202"/>
        <v/>
      </c>
    </row>
    <row r="1925" spans="27:39" x14ac:dyDescent="0.3">
      <c r="AA1925" t="str">
        <f>IF(COUNTA('Procyflof 700'!A426,'Procyflof 700'!B426,'Procyflof 700'!C426)&gt;0,"700","")</f>
        <v/>
      </c>
      <c r="AB1925" t="str">
        <f>IFERROR(IF(ISNUMBER('Procyflof 700'!A426),'Procyflof 700'!A426,DATEVALUE('Procyflof 700'!A426)),"")</f>
        <v/>
      </c>
      <c r="AC1925" t="str">
        <f>IF(AA1925="","",'Procyflof 700'!B426)</f>
        <v/>
      </c>
      <c r="AD1925" t="str">
        <f>IF(AA1925="","",IFERROR(1*'Procyflof 700'!C426,IFERROR(_xludf.NUMBERVALUE('Procyflof 700'!C426,".",","),IFERROR(_xludf.NUMBERVALUE('Procyflof 700'!C426,",","."),0))))</f>
        <v/>
      </c>
      <c r="AE1925" t="str">
        <f>IF(AA1925="","",'Procyflof 700'!N426)</f>
        <v/>
      </c>
      <c r="AF1925">
        <f t="shared" si="197"/>
        <v>0</v>
      </c>
      <c r="AG1925" t="str">
        <f t="shared" si="198"/>
        <v/>
      </c>
      <c r="AH1925" t="str">
        <f t="shared" si="199"/>
        <v/>
      </c>
      <c r="AI1925">
        <f t="shared" si="200"/>
        <v>0</v>
      </c>
      <c r="AJ1925">
        <f t="shared" si="201"/>
        <v>0</v>
      </c>
      <c r="AK1925">
        <v>0</v>
      </c>
      <c r="AL1925" t="str">
        <f>IF(AA1925="","",IFERROR(IF(ISNUMBER('Procyflof 700'!D426),'Procyflof 700'!D426,IF(ISNUMBER(SEARCH("12",'Procyflof 700'!D426)),EDATE(AB1925,12),IF(ISNUMBER(SEARCH("6",'Procyflof 700'!D426)),EDATE(AB1925,6),IF(ISNUMBER(SEARCH("3",'Procyflof 700'!D426)),EDATE(AB1925,3),DATEVALUE('Procyflof 700'!D426))))),""))</f>
        <v/>
      </c>
      <c r="AM1925" t="str">
        <f t="shared" ca="1" si="202"/>
        <v/>
      </c>
    </row>
    <row r="1926" spans="27:39" x14ac:dyDescent="0.3">
      <c r="AA1926" t="str">
        <f>IF(COUNTA('Procyflof 700'!A427,'Procyflof 700'!B427,'Procyflof 700'!C427)&gt;0,"700","")</f>
        <v/>
      </c>
      <c r="AB1926" t="str">
        <f>IFERROR(IF(ISNUMBER('Procyflof 700'!A427),'Procyflof 700'!A427,DATEVALUE('Procyflof 700'!A427)),"")</f>
        <v/>
      </c>
      <c r="AC1926" t="str">
        <f>IF(AA1926="","",'Procyflof 700'!B427)</f>
        <v/>
      </c>
      <c r="AD1926" t="str">
        <f>IF(AA1926="","",IFERROR(1*'Procyflof 700'!C427,IFERROR(_xludf.NUMBERVALUE('Procyflof 700'!C427,".",","),IFERROR(_xludf.NUMBERVALUE('Procyflof 700'!C427,",","."),0))))</f>
        <v/>
      </c>
      <c r="AE1926" t="str">
        <f>IF(AA1926="","",'Procyflof 700'!N427)</f>
        <v/>
      </c>
      <c r="AF1926">
        <f t="shared" si="197"/>
        <v>0</v>
      </c>
      <c r="AG1926" t="str">
        <f t="shared" si="198"/>
        <v/>
      </c>
      <c r="AH1926" t="str">
        <f t="shared" si="199"/>
        <v/>
      </c>
      <c r="AI1926">
        <f t="shared" si="200"/>
        <v>0</v>
      </c>
      <c r="AJ1926">
        <f t="shared" si="201"/>
        <v>0</v>
      </c>
      <c r="AK1926">
        <v>0</v>
      </c>
      <c r="AL1926" t="str">
        <f>IF(AA1926="","",IFERROR(IF(ISNUMBER('Procyflof 700'!D427),'Procyflof 700'!D427,IF(ISNUMBER(SEARCH("12",'Procyflof 700'!D427)),EDATE(AB1926,12),IF(ISNUMBER(SEARCH("6",'Procyflof 700'!D427)),EDATE(AB1926,6),IF(ISNUMBER(SEARCH("3",'Procyflof 700'!D427)),EDATE(AB1926,3),DATEVALUE('Procyflof 700'!D427))))),""))</f>
        <v/>
      </c>
      <c r="AM1926" t="str">
        <f t="shared" ca="1" si="202"/>
        <v/>
      </c>
    </row>
    <row r="1927" spans="27:39" x14ac:dyDescent="0.3">
      <c r="AA1927" t="str">
        <f>IF(COUNTA('Procyflof 700'!A428,'Procyflof 700'!B428,'Procyflof 700'!C428)&gt;0,"700","")</f>
        <v/>
      </c>
      <c r="AB1927" t="str">
        <f>IFERROR(IF(ISNUMBER('Procyflof 700'!A428),'Procyflof 700'!A428,DATEVALUE('Procyflof 700'!A428)),"")</f>
        <v/>
      </c>
      <c r="AC1927" t="str">
        <f>IF(AA1927="","",'Procyflof 700'!B428)</f>
        <v/>
      </c>
      <c r="AD1927" t="str">
        <f>IF(AA1927="","",IFERROR(1*'Procyflof 700'!C428,IFERROR(_xludf.NUMBERVALUE('Procyflof 700'!C428,".",","),IFERROR(_xludf.NUMBERVALUE('Procyflof 700'!C428,",","."),0))))</f>
        <v/>
      </c>
      <c r="AE1927" t="str">
        <f>IF(AA1927="","",'Procyflof 700'!N428)</f>
        <v/>
      </c>
      <c r="AF1927">
        <f t="shared" si="197"/>
        <v>0</v>
      </c>
      <c r="AG1927" t="str">
        <f t="shared" si="198"/>
        <v/>
      </c>
      <c r="AH1927" t="str">
        <f t="shared" si="199"/>
        <v/>
      </c>
      <c r="AI1927">
        <f t="shared" si="200"/>
        <v>0</v>
      </c>
      <c r="AJ1927">
        <f t="shared" si="201"/>
        <v>0</v>
      </c>
      <c r="AK1927">
        <v>0</v>
      </c>
      <c r="AL1927" t="str">
        <f>IF(AA1927="","",IFERROR(IF(ISNUMBER('Procyflof 700'!D428),'Procyflof 700'!D428,IF(ISNUMBER(SEARCH("12",'Procyflof 700'!D428)),EDATE(AB1927,12),IF(ISNUMBER(SEARCH("6",'Procyflof 700'!D428)),EDATE(AB1927,6),IF(ISNUMBER(SEARCH("3",'Procyflof 700'!D428)),EDATE(AB1927,3),DATEVALUE('Procyflof 700'!D428))))),""))</f>
        <v/>
      </c>
      <c r="AM1927" t="str">
        <f t="shared" ca="1" si="202"/>
        <v/>
      </c>
    </row>
    <row r="1928" spans="27:39" x14ac:dyDescent="0.3">
      <c r="AA1928" t="str">
        <f>IF(COUNTA('Procyflof 700'!A429,'Procyflof 700'!B429,'Procyflof 700'!C429)&gt;0,"700","")</f>
        <v/>
      </c>
      <c r="AB1928" t="str">
        <f>IFERROR(IF(ISNUMBER('Procyflof 700'!A429),'Procyflof 700'!A429,DATEVALUE('Procyflof 700'!A429)),"")</f>
        <v/>
      </c>
      <c r="AC1928" t="str">
        <f>IF(AA1928="","",'Procyflof 700'!B429)</f>
        <v/>
      </c>
      <c r="AD1928" t="str">
        <f>IF(AA1928="","",IFERROR(1*'Procyflof 700'!C429,IFERROR(_xludf.NUMBERVALUE('Procyflof 700'!C429,".",","),IFERROR(_xludf.NUMBERVALUE('Procyflof 700'!C429,",","."),0))))</f>
        <v/>
      </c>
      <c r="AE1928" t="str">
        <f>IF(AA1928="","",'Procyflof 700'!N429)</f>
        <v/>
      </c>
      <c r="AF1928">
        <f t="shared" si="197"/>
        <v>0</v>
      </c>
      <c r="AG1928" t="str">
        <f t="shared" si="198"/>
        <v/>
      </c>
      <c r="AH1928" t="str">
        <f t="shared" si="199"/>
        <v/>
      </c>
      <c r="AI1928">
        <f t="shared" si="200"/>
        <v>0</v>
      </c>
      <c r="AJ1928">
        <f t="shared" si="201"/>
        <v>0</v>
      </c>
      <c r="AK1928">
        <v>0</v>
      </c>
      <c r="AL1928" t="str">
        <f>IF(AA1928="","",IFERROR(IF(ISNUMBER('Procyflof 700'!D429),'Procyflof 700'!D429,IF(ISNUMBER(SEARCH("12",'Procyflof 700'!D429)),EDATE(AB1928,12),IF(ISNUMBER(SEARCH("6",'Procyflof 700'!D429)),EDATE(AB1928,6),IF(ISNUMBER(SEARCH("3",'Procyflof 700'!D429)),EDATE(AB1928,3),DATEVALUE('Procyflof 700'!D429))))),""))</f>
        <v/>
      </c>
      <c r="AM1928" t="str">
        <f t="shared" ca="1" si="202"/>
        <v/>
      </c>
    </row>
    <row r="1929" spans="27:39" x14ac:dyDescent="0.3">
      <c r="AA1929" t="str">
        <f>IF(COUNTA('Procyflof 700'!A430,'Procyflof 700'!B430,'Procyflof 700'!C430)&gt;0,"700","")</f>
        <v/>
      </c>
      <c r="AB1929" t="str">
        <f>IFERROR(IF(ISNUMBER('Procyflof 700'!A430),'Procyflof 700'!A430,DATEVALUE('Procyflof 700'!A430)),"")</f>
        <v/>
      </c>
      <c r="AC1929" t="str">
        <f>IF(AA1929="","",'Procyflof 700'!B430)</f>
        <v/>
      </c>
      <c r="AD1929" t="str">
        <f>IF(AA1929="","",IFERROR(1*'Procyflof 700'!C430,IFERROR(_xludf.NUMBERVALUE('Procyflof 700'!C430,".",","),IFERROR(_xludf.NUMBERVALUE('Procyflof 700'!C430,",","."),0))))</f>
        <v/>
      </c>
      <c r="AE1929" t="str">
        <f>IF(AA1929="","",'Procyflof 700'!N430)</f>
        <v/>
      </c>
      <c r="AF1929">
        <f t="shared" si="197"/>
        <v>0</v>
      </c>
      <c r="AG1929" t="str">
        <f t="shared" si="198"/>
        <v/>
      </c>
      <c r="AH1929" t="str">
        <f t="shared" si="199"/>
        <v/>
      </c>
      <c r="AI1929">
        <f t="shared" si="200"/>
        <v>0</v>
      </c>
      <c r="AJ1929">
        <f t="shared" si="201"/>
        <v>0</v>
      </c>
      <c r="AK1929">
        <v>0</v>
      </c>
      <c r="AL1929" t="str">
        <f>IF(AA1929="","",IFERROR(IF(ISNUMBER('Procyflof 700'!D430),'Procyflof 700'!D430,IF(ISNUMBER(SEARCH("12",'Procyflof 700'!D430)),EDATE(AB1929,12),IF(ISNUMBER(SEARCH("6",'Procyflof 700'!D430)),EDATE(AB1929,6),IF(ISNUMBER(SEARCH("3",'Procyflof 700'!D430)),EDATE(AB1929,3),DATEVALUE('Procyflof 700'!D430))))),""))</f>
        <v/>
      </c>
      <c r="AM1929" t="str">
        <f t="shared" ca="1" si="202"/>
        <v/>
      </c>
    </row>
    <row r="1930" spans="27:39" x14ac:dyDescent="0.3">
      <c r="AA1930" t="str">
        <f>IF(COUNTA('Procyflof 700'!A431,'Procyflof 700'!B431,'Procyflof 700'!C431)&gt;0,"700","")</f>
        <v/>
      </c>
      <c r="AB1930" t="str">
        <f>IFERROR(IF(ISNUMBER('Procyflof 700'!A431),'Procyflof 700'!A431,DATEVALUE('Procyflof 700'!A431)),"")</f>
        <v/>
      </c>
      <c r="AC1930" t="str">
        <f>IF(AA1930="","",'Procyflof 700'!B431)</f>
        <v/>
      </c>
      <c r="AD1930" t="str">
        <f>IF(AA1930="","",IFERROR(1*'Procyflof 700'!C431,IFERROR(_xludf.NUMBERVALUE('Procyflof 700'!C431,".",","),IFERROR(_xludf.NUMBERVALUE('Procyflof 700'!C431,",","."),0))))</f>
        <v/>
      </c>
      <c r="AE1930" t="str">
        <f>IF(AA1930="","",'Procyflof 700'!N431)</f>
        <v/>
      </c>
      <c r="AF1930">
        <f t="shared" si="197"/>
        <v>0</v>
      </c>
      <c r="AG1930" t="str">
        <f t="shared" si="198"/>
        <v/>
      </c>
      <c r="AH1930" t="str">
        <f t="shared" si="199"/>
        <v/>
      </c>
      <c r="AI1930">
        <f t="shared" si="200"/>
        <v>0</v>
      </c>
      <c r="AJ1930">
        <f t="shared" si="201"/>
        <v>0</v>
      </c>
      <c r="AK1930">
        <v>0</v>
      </c>
      <c r="AL1930" t="str">
        <f>IF(AA1930="","",IFERROR(IF(ISNUMBER('Procyflof 700'!D431),'Procyflof 700'!D431,IF(ISNUMBER(SEARCH("12",'Procyflof 700'!D431)),EDATE(AB1930,12),IF(ISNUMBER(SEARCH("6",'Procyflof 700'!D431)),EDATE(AB1930,6),IF(ISNUMBER(SEARCH("3",'Procyflof 700'!D431)),EDATE(AB1930,3),DATEVALUE('Procyflof 700'!D431))))),""))</f>
        <v/>
      </c>
      <c r="AM1930" t="str">
        <f t="shared" ca="1" si="202"/>
        <v/>
      </c>
    </row>
    <row r="1931" spans="27:39" x14ac:dyDescent="0.3">
      <c r="AA1931" t="str">
        <f>IF(COUNTA('Procyflof 700'!A432,'Procyflof 700'!B432,'Procyflof 700'!C432)&gt;0,"700","")</f>
        <v/>
      </c>
      <c r="AB1931" t="str">
        <f>IFERROR(IF(ISNUMBER('Procyflof 700'!A432),'Procyflof 700'!A432,DATEVALUE('Procyflof 700'!A432)),"")</f>
        <v/>
      </c>
      <c r="AC1931" t="str">
        <f>IF(AA1931="","",'Procyflof 700'!B432)</f>
        <v/>
      </c>
      <c r="AD1931" t="str">
        <f>IF(AA1931="","",IFERROR(1*'Procyflof 700'!C432,IFERROR(_xludf.NUMBERVALUE('Procyflof 700'!C432,".",","),IFERROR(_xludf.NUMBERVALUE('Procyflof 700'!C432,",","."),0))))</f>
        <v/>
      </c>
      <c r="AE1931" t="str">
        <f>IF(AA1931="","",'Procyflof 700'!N432)</f>
        <v/>
      </c>
      <c r="AF1931">
        <f t="shared" si="197"/>
        <v>0</v>
      </c>
      <c r="AG1931" t="str">
        <f t="shared" si="198"/>
        <v/>
      </c>
      <c r="AH1931" t="str">
        <f t="shared" si="199"/>
        <v/>
      </c>
      <c r="AI1931">
        <f t="shared" si="200"/>
        <v>0</v>
      </c>
      <c r="AJ1931">
        <f t="shared" si="201"/>
        <v>0</v>
      </c>
      <c r="AK1931">
        <v>0</v>
      </c>
      <c r="AL1931" t="str">
        <f>IF(AA1931="","",IFERROR(IF(ISNUMBER('Procyflof 700'!D432),'Procyflof 700'!D432,IF(ISNUMBER(SEARCH("12",'Procyflof 700'!D432)),EDATE(AB1931,12),IF(ISNUMBER(SEARCH("6",'Procyflof 700'!D432)),EDATE(AB1931,6),IF(ISNUMBER(SEARCH("3",'Procyflof 700'!D432)),EDATE(AB1931,3),DATEVALUE('Procyflof 700'!D432))))),""))</f>
        <v/>
      </c>
      <c r="AM1931" t="str">
        <f t="shared" ca="1" si="202"/>
        <v/>
      </c>
    </row>
    <row r="1932" spans="27:39" x14ac:dyDescent="0.3">
      <c r="AA1932" t="str">
        <f>IF(COUNTA('Procyflof 700'!A433,'Procyflof 700'!B433,'Procyflof 700'!C433)&gt;0,"700","")</f>
        <v/>
      </c>
      <c r="AB1932" t="str">
        <f>IFERROR(IF(ISNUMBER('Procyflof 700'!A433),'Procyflof 700'!A433,DATEVALUE('Procyflof 700'!A433)),"")</f>
        <v/>
      </c>
      <c r="AC1932" t="str">
        <f>IF(AA1932="","",'Procyflof 700'!B433)</f>
        <v/>
      </c>
      <c r="AD1932" t="str">
        <f>IF(AA1932="","",IFERROR(1*'Procyflof 700'!C433,IFERROR(_xludf.NUMBERVALUE('Procyflof 700'!C433,".",","),IFERROR(_xludf.NUMBERVALUE('Procyflof 700'!C433,",","."),0))))</f>
        <v/>
      </c>
      <c r="AE1932" t="str">
        <f>IF(AA1932="","",'Procyflof 700'!N433)</f>
        <v/>
      </c>
      <c r="AF1932">
        <f t="shared" si="197"/>
        <v>0</v>
      </c>
      <c r="AG1932" t="str">
        <f t="shared" si="198"/>
        <v/>
      </c>
      <c r="AH1932" t="str">
        <f t="shared" si="199"/>
        <v/>
      </c>
      <c r="AI1932">
        <f t="shared" si="200"/>
        <v>0</v>
      </c>
      <c r="AJ1932">
        <f t="shared" si="201"/>
        <v>0</v>
      </c>
      <c r="AK1932">
        <v>0</v>
      </c>
      <c r="AL1932" t="str">
        <f>IF(AA1932="","",IFERROR(IF(ISNUMBER('Procyflof 700'!D433),'Procyflof 700'!D433,IF(ISNUMBER(SEARCH("12",'Procyflof 700'!D433)),EDATE(AB1932,12),IF(ISNUMBER(SEARCH("6",'Procyflof 700'!D433)),EDATE(AB1932,6),IF(ISNUMBER(SEARCH("3",'Procyflof 700'!D433)),EDATE(AB1932,3),DATEVALUE('Procyflof 700'!D433))))),""))</f>
        <v/>
      </c>
      <c r="AM1932" t="str">
        <f t="shared" ca="1" si="202"/>
        <v/>
      </c>
    </row>
    <row r="1933" spans="27:39" x14ac:dyDescent="0.3">
      <c r="AA1933" t="str">
        <f>IF(COUNTA('Procyflof 700'!A434,'Procyflof 700'!B434,'Procyflof 700'!C434)&gt;0,"700","")</f>
        <v/>
      </c>
      <c r="AB1933" t="str">
        <f>IFERROR(IF(ISNUMBER('Procyflof 700'!A434),'Procyflof 700'!A434,DATEVALUE('Procyflof 700'!A434)),"")</f>
        <v/>
      </c>
      <c r="AC1933" t="str">
        <f>IF(AA1933="","",'Procyflof 700'!B434)</f>
        <v/>
      </c>
      <c r="AD1933" t="str">
        <f>IF(AA1933="","",IFERROR(1*'Procyflof 700'!C434,IFERROR(_xludf.NUMBERVALUE('Procyflof 700'!C434,".",","),IFERROR(_xludf.NUMBERVALUE('Procyflof 700'!C434,",","."),0))))</f>
        <v/>
      </c>
      <c r="AE1933" t="str">
        <f>IF(AA1933="","",'Procyflof 700'!N434)</f>
        <v/>
      </c>
      <c r="AF1933">
        <f t="shared" si="197"/>
        <v>0</v>
      </c>
      <c r="AG1933" t="str">
        <f t="shared" si="198"/>
        <v/>
      </c>
      <c r="AH1933" t="str">
        <f t="shared" si="199"/>
        <v/>
      </c>
      <c r="AI1933">
        <f t="shared" si="200"/>
        <v>0</v>
      </c>
      <c r="AJ1933">
        <f t="shared" si="201"/>
        <v>0</v>
      </c>
      <c r="AK1933">
        <v>0</v>
      </c>
      <c r="AL1933" t="str">
        <f>IF(AA1933="","",IFERROR(IF(ISNUMBER('Procyflof 700'!D434),'Procyflof 700'!D434,IF(ISNUMBER(SEARCH("12",'Procyflof 700'!D434)),EDATE(AB1933,12),IF(ISNUMBER(SEARCH("6",'Procyflof 700'!D434)),EDATE(AB1933,6),IF(ISNUMBER(SEARCH("3",'Procyflof 700'!D434)),EDATE(AB1933,3),DATEVALUE('Procyflof 700'!D434))))),""))</f>
        <v/>
      </c>
      <c r="AM1933" t="str">
        <f t="shared" ca="1" si="202"/>
        <v/>
      </c>
    </row>
    <row r="1934" spans="27:39" x14ac:dyDescent="0.3">
      <c r="AA1934" t="str">
        <f>IF(COUNTA('Procyflof 700'!A435,'Procyflof 700'!B435,'Procyflof 700'!C435)&gt;0,"700","")</f>
        <v/>
      </c>
      <c r="AB1934" t="str">
        <f>IFERROR(IF(ISNUMBER('Procyflof 700'!A435),'Procyflof 700'!A435,DATEVALUE('Procyflof 700'!A435)),"")</f>
        <v/>
      </c>
      <c r="AC1934" t="str">
        <f>IF(AA1934="","",'Procyflof 700'!B435)</f>
        <v/>
      </c>
      <c r="AD1934" t="str">
        <f>IF(AA1934="","",IFERROR(1*'Procyflof 700'!C435,IFERROR(_xludf.NUMBERVALUE('Procyflof 700'!C435,".",","),IFERROR(_xludf.NUMBERVALUE('Procyflof 700'!C435,",","."),0))))</f>
        <v/>
      </c>
      <c r="AE1934" t="str">
        <f>IF(AA1934="","",'Procyflof 700'!N435)</f>
        <v/>
      </c>
      <c r="AF1934">
        <f t="shared" si="197"/>
        <v>0</v>
      </c>
      <c r="AG1934" t="str">
        <f t="shared" si="198"/>
        <v/>
      </c>
      <c r="AH1934" t="str">
        <f t="shared" si="199"/>
        <v/>
      </c>
      <c r="AI1934">
        <f t="shared" si="200"/>
        <v>0</v>
      </c>
      <c r="AJ1934">
        <f t="shared" si="201"/>
        <v>0</v>
      </c>
      <c r="AK1934">
        <v>0</v>
      </c>
      <c r="AL1934" t="str">
        <f>IF(AA1934="","",IFERROR(IF(ISNUMBER('Procyflof 700'!D435),'Procyflof 700'!D435,IF(ISNUMBER(SEARCH("12",'Procyflof 700'!D435)),EDATE(AB1934,12),IF(ISNUMBER(SEARCH("6",'Procyflof 700'!D435)),EDATE(AB1934,6),IF(ISNUMBER(SEARCH("3",'Procyflof 700'!D435)),EDATE(AB1934,3),DATEVALUE('Procyflof 700'!D435))))),""))</f>
        <v/>
      </c>
      <c r="AM1934" t="str">
        <f t="shared" ca="1" si="202"/>
        <v/>
      </c>
    </row>
    <row r="1935" spans="27:39" x14ac:dyDescent="0.3">
      <c r="AA1935" t="str">
        <f>IF(COUNTA('Procyflof 700'!A436,'Procyflof 700'!B436,'Procyflof 700'!C436)&gt;0,"700","")</f>
        <v/>
      </c>
      <c r="AB1935" t="str">
        <f>IFERROR(IF(ISNUMBER('Procyflof 700'!A436),'Procyflof 700'!A436,DATEVALUE('Procyflof 700'!A436)),"")</f>
        <v/>
      </c>
      <c r="AC1935" t="str">
        <f>IF(AA1935="","",'Procyflof 700'!B436)</f>
        <v/>
      </c>
      <c r="AD1935" t="str">
        <f>IF(AA1935="","",IFERROR(1*'Procyflof 700'!C436,IFERROR(_xludf.NUMBERVALUE('Procyflof 700'!C436,".",","),IFERROR(_xludf.NUMBERVALUE('Procyflof 700'!C436,",","."),0))))</f>
        <v/>
      </c>
      <c r="AE1935" t="str">
        <f>IF(AA1935="","",'Procyflof 700'!N436)</f>
        <v/>
      </c>
      <c r="AF1935">
        <f t="shared" si="197"/>
        <v>0</v>
      </c>
      <c r="AG1935" t="str">
        <f t="shared" si="198"/>
        <v/>
      </c>
      <c r="AH1935" t="str">
        <f t="shared" si="199"/>
        <v/>
      </c>
      <c r="AI1935">
        <f t="shared" si="200"/>
        <v>0</v>
      </c>
      <c r="AJ1935">
        <f t="shared" si="201"/>
        <v>0</v>
      </c>
      <c r="AK1935">
        <v>0</v>
      </c>
      <c r="AL1935" t="str">
        <f>IF(AA1935="","",IFERROR(IF(ISNUMBER('Procyflof 700'!D436),'Procyflof 700'!D436,IF(ISNUMBER(SEARCH("12",'Procyflof 700'!D436)),EDATE(AB1935,12),IF(ISNUMBER(SEARCH("6",'Procyflof 700'!D436)),EDATE(AB1935,6),IF(ISNUMBER(SEARCH("3",'Procyflof 700'!D436)),EDATE(AB1935,3),DATEVALUE('Procyflof 700'!D436))))),""))</f>
        <v/>
      </c>
      <c r="AM1935" t="str">
        <f t="shared" ca="1" si="202"/>
        <v/>
      </c>
    </row>
    <row r="1936" spans="27:39" x14ac:dyDescent="0.3">
      <c r="AA1936" t="str">
        <f>IF(COUNTA('Procyflof 700'!A437,'Procyflof 700'!B437,'Procyflof 700'!C437)&gt;0,"700","")</f>
        <v/>
      </c>
      <c r="AB1936" t="str">
        <f>IFERROR(IF(ISNUMBER('Procyflof 700'!A437),'Procyflof 700'!A437,DATEVALUE('Procyflof 700'!A437)),"")</f>
        <v/>
      </c>
      <c r="AC1936" t="str">
        <f>IF(AA1936="","",'Procyflof 700'!B437)</f>
        <v/>
      </c>
      <c r="AD1936" t="str">
        <f>IF(AA1936="","",IFERROR(1*'Procyflof 700'!C437,IFERROR(_xludf.NUMBERVALUE('Procyflof 700'!C437,".",","),IFERROR(_xludf.NUMBERVALUE('Procyflof 700'!C437,",","."),0))))</f>
        <v/>
      </c>
      <c r="AE1936" t="str">
        <f>IF(AA1936="","",'Procyflof 700'!N437)</f>
        <v/>
      </c>
      <c r="AF1936">
        <f t="shared" si="197"/>
        <v>0</v>
      </c>
      <c r="AG1936" t="str">
        <f t="shared" si="198"/>
        <v/>
      </c>
      <c r="AH1936" t="str">
        <f t="shared" si="199"/>
        <v/>
      </c>
      <c r="AI1936">
        <f t="shared" si="200"/>
        <v>0</v>
      </c>
      <c r="AJ1936">
        <f t="shared" si="201"/>
        <v>0</v>
      </c>
      <c r="AK1936">
        <v>0</v>
      </c>
      <c r="AL1936" t="str">
        <f>IF(AA1936="","",IFERROR(IF(ISNUMBER('Procyflof 700'!D437),'Procyflof 700'!D437,IF(ISNUMBER(SEARCH("12",'Procyflof 700'!D437)),EDATE(AB1936,12),IF(ISNUMBER(SEARCH("6",'Procyflof 700'!D437)),EDATE(AB1936,6),IF(ISNUMBER(SEARCH("3",'Procyflof 700'!D437)),EDATE(AB1936,3),DATEVALUE('Procyflof 700'!D437))))),""))</f>
        <v/>
      </c>
      <c r="AM1936" t="str">
        <f t="shared" ca="1" si="202"/>
        <v/>
      </c>
    </row>
    <row r="1937" spans="27:39" x14ac:dyDescent="0.3">
      <c r="AA1937" t="str">
        <f>IF(COUNTA('Procyflof 700'!A438,'Procyflof 700'!B438,'Procyflof 700'!C438)&gt;0,"700","")</f>
        <v/>
      </c>
      <c r="AB1937" t="str">
        <f>IFERROR(IF(ISNUMBER('Procyflof 700'!A438),'Procyflof 700'!A438,DATEVALUE('Procyflof 700'!A438)),"")</f>
        <v/>
      </c>
      <c r="AC1937" t="str">
        <f>IF(AA1937="","",'Procyflof 700'!B438)</f>
        <v/>
      </c>
      <c r="AD1937" t="str">
        <f>IF(AA1937="","",IFERROR(1*'Procyflof 700'!C438,IFERROR(_xludf.NUMBERVALUE('Procyflof 700'!C438,".",","),IFERROR(_xludf.NUMBERVALUE('Procyflof 700'!C438,",","."),0))))</f>
        <v/>
      </c>
      <c r="AE1937" t="str">
        <f>IF(AA1937="","",'Procyflof 700'!N438)</f>
        <v/>
      </c>
      <c r="AF1937">
        <f t="shared" si="197"/>
        <v>0</v>
      </c>
      <c r="AG1937" t="str">
        <f t="shared" si="198"/>
        <v/>
      </c>
      <c r="AH1937" t="str">
        <f t="shared" si="199"/>
        <v/>
      </c>
      <c r="AI1937">
        <f t="shared" si="200"/>
        <v>0</v>
      </c>
      <c r="AJ1937">
        <f t="shared" si="201"/>
        <v>0</v>
      </c>
      <c r="AK1937">
        <v>0</v>
      </c>
      <c r="AL1937" t="str">
        <f>IF(AA1937="","",IFERROR(IF(ISNUMBER('Procyflof 700'!D438),'Procyflof 700'!D438,IF(ISNUMBER(SEARCH("12",'Procyflof 700'!D438)),EDATE(AB1937,12),IF(ISNUMBER(SEARCH("6",'Procyflof 700'!D438)),EDATE(AB1937,6),IF(ISNUMBER(SEARCH("3",'Procyflof 700'!D438)),EDATE(AB1937,3),DATEVALUE('Procyflof 700'!D438))))),""))</f>
        <v/>
      </c>
      <c r="AM1937" t="str">
        <f t="shared" ca="1" si="202"/>
        <v/>
      </c>
    </row>
    <row r="1938" spans="27:39" x14ac:dyDescent="0.3">
      <c r="AA1938" t="str">
        <f>IF(COUNTA('Procyflof 700'!A439,'Procyflof 700'!B439,'Procyflof 700'!C439)&gt;0,"700","")</f>
        <v/>
      </c>
      <c r="AB1938" t="str">
        <f>IFERROR(IF(ISNUMBER('Procyflof 700'!A439),'Procyflof 700'!A439,DATEVALUE('Procyflof 700'!A439)),"")</f>
        <v/>
      </c>
      <c r="AC1938" t="str">
        <f>IF(AA1938="","",'Procyflof 700'!B439)</f>
        <v/>
      </c>
      <c r="AD1938" t="str">
        <f>IF(AA1938="","",IFERROR(1*'Procyflof 700'!C439,IFERROR(_xludf.NUMBERVALUE('Procyflof 700'!C439,".",","),IFERROR(_xludf.NUMBERVALUE('Procyflof 700'!C439,",","."),0))))</f>
        <v/>
      </c>
      <c r="AE1938" t="str">
        <f>IF(AA1938="","",'Procyflof 700'!N439)</f>
        <v/>
      </c>
      <c r="AF1938">
        <f t="shared" si="197"/>
        <v>0</v>
      </c>
      <c r="AG1938" t="str">
        <f t="shared" si="198"/>
        <v/>
      </c>
      <c r="AH1938" t="str">
        <f t="shared" si="199"/>
        <v/>
      </c>
      <c r="AI1938">
        <f t="shared" si="200"/>
        <v>0</v>
      </c>
      <c r="AJ1938">
        <f t="shared" si="201"/>
        <v>0</v>
      </c>
      <c r="AK1938">
        <v>0</v>
      </c>
      <c r="AL1938" t="str">
        <f>IF(AA1938="","",IFERROR(IF(ISNUMBER('Procyflof 700'!D439),'Procyflof 700'!D439,IF(ISNUMBER(SEARCH("12",'Procyflof 700'!D439)),EDATE(AB1938,12),IF(ISNUMBER(SEARCH("6",'Procyflof 700'!D439)),EDATE(AB1938,6),IF(ISNUMBER(SEARCH("3",'Procyflof 700'!D439)),EDATE(AB1938,3),DATEVALUE('Procyflof 700'!D439))))),""))</f>
        <v/>
      </c>
      <c r="AM1938" t="str">
        <f t="shared" ca="1" si="202"/>
        <v/>
      </c>
    </row>
    <row r="1939" spans="27:39" x14ac:dyDescent="0.3">
      <c r="AA1939" t="str">
        <f>IF(COUNTA('Procyflof 700'!A440,'Procyflof 700'!B440,'Procyflof 700'!C440)&gt;0,"700","")</f>
        <v/>
      </c>
      <c r="AB1939" t="str">
        <f>IFERROR(IF(ISNUMBER('Procyflof 700'!A440),'Procyflof 700'!A440,DATEVALUE('Procyflof 700'!A440)),"")</f>
        <v/>
      </c>
      <c r="AC1939" t="str">
        <f>IF(AA1939="","",'Procyflof 700'!B440)</f>
        <v/>
      </c>
      <c r="AD1939" t="str">
        <f>IF(AA1939="","",IFERROR(1*'Procyflof 700'!C440,IFERROR(_xludf.NUMBERVALUE('Procyflof 700'!C440,".",","),IFERROR(_xludf.NUMBERVALUE('Procyflof 700'!C440,",","."),0))))</f>
        <v/>
      </c>
      <c r="AE1939" t="str">
        <f>IF(AA1939="","",'Procyflof 700'!N440)</f>
        <v/>
      </c>
      <c r="AF1939">
        <f t="shared" si="197"/>
        <v>0</v>
      </c>
      <c r="AG1939" t="str">
        <f t="shared" si="198"/>
        <v/>
      </c>
      <c r="AH1939" t="str">
        <f t="shared" si="199"/>
        <v/>
      </c>
      <c r="AI1939">
        <f t="shared" si="200"/>
        <v>0</v>
      </c>
      <c r="AJ1939">
        <f t="shared" si="201"/>
        <v>0</v>
      </c>
      <c r="AK1939">
        <v>0</v>
      </c>
      <c r="AL1939" t="str">
        <f>IF(AA1939="","",IFERROR(IF(ISNUMBER('Procyflof 700'!D440),'Procyflof 700'!D440,IF(ISNUMBER(SEARCH("12",'Procyflof 700'!D440)),EDATE(AB1939,12),IF(ISNUMBER(SEARCH("6",'Procyflof 700'!D440)),EDATE(AB1939,6),IF(ISNUMBER(SEARCH("3",'Procyflof 700'!D440)),EDATE(AB1939,3),DATEVALUE('Procyflof 700'!D440))))),""))</f>
        <v/>
      </c>
      <c r="AM1939" t="str">
        <f t="shared" ca="1" si="202"/>
        <v/>
      </c>
    </row>
    <row r="1940" spans="27:39" x14ac:dyDescent="0.3">
      <c r="AA1940" t="str">
        <f>IF(COUNTA('Procyflof 700'!A441,'Procyflof 700'!B441,'Procyflof 700'!C441)&gt;0,"700","")</f>
        <v/>
      </c>
      <c r="AB1940" t="str">
        <f>IFERROR(IF(ISNUMBER('Procyflof 700'!A441),'Procyflof 700'!A441,DATEVALUE('Procyflof 700'!A441)),"")</f>
        <v/>
      </c>
      <c r="AC1940" t="str">
        <f>IF(AA1940="","",'Procyflof 700'!B441)</f>
        <v/>
      </c>
      <c r="AD1940" t="str">
        <f>IF(AA1940="","",IFERROR(1*'Procyflof 700'!C441,IFERROR(_xludf.NUMBERVALUE('Procyflof 700'!C441,".",","),IFERROR(_xludf.NUMBERVALUE('Procyflof 700'!C441,",","."),0))))</f>
        <v/>
      </c>
      <c r="AE1940" t="str">
        <f>IF(AA1940="","",'Procyflof 700'!N441)</f>
        <v/>
      </c>
      <c r="AF1940">
        <f t="shared" si="197"/>
        <v>0</v>
      </c>
      <c r="AG1940" t="str">
        <f t="shared" si="198"/>
        <v/>
      </c>
      <c r="AH1940" t="str">
        <f t="shared" si="199"/>
        <v/>
      </c>
      <c r="AI1940">
        <f t="shared" si="200"/>
        <v>0</v>
      </c>
      <c r="AJ1940">
        <f t="shared" si="201"/>
        <v>0</v>
      </c>
      <c r="AK1940">
        <v>0</v>
      </c>
      <c r="AL1940" t="str">
        <f>IF(AA1940="","",IFERROR(IF(ISNUMBER('Procyflof 700'!D441),'Procyflof 700'!D441,IF(ISNUMBER(SEARCH("12",'Procyflof 700'!D441)),EDATE(AB1940,12),IF(ISNUMBER(SEARCH("6",'Procyflof 700'!D441)),EDATE(AB1940,6),IF(ISNUMBER(SEARCH("3",'Procyflof 700'!D441)),EDATE(AB1940,3),DATEVALUE('Procyflof 700'!D441))))),""))</f>
        <v/>
      </c>
      <c r="AM1940" t="str">
        <f t="shared" ca="1" si="202"/>
        <v/>
      </c>
    </row>
    <row r="1941" spans="27:39" x14ac:dyDescent="0.3">
      <c r="AA1941" t="str">
        <f>IF(COUNTA('Procyflof 700'!A442,'Procyflof 700'!B442,'Procyflof 700'!C442)&gt;0,"700","")</f>
        <v/>
      </c>
      <c r="AB1941" t="str">
        <f>IFERROR(IF(ISNUMBER('Procyflof 700'!A442),'Procyflof 700'!A442,DATEVALUE('Procyflof 700'!A442)),"")</f>
        <v/>
      </c>
      <c r="AC1941" t="str">
        <f>IF(AA1941="","",'Procyflof 700'!B442)</f>
        <v/>
      </c>
      <c r="AD1941" t="str">
        <f>IF(AA1941="","",IFERROR(1*'Procyflof 700'!C442,IFERROR(_xludf.NUMBERVALUE('Procyflof 700'!C442,".",","),IFERROR(_xludf.NUMBERVALUE('Procyflof 700'!C442,",","."),0))))</f>
        <v/>
      </c>
      <c r="AE1941" t="str">
        <f>IF(AA1941="","",'Procyflof 700'!N442)</f>
        <v/>
      </c>
      <c r="AF1941">
        <f t="shared" si="197"/>
        <v>0</v>
      </c>
      <c r="AG1941" t="str">
        <f t="shared" si="198"/>
        <v/>
      </c>
      <c r="AH1941" t="str">
        <f t="shared" si="199"/>
        <v/>
      </c>
      <c r="AI1941">
        <f t="shared" si="200"/>
        <v>0</v>
      </c>
      <c r="AJ1941">
        <f t="shared" si="201"/>
        <v>0</v>
      </c>
      <c r="AK1941">
        <v>0</v>
      </c>
      <c r="AL1941" t="str">
        <f>IF(AA1941="","",IFERROR(IF(ISNUMBER('Procyflof 700'!D442),'Procyflof 700'!D442,IF(ISNUMBER(SEARCH("12",'Procyflof 700'!D442)),EDATE(AB1941,12),IF(ISNUMBER(SEARCH("6",'Procyflof 700'!D442)),EDATE(AB1941,6),IF(ISNUMBER(SEARCH("3",'Procyflof 700'!D442)),EDATE(AB1941,3),DATEVALUE('Procyflof 700'!D442))))),""))</f>
        <v/>
      </c>
      <c r="AM1941" t="str">
        <f t="shared" ca="1" si="202"/>
        <v/>
      </c>
    </row>
    <row r="1942" spans="27:39" x14ac:dyDescent="0.3">
      <c r="AA1942" t="str">
        <f>IF(COUNTA('Procyflof 700'!A443,'Procyflof 700'!B443,'Procyflof 700'!C443)&gt;0,"700","")</f>
        <v/>
      </c>
      <c r="AB1942" t="str">
        <f>IFERROR(IF(ISNUMBER('Procyflof 700'!A443),'Procyflof 700'!A443,DATEVALUE('Procyflof 700'!A443)),"")</f>
        <v/>
      </c>
      <c r="AC1942" t="str">
        <f>IF(AA1942="","",'Procyflof 700'!B443)</f>
        <v/>
      </c>
      <c r="AD1942" t="str">
        <f>IF(AA1942="","",IFERROR(1*'Procyflof 700'!C443,IFERROR(_xludf.NUMBERVALUE('Procyflof 700'!C443,".",","),IFERROR(_xludf.NUMBERVALUE('Procyflof 700'!C443,",","."),0))))</f>
        <v/>
      </c>
      <c r="AE1942" t="str">
        <f>IF(AA1942="","",'Procyflof 700'!N443)</f>
        <v/>
      </c>
      <c r="AF1942">
        <f t="shared" si="197"/>
        <v>0</v>
      </c>
      <c r="AG1942" t="str">
        <f t="shared" si="198"/>
        <v/>
      </c>
      <c r="AH1942" t="str">
        <f t="shared" si="199"/>
        <v/>
      </c>
      <c r="AI1942">
        <f t="shared" si="200"/>
        <v>0</v>
      </c>
      <c r="AJ1942">
        <f t="shared" si="201"/>
        <v>0</v>
      </c>
      <c r="AK1942">
        <v>0</v>
      </c>
      <c r="AL1942" t="str">
        <f>IF(AA1942="","",IFERROR(IF(ISNUMBER('Procyflof 700'!D443),'Procyflof 700'!D443,IF(ISNUMBER(SEARCH("12",'Procyflof 700'!D443)),EDATE(AB1942,12),IF(ISNUMBER(SEARCH("6",'Procyflof 700'!D443)),EDATE(AB1942,6),IF(ISNUMBER(SEARCH("3",'Procyflof 700'!D443)),EDATE(AB1942,3),DATEVALUE('Procyflof 700'!D443))))),""))</f>
        <v/>
      </c>
      <c r="AM1942" t="str">
        <f t="shared" ca="1" si="202"/>
        <v/>
      </c>
    </row>
    <row r="1943" spans="27:39" x14ac:dyDescent="0.3">
      <c r="AA1943" t="str">
        <f>IF(COUNTA('Procyflof 700'!A444,'Procyflof 700'!B444,'Procyflof 700'!C444)&gt;0,"700","")</f>
        <v/>
      </c>
      <c r="AB1943" t="str">
        <f>IFERROR(IF(ISNUMBER('Procyflof 700'!A444),'Procyflof 700'!A444,DATEVALUE('Procyflof 700'!A444)),"")</f>
        <v/>
      </c>
      <c r="AC1943" t="str">
        <f>IF(AA1943="","",'Procyflof 700'!B444)</f>
        <v/>
      </c>
      <c r="AD1943" t="str">
        <f>IF(AA1943="","",IFERROR(1*'Procyflof 700'!C444,IFERROR(_xludf.NUMBERVALUE('Procyflof 700'!C444,".",","),IFERROR(_xludf.NUMBERVALUE('Procyflof 700'!C444,",","."),0))))</f>
        <v/>
      </c>
      <c r="AE1943" t="str">
        <f>IF(AA1943="","",'Procyflof 700'!N444)</f>
        <v/>
      </c>
      <c r="AF1943">
        <f t="shared" si="197"/>
        <v>0</v>
      </c>
      <c r="AG1943" t="str">
        <f t="shared" si="198"/>
        <v/>
      </c>
      <c r="AH1943" t="str">
        <f t="shared" si="199"/>
        <v/>
      </c>
      <c r="AI1943">
        <f t="shared" si="200"/>
        <v>0</v>
      </c>
      <c r="AJ1943">
        <f t="shared" si="201"/>
        <v>0</v>
      </c>
      <c r="AK1943">
        <v>0</v>
      </c>
      <c r="AL1943" t="str">
        <f>IF(AA1943="","",IFERROR(IF(ISNUMBER('Procyflof 700'!D444),'Procyflof 700'!D444,IF(ISNUMBER(SEARCH("12",'Procyflof 700'!D444)),EDATE(AB1943,12),IF(ISNUMBER(SEARCH("6",'Procyflof 700'!D444)),EDATE(AB1943,6),IF(ISNUMBER(SEARCH("3",'Procyflof 700'!D444)),EDATE(AB1943,3),DATEVALUE('Procyflof 700'!D444))))),""))</f>
        <v/>
      </c>
      <c r="AM1943" t="str">
        <f t="shared" ca="1" si="202"/>
        <v/>
      </c>
    </row>
    <row r="1944" spans="27:39" x14ac:dyDescent="0.3">
      <c r="AA1944" t="str">
        <f>IF(COUNTA('Procyflof 700'!A445,'Procyflof 700'!B445,'Procyflof 700'!C445)&gt;0,"700","")</f>
        <v/>
      </c>
      <c r="AB1944" t="str">
        <f>IFERROR(IF(ISNUMBER('Procyflof 700'!A445),'Procyflof 700'!A445,DATEVALUE('Procyflof 700'!A445)),"")</f>
        <v/>
      </c>
      <c r="AC1944" t="str">
        <f>IF(AA1944="","",'Procyflof 700'!B445)</f>
        <v/>
      </c>
      <c r="AD1944" t="str">
        <f>IF(AA1944="","",IFERROR(1*'Procyflof 700'!C445,IFERROR(_xludf.NUMBERVALUE('Procyflof 700'!C445,".",","),IFERROR(_xludf.NUMBERVALUE('Procyflof 700'!C445,",","."),0))))</f>
        <v/>
      </c>
      <c r="AE1944" t="str">
        <f>IF(AA1944="","",'Procyflof 700'!N445)</f>
        <v/>
      </c>
      <c r="AF1944">
        <f t="shared" si="197"/>
        <v>0</v>
      </c>
      <c r="AG1944" t="str">
        <f t="shared" si="198"/>
        <v/>
      </c>
      <c r="AH1944" t="str">
        <f t="shared" si="199"/>
        <v/>
      </c>
      <c r="AI1944">
        <f t="shared" si="200"/>
        <v>0</v>
      </c>
      <c r="AJ1944">
        <f t="shared" si="201"/>
        <v>0</v>
      </c>
      <c r="AK1944">
        <v>0</v>
      </c>
      <c r="AL1944" t="str">
        <f>IF(AA1944="","",IFERROR(IF(ISNUMBER('Procyflof 700'!D445),'Procyflof 700'!D445,IF(ISNUMBER(SEARCH("12",'Procyflof 700'!D445)),EDATE(AB1944,12),IF(ISNUMBER(SEARCH("6",'Procyflof 700'!D445)),EDATE(AB1944,6),IF(ISNUMBER(SEARCH("3",'Procyflof 700'!D445)),EDATE(AB1944,3),DATEVALUE('Procyflof 700'!D445))))),""))</f>
        <v/>
      </c>
      <c r="AM1944" t="str">
        <f t="shared" ca="1" si="202"/>
        <v/>
      </c>
    </row>
    <row r="1945" spans="27:39" x14ac:dyDescent="0.3">
      <c r="AA1945" t="str">
        <f>IF(COUNTA('Procyflof 700'!A446,'Procyflof 700'!B446,'Procyflof 700'!C446)&gt;0,"700","")</f>
        <v/>
      </c>
      <c r="AB1945" t="str">
        <f>IFERROR(IF(ISNUMBER('Procyflof 700'!A446),'Procyflof 700'!A446,DATEVALUE('Procyflof 700'!A446)),"")</f>
        <v/>
      </c>
      <c r="AC1945" t="str">
        <f>IF(AA1945="","",'Procyflof 700'!B446)</f>
        <v/>
      </c>
      <c r="AD1945" t="str">
        <f>IF(AA1945="","",IFERROR(1*'Procyflof 700'!C446,IFERROR(_xludf.NUMBERVALUE('Procyflof 700'!C446,".",","),IFERROR(_xludf.NUMBERVALUE('Procyflof 700'!C446,",","."),0))))</f>
        <v/>
      </c>
      <c r="AE1945" t="str">
        <f>IF(AA1945="","",'Procyflof 700'!N446)</f>
        <v/>
      </c>
      <c r="AF1945">
        <f t="shared" si="197"/>
        <v>0</v>
      </c>
      <c r="AG1945" t="str">
        <f t="shared" si="198"/>
        <v/>
      </c>
      <c r="AH1945" t="str">
        <f t="shared" si="199"/>
        <v/>
      </c>
      <c r="AI1945">
        <f t="shared" si="200"/>
        <v>0</v>
      </c>
      <c r="AJ1945">
        <f t="shared" si="201"/>
        <v>0</v>
      </c>
      <c r="AK1945">
        <v>0</v>
      </c>
      <c r="AL1945" t="str">
        <f>IF(AA1945="","",IFERROR(IF(ISNUMBER('Procyflof 700'!D446),'Procyflof 700'!D446,IF(ISNUMBER(SEARCH("12",'Procyflof 700'!D446)),EDATE(AB1945,12),IF(ISNUMBER(SEARCH("6",'Procyflof 700'!D446)),EDATE(AB1945,6),IF(ISNUMBER(SEARCH("3",'Procyflof 700'!D446)),EDATE(AB1945,3),DATEVALUE('Procyflof 700'!D446))))),""))</f>
        <v/>
      </c>
      <c r="AM1945" t="str">
        <f t="shared" ca="1" si="202"/>
        <v/>
      </c>
    </row>
    <row r="1946" spans="27:39" x14ac:dyDescent="0.3">
      <c r="AA1946" t="str">
        <f>IF(COUNTA('Procyflof 700'!A447,'Procyflof 700'!B447,'Procyflof 700'!C447)&gt;0,"700","")</f>
        <v/>
      </c>
      <c r="AB1946" t="str">
        <f>IFERROR(IF(ISNUMBER('Procyflof 700'!A447),'Procyflof 700'!A447,DATEVALUE('Procyflof 700'!A447)),"")</f>
        <v/>
      </c>
      <c r="AC1946" t="str">
        <f>IF(AA1946="","",'Procyflof 700'!B447)</f>
        <v/>
      </c>
      <c r="AD1946" t="str">
        <f>IF(AA1946="","",IFERROR(1*'Procyflof 700'!C447,IFERROR(_xludf.NUMBERVALUE('Procyflof 700'!C447,".",","),IFERROR(_xludf.NUMBERVALUE('Procyflof 700'!C447,",","."),0))))</f>
        <v/>
      </c>
      <c r="AE1946" t="str">
        <f>IF(AA1946="","",'Procyflof 700'!N447)</f>
        <v/>
      </c>
      <c r="AF1946">
        <f t="shared" si="197"/>
        <v>0</v>
      </c>
      <c r="AG1946" t="str">
        <f t="shared" si="198"/>
        <v/>
      </c>
      <c r="AH1946" t="str">
        <f t="shared" si="199"/>
        <v/>
      </c>
      <c r="AI1946">
        <f t="shared" si="200"/>
        <v>0</v>
      </c>
      <c r="AJ1946">
        <f t="shared" si="201"/>
        <v>0</v>
      </c>
      <c r="AK1946">
        <v>0</v>
      </c>
      <c r="AL1946" t="str">
        <f>IF(AA1946="","",IFERROR(IF(ISNUMBER('Procyflof 700'!D447),'Procyflof 700'!D447,IF(ISNUMBER(SEARCH("12",'Procyflof 700'!D447)),EDATE(AB1946,12),IF(ISNUMBER(SEARCH("6",'Procyflof 700'!D447)),EDATE(AB1946,6),IF(ISNUMBER(SEARCH("3",'Procyflof 700'!D447)),EDATE(AB1946,3),DATEVALUE('Procyflof 700'!D447))))),""))</f>
        <v/>
      </c>
      <c r="AM1946" t="str">
        <f t="shared" ca="1" si="202"/>
        <v/>
      </c>
    </row>
    <row r="1947" spans="27:39" x14ac:dyDescent="0.3">
      <c r="AA1947" t="str">
        <f>IF(COUNTA('Procyflof 700'!A448,'Procyflof 700'!B448,'Procyflof 700'!C448)&gt;0,"700","")</f>
        <v/>
      </c>
      <c r="AB1947" t="str">
        <f>IFERROR(IF(ISNUMBER('Procyflof 700'!A448),'Procyflof 700'!A448,DATEVALUE('Procyflof 700'!A448)),"")</f>
        <v/>
      </c>
      <c r="AC1947" t="str">
        <f>IF(AA1947="","",'Procyflof 700'!B448)</f>
        <v/>
      </c>
      <c r="AD1947" t="str">
        <f>IF(AA1947="","",IFERROR(1*'Procyflof 700'!C448,IFERROR(_xludf.NUMBERVALUE('Procyflof 700'!C448,".",","),IFERROR(_xludf.NUMBERVALUE('Procyflof 700'!C448,",","."),0))))</f>
        <v/>
      </c>
      <c r="AE1947" t="str">
        <f>IF(AA1947="","",'Procyflof 700'!N448)</f>
        <v/>
      </c>
      <c r="AF1947">
        <f t="shared" si="197"/>
        <v>0</v>
      </c>
      <c r="AG1947" t="str">
        <f t="shared" si="198"/>
        <v/>
      </c>
      <c r="AH1947" t="str">
        <f t="shared" si="199"/>
        <v/>
      </c>
      <c r="AI1947">
        <f t="shared" si="200"/>
        <v>0</v>
      </c>
      <c r="AJ1947">
        <f t="shared" si="201"/>
        <v>0</v>
      </c>
      <c r="AK1947">
        <v>0</v>
      </c>
      <c r="AL1947" t="str">
        <f>IF(AA1947="","",IFERROR(IF(ISNUMBER('Procyflof 700'!D448),'Procyflof 700'!D448,IF(ISNUMBER(SEARCH("12",'Procyflof 700'!D448)),EDATE(AB1947,12),IF(ISNUMBER(SEARCH("6",'Procyflof 700'!D448)),EDATE(AB1947,6),IF(ISNUMBER(SEARCH("3",'Procyflof 700'!D448)),EDATE(AB1947,3),DATEVALUE('Procyflof 700'!D448))))),""))</f>
        <v/>
      </c>
      <c r="AM1947" t="str">
        <f t="shared" ca="1" si="202"/>
        <v/>
      </c>
    </row>
    <row r="1948" spans="27:39" x14ac:dyDescent="0.3">
      <c r="AA1948" t="str">
        <f>IF(COUNTA('Procyflof 700'!A449,'Procyflof 700'!B449,'Procyflof 700'!C449)&gt;0,"700","")</f>
        <v/>
      </c>
      <c r="AB1948" t="str">
        <f>IFERROR(IF(ISNUMBER('Procyflof 700'!A449),'Procyflof 700'!A449,DATEVALUE('Procyflof 700'!A449)),"")</f>
        <v/>
      </c>
      <c r="AC1948" t="str">
        <f>IF(AA1948="","",'Procyflof 700'!B449)</f>
        <v/>
      </c>
      <c r="AD1948" t="str">
        <f>IF(AA1948="","",IFERROR(1*'Procyflof 700'!C449,IFERROR(_xludf.NUMBERVALUE('Procyflof 700'!C449,".",","),IFERROR(_xludf.NUMBERVALUE('Procyflof 700'!C449,",","."),0))))</f>
        <v/>
      </c>
      <c r="AE1948" t="str">
        <f>IF(AA1948="","",'Procyflof 700'!N449)</f>
        <v/>
      </c>
      <c r="AF1948">
        <f t="shared" si="197"/>
        <v>0</v>
      </c>
      <c r="AG1948" t="str">
        <f t="shared" si="198"/>
        <v/>
      </c>
      <c r="AH1948" t="str">
        <f t="shared" si="199"/>
        <v/>
      </c>
      <c r="AI1948">
        <f t="shared" si="200"/>
        <v>0</v>
      </c>
      <c r="AJ1948">
        <f t="shared" si="201"/>
        <v>0</v>
      </c>
      <c r="AK1948">
        <v>0</v>
      </c>
      <c r="AL1948" t="str">
        <f>IF(AA1948="","",IFERROR(IF(ISNUMBER('Procyflof 700'!D449),'Procyflof 700'!D449,IF(ISNUMBER(SEARCH("12",'Procyflof 700'!D449)),EDATE(AB1948,12),IF(ISNUMBER(SEARCH("6",'Procyflof 700'!D449)),EDATE(AB1948,6),IF(ISNUMBER(SEARCH("3",'Procyflof 700'!D449)),EDATE(AB1948,3),DATEVALUE('Procyflof 700'!D449))))),""))</f>
        <v/>
      </c>
      <c r="AM1948" t="str">
        <f t="shared" ca="1" si="202"/>
        <v/>
      </c>
    </row>
    <row r="1949" spans="27:39" x14ac:dyDescent="0.3">
      <c r="AA1949" t="str">
        <f>IF(COUNTA('Procyflof 700'!A450,'Procyflof 700'!B450,'Procyflof 700'!C450)&gt;0,"700","")</f>
        <v/>
      </c>
      <c r="AB1949" t="str">
        <f>IFERROR(IF(ISNUMBER('Procyflof 700'!A450),'Procyflof 700'!A450,DATEVALUE('Procyflof 700'!A450)),"")</f>
        <v/>
      </c>
      <c r="AC1949" t="str">
        <f>IF(AA1949="","",'Procyflof 700'!B450)</f>
        <v/>
      </c>
      <c r="AD1949" t="str">
        <f>IF(AA1949="","",IFERROR(1*'Procyflof 700'!C450,IFERROR(_xludf.NUMBERVALUE('Procyflof 700'!C450,".",","),IFERROR(_xludf.NUMBERVALUE('Procyflof 700'!C450,",","."),0))))</f>
        <v/>
      </c>
      <c r="AE1949" t="str">
        <f>IF(AA1949="","",'Procyflof 700'!N450)</f>
        <v/>
      </c>
      <c r="AF1949">
        <f t="shared" si="197"/>
        <v>0</v>
      </c>
      <c r="AG1949" t="str">
        <f t="shared" si="198"/>
        <v/>
      </c>
      <c r="AH1949" t="str">
        <f t="shared" si="199"/>
        <v/>
      </c>
      <c r="AI1949">
        <f t="shared" si="200"/>
        <v>0</v>
      </c>
      <c r="AJ1949">
        <f t="shared" si="201"/>
        <v>0</v>
      </c>
      <c r="AK1949">
        <v>0</v>
      </c>
      <c r="AL1949" t="str">
        <f>IF(AA1949="","",IFERROR(IF(ISNUMBER('Procyflof 700'!D450),'Procyflof 700'!D450,IF(ISNUMBER(SEARCH("12",'Procyflof 700'!D450)),EDATE(AB1949,12),IF(ISNUMBER(SEARCH("6",'Procyflof 700'!D450)),EDATE(AB1949,6),IF(ISNUMBER(SEARCH("3",'Procyflof 700'!D450)),EDATE(AB1949,3),DATEVALUE('Procyflof 700'!D450))))),""))</f>
        <v/>
      </c>
      <c r="AM1949" t="str">
        <f t="shared" ca="1" si="202"/>
        <v/>
      </c>
    </row>
    <row r="1950" spans="27:39" x14ac:dyDescent="0.3">
      <c r="AA1950" t="str">
        <f>IF(COUNTA('Procyflof 700'!A451,'Procyflof 700'!B451,'Procyflof 700'!C451)&gt;0,"700","")</f>
        <v/>
      </c>
      <c r="AB1950" t="str">
        <f>IFERROR(IF(ISNUMBER('Procyflof 700'!A451),'Procyflof 700'!A451,DATEVALUE('Procyflof 700'!A451)),"")</f>
        <v/>
      </c>
      <c r="AC1950" t="str">
        <f>IF(AA1950="","",'Procyflof 700'!B451)</f>
        <v/>
      </c>
      <c r="AD1950" t="str">
        <f>IF(AA1950="","",IFERROR(1*'Procyflof 700'!C451,IFERROR(_xludf.NUMBERVALUE('Procyflof 700'!C451,".",","),IFERROR(_xludf.NUMBERVALUE('Procyflof 700'!C451,",","."),0))))</f>
        <v/>
      </c>
      <c r="AE1950" t="str">
        <f>IF(AA1950="","",'Procyflof 700'!N451)</f>
        <v/>
      </c>
      <c r="AF1950">
        <f t="shared" si="197"/>
        <v>0</v>
      </c>
      <c r="AG1950" t="str">
        <f t="shared" si="198"/>
        <v/>
      </c>
      <c r="AH1950" t="str">
        <f t="shared" si="199"/>
        <v/>
      </c>
      <c r="AI1950">
        <f t="shared" si="200"/>
        <v>0</v>
      </c>
      <c r="AJ1950">
        <f t="shared" si="201"/>
        <v>0</v>
      </c>
      <c r="AK1950">
        <v>0</v>
      </c>
      <c r="AL1950" t="str">
        <f>IF(AA1950="","",IFERROR(IF(ISNUMBER('Procyflof 700'!D451),'Procyflof 700'!D451,IF(ISNUMBER(SEARCH("12",'Procyflof 700'!D451)),EDATE(AB1950,12),IF(ISNUMBER(SEARCH("6",'Procyflof 700'!D451)),EDATE(AB1950,6),IF(ISNUMBER(SEARCH("3",'Procyflof 700'!D451)),EDATE(AB1950,3),DATEVALUE('Procyflof 700'!D451))))),""))</f>
        <v/>
      </c>
      <c r="AM1950" t="str">
        <f t="shared" ca="1" si="202"/>
        <v/>
      </c>
    </row>
    <row r="1951" spans="27:39" x14ac:dyDescent="0.3">
      <c r="AA1951" t="str">
        <f>IF(COUNTA('Procyflof 700'!A452,'Procyflof 700'!B452,'Procyflof 700'!C452)&gt;0,"700","")</f>
        <v/>
      </c>
      <c r="AB1951" t="str">
        <f>IFERROR(IF(ISNUMBER('Procyflof 700'!A452),'Procyflof 700'!A452,DATEVALUE('Procyflof 700'!A452)),"")</f>
        <v/>
      </c>
      <c r="AC1951" t="str">
        <f>IF(AA1951="","",'Procyflof 700'!B452)</f>
        <v/>
      </c>
      <c r="AD1951" t="str">
        <f>IF(AA1951="","",IFERROR(1*'Procyflof 700'!C452,IFERROR(_xludf.NUMBERVALUE('Procyflof 700'!C452,".",","),IFERROR(_xludf.NUMBERVALUE('Procyflof 700'!C452,",","."),0))))</f>
        <v/>
      </c>
      <c r="AE1951" t="str">
        <f>IF(AA1951="","",'Procyflof 700'!N452)</f>
        <v/>
      </c>
      <c r="AF1951">
        <f t="shared" si="197"/>
        <v>0</v>
      </c>
      <c r="AG1951" t="str">
        <f t="shared" si="198"/>
        <v/>
      </c>
      <c r="AH1951" t="str">
        <f t="shared" si="199"/>
        <v/>
      </c>
      <c r="AI1951">
        <f t="shared" si="200"/>
        <v>0</v>
      </c>
      <c r="AJ1951">
        <f t="shared" si="201"/>
        <v>0</v>
      </c>
      <c r="AK1951">
        <v>0</v>
      </c>
      <c r="AL1951" t="str">
        <f>IF(AA1951="","",IFERROR(IF(ISNUMBER('Procyflof 700'!D452),'Procyflof 700'!D452,IF(ISNUMBER(SEARCH("12",'Procyflof 700'!D452)),EDATE(AB1951,12),IF(ISNUMBER(SEARCH("6",'Procyflof 700'!D452)),EDATE(AB1951,6),IF(ISNUMBER(SEARCH("3",'Procyflof 700'!D452)),EDATE(AB1951,3),DATEVALUE('Procyflof 700'!D452))))),""))</f>
        <v/>
      </c>
      <c r="AM1951" t="str">
        <f t="shared" ca="1" si="202"/>
        <v/>
      </c>
    </row>
    <row r="1952" spans="27:39" x14ac:dyDescent="0.3">
      <c r="AA1952" t="str">
        <f>IF(COUNTA('Procyflof 700'!A453,'Procyflof 700'!B453,'Procyflof 700'!C453)&gt;0,"700","")</f>
        <v/>
      </c>
      <c r="AB1952" t="str">
        <f>IFERROR(IF(ISNUMBER('Procyflof 700'!A453),'Procyflof 700'!A453,DATEVALUE('Procyflof 700'!A453)),"")</f>
        <v/>
      </c>
      <c r="AC1952" t="str">
        <f>IF(AA1952="","",'Procyflof 700'!B453)</f>
        <v/>
      </c>
      <c r="AD1952" t="str">
        <f>IF(AA1952="","",IFERROR(1*'Procyflof 700'!C453,IFERROR(_xludf.NUMBERVALUE('Procyflof 700'!C453,".",","),IFERROR(_xludf.NUMBERVALUE('Procyflof 700'!C453,",","."),0))))</f>
        <v/>
      </c>
      <c r="AE1952" t="str">
        <f>IF(AA1952="","",'Procyflof 700'!N453)</f>
        <v/>
      </c>
      <c r="AF1952">
        <f t="shared" si="197"/>
        <v>0</v>
      </c>
      <c r="AG1952" t="str">
        <f t="shared" si="198"/>
        <v/>
      </c>
      <c r="AH1952" t="str">
        <f t="shared" si="199"/>
        <v/>
      </c>
      <c r="AI1952">
        <f t="shared" si="200"/>
        <v>0</v>
      </c>
      <c r="AJ1952">
        <f t="shared" si="201"/>
        <v>0</v>
      </c>
      <c r="AK1952">
        <v>0</v>
      </c>
      <c r="AL1952" t="str">
        <f>IF(AA1952="","",IFERROR(IF(ISNUMBER('Procyflof 700'!D453),'Procyflof 700'!D453,IF(ISNUMBER(SEARCH("12",'Procyflof 700'!D453)),EDATE(AB1952,12),IF(ISNUMBER(SEARCH("6",'Procyflof 700'!D453)),EDATE(AB1952,6),IF(ISNUMBER(SEARCH("3",'Procyflof 700'!D453)),EDATE(AB1952,3),DATEVALUE('Procyflof 700'!D453))))),""))</f>
        <v/>
      </c>
      <c r="AM1952" t="str">
        <f t="shared" ca="1" si="202"/>
        <v/>
      </c>
    </row>
    <row r="1953" spans="27:39" x14ac:dyDescent="0.3">
      <c r="AA1953" t="str">
        <f>IF(COUNTA('Procyflof 700'!A454,'Procyflof 700'!B454,'Procyflof 700'!C454)&gt;0,"700","")</f>
        <v/>
      </c>
      <c r="AB1953" t="str">
        <f>IFERROR(IF(ISNUMBER('Procyflof 700'!A454),'Procyflof 700'!A454,DATEVALUE('Procyflof 700'!A454)),"")</f>
        <v/>
      </c>
      <c r="AC1953" t="str">
        <f>IF(AA1953="","",'Procyflof 700'!B454)</f>
        <v/>
      </c>
      <c r="AD1953" t="str">
        <f>IF(AA1953="","",IFERROR(1*'Procyflof 700'!C454,IFERROR(_xludf.NUMBERVALUE('Procyflof 700'!C454,".",","),IFERROR(_xludf.NUMBERVALUE('Procyflof 700'!C454,",","."),0))))</f>
        <v/>
      </c>
      <c r="AE1953" t="str">
        <f>IF(AA1953="","",'Procyflof 700'!N454)</f>
        <v/>
      </c>
      <c r="AF1953">
        <f t="shared" si="197"/>
        <v>0</v>
      </c>
      <c r="AG1953" t="str">
        <f t="shared" si="198"/>
        <v/>
      </c>
      <c r="AH1953" t="str">
        <f t="shared" si="199"/>
        <v/>
      </c>
      <c r="AI1953">
        <f t="shared" si="200"/>
        <v>0</v>
      </c>
      <c r="AJ1953">
        <f t="shared" si="201"/>
        <v>0</v>
      </c>
      <c r="AK1953">
        <v>0</v>
      </c>
      <c r="AL1953" t="str">
        <f>IF(AA1953="","",IFERROR(IF(ISNUMBER('Procyflof 700'!D454),'Procyflof 700'!D454,IF(ISNUMBER(SEARCH("12",'Procyflof 700'!D454)),EDATE(AB1953,12),IF(ISNUMBER(SEARCH("6",'Procyflof 700'!D454)),EDATE(AB1953,6),IF(ISNUMBER(SEARCH("3",'Procyflof 700'!D454)),EDATE(AB1953,3),DATEVALUE('Procyflof 700'!D454))))),""))</f>
        <v/>
      </c>
      <c r="AM1953" t="str">
        <f t="shared" ca="1" si="202"/>
        <v/>
      </c>
    </row>
    <row r="1954" spans="27:39" x14ac:dyDescent="0.3">
      <c r="AA1954" t="str">
        <f>IF(COUNTA('Procyflof 700'!A455,'Procyflof 700'!B455,'Procyflof 700'!C455)&gt;0,"700","")</f>
        <v/>
      </c>
      <c r="AB1954" t="str">
        <f>IFERROR(IF(ISNUMBER('Procyflof 700'!A455),'Procyflof 700'!A455,DATEVALUE('Procyflof 700'!A455)),"")</f>
        <v/>
      </c>
      <c r="AC1954" t="str">
        <f>IF(AA1954="","",'Procyflof 700'!B455)</f>
        <v/>
      </c>
      <c r="AD1954" t="str">
        <f>IF(AA1954="","",IFERROR(1*'Procyflof 700'!C455,IFERROR(_xludf.NUMBERVALUE('Procyflof 700'!C455,".",","),IFERROR(_xludf.NUMBERVALUE('Procyflof 700'!C455,",","."),0))))</f>
        <v/>
      </c>
      <c r="AE1954" t="str">
        <f>IF(AA1954="","",'Procyflof 700'!N455)</f>
        <v/>
      </c>
      <c r="AF1954">
        <f t="shared" si="197"/>
        <v>0</v>
      </c>
      <c r="AG1954" t="str">
        <f t="shared" si="198"/>
        <v/>
      </c>
      <c r="AH1954" t="str">
        <f t="shared" si="199"/>
        <v/>
      </c>
      <c r="AI1954">
        <f t="shared" si="200"/>
        <v>0</v>
      </c>
      <c r="AJ1954">
        <f t="shared" si="201"/>
        <v>0</v>
      </c>
      <c r="AK1954">
        <v>0</v>
      </c>
      <c r="AL1954" t="str">
        <f>IF(AA1954="","",IFERROR(IF(ISNUMBER('Procyflof 700'!D455),'Procyflof 700'!D455,IF(ISNUMBER(SEARCH("12",'Procyflof 700'!D455)),EDATE(AB1954,12),IF(ISNUMBER(SEARCH("6",'Procyflof 700'!D455)),EDATE(AB1954,6),IF(ISNUMBER(SEARCH("3",'Procyflof 700'!D455)),EDATE(AB1954,3),DATEVALUE('Procyflof 700'!D455))))),""))</f>
        <v/>
      </c>
      <c r="AM1954" t="str">
        <f t="shared" ca="1" si="202"/>
        <v/>
      </c>
    </row>
    <row r="1955" spans="27:39" x14ac:dyDescent="0.3">
      <c r="AA1955" t="str">
        <f>IF(COUNTA('Procyflof 700'!A456,'Procyflof 700'!B456,'Procyflof 700'!C456)&gt;0,"700","")</f>
        <v/>
      </c>
      <c r="AB1955" t="str">
        <f>IFERROR(IF(ISNUMBER('Procyflof 700'!A456),'Procyflof 700'!A456,DATEVALUE('Procyflof 700'!A456)),"")</f>
        <v/>
      </c>
      <c r="AC1955" t="str">
        <f>IF(AA1955="","",'Procyflof 700'!B456)</f>
        <v/>
      </c>
      <c r="AD1955" t="str">
        <f>IF(AA1955="","",IFERROR(1*'Procyflof 700'!C456,IFERROR(_xludf.NUMBERVALUE('Procyflof 700'!C456,".",","),IFERROR(_xludf.NUMBERVALUE('Procyflof 700'!C456,",","."),0))))</f>
        <v/>
      </c>
      <c r="AE1955" t="str">
        <f>IF(AA1955="","",'Procyflof 700'!N456)</f>
        <v/>
      </c>
      <c r="AF1955">
        <f t="shared" si="197"/>
        <v>0</v>
      </c>
      <c r="AG1955" t="str">
        <f t="shared" si="198"/>
        <v/>
      </c>
      <c r="AH1955" t="str">
        <f t="shared" si="199"/>
        <v/>
      </c>
      <c r="AI1955">
        <f t="shared" si="200"/>
        <v>0</v>
      </c>
      <c r="AJ1955">
        <f t="shared" si="201"/>
        <v>0</v>
      </c>
      <c r="AK1955">
        <v>0</v>
      </c>
      <c r="AL1955" t="str">
        <f>IF(AA1955="","",IFERROR(IF(ISNUMBER('Procyflof 700'!D456),'Procyflof 700'!D456,IF(ISNUMBER(SEARCH("12",'Procyflof 700'!D456)),EDATE(AB1955,12),IF(ISNUMBER(SEARCH("6",'Procyflof 700'!D456)),EDATE(AB1955,6),IF(ISNUMBER(SEARCH("3",'Procyflof 700'!D456)),EDATE(AB1955,3),DATEVALUE('Procyflof 700'!D456))))),""))</f>
        <v/>
      </c>
      <c r="AM1955" t="str">
        <f t="shared" ca="1" si="202"/>
        <v/>
      </c>
    </row>
    <row r="1956" spans="27:39" x14ac:dyDescent="0.3">
      <c r="AA1956" t="str">
        <f>IF(COUNTA('Procyflof 700'!A457,'Procyflof 700'!B457,'Procyflof 700'!C457)&gt;0,"700","")</f>
        <v/>
      </c>
      <c r="AB1956" t="str">
        <f>IFERROR(IF(ISNUMBER('Procyflof 700'!A457),'Procyflof 700'!A457,DATEVALUE('Procyflof 700'!A457)),"")</f>
        <v/>
      </c>
      <c r="AC1956" t="str">
        <f>IF(AA1956="","",'Procyflof 700'!B457)</f>
        <v/>
      </c>
      <c r="AD1956" t="str">
        <f>IF(AA1956="","",IFERROR(1*'Procyflof 700'!C457,IFERROR(_xludf.NUMBERVALUE('Procyflof 700'!C457,".",","),IFERROR(_xludf.NUMBERVALUE('Procyflof 700'!C457,",","."),0))))</f>
        <v/>
      </c>
      <c r="AE1956" t="str">
        <f>IF(AA1956="","",'Procyflof 700'!N457)</f>
        <v/>
      </c>
      <c r="AF1956">
        <f t="shared" si="197"/>
        <v>0</v>
      </c>
      <c r="AG1956" t="str">
        <f t="shared" si="198"/>
        <v/>
      </c>
      <c r="AH1956" t="str">
        <f t="shared" si="199"/>
        <v/>
      </c>
      <c r="AI1956">
        <f t="shared" si="200"/>
        <v>0</v>
      </c>
      <c r="AJ1956">
        <f t="shared" si="201"/>
        <v>0</v>
      </c>
      <c r="AK1956">
        <v>0</v>
      </c>
      <c r="AL1956" t="str">
        <f>IF(AA1956="","",IFERROR(IF(ISNUMBER('Procyflof 700'!D457),'Procyflof 700'!D457,IF(ISNUMBER(SEARCH("12",'Procyflof 700'!D457)),EDATE(AB1956,12),IF(ISNUMBER(SEARCH("6",'Procyflof 700'!D457)),EDATE(AB1956,6),IF(ISNUMBER(SEARCH("3",'Procyflof 700'!D457)),EDATE(AB1956,3),DATEVALUE('Procyflof 700'!D457))))),""))</f>
        <v/>
      </c>
      <c r="AM1956" t="str">
        <f t="shared" ca="1" si="202"/>
        <v/>
      </c>
    </row>
    <row r="1957" spans="27:39" x14ac:dyDescent="0.3">
      <c r="AA1957" t="str">
        <f>IF(COUNTA('Procyflof 700'!A458,'Procyflof 700'!B458,'Procyflof 700'!C458)&gt;0,"700","")</f>
        <v/>
      </c>
      <c r="AB1957" t="str">
        <f>IFERROR(IF(ISNUMBER('Procyflof 700'!A458),'Procyflof 700'!A458,DATEVALUE('Procyflof 700'!A458)),"")</f>
        <v/>
      </c>
      <c r="AC1957" t="str">
        <f>IF(AA1957="","",'Procyflof 700'!B458)</f>
        <v/>
      </c>
      <c r="AD1957" t="str">
        <f>IF(AA1957="","",IFERROR(1*'Procyflof 700'!C458,IFERROR(_xludf.NUMBERVALUE('Procyflof 700'!C458,".",","),IFERROR(_xludf.NUMBERVALUE('Procyflof 700'!C458,",","."),0))))</f>
        <v/>
      </c>
      <c r="AE1957" t="str">
        <f>IF(AA1957="","",'Procyflof 700'!N458)</f>
        <v/>
      </c>
      <c r="AF1957">
        <f t="shared" si="197"/>
        <v>0</v>
      </c>
      <c r="AG1957" t="str">
        <f t="shared" si="198"/>
        <v/>
      </c>
      <c r="AH1957" t="str">
        <f t="shared" si="199"/>
        <v/>
      </c>
      <c r="AI1957">
        <f t="shared" si="200"/>
        <v>0</v>
      </c>
      <c r="AJ1957">
        <f t="shared" si="201"/>
        <v>0</v>
      </c>
      <c r="AK1957">
        <v>0</v>
      </c>
      <c r="AL1957" t="str">
        <f>IF(AA1957="","",IFERROR(IF(ISNUMBER('Procyflof 700'!D458),'Procyflof 700'!D458,IF(ISNUMBER(SEARCH("12",'Procyflof 700'!D458)),EDATE(AB1957,12),IF(ISNUMBER(SEARCH("6",'Procyflof 700'!D458)),EDATE(AB1957,6),IF(ISNUMBER(SEARCH("3",'Procyflof 700'!D458)),EDATE(AB1957,3),DATEVALUE('Procyflof 700'!D458))))),""))</f>
        <v/>
      </c>
      <c r="AM1957" t="str">
        <f t="shared" ca="1" si="202"/>
        <v/>
      </c>
    </row>
    <row r="1958" spans="27:39" x14ac:dyDescent="0.3">
      <c r="AA1958" t="str">
        <f>IF(COUNTA('Procyflof 700'!A459,'Procyflof 700'!B459,'Procyflof 700'!C459)&gt;0,"700","")</f>
        <v/>
      </c>
      <c r="AB1958" t="str">
        <f>IFERROR(IF(ISNUMBER('Procyflof 700'!A459),'Procyflof 700'!A459,DATEVALUE('Procyflof 700'!A459)),"")</f>
        <v/>
      </c>
      <c r="AC1958" t="str">
        <f>IF(AA1958="","",'Procyflof 700'!B459)</f>
        <v/>
      </c>
      <c r="AD1958" t="str">
        <f>IF(AA1958="","",IFERROR(1*'Procyflof 700'!C459,IFERROR(_xludf.NUMBERVALUE('Procyflof 700'!C459,".",","),IFERROR(_xludf.NUMBERVALUE('Procyflof 700'!C459,",","."),0))))</f>
        <v/>
      </c>
      <c r="AE1958" t="str">
        <f>IF(AA1958="","",'Procyflof 700'!N459)</f>
        <v/>
      </c>
      <c r="AF1958">
        <f t="shared" si="197"/>
        <v>0</v>
      </c>
      <c r="AG1958" t="str">
        <f t="shared" si="198"/>
        <v/>
      </c>
      <c r="AH1958" t="str">
        <f t="shared" si="199"/>
        <v/>
      </c>
      <c r="AI1958">
        <f t="shared" si="200"/>
        <v>0</v>
      </c>
      <c r="AJ1958">
        <f t="shared" si="201"/>
        <v>0</v>
      </c>
      <c r="AK1958">
        <v>0</v>
      </c>
      <c r="AL1958" t="str">
        <f>IF(AA1958="","",IFERROR(IF(ISNUMBER('Procyflof 700'!D459),'Procyflof 700'!D459,IF(ISNUMBER(SEARCH("12",'Procyflof 700'!D459)),EDATE(AB1958,12),IF(ISNUMBER(SEARCH("6",'Procyflof 700'!D459)),EDATE(AB1958,6),IF(ISNUMBER(SEARCH("3",'Procyflof 700'!D459)),EDATE(AB1958,3),DATEVALUE('Procyflof 700'!D459))))),""))</f>
        <v/>
      </c>
      <c r="AM1958" t="str">
        <f t="shared" ca="1" si="202"/>
        <v/>
      </c>
    </row>
    <row r="1959" spans="27:39" x14ac:dyDescent="0.3">
      <c r="AA1959" t="str">
        <f>IF(COUNTA('Procyflof 700'!A460,'Procyflof 700'!B460,'Procyflof 700'!C460)&gt;0,"700","")</f>
        <v/>
      </c>
      <c r="AB1959" t="str">
        <f>IFERROR(IF(ISNUMBER('Procyflof 700'!A460),'Procyflof 700'!A460,DATEVALUE('Procyflof 700'!A460)),"")</f>
        <v/>
      </c>
      <c r="AC1959" t="str">
        <f>IF(AA1959="","",'Procyflof 700'!B460)</f>
        <v/>
      </c>
      <c r="AD1959" t="str">
        <f>IF(AA1959="","",IFERROR(1*'Procyflof 700'!C460,IFERROR(_xludf.NUMBERVALUE('Procyflof 700'!C460,".",","),IFERROR(_xludf.NUMBERVALUE('Procyflof 700'!C460,",","."),0))))</f>
        <v/>
      </c>
      <c r="AE1959" t="str">
        <f>IF(AA1959="","",'Procyflof 700'!N460)</f>
        <v/>
      </c>
      <c r="AF1959">
        <f t="shared" si="197"/>
        <v>0</v>
      </c>
      <c r="AG1959" t="str">
        <f t="shared" si="198"/>
        <v/>
      </c>
      <c r="AH1959" t="str">
        <f t="shared" si="199"/>
        <v/>
      </c>
      <c r="AI1959">
        <f t="shared" si="200"/>
        <v>0</v>
      </c>
      <c r="AJ1959">
        <f t="shared" si="201"/>
        <v>0</v>
      </c>
      <c r="AK1959">
        <v>0</v>
      </c>
      <c r="AL1959" t="str">
        <f>IF(AA1959="","",IFERROR(IF(ISNUMBER('Procyflof 700'!D460),'Procyflof 700'!D460,IF(ISNUMBER(SEARCH("12",'Procyflof 700'!D460)),EDATE(AB1959,12),IF(ISNUMBER(SEARCH("6",'Procyflof 700'!D460)),EDATE(AB1959,6),IF(ISNUMBER(SEARCH("3",'Procyflof 700'!D460)),EDATE(AB1959,3),DATEVALUE('Procyflof 700'!D460))))),""))</f>
        <v/>
      </c>
      <c r="AM1959" t="str">
        <f t="shared" ca="1" si="202"/>
        <v/>
      </c>
    </row>
    <row r="1960" spans="27:39" x14ac:dyDescent="0.3">
      <c r="AA1960" t="str">
        <f>IF(COUNTA('Procyflof 700'!A461,'Procyflof 700'!B461,'Procyflof 700'!C461)&gt;0,"700","")</f>
        <v/>
      </c>
      <c r="AB1960" t="str">
        <f>IFERROR(IF(ISNUMBER('Procyflof 700'!A461),'Procyflof 700'!A461,DATEVALUE('Procyflof 700'!A461)),"")</f>
        <v/>
      </c>
      <c r="AC1960" t="str">
        <f>IF(AA1960="","",'Procyflof 700'!B461)</f>
        <v/>
      </c>
      <c r="AD1960" t="str">
        <f>IF(AA1960="","",IFERROR(1*'Procyflof 700'!C461,IFERROR(_xludf.NUMBERVALUE('Procyflof 700'!C461,".",","),IFERROR(_xludf.NUMBERVALUE('Procyflof 700'!C461,",","."),0))))</f>
        <v/>
      </c>
      <c r="AE1960" t="str">
        <f>IF(AA1960="","",'Procyflof 700'!N461)</f>
        <v/>
      </c>
      <c r="AF1960">
        <f t="shared" si="197"/>
        <v>0</v>
      </c>
      <c r="AG1960" t="str">
        <f t="shared" si="198"/>
        <v/>
      </c>
      <c r="AH1960" t="str">
        <f t="shared" si="199"/>
        <v/>
      </c>
      <c r="AI1960">
        <f t="shared" si="200"/>
        <v>0</v>
      </c>
      <c r="AJ1960">
        <f t="shared" si="201"/>
        <v>0</v>
      </c>
      <c r="AK1960">
        <v>0</v>
      </c>
      <c r="AL1960" t="str">
        <f>IF(AA1960="","",IFERROR(IF(ISNUMBER('Procyflof 700'!D461),'Procyflof 700'!D461,IF(ISNUMBER(SEARCH("12",'Procyflof 700'!D461)),EDATE(AB1960,12),IF(ISNUMBER(SEARCH("6",'Procyflof 700'!D461)),EDATE(AB1960,6),IF(ISNUMBER(SEARCH("3",'Procyflof 700'!D461)),EDATE(AB1960,3),DATEVALUE('Procyflof 700'!D461))))),""))</f>
        <v/>
      </c>
      <c r="AM1960" t="str">
        <f t="shared" ca="1" si="202"/>
        <v/>
      </c>
    </row>
    <row r="1961" spans="27:39" x14ac:dyDescent="0.3">
      <c r="AA1961" t="str">
        <f>IF(COUNTA('Procyflof 700'!A462,'Procyflof 700'!B462,'Procyflof 700'!C462)&gt;0,"700","")</f>
        <v/>
      </c>
      <c r="AB1961" t="str">
        <f>IFERROR(IF(ISNUMBER('Procyflof 700'!A462),'Procyflof 700'!A462,DATEVALUE('Procyflof 700'!A462)),"")</f>
        <v/>
      </c>
      <c r="AC1961" t="str">
        <f>IF(AA1961="","",'Procyflof 700'!B462)</f>
        <v/>
      </c>
      <c r="AD1961" t="str">
        <f>IF(AA1961="","",IFERROR(1*'Procyflof 700'!C462,IFERROR(_xludf.NUMBERVALUE('Procyflof 700'!C462,".",","),IFERROR(_xludf.NUMBERVALUE('Procyflof 700'!C462,",","."),0))))</f>
        <v/>
      </c>
      <c r="AE1961" t="str">
        <f>IF(AA1961="","",'Procyflof 700'!N462)</f>
        <v/>
      </c>
      <c r="AF1961">
        <f t="shared" si="197"/>
        <v>0</v>
      </c>
      <c r="AG1961" t="str">
        <f t="shared" si="198"/>
        <v/>
      </c>
      <c r="AH1961" t="str">
        <f t="shared" si="199"/>
        <v/>
      </c>
      <c r="AI1961">
        <f t="shared" si="200"/>
        <v>0</v>
      </c>
      <c r="AJ1961">
        <f t="shared" si="201"/>
        <v>0</v>
      </c>
      <c r="AK1961">
        <v>0</v>
      </c>
      <c r="AL1961" t="str">
        <f>IF(AA1961="","",IFERROR(IF(ISNUMBER('Procyflof 700'!D462),'Procyflof 700'!D462,IF(ISNUMBER(SEARCH("12",'Procyflof 700'!D462)),EDATE(AB1961,12),IF(ISNUMBER(SEARCH("6",'Procyflof 700'!D462)),EDATE(AB1961,6),IF(ISNUMBER(SEARCH("3",'Procyflof 700'!D462)),EDATE(AB1961,3),DATEVALUE('Procyflof 700'!D462))))),""))</f>
        <v/>
      </c>
      <c r="AM1961" t="str">
        <f t="shared" ca="1" si="202"/>
        <v/>
      </c>
    </row>
    <row r="1962" spans="27:39" x14ac:dyDescent="0.3">
      <c r="AA1962" t="str">
        <f>IF(COUNTA('Procyflof 700'!A463,'Procyflof 700'!B463,'Procyflof 700'!C463)&gt;0,"700","")</f>
        <v/>
      </c>
      <c r="AB1962" t="str">
        <f>IFERROR(IF(ISNUMBER('Procyflof 700'!A463),'Procyflof 700'!A463,DATEVALUE('Procyflof 700'!A463)),"")</f>
        <v/>
      </c>
      <c r="AC1962" t="str">
        <f>IF(AA1962="","",'Procyflof 700'!B463)</f>
        <v/>
      </c>
      <c r="AD1962" t="str">
        <f>IF(AA1962="","",IFERROR(1*'Procyflof 700'!C463,IFERROR(_xludf.NUMBERVALUE('Procyflof 700'!C463,".",","),IFERROR(_xludf.NUMBERVALUE('Procyflof 700'!C463,",","."),0))))</f>
        <v/>
      </c>
      <c r="AE1962" t="str">
        <f>IF(AA1962="","",'Procyflof 700'!N463)</f>
        <v/>
      </c>
      <c r="AF1962">
        <f t="shared" si="197"/>
        <v>0</v>
      </c>
      <c r="AG1962" t="str">
        <f t="shared" si="198"/>
        <v/>
      </c>
      <c r="AH1962" t="str">
        <f t="shared" si="199"/>
        <v/>
      </c>
      <c r="AI1962">
        <f t="shared" si="200"/>
        <v>0</v>
      </c>
      <c r="AJ1962">
        <f t="shared" si="201"/>
        <v>0</v>
      </c>
      <c r="AK1962">
        <v>0</v>
      </c>
      <c r="AL1962" t="str">
        <f>IF(AA1962="","",IFERROR(IF(ISNUMBER('Procyflof 700'!D463),'Procyflof 700'!D463,IF(ISNUMBER(SEARCH("12",'Procyflof 700'!D463)),EDATE(AB1962,12),IF(ISNUMBER(SEARCH("6",'Procyflof 700'!D463)),EDATE(AB1962,6),IF(ISNUMBER(SEARCH("3",'Procyflof 700'!D463)),EDATE(AB1962,3),DATEVALUE('Procyflof 700'!D463))))),""))</f>
        <v/>
      </c>
      <c r="AM1962" t="str">
        <f t="shared" ca="1" si="202"/>
        <v/>
      </c>
    </row>
    <row r="1963" spans="27:39" x14ac:dyDescent="0.3">
      <c r="AA1963" t="str">
        <f>IF(COUNTA('Procyflof 700'!A464,'Procyflof 700'!B464,'Procyflof 700'!C464)&gt;0,"700","")</f>
        <v/>
      </c>
      <c r="AB1963" t="str">
        <f>IFERROR(IF(ISNUMBER('Procyflof 700'!A464),'Procyflof 700'!A464,DATEVALUE('Procyflof 700'!A464)),"")</f>
        <v/>
      </c>
      <c r="AC1963" t="str">
        <f>IF(AA1963="","",'Procyflof 700'!B464)</f>
        <v/>
      </c>
      <c r="AD1963" t="str">
        <f>IF(AA1963="","",IFERROR(1*'Procyflof 700'!C464,IFERROR(_xludf.NUMBERVALUE('Procyflof 700'!C464,".",","),IFERROR(_xludf.NUMBERVALUE('Procyflof 700'!C464,",","."),0))))</f>
        <v/>
      </c>
      <c r="AE1963" t="str">
        <f>IF(AA1963="","",'Procyflof 700'!N464)</f>
        <v/>
      </c>
      <c r="AF1963">
        <f t="shared" si="197"/>
        <v>0</v>
      </c>
      <c r="AG1963" t="str">
        <f t="shared" si="198"/>
        <v/>
      </c>
      <c r="AH1963" t="str">
        <f t="shared" si="199"/>
        <v/>
      </c>
      <c r="AI1963">
        <f t="shared" si="200"/>
        <v>0</v>
      </c>
      <c r="AJ1963">
        <f t="shared" si="201"/>
        <v>0</v>
      </c>
      <c r="AK1963">
        <v>0</v>
      </c>
      <c r="AL1963" t="str">
        <f>IF(AA1963="","",IFERROR(IF(ISNUMBER('Procyflof 700'!D464),'Procyflof 700'!D464,IF(ISNUMBER(SEARCH("12",'Procyflof 700'!D464)),EDATE(AB1963,12),IF(ISNUMBER(SEARCH("6",'Procyflof 700'!D464)),EDATE(AB1963,6),IF(ISNUMBER(SEARCH("3",'Procyflof 700'!D464)),EDATE(AB1963,3),DATEVALUE('Procyflof 700'!D464))))),""))</f>
        <v/>
      </c>
      <c r="AM1963" t="str">
        <f t="shared" ca="1" si="202"/>
        <v/>
      </c>
    </row>
    <row r="1964" spans="27:39" x14ac:dyDescent="0.3">
      <c r="AA1964" t="str">
        <f>IF(COUNTA('Procyflof 700'!A465,'Procyflof 700'!B465,'Procyflof 700'!C465)&gt;0,"700","")</f>
        <v/>
      </c>
      <c r="AB1964" t="str">
        <f>IFERROR(IF(ISNUMBER('Procyflof 700'!A465),'Procyflof 700'!A465,DATEVALUE('Procyflof 700'!A465)),"")</f>
        <v/>
      </c>
      <c r="AC1964" t="str">
        <f>IF(AA1964="","",'Procyflof 700'!B465)</f>
        <v/>
      </c>
      <c r="AD1964" t="str">
        <f>IF(AA1964="","",IFERROR(1*'Procyflof 700'!C465,IFERROR(_xludf.NUMBERVALUE('Procyflof 700'!C465,".",","),IFERROR(_xludf.NUMBERVALUE('Procyflof 700'!C465,",","."),0))))</f>
        <v/>
      </c>
      <c r="AE1964" t="str">
        <f>IF(AA1964="","",'Procyflof 700'!N465)</f>
        <v/>
      </c>
      <c r="AF1964">
        <f t="shared" si="197"/>
        <v>0</v>
      </c>
      <c r="AG1964" t="str">
        <f t="shared" si="198"/>
        <v/>
      </c>
      <c r="AH1964" t="str">
        <f t="shared" si="199"/>
        <v/>
      </c>
      <c r="AI1964">
        <f t="shared" si="200"/>
        <v>0</v>
      </c>
      <c r="AJ1964">
        <f t="shared" si="201"/>
        <v>0</v>
      </c>
      <c r="AK1964">
        <v>0</v>
      </c>
      <c r="AL1964" t="str">
        <f>IF(AA1964="","",IFERROR(IF(ISNUMBER('Procyflof 700'!D465),'Procyflof 700'!D465,IF(ISNUMBER(SEARCH("12",'Procyflof 700'!D465)),EDATE(AB1964,12),IF(ISNUMBER(SEARCH("6",'Procyflof 700'!D465)),EDATE(AB1964,6),IF(ISNUMBER(SEARCH("3",'Procyflof 700'!D465)),EDATE(AB1964,3),DATEVALUE('Procyflof 700'!D465))))),""))</f>
        <v/>
      </c>
      <c r="AM1964" t="str">
        <f t="shared" ca="1" si="202"/>
        <v/>
      </c>
    </row>
    <row r="1965" spans="27:39" x14ac:dyDescent="0.3">
      <c r="AA1965" t="str">
        <f>IF(COUNTA('Procyflof 700'!A466,'Procyflof 700'!B466,'Procyflof 700'!C466)&gt;0,"700","")</f>
        <v/>
      </c>
      <c r="AB1965" t="str">
        <f>IFERROR(IF(ISNUMBER('Procyflof 700'!A466),'Procyflof 700'!A466,DATEVALUE('Procyflof 700'!A466)),"")</f>
        <v/>
      </c>
      <c r="AC1965" t="str">
        <f>IF(AA1965="","",'Procyflof 700'!B466)</f>
        <v/>
      </c>
      <c r="AD1965" t="str">
        <f>IF(AA1965="","",IFERROR(1*'Procyflof 700'!C466,IFERROR(_xludf.NUMBERVALUE('Procyflof 700'!C466,".",","),IFERROR(_xludf.NUMBERVALUE('Procyflof 700'!C466,",","."),0))))</f>
        <v/>
      </c>
      <c r="AE1965" t="str">
        <f>IF(AA1965="","",'Procyflof 700'!N466)</f>
        <v/>
      </c>
      <c r="AF1965">
        <f t="shared" si="197"/>
        <v>0</v>
      </c>
      <c r="AG1965" t="str">
        <f t="shared" si="198"/>
        <v/>
      </c>
      <c r="AH1965" t="str">
        <f t="shared" si="199"/>
        <v/>
      </c>
      <c r="AI1965">
        <f t="shared" si="200"/>
        <v>0</v>
      </c>
      <c r="AJ1965">
        <f t="shared" si="201"/>
        <v>0</v>
      </c>
      <c r="AK1965">
        <v>0</v>
      </c>
      <c r="AL1965" t="str">
        <f>IF(AA1965="","",IFERROR(IF(ISNUMBER('Procyflof 700'!D466),'Procyflof 700'!D466,IF(ISNUMBER(SEARCH("12",'Procyflof 700'!D466)),EDATE(AB1965,12),IF(ISNUMBER(SEARCH("6",'Procyflof 700'!D466)),EDATE(AB1965,6),IF(ISNUMBER(SEARCH("3",'Procyflof 700'!D466)),EDATE(AB1965,3),DATEVALUE('Procyflof 700'!D466))))),""))</f>
        <v/>
      </c>
      <c r="AM1965" t="str">
        <f t="shared" ca="1" si="202"/>
        <v/>
      </c>
    </row>
    <row r="1966" spans="27:39" x14ac:dyDescent="0.3">
      <c r="AA1966" t="str">
        <f>IF(COUNTA('Procyflof 700'!A467,'Procyflof 700'!B467,'Procyflof 700'!C467)&gt;0,"700","")</f>
        <v/>
      </c>
      <c r="AB1966" t="str">
        <f>IFERROR(IF(ISNUMBER('Procyflof 700'!A467),'Procyflof 700'!A467,DATEVALUE('Procyflof 700'!A467)),"")</f>
        <v/>
      </c>
      <c r="AC1966" t="str">
        <f>IF(AA1966="","",'Procyflof 700'!B467)</f>
        <v/>
      </c>
      <c r="AD1966" t="str">
        <f>IF(AA1966="","",IFERROR(1*'Procyflof 700'!C467,IFERROR(_xludf.NUMBERVALUE('Procyflof 700'!C467,".",","),IFERROR(_xludf.NUMBERVALUE('Procyflof 700'!C467,",","."),0))))</f>
        <v/>
      </c>
      <c r="AE1966" t="str">
        <f>IF(AA1966="","",'Procyflof 700'!N467)</f>
        <v/>
      </c>
      <c r="AF1966">
        <f t="shared" si="197"/>
        <v>0</v>
      </c>
      <c r="AG1966" t="str">
        <f t="shared" si="198"/>
        <v/>
      </c>
      <c r="AH1966" t="str">
        <f t="shared" si="199"/>
        <v/>
      </c>
      <c r="AI1966">
        <f t="shared" si="200"/>
        <v>0</v>
      </c>
      <c r="AJ1966">
        <f t="shared" si="201"/>
        <v>0</v>
      </c>
      <c r="AK1966">
        <v>0</v>
      </c>
      <c r="AL1966" t="str">
        <f>IF(AA1966="","",IFERROR(IF(ISNUMBER('Procyflof 700'!D467),'Procyflof 700'!D467,IF(ISNUMBER(SEARCH("12",'Procyflof 700'!D467)),EDATE(AB1966,12),IF(ISNUMBER(SEARCH("6",'Procyflof 700'!D467)),EDATE(AB1966,6),IF(ISNUMBER(SEARCH("3",'Procyflof 700'!D467)),EDATE(AB1966,3),DATEVALUE('Procyflof 700'!D467))))),""))</f>
        <v/>
      </c>
      <c r="AM1966" t="str">
        <f t="shared" ca="1" si="202"/>
        <v/>
      </c>
    </row>
    <row r="1967" spans="27:39" x14ac:dyDescent="0.3">
      <c r="AA1967" t="str">
        <f>IF(COUNTA('Procyflof 700'!A468,'Procyflof 700'!B468,'Procyflof 700'!C468)&gt;0,"700","")</f>
        <v/>
      </c>
      <c r="AB1967" t="str">
        <f>IFERROR(IF(ISNUMBER('Procyflof 700'!A468),'Procyflof 700'!A468,DATEVALUE('Procyflof 700'!A468)),"")</f>
        <v/>
      </c>
      <c r="AC1967" t="str">
        <f>IF(AA1967="","",'Procyflof 700'!B468)</f>
        <v/>
      </c>
      <c r="AD1967" t="str">
        <f>IF(AA1967="","",IFERROR(1*'Procyflof 700'!C468,IFERROR(_xludf.NUMBERVALUE('Procyflof 700'!C468,".",","),IFERROR(_xludf.NUMBERVALUE('Procyflof 700'!C468,",","."),0))))</f>
        <v/>
      </c>
      <c r="AE1967" t="str">
        <f>IF(AA1967="","",'Procyflof 700'!N468)</f>
        <v/>
      </c>
      <c r="AF1967">
        <f t="shared" si="197"/>
        <v>0</v>
      </c>
      <c r="AG1967" t="str">
        <f t="shared" si="198"/>
        <v/>
      </c>
      <c r="AH1967" t="str">
        <f t="shared" si="199"/>
        <v/>
      </c>
      <c r="AI1967">
        <f t="shared" si="200"/>
        <v>0</v>
      </c>
      <c r="AJ1967">
        <f t="shared" si="201"/>
        <v>0</v>
      </c>
      <c r="AK1967">
        <v>0</v>
      </c>
      <c r="AL1967" t="str">
        <f>IF(AA1967="","",IFERROR(IF(ISNUMBER('Procyflof 700'!D468),'Procyflof 700'!D468,IF(ISNUMBER(SEARCH("12",'Procyflof 700'!D468)),EDATE(AB1967,12),IF(ISNUMBER(SEARCH("6",'Procyflof 700'!D468)),EDATE(AB1967,6),IF(ISNUMBER(SEARCH("3",'Procyflof 700'!D468)),EDATE(AB1967,3),DATEVALUE('Procyflof 700'!D468))))),""))</f>
        <v/>
      </c>
      <c r="AM1967" t="str">
        <f t="shared" ca="1" si="202"/>
        <v/>
      </c>
    </row>
    <row r="1968" spans="27:39" x14ac:dyDescent="0.3">
      <c r="AA1968" t="str">
        <f>IF(COUNTA('Procyflof 700'!A469,'Procyflof 700'!B469,'Procyflof 700'!C469)&gt;0,"700","")</f>
        <v/>
      </c>
      <c r="AB1968" t="str">
        <f>IFERROR(IF(ISNUMBER('Procyflof 700'!A469),'Procyflof 700'!A469,DATEVALUE('Procyflof 700'!A469)),"")</f>
        <v/>
      </c>
      <c r="AC1968" t="str">
        <f>IF(AA1968="","",'Procyflof 700'!B469)</f>
        <v/>
      </c>
      <c r="AD1968" t="str">
        <f>IF(AA1968="","",IFERROR(1*'Procyflof 700'!C469,IFERROR(_xludf.NUMBERVALUE('Procyflof 700'!C469,".",","),IFERROR(_xludf.NUMBERVALUE('Procyflof 700'!C469,",","."),0))))</f>
        <v/>
      </c>
      <c r="AE1968" t="str">
        <f>IF(AA1968="","",'Procyflof 700'!N469)</f>
        <v/>
      </c>
      <c r="AF1968">
        <f t="shared" si="197"/>
        <v>0</v>
      </c>
      <c r="AG1968" t="str">
        <f t="shared" si="198"/>
        <v/>
      </c>
      <c r="AH1968" t="str">
        <f t="shared" si="199"/>
        <v/>
      </c>
      <c r="AI1968">
        <f t="shared" si="200"/>
        <v>0</v>
      </c>
      <c r="AJ1968">
        <f t="shared" si="201"/>
        <v>0</v>
      </c>
      <c r="AK1968">
        <v>0</v>
      </c>
      <c r="AL1968" t="str">
        <f>IF(AA1968="","",IFERROR(IF(ISNUMBER('Procyflof 700'!D469),'Procyflof 700'!D469,IF(ISNUMBER(SEARCH("12",'Procyflof 700'!D469)),EDATE(AB1968,12),IF(ISNUMBER(SEARCH("6",'Procyflof 700'!D469)),EDATE(AB1968,6),IF(ISNUMBER(SEARCH("3",'Procyflof 700'!D469)),EDATE(AB1968,3),DATEVALUE('Procyflof 700'!D469))))),""))</f>
        <v/>
      </c>
      <c r="AM1968" t="str">
        <f t="shared" ca="1" si="202"/>
        <v/>
      </c>
    </row>
    <row r="1969" spans="27:39" x14ac:dyDescent="0.3">
      <c r="AA1969" t="str">
        <f>IF(COUNTA('Procyflof 700'!A470,'Procyflof 700'!B470,'Procyflof 700'!C470)&gt;0,"700","")</f>
        <v/>
      </c>
      <c r="AB1969" t="str">
        <f>IFERROR(IF(ISNUMBER('Procyflof 700'!A470),'Procyflof 700'!A470,DATEVALUE('Procyflof 700'!A470)),"")</f>
        <v/>
      </c>
      <c r="AC1969" t="str">
        <f>IF(AA1969="","",'Procyflof 700'!B470)</f>
        <v/>
      </c>
      <c r="AD1969" t="str">
        <f>IF(AA1969="","",IFERROR(1*'Procyflof 700'!C470,IFERROR(_xludf.NUMBERVALUE('Procyflof 700'!C470,".",","),IFERROR(_xludf.NUMBERVALUE('Procyflof 700'!C470,",","."),0))))</f>
        <v/>
      </c>
      <c r="AE1969" t="str">
        <f>IF(AA1969="","",'Procyflof 700'!N470)</f>
        <v/>
      </c>
      <c r="AF1969">
        <f t="shared" si="197"/>
        <v>0</v>
      </c>
      <c r="AG1969" t="str">
        <f t="shared" si="198"/>
        <v/>
      </c>
      <c r="AH1969" t="str">
        <f t="shared" si="199"/>
        <v/>
      </c>
      <c r="AI1969">
        <f t="shared" si="200"/>
        <v>0</v>
      </c>
      <c r="AJ1969">
        <f t="shared" si="201"/>
        <v>0</v>
      </c>
      <c r="AK1969">
        <v>0</v>
      </c>
      <c r="AL1969" t="str">
        <f>IF(AA1969="","",IFERROR(IF(ISNUMBER('Procyflof 700'!D470),'Procyflof 700'!D470,IF(ISNUMBER(SEARCH("12",'Procyflof 700'!D470)),EDATE(AB1969,12),IF(ISNUMBER(SEARCH("6",'Procyflof 700'!D470)),EDATE(AB1969,6),IF(ISNUMBER(SEARCH("3",'Procyflof 700'!D470)),EDATE(AB1969,3),DATEVALUE('Procyflof 700'!D470))))),""))</f>
        <v/>
      </c>
      <c r="AM1969" t="str">
        <f t="shared" ca="1" si="202"/>
        <v/>
      </c>
    </row>
    <row r="1970" spans="27:39" x14ac:dyDescent="0.3">
      <c r="AA1970" t="str">
        <f>IF(COUNTA('Procyflof 700'!A471,'Procyflof 700'!B471,'Procyflof 700'!C471)&gt;0,"700","")</f>
        <v/>
      </c>
      <c r="AB1970" t="str">
        <f>IFERROR(IF(ISNUMBER('Procyflof 700'!A471),'Procyflof 700'!A471,DATEVALUE('Procyflof 700'!A471)),"")</f>
        <v/>
      </c>
      <c r="AC1970" t="str">
        <f>IF(AA1970="","",'Procyflof 700'!B471)</f>
        <v/>
      </c>
      <c r="AD1970" t="str">
        <f>IF(AA1970="","",IFERROR(1*'Procyflof 700'!C471,IFERROR(_xludf.NUMBERVALUE('Procyflof 700'!C471,".",","),IFERROR(_xludf.NUMBERVALUE('Procyflof 700'!C471,",","."),0))))</f>
        <v/>
      </c>
      <c r="AE1970" t="str">
        <f>IF(AA1970="","",'Procyflof 700'!N471)</f>
        <v/>
      </c>
      <c r="AF1970">
        <f t="shared" si="197"/>
        <v>0</v>
      </c>
      <c r="AG1970" t="str">
        <f t="shared" si="198"/>
        <v/>
      </c>
      <c r="AH1970" t="str">
        <f t="shared" si="199"/>
        <v/>
      </c>
      <c r="AI1970">
        <f t="shared" si="200"/>
        <v>0</v>
      </c>
      <c r="AJ1970">
        <f t="shared" si="201"/>
        <v>0</v>
      </c>
      <c r="AK1970">
        <v>0</v>
      </c>
      <c r="AL1970" t="str">
        <f>IF(AA1970="","",IFERROR(IF(ISNUMBER('Procyflof 700'!D471),'Procyflof 700'!D471,IF(ISNUMBER(SEARCH("12",'Procyflof 700'!D471)),EDATE(AB1970,12),IF(ISNUMBER(SEARCH("6",'Procyflof 700'!D471)),EDATE(AB1970,6),IF(ISNUMBER(SEARCH("3",'Procyflof 700'!D471)),EDATE(AB1970,3),DATEVALUE('Procyflof 700'!D471))))),""))</f>
        <v/>
      </c>
      <c r="AM1970" t="str">
        <f t="shared" ca="1" si="202"/>
        <v/>
      </c>
    </row>
    <row r="1971" spans="27:39" x14ac:dyDescent="0.3">
      <c r="AA1971" t="str">
        <f>IF(COUNTA('Procyflof 700'!A472,'Procyflof 700'!B472,'Procyflof 700'!C472)&gt;0,"700","")</f>
        <v/>
      </c>
      <c r="AB1971" t="str">
        <f>IFERROR(IF(ISNUMBER('Procyflof 700'!A472),'Procyflof 700'!A472,DATEVALUE('Procyflof 700'!A472)),"")</f>
        <v/>
      </c>
      <c r="AC1971" t="str">
        <f>IF(AA1971="","",'Procyflof 700'!B472)</f>
        <v/>
      </c>
      <c r="AD1971" t="str">
        <f>IF(AA1971="","",IFERROR(1*'Procyflof 700'!C472,IFERROR(_xludf.NUMBERVALUE('Procyflof 700'!C472,".",","),IFERROR(_xludf.NUMBERVALUE('Procyflof 700'!C472,",","."),0))))</f>
        <v/>
      </c>
      <c r="AE1971" t="str">
        <f>IF(AA1971="","",'Procyflof 700'!N472)</f>
        <v/>
      </c>
      <c r="AF1971">
        <f t="shared" si="197"/>
        <v>0</v>
      </c>
      <c r="AG1971" t="str">
        <f t="shared" si="198"/>
        <v/>
      </c>
      <c r="AH1971" t="str">
        <f t="shared" si="199"/>
        <v/>
      </c>
      <c r="AI1971">
        <f t="shared" si="200"/>
        <v>0</v>
      </c>
      <c r="AJ1971">
        <f t="shared" si="201"/>
        <v>0</v>
      </c>
      <c r="AK1971">
        <v>0</v>
      </c>
      <c r="AL1971" t="str">
        <f>IF(AA1971="","",IFERROR(IF(ISNUMBER('Procyflof 700'!D472),'Procyflof 700'!D472,IF(ISNUMBER(SEARCH("12",'Procyflof 700'!D472)),EDATE(AB1971,12),IF(ISNUMBER(SEARCH("6",'Procyflof 700'!D472)),EDATE(AB1971,6),IF(ISNUMBER(SEARCH("3",'Procyflof 700'!D472)),EDATE(AB1971,3),DATEVALUE('Procyflof 700'!D472))))),""))</f>
        <v/>
      </c>
      <c r="AM1971" t="str">
        <f t="shared" ca="1" si="202"/>
        <v/>
      </c>
    </row>
    <row r="1972" spans="27:39" x14ac:dyDescent="0.3">
      <c r="AA1972" t="str">
        <f>IF(COUNTA('Procyflof 700'!A473,'Procyflof 700'!B473,'Procyflof 700'!C473)&gt;0,"700","")</f>
        <v/>
      </c>
      <c r="AB1972" t="str">
        <f>IFERROR(IF(ISNUMBER('Procyflof 700'!A473),'Procyflof 700'!A473,DATEVALUE('Procyflof 700'!A473)),"")</f>
        <v/>
      </c>
      <c r="AC1972" t="str">
        <f>IF(AA1972="","",'Procyflof 700'!B473)</f>
        <v/>
      </c>
      <c r="AD1972" t="str">
        <f>IF(AA1972="","",IFERROR(1*'Procyflof 700'!C473,IFERROR(_xludf.NUMBERVALUE('Procyflof 700'!C473,".",","),IFERROR(_xludf.NUMBERVALUE('Procyflof 700'!C473,",","."),0))))</f>
        <v/>
      </c>
      <c r="AE1972" t="str">
        <f>IF(AA1972="","",'Procyflof 700'!N473)</f>
        <v/>
      </c>
      <c r="AF1972">
        <f t="shared" si="197"/>
        <v>0</v>
      </c>
      <c r="AG1972" t="str">
        <f t="shared" si="198"/>
        <v/>
      </c>
      <c r="AH1972" t="str">
        <f t="shared" si="199"/>
        <v/>
      </c>
      <c r="AI1972">
        <f t="shared" si="200"/>
        <v>0</v>
      </c>
      <c r="AJ1972">
        <f t="shared" si="201"/>
        <v>0</v>
      </c>
      <c r="AK1972">
        <v>0</v>
      </c>
      <c r="AL1972" t="str">
        <f>IF(AA1972="","",IFERROR(IF(ISNUMBER('Procyflof 700'!D473),'Procyflof 700'!D473,IF(ISNUMBER(SEARCH("12",'Procyflof 700'!D473)),EDATE(AB1972,12),IF(ISNUMBER(SEARCH("6",'Procyflof 700'!D473)),EDATE(AB1972,6),IF(ISNUMBER(SEARCH("3",'Procyflof 700'!D473)),EDATE(AB1972,3),DATEVALUE('Procyflof 700'!D473))))),""))</f>
        <v/>
      </c>
      <c r="AM1972" t="str">
        <f t="shared" ca="1" si="202"/>
        <v/>
      </c>
    </row>
    <row r="1973" spans="27:39" x14ac:dyDescent="0.3">
      <c r="AA1973" t="str">
        <f>IF(COUNTA('Procyflof 700'!A474,'Procyflof 700'!B474,'Procyflof 700'!C474)&gt;0,"700","")</f>
        <v/>
      </c>
      <c r="AB1973" t="str">
        <f>IFERROR(IF(ISNUMBER('Procyflof 700'!A474),'Procyflof 700'!A474,DATEVALUE('Procyflof 700'!A474)),"")</f>
        <v/>
      </c>
      <c r="AC1973" t="str">
        <f>IF(AA1973="","",'Procyflof 700'!B474)</f>
        <v/>
      </c>
      <c r="AD1973" t="str">
        <f>IF(AA1973="","",IFERROR(1*'Procyflof 700'!C474,IFERROR(_xludf.NUMBERVALUE('Procyflof 700'!C474,".",","),IFERROR(_xludf.NUMBERVALUE('Procyflof 700'!C474,",","."),0))))</f>
        <v/>
      </c>
      <c r="AE1973" t="str">
        <f>IF(AA1973="","",'Procyflof 700'!N474)</f>
        <v/>
      </c>
      <c r="AF1973">
        <f t="shared" si="197"/>
        <v>0</v>
      </c>
      <c r="AG1973" t="str">
        <f t="shared" si="198"/>
        <v/>
      </c>
      <c r="AH1973" t="str">
        <f t="shared" si="199"/>
        <v/>
      </c>
      <c r="AI1973">
        <f t="shared" si="200"/>
        <v>0</v>
      </c>
      <c r="AJ1973">
        <f t="shared" si="201"/>
        <v>0</v>
      </c>
      <c r="AK1973">
        <v>0</v>
      </c>
      <c r="AL1973" t="str">
        <f>IF(AA1973="","",IFERROR(IF(ISNUMBER('Procyflof 700'!D474),'Procyflof 700'!D474,IF(ISNUMBER(SEARCH("12",'Procyflof 700'!D474)),EDATE(AB1973,12),IF(ISNUMBER(SEARCH("6",'Procyflof 700'!D474)),EDATE(AB1973,6),IF(ISNUMBER(SEARCH("3",'Procyflof 700'!D474)),EDATE(AB1973,3),DATEVALUE('Procyflof 700'!D474))))),""))</f>
        <v/>
      </c>
      <c r="AM1973" t="str">
        <f t="shared" ca="1" si="202"/>
        <v/>
      </c>
    </row>
    <row r="1974" spans="27:39" x14ac:dyDescent="0.3">
      <c r="AA1974" t="str">
        <f>IF(COUNTA('Procyflof 700'!A475,'Procyflof 700'!B475,'Procyflof 700'!C475)&gt;0,"700","")</f>
        <v/>
      </c>
      <c r="AB1974" t="str">
        <f>IFERROR(IF(ISNUMBER('Procyflof 700'!A475),'Procyflof 700'!A475,DATEVALUE('Procyflof 700'!A475)),"")</f>
        <v/>
      </c>
      <c r="AC1974" t="str">
        <f>IF(AA1974="","",'Procyflof 700'!B475)</f>
        <v/>
      </c>
      <c r="AD1974" t="str">
        <f>IF(AA1974="","",IFERROR(1*'Procyflof 700'!C475,IFERROR(_xludf.NUMBERVALUE('Procyflof 700'!C475,".",","),IFERROR(_xludf.NUMBERVALUE('Procyflof 700'!C475,",","."),0))))</f>
        <v/>
      </c>
      <c r="AE1974" t="str">
        <f>IF(AA1974="","",'Procyflof 700'!N475)</f>
        <v/>
      </c>
      <c r="AF1974">
        <f t="shared" si="197"/>
        <v>0</v>
      </c>
      <c r="AG1974" t="str">
        <f t="shared" si="198"/>
        <v/>
      </c>
      <c r="AH1974" t="str">
        <f t="shared" si="199"/>
        <v/>
      </c>
      <c r="AI1974">
        <f t="shared" si="200"/>
        <v>0</v>
      </c>
      <c r="AJ1974">
        <f t="shared" si="201"/>
        <v>0</v>
      </c>
      <c r="AK1974">
        <v>0</v>
      </c>
      <c r="AL1974" t="str">
        <f>IF(AA1974="","",IFERROR(IF(ISNUMBER('Procyflof 700'!D475),'Procyflof 700'!D475,IF(ISNUMBER(SEARCH("12",'Procyflof 700'!D475)),EDATE(AB1974,12),IF(ISNUMBER(SEARCH("6",'Procyflof 700'!D475)),EDATE(AB1974,6),IF(ISNUMBER(SEARCH("3",'Procyflof 700'!D475)),EDATE(AB1974,3),DATEVALUE('Procyflof 700'!D475))))),""))</f>
        <v/>
      </c>
      <c r="AM1974" t="str">
        <f t="shared" ca="1" si="202"/>
        <v/>
      </c>
    </row>
    <row r="1975" spans="27:39" x14ac:dyDescent="0.3">
      <c r="AA1975" t="str">
        <f>IF(COUNTA('Procyflof 700'!A476,'Procyflof 700'!B476,'Procyflof 700'!C476)&gt;0,"700","")</f>
        <v/>
      </c>
      <c r="AB1975" t="str">
        <f>IFERROR(IF(ISNUMBER('Procyflof 700'!A476),'Procyflof 700'!A476,DATEVALUE('Procyflof 700'!A476)),"")</f>
        <v/>
      </c>
      <c r="AC1975" t="str">
        <f>IF(AA1975="","",'Procyflof 700'!B476)</f>
        <v/>
      </c>
      <c r="AD1975" t="str">
        <f>IF(AA1975="","",IFERROR(1*'Procyflof 700'!C476,IFERROR(_xludf.NUMBERVALUE('Procyflof 700'!C476,".",","),IFERROR(_xludf.NUMBERVALUE('Procyflof 700'!C476,",","."),0))))</f>
        <v/>
      </c>
      <c r="AE1975" t="str">
        <f>IF(AA1975="","",'Procyflof 700'!N476)</f>
        <v/>
      </c>
      <c r="AF1975">
        <f t="shared" si="197"/>
        <v>0</v>
      </c>
      <c r="AG1975" t="str">
        <f t="shared" si="198"/>
        <v/>
      </c>
      <c r="AH1975" t="str">
        <f t="shared" si="199"/>
        <v/>
      </c>
      <c r="AI1975">
        <f t="shared" si="200"/>
        <v>0</v>
      </c>
      <c r="AJ1975">
        <f t="shared" si="201"/>
        <v>0</v>
      </c>
      <c r="AK1975">
        <v>0</v>
      </c>
      <c r="AL1975" t="str">
        <f>IF(AA1975="","",IFERROR(IF(ISNUMBER('Procyflof 700'!D476),'Procyflof 700'!D476,IF(ISNUMBER(SEARCH("12",'Procyflof 700'!D476)),EDATE(AB1975,12),IF(ISNUMBER(SEARCH("6",'Procyflof 700'!D476)),EDATE(AB1975,6),IF(ISNUMBER(SEARCH("3",'Procyflof 700'!D476)),EDATE(AB1975,3),DATEVALUE('Procyflof 700'!D476))))),""))</f>
        <v/>
      </c>
      <c r="AM1975" t="str">
        <f t="shared" ca="1" si="202"/>
        <v/>
      </c>
    </row>
    <row r="1976" spans="27:39" x14ac:dyDescent="0.3">
      <c r="AA1976" t="str">
        <f>IF(COUNTA('Procyflof 700'!A477,'Procyflof 700'!B477,'Procyflof 700'!C477)&gt;0,"700","")</f>
        <v/>
      </c>
      <c r="AB1976" t="str">
        <f>IFERROR(IF(ISNUMBER('Procyflof 700'!A477),'Procyflof 700'!A477,DATEVALUE('Procyflof 700'!A477)),"")</f>
        <v/>
      </c>
      <c r="AC1976" t="str">
        <f>IF(AA1976="","",'Procyflof 700'!B477)</f>
        <v/>
      </c>
      <c r="AD1976" t="str">
        <f>IF(AA1976="","",IFERROR(1*'Procyflof 700'!C477,IFERROR(_xludf.NUMBERVALUE('Procyflof 700'!C477,".",","),IFERROR(_xludf.NUMBERVALUE('Procyflof 700'!C477,",","."),0))))</f>
        <v/>
      </c>
      <c r="AE1976" t="str">
        <f>IF(AA1976="","",'Procyflof 700'!N477)</f>
        <v/>
      </c>
      <c r="AF1976">
        <f t="shared" si="197"/>
        <v>0</v>
      </c>
      <c r="AG1976" t="str">
        <f t="shared" si="198"/>
        <v/>
      </c>
      <c r="AH1976" t="str">
        <f t="shared" si="199"/>
        <v/>
      </c>
      <c r="AI1976">
        <f t="shared" si="200"/>
        <v>0</v>
      </c>
      <c r="AJ1976">
        <f t="shared" si="201"/>
        <v>0</v>
      </c>
      <c r="AK1976">
        <v>0</v>
      </c>
      <c r="AL1976" t="str">
        <f>IF(AA1976="","",IFERROR(IF(ISNUMBER('Procyflof 700'!D477),'Procyflof 700'!D477,IF(ISNUMBER(SEARCH("12",'Procyflof 700'!D477)),EDATE(AB1976,12),IF(ISNUMBER(SEARCH("6",'Procyflof 700'!D477)),EDATE(AB1976,6),IF(ISNUMBER(SEARCH("3",'Procyflof 700'!D477)),EDATE(AB1976,3),DATEVALUE('Procyflof 700'!D477))))),""))</f>
        <v/>
      </c>
      <c r="AM1976" t="str">
        <f t="shared" ca="1" si="202"/>
        <v/>
      </c>
    </row>
    <row r="1977" spans="27:39" x14ac:dyDescent="0.3">
      <c r="AA1977" t="str">
        <f>IF(COUNTA('Procyflof 700'!A478,'Procyflof 700'!B478,'Procyflof 700'!C478)&gt;0,"700","")</f>
        <v/>
      </c>
      <c r="AB1977" t="str">
        <f>IFERROR(IF(ISNUMBER('Procyflof 700'!A478),'Procyflof 700'!A478,DATEVALUE('Procyflof 700'!A478)),"")</f>
        <v/>
      </c>
      <c r="AC1977" t="str">
        <f>IF(AA1977="","",'Procyflof 700'!B478)</f>
        <v/>
      </c>
      <c r="AD1977" t="str">
        <f>IF(AA1977="","",IFERROR(1*'Procyflof 700'!C478,IFERROR(_xludf.NUMBERVALUE('Procyflof 700'!C478,".",","),IFERROR(_xludf.NUMBERVALUE('Procyflof 700'!C478,",","."),0))))</f>
        <v/>
      </c>
      <c r="AE1977" t="str">
        <f>IF(AA1977="","",'Procyflof 700'!N478)</f>
        <v/>
      </c>
      <c r="AF1977">
        <f t="shared" si="197"/>
        <v>0</v>
      </c>
      <c r="AG1977" t="str">
        <f t="shared" si="198"/>
        <v/>
      </c>
      <c r="AH1977" t="str">
        <f t="shared" si="199"/>
        <v/>
      </c>
      <c r="AI1977">
        <f t="shared" si="200"/>
        <v>0</v>
      </c>
      <c r="AJ1977">
        <f t="shared" si="201"/>
        <v>0</v>
      </c>
      <c r="AK1977">
        <v>0</v>
      </c>
      <c r="AL1977" t="str">
        <f>IF(AA1977="","",IFERROR(IF(ISNUMBER('Procyflof 700'!D478),'Procyflof 700'!D478,IF(ISNUMBER(SEARCH("12",'Procyflof 700'!D478)),EDATE(AB1977,12),IF(ISNUMBER(SEARCH("6",'Procyflof 700'!D478)),EDATE(AB1977,6),IF(ISNUMBER(SEARCH("3",'Procyflof 700'!D478)),EDATE(AB1977,3),DATEVALUE('Procyflof 700'!D478))))),""))</f>
        <v/>
      </c>
      <c r="AM1977" t="str">
        <f t="shared" ca="1" si="202"/>
        <v/>
      </c>
    </row>
    <row r="1978" spans="27:39" x14ac:dyDescent="0.3">
      <c r="AA1978" t="str">
        <f>IF(COUNTA('Procyflof 700'!A479,'Procyflof 700'!B479,'Procyflof 700'!C479)&gt;0,"700","")</f>
        <v/>
      </c>
      <c r="AB1978" t="str">
        <f>IFERROR(IF(ISNUMBER('Procyflof 700'!A479),'Procyflof 700'!A479,DATEVALUE('Procyflof 700'!A479)),"")</f>
        <v/>
      </c>
      <c r="AC1978" t="str">
        <f>IF(AA1978="","",'Procyflof 700'!B479)</f>
        <v/>
      </c>
      <c r="AD1978" t="str">
        <f>IF(AA1978="","",IFERROR(1*'Procyflof 700'!C479,IFERROR(_xludf.NUMBERVALUE('Procyflof 700'!C479,".",","),IFERROR(_xludf.NUMBERVALUE('Procyflof 700'!C479,",","."),0))))</f>
        <v/>
      </c>
      <c r="AE1978" t="str">
        <f>IF(AA1978="","",'Procyflof 700'!N479)</f>
        <v/>
      </c>
      <c r="AF1978">
        <f t="shared" si="197"/>
        <v>0</v>
      </c>
      <c r="AG1978" t="str">
        <f t="shared" si="198"/>
        <v/>
      </c>
      <c r="AH1978" t="str">
        <f t="shared" si="199"/>
        <v/>
      </c>
      <c r="AI1978">
        <f t="shared" si="200"/>
        <v>0</v>
      </c>
      <c r="AJ1978">
        <f t="shared" si="201"/>
        <v>0</v>
      </c>
      <c r="AK1978">
        <v>0</v>
      </c>
      <c r="AL1978" t="str">
        <f>IF(AA1978="","",IFERROR(IF(ISNUMBER('Procyflof 700'!D479),'Procyflof 700'!D479,IF(ISNUMBER(SEARCH("12",'Procyflof 700'!D479)),EDATE(AB1978,12),IF(ISNUMBER(SEARCH("6",'Procyflof 700'!D479)),EDATE(AB1978,6),IF(ISNUMBER(SEARCH("3",'Procyflof 700'!D479)),EDATE(AB1978,3),DATEVALUE('Procyflof 700'!D479))))),""))</f>
        <v/>
      </c>
      <c r="AM1978" t="str">
        <f t="shared" ca="1" si="202"/>
        <v/>
      </c>
    </row>
    <row r="1979" spans="27:39" x14ac:dyDescent="0.3">
      <c r="AA1979" t="str">
        <f>IF(COUNTA('Procyflof 700'!A480,'Procyflof 700'!B480,'Procyflof 700'!C480)&gt;0,"700","")</f>
        <v/>
      </c>
      <c r="AB1979" t="str">
        <f>IFERROR(IF(ISNUMBER('Procyflof 700'!A480),'Procyflof 700'!A480,DATEVALUE('Procyflof 700'!A480)),"")</f>
        <v/>
      </c>
      <c r="AC1979" t="str">
        <f>IF(AA1979="","",'Procyflof 700'!B480)</f>
        <v/>
      </c>
      <c r="AD1979" t="str">
        <f>IF(AA1979="","",IFERROR(1*'Procyflof 700'!C480,IFERROR(_xludf.NUMBERVALUE('Procyflof 700'!C480,".",","),IFERROR(_xludf.NUMBERVALUE('Procyflof 700'!C480,",","."),0))))</f>
        <v/>
      </c>
      <c r="AE1979" t="str">
        <f>IF(AA1979="","",'Procyflof 700'!N480)</f>
        <v/>
      </c>
      <c r="AF1979">
        <f t="shared" si="197"/>
        <v>0</v>
      </c>
      <c r="AG1979" t="str">
        <f t="shared" si="198"/>
        <v/>
      </c>
      <c r="AH1979" t="str">
        <f t="shared" si="199"/>
        <v/>
      </c>
      <c r="AI1979">
        <f t="shared" si="200"/>
        <v>0</v>
      </c>
      <c r="AJ1979">
        <f t="shared" si="201"/>
        <v>0</v>
      </c>
      <c r="AK1979">
        <v>0</v>
      </c>
      <c r="AL1979" t="str">
        <f>IF(AA1979="","",IFERROR(IF(ISNUMBER('Procyflof 700'!D480),'Procyflof 700'!D480,IF(ISNUMBER(SEARCH("12",'Procyflof 700'!D480)),EDATE(AB1979,12),IF(ISNUMBER(SEARCH("6",'Procyflof 700'!D480)),EDATE(AB1979,6),IF(ISNUMBER(SEARCH("3",'Procyflof 700'!D480)),EDATE(AB1979,3),DATEVALUE('Procyflof 700'!D480))))),""))</f>
        <v/>
      </c>
      <c r="AM1979" t="str">
        <f t="shared" ca="1" si="202"/>
        <v/>
      </c>
    </row>
    <row r="1980" spans="27:39" x14ac:dyDescent="0.3">
      <c r="AA1980" t="str">
        <f>IF(COUNTA('Procyflof 700'!A481,'Procyflof 700'!B481,'Procyflof 700'!C481)&gt;0,"700","")</f>
        <v/>
      </c>
      <c r="AB1980" t="str">
        <f>IFERROR(IF(ISNUMBER('Procyflof 700'!A481),'Procyflof 700'!A481,DATEVALUE('Procyflof 700'!A481)),"")</f>
        <v/>
      </c>
      <c r="AC1980" t="str">
        <f>IF(AA1980="","",'Procyflof 700'!B481)</f>
        <v/>
      </c>
      <c r="AD1980" t="str">
        <f>IF(AA1980="","",IFERROR(1*'Procyflof 700'!C481,IFERROR(_xludf.NUMBERVALUE('Procyflof 700'!C481,".",","),IFERROR(_xludf.NUMBERVALUE('Procyflof 700'!C481,",","."),0))))</f>
        <v/>
      </c>
      <c r="AE1980" t="str">
        <f>IF(AA1980="","",'Procyflof 700'!N481)</f>
        <v/>
      </c>
      <c r="AF1980">
        <f t="shared" si="197"/>
        <v>0</v>
      </c>
      <c r="AG1980" t="str">
        <f t="shared" si="198"/>
        <v/>
      </c>
      <c r="AH1980" t="str">
        <f t="shared" si="199"/>
        <v/>
      </c>
      <c r="AI1980">
        <f t="shared" si="200"/>
        <v>0</v>
      </c>
      <c r="AJ1980">
        <f t="shared" si="201"/>
        <v>0</v>
      </c>
      <c r="AK1980">
        <v>0</v>
      </c>
      <c r="AL1980" t="str">
        <f>IF(AA1980="","",IFERROR(IF(ISNUMBER('Procyflof 700'!D481),'Procyflof 700'!D481,IF(ISNUMBER(SEARCH("12",'Procyflof 700'!D481)),EDATE(AB1980,12),IF(ISNUMBER(SEARCH("6",'Procyflof 700'!D481)),EDATE(AB1980,6),IF(ISNUMBER(SEARCH("3",'Procyflof 700'!D481)),EDATE(AB1980,3),DATEVALUE('Procyflof 700'!D481))))),""))</f>
        <v/>
      </c>
      <c r="AM1980" t="str">
        <f t="shared" ca="1" si="202"/>
        <v/>
      </c>
    </row>
    <row r="1981" spans="27:39" x14ac:dyDescent="0.3">
      <c r="AA1981" t="str">
        <f>IF(COUNTA('Procyflof 700'!A482,'Procyflof 700'!B482,'Procyflof 700'!C482)&gt;0,"700","")</f>
        <v/>
      </c>
      <c r="AB1981" t="str">
        <f>IFERROR(IF(ISNUMBER('Procyflof 700'!A482),'Procyflof 700'!A482,DATEVALUE('Procyflof 700'!A482)),"")</f>
        <v/>
      </c>
      <c r="AC1981" t="str">
        <f>IF(AA1981="","",'Procyflof 700'!B482)</f>
        <v/>
      </c>
      <c r="AD1981" t="str">
        <f>IF(AA1981="","",IFERROR(1*'Procyflof 700'!C482,IFERROR(_xludf.NUMBERVALUE('Procyflof 700'!C482,".",","),IFERROR(_xludf.NUMBERVALUE('Procyflof 700'!C482,",","."),0))))</f>
        <v/>
      </c>
      <c r="AE1981" t="str">
        <f>IF(AA1981="","",'Procyflof 700'!N482)</f>
        <v/>
      </c>
      <c r="AF1981">
        <f t="shared" si="197"/>
        <v>0</v>
      </c>
      <c r="AG1981" t="str">
        <f t="shared" si="198"/>
        <v/>
      </c>
      <c r="AH1981" t="str">
        <f t="shared" si="199"/>
        <v/>
      </c>
      <c r="AI1981">
        <f t="shared" si="200"/>
        <v>0</v>
      </c>
      <c r="AJ1981">
        <f t="shared" si="201"/>
        <v>0</v>
      </c>
      <c r="AK1981">
        <v>0</v>
      </c>
      <c r="AL1981" t="str">
        <f>IF(AA1981="","",IFERROR(IF(ISNUMBER('Procyflof 700'!D482),'Procyflof 700'!D482,IF(ISNUMBER(SEARCH("12",'Procyflof 700'!D482)),EDATE(AB1981,12),IF(ISNUMBER(SEARCH("6",'Procyflof 700'!D482)),EDATE(AB1981,6),IF(ISNUMBER(SEARCH("3",'Procyflof 700'!D482)),EDATE(AB1981,3),DATEVALUE('Procyflof 700'!D482))))),""))</f>
        <v/>
      </c>
      <c r="AM1981" t="str">
        <f t="shared" ca="1" si="202"/>
        <v/>
      </c>
    </row>
    <row r="1982" spans="27:39" x14ac:dyDescent="0.3">
      <c r="AA1982" t="str">
        <f>IF(COUNTA('Procyflof 700'!A483,'Procyflof 700'!B483,'Procyflof 700'!C483)&gt;0,"700","")</f>
        <v/>
      </c>
      <c r="AB1982" t="str">
        <f>IFERROR(IF(ISNUMBER('Procyflof 700'!A483),'Procyflof 700'!A483,DATEVALUE('Procyflof 700'!A483)),"")</f>
        <v/>
      </c>
      <c r="AC1982" t="str">
        <f>IF(AA1982="","",'Procyflof 700'!B483)</f>
        <v/>
      </c>
      <c r="AD1982" t="str">
        <f>IF(AA1982="","",IFERROR(1*'Procyflof 700'!C483,IFERROR(_xludf.NUMBERVALUE('Procyflof 700'!C483,".",","),IFERROR(_xludf.NUMBERVALUE('Procyflof 700'!C483,",","."),0))))</f>
        <v/>
      </c>
      <c r="AE1982" t="str">
        <f>IF(AA1982="","",'Procyflof 700'!N483)</f>
        <v/>
      </c>
      <c r="AF1982">
        <f t="shared" si="197"/>
        <v>0</v>
      </c>
      <c r="AG1982" t="str">
        <f t="shared" si="198"/>
        <v/>
      </c>
      <c r="AH1982" t="str">
        <f t="shared" si="199"/>
        <v/>
      </c>
      <c r="AI1982">
        <f t="shared" si="200"/>
        <v>0</v>
      </c>
      <c r="AJ1982">
        <f t="shared" si="201"/>
        <v>0</v>
      </c>
      <c r="AK1982">
        <v>0</v>
      </c>
      <c r="AL1982" t="str">
        <f>IF(AA1982="","",IFERROR(IF(ISNUMBER('Procyflof 700'!D483),'Procyflof 700'!D483,IF(ISNUMBER(SEARCH("12",'Procyflof 700'!D483)),EDATE(AB1982,12),IF(ISNUMBER(SEARCH("6",'Procyflof 700'!D483)),EDATE(AB1982,6),IF(ISNUMBER(SEARCH("3",'Procyflof 700'!D483)),EDATE(AB1982,3),DATEVALUE('Procyflof 700'!D483))))),""))</f>
        <v/>
      </c>
      <c r="AM1982" t="str">
        <f t="shared" ca="1" si="202"/>
        <v/>
      </c>
    </row>
    <row r="1983" spans="27:39" x14ac:dyDescent="0.3">
      <c r="AA1983" t="str">
        <f>IF(COUNTA('Procyflof 700'!A484,'Procyflof 700'!B484,'Procyflof 700'!C484)&gt;0,"700","")</f>
        <v/>
      </c>
      <c r="AB1983" t="str">
        <f>IFERROR(IF(ISNUMBER('Procyflof 700'!A484),'Procyflof 700'!A484,DATEVALUE('Procyflof 700'!A484)),"")</f>
        <v/>
      </c>
      <c r="AC1983" t="str">
        <f>IF(AA1983="","",'Procyflof 700'!B484)</f>
        <v/>
      </c>
      <c r="AD1983" t="str">
        <f>IF(AA1983="","",IFERROR(1*'Procyflof 700'!C484,IFERROR(_xludf.NUMBERVALUE('Procyflof 700'!C484,".",","),IFERROR(_xludf.NUMBERVALUE('Procyflof 700'!C484,",","."),0))))</f>
        <v/>
      </c>
      <c r="AE1983" t="str">
        <f>IF(AA1983="","",'Procyflof 700'!N484)</f>
        <v/>
      </c>
      <c r="AF1983">
        <f t="shared" si="197"/>
        <v>0</v>
      </c>
      <c r="AG1983" t="str">
        <f t="shared" si="198"/>
        <v/>
      </c>
      <c r="AH1983" t="str">
        <f t="shared" si="199"/>
        <v/>
      </c>
      <c r="AI1983">
        <f t="shared" si="200"/>
        <v>0</v>
      </c>
      <c r="AJ1983">
        <f t="shared" si="201"/>
        <v>0</v>
      </c>
      <c r="AK1983">
        <v>0</v>
      </c>
      <c r="AL1983" t="str">
        <f>IF(AA1983="","",IFERROR(IF(ISNUMBER('Procyflof 700'!D484),'Procyflof 700'!D484,IF(ISNUMBER(SEARCH("12",'Procyflof 700'!D484)),EDATE(AB1983,12),IF(ISNUMBER(SEARCH("6",'Procyflof 700'!D484)),EDATE(AB1983,6),IF(ISNUMBER(SEARCH("3",'Procyflof 700'!D484)),EDATE(AB1983,3),DATEVALUE('Procyflof 700'!D484))))),""))</f>
        <v/>
      </c>
      <c r="AM1983" t="str">
        <f t="shared" ca="1" si="202"/>
        <v/>
      </c>
    </row>
    <row r="1984" spans="27:39" x14ac:dyDescent="0.3">
      <c r="AA1984" t="str">
        <f>IF(COUNTA('Procyflof 700'!A485,'Procyflof 700'!B485,'Procyflof 700'!C485)&gt;0,"700","")</f>
        <v/>
      </c>
      <c r="AB1984" t="str">
        <f>IFERROR(IF(ISNUMBER('Procyflof 700'!A485),'Procyflof 700'!A485,DATEVALUE('Procyflof 700'!A485)),"")</f>
        <v/>
      </c>
      <c r="AC1984" t="str">
        <f>IF(AA1984="","",'Procyflof 700'!B485)</f>
        <v/>
      </c>
      <c r="AD1984" t="str">
        <f>IF(AA1984="","",IFERROR(1*'Procyflof 700'!C485,IFERROR(_xludf.NUMBERVALUE('Procyflof 700'!C485,".",","),IFERROR(_xludf.NUMBERVALUE('Procyflof 700'!C485,",","."),0))))</f>
        <v/>
      </c>
      <c r="AE1984" t="str">
        <f>IF(AA1984="","",'Procyflof 700'!N485)</f>
        <v/>
      </c>
      <c r="AF1984">
        <f t="shared" si="197"/>
        <v>0</v>
      </c>
      <c r="AG1984" t="str">
        <f t="shared" si="198"/>
        <v/>
      </c>
      <c r="AH1984" t="str">
        <f t="shared" si="199"/>
        <v/>
      </c>
      <c r="AI1984">
        <f t="shared" si="200"/>
        <v>0</v>
      </c>
      <c r="AJ1984">
        <f t="shared" si="201"/>
        <v>0</v>
      </c>
      <c r="AK1984">
        <v>0</v>
      </c>
      <c r="AL1984" t="str">
        <f>IF(AA1984="","",IFERROR(IF(ISNUMBER('Procyflof 700'!D485),'Procyflof 700'!D485,IF(ISNUMBER(SEARCH("12",'Procyflof 700'!D485)),EDATE(AB1984,12),IF(ISNUMBER(SEARCH("6",'Procyflof 700'!D485)),EDATE(AB1984,6),IF(ISNUMBER(SEARCH("3",'Procyflof 700'!D485)),EDATE(AB1984,3),DATEVALUE('Procyflof 700'!D485))))),""))</f>
        <v/>
      </c>
      <c r="AM1984" t="str">
        <f t="shared" ca="1" si="202"/>
        <v/>
      </c>
    </row>
    <row r="1985" spans="27:39" x14ac:dyDescent="0.3">
      <c r="AA1985" t="str">
        <f>IF(COUNTA('Procyflof 700'!A486,'Procyflof 700'!B486,'Procyflof 700'!C486)&gt;0,"700","")</f>
        <v/>
      </c>
      <c r="AB1985" t="str">
        <f>IFERROR(IF(ISNUMBER('Procyflof 700'!A486),'Procyflof 700'!A486,DATEVALUE('Procyflof 700'!A486)),"")</f>
        <v/>
      </c>
      <c r="AC1985" t="str">
        <f>IF(AA1985="","",'Procyflof 700'!B486)</f>
        <v/>
      </c>
      <c r="AD1985" t="str">
        <f>IF(AA1985="","",IFERROR(1*'Procyflof 700'!C486,IFERROR(_xludf.NUMBERVALUE('Procyflof 700'!C486,".",","),IFERROR(_xludf.NUMBERVALUE('Procyflof 700'!C486,",","."),0))))</f>
        <v/>
      </c>
      <c r="AE1985" t="str">
        <f>IF(AA1985="","",'Procyflof 700'!N486)</f>
        <v/>
      </c>
      <c r="AF1985">
        <f t="shared" si="197"/>
        <v>0</v>
      </c>
      <c r="AG1985" t="str">
        <f t="shared" si="198"/>
        <v/>
      </c>
      <c r="AH1985" t="str">
        <f t="shared" si="199"/>
        <v/>
      </c>
      <c r="AI1985">
        <f t="shared" si="200"/>
        <v>0</v>
      </c>
      <c r="AJ1985">
        <f t="shared" si="201"/>
        <v>0</v>
      </c>
      <c r="AK1985">
        <v>0</v>
      </c>
      <c r="AL1985" t="str">
        <f>IF(AA1985="","",IFERROR(IF(ISNUMBER('Procyflof 700'!D486),'Procyflof 700'!D486,IF(ISNUMBER(SEARCH("12",'Procyflof 700'!D486)),EDATE(AB1985,12),IF(ISNUMBER(SEARCH("6",'Procyflof 700'!D486)),EDATE(AB1985,6),IF(ISNUMBER(SEARCH("3",'Procyflof 700'!D486)),EDATE(AB1985,3),DATEVALUE('Procyflof 700'!D486))))),""))</f>
        <v/>
      </c>
      <c r="AM1985" t="str">
        <f t="shared" ca="1" si="202"/>
        <v/>
      </c>
    </row>
    <row r="1986" spans="27:39" x14ac:dyDescent="0.3">
      <c r="AA1986" t="str">
        <f>IF(COUNTA('Procyflof 700'!A487,'Procyflof 700'!B487,'Procyflof 700'!C487)&gt;0,"700","")</f>
        <v/>
      </c>
      <c r="AB1986" t="str">
        <f>IFERROR(IF(ISNUMBER('Procyflof 700'!A487),'Procyflof 700'!A487,DATEVALUE('Procyflof 700'!A487)),"")</f>
        <v/>
      </c>
      <c r="AC1986" t="str">
        <f>IF(AA1986="","",'Procyflof 700'!B487)</f>
        <v/>
      </c>
      <c r="AD1986" t="str">
        <f>IF(AA1986="","",IFERROR(1*'Procyflof 700'!C487,IFERROR(_xludf.NUMBERVALUE('Procyflof 700'!C487,".",","),IFERROR(_xludf.NUMBERVALUE('Procyflof 700'!C487,",","."),0))))</f>
        <v/>
      </c>
      <c r="AE1986" t="str">
        <f>IF(AA1986="","",'Procyflof 700'!N487)</f>
        <v/>
      </c>
      <c r="AF1986">
        <f t="shared" ref="AF1986:AF2049" si="203">IF(AA1986="",0,--AND(ISNUMBER(SEARCH("aprov",AE1986)),NOT(ISNUMBER(SEARCH("reprov",AE1986)))))</f>
        <v>0</v>
      </c>
      <c r="AG1986" t="str">
        <f t="shared" ref="AG1986:AG2049" si="204">IF(AB1986="","",YEAR(AB1986))</f>
        <v/>
      </c>
      <c r="AH1986" t="str">
        <f t="shared" ref="AH1986:AH2049" si="205">IF(AB1986="","",MONTH(AB1986))</f>
        <v/>
      </c>
      <c r="AI1986">
        <f t="shared" ref="AI1986:AI2049" si="206">IF(AB1986="",0,AB1986+ROW()/1000000)</f>
        <v>0</v>
      </c>
      <c r="AJ1986">
        <f t="shared" ref="AJ1986:AJ2049" si="207">--(AA1986&lt;&gt;"")</f>
        <v>0</v>
      </c>
      <c r="AK1986">
        <v>0</v>
      </c>
      <c r="AL1986" t="str">
        <f>IF(AA1986="","",IFERROR(IF(ISNUMBER('Procyflof 700'!D487),'Procyflof 700'!D487,IF(ISNUMBER(SEARCH("12",'Procyflof 700'!D487)),EDATE(AB1986,12),IF(ISNUMBER(SEARCH("6",'Procyflof 700'!D487)),EDATE(AB1986,6),IF(ISNUMBER(SEARCH("3",'Procyflof 700'!D487)),EDATE(AB1986,3),DATEVALUE('Procyflof 700'!D487))))),""))</f>
        <v/>
      </c>
      <c r="AM1986" t="str">
        <f t="shared" ref="AM1986:AM2049" ca="1" si="208">IF(AND(AJ1986=1,AL1986&lt;&gt;"",AL1986&gt;=TODAY(),AG1986=$W$3),AL1986+ROW()/1000000,"")</f>
        <v/>
      </c>
    </row>
    <row r="1987" spans="27:39" x14ac:dyDescent="0.3">
      <c r="AA1987" t="str">
        <f>IF(COUNTA('Procyflof 700'!A488,'Procyflof 700'!B488,'Procyflof 700'!C488)&gt;0,"700","")</f>
        <v/>
      </c>
      <c r="AB1987" t="str">
        <f>IFERROR(IF(ISNUMBER('Procyflof 700'!A488),'Procyflof 700'!A488,DATEVALUE('Procyflof 700'!A488)),"")</f>
        <v/>
      </c>
      <c r="AC1987" t="str">
        <f>IF(AA1987="","",'Procyflof 700'!B488)</f>
        <v/>
      </c>
      <c r="AD1987" t="str">
        <f>IF(AA1987="","",IFERROR(1*'Procyflof 700'!C488,IFERROR(_xludf.NUMBERVALUE('Procyflof 700'!C488,".",","),IFERROR(_xludf.NUMBERVALUE('Procyflof 700'!C488,",","."),0))))</f>
        <v/>
      </c>
      <c r="AE1987" t="str">
        <f>IF(AA1987="","",'Procyflof 700'!N488)</f>
        <v/>
      </c>
      <c r="AF1987">
        <f t="shared" si="203"/>
        <v>0</v>
      </c>
      <c r="AG1987" t="str">
        <f t="shared" si="204"/>
        <v/>
      </c>
      <c r="AH1987" t="str">
        <f t="shared" si="205"/>
        <v/>
      </c>
      <c r="AI1987">
        <f t="shared" si="206"/>
        <v>0</v>
      </c>
      <c r="AJ1987">
        <f t="shared" si="207"/>
        <v>0</v>
      </c>
      <c r="AK1987">
        <v>0</v>
      </c>
      <c r="AL1987" t="str">
        <f>IF(AA1987="","",IFERROR(IF(ISNUMBER('Procyflof 700'!D488),'Procyflof 700'!D488,IF(ISNUMBER(SEARCH("12",'Procyflof 700'!D488)),EDATE(AB1987,12),IF(ISNUMBER(SEARCH("6",'Procyflof 700'!D488)),EDATE(AB1987,6),IF(ISNUMBER(SEARCH("3",'Procyflof 700'!D488)),EDATE(AB1987,3),DATEVALUE('Procyflof 700'!D488))))),""))</f>
        <v/>
      </c>
      <c r="AM1987" t="str">
        <f t="shared" ca="1" si="208"/>
        <v/>
      </c>
    </row>
    <row r="1988" spans="27:39" x14ac:dyDescent="0.3">
      <c r="AA1988" t="str">
        <f>IF(COUNTA('Procyflof 700'!A489,'Procyflof 700'!B489,'Procyflof 700'!C489)&gt;0,"700","")</f>
        <v/>
      </c>
      <c r="AB1988" t="str">
        <f>IFERROR(IF(ISNUMBER('Procyflof 700'!A489),'Procyflof 700'!A489,DATEVALUE('Procyflof 700'!A489)),"")</f>
        <v/>
      </c>
      <c r="AC1988" t="str">
        <f>IF(AA1988="","",'Procyflof 700'!B489)</f>
        <v/>
      </c>
      <c r="AD1988" t="str">
        <f>IF(AA1988="","",IFERROR(1*'Procyflof 700'!C489,IFERROR(_xludf.NUMBERVALUE('Procyflof 700'!C489,".",","),IFERROR(_xludf.NUMBERVALUE('Procyflof 700'!C489,",","."),0))))</f>
        <v/>
      </c>
      <c r="AE1988" t="str">
        <f>IF(AA1988="","",'Procyflof 700'!N489)</f>
        <v/>
      </c>
      <c r="AF1988">
        <f t="shared" si="203"/>
        <v>0</v>
      </c>
      <c r="AG1988" t="str">
        <f t="shared" si="204"/>
        <v/>
      </c>
      <c r="AH1988" t="str">
        <f t="shared" si="205"/>
        <v/>
      </c>
      <c r="AI1988">
        <f t="shared" si="206"/>
        <v>0</v>
      </c>
      <c r="AJ1988">
        <f t="shared" si="207"/>
        <v>0</v>
      </c>
      <c r="AK1988">
        <v>0</v>
      </c>
      <c r="AL1988" t="str">
        <f>IF(AA1988="","",IFERROR(IF(ISNUMBER('Procyflof 700'!D489),'Procyflof 700'!D489,IF(ISNUMBER(SEARCH("12",'Procyflof 700'!D489)),EDATE(AB1988,12),IF(ISNUMBER(SEARCH("6",'Procyflof 700'!D489)),EDATE(AB1988,6),IF(ISNUMBER(SEARCH("3",'Procyflof 700'!D489)),EDATE(AB1988,3),DATEVALUE('Procyflof 700'!D489))))),""))</f>
        <v/>
      </c>
      <c r="AM1988" t="str">
        <f t="shared" ca="1" si="208"/>
        <v/>
      </c>
    </row>
    <row r="1989" spans="27:39" x14ac:dyDescent="0.3">
      <c r="AA1989" t="str">
        <f>IF(COUNTA('Procyflof 700'!A490,'Procyflof 700'!B490,'Procyflof 700'!C490)&gt;0,"700","")</f>
        <v/>
      </c>
      <c r="AB1989" t="str">
        <f>IFERROR(IF(ISNUMBER('Procyflof 700'!A490),'Procyflof 700'!A490,DATEVALUE('Procyflof 700'!A490)),"")</f>
        <v/>
      </c>
      <c r="AC1989" t="str">
        <f>IF(AA1989="","",'Procyflof 700'!B490)</f>
        <v/>
      </c>
      <c r="AD1989" t="str">
        <f>IF(AA1989="","",IFERROR(1*'Procyflof 700'!C490,IFERROR(_xludf.NUMBERVALUE('Procyflof 700'!C490,".",","),IFERROR(_xludf.NUMBERVALUE('Procyflof 700'!C490,",","."),0))))</f>
        <v/>
      </c>
      <c r="AE1989" t="str">
        <f>IF(AA1989="","",'Procyflof 700'!N490)</f>
        <v/>
      </c>
      <c r="AF1989">
        <f t="shared" si="203"/>
        <v>0</v>
      </c>
      <c r="AG1989" t="str">
        <f t="shared" si="204"/>
        <v/>
      </c>
      <c r="AH1989" t="str">
        <f t="shared" si="205"/>
        <v/>
      </c>
      <c r="AI1989">
        <f t="shared" si="206"/>
        <v>0</v>
      </c>
      <c r="AJ1989">
        <f t="shared" si="207"/>
        <v>0</v>
      </c>
      <c r="AK1989">
        <v>0</v>
      </c>
      <c r="AL1989" t="str">
        <f>IF(AA1989="","",IFERROR(IF(ISNUMBER('Procyflof 700'!D490),'Procyflof 700'!D490,IF(ISNUMBER(SEARCH("12",'Procyflof 700'!D490)),EDATE(AB1989,12),IF(ISNUMBER(SEARCH("6",'Procyflof 700'!D490)),EDATE(AB1989,6),IF(ISNUMBER(SEARCH("3",'Procyflof 700'!D490)),EDATE(AB1989,3),DATEVALUE('Procyflof 700'!D490))))),""))</f>
        <v/>
      </c>
      <c r="AM1989" t="str">
        <f t="shared" ca="1" si="208"/>
        <v/>
      </c>
    </row>
    <row r="1990" spans="27:39" x14ac:dyDescent="0.3">
      <c r="AA1990" t="str">
        <f>IF(COUNTA('Procyflof 700'!A491,'Procyflof 700'!B491,'Procyflof 700'!C491)&gt;0,"700","")</f>
        <v/>
      </c>
      <c r="AB1990" t="str">
        <f>IFERROR(IF(ISNUMBER('Procyflof 700'!A491),'Procyflof 700'!A491,DATEVALUE('Procyflof 700'!A491)),"")</f>
        <v/>
      </c>
      <c r="AC1990" t="str">
        <f>IF(AA1990="","",'Procyflof 700'!B491)</f>
        <v/>
      </c>
      <c r="AD1990" t="str">
        <f>IF(AA1990="","",IFERROR(1*'Procyflof 700'!C491,IFERROR(_xludf.NUMBERVALUE('Procyflof 700'!C491,".",","),IFERROR(_xludf.NUMBERVALUE('Procyflof 700'!C491,",","."),0))))</f>
        <v/>
      </c>
      <c r="AE1990" t="str">
        <f>IF(AA1990="","",'Procyflof 700'!N491)</f>
        <v/>
      </c>
      <c r="AF1990">
        <f t="shared" si="203"/>
        <v>0</v>
      </c>
      <c r="AG1990" t="str">
        <f t="shared" si="204"/>
        <v/>
      </c>
      <c r="AH1990" t="str">
        <f t="shared" si="205"/>
        <v/>
      </c>
      <c r="AI1990">
        <f t="shared" si="206"/>
        <v>0</v>
      </c>
      <c r="AJ1990">
        <f t="shared" si="207"/>
        <v>0</v>
      </c>
      <c r="AK1990">
        <v>0</v>
      </c>
      <c r="AL1990" t="str">
        <f>IF(AA1990="","",IFERROR(IF(ISNUMBER('Procyflof 700'!D491),'Procyflof 700'!D491,IF(ISNUMBER(SEARCH("12",'Procyflof 700'!D491)),EDATE(AB1990,12),IF(ISNUMBER(SEARCH("6",'Procyflof 700'!D491)),EDATE(AB1990,6),IF(ISNUMBER(SEARCH("3",'Procyflof 700'!D491)),EDATE(AB1990,3),DATEVALUE('Procyflof 700'!D491))))),""))</f>
        <v/>
      </c>
      <c r="AM1990" t="str">
        <f t="shared" ca="1" si="208"/>
        <v/>
      </c>
    </row>
    <row r="1991" spans="27:39" x14ac:dyDescent="0.3">
      <c r="AA1991" t="str">
        <f>IF(COUNTA('Procyflof 700'!A492,'Procyflof 700'!B492,'Procyflof 700'!C492)&gt;0,"700","")</f>
        <v/>
      </c>
      <c r="AB1991" t="str">
        <f>IFERROR(IF(ISNUMBER('Procyflof 700'!A492),'Procyflof 700'!A492,DATEVALUE('Procyflof 700'!A492)),"")</f>
        <v/>
      </c>
      <c r="AC1991" t="str">
        <f>IF(AA1991="","",'Procyflof 700'!B492)</f>
        <v/>
      </c>
      <c r="AD1991" t="str">
        <f>IF(AA1991="","",IFERROR(1*'Procyflof 700'!C492,IFERROR(_xludf.NUMBERVALUE('Procyflof 700'!C492,".",","),IFERROR(_xludf.NUMBERVALUE('Procyflof 700'!C492,",","."),0))))</f>
        <v/>
      </c>
      <c r="AE1991" t="str">
        <f>IF(AA1991="","",'Procyflof 700'!N492)</f>
        <v/>
      </c>
      <c r="AF1991">
        <f t="shared" si="203"/>
        <v>0</v>
      </c>
      <c r="AG1991" t="str">
        <f t="shared" si="204"/>
        <v/>
      </c>
      <c r="AH1991" t="str">
        <f t="shared" si="205"/>
        <v/>
      </c>
      <c r="AI1991">
        <f t="shared" si="206"/>
        <v>0</v>
      </c>
      <c r="AJ1991">
        <f t="shared" si="207"/>
        <v>0</v>
      </c>
      <c r="AK1991">
        <v>0</v>
      </c>
      <c r="AL1991" t="str">
        <f>IF(AA1991="","",IFERROR(IF(ISNUMBER('Procyflof 700'!D492),'Procyflof 700'!D492,IF(ISNUMBER(SEARCH("12",'Procyflof 700'!D492)),EDATE(AB1991,12),IF(ISNUMBER(SEARCH("6",'Procyflof 700'!D492)),EDATE(AB1991,6),IF(ISNUMBER(SEARCH("3",'Procyflof 700'!D492)),EDATE(AB1991,3),DATEVALUE('Procyflof 700'!D492))))),""))</f>
        <v/>
      </c>
      <c r="AM1991" t="str">
        <f t="shared" ca="1" si="208"/>
        <v/>
      </c>
    </row>
    <row r="1992" spans="27:39" x14ac:dyDescent="0.3">
      <c r="AA1992" t="str">
        <f>IF(COUNTA('Procyflof 700'!A493,'Procyflof 700'!B493,'Procyflof 700'!C493)&gt;0,"700","")</f>
        <v/>
      </c>
      <c r="AB1992" t="str">
        <f>IFERROR(IF(ISNUMBER('Procyflof 700'!A493),'Procyflof 700'!A493,DATEVALUE('Procyflof 700'!A493)),"")</f>
        <v/>
      </c>
      <c r="AC1992" t="str">
        <f>IF(AA1992="","",'Procyflof 700'!B493)</f>
        <v/>
      </c>
      <c r="AD1992" t="str">
        <f>IF(AA1992="","",IFERROR(1*'Procyflof 700'!C493,IFERROR(_xludf.NUMBERVALUE('Procyflof 700'!C493,".",","),IFERROR(_xludf.NUMBERVALUE('Procyflof 700'!C493,",","."),0))))</f>
        <v/>
      </c>
      <c r="AE1992" t="str">
        <f>IF(AA1992="","",'Procyflof 700'!N493)</f>
        <v/>
      </c>
      <c r="AF1992">
        <f t="shared" si="203"/>
        <v>0</v>
      </c>
      <c r="AG1992" t="str">
        <f t="shared" si="204"/>
        <v/>
      </c>
      <c r="AH1992" t="str">
        <f t="shared" si="205"/>
        <v/>
      </c>
      <c r="AI1992">
        <f t="shared" si="206"/>
        <v>0</v>
      </c>
      <c r="AJ1992">
        <f t="shared" si="207"/>
        <v>0</v>
      </c>
      <c r="AK1992">
        <v>0</v>
      </c>
      <c r="AL1992" t="str">
        <f>IF(AA1992="","",IFERROR(IF(ISNUMBER('Procyflof 700'!D493),'Procyflof 700'!D493,IF(ISNUMBER(SEARCH("12",'Procyflof 700'!D493)),EDATE(AB1992,12),IF(ISNUMBER(SEARCH("6",'Procyflof 700'!D493)),EDATE(AB1992,6),IF(ISNUMBER(SEARCH("3",'Procyflof 700'!D493)),EDATE(AB1992,3),DATEVALUE('Procyflof 700'!D493))))),""))</f>
        <v/>
      </c>
      <c r="AM1992" t="str">
        <f t="shared" ca="1" si="208"/>
        <v/>
      </c>
    </row>
    <row r="1993" spans="27:39" x14ac:dyDescent="0.3">
      <c r="AA1993" t="str">
        <f>IF(COUNTA('Procyflof 700'!A494,'Procyflof 700'!B494,'Procyflof 700'!C494)&gt;0,"700","")</f>
        <v/>
      </c>
      <c r="AB1993" t="str">
        <f>IFERROR(IF(ISNUMBER('Procyflof 700'!A494),'Procyflof 700'!A494,DATEVALUE('Procyflof 700'!A494)),"")</f>
        <v/>
      </c>
      <c r="AC1993" t="str">
        <f>IF(AA1993="","",'Procyflof 700'!B494)</f>
        <v/>
      </c>
      <c r="AD1993" t="str">
        <f>IF(AA1993="","",IFERROR(1*'Procyflof 700'!C494,IFERROR(_xludf.NUMBERVALUE('Procyflof 700'!C494,".",","),IFERROR(_xludf.NUMBERVALUE('Procyflof 700'!C494,",","."),0))))</f>
        <v/>
      </c>
      <c r="AE1993" t="str">
        <f>IF(AA1993="","",'Procyflof 700'!N494)</f>
        <v/>
      </c>
      <c r="AF1993">
        <f t="shared" si="203"/>
        <v>0</v>
      </c>
      <c r="AG1993" t="str">
        <f t="shared" si="204"/>
        <v/>
      </c>
      <c r="AH1993" t="str">
        <f t="shared" si="205"/>
        <v/>
      </c>
      <c r="AI1993">
        <f t="shared" si="206"/>
        <v>0</v>
      </c>
      <c r="AJ1993">
        <f t="shared" si="207"/>
        <v>0</v>
      </c>
      <c r="AK1993">
        <v>0</v>
      </c>
      <c r="AL1993" t="str">
        <f>IF(AA1993="","",IFERROR(IF(ISNUMBER('Procyflof 700'!D494),'Procyflof 700'!D494,IF(ISNUMBER(SEARCH("12",'Procyflof 700'!D494)),EDATE(AB1993,12),IF(ISNUMBER(SEARCH("6",'Procyflof 700'!D494)),EDATE(AB1993,6),IF(ISNUMBER(SEARCH("3",'Procyflof 700'!D494)),EDATE(AB1993,3),DATEVALUE('Procyflof 700'!D494))))),""))</f>
        <v/>
      </c>
      <c r="AM1993" t="str">
        <f t="shared" ca="1" si="208"/>
        <v/>
      </c>
    </row>
    <row r="1994" spans="27:39" x14ac:dyDescent="0.3">
      <c r="AA1994" t="str">
        <f>IF(COUNTA('Procyflof 700'!A495,'Procyflof 700'!B495,'Procyflof 700'!C495)&gt;0,"700","")</f>
        <v/>
      </c>
      <c r="AB1994" t="str">
        <f>IFERROR(IF(ISNUMBER('Procyflof 700'!A495),'Procyflof 700'!A495,DATEVALUE('Procyflof 700'!A495)),"")</f>
        <v/>
      </c>
      <c r="AC1994" t="str">
        <f>IF(AA1994="","",'Procyflof 700'!B495)</f>
        <v/>
      </c>
      <c r="AD1994" t="str">
        <f>IF(AA1994="","",IFERROR(1*'Procyflof 700'!C495,IFERROR(_xludf.NUMBERVALUE('Procyflof 700'!C495,".",","),IFERROR(_xludf.NUMBERVALUE('Procyflof 700'!C495,",","."),0))))</f>
        <v/>
      </c>
      <c r="AE1994" t="str">
        <f>IF(AA1994="","",'Procyflof 700'!N495)</f>
        <v/>
      </c>
      <c r="AF1994">
        <f t="shared" si="203"/>
        <v>0</v>
      </c>
      <c r="AG1994" t="str">
        <f t="shared" si="204"/>
        <v/>
      </c>
      <c r="AH1994" t="str">
        <f t="shared" si="205"/>
        <v/>
      </c>
      <c r="AI1994">
        <f t="shared" si="206"/>
        <v>0</v>
      </c>
      <c r="AJ1994">
        <f t="shared" si="207"/>
        <v>0</v>
      </c>
      <c r="AK1994">
        <v>0</v>
      </c>
      <c r="AL1994" t="str">
        <f>IF(AA1994="","",IFERROR(IF(ISNUMBER('Procyflof 700'!D495),'Procyflof 700'!D495,IF(ISNUMBER(SEARCH("12",'Procyflof 700'!D495)),EDATE(AB1994,12),IF(ISNUMBER(SEARCH("6",'Procyflof 700'!D495)),EDATE(AB1994,6),IF(ISNUMBER(SEARCH("3",'Procyflof 700'!D495)),EDATE(AB1994,3),DATEVALUE('Procyflof 700'!D495))))),""))</f>
        <v/>
      </c>
      <c r="AM1994" t="str">
        <f t="shared" ca="1" si="208"/>
        <v/>
      </c>
    </row>
    <row r="1995" spans="27:39" x14ac:dyDescent="0.3">
      <c r="AA1995" t="str">
        <f>IF(COUNTA('Procyflof 700'!A496,'Procyflof 700'!B496,'Procyflof 700'!C496)&gt;0,"700","")</f>
        <v/>
      </c>
      <c r="AB1995" t="str">
        <f>IFERROR(IF(ISNUMBER('Procyflof 700'!A496),'Procyflof 700'!A496,DATEVALUE('Procyflof 700'!A496)),"")</f>
        <v/>
      </c>
      <c r="AC1995" t="str">
        <f>IF(AA1995="","",'Procyflof 700'!B496)</f>
        <v/>
      </c>
      <c r="AD1995" t="str">
        <f>IF(AA1995="","",IFERROR(1*'Procyflof 700'!C496,IFERROR(_xludf.NUMBERVALUE('Procyflof 700'!C496,".",","),IFERROR(_xludf.NUMBERVALUE('Procyflof 700'!C496,",","."),0))))</f>
        <v/>
      </c>
      <c r="AE1995" t="str">
        <f>IF(AA1995="","",'Procyflof 700'!N496)</f>
        <v/>
      </c>
      <c r="AF1995">
        <f t="shared" si="203"/>
        <v>0</v>
      </c>
      <c r="AG1995" t="str">
        <f t="shared" si="204"/>
        <v/>
      </c>
      <c r="AH1995" t="str">
        <f t="shared" si="205"/>
        <v/>
      </c>
      <c r="AI1995">
        <f t="shared" si="206"/>
        <v>0</v>
      </c>
      <c r="AJ1995">
        <f t="shared" si="207"/>
        <v>0</v>
      </c>
      <c r="AK1995">
        <v>0</v>
      </c>
      <c r="AL1995" t="str">
        <f>IF(AA1995="","",IFERROR(IF(ISNUMBER('Procyflof 700'!D496),'Procyflof 700'!D496,IF(ISNUMBER(SEARCH("12",'Procyflof 700'!D496)),EDATE(AB1995,12),IF(ISNUMBER(SEARCH("6",'Procyflof 700'!D496)),EDATE(AB1995,6),IF(ISNUMBER(SEARCH("3",'Procyflof 700'!D496)),EDATE(AB1995,3),DATEVALUE('Procyflof 700'!D496))))),""))</f>
        <v/>
      </c>
      <c r="AM1995" t="str">
        <f t="shared" ca="1" si="208"/>
        <v/>
      </c>
    </row>
    <row r="1996" spans="27:39" x14ac:dyDescent="0.3">
      <c r="AA1996" t="str">
        <f>IF(COUNTA('Procyflof 700'!A497,'Procyflof 700'!B497,'Procyflof 700'!C497)&gt;0,"700","")</f>
        <v/>
      </c>
      <c r="AB1996" t="str">
        <f>IFERROR(IF(ISNUMBER('Procyflof 700'!A497),'Procyflof 700'!A497,DATEVALUE('Procyflof 700'!A497)),"")</f>
        <v/>
      </c>
      <c r="AC1996" t="str">
        <f>IF(AA1996="","",'Procyflof 700'!B497)</f>
        <v/>
      </c>
      <c r="AD1996" t="str">
        <f>IF(AA1996="","",IFERROR(1*'Procyflof 700'!C497,IFERROR(_xludf.NUMBERVALUE('Procyflof 700'!C497,".",","),IFERROR(_xludf.NUMBERVALUE('Procyflof 700'!C497,",","."),0))))</f>
        <v/>
      </c>
      <c r="AE1996" t="str">
        <f>IF(AA1996="","",'Procyflof 700'!N497)</f>
        <v/>
      </c>
      <c r="AF1996">
        <f t="shared" si="203"/>
        <v>0</v>
      </c>
      <c r="AG1996" t="str">
        <f t="shared" si="204"/>
        <v/>
      </c>
      <c r="AH1996" t="str">
        <f t="shared" si="205"/>
        <v/>
      </c>
      <c r="AI1996">
        <f t="shared" si="206"/>
        <v>0</v>
      </c>
      <c r="AJ1996">
        <f t="shared" si="207"/>
        <v>0</v>
      </c>
      <c r="AK1996">
        <v>0</v>
      </c>
      <c r="AL1996" t="str">
        <f>IF(AA1996="","",IFERROR(IF(ISNUMBER('Procyflof 700'!D497),'Procyflof 700'!D497,IF(ISNUMBER(SEARCH("12",'Procyflof 700'!D497)),EDATE(AB1996,12),IF(ISNUMBER(SEARCH("6",'Procyflof 700'!D497)),EDATE(AB1996,6),IF(ISNUMBER(SEARCH("3",'Procyflof 700'!D497)),EDATE(AB1996,3),DATEVALUE('Procyflof 700'!D497))))),""))</f>
        <v/>
      </c>
      <c r="AM1996" t="str">
        <f t="shared" ca="1" si="208"/>
        <v/>
      </c>
    </row>
    <row r="1997" spans="27:39" x14ac:dyDescent="0.3">
      <c r="AA1997" t="str">
        <f>IF(COUNTA('Procyflof 700'!A498,'Procyflof 700'!B498,'Procyflof 700'!C498)&gt;0,"700","")</f>
        <v/>
      </c>
      <c r="AB1997" t="str">
        <f>IFERROR(IF(ISNUMBER('Procyflof 700'!A498),'Procyflof 700'!A498,DATEVALUE('Procyflof 700'!A498)),"")</f>
        <v/>
      </c>
      <c r="AC1997" t="str">
        <f>IF(AA1997="","",'Procyflof 700'!B498)</f>
        <v/>
      </c>
      <c r="AD1997" t="str">
        <f>IF(AA1997="","",IFERROR(1*'Procyflof 700'!C498,IFERROR(_xludf.NUMBERVALUE('Procyflof 700'!C498,".",","),IFERROR(_xludf.NUMBERVALUE('Procyflof 700'!C498,",","."),0))))</f>
        <v/>
      </c>
      <c r="AE1997" t="str">
        <f>IF(AA1997="","",'Procyflof 700'!N498)</f>
        <v/>
      </c>
      <c r="AF1997">
        <f t="shared" si="203"/>
        <v>0</v>
      </c>
      <c r="AG1997" t="str">
        <f t="shared" si="204"/>
        <v/>
      </c>
      <c r="AH1997" t="str">
        <f t="shared" si="205"/>
        <v/>
      </c>
      <c r="AI1997">
        <f t="shared" si="206"/>
        <v>0</v>
      </c>
      <c r="AJ1997">
        <f t="shared" si="207"/>
        <v>0</v>
      </c>
      <c r="AK1997">
        <v>0</v>
      </c>
      <c r="AL1997" t="str">
        <f>IF(AA1997="","",IFERROR(IF(ISNUMBER('Procyflof 700'!D498),'Procyflof 700'!D498,IF(ISNUMBER(SEARCH("12",'Procyflof 700'!D498)),EDATE(AB1997,12),IF(ISNUMBER(SEARCH("6",'Procyflof 700'!D498)),EDATE(AB1997,6),IF(ISNUMBER(SEARCH("3",'Procyflof 700'!D498)),EDATE(AB1997,3),DATEVALUE('Procyflof 700'!D498))))),""))</f>
        <v/>
      </c>
      <c r="AM1997" t="str">
        <f t="shared" ca="1" si="208"/>
        <v/>
      </c>
    </row>
    <row r="1998" spans="27:39" x14ac:dyDescent="0.3">
      <c r="AA1998" t="str">
        <f>IF(COUNTA('Procyflof 700'!A499,'Procyflof 700'!B499,'Procyflof 700'!C499)&gt;0,"700","")</f>
        <v/>
      </c>
      <c r="AB1998" t="str">
        <f>IFERROR(IF(ISNUMBER('Procyflof 700'!A499),'Procyflof 700'!A499,DATEVALUE('Procyflof 700'!A499)),"")</f>
        <v/>
      </c>
      <c r="AC1998" t="str">
        <f>IF(AA1998="","",'Procyflof 700'!B499)</f>
        <v/>
      </c>
      <c r="AD1998" t="str">
        <f>IF(AA1998="","",IFERROR(1*'Procyflof 700'!C499,IFERROR(_xludf.NUMBERVALUE('Procyflof 700'!C499,".",","),IFERROR(_xludf.NUMBERVALUE('Procyflof 700'!C499,",","."),0))))</f>
        <v/>
      </c>
      <c r="AE1998" t="str">
        <f>IF(AA1998="","",'Procyflof 700'!N499)</f>
        <v/>
      </c>
      <c r="AF1998">
        <f t="shared" si="203"/>
        <v>0</v>
      </c>
      <c r="AG1998" t="str">
        <f t="shared" si="204"/>
        <v/>
      </c>
      <c r="AH1998" t="str">
        <f t="shared" si="205"/>
        <v/>
      </c>
      <c r="AI1998">
        <f t="shared" si="206"/>
        <v>0</v>
      </c>
      <c r="AJ1998">
        <f t="shared" si="207"/>
        <v>0</v>
      </c>
      <c r="AK1998">
        <v>0</v>
      </c>
      <c r="AL1998" t="str">
        <f>IF(AA1998="","",IFERROR(IF(ISNUMBER('Procyflof 700'!D499),'Procyflof 700'!D499,IF(ISNUMBER(SEARCH("12",'Procyflof 700'!D499)),EDATE(AB1998,12),IF(ISNUMBER(SEARCH("6",'Procyflof 700'!D499)),EDATE(AB1998,6),IF(ISNUMBER(SEARCH("3",'Procyflof 700'!D499)),EDATE(AB1998,3),DATEVALUE('Procyflof 700'!D499))))),""))</f>
        <v/>
      </c>
      <c r="AM1998" t="str">
        <f t="shared" ca="1" si="208"/>
        <v/>
      </c>
    </row>
    <row r="1999" spans="27:39" x14ac:dyDescent="0.3">
      <c r="AA1999" t="str">
        <f>IF(COUNTA('Procyflof 700'!A500,'Procyflof 700'!B500,'Procyflof 700'!C500)&gt;0,"700","")</f>
        <v/>
      </c>
      <c r="AB1999" t="str">
        <f>IFERROR(IF(ISNUMBER('Procyflof 700'!A500),'Procyflof 700'!A500,DATEVALUE('Procyflof 700'!A500)),"")</f>
        <v/>
      </c>
      <c r="AC1999" t="str">
        <f>IF(AA1999="","",'Procyflof 700'!B500)</f>
        <v/>
      </c>
      <c r="AD1999" t="str">
        <f>IF(AA1999="","",IFERROR(1*'Procyflof 700'!C500,IFERROR(_xludf.NUMBERVALUE('Procyflof 700'!C500,".",","),IFERROR(_xludf.NUMBERVALUE('Procyflof 700'!C500,",","."),0))))</f>
        <v/>
      </c>
      <c r="AE1999" t="str">
        <f>IF(AA1999="","",'Procyflof 700'!N500)</f>
        <v/>
      </c>
      <c r="AF1999">
        <f t="shared" si="203"/>
        <v>0</v>
      </c>
      <c r="AG1999" t="str">
        <f t="shared" si="204"/>
        <v/>
      </c>
      <c r="AH1999" t="str">
        <f t="shared" si="205"/>
        <v/>
      </c>
      <c r="AI1999">
        <f t="shared" si="206"/>
        <v>0</v>
      </c>
      <c r="AJ1999">
        <f t="shared" si="207"/>
        <v>0</v>
      </c>
      <c r="AK1999">
        <v>0</v>
      </c>
      <c r="AL1999" t="str">
        <f>IF(AA1999="","",IFERROR(IF(ISNUMBER('Procyflof 700'!D500),'Procyflof 700'!D500,IF(ISNUMBER(SEARCH("12",'Procyflof 700'!D500)),EDATE(AB1999,12),IF(ISNUMBER(SEARCH("6",'Procyflof 700'!D500)),EDATE(AB1999,6),IF(ISNUMBER(SEARCH("3",'Procyflof 700'!D500)),EDATE(AB1999,3),DATEVALUE('Procyflof 700'!D500))))),""))</f>
        <v/>
      </c>
      <c r="AM1999" t="str">
        <f t="shared" ca="1" si="208"/>
        <v/>
      </c>
    </row>
    <row r="2000" spans="27:39" x14ac:dyDescent="0.3">
      <c r="AA2000" t="str">
        <f>IF(COUNTA('Procyflof 700'!A501,'Procyflof 700'!B501,'Procyflof 700'!C501)&gt;0,"700","")</f>
        <v/>
      </c>
      <c r="AB2000" t="str">
        <f>IFERROR(IF(ISNUMBER('Procyflof 700'!A501),'Procyflof 700'!A501,DATEVALUE('Procyflof 700'!A501)),"")</f>
        <v/>
      </c>
      <c r="AC2000" t="str">
        <f>IF(AA2000="","",'Procyflof 700'!B501)</f>
        <v/>
      </c>
      <c r="AD2000" t="str">
        <f>IF(AA2000="","",IFERROR(1*'Procyflof 700'!C501,IFERROR(_xludf.NUMBERVALUE('Procyflof 700'!C501,".",","),IFERROR(_xludf.NUMBERVALUE('Procyflof 700'!C501,",","."),0))))</f>
        <v/>
      </c>
      <c r="AE2000" t="str">
        <f>IF(AA2000="","",'Procyflof 700'!N501)</f>
        <v/>
      </c>
      <c r="AF2000">
        <f t="shared" si="203"/>
        <v>0</v>
      </c>
      <c r="AG2000" t="str">
        <f t="shared" si="204"/>
        <v/>
      </c>
      <c r="AH2000" t="str">
        <f t="shared" si="205"/>
        <v/>
      </c>
      <c r="AI2000">
        <f t="shared" si="206"/>
        <v>0</v>
      </c>
      <c r="AJ2000">
        <f t="shared" si="207"/>
        <v>0</v>
      </c>
      <c r="AK2000">
        <v>0</v>
      </c>
      <c r="AL2000" t="str">
        <f>IF(AA2000="","",IFERROR(IF(ISNUMBER('Procyflof 700'!D501),'Procyflof 700'!D501,IF(ISNUMBER(SEARCH("12",'Procyflof 700'!D501)),EDATE(AB2000,12),IF(ISNUMBER(SEARCH("6",'Procyflof 700'!D501)),EDATE(AB2000,6),IF(ISNUMBER(SEARCH("3",'Procyflof 700'!D501)),EDATE(AB2000,3),DATEVALUE('Procyflof 700'!D501))))),""))</f>
        <v/>
      </c>
      <c r="AM2000" t="str">
        <f t="shared" ca="1" si="208"/>
        <v/>
      </c>
    </row>
    <row r="2001" spans="27:39" x14ac:dyDescent="0.3">
      <c r="AA2001" t="str">
        <f>IF(COUNTA('Procyflof 700'!A502,'Procyflof 700'!B502,'Procyflof 700'!C502)&gt;0,"700","")</f>
        <v/>
      </c>
      <c r="AB2001" t="str">
        <f>IFERROR(IF(ISNUMBER('Procyflof 700'!A502),'Procyflof 700'!A502,DATEVALUE('Procyflof 700'!A502)),"")</f>
        <v/>
      </c>
      <c r="AC2001" t="str">
        <f>IF(AA2001="","",'Procyflof 700'!B502)</f>
        <v/>
      </c>
      <c r="AD2001" t="str">
        <f>IF(AA2001="","",IFERROR(1*'Procyflof 700'!C502,IFERROR(_xludf.NUMBERVALUE('Procyflof 700'!C502,".",","),IFERROR(_xludf.NUMBERVALUE('Procyflof 700'!C502,",","."),0))))</f>
        <v/>
      </c>
      <c r="AE2001" t="str">
        <f>IF(AA2001="","",'Procyflof 700'!N502)</f>
        <v/>
      </c>
      <c r="AF2001">
        <f t="shared" si="203"/>
        <v>0</v>
      </c>
      <c r="AG2001" t="str">
        <f t="shared" si="204"/>
        <v/>
      </c>
      <c r="AH2001" t="str">
        <f t="shared" si="205"/>
        <v/>
      </c>
      <c r="AI2001">
        <f t="shared" si="206"/>
        <v>0</v>
      </c>
      <c r="AJ2001">
        <f t="shared" si="207"/>
        <v>0</v>
      </c>
      <c r="AK2001">
        <v>0</v>
      </c>
      <c r="AL2001" t="str">
        <f>IF(AA2001="","",IFERROR(IF(ISNUMBER('Procyflof 700'!D502),'Procyflof 700'!D502,IF(ISNUMBER(SEARCH("12",'Procyflof 700'!D502)),EDATE(AB2001,12),IF(ISNUMBER(SEARCH("6",'Procyflof 700'!D502)),EDATE(AB2001,6),IF(ISNUMBER(SEARCH("3",'Procyflof 700'!D502)),EDATE(AB2001,3),DATEVALUE('Procyflof 700'!D502))))),""))</f>
        <v/>
      </c>
      <c r="AM2001" t="str">
        <f t="shared" ca="1" si="208"/>
        <v/>
      </c>
    </row>
    <row r="2002" spans="27:39" x14ac:dyDescent="0.3">
      <c r="AA2002" t="str">
        <f>IF(COUNTA('Procyfloc 956A'!A3,'Procyfloc 956A'!B3,'Procyfloc 956A'!C3)&gt;0,"956A","")</f>
        <v/>
      </c>
      <c r="AB2002" t="str">
        <f>IFERROR(IF(ISNUMBER('Procyfloc 956A'!A3),'Procyfloc 956A'!A3,DATEVALUE('Procyfloc 956A'!A3)),"")</f>
        <v/>
      </c>
      <c r="AC2002" t="str">
        <f>IF(AA2002="","",'Procyfloc 956A'!B3)</f>
        <v/>
      </c>
      <c r="AD2002" t="str">
        <f>IF(AA2002="","",IFERROR(1*'Procyfloc 956A'!C3,IFERROR(_xludf.NUMBERVALUE('Procyfloc 956A'!C3,".",","),IFERROR(_xludf.NUMBERVALUE('Procyfloc 956A'!C3,",","."),0))))</f>
        <v/>
      </c>
      <c r="AE2002" t="str">
        <f>IF(AA2002="","",'Procyfloc 956A'!L3)</f>
        <v/>
      </c>
      <c r="AF2002">
        <f t="shared" si="203"/>
        <v>0</v>
      </c>
      <c r="AG2002" t="str">
        <f t="shared" si="204"/>
        <v/>
      </c>
      <c r="AH2002" t="str">
        <f t="shared" si="205"/>
        <v/>
      </c>
      <c r="AI2002">
        <f t="shared" si="206"/>
        <v>0</v>
      </c>
      <c r="AJ2002">
        <f t="shared" si="207"/>
        <v>0</v>
      </c>
      <c r="AK2002">
        <v>0</v>
      </c>
      <c r="AL2002" t="str">
        <f>IF(AA2002="","",IFERROR(IF(ISNUMBER('Procyfloc 956A'!D3),'Procyfloc 956A'!D3,IF(ISNUMBER(SEARCH("12",'Procyfloc 956A'!D3)),EDATE(AB2002,12),IF(ISNUMBER(SEARCH("6",'Procyfloc 956A'!D3)),EDATE(AB2002,6),IF(ISNUMBER(SEARCH("3",'Procyfloc 956A'!D3)),EDATE(AB2002,3),DATEVALUE('Procyfloc 956A'!D3))))),""))</f>
        <v/>
      </c>
      <c r="AM2002" t="str">
        <f t="shared" ca="1" si="208"/>
        <v/>
      </c>
    </row>
    <row r="2003" spans="27:39" x14ac:dyDescent="0.3">
      <c r="AA2003" t="str">
        <f>IF(COUNTA('Procyfloc 956A'!A4,'Procyfloc 956A'!B4,'Procyfloc 956A'!C4)&gt;0,"956A","")</f>
        <v/>
      </c>
      <c r="AB2003" t="str">
        <f>IFERROR(IF(ISNUMBER('Procyfloc 956A'!A4),'Procyfloc 956A'!A4,DATEVALUE('Procyfloc 956A'!A4)),"")</f>
        <v/>
      </c>
      <c r="AC2003" t="str">
        <f>IF(AA2003="","",'Procyfloc 956A'!B4)</f>
        <v/>
      </c>
      <c r="AD2003" t="str">
        <f>IF(AA2003="","",IFERROR(1*'Procyfloc 956A'!C4,IFERROR(_xludf.NUMBERVALUE('Procyfloc 956A'!C4,".",","),IFERROR(_xludf.NUMBERVALUE('Procyfloc 956A'!C4,",","."),0))))</f>
        <v/>
      </c>
      <c r="AE2003" t="str">
        <f>IF(AA2003="","",'Procyfloc 956A'!L4)</f>
        <v/>
      </c>
      <c r="AF2003">
        <f t="shared" si="203"/>
        <v>0</v>
      </c>
      <c r="AG2003" t="str">
        <f t="shared" si="204"/>
        <v/>
      </c>
      <c r="AH2003" t="str">
        <f t="shared" si="205"/>
        <v/>
      </c>
      <c r="AI2003">
        <f t="shared" si="206"/>
        <v>0</v>
      </c>
      <c r="AJ2003">
        <f t="shared" si="207"/>
        <v>0</v>
      </c>
      <c r="AK2003">
        <v>0</v>
      </c>
      <c r="AL2003" t="str">
        <f>IF(AA2003="","",IFERROR(IF(ISNUMBER('Procyfloc 956A'!D4),'Procyfloc 956A'!D4,IF(ISNUMBER(SEARCH("12",'Procyfloc 956A'!D4)),EDATE(AB2003,12),IF(ISNUMBER(SEARCH("6",'Procyfloc 956A'!D4)),EDATE(AB2003,6),IF(ISNUMBER(SEARCH("3",'Procyfloc 956A'!D4)),EDATE(AB2003,3),DATEVALUE('Procyfloc 956A'!D4))))),""))</f>
        <v/>
      </c>
      <c r="AM2003" t="str">
        <f t="shared" ca="1" si="208"/>
        <v/>
      </c>
    </row>
    <row r="2004" spans="27:39" x14ac:dyDescent="0.3">
      <c r="AA2004" t="str">
        <f>IF(COUNTA('Procyfloc 956A'!A5,'Procyfloc 956A'!B5,'Procyfloc 956A'!C5)&gt;0,"956A","")</f>
        <v/>
      </c>
      <c r="AB2004" t="str">
        <f>IFERROR(IF(ISNUMBER('Procyfloc 956A'!A5),'Procyfloc 956A'!A5,DATEVALUE('Procyfloc 956A'!A5)),"")</f>
        <v/>
      </c>
      <c r="AC2004" t="str">
        <f>IF(AA2004="","",'Procyfloc 956A'!B5)</f>
        <v/>
      </c>
      <c r="AD2004" t="str">
        <f>IF(AA2004="","",IFERROR(1*'Procyfloc 956A'!C5,IFERROR(_xludf.NUMBERVALUE('Procyfloc 956A'!C5,".",","),IFERROR(_xludf.NUMBERVALUE('Procyfloc 956A'!C5,",","."),0))))</f>
        <v/>
      </c>
      <c r="AE2004" t="str">
        <f>IF(AA2004="","",'Procyfloc 956A'!L5)</f>
        <v/>
      </c>
      <c r="AF2004">
        <f t="shared" si="203"/>
        <v>0</v>
      </c>
      <c r="AG2004" t="str">
        <f t="shared" si="204"/>
        <v/>
      </c>
      <c r="AH2004" t="str">
        <f t="shared" si="205"/>
        <v/>
      </c>
      <c r="AI2004">
        <f t="shared" si="206"/>
        <v>0</v>
      </c>
      <c r="AJ2004">
        <f t="shared" si="207"/>
        <v>0</v>
      </c>
      <c r="AK2004">
        <v>0</v>
      </c>
      <c r="AL2004" t="str">
        <f>IF(AA2004="","",IFERROR(IF(ISNUMBER('Procyfloc 956A'!D5),'Procyfloc 956A'!D5,IF(ISNUMBER(SEARCH("12",'Procyfloc 956A'!D5)),EDATE(AB2004,12),IF(ISNUMBER(SEARCH("6",'Procyfloc 956A'!D5)),EDATE(AB2004,6),IF(ISNUMBER(SEARCH("3",'Procyfloc 956A'!D5)),EDATE(AB2004,3),DATEVALUE('Procyfloc 956A'!D5))))),""))</f>
        <v/>
      </c>
      <c r="AM2004" t="str">
        <f t="shared" ca="1" si="208"/>
        <v/>
      </c>
    </row>
    <row r="2005" spans="27:39" x14ac:dyDescent="0.3">
      <c r="AA2005" t="str">
        <f>IF(COUNTA('Procyfloc 956A'!A6,'Procyfloc 956A'!B6,'Procyfloc 956A'!C6)&gt;0,"956A","")</f>
        <v/>
      </c>
      <c r="AB2005" t="str">
        <f>IFERROR(IF(ISNUMBER('Procyfloc 956A'!A6),'Procyfloc 956A'!A6,DATEVALUE('Procyfloc 956A'!A6)),"")</f>
        <v/>
      </c>
      <c r="AC2005" t="str">
        <f>IF(AA2005="","",'Procyfloc 956A'!B6)</f>
        <v/>
      </c>
      <c r="AD2005" t="str">
        <f>IF(AA2005="","",IFERROR(1*'Procyfloc 956A'!C6,IFERROR(_xludf.NUMBERVALUE('Procyfloc 956A'!C6,".",","),IFERROR(_xludf.NUMBERVALUE('Procyfloc 956A'!C6,",","."),0))))</f>
        <v/>
      </c>
      <c r="AE2005" t="str">
        <f>IF(AA2005="","",'Procyfloc 956A'!L6)</f>
        <v/>
      </c>
      <c r="AF2005">
        <f t="shared" si="203"/>
        <v>0</v>
      </c>
      <c r="AG2005" t="str">
        <f t="shared" si="204"/>
        <v/>
      </c>
      <c r="AH2005" t="str">
        <f t="shared" si="205"/>
        <v/>
      </c>
      <c r="AI2005">
        <f t="shared" si="206"/>
        <v>0</v>
      </c>
      <c r="AJ2005">
        <f t="shared" si="207"/>
        <v>0</v>
      </c>
      <c r="AK2005">
        <v>0</v>
      </c>
      <c r="AL2005" t="str">
        <f>IF(AA2005="","",IFERROR(IF(ISNUMBER('Procyfloc 956A'!D6),'Procyfloc 956A'!D6,IF(ISNUMBER(SEARCH("12",'Procyfloc 956A'!D6)),EDATE(AB2005,12),IF(ISNUMBER(SEARCH("6",'Procyfloc 956A'!D6)),EDATE(AB2005,6),IF(ISNUMBER(SEARCH("3",'Procyfloc 956A'!D6)),EDATE(AB2005,3),DATEVALUE('Procyfloc 956A'!D6))))),""))</f>
        <v/>
      </c>
      <c r="AM2005" t="str">
        <f t="shared" ca="1" si="208"/>
        <v/>
      </c>
    </row>
    <row r="2006" spans="27:39" x14ac:dyDescent="0.3">
      <c r="AA2006" t="str">
        <f>IF(COUNTA('Procyfloc 956A'!A7,'Procyfloc 956A'!B7,'Procyfloc 956A'!C7)&gt;0,"956A","")</f>
        <v/>
      </c>
      <c r="AB2006" t="str">
        <f>IFERROR(IF(ISNUMBER('Procyfloc 956A'!A7),'Procyfloc 956A'!A7,DATEVALUE('Procyfloc 956A'!A7)),"")</f>
        <v/>
      </c>
      <c r="AC2006" t="str">
        <f>IF(AA2006="","",'Procyfloc 956A'!B7)</f>
        <v/>
      </c>
      <c r="AD2006" t="str">
        <f>IF(AA2006="","",IFERROR(1*'Procyfloc 956A'!C7,IFERROR(_xludf.NUMBERVALUE('Procyfloc 956A'!C7,".",","),IFERROR(_xludf.NUMBERVALUE('Procyfloc 956A'!C7,",","."),0))))</f>
        <v/>
      </c>
      <c r="AE2006" t="str">
        <f>IF(AA2006="","",'Procyfloc 956A'!L7)</f>
        <v/>
      </c>
      <c r="AF2006">
        <f t="shared" si="203"/>
        <v>0</v>
      </c>
      <c r="AG2006" t="str">
        <f t="shared" si="204"/>
        <v/>
      </c>
      <c r="AH2006" t="str">
        <f t="shared" si="205"/>
        <v/>
      </c>
      <c r="AI2006">
        <f t="shared" si="206"/>
        <v>0</v>
      </c>
      <c r="AJ2006">
        <f t="shared" si="207"/>
        <v>0</v>
      </c>
      <c r="AK2006">
        <v>0</v>
      </c>
      <c r="AL2006" t="str">
        <f>IF(AA2006="","",IFERROR(IF(ISNUMBER('Procyfloc 956A'!D7),'Procyfloc 956A'!D7,IF(ISNUMBER(SEARCH("12",'Procyfloc 956A'!D7)),EDATE(AB2006,12),IF(ISNUMBER(SEARCH("6",'Procyfloc 956A'!D7)),EDATE(AB2006,6),IF(ISNUMBER(SEARCH("3",'Procyfloc 956A'!D7)),EDATE(AB2006,3),DATEVALUE('Procyfloc 956A'!D7))))),""))</f>
        <v/>
      </c>
      <c r="AM2006" t="str">
        <f t="shared" ca="1" si="208"/>
        <v/>
      </c>
    </row>
    <row r="2007" spans="27:39" x14ac:dyDescent="0.3">
      <c r="AA2007" t="str">
        <f>IF(COUNTA('Procyfloc 956A'!A8,'Procyfloc 956A'!B8,'Procyfloc 956A'!C8)&gt;0,"956A","")</f>
        <v/>
      </c>
      <c r="AB2007" t="str">
        <f>IFERROR(IF(ISNUMBER('Procyfloc 956A'!A8),'Procyfloc 956A'!A8,DATEVALUE('Procyfloc 956A'!A8)),"")</f>
        <v/>
      </c>
      <c r="AC2007" t="str">
        <f>IF(AA2007="","",'Procyfloc 956A'!B8)</f>
        <v/>
      </c>
      <c r="AD2007" t="str">
        <f>IF(AA2007="","",IFERROR(1*'Procyfloc 956A'!C8,IFERROR(_xludf.NUMBERVALUE('Procyfloc 956A'!C8,".",","),IFERROR(_xludf.NUMBERVALUE('Procyfloc 956A'!C8,",","."),0))))</f>
        <v/>
      </c>
      <c r="AE2007" t="str">
        <f>IF(AA2007="","",'Procyfloc 956A'!L8)</f>
        <v/>
      </c>
      <c r="AF2007">
        <f t="shared" si="203"/>
        <v>0</v>
      </c>
      <c r="AG2007" t="str">
        <f t="shared" si="204"/>
        <v/>
      </c>
      <c r="AH2007" t="str">
        <f t="shared" si="205"/>
        <v/>
      </c>
      <c r="AI2007">
        <f t="shared" si="206"/>
        <v>0</v>
      </c>
      <c r="AJ2007">
        <f t="shared" si="207"/>
        <v>0</v>
      </c>
      <c r="AK2007">
        <v>0</v>
      </c>
      <c r="AL2007" t="str">
        <f>IF(AA2007="","",IFERROR(IF(ISNUMBER('Procyfloc 956A'!D8),'Procyfloc 956A'!D8,IF(ISNUMBER(SEARCH("12",'Procyfloc 956A'!D8)),EDATE(AB2007,12),IF(ISNUMBER(SEARCH("6",'Procyfloc 956A'!D8)),EDATE(AB2007,6),IF(ISNUMBER(SEARCH("3",'Procyfloc 956A'!D8)),EDATE(AB2007,3),DATEVALUE('Procyfloc 956A'!D8))))),""))</f>
        <v/>
      </c>
      <c r="AM2007" t="str">
        <f t="shared" ca="1" si="208"/>
        <v/>
      </c>
    </row>
    <row r="2008" spans="27:39" x14ac:dyDescent="0.3">
      <c r="AA2008" t="str">
        <f>IF(COUNTA('Procyfloc 956A'!A9,'Procyfloc 956A'!B9,'Procyfloc 956A'!C9)&gt;0,"956A","")</f>
        <v/>
      </c>
      <c r="AB2008" t="str">
        <f>IFERROR(IF(ISNUMBER('Procyfloc 956A'!A9),'Procyfloc 956A'!A9,DATEVALUE('Procyfloc 956A'!A9)),"")</f>
        <v/>
      </c>
      <c r="AC2008" t="str">
        <f>IF(AA2008="","",'Procyfloc 956A'!B9)</f>
        <v/>
      </c>
      <c r="AD2008" t="str">
        <f>IF(AA2008="","",IFERROR(1*'Procyfloc 956A'!C9,IFERROR(_xludf.NUMBERVALUE('Procyfloc 956A'!C9,".",","),IFERROR(_xludf.NUMBERVALUE('Procyfloc 956A'!C9,",","."),0))))</f>
        <v/>
      </c>
      <c r="AE2008" t="str">
        <f>IF(AA2008="","",'Procyfloc 956A'!L9)</f>
        <v/>
      </c>
      <c r="AF2008">
        <f t="shared" si="203"/>
        <v>0</v>
      </c>
      <c r="AG2008" t="str">
        <f t="shared" si="204"/>
        <v/>
      </c>
      <c r="AH2008" t="str">
        <f t="shared" si="205"/>
        <v/>
      </c>
      <c r="AI2008">
        <f t="shared" si="206"/>
        <v>0</v>
      </c>
      <c r="AJ2008">
        <f t="shared" si="207"/>
        <v>0</v>
      </c>
      <c r="AK2008">
        <v>0</v>
      </c>
      <c r="AL2008" t="str">
        <f>IF(AA2008="","",IFERROR(IF(ISNUMBER('Procyfloc 956A'!D9),'Procyfloc 956A'!D9,IF(ISNUMBER(SEARCH("12",'Procyfloc 956A'!D9)),EDATE(AB2008,12),IF(ISNUMBER(SEARCH("6",'Procyfloc 956A'!D9)),EDATE(AB2008,6),IF(ISNUMBER(SEARCH("3",'Procyfloc 956A'!D9)),EDATE(AB2008,3),DATEVALUE('Procyfloc 956A'!D9))))),""))</f>
        <v/>
      </c>
      <c r="AM2008" t="str">
        <f t="shared" ca="1" si="208"/>
        <v/>
      </c>
    </row>
    <row r="2009" spans="27:39" x14ac:dyDescent="0.3">
      <c r="AA2009" t="str">
        <f>IF(COUNTA('Procyfloc 956A'!A10,'Procyfloc 956A'!B10,'Procyfloc 956A'!C10)&gt;0,"956A","")</f>
        <v/>
      </c>
      <c r="AB2009" t="str">
        <f>IFERROR(IF(ISNUMBER('Procyfloc 956A'!A10),'Procyfloc 956A'!A10,DATEVALUE('Procyfloc 956A'!A10)),"")</f>
        <v/>
      </c>
      <c r="AC2009" t="str">
        <f>IF(AA2009="","",'Procyfloc 956A'!B10)</f>
        <v/>
      </c>
      <c r="AD2009" t="str">
        <f>IF(AA2009="","",IFERROR(1*'Procyfloc 956A'!C10,IFERROR(_xludf.NUMBERVALUE('Procyfloc 956A'!C10,".",","),IFERROR(_xludf.NUMBERVALUE('Procyfloc 956A'!C10,",","."),0))))</f>
        <v/>
      </c>
      <c r="AE2009" t="str">
        <f>IF(AA2009="","",'Procyfloc 956A'!L10)</f>
        <v/>
      </c>
      <c r="AF2009">
        <f t="shared" si="203"/>
        <v>0</v>
      </c>
      <c r="AG2009" t="str">
        <f t="shared" si="204"/>
        <v/>
      </c>
      <c r="AH2009" t="str">
        <f t="shared" si="205"/>
        <v/>
      </c>
      <c r="AI2009">
        <f t="shared" si="206"/>
        <v>0</v>
      </c>
      <c r="AJ2009">
        <f t="shared" si="207"/>
        <v>0</v>
      </c>
      <c r="AK2009">
        <v>0</v>
      </c>
      <c r="AL2009" t="str">
        <f>IF(AA2009="","",IFERROR(IF(ISNUMBER('Procyfloc 956A'!D10),'Procyfloc 956A'!D10,IF(ISNUMBER(SEARCH("12",'Procyfloc 956A'!D10)),EDATE(AB2009,12),IF(ISNUMBER(SEARCH("6",'Procyfloc 956A'!D10)),EDATE(AB2009,6),IF(ISNUMBER(SEARCH("3",'Procyfloc 956A'!D10)),EDATE(AB2009,3),DATEVALUE('Procyfloc 956A'!D10))))),""))</f>
        <v/>
      </c>
      <c r="AM2009" t="str">
        <f t="shared" ca="1" si="208"/>
        <v/>
      </c>
    </row>
    <row r="2010" spans="27:39" x14ac:dyDescent="0.3">
      <c r="AA2010" t="str">
        <f>IF(COUNTA('Procyfloc 956A'!A11,'Procyfloc 956A'!B11,'Procyfloc 956A'!C11)&gt;0,"956A","")</f>
        <v/>
      </c>
      <c r="AB2010" t="str">
        <f>IFERROR(IF(ISNUMBER('Procyfloc 956A'!A11),'Procyfloc 956A'!A11,DATEVALUE('Procyfloc 956A'!A11)),"")</f>
        <v/>
      </c>
      <c r="AC2010" t="str">
        <f>IF(AA2010="","",'Procyfloc 956A'!B11)</f>
        <v/>
      </c>
      <c r="AD2010" t="str">
        <f>IF(AA2010="","",IFERROR(1*'Procyfloc 956A'!C11,IFERROR(_xludf.NUMBERVALUE('Procyfloc 956A'!C11,".",","),IFERROR(_xludf.NUMBERVALUE('Procyfloc 956A'!C11,",","."),0))))</f>
        <v/>
      </c>
      <c r="AE2010" t="str">
        <f>IF(AA2010="","",'Procyfloc 956A'!L11)</f>
        <v/>
      </c>
      <c r="AF2010">
        <f t="shared" si="203"/>
        <v>0</v>
      </c>
      <c r="AG2010" t="str">
        <f t="shared" si="204"/>
        <v/>
      </c>
      <c r="AH2010" t="str">
        <f t="shared" si="205"/>
        <v/>
      </c>
      <c r="AI2010">
        <f t="shared" si="206"/>
        <v>0</v>
      </c>
      <c r="AJ2010">
        <f t="shared" si="207"/>
        <v>0</v>
      </c>
      <c r="AK2010">
        <v>0</v>
      </c>
      <c r="AL2010" t="str">
        <f>IF(AA2010="","",IFERROR(IF(ISNUMBER('Procyfloc 956A'!D11),'Procyfloc 956A'!D11,IF(ISNUMBER(SEARCH("12",'Procyfloc 956A'!D11)),EDATE(AB2010,12),IF(ISNUMBER(SEARCH("6",'Procyfloc 956A'!D11)),EDATE(AB2010,6),IF(ISNUMBER(SEARCH("3",'Procyfloc 956A'!D11)),EDATE(AB2010,3),DATEVALUE('Procyfloc 956A'!D11))))),""))</f>
        <v/>
      </c>
      <c r="AM2010" t="str">
        <f t="shared" ca="1" si="208"/>
        <v/>
      </c>
    </row>
    <row r="2011" spans="27:39" x14ac:dyDescent="0.3">
      <c r="AA2011" t="str">
        <f>IF(COUNTA('Procyfloc 956A'!A12,'Procyfloc 956A'!B12,'Procyfloc 956A'!C12)&gt;0,"956A","")</f>
        <v/>
      </c>
      <c r="AB2011" t="str">
        <f>IFERROR(IF(ISNUMBER('Procyfloc 956A'!A12),'Procyfloc 956A'!A12,DATEVALUE('Procyfloc 956A'!A12)),"")</f>
        <v/>
      </c>
      <c r="AC2011" t="str">
        <f>IF(AA2011="","",'Procyfloc 956A'!B12)</f>
        <v/>
      </c>
      <c r="AD2011" t="str">
        <f>IF(AA2011="","",IFERROR(1*'Procyfloc 956A'!C12,IFERROR(_xludf.NUMBERVALUE('Procyfloc 956A'!C12,".",","),IFERROR(_xludf.NUMBERVALUE('Procyfloc 956A'!C12,",","."),0))))</f>
        <v/>
      </c>
      <c r="AE2011" t="str">
        <f>IF(AA2011="","",'Procyfloc 956A'!L12)</f>
        <v/>
      </c>
      <c r="AF2011">
        <f t="shared" si="203"/>
        <v>0</v>
      </c>
      <c r="AG2011" t="str">
        <f t="shared" si="204"/>
        <v/>
      </c>
      <c r="AH2011" t="str">
        <f t="shared" si="205"/>
        <v/>
      </c>
      <c r="AI2011">
        <f t="shared" si="206"/>
        <v>0</v>
      </c>
      <c r="AJ2011">
        <f t="shared" si="207"/>
        <v>0</v>
      </c>
      <c r="AK2011">
        <v>0</v>
      </c>
      <c r="AL2011" t="str">
        <f>IF(AA2011="","",IFERROR(IF(ISNUMBER('Procyfloc 956A'!D12),'Procyfloc 956A'!D12,IF(ISNUMBER(SEARCH("12",'Procyfloc 956A'!D12)),EDATE(AB2011,12),IF(ISNUMBER(SEARCH("6",'Procyfloc 956A'!D12)),EDATE(AB2011,6),IF(ISNUMBER(SEARCH("3",'Procyfloc 956A'!D12)),EDATE(AB2011,3),DATEVALUE('Procyfloc 956A'!D12))))),""))</f>
        <v/>
      </c>
      <c r="AM2011" t="str">
        <f t="shared" ca="1" si="208"/>
        <v/>
      </c>
    </row>
    <row r="2012" spans="27:39" x14ac:dyDescent="0.3">
      <c r="AA2012" t="str">
        <f>IF(COUNTA('Procyfloc 956A'!A13,'Procyfloc 956A'!B13,'Procyfloc 956A'!C13)&gt;0,"956A","")</f>
        <v/>
      </c>
      <c r="AB2012" t="str">
        <f>IFERROR(IF(ISNUMBER('Procyfloc 956A'!A13),'Procyfloc 956A'!A13,DATEVALUE('Procyfloc 956A'!A13)),"")</f>
        <v/>
      </c>
      <c r="AC2012" t="str">
        <f>IF(AA2012="","",'Procyfloc 956A'!B13)</f>
        <v/>
      </c>
      <c r="AD2012" t="str">
        <f>IF(AA2012="","",IFERROR(1*'Procyfloc 956A'!C13,IFERROR(_xludf.NUMBERVALUE('Procyfloc 956A'!C13,".",","),IFERROR(_xludf.NUMBERVALUE('Procyfloc 956A'!C13,",","."),0))))</f>
        <v/>
      </c>
      <c r="AE2012" t="str">
        <f>IF(AA2012="","",'Procyfloc 956A'!L13)</f>
        <v/>
      </c>
      <c r="AF2012">
        <f t="shared" si="203"/>
        <v>0</v>
      </c>
      <c r="AG2012" t="str">
        <f t="shared" si="204"/>
        <v/>
      </c>
      <c r="AH2012" t="str">
        <f t="shared" si="205"/>
        <v/>
      </c>
      <c r="AI2012">
        <f t="shared" si="206"/>
        <v>0</v>
      </c>
      <c r="AJ2012">
        <f t="shared" si="207"/>
        <v>0</v>
      </c>
      <c r="AK2012">
        <v>0</v>
      </c>
      <c r="AL2012" t="str">
        <f>IF(AA2012="","",IFERROR(IF(ISNUMBER('Procyfloc 956A'!D13),'Procyfloc 956A'!D13,IF(ISNUMBER(SEARCH("12",'Procyfloc 956A'!D13)),EDATE(AB2012,12),IF(ISNUMBER(SEARCH("6",'Procyfloc 956A'!D13)),EDATE(AB2012,6),IF(ISNUMBER(SEARCH("3",'Procyfloc 956A'!D13)),EDATE(AB2012,3),DATEVALUE('Procyfloc 956A'!D13))))),""))</f>
        <v/>
      </c>
      <c r="AM2012" t="str">
        <f t="shared" ca="1" si="208"/>
        <v/>
      </c>
    </row>
    <row r="2013" spans="27:39" x14ac:dyDescent="0.3">
      <c r="AA2013" t="str">
        <f>IF(COUNTA('Procyfloc 956A'!A14,'Procyfloc 956A'!B14,'Procyfloc 956A'!C14)&gt;0,"956A","")</f>
        <v/>
      </c>
      <c r="AB2013" t="str">
        <f>IFERROR(IF(ISNUMBER('Procyfloc 956A'!A14),'Procyfloc 956A'!A14,DATEVALUE('Procyfloc 956A'!A14)),"")</f>
        <v/>
      </c>
      <c r="AC2013" t="str">
        <f>IF(AA2013="","",'Procyfloc 956A'!B14)</f>
        <v/>
      </c>
      <c r="AD2013" t="str">
        <f>IF(AA2013="","",IFERROR(1*'Procyfloc 956A'!C14,IFERROR(_xludf.NUMBERVALUE('Procyfloc 956A'!C14,".",","),IFERROR(_xludf.NUMBERVALUE('Procyfloc 956A'!C14,",","."),0))))</f>
        <v/>
      </c>
      <c r="AE2013" t="str">
        <f>IF(AA2013="","",'Procyfloc 956A'!L14)</f>
        <v/>
      </c>
      <c r="AF2013">
        <f t="shared" si="203"/>
        <v>0</v>
      </c>
      <c r="AG2013" t="str">
        <f t="shared" si="204"/>
        <v/>
      </c>
      <c r="AH2013" t="str">
        <f t="shared" si="205"/>
        <v/>
      </c>
      <c r="AI2013">
        <f t="shared" si="206"/>
        <v>0</v>
      </c>
      <c r="AJ2013">
        <f t="shared" si="207"/>
        <v>0</v>
      </c>
      <c r="AK2013">
        <v>0</v>
      </c>
      <c r="AL2013" t="str">
        <f>IF(AA2013="","",IFERROR(IF(ISNUMBER('Procyfloc 956A'!D14),'Procyfloc 956A'!D14,IF(ISNUMBER(SEARCH("12",'Procyfloc 956A'!D14)),EDATE(AB2013,12),IF(ISNUMBER(SEARCH("6",'Procyfloc 956A'!D14)),EDATE(AB2013,6),IF(ISNUMBER(SEARCH("3",'Procyfloc 956A'!D14)),EDATE(AB2013,3),DATEVALUE('Procyfloc 956A'!D14))))),""))</f>
        <v/>
      </c>
      <c r="AM2013" t="str">
        <f t="shared" ca="1" si="208"/>
        <v/>
      </c>
    </row>
    <row r="2014" spans="27:39" x14ac:dyDescent="0.3">
      <c r="AA2014" t="str">
        <f>IF(COUNTA('Procyfloc 956A'!A15,'Procyfloc 956A'!B15,'Procyfloc 956A'!C15)&gt;0,"956A","")</f>
        <v/>
      </c>
      <c r="AB2014" t="str">
        <f>IFERROR(IF(ISNUMBER('Procyfloc 956A'!A15),'Procyfloc 956A'!A15,DATEVALUE('Procyfloc 956A'!A15)),"")</f>
        <v/>
      </c>
      <c r="AC2014" t="str">
        <f>IF(AA2014="","",'Procyfloc 956A'!B15)</f>
        <v/>
      </c>
      <c r="AD2014" t="str">
        <f>IF(AA2014="","",IFERROR(1*'Procyfloc 956A'!C15,IFERROR(_xludf.NUMBERVALUE('Procyfloc 956A'!C15,".",","),IFERROR(_xludf.NUMBERVALUE('Procyfloc 956A'!C15,",","."),0))))</f>
        <v/>
      </c>
      <c r="AE2014" t="str">
        <f>IF(AA2014="","",'Procyfloc 956A'!L15)</f>
        <v/>
      </c>
      <c r="AF2014">
        <f t="shared" si="203"/>
        <v>0</v>
      </c>
      <c r="AG2014" t="str">
        <f t="shared" si="204"/>
        <v/>
      </c>
      <c r="AH2014" t="str">
        <f t="shared" si="205"/>
        <v/>
      </c>
      <c r="AI2014">
        <f t="shared" si="206"/>
        <v>0</v>
      </c>
      <c r="AJ2014">
        <f t="shared" si="207"/>
        <v>0</v>
      </c>
      <c r="AK2014">
        <v>0</v>
      </c>
      <c r="AL2014" t="str">
        <f>IF(AA2014="","",IFERROR(IF(ISNUMBER('Procyfloc 956A'!D15),'Procyfloc 956A'!D15,IF(ISNUMBER(SEARCH("12",'Procyfloc 956A'!D15)),EDATE(AB2014,12),IF(ISNUMBER(SEARCH("6",'Procyfloc 956A'!D15)),EDATE(AB2014,6),IF(ISNUMBER(SEARCH("3",'Procyfloc 956A'!D15)),EDATE(AB2014,3),DATEVALUE('Procyfloc 956A'!D15))))),""))</f>
        <v/>
      </c>
      <c r="AM2014" t="str">
        <f t="shared" ca="1" si="208"/>
        <v/>
      </c>
    </row>
    <row r="2015" spans="27:39" x14ac:dyDescent="0.3">
      <c r="AA2015" t="str">
        <f>IF(COUNTA('Procyfloc 956A'!A16,'Procyfloc 956A'!B16,'Procyfloc 956A'!C16)&gt;0,"956A","")</f>
        <v/>
      </c>
      <c r="AB2015" t="str">
        <f>IFERROR(IF(ISNUMBER('Procyfloc 956A'!A16),'Procyfloc 956A'!A16,DATEVALUE('Procyfloc 956A'!A16)),"")</f>
        <v/>
      </c>
      <c r="AC2015" t="str">
        <f>IF(AA2015="","",'Procyfloc 956A'!B16)</f>
        <v/>
      </c>
      <c r="AD2015" t="str">
        <f>IF(AA2015="","",IFERROR(1*'Procyfloc 956A'!C16,IFERROR(_xludf.NUMBERVALUE('Procyfloc 956A'!C16,".",","),IFERROR(_xludf.NUMBERVALUE('Procyfloc 956A'!C16,",","."),0))))</f>
        <v/>
      </c>
      <c r="AE2015" t="str">
        <f>IF(AA2015="","",'Procyfloc 956A'!L16)</f>
        <v/>
      </c>
      <c r="AF2015">
        <f t="shared" si="203"/>
        <v>0</v>
      </c>
      <c r="AG2015" t="str">
        <f t="shared" si="204"/>
        <v/>
      </c>
      <c r="AH2015" t="str">
        <f t="shared" si="205"/>
        <v/>
      </c>
      <c r="AI2015">
        <f t="shared" si="206"/>
        <v>0</v>
      </c>
      <c r="AJ2015">
        <f t="shared" si="207"/>
        <v>0</v>
      </c>
      <c r="AK2015">
        <v>0</v>
      </c>
      <c r="AL2015" t="str">
        <f>IF(AA2015="","",IFERROR(IF(ISNUMBER('Procyfloc 956A'!D16),'Procyfloc 956A'!D16,IF(ISNUMBER(SEARCH("12",'Procyfloc 956A'!D16)),EDATE(AB2015,12),IF(ISNUMBER(SEARCH("6",'Procyfloc 956A'!D16)),EDATE(AB2015,6),IF(ISNUMBER(SEARCH("3",'Procyfloc 956A'!D16)),EDATE(AB2015,3),DATEVALUE('Procyfloc 956A'!D16))))),""))</f>
        <v/>
      </c>
      <c r="AM2015" t="str">
        <f t="shared" ca="1" si="208"/>
        <v/>
      </c>
    </row>
    <row r="2016" spans="27:39" x14ac:dyDescent="0.3">
      <c r="AA2016" t="str">
        <f>IF(COUNTA('Procyfloc 956A'!A17,'Procyfloc 956A'!B17,'Procyfloc 956A'!C17)&gt;0,"956A","")</f>
        <v/>
      </c>
      <c r="AB2016" t="str">
        <f>IFERROR(IF(ISNUMBER('Procyfloc 956A'!A17),'Procyfloc 956A'!A17,DATEVALUE('Procyfloc 956A'!A17)),"")</f>
        <v/>
      </c>
      <c r="AC2016" t="str">
        <f>IF(AA2016="","",'Procyfloc 956A'!B17)</f>
        <v/>
      </c>
      <c r="AD2016" t="str">
        <f>IF(AA2016="","",IFERROR(1*'Procyfloc 956A'!C17,IFERROR(_xludf.NUMBERVALUE('Procyfloc 956A'!C17,".",","),IFERROR(_xludf.NUMBERVALUE('Procyfloc 956A'!C17,",","."),0))))</f>
        <v/>
      </c>
      <c r="AE2016" t="str">
        <f>IF(AA2016="","",'Procyfloc 956A'!L17)</f>
        <v/>
      </c>
      <c r="AF2016">
        <f t="shared" si="203"/>
        <v>0</v>
      </c>
      <c r="AG2016" t="str">
        <f t="shared" si="204"/>
        <v/>
      </c>
      <c r="AH2016" t="str">
        <f t="shared" si="205"/>
        <v/>
      </c>
      <c r="AI2016">
        <f t="shared" si="206"/>
        <v>0</v>
      </c>
      <c r="AJ2016">
        <f t="shared" si="207"/>
        <v>0</v>
      </c>
      <c r="AK2016">
        <v>0</v>
      </c>
      <c r="AL2016" t="str">
        <f>IF(AA2016="","",IFERROR(IF(ISNUMBER('Procyfloc 956A'!D17),'Procyfloc 956A'!D17,IF(ISNUMBER(SEARCH("12",'Procyfloc 956A'!D17)),EDATE(AB2016,12),IF(ISNUMBER(SEARCH("6",'Procyfloc 956A'!D17)),EDATE(AB2016,6),IF(ISNUMBER(SEARCH("3",'Procyfloc 956A'!D17)),EDATE(AB2016,3),DATEVALUE('Procyfloc 956A'!D17))))),""))</f>
        <v/>
      </c>
      <c r="AM2016" t="str">
        <f t="shared" ca="1" si="208"/>
        <v/>
      </c>
    </row>
    <row r="2017" spans="27:39" x14ac:dyDescent="0.3">
      <c r="AA2017" t="str">
        <f>IF(COUNTA('Procyfloc 956A'!A18,'Procyfloc 956A'!B18,'Procyfloc 956A'!C18)&gt;0,"956A","")</f>
        <v/>
      </c>
      <c r="AB2017" t="str">
        <f>IFERROR(IF(ISNUMBER('Procyfloc 956A'!A18),'Procyfloc 956A'!A18,DATEVALUE('Procyfloc 956A'!A18)),"")</f>
        <v/>
      </c>
      <c r="AC2017" t="str">
        <f>IF(AA2017="","",'Procyfloc 956A'!B18)</f>
        <v/>
      </c>
      <c r="AD2017" t="str">
        <f>IF(AA2017="","",IFERROR(1*'Procyfloc 956A'!C18,IFERROR(_xludf.NUMBERVALUE('Procyfloc 956A'!C18,".",","),IFERROR(_xludf.NUMBERVALUE('Procyfloc 956A'!C18,",","."),0))))</f>
        <v/>
      </c>
      <c r="AE2017" t="str">
        <f>IF(AA2017="","",'Procyfloc 956A'!L18)</f>
        <v/>
      </c>
      <c r="AF2017">
        <f t="shared" si="203"/>
        <v>0</v>
      </c>
      <c r="AG2017" t="str">
        <f t="shared" si="204"/>
        <v/>
      </c>
      <c r="AH2017" t="str">
        <f t="shared" si="205"/>
        <v/>
      </c>
      <c r="AI2017">
        <f t="shared" si="206"/>
        <v>0</v>
      </c>
      <c r="AJ2017">
        <f t="shared" si="207"/>
        <v>0</v>
      </c>
      <c r="AK2017">
        <v>0</v>
      </c>
      <c r="AL2017" t="str">
        <f>IF(AA2017="","",IFERROR(IF(ISNUMBER('Procyfloc 956A'!D18),'Procyfloc 956A'!D18,IF(ISNUMBER(SEARCH("12",'Procyfloc 956A'!D18)),EDATE(AB2017,12),IF(ISNUMBER(SEARCH("6",'Procyfloc 956A'!D18)),EDATE(AB2017,6),IF(ISNUMBER(SEARCH("3",'Procyfloc 956A'!D18)),EDATE(AB2017,3),DATEVALUE('Procyfloc 956A'!D18))))),""))</f>
        <v/>
      </c>
      <c r="AM2017" t="str">
        <f t="shared" ca="1" si="208"/>
        <v/>
      </c>
    </row>
    <row r="2018" spans="27:39" x14ac:dyDescent="0.3">
      <c r="AA2018" t="str">
        <f>IF(COUNTA('Procyfloc 956A'!A19,'Procyfloc 956A'!B19,'Procyfloc 956A'!C19)&gt;0,"956A","")</f>
        <v/>
      </c>
      <c r="AB2018" t="str">
        <f>IFERROR(IF(ISNUMBER('Procyfloc 956A'!A19),'Procyfloc 956A'!A19,DATEVALUE('Procyfloc 956A'!A19)),"")</f>
        <v/>
      </c>
      <c r="AC2018" t="str">
        <f>IF(AA2018="","",'Procyfloc 956A'!B19)</f>
        <v/>
      </c>
      <c r="AD2018" t="str">
        <f>IF(AA2018="","",IFERROR(1*'Procyfloc 956A'!C19,IFERROR(_xludf.NUMBERVALUE('Procyfloc 956A'!C19,".",","),IFERROR(_xludf.NUMBERVALUE('Procyfloc 956A'!C19,",","."),0))))</f>
        <v/>
      </c>
      <c r="AE2018" t="str">
        <f>IF(AA2018="","",'Procyfloc 956A'!L19)</f>
        <v/>
      </c>
      <c r="AF2018">
        <f t="shared" si="203"/>
        <v>0</v>
      </c>
      <c r="AG2018" t="str">
        <f t="shared" si="204"/>
        <v/>
      </c>
      <c r="AH2018" t="str">
        <f t="shared" si="205"/>
        <v/>
      </c>
      <c r="AI2018">
        <f t="shared" si="206"/>
        <v>0</v>
      </c>
      <c r="AJ2018">
        <f t="shared" si="207"/>
        <v>0</v>
      </c>
      <c r="AK2018">
        <v>0</v>
      </c>
      <c r="AL2018" t="str">
        <f>IF(AA2018="","",IFERROR(IF(ISNUMBER('Procyfloc 956A'!D19),'Procyfloc 956A'!D19,IF(ISNUMBER(SEARCH("12",'Procyfloc 956A'!D19)),EDATE(AB2018,12),IF(ISNUMBER(SEARCH("6",'Procyfloc 956A'!D19)),EDATE(AB2018,6),IF(ISNUMBER(SEARCH("3",'Procyfloc 956A'!D19)),EDATE(AB2018,3),DATEVALUE('Procyfloc 956A'!D19))))),""))</f>
        <v/>
      </c>
      <c r="AM2018" t="str">
        <f t="shared" ca="1" si="208"/>
        <v/>
      </c>
    </row>
    <row r="2019" spans="27:39" x14ac:dyDescent="0.3">
      <c r="AA2019" t="str">
        <f>IF(COUNTA('Procyfloc 956A'!A20,'Procyfloc 956A'!B20,'Procyfloc 956A'!C20)&gt;0,"956A","")</f>
        <v/>
      </c>
      <c r="AB2019" t="str">
        <f>IFERROR(IF(ISNUMBER('Procyfloc 956A'!A20),'Procyfloc 956A'!A20,DATEVALUE('Procyfloc 956A'!A20)),"")</f>
        <v/>
      </c>
      <c r="AC2019" t="str">
        <f>IF(AA2019="","",'Procyfloc 956A'!B20)</f>
        <v/>
      </c>
      <c r="AD2019" t="str">
        <f>IF(AA2019="","",IFERROR(1*'Procyfloc 956A'!C20,IFERROR(_xludf.NUMBERVALUE('Procyfloc 956A'!C20,".",","),IFERROR(_xludf.NUMBERVALUE('Procyfloc 956A'!C20,",","."),0))))</f>
        <v/>
      </c>
      <c r="AE2019" t="str">
        <f>IF(AA2019="","",'Procyfloc 956A'!L20)</f>
        <v/>
      </c>
      <c r="AF2019">
        <f t="shared" si="203"/>
        <v>0</v>
      </c>
      <c r="AG2019" t="str">
        <f t="shared" si="204"/>
        <v/>
      </c>
      <c r="AH2019" t="str">
        <f t="shared" si="205"/>
        <v/>
      </c>
      <c r="AI2019">
        <f t="shared" si="206"/>
        <v>0</v>
      </c>
      <c r="AJ2019">
        <f t="shared" si="207"/>
        <v>0</v>
      </c>
      <c r="AK2019">
        <v>0</v>
      </c>
      <c r="AL2019" t="str">
        <f>IF(AA2019="","",IFERROR(IF(ISNUMBER('Procyfloc 956A'!D20),'Procyfloc 956A'!D20,IF(ISNUMBER(SEARCH("12",'Procyfloc 956A'!D20)),EDATE(AB2019,12),IF(ISNUMBER(SEARCH("6",'Procyfloc 956A'!D20)),EDATE(AB2019,6),IF(ISNUMBER(SEARCH("3",'Procyfloc 956A'!D20)),EDATE(AB2019,3),DATEVALUE('Procyfloc 956A'!D20))))),""))</f>
        <v/>
      </c>
      <c r="AM2019" t="str">
        <f t="shared" ca="1" si="208"/>
        <v/>
      </c>
    </row>
    <row r="2020" spans="27:39" x14ac:dyDescent="0.3">
      <c r="AA2020" t="str">
        <f>IF(COUNTA('Procyfloc 956A'!A21,'Procyfloc 956A'!B21,'Procyfloc 956A'!C21)&gt;0,"956A","")</f>
        <v/>
      </c>
      <c r="AB2020" t="str">
        <f>IFERROR(IF(ISNUMBER('Procyfloc 956A'!A21),'Procyfloc 956A'!A21,DATEVALUE('Procyfloc 956A'!A21)),"")</f>
        <v/>
      </c>
      <c r="AC2020" t="str">
        <f>IF(AA2020="","",'Procyfloc 956A'!B21)</f>
        <v/>
      </c>
      <c r="AD2020" t="str">
        <f>IF(AA2020="","",IFERROR(1*'Procyfloc 956A'!C21,IFERROR(_xludf.NUMBERVALUE('Procyfloc 956A'!C21,".",","),IFERROR(_xludf.NUMBERVALUE('Procyfloc 956A'!C21,",","."),0))))</f>
        <v/>
      </c>
      <c r="AE2020" t="str">
        <f>IF(AA2020="","",'Procyfloc 956A'!L21)</f>
        <v/>
      </c>
      <c r="AF2020">
        <f t="shared" si="203"/>
        <v>0</v>
      </c>
      <c r="AG2020" t="str">
        <f t="shared" si="204"/>
        <v/>
      </c>
      <c r="AH2020" t="str">
        <f t="shared" si="205"/>
        <v/>
      </c>
      <c r="AI2020">
        <f t="shared" si="206"/>
        <v>0</v>
      </c>
      <c r="AJ2020">
        <f t="shared" si="207"/>
        <v>0</v>
      </c>
      <c r="AK2020">
        <v>0</v>
      </c>
      <c r="AL2020" t="str">
        <f>IF(AA2020="","",IFERROR(IF(ISNUMBER('Procyfloc 956A'!D21),'Procyfloc 956A'!D21,IF(ISNUMBER(SEARCH("12",'Procyfloc 956A'!D21)),EDATE(AB2020,12),IF(ISNUMBER(SEARCH("6",'Procyfloc 956A'!D21)),EDATE(AB2020,6),IF(ISNUMBER(SEARCH("3",'Procyfloc 956A'!D21)),EDATE(AB2020,3),DATEVALUE('Procyfloc 956A'!D21))))),""))</f>
        <v/>
      </c>
      <c r="AM2020" t="str">
        <f t="shared" ca="1" si="208"/>
        <v/>
      </c>
    </row>
    <row r="2021" spans="27:39" x14ac:dyDescent="0.3">
      <c r="AA2021" t="str">
        <f>IF(COUNTA('Procyfloc 956A'!A22,'Procyfloc 956A'!B22,'Procyfloc 956A'!C22)&gt;0,"956A","")</f>
        <v/>
      </c>
      <c r="AB2021" t="str">
        <f>IFERROR(IF(ISNUMBER('Procyfloc 956A'!A22),'Procyfloc 956A'!A22,DATEVALUE('Procyfloc 956A'!A22)),"")</f>
        <v/>
      </c>
      <c r="AC2021" t="str">
        <f>IF(AA2021="","",'Procyfloc 956A'!B22)</f>
        <v/>
      </c>
      <c r="AD2021" t="str">
        <f>IF(AA2021="","",IFERROR(1*'Procyfloc 956A'!C22,IFERROR(_xludf.NUMBERVALUE('Procyfloc 956A'!C22,".",","),IFERROR(_xludf.NUMBERVALUE('Procyfloc 956A'!C22,",","."),0))))</f>
        <v/>
      </c>
      <c r="AE2021" t="str">
        <f>IF(AA2021="","",'Procyfloc 956A'!L22)</f>
        <v/>
      </c>
      <c r="AF2021">
        <f t="shared" si="203"/>
        <v>0</v>
      </c>
      <c r="AG2021" t="str">
        <f t="shared" si="204"/>
        <v/>
      </c>
      <c r="AH2021" t="str">
        <f t="shared" si="205"/>
        <v/>
      </c>
      <c r="AI2021">
        <f t="shared" si="206"/>
        <v>0</v>
      </c>
      <c r="AJ2021">
        <f t="shared" si="207"/>
        <v>0</v>
      </c>
      <c r="AK2021">
        <v>0</v>
      </c>
      <c r="AL2021" t="str">
        <f>IF(AA2021="","",IFERROR(IF(ISNUMBER('Procyfloc 956A'!D22),'Procyfloc 956A'!D22,IF(ISNUMBER(SEARCH("12",'Procyfloc 956A'!D22)),EDATE(AB2021,12),IF(ISNUMBER(SEARCH("6",'Procyfloc 956A'!D22)),EDATE(AB2021,6),IF(ISNUMBER(SEARCH("3",'Procyfloc 956A'!D22)),EDATE(AB2021,3),DATEVALUE('Procyfloc 956A'!D22))))),""))</f>
        <v/>
      </c>
      <c r="AM2021" t="str">
        <f t="shared" ca="1" si="208"/>
        <v/>
      </c>
    </row>
    <row r="2022" spans="27:39" x14ac:dyDescent="0.3">
      <c r="AA2022" t="str">
        <f>IF(COUNTA('Procyfloc 956A'!A23,'Procyfloc 956A'!B23,'Procyfloc 956A'!C23)&gt;0,"956A","")</f>
        <v/>
      </c>
      <c r="AB2022" t="str">
        <f>IFERROR(IF(ISNUMBER('Procyfloc 956A'!A23),'Procyfloc 956A'!A23,DATEVALUE('Procyfloc 956A'!A23)),"")</f>
        <v/>
      </c>
      <c r="AC2022" t="str">
        <f>IF(AA2022="","",'Procyfloc 956A'!B23)</f>
        <v/>
      </c>
      <c r="AD2022" t="str">
        <f>IF(AA2022="","",IFERROR(1*'Procyfloc 956A'!C23,IFERROR(_xludf.NUMBERVALUE('Procyfloc 956A'!C23,".",","),IFERROR(_xludf.NUMBERVALUE('Procyfloc 956A'!C23,",","."),0))))</f>
        <v/>
      </c>
      <c r="AE2022" t="str">
        <f>IF(AA2022="","",'Procyfloc 956A'!L23)</f>
        <v/>
      </c>
      <c r="AF2022">
        <f t="shared" si="203"/>
        <v>0</v>
      </c>
      <c r="AG2022" t="str">
        <f t="shared" si="204"/>
        <v/>
      </c>
      <c r="AH2022" t="str">
        <f t="shared" si="205"/>
        <v/>
      </c>
      <c r="AI2022">
        <f t="shared" si="206"/>
        <v>0</v>
      </c>
      <c r="AJ2022">
        <f t="shared" si="207"/>
        <v>0</v>
      </c>
      <c r="AK2022">
        <v>0</v>
      </c>
      <c r="AL2022" t="str">
        <f>IF(AA2022="","",IFERROR(IF(ISNUMBER('Procyfloc 956A'!D23),'Procyfloc 956A'!D23,IF(ISNUMBER(SEARCH("12",'Procyfloc 956A'!D23)),EDATE(AB2022,12),IF(ISNUMBER(SEARCH("6",'Procyfloc 956A'!D23)),EDATE(AB2022,6),IF(ISNUMBER(SEARCH("3",'Procyfloc 956A'!D23)),EDATE(AB2022,3),DATEVALUE('Procyfloc 956A'!D23))))),""))</f>
        <v/>
      </c>
      <c r="AM2022" t="str">
        <f t="shared" ca="1" si="208"/>
        <v/>
      </c>
    </row>
    <row r="2023" spans="27:39" x14ac:dyDescent="0.3">
      <c r="AA2023" t="str">
        <f>IF(COUNTA('Procyfloc 956A'!A24,'Procyfloc 956A'!B24,'Procyfloc 956A'!C24)&gt;0,"956A","")</f>
        <v/>
      </c>
      <c r="AB2023" t="str">
        <f>IFERROR(IF(ISNUMBER('Procyfloc 956A'!A24),'Procyfloc 956A'!A24,DATEVALUE('Procyfloc 956A'!A24)),"")</f>
        <v/>
      </c>
      <c r="AC2023" t="str">
        <f>IF(AA2023="","",'Procyfloc 956A'!B24)</f>
        <v/>
      </c>
      <c r="AD2023" t="str">
        <f>IF(AA2023="","",IFERROR(1*'Procyfloc 956A'!C24,IFERROR(_xludf.NUMBERVALUE('Procyfloc 956A'!C24,".",","),IFERROR(_xludf.NUMBERVALUE('Procyfloc 956A'!C24,",","."),0))))</f>
        <v/>
      </c>
      <c r="AE2023" t="str">
        <f>IF(AA2023="","",'Procyfloc 956A'!L24)</f>
        <v/>
      </c>
      <c r="AF2023">
        <f t="shared" si="203"/>
        <v>0</v>
      </c>
      <c r="AG2023" t="str">
        <f t="shared" si="204"/>
        <v/>
      </c>
      <c r="AH2023" t="str">
        <f t="shared" si="205"/>
        <v/>
      </c>
      <c r="AI2023">
        <f t="shared" si="206"/>
        <v>0</v>
      </c>
      <c r="AJ2023">
        <f t="shared" si="207"/>
        <v>0</v>
      </c>
      <c r="AK2023">
        <v>0</v>
      </c>
      <c r="AL2023" t="str">
        <f>IF(AA2023="","",IFERROR(IF(ISNUMBER('Procyfloc 956A'!D24),'Procyfloc 956A'!D24,IF(ISNUMBER(SEARCH("12",'Procyfloc 956A'!D24)),EDATE(AB2023,12),IF(ISNUMBER(SEARCH("6",'Procyfloc 956A'!D24)),EDATE(AB2023,6),IF(ISNUMBER(SEARCH("3",'Procyfloc 956A'!D24)),EDATE(AB2023,3),DATEVALUE('Procyfloc 956A'!D24))))),""))</f>
        <v/>
      </c>
      <c r="AM2023" t="str">
        <f t="shared" ca="1" si="208"/>
        <v/>
      </c>
    </row>
    <row r="2024" spans="27:39" x14ac:dyDescent="0.3">
      <c r="AA2024" t="str">
        <f>IF(COUNTA('Procyfloc 956A'!A25,'Procyfloc 956A'!B25,'Procyfloc 956A'!C25)&gt;0,"956A","")</f>
        <v/>
      </c>
      <c r="AB2024" t="str">
        <f>IFERROR(IF(ISNUMBER('Procyfloc 956A'!A25),'Procyfloc 956A'!A25,DATEVALUE('Procyfloc 956A'!A25)),"")</f>
        <v/>
      </c>
      <c r="AC2024" t="str">
        <f>IF(AA2024="","",'Procyfloc 956A'!B25)</f>
        <v/>
      </c>
      <c r="AD2024" t="str">
        <f>IF(AA2024="","",IFERROR(1*'Procyfloc 956A'!C25,IFERROR(_xludf.NUMBERVALUE('Procyfloc 956A'!C25,".",","),IFERROR(_xludf.NUMBERVALUE('Procyfloc 956A'!C25,",","."),0))))</f>
        <v/>
      </c>
      <c r="AE2024" t="str">
        <f>IF(AA2024="","",'Procyfloc 956A'!L25)</f>
        <v/>
      </c>
      <c r="AF2024">
        <f t="shared" si="203"/>
        <v>0</v>
      </c>
      <c r="AG2024" t="str">
        <f t="shared" si="204"/>
        <v/>
      </c>
      <c r="AH2024" t="str">
        <f t="shared" si="205"/>
        <v/>
      </c>
      <c r="AI2024">
        <f t="shared" si="206"/>
        <v>0</v>
      </c>
      <c r="AJ2024">
        <f t="shared" si="207"/>
        <v>0</v>
      </c>
      <c r="AK2024">
        <v>0</v>
      </c>
      <c r="AL2024" t="str">
        <f>IF(AA2024="","",IFERROR(IF(ISNUMBER('Procyfloc 956A'!D25),'Procyfloc 956A'!D25,IF(ISNUMBER(SEARCH("12",'Procyfloc 956A'!D25)),EDATE(AB2024,12),IF(ISNUMBER(SEARCH("6",'Procyfloc 956A'!D25)),EDATE(AB2024,6),IF(ISNUMBER(SEARCH("3",'Procyfloc 956A'!D25)),EDATE(AB2024,3),DATEVALUE('Procyfloc 956A'!D25))))),""))</f>
        <v/>
      </c>
      <c r="AM2024" t="str">
        <f t="shared" ca="1" si="208"/>
        <v/>
      </c>
    </row>
    <row r="2025" spans="27:39" x14ac:dyDescent="0.3">
      <c r="AA2025" t="str">
        <f>IF(COUNTA('Procyfloc 956A'!A26,'Procyfloc 956A'!B26,'Procyfloc 956A'!C26)&gt;0,"956A","")</f>
        <v/>
      </c>
      <c r="AB2025" t="str">
        <f>IFERROR(IF(ISNUMBER('Procyfloc 956A'!A26),'Procyfloc 956A'!A26,DATEVALUE('Procyfloc 956A'!A26)),"")</f>
        <v/>
      </c>
      <c r="AC2025" t="str">
        <f>IF(AA2025="","",'Procyfloc 956A'!B26)</f>
        <v/>
      </c>
      <c r="AD2025" t="str">
        <f>IF(AA2025="","",IFERROR(1*'Procyfloc 956A'!C26,IFERROR(_xludf.NUMBERVALUE('Procyfloc 956A'!C26,".",","),IFERROR(_xludf.NUMBERVALUE('Procyfloc 956A'!C26,",","."),0))))</f>
        <v/>
      </c>
      <c r="AE2025" t="str">
        <f>IF(AA2025="","",'Procyfloc 956A'!L26)</f>
        <v/>
      </c>
      <c r="AF2025">
        <f t="shared" si="203"/>
        <v>0</v>
      </c>
      <c r="AG2025" t="str">
        <f t="shared" si="204"/>
        <v/>
      </c>
      <c r="AH2025" t="str">
        <f t="shared" si="205"/>
        <v/>
      </c>
      <c r="AI2025">
        <f t="shared" si="206"/>
        <v>0</v>
      </c>
      <c r="AJ2025">
        <f t="shared" si="207"/>
        <v>0</v>
      </c>
      <c r="AK2025">
        <v>0</v>
      </c>
      <c r="AL2025" t="str">
        <f>IF(AA2025="","",IFERROR(IF(ISNUMBER('Procyfloc 956A'!D26),'Procyfloc 956A'!D26,IF(ISNUMBER(SEARCH("12",'Procyfloc 956A'!D26)),EDATE(AB2025,12),IF(ISNUMBER(SEARCH("6",'Procyfloc 956A'!D26)),EDATE(AB2025,6),IF(ISNUMBER(SEARCH("3",'Procyfloc 956A'!D26)),EDATE(AB2025,3),DATEVALUE('Procyfloc 956A'!D26))))),""))</f>
        <v/>
      </c>
      <c r="AM2025" t="str">
        <f t="shared" ca="1" si="208"/>
        <v/>
      </c>
    </row>
    <row r="2026" spans="27:39" x14ac:dyDescent="0.3">
      <c r="AA2026" t="str">
        <f>IF(COUNTA('Procyfloc 956A'!A27,'Procyfloc 956A'!B27,'Procyfloc 956A'!C27)&gt;0,"956A","")</f>
        <v/>
      </c>
      <c r="AB2026" t="str">
        <f>IFERROR(IF(ISNUMBER('Procyfloc 956A'!A27),'Procyfloc 956A'!A27,DATEVALUE('Procyfloc 956A'!A27)),"")</f>
        <v/>
      </c>
      <c r="AC2026" t="str">
        <f>IF(AA2026="","",'Procyfloc 956A'!B27)</f>
        <v/>
      </c>
      <c r="AD2026" t="str">
        <f>IF(AA2026="","",IFERROR(1*'Procyfloc 956A'!C27,IFERROR(_xludf.NUMBERVALUE('Procyfloc 956A'!C27,".",","),IFERROR(_xludf.NUMBERVALUE('Procyfloc 956A'!C27,",","."),0))))</f>
        <v/>
      </c>
      <c r="AE2026" t="str">
        <f>IF(AA2026="","",'Procyfloc 956A'!L27)</f>
        <v/>
      </c>
      <c r="AF2026">
        <f t="shared" si="203"/>
        <v>0</v>
      </c>
      <c r="AG2026" t="str">
        <f t="shared" si="204"/>
        <v/>
      </c>
      <c r="AH2026" t="str">
        <f t="shared" si="205"/>
        <v/>
      </c>
      <c r="AI2026">
        <f t="shared" si="206"/>
        <v>0</v>
      </c>
      <c r="AJ2026">
        <f t="shared" si="207"/>
        <v>0</v>
      </c>
      <c r="AK2026">
        <v>0</v>
      </c>
      <c r="AL2026" t="str">
        <f>IF(AA2026="","",IFERROR(IF(ISNUMBER('Procyfloc 956A'!D27),'Procyfloc 956A'!D27,IF(ISNUMBER(SEARCH("12",'Procyfloc 956A'!D27)),EDATE(AB2026,12),IF(ISNUMBER(SEARCH("6",'Procyfloc 956A'!D27)),EDATE(AB2026,6),IF(ISNUMBER(SEARCH("3",'Procyfloc 956A'!D27)),EDATE(AB2026,3),DATEVALUE('Procyfloc 956A'!D27))))),""))</f>
        <v/>
      </c>
      <c r="AM2026" t="str">
        <f t="shared" ca="1" si="208"/>
        <v/>
      </c>
    </row>
    <row r="2027" spans="27:39" x14ac:dyDescent="0.3">
      <c r="AA2027" t="str">
        <f>IF(COUNTA('Procyfloc 956A'!A28,'Procyfloc 956A'!B28,'Procyfloc 956A'!C28)&gt;0,"956A","")</f>
        <v/>
      </c>
      <c r="AB2027" t="str">
        <f>IFERROR(IF(ISNUMBER('Procyfloc 956A'!A28),'Procyfloc 956A'!A28,DATEVALUE('Procyfloc 956A'!A28)),"")</f>
        <v/>
      </c>
      <c r="AC2027" t="str">
        <f>IF(AA2027="","",'Procyfloc 956A'!B28)</f>
        <v/>
      </c>
      <c r="AD2027" t="str">
        <f>IF(AA2027="","",IFERROR(1*'Procyfloc 956A'!C28,IFERROR(_xludf.NUMBERVALUE('Procyfloc 956A'!C28,".",","),IFERROR(_xludf.NUMBERVALUE('Procyfloc 956A'!C28,",","."),0))))</f>
        <v/>
      </c>
      <c r="AE2027" t="str">
        <f>IF(AA2027="","",'Procyfloc 956A'!L28)</f>
        <v/>
      </c>
      <c r="AF2027">
        <f t="shared" si="203"/>
        <v>0</v>
      </c>
      <c r="AG2027" t="str">
        <f t="shared" si="204"/>
        <v/>
      </c>
      <c r="AH2027" t="str">
        <f t="shared" si="205"/>
        <v/>
      </c>
      <c r="AI2027">
        <f t="shared" si="206"/>
        <v>0</v>
      </c>
      <c r="AJ2027">
        <f t="shared" si="207"/>
        <v>0</v>
      </c>
      <c r="AK2027">
        <v>0</v>
      </c>
      <c r="AL2027" t="str">
        <f>IF(AA2027="","",IFERROR(IF(ISNUMBER('Procyfloc 956A'!D28),'Procyfloc 956A'!D28,IF(ISNUMBER(SEARCH("12",'Procyfloc 956A'!D28)),EDATE(AB2027,12),IF(ISNUMBER(SEARCH("6",'Procyfloc 956A'!D28)),EDATE(AB2027,6),IF(ISNUMBER(SEARCH("3",'Procyfloc 956A'!D28)),EDATE(AB2027,3),DATEVALUE('Procyfloc 956A'!D28))))),""))</f>
        <v/>
      </c>
      <c r="AM2027" t="str">
        <f t="shared" ca="1" si="208"/>
        <v/>
      </c>
    </row>
    <row r="2028" spans="27:39" x14ac:dyDescent="0.3">
      <c r="AA2028" t="str">
        <f>IF(COUNTA('Procyfloc 956A'!A29,'Procyfloc 956A'!B29,'Procyfloc 956A'!C29)&gt;0,"956A","")</f>
        <v/>
      </c>
      <c r="AB2028" t="str">
        <f>IFERROR(IF(ISNUMBER('Procyfloc 956A'!A29),'Procyfloc 956A'!A29,DATEVALUE('Procyfloc 956A'!A29)),"")</f>
        <v/>
      </c>
      <c r="AC2028" t="str">
        <f>IF(AA2028="","",'Procyfloc 956A'!B29)</f>
        <v/>
      </c>
      <c r="AD2028" t="str">
        <f>IF(AA2028="","",IFERROR(1*'Procyfloc 956A'!C29,IFERROR(_xludf.NUMBERVALUE('Procyfloc 956A'!C29,".",","),IFERROR(_xludf.NUMBERVALUE('Procyfloc 956A'!C29,",","."),0))))</f>
        <v/>
      </c>
      <c r="AE2028" t="str">
        <f>IF(AA2028="","",'Procyfloc 956A'!L29)</f>
        <v/>
      </c>
      <c r="AF2028">
        <f t="shared" si="203"/>
        <v>0</v>
      </c>
      <c r="AG2028" t="str">
        <f t="shared" si="204"/>
        <v/>
      </c>
      <c r="AH2028" t="str">
        <f t="shared" si="205"/>
        <v/>
      </c>
      <c r="AI2028">
        <f t="shared" si="206"/>
        <v>0</v>
      </c>
      <c r="AJ2028">
        <f t="shared" si="207"/>
        <v>0</v>
      </c>
      <c r="AK2028">
        <v>0</v>
      </c>
      <c r="AL2028" t="str">
        <f>IF(AA2028="","",IFERROR(IF(ISNUMBER('Procyfloc 956A'!D29),'Procyfloc 956A'!D29,IF(ISNUMBER(SEARCH("12",'Procyfloc 956A'!D29)),EDATE(AB2028,12),IF(ISNUMBER(SEARCH("6",'Procyfloc 956A'!D29)),EDATE(AB2028,6),IF(ISNUMBER(SEARCH("3",'Procyfloc 956A'!D29)),EDATE(AB2028,3),DATEVALUE('Procyfloc 956A'!D29))))),""))</f>
        <v/>
      </c>
      <c r="AM2028" t="str">
        <f t="shared" ca="1" si="208"/>
        <v/>
      </c>
    </row>
    <row r="2029" spans="27:39" x14ac:dyDescent="0.3">
      <c r="AA2029" t="str">
        <f>IF(COUNTA('Procyfloc 956A'!A30,'Procyfloc 956A'!B30,'Procyfloc 956A'!C30)&gt;0,"956A","")</f>
        <v/>
      </c>
      <c r="AB2029" t="str">
        <f>IFERROR(IF(ISNUMBER('Procyfloc 956A'!A30),'Procyfloc 956A'!A30,DATEVALUE('Procyfloc 956A'!A30)),"")</f>
        <v/>
      </c>
      <c r="AC2029" t="str">
        <f>IF(AA2029="","",'Procyfloc 956A'!B30)</f>
        <v/>
      </c>
      <c r="AD2029" t="str">
        <f>IF(AA2029="","",IFERROR(1*'Procyfloc 956A'!C30,IFERROR(_xludf.NUMBERVALUE('Procyfloc 956A'!C30,".",","),IFERROR(_xludf.NUMBERVALUE('Procyfloc 956A'!C30,",","."),0))))</f>
        <v/>
      </c>
      <c r="AE2029" t="str">
        <f>IF(AA2029="","",'Procyfloc 956A'!L30)</f>
        <v/>
      </c>
      <c r="AF2029">
        <f t="shared" si="203"/>
        <v>0</v>
      </c>
      <c r="AG2029" t="str">
        <f t="shared" si="204"/>
        <v/>
      </c>
      <c r="AH2029" t="str">
        <f t="shared" si="205"/>
        <v/>
      </c>
      <c r="AI2029">
        <f t="shared" si="206"/>
        <v>0</v>
      </c>
      <c r="AJ2029">
        <f t="shared" si="207"/>
        <v>0</v>
      </c>
      <c r="AK2029">
        <v>0</v>
      </c>
      <c r="AL2029" t="str">
        <f>IF(AA2029="","",IFERROR(IF(ISNUMBER('Procyfloc 956A'!D30),'Procyfloc 956A'!D30,IF(ISNUMBER(SEARCH("12",'Procyfloc 956A'!D30)),EDATE(AB2029,12),IF(ISNUMBER(SEARCH("6",'Procyfloc 956A'!D30)),EDATE(AB2029,6),IF(ISNUMBER(SEARCH("3",'Procyfloc 956A'!D30)),EDATE(AB2029,3),DATEVALUE('Procyfloc 956A'!D30))))),""))</f>
        <v/>
      </c>
      <c r="AM2029" t="str">
        <f t="shared" ca="1" si="208"/>
        <v/>
      </c>
    </row>
    <row r="2030" spans="27:39" x14ac:dyDescent="0.3">
      <c r="AA2030" t="str">
        <f>IF(COUNTA('Procyfloc 956A'!A31,'Procyfloc 956A'!B31,'Procyfloc 956A'!C31)&gt;0,"956A","")</f>
        <v/>
      </c>
      <c r="AB2030" t="str">
        <f>IFERROR(IF(ISNUMBER('Procyfloc 956A'!A31),'Procyfloc 956A'!A31,DATEVALUE('Procyfloc 956A'!A31)),"")</f>
        <v/>
      </c>
      <c r="AC2030" t="str">
        <f>IF(AA2030="","",'Procyfloc 956A'!B31)</f>
        <v/>
      </c>
      <c r="AD2030" t="str">
        <f>IF(AA2030="","",IFERROR(1*'Procyfloc 956A'!C31,IFERROR(_xludf.NUMBERVALUE('Procyfloc 956A'!C31,".",","),IFERROR(_xludf.NUMBERVALUE('Procyfloc 956A'!C31,",","."),0))))</f>
        <v/>
      </c>
      <c r="AE2030" t="str">
        <f>IF(AA2030="","",'Procyfloc 956A'!L31)</f>
        <v/>
      </c>
      <c r="AF2030">
        <f t="shared" si="203"/>
        <v>0</v>
      </c>
      <c r="AG2030" t="str">
        <f t="shared" si="204"/>
        <v/>
      </c>
      <c r="AH2030" t="str">
        <f t="shared" si="205"/>
        <v/>
      </c>
      <c r="AI2030">
        <f t="shared" si="206"/>
        <v>0</v>
      </c>
      <c r="AJ2030">
        <f t="shared" si="207"/>
        <v>0</v>
      </c>
      <c r="AK2030">
        <v>0</v>
      </c>
      <c r="AL2030" t="str">
        <f>IF(AA2030="","",IFERROR(IF(ISNUMBER('Procyfloc 956A'!D31),'Procyfloc 956A'!D31,IF(ISNUMBER(SEARCH("12",'Procyfloc 956A'!D31)),EDATE(AB2030,12),IF(ISNUMBER(SEARCH("6",'Procyfloc 956A'!D31)),EDATE(AB2030,6),IF(ISNUMBER(SEARCH("3",'Procyfloc 956A'!D31)),EDATE(AB2030,3),DATEVALUE('Procyfloc 956A'!D31))))),""))</f>
        <v/>
      </c>
      <c r="AM2030" t="str">
        <f t="shared" ca="1" si="208"/>
        <v/>
      </c>
    </row>
    <row r="2031" spans="27:39" x14ac:dyDescent="0.3">
      <c r="AA2031" t="str">
        <f>IF(COUNTA('Procyfloc 956A'!A32,'Procyfloc 956A'!B32,'Procyfloc 956A'!C32)&gt;0,"956A","")</f>
        <v/>
      </c>
      <c r="AB2031" t="str">
        <f>IFERROR(IF(ISNUMBER('Procyfloc 956A'!A32),'Procyfloc 956A'!A32,DATEVALUE('Procyfloc 956A'!A32)),"")</f>
        <v/>
      </c>
      <c r="AC2031" t="str">
        <f>IF(AA2031="","",'Procyfloc 956A'!B32)</f>
        <v/>
      </c>
      <c r="AD2031" t="str">
        <f>IF(AA2031="","",IFERROR(1*'Procyfloc 956A'!C32,IFERROR(_xludf.NUMBERVALUE('Procyfloc 956A'!C32,".",","),IFERROR(_xludf.NUMBERVALUE('Procyfloc 956A'!C32,",","."),0))))</f>
        <v/>
      </c>
      <c r="AE2031" t="str">
        <f>IF(AA2031="","",'Procyfloc 956A'!L32)</f>
        <v/>
      </c>
      <c r="AF2031">
        <f t="shared" si="203"/>
        <v>0</v>
      </c>
      <c r="AG2031" t="str">
        <f t="shared" si="204"/>
        <v/>
      </c>
      <c r="AH2031" t="str">
        <f t="shared" si="205"/>
        <v/>
      </c>
      <c r="AI2031">
        <f t="shared" si="206"/>
        <v>0</v>
      </c>
      <c r="AJ2031">
        <f t="shared" si="207"/>
        <v>0</v>
      </c>
      <c r="AK2031">
        <v>0</v>
      </c>
      <c r="AL2031" t="str">
        <f>IF(AA2031="","",IFERROR(IF(ISNUMBER('Procyfloc 956A'!D32),'Procyfloc 956A'!D32,IF(ISNUMBER(SEARCH("12",'Procyfloc 956A'!D32)),EDATE(AB2031,12),IF(ISNUMBER(SEARCH("6",'Procyfloc 956A'!D32)),EDATE(AB2031,6),IF(ISNUMBER(SEARCH("3",'Procyfloc 956A'!D32)),EDATE(AB2031,3),DATEVALUE('Procyfloc 956A'!D32))))),""))</f>
        <v/>
      </c>
      <c r="AM2031" t="str">
        <f t="shared" ca="1" si="208"/>
        <v/>
      </c>
    </row>
    <row r="2032" spans="27:39" x14ac:dyDescent="0.3">
      <c r="AA2032" t="str">
        <f>IF(COUNTA('Procyfloc 956A'!A33,'Procyfloc 956A'!B33,'Procyfloc 956A'!C33)&gt;0,"956A","")</f>
        <v/>
      </c>
      <c r="AB2032" t="str">
        <f>IFERROR(IF(ISNUMBER('Procyfloc 956A'!A33),'Procyfloc 956A'!A33,DATEVALUE('Procyfloc 956A'!A33)),"")</f>
        <v/>
      </c>
      <c r="AC2032" t="str">
        <f>IF(AA2032="","",'Procyfloc 956A'!B33)</f>
        <v/>
      </c>
      <c r="AD2032" t="str">
        <f>IF(AA2032="","",IFERROR(1*'Procyfloc 956A'!C33,IFERROR(_xludf.NUMBERVALUE('Procyfloc 956A'!C33,".",","),IFERROR(_xludf.NUMBERVALUE('Procyfloc 956A'!C33,",","."),0))))</f>
        <v/>
      </c>
      <c r="AE2032" t="str">
        <f>IF(AA2032="","",'Procyfloc 956A'!L33)</f>
        <v/>
      </c>
      <c r="AF2032">
        <f t="shared" si="203"/>
        <v>0</v>
      </c>
      <c r="AG2032" t="str">
        <f t="shared" si="204"/>
        <v/>
      </c>
      <c r="AH2032" t="str">
        <f t="shared" si="205"/>
        <v/>
      </c>
      <c r="AI2032">
        <f t="shared" si="206"/>
        <v>0</v>
      </c>
      <c r="AJ2032">
        <f t="shared" si="207"/>
        <v>0</v>
      </c>
      <c r="AK2032">
        <v>0</v>
      </c>
      <c r="AL2032" t="str">
        <f>IF(AA2032="","",IFERROR(IF(ISNUMBER('Procyfloc 956A'!D33),'Procyfloc 956A'!D33,IF(ISNUMBER(SEARCH("12",'Procyfloc 956A'!D33)),EDATE(AB2032,12),IF(ISNUMBER(SEARCH("6",'Procyfloc 956A'!D33)),EDATE(AB2032,6),IF(ISNUMBER(SEARCH("3",'Procyfloc 956A'!D33)),EDATE(AB2032,3),DATEVALUE('Procyfloc 956A'!D33))))),""))</f>
        <v/>
      </c>
      <c r="AM2032" t="str">
        <f t="shared" ca="1" si="208"/>
        <v/>
      </c>
    </row>
    <row r="2033" spans="27:39" x14ac:dyDescent="0.3">
      <c r="AA2033" t="str">
        <f>IF(COUNTA('Procyfloc 956A'!A34,'Procyfloc 956A'!B34,'Procyfloc 956A'!C34)&gt;0,"956A","")</f>
        <v/>
      </c>
      <c r="AB2033" t="str">
        <f>IFERROR(IF(ISNUMBER('Procyfloc 956A'!A34),'Procyfloc 956A'!A34,DATEVALUE('Procyfloc 956A'!A34)),"")</f>
        <v/>
      </c>
      <c r="AC2033" t="str">
        <f>IF(AA2033="","",'Procyfloc 956A'!B34)</f>
        <v/>
      </c>
      <c r="AD2033" t="str">
        <f>IF(AA2033="","",IFERROR(1*'Procyfloc 956A'!C34,IFERROR(_xludf.NUMBERVALUE('Procyfloc 956A'!C34,".",","),IFERROR(_xludf.NUMBERVALUE('Procyfloc 956A'!C34,",","."),0))))</f>
        <v/>
      </c>
      <c r="AE2033" t="str">
        <f>IF(AA2033="","",'Procyfloc 956A'!L34)</f>
        <v/>
      </c>
      <c r="AF2033">
        <f t="shared" si="203"/>
        <v>0</v>
      </c>
      <c r="AG2033" t="str">
        <f t="shared" si="204"/>
        <v/>
      </c>
      <c r="AH2033" t="str">
        <f t="shared" si="205"/>
        <v/>
      </c>
      <c r="AI2033">
        <f t="shared" si="206"/>
        <v>0</v>
      </c>
      <c r="AJ2033">
        <f t="shared" si="207"/>
        <v>0</v>
      </c>
      <c r="AK2033">
        <v>0</v>
      </c>
      <c r="AL2033" t="str">
        <f>IF(AA2033="","",IFERROR(IF(ISNUMBER('Procyfloc 956A'!D34),'Procyfloc 956A'!D34,IF(ISNUMBER(SEARCH("12",'Procyfloc 956A'!D34)),EDATE(AB2033,12),IF(ISNUMBER(SEARCH("6",'Procyfloc 956A'!D34)),EDATE(AB2033,6),IF(ISNUMBER(SEARCH("3",'Procyfloc 956A'!D34)),EDATE(AB2033,3),DATEVALUE('Procyfloc 956A'!D34))))),""))</f>
        <v/>
      </c>
      <c r="AM2033" t="str">
        <f t="shared" ca="1" si="208"/>
        <v/>
      </c>
    </row>
    <row r="2034" spans="27:39" x14ac:dyDescent="0.3">
      <c r="AA2034" t="str">
        <f>IF(COUNTA('Procyfloc 956A'!A35,'Procyfloc 956A'!B35,'Procyfloc 956A'!C35)&gt;0,"956A","")</f>
        <v/>
      </c>
      <c r="AB2034" t="str">
        <f>IFERROR(IF(ISNUMBER('Procyfloc 956A'!A35),'Procyfloc 956A'!A35,DATEVALUE('Procyfloc 956A'!A35)),"")</f>
        <v/>
      </c>
      <c r="AC2034" t="str">
        <f>IF(AA2034="","",'Procyfloc 956A'!B35)</f>
        <v/>
      </c>
      <c r="AD2034" t="str">
        <f>IF(AA2034="","",IFERROR(1*'Procyfloc 956A'!C35,IFERROR(_xludf.NUMBERVALUE('Procyfloc 956A'!C35,".",","),IFERROR(_xludf.NUMBERVALUE('Procyfloc 956A'!C35,",","."),0))))</f>
        <v/>
      </c>
      <c r="AE2034" t="str">
        <f>IF(AA2034="","",'Procyfloc 956A'!L35)</f>
        <v/>
      </c>
      <c r="AF2034">
        <f t="shared" si="203"/>
        <v>0</v>
      </c>
      <c r="AG2034" t="str">
        <f t="shared" si="204"/>
        <v/>
      </c>
      <c r="AH2034" t="str">
        <f t="shared" si="205"/>
        <v/>
      </c>
      <c r="AI2034">
        <f t="shared" si="206"/>
        <v>0</v>
      </c>
      <c r="AJ2034">
        <f t="shared" si="207"/>
        <v>0</v>
      </c>
      <c r="AK2034">
        <v>0</v>
      </c>
      <c r="AL2034" t="str">
        <f>IF(AA2034="","",IFERROR(IF(ISNUMBER('Procyfloc 956A'!D35),'Procyfloc 956A'!D35,IF(ISNUMBER(SEARCH("12",'Procyfloc 956A'!D35)),EDATE(AB2034,12),IF(ISNUMBER(SEARCH("6",'Procyfloc 956A'!D35)),EDATE(AB2034,6),IF(ISNUMBER(SEARCH("3",'Procyfloc 956A'!D35)),EDATE(AB2034,3),DATEVALUE('Procyfloc 956A'!D35))))),""))</f>
        <v/>
      </c>
      <c r="AM2034" t="str">
        <f t="shared" ca="1" si="208"/>
        <v/>
      </c>
    </row>
    <row r="2035" spans="27:39" x14ac:dyDescent="0.3">
      <c r="AA2035" t="str">
        <f>IF(COUNTA('Procyfloc 956A'!A36,'Procyfloc 956A'!B36,'Procyfloc 956A'!C36)&gt;0,"956A","")</f>
        <v/>
      </c>
      <c r="AB2035" t="str">
        <f>IFERROR(IF(ISNUMBER('Procyfloc 956A'!A36),'Procyfloc 956A'!A36,DATEVALUE('Procyfloc 956A'!A36)),"")</f>
        <v/>
      </c>
      <c r="AC2035" t="str">
        <f>IF(AA2035="","",'Procyfloc 956A'!B36)</f>
        <v/>
      </c>
      <c r="AD2035" t="str">
        <f>IF(AA2035="","",IFERROR(1*'Procyfloc 956A'!C36,IFERROR(_xludf.NUMBERVALUE('Procyfloc 956A'!C36,".",","),IFERROR(_xludf.NUMBERVALUE('Procyfloc 956A'!C36,",","."),0))))</f>
        <v/>
      </c>
      <c r="AE2035" t="str">
        <f>IF(AA2035="","",'Procyfloc 956A'!L36)</f>
        <v/>
      </c>
      <c r="AF2035">
        <f t="shared" si="203"/>
        <v>0</v>
      </c>
      <c r="AG2035" t="str">
        <f t="shared" si="204"/>
        <v/>
      </c>
      <c r="AH2035" t="str">
        <f t="shared" si="205"/>
        <v/>
      </c>
      <c r="AI2035">
        <f t="shared" si="206"/>
        <v>0</v>
      </c>
      <c r="AJ2035">
        <f t="shared" si="207"/>
        <v>0</v>
      </c>
      <c r="AK2035">
        <v>0</v>
      </c>
      <c r="AL2035" t="str">
        <f>IF(AA2035="","",IFERROR(IF(ISNUMBER('Procyfloc 956A'!D36),'Procyfloc 956A'!D36,IF(ISNUMBER(SEARCH("12",'Procyfloc 956A'!D36)),EDATE(AB2035,12),IF(ISNUMBER(SEARCH("6",'Procyfloc 956A'!D36)),EDATE(AB2035,6),IF(ISNUMBER(SEARCH("3",'Procyfloc 956A'!D36)),EDATE(AB2035,3),DATEVALUE('Procyfloc 956A'!D36))))),""))</f>
        <v/>
      </c>
      <c r="AM2035" t="str">
        <f t="shared" ca="1" si="208"/>
        <v/>
      </c>
    </row>
    <row r="2036" spans="27:39" x14ac:dyDescent="0.3">
      <c r="AA2036" t="str">
        <f>IF(COUNTA('Procyfloc 956A'!A37,'Procyfloc 956A'!B37,'Procyfloc 956A'!C37)&gt;0,"956A","")</f>
        <v/>
      </c>
      <c r="AB2036" t="str">
        <f>IFERROR(IF(ISNUMBER('Procyfloc 956A'!A37),'Procyfloc 956A'!A37,DATEVALUE('Procyfloc 956A'!A37)),"")</f>
        <v/>
      </c>
      <c r="AC2036" t="str">
        <f>IF(AA2036="","",'Procyfloc 956A'!B37)</f>
        <v/>
      </c>
      <c r="AD2036" t="str">
        <f>IF(AA2036="","",IFERROR(1*'Procyfloc 956A'!C37,IFERROR(_xludf.NUMBERVALUE('Procyfloc 956A'!C37,".",","),IFERROR(_xludf.NUMBERVALUE('Procyfloc 956A'!C37,",","."),0))))</f>
        <v/>
      </c>
      <c r="AE2036" t="str">
        <f>IF(AA2036="","",'Procyfloc 956A'!L37)</f>
        <v/>
      </c>
      <c r="AF2036">
        <f t="shared" si="203"/>
        <v>0</v>
      </c>
      <c r="AG2036" t="str">
        <f t="shared" si="204"/>
        <v/>
      </c>
      <c r="AH2036" t="str">
        <f t="shared" si="205"/>
        <v/>
      </c>
      <c r="AI2036">
        <f t="shared" si="206"/>
        <v>0</v>
      </c>
      <c r="AJ2036">
        <f t="shared" si="207"/>
        <v>0</v>
      </c>
      <c r="AK2036">
        <v>0</v>
      </c>
      <c r="AL2036" t="str">
        <f>IF(AA2036="","",IFERROR(IF(ISNUMBER('Procyfloc 956A'!D37),'Procyfloc 956A'!D37,IF(ISNUMBER(SEARCH("12",'Procyfloc 956A'!D37)),EDATE(AB2036,12),IF(ISNUMBER(SEARCH("6",'Procyfloc 956A'!D37)),EDATE(AB2036,6),IF(ISNUMBER(SEARCH("3",'Procyfloc 956A'!D37)),EDATE(AB2036,3),DATEVALUE('Procyfloc 956A'!D37))))),""))</f>
        <v/>
      </c>
      <c r="AM2036" t="str">
        <f t="shared" ca="1" si="208"/>
        <v/>
      </c>
    </row>
    <row r="2037" spans="27:39" x14ac:dyDescent="0.3">
      <c r="AA2037" t="str">
        <f>IF(COUNTA('Procyfloc 956A'!A38,'Procyfloc 956A'!B38,'Procyfloc 956A'!C38)&gt;0,"956A","")</f>
        <v/>
      </c>
      <c r="AB2037" t="str">
        <f>IFERROR(IF(ISNUMBER('Procyfloc 956A'!A38),'Procyfloc 956A'!A38,DATEVALUE('Procyfloc 956A'!A38)),"")</f>
        <v/>
      </c>
      <c r="AC2037" t="str">
        <f>IF(AA2037="","",'Procyfloc 956A'!B38)</f>
        <v/>
      </c>
      <c r="AD2037" t="str">
        <f>IF(AA2037="","",IFERROR(1*'Procyfloc 956A'!C38,IFERROR(_xludf.NUMBERVALUE('Procyfloc 956A'!C38,".",","),IFERROR(_xludf.NUMBERVALUE('Procyfloc 956A'!C38,",","."),0))))</f>
        <v/>
      </c>
      <c r="AE2037" t="str">
        <f>IF(AA2037="","",'Procyfloc 956A'!L38)</f>
        <v/>
      </c>
      <c r="AF2037">
        <f t="shared" si="203"/>
        <v>0</v>
      </c>
      <c r="AG2037" t="str">
        <f t="shared" si="204"/>
        <v/>
      </c>
      <c r="AH2037" t="str">
        <f t="shared" si="205"/>
        <v/>
      </c>
      <c r="AI2037">
        <f t="shared" si="206"/>
        <v>0</v>
      </c>
      <c r="AJ2037">
        <f t="shared" si="207"/>
        <v>0</v>
      </c>
      <c r="AK2037">
        <v>0</v>
      </c>
      <c r="AL2037" t="str">
        <f>IF(AA2037="","",IFERROR(IF(ISNUMBER('Procyfloc 956A'!D38),'Procyfloc 956A'!D38,IF(ISNUMBER(SEARCH("12",'Procyfloc 956A'!D38)),EDATE(AB2037,12),IF(ISNUMBER(SEARCH("6",'Procyfloc 956A'!D38)),EDATE(AB2037,6),IF(ISNUMBER(SEARCH("3",'Procyfloc 956A'!D38)),EDATE(AB2037,3),DATEVALUE('Procyfloc 956A'!D38))))),""))</f>
        <v/>
      </c>
      <c r="AM2037" t="str">
        <f t="shared" ca="1" si="208"/>
        <v/>
      </c>
    </row>
    <row r="2038" spans="27:39" x14ac:dyDescent="0.3">
      <c r="AA2038" t="str">
        <f>IF(COUNTA('Procyfloc 956A'!A39,'Procyfloc 956A'!B39,'Procyfloc 956A'!C39)&gt;0,"956A","")</f>
        <v/>
      </c>
      <c r="AB2038" t="str">
        <f>IFERROR(IF(ISNUMBER('Procyfloc 956A'!A39),'Procyfloc 956A'!A39,DATEVALUE('Procyfloc 956A'!A39)),"")</f>
        <v/>
      </c>
      <c r="AC2038" t="str">
        <f>IF(AA2038="","",'Procyfloc 956A'!B39)</f>
        <v/>
      </c>
      <c r="AD2038" t="str">
        <f>IF(AA2038="","",IFERROR(1*'Procyfloc 956A'!C39,IFERROR(_xludf.NUMBERVALUE('Procyfloc 956A'!C39,".",","),IFERROR(_xludf.NUMBERVALUE('Procyfloc 956A'!C39,",","."),0))))</f>
        <v/>
      </c>
      <c r="AE2038" t="str">
        <f>IF(AA2038="","",'Procyfloc 956A'!L39)</f>
        <v/>
      </c>
      <c r="AF2038">
        <f t="shared" si="203"/>
        <v>0</v>
      </c>
      <c r="AG2038" t="str">
        <f t="shared" si="204"/>
        <v/>
      </c>
      <c r="AH2038" t="str">
        <f t="shared" si="205"/>
        <v/>
      </c>
      <c r="AI2038">
        <f t="shared" si="206"/>
        <v>0</v>
      </c>
      <c r="AJ2038">
        <f t="shared" si="207"/>
        <v>0</v>
      </c>
      <c r="AK2038">
        <v>0</v>
      </c>
      <c r="AL2038" t="str">
        <f>IF(AA2038="","",IFERROR(IF(ISNUMBER('Procyfloc 956A'!D39),'Procyfloc 956A'!D39,IF(ISNUMBER(SEARCH("12",'Procyfloc 956A'!D39)),EDATE(AB2038,12),IF(ISNUMBER(SEARCH("6",'Procyfloc 956A'!D39)),EDATE(AB2038,6),IF(ISNUMBER(SEARCH("3",'Procyfloc 956A'!D39)),EDATE(AB2038,3),DATEVALUE('Procyfloc 956A'!D39))))),""))</f>
        <v/>
      </c>
      <c r="AM2038" t="str">
        <f t="shared" ca="1" si="208"/>
        <v/>
      </c>
    </row>
    <row r="2039" spans="27:39" x14ac:dyDescent="0.3">
      <c r="AA2039" t="str">
        <f>IF(COUNTA('Procyfloc 956A'!A40,'Procyfloc 956A'!B40,'Procyfloc 956A'!C40)&gt;0,"956A","")</f>
        <v/>
      </c>
      <c r="AB2039" t="str">
        <f>IFERROR(IF(ISNUMBER('Procyfloc 956A'!A40),'Procyfloc 956A'!A40,DATEVALUE('Procyfloc 956A'!A40)),"")</f>
        <v/>
      </c>
      <c r="AC2039" t="str">
        <f>IF(AA2039="","",'Procyfloc 956A'!B40)</f>
        <v/>
      </c>
      <c r="AD2039" t="str">
        <f>IF(AA2039="","",IFERROR(1*'Procyfloc 956A'!C40,IFERROR(_xludf.NUMBERVALUE('Procyfloc 956A'!C40,".",","),IFERROR(_xludf.NUMBERVALUE('Procyfloc 956A'!C40,",","."),0))))</f>
        <v/>
      </c>
      <c r="AE2039" t="str">
        <f>IF(AA2039="","",'Procyfloc 956A'!L40)</f>
        <v/>
      </c>
      <c r="AF2039">
        <f t="shared" si="203"/>
        <v>0</v>
      </c>
      <c r="AG2039" t="str">
        <f t="shared" si="204"/>
        <v/>
      </c>
      <c r="AH2039" t="str">
        <f t="shared" si="205"/>
        <v/>
      </c>
      <c r="AI2039">
        <f t="shared" si="206"/>
        <v>0</v>
      </c>
      <c r="AJ2039">
        <f t="shared" si="207"/>
        <v>0</v>
      </c>
      <c r="AK2039">
        <v>0</v>
      </c>
      <c r="AL2039" t="str">
        <f>IF(AA2039="","",IFERROR(IF(ISNUMBER('Procyfloc 956A'!D40),'Procyfloc 956A'!D40,IF(ISNUMBER(SEARCH("12",'Procyfloc 956A'!D40)),EDATE(AB2039,12),IF(ISNUMBER(SEARCH("6",'Procyfloc 956A'!D40)),EDATE(AB2039,6),IF(ISNUMBER(SEARCH("3",'Procyfloc 956A'!D40)),EDATE(AB2039,3),DATEVALUE('Procyfloc 956A'!D40))))),""))</f>
        <v/>
      </c>
      <c r="AM2039" t="str">
        <f t="shared" ca="1" si="208"/>
        <v/>
      </c>
    </row>
    <row r="2040" spans="27:39" x14ac:dyDescent="0.3">
      <c r="AA2040" t="str">
        <f>IF(COUNTA('Procyfloc 956A'!A41,'Procyfloc 956A'!B41,'Procyfloc 956A'!C41)&gt;0,"956A","")</f>
        <v/>
      </c>
      <c r="AB2040" t="str">
        <f>IFERROR(IF(ISNUMBER('Procyfloc 956A'!A41),'Procyfloc 956A'!A41,DATEVALUE('Procyfloc 956A'!A41)),"")</f>
        <v/>
      </c>
      <c r="AC2040" t="str">
        <f>IF(AA2040="","",'Procyfloc 956A'!B41)</f>
        <v/>
      </c>
      <c r="AD2040" t="str">
        <f>IF(AA2040="","",IFERROR(1*'Procyfloc 956A'!C41,IFERROR(_xludf.NUMBERVALUE('Procyfloc 956A'!C41,".",","),IFERROR(_xludf.NUMBERVALUE('Procyfloc 956A'!C41,",","."),0))))</f>
        <v/>
      </c>
      <c r="AE2040" t="str">
        <f>IF(AA2040="","",'Procyfloc 956A'!L41)</f>
        <v/>
      </c>
      <c r="AF2040">
        <f t="shared" si="203"/>
        <v>0</v>
      </c>
      <c r="AG2040" t="str">
        <f t="shared" si="204"/>
        <v/>
      </c>
      <c r="AH2040" t="str">
        <f t="shared" si="205"/>
        <v/>
      </c>
      <c r="AI2040">
        <f t="shared" si="206"/>
        <v>0</v>
      </c>
      <c r="AJ2040">
        <f t="shared" si="207"/>
        <v>0</v>
      </c>
      <c r="AK2040">
        <v>0</v>
      </c>
      <c r="AL2040" t="str">
        <f>IF(AA2040="","",IFERROR(IF(ISNUMBER('Procyfloc 956A'!D41),'Procyfloc 956A'!D41,IF(ISNUMBER(SEARCH("12",'Procyfloc 956A'!D41)),EDATE(AB2040,12),IF(ISNUMBER(SEARCH("6",'Procyfloc 956A'!D41)),EDATE(AB2040,6),IF(ISNUMBER(SEARCH("3",'Procyfloc 956A'!D41)),EDATE(AB2040,3),DATEVALUE('Procyfloc 956A'!D41))))),""))</f>
        <v/>
      </c>
      <c r="AM2040" t="str">
        <f t="shared" ca="1" si="208"/>
        <v/>
      </c>
    </row>
    <row r="2041" spans="27:39" x14ac:dyDescent="0.3">
      <c r="AA2041" t="str">
        <f>IF(COUNTA('Procyfloc 956A'!A42,'Procyfloc 956A'!B42,'Procyfloc 956A'!C42)&gt;0,"956A","")</f>
        <v/>
      </c>
      <c r="AB2041" t="str">
        <f>IFERROR(IF(ISNUMBER('Procyfloc 956A'!A42),'Procyfloc 956A'!A42,DATEVALUE('Procyfloc 956A'!A42)),"")</f>
        <v/>
      </c>
      <c r="AC2041" t="str">
        <f>IF(AA2041="","",'Procyfloc 956A'!B42)</f>
        <v/>
      </c>
      <c r="AD2041" t="str">
        <f>IF(AA2041="","",IFERROR(1*'Procyfloc 956A'!C42,IFERROR(_xludf.NUMBERVALUE('Procyfloc 956A'!C42,".",","),IFERROR(_xludf.NUMBERVALUE('Procyfloc 956A'!C42,",","."),0))))</f>
        <v/>
      </c>
      <c r="AE2041" t="str">
        <f>IF(AA2041="","",'Procyfloc 956A'!L42)</f>
        <v/>
      </c>
      <c r="AF2041">
        <f t="shared" si="203"/>
        <v>0</v>
      </c>
      <c r="AG2041" t="str">
        <f t="shared" si="204"/>
        <v/>
      </c>
      <c r="AH2041" t="str">
        <f t="shared" si="205"/>
        <v/>
      </c>
      <c r="AI2041">
        <f t="shared" si="206"/>
        <v>0</v>
      </c>
      <c r="AJ2041">
        <f t="shared" si="207"/>
        <v>0</v>
      </c>
      <c r="AK2041">
        <v>0</v>
      </c>
      <c r="AL2041" t="str">
        <f>IF(AA2041="","",IFERROR(IF(ISNUMBER('Procyfloc 956A'!D42),'Procyfloc 956A'!D42,IF(ISNUMBER(SEARCH("12",'Procyfloc 956A'!D42)),EDATE(AB2041,12),IF(ISNUMBER(SEARCH("6",'Procyfloc 956A'!D42)),EDATE(AB2041,6),IF(ISNUMBER(SEARCH("3",'Procyfloc 956A'!D42)),EDATE(AB2041,3),DATEVALUE('Procyfloc 956A'!D42))))),""))</f>
        <v/>
      </c>
      <c r="AM2041" t="str">
        <f t="shared" ca="1" si="208"/>
        <v/>
      </c>
    </row>
    <row r="2042" spans="27:39" x14ac:dyDescent="0.3">
      <c r="AA2042" t="str">
        <f>IF(COUNTA('Procyfloc 956A'!A43,'Procyfloc 956A'!B43,'Procyfloc 956A'!C43)&gt;0,"956A","")</f>
        <v/>
      </c>
      <c r="AB2042" t="str">
        <f>IFERROR(IF(ISNUMBER('Procyfloc 956A'!A43),'Procyfloc 956A'!A43,DATEVALUE('Procyfloc 956A'!A43)),"")</f>
        <v/>
      </c>
      <c r="AC2042" t="str">
        <f>IF(AA2042="","",'Procyfloc 956A'!B43)</f>
        <v/>
      </c>
      <c r="AD2042" t="str">
        <f>IF(AA2042="","",IFERROR(1*'Procyfloc 956A'!C43,IFERROR(_xludf.NUMBERVALUE('Procyfloc 956A'!C43,".",","),IFERROR(_xludf.NUMBERVALUE('Procyfloc 956A'!C43,",","."),0))))</f>
        <v/>
      </c>
      <c r="AE2042" t="str">
        <f>IF(AA2042="","",'Procyfloc 956A'!L43)</f>
        <v/>
      </c>
      <c r="AF2042">
        <f t="shared" si="203"/>
        <v>0</v>
      </c>
      <c r="AG2042" t="str">
        <f t="shared" si="204"/>
        <v/>
      </c>
      <c r="AH2042" t="str">
        <f t="shared" si="205"/>
        <v/>
      </c>
      <c r="AI2042">
        <f t="shared" si="206"/>
        <v>0</v>
      </c>
      <c r="AJ2042">
        <f t="shared" si="207"/>
        <v>0</v>
      </c>
      <c r="AK2042">
        <v>0</v>
      </c>
      <c r="AL2042" t="str">
        <f>IF(AA2042="","",IFERROR(IF(ISNUMBER('Procyfloc 956A'!D43),'Procyfloc 956A'!D43,IF(ISNUMBER(SEARCH("12",'Procyfloc 956A'!D43)),EDATE(AB2042,12),IF(ISNUMBER(SEARCH("6",'Procyfloc 956A'!D43)),EDATE(AB2042,6),IF(ISNUMBER(SEARCH("3",'Procyfloc 956A'!D43)),EDATE(AB2042,3),DATEVALUE('Procyfloc 956A'!D43))))),""))</f>
        <v/>
      </c>
      <c r="AM2042" t="str">
        <f t="shared" ca="1" si="208"/>
        <v/>
      </c>
    </row>
    <row r="2043" spans="27:39" x14ac:dyDescent="0.3">
      <c r="AA2043" t="str">
        <f>IF(COUNTA('Procyfloc 956A'!A44,'Procyfloc 956A'!B44,'Procyfloc 956A'!C44)&gt;0,"956A","")</f>
        <v/>
      </c>
      <c r="AB2043" t="str">
        <f>IFERROR(IF(ISNUMBER('Procyfloc 956A'!A44),'Procyfloc 956A'!A44,DATEVALUE('Procyfloc 956A'!A44)),"")</f>
        <v/>
      </c>
      <c r="AC2043" t="str">
        <f>IF(AA2043="","",'Procyfloc 956A'!B44)</f>
        <v/>
      </c>
      <c r="AD2043" t="str">
        <f>IF(AA2043="","",IFERROR(1*'Procyfloc 956A'!C44,IFERROR(_xludf.NUMBERVALUE('Procyfloc 956A'!C44,".",","),IFERROR(_xludf.NUMBERVALUE('Procyfloc 956A'!C44,",","."),0))))</f>
        <v/>
      </c>
      <c r="AE2043" t="str">
        <f>IF(AA2043="","",'Procyfloc 956A'!L44)</f>
        <v/>
      </c>
      <c r="AF2043">
        <f t="shared" si="203"/>
        <v>0</v>
      </c>
      <c r="AG2043" t="str">
        <f t="shared" si="204"/>
        <v/>
      </c>
      <c r="AH2043" t="str">
        <f t="shared" si="205"/>
        <v/>
      </c>
      <c r="AI2043">
        <f t="shared" si="206"/>
        <v>0</v>
      </c>
      <c r="AJ2043">
        <f t="shared" si="207"/>
        <v>0</v>
      </c>
      <c r="AK2043">
        <v>0</v>
      </c>
      <c r="AL2043" t="str">
        <f>IF(AA2043="","",IFERROR(IF(ISNUMBER('Procyfloc 956A'!D44),'Procyfloc 956A'!D44,IF(ISNUMBER(SEARCH("12",'Procyfloc 956A'!D44)),EDATE(AB2043,12),IF(ISNUMBER(SEARCH("6",'Procyfloc 956A'!D44)),EDATE(AB2043,6),IF(ISNUMBER(SEARCH("3",'Procyfloc 956A'!D44)),EDATE(AB2043,3),DATEVALUE('Procyfloc 956A'!D44))))),""))</f>
        <v/>
      </c>
      <c r="AM2043" t="str">
        <f t="shared" ca="1" si="208"/>
        <v/>
      </c>
    </row>
    <row r="2044" spans="27:39" x14ac:dyDescent="0.3">
      <c r="AA2044" t="str">
        <f>IF(COUNTA('Procyfloc 956A'!A45,'Procyfloc 956A'!B45,'Procyfloc 956A'!C45)&gt;0,"956A","")</f>
        <v/>
      </c>
      <c r="AB2044" t="str">
        <f>IFERROR(IF(ISNUMBER('Procyfloc 956A'!A45),'Procyfloc 956A'!A45,DATEVALUE('Procyfloc 956A'!A45)),"")</f>
        <v/>
      </c>
      <c r="AC2044" t="str">
        <f>IF(AA2044="","",'Procyfloc 956A'!B45)</f>
        <v/>
      </c>
      <c r="AD2044" t="str">
        <f>IF(AA2044="","",IFERROR(1*'Procyfloc 956A'!C45,IFERROR(_xludf.NUMBERVALUE('Procyfloc 956A'!C45,".",","),IFERROR(_xludf.NUMBERVALUE('Procyfloc 956A'!C45,",","."),0))))</f>
        <v/>
      </c>
      <c r="AE2044" t="str">
        <f>IF(AA2044="","",'Procyfloc 956A'!L45)</f>
        <v/>
      </c>
      <c r="AF2044">
        <f t="shared" si="203"/>
        <v>0</v>
      </c>
      <c r="AG2044" t="str">
        <f t="shared" si="204"/>
        <v/>
      </c>
      <c r="AH2044" t="str">
        <f t="shared" si="205"/>
        <v/>
      </c>
      <c r="AI2044">
        <f t="shared" si="206"/>
        <v>0</v>
      </c>
      <c r="AJ2044">
        <f t="shared" si="207"/>
        <v>0</v>
      </c>
      <c r="AK2044">
        <v>0</v>
      </c>
      <c r="AL2044" t="str">
        <f>IF(AA2044="","",IFERROR(IF(ISNUMBER('Procyfloc 956A'!D45),'Procyfloc 956A'!D45,IF(ISNUMBER(SEARCH("12",'Procyfloc 956A'!D45)),EDATE(AB2044,12),IF(ISNUMBER(SEARCH("6",'Procyfloc 956A'!D45)),EDATE(AB2044,6),IF(ISNUMBER(SEARCH("3",'Procyfloc 956A'!D45)),EDATE(AB2044,3),DATEVALUE('Procyfloc 956A'!D45))))),""))</f>
        <v/>
      </c>
      <c r="AM2044" t="str">
        <f t="shared" ca="1" si="208"/>
        <v/>
      </c>
    </row>
    <row r="2045" spans="27:39" x14ac:dyDescent="0.3">
      <c r="AA2045" t="str">
        <f>IF(COUNTA('Procyfloc 956A'!A46,'Procyfloc 956A'!B46,'Procyfloc 956A'!C46)&gt;0,"956A","")</f>
        <v/>
      </c>
      <c r="AB2045" t="str">
        <f>IFERROR(IF(ISNUMBER('Procyfloc 956A'!A46),'Procyfloc 956A'!A46,DATEVALUE('Procyfloc 956A'!A46)),"")</f>
        <v/>
      </c>
      <c r="AC2045" t="str">
        <f>IF(AA2045="","",'Procyfloc 956A'!B46)</f>
        <v/>
      </c>
      <c r="AD2045" t="str">
        <f>IF(AA2045="","",IFERROR(1*'Procyfloc 956A'!C46,IFERROR(_xludf.NUMBERVALUE('Procyfloc 956A'!C46,".",","),IFERROR(_xludf.NUMBERVALUE('Procyfloc 956A'!C46,",","."),0))))</f>
        <v/>
      </c>
      <c r="AE2045" t="str">
        <f>IF(AA2045="","",'Procyfloc 956A'!L46)</f>
        <v/>
      </c>
      <c r="AF2045">
        <f t="shared" si="203"/>
        <v>0</v>
      </c>
      <c r="AG2045" t="str">
        <f t="shared" si="204"/>
        <v/>
      </c>
      <c r="AH2045" t="str">
        <f t="shared" si="205"/>
        <v/>
      </c>
      <c r="AI2045">
        <f t="shared" si="206"/>
        <v>0</v>
      </c>
      <c r="AJ2045">
        <f t="shared" si="207"/>
        <v>0</v>
      </c>
      <c r="AK2045">
        <v>0</v>
      </c>
      <c r="AL2045" t="str">
        <f>IF(AA2045="","",IFERROR(IF(ISNUMBER('Procyfloc 956A'!D46),'Procyfloc 956A'!D46,IF(ISNUMBER(SEARCH("12",'Procyfloc 956A'!D46)),EDATE(AB2045,12),IF(ISNUMBER(SEARCH("6",'Procyfloc 956A'!D46)),EDATE(AB2045,6),IF(ISNUMBER(SEARCH("3",'Procyfloc 956A'!D46)),EDATE(AB2045,3),DATEVALUE('Procyfloc 956A'!D46))))),""))</f>
        <v/>
      </c>
      <c r="AM2045" t="str">
        <f t="shared" ca="1" si="208"/>
        <v/>
      </c>
    </row>
    <row r="2046" spans="27:39" x14ac:dyDescent="0.3">
      <c r="AA2046" t="str">
        <f>IF(COUNTA('Procyfloc 956A'!A47,'Procyfloc 956A'!B47,'Procyfloc 956A'!C47)&gt;0,"956A","")</f>
        <v/>
      </c>
      <c r="AB2046" t="str">
        <f>IFERROR(IF(ISNUMBER('Procyfloc 956A'!A47),'Procyfloc 956A'!A47,DATEVALUE('Procyfloc 956A'!A47)),"")</f>
        <v/>
      </c>
      <c r="AC2046" t="str">
        <f>IF(AA2046="","",'Procyfloc 956A'!B47)</f>
        <v/>
      </c>
      <c r="AD2046" t="str">
        <f>IF(AA2046="","",IFERROR(1*'Procyfloc 956A'!C47,IFERROR(_xludf.NUMBERVALUE('Procyfloc 956A'!C47,".",","),IFERROR(_xludf.NUMBERVALUE('Procyfloc 956A'!C47,",","."),0))))</f>
        <v/>
      </c>
      <c r="AE2046" t="str">
        <f>IF(AA2046="","",'Procyfloc 956A'!L47)</f>
        <v/>
      </c>
      <c r="AF2046">
        <f t="shared" si="203"/>
        <v>0</v>
      </c>
      <c r="AG2046" t="str">
        <f t="shared" si="204"/>
        <v/>
      </c>
      <c r="AH2046" t="str">
        <f t="shared" si="205"/>
        <v/>
      </c>
      <c r="AI2046">
        <f t="shared" si="206"/>
        <v>0</v>
      </c>
      <c r="AJ2046">
        <f t="shared" si="207"/>
        <v>0</v>
      </c>
      <c r="AK2046">
        <v>0</v>
      </c>
      <c r="AL2046" t="str">
        <f>IF(AA2046="","",IFERROR(IF(ISNUMBER('Procyfloc 956A'!D47),'Procyfloc 956A'!D47,IF(ISNUMBER(SEARCH("12",'Procyfloc 956A'!D47)),EDATE(AB2046,12),IF(ISNUMBER(SEARCH("6",'Procyfloc 956A'!D47)),EDATE(AB2046,6),IF(ISNUMBER(SEARCH("3",'Procyfloc 956A'!D47)),EDATE(AB2046,3),DATEVALUE('Procyfloc 956A'!D47))))),""))</f>
        <v/>
      </c>
      <c r="AM2046" t="str">
        <f t="shared" ca="1" si="208"/>
        <v/>
      </c>
    </row>
    <row r="2047" spans="27:39" x14ac:dyDescent="0.3">
      <c r="AA2047" t="str">
        <f>IF(COUNTA('Procyfloc 956A'!A48,'Procyfloc 956A'!B48,'Procyfloc 956A'!C48)&gt;0,"956A","")</f>
        <v/>
      </c>
      <c r="AB2047" t="str">
        <f>IFERROR(IF(ISNUMBER('Procyfloc 956A'!A48),'Procyfloc 956A'!A48,DATEVALUE('Procyfloc 956A'!A48)),"")</f>
        <v/>
      </c>
      <c r="AC2047" t="str">
        <f>IF(AA2047="","",'Procyfloc 956A'!B48)</f>
        <v/>
      </c>
      <c r="AD2047" t="str">
        <f>IF(AA2047="","",IFERROR(1*'Procyfloc 956A'!C48,IFERROR(_xludf.NUMBERVALUE('Procyfloc 956A'!C48,".",","),IFERROR(_xludf.NUMBERVALUE('Procyfloc 956A'!C48,",","."),0))))</f>
        <v/>
      </c>
      <c r="AE2047" t="str">
        <f>IF(AA2047="","",'Procyfloc 956A'!L48)</f>
        <v/>
      </c>
      <c r="AF2047">
        <f t="shared" si="203"/>
        <v>0</v>
      </c>
      <c r="AG2047" t="str">
        <f t="shared" si="204"/>
        <v/>
      </c>
      <c r="AH2047" t="str">
        <f t="shared" si="205"/>
        <v/>
      </c>
      <c r="AI2047">
        <f t="shared" si="206"/>
        <v>0</v>
      </c>
      <c r="AJ2047">
        <f t="shared" si="207"/>
        <v>0</v>
      </c>
      <c r="AK2047">
        <v>0</v>
      </c>
      <c r="AL2047" t="str">
        <f>IF(AA2047="","",IFERROR(IF(ISNUMBER('Procyfloc 956A'!D48),'Procyfloc 956A'!D48,IF(ISNUMBER(SEARCH("12",'Procyfloc 956A'!D48)),EDATE(AB2047,12),IF(ISNUMBER(SEARCH("6",'Procyfloc 956A'!D48)),EDATE(AB2047,6),IF(ISNUMBER(SEARCH("3",'Procyfloc 956A'!D48)),EDATE(AB2047,3),DATEVALUE('Procyfloc 956A'!D48))))),""))</f>
        <v/>
      </c>
      <c r="AM2047" t="str">
        <f t="shared" ca="1" si="208"/>
        <v/>
      </c>
    </row>
    <row r="2048" spans="27:39" x14ac:dyDescent="0.3">
      <c r="AA2048" t="str">
        <f>IF(COUNTA('Procyfloc 956A'!A49,'Procyfloc 956A'!B49,'Procyfloc 956A'!C49)&gt;0,"956A","")</f>
        <v/>
      </c>
      <c r="AB2048" t="str">
        <f>IFERROR(IF(ISNUMBER('Procyfloc 956A'!A49),'Procyfloc 956A'!A49,DATEVALUE('Procyfloc 956A'!A49)),"")</f>
        <v/>
      </c>
      <c r="AC2048" t="str">
        <f>IF(AA2048="","",'Procyfloc 956A'!B49)</f>
        <v/>
      </c>
      <c r="AD2048" t="str">
        <f>IF(AA2048="","",IFERROR(1*'Procyfloc 956A'!C49,IFERROR(_xludf.NUMBERVALUE('Procyfloc 956A'!C49,".",","),IFERROR(_xludf.NUMBERVALUE('Procyfloc 956A'!C49,",","."),0))))</f>
        <v/>
      </c>
      <c r="AE2048" t="str">
        <f>IF(AA2048="","",'Procyfloc 956A'!L49)</f>
        <v/>
      </c>
      <c r="AF2048">
        <f t="shared" si="203"/>
        <v>0</v>
      </c>
      <c r="AG2048" t="str">
        <f t="shared" si="204"/>
        <v/>
      </c>
      <c r="AH2048" t="str">
        <f t="shared" si="205"/>
        <v/>
      </c>
      <c r="AI2048">
        <f t="shared" si="206"/>
        <v>0</v>
      </c>
      <c r="AJ2048">
        <f t="shared" si="207"/>
        <v>0</v>
      </c>
      <c r="AK2048">
        <v>0</v>
      </c>
      <c r="AL2048" t="str">
        <f>IF(AA2048="","",IFERROR(IF(ISNUMBER('Procyfloc 956A'!D49),'Procyfloc 956A'!D49,IF(ISNUMBER(SEARCH("12",'Procyfloc 956A'!D49)),EDATE(AB2048,12),IF(ISNUMBER(SEARCH("6",'Procyfloc 956A'!D49)),EDATE(AB2048,6),IF(ISNUMBER(SEARCH("3",'Procyfloc 956A'!D49)),EDATE(AB2048,3),DATEVALUE('Procyfloc 956A'!D49))))),""))</f>
        <v/>
      </c>
      <c r="AM2048" t="str">
        <f t="shared" ca="1" si="208"/>
        <v/>
      </c>
    </row>
    <row r="2049" spans="27:39" x14ac:dyDescent="0.3">
      <c r="AA2049" t="str">
        <f>IF(COUNTA('Procyfloc 956A'!A50,'Procyfloc 956A'!B50,'Procyfloc 956A'!C50)&gt;0,"956A","")</f>
        <v/>
      </c>
      <c r="AB2049" t="str">
        <f>IFERROR(IF(ISNUMBER('Procyfloc 956A'!A50),'Procyfloc 956A'!A50,DATEVALUE('Procyfloc 956A'!A50)),"")</f>
        <v/>
      </c>
      <c r="AC2049" t="str">
        <f>IF(AA2049="","",'Procyfloc 956A'!B50)</f>
        <v/>
      </c>
      <c r="AD2049" t="str">
        <f>IF(AA2049="","",IFERROR(1*'Procyfloc 956A'!C50,IFERROR(_xludf.NUMBERVALUE('Procyfloc 956A'!C50,".",","),IFERROR(_xludf.NUMBERVALUE('Procyfloc 956A'!C50,",","."),0))))</f>
        <v/>
      </c>
      <c r="AE2049" t="str">
        <f>IF(AA2049="","",'Procyfloc 956A'!L50)</f>
        <v/>
      </c>
      <c r="AF2049">
        <f t="shared" si="203"/>
        <v>0</v>
      </c>
      <c r="AG2049" t="str">
        <f t="shared" si="204"/>
        <v/>
      </c>
      <c r="AH2049" t="str">
        <f t="shared" si="205"/>
        <v/>
      </c>
      <c r="AI2049">
        <f t="shared" si="206"/>
        <v>0</v>
      </c>
      <c r="AJ2049">
        <f t="shared" si="207"/>
        <v>0</v>
      </c>
      <c r="AK2049">
        <v>0</v>
      </c>
      <c r="AL2049" t="str">
        <f>IF(AA2049="","",IFERROR(IF(ISNUMBER('Procyfloc 956A'!D50),'Procyfloc 956A'!D50,IF(ISNUMBER(SEARCH("12",'Procyfloc 956A'!D50)),EDATE(AB2049,12),IF(ISNUMBER(SEARCH("6",'Procyfloc 956A'!D50)),EDATE(AB2049,6),IF(ISNUMBER(SEARCH("3",'Procyfloc 956A'!D50)),EDATE(AB2049,3),DATEVALUE('Procyfloc 956A'!D50))))),""))</f>
        <v/>
      </c>
      <c r="AM2049" t="str">
        <f t="shared" ca="1" si="208"/>
        <v/>
      </c>
    </row>
    <row r="2050" spans="27:39" x14ac:dyDescent="0.3">
      <c r="AA2050" t="str">
        <f>IF(COUNTA('Procyfloc 956A'!A51,'Procyfloc 956A'!B51,'Procyfloc 956A'!C51)&gt;0,"956A","")</f>
        <v/>
      </c>
      <c r="AB2050" t="str">
        <f>IFERROR(IF(ISNUMBER('Procyfloc 956A'!A51),'Procyfloc 956A'!A51,DATEVALUE('Procyfloc 956A'!A51)),"")</f>
        <v/>
      </c>
      <c r="AC2050" t="str">
        <f>IF(AA2050="","",'Procyfloc 956A'!B51)</f>
        <v/>
      </c>
      <c r="AD2050" t="str">
        <f>IF(AA2050="","",IFERROR(1*'Procyfloc 956A'!C51,IFERROR(_xludf.NUMBERVALUE('Procyfloc 956A'!C51,".",","),IFERROR(_xludf.NUMBERVALUE('Procyfloc 956A'!C51,",","."),0))))</f>
        <v/>
      </c>
      <c r="AE2050" t="str">
        <f>IF(AA2050="","",'Procyfloc 956A'!L51)</f>
        <v/>
      </c>
      <c r="AF2050">
        <f t="shared" ref="AF2050:AF2113" si="209">IF(AA2050="",0,--AND(ISNUMBER(SEARCH("aprov",AE2050)),NOT(ISNUMBER(SEARCH("reprov",AE2050)))))</f>
        <v>0</v>
      </c>
      <c r="AG2050" t="str">
        <f t="shared" ref="AG2050:AG2113" si="210">IF(AB2050="","",YEAR(AB2050))</f>
        <v/>
      </c>
      <c r="AH2050" t="str">
        <f t="shared" ref="AH2050:AH2113" si="211">IF(AB2050="","",MONTH(AB2050))</f>
        <v/>
      </c>
      <c r="AI2050">
        <f t="shared" ref="AI2050:AI2113" si="212">IF(AB2050="",0,AB2050+ROW()/1000000)</f>
        <v>0</v>
      </c>
      <c r="AJ2050">
        <f t="shared" ref="AJ2050:AJ2113" si="213">--(AA2050&lt;&gt;"")</f>
        <v>0</v>
      </c>
      <c r="AK2050">
        <v>0</v>
      </c>
      <c r="AL2050" t="str">
        <f>IF(AA2050="","",IFERROR(IF(ISNUMBER('Procyfloc 956A'!D51),'Procyfloc 956A'!D51,IF(ISNUMBER(SEARCH("12",'Procyfloc 956A'!D51)),EDATE(AB2050,12),IF(ISNUMBER(SEARCH("6",'Procyfloc 956A'!D51)),EDATE(AB2050,6),IF(ISNUMBER(SEARCH("3",'Procyfloc 956A'!D51)),EDATE(AB2050,3),DATEVALUE('Procyfloc 956A'!D51))))),""))</f>
        <v/>
      </c>
      <c r="AM2050" t="str">
        <f t="shared" ref="AM2050:AM2113" ca="1" si="214">IF(AND(AJ2050=1,AL2050&lt;&gt;"",AL2050&gt;=TODAY(),AG2050=$W$3),AL2050+ROW()/1000000,"")</f>
        <v/>
      </c>
    </row>
    <row r="2051" spans="27:39" x14ac:dyDescent="0.3">
      <c r="AA2051" t="str">
        <f>IF(COUNTA('Procyfloc 956A'!A52,'Procyfloc 956A'!B52,'Procyfloc 956A'!C52)&gt;0,"956A","")</f>
        <v/>
      </c>
      <c r="AB2051" t="str">
        <f>IFERROR(IF(ISNUMBER('Procyfloc 956A'!A52),'Procyfloc 956A'!A52,DATEVALUE('Procyfloc 956A'!A52)),"")</f>
        <v/>
      </c>
      <c r="AC2051" t="str">
        <f>IF(AA2051="","",'Procyfloc 956A'!B52)</f>
        <v/>
      </c>
      <c r="AD2051" t="str">
        <f>IF(AA2051="","",IFERROR(1*'Procyfloc 956A'!C52,IFERROR(_xludf.NUMBERVALUE('Procyfloc 956A'!C52,".",","),IFERROR(_xludf.NUMBERVALUE('Procyfloc 956A'!C52,",","."),0))))</f>
        <v/>
      </c>
      <c r="AE2051" t="str">
        <f>IF(AA2051="","",'Procyfloc 956A'!L52)</f>
        <v/>
      </c>
      <c r="AF2051">
        <f t="shared" si="209"/>
        <v>0</v>
      </c>
      <c r="AG2051" t="str">
        <f t="shared" si="210"/>
        <v/>
      </c>
      <c r="AH2051" t="str">
        <f t="shared" si="211"/>
        <v/>
      </c>
      <c r="AI2051">
        <f t="shared" si="212"/>
        <v>0</v>
      </c>
      <c r="AJ2051">
        <f t="shared" si="213"/>
        <v>0</v>
      </c>
      <c r="AK2051">
        <v>0</v>
      </c>
      <c r="AL2051" t="str">
        <f>IF(AA2051="","",IFERROR(IF(ISNUMBER('Procyfloc 956A'!D52),'Procyfloc 956A'!D52,IF(ISNUMBER(SEARCH("12",'Procyfloc 956A'!D52)),EDATE(AB2051,12),IF(ISNUMBER(SEARCH("6",'Procyfloc 956A'!D52)),EDATE(AB2051,6),IF(ISNUMBER(SEARCH("3",'Procyfloc 956A'!D52)),EDATE(AB2051,3),DATEVALUE('Procyfloc 956A'!D52))))),""))</f>
        <v/>
      </c>
      <c r="AM2051" t="str">
        <f t="shared" ca="1" si="214"/>
        <v/>
      </c>
    </row>
    <row r="2052" spans="27:39" x14ac:dyDescent="0.3">
      <c r="AA2052" t="str">
        <f>IF(COUNTA('Procyfloc 956A'!A53,'Procyfloc 956A'!B53,'Procyfloc 956A'!C53)&gt;0,"956A","")</f>
        <v/>
      </c>
      <c r="AB2052" t="str">
        <f>IFERROR(IF(ISNUMBER('Procyfloc 956A'!A53),'Procyfloc 956A'!A53,DATEVALUE('Procyfloc 956A'!A53)),"")</f>
        <v/>
      </c>
      <c r="AC2052" t="str">
        <f>IF(AA2052="","",'Procyfloc 956A'!B53)</f>
        <v/>
      </c>
      <c r="AD2052" t="str">
        <f>IF(AA2052="","",IFERROR(1*'Procyfloc 956A'!C53,IFERROR(_xludf.NUMBERVALUE('Procyfloc 956A'!C53,".",","),IFERROR(_xludf.NUMBERVALUE('Procyfloc 956A'!C53,",","."),0))))</f>
        <v/>
      </c>
      <c r="AE2052" t="str">
        <f>IF(AA2052="","",'Procyfloc 956A'!L53)</f>
        <v/>
      </c>
      <c r="AF2052">
        <f t="shared" si="209"/>
        <v>0</v>
      </c>
      <c r="AG2052" t="str">
        <f t="shared" si="210"/>
        <v/>
      </c>
      <c r="AH2052" t="str">
        <f t="shared" si="211"/>
        <v/>
      </c>
      <c r="AI2052">
        <f t="shared" si="212"/>
        <v>0</v>
      </c>
      <c r="AJ2052">
        <f t="shared" si="213"/>
        <v>0</v>
      </c>
      <c r="AK2052">
        <v>0</v>
      </c>
      <c r="AL2052" t="str">
        <f>IF(AA2052="","",IFERROR(IF(ISNUMBER('Procyfloc 956A'!D53),'Procyfloc 956A'!D53,IF(ISNUMBER(SEARCH("12",'Procyfloc 956A'!D53)),EDATE(AB2052,12),IF(ISNUMBER(SEARCH("6",'Procyfloc 956A'!D53)),EDATE(AB2052,6),IF(ISNUMBER(SEARCH("3",'Procyfloc 956A'!D53)),EDATE(AB2052,3),DATEVALUE('Procyfloc 956A'!D53))))),""))</f>
        <v/>
      </c>
      <c r="AM2052" t="str">
        <f t="shared" ca="1" si="214"/>
        <v/>
      </c>
    </row>
    <row r="2053" spans="27:39" x14ac:dyDescent="0.3">
      <c r="AA2053" t="str">
        <f>IF(COUNTA('Procyfloc 956A'!A54,'Procyfloc 956A'!B54,'Procyfloc 956A'!C54)&gt;0,"956A","")</f>
        <v/>
      </c>
      <c r="AB2053" t="str">
        <f>IFERROR(IF(ISNUMBER('Procyfloc 956A'!A54),'Procyfloc 956A'!A54,DATEVALUE('Procyfloc 956A'!A54)),"")</f>
        <v/>
      </c>
      <c r="AC2053" t="str">
        <f>IF(AA2053="","",'Procyfloc 956A'!B54)</f>
        <v/>
      </c>
      <c r="AD2053" t="str">
        <f>IF(AA2053="","",IFERROR(1*'Procyfloc 956A'!C54,IFERROR(_xludf.NUMBERVALUE('Procyfloc 956A'!C54,".",","),IFERROR(_xludf.NUMBERVALUE('Procyfloc 956A'!C54,",","."),0))))</f>
        <v/>
      </c>
      <c r="AE2053" t="str">
        <f>IF(AA2053="","",'Procyfloc 956A'!L54)</f>
        <v/>
      </c>
      <c r="AF2053">
        <f t="shared" si="209"/>
        <v>0</v>
      </c>
      <c r="AG2053" t="str">
        <f t="shared" si="210"/>
        <v/>
      </c>
      <c r="AH2053" t="str">
        <f t="shared" si="211"/>
        <v/>
      </c>
      <c r="AI2053">
        <f t="shared" si="212"/>
        <v>0</v>
      </c>
      <c r="AJ2053">
        <f t="shared" si="213"/>
        <v>0</v>
      </c>
      <c r="AK2053">
        <v>0</v>
      </c>
      <c r="AL2053" t="str">
        <f>IF(AA2053="","",IFERROR(IF(ISNUMBER('Procyfloc 956A'!D54),'Procyfloc 956A'!D54,IF(ISNUMBER(SEARCH("12",'Procyfloc 956A'!D54)),EDATE(AB2053,12),IF(ISNUMBER(SEARCH("6",'Procyfloc 956A'!D54)),EDATE(AB2053,6),IF(ISNUMBER(SEARCH("3",'Procyfloc 956A'!D54)),EDATE(AB2053,3),DATEVALUE('Procyfloc 956A'!D54))))),""))</f>
        <v/>
      </c>
      <c r="AM2053" t="str">
        <f t="shared" ca="1" si="214"/>
        <v/>
      </c>
    </row>
    <row r="2054" spans="27:39" x14ac:dyDescent="0.3">
      <c r="AA2054" t="str">
        <f>IF(COUNTA('Procyfloc 956A'!A55,'Procyfloc 956A'!B55,'Procyfloc 956A'!C55)&gt;0,"956A","")</f>
        <v/>
      </c>
      <c r="AB2054" t="str">
        <f>IFERROR(IF(ISNUMBER('Procyfloc 956A'!A55),'Procyfloc 956A'!A55,DATEVALUE('Procyfloc 956A'!A55)),"")</f>
        <v/>
      </c>
      <c r="AC2054" t="str">
        <f>IF(AA2054="","",'Procyfloc 956A'!B55)</f>
        <v/>
      </c>
      <c r="AD2054" t="str">
        <f>IF(AA2054="","",IFERROR(1*'Procyfloc 956A'!C55,IFERROR(_xludf.NUMBERVALUE('Procyfloc 956A'!C55,".",","),IFERROR(_xludf.NUMBERVALUE('Procyfloc 956A'!C55,",","."),0))))</f>
        <v/>
      </c>
      <c r="AE2054" t="str">
        <f>IF(AA2054="","",'Procyfloc 956A'!L55)</f>
        <v/>
      </c>
      <c r="AF2054">
        <f t="shared" si="209"/>
        <v>0</v>
      </c>
      <c r="AG2054" t="str">
        <f t="shared" si="210"/>
        <v/>
      </c>
      <c r="AH2054" t="str">
        <f t="shared" si="211"/>
        <v/>
      </c>
      <c r="AI2054">
        <f t="shared" si="212"/>
        <v>0</v>
      </c>
      <c r="AJ2054">
        <f t="shared" si="213"/>
        <v>0</v>
      </c>
      <c r="AK2054">
        <v>0</v>
      </c>
      <c r="AL2054" t="str">
        <f>IF(AA2054="","",IFERROR(IF(ISNUMBER('Procyfloc 956A'!D55),'Procyfloc 956A'!D55,IF(ISNUMBER(SEARCH("12",'Procyfloc 956A'!D55)),EDATE(AB2054,12),IF(ISNUMBER(SEARCH("6",'Procyfloc 956A'!D55)),EDATE(AB2054,6),IF(ISNUMBER(SEARCH("3",'Procyfloc 956A'!D55)),EDATE(AB2054,3),DATEVALUE('Procyfloc 956A'!D55))))),""))</f>
        <v/>
      </c>
      <c r="AM2054" t="str">
        <f t="shared" ca="1" si="214"/>
        <v/>
      </c>
    </row>
    <row r="2055" spans="27:39" x14ac:dyDescent="0.3">
      <c r="AA2055" t="str">
        <f>IF(COUNTA('Procyfloc 956A'!A56,'Procyfloc 956A'!B56,'Procyfloc 956A'!C56)&gt;0,"956A","")</f>
        <v/>
      </c>
      <c r="AB2055" t="str">
        <f>IFERROR(IF(ISNUMBER('Procyfloc 956A'!A56),'Procyfloc 956A'!A56,DATEVALUE('Procyfloc 956A'!A56)),"")</f>
        <v/>
      </c>
      <c r="AC2055" t="str">
        <f>IF(AA2055="","",'Procyfloc 956A'!B56)</f>
        <v/>
      </c>
      <c r="AD2055" t="str">
        <f>IF(AA2055="","",IFERROR(1*'Procyfloc 956A'!C56,IFERROR(_xludf.NUMBERVALUE('Procyfloc 956A'!C56,".",","),IFERROR(_xludf.NUMBERVALUE('Procyfloc 956A'!C56,",","."),0))))</f>
        <v/>
      </c>
      <c r="AE2055" t="str">
        <f>IF(AA2055="","",'Procyfloc 956A'!L56)</f>
        <v/>
      </c>
      <c r="AF2055">
        <f t="shared" si="209"/>
        <v>0</v>
      </c>
      <c r="AG2055" t="str">
        <f t="shared" si="210"/>
        <v/>
      </c>
      <c r="AH2055" t="str">
        <f t="shared" si="211"/>
        <v/>
      </c>
      <c r="AI2055">
        <f t="shared" si="212"/>
        <v>0</v>
      </c>
      <c r="AJ2055">
        <f t="shared" si="213"/>
        <v>0</v>
      </c>
      <c r="AK2055">
        <v>0</v>
      </c>
      <c r="AL2055" t="str">
        <f>IF(AA2055="","",IFERROR(IF(ISNUMBER('Procyfloc 956A'!D56),'Procyfloc 956A'!D56,IF(ISNUMBER(SEARCH("12",'Procyfloc 956A'!D56)),EDATE(AB2055,12),IF(ISNUMBER(SEARCH("6",'Procyfloc 956A'!D56)),EDATE(AB2055,6),IF(ISNUMBER(SEARCH("3",'Procyfloc 956A'!D56)),EDATE(AB2055,3),DATEVALUE('Procyfloc 956A'!D56))))),""))</f>
        <v/>
      </c>
      <c r="AM2055" t="str">
        <f t="shared" ca="1" si="214"/>
        <v/>
      </c>
    </row>
    <row r="2056" spans="27:39" x14ac:dyDescent="0.3">
      <c r="AA2056" t="str">
        <f>IF(COUNTA('Procyfloc 956A'!A57,'Procyfloc 956A'!B57,'Procyfloc 956A'!C57)&gt;0,"956A","")</f>
        <v/>
      </c>
      <c r="AB2056" t="str">
        <f>IFERROR(IF(ISNUMBER('Procyfloc 956A'!A57),'Procyfloc 956A'!A57,DATEVALUE('Procyfloc 956A'!A57)),"")</f>
        <v/>
      </c>
      <c r="AC2056" t="str">
        <f>IF(AA2056="","",'Procyfloc 956A'!B57)</f>
        <v/>
      </c>
      <c r="AD2056" t="str">
        <f>IF(AA2056="","",IFERROR(1*'Procyfloc 956A'!C57,IFERROR(_xludf.NUMBERVALUE('Procyfloc 956A'!C57,".",","),IFERROR(_xludf.NUMBERVALUE('Procyfloc 956A'!C57,",","."),0))))</f>
        <v/>
      </c>
      <c r="AE2056" t="str">
        <f>IF(AA2056="","",'Procyfloc 956A'!L57)</f>
        <v/>
      </c>
      <c r="AF2056">
        <f t="shared" si="209"/>
        <v>0</v>
      </c>
      <c r="AG2056" t="str">
        <f t="shared" si="210"/>
        <v/>
      </c>
      <c r="AH2056" t="str">
        <f t="shared" si="211"/>
        <v/>
      </c>
      <c r="AI2056">
        <f t="shared" si="212"/>
        <v>0</v>
      </c>
      <c r="AJ2056">
        <f t="shared" si="213"/>
        <v>0</v>
      </c>
      <c r="AK2056">
        <v>0</v>
      </c>
      <c r="AL2056" t="str">
        <f>IF(AA2056="","",IFERROR(IF(ISNUMBER('Procyfloc 956A'!D57),'Procyfloc 956A'!D57,IF(ISNUMBER(SEARCH("12",'Procyfloc 956A'!D57)),EDATE(AB2056,12),IF(ISNUMBER(SEARCH("6",'Procyfloc 956A'!D57)),EDATE(AB2056,6),IF(ISNUMBER(SEARCH("3",'Procyfloc 956A'!D57)),EDATE(AB2056,3),DATEVALUE('Procyfloc 956A'!D57))))),""))</f>
        <v/>
      </c>
      <c r="AM2056" t="str">
        <f t="shared" ca="1" si="214"/>
        <v/>
      </c>
    </row>
    <row r="2057" spans="27:39" x14ac:dyDescent="0.3">
      <c r="AA2057" t="str">
        <f>IF(COUNTA('Procyfloc 956A'!A58,'Procyfloc 956A'!B58,'Procyfloc 956A'!C58)&gt;0,"956A","")</f>
        <v/>
      </c>
      <c r="AB2057" t="str">
        <f>IFERROR(IF(ISNUMBER('Procyfloc 956A'!A58),'Procyfloc 956A'!A58,DATEVALUE('Procyfloc 956A'!A58)),"")</f>
        <v/>
      </c>
      <c r="AC2057" t="str">
        <f>IF(AA2057="","",'Procyfloc 956A'!B58)</f>
        <v/>
      </c>
      <c r="AD2057" t="str">
        <f>IF(AA2057="","",IFERROR(1*'Procyfloc 956A'!C58,IFERROR(_xludf.NUMBERVALUE('Procyfloc 956A'!C58,".",","),IFERROR(_xludf.NUMBERVALUE('Procyfloc 956A'!C58,",","."),0))))</f>
        <v/>
      </c>
      <c r="AE2057" t="str">
        <f>IF(AA2057="","",'Procyfloc 956A'!L58)</f>
        <v/>
      </c>
      <c r="AF2057">
        <f t="shared" si="209"/>
        <v>0</v>
      </c>
      <c r="AG2057" t="str">
        <f t="shared" si="210"/>
        <v/>
      </c>
      <c r="AH2057" t="str">
        <f t="shared" si="211"/>
        <v/>
      </c>
      <c r="AI2057">
        <f t="shared" si="212"/>
        <v>0</v>
      </c>
      <c r="AJ2057">
        <f t="shared" si="213"/>
        <v>0</v>
      </c>
      <c r="AK2057">
        <v>0</v>
      </c>
      <c r="AL2057" t="str">
        <f>IF(AA2057="","",IFERROR(IF(ISNUMBER('Procyfloc 956A'!D58),'Procyfloc 956A'!D58,IF(ISNUMBER(SEARCH("12",'Procyfloc 956A'!D58)),EDATE(AB2057,12),IF(ISNUMBER(SEARCH("6",'Procyfloc 956A'!D58)),EDATE(AB2057,6),IF(ISNUMBER(SEARCH("3",'Procyfloc 956A'!D58)),EDATE(AB2057,3),DATEVALUE('Procyfloc 956A'!D58))))),""))</f>
        <v/>
      </c>
      <c r="AM2057" t="str">
        <f t="shared" ca="1" si="214"/>
        <v/>
      </c>
    </row>
    <row r="2058" spans="27:39" x14ac:dyDescent="0.3">
      <c r="AA2058" t="str">
        <f>IF(COUNTA('Procyfloc 956A'!A59,'Procyfloc 956A'!B59,'Procyfloc 956A'!C59)&gt;0,"956A","")</f>
        <v/>
      </c>
      <c r="AB2058" t="str">
        <f>IFERROR(IF(ISNUMBER('Procyfloc 956A'!A59),'Procyfloc 956A'!A59,DATEVALUE('Procyfloc 956A'!A59)),"")</f>
        <v/>
      </c>
      <c r="AC2058" t="str">
        <f>IF(AA2058="","",'Procyfloc 956A'!B59)</f>
        <v/>
      </c>
      <c r="AD2058" t="str">
        <f>IF(AA2058="","",IFERROR(1*'Procyfloc 956A'!C59,IFERROR(_xludf.NUMBERVALUE('Procyfloc 956A'!C59,".",","),IFERROR(_xludf.NUMBERVALUE('Procyfloc 956A'!C59,",","."),0))))</f>
        <v/>
      </c>
      <c r="AE2058" t="str">
        <f>IF(AA2058="","",'Procyfloc 956A'!L59)</f>
        <v/>
      </c>
      <c r="AF2058">
        <f t="shared" si="209"/>
        <v>0</v>
      </c>
      <c r="AG2058" t="str">
        <f t="shared" si="210"/>
        <v/>
      </c>
      <c r="AH2058" t="str">
        <f t="shared" si="211"/>
        <v/>
      </c>
      <c r="AI2058">
        <f t="shared" si="212"/>
        <v>0</v>
      </c>
      <c r="AJ2058">
        <f t="shared" si="213"/>
        <v>0</v>
      </c>
      <c r="AK2058">
        <v>0</v>
      </c>
      <c r="AL2058" t="str">
        <f>IF(AA2058="","",IFERROR(IF(ISNUMBER('Procyfloc 956A'!D59),'Procyfloc 956A'!D59,IF(ISNUMBER(SEARCH("12",'Procyfloc 956A'!D59)),EDATE(AB2058,12),IF(ISNUMBER(SEARCH("6",'Procyfloc 956A'!D59)),EDATE(AB2058,6),IF(ISNUMBER(SEARCH("3",'Procyfloc 956A'!D59)),EDATE(AB2058,3),DATEVALUE('Procyfloc 956A'!D59))))),""))</f>
        <v/>
      </c>
      <c r="AM2058" t="str">
        <f t="shared" ca="1" si="214"/>
        <v/>
      </c>
    </row>
    <row r="2059" spans="27:39" x14ac:dyDescent="0.3">
      <c r="AA2059" t="str">
        <f>IF(COUNTA('Procyfloc 956A'!A60,'Procyfloc 956A'!B60,'Procyfloc 956A'!C60)&gt;0,"956A","")</f>
        <v/>
      </c>
      <c r="AB2059" t="str">
        <f>IFERROR(IF(ISNUMBER('Procyfloc 956A'!A60),'Procyfloc 956A'!A60,DATEVALUE('Procyfloc 956A'!A60)),"")</f>
        <v/>
      </c>
      <c r="AC2059" t="str">
        <f>IF(AA2059="","",'Procyfloc 956A'!B60)</f>
        <v/>
      </c>
      <c r="AD2059" t="str">
        <f>IF(AA2059="","",IFERROR(1*'Procyfloc 956A'!C60,IFERROR(_xludf.NUMBERVALUE('Procyfloc 956A'!C60,".",","),IFERROR(_xludf.NUMBERVALUE('Procyfloc 956A'!C60,",","."),0))))</f>
        <v/>
      </c>
      <c r="AE2059" t="str">
        <f>IF(AA2059="","",'Procyfloc 956A'!L60)</f>
        <v/>
      </c>
      <c r="AF2059">
        <f t="shared" si="209"/>
        <v>0</v>
      </c>
      <c r="AG2059" t="str">
        <f t="shared" si="210"/>
        <v/>
      </c>
      <c r="AH2059" t="str">
        <f t="shared" si="211"/>
        <v/>
      </c>
      <c r="AI2059">
        <f t="shared" si="212"/>
        <v>0</v>
      </c>
      <c r="AJ2059">
        <f t="shared" si="213"/>
        <v>0</v>
      </c>
      <c r="AK2059">
        <v>0</v>
      </c>
      <c r="AL2059" t="str">
        <f>IF(AA2059="","",IFERROR(IF(ISNUMBER('Procyfloc 956A'!D60),'Procyfloc 956A'!D60,IF(ISNUMBER(SEARCH("12",'Procyfloc 956A'!D60)),EDATE(AB2059,12),IF(ISNUMBER(SEARCH("6",'Procyfloc 956A'!D60)),EDATE(AB2059,6),IF(ISNUMBER(SEARCH("3",'Procyfloc 956A'!D60)),EDATE(AB2059,3),DATEVALUE('Procyfloc 956A'!D60))))),""))</f>
        <v/>
      </c>
      <c r="AM2059" t="str">
        <f t="shared" ca="1" si="214"/>
        <v/>
      </c>
    </row>
    <row r="2060" spans="27:39" x14ac:dyDescent="0.3">
      <c r="AA2060" t="str">
        <f>IF(COUNTA('Procyfloc 956A'!A61,'Procyfloc 956A'!B61,'Procyfloc 956A'!C61)&gt;0,"956A","")</f>
        <v/>
      </c>
      <c r="AB2060" t="str">
        <f>IFERROR(IF(ISNUMBER('Procyfloc 956A'!A61),'Procyfloc 956A'!A61,DATEVALUE('Procyfloc 956A'!A61)),"")</f>
        <v/>
      </c>
      <c r="AC2060" t="str">
        <f>IF(AA2060="","",'Procyfloc 956A'!B61)</f>
        <v/>
      </c>
      <c r="AD2060" t="str">
        <f>IF(AA2060="","",IFERROR(1*'Procyfloc 956A'!C61,IFERROR(_xludf.NUMBERVALUE('Procyfloc 956A'!C61,".",","),IFERROR(_xludf.NUMBERVALUE('Procyfloc 956A'!C61,",","."),0))))</f>
        <v/>
      </c>
      <c r="AE2060" t="str">
        <f>IF(AA2060="","",'Procyfloc 956A'!L61)</f>
        <v/>
      </c>
      <c r="AF2060">
        <f t="shared" si="209"/>
        <v>0</v>
      </c>
      <c r="AG2060" t="str">
        <f t="shared" si="210"/>
        <v/>
      </c>
      <c r="AH2060" t="str">
        <f t="shared" si="211"/>
        <v/>
      </c>
      <c r="AI2060">
        <f t="shared" si="212"/>
        <v>0</v>
      </c>
      <c r="AJ2060">
        <f t="shared" si="213"/>
        <v>0</v>
      </c>
      <c r="AK2060">
        <v>0</v>
      </c>
      <c r="AL2060" t="str">
        <f>IF(AA2060="","",IFERROR(IF(ISNUMBER('Procyfloc 956A'!D61),'Procyfloc 956A'!D61,IF(ISNUMBER(SEARCH("12",'Procyfloc 956A'!D61)),EDATE(AB2060,12),IF(ISNUMBER(SEARCH("6",'Procyfloc 956A'!D61)),EDATE(AB2060,6),IF(ISNUMBER(SEARCH("3",'Procyfloc 956A'!D61)),EDATE(AB2060,3),DATEVALUE('Procyfloc 956A'!D61))))),""))</f>
        <v/>
      </c>
      <c r="AM2060" t="str">
        <f t="shared" ca="1" si="214"/>
        <v/>
      </c>
    </row>
    <row r="2061" spans="27:39" x14ac:dyDescent="0.3">
      <c r="AA2061" t="str">
        <f>IF(COUNTA('Procyfloc 956A'!A62,'Procyfloc 956A'!B62,'Procyfloc 956A'!C62)&gt;0,"956A","")</f>
        <v/>
      </c>
      <c r="AB2061" t="str">
        <f>IFERROR(IF(ISNUMBER('Procyfloc 956A'!A62),'Procyfloc 956A'!A62,DATEVALUE('Procyfloc 956A'!A62)),"")</f>
        <v/>
      </c>
      <c r="AC2061" t="str">
        <f>IF(AA2061="","",'Procyfloc 956A'!B62)</f>
        <v/>
      </c>
      <c r="AD2061" t="str">
        <f>IF(AA2061="","",IFERROR(1*'Procyfloc 956A'!C62,IFERROR(_xludf.NUMBERVALUE('Procyfloc 956A'!C62,".",","),IFERROR(_xludf.NUMBERVALUE('Procyfloc 956A'!C62,",","."),0))))</f>
        <v/>
      </c>
      <c r="AE2061" t="str">
        <f>IF(AA2061="","",'Procyfloc 956A'!L62)</f>
        <v/>
      </c>
      <c r="AF2061">
        <f t="shared" si="209"/>
        <v>0</v>
      </c>
      <c r="AG2061" t="str">
        <f t="shared" si="210"/>
        <v/>
      </c>
      <c r="AH2061" t="str">
        <f t="shared" si="211"/>
        <v/>
      </c>
      <c r="AI2061">
        <f t="shared" si="212"/>
        <v>0</v>
      </c>
      <c r="AJ2061">
        <f t="shared" si="213"/>
        <v>0</v>
      </c>
      <c r="AK2061">
        <v>0</v>
      </c>
      <c r="AL2061" t="str">
        <f>IF(AA2061="","",IFERROR(IF(ISNUMBER('Procyfloc 956A'!D62),'Procyfloc 956A'!D62,IF(ISNUMBER(SEARCH("12",'Procyfloc 956A'!D62)),EDATE(AB2061,12),IF(ISNUMBER(SEARCH("6",'Procyfloc 956A'!D62)),EDATE(AB2061,6),IF(ISNUMBER(SEARCH("3",'Procyfloc 956A'!D62)),EDATE(AB2061,3),DATEVALUE('Procyfloc 956A'!D62))))),""))</f>
        <v/>
      </c>
      <c r="AM2061" t="str">
        <f t="shared" ca="1" si="214"/>
        <v/>
      </c>
    </row>
    <row r="2062" spans="27:39" x14ac:dyDescent="0.3">
      <c r="AA2062" t="str">
        <f>IF(COUNTA('Procyfloc 956A'!A63,'Procyfloc 956A'!B63,'Procyfloc 956A'!C63)&gt;0,"956A","")</f>
        <v/>
      </c>
      <c r="AB2062" t="str">
        <f>IFERROR(IF(ISNUMBER('Procyfloc 956A'!A63),'Procyfloc 956A'!A63,DATEVALUE('Procyfloc 956A'!A63)),"")</f>
        <v/>
      </c>
      <c r="AC2062" t="str">
        <f>IF(AA2062="","",'Procyfloc 956A'!B63)</f>
        <v/>
      </c>
      <c r="AD2062" t="str">
        <f>IF(AA2062="","",IFERROR(1*'Procyfloc 956A'!C63,IFERROR(_xludf.NUMBERVALUE('Procyfloc 956A'!C63,".",","),IFERROR(_xludf.NUMBERVALUE('Procyfloc 956A'!C63,",","."),0))))</f>
        <v/>
      </c>
      <c r="AE2062" t="str">
        <f>IF(AA2062="","",'Procyfloc 956A'!L63)</f>
        <v/>
      </c>
      <c r="AF2062">
        <f t="shared" si="209"/>
        <v>0</v>
      </c>
      <c r="AG2062" t="str">
        <f t="shared" si="210"/>
        <v/>
      </c>
      <c r="AH2062" t="str">
        <f t="shared" si="211"/>
        <v/>
      </c>
      <c r="AI2062">
        <f t="shared" si="212"/>
        <v>0</v>
      </c>
      <c r="AJ2062">
        <f t="shared" si="213"/>
        <v>0</v>
      </c>
      <c r="AK2062">
        <v>0</v>
      </c>
      <c r="AL2062" t="str">
        <f>IF(AA2062="","",IFERROR(IF(ISNUMBER('Procyfloc 956A'!D63),'Procyfloc 956A'!D63,IF(ISNUMBER(SEARCH("12",'Procyfloc 956A'!D63)),EDATE(AB2062,12),IF(ISNUMBER(SEARCH("6",'Procyfloc 956A'!D63)),EDATE(AB2062,6),IF(ISNUMBER(SEARCH("3",'Procyfloc 956A'!D63)),EDATE(AB2062,3),DATEVALUE('Procyfloc 956A'!D63))))),""))</f>
        <v/>
      </c>
      <c r="AM2062" t="str">
        <f t="shared" ca="1" si="214"/>
        <v/>
      </c>
    </row>
    <row r="2063" spans="27:39" x14ac:dyDescent="0.3">
      <c r="AA2063" t="str">
        <f>IF(COUNTA('Procyfloc 956A'!A64,'Procyfloc 956A'!B64,'Procyfloc 956A'!C64)&gt;0,"956A","")</f>
        <v/>
      </c>
      <c r="AB2063" t="str">
        <f>IFERROR(IF(ISNUMBER('Procyfloc 956A'!A64),'Procyfloc 956A'!A64,DATEVALUE('Procyfloc 956A'!A64)),"")</f>
        <v/>
      </c>
      <c r="AC2063" t="str">
        <f>IF(AA2063="","",'Procyfloc 956A'!B64)</f>
        <v/>
      </c>
      <c r="AD2063" t="str">
        <f>IF(AA2063="","",IFERROR(1*'Procyfloc 956A'!C64,IFERROR(_xludf.NUMBERVALUE('Procyfloc 956A'!C64,".",","),IFERROR(_xludf.NUMBERVALUE('Procyfloc 956A'!C64,",","."),0))))</f>
        <v/>
      </c>
      <c r="AE2063" t="str">
        <f>IF(AA2063="","",'Procyfloc 956A'!L64)</f>
        <v/>
      </c>
      <c r="AF2063">
        <f t="shared" si="209"/>
        <v>0</v>
      </c>
      <c r="AG2063" t="str">
        <f t="shared" si="210"/>
        <v/>
      </c>
      <c r="AH2063" t="str">
        <f t="shared" si="211"/>
        <v/>
      </c>
      <c r="AI2063">
        <f t="shared" si="212"/>
        <v>0</v>
      </c>
      <c r="AJ2063">
        <f t="shared" si="213"/>
        <v>0</v>
      </c>
      <c r="AK2063">
        <v>0</v>
      </c>
      <c r="AL2063" t="str">
        <f>IF(AA2063="","",IFERROR(IF(ISNUMBER('Procyfloc 956A'!D64),'Procyfloc 956A'!D64,IF(ISNUMBER(SEARCH("12",'Procyfloc 956A'!D64)),EDATE(AB2063,12),IF(ISNUMBER(SEARCH("6",'Procyfloc 956A'!D64)),EDATE(AB2063,6),IF(ISNUMBER(SEARCH("3",'Procyfloc 956A'!D64)),EDATE(AB2063,3),DATEVALUE('Procyfloc 956A'!D64))))),""))</f>
        <v/>
      </c>
      <c r="AM2063" t="str">
        <f t="shared" ca="1" si="214"/>
        <v/>
      </c>
    </row>
    <row r="2064" spans="27:39" x14ac:dyDescent="0.3">
      <c r="AA2064" t="str">
        <f>IF(COUNTA('Procyfloc 956A'!A65,'Procyfloc 956A'!B65,'Procyfloc 956A'!C65)&gt;0,"956A","")</f>
        <v/>
      </c>
      <c r="AB2064" t="str">
        <f>IFERROR(IF(ISNUMBER('Procyfloc 956A'!A65),'Procyfloc 956A'!A65,DATEVALUE('Procyfloc 956A'!A65)),"")</f>
        <v/>
      </c>
      <c r="AC2064" t="str">
        <f>IF(AA2064="","",'Procyfloc 956A'!B65)</f>
        <v/>
      </c>
      <c r="AD2064" t="str">
        <f>IF(AA2064="","",IFERROR(1*'Procyfloc 956A'!C65,IFERROR(_xludf.NUMBERVALUE('Procyfloc 956A'!C65,".",","),IFERROR(_xludf.NUMBERVALUE('Procyfloc 956A'!C65,",","."),0))))</f>
        <v/>
      </c>
      <c r="AE2064" t="str">
        <f>IF(AA2064="","",'Procyfloc 956A'!L65)</f>
        <v/>
      </c>
      <c r="AF2064">
        <f t="shared" si="209"/>
        <v>0</v>
      </c>
      <c r="AG2064" t="str">
        <f t="shared" si="210"/>
        <v/>
      </c>
      <c r="AH2064" t="str">
        <f t="shared" si="211"/>
        <v/>
      </c>
      <c r="AI2064">
        <f t="shared" si="212"/>
        <v>0</v>
      </c>
      <c r="AJ2064">
        <f t="shared" si="213"/>
        <v>0</v>
      </c>
      <c r="AK2064">
        <v>0</v>
      </c>
      <c r="AL2064" t="str">
        <f>IF(AA2064="","",IFERROR(IF(ISNUMBER('Procyfloc 956A'!D65),'Procyfloc 956A'!D65,IF(ISNUMBER(SEARCH("12",'Procyfloc 956A'!D65)),EDATE(AB2064,12),IF(ISNUMBER(SEARCH("6",'Procyfloc 956A'!D65)),EDATE(AB2064,6),IF(ISNUMBER(SEARCH("3",'Procyfloc 956A'!D65)),EDATE(AB2064,3),DATEVALUE('Procyfloc 956A'!D65))))),""))</f>
        <v/>
      </c>
      <c r="AM2064" t="str">
        <f t="shared" ca="1" si="214"/>
        <v/>
      </c>
    </row>
    <row r="2065" spans="27:39" x14ac:dyDescent="0.3">
      <c r="AA2065" t="str">
        <f>IF(COUNTA('Procyfloc 956A'!A66,'Procyfloc 956A'!B66,'Procyfloc 956A'!C66)&gt;0,"956A","")</f>
        <v/>
      </c>
      <c r="AB2065" t="str">
        <f>IFERROR(IF(ISNUMBER('Procyfloc 956A'!A66),'Procyfloc 956A'!A66,DATEVALUE('Procyfloc 956A'!A66)),"")</f>
        <v/>
      </c>
      <c r="AC2065" t="str">
        <f>IF(AA2065="","",'Procyfloc 956A'!B66)</f>
        <v/>
      </c>
      <c r="AD2065" t="str">
        <f>IF(AA2065="","",IFERROR(1*'Procyfloc 956A'!C66,IFERROR(_xludf.NUMBERVALUE('Procyfloc 956A'!C66,".",","),IFERROR(_xludf.NUMBERVALUE('Procyfloc 956A'!C66,",","."),0))))</f>
        <v/>
      </c>
      <c r="AE2065" t="str">
        <f>IF(AA2065="","",'Procyfloc 956A'!L66)</f>
        <v/>
      </c>
      <c r="AF2065">
        <f t="shared" si="209"/>
        <v>0</v>
      </c>
      <c r="AG2065" t="str">
        <f t="shared" si="210"/>
        <v/>
      </c>
      <c r="AH2065" t="str">
        <f t="shared" si="211"/>
        <v/>
      </c>
      <c r="AI2065">
        <f t="shared" si="212"/>
        <v>0</v>
      </c>
      <c r="AJ2065">
        <f t="shared" si="213"/>
        <v>0</v>
      </c>
      <c r="AK2065">
        <v>0</v>
      </c>
      <c r="AL2065" t="str">
        <f>IF(AA2065="","",IFERROR(IF(ISNUMBER('Procyfloc 956A'!D66),'Procyfloc 956A'!D66,IF(ISNUMBER(SEARCH("12",'Procyfloc 956A'!D66)),EDATE(AB2065,12),IF(ISNUMBER(SEARCH("6",'Procyfloc 956A'!D66)),EDATE(AB2065,6),IF(ISNUMBER(SEARCH("3",'Procyfloc 956A'!D66)),EDATE(AB2065,3),DATEVALUE('Procyfloc 956A'!D66))))),""))</f>
        <v/>
      </c>
      <c r="AM2065" t="str">
        <f t="shared" ca="1" si="214"/>
        <v/>
      </c>
    </row>
    <row r="2066" spans="27:39" x14ac:dyDescent="0.3">
      <c r="AA2066" t="str">
        <f>IF(COUNTA('Procyfloc 956A'!A67,'Procyfloc 956A'!B67,'Procyfloc 956A'!C67)&gt;0,"956A","")</f>
        <v/>
      </c>
      <c r="AB2066" t="str">
        <f>IFERROR(IF(ISNUMBER('Procyfloc 956A'!A67),'Procyfloc 956A'!A67,DATEVALUE('Procyfloc 956A'!A67)),"")</f>
        <v/>
      </c>
      <c r="AC2066" t="str">
        <f>IF(AA2066="","",'Procyfloc 956A'!B67)</f>
        <v/>
      </c>
      <c r="AD2066" t="str">
        <f>IF(AA2066="","",IFERROR(1*'Procyfloc 956A'!C67,IFERROR(_xludf.NUMBERVALUE('Procyfloc 956A'!C67,".",","),IFERROR(_xludf.NUMBERVALUE('Procyfloc 956A'!C67,",","."),0))))</f>
        <v/>
      </c>
      <c r="AE2066" t="str">
        <f>IF(AA2066="","",'Procyfloc 956A'!L67)</f>
        <v/>
      </c>
      <c r="AF2066">
        <f t="shared" si="209"/>
        <v>0</v>
      </c>
      <c r="AG2066" t="str">
        <f t="shared" si="210"/>
        <v/>
      </c>
      <c r="AH2066" t="str">
        <f t="shared" si="211"/>
        <v/>
      </c>
      <c r="AI2066">
        <f t="shared" si="212"/>
        <v>0</v>
      </c>
      <c r="AJ2066">
        <f t="shared" si="213"/>
        <v>0</v>
      </c>
      <c r="AK2066">
        <v>0</v>
      </c>
      <c r="AL2066" t="str">
        <f>IF(AA2066="","",IFERROR(IF(ISNUMBER('Procyfloc 956A'!D67),'Procyfloc 956A'!D67,IF(ISNUMBER(SEARCH("12",'Procyfloc 956A'!D67)),EDATE(AB2066,12),IF(ISNUMBER(SEARCH("6",'Procyfloc 956A'!D67)),EDATE(AB2066,6),IF(ISNUMBER(SEARCH("3",'Procyfloc 956A'!D67)),EDATE(AB2066,3),DATEVALUE('Procyfloc 956A'!D67))))),""))</f>
        <v/>
      </c>
      <c r="AM2066" t="str">
        <f t="shared" ca="1" si="214"/>
        <v/>
      </c>
    </row>
    <row r="2067" spans="27:39" x14ac:dyDescent="0.3">
      <c r="AA2067" t="str">
        <f>IF(COUNTA('Procyfloc 956A'!A68,'Procyfloc 956A'!B68,'Procyfloc 956A'!C68)&gt;0,"956A","")</f>
        <v/>
      </c>
      <c r="AB2067" t="str">
        <f>IFERROR(IF(ISNUMBER('Procyfloc 956A'!A68),'Procyfloc 956A'!A68,DATEVALUE('Procyfloc 956A'!A68)),"")</f>
        <v/>
      </c>
      <c r="AC2067" t="str">
        <f>IF(AA2067="","",'Procyfloc 956A'!B68)</f>
        <v/>
      </c>
      <c r="AD2067" t="str">
        <f>IF(AA2067="","",IFERROR(1*'Procyfloc 956A'!C68,IFERROR(_xludf.NUMBERVALUE('Procyfloc 956A'!C68,".",","),IFERROR(_xludf.NUMBERVALUE('Procyfloc 956A'!C68,",","."),0))))</f>
        <v/>
      </c>
      <c r="AE2067" t="str">
        <f>IF(AA2067="","",'Procyfloc 956A'!L68)</f>
        <v/>
      </c>
      <c r="AF2067">
        <f t="shared" si="209"/>
        <v>0</v>
      </c>
      <c r="AG2067" t="str">
        <f t="shared" si="210"/>
        <v/>
      </c>
      <c r="AH2067" t="str">
        <f t="shared" si="211"/>
        <v/>
      </c>
      <c r="AI2067">
        <f t="shared" si="212"/>
        <v>0</v>
      </c>
      <c r="AJ2067">
        <f t="shared" si="213"/>
        <v>0</v>
      </c>
      <c r="AK2067">
        <v>0</v>
      </c>
      <c r="AL2067" t="str">
        <f>IF(AA2067="","",IFERROR(IF(ISNUMBER('Procyfloc 956A'!D68),'Procyfloc 956A'!D68,IF(ISNUMBER(SEARCH("12",'Procyfloc 956A'!D68)),EDATE(AB2067,12),IF(ISNUMBER(SEARCH("6",'Procyfloc 956A'!D68)),EDATE(AB2067,6),IF(ISNUMBER(SEARCH("3",'Procyfloc 956A'!D68)),EDATE(AB2067,3),DATEVALUE('Procyfloc 956A'!D68))))),""))</f>
        <v/>
      </c>
      <c r="AM2067" t="str">
        <f t="shared" ca="1" si="214"/>
        <v/>
      </c>
    </row>
    <row r="2068" spans="27:39" x14ac:dyDescent="0.3">
      <c r="AA2068" t="str">
        <f>IF(COUNTA('Procyfloc 956A'!A69,'Procyfloc 956A'!B69,'Procyfloc 956A'!C69)&gt;0,"956A","")</f>
        <v/>
      </c>
      <c r="AB2068" t="str">
        <f>IFERROR(IF(ISNUMBER('Procyfloc 956A'!A69),'Procyfloc 956A'!A69,DATEVALUE('Procyfloc 956A'!A69)),"")</f>
        <v/>
      </c>
      <c r="AC2068" t="str">
        <f>IF(AA2068="","",'Procyfloc 956A'!B69)</f>
        <v/>
      </c>
      <c r="AD2068" t="str">
        <f>IF(AA2068="","",IFERROR(1*'Procyfloc 956A'!C69,IFERROR(_xludf.NUMBERVALUE('Procyfloc 956A'!C69,".",","),IFERROR(_xludf.NUMBERVALUE('Procyfloc 956A'!C69,",","."),0))))</f>
        <v/>
      </c>
      <c r="AE2068" t="str">
        <f>IF(AA2068="","",'Procyfloc 956A'!L69)</f>
        <v/>
      </c>
      <c r="AF2068">
        <f t="shared" si="209"/>
        <v>0</v>
      </c>
      <c r="AG2068" t="str">
        <f t="shared" si="210"/>
        <v/>
      </c>
      <c r="AH2068" t="str">
        <f t="shared" si="211"/>
        <v/>
      </c>
      <c r="AI2068">
        <f t="shared" si="212"/>
        <v>0</v>
      </c>
      <c r="AJ2068">
        <f t="shared" si="213"/>
        <v>0</v>
      </c>
      <c r="AK2068">
        <v>0</v>
      </c>
      <c r="AL2068" t="str">
        <f>IF(AA2068="","",IFERROR(IF(ISNUMBER('Procyfloc 956A'!D69),'Procyfloc 956A'!D69,IF(ISNUMBER(SEARCH("12",'Procyfloc 956A'!D69)),EDATE(AB2068,12),IF(ISNUMBER(SEARCH("6",'Procyfloc 956A'!D69)),EDATE(AB2068,6),IF(ISNUMBER(SEARCH("3",'Procyfloc 956A'!D69)),EDATE(AB2068,3),DATEVALUE('Procyfloc 956A'!D69))))),""))</f>
        <v/>
      </c>
      <c r="AM2068" t="str">
        <f t="shared" ca="1" si="214"/>
        <v/>
      </c>
    </row>
    <row r="2069" spans="27:39" x14ac:dyDescent="0.3">
      <c r="AA2069" t="str">
        <f>IF(COUNTA('Procyfloc 956A'!A70,'Procyfloc 956A'!B70,'Procyfloc 956A'!C70)&gt;0,"956A","")</f>
        <v/>
      </c>
      <c r="AB2069" t="str">
        <f>IFERROR(IF(ISNUMBER('Procyfloc 956A'!A70),'Procyfloc 956A'!A70,DATEVALUE('Procyfloc 956A'!A70)),"")</f>
        <v/>
      </c>
      <c r="AC2069" t="str">
        <f>IF(AA2069="","",'Procyfloc 956A'!B70)</f>
        <v/>
      </c>
      <c r="AD2069" t="str">
        <f>IF(AA2069="","",IFERROR(1*'Procyfloc 956A'!C70,IFERROR(_xludf.NUMBERVALUE('Procyfloc 956A'!C70,".",","),IFERROR(_xludf.NUMBERVALUE('Procyfloc 956A'!C70,",","."),0))))</f>
        <v/>
      </c>
      <c r="AE2069" t="str">
        <f>IF(AA2069="","",'Procyfloc 956A'!L70)</f>
        <v/>
      </c>
      <c r="AF2069">
        <f t="shared" si="209"/>
        <v>0</v>
      </c>
      <c r="AG2069" t="str">
        <f t="shared" si="210"/>
        <v/>
      </c>
      <c r="AH2069" t="str">
        <f t="shared" si="211"/>
        <v/>
      </c>
      <c r="AI2069">
        <f t="shared" si="212"/>
        <v>0</v>
      </c>
      <c r="AJ2069">
        <f t="shared" si="213"/>
        <v>0</v>
      </c>
      <c r="AK2069">
        <v>0</v>
      </c>
      <c r="AL2069" t="str">
        <f>IF(AA2069="","",IFERROR(IF(ISNUMBER('Procyfloc 956A'!D70),'Procyfloc 956A'!D70,IF(ISNUMBER(SEARCH("12",'Procyfloc 956A'!D70)),EDATE(AB2069,12),IF(ISNUMBER(SEARCH("6",'Procyfloc 956A'!D70)),EDATE(AB2069,6),IF(ISNUMBER(SEARCH("3",'Procyfloc 956A'!D70)),EDATE(AB2069,3),DATEVALUE('Procyfloc 956A'!D70))))),""))</f>
        <v/>
      </c>
      <c r="AM2069" t="str">
        <f t="shared" ca="1" si="214"/>
        <v/>
      </c>
    </row>
    <row r="2070" spans="27:39" x14ac:dyDescent="0.3">
      <c r="AA2070" t="str">
        <f>IF(COUNTA('Procyfloc 956A'!A71,'Procyfloc 956A'!B71,'Procyfloc 956A'!C71)&gt;0,"956A","")</f>
        <v/>
      </c>
      <c r="AB2070" t="str">
        <f>IFERROR(IF(ISNUMBER('Procyfloc 956A'!A71),'Procyfloc 956A'!A71,DATEVALUE('Procyfloc 956A'!A71)),"")</f>
        <v/>
      </c>
      <c r="AC2070" t="str">
        <f>IF(AA2070="","",'Procyfloc 956A'!B71)</f>
        <v/>
      </c>
      <c r="AD2070" t="str">
        <f>IF(AA2070="","",IFERROR(1*'Procyfloc 956A'!C71,IFERROR(_xludf.NUMBERVALUE('Procyfloc 956A'!C71,".",","),IFERROR(_xludf.NUMBERVALUE('Procyfloc 956A'!C71,",","."),0))))</f>
        <v/>
      </c>
      <c r="AE2070" t="str">
        <f>IF(AA2070="","",'Procyfloc 956A'!L71)</f>
        <v/>
      </c>
      <c r="AF2070">
        <f t="shared" si="209"/>
        <v>0</v>
      </c>
      <c r="AG2070" t="str">
        <f t="shared" si="210"/>
        <v/>
      </c>
      <c r="AH2070" t="str">
        <f t="shared" si="211"/>
        <v/>
      </c>
      <c r="AI2070">
        <f t="shared" si="212"/>
        <v>0</v>
      </c>
      <c r="AJ2070">
        <f t="shared" si="213"/>
        <v>0</v>
      </c>
      <c r="AK2070">
        <v>0</v>
      </c>
      <c r="AL2070" t="str">
        <f>IF(AA2070="","",IFERROR(IF(ISNUMBER('Procyfloc 956A'!D71),'Procyfloc 956A'!D71,IF(ISNUMBER(SEARCH("12",'Procyfloc 956A'!D71)),EDATE(AB2070,12),IF(ISNUMBER(SEARCH("6",'Procyfloc 956A'!D71)),EDATE(AB2070,6),IF(ISNUMBER(SEARCH("3",'Procyfloc 956A'!D71)),EDATE(AB2070,3),DATEVALUE('Procyfloc 956A'!D71))))),""))</f>
        <v/>
      </c>
      <c r="AM2070" t="str">
        <f t="shared" ca="1" si="214"/>
        <v/>
      </c>
    </row>
    <row r="2071" spans="27:39" x14ac:dyDescent="0.3">
      <c r="AA2071" t="str">
        <f>IF(COUNTA('Procyfloc 956A'!A72,'Procyfloc 956A'!B72,'Procyfloc 956A'!C72)&gt;0,"956A","")</f>
        <v/>
      </c>
      <c r="AB2071" t="str">
        <f>IFERROR(IF(ISNUMBER('Procyfloc 956A'!A72),'Procyfloc 956A'!A72,DATEVALUE('Procyfloc 956A'!A72)),"")</f>
        <v/>
      </c>
      <c r="AC2071" t="str">
        <f>IF(AA2071="","",'Procyfloc 956A'!B72)</f>
        <v/>
      </c>
      <c r="AD2071" t="str">
        <f>IF(AA2071="","",IFERROR(1*'Procyfloc 956A'!C72,IFERROR(_xludf.NUMBERVALUE('Procyfloc 956A'!C72,".",","),IFERROR(_xludf.NUMBERVALUE('Procyfloc 956A'!C72,",","."),0))))</f>
        <v/>
      </c>
      <c r="AE2071" t="str">
        <f>IF(AA2071="","",'Procyfloc 956A'!L72)</f>
        <v/>
      </c>
      <c r="AF2071">
        <f t="shared" si="209"/>
        <v>0</v>
      </c>
      <c r="AG2071" t="str">
        <f t="shared" si="210"/>
        <v/>
      </c>
      <c r="AH2071" t="str">
        <f t="shared" si="211"/>
        <v/>
      </c>
      <c r="AI2071">
        <f t="shared" si="212"/>
        <v>0</v>
      </c>
      <c r="AJ2071">
        <f t="shared" si="213"/>
        <v>0</v>
      </c>
      <c r="AK2071">
        <v>0</v>
      </c>
      <c r="AL2071" t="str">
        <f>IF(AA2071="","",IFERROR(IF(ISNUMBER('Procyfloc 956A'!D72),'Procyfloc 956A'!D72,IF(ISNUMBER(SEARCH("12",'Procyfloc 956A'!D72)),EDATE(AB2071,12),IF(ISNUMBER(SEARCH("6",'Procyfloc 956A'!D72)),EDATE(AB2071,6),IF(ISNUMBER(SEARCH("3",'Procyfloc 956A'!D72)),EDATE(AB2071,3),DATEVALUE('Procyfloc 956A'!D72))))),""))</f>
        <v/>
      </c>
      <c r="AM2071" t="str">
        <f t="shared" ca="1" si="214"/>
        <v/>
      </c>
    </row>
    <row r="2072" spans="27:39" x14ac:dyDescent="0.3">
      <c r="AA2072" t="str">
        <f>IF(COUNTA('Procyfloc 956A'!A73,'Procyfloc 956A'!B73,'Procyfloc 956A'!C73)&gt;0,"956A","")</f>
        <v/>
      </c>
      <c r="AB2072" t="str">
        <f>IFERROR(IF(ISNUMBER('Procyfloc 956A'!A73),'Procyfloc 956A'!A73,DATEVALUE('Procyfloc 956A'!A73)),"")</f>
        <v/>
      </c>
      <c r="AC2072" t="str">
        <f>IF(AA2072="","",'Procyfloc 956A'!B73)</f>
        <v/>
      </c>
      <c r="AD2072" t="str">
        <f>IF(AA2072="","",IFERROR(1*'Procyfloc 956A'!C73,IFERROR(_xludf.NUMBERVALUE('Procyfloc 956A'!C73,".",","),IFERROR(_xludf.NUMBERVALUE('Procyfloc 956A'!C73,",","."),0))))</f>
        <v/>
      </c>
      <c r="AE2072" t="str">
        <f>IF(AA2072="","",'Procyfloc 956A'!L73)</f>
        <v/>
      </c>
      <c r="AF2072">
        <f t="shared" si="209"/>
        <v>0</v>
      </c>
      <c r="AG2072" t="str">
        <f t="shared" si="210"/>
        <v/>
      </c>
      <c r="AH2072" t="str">
        <f t="shared" si="211"/>
        <v/>
      </c>
      <c r="AI2072">
        <f t="shared" si="212"/>
        <v>0</v>
      </c>
      <c r="AJ2072">
        <f t="shared" si="213"/>
        <v>0</v>
      </c>
      <c r="AK2072">
        <v>0</v>
      </c>
      <c r="AL2072" t="str">
        <f>IF(AA2072="","",IFERROR(IF(ISNUMBER('Procyfloc 956A'!D73),'Procyfloc 956A'!D73,IF(ISNUMBER(SEARCH("12",'Procyfloc 956A'!D73)),EDATE(AB2072,12),IF(ISNUMBER(SEARCH("6",'Procyfloc 956A'!D73)),EDATE(AB2072,6),IF(ISNUMBER(SEARCH("3",'Procyfloc 956A'!D73)),EDATE(AB2072,3),DATEVALUE('Procyfloc 956A'!D73))))),""))</f>
        <v/>
      </c>
      <c r="AM2072" t="str">
        <f t="shared" ca="1" si="214"/>
        <v/>
      </c>
    </row>
    <row r="2073" spans="27:39" x14ac:dyDescent="0.3">
      <c r="AA2073" t="str">
        <f>IF(COUNTA('Procyfloc 956A'!A74,'Procyfloc 956A'!B74,'Procyfloc 956A'!C74)&gt;0,"956A","")</f>
        <v/>
      </c>
      <c r="AB2073" t="str">
        <f>IFERROR(IF(ISNUMBER('Procyfloc 956A'!A74),'Procyfloc 956A'!A74,DATEVALUE('Procyfloc 956A'!A74)),"")</f>
        <v/>
      </c>
      <c r="AC2073" t="str">
        <f>IF(AA2073="","",'Procyfloc 956A'!B74)</f>
        <v/>
      </c>
      <c r="AD2073" t="str">
        <f>IF(AA2073="","",IFERROR(1*'Procyfloc 956A'!C74,IFERROR(_xludf.NUMBERVALUE('Procyfloc 956A'!C74,".",","),IFERROR(_xludf.NUMBERVALUE('Procyfloc 956A'!C74,",","."),0))))</f>
        <v/>
      </c>
      <c r="AE2073" t="str">
        <f>IF(AA2073="","",'Procyfloc 956A'!L74)</f>
        <v/>
      </c>
      <c r="AF2073">
        <f t="shared" si="209"/>
        <v>0</v>
      </c>
      <c r="AG2073" t="str">
        <f t="shared" si="210"/>
        <v/>
      </c>
      <c r="AH2073" t="str">
        <f t="shared" si="211"/>
        <v/>
      </c>
      <c r="AI2073">
        <f t="shared" si="212"/>
        <v>0</v>
      </c>
      <c r="AJ2073">
        <f t="shared" si="213"/>
        <v>0</v>
      </c>
      <c r="AK2073">
        <v>0</v>
      </c>
      <c r="AL2073" t="str">
        <f>IF(AA2073="","",IFERROR(IF(ISNUMBER('Procyfloc 956A'!D74),'Procyfloc 956A'!D74,IF(ISNUMBER(SEARCH("12",'Procyfloc 956A'!D74)),EDATE(AB2073,12),IF(ISNUMBER(SEARCH("6",'Procyfloc 956A'!D74)),EDATE(AB2073,6),IF(ISNUMBER(SEARCH("3",'Procyfloc 956A'!D74)),EDATE(AB2073,3),DATEVALUE('Procyfloc 956A'!D74))))),""))</f>
        <v/>
      </c>
      <c r="AM2073" t="str">
        <f t="shared" ca="1" si="214"/>
        <v/>
      </c>
    </row>
    <row r="2074" spans="27:39" x14ac:dyDescent="0.3">
      <c r="AA2074" t="str">
        <f>IF(COUNTA('Procyfloc 956A'!A75,'Procyfloc 956A'!B75,'Procyfloc 956A'!C75)&gt;0,"956A","")</f>
        <v/>
      </c>
      <c r="AB2074" t="str">
        <f>IFERROR(IF(ISNUMBER('Procyfloc 956A'!A75),'Procyfloc 956A'!A75,DATEVALUE('Procyfloc 956A'!A75)),"")</f>
        <v/>
      </c>
      <c r="AC2074" t="str">
        <f>IF(AA2074="","",'Procyfloc 956A'!B75)</f>
        <v/>
      </c>
      <c r="AD2074" t="str">
        <f>IF(AA2074="","",IFERROR(1*'Procyfloc 956A'!C75,IFERROR(_xludf.NUMBERVALUE('Procyfloc 956A'!C75,".",","),IFERROR(_xludf.NUMBERVALUE('Procyfloc 956A'!C75,",","."),0))))</f>
        <v/>
      </c>
      <c r="AE2074" t="str">
        <f>IF(AA2074="","",'Procyfloc 956A'!L75)</f>
        <v/>
      </c>
      <c r="AF2074">
        <f t="shared" si="209"/>
        <v>0</v>
      </c>
      <c r="AG2074" t="str">
        <f t="shared" si="210"/>
        <v/>
      </c>
      <c r="AH2074" t="str">
        <f t="shared" si="211"/>
        <v/>
      </c>
      <c r="AI2074">
        <f t="shared" si="212"/>
        <v>0</v>
      </c>
      <c r="AJ2074">
        <f t="shared" si="213"/>
        <v>0</v>
      </c>
      <c r="AK2074">
        <v>0</v>
      </c>
      <c r="AL2074" t="str">
        <f>IF(AA2074="","",IFERROR(IF(ISNUMBER('Procyfloc 956A'!D75),'Procyfloc 956A'!D75,IF(ISNUMBER(SEARCH("12",'Procyfloc 956A'!D75)),EDATE(AB2074,12),IF(ISNUMBER(SEARCH("6",'Procyfloc 956A'!D75)),EDATE(AB2074,6),IF(ISNUMBER(SEARCH("3",'Procyfloc 956A'!D75)),EDATE(AB2074,3),DATEVALUE('Procyfloc 956A'!D75))))),""))</f>
        <v/>
      </c>
      <c r="AM2074" t="str">
        <f t="shared" ca="1" si="214"/>
        <v/>
      </c>
    </row>
    <row r="2075" spans="27:39" x14ac:dyDescent="0.3">
      <c r="AA2075" t="str">
        <f>IF(COUNTA('Procyfloc 956A'!A76,'Procyfloc 956A'!B76,'Procyfloc 956A'!C76)&gt;0,"956A","")</f>
        <v/>
      </c>
      <c r="AB2075" t="str">
        <f>IFERROR(IF(ISNUMBER('Procyfloc 956A'!A76),'Procyfloc 956A'!A76,DATEVALUE('Procyfloc 956A'!A76)),"")</f>
        <v/>
      </c>
      <c r="AC2075" t="str">
        <f>IF(AA2075="","",'Procyfloc 956A'!B76)</f>
        <v/>
      </c>
      <c r="AD2075" t="str">
        <f>IF(AA2075="","",IFERROR(1*'Procyfloc 956A'!C76,IFERROR(_xludf.NUMBERVALUE('Procyfloc 956A'!C76,".",","),IFERROR(_xludf.NUMBERVALUE('Procyfloc 956A'!C76,",","."),0))))</f>
        <v/>
      </c>
      <c r="AE2075" t="str">
        <f>IF(AA2075="","",'Procyfloc 956A'!L76)</f>
        <v/>
      </c>
      <c r="AF2075">
        <f t="shared" si="209"/>
        <v>0</v>
      </c>
      <c r="AG2075" t="str">
        <f t="shared" si="210"/>
        <v/>
      </c>
      <c r="AH2075" t="str">
        <f t="shared" si="211"/>
        <v/>
      </c>
      <c r="AI2075">
        <f t="shared" si="212"/>
        <v>0</v>
      </c>
      <c r="AJ2075">
        <f t="shared" si="213"/>
        <v>0</v>
      </c>
      <c r="AK2075">
        <v>0</v>
      </c>
      <c r="AL2075" t="str">
        <f>IF(AA2075="","",IFERROR(IF(ISNUMBER('Procyfloc 956A'!D76),'Procyfloc 956A'!D76,IF(ISNUMBER(SEARCH("12",'Procyfloc 956A'!D76)),EDATE(AB2075,12),IF(ISNUMBER(SEARCH("6",'Procyfloc 956A'!D76)),EDATE(AB2075,6),IF(ISNUMBER(SEARCH("3",'Procyfloc 956A'!D76)),EDATE(AB2075,3),DATEVALUE('Procyfloc 956A'!D76))))),""))</f>
        <v/>
      </c>
      <c r="AM2075" t="str">
        <f t="shared" ca="1" si="214"/>
        <v/>
      </c>
    </row>
    <row r="2076" spans="27:39" x14ac:dyDescent="0.3">
      <c r="AA2076" t="str">
        <f>IF(COUNTA('Procyfloc 956A'!A77,'Procyfloc 956A'!B77,'Procyfloc 956A'!C77)&gt;0,"956A","")</f>
        <v/>
      </c>
      <c r="AB2076" t="str">
        <f>IFERROR(IF(ISNUMBER('Procyfloc 956A'!A77),'Procyfloc 956A'!A77,DATEVALUE('Procyfloc 956A'!A77)),"")</f>
        <v/>
      </c>
      <c r="AC2076" t="str">
        <f>IF(AA2076="","",'Procyfloc 956A'!B77)</f>
        <v/>
      </c>
      <c r="AD2076" t="str">
        <f>IF(AA2076="","",IFERROR(1*'Procyfloc 956A'!C77,IFERROR(_xludf.NUMBERVALUE('Procyfloc 956A'!C77,".",","),IFERROR(_xludf.NUMBERVALUE('Procyfloc 956A'!C77,",","."),0))))</f>
        <v/>
      </c>
      <c r="AE2076" t="str">
        <f>IF(AA2076="","",'Procyfloc 956A'!L77)</f>
        <v/>
      </c>
      <c r="AF2076">
        <f t="shared" si="209"/>
        <v>0</v>
      </c>
      <c r="AG2076" t="str">
        <f t="shared" si="210"/>
        <v/>
      </c>
      <c r="AH2076" t="str">
        <f t="shared" si="211"/>
        <v/>
      </c>
      <c r="AI2076">
        <f t="shared" si="212"/>
        <v>0</v>
      </c>
      <c r="AJ2076">
        <f t="shared" si="213"/>
        <v>0</v>
      </c>
      <c r="AK2076">
        <v>0</v>
      </c>
      <c r="AL2076" t="str">
        <f>IF(AA2076="","",IFERROR(IF(ISNUMBER('Procyfloc 956A'!D77),'Procyfloc 956A'!D77,IF(ISNUMBER(SEARCH("12",'Procyfloc 956A'!D77)),EDATE(AB2076,12),IF(ISNUMBER(SEARCH("6",'Procyfloc 956A'!D77)),EDATE(AB2076,6),IF(ISNUMBER(SEARCH("3",'Procyfloc 956A'!D77)),EDATE(AB2076,3),DATEVALUE('Procyfloc 956A'!D77))))),""))</f>
        <v/>
      </c>
      <c r="AM2076" t="str">
        <f t="shared" ca="1" si="214"/>
        <v/>
      </c>
    </row>
    <row r="2077" spans="27:39" x14ac:dyDescent="0.3">
      <c r="AA2077" t="str">
        <f>IF(COUNTA('Procyfloc 956A'!A78,'Procyfloc 956A'!B78,'Procyfloc 956A'!C78)&gt;0,"956A","")</f>
        <v/>
      </c>
      <c r="AB2077" t="str">
        <f>IFERROR(IF(ISNUMBER('Procyfloc 956A'!A78),'Procyfloc 956A'!A78,DATEVALUE('Procyfloc 956A'!A78)),"")</f>
        <v/>
      </c>
      <c r="AC2077" t="str">
        <f>IF(AA2077="","",'Procyfloc 956A'!B78)</f>
        <v/>
      </c>
      <c r="AD2077" t="str">
        <f>IF(AA2077="","",IFERROR(1*'Procyfloc 956A'!C78,IFERROR(_xludf.NUMBERVALUE('Procyfloc 956A'!C78,".",","),IFERROR(_xludf.NUMBERVALUE('Procyfloc 956A'!C78,",","."),0))))</f>
        <v/>
      </c>
      <c r="AE2077" t="str">
        <f>IF(AA2077="","",'Procyfloc 956A'!L78)</f>
        <v/>
      </c>
      <c r="AF2077">
        <f t="shared" si="209"/>
        <v>0</v>
      </c>
      <c r="AG2077" t="str">
        <f t="shared" si="210"/>
        <v/>
      </c>
      <c r="AH2077" t="str">
        <f t="shared" si="211"/>
        <v/>
      </c>
      <c r="AI2077">
        <f t="shared" si="212"/>
        <v>0</v>
      </c>
      <c r="AJ2077">
        <f t="shared" si="213"/>
        <v>0</v>
      </c>
      <c r="AK2077">
        <v>0</v>
      </c>
      <c r="AL2077" t="str">
        <f>IF(AA2077="","",IFERROR(IF(ISNUMBER('Procyfloc 956A'!D78),'Procyfloc 956A'!D78,IF(ISNUMBER(SEARCH("12",'Procyfloc 956A'!D78)),EDATE(AB2077,12),IF(ISNUMBER(SEARCH("6",'Procyfloc 956A'!D78)),EDATE(AB2077,6),IF(ISNUMBER(SEARCH("3",'Procyfloc 956A'!D78)),EDATE(AB2077,3),DATEVALUE('Procyfloc 956A'!D78))))),""))</f>
        <v/>
      </c>
      <c r="AM2077" t="str">
        <f t="shared" ca="1" si="214"/>
        <v/>
      </c>
    </row>
    <row r="2078" spans="27:39" x14ac:dyDescent="0.3">
      <c r="AA2078" t="str">
        <f>IF(COUNTA('Procyfloc 956A'!A79,'Procyfloc 956A'!B79,'Procyfloc 956A'!C79)&gt;0,"956A","")</f>
        <v/>
      </c>
      <c r="AB2078" t="str">
        <f>IFERROR(IF(ISNUMBER('Procyfloc 956A'!A79),'Procyfloc 956A'!A79,DATEVALUE('Procyfloc 956A'!A79)),"")</f>
        <v/>
      </c>
      <c r="AC2078" t="str">
        <f>IF(AA2078="","",'Procyfloc 956A'!B79)</f>
        <v/>
      </c>
      <c r="AD2078" t="str">
        <f>IF(AA2078="","",IFERROR(1*'Procyfloc 956A'!C79,IFERROR(_xludf.NUMBERVALUE('Procyfloc 956A'!C79,".",","),IFERROR(_xludf.NUMBERVALUE('Procyfloc 956A'!C79,",","."),0))))</f>
        <v/>
      </c>
      <c r="AE2078" t="str">
        <f>IF(AA2078="","",'Procyfloc 956A'!L79)</f>
        <v/>
      </c>
      <c r="AF2078">
        <f t="shared" si="209"/>
        <v>0</v>
      </c>
      <c r="AG2078" t="str">
        <f t="shared" si="210"/>
        <v/>
      </c>
      <c r="AH2078" t="str">
        <f t="shared" si="211"/>
        <v/>
      </c>
      <c r="AI2078">
        <f t="shared" si="212"/>
        <v>0</v>
      </c>
      <c r="AJ2078">
        <f t="shared" si="213"/>
        <v>0</v>
      </c>
      <c r="AK2078">
        <v>0</v>
      </c>
      <c r="AL2078" t="str">
        <f>IF(AA2078="","",IFERROR(IF(ISNUMBER('Procyfloc 956A'!D79),'Procyfloc 956A'!D79,IF(ISNUMBER(SEARCH("12",'Procyfloc 956A'!D79)),EDATE(AB2078,12),IF(ISNUMBER(SEARCH("6",'Procyfloc 956A'!D79)),EDATE(AB2078,6),IF(ISNUMBER(SEARCH("3",'Procyfloc 956A'!D79)),EDATE(AB2078,3),DATEVALUE('Procyfloc 956A'!D79))))),""))</f>
        <v/>
      </c>
      <c r="AM2078" t="str">
        <f t="shared" ca="1" si="214"/>
        <v/>
      </c>
    </row>
    <row r="2079" spans="27:39" x14ac:dyDescent="0.3">
      <c r="AA2079" t="str">
        <f>IF(COUNTA('Procyfloc 956A'!A80,'Procyfloc 956A'!B80,'Procyfloc 956A'!C80)&gt;0,"956A","")</f>
        <v/>
      </c>
      <c r="AB2079" t="str">
        <f>IFERROR(IF(ISNUMBER('Procyfloc 956A'!A80),'Procyfloc 956A'!A80,DATEVALUE('Procyfloc 956A'!A80)),"")</f>
        <v/>
      </c>
      <c r="AC2079" t="str">
        <f>IF(AA2079="","",'Procyfloc 956A'!B80)</f>
        <v/>
      </c>
      <c r="AD2079" t="str">
        <f>IF(AA2079="","",IFERROR(1*'Procyfloc 956A'!C80,IFERROR(_xludf.NUMBERVALUE('Procyfloc 956A'!C80,".",","),IFERROR(_xludf.NUMBERVALUE('Procyfloc 956A'!C80,",","."),0))))</f>
        <v/>
      </c>
      <c r="AE2079" t="str">
        <f>IF(AA2079="","",'Procyfloc 956A'!L80)</f>
        <v/>
      </c>
      <c r="AF2079">
        <f t="shared" si="209"/>
        <v>0</v>
      </c>
      <c r="AG2079" t="str">
        <f t="shared" si="210"/>
        <v/>
      </c>
      <c r="AH2079" t="str">
        <f t="shared" si="211"/>
        <v/>
      </c>
      <c r="AI2079">
        <f t="shared" si="212"/>
        <v>0</v>
      </c>
      <c r="AJ2079">
        <f t="shared" si="213"/>
        <v>0</v>
      </c>
      <c r="AK2079">
        <v>0</v>
      </c>
      <c r="AL2079" t="str">
        <f>IF(AA2079="","",IFERROR(IF(ISNUMBER('Procyfloc 956A'!D80),'Procyfloc 956A'!D80,IF(ISNUMBER(SEARCH("12",'Procyfloc 956A'!D80)),EDATE(AB2079,12),IF(ISNUMBER(SEARCH("6",'Procyfloc 956A'!D80)),EDATE(AB2079,6),IF(ISNUMBER(SEARCH("3",'Procyfloc 956A'!D80)),EDATE(AB2079,3),DATEVALUE('Procyfloc 956A'!D80))))),""))</f>
        <v/>
      </c>
      <c r="AM2079" t="str">
        <f t="shared" ca="1" si="214"/>
        <v/>
      </c>
    </row>
    <row r="2080" spans="27:39" x14ac:dyDescent="0.3">
      <c r="AA2080" t="str">
        <f>IF(COUNTA('Procyfloc 956A'!A81,'Procyfloc 956A'!B81,'Procyfloc 956A'!C81)&gt;0,"956A","")</f>
        <v/>
      </c>
      <c r="AB2080" t="str">
        <f>IFERROR(IF(ISNUMBER('Procyfloc 956A'!A81),'Procyfloc 956A'!A81,DATEVALUE('Procyfloc 956A'!A81)),"")</f>
        <v/>
      </c>
      <c r="AC2080" t="str">
        <f>IF(AA2080="","",'Procyfloc 956A'!B81)</f>
        <v/>
      </c>
      <c r="AD2080" t="str">
        <f>IF(AA2080="","",IFERROR(1*'Procyfloc 956A'!C81,IFERROR(_xludf.NUMBERVALUE('Procyfloc 956A'!C81,".",","),IFERROR(_xludf.NUMBERVALUE('Procyfloc 956A'!C81,",","."),0))))</f>
        <v/>
      </c>
      <c r="AE2080" t="str">
        <f>IF(AA2080="","",'Procyfloc 956A'!L81)</f>
        <v/>
      </c>
      <c r="AF2080">
        <f t="shared" si="209"/>
        <v>0</v>
      </c>
      <c r="AG2080" t="str">
        <f t="shared" si="210"/>
        <v/>
      </c>
      <c r="AH2080" t="str">
        <f t="shared" si="211"/>
        <v/>
      </c>
      <c r="AI2080">
        <f t="shared" si="212"/>
        <v>0</v>
      </c>
      <c r="AJ2080">
        <f t="shared" si="213"/>
        <v>0</v>
      </c>
      <c r="AK2080">
        <v>0</v>
      </c>
      <c r="AL2080" t="str">
        <f>IF(AA2080="","",IFERROR(IF(ISNUMBER('Procyfloc 956A'!D81),'Procyfloc 956A'!D81,IF(ISNUMBER(SEARCH("12",'Procyfloc 956A'!D81)),EDATE(AB2080,12),IF(ISNUMBER(SEARCH("6",'Procyfloc 956A'!D81)),EDATE(AB2080,6),IF(ISNUMBER(SEARCH("3",'Procyfloc 956A'!D81)),EDATE(AB2080,3),DATEVALUE('Procyfloc 956A'!D81))))),""))</f>
        <v/>
      </c>
      <c r="AM2080" t="str">
        <f t="shared" ca="1" si="214"/>
        <v/>
      </c>
    </row>
    <row r="2081" spans="27:39" x14ac:dyDescent="0.3">
      <c r="AA2081" t="str">
        <f>IF(COUNTA('Procyfloc 956A'!A82,'Procyfloc 956A'!B82,'Procyfloc 956A'!C82)&gt;0,"956A","")</f>
        <v/>
      </c>
      <c r="AB2081" t="str">
        <f>IFERROR(IF(ISNUMBER('Procyfloc 956A'!A82),'Procyfloc 956A'!A82,DATEVALUE('Procyfloc 956A'!A82)),"")</f>
        <v/>
      </c>
      <c r="AC2081" t="str">
        <f>IF(AA2081="","",'Procyfloc 956A'!B82)</f>
        <v/>
      </c>
      <c r="AD2081" t="str">
        <f>IF(AA2081="","",IFERROR(1*'Procyfloc 956A'!C82,IFERROR(_xludf.NUMBERVALUE('Procyfloc 956A'!C82,".",","),IFERROR(_xludf.NUMBERVALUE('Procyfloc 956A'!C82,",","."),0))))</f>
        <v/>
      </c>
      <c r="AE2081" t="str">
        <f>IF(AA2081="","",'Procyfloc 956A'!L82)</f>
        <v/>
      </c>
      <c r="AF2081">
        <f t="shared" si="209"/>
        <v>0</v>
      </c>
      <c r="AG2081" t="str">
        <f t="shared" si="210"/>
        <v/>
      </c>
      <c r="AH2081" t="str">
        <f t="shared" si="211"/>
        <v/>
      </c>
      <c r="AI2081">
        <f t="shared" si="212"/>
        <v>0</v>
      </c>
      <c r="AJ2081">
        <f t="shared" si="213"/>
        <v>0</v>
      </c>
      <c r="AK2081">
        <v>0</v>
      </c>
      <c r="AL2081" t="str">
        <f>IF(AA2081="","",IFERROR(IF(ISNUMBER('Procyfloc 956A'!D82),'Procyfloc 956A'!D82,IF(ISNUMBER(SEARCH("12",'Procyfloc 956A'!D82)),EDATE(AB2081,12),IF(ISNUMBER(SEARCH("6",'Procyfloc 956A'!D82)),EDATE(AB2081,6),IF(ISNUMBER(SEARCH("3",'Procyfloc 956A'!D82)),EDATE(AB2081,3),DATEVALUE('Procyfloc 956A'!D82))))),""))</f>
        <v/>
      </c>
      <c r="AM2081" t="str">
        <f t="shared" ca="1" si="214"/>
        <v/>
      </c>
    </row>
    <row r="2082" spans="27:39" x14ac:dyDescent="0.3">
      <c r="AA2082" t="str">
        <f>IF(COUNTA('Procyfloc 956A'!A83,'Procyfloc 956A'!B83,'Procyfloc 956A'!C83)&gt;0,"956A","")</f>
        <v/>
      </c>
      <c r="AB2082" t="str">
        <f>IFERROR(IF(ISNUMBER('Procyfloc 956A'!A83),'Procyfloc 956A'!A83,DATEVALUE('Procyfloc 956A'!A83)),"")</f>
        <v/>
      </c>
      <c r="AC2082" t="str">
        <f>IF(AA2082="","",'Procyfloc 956A'!B83)</f>
        <v/>
      </c>
      <c r="AD2082" t="str">
        <f>IF(AA2082="","",IFERROR(1*'Procyfloc 956A'!C83,IFERROR(_xludf.NUMBERVALUE('Procyfloc 956A'!C83,".",","),IFERROR(_xludf.NUMBERVALUE('Procyfloc 956A'!C83,",","."),0))))</f>
        <v/>
      </c>
      <c r="AE2082" t="str">
        <f>IF(AA2082="","",'Procyfloc 956A'!L83)</f>
        <v/>
      </c>
      <c r="AF2082">
        <f t="shared" si="209"/>
        <v>0</v>
      </c>
      <c r="AG2082" t="str">
        <f t="shared" si="210"/>
        <v/>
      </c>
      <c r="AH2082" t="str">
        <f t="shared" si="211"/>
        <v/>
      </c>
      <c r="AI2082">
        <f t="shared" si="212"/>
        <v>0</v>
      </c>
      <c r="AJ2082">
        <f t="shared" si="213"/>
        <v>0</v>
      </c>
      <c r="AK2082">
        <v>0</v>
      </c>
      <c r="AL2082" t="str">
        <f>IF(AA2082="","",IFERROR(IF(ISNUMBER('Procyfloc 956A'!D83),'Procyfloc 956A'!D83,IF(ISNUMBER(SEARCH("12",'Procyfloc 956A'!D83)),EDATE(AB2082,12),IF(ISNUMBER(SEARCH("6",'Procyfloc 956A'!D83)),EDATE(AB2082,6),IF(ISNUMBER(SEARCH("3",'Procyfloc 956A'!D83)),EDATE(AB2082,3),DATEVALUE('Procyfloc 956A'!D83))))),""))</f>
        <v/>
      </c>
      <c r="AM2082" t="str">
        <f t="shared" ca="1" si="214"/>
        <v/>
      </c>
    </row>
    <row r="2083" spans="27:39" x14ac:dyDescent="0.3">
      <c r="AA2083" t="str">
        <f>IF(COUNTA('Procyfloc 956A'!A84,'Procyfloc 956A'!B84,'Procyfloc 956A'!C84)&gt;0,"956A","")</f>
        <v/>
      </c>
      <c r="AB2083" t="str">
        <f>IFERROR(IF(ISNUMBER('Procyfloc 956A'!A84),'Procyfloc 956A'!A84,DATEVALUE('Procyfloc 956A'!A84)),"")</f>
        <v/>
      </c>
      <c r="AC2083" t="str">
        <f>IF(AA2083="","",'Procyfloc 956A'!B84)</f>
        <v/>
      </c>
      <c r="AD2083" t="str">
        <f>IF(AA2083="","",IFERROR(1*'Procyfloc 956A'!C84,IFERROR(_xludf.NUMBERVALUE('Procyfloc 956A'!C84,".",","),IFERROR(_xludf.NUMBERVALUE('Procyfloc 956A'!C84,",","."),0))))</f>
        <v/>
      </c>
      <c r="AE2083" t="str">
        <f>IF(AA2083="","",'Procyfloc 956A'!L84)</f>
        <v/>
      </c>
      <c r="AF2083">
        <f t="shared" si="209"/>
        <v>0</v>
      </c>
      <c r="AG2083" t="str">
        <f t="shared" si="210"/>
        <v/>
      </c>
      <c r="AH2083" t="str">
        <f t="shared" si="211"/>
        <v/>
      </c>
      <c r="AI2083">
        <f t="shared" si="212"/>
        <v>0</v>
      </c>
      <c r="AJ2083">
        <f t="shared" si="213"/>
        <v>0</v>
      </c>
      <c r="AK2083">
        <v>0</v>
      </c>
      <c r="AL2083" t="str">
        <f>IF(AA2083="","",IFERROR(IF(ISNUMBER('Procyfloc 956A'!D84),'Procyfloc 956A'!D84,IF(ISNUMBER(SEARCH("12",'Procyfloc 956A'!D84)),EDATE(AB2083,12),IF(ISNUMBER(SEARCH("6",'Procyfloc 956A'!D84)),EDATE(AB2083,6),IF(ISNUMBER(SEARCH("3",'Procyfloc 956A'!D84)),EDATE(AB2083,3),DATEVALUE('Procyfloc 956A'!D84))))),""))</f>
        <v/>
      </c>
      <c r="AM2083" t="str">
        <f t="shared" ca="1" si="214"/>
        <v/>
      </c>
    </row>
    <row r="2084" spans="27:39" x14ac:dyDescent="0.3">
      <c r="AA2084" t="str">
        <f>IF(COUNTA('Procyfloc 956A'!A85,'Procyfloc 956A'!B85,'Procyfloc 956A'!C85)&gt;0,"956A","")</f>
        <v/>
      </c>
      <c r="AB2084" t="str">
        <f>IFERROR(IF(ISNUMBER('Procyfloc 956A'!A85),'Procyfloc 956A'!A85,DATEVALUE('Procyfloc 956A'!A85)),"")</f>
        <v/>
      </c>
      <c r="AC2084" t="str">
        <f>IF(AA2084="","",'Procyfloc 956A'!B85)</f>
        <v/>
      </c>
      <c r="AD2084" t="str">
        <f>IF(AA2084="","",IFERROR(1*'Procyfloc 956A'!C85,IFERROR(_xludf.NUMBERVALUE('Procyfloc 956A'!C85,".",","),IFERROR(_xludf.NUMBERVALUE('Procyfloc 956A'!C85,",","."),0))))</f>
        <v/>
      </c>
      <c r="AE2084" t="str">
        <f>IF(AA2084="","",'Procyfloc 956A'!L85)</f>
        <v/>
      </c>
      <c r="AF2084">
        <f t="shared" si="209"/>
        <v>0</v>
      </c>
      <c r="AG2084" t="str">
        <f t="shared" si="210"/>
        <v/>
      </c>
      <c r="AH2084" t="str">
        <f t="shared" si="211"/>
        <v/>
      </c>
      <c r="AI2084">
        <f t="shared" si="212"/>
        <v>0</v>
      </c>
      <c r="AJ2084">
        <f t="shared" si="213"/>
        <v>0</v>
      </c>
      <c r="AK2084">
        <v>0</v>
      </c>
      <c r="AL2084" t="str">
        <f>IF(AA2084="","",IFERROR(IF(ISNUMBER('Procyfloc 956A'!D85),'Procyfloc 956A'!D85,IF(ISNUMBER(SEARCH("12",'Procyfloc 956A'!D85)),EDATE(AB2084,12),IF(ISNUMBER(SEARCH("6",'Procyfloc 956A'!D85)),EDATE(AB2084,6),IF(ISNUMBER(SEARCH("3",'Procyfloc 956A'!D85)),EDATE(AB2084,3),DATEVALUE('Procyfloc 956A'!D85))))),""))</f>
        <v/>
      </c>
      <c r="AM2084" t="str">
        <f t="shared" ca="1" si="214"/>
        <v/>
      </c>
    </row>
    <row r="2085" spans="27:39" x14ac:dyDescent="0.3">
      <c r="AA2085" t="str">
        <f>IF(COUNTA('Procyfloc 956A'!A86,'Procyfloc 956A'!B86,'Procyfloc 956A'!C86)&gt;0,"956A","")</f>
        <v/>
      </c>
      <c r="AB2085" t="str">
        <f>IFERROR(IF(ISNUMBER('Procyfloc 956A'!A86),'Procyfloc 956A'!A86,DATEVALUE('Procyfloc 956A'!A86)),"")</f>
        <v/>
      </c>
      <c r="AC2085" t="str">
        <f>IF(AA2085="","",'Procyfloc 956A'!B86)</f>
        <v/>
      </c>
      <c r="AD2085" t="str">
        <f>IF(AA2085="","",IFERROR(1*'Procyfloc 956A'!C86,IFERROR(_xludf.NUMBERVALUE('Procyfloc 956A'!C86,".",","),IFERROR(_xludf.NUMBERVALUE('Procyfloc 956A'!C86,",","."),0))))</f>
        <v/>
      </c>
      <c r="AE2085" t="str">
        <f>IF(AA2085="","",'Procyfloc 956A'!L86)</f>
        <v/>
      </c>
      <c r="AF2085">
        <f t="shared" si="209"/>
        <v>0</v>
      </c>
      <c r="AG2085" t="str">
        <f t="shared" si="210"/>
        <v/>
      </c>
      <c r="AH2085" t="str">
        <f t="shared" si="211"/>
        <v/>
      </c>
      <c r="AI2085">
        <f t="shared" si="212"/>
        <v>0</v>
      </c>
      <c r="AJ2085">
        <f t="shared" si="213"/>
        <v>0</v>
      </c>
      <c r="AK2085">
        <v>0</v>
      </c>
      <c r="AL2085" t="str">
        <f>IF(AA2085="","",IFERROR(IF(ISNUMBER('Procyfloc 956A'!D86),'Procyfloc 956A'!D86,IF(ISNUMBER(SEARCH("12",'Procyfloc 956A'!D86)),EDATE(AB2085,12),IF(ISNUMBER(SEARCH("6",'Procyfloc 956A'!D86)),EDATE(AB2085,6),IF(ISNUMBER(SEARCH("3",'Procyfloc 956A'!D86)),EDATE(AB2085,3),DATEVALUE('Procyfloc 956A'!D86))))),""))</f>
        <v/>
      </c>
      <c r="AM2085" t="str">
        <f t="shared" ca="1" si="214"/>
        <v/>
      </c>
    </row>
    <row r="2086" spans="27:39" x14ac:dyDescent="0.3">
      <c r="AA2086" t="str">
        <f>IF(COUNTA('Procyfloc 956A'!A87,'Procyfloc 956A'!B87,'Procyfloc 956A'!C87)&gt;0,"956A","")</f>
        <v/>
      </c>
      <c r="AB2086" t="str">
        <f>IFERROR(IF(ISNUMBER('Procyfloc 956A'!A87),'Procyfloc 956A'!A87,DATEVALUE('Procyfloc 956A'!A87)),"")</f>
        <v/>
      </c>
      <c r="AC2086" t="str">
        <f>IF(AA2086="","",'Procyfloc 956A'!B87)</f>
        <v/>
      </c>
      <c r="AD2086" t="str">
        <f>IF(AA2086="","",IFERROR(1*'Procyfloc 956A'!C87,IFERROR(_xludf.NUMBERVALUE('Procyfloc 956A'!C87,".",","),IFERROR(_xludf.NUMBERVALUE('Procyfloc 956A'!C87,",","."),0))))</f>
        <v/>
      </c>
      <c r="AE2086" t="str">
        <f>IF(AA2086="","",'Procyfloc 956A'!L87)</f>
        <v/>
      </c>
      <c r="AF2086">
        <f t="shared" si="209"/>
        <v>0</v>
      </c>
      <c r="AG2086" t="str">
        <f t="shared" si="210"/>
        <v/>
      </c>
      <c r="AH2086" t="str">
        <f t="shared" si="211"/>
        <v/>
      </c>
      <c r="AI2086">
        <f t="shared" si="212"/>
        <v>0</v>
      </c>
      <c r="AJ2086">
        <f t="shared" si="213"/>
        <v>0</v>
      </c>
      <c r="AK2086">
        <v>0</v>
      </c>
      <c r="AL2086" t="str">
        <f>IF(AA2086="","",IFERROR(IF(ISNUMBER('Procyfloc 956A'!D87),'Procyfloc 956A'!D87,IF(ISNUMBER(SEARCH("12",'Procyfloc 956A'!D87)),EDATE(AB2086,12),IF(ISNUMBER(SEARCH("6",'Procyfloc 956A'!D87)),EDATE(AB2086,6),IF(ISNUMBER(SEARCH("3",'Procyfloc 956A'!D87)),EDATE(AB2086,3),DATEVALUE('Procyfloc 956A'!D87))))),""))</f>
        <v/>
      </c>
      <c r="AM2086" t="str">
        <f t="shared" ca="1" si="214"/>
        <v/>
      </c>
    </row>
    <row r="2087" spans="27:39" x14ac:dyDescent="0.3">
      <c r="AA2087" t="str">
        <f>IF(COUNTA('Procyfloc 956A'!A88,'Procyfloc 956A'!B88,'Procyfloc 956A'!C88)&gt;0,"956A","")</f>
        <v/>
      </c>
      <c r="AB2087" t="str">
        <f>IFERROR(IF(ISNUMBER('Procyfloc 956A'!A88),'Procyfloc 956A'!A88,DATEVALUE('Procyfloc 956A'!A88)),"")</f>
        <v/>
      </c>
      <c r="AC2087" t="str">
        <f>IF(AA2087="","",'Procyfloc 956A'!B88)</f>
        <v/>
      </c>
      <c r="AD2087" t="str">
        <f>IF(AA2087="","",IFERROR(1*'Procyfloc 956A'!C88,IFERROR(_xludf.NUMBERVALUE('Procyfloc 956A'!C88,".",","),IFERROR(_xludf.NUMBERVALUE('Procyfloc 956A'!C88,",","."),0))))</f>
        <v/>
      </c>
      <c r="AE2087" t="str">
        <f>IF(AA2087="","",'Procyfloc 956A'!L88)</f>
        <v/>
      </c>
      <c r="AF2087">
        <f t="shared" si="209"/>
        <v>0</v>
      </c>
      <c r="AG2087" t="str">
        <f t="shared" si="210"/>
        <v/>
      </c>
      <c r="AH2087" t="str">
        <f t="shared" si="211"/>
        <v/>
      </c>
      <c r="AI2087">
        <f t="shared" si="212"/>
        <v>0</v>
      </c>
      <c r="AJ2087">
        <f t="shared" si="213"/>
        <v>0</v>
      </c>
      <c r="AK2087">
        <v>0</v>
      </c>
      <c r="AL2087" t="str">
        <f>IF(AA2087="","",IFERROR(IF(ISNUMBER('Procyfloc 956A'!D88),'Procyfloc 956A'!D88,IF(ISNUMBER(SEARCH("12",'Procyfloc 956A'!D88)),EDATE(AB2087,12),IF(ISNUMBER(SEARCH("6",'Procyfloc 956A'!D88)),EDATE(AB2087,6),IF(ISNUMBER(SEARCH("3",'Procyfloc 956A'!D88)),EDATE(AB2087,3),DATEVALUE('Procyfloc 956A'!D88))))),""))</f>
        <v/>
      </c>
      <c r="AM2087" t="str">
        <f t="shared" ca="1" si="214"/>
        <v/>
      </c>
    </row>
    <row r="2088" spans="27:39" x14ac:dyDescent="0.3">
      <c r="AA2088" t="str">
        <f>IF(COUNTA('Procyfloc 956A'!A89,'Procyfloc 956A'!B89,'Procyfloc 956A'!C89)&gt;0,"956A","")</f>
        <v/>
      </c>
      <c r="AB2088" t="str">
        <f>IFERROR(IF(ISNUMBER('Procyfloc 956A'!A89),'Procyfloc 956A'!A89,DATEVALUE('Procyfloc 956A'!A89)),"")</f>
        <v/>
      </c>
      <c r="AC2088" t="str">
        <f>IF(AA2088="","",'Procyfloc 956A'!B89)</f>
        <v/>
      </c>
      <c r="AD2088" t="str">
        <f>IF(AA2088="","",IFERROR(1*'Procyfloc 956A'!C89,IFERROR(_xludf.NUMBERVALUE('Procyfloc 956A'!C89,".",","),IFERROR(_xludf.NUMBERVALUE('Procyfloc 956A'!C89,",","."),0))))</f>
        <v/>
      </c>
      <c r="AE2088" t="str">
        <f>IF(AA2088="","",'Procyfloc 956A'!L89)</f>
        <v/>
      </c>
      <c r="AF2088">
        <f t="shared" si="209"/>
        <v>0</v>
      </c>
      <c r="AG2088" t="str">
        <f t="shared" si="210"/>
        <v/>
      </c>
      <c r="AH2088" t="str">
        <f t="shared" si="211"/>
        <v/>
      </c>
      <c r="AI2088">
        <f t="shared" si="212"/>
        <v>0</v>
      </c>
      <c r="AJ2088">
        <f t="shared" si="213"/>
        <v>0</v>
      </c>
      <c r="AK2088">
        <v>0</v>
      </c>
      <c r="AL2088" t="str">
        <f>IF(AA2088="","",IFERROR(IF(ISNUMBER('Procyfloc 956A'!D89),'Procyfloc 956A'!D89,IF(ISNUMBER(SEARCH("12",'Procyfloc 956A'!D89)),EDATE(AB2088,12),IF(ISNUMBER(SEARCH("6",'Procyfloc 956A'!D89)),EDATE(AB2088,6),IF(ISNUMBER(SEARCH("3",'Procyfloc 956A'!D89)),EDATE(AB2088,3),DATEVALUE('Procyfloc 956A'!D89))))),""))</f>
        <v/>
      </c>
      <c r="AM2088" t="str">
        <f t="shared" ca="1" si="214"/>
        <v/>
      </c>
    </row>
    <row r="2089" spans="27:39" x14ac:dyDescent="0.3">
      <c r="AA2089" t="str">
        <f>IF(COUNTA('Procyfloc 956A'!A90,'Procyfloc 956A'!B90,'Procyfloc 956A'!C90)&gt;0,"956A","")</f>
        <v/>
      </c>
      <c r="AB2089" t="str">
        <f>IFERROR(IF(ISNUMBER('Procyfloc 956A'!A90),'Procyfloc 956A'!A90,DATEVALUE('Procyfloc 956A'!A90)),"")</f>
        <v/>
      </c>
      <c r="AC2089" t="str">
        <f>IF(AA2089="","",'Procyfloc 956A'!B90)</f>
        <v/>
      </c>
      <c r="AD2089" t="str">
        <f>IF(AA2089="","",IFERROR(1*'Procyfloc 956A'!C90,IFERROR(_xludf.NUMBERVALUE('Procyfloc 956A'!C90,".",","),IFERROR(_xludf.NUMBERVALUE('Procyfloc 956A'!C90,",","."),0))))</f>
        <v/>
      </c>
      <c r="AE2089" t="str">
        <f>IF(AA2089="","",'Procyfloc 956A'!L90)</f>
        <v/>
      </c>
      <c r="AF2089">
        <f t="shared" si="209"/>
        <v>0</v>
      </c>
      <c r="AG2089" t="str">
        <f t="shared" si="210"/>
        <v/>
      </c>
      <c r="AH2089" t="str">
        <f t="shared" si="211"/>
        <v/>
      </c>
      <c r="AI2089">
        <f t="shared" si="212"/>
        <v>0</v>
      </c>
      <c r="AJ2089">
        <f t="shared" si="213"/>
        <v>0</v>
      </c>
      <c r="AK2089">
        <v>0</v>
      </c>
      <c r="AL2089" t="str">
        <f>IF(AA2089="","",IFERROR(IF(ISNUMBER('Procyfloc 956A'!D90),'Procyfloc 956A'!D90,IF(ISNUMBER(SEARCH("12",'Procyfloc 956A'!D90)),EDATE(AB2089,12),IF(ISNUMBER(SEARCH("6",'Procyfloc 956A'!D90)),EDATE(AB2089,6),IF(ISNUMBER(SEARCH("3",'Procyfloc 956A'!D90)),EDATE(AB2089,3),DATEVALUE('Procyfloc 956A'!D90))))),""))</f>
        <v/>
      </c>
      <c r="AM2089" t="str">
        <f t="shared" ca="1" si="214"/>
        <v/>
      </c>
    </row>
    <row r="2090" spans="27:39" x14ac:dyDescent="0.3">
      <c r="AA2090" t="str">
        <f>IF(COUNTA('Procyfloc 956A'!A91,'Procyfloc 956A'!B91,'Procyfloc 956A'!C91)&gt;0,"956A","")</f>
        <v/>
      </c>
      <c r="AB2090" t="str">
        <f>IFERROR(IF(ISNUMBER('Procyfloc 956A'!A91),'Procyfloc 956A'!A91,DATEVALUE('Procyfloc 956A'!A91)),"")</f>
        <v/>
      </c>
      <c r="AC2090" t="str">
        <f>IF(AA2090="","",'Procyfloc 956A'!B91)</f>
        <v/>
      </c>
      <c r="AD2090" t="str">
        <f>IF(AA2090="","",IFERROR(1*'Procyfloc 956A'!C91,IFERROR(_xludf.NUMBERVALUE('Procyfloc 956A'!C91,".",","),IFERROR(_xludf.NUMBERVALUE('Procyfloc 956A'!C91,",","."),0))))</f>
        <v/>
      </c>
      <c r="AE2090" t="str">
        <f>IF(AA2090="","",'Procyfloc 956A'!L91)</f>
        <v/>
      </c>
      <c r="AF2090">
        <f t="shared" si="209"/>
        <v>0</v>
      </c>
      <c r="AG2090" t="str">
        <f t="shared" si="210"/>
        <v/>
      </c>
      <c r="AH2090" t="str">
        <f t="shared" si="211"/>
        <v/>
      </c>
      <c r="AI2090">
        <f t="shared" si="212"/>
        <v>0</v>
      </c>
      <c r="AJ2090">
        <f t="shared" si="213"/>
        <v>0</v>
      </c>
      <c r="AK2090">
        <v>0</v>
      </c>
      <c r="AL2090" t="str">
        <f>IF(AA2090="","",IFERROR(IF(ISNUMBER('Procyfloc 956A'!D91),'Procyfloc 956A'!D91,IF(ISNUMBER(SEARCH("12",'Procyfloc 956A'!D91)),EDATE(AB2090,12),IF(ISNUMBER(SEARCH("6",'Procyfloc 956A'!D91)),EDATE(AB2090,6),IF(ISNUMBER(SEARCH("3",'Procyfloc 956A'!D91)),EDATE(AB2090,3),DATEVALUE('Procyfloc 956A'!D91))))),""))</f>
        <v/>
      </c>
      <c r="AM2090" t="str">
        <f t="shared" ca="1" si="214"/>
        <v/>
      </c>
    </row>
    <row r="2091" spans="27:39" x14ac:dyDescent="0.3">
      <c r="AA2091" t="str">
        <f>IF(COUNTA('Procyfloc 956A'!A92,'Procyfloc 956A'!B92,'Procyfloc 956A'!C92)&gt;0,"956A","")</f>
        <v/>
      </c>
      <c r="AB2091" t="str">
        <f>IFERROR(IF(ISNUMBER('Procyfloc 956A'!A92),'Procyfloc 956A'!A92,DATEVALUE('Procyfloc 956A'!A92)),"")</f>
        <v/>
      </c>
      <c r="AC2091" t="str">
        <f>IF(AA2091="","",'Procyfloc 956A'!B92)</f>
        <v/>
      </c>
      <c r="AD2091" t="str">
        <f>IF(AA2091="","",IFERROR(1*'Procyfloc 956A'!C92,IFERROR(_xludf.NUMBERVALUE('Procyfloc 956A'!C92,".",","),IFERROR(_xludf.NUMBERVALUE('Procyfloc 956A'!C92,",","."),0))))</f>
        <v/>
      </c>
      <c r="AE2091" t="str">
        <f>IF(AA2091="","",'Procyfloc 956A'!L92)</f>
        <v/>
      </c>
      <c r="AF2091">
        <f t="shared" si="209"/>
        <v>0</v>
      </c>
      <c r="AG2091" t="str">
        <f t="shared" si="210"/>
        <v/>
      </c>
      <c r="AH2091" t="str">
        <f t="shared" si="211"/>
        <v/>
      </c>
      <c r="AI2091">
        <f t="shared" si="212"/>
        <v>0</v>
      </c>
      <c r="AJ2091">
        <f t="shared" si="213"/>
        <v>0</v>
      </c>
      <c r="AK2091">
        <v>0</v>
      </c>
      <c r="AL2091" t="str">
        <f>IF(AA2091="","",IFERROR(IF(ISNUMBER('Procyfloc 956A'!D92),'Procyfloc 956A'!D92,IF(ISNUMBER(SEARCH("12",'Procyfloc 956A'!D92)),EDATE(AB2091,12),IF(ISNUMBER(SEARCH("6",'Procyfloc 956A'!D92)),EDATE(AB2091,6),IF(ISNUMBER(SEARCH("3",'Procyfloc 956A'!D92)),EDATE(AB2091,3),DATEVALUE('Procyfloc 956A'!D92))))),""))</f>
        <v/>
      </c>
      <c r="AM2091" t="str">
        <f t="shared" ca="1" si="214"/>
        <v/>
      </c>
    </row>
    <row r="2092" spans="27:39" x14ac:dyDescent="0.3">
      <c r="AA2092" t="str">
        <f>IF(COUNTA('Procyfloc 956A'!A93,'Procyfloc 956A'!B93,'Procyfloc 956A'!C93)&gt;0,"956A","")</f>
        <v/>
      </c>
      <c r="AB2092" t="str">
        <f>IFERROR(IF(ISNUMBER('Procyfloc 956A'!A93),'Procyfloc 956A'!A93,DATEVALUE('Procyfloc 956A'!A93)),"")</f>
        <v/>
      </c>
      <c r="AC2092" t="str">
        <f>IF(AA2092="","",'Procyfloc 956A'!B93)</f>
        <v/>
      </c>
      <c r="AD2092" t="str">
        <f>IF(AA2092="","",IFERROR(1*'Procyfloc 956A'!C93,IFERROR(_xludf.NUMBERVALUE('Procyfloc 956A'!C93,".",","),IFERROR(_xludf.NUMBERVALUE('Procyfloc 956A'!C93,",","."),0))))</f>
        <v/>
      </c>
      <c r="AE2092" t="str">
        <f>IF(AA2092="","",'Procyfloc 956A'!L93)</f>
        <v/>
      </c>
      <c r="AF2092">
        <f t="shared" si="209"/>
        <v>0</v>
      </c>
      <c r="AG2092" t="str">
        <f t="shared" si="210"/>
        <v/>
      </c>
      <c r="AH2092" t="str">
        <f t="shared" si="211"/>
        <v/>
      </c>
      <c r="AI2092">
        <f t="shared" si="212"/>
        <v>0</v>
      </c>
      <c r="AJ2092">
        <f t="shared" si="213"/>
        <v>0</v>
      </c>
      <c r="AK2092">
        <v>0</v>
      </c>
      <c r="AL2092" t="str">
        <f>IF(AA2092="","",IFERROR(IF(ISNUMBER('Procyfloc 956A'!D93),'Procyfloc 956A'!D93,IF(ISNUMBER(SEARCH("12",'Procyfloc 956A'!D93)),EDATE(AB2092,12),IF(ISNUMBER(SEARCH("6",'Procyfloc 956A'!D93)),EDATE(AB2092,6),IF(ISNUMBER(SEARCH("3",'Procyfloc 956A'!D93)),EDATE(AB2092,3),DATEVALUE('Procyfloc 956A'!D93))))),""))</f>
        <v/>
      </c>
      <c r="AM2092" t="str">
        <f t="shared" ca="1" si="214"/>
        <v/>
      </c>
    </row>
    <row r="2093" spans="27:39" x14ac:dyDescent="0.3">
      <c r="AA2093" t="str">
        <f>IF(COUNTA('Procyfloc 956A'!A94,'Procyfloc 956A'!B94,'Procyfloc 956A'!C94)&gt;0,"956A","")</f>
        <v/>
      </c>
      <c r="AB2093" t="str">
        <f>IFERROR(IF(ISNUMBER('Procyfloc 956A'!A94),'Procyfloc 956A'!A94,DATEVALUE('Procyfloc 956A'!A94)),"")</f>
        <v/>
      </c>
      <c r="AC2093" t="str">
        <f>IF(AA2093="","",'Procyfloc 956A'!B94)</f>
        <v/>
      </c>
      <c r="AD2093" t="str">
        <f>IF(AA2093="","",IFERROR(1*'Procyfloc 956A'!C94,IFERROR(_xludf.NUMBERVALUE('Procyfloc 956A'!C94,".",","),IFERROR(_xludf.NUMBERVALUE('Procyfloc 956A'!C94,",","."),0))))</f>
        <v/>
      </c>
      <c r="AE2093" t="str">
        <f>IF(AA2093="","",'Procyfloc 956A'!L94)</f>
        <v/>
      </c>
      <c r="AF2093">
        <f t="shared" si="209"/>
        <v>0</v>
      </c>
      <c r="AG2093" t="str">
        <f t="shared" si="210"/>
        <v/>
      </c>
      <c r="AH2093" t="str">
        <f t="shared" si="211"/>
        <v/>
      </c>
      <c r="AI2093">
        <f t="shared" si="212"/>
        <v>0</v>
      </c>
      <c r="AJ2093">
        <f t="shared" si="213"/>
        <v>0</v>
      </c>
      <c r="AK2093">
        <v>0</v>
      </c>
      <c r="AL2093" t="str">
        <f>IF(AA2093="","",IFERROR(IF(ISNUMBER('Procyfloc 956A'!D94),'Procyfloc 956A'!D94,IF(ISNUMBER(SEARCH("12",'Procyfloc 956A'!D94)),EDATE(AB2093,12),IF(ISNUMBER(SEARCH("6",'Procyfloc 956A'!D94)),EDATE(AB2093,6),IF(ISNUMBER(SEARCH("3",'Procyfloc 956A'!D94)),EDATE(AB2093,3),DATEVALUE('Procyfloc 956A'!D94))))),""))</f>
        <v/>
      </c>
      <c r="AM2093" t="str">
        <f t="shared" ca="1" si="214"/>
        <v/>
      </c>
    </row>
    <row r="2094" spans="27:39" x14ac:dyDescent="0.3">
      <c r="AA2094" t="str">
        <f>IF(COUNTA('Procyfloc 956A'!A95,'Procyfloc 956A'!B95,'Procyfloc 956A'!C95)&gt;0,"956A","")</f>
        <v/>
      </c>
      <c r="AB2094" t="str">
        <f>IFERROR(IF(ISNUMBER('Procyfloc 956A'!A95),'Procyfloc 956A'!A95,DATEVALUE('Procyfloc 956A'!A95)),"")</f>
        <v/>
      </c>
      <c r="AC2094" t="str">
        <f>IF(AA2094="","",'Procyfloc 956A'!B95)</f>
        <v/>
      </c>
      <c r="AD2094" t="str">
        <f>IF(AA2094="","",IFERROR(1*'Procyfloc 956A'!C95,IFERROR(_xludf.NUMBERVALUE('Procyfloc 956A'!C95,".",","),IFERROR(_xludf.NUMBERVALUE('Procyfloc 956A'!C95,",","."),0))))</f>
        <v/>
      </c>
      <c r="AE2094" t="str">
        <f>IF(AA2094="","",'Procyfloc 956A'!L95)</f>
        <v/>
      </c>
      <c r="AF2094">
        <f t="shared" si="209"/>
        <v>0</v>
      </c>
      <c r="AG2094" t="str">
        <f t="shared" si="210"/>
        <v/>
      </c>
      <c r="AH2094" t="str">
        <f t="shared" si="211"/>
        <v/>
      </c>
      <c r="AI2094">
        <f t="shared" si="212"/>
        <v>0</v>
      </c>
      <c r="AJ2094">
        <f t="shared" si="213"/>
        <v>0</v>
      </c>
      <c r="AK2094">
        <v>0</v>
      </c>
      <c r="AL2094" t="str">
        <f>IF(AA2094="","",IFERROR(IF(ISNUMBER('Procyfloc 956A'!D95),'Procyfloc 956A'!D95,IF(ISNUMBER(SEARCH("12",'Procyfloc 956A'!D95)),EDATE(AB2094,12),IF(ISNUMBER(SEARCH("6",'Procyfloc 956A'!D95)),EDATE(AB2094,6),IF(ISNUMBER(SEARCH("3",'Procyfloc 956A'!D95)),EDATE(AB2094,3),DATEVALUE('Procyfloc 956A'!D95))))),""))</f>
        <v/>
      </c>
      <c r="AM2094" t="str">
        <f t="shared" ca="1" si="214"/>
        <v/>
      </c>
    </row>
    <row r="2095" spans="27:39" x14ac:dyDescent="0.3">
      <c r="AA2095" t="str">
        <f>IF(COUNTA('Procyfloc 956A'!A96,'Procyfloc 956A'!B96,'Procyfloc 956A'!C96)&gt;0,"956A","")</f>
        <v/>
      </c>
      <c r="AB2095" t="str">
        <f>IFERROR(IF(ISNUMBER('Procyfloc 956A'!A96),'Procyfloc 956A'!A96,DATEVALUE('Procyfloc 956A'!A96)),"")</f>
        <v/>
      </c>
      <c r="AC2095" t="str">
        <f>IF(AA2095="","",'Procyfloc 956A'!B96)</f>
        <v/>
      </c>
      <c r="AD2095" t="str">
        <f>IF(AA2095="","",IFERROR(1*'Procyfloc 956A'!C96,IFERROR(_xludf.NUMBERVALUE('Procyfloc 956A'!C96,".",","),IFERROR(_xludf.NUMBERVALUE('Procyfloc 956A'!C96,",","."),0))))</f>
        <v/>
      </c>
      <c r="AE2095" t="str">
        <f>IF(AA2095="","",'Procyfloc 956A'!L96)</f>
        <v/>
      </c>
      <c r="AF2095">
        <f t="shared" si="209"/>
        <v>0</v>
      </c>
      <c r="AG2095" t="str">
        <f t="shared" si="210"/>
        <v/>
      </c>
      <c r="AH2095" t="str">
        <f t="shared" si="211"/>
        <v/>
      </c>
      <c r="AI2095">
        <f t="shared" si="212"/>
        <v>0</v>
      </c>
      <c r="AJ2095">
        <f t="shared" si="213"/>
        <v>0</v>
      </c>
      <c r="AK2095">
        <v>0</v>
      </c>
      <c r="AL2095" t="str">
        <f>IF(AA2095="","",IFERROR(IF(ISNUMBER('Procyfloc 956A'!D96),'Procyfloc 956A'!D96,IF(ISNUMBER(SEARCH("12",'Procyfloc 956A'!D96)),EDATE(AB2095,12),IF(ISNUMBER(SEARCH("6",'Procyfloc 956A'!D96)),EDATE(AB2095,6),IF(ISNUMBER(SEARCH("3",'Procyfloc 956A'!D96)),EDATE(AB2095,3),DATEVALUE('Procyfloc 956A'!D96))))),""))</f>
        <v/>
      </c>
      <c r="AM2095" t="str">
        <f t="shared" ca="1" si="214"/>
        <v/>
      </c>
    </row>
    <row r="2096" spans="27:39" x14ac:dyDescent="0.3">
      <c r="AA2096" t="str">
        <f>IF(COUNTA('Procyfloc 956A'!A97,'Procyfloc 956A'!B97,'Procyfloc 956A'!C97)&gt;0,"956A","")</f>
        <v/>
      </c>
      <c r="AB2096" t="str">
        <f>IFERROR(IF(ISNUMBER('Procyfloc 956A'!A97),'Procyfloc 956A'!A97,DATEVALUE('Procyfloc 956A'!A97)),"")</f>
        <v/>
      </c>
      <c r="AC2096" t="str">
        <f>IF(AA2096="","",'Procyfloc 956A'!B97)</f>
        <v/>
      </c>
      <c r="AD2096" t="str">
        <f>IF(AA2096="","",IFERROR(1*'Procyfloc 956A'!C97,IFERROR(_xludf.NUMBERVALUE('Procyfloc 956A'!C97,".",","),IFERROR(_xludf.NUMBERVALUE('Procyfloc 956A'!C97,",","."),0))))</f>
        <v/>
      </c>
      <c r="AE2096" t="str">
        <f>IF(AA2096="","",'Procyfloc 956A'!L97)</f>
        <v/>
      </c>
      <c r="AF2096">
        <f t="shared" si="209"/>
        <v>0</v>
      </c>
      <c r="AG2096" t="str">
        <f t="shared" si="210"/>
        <v/>
      </c>
      <c r="AH2096" t="str">
        <f t="shared" si="211"/>
        <v/>
      </c>
      <c r="AI2096">
        <f t="shared" si="212"/>
        <v>0</v>
      </c>
      <c r="AJ2096">
        <f t="shared" si="213"/>
        <v>0</v>
      </c>
      <c r="AK2096">
        <v>0</v>
      </c>
      <c r="AL2096" t="str">
        <f>IF(AA2096="","",IFERROR(IF(ISNUMBER('Procyfloc 956A'!D97),'Procyfloc 956A'!D97,IF(ISNUMBER(SEARCH("12",'Procyfloc 956A'!D97)),EDATE(AB2096,12),IF(ISNUMBER(SEARCH("6",'Procyfloc 956A'!D97)),EDATE(AB2096,6),IF(ISNUMBER(SEARCH("3",'Procyfloc 956A'!D97)),EDATE(AB2096,3),DATEVALUE('Procyfloc 956A'!D97))))),""))</f>
        <v/>
      </c>
      <c r="AM2096" t="str">
        <f t="shared" ca="1" si="214"/>
        <v/>
      </c>
    </row>
    <row r="2097" spans="27:39" x14ac:dyDescent="0.3">
      <c r="AA2097" t="str">
        <f>IF(COUNTA('Procyfloc 956A'!A98,'Procyfloc 956A'!B98,'Procyfloc 956A'!C98)&gt;0,"956A","")</f>
        <v/>
      </c>
      <c r="AB2097" t="str">
        <f>IFERROR(IF(ISNUMBER('Procyfloc 956A'!A98),'Procyfloc 956A'!A98,DATEVALUE('Procyfloc 956A'!A98)),"")</f>
        <v/>
      </c>
      <c r="AC2097" t="str">
        <f>IF(AA2097="","",'Procyfloc 956A'!B98)</f>
        <v/>
      </c>
      <c r="AD2097" t="str">
        <f>IF(AA2097="","",IFERROR(1*'Procyfloc 956A'!C98,IFERROR(_xludf.NUMBERVALUE('Procyfloc 956A'!C98,".",","),IFERROR(_xludf.NUMBERVALUE('Procyfloc 956A'!C98,",","."),0))))</f>
        <v/>
      </c>
      <c r="AE2097" t="str">
        <f>IF(AA2097="","",'Procyfloc 956A'!L98)</f>
        <v/>
      </c>
      <c r="AF2097">
        <f t="shared" si="209"/>
        <v>0</v>
      </c>
      <c r="AG2097" t="str">
        <f t="shared" si="210"/>
        <v/>
      </c>
      <c r="AH2097" t="str">
        <f t="shared" si="211"/>
        <v/>
      </c>
      <c r="AI2097">
        <f t="shared" si="212"/>
        <v>0</v>
      </c>
      <c r="AJ2097">
        <f t="shared" si="213"/>
        <v>0</v>
      </c>
      <c r="AK2097">
        <v>0</v>
      </c>
      <c r="AL2097" t="str">
        <f>IF(AA2097="","",IFERROR(IF(ISNUMBER('Procyfloc 956A'!D98),'Procyfloc 956A'!D98,IF(ISNUMBER(SEARCH("12",'Procyfloc 956A'!D98)),EDATE(AB2097,12),IF(ISNUMBER(SEARCH("6",'Procyfloc 956A'!D98)),EDATE(AB2097,6),IF(ISNUMBER(SEARCH("3",'Procyfloc 956A'!D98)),EDATE(AB2097,3),DATEVALUE('Procyfloc 956A'!D98))))),""))</f>
        <v/>
      </c>
      <c r="AM2097" t="str">
        <f t="shared" ca="1" si="214"/>
        <v/>
      </c>
    </row>
    <row r="2098" spans="27:39" x14ac:dyDescent="0.3">
      <c r="AA2098" t="str">
        <f>IF(COUNTA('Procyfloc 956A'!A99,'Procyfloc 956A'!B99,'Procyfloc 956A'!C99)&gt;0,"956A","")</f>
        <v/>
      </c>
      <c r="AB2098" t="str">
        <f>IFERROR(IF(ISNUMBER('Procyfloc 956A'!A99),'Procyfloc 956A'!A99,DATEVALUE('Procyfloc 956A'!A99)),"")</f>
        <v/>
      </c>
      <c r="AC2098" t="str">
        <f>IF(AA2098="","",'Procyfloc 956A'!B99)</f>
        <v/>
      </c>
      <c r="AD2098" t="str">
        <f>IF(AA2098="","",IFERROR(1*'Procyfloc 956A'!C99,IFERROR(_xludf.NUMBERVALUE('Procyfloc 956A'!C99,".",","),IFERROR(_xludf.NUMBERVALUE('Procyfloc 956A'!C99,",","."),0))))</f>
        <v/>
      </c>
      <c r="AE2098" t="str">
        <f>IF(AA2098="","",'Procyfloc 956A'!L99)</f>
        <v/>
      </c>
      <c r="AF2098">
        <f t="shared" si="209"/>
        <v>0</v>
      </c>
      <c r="AG2098" t="str">
        <f t="shared" si="210"/>
        <v/>
      </c>
      <c r="AH2098" t="str">
        <f t="shared" si="211"/>
        <v/>
      </c>
      <c r="AI2098">
        <f t="shared" si="212"/>
        <v>0</v>
      </c>
      <c r="AJ2098">
        <f t="shared" si="213"/>
        <v>0</v>
      </c>
      <c r="AK2098">
        <v>0</v>
      </c>
      <c r="AL2098" t="str">
        <f>IF(AA2098="","",IFERROR(IF(ISNUMBER('Procyfloc 956A'!D99),'Procyfloc 956A'!D99,IF(ISNUMBER(SEARCH("12",'Procyfloc 956A'!D99)),EDATE(AB2098,12),IF(ISNUMBER(SEARCH("6",'Procyfloc 956A'!D99)),EDATE(AB2098,6),IF(ISNUMBER(SEARCH("3",'Procyfloc 956A'!D99)),EDATE(AB2098,3),DATEVALUE('Procyfloc 956A'!D99))))),""))</f>
        <v/>
      </c>
      <c r="AM2098" t="str">
        <f t="shared" ca="1" si="214"/>
        <v/>
      </c>
    </row>
    <row r="2099" spans="27:39" x14ac:dyDescent="0.3">
      <c r="AA2099" t="str">
        <f>IF(COUNTA('Procyfloc 956A'!A100,'Procyfloc 956A'!B100,'Procyfloc 956A'!C100)&gt;0,"956A","")</f>
        <v/>
      </c>
      <c r="AB2099" t="str">
        <f>IFERROR(IF(ISNUMBER('Procyfloc 956A'!A100),'Procyfloc 956A'!A100,DATEVALUE('Procyfloc 956A'!A100)),"")</f>
        <v/>
      </c>
      <c r="AC2099" t="str">
        <f>IF(AA2099="","",'Procyfloc 956A'!B100)</f>
        <v/>
      </c>
      <c r="AD2099" t="str">
        <f>IF(AA2099="","",IFERROR(1*'Procyfloc 956A'!C100,IFERROR(_xludf.NUMBERVALUE('Procyfloc 956A'!C100,".",","),IFERROR(_xludf.NUMBERVALUE('Procyfloc 956A'!C100,",","."),0))))</f>
        <v/>
      </c>
      <c r="AE2099" t="str">
        <f>IF(AA2099="","",'Procyfloc 956A'!L100)</f>
        <v/>
      </c>
      <c r="AF2099">
        <f t="shared" si="209"/>
        <v>0</v>
      </c>
      <c r="AG2099" t="str">
        <f t="shared" si="210"/>
        <v/>
      </c>
      <c r="AH2099" t="str">
        <f t="shared" si="211"/>
        <v/>
      </c>
      <c r="AI2099">
        <f t="shared" si="212"/>
        <v>0</v>
      </c>
      <c r="AJ2099">
        <f t="shared" si="213"/>
        <v>0</v>
      </c>
      <c r="AK2099">
        <v>0</v>
      </c>
      <c r="AL2099" t="str">
        <f>IF(AA2099="","",IFERROR(IF(ISNUMBER('Procyfloc 956A'!D100),'Procyfloc 956A'!D100,IF(ISNUMBER(SEARCH("12",'Procyfloc 956A'!D100)),EDATE(AB2099,12),IF(ISNUMBER(SEARCH("6",'Procyfloc 956A'!D100)),EDATE(AB2099,6),IF(ISNUMBER(SEARCH("3",'Procyfloc 956A'!D100)),EDATE(AB2099,3),DATEVALUE('Procyfloc 956A'!D100))))),""))</f>
        <v/>
      </c>
      <c r="AM2099" t="str">
        <f t="shared" ca="1" si="214"/>
        <v/>
      </c>
    </row>
    <row r="2100" spans="27:39" x14ac:dyDescent="0.3">
      <c r="AA2100" t="str">
        <f>IF(COUNTA('Procyfloc 956A'!A101,'Procyfloc 956A'!B101,'Procyfloc 956A'!C101)&gt;0,"956A","")</f>
        <v/>
      </c>
      <c r="AB2100" t="str">
        <f>IFERROR(IF(ISNUMBER('Procyfloc 956A'!A101),'Procyfloc 956A'!A101,DATEVALUE('Procyfloc 956A'!A101)),"")</f>
        <v/>
      </c>
      <c r="AC2100" t="str">
        <f>IF(AA2100="","",'Procyfloc 956A'!B101)</f>
        <v/>
      </c>
      <c r="AD2100" t="str">
        <f>IF(AA2100="","",IFERROR(1*'Procyfloc 956A'!C101,IFERROR(_xludf.NUMBERVALUE('Procyfloc 956A'!C101,".",","),IFERROR(_xludf.NUMBERVALUE('Procyfloc 956A'!C101,",","."),0))))</f>
        <v/>
      </c>
      <c r="AE2100" t="str">
        <f>IF(AA2100="","",'Procyfloc 956A'!L101)</f>
        <v/>
      </c>
      <c r="AF2100">
        <f t="shared" si="209"/>
        <v>0</v>
      </c>
      <c r="AG2100" t="str">
        <f t="shared" si="210"/>
        <v/>
      </c>
      <c r="AH2100" t="str">
        <f t="shared" si="211"/>
        <v/>
      </c>
      <c r="AI2100">
        <f t="shared" si="212"/>
        <v>0</v>
      </c>
      <c r="AJ2100">
        <f t="shared" si="213"/>
        <v>0</v>
      </c>
      <c r="AK2100">
        <v>0</v>
      </c>
      <c r="AL2100" t="str">
        <f>IF(AA2100="","",IFERROR(IF(ISNUMBER('Procyfloc 956A'!D101),'Procyfloc 956A'!D101,IF(ISNUMBER(SEARCH("12",'Procyfloc 956A'!D101)),EDATE(AB2100,12),IF(ISNUMBER(SEARCH("6",'Procyfloc 956A'!D101)),EDATE(AB2100,6),IF(ISNUMBER(SEARCH("3",'Procyfloc 956A'!D101)),EDATE(AB2100,3),DATEVALUE('Procyfloc 956A'!D101))))),""))</f>
        <v/>
      </c>
      <c r="AM2100" t="str">
        <f t="shared" ca="1" si="214"/>
        <v/>
      </c>
    </row>
    <row r="2101" spans="27:39" x14ac:dyDescent="0.3">
      <c r="AA2101" t="str">
        <f>IF(COUNTA('Procyfloc 956A'!A102,'Procyfloc 956A'!B102,'Procyfloc 956A'!C102)&gt;0,"956A","")</f>
        <v/>
      </c>
      <c r="AB2101" t="str">
        <f>IFERROR(IF(ISNUMBER('Procyfloc 956A'!A102),'Procyfloc 956A'!A102,DATEVALUE('Procyfloc 956A'!A102)),"")</f>
        <v/>
      </c>
      <c r="AC2101" t="str">
        <f>IF(AA2101="","",'Procyfloc 956A'!B102)</f>
        <v/>
      </c>
      <c r="AD2101" t="str">
        <f>IF(AA2101="","",IFERROR(1*'Procyfloc 956A'!C102,IFERROR(_xludf.NUMBERVALUE('Procyfloc 956A'!C102,".",","),IFERROR(_xludf.NUMBERVALUE('Procyfloc 956A'!C102,",","."),0))))</f>
        <v/>
      </c>
      <c r="AE2101" t="str">
        <f>IF(AA2101="","",'Procyfloc 956A'!L102)</f>
        <v/>
      </c>
      <c r="AF2101">
        <f t="shared" si="209"/>
        <v>0</v>
      </c>
      <c r="AG2101" t="str">
        <f t="shared" si="210"/>
        <v/>
      </c>
      <c r="AH2101" t="str">
        <f t="shared" si="211"/>
        <v/>
      </c>
      <c r="AI2101">
        <f t="shared" si="212"/>
        <v>0</v>
      </c>
      <c r="AJ2101">
        <f t="shared" si="213"/>
        <v>0</v>
      </c>
      <c r="AK2101">
        <v>0</v>
      </c>
      <c r="AL2101" t="str">
        <f>IF(AA2101="","",IFERROR(IF(ISNUMBER('Procyfloc 956A'!D102),'Procyfloc 956A'!D102,IF(ISNUMBER(SEARCH("12",'Procyfloc 956A'!D102)),EDATE(AB2101,12),IF(ISNUMBER(SEARCH("6",'Procyfloc 956A'!D102)),EDATE(AB2101,6),IF(ISNUMBER(SEARCH("3",'Procyfloc 956A'!D102)),EDATE(AB2101,3),DATEVALUE('Procyfloc 956A'!D102))))),""))</f>
        <v/>
      </c>
      <c r="AM2101" t="str">
        <f t="shared" ca="1" si="214"/>
        <v/>
      </c>
    </row>
    <row r="2102" spans="27:39" x14ac:dyDescent="0.3">
      <c r="AA2102" t="str">
        <f>IF(COUNTA('Procyfloc 956A'!A103,'Procyfloc 956A'!B103,'Procyfloc 956A'!C103)&gt;0,"956A","")</f>
        <v/>
      </c>
      <c r="AB2102" t="str">
        <f>IFERROR(IF(ISNUMBER('Procyfloc 956A'!A103),'Procyfloc 956A'!A103,DATEVALUE('Procyfloc 956A'!A103)),"")</f>
        <v/>
      </c>
      <c r="AC2102" t="str">
        <f>IF(AA2102="","",'Procyfloc 956A'!B103)</f>
        <v/>
      </c>
      <c r="AD2102" t="str">
        <f>IF(AA2102="","",IFERROR(1*'Procyfloc 956A'!C103,IFERROR(_xludf.NUMBERVALUE('Procyfloc 956A'!C103,".",","),IFERROR(_xludf.NUMBERVALUE('Procyfloc 956A'!C103,",","."),0))))</f>
        <v/>
      </c>
      <c r="AE2102" t="str">
        <f>IF(AA2102="","",'Procyfloc 956A'!L103)</f>
        <v/>
      </c>
      <c r="AF2102">
        <f t="shared" si="209"/>
        <v>0</v>
      </c>
      <c r="AG2102" t="str">
        <f t="shared" si="210"/>
        <v/>
      </c>
      <c r="AH2102" t="str">
        <f t="shared" si="211"/>
        <v/>
      </c>
      <c r="AI2102">
        <f t="shared" si="212"/>
        <v>0</v>
      </c>
      <c r="AJ2102">
        <f t="shared" si="213"/>
        <v>0</v>
      </c>
      <c r="AK2102">
        <v>0</v>
      </c>
      <c r="AL2102" t="str">
        <f>IF(AA2102="","",IFERROR(IF(ISNUMBER('Procyfloc 956A'!D103),'Procyfloc 956A'!D103,IF(ISNUMBER(SEARCH("12",'Procyfloc 956A'!D103)),EDATE(AB2102,12),IF(ISNUMBER(SEARCH("6",'Procyfloc 956A'!D103)),EDATE(AB2102,6),IF(ISNUMBER(SEARCH("3",'Procyfloc 956A'!D103)),EDATE(AB2102,3),DATEVALUE('Procyfloc 956A'!D103))))),""))</f>
        <v/>
      </c>
      <c r="AM2102" t="str">
        <f t="shared" ca="1" si="214"/>
        <v/>
      </c>
    </row>
    <row r="2103" spans="27:39" x14ac:dyDescent="0.3">
      <c r="AA2103" t="str">
        <f>IF(COUNTA('Procyfloc 956A'!A104,'Procyfloc 956A'!B104,'Procyfloc 956A'!C104)&gt;0,"956A","")</f>
        <v/>
      </c>
      <c r="AB2103" t="str">
        <f>IFERROR(IF(ISNUMBER('Procyfloc 956A'!A104),'Procyfloc 956A'!A104,DATEVALUE('Procyfloc 956A'!A104)),"")</f>
        <v/>
      </c>
      <c r="AC2103" t="str">
        <f>IF(AA2103="","",'Procyfloc 956A'!B104)</f>
        <v/>
      </c>
      <c r="AD2103" t="str">
        <f>IF(AA2103="","",IFERROR(1*'Procyfloc 956A'!C104,IFERROR(_xludf.NUMBERVALUE('Procyfloc 956A'!C104,".",","),IFERROR(_xludf.NUMBERVALUE('Procyfloc 956A'!C104,",","."),0))))</f>
        <v/>
      </c>
      <c r="AE2103" t="str">
        <f>IF(AA2103="","",'Procyfloc 956A'!L104)</f>
        <v/>
      </c>
      <c r="AF2103">
        <f t="shared" si="209"/>
        <v>0</v>
      </c>
      <c r="AG2103" t="str">
        <f t="shared" si="210"/>
        <v/>
      </c>
      <c r="AH2103" t="str">
        <f t="shared" si="211"/>
        <v/>
      </c>
      <c r="AI2103">
        <f t="shared" si="212"/>
        <v>0</v>
      </c>
      <c r="AJ2103">
        <f t="shared" si="213"/>
        <v>0</v>
      </c>
      <c r="AK2103">
        <v>0</v>
      </c>
      <c r="AL2103" t="str">
        <f>IF(AA2103="","",IFERROR(IF(ISNUMBER('Procyfloc 956A'!D104),'Procyfloc 956A'!D104,IF(ISNUMBER(SEARCH("12",'Procyfloc 956A'!D104)),EDATE(AB2103,12),IF(ISNUMBER(SEARCH("6",'Procyfloc 956A'!D104)),EDATE(AB2103,6),IF(ISNUMBER(SEARCH("3",'Procyfloc 956A'!D104)),EDATE(AB2103,3),DATEVALUE('Procyfloc 956A'!D104))))),""))</f>
        <v/>
      </c>
      <c r="AM2103" t="str">
        <f t="shared" ca="1" si="214"/>
        <v/>
      </c>
    </row>
    <row r="2104" spans="27:39" x14ac:dyDescent="0.3">
      <c r="AA2104" t="str">
        <f>IF(COUNTA('Procyfloc 956A'!A105,'Procyfloc 956A'!B105,'Procyfloc 956A'!C105)&gt;0,"956A","")</f>
        <v/>
      </c>
      <c r="AB2104" t="str">
        <f>IFERROR(IF(ISNUMBER('Procyfloc 956A'!A105),'Procyfloc 956A'!A105,DATEVALUE('Procyfloc 956A'!A105)),"")</f>
        <v/>
      </c>
      <c r="AC2104" t="str">
        <f>IF(AA2104="","",'Procyfloc 956A'!B105)</f>
        <v/>
      </c>
      <c r="AD2104" t="str">
        <f>IF(AA2104="","",IFERROR(1*'Procyfloc 956A'!C105,IFERROR(_xludf.NUMBERVALUE('Procyfloc 956A'!C105,".",","),IFERROR(_xludf.NUMBERVALUE('Procyfloc 956A'!C105,",","."),0))))</f>
        <v/>
      </c>
      <c r="AE2104" t="str">
        <f>IF(AA2104="","",'Procyfloc 956A'!L105)</f>
        <v/>
      </c>
      <c r="AF2104">
        <f t="shared" si="209"/>
        <v>0</v>
      </c>
      <c r="AG2104" t="str">
        <f t="shared" si="210"/>
        <v/>
      </c>
      <c r="AH2104" t="str">
        <f t="shared" si="211"/>
        <v/>
      </c>
      <c r="AI2104">
        <f t="shared" si="212"/>
        <v>0</v>
      </c>
      <c r="AJ2104">
        <f t="shared" si="213"/>
        <v>0</v>
      </c>
      <c r="AK2104">
        <v>0</v>
      </c>
      <c r="AL2104" t="str">
        <f>IF(AA2104="","",IFERROR(IF(ISNUMBER('Procyfloc 956A'!D105),'Procyfloc 956A'!D105,IF(ISNUMBER(SEARCH("12",'Procyfloc 956A'!D105)),EDATE(AB2104,12),IF(ISNUMBER(SEARCH("6",'Procyfloc 956A'!D105)),EDATE(AB2104,6),IF(ISNUMBER(SEARCH("3",'Procyfloc 956A'!D105)),EDATE(AB2104,3),DATEVALUE('Procyfloc 956A'!D105))))),""))</f>
        <v/>
      </c>
      <c r="AM2104" t="str">
        <f t="shared" ca="1" si="214"/>
        <v/>
      </c>
    </row>
    <row r="2105" spans="27:39" x14ac:dyDescent="0.3">
      <c r="AA2105" t="str">
        <f>IF(COUNTA('Procyfloc 956A'!A106,'Procyfloc 956A'!B106,'Procyfloc 956A'!C106)&gt;0,"956A","")</f>
        <v/>
      </c>
      <c r="AB2105" t="str">
        <f>IFERROR(IF(ISNUMBER('Procyfloc 956A'!A106),'Procyfloc 956A'!A106,DATEVALUE('Procyfloc 956A'!A106)),"")</f>
        <v/>
      </c>
      <c r="AC2105" t="str">
        <f>IF(AA2105="","",'Procyfloc 956A'!B106)</f>
        <v/>
      </c>
      <c r="AD2105" t="str">
        <f>IF(AA2105="","",IFERROR(1*'Procyfloc 956A'!C106,IFERROR(_xludf.NUMBERVALUE('Procyfloc 956A'!C106,".",","),IFERROR(_xludf.NUMBERVALUE('Procyfloc 956A'!C106,",","."),0))))</f>
        <v/>
      </c>
      <c r="AE2105" t="str">
        <f>IF(AA2105="","",'Procyfloc 956A'!L106)</f>
        <v/>
      </c>
      <c r="AF2105">
        <f t="shared" si="209"/>
        <v>0</v>
      </c>
      <c r="AG2105" t="str">
        <f t="shared" si="210"/>
        <v/>
      </c>
      <c r="AH2105" t="str">
        <f t="shared" si="211"/>
        <v/>
      </c>
      <c r="AI2105">
        <f t="shared" si="212"/>
        <v>0</v>
      </c>
      <c r="AJ2105">
        <f t="shared" si="213"/>
        <v>0</v>
      </c>
      <c r="AK2105">
        <v>0</v>
      </c>
      <c r="AL2105" t="str">
        <f>IF(AA2105="","",IFERROR(IF(ISNUMBER('Procyfloc 956A'!D106),'Procyfloc 956A'!D106,IF(ISNUMBER(SEARCH("12",'Procyfloc 956A'!D106)),EDATE(AB2105,12),IF(ISNUMBER(SEARCH("6",'Procyfloc 956A'!D106)),EDATE(AB2105,6),IF(ISNUMBER(SEARCH("3",'Procyfloc 956A'!D106)),EDATE(AB2105,3),DATEVALUE('Procyfloc 956A'!D106))))),""))</f>
        <v/>
      </c>
      <c r="AM2105" t="str">
        <f t="shared" ca="1" si="214"/>
        <v/>
      </c>
    </row>
    <row r="2106" spans="27:39" x14ac:dyDescent="0.3">
      <c r="AA2106" t="str">
        <f>IF(COUNTA('Procyfloc 956A'!A107,'Procyfloc 956A'!B107,'Procyfloc 956A'!C107)&gt;0,"956A","")</f>
        <v/>
      </c>
      <c r="AB2106" t="str">
        <f>IFERROR(IF(ISNUMBER('Procyfloc 956A'!A107),'Procyfloc 956A'!A107,DATEVALUE('Procyfloc 956A'!A107)),"")</f>
        <v/>
      </c>
      <c r="AC2106" t="str">
        <f>IF(AA2106="","",'Procyfloc 956A'!B107)</f>
        <v/>
      </c>
      <c r="AD2106" t="str">
        <f>IF(AA2106="","",IFERROR(1*'Procyfloc 956A'!C107,IFERROR(_xludf.NUMBERVALUE('Procyfloc 956A'!C107,".",","),IFERROR(_xludf.NUMBERVALUE('Procyfloc 956A'!C107,",","."),0))))</f>
        <v/>
      </c>
      <c r="AE2106" t="str">
        <f>IF(AA2106="","",'Procyfloc 956A'!L107)</f>
        <v/>
      </c>
      <c r="AF2106">
        <f t="shared" si="209"/>
        <v>0</v>
      </c>
      <c r="AG2106" t="str">
        <f t="shared" si="210"/>
        <v/>
      </c>
      <c r="AH2106" t="str">
        <f t="shared" si="211"/>
        <v/>
      </c>
      <c r="AI2106">
        <f t="shared" si="212"/>
        <v>0</v>
      </c>
      <c r="AJ2106">
        <f t="shared" si="213"/>
        <v>0</v>
      </c>
      <c r="AK2106">
        <v>0</v>
      </c>
      <c r="AL2106" t="str">
        <f>IF(AA2106="","",IFERROR(IF(ISNUMBER('Procyfloc 956A'!D107),'Procyfloc 956A'!D107,IF(ISNUMBER(SEARCH("12",'Procyfloc 956A'!D107)),EDATE(AB2106,12),IF(ISNUMBER(SEARCH("6",'Procyfloc 956A'!D107)),EDATE(AB2106,6),IF(ISNUMBER(SEARCH("3",'Procyfloc 956A'!D107)),EDATE(AB2106,3),DATEVALUE('Procyfloc 956A'!D107))))),""))</f>
        <v/>
      </c>
      <c r="AM2106" t="str">
        <f t="shared" ca="1" si="214"/>
        <v/>
      </c>
    </row>
    <row r="2107" spans="27:39" x14ac:dyDescent="0.3">
      <c r="AA2107" t="str">
        <f>IF(COUNTA('Procyfloc 956A'!A108,'Procyfloc 956A'!B108,'Procyfloc 956A'!C108)&gt;0,"956A","")</f>
        <v/>
      </c>
      <c r="AB2107" t="str">
        <f>IFERROR(IF(ISNUMBER('Procyfloc 956A'!A108),'Procyfloc 956A'!A108,DATEVALUE('Procyfloc 956A'!A108)),"")</f>
        <v/>
      </c>
      <c r="AC2107" t="str">
        <f>IF(AA2107="","",'Procyfloc 956A'!B108)</f>
        <v/>
      </c>
      <c r="AD2107" t="str">
        <f>IF(AA2107="","",IFERROR(1*'Procyfloc 956A'!C108,IFERROR(_xludf.NUMBERVALUE('Procyfloc 956A'!C108,".",","),IFERROR(_xludf.NUMBERVALUE('Procyfloc 956A'!C108,",","."),0))))</f>
        <v/>
      </c>
      <c r="AE2107" t="str">
        <f>IF(AA2107="","",'Procyfloc 956A'!L108)</f>
        <v/>
      </c>
      <c r="AF2107">
        <f t="shared" si="209"/>
        <v>0</v>
      </c>
      <c r="AG2107" t="str">
        <f t="shared" si="210"/>
        <v/>
      </c>
      <c r="AH2107" t="str">
        <f t="shared" si="211"/>
        <v/>
      </c>
      <c r="AI2107">
        <f t="shared" si="212"/>
        <v>0</v>
      </c>
      <c r="AJ2107">
        <f t="shared" si="213"/>
        <v>0</v>
      </c>
      <c r="AK2107">
        <v>0</v>
      </c>
      <c r="AL2107" t="str">
        <f>IF(AA2107="","",IFERROR(IF(ISNUMBER('Procyfloc 956A'!D108),'Procyfloc 956A'!D108,IF(ISNUMBER(SEARCH("12",'Procyfloc 956A'!D108)),EDATE(AB2107,12),IF(ISNUMBER(SEARCH("6",'Procyfloc 956A'!D108)),EDATE(AB2107,6),IF(ISNUMBER(SEARCH("3",'Procyfloc 956A'!D108)),EDATE(AB2107,3),DATEVALUE('Procyfloc 956A'!D108))))),""))</f>
        <v/>
      </c>
      <c r="AM2107" t="str">
        <f t="shared" ca="1" si="214"/>
        <v/>
      </c>
    </row>
    <row r="2108" spans="27:39" x14ac:dyDescent="0.3">
      <c r="AA2108" t="str">
        <f>IF(COUNTA('Procyfloc 956A'!A109,'Procyfloc 956A'!B109,'Procyfloc 956A'!C109)&gt;0,"956A","")</f>
        <v/>
      </c>
      <c r="AB2108" t="str">
        <f>IFERROR(IF(ISNUMBER('Procyfloc 956A'!A109),'Procyfloc 956A'!A109,DATEVALUE('Procyfloc 956A'!A109)),"")</f>
        <v/>
      </c>
      <c r="AC2108" t="str">
        <f>IF(AA2108="","",'Procyfloc 956A'!B109)</f>
        <v/>
      </c>
      <c r="AD2108" t="str">
        <f>IF(AA2108="","",IFERROR(1*'Procyfloc 956A'!C109,IFERROR(_xludf.NUMBERVALUE('Procyfloc 956A'!C109,".",","),IFERROR(_xludf.NUMBERVALUE('Procyfloc 956A'!C109,",","."),0))))</f>
        <v/>
      </c>
      <c r="AE2108" t="str">
        <f>IF(AA2108="","",'Procyfloc 956A'!L109)</f>
        <v/>
      </c>
      <c r="AF2108">
        <f t="shared" si="209"/>
        <v>0</v>
      </c>
      <c r="AG2108" t="str">
        <f t="shared" si="210"/>
        <v/>
      </c>
      <c r="AH2108" t="str">
        <f t="shared" si="211"/>
        <v/>
      </c>
      <c r="AI2108">
        <f t="shared" si="212"/>
        <v>0</v>
      </c>
      <c r="AJ2108">
        <f t="shared" si="213"/>
        <v>0</v>
      </c>
      <c r="AK2108">
        <v>0</v>
      </c>
      <c r="AL2108" t="str">
        <f>IF(AA2108="","",IFERROR(IF(ISNUMBER('Procyfloc 956A'!D109),'Procyfloc 956A'!D109,IF(ISNUMBER(SEARCH("12",'Procyfloc 956A'!D109)),EDATE(AB2108,12),IF(ISNUMBER(SEARCH("6",'Procyfloc 956A'!D109)),EDATE(AB2108,6),IF(ISNUMBER(SEARCH("3",'Procyfloc 956A'!D109)),EDATE(AB2108,3),DATEVALUE('Procyfloc 956A'!D109))))),""))</f>
        <v/>
      </c>
      <c r="AM2108" t="str">
        <f t="shared" ca="1" si="214"/>
        <v/>
      </c>
    </row>
    <row r="2109" spans="27:39" x14ac:dyDescent="0.3">
      <c r="AA2109" t="str">
        <f>IF(COUNTA('Procyfloc 956A'!A110,'Procyfloc 956A'!B110,'Procyfloc 956A'!C110)&gt;0,"956A","")</f>
        <v/>
      </c>
      <c r="AB2109" t="str">
        <f>IFERROR(IF(ISNUMBER('Procyfloc 956A'!A110),'Procyfloc 956A'!A110,DATEVALUE('Procyfloc 956A'!A110)),"")</f>
        <v/>
      </c>
      <c r="AC2109" t="str">
        <f>IF(AA2109="","",'Procyfloc 956A'!B110)</f>
        <v/>
      </c>
      <c r="AD2109" t="str">
        <f>IF(AA2109="","",IFERROR(1*'Procyfloc 956A'!C110,IFERROR(_xludf.NUMBERVALUE('Procyfloc 956A'!C110,".",","),IFERROR(_xludf.NUMBERVALUE('Procyfloc 956A'!C110,",","."),0))))</f>
        <v/>
      </c>
      <c r="AE2109" t="str">
        <f>IF(AA2109="","",'Procyfloc 956A'!L110)</f>
        <v/>
      </c>
      <c r="AF2109">
        <f t="shared" si="209"/>
        <v>0</v>
      </c>
      <c r="AG2109" t="str">
        <f t="shared" si="210"/>
        <v/>
      </c>
      <c r="AH2109" t="str">
        <f t="shared" si="211"/>
        <v/>
      </c>
      <c r="AI2109">
        <f t="shared" si="212"/>
        <v>0</v>
      </c>
      <c r="AJ2109">
        <f t="shared" si="213"/>
        <v>0</v>
      </c>
      <c r="AK2109">
        <v>0</v>
      </c>
      <c r="AL2109" t="str">
        <f>IF(AA2109="","",IFERROR(IF(ISNUMBER('Procyfloc 956A'!D110),'Procyfloc 956A'!D110,IF(ISNUMBER(SEARCH("12",'Procyfloc 956A'!D110)),EDATE(AB2109,12),IF(ISNUMBER(SEARCH("6",'Procyfloc 956A'!D110)),EDATE(AB2109,6),IF(ISNUMBER(SEARCH("3",'Procyfloc 956A'!D110)),EDATE(AB2109,3),DATEVALUE('Procyfloc 956A'!D110))))),""))</f>
        <v/>
      </c>
      <c r="AM2109" t="str">
        <f t="shared" ca="1" si="214"/>
        <v/>
      </c>
    </row>
    <row r="2110" spans="27:39" x14ac:dyDescent="0.3">
      <c r="AA2110" t="str">
        <f>IF(COUNTA('Procyfloc 956A'!A111,'Procyfloc 956A'!B111,'Procyfloc 956A'!C111)&gt;0,"956A","")</f>
        <v/>
      </c>
      <c r="AB2110" t="str">
        <f>IFERROR(IF(ISNUMBER('Procyfloc 956A'!A111),'Procyfloc 956A'!A111,DATEVALUE('Procyfloc 956A'!A111)),"")</f>
        <v/>
      </c>
      <c r="AC2110" t="str">
        <f>IF(AA2110="","",'Procyfloc 956A'!B111)</f>
        <v/>
      </c>
      <c r="AD2110" t="str">
        <f>IF(AA2110="","",IFERROR(1*'Procyfloc 956A'!C111,IFERROR(_xludf.NUMBERVALUE('Procyfloc 956A'!C111,".",","),IFERROR(_xludf.NUMBERVALUE('Procyfloc 956A'!C111,",","."),0))))</f>
        <v/>
      </c>
      <c r="AE2110" t="str">
        <f>IF(AA2110="","",'Procyfloc 956A'!L111)</f>
        <v/>
      </c>
      <c r="AF2110">
        <f t="shared" si="209"/>
        <v>0</v>
      </c>
      <c r="AG2110" t="str">
        <f t="shared" si="210"/>
        <v/>
      </c>
      <c r="AH2110" t="str">
        <f t="shared" si="211"/>
        <v/>
      </c>
      <c r="AI2110">
        <f t="shared" si="212"/>
        <v>0</v>
      </c>
      <c r="AJ2110">
        <f t="shared" si="213"/>
        <v>0</v>
      </c>
      <c r="AK2110">
        <v>0</v>
      </c>
      <c r="AL2110" t="str">
        <f>IF(AA2110="","",IFERROR(IF(ISNUMBER('Procyfloc 956A'!D111),'Procyfloc 956A'!D111,IF(ISNUMBER(SEARCH("12",'Procyfloc 956A'!D111)),EDATE(AB2110,12),IF(ISNUMBER(SEARCH("6",'Procyfloc 956A'!D111)),EDATE(AB2110,6),IF(ISNUMBER(SEARCH("3",'Procyfloc 956A'!D111)),EDATE(AB2110,3),DATEVALUE('Procyfloc 956A'!D111))))),""))</f>
        <v/>
      </c>
      <c r="AM2110" t="str">
        <f t="shared" ca="1" si="214"/>
        <v/>
      </c>
    </row>
    <row r="2111" spans="27:39" x14ac:dyDescent="0.3">
      <c r="AA2111" t="str">
        <f>IF(COUNTA('Procyfloc 956A'!A112,'Procyfloc 956A'!B112,'Procyfloc 956A'!C112)&gt;0,"956A","")</f>
        <v/>
      </c>
      <c r="AB2111" t="str">
        <f>IFERROR(IF(ISNUMBER('Procyfloc 956A'!A112),'Procyfloc 956A'!A112,DATEVALUE('Procyfloc 956A'!A112)),"")</f>
        <v/>
      </c>
      <c r="AC2111" t="str">
        <f>IF(AA2111="","",'Procyfloc 956A'!B112)</f>
        <v/>
      </c>
      <c r="AD2111" t="str">
        <f>IF(AA2111="","",IFERROR(1*'Procyfloc 956A'!C112,IFERROR(_xludf.NUMBERVALUE('Procyfloc 956A'!C112,".",","),IFERROR(_xludf.NUMBERVALUE('Procyfloc 956A'!C112,",","."),0))))</f>
        <v/>
      </c>
      <c r="AE2111" t="str">
        <f>IF(AA2111="","",'Procyfloc 956A'!L112)</f>
        <v/>
      </c>
      <c r="AF2111">
        <f t="shared" si="209"/>
        <v>0</v>
      </c>
      <c r="AG2111" t="str">
        <f t="shared" si="210"/>
        <v/>
      </c>
      <c r="AH2111" t="str">
        <f t="shared" si="211"/>
        <v/>
      </c>
      <c r="AI2111">
        <f t="shared" si="212"/>
        <v>0</v>
      </c>
      <c r="AJ2111">
        <f t="shared" si="213"/>
        <v>0</v>
      </c>
      <c r="AK2111">
        <v>0</v>
      </c>
      <c r="AL2111" t="str">
        <f>IF(AA2111="","",IFERROR(IF(ISNUMBER('Procyfloc 956A'!D112),'Procyfloc 956A'!D112,IF(ISNUMBER(SEARCH("12",'Procyfloc 956A'!D112)),EDATE(AB2111,12),IF(ISNUMBER(SEARCH("6",'Procyfloc 956A'!D112)),EDATE(AB2111,6),IF(ISNUMBER(SEARCH("3",'Procyfloc 956A'!D112)),EDATE(AB2111,3),DATEVALUE('Procyfloc 956A'!D112))))),""))</f>
        <v/>
      </c>
      <c r="AM2111" t="str">
        <f t="shared" ca="1" si="214"/>
        <v/>
      </c>
    </row>
    <row r="2112" spans="27:39" x14ac:dyDescent="0.3">
      <c r="AA2112" t="str">
        <f>IF(COUNTA('Procyfloc 956A'!A113,'Procyfloc 956A'!B113,'Procyfloc 956A'!C113)&gt;0,"956A","")</f>
        <v/>
      </c>
      <c r="AB2112" t="str">
        <f>IFERROR(IF(ISNUMBER('Procyfloc 956A'!A113),'Procyfloc 956A'!A113,DATEVALUE('Procyfloc 956A'!A113)),"")</f>
        <v/>
      </c>
      <c r="AC2112" t="str">
        <f>IF(AA2112="","",'Procyfloc 956A'!B113)</f>
        <v/>
      </c>
      <c r="AD2112" t="str">
        <f>IF(AA2112="","",IFERROR(1*'Procyfloc 956A'!C113,IFERROR(_xludf.NUMBERVALUE('Procyfloc 956A'!C113,".",","),IFERROR(_xludf.NUMBERVALUE('Procyfloc 956A'!C113,",","."),0))))</f>
        <v/>
      </c>
      <c r="AE2112" t="str">
        <f>IF(AA2112="","",'Procyfloc 956A'!L113)</f>
        <v/>
      </c>
      <c r="AF2112">
        <f t="shared" si="209"/>
        <v>0</v>
      </c>
      <c r="AG2112" t="str">
        <f t="shared" si="210"/>
        <v/>
      </c>
      <c r="AH2112" t="str">
        <f t="shared" si="211"/>
        <v/>
      </c>
      <c r="AI2112">
        <f t="shared" si="212"/>
        <v>0</v>
      </c>
      <c r="AJ2112">
        <f t="shared" si="213"/>
        <v>0</v>
      </c>
      <c r="AK2112">
        <v>0</v>
      </c>
      <c r="AL2112" t="str">
        <f>IF(AA2112="","",IFERROR(IF(ISNUMBER('Procyfloc 956A'!D113),'Procyfloc 956A'!D113,IF(ISNUMBER(SEARCH("12",'Procyfloc 956A'!D113)),EDATE(AB2112,12),IF(ISNUMBER(SEARCH("6",'Procyfloc 956A'!D113)),EDATE(AB2112,6),IF(ISNUMBER(SEARCH("3",'Procyfloc 956A'!D113)),EDATE(AB2112,3),DATEVALUE('Procyfloc 956A'!D113))))),""))</f>
        <v/>
      </c>
      <c r="AM2112" t="str">
        <f t="shared" ca="1" si="214"/>
        <v/>
      </c>
    </row>
    <row r="2113" spans="27:39" x14ac:dyDescent="0.3">
      <c r="AA2113" t="str">
        <f>IF(COUNTA('Procyfloc 956A'!A114,'Procyfloc 956A'!B114,'Procyfloc 956A'!C114)&gt;0,"956A","")</f>
        <v/>
      </c>
      <c r="AB2113" t="str">
        <f>IFERROR(IF(ISNUMBER('Procyfloc 956A'!A114),'Procyfloc 956A'!A114,DATEVALUE('Procyfloc 956A'!A114)),"")</f>
        <v/>
      </c>
      <c r="AC2113" t="str">
        <f>IF(AA2113="","",'Procyfloc 956A'!B114)</f>
        <v/>
      </c>
      <c r="AD2113" t="str">
        <f>IF(AA2113="","",IFERROR(1*'Procyfloc 956A'!C114,IFERROR(_xludf.NUMBERVALUE('Procyfloc 956A'!C114,".",","),IFERROR(_xludf.NUMBERVALUE('Procyfloc 956A'!C114,",","."),0))))</f>
        <v/>
      </c>
      <c r="AE2113" t="str">
        <f>IF(AA2113="","",'Procyfloc 956A'!L114)</f>
        <v/>
      </c>
      <c r="AF2113">
        <f t="shared" si="209"/>
        <v>0</v>
      </c>
      <c r="AG2113" t="str">
        <f t="shared" si="210"/>
        <v/>
      </c>
      <c r="AH2113" t="str">
        <f t="shared" si="211"/>
        <v/>
      </c>
      <c r="AI2113">
        <f t="shared" si="212"/>
        <v>0</v>
      </c>
      <c r="AJ2113">
        <f t="shared" si="213"/>
        <v>0</v>
      </c>
      <c r="AK2113">
        <v>0</v>
      </c>
      <c r="AL2113" t="str">
        <f>IF(AA2113="","",IFERROR(IF(ISNUMBER('Procyfloc 956A'!D114),'Procyfloc 956A'!D114,IF(ISNUMBER(SEARCH("12",'Procyfloc 956A'!D114)),EDATE(AB2113,12),IF(ISNUMBER(SEARCH("6",'Procyfloc 956A'!D114)),EDATE(AB2113,6),IF(ISNUMBER(SEARCH("3",'Procyfloc 956A'!D114)),EDATE(AB2113,3),DATEVALUE('Procyfloc 956A'!D114))))),""))</f>
        <v/>
      </c>
      <c r="AM2113" t="str">
        <f t="shared" ca="1" si="214"/>
        <v/>
      </c>
    </row>
    <row r="2114" spans="27:39" x14ac:dyDescent="0.3">
      <c r="AA2114" t="str">
        <f>IF(COUNTA('Procyfloc 956A'!A115,'Procyfloc 956A'!B115,'Procyfloc 956A'!C115)&gt;0,"956A","")</f>
        <v/>
      </c>
      <c r="AB2114" t="str">
        <f>IFERROR(IF(ISNUMBER('Procyfloc 956A'!A115),'Procyfloc 956A'!A115,DATEVALUE('Procyfloc 956A'!A115)),"")</f>
        <v/>
      </c>
      <c r="AC2114" t="str">
        <f>IF(AA2114="","",'Procyfloc 956A'!B115)</f>
        <v/>
      </c>
      <c r="AD2114" t="str">
        <f>IF(AA2114="","",IFERROR(1*'Procyfloc 956A'!C115,IFERROR(_xludf.NUMBERVALUE('Procyfloc 956A'!C115,".",","),IFERROR(_xludf.NUMBERVALUE('Procyfloc 956A'!C115,",","."),0))))</f>
        <v/>
      </c>
      <c r="AE2114" t="str">
        <f>IF(AA2114="","",'Procyfloc 956A'!L115)</f>
        <v/>
      </c>
      <c r="AF2114">
        <f t="shared" ref="AF2114:AF2177" si="215">IF(AA2114="",0,--AND(ISNUMBER(SEARCH("aprov",AE2114)),NOT(ISNUMBER(SEARCH("reprov",AE2114)))))</f>
        <v>0</v>
      </c>
      <c r="AG2114" t="str">
        <f t="shared" ref="AG2114:AG2177" si="216">IF(AB2114="","",YEAR(AB2114))</f>
        <v/>
      </c>
      <c r="AH2114" t="str">
        <f t="shared" ref="AH2114:AH2177" si="217">IF(AB2114="","",MONTH(AB2114))</f>
        <v/>
      </c>
      <c r="AI2114">
        <f t="shared" ref="AI2114:AI2177" si="218">IF(AB2114="",0,AB2114+ROW()/1000000)</f>
        <v>0</v>
      </c>
      <c r="AJ2114">
        <f t="shared" ref="AJ2114:AJ2177" si="219">--(AA2114&lt;&gt;"")</f>
        <v>0</v>
      </c>
      <c r="AK2114">
        <v>0</v>
      </c>
      <c r="AL2114" t="str">
        <f>IF(AA2114="","",IFERROR(IF(ISNUMBER('Procyfloc 956A'!D115),'Procyfloc 956A'!D115,IF(ISNUMBER(SEARCH("12",'Procyfloc 956A'!D115)),EDATE(AB2114,12),IF(ISNUMBER(SEARCH("6",'Procyfloc 956A'!D115)),EDATE(AB2114,6),IF(ISNUMBER(SEARCH("3",'Procyfloc 956A'!D115)),EDATE(AB2114,3),DATEVALUE('Procyfloc 956A'!D115))))),""))</f>
        <v/>
      </c>
      <c r="AM2114" t="str">
        <f t="shared" ref="AM2114:AM2177" ca="1" si="220">IF(AND(AJ2114=1,AL2114&lt;&gt;"",AL2114&gt;=TODAY(),AG2114=$W$3),AL2114+ROW()/1000000,"")</f>
        <v/>
      </c>
    </row>
    <row r="2115" spans="27:39" x14ac:dyDescent="0.3">
      <c r="AA2115" t="str">
        <f>IF(COUNTA('Procyfloc 956A'!A116,'Procyfloc 956A'!B116,'Procyfloc 956A'!C116)&gt;0,"956A","")</f>
        <v/>
      </c>
      <c r="AB2115" t="str">
        <f>IFERROR(IF(ISNUMBER('Procyfloc 956A'!A116),'Procyfloc 956A'!A116,DATEVALUE('Procyfloc 956A'!A116)),"")</f>
        <v/>
      </c>
      <c r="AC2115" t="str">
        <f>IF(AA2115="","",'Procyfloc 956A'!B116)</f>
        <v/>
      </c>
      <c r="AD2115" t="str">
        <f>IF(AA2115="","",IFERROR(1*'Procyfloc 956A'!C116,IFERROR(_xludf.NUMBERVALUE('Procyfloc 956A'!C116,".",","),IFERROR(_xludf.NUMBERVALUE('Procyfloc 956A'!C116,",","."),0))))</f>
        <v/>
      </c>
      <c r="AE2115" t="str">
        <f>IF(AA2115="","",'Procyfloc 956A'!L116)</f>
        <v/>
      </c>
      <c r="AF2115">
        <f t="shared" si="215"/>
        <v>0</v>
      </c>
      <c r="AG2115" t="str">
        <f t="shared" si="216"/>
        <v/>
      </c>
      <c r="AH2115" t="str">
        <f t="shared" si="217"/>
        <v/>
      </c>
      <c r="AI2115">
        <f t="shared" si="218"/>
        <v>0</v>
      </c>
      <c r="AJ2115">
        <f t="shared" si="219"/>
        <v>0</v>
      </c>
      <c r="AK2115">
        <v>0</v>
      </c>
      <c r="AL2115" t="str">
        <f>IF(AA2115="","",IFERROR(IF(ISNUMBER('Procyfloc 956A'!D116),'Procyfloc 956A'!D116,IF(ISNUMBER(SEARCH("12",'Procyfloc 956A'!D116)),EDATE(AB2115,12),IF(ISNUMBER(SEARCH("6",'Procyfloc 956A'!D116)),EDATE(AB2115,6),IF(ISNUMBER(SEARCH("3",'Procyfloc 956A'!D116)),EDATE(AB2115,3),DATEVALUE('Procyfloc 956A'!D116))))),""))</f>
        <v/>
      </c>
      <c r="AM2115" t="str">
        <f t="shared" ca="1" si="220"/>
        <v/>
      </c>
    </row>
    <row r="2116" spans="27:39" x14ac:dyDescent="0.3">
      <c r="AA2116" t="str">
        <f>IF(COUNTA('Procyfloc 956A'!A117,'Procyfloc 956A'!B117,'Procyfloc 956A'!C117)&gt;0,"956A","")</f>
        <v/>
      </c>
      <c r="AB2116" t="str">
        <f>IFERROR(IF(ISNUMBER('Procyfloc 956A'!A117),'Procyfloc 956A'!A117,DATEVALUE('Procyfloc 956A'!A117)),"")</f>
        <v/>
      </c>
      <c r="AC2116" t="str">
        <f>IF(AA2116="","",'Procyfloc 956A'!B117)</f>
        <v/>
      </c>
      <c r="AD2116" t="str">
        <f>IF(AA2116="","",IFERROR(1*'Procyfloc 956A'!C117,IFERROR(_xludf.NUMBERVALUE('Procyfloc 956A'!C117,".",","),IFERROR(_xludf.NUMBERVALUE('Procyfloc 956A'!C117,",","."),0))))</f>
        <v/>
      </c>
      <c r="AE2116" t="str">
        <f>IF(AA2116="","",'Procyfloc 956A'!L117)</f>
        <v/>
      </c>
      <c r="AF2116">
        <f t="shared" si="215"/>
        <v>0</v>
      </c>
      <c r="AG2116" t="str">
        <f t="shared" si="216"/>
        <v/>
      </c>
      <c r="AH2116" t="str">
        <f t="shared" si="217"/>
        <v/>
      </c>
      <c r="AI2116">
        <f t="shared" si="218"/>
        <v>0</v>
      </c>
      <c r="AJ2116">
        <f t="shared" si="219"/>
        <v>0</v>
      </c>
      <c r="AK2116">
        <v>0</v>
      </c>
      <c r="AL2116" t="str">
        <f>IF(AA2116="","",IFERROR(IF(ISNUMBER('Procyfloc 956A'!D117),'Procyfloc 956A'!D117,IF(ISNUMBER(SEARCH("12",'Procyfloc 956A'!D117)),EDATE(AB2116,12),IF(ISNUMBER(SEARCH("6",'Procyfloc 956A'!D117)),EDATE(AB2116,6),IF(ISNUMBER(SEARCH("3",'Procyfloc 956A'!D117)),EDATE(AB2116,3),DATEVALUE('Procyfloc 956A'!D117))))),""))</f>
        <v/>
      </c>
      <c r="AM2116" t="str">
        <f t="shared" ca="1" si="220"/>
        <v/>
      </c>
    </row>
    <row r="2117" spans="27:39" x14ac:dyDescent="0.3">
      <c r="AA2117" t="str">
        <f>IF(COUNTA('Procyfloc 956A'!A118,'Procyfloc 956A'!B118,'Procyfloc 956A'!C118)&gt;0,"956A","")</f>
        <v/>
      </c>
      <c r="AB2117" t="str">
        <f>IFERROR(IF(ISNUMBER('Procyfloc 956A'!A118),'Procyfloc 956A'!A118,DATEVALUE('Procyfloc 956A'!A118)),"")</f>
        <v/>
      </c>
      <c r="AC2117" t="str">
        <f>IF(AA2117="","",'Procyfloc 956A'!B118)</f>
        <v/>
      </c>
      <c r="AD2117" t="str">
        <f>IF(AA2117="","",IFERROR(1*'Procyfloc 956A'!C118,IFERROR(_xludf.NUMBERVALUE('Procyfloc 956A'!C118,".",","),IFERROR(_xludf.NUMBERVALUE('Procyfloc 956A'!C118,",","."),0))))</f>
        <v/>
      </c>
      <c r="AE2117" t="str">
        <f>IF(AA2117="","",'Procyfloc 956A'!L118)</f>
        <v/>
      </c>
      <c r="AF2117">
        <f t="shared" si="215"/>
        <v>0</v>
      </c>
      <c r="AG2117" t="str">
        <f t="shared" si="216"/>
        <v/>
      </c>
      <c r="AH2117" t="str">
        <f t="shared" si="217"/>
        <v/>
      </c>
      <c r="AI2117">
        <f t="shared" si="218"/>
        <v>0</v>
      </c>
      <c r="AJ2117">
        <f t="shared" si="219"/>
        <v>0</v>
      </c>
      <c r="AK2117">
        <v>0</v>
      </c>
      <c r="AL2117" t="str">
        <f>IF(AA2117="","",IFERROR(IF(ISNUMBER('Procyfloc 956A'!D118),'Procyfloc 956A'!D118,IF(ISNUMBER(SEARCH("12",'Procyfloc 956A'!D118)),EDATE(AB2117,12),IF(ISNUMBER(SEARCH("6",'Procyfloc 956A'!D118)),EDATE(AB2117,6),IF(ISNUMBER(SEARCH("3",'Procyfloc 956A'!D118)),EDATE(AB2117,3),DATEVALUE('Procyfloc 956A'!D118))))),""))</f>
        <v/>
      </c>
      <c r="AM2117" t="str">
        <f t="shared" ca="1" si="220"/>
        <v/>
      </c>
    </row>
    <row r="2118" spans="27:39" x14ac:dyDescent="0.3">
      <c r="AA2118" t="str">
        <f>IF(COUNTA('Procyfloc 956A'!A119,'Procyfloc 956A'!B119,'Procyfloc 956A'!C119)&gt;0,"956A","")</f>
        <v/>
      </c>
      <c r="AB2118" t="str">
        <f>IFERROR(IF(ISNUMBER('Procyfloc 956A'!A119),'Procyfloc 956A'!A119,DATEVALUE('Procyfloc 956A'!A119)),"")</f>
        <v/>
      </c>
      <c r="AC2118" t="str">
        <f>IF(AA2118="","",'Procyfloc 956A'!B119)</f>
        <v/>
      </c>
      <c r="AD2118" t="str">
        <f>IF(AA2118="","",IFERROR(1*'Procyfloc 956A'!C119,IFERROR(_xludf.NUMBERVALUE('Procyfloc 956A'!C119,".",","),IFERROR(_xludf.NUMBERVALUE('Procyfloc 956A'!C119,",","."),0))))</f>
        <v/>
      </c>
      <c r="AE2118" t="str">
        <f>IF(AA2118="","",'Procyfloc 956A'!L119)</f>
        <v/>
      </c>
      <c r="AF2118">
        <f t="shared" si="215"/>
        <v>0</v>
      </c>
      <c r="AG2118" t="str">
        <f t="shared" si="216"/>
        <v/>
      </c>
      <c r="AH2118" t="str">
        <f t="shared" si="217"/>
        <v/>
      </c>
      <c r="AI2118">
        <f t="shared" si="218"/>
        <v>0</v>
      </c>
      <c r="AJ2118">
        <f t="shared" si="219"/>
        <v>0</v>
      </c>
      <c r="AK2118">
        <v>0</v>
      </c>
      <c r="AL2118" t="str">
        <f>IF(AA2118="","",IFERROR(IF(ISNUMBER('Procyfloc 956A'!D119),'Procyfloc 956A'!D119,IF(ISNUMBER(SEARCH("12",'Procyfloc 956A'!D119)),EDATE(AB2118,12),IF(ISNUMBER(SEARCH("6",'Procyfloc 956A'!D119)),EDATE(AB2118,6),IF(ISNUMBER(SEARCH("3",'Procyfloc 956A'!D119)),EDATE(AB2118,3),DATEVALUE('Procyfloc 956A'!D119))))),""))</f>
        <v/>
      </c>
      <c r="AM2118" t="str">
        <f t="shared" ca="1" si="220"/>
        <v/>
      </c>
    </row>
    <row r="2119" spans="27:39" x14ac:dyDescent="0.3">
      <c r="AA2119" t="str">
        <f>IF(COUNTA('Procyfloc 956A'!A120,'Procyfloc 956A'!B120,'Procyfloc 956A'!C120)&gt;0,"956A","")</f>
        <v/>
      </c>
      <c r="AB2119" t="str">
        <f>IFERROR(IF(ISNUMBER('Procyfloc 956A'!A120),'Procyfloc 956A'!A120,DATEVALUE('Procyfloc 956A'!A120)),"")</f>
        <v/>
      </c>
      <c r="AC2119" t="str">
        <f>IF(AA2119="","",'Procyfloc 956A'!B120)</f>
        <v/>
      </c>
      <c r="AD2119" t="str">
        <f>IF(AA2119="","",IFERROR(1*'Procyfloc 956A'!C120,IFERROR(_xludf.NUMBERVALUE('Procyfloc 956A'!C120,".",","),IFERROR(_xludf.NUMBERVALUE('Procyfloc 956A'!C120,",","."),0))))</f>
        <v/>
      </c>
      <c r="AE2119" t="str">
        <f>IF(AA2119="","",'Procyfloc 956A'!L120)</f>
        <v/>
      </c>
      <c r="AF2119">
        <f t="shared" si="215"/>
        <v>0</v>
      </c>
      <c r="AG2119" t="str">
        <f t="shared" si="216"/>
        <v/>
      </c>
      <c r="AH2119" t="str">
        <f t="shared" si="217"/>
        <v/>
      </c>
      <c r="AI2119">
        <f t="shared" si="218"/>
        <v>0</v>
      </c>
      <c r="AJ2119">
        <f t="shared" si="219"/>
        <v>0</v>
      </c>
      <c r="AK2119">
        <v>0</v>
      </c>
      <c r="AL2119" t="str">
        <f>IF(AA2119="","",IFERROR(IF(ISNUMBER('Procyfloc 956A'!D120),'Procyfloc 956A'!D120,IF(ISNUMBER(SEARCH("12",'Procyfloc 956A'!D120)),EDATE(AB2119,12),IF(ISNUMBER(SEARCH("6",'Procyfloc 956A'!D120)),EDATE(AB2119,6),IF(ISNUMBER(SEARCH("3",'Procyfloc 956A'!D120)),EDATE(AB2119,3),DATEVALUE('Procyfloc 956A'!D120))))),""))</f>
        <v/>
      </c>
      <c r="AM2119" t="str">
        <f t="shared" ca="1" si="220"/>
        <v/>
      </c>
    </row>
    <row r="2120" spans="27:39" x14ac:dyDescent="0.3">
      <c r="AA2120" t="str">
        <f>IF(COUNTA('Procyfloc 956A'!A121,'Procyfloc 956A'!B121,'Procyfloc 956A'!C121)&gt;0,"956A","")</f>
        <v/>
      </c>
      <c r="AB2120" t="str">
        <f>IFERROR(IF(ISNUMBER('Procyfloc 956A'!A121),'Procyfloc 956A'!A121,DATEVALUE('Procyfloc 956A'!A121)),"")</f>
        <v/>
      </c>
      <c r="AC2120" t="str">
        <f>IF(AA2120="","",'Procyfloc 956A'!B121)</f>
        <v/>
      </c>
      <c r="AD2120" t="str">
        <f>IF(AA2120="","",IFERROR(1*'Procyfloc 956A'!C121,IFERROR(_xludf.NUMBERVALUE('Procyfloc 956A'!C121,".",","),IFERROR(_xludf.NUMBERVALUE('Procyfloc 956A'!C121,",","."),0))))</f>
        <v/>
      </c>
      <c r="AE2120" t="str">
        <f>IF(AA2120="","",'Procyfloc 956A'!L121)</f>
        <v/>
      </c>
      <c r="AF2120">
        <f t="shared" si="215"/>
        <v>0</v>
      </c>
      <c r="AG2120" t="str">
        <f t="shared" si="216"/>
        <v/>
      </c>
      <c r="AH2120" t="str">
        <f t="shared" si="217"/>
        <v/>
      </c>
      <c r="AI2120">
        <f t="shared" si="218"/>
        <v>0</v>
      </c>
      <c r="AJ2120">
        <f t="shared" si="219"/>
        <v>0</v>
      </c>
      <c r="AK2120">
        <v>0</v>
      </c>
      <c r="AL2120" t="str">
        <f>IF(AA2120="","",IFERROR(IF(ISNUMBER('Procyfloc 956A'!D121),'Procyfloc 956A'!D121,IF(ISNUMBER(SEARCH("12",'Procyfloc 956A'!D121)),EDATE(AB2120,12),IF(ISNUMBER(SEARCH("6",'Procyfloc 956A'!D121)),EDATE(AB2120,6),IF(ISNUMBER(SEARCH("3",'Procyfloc 956A'!D121)),EDATE(AB2120,3),DATEVALUE('Procyfloc 956A'!D121))))),""))</f>
        <v/>
      </c>
      <c r="AM2120" t="str">
        <f t="shared" ca="1" si="220"/>
        <v/>
      </c>
    </row>
    <row r="2121" spans="27:39" x14ac:dyDescent="0.3">
      <c r="AA2121" t="str">
        <f>IF(COUNTA('Procyfloc 956A'!A122,'Procyfloc 956A'!B122,'Procyfloc 956A'!C122)&gt;0,"956A","")</f>
        <v/>
      </c>
      <c r="AB2121" t="str">
        <f>IFERROR(IF(ISNUMBER('Procyfloc 956A'!A122),'Procyfloc 956A'!A122,DATEVALUE('Procyfloc 956A'!A122)),"")</f>
        <v/>
      </c>
      <c r="AC2121" t="str">
        <f>IF(AA2121="","",'Procyfloc 956A'!B122)</f>
        <v/>
      </c>
      <c r="AD2121" t="str">
        <f>IF(AA2121="","",IFERROR(1*'Procyfloc 956A'!C122,IFERROR(_xludf.NUMBERVALUE('Procyfloc 956A'!C122,".",","),IFERROR(_xludf.NUMBERVALUE('Procyfloc 956A'!C122,",","."),0))))</f>
        <v/>
      </c>
      <c r="AE2121" t="str">
        <f>IF(AA2121="","",'Procyfloc 956A'!L122)</f>
        <v/>
      </c>
      <c r="AF2121">
        <f t="shared" si="215"/>
        <v>0</v>
      </c>
      <c r="AG2121" t="str">
        <f t="shared" si="216"/>
        <v/>
      </c>
      <c r="AH2121" t="str">
        <f t="shared" si="217"/>
        <v/>
      </c>
      <c r="AI2121">
        <f t="shared" si="218"/>
        <v>0</v>
      </c>
      <c r="AJ2121">
        <f t="shared" si="219"/>
        <v>0</v>
      </c>
      <c r="AK2121">
        <v>0</v>
      </c>
      <c r="AL2121" t="str">
        <f>IF(AA2121="","",IFERROR(IF(ISNUMBER('Procyfloc 956A'!D122),'Procyfloc 956A'!D122,IF(ISNUMBER(SEARCH("12",'Procyfloc 956A'!D122)),EDATE(AB2121,12),IF(ISNUMBER(SEARCH("6",'Procyfloc 956A'!D122)),EDATE(AB2121,6),IF(ISNUMBER(SEARCH("3",'Procyfloc 956A'!D122)),EDATE(AB2121,3),DATEVALUE('Procyfloc 956A'!D122))))),""))</f>
        <v/>
      </c>
      <c r="AM2121" t="str">
        <f t="shared" ca="1" si="220"/>
        <v/>
      </c>
    </row>
    <row r="2122" spans="27:39" x14ac:dyDescent="0.3">
      <c r="AA2122" t="str">
        <f>IF(COUNTA('Procyfloc 956A'!A123,'Procyfloc 956A'!B123,'Procyfloc 956A'!C123)&gt;0,"956A","")</f>
        <v/>
      </c>
      <c r="AB2122" t="str">
        <f>IFERROR(IF(ISNUMBER('Procyfloc 956A'!A123),'Procyfloc 956A'!A123,DATEVALUE('Procyfloc 956A'!A123)),"")</f>
        <v/>
      </c>
      <c r="AC2122" t="str">
        <f>IF(AA2122="","",'Procyfloc 956A'!B123)</f>
        <v/>
      </c>
      <c r="AD2122" t="str">
        <f>IF(AA2122="","",IFERROR(1*'Procyfloc 956A'!C123,IFERROR(_xludf.NUMBERVALUE('Procyfloc 956A'!C123,".",","),IFERROR(_xludf.NUMBERVALUE('Procyfloc 956A'!C123,",","."),0))))</f>
        <v/>
      </c>
      <c r="AE2122" t="str">
        <f>IF(AA2122="","",'Procyfloc 956A'!L123)</f>
        <v/>
      </c>
      <c r="AF2122">
        <f t="shared" si="215"/>
        <v>0</v>
      </c>
      <c r="AG2122" t="str">
        <f t="shared" si="216"/>
        <v/>
      </c>
      <c r="AH2122" t="str">
        <f t="shared" si="217"/>
        <v/>
      </c>
      <c r="AI2122">
        <f t="shared" si="218"/>
        <v>0</v>
      </c>
      <c r="AJ2122">
        <f t="shared" si="219"/>
        <v>0</v>
      </c>
      <c r="AK2122">
        <v>0</v>
      </c>
      <c r="AL2122" t="str">
        <f>IF(AA2122="","",IFERROR(IF(ISNUMBER('Procyfloc 956A'!D123),'Procyfloc 956A'!D123,IF(ISNUMBER(SEARCH("12",'Procyfloc 956A'!D123)),EDATE(AB2122,12),IF(ISNUMBER(SEARCH("6",'Procyfloc 956A'!D123)),EDATE(AB2122,6),IF(ISNUMBER(SEARCH("3",'Procyfloc 956A'!D123)),EDATE(AB2122,3),DATEVALUE('Procyfloc 956A'!D123))))),""))</f>
        <v/>
      </c>
      <c r="AM2122" t="str">
        <f t="shared" ca="1" si="220"/>
        <v/>
      </c>
    </row>
    <row r="2123" spans="27:39" x14ac:dyDescent="0.3">
      <c r="AA2123" t="str">
        <f>IF(COUNTA('Procyfloc 956A'!A124,'Procyfloc 956A'!B124,'Procyfloc 956A'!C124)&gt;0,"956A","")</f>
        <v/>
      </c>
      <c r="AB2123" t="str">
        <f>IFERROR(IF(ISNUMBER('Procyfloc 956A'!A124),'Procyfloc 956A'!A124,DATEVALUE('Procyfloc 956A'!A124)),"")</f>
        <v/>
      </c>
      <c r="AC2123" t="str">
        <f>IF(AA2123="","",'Procyfloc 956A'!B124)</f>
        <v/>
      </c>
      <c r="AD2123" t="str">
        <f>IF(AA2123="","",IFERROR(1*'Procyfloc 956A'!C124,IFERROR(_xludf.NUMBERVALUE('Procyfloc 956A'!C124,".",","),IFERROR(_xludf.NUMBERVALUE('Procyfloc 956A'!C124,",","."),0))))</f>
        <v/>
      </c>
      <c r="AE2123" t="str">
        <f>IF(AA2123="","",'Procyfloc 956A'!L124)</f>
        <v/>
      </c>
      <c r="AF2123">
        <f t="shared" si="215"/>
        <v>0</v>
      </c>
      <c r="AG2123" t="str">
        <f t="shared" si="216"/>
        <v/>
      </c>
      <c r="AH2123" t="str">
        <f t="shared" si="217"/>
        <v/>
      </c>
      <c r="AI2123">
        <f t="shared" si="218"/>
        <v>0</v>
      </c>
      <c r="AJ2123">
        <f t="shared" si="219"/>
        <v>0</v>
      </c>
      <c r="AK2123">
        <v>0</v>
      </c>
      <c r="AL2123" t="str">
        <f>IF(AA2123="","",IFERROR(IF(ISNUMBER('Procyfloc 956A'!D124),'Procyfloc 956A'!D124,IF(ISNUMBER(SEARCH("12",'Procyfloc 956A'!D124)),EDATE(AB2123,12),IF(ISNUMBER(SEARCH("6",'Procyfloc 956A'!D124)),EDATE(AB2123,6),IF(ISNUMBER(SEARCH("3",'Procyfloc 956A'!D124)),EDATE(AB2123,3),DATEVALUE('Procyfloc 956A'!D124))))),""))</f>
        <v/>
      </c>
      <c r="AM2123" t="str">
        <f t="shared" ca="1" si="220"/>
        <v/>
      </c>
    </row>
    <row r="2124" spans="27:39" x14ac:dyDescent="0.3">
      <c r="AA2124" t="str">
        <f>IF(COUNTA('Procyfloc 956A'!A125,'Procyfloc 956A'!B125,'Procyfloc 956A'!C125)&gt;0,"956A","")</f>
        <v/>
      </c>
      <c r="AB2124" t="str">
        <f>IFERROR(IF(ISNUMBER('Procyfloc 956A'!A125),'Procyfloc 956A'!A125,DATEVALUE('Procyfloc 956A'!A125)),"")</f>
        <v/>
      </c>
      <c r="AC2124" t="str">
        <f>IF(AA2124="","",'Procyfloc 956A'!B125)</f>
        <v/>
      </c>
      <c r="AD2124" t="str">
        <f>IF(AA2124="","",IFERROR(1*'Procyfloc 956A'!C125,IFERROR(_xludf.NUMBERVALUE('Procyfloc 956A'!C125,".",","),IFERROR(_xludf.NUMBERVALUE('Procyfloc 956A'!C125,",","."),0))))</f>
        <v/>
      </c>
      <c r="AE2124" t="str">
        <f>IF(AA2124="","",'Procyfloc 956A'!L125)</f>
        <v/>
      </c>
      <c r="AF2124">
        <f t="shared" si="215"/>
        <v>0</v>
      </c>
      <c r="AG2124" t="str">
        <f t="shared" si="216"/>
        <v/>
      </c>
      <c r="AH2124" t="str">
        <f t="shared" si="217"/>
        <v/>
      </c>
      <c r="AI2124">
        <f t="shared" si="218"/>
        <v>0</v>
      </c>
      <c r="AJ2124">
        <f t="shared" si="219"/>
        <v>0</v>
      </c>
      <c r="AK2124">
        <v>0</v>
      </c>
      <c r="AL2124" t="str">
        <f>IF(AA2124="","",IFERROR(IF(ISNUMBER('Procyfloc 956A'!D125),'Procyfloc 956A'!D125,IF(ISNUMBER(SEARCH("12",'Procyfloc 956A'!D125)),EDATE(AB2124,12),IF(ISNUMBER(SEARCH("6",'Procyfloc 956A'!D125)),EDATE(AB2124,6),IF(ISNUMBER(SEARCH("3",'Procyfloc 956A'!D125)),EDATE(AB2124,3),DATEVALUE('Procyfloc 956A'!D125))))),""))</f>
        <v/>
      </c>
      <c r="AM2124" t="str">
        <f t="shared" ca="1" si="220"/>
        <v/>
      </c>
    </row>
    <row r="2125" spans="27:39" x14ac:dyDescent="0.3">
      <c r="AA2125" t="str">
        <f>IF(COUNTA('Procyfloc 956A'!A126,'Procyfloc 956A'!B126,'Procyfloc 956A'!C126)&gt;0,"956A","")</f>
        <v/>
      </c>
      <c r="AB2125" t="str">
        <f>IFERROR(IF(ISNUMBER('Procyfloc 956A'!A126),'Procyfloc 956A'!A126,DATEVALUE('Procyfloc 956A'!A126)),"")</f>
        <v/>
      </c>
      <c r="AC2125" t="str">
        <f>IF(AA2125="","",'Procyfloc 956A'!B126)</f>
        <v/>
      </c>
      <c r="AD2125" t="str">
        <f>IF(AA2125="","",IFERROR(1*'Procyfloc 956A'!C126,IFERROR(_xludf.NUMBERVALUE('Procyfloc 956A'!C126,".",","),IFERROR(_xludf.NUMBERVALUE('Procyfloc 956A'!C126,",","."),0))))</f>
        <v/>
      </c>
      <c r="AE2125" t="str">
        <f>IF(AA2125="","",'Procyfloc 956A'!L126)</f>
        <v/>
      </c>
      <c r="AF2125">
        <f t="shared" si="215"/>
        <v>0</v>
      </c>
      <c r="AG2125" t="str">
        <f t="shared" si="216"/>
        <v/>
      </c>
      <c r="AH2125" t="str">
        <f t="shared" si="217"/>
        <v/>
      </c>
      <c r="AI2125">
        <f t="shared" si="218"/>
        <v>0</v>
      </c>
      <c r="AJ2125">
        <f t="shared" si="219"/>
        <v>0</v>
      </c>
      <c r="AK2125">
        <v>0</v>
      </c>
      <c r="AL2125" t="str">
        <f>IF(AA2125="","",IFERROR(IF(ISNUMBER('Procyfloc 956A'!D126),'Procyfloc 956A'!D126,IF(ISNUMBER(SEARCH("12",'Procyfloc 956A'!D126)),EDATE(AB2125,12),IF(ISNUMBER(SEARCH("6",'Procyfloc 956A'!D126)),EDATE(AB2125,6),IF(ISNUMBER(SEARCH("3",'Procyfloc 956A'!D126)),EDATE(AB2125,3),DATEVALUE('Procyfloc 956A'!D126))))),""))</f>
        <v/>
      </c>
      <c r="AM2125" t="str">
        <f t="shared" ca="1" si="220"/>
        <v/>
      </c>
    </row>
    <row r="2126" spans="27:39" x14ac:dyDescent="0.3">
      <c r="AA2126" t="str">
        <f>IF(COUNTA('Procyfloc 956A'!A127,'Procyfloc 956A'!B127,'Procyfloc 956A'!C127)&gt;0,"956A","")</f>
        <v/>
      </c>
      <c r="AB2126" t="str">
        <f>IFERROR(IF(ISNUMBER('Procyfloc 956A'!A127),'Procyfloc 956A'!A127,DATEVALUE('Procyfloc 956A'!A127)),"")</f>
        <v/>
      </c>
      <c r="AC2126" t="str">
        <f>IF(AA2126="","",'Procyfloc 956A'!B127)</f>
        <v/>
      </c>
      <c r="AD2126" t="str">
        <f>IF(AA2126="","",IFERROR(1*'Procyfloc 956A'!C127,IFERROR(_xludf.NUMBERVALUE('Procyfloc 956A'!C127,".",","),IFERROR(_xludf.NUMBERVALUE('Procyfloc 956A'!C127,",","."),0))))</f>
        <v/>
      </c>
      <c r="AE2126" t="str">
        <f>IF(AA2126="","",'Procyfloc 956A'!L127)</f>
        <v/>
      </c>
      <c r="AF2126">
        <f t="shared" si="215"/>
        <v>0</v>
      </c>
      <c r="AG2126" t="str">
        <f t="shared" si="216"/>
        <v/>
      </c>
      <c r="AH2126" t="str">
        <f t="shared" si="217"/>
        <v/>
      </c>
      <c r="AI2126">
        <f t="shared" si="218"/>
        <v>0</v>
      </c>
      <c r="AJ2126">
        <f t="shared" si="219"/>
        <v>0</v>
      </c>
      <c r="AK2126">
        <v>0</v>
      </c>
      <c r="AL2126" t="str">
        <f>IF(AA2126="","",IFERROR(IF(ISNUMBER('Procyfloc 956A'!D127),'Procyfloc 956A'!D127,IF(ISNUMBER(SEARCH("12",'Procyfloc 956A'!D127)),EDATE(AB2126,12),IF(ISNUMBER(SEARCH("6",'Procyfloc 956A'!D127)),EDATE(AB2126,6),IF(ISNUMBER(SEARCH("3",'Procyfloc 956A'!D127)),EDATE(AB2126,3),DATEVALUE('Procyfloc 956A'!D127))))),""))</f>
        <v/>
      </c>
      <c r="AM2126" t="str">
        <f t="shared" ca="1" si="220"/>
        <v/>
      </c>
    </row>
    <row r="2127" spans="27:39" x14ac:dyDescent="0.3">
      <c r="AA2127" t="str">
        <f>IF(COUNTA('Procyfloc 956A'!A128,'Procyfloc 956A'!B128,'Procyfloc 956A'!C128)&gt;0,"956A","")</f>
        <v/>
      </c>
      <c r="AB2127" t="str">
        <f>IFERROR(IF(ISNUMBER('Procyfloc 956A'!A128),'Procyfloc 956A'!A128,DATEVALUE('Procyfloc 956A'!A128)),"")</f>
        <v/>
      </c>
      <c r="AC2127" t="str">
        <f>IF(AA2127="","",'Procyfloc 956A'!B128)</f>
        <v/>
      </c>
      <c r="AD2127" t="str">
        <f>IF(AA2127="","",IFERROR(1*'Procyfloc 956A'!C128,IFERROR(_xludf.NUMBERVALUE('Procyfloc 956A'!C128,".",","),IFERROR(_xludf.NUMBERVALUE('Procyfloc 956A'!C128,",","."),0))))</f>
        <v/>
      </c>
      <c r="AE2127" t="str">
        <f>IF(AA2127="","",'Procyfloc 956A'!L128)</f>
        <v/>
      </c>
      <c r="AF2127">
        <f t="shared" si="215"/>
        <v>0</v>
      </c>
      <c r="AG2127" t="str">
        <f t="shared" si="216"/>
        <v/>
      </c>
      <c r="AH2127" t="str">
        <f t="shared" si="217"/>
        <v/>
      </c>
      <c r="AI2127">
        <f t="shared" si="218"/>
        <v>0</v>
      </c>
      <c r="AJ2127">
        <f t="shared" si="219"/>
        <v>0</v>
      </c>
      <c r="AK2127">
        <v>0</v>
      </c>
      <c r="AL2127" t="str">
        <f>IF(AA2127="","",IFERROR(IF(ISNUMBER('Procyfloc 956A'!D128),'Procyfloc 956A'!D128,IF(ISNUMBER(SEARCH("12",'Procyfloc 956A'!D128)),EDATE(AB2127,12),IF(ISNUMBER(SEARCH("6",'Procyfloc 956A'!D128)),EDATE(AB2127,6),IF(ISNUMBER(SEARCH("3",'Procyfloc 956A'!D128)),EDATE(AB2127,3),DATEVALUE('Procyfloc 956A'!D128))))),""))</f>
        <v/>
      </c>
      <c r="AM2127" t="str">
        <f t="shared" ca="1" si="220"/>
        <v/>
      </c>
    </row>
    <row r="2128" spans="27:39" x14ac:dyDescent="0.3">
      <c r="AA2128" t="str">
        <f>IF(COUNTA('Procyfloc 956A'!A129,'Procyfloc 956A'!B129,'Procyfloc 956A'!C129)&gt;0,"956A","")</f>
        <v/>
      </c>
      <c r="AB2128" t="str">
        <f>IFERROR(IF(ISNUMBER('Procyfloc 956A'!A129),'Procyfloc 956A'!A129,DATEVALUE('Procyfloc 956A'!A129)),"")</f>
        <v/>
      </c>
      <c r="AC2128" t="str">
        <f>IF(AA2128="","",'Procyfloc 956A'!B129)</f>
        <v/>
      </c>
      <c r="AD2128" t="str">
        <f>IF(AA2128="","",IFERROR(1*'Procyfloc 956A'!C129,IFERROR(_xludf.NUMBERVALUE('Procyfloc 956A'!C129,".",","),IFERROR(_xludf.NUMBERVALUE('Procyfloc 956A'!C129,",","."),0))))</f>
        <v/>
      </c>
      <c r="AE2128" t="str">
        <f>IF(AA2128="","",'Procyfloc 956A'!L129)</f>
        <v/>
      </c>
      <c r="AF2128">
        <f t="shared" si="215"/>
        <v>0</v>
      </c>
      <c r="AG2128" t="str">
        <f t="shared" si="216"/>
        <v/>
      </c>
      <c r="AH2128" t="str">
        <f t="shared" si="217"/>
        <v/>
      </c>
      <c r="AI2128">
        <f t="shared" si="218"/>
        <v>0</v>
      </c>
      <c r="AJ2128">
        <f t="shared" si="219"/>
        <v>0</v>
      </c>
      <c r="AK2128">
        <v>0</v>
      </c>
      <c r="AL2128" t="str">
        <f>IF(AA2128="","",IFERROR(IF(ISNUMBER('Procyfloc 956A'!D129),'Procyfloc 956A'!D129,IF(ISNUMBER(SEARCH("12",'Procyfloc 956A'!D129)),EDATE(AB2128,12),IF(ISNUMBER(SEARCH("6",'Procyfloc 956A'!D129)),EDATE(AB2128,6),IF(ISNUMBER(SEARCH("3",'Procyfloc 956A'!D129)),EDATE(AB2128,3),DATEVALUE('Procyfloc 956A'!D129))))),""))</f>
        <v/>
      </c>
      <c r="AM2128" t="str">
        <f t="shared" ca="1" si="220"/>
        <v/>
      </c>
    </row>
    <row r="2129" spans="27:39" x14ac:dyDescent="0.3">
      <c r="AA2129" t="str">
        <f>IF(COUNTA('Procyfloc 956A'!A130,'Procyfloc 956A'!B130,'Procyfloc 956A'!C130)&gt;0,"956A","")</f>
        <v/>
      </c>
      <c r="AB2129" t="str">
        <f>IFERROR(IF(ISNUMBER('Procyfloc 956A'!A130),'Procyfloc 956A'!A130,DATEVALUE('Procyfloc 956A'!A130)),"")</f>
        <v/>
      </c>
      <c r="AC2129" t="str">
        <f>IF(AA2129="","",'Procyfloc 956A'!B130)</f>
        <v/>
      </c>
      <c r="AD2129" t="str">
        <f>IF(AA2129="","",IFERROR(1*'Procyfloc 956A'!C130,IFERROR(_xludf.NUMBERVALUE('Procyfloc 956A'!C130,".",","),IFERROR(_xludf.NUMBERVALUE('Procyfloc 956A'!C130,",","."),0))))</f>
        <v/>
      </c>
      <c r="AE2129" t="str">
        <f>IF(AA2129="","",'Procyfloc 956A'!L130)</f>
        <v/>
      </c>
      <c r="AF2129">
        <f t="shared" si="215"/>
        <v>0</v>
      </c>
      <c r="AG2129" t="str">
        <f t="shared" si="216"/>
        <v/>
      </c>
      <c r="AH2129" t="str">
        <f t="shared" si="217"/>
        <v/>
      </c>
      <c r="AI2129">
        <f t="shared" si="218"/>
        <v>0</v>
      </c>
      <c r="AJ2129">
        <f t="shared" si="219"/>
        <v>0</v>
      </c>
      <c r="AK2129">
        <v>0</v>
      </c>
      <c r="AL2129" t="str">
        <f>IF(AA2129="","",IFERROR(IF(ISNUMBER('Procyfloc 956A'!D130),'Procyfloc 956A'!D130,IF(ISNUMBER(SEARCH("12",'Procyfloc 956A'!D130)),EDATE(AB2129,12),IF(ISNUMBER(SEARCH("6",'Procyfloc 956A'!D130)),EDATE(AB2129,6),IF(ISNUMBER(SEARCH("3",'Procyfloc 956A'!D130)),EDATE(AB2129,3),DATEVALUE('Procyfloc 956A'!D130))))),""))</f>
        <v/>
      </c>
      <c r="AM2129" t="str">
        <f t="shared" ca="1" si="220"/>
        <v/>
      </c>
    </row>
    <row r="2130" spans="27:39" x14ac:dyDescent="0.3">
      <c r="AA2130" t="str">
        <f>IF(COUNTA('Procyfloc 956A'!A131,'Procyfloc 956A'!B131,'Procyfloc 956A'!C131)&gt;0,"956A","")</f>
        <v/>
      </c>
      <c r="AB2130" t="str">
        <f>IFERROR(IF(ISNUMBER('Procyfloc 956A'!A131),'Procyfloc 956A'!A131,DATEVALUE('Procyfloc 956A'!A131)),"")</f>
        <v/>
      </c>
      <c r="AC2130" t="str">
        <f>IF(AA2130="","",'Procyfloc 956A'!B131)</f>
        <v/>
      </c>
      <c r="AD2130" t="str">
        <f>IF(AA2130="","",IFERROR(1*'Procyfloc 956A'!C131,IFERROR(_xludf.NUMBERVALUE('Procyfloc 956A'!C131,".",","),IFERROR(_xludf.NUMBERVALUE('Procyfloc 956A'!C131,",","."),0))))</f>
        <v/>
      </c>
      <c r="AE2130" t="str">
        <f>IF(AA2130="","",'Procyfloc 956A'!L131)</f>
        <v/>
      </c>
      <c r="AF2130">
        <f t="shared" si="215"/>
        <v>0</v>
      </c>
      <c r="AG2130" t="str">
        <f t="shared" si="216"/>
        <v/>
      </c>
      <c r="AH2130" t="str">
        <f t="shared" si="217"/>
        <v/>
      </c>
      <c r="AI2130">
        <f t="shared" si="218"/>
        <v>0</v>
      </c>
      <c r="AJ2130">
        <f t="shared" si="219"/>
        <v>0</v>
      </c>
      <c r="AK2130">
        <v>0</v>
      </c>
      <c r="AL2130" t="str">
        <f>IF(AA2130="","",IFERROR(IF(ISNUMBER('Procyfloc 956A'!D131),'Procyfloc 956A'!D131,IF(ISNUMBER(SEARCH("12",'Procyfloc 956A'!D131)),EDATE(AB2130,12),IF(ISNUMBER(SEARCH("6",'Procyfloc 956A'!D131)),EDATE(AB2130,6),IF(ISNUMBER(SEARCH("3",'Procyfloc 956A'!D131)),EDATE(AB2130,3),DATEVALUE('Procyfloc 956A'!D131))))),""))</f>
        <v/>
      </c>
      <c r="AM2130" t="str">
        <f t="shared" ca="1" si="220"/>
        <v/>
      </c>
    </row>
    <row r="2131" spans="27:39" x14ac:dyDescent="0.3">
      <c r="AA2131" t="str">
        <f>IF(COUNTA('Procyfloc 956A'!A132,'Procyfloc 956A'!B132,'Procyfloc 956A'!C132)&gt;0,"956A","")</f>
        <v/>
      </c>
      <c r="AB2131" t="str">
        <f>IFERROR(IF(ISNUMBER('Procyfloc 956A'!A132),'Procyfloc 956A'!A132,DATEVALUE('Procyfloc 956A'!A132)),"")</f>
        <v/>
      </c>
      <c r="AC2131" t="str">
        <f>IF(AA2131="","",'Procyfloc 956A'!B132)</f>
        <v/>
      </c>
      <c r="AD2131" t="str">
        <f>IF(AA2131="","",IFERROR(1*'Procyfloc 956A'!C132,IFERROR(_xludf.NUMBERVALUE('Procyfloc 956A'!C132,".",","),IFERROR(_xludf.NUMBERVALUE('Procyfloc 956A'!C132,",","."),0))))</f>
        <v/>
      </c>
      <c r="AE2131" t="str">
        <f>IF(AA2131="","",'Procyfloc 956A'!L132)</f>
        <v/>
      </c>
      <c r="AF2131">
        <f t="shared" si="215"/>
        <v>0</v>
      </c>
      <c r="AG2131" t="str">
        <f t="shared" si="216"/>
        <v/>
      </c>
      <c r="AH2131" t="str">
        <f t="shared" si="217"/>
        <v/>
      </c>
      <c r="AI2131">
        <f t="shared" si="218"/>
        <v>0</v>
      </c>
      <c r="AJ2131">
        <f t="shared" si="219"/>
        <v>0</v>
      </c>
      <c r="AK2131">
        <v>0</v>
      </c>
      <c r="AL2131" t="str">
        <f>IF(AA2131="","",IFERROR(IF(ISNUMBER('Procyfloc 956A'!D132),'Procyfloc 956A'!D132,IF(ISNUMBER(SEARCH("12",'Procyfloc 956A'!D132)),EDATE(AB2131,12),IF(ISNUMBER(SEARCH("6",'Procyfloc 956A'!D132)),EDATE(AB2131,6),IF(ISNUMBER(SEARCH("3",'Procyfloc 956A'!D132)),EDATE(AB2131,3),DATEVALUE('Procyfloc 956A'!D132))))),""))</f>
        <v/>
      </c>
      <c r="AM2131" t="str">
        <f t="shared" ca="1" si="220"/>
        <v/>
      </c>
    </row>
    <row r="2132" spans="27:39" x14ac:dyDescent="0.3">
      <c r="AA2132" t="str">
        <f>IF(COUNTA('Procyfloc 956A'!A133,'Procyfloc 956A'!B133,'Procyfloc 956A'!C133)&gt;0,"956A","")</f>
        <v/>
      </c>
      <c r="AB2132" t="str">
        <f>IFERROR(IF(ISNUMBER('Procyfloc 956A'!A133),'Procyfloc 956A'!A133,DATEVALUE('Procyfloc 956A'!A133)),"")</f>
        <v/>
      </c>
      <c r="AC2132" t="str">
        <f>IF(AA2132="","",'Procyfloc 956A'!B133)</f>
        <v/>
      </c>
      <c r="AD2132" t="str">
        <f>IF(AA2132="","",IFERROR(1*'Procyfloc 956A'!C133,IFERROR(_xludf.NUMBERVALUE('Procyfloc 956A'!C133,".",","),IFERROR(_xludf.NUMBERVALUE('Procyfloc 956A'!C133,",","."),0))))</f>
        <v/>
      </c>
      <c r="AE2132" t="str">
        <f>IF(AA2132="","",'Procyfloc 956A'!L133)</f>
        <v/>
      </c>
      <c r="AF2132">
        <f t="shared" si="215"/>
        <v>0</v>
      </c>
      <c r="AG2132" t="str">
        <f t="shared" si="216"/>
        <v/>
      </c>
      <c r="AH2132" t="str">
        <f t="shared" si="217"/>
        <v/>
      </c>
      <c r="AI2132">
        <f t="shared" si="218"/>
        <v>0</v>
      </c>
      <c r="AJ2132">
        <f t="shared" si="219"/>
        <v>0</v>
      </c>
      <c r="AK2132">
        <v>0</v>
      </c>
      <c r="AL2132" t="str">
        <f>IF(AA2132="","",IFERROR(IF(ISNUMBER('Procyfloc 956A'!D133),'Procyfloc 956A'!D133,IF(ISNUMBER(SEARCH("12",'Procyfloc 956A'!D133)),EDATE(AB2132,12),IF(ISNUMBER(SEARCH("6",'Procyfloc 956A'!D133)),EDATE(AB2132,6),IF(ISNUMBER(SEARCH("3",'Procyfloc 956A'!D133)),EDATE(AB2132,3),DATEVALUE('Procyfloc 956A'!D133))))),""))</f>
        <v/>
      </c>
      <c r="AM2132" t="str">
        <f t="shared" ca="1" si="220"/>
        <v/>
      </c>
    </row>
    <row r="2133" spans="27:39" x14ac:dyDescent="0.3">
      <c r="AA2133" t="str">
        <f>IF(COUNTA('Procyfloc 956A'!A134,'Procyfloc 956A'!B134,'Procyfloc 956A'!C134)&gt;0,"956A","")</f>
        <v/>
      </c>
      <c r="AB2133" t="str">
        <f>IFERROR(IF(ISNUMBER('Procyfloc 956A'!A134),'Procyfloc 956A'!A134,DATEVALUE('Procyfloc 956A'!A134)),"")</f>
        <v/>
      </c>
      <c r="AC2133" t="str">
        <f>IF(AA2133="","",'Procyfloc 956A'!B134)</f>
        <v/>
      </c>
      <c r="AD2133" t="str">
        <f>IF(AA2133="","",IFERROR(1*'Procyfloc 956A'!C134,IFERROR(_xludf.NUMBERVALUE('Procyfloc 956A'!C134,".",","),IFERROR(_xludf.NUMBERVALUE('Procyfloc 956A'!C134,",","."),0))))</f>
        <v/>
      </c>
      <c r="AE2133" t="str">
        <f>IF(AA2133="","",'Procyfloc 956A'!L134)</f>
        <v/>
      </c>
      <c r="AF2133">
        <f t="shared" si="215"/>
        <v>0</v>
      </c>
      <c r="AG2133" t="str">
        <f t="shared" si="216"/>
        <v/>
      </c>
      <c r="AH2133" t="str">
        <f t="shared" si="217"/>
        <v/>
      </c>
      <c r="AI2133">
        <f t="shared" si="218"/>
        <v>0</v>
      </c>
      <c r="AJ2133">
        <f t="shared" si="219"/>
        <v>0</v>
      </c>
      <c r="AK2133">
        <v>0</v>
      </c>
      <c r="AL2133" t="str">
        <f>IF(AA2133="","",IFERROR(IF(ISNUMBER('Procyfloc 956A'!D134),'Procyfloc 956A'!D134,IF(ISNUMBER(SEARCH("12",'Procyfloc 956A'!D134)),EDATE(AB2133,12),IF(ISNUMBER(SEARCH("6",'Procyfloc 956A'!D134)),EDATE(AB2133,6),IF(ISNUMBER(SEARCH("3",'Procyfloc 956A'!D134)),EDATE(AB2133,3),DATEVALUE('Procyfloc 956A'!D134))))),""))</f>
        <v/>
      </c>
      <c r="AM2133" t="str">
        <f t="shared" ca="1" si="220"/>
        <v/>
      </c>
    </row>
    <row r="2134" spans="27:39" x14ac:dyDescent="0.3">
      <c r="AA2134" t="str">
        <f>IF(COUNTA('Procyfloc 956A'!A135,'Procyfloc 956A'!B135,'Procyfloc 956A'!C135)&gt;0,"956A","")</f>
        <v/>
      </c>
      <c r="AB2134" t="str">
        <f>IFERROR(IF(ISNUMBER('Procyfloc 956A'!A135),'Procyfloc 956A'!A135,DATEVALUE('Procyfloc 956A'!A135)),"")</f>
        <v/>
      </c>
      <c r="AC2134" t="str">
        <f>IF(AA2134="","",'Procyfloc 956A'!B135)</f>
        <v/>
      </c>
      <c r="AD2134" t="str">
        <f>IF(AA2134="","",IFERROR(1*'Procyfloc 956A'!C135,IFERROR(_xludf.NUMBERVALUE('Procyfloc 956A'!C135,".",","),IFERROR(_xludf.NUMBERVALUE('Procyfloc 956A'!C135,",","."),0))))</f>
        <v/>
      </c>
      <c r="AE2134" t="str">
        <f>IF(AA2134="","",'Procyfloc 956A'!L135)</f>
        <v/>
      </c>
      <c r="AF2134">
        <f t="shared" si="215"/>
        <v>0</v>
      </c>
      <c r="AG2134" t="str">
        <f t="shared" si="216"/>
        <v/>
      </c>
      <c r="AH2134" t="str">
        <f t="shared" si="217"/>
        <v/>
      </c>
      <c r="AI2134">
        <f t="shared" si="218"/>
        <v>0</v>
      </c>
      <c r="AJ2134">
        <f t="shared" si="219"/>
        <v>0</v>
      </c>
      <c r="AK2134">
        <v>0</v>
      </c>
      <c r="AL2134" t="str">
        <f>IF(AA2134="","",IFERROR(IF(ISNUMBER('Procyfloc 956A'!D135),'Procyfloc 956A'!D135,IF(ISNUMBER(SEARCH("12",'Procyfloc 956A'!D135)),EDATE(AB2134,12),IF(ISNUMBER(SEARCH("6",'Procyfloc 956A'!D135)),EDATE(AB2134,6),IF(ISNUMBER(SEARCH("3",'Procyfloc 956A'!D135)),EDATE(AB2134,3),DATEVALUE('Procyfloc 956A'!D135))))),""))</f>
        <v/>
      </c>
      <c r="AM2134" t="str">
        <f t="shared" ca="1" si="220"/>
        <v/>
      </c>
    </row>
    <row r="2135" spans="27:39" x14ac:dyDescent="0.3">
      <c r="AA2135" t="str">
        <f>IF(COUNTA('Procyfloc 956A'!A136,'Procyfloc 956A'!B136,'Procyfloc 956A'!C136)&gt;0,"956A","")</f>
        <v/>
      </c>
      <c r="AB2135" t="str">
        <f>IFERROR(IF(ISNUMBER('Procyfloc 956A'!A136),'Procyfloc 956A'!A136,DATEVALUE('Procyfloc 956A'!A136)),"")</f>
        <v/>
      </c>
      <c r="AC2135" t="str">
        <f>IF(AA2135="","",'Procyfloc 956A'!B136)</f>
        <v/>
      </c>
      <c r="AD2135" t="str">
        <f>IF(AA2135="","",IFERROR(1*'Procyfloc 956A'!C136,IFERROR(_xludf.NUMBERVALUE('Procyfloc 956A'!C136,".",","),IFERROR(_xludf.NUMBERVALUE('Procyfloc 956A'!C136,",","."),0))))</f>
        <v/>
      </c>
      <c r="AE2135" t="str">
        <f>IF(AA2135="","",'Procyfloc 956A'!L136)</f>
        <v/>
      </c>
      <c r="AF2135">
        <f t="shared" si="215"/>
        <v>0</v>
      </c>
      <c r="AG2135" t="str">
        <f t="shared" si="216"/>
        <v/>
      </c>
      <c r="AH2135" t="str">
        <f t="shared" si="217"/>
        <v/>
      </c>
      <c r="AI2135">
        <f t="shared" si="218"/>
        <v>0</v>
      </c>
      <c r="AJ2135">
        <f t="shared" si="219"/>
        <v>0</v>
      </c>
      <c r="AK2135">
        <v>0</v>
      </c>
      <c r="AL2135" t="str">
        <f>IF(AA2135="","",IFERROR(IF(ISNUMBER('Procyfloc 956A'!D136),'Procyfloc 956A'!D136,IF(ISNUMBER(SEARCH("12",'Procyfloc 956A'!D136)),EDATE(AB2135,12),IF(ISNUMBER(SEARCH("6",'Procyfloc 956A'!D136)),EDATE(AB2135,6),IF(ISNUMBER(SEARCH("3",'Procyfloc 956A'!D136)),EDATE(AB2135,3),DATEVALUE('Procyfloc 956A'!D136))))),""))</f>
        <v/>
      </c>
      <c r="AM2135" t="str">
        <f t="shared" ca="1" si="220"/>
        <v/>
      </c>
    </row>
    <row r="2136" spans="27:39" x14ac:dyDescent="0.3">
      <c r="AA2136" t="str">
        <f>IF(COUNTA('Procyfloc 956A'!A137,'Procyfloc 956A'!B137,'Procyfloc 956A'!C137)&gt;0,"956A","")</f>
        <v/>
      </c>
      <c r="AB2136" t="str">
        <f>IFERROR(IF(ISNUMBER('Procyfloc 956A'!A137),'Procyfloc 956A'!A137,DATEVALUE('Procyfloc 956A'!A137)),"")</f>
        <v/>
      </c>
      <c r="AC2136" t="str">
        <f>IF(AA2136="","",'Procyfloc 956A'!B137)</f>
        <v/>
      </c>
      <c r="AD2136" t="str">
        <f>IF(AA2136="","",IFERROR(1*'Procyfloc 956A'!C137,IFERROR(_xludf.NUMBERVALUE('Procyfloc 956A'!C137,".",","),IFERROR(_xludf.NUMBERVALUE('Procyfloc 956A'!C137,",","."),0))))</f>
        <v/>
      </c>
      <c r="AE2136" t="str">
        <f>IF(AA2136="","",'Procyfloc 956A'!L137)</f>
        <v/>
      </c>
      <c r="AF2136">
        <f t="shared" si="215"/>
        <v>0</v>
      </c>
      <c r="AG2136" t="str">
        <f t="shared" si="216"/>
        <v/>
      </c>
      <c r="AH2136" t="str">
        <f t="shared" si="217"/>
        <v/>
      </c>
      <c r="AI2136">
        <f t="shared" si="218"/>
        <v>0</v>
      </c>
      <c r="AJ2136">
        <f t="shared" si="219"/>
        <v>0</v>
      </c>
      <c r="AK2136">
        <v>0</v>
      </c>
      <c r="AL2136" t="str">
        <f>IF(AA2136="","",IFERROR(IF(ISNUMBER('Procyfloc 956A'!D137),'Procyfloc 956A'!D137,IF(ISNUMBER(SEARCH("12",'Procyfloc 956A'!D137)),EDATE(AB2136,12),IF(ISNUMBER(SEARCH("6",'Procyfloc 956A'!D137)),EDATE(AB2136,6),IF(ISNUMBER(SEARCH("3",'Procyfloc 956A'!D137)),EDATE(AB2136,3),DATEVALUE('Procyfloc 956A'!D137))))),""))</f>
        <v/>
      </c>
      <c r="AM2136" t="str">
        <f t="shared" ca="1" si="220"/>
        <v/>
      </c>
    </row>
    <row r="2137" spans="27:39" x14ac:dyDescent="0.3">
      <c r="AA2137" t="str">
        <f>IF(COUNTA('Procyfloc 956A'!A138,'Procyfloc 956A'!B138,'Procyfloc 956A'!C138)&gt;0,"956A","")</f>
        <v/>
      </c>
      <c r="AB2137" t="str">
        <f>IFERROR(IF(ISNUMBER('Procyfloc 956A'!A138),'Procyfloc 956A'!A138,DATEVALUE('Procyfloc 956A'!A138)),"")</f>
        <v/>
      </c>
      <c r="AC2137" t="str">
        <f>IF(AA2137="","",'Procyfloc 956A'!B138)</f>
        <v/>
      </c>
      <c r="AD2137" t="str">
        <f>IF(AA2137="","",IFERROR(1*'Procyfloc 956A'!C138,IFERROR(_xludf.NUMBERVALUE('Procyfloc 956A'!C138,".",","),IFERROR(_xludf.NUMBERVALUE('Procyfloc 956A'!C138,",","."),0))))</f>
        <v/>
      </c>
      <c r="AE2137" t="str">
        <f>IF(AA2137="","",'Procyfloc 956A'!L138)</f>
        <v/>
      </c>
      <c r="AF2137">
        <f t="shared" si="215"/>
        <v>0</v>
      </c>
      <c r="AG2137" t="str">
        <f t="shared" si="216"/>
        <v/>
      </c>
      <c r="AH2137" t="str">
        <f t="shared" si="217"/>
        <v/>
      </c>
      <c r="AI2137">
        <f t="shared" si="218"/>
        <v>0</v>
      </c>
      <c r="AJ2137">
        <f t="shared" si="219"/>
        <v>0</v>
      </c>
      <c r="AK2137">
        <v>0</v>
      </c>
      <c r="AL2137" t="str">
        <f>IF(AA2137="","",IFERROR(IF(ISNUMBER('Procyfloc 956A'!D138),'Procyfloc 956A'!D138,IF(ISNUMBER(SEARCH("12",'Procyfloc 956A'!D138)),EDATE(AB2137,12),IF(ISNUMBER(SEARCH("6",'Procyfloc 956A'!D138)),EDATE(AB2137,6),IF(ISNUMBER(SEARCH("3",'Procyfloc 956A'!D138)),EDATE(AB2137,3),DATEVALUE('Procyfloc 956A'!D138))))),""))</f>
        <v/>
      </c>
      <c r="AM2137" t="str">
        <f t="shared" ca="1" si="220"/>
        <v/>
      </c>
    </row>
    <row r="2138" spans="27:39" x14ac:dyDescent="0.3">
      <c r="AA2138" t="str">
        <f>IF(COUNTA('Procyfloc 956A'!A139,'Procyfloc 956A'!B139,'Procyfloc 956A'!C139)&gt;0,"956A","")</f>
        <v/>
      </c>
      <c r="AB2138" t="str">
        <f>IFERROR(IF(ISNUMBER('Procyfloc 956A'!A139),'Procyfloc 956A'!A139,DATEVALUE('Procyfloc 956A'!A139)),"")</f>
        <v/>
      </c>
      <c r="AC2138" t="str">
        <f>IF(AA2138="","",'Procyfloc 956A'!B139)</f>
        <v/>
      </c>
      <c r="AD2138" t="str">
        <f>IF(AA2138="","",IFERROR(1*'Procyfloc 956A'!C139,IFERROR(_xludf.NUMBERVALUE('Procyfloc 956A'!C139,".",","),IFERROR(_xludf.NUMBERVALUE('Procyfloc 956A'!C139,",","."),0))))</f>
        <v/>
      </c>
      <c r="AE2138" t="str">
        <f>IF(AA2138="","",'Procyfloc 956A'!L139)</f>
        <v/>
      </c>
      <c r="AF2138">
        <f t="shared" si="215"/>
        <v>0</v>
      </c>
      <c r="AG2138" t="str">
        <f t="shared" si="216"/>
        <v/>
      </c>
      <c r="AH2138" t="str">
        <f t="shared" si="217"/>
        <v/>
      </c>
      <c r="AI2138">
        <f t="shared" si="218"/>
        <v>0</v>
      </c>
      <c r="AJ2138">
        <f t="shared" si="219"/>
        <v>0</v>
      </c>
      <c r="AK2138">
        <v>0</v>
      </c>
      <c r="AL2138" t="str">
        <f>IF(AA2138="","",IFERROR(IF(ISNUMBER('Procyfloc 956A'!D139),'Procyfloc 956A'!D139,IF(ISNUMBER(SEARCH("12",'Procyfloc 956A'!D139)),EDATE(AB2138,12),IF(ISNUMBER(SEARCH("6",'Procyfloc 956A'!D139)),EDATE(AB2138,6),IF(ISNUMBER(SEARCH("3",'Procyfloc 956A'!D139)),EDATE(AB2138,3),DATEVALUE('Procyfloc 956A'!D139))))),""))</f>
        <v/>
      </c>
      <c r="AM2138" t="str">
        <f t="shared" ca="1" si="220"/>
        <v/>
      </c>
    </row>
    <row r="2139" spans="27:39" x14ac:dyDescent="0.3">
      <c r="AA2139" t="str">
        <f>IF(COUNTA('Procyfloc 956A'!A140,'Procyfloc 956A'!B140,'Procyfloc 956A'!C140)&gt;0,"956A","")</f>
        <v/>
      </c>
      <c r="AB2139" t="str">
        <f>IFERROR(IF(ISNUMBER('Procyfloc 956A'!A140),'Procyfloc 956A'!A140,DATEVALUE('Procyfloc 956A'!A140)),"")</f>
        <v/>
      </c>
      <c r="AC2139" t="str">
        <f>IF(AA2139="","",'Procyfloc 956A'!B140)</f>
        <v/>
      </c>
      <c r="AD2139" t="str">
        <f>IF(AA2139="","",IFERROR(1*'Procyfloc 956A'!C140,IFERROR(_xludf.NUMBERVALUE('Procyfloc 956A'!C140,".",","),IFERROR(_xludf.NUMBERVALUE('Procyfloc 956A'!C140,",","."),0))))</f>
        <v/>
      </c>
      <c r="AE2139" t="str">
        <f>IF(AA2139="","",'Procyfloc 956A'!L140)</f>
        <v/>
      </c>
      <c r="AF2139">
        <f t="shared" si="215"/>
        <v>0</v>
      </c>
      <c r="AG2139" t="str">
        <f t="shared" si="216"/>
        <v/>
      </c>
      <c r="AH2139" t="str">
        <f t="shared" si="217"/>
        <v/>
      </c>
      <c r="AI2139">
        <f t="shared" si="218"/>
        <v>0</v>
      </c>
      <c r="AJ2139">
        <f t="shared" si="219"/>
        <v>0</v>
      </c>
      <c r="AK2139">
        <v>0</v>
      </c>
      <c r="AL2139" t="str">
        <f>IF(AA2139="","",IFERROR(IF(ISNUMBER('Procyfloc 956A'!D140),'Procyfloc 956A'!D140,IF(ISNUMBER(SEARCH("12",'Procyfloc 956A'!D140)),EDATE(AB2139,12),IF(ISNUMBER(SEARCH("6",'Procyfloc 956A'!D140)),EDATE(AB2139,6),IF(ISNUMBER(SEARCH("3",'Procyfloc 956A'!D140)),EDATE(AB2139,3),DATEVALUE('Procyfloc 956A'!D140))))),""))</f>
        <v/>
      </c>
      <c r="AM2139" t="str">
        <f t="shared" ca="1" si="220"/>
        <v/>
      </c>
    </row>
    <row r="2140" spans="27:39" x14ac:dyDescent="0.3">
      <c r="AA2140" t="str">
        <f>IF(COUNTA('Procyfloc 956A'!A141,'Procyfloc 956A'!B141,'Procyfloc 956A'!C141)&gt;0,"956A","")</f>
        <v/>
      </c>
      <c r="AB2140" t="str">
        <f>IFERROR(IF(ISNUMBER('Procyfloc 956A'!A141),'Procyfloc 956A'!A141,DATEVALUE('Procyfloc 956A'!A141)),"")</f>
        <v/>
      </c>
      <c r="AC2140" t="str">
        <f>IF(AA2140="","",'Procyfloc 956A'!B141)</f>
        <v/>
      </c>
      <c r="AD2140" t="str">
        <f>IF(AA2140="","",IFERROR(1*'Procyfloc 956A'!C141,IFERROR(_xludf.NUMBERVALUE('Procyfloc 956A'!C141,".",","),IFERROR(_xludf.NUMBERVALUE('Procyfloc 956A'!C141,",","."),0))))</f>
        <v/>
      </c>
      <c r="AE2140" t="str">
        <f>IF(AA2140="","",'Procyfloc 956A'!L141)</f>
        <v/>
      </c>
      <c r="AF2140">
        <f t="shared" si="215"/>
        <v>0</v>
      </c>
      <c r="AG2140" t="str">
        <f t="shared" si="216"/>
        <v/>
      </c>
      <c r="AH2140" t="str">
        <f t="shared" si="217"/>
        <v/>
      </c>
      <c r="AI2140">
        <f t="shared" si="218"/>
        <v>0</v>
      </c>
      <c r="AJ2140">
        <f t="shared" si="219"/>
        <v>0</v>
      </c>
      <c r="AK2140">
        <v>0</v>
      </c>
      <c r="AL2140" t="str">
        <f>IF(AA2140="","",IFERROR(IF(ISNUMBER('Procyfloc 956A'!D141),'Procyfloc 956A'!D141,IF(ISNUMBER(SEARCH("12",'Procyfloc 956A'!D141)),EDATE(AB2140,12),IF(ISNUMBER(SEARCH("6",'Procyfloc 956A'!D141)),EDATE(AB2140,6),IF(ISNUMBER(SEARCH("3",'Procyfloc 956A'!D141)),EDATE(AB2140,3),DATEVALUE('Procyfloc 956A'!D141))))),""))</f>
        <v/>
      </c>
      <c r="AM2140" t="str">
        <f t="shared" ca="1" si="220"/>
        <v/>
      </c>
    </row>
    <row r="2141" spans="27:39" x14ac:dyDescent="0.3">
      <c r="AA2141" t="str">
        <f>IF(COUNTA('Procyfloc 956A'!A142,'Procyfloc 956A'!B142,'Procyfloc 956A'!C142)&gt;0,"956A","")</f>
        <v/>
      </c>
      <c r="AB2141" t="str">
        <f>IFERROR(IF(ISNUMBER('Procyfloc 956A'!A142),'Procyfloc 956A'!A142,DATEVALUE('Procyfloc 956A'!A142)),"")</f>
        <v/>
      </c>
      <c r="AC2141" t="str">
        <f>IF(AA2141="","",'Procyfloc 956A'!B142)</f>
        <v/>
      </c>
      <c r="AD2141" t="str">
        <f>IF(AA2141="","",IFERROR(1*'Procyfloc 956A'!C142,IFERROR(_xludf.NUMBERVALUE('Procyfloc 956A'!C142,".",","),IFERROR(_xludf.NUMBERVALUE('Procyfloc 956A'!C142,",","."),0))))</f>
        <v/>
      </c>
      <c r="AE2141" t="str">
        <f>IF(AA2141="","",'Procyfloc 956A'!L142)</f>
        <v/>
      </c>
      <c r="AF2141">
        <f t="shared" si="215"/>
        <v>0</v>
      </c>
      <c r="AG2141" t="str">
        <f t="shared" si="216"/>
        <v/>
      </c>
      <c r="AH2141" t="str">
        <f t="shared" si="217"/>
        <v/>
      </c>
      <c r="AI2141">
        <f t="shared" si="218"/>
        <v>0</v>
      </c>
      <c r="AJ2141">
        <f t="shared" si="219"/>
        <v>0</v>
      </c>
      <c r="AK2141">
        <v>0</v>
      </c>
      <c r="AL2141" t="str">
        <f>IF(AA2141="","",IFERROR(IF(ISNUMBER('Procyfloc 956A'!D142),'Procyfloc 956A'!D142,IF(ISNUMBER(SEARCH("12",'Procyfloc 956A'!D142)),EDATE(AB2141,12),IF(ISNUMBER(SEARCH("6",'Procyfloc 956A'!D142)),EDATE(AB2141,6),IF(ISNUMBER(SEARCH("3",'Procyfloc 956A'!D142)),EDATE(AB2141,3),DATEVALUE('Procyfloc 956A'!D142))))),""))</f>
        <v/>
      </c>
      <c r="AM2141" t="str">
        <f t="shared" ca="1" si="220"/>
        <v/>
      </c>
    </row>
    <row r="2142" spans="27:39" x14ac:dyDescent="0.3">
      <c r="AA2142" t="str">
        <f>IF(COUNTA('Procyfloc 956A'!A143,'Procyfloc 956A'!B143,'Procyfloc 956A'!C143)&gt;0,"956A","")</f>
        <v/>
      </c>
      <c r="AB2142" t="str">
        <f>IFERROR(IF(ISNUMBER('Procyfloc 956A'!A143),'Procyfloc 956A'!A143,DATEVALUE('Procyfloc 956A'!A143)),"")</f>
        <v/>
      </c>
      <c r="AC2142" t="str">
        <f>IF(AA2142="","",'Procyfloc 956A'!B143)</f>
        <v/>
      </c>
      <c r="AD2142" t="str">
        <f>IF(AA2142="","",IFERROR(1*'Procyfloc 956A'!C143,IFERROR(_xludf.NUMBERVALUE('Procyfloc 956A'!C143,".",","),IFERROR(_xludf.NUMBERVALUE('Procyfloc 956A'!C143,",","."),0))))</f>
        <v/>
      </c>
      <c r="AE2142" t="str">
        <f>IF(AA2142="","",'Procyfloc 956A'!L143)</f>
        <v/>
      </c>
      <c r="AF2142">
        <f t="shared" si="215"/>
        <v>0</v>
      </c>
      <c r="AG2142" t="str">
        <f t="shared" si="216"/>
        <v/>
      </c>
      <c r="AH2142" t="str">
        <f t="shared" si="217"/>
        <v/>
      </c>
      <c r="AI2142">
        <f t="shared" si="218"/>
        <v>0</v>
      </c>
      <c r="AJ2142">
        <f t="shared" si="219"/>
        <v>0</v>
      </c>
      <c r="AK2142">
        <v>0</v>
      </c>
      <c r="AL2142" t="str">
        <f>IF(AA2142="","",IFERROR(IF(ISNUMBER('Procyfloc 956A'!D143),'Procyfloc 956A'!D143,IF(ISNUMBER(SEARCH("12",'Procyfloc 956A'!D143)),EDATE(AB2142,12),IF(ISNUMBER(SEARCH("6",'Procyfloc 956A'!D143)),EDATE(AB2142,6),IF(ISNUMBER(SEARCH("3",'Procyfloc 956A'!D143)),EDATE(AB2142,3),DATEVALUE('Procyfloc 956A'!D143))))),""))</f>
        <v/>
      </c>
      <c r="AM2142" t="str">
        <f t="shared" ca="1" si="220"/>
        <v/>
      </c>
    </row>
    <row r="2143" spans="27:39" x14ac:dyDescent="0.3">
      <c r="AA2143" t="str">
        <f>IF(COUNTA('Procyfloc 956A'!A144,'Procyfloc 956A'!B144,'Procyfloc 956A'!C144)&gt;0,"956A","")</f>
        <v/>
      </c>
      <c r="AB2143" t="str">
        <f>IFERROR(IF(ISNUMBER('Procyfloc 956A'!A144),'Procyfloc 956A'!A144,DATEVALUE('Procyfloc 956A'!A144)),"")</f>
        <v/>
      </c>
      <c r="AC2143" t="str">
        <f>IF(AA2143="","",'Procyfloc 956A'!B144)</f>
        <v/>
      </c>
      <c r="AD2143" t="str">
        <f>IF(AA2143="","",IFERROR(1*'Procyfloc 956A'!C144,IFERROR(_xludf.NUMBERVALUE('Procyfloc 956A'!C144,".",","),IFERROR(_xludf.NUMBERVALUE('Procyfloc 956A'!C144,",","."),0))))</f>
        <v/>
      </c>
      <c r="AE2143" t="str">
        <f>IF(AA2143="","",'Procyfloc 956A'!L144)</f>
        <v/>
      </c>
      <c r="AF2143">
        <f t="shared" si="215"/>
        <v>0</v>
      </c>
      <c r="AG2143" t="str">
        <f t="shared" si="216"/>
        <v/>
      </c>
      <c r="AH2143" t="str">
        <f t="shared" si="217"/>
        <v/>
      </c>
      <c r="AI2143">
        <f t="shared" si="218"/>
        <v>0</v>
      </c>
      <c r="AJ2143">
        <f t="shared" si="219"/>
        <v>0</v>
      </c>
      <c r="AK2143">
        <v>0</v>
      </c>
      <c r="AL2143" t="str">
        <f>IF(AA2143="","",IFERROR(IF(ISNUMBER('Procyfloc 956A'!D144),'Procyfloc 956A'!D144,IF(ISNUMBER(SEARCH("12",'Procyfloc 956A'!D144)),EDATE(AB2143,12),IF(ISNUMBER(SEARCH("6",'Procyfloc 956A'!D144)),EDATE(AB2143,6),IF(ISNUMBER(SEARCH("3",'Procyfloc 956A'!D144)),EDATE(AB2143,3),DATEVALUE('Procyfloc 956A'!D144))))),""))</f>
        <v/>
      </c>
      <c r="AM2143" t="str">
        <f t="shared" ca="1" si="220"/>
        <v/>
      </c>
    </row>
    <row r="2144" spans="27:39" x14ac:dyDescent="0.3">
      <c r="AA2144" t="str">
        <f>IF(COUNTA('Procyfloc 956A'!A145,'Procyfloc 956A'!B145,'Procyfloc 956A'!C145)&gt;0,"956A","")</f>
        <v/>
      </c>
      <c r="AB2144" t="str">
        <f>IFERROR(IF(ISNUMBER('Procyfloc 956A'!A145),'Procyfloc 956A'!A145,DATEVALUE('Procyfloc 956A'!A145)),"")</f>
        <v/>
      </c>
      <c r="AC2144" t="str">
        <f>IF(AA2144="","",'Procyfloc 956A'!B145)</f>
        <v/>
      </c>
      <c r="AD2144" t="str">
        <f>IF(AA2144="","",IFERROR(1*'Procyfloc 956A'!C145,IFERROR(_xludf.NUMBERVALUE('Procyfloc 956A'!C145,".",","),IFERROR(_xludf.NUMBERVALUE('Procyfloc 956A'!C145,",","."),0))))</f>
        <v/>
      </c>
      <c r="AE2144" t="str">
        <f>IF(AA2144="","",'Procyfloc 956A'!L145)</f>
        <v/>
      </c>
      <c r="AF2144">
        <f t="shared" si="215"/>
        <v>0</v>
      </c>
      <c r="AG2144" t="str">
        <f t="shared" si="216"/>
        <v/>
      </c>
      <c r="AH2144" t="str">
        <f t="shared" si="217"/>
        <v/>
      </c>
      <c r="AI2144">
        <f t="shared" si="218"/>
        <v>0</v>
      </c>
      <c r="AJ2144">
        <f t="shared" si="219"/>
        <v>0</v>
      </c>
      <c r="AK2144">
        <v>0</v>
      </c>
      <c r="AL2144" t="str">
        <f>IF(AA2144="","",IFERROR(IF(ISNUMBER('Procyfloc 956A'!D145),'Procyfloc 956A'!D145,IF(ISNUMBER(SEARCH("12",'Procyfloc 956A'!D145)),EDATE(AB2144,12),IF(ISNUMBER(SEARCH("6",'Procyfloc 956A'!D145)),EDATE(AB2144,6),IF(ISNUMBER(SEARCH("3",'Procyfloc 956A'!D145)),EDATE(AB2144,3),DATEVALUE('Procyfloc 956A'!D145))))),""))</f>
        <v/>
      </c>
      <c r="AM2144" t="str">
        <f t="shared" ca="1" si="220"/>
        <v/>
      </c>
    </row>
    <row r="2145" spans="27:39" x14ac:dyDescent="0.3">
      <c r="AA2145" t="str">
        <f>IF(COUNTA('Procyfloc 956A'!A146,'Procyfloc 956A'!B146,'Procyfloc 956A'!C146)&gt;0,"956A","")</f>
        <v/>
      </c>
      <c r="AB2145" t="str">
        <f>IFERROR(IF(ISNUMBER('Procyfloc 956A'!A146),'Procyfloc 956A'!A146,DATEVALUE('Procyfloc 956A'!A146)),"")</f>
        <v/>
      </c>
      <c r="AC2145" t="str">
        <f>IF(AA2145="","",'Procyfloc 956A'!B146)</f>
        <v/>
      </c>
      <c r="AD2145" t="str">
        <f>IF(AA2145="","",IFERROR(1*'Procyfloc 956A'!C146,IFERROR(_xludf.NUMBERVALUE('Procyfloc 956A'!C146,".",","),IFERROR(_xludf.NUMBERVALUE('Procyfloc 956A'!C146,",","."),0))))</f>
        <v/>
      </c>
      <c r="AE2145" t="str">
        <f>IF(AA2145="","",'Procyfloc 956A'!L146)</f>
        <v/>
      </c>
      <c r="AF2145">
        <f t="shared" si="215"/>
        <v>0</v>
      </c>
      <c r="AG2145" t="str">
        <f t="shared" si="216"/>
        <v/>
      </c>
      <c r="AH2145" t="str">
        <f t="shared" si="217"/>
        <v/>
      </c>
      <c r="AI2145">
        <f t="shared" si="218"/>
        <v>0</v>
      </c>
      <c r="AJ2145">
        <f t="shared" si="219"/>
        <v>0</v>
      </c>
      <c r="AK2145">
        <v>0</v>
      </c>
      <c r="AL2145" t="str">
        <f>IF(AA2145="","",IFERROR(IF(ISNUMBER('Procyfloc 956A'!D146),'Procyfloc 956A'!D146,IF(ISNUMBER(SEARCH("12",'Procyfloc 956A'!D146)),EDATE(AB2145,12),IF(ISNUMBER(SEARCH("6",'Procyfloc 956A'!D146)),EDATE(AB2145,6),IF(ISNUMBER(SEARCH("3",'Procyfloc 956A'!D146)),EDATE(AB2145,3),DATEVALUE('Procyfloc 956A'!D146))))),""))</f>
        <v/>
      </c>
      <c r="AM2145" t="str">
        <f t="shared" ca="1" si="220"/>
        <v/>
      </c>
    </row>
    <row r="2146" spans="27:39" x14ac:dyDescent="0.3">
      <c r="AA2146" t="str">
        <f>IF(COUNTA('Procyfloc 956A'!A147,'Procyfloc 956A'!B147,'Procyfloc 956A'!C147)&gt;0,"956A","")</f>
        <v/>
      </c>
      <c r="AB2146" t="str">
        <f>IFERROR(IF(ISNUMBER('Procyfloc 956A'!A147),'Procyfloc 956A'!A147,DATEVALUE('Procyfloc 956A'!A147)),"")</f>
        <v/>
      </c>
      <c r="AC2146" t="str">
        <f>IF(AA2146="","",'Procyfloc 956A'!B147)</f>
        <v/>
      </c>
      <c r="AD2146" t="str">
        <f>IF(AA2146="","",IFERROR(1*'Procyfloc 956A'!C147,IFERROR(_xludf.NUMBERVALUE('Procyfloc 956A'!C147,".",","),IFERROR(_xludf.NUMBERVALUE('Procyfloc 956A'!C147,",","."),0))))</f>
        <v/>
      </c>
      <c r="AE2146" t="str">
        <f>IF(AA2146="","",'Procyfloc 956A'!L147)</f>
        <v/>
      </c>
      <c r="AF2146">
        <f t="shared" si="215"/>
        <v>0</v>
      </c>
      <c r="AG2146" t="str">
        <f t="shared" si="216"/>
        <v/>
      </c>
      <c r="AH2146" t="str">
        <f t="shared" si="217"/>
        <v/>
      </c>
      <c r="AI2146">
        <f t="shared" si="218"/>
        <v>0</v>
      </c>
      <c r="AJ2146">
        <f t="shared" si="219"/>
        <v>0</v>
      </c>
      <c r="AK2146">
        <v>0</v>
      </c>
      <c r="AL2146" t="str">
        <f>IF(AA2146="","",IFERROR(IF(ISNUMBER('Procyfloc 956A'!D147),'Procyfloc 956A'!D147,IF(ISNUMBER(SEARCH("12",'Procyfloc 956A'!D147)),EDATE(AB2146,12),IF(ISNUMBER(SEARCH("6",'Procyfloc 956A'!D147)),EDATE(AB2146,6),IF(ISNUMBER(SEARCH("3",'Procyfloc 956A'!D147)),EDATE(AB2146,3),DATEVALUE('Procyfloc 956A'!D147))))),""))</f>
        <v/>
      </c>
      <c r="AM2146" t="str">
        <f t="shared" ca="1" si="220"/>
        <v/>
      </c>
    </row>
    <row r="2147" spans="27:39" x14ac:dyDescent="0.3">
      <c r="AA2147" t="str">
        <f>IF(COUNTA('Procyfloc 956A'!A148,'Procyfloc 956A'!B148,'Procyfloc 956A'!C148)&gt;0,"956A","")</f>
        <v/>
      </c>
      <c r="AB2147" t="str">
        <f>IFERROR(IF(ISNUMBER('Procyfloc 956A'!A148),'Procyfloc 956A'!A148,DATEVALUE('Procyfloc 956A'!A148)),"")</f>
        <v/>
      </c>
      <c r="AC2147" t="str">
        <f>IF(AA2147="","",'Procyfloc 956A'!B148)</f>
        <v/>
      </c>
      <c r="AD2147" t="str">
        <f>IF(AA2147="","",IFERROR(1*'Procyfloc 956A'!C148,IFERROR(_xludf.NUMBERVALUE('Procyfloc 956A'!C148,".",","),IFERROR(_xludf.NUMBERVALUE('Procyfloc 956A'!C148,",","."),0))))</f>
        <v/>
      </c>
      <c r="AE2147" t="str">
        <f>IF(AA2147="","",'Procyfloc 956A'!L148)</f>
        <v/>
      </c>
      <c r="AF2147">
        <f t="shared" si="215"/>
        <v>0</v>
      </c>
      <c r="AG2147" t="str">
        <f t="shared" si="216"/>
        <v/>
      </c>
      <c r="AH2147" t="str">
        <f t="shared" si="217"/>
        <v/>
      </c>
      <c r="AI2147">
        <f t="shared" si="218"/>
        <v>0</v>
      </c>
      <c r="AJ2147">
        <f t="shared" si="219"/>
        <v>0</v>
      </c>
      <c r="AK2147">
        <v>0</v>
      </c>
      <c r="AL2147" t="str">
        <f>IF(AA2147="","",IFERROR(IF(ISNUMBER('Procyfloc 956A'!D148),'Procyfloc 956A'!D148,IF(ISNUMBER(SEARCH("12",'Procyfloc 956A'!D148)),EDATE(AB2147,12),IF(ISNUMBER(SEARCH("6",'Procyfloc 956A'!D148)),EDATE(AB2147,6),IF(ISNUMBER(SEARCH("3",'Procyfloc 956A'!D148)),EDATE(AB2147,3),DATEVALUE('Procyfloc 956A'!D148))))),""))</f>
        <v/>
      </c>
      <c r="AM2147" t="str">
        <f t="shared" ca="1" si="220"/>
        <v/>
      </c>
    </row>
    <row r="2148" spans="27:39" x14ac:dyDescent="0.3">
      <c r="AA2148" t="str">
        <f>IF(COUNTA('Procyfloc 956A'!A149,'Procyfloc 956A'!B149,'Procyfloc 956A'!C149)&gt;0,"956A","")</f>
        <v/>
      </c>
      <c r="AB2148" t="str">
        <f>IFERROR(IF(ISNUMBER('Procyfloc 956A'!A149),'Procyfloc 956A'!A149,DATEVALUE('Procyfloc 956A'!A149)),"")</f>
        <v/>
      </c>
      <c r="AC2148" t="str">
        <f>IF(AA2148="","",'Procyfloc 956A'!B149)</f>
        <v/>
      </c>
      <c r="AD2148" t="str">
        <f>IF(AA2148="","",IFERROR(1*'Procyfloc 956A'!C149,IFERROR(_xludf.NUMBERVALUE('Procyfloc 956A'!C149,".",","),IFERROR(_xludf.NUMBERVALUE('Procyfloc 956A'!C149,",","."),0))))</f>
        <v/>
      </c>
      <c r="AE2148" t="str">
        <f>IF(AA2148="","",'Procyfloc 956A'!L149)</f>
        <v/>
      </c>
      <c r="AF2148">
        <f t="shared" si="215"/>
        <v>0</v>
      </c>
      <c r="AG2148" t="str">
        <f t="shared" si="216"/>
        <v/>
      </c>
      <c r="AH2148" t="str">
        <f t="shared" si="217"/>
        <v/>
      </c>
      <c r="AI2148">
        <f t="shared" si="218"/>
        <v>0</v>
      </c>
      <c r="AJ2148">
        <f t="shared" si="219"/>
        <v>0</v>
      </c>
      <c r="AK2148">
        <v>0</v>
      </c>
      <c r="AL2148" t="str">
        <f>IF(AA2148="","",IFERROR(IF(ISNUMBER('Procyfloc 956A'!D149),'Procyfloc 956A'!D149,IF(ISNUMBER(SEARCH("12",'Procyfloc 956A'!D149)),EDATE(AB2148,12),IF(ISNUMBER(SEARCH("6",'Procyfloc 956A'!D149)),EDATE(AB2148,6),IF(ISNUMBER(SEARCH("3",'Procyfloc 956A'!D149)),EDATE(AB2148,3),DATEVALUE('Procyfloc 956A'!D149))))),""))</f>
        <v/>
      </c>
      <c r="AM2148" t="str">
        <f t="shared" ca="1" si="220"/>
        <v/>
      </c>
    </row>
    <row r="2149" spans="27:39" x14ac:dyDescent="0.3">
      <c r="AA2149" t="str">
        <f>IF(COUNTA('Procyfloc 956A'!A150,'Procyfloc 956A'!B150,'Procyfloc 956A'!C150)&gt;0,"956A","")</f>
        <v/>
      </c>
      <c r="AB2149" t="str">
        <f>IFERROR(IF(ISNUMBER('Procyfloc 956A'!A150),'Procyfloc 956A'!A150,DATEVALUE('Procyfloc 956A'!A150)),"")</f>
        <v/>
      </c>
      <c r="AC2149" t="str">
        <f>IF(AA2149="","",'Procyfloc 956A'!B150)</f>
        <v/>
      </c>
      <c r="AD2149" t="str">
        <f>IF(AA2149="","",IFERROR(1*'Procyfloc 956A'!C150,IFERROR(_xludf.NUMBERVALUE('Procyfloc 956A'!C150,".",","),IFERROR(_xludf.NUMBERVALUE('Procyfloc 956A'!C150,",","."),0))))</f>
        <v/>
      </c>
      <c r="AE2149" t="str">
        <f>IF(AA2149="","",'Procyfloc 956A'!L150)</f>
        <v/>
      </c>
      <c r="AF2149">
        <f t="shared" si="215"/>
        <v>0</v>
      </c>
      <c r="AG2149" t="str">
        <f t="shared" si="216"/>
        <v/>
      </c>
      <c r="AH2149" t="str">
        <f t="shared" si="217"/>
        <v/>
      </c>
      <c r="AI2149">
        <f t="shared" si="218"/>
        <v>0</v>
      </c>
      <c r="AJ2149">
        <f t="shared" si="219"/>
        <v>0</v>
      </c>
      <c r="AK2149">
        <v>0</v>
      </c>
      <c r="AL2149" t="str">
        <f>IF(AA2149="","",IFERROR(IF(ISNUMBER('Procyfloc 956A'!D150),'Procyfloc 956A'!D150,IF(ISNUMBER(SEARCH("12",'Procyfloc 956A'!D150)),EDATE(AB2149,12),IF(ISNUMBER(SEARCH("6",'Procyfloc 956A'!D150)),EDATE(AB2149,6),IF(ISNUMBER(SEARCH("3",'Procyfloc 956A'!D150)),EDATE(AB2149,3),DATEVALUE('Procyfloc 956A'!D150))))),""))</f>
        <v/>
      </c>
      <c r="AM2149" t="str">
        <f t="shared" ca="1" si="220"/>
        <v/>
      </c>
    </row>
    <row r="2150" spans="27:39" x14ac:dyDescent="0.3">
      <c r="AA2150" t="str">
        <f>IF(COUNTA('Procyfloc 956A'!A151,'Procyfloc 956A'!B151,'Procyfloc 956A'!C151)&gt;0,"956A","")</f>
        <v/>
      </c>
      <c r="AB2150" t="str">
        <f>IFERROR(IF(ISNUMBER('Procyfloc 956A'!A151),'Procyfloc 956A'!A151,DATEVALUE('Procyfloc 956A'!A151)),"")</f>
        <v/>
      </c>
      <c r="AC2150" t="str">
        <f>IF(AA2150="","",'Procyfloc 956A'!B151)</f>
        <v/>
      </c>
      <c r="AD2150" t="str">
        <f>IF(AA2150="","",IFERROR(1*'Procyfloc 956A'!C151,IFERROR(_xludf.NUMBERVALUE('Procyfloc 956A'!C151,".",","),IFERROR(_xludf.NUMBERVALUE('Procyfloc 956A'!C151,",","."),0))))</f>
        <v/>
      </c>
      <c r="AE2150" t="str">
        <f>IF(AA2150="","",'Procyfloc 956A'!L151)</f>
        <v/>
      </c>
      <c r="AF2150">
        <f t="shared" si="215"/>
        <v>0</v>
      </c>
      <c r="AG2150" t="str">
        <f t="shared" si="216"/>
        <v/>
      </c>
      <c r="AH2150" t="str">
        <f t="shared" si="217"/>
        <v/>
      </c>
      <c r="AI2150">
        <f t="shared" si="218"/>
        <v>0</v>
      </c>
      <c r="AJ2150">
        <f t="shared" si="219"/>
        <v>0</v>
      </c>
      <c r="AK2150">
        <v>0</v>
      </c>
      <c r="AL2150" t="str">
        <f>IF(AA2150="","",IFERROR(IF(ISNUMBER('Procyfloc 956A'!D151),'Procyfloc 956A'!D151,IF(ISNUMBER(SEARCH("12",'Procyfloc 956A'!D151)),EDATE(AB2150,12),IF(ISNUMBER(SEARCH("6",'Procyfloc 956A'!D151)),EDATE(AB2150,6),IF(ISNUMBER(SEARCH("3",'Procyfloc 956A'!D151)),EDATE(AB2150,3),DATEVALUE('Procyfloc 956A'!D151))))),""))</f>
        <v/>
      </c>
      <c r="AM2150" t="str">
        <f t="shared" ca="1" si="220"/>
        <v/>
      </c>
    </row>
    <row r="2151" spans="27:39" x14ac:dyDescent="0.3">
      <c r="AA2151" t="str">
        <f>IF(COUNTA('Procyfloc 956A'!A152,'Procyfloc 956A'!B152,'Procyfloc 956A'!C152)&gt;0,"956A","")</f>
        <v/>
      </c>
      <c r="AB2151" t="str">
        <f>IFERROR(IF(ISNUMBER('Procyfloc 956A'!A152),'Procyfloc 956A'!A152,DATEVALUE('Procyfloc 956A'!A152)),"")</f>
        <v/>
      </c>
      <c r="AC2151" t="str">
        <f>IF(AA2151="","",'Procyfloc 956A'!B152)</f>
        <v/>
      </c>
      <c r="AD2151" t="str">
        <f>IF(AA2151="","",IFERROR(1*'Procyfloc 956A'!C152,IFERROR(_xludf.NUMBERVALUE('Procyfloc 956A'!C152,".",","),IFERROR(_xludf.NUMBERVALUE('Procyfloc 956A'!C152,",","."),0))))</f>
        <v/>
      </c>
      <c r="AE2151" t="str">
        <f>IF(AA2151="","",'Procyfloc 956A'!L152)</f>
        <v/>
      </c>
      <c r="AF2151">
        <f t="shared" si="215"/>
        <v>0</v>
      </c>
      <c r="AG2151" t="str">
        <f t="shared" si="216"/>
        <v/>
      </c>
      <c r="AH2151" t="str">
        <f t="shared" si="217"/>
        <v/>
      </c>
      <c r="AI2151">
        <f t="shared" si="218"/>
        <v>0</v>
      </c>
      <c r="AJ2151">
        <f t="shared" si="219"/>
        <v>0</v>
      </c>
      <c r="AK2151">
        <v>0</v>
      </c>
      <c r="AL2151" t="str">
        <f>IF(AA2151="","",IFERROR(IF(ISNUMBER('Procyfloc 956A'!D152),'Procyfloc 956A'!D152,IF(ISNUMBER(SEARCH("12",'Procyfloc 956A'!D152)),EDATE(AB2151,12),IF(ISNUMBER(SEARCH("6",'Procyfloc 956A'!D152)),EDATE(AB2151,6),IF(ISNUMBER(SEARCH("3",'Procyfloc 956A'!D152)),EDATE(AB2151,3),DATEVALUE('Procyfloc 956A'!D152))))),""))</f>
        <v/>
      </c>
      <c r="AM2151" t="str">
        <f t="shared" ca="1" si="220"/>
        <v/>
      </c>
    </row>
    <row r="2152" spans="27:39" x14ac:dyDescent="0.3">
      <c r="AA2152" t="str">
        <f>IF(COUNTA('Procyfloc 956A'!A153,'Procyfloc 956A'!B153,'Procyfloc 956A'!C153)&gt;0,"956A","")</f>
        <v/>
      </c>
      <c r="AB2152" t="str">
        <f>IFERROR(IF(ISNUMBER('Procyfloc 956A'!A153),'Procyfloc 956A'!A153,DATEVALUE('Procyfloc 956A'!A153)),"")</f>
        <v/>
      </c>
      <c r="AC2152" t="str">
        <f>IF(AA2152="","",'Procyfloc 956A'!B153)</f>
        <v/>
      </c>
      <c r="AD2152" t="str">
        <f>IF(AA2152="","",IFERROR(1*'Procyfloc 956A'!C153,IFERROR(_xludf.NUMBERVALUE('Procyfloc 956A'!C153,".",","),IFERROR(_xludf.NUMBERVALUE('Procyfloc 956A'!C153,",","."),0))))</f>
        <v/>
      </c>
      <c r="AE2152" t="str">
        <f>IF(AA2152="","",'Procyfloc 956A'!L153)</f>
        <v/>
      </c>
      <c r="AF2152">
        <f t="shared" si="215"/>
        <v>0</v>
      </c>
      <c r="AG2152" t="str">
        <f t="shared" si="216"/>
        <v/>
      </c>
      <c r="AH2152" t="str">
        <f t="shared" si="217"/>
        <v/>
      </c>
      <c r="AI2152">
        <f t="shared" si="218"/>
        <v>0</v>
      </c>
      <c r="AJ2152">
        <f t="shared" si="219"/>
        <v>0</v>
      </c>
      <c r="AK2152">
        <v>0</v>
      </c>
      <c r="AL2152" t="str">
        <f>IF(AA2152="","",IFERROR(IF(ISNUMBER('Procyfloc 956A'!D153),'Procyfloc 956A'!D153,IF(ISNUMBER(SEARCH("12",'Procyfloc 956A'!D153)),EDATE(AB2152,12),IF(ISNUMBER(SEARCH("6",'Procyfloc 956A'!D153)),EDATE(AB2152,6),IF(ISNUMBER(SEARCH("3",'Procyfloc 956A'!D153)),EDATE(AB2152,3),DATEVALUE('Procyfloc 956A'!D153))))),""))</f>
        <v/>
      </c>
      <c r="AM2152" t="str">
        <f t="shared" ca="1" si="220"/>
        <v/>
      </c>
    </row>
    <row r="2153" spans="27:39" x14ac:dyDescent="0.3">
      <c r="AA2153" t="str">
        <f>IF(COUNTA('Procyfloc 956A'!A154,'Procyfloc 956A'!B154,'Procyfloc 956A'!C154)&gt;0,"956A","")</f>
        <v/>
      </c>
      <c r="AB2153" t="str">
        <f>IFERROR(IF(ISNUMBER('Procyfloc 956A'!A154),'Procyfloc 956A'!A154,DATEVALUE('Procyfloc 956A'!A154)),"")</f>
        <v/>
      </c>
      <c r="AC2153" t="str">
        <f>IF(AA2153="","",'Procyfloc 956A'!B154)</f>
        <v/>
      </c>
      <c r="AD2153" t="str">
        <f>IF(AA2153="","",IFERROR(1*'Procyfloc 956A'!C154,IFERROR(_xludf.NUMBERVALUE('Procyfloc 956A'!C154,".",","),IFERROR(_xludf.NUMBERVALUE('Procyfloc 956A'!C154,",","."),0))))</f>
        <v/>
      </c>
      <c r="AE2153" t="str">
        <f>IF(AA2153="","",'Procyfloc 956A'!L154)</f>
        <v/>
      </c>
      <c r="AF2153">
        <f t="shared" si="215"/>
        <v>0</v>
      </c>
      <c r="AG2153" t="str">
        <f t="shared" si="216"/>
        <v/>
      </c>
      <c r="AH2153" t="str">
        <f t="shared" si="217"/>
        <v/>
      </c>
      <c r="AI2153">
        <f t="shared" si="218"/>
        <v>0</v>
      </c>
      <c r="AJ2153">
        <f t="shared" si="219"/>
        <v>0</v>
      </c>
      <c r="AK2153">
        <v>0</v>
      </c>
      <c r="AL2153" t="str">
        <f>IF(AA2153="","",IFERROR(IF(ISNUMBER('Procyfloc 956A'!D154),'Procyfloc 956A'!D154,IF(ISNUMBER(SEARCH("12",'Procyfloc 956A'!D154)),EDATE(AB2153,12),IF(ISNUMBER(SEARCH("6",'Procyfloc 956A'!D154)),EDATE(AB2153,6),IF(ISNUMBER(SEARCH("3",'Procyfloc 956A'!D154)),EDATE(AB2153,3),DATEVALUE('Procyfloc 956A'!D154))))),""))</f>
        <v/>
      </c>
      <c r="AM2153" t="str">
        <f t="shared" ca="1" si="220"/>
        <v/>
      </c>
    </row>
    <row r="2154" spans="27:39" x14ac:dyDescent="0.3">
      <c r="AA2154" t="str">
        <f>IF(COUNTA('Procyfloc 956A'!A155,'Procyfloc 956A'!B155,'Procyfloc 956A'!C155)&gt;0,"956A","")</f>
        <v/>
      </c>
      <c r="AB2154" t="str">
        <f>IFERROR(IF(ISNUMBER('Procyfloc 956A'!A155),'Procyfloc 956A'!A155,DATEVALUE('Procyfloc 956A'!A155)),"")</f>
        <v/>
      </c>
      <c r="AC2154" t="str">
        <f>IF(AA2154="","",'Procyfloc 956A'!B155)</f>
        <v/>
      </c>
      <c r="AD2154" t="str">
        <f>IF(AA2154="","",IFERROR(1*'Procyfloc 956A'!C155,IFERROR(_xludf.NUMBERVALUE('Procyfloc 956A'!C155,".",","),IFERROR(_xludf.NUMBERVALUE('Procyfloc 956A'!C155,",","."),0))))</f>
        <v/>
      </c>
      <c r="AE2154" t="str">
        <f>IF(AA2154="","",'Procyfloc 956A'!L155)</f>
        <v/>
      </c>
      <c r="AF2154">
        <f t="shared" si="215"/>
        <v>0</v>
      </c>
      <c r="AG2154" t="str">
        <f t="shared" si="216"/>
        <v/>
      </c>
      <c r="AH2154" t="str">
        <f t="shared" si="217"/>
        <v/>
      </c>
      <c r="AI2154">
        <f t="shared" si="218"/>
        <v>0</v>
      </c>
      <c r="AJ2154">
        <f t="shared" si="219"/>
        <v>0</v>
      </c>
      <c r="AK2154">
        <v>0</v>
      </c>
      <c r="AL2154" t="str">
        <f>IF(AA2154="","",IFERROR(IF(ISNUMBER('Procyfloc 956A'!D155),'Procyfloc 956A'!D155,IF(ISNUMBER(SEARCH("12",'Procyfloc 956A'!D155)),EDATE(AB2154,12),IF(ISNUMBER(SEARCH("6",'Procyfloc 956A'!D155)),EDATE(AB2154,6),IF(ISNUMBER(SEARCH("3",'Procyfloc 956A'!D155)),EDATE(AB2154,3),DATEVALUE('Procyfloc 956A'!D155))))),""))</f>
        <v/>
      </c>
      <c r="AM2154" t="str">
        <f t="shared" ca="1" si="220"/>
        <v/>
      </c>
    </row>
    <row r="2155" spans="27:39" x14ac:dyDescent="0.3">
      <c r="AA2155" t="str">
        <f>IF(COUNTA('Procyfloc 956A'!A156,'Procyfloc 956A'!B156,'Procyfloc 956A'!C156)&gt;0,"956A","")</f>
        <v/>
      </c>
      <c r="AB2155" t="str">
        <f>IFERROR(IF(ISNUMBER('Procyfloc 956A'!A156),'Procyfloc 956A'!A156,DATEVALUE('Procyfloc 956A'!A156)),"")</f>
        <v/>
      </c>
      <c r="AC2155" t="str">
        <f>IF(AA2155="","",'Procyfloc 956A'!B156)</f>
        <v/>
      </c>
      <c r="AD2155" t="str">
        <f>IF(AA2155="","",IFERROR(1*'Procyfloc 956A'!C156,IFERROR(_xludf.NUMBERVALUE('Procyfloc 956A'!C156,".",","),IFERROR(_xludf.NUMBERVALUE('Procyfloc 956A'!C156,",","."),0))))</f>
        <v/>
      </c>
      <c r="AE2155" t="str">
        <f>IF(AA2155="","",'Procyfloc 956A'!L156)</f>
        <v/>
      </c>
      <c r="AF2155">
        <f t="shared" si="215"/>
        <v>0</v>
      </c>
      <c r="AG2155" t="str">
        <f t="shared" si="216"/>
        <v/>
      </c>
      <c r="AH2155" t="str">
        <f t="shared" si="217"/>
        <v/>
      </c>
      <c r="AI2155">
        <f t="shared" si="218"/>
        <v>0</v>
      </c>
      <c r="AJ2155">
        <f t="shared" si="219"/>
        <v>0</v>
      </c>
      <c r="AK2155">
        <v>0</v>
      </c>
      <c r="AL2155" t="str">
        <f>IF(AA2155="","",IFERROR(IF(ISNUMBER('Procyfloc 956A'!D156),'Procyfloc 956A'!D156,IF(ISNUMBER(SEARCH("12",'Procyfloc 956A'!D156)),EDATE(AB2155,12),IF(ISNUMBER(SEARCH("6",'Procyfloc 956A'!D156)),EDATE(AB2155,6),IF(ISNUMBER(SEARCH("3",'Procyfloc 956A'!D156)),EDATE(AB2155,3),DATEVALUE('Procyfloc 956A'!D156))))),""))</f>
        <v/>
      </c>
      <c r="AM2155" t="str">
        <f t="shared" ca="1" si="220"/>
        <v/>
      </c>
    </row>
    <row r="2156" spans="27:39" x14ac:dyDescent="0.3">
      <c r="AA2156" t="str">
        <f>IF(COUNTA('Procyfloc 956A'!A157,'Procyfloc 956A'!B157,'Procyfloc 956A'!C157)&gt;0,"956A","")</f>
        <v/>
      </c>
      <c r="AB2156" t="str">
        <f>IFERROR(IF(ISNUMBER('Procyfloc 956A'!A157),'Procyfloc 956A'!A157,DATEVALUE('Procyfloc 956A'!A157)),"")</f>
        <v/>
      </c>
      <c r="AC2156" t="str">
        <f>IF(AA2156="","",'Procyfloc 956A'!B157)</f>
        <v/>
      </c>
      <c r="AD2156" t="str">
        <f>IF(AA2156="","",IFERROR(1*'Procyfloc 956A'!C157,IFERROR(_xludf.NUMBERVALUE('Procyfloc 956A'!C157,".",","),IFERROR(_xludf.NUMBERVALUE('Procyfloc 956A'!C157,",","."),0))))</f>
        <v/>
      </c>
      <c r="AE2156" t="str">
        <f>IF(AA2156="","",'Procyfloc 956A'!L157)</f>
        <v/>
      </c>
      <c r="AF2156">
        <f t="shared" si="215"/>
        <v>0</v>
      </c>
      <c r="AG2156" t="str">
        <f t="shared" si="216"/>
        <v/>
      </c>
      <c r="AH2156" t="str">
        <f t="shared" si="217"/>
        <v/>
      </c>
      <c r="AI2156">
        <f t="shared" si="218"/>
        <v>0</v>
      </c>
      <c r="AJ2156">
        <f t="shared" si="219"/>
        <v>0</v>
      </c>
      <c r="AK2156">
        <v>0</v>
      </c>
      <c r="AL2156" t="str">
        <f>IF(AA2156="","",IFERROR(IF(ISNUMBER('Procyfloc 956A'!D157),'Procyfloc 956A'!D157,IF(ISNUMBER(SEARCH("12",'Procyfloc 956A'!D157)),EDATE(AB2156,12),IF(ISNUMBER(SEARCH("6",'Procyfloc 956A'!D157)),EDATE(AB2156,6),IF(ISNUMBER(SEARCH("3",'Procyfloc 956A'!D157)),EDATE(AB2156,3),DATEVALUE('Procyfloc 956A'!D157))))),""))</f>
        <v/>
      </c>
      <c r="AM2156" t="str">
        <f t="shared" ca="1" si="220"/>
        <v/>
      </c>
    </row>
    <row r="2157" spans="27:39" x14ac:dyDescent="0.3">
      <c r="AA2157" t="str">
        <f>IF(COUNTA('Procyfloc 956A'!A158,'Procyfloc 956A'!B158,'Procyfloc 956A'!C158)&gt;0,"956A","")</f>
        <v/>
      </c>
      <c r="AB2157" t="str">
        <f>IFERROR(IF(ISNUMBER('Procyfloc 956A'!A158),'Procyfloc 956A'!A158,DATEVALUE('Procyfloc 956A'!A158)),"")</f>
        <v/>
      </c>
      <c r="AC2157" t="str">
        <f>IF(AA2157="","",'Procyfloc 956A'!B158)</f>
        <v/>
      </c>
      <c r="AD2157" t="str">
        <f>IF(AA2157="","",IFERROR(1*'Procyfloc 956A'!C158,IFERROR(_xludf.NUMBERVALUE('Procyfloc 956A'!C158,".",","),IFERROR(_xludf.NUMBERVALUE('Procyfloc 956A'!C158,",","."),0))))</f>
        <v/>
      </c>
      <c r="AE2157" t="str">
        <f>IF(AA2157="","",'Procyfloc 956A'!L158)</f>
        <v/>
      </c>
      <c r="AF2157">
        <f t="shared" si="215"/>
        <v>0</v>
      </c>
      <c r="AG2157" t="str">
        <f t="shared" si="216"/>
        <v/>
      </c>
      <c r="AH2157" t="str">
        <f t="shared" si="217"/>
        <v/>
      </c>
      <c r="AI2157">
        <f t="shared" si="218"/>
        <v>0</v>
      </c>
      <c r="AJ2157">
        <f t="shared" si="219"/>
        <v>0</v>
      </c>
      <c r="AK2157">
        <v>0</v>
      </c>
      <c r="AL2157" t="str">
        <f>IF(AA2157="","",IFERROR(IF(ISNUMBER('Procyfloc 956A'!D158),'Procyfloc 956A'!D158,IF(ISNUMBER(SEARCH("12",'Procyfloc 956A'!D158)),EDATE(AB2157,12),IF(ISNUMBER(SEARCH("6",'Procyfloc 956A'!D158)),EDATE(AB2157,6),IF(ISNUMBER(SEARCH("3",'Procyfloc 956A'!D158)),EDATE(AB2157,3),DATEVALUE('Procyfloc 956A'!D158))))),""))</f>
        <v/>
      </c>
      <c r="AM2157" t="str">
        <f t="shared" ca="1" si="220"/>
        <v/>
      </c>
    </row>
    <row r="2158" spans="27:39" x14ac:dyDescent="0.3">
      <c r="AA2158" t="str">
        <f>IF(COUNTA('Procyfloc 956A'!A159,'Procyfloc 956A'!B159,'Procyfloc 956A'!C159)&gt;0,"956A","")</f>
        <v/>
      </c>
      <c r="AB2158" t="str">
        <f>IFERROR(IF(ISNUMBER('Procyfloc 956A'!A159),'Procyfloc 956A'!A159,DATEVALUE('Procyfloc 956A'!A159)),"")</f>
        <v/>
      </c>
      <c r="AC2158" t="str">
        <f>IF(AA2158="","",'Procyfloc 956A'!B159)</f>
        <v/>
      </c>
      <c r="AD2158" t="str">
        <f>IF(AA2158="","",IFERROR(1*'Procyfloc 956A'!C159,IFERROR(_xludf.NUMBERVALUE('Procyfloc 956A'!C159,".",","),IFERROR(_xludf.NUMBERVALUE('Procyfloc 956A'!C159,",","."),0))))</f>
        <v/>
      </c>
      <c r="AE2158" t="str">
        <f>IF(AA2158="","",'Procyfloc 956A'!L159)</f>
        <v/>
      </c>
      <c r="AF2158">
        <f t="shared" si="215"/>
        <v>0</v>
      </c>
      <c r="AG2158" t="str">
        <f t="shared" si="216"/>
        <v/>
      </c>
      <c r="AH2158" t="str">
        <f t="shared" si="217"/>
        <v/>
      </c>
      <c r="AI2158">
        <f t="shared" si="218"/>
        <v>0</v>
      </c>
      <c r="AJ2158">
        <f t="shared" si="219"/>
        <v>0</v>
      </c>
      <c r="AK2158">
        <v>0</v>
      </c>
      <c r="AL2158" t="str">
        <f>IF(AA2158="","",IFERROR(IF(ISNUMBER('Procyfloc 956A'!D159),'Procyfloc 956A'!D159,IF(ISNUMBER(SEARCH("12",'Procyfloc 956A'!D159)),EDATE(AB2158,12),IF(ISNUMBER(SEARCH("6",'Procyfloc 956A'!D159)),EDATE(AB2158,6),IF(ISNUMBER(SEARCH("3",'Procyfloc 956A'!D159)),EDATE(AB2158,3),DATEVALUE('Procyfloc 956A'!D159))))),""))</f>
        <v/>
      </c>
      <c r="AM2158" t="str">
        <f t="shared" ca="1" si="220"/>
        <v/>
      </c>
    </row>
    <row r="2159" spans="27:39" x14ac:dyDescent="0.3">
      <c r="AA2159" t="str">
        <f>IF(COUNTA('Procyfloc 956A'!A160,'Procyfloc 956A'!B160,'Procyfloc 956A'!C160)&gt;0,"956A","")</f>
        <v/>
      </c>
      <c r="AB2159" t="str">
        <f>IFERROR(IF(ISNUMBER('Procyfloc 956A'!A160),'Procyfloc 956A'!A160,DATEVALUE('Procyfloc 956A'!A160)),"")</f>
        <v/>
      </c>
      <c r="AC2159" t="str">
        <f>IF(AA2159="","",'Procyfloc 956A'!B160)</f>
        <v/>
      </c>
      <c r="AD2159" t="str">
        <f>IF(AA2159="","",IFERROR(1*'Procyfloc 956A'!C160,IFERROR(_xludf.NUMBERVALUE('Procyfloc 956A'!C160,".",","),IFERROR(_xludf.NUMBERVALUE('Procyfloc 956A'!C160,",","."),0))))</f>
        <v/>
      </c>
      <c r="AE2159" t="str">
        <f>IF(AA2159="","",'Procyfloc 956A'!L160)</f>
        <v/>
      </c>
      <c r="AF2159">
        <f t="shared" si="215"/>
        <v>0</v>
      </c>
      <c r="AG2159" t="str">
        <f t="shared" si="216"/>
        <v/>
      </c>
      <c r="AH2159" t="str">
        <f t="shared" si="217"/>
        <v/>
      </c>
      <c r="AI2159">
        <f t="shared" si="218"/>
        <v>0</v>
      </c>
      <c r="AJ2159">
        <f t="shared" si="219"/>
        <v>0</v>
      </c>
      <c r="AK2159">
        <v>0</v>
      </c>
      <c r="AL2159" t="str">
        <f>IF(AA2159="","",IFERROR(IF(ISNUMBER('Procyfloc 956A'!D160),'Procyfloc 956A'!D160,IF(ISNUMBER(SEARCH("12",'Procyfloc 956A'!D160)),EDATE(AB2159,12),IF(ISNUMBER(SEARCH("6",'Procyfloc 956A'!D160)),EDATE(AB2159,6),IF(ISNUMBER(SEARCH("3",'Procyfloc 956A'!D160)),EDATE(AB2159,3),DATEVALUE('Procyfloc 956A'!D160))))),""))</f>
        <v/>
      </c>
      <c r="AM2159" t="str">
        <f t="shared" ca="1" si="220"/>
        <v/>
      </c>
    </row>
    <row r="2160" spans="27:39" x14ac:dyDescent="0.3">
      <c r="AA2160" t="str">
        <f>IF(COUNTA('Procyfloc 956A'!A161,'Procyfloc 956A'!B161,'Procyfloc 956A'!C161)&gt;0,"956A","")</f>
        <v/>
      </c>
      <c r="AB2160" t="str">
        <f>IFERROR(IF(ISNUMBER('Procyfloc 956A'!A161),'Procyfloc 956A'!A161,DATEVALUE('Procyfloc 956A'!A161)),"")</f>
        <v/>
      </c>
      <c r="AC2160" t="str">
        <f>IF(AA2160="","",'Procyfloc 956A'!B161)</f>
        <v/>
      </c>
      <c r="AD2160" t="str">
        <f>IF(AA2160="","",IFERROR(1*'Procyfloc 956A'!C161,IFERROR(_xludf.NUMBERVALUE('Procyfloc 956A'!C161,".",","),IFERROR(_xludf.NUMBERVALUE('Procyfloc 956A'!C161,",","."),0))))</f>
        <v/>
      </c>
      <c r="AE2160" t="str">
        <f>IF(AA2160="","",'Procyfloc 956A'!L161)</f>
        <v/>
      </c>
      <c r="AF2160">
        <f t="shared" si="215"/>
        <v>0</v>
      </c>
      <c r="AG2160" t="str">
        <f t="shared" si="216"/>
        <v/>
      </c>
      <c r="AH2160" t="str">
        <f t="shared" si="217"/>
        <v/>
      </c>
      <c r="AI2160">
        <f t="shared" si="218"/>
        <v>0</v>
      </c>
      <c r="AJ2160">
        <f t="shared" si="219"/>
        <v>0</v>
      </c>
      <c r="AK2160">
        <v>0</v>
      </c>
      <c r="AL2160" t="str">
        <f>IF(AA2160="","",IFERROR(IF(ISNUMBER('Procyfloc 956A'!D161),'Procyfloc 956A'!D161,IF(ISNUMBER(SEARCH("12",'Procyfloc 956A'!D161)),EDATE(AB2160,12),IF(ISNUMBER(SEARCH("6",'Procyfloc 956A'!D161)),EDATE(AB2160,6),IF(ISNUMBER(SEARCH("3",'Procyfloc 956A'!D161)),EDATE(AB2160,3),DATEVALUE('Procyfloc 956A'!D161))))),""))</f>
        <v/>
      </c>
      <c r="AM2160" t="str">
        <f t="shared" ca="1" si="220"/>
        <v/>
      </c>
    </row>
    <row r="2161" spans="27:39" x14ac:dyDescent="0.3">
      <c r="AA2161" t="str">
        <f>IF(COUNTA('Procyfloc 956A'!A162,'Procyfloc 956A'!B162,'Procyfloc 956A'!C162)&gt;0,"956A","")</f>
        <v/>
      </c>
      <c r="AB2161" t="str">
        <f>IFERROR(IF(ISNUMBER('Procyfloc 956A'!A162),'Procyfloc 956A'!A162,DATEVALUE('Procyfloc 956A'!A162)),"")</f>
        <v/>
      </c>
      <c r="AC2161" t="str">
        <f>IF(AA2161="","",'Procyfloc 956A'!B162)</f>
        <v/>
      </c>
      <c r="AD2161" t="str">
        <f>IF(AA2161="","",IFERROR(1*'Procyfloc 956A'!C162,IFERROR(_xludf.NUMBERVALUE('Procyfloc 956A'!C162,".",","),IFERROR(_xludf.NUMBERVALUE('Procyfloc 956A'!C162,",","."),0))))</f>
        <v/>
      </c>
      <c r="AE2161" t="str">
        <f>IF(AA2161="","",'Procyfloc 956A'!L162)</f>
        <v/>
      </c>
      <c r="AF2161">
        <f t="shared" si="215"/>
        <v>0</v>
      </c>
      <c r="AG2161" t="str">
        <f t="shared" si="216"/>
        <v/>
      </c>
      <c r="AH2161" t="str">
        <f t="shared" si="217"/>
        <v/>
      </c>
      <c r="AI2161">
        <f t="shared" si="218"/>
        <v>0</v>
      </c>
      <c r="AJ2161">
        <f t="shared" si="219"/>
        <v>0</v>
      </c>
      <c r="AK2161">
        <v>0</v>
      </c>
      <c r="AL2161" t="str">
        <f>IF(AA2161="","",IFERROR(IF(ISNUMBER('Procyfloc 956A'!D162),'Procyfloc 956A'!D162,IF(ISNUMBER(SEARCH("12",'Procyfloc 956A'!D162)),EDATE(AB2161,12),IF(ISNUMBER(SEARCH("6",'Procyfloc 956A'!D162)),EDATE(AB2161,6),IF(ISNUMBER(SEARCH("3",'Procyfloc 956A'!D162)),EDATE(AB2161,3),DATEVALUE('Procyfloc 956A'!D162))))),""))</f>
        <v/>
      </c>
      <c r="AM2161" t="str">
        <f t="shared" ca="1" si="220"/>
        <v/>
      </c>
    </row>
    <row r="2162" spans="27:39" x14ac:dyDescent="0.3">
      <c r="AA2162" t="str">
        <f>IF(COUNTA('Procyfloc 956A'!A163,'Procyfloc 956A'!B163,'Procyfloc 956A'!C163)&gt;0,"956A","")</f>
        <v/>
      </c>
      <c r="AB2162" t="str">
        <f>IFERROR(IF(ISNUMBER('Procyfloc 956A'!A163),'Procyfloc 956A'!A163,DATEVALUE('Procyfloc 956A'!A163)),"")</f>
        <v/>
      </c>
      <c r="AC2162" t="str">
        <f>IF(AA2162="","",'Procyfloc 956A'!B163)</f>
        <v/>
      </c>
      <c r="AD2162" t="str">
        <f>IF(AA2162="","",IFERROR(1*'Procyfloc 956A'!C163,IFERROR(_xludf.NUMBERVALUE('Procyfloc 956A'!C163,".",","),IFERROR(_xludf.NUMBERVALUE('Procyfloc 956A'!C163,",","."),0))))</f>
        <v/>
      </c>
      <c r="AE2162" t="str">
        <f>IF(AA2162="","",'Procyfloc 956A'!L163)</f>
        <v/>
      </c>
      <c r="AF2162">
        <f t="shared" si="215"/>
        <v>0</v>
      </c>
      <c r="AG2162" t="str">
        <f t="shared" si="216"/>
        <v/>
      </c>
      <c r="AH2162" t="str">
        <f t="shared" si="217"/>
        <v/>
      </c>
      <c r="AI2162">
        <f t="shared" si="218"/>
        <v>0</v>
      </c>
      <c r="AJ2162">
        <f t="shared" si="219"/>
        <v>0</v>
      </c>
      <c r="AK2162">
        <v>0</v>
      </c>
      <c r="AL2162" t="str">
        <f>IF(AA2162="","",IFERROR(IF(ISNUMBER('Procyfloc 956A'!D163),'Procyfloc 956A'!D163,IF(ISNUMBER(SEARCH("12",'Procyfloc 956A'!D163)),EDATE(AB2162,12),IF(ISNUMBER(SEARCH("6",'Procyfloc 956A'!D163)),EDATE(AB2162,6),IF(ISNUMBER(SEARCH("3",'Procyfloc 956A'!D163)),EDATE(AB2162,3),DATEVALUE('Procyfloc 956A'!D163))))),""))</f>
        <v/>
      </c>
      <c r="AM2162" t="str">
        <f t="shared" ca="1" si="220"/>
        <v/>
      </c>
    </row>
    <row r="2163" spans="27:39" x14ac:dyDescent="0.3">
      <c r="AA2163" t="str">
        <f>IF(COUNTA('Procyfloc 956A'!A164,'Procyfloc 956A'!B164,'Procyfloc 956A'!C164)&gt;0,"956A","")</f>
        <v/>
      </c>
      <c r="AB2163" t="str">
        <f>IFERROR(IF(ISNUMBER('Procyfloc 956A'!A164),'Procyfloc 956A'!A164,DATEVALUE('Procyfloc 956A'!A164)),"")</f>
        <v/>
      </c>
      <c r="AC2163" t="str">
        <f>IF(AA2163="","",'Procyfloc 956A'!B164)</f>
        <v/>
      </c>
      <c r="AD2163" t="str">
        <f>IF(AA2163="","",IFERROR(1*'Procyfloc 956A'!C164,IFERROR(_xludf.NUMBERVALUE('Procyfloc 956A'!C164,".",","),IFERROR(_xludf.NUMBERVALUE('Procyfloc 956A'!C164,",","."),0))))</f>
        <v/>
      </c>
      <c r="AE2163" t="str">
        <f>IF(AA2163="","",'Procyfloc 956A'!L164)</f>
        <v/>
      </c>
      <c r="AF2163">
        <f t="shared" si="215"/>
        <v>0</v>
      </c>
      <c r="AG2163" t="str">
        <f t="shared" si="216"/>
        <v/>
      </c>
      <c r="AH2163" t="str">
        <f t="shared" si="217"/>
        <v/>
      </c>
      <c r="AI2163">
        <f t="shared" si="218"/>
        <v>0</v>
      </c>
      <c r="AJ2163">
        <f t="shared" si="219"/>
        <v>0</v>
      </c>
      <c r="AK2163">
        <v>0</v>
      </c>
      <c r="AL2163" t="str">
        <f>IF(AA2163="","",IFERROR(IF(ISNUMBER('Procyfloc 956A'!D164),'Procyfloc 956A'!D164,IF(ISNUMBER(SEARCH("12",'Procyfloc 956A'!D164)),EDATE(AB2163,12),IF(ISNUMBER(SEARCH("6",'Procyfloc 956A'!D164)),EDATE(AB2163,6),IF(ISNUMBER(SEARCH("3",'Procyfloc 956A'!D164)),EDATE(AB2163,3),DATEVALUE('Procyfloc 956A'!D164))))),""))</f>
        <v/>
      </c>
      <c r="AM2163" t="str">
        <f t="shared" ca="1" si="220"/>
        <v/>
      </c>
    </row>
    <row r="2164" spans="27:39" x14ac:dyDescent="0.3">
      <c r="AA2164" t="str">
        <f>IF(COUNTA('Procyfloc 956A'!A165,'Procyfloc 956A'!B165,'Procyfloc 956A'!C165)&gt;0,"956A","")</f>
        <v/>
      </c>
      <c r="AB2164" t="str">
        <f>IFERROR(IF(ISNUMBER('Procyfloc 956A'!A165),'Procyfloc 956A'!A165,DATEVALUE('Procyfloc 956A'!A165)),"")</f>
        <v/>
      </c>
      <c r="AC2164" t="str">
        <f>IF(AA2164="","",'Procyfloc 956A'!B165)</f>
        <v/>
      </c>
      <c r="AD2164" t="str">
        <f>IF(AA2164="","",IFERROR(1*'Procyfloc 956A'!C165,IFERROR(_xludf.NUMBERVALUE('Procyfloc 956A'!C165,".",","),IFERROR(_xludf.NUMBERVALUE('Procyfloc 956A'!C165,",","."),0))))</f>
        <v/>
      </c>
      <c r="AE2164" t="str">
        <f>IF(AA2164="","",'Procyfloc 956A'!L165)</f>
        <v/>
      </c>
      <c r="AF2164">
        <f t="shared" si="215"/>
        <v>0</v>
      </c>
      <c r="AG2164" t="str">
        <f t="shared" si="216"/>
        <v/>
      </c>
      <c r="AH2164" t="str">
        <f t="shared" si="217"/>
        <v/>
      </c>
      <c r="AI2164">
        <f t="shared" si="218"/>
        <v>0</v>
      </c>
      <c r="AJ2164">
        <f t="shared" si="219"/>
        <v>0</v>
      </c>
      <c r="AK2164">
        <v>0</v>
      </c>
      <c r="AL2164" t="str">
        <f>IF(AA2164="","",IFERROR(IF(ISNUMBER('Procyfloc 956A'!D165),'Procyfloc 956A'!D165,IF(ISNUMBER(SEARCH("12",'Procyfloc 956A'!D165)),EDATE(AB2164,12),IF(ISNUMBER(SEARCH("6",'Procyfloc 956A'!D165)),EDATE(AB2164,6),IF(ISNUMBER(SEARCH("3",'Procyfloc 956A'!D165)),EDATE(AB2164,3),DATEVALUE('Procyfloc 956A'!D165))))),""))</f>
        <v/>
      </c>
      <c r="AM2164" t="str">
        <f t="shared" ca="1" si="220"/>
        <v/>
      </c>
    </row>
    <row r="2165" spans="27:39" x14ac:dyDescent="0.3">
      <c r="AA2165" t="str">
        <f>IF(COUNTA('Procyfloc 956A'!A166,'Procyfloc 956A'!B166,'Procyfloc 956A'!C166)&gt;0,"956A","")</f>
        <v/>
      </c>
      <c r="AB2165" t="str">
        <f>IFERROR(IF(ISNUMBER('Procyfloc 956A'!A166),'Procyfloc 956A'!A166,DATEVALUE('Procyfloc 956A'!A166)),"")</f>
        <v/>
      </c>
      <c r="AC2165" t="str">
        <f>IF(AA2165="","",'Procyfloc 956A'!B166)</f>
        <v/>
      </c>
      <c r="AD2165" t="str">
        <f>IF(AA2165="","",IFERROR(1*'Procyfloc 956A'!C166,IFERROR(_xludf.NUMBERVALUE('Procyfloc 956A'!C166,".",","),IFERROR(_xludf.NUMBERVALUE('Procyfloc 956A'!C166,",","."),0))))</f>
        <v/>
      </c>
      <c r="AE2165" t="str">
        <f>IF(AA2165="","",'Procyfloc 956A'!L166)</f>
        <v/>
      </c>
      <c r="AF2165">
        <f t="shared" si="215"/>
        <v>0</v>
      </c>
      <c r="AG2165" t="str">
        <f t="shared" si="216"/>
        <v/>
      </c>
      <c r="AH2165" t="str">
        <f t="shared" si="217"/>
        <v/>
      </c>
      <c r="AI2165">
        <f t="shared" si="218"/>
        <v>0</v>
      </c>
      <c r="AJ2165">
        <f t="shared" si="219"/>
        <v>0</v>
      </c>
      <c r="AK2165">
        <v>0</v>
      </c>
      <c r="AL2165" t="str">
        <f>IF(AA2165="","",IFERROR(IF(ISNUMBER('Procyfloc 956A'!D166),'Procyfloc 956A'!D166,IF(ISNUMBER(SEARCH("12",'Procyfloc 956A'!D166)),EDATE(AB2165,12),IF(ISNUMBER(SEARCH("6",'Procyfloc 956A'!D166)),EDATE(AB2165,6),IF(ISNUMBER(SEARCH("3",'Procyfloc 956A'!D166)),EDATE(AB2165,3),DATEVALUE('Procyfloc 956A'!D166))))),""))</f>
        <v/>
      </c>
      <c r="AM2165" t="str">
        <f t="shared" ca="1" si="220"/>
        <v/>
      </c>
    </row>
    <row r="2166" spans="27:39" x14ac:dyDescent="0.3">
      <c r="AA2166" t="str">
        <f>IF(COUNTA('Procyfloc 956A'!A167,'Procyfloc 956A'!B167,'Procyfloc 956A'!C167)&gt;0,"956A","")</f>
        <v/>
      </c>
      <c r="AB2166" t="str">
        <f>IFERROR(IF(ISNUMBER('Procyfloc 956A'!A167),'Procyfloc 956A'!A167,DATEVALUE('Procyfloc 956A'!A167)),"")</f>
        <v/>
      </c>
      <c r="AC2166" t="str">
        <f>IF(AA2166="","",'Procyfloc 956A'!B167)</f>
        <v/>
      </c>
      <c r="AD2166" t="str">
        <f>IF(AA2166="","",IFERROR(1*'Procyfloc 956A'!C167,IFERROR(_xludf.NUMBERVALUE('Procyfloc 956A'!C167,".",","),IFERROR(_xludf.NUMBERVALUE('Procyfloc 956A'!C167,",","."),0))))</f>
        <v/>
      </c>
      <c r="AE2166" t="str">
        <f>IF(AA2166="","",'Procyfloc 956A'!L167)</f>
        <v/>
      </c>
      <c r="AF2166">
        <f t="shared" si="215"/>
        <v>0</v>
      </c>
      <c r="AG2166" t="str">
        <f t="shared" si="216"/>
        <v/>
      </c>
      <c r="AH2166" t="str">
        <f t="shared" si="217"/>
        <v/>
      </c>
      <c r="AI2166">
        <f t="shared" si="218"/>
        <v>0</v>
      </c>
      <c r="AJ2166">
        <f t="shared" si="219"/>
        <v>0</v>
      </c>
      <c r="AK2166">
        <v>0</v>
      </c>
      <c r="AL2166" t="str">
        <f>IF(AA2166="","",IFERROR(IF(ISNUMBER('Procyfloc 956A'!D167),'Procyfloc 956A'!D167,IF(ISNUMBER(SEARCH("12",'Procyfloc 956A'!D167)),EDATE(AB2166,12),IF(ISNUMBER(SEARCH("6",'Procyfloc 956A'!D167)),EDATE(AB2166,6),IF(ISNUMBER(SEARCH("3",'Procyfloc 956A'!D167)),EDATE(AB2166,3),DATEVALUE('Procyfloc 956A'!D167))))),""))</f>
        <v/>
      </c>
      <c r="AM2166" t="str">
        <f t="shared" ca="1" si="220"/>
        <v/>
      </c>
    </row>
    <row r="2167" spans="27:39" x14ac:dyDescent="0.3">
      <c r="AA2167" t="str">
        <f>IF(COUNTA('Procyfloc 956A'!A168,'Procyfloc 956A'!B168,'Procyfloc 956A'!C168)&gt;0,"956A","")</f>
        <v/>
      </c>
      <c r="AB2167" t="str">
        <f>IFERROR(IF(ISNUMBER('Procyfloc 956A'!A168),'Procyfloc 956A'!A168,DATEVALUE('Procyfloc 956A'!A168)),"")</f>
        <v/>
      </c>
      <c r="AC2167" t="str">
        <f>IF(AA2167="","",'Procyfloc 956A'!B168)</f>
        <v/>
      </c>
      <c r="AD2167" t="str">
        <f>IF(AA2167="","",IFERROR(1*'Procyfloc 956A'!C168,IFERROR(_xludf.NUMBERVALUE('Procyfloc 956A'!C168,".",","),IFERROR(_xludf.NUMBERVALUE('Procyfloc 956A'!C168,",","."),0))))</f>
        <v/>
      </c>
      <c r="AE2167" t="str">
        <f>IF(AA2167="","",'Procyfloc 956A'!L168)</f>
        <v/>
      </c>
      <c r="AF2167">
        <f t="shared" si="215"/>
        <v>0</v>
      </c>
      <c r="AG2167" t="str">
        <f t="shared" si="216"/>
        <v/>
      </c>
      <c r="AH2167" t="str">
        <f t="shared" si="217"/>
        <v/>
      </c>
      <c r="AI2167">
        <f t="shared" si="218"/>
        <v>0</v>
      </c>
      <c r="AJ2167">
        <f t="shared" si="219"/>
        <v>0</v>
      </c>
      <c r="AK2167">
        <v>0</v>
      </c>
      <c r="AL2167" t="str">
        <f>IF(AA2167="","",IFERROR(IF(ISNUMBER('Procyfloc 956A'!D168),'Procyfloc 956A'!D168,IF(ISNUMBER(SEARCH("12",'Procyfloc 956A'!D168)),EDATE(AB2167,12),IF(ISNUMBER(SEARCH("6",'Procyfloc 956A'!D168)),EDATE(AB2167,6),IF(ISNUMBER(SEARCH("3",'Procyfloc 956A'!D168)),EDATE(AB2167,3),DATEVALUE('Procyfloc 956A'!D168))))),""))</f>
        <v/>
      </c>
      <c r="AM2167" t="str">
        <f t="shared" ca="1" si="220"/>
        <v/>
      </c>
    </row>
    <row r="2168" spans="27:39" x14ac:dyDescent="0.3">
      <c r="AA2168" t="str">
        <f>IF(COUNTA('Procyfloc 956A'!A169,'Procyfloc 956A'!B169,'Procyfloc 956A'!C169)&gt;0,"956A","")</f>
        <v/>
      </c>
      <c r="AB2168" t="str">
        <f>IFERROR(IF(ISNUMBER('Procyfloc 956A'!A169),'Procyfloc 956A'!A169,DATEVALUE('Procyfloc 956A'!A169)),"")</f>
        <v/>
      </c>
      <c r="AC2168" t="str">
        <f>IF(AA2168="","",'Procyfloc 956A'!B169)</f>
        <v/>
      </c>
      <c r="AD2168" t="str">
        <f>IF(AA2168="","",IFERROR(1*'Procyfloc 956A'!C169,IFERROR(_xludf.NUMBERVALUE('Procyfloc 956A'!C169,".",","),IFERROR(_xludf.NUMBERVALUE('Procyfloc 956A'!C169,",","."),0))))</f>
        <v/>
      </c>
      <c r="AE2168" t="str">
        <f>IF(AA2168="","",'Procyfloc 956A'!L169)</f>
        <v/>
      </c>
      <c r="AF2168">
        <f t="shared" si="215"/>
        <v>0</v>
      </c>
      <c r="AG2168" t="str">
        <f t="shared" si="216"/>
        <v/>
      </c>
      <c r="AH2168" t="str">
        <f t="shared" si="217"/>
        <v/>
      </c>
      <c r="AI2168">
        <f t="shared" si="218"/>
        <v>0</v>
      </c>
      <c r="AJ2168">
        <f t="shared" si="219"/>
        <v>0</v>
      </c>
      <c r="AK2168">
        <v>0</v>
      </c>
      <c r="AL2168" t="str">
        <f>IF(AA2168="","",IFERROR(IF(ISNUMBER('Procyfloc 956A'!D169),'Procyfloc 956A'!D169,IF(ISNUMBER(SEARCH("12",'Procyfloc 956A'!D169)),EDATE(AB2168,12),IF(ISNUMBER(SEARCH("6",'Procyfloc 956A'!D169)),EDATE(AB2168,6),IF(ISNUMBER(SEARCH("3",'Procyfloc 956A'!D169)),EDATE(AB2168,3),DATEVALUE('Procyfloc 956A'!D169))))),""))</f>
        <v/>
      </c>
      <c r="AM2168" t="str">
        <f t="shared" ca="1" si="220"/>
        <v/>
      </c>
    </row>
    <row r="2169" spans="27:39" x14ac:dyDescent="0.3">
      <c r="AA2169" t="str">
        <f>IF(COUNTA('Procyfloc 956A'!A170,'Procyfloc 956A'!B170,'Procyfloc 956A'!C170)&gt;0,"956A","")</f>
        <v/>
      </c>
      <c r="AB2169" t="str">
        <f>IFERROR(IF(ISNUMBER('Procyfloc 956A'!A170),'Procyfloc 956A'!A170,DATEVALUE('Procyfloc 956A'!A170)),"")</f>
        <v/>
      </c>
      <c r="AC2169" t="str">
        <f>IF(AA2169="","",'Procyfloc 956A'!B170)</f>
        <v/>
      </c>
      <c r="AD2169" t="str">
        <f>IF(AA2169="","",IFERROR(1*'Procyfloc 956A'!C170,IFERROR(_xludf.NUMBERVALUE('Procyfloc 956A'!C170,".",","),IFERROR(_xludf.NUMBERVALUE('Procyfloc 956A'!C170,",","."),0))))</f>
        <v/>
      </c>
      <c r="AE2169" t="str">
        <f>IF(AA2169="","",'Procyfloc 956A'!L170)</f>
        <v/>
      </c>
      <c r="AF2169">
        <f t="shared" si="215"/>
        <v>0</v>
      </c>
      <c r="AG2169" t="str">
        <f t="shared" si="216"/>
        <v/>
      </c>
      <c r="AH2169" t="str">
        <f t="shared" si="217"/>
        <v/>
      </c>
      <c r="AI2169">
        <f t="shared" si="218"/>
        <v>0</v>
      </c>
      <c r="AJ2169">
        <f t="shared" si="219"/>
        <v>0</v>
      </c>
      <c r="AK2169">
        <v>0</v>
      </c>
      <c r="AL2169" t="str">
        <f>IF(AA2169="","",IFERROR(IF(ISNUMBER('Procyfloc 956A'!D170),'Procyfloc 956A'!D170,IF(ISNUMBER(SEARCH("12",'Procyfloc 956A'!D170)),EDATE(AB2169,12),IF(ISNUMBER(SEARCH("6",'Procyfloc 956A'!D170)),EDATE(AB2169,6),IF(ISNUMBER(SEARCH("3",'Procyfloc 956A'!D170)),EDATE(AB2169,3),DATEVALUE('Procyfloc 956A'!D170))))),""))</f>
        <v/>
      </c>
      <c r="AM2169" t="str">
        <f t="shared" ca="1" si="220"/>
        <v/>
      </c>
    </row>
    <row r="2170" spans="27:39" x14ac:dyDescent="0.3">
      <c r="AA2170" t="str">
        <f>IF(COUNTA('Procyfloc 956A'!A171,'Procyfloc 956A'!B171,'Procyfloc 956A'!C171)&gt;0,"956A","")</f>
        <v/>
      </c>
      <c r="AB2170" t="str">
        <f>IFERROR(IF(ISNUMBER('Procyfloc 956A'!A171),'Procyfloc 956A'!A171,DATEVALUE('Procyfloc 956A'!A171)),"")</f>
        <v/>
      </c>
      <c r="AC2170" t="str">
        <f>IF(AA2170="","",'Procyfloc 956A'!B171)</f>
        <v/>
      </c>
      <c r="AD2170" t="str">
        <f>IF(AA2170="","",IFERROR(1*'Procyfloc 956A'!C171,IFERROR(_xludf.NUMBERVALUE('Procyfloc 956A'!C171,".",","),IFERROR(_xludf.NUMBERVALUE('Procyfloc 956A'!C171,",","."),0))))</f>
        <v/>
      </c>
      <c r="AE2170" t="str">
        <f>IF(AA2170="","",'Procyfloc 956A'!L171)</f>
        <v/>
      </c>
      <c r="AF2170">
        <f t="shared" si="215"/>
        <v>0</v>
      </c>
      <c r="AG2170" t="str">
        <f t="shared" si="216"/>
        <v/>
      </c>
      <c r="AH2170" t="str">
        <f t="shared" si="217"/>
        <v/>
      </c>
      <c r="AI2170">
        <f t="shared" si="218"/>
        <v>0</v>
      </c>
      <c r="AJ2170">
        <f t="shared" si="219"/>
        <v>0</v>
      </c>
      <c r="AK2170">
        <v>0</v>
      </c>
      <c r="AL2170" t="str">
        <f>IF(AA2170="","",IFERROR(IF(ISNUMBER('Procyfloc 956A'!D171),'Procyfloc 956A'!D171,IF(ISNUMBER(SEARCH("12",'Procyfloc 956A'!D171)),EDATE(AB2170,12),IF(ISNUMBER(SEARCH("6",'Procyfloc 956A'!D171)),EDATE(AB2170,6),IF(ISNUMBER(SEARCH("3",'Procyfloc 956A'!D171)),EDATE(AB2170,3),DATEVALUE('Procyfloc 956A'!D171))))),""))</f>
        <v/>
      </c>
      <c r="AM2170" t="str">
        <f t="shared" ca="1" si="220"/>
        <v/>
      </c>
    </row>
    <row r="2171" spans="27:39" x14ac:dyDescent="0.3">
      <c r="AA2171" t="str">
        <f>IF(COUNTA('Procyfloc 956A'!A172,'Procyfloc 956A'!B172,'Procyfloc 956A'!C172)&gt;0,"956A","")</f>
        <v/>
      </c>
      <c r="AB2171" t="str">
        <f>IFERROR(IF(ISNUMBER('Procyfloc 956A'!A172),'Procyfloc 956A'!A172,DATEVALUE('Procyfloc 956A'!A172)),"")</f>
        <v/>
      </c>
      <c r="AC2171" t="str">
        <f>IF(AA2171="","",'Procyfloc 956A'!B172)</f>
        <v/>
      </c>
      <c r="AD2171" t="str">
        <f>IF(AA2171="","",IFERROR(1*'Procyfloc 956A'!C172,IFERROR(_xludf.NUMBERVALUE('Procyfloc 956A'!C172,".",","),IFERROR(_xludf.NUMBERVALUE('Procyfloc 956A'!C172,",","."),0))))</f>
        <v/>
      </c>
      <c r="AE2171" t="str">
        <f>IF(AA2171="","",'Procyfloc 956A'!L172)</f>
        <v/>
      </c>
      <c r="AF2171">
        <f t="shared" si="215"/>
        <v>0</v>
      </c>
      <c r="AG2171" t="str">
        <f t="shared" si="216"/>
        <v/>
      </c>
      <c r="AH2171" t="str">
        <f t="shared" si="217"/>
        <v/>
      </c>
      <c r="AI2171">
        <f t="shared" si="218"/>
        <v>0</v>
      </c>
      <c r="AJ2171">
        <f t="shared" si="219"/>
        <v>0</v>
      </c>
      <c r="AK2171">
        <v>0</v>
      </c>
      <c r="AL2171" t="str">
        <f>IF(AA2171="","",IFERROR(IF(ISNUMBER('Procyfloc 956A'!D172),'Procyfloc 956A'!D172,IF(ISNUMBER(SEARCH("12",'Procyfloc 956A'!D172)),EDATE(AB2171,12),IF(ISNUMBER(SEARCH("6",'Procyfloc 956A'!D172)),EDATE(AB2171,6),IF(ISNUMBER(SEARCH("3",'Procyfloc 956A'!D172)),EDATE(AB2171,3),DATEVALUE('Procyfloc 956A'!D172))))),""))</f>
        <v/>
      </c>
      <c r="AM2171" t="str">
        <f t="shared" ca="1" si="220"/>
        <v/>
      </c>
    </row>
    <row r="2172" spans="27:39" x14ac:dyDescent="0.3">
      <c r="AA2172" t="str">
        <f>IF(COUNTA('Procyfloc 956A'!A173,'Procyfloc 956A'!B173,'Procyfloc 956A'!C173)&gt;0,"956A","")</f>
        <v/>
      </c>
      <c r="AB2172" t="str">
        <f>IFERROR(IF(ISNUMBER('Procyfloc 956A'!A173),'Procyfloc 956A'!A173,DATEVALUE('Procyfloc 956A'!A173)),"")</f>
        <v/>
      </c>
      <c r="AC2172" t="str">
        <f>IF(AA2172="","",'Procyfloc 956A'!B173)</f>
        <v/>
      </c>
      <c r="AD2172" t="str">
        <f>IF(AA2172="","",IFERROR(1*'Procyfloc 956A'!C173,IFERROR(_xludf.NUMBERVALUE('Procyfloc 956A'!C173,".",","),IFERROR(_xludf.NUMBERVALUE('Procyfloc 956A'!C173,",","."),0))))</f>
        <v/>
      </c>
      <c r="AE2172" t="str">
        <f>IF(AA2172="","",'Procyfloc 956A'!L173)</f>
        <v/>
      </c>
      <c r="AF2172">
        <f t="shared" si="215"/>
        <v>0</v>
      </c>
      <c r="AG2172" t="str">
        <f t="shared" si="216"/>
        <v/>
      </c>
      <c r="AH2172" t="str">
        <f t="shared" si="217"/>
        <v/>
      </c>
      <c r="AI2172">
        <f t="shared" si="218"/>
        <v>0</v>
      </c>
      <c r="AJ2172">
        <f t="shared" si="219"/>
        <v>0</v>
      </c>
      <c r="AK2172">
        <v>0</v>
      </c>
      <c r="AL2172" t="str">
        <f>IF(AA2172="","",IFERROR(IF(ISNUMBER('Procyfloc 956A'!D173),'Procyfloc 956A'!D173,IF(ISNUMBER(SEARCH("12",'Procyfloc 956A'!D173)),EDATE(AB2172,12),IF(ISNUMBER(SEARCH("6",'Procyfloc 956A'!D173)),EDATE(AB2172,6),IF(ISNUMBER(SEARCH("3",'Procyfloc 956A'!D173)),EDATE(AB2172,3),DATEVALUE('Procyfloc 956A'!D173))))),""))</f>
        <v/>
      </c>
      <c r="AM2172" t="str">
        <f t="shared" ca="1" si="220"/>
        <v/>
      </c>
    </row>
    <row r="2173" spans="27:39" x14ac:dyDescent="0.3">
      <c r="AA2173" t="str">
        <f>IF(COUNTA('Procyfloc 956A'!A174,'Procyfloc 956A'!B174,'Procyfloc 956A'!C174)&gt;0,"956A","")</f>
        <v/>
      </c>
      <c r="AB2173" t="str">
        <f>IFERROR(IF(ISNUMBER('Procyfloc 956A'!A174),'Procyfloc 956A'!A174,DATEVALUE('Procyfloc 956A'!A174)),"")</f>
        <v/>
      </c>
      <c r="AC2173" t="str">
        <f>IF(AA2173="","",'Procyfloc 956A'!B174)</f>
        <v/>
      </c>
      <c r="AD2173" t="str">
        <f>IF(AA2173="","",IFERROR(1*'Procyfloc 956A'!C174,IFERROR(_xludf.NUMBERVALUE('Procyfloc 956A'!C174,".",","),IFERROR(_xludf.NUMBERVALUE('Procyfloc 956A'!C174,",","."),0))))</f>
        <v/>
      </c>
      <c r="AE2173" t="str">
        <f>IF(AA2173="","",'Procyfloc 956A'!L174)</f>
        <v/>
      </c>
      <c r="AF2173">
        <f t="shared" si="215"/>
        <v>0</v>
      </c>
      <c r="AG2173" t="str">
        <f t="shared" si="216"/>
        <v/>
      </c>
      <c r="AH2173" t="str">
        <f t="shared" si="217"/>
        <v/>
      </c>
      <c r="AI2173">
        <f t="shared" si="218"/>
        <v>0</v>
      </c>
      <c r="AJ2173">
        <f t="shared" si="219"/>
        <v>0</v>
      </c>
      <c r="AK2173">
        <v>0</v>
      </c>
      <c r="AL2173" t="str">
        <f>IF(AA2173="","",IFERROR(IF(ISNUMBER('Procyfloc 956A'!D174),'Procyfloc 956A'!D174,IF(ISNUMBER(SEARCH("12",'Procyfloc 956A'!D174)),EDATE(AB2173,12),IF(ISNUMBER(SEARCH("6",'Procyfloc 956A'!D174)),EDATE(AB2173,6),IF(ISNUMBER(SEARCH("3",'Procyfloc 956A'!D174)),EDATE(AB2173,3),DATEVALUE('Procyfloc 956A'!D174))))),""))</f>
        <v/>
      </c>
      <c r="AM2173" t="str">
        <f t="shared" ca="1" si="220"/>
        <v/>
      </c>
    </row>
    <row r="2174" spans="27:39" x14ac:dyDescent="0.3">
      <c r="AA2174" t="str">
        <f>IF(COUNTA('Procyfloc 956A'!A175,'Procyfloc 956A'!B175,'Procyfloc 956A'!C175)&gt;0,"956A","")</f>
        <v/>
      </c>
      <c r="AB2174" t="str">
        <f>IFERROR(IF(ISNUMBER('Procyfloc 956A'!A175),'Procyfloc 956A'!A175,DATEVALUE('Procyfloc 956A'!A175)),"")</f>
        <v/>
      </c>
      <c r="AC2174" t="str">
        <f>IF(AA2174="","",'Procyfloc 956A'!B175)</f>
        <v/>
      </c>
      <c r="AD2174" t="str">
        <f>IF(AA2174="","",IFERROR(1*'Procyfloc 956A'!C175,IFERROR(_xludf.NUMBERVALUE('Procyfloc 956A'!C175,".",","),IFERROR(_xludf.NUMBERVALUE('Procyfloc 956A'!C175,",","."),0))))</f>
        <v/>
      </c>
      <c r="AE2174" t="str">
        <f>IF(AA2174="","",'Procyfloc 956A'!L175)</f>
        <v/>
      </c>
      <c r="AF2174">
        <f t="shared" si="215"/>
        <v>0</v>
      </c>
      <c r="AG2174" t="str">
        <f t="shared" si="216"/>
        <v/>
      </c>
      <c r="AH2174" t="str">
        <f t="shared" si="217"/>
        <v/>
      </c>
      <c r="AI2174">
        <f t="shared" si="218"/>
        <v>0</v>
      </c>
      <c r="AJ2174">
        <f t="shared" si="219"/>
        <v>0</v>
      </c>
      <c r="AK2174">
        <v>0</v>
      </c>
      <c r="AL2174" t="str">
        <f>IF(AA2174="","",IFERROR(IF(ISNUMBER('Procyfloc 956A'!D175),'Procyfloc 956A'!D175,IF(ISNUMBER(SEARCH("12",'Procyfloc 956A'!D175)),EDATE(AB2174,12),IF(ISNUMBER(SEARCH("6",'Procyfloc 956A'!D175)),EDATE(AB2174,6),IF(ISNUMBER(SEARCH("3",'Procyfloc 956A'!D175)),EDATE(AB2174,3),DATEVALUE('Procyfloc 956A'!D175))))),""))</f>
        <v/>
      </c>
      <c r="AM2174" t="str">
        <f t="shared" ca="1" si="220"/>
        <v/>
      </c>
    </row>
    <row r="2175" spans="27:39" x14ac:dyDescent="0.3">
      <c r="AA2175" t="str">
        <f>IF(COUNTA('Procyfloc 956A'!A176,'Procyfloc 956A'!B176,'Procyfloc 956A'!C176)&gt;0,"956A","")</f>
        <v/>
      </c>
      <c r="AB2175" t="str">
        <f>IFERROR(IF(ISNUMBER('Procyfloc 956A'!A176),'Procyfloc 956A'!A176,DATEVALUE('Procyfloc 956A'!A176)),"")</f>
        <v/>
      </c>
      <c r="AC2175" t="str">
        <f>IF(AA2175="","",'Procyfloc 956A'!B176)</f>
        <v/>
      </c>
      <c r="AD2175" t="str">
        <f>IF(AA2175="","",IFERROR(1*'Procyfloc 956A'!C176,IFERROR(_xludf.NUMBERVALUE('Procyfloc 956A'!C176,".",","),IFERROR(_xludf.NUMBERVALUE('Procyfloc 956A'!C176,",","."),0))))</f>
        <v/>
      </c>
      <c r="AE2175" t="str">
        <f>IF(AA2175="","",'Procyfloc 956A'!L176)</f>
        <v/>
      </c>
      <c r="AF2175">
        <f t="shared" si="215"/>
        <v>0</v>
      </c>
      <c r="AG2175" t="str">
        <f t="shared" si="216"/>
        <v/>
      </c>
      <c r="AH2175" t="str">
        <f t="shared" si="217"/>
        <v/>
      </c>
      <c r="AI2175">
        <f t="shared" si="218"/>
        <v>0</v>
      </c>
      <c r="AJ2175">
        <f t="shared" si="219"/>
        <v>0</v>
      </c>
      <c r="AK2175">
        <v>0</v>
      </c>
      <c r="AL2175" t="str">
        <f>IF(AA2175="","",IFERROR(IF(ISNUMBER('Procyfloc 956A'!D176),'Procyfloc 956A'!D176,IF(ISNUMBER(SEARCH("12",'Procyfloc 956A'!D176)),EDATE(AB2175,12),IF(ISNUMBER(SEARCH("6",'Procyfloc 956A'!D176)),EDATE(AB2175,6),IF(ISNUMBER(SEARCH("3",'Procyfloc 956A'!D176)),EDATE(AB2175,3),DATEVALUE('Procyfloc 956A'!D176))))),""))</f>
        <v/>
      </c>
      <c r="AM2175" t="str">
        <f t="shared" ca="1" si="220"/>
        <v/>
      </c>
    </row>
    <row r="2176" spans="27:39" x14ac:dyDescent="0.3">
      <c r="AA2176" t="str">
        <f>IF(COUNTA('Procyfloc 956A'!A177,'Procyfloc 956A'!B177,'Procyfloc 956A'!C177)&gt;0,"956A","")</f>
        <v/>
      </c>
      <c r="AB2176" t="str">
        <f>IFERROR(IF(ISNUMBER('Procyfloc 956A'!A177),'Procyfloc 956A'!A177,DATEVALUE('Procyfloc 956A'!A177)),"")</f>
        <v/>
      </c>
      <c r="AC2176" t="str">
        <f>IF(AA2176="","",'Procyfloc 956A'!B177)</f>
        <v/>
      </c>
      <c r="AD2176" t="str">
        <f>IF(AA2176="","",IFERROR(1*'Procyfloc 956A'!C177,IFERROR(_xludf.NUMBERVALUE('Procyfloc 956A'!C177,".",","),IFERROR(_xludf.NUMBERVALUE('Procyfloc 956A'!C177,",","."),0))))</f>
        <v/>
      </c>
      <c r="AE2176" t="str">
        <f>IF(AA2176="","",'Procyfloc 956A'!L177)</f>
        <v/>
      </c>
      <c r="AF2176">
        <f t="shared" si="215"/>
        <v>0</v>
      </c>
      <c r="AG2176" t="str">
        <f t="shared" si="216"/>
        <v/>
      </c>
      <c r="AH2176" t="str">
        <f t="shared" si="217"/>
        <v/>
      </c>
      <c r="AI2176">
        <f t="shared" si="218"/>
        <v>0</v>
      </c>
      <c r="AJ2176">
        <f t="shared" si="219"/>
        <v>0</v>
      </c>
      <c r="AK2176">
        <v>0</v>
      </c>
      <c r="AL2176" t="str">
        <f>IF(AA2176="","",IFERROR(IF(ISNUMBER('Procyfloc 956A'!D177),'Procyfloc 956A'!D177,IF(ISNUMBER(SEARCH("12",'Procyfloc 956A'!D177)),EDATE(AB2176,12),IF(ISNUMBER(SEARCH("6",'Procyfloc 956A'!D177)),EDATE(AB2176,6),IF(ISNUMBER(SEARCH("3",'Procyfloc 956A'!D177)),EDATE(AB2176,3),DATEVALUE('Procyfloc 956A'!D177))))),""))</f>
        <v/>
      </c>
      <c r="AM2176" t="str">
        <f t="shared" ca="1" si="220"/>
        <v/>
      </c>
    </row>
    <row r="2177" spans="27:39" x14ac:dyDescent="0.3">
      <c r="AA2177" t="str">
        <f>IF(COUNTA('Procyfloc 956A'!A178,'Procyfloc 956A'!B178,'Procyfloc 956A'!C178)&gt;0,"956A","")</f>
        <v/>
      </c>
      <c r="AB2177" t="str">
        <f>IFERROR(IF(ISNUMBER('Procyfloc 956A'!A178),'Procyfloc 956A'!A178,DATEVALUE('Procyfloc 956A'!A178)),"")</f>
        <v/>
      </c>
      <c r="AC2177" t="str">
        <f>IF(AA2177="","",'Procyfloc 956A'!B178)</f>
        <v/>
      </c>
      <c r="AD2177" t="str">
        <f>IF(AA2177="","",IFERROR(1*'Procyfloc 956A'!C178,IFERROR(_xludf.NUMBERVALUE('Procyfloc 956A'!C178,".",","),IFERROR(_xludf.NUMBERVALUE('Procyfloc 956A'!C178,",","."),0))))</f>
        <v/>
      </c>
      <c r="AE2177" t="str">
        <f>IF(AA2177="","",'Procyfloc 956A'!L178)</f>
        <v/>
      </c>
      <c r="AF2177">
        <f t="shared" si="215"/>
        <v>0</v>
      </c>
      <c r="AG2177" t="str">
        <f t="shared" si="216"/>
        <v/>
      </c>
      <c r="AH2177" t="str">
        <f t="shared" si="217"/>
        <v/>
      </c>
      <c r="AI2177">
        <f t="shared" si="218"/>
        <v>0</v>
      </c>
      <c r="AJ2177">
        <f t="shared" si="219"/>
        <v>0</v>
      </c>
      <c r="AK2177">
        <v>0</v>
      </c>
      <c r="AL2177" t="str">
        <f>IF(AA2177="","",IFERROR(IF(ISNUMBER('Procyfloc 956A'!D178),'Procyfloc 956A'!D178,IF(ISNUMBER(SEARCH("12",'Procyfloc 956A'!D178)),EDATE(AB2177,12),IF(ISNUMBER(SEARCH("6",'Procyfloc 956A'!D178)),EDATE(AB2177,6),IF(ISNUMBER(SEARCH("3",'Procyfloc 956A'!D178)),EDATE(AB2177,3),DATEVALUE('Procyfloc 956A'!D178))))),""))</f>
        <v/>
      </c>
      <c r="AM2177" t="str">
        <f t="shared" ca="1" si="220"/>
        <v/>
      </c>
    </row>
    <row r="2178" spans="27:39" x14ac:dyDescent="0.3">
      <c r="AA2178" t="str">
        <f>IF(COUNTA('Procyfloc 956A'!A179,'Procyfloc 956A'!B179,'Procyfloc 956A'!C179)&gt;0,"956A","")</f>
        <v/>
      </c>
      <c r="AB2178" t="str">
        <f>IFERROR(IF(ISNUMBER('Procyfloc 956A'!A179),'Procyfloc 956A'!A179,DATEVALUE('Procyfloc 956A'!A179)),"")</f>
        <v/>
      </c>
      <c r="AC2178" t="str">
        <f>IF(AA2178="","",'Procyfloc 956A'!B179)</f>
        <v/>
      </c>
      <c r="AD2178" t="str">
        <f>IF(AA2178="","",IFERROR(1*'Procyfloc 956A'!C179,IFERROR(_xludf.NUMBERVALUE('Procyfloc 956A'!C179,".",","),IFERROR(_xludf.NUMBERVALUE('Procyfloc 956A'!C179,",","."),0))))</f>
        <v/>
      </c>
      <c r="AE2178" t="str">
        <f>IF(AA2178="","",'Procyfloc 956A'!L179)</f>
        <v/>
      </c>
      <c r="AF2178">
        <f t="shared" ref="AF2178:AF2241" si="221">IF(AA2178="",0,--AND(ISNUMBER(SEARCH("aprov",AE2178)),NOT(ISNUMBER(SEARCH("reprov",AE2178)))))</f>
        <v>0</v>
      </c>
      <c r="AG2178" t="str">
        <f t="shared" ref="AG2178:AG2241" si="222">IF(AB2178="","",YEAR(AB2178))</f>
        <v/>
      </c>
      <c r="AH2178" t="str">
        <f t="shared" ref="AH2178:AH2241" si="223">IF(AB2178="","",MONTH(AB2178))</f>
        <v/>
      </c>
      <c r="AI2178">
        <f t="shared" ref="AI2178:AI2241" si="224">IF(AB2178="",0,AB2178+ROW()/1000000)</f>
        <v>0</v>
      </c>
      <c r="AJ2178">
        <f t="shared" ref="AJ2178:AJ2241" si="225">--(AA2178&lt;&gt;"")</f>
        <v>0</v>
      </c>
      <c r="AK2178">
        <v>0</v>
      </c>
      <c r="AL2178" t="str">
        <f>IF(AA2178="","",IFERROR(IF(ISNUMBER('Procyfloc 956A'!D179),'Procyfloc 956A'!D179,IF(ISNUMBER(SEARCH("12",'Procyfloc 956A'!D179)),EDATE(AB2178,12),IF(ISNUMBER(SEARCH("6",'Procyfloc 956A'!D179)),EDATE(AB2178,6),IF(ISNUMBER(SEARCH("3",'Procyfloc 956A'!D179)),EDATE(AB2178,3),DATEVALUE('Procyfloc 956A'!D179))))),""))</f>
        <v/>
      </c>
      <c r="AM2178" t="str">
        <f t="shared" ref="AM2178:AM2241" ca="1" si="226">IF(AND(AJ2178=1,AL2178&lt;&gt;"",AL2178&gt;=TODAY(),AG2178=$W$3),AL2178+ROW()/1000000,"")</f>
        <v/>
      </c>
    </row>
    <row r="2179" spans="27:39" x14ac:dyDescent="0.3">
      <c r="AA2179" t="str">
        <f>IF(COUNTA('Procyfloc 956A'!A180,'Procyfloc 956A'!B180,'Procyfloc 956A'!C180)&gt;0,"956A","")</f>
        <v/>
      </c>
      <c r="AB2179" t="str">
        <f>IFERROR(IF(ISNUMBER('Procyfloc 956A'!A180),'Procyfloc 956A'!A180,DATEVALUE('Procyfloc 956A'!A180)),"")</f>
        <v/>
      </c>
      <c r="AC2179" t="str">
        <f>IF(AA2179="","",'Procyfloc 956A'!B180)</f>
        <v/>
      </c>
      <c r="AD2179" t="str">
        <f>IF(AA2179="","",IFERROR(1*'Procyfloc 956A'!C180,IFERROR(_xludf.NUMBERVALUE('Procyfloc 956A'!C180,".",","),IFERROR(_xludf.NUMBERVALUE('Procyfloc 956A'!C180,",","."),0))))</f>
        <v/>
      </c>
      <c r="AE2179" t="str">
        <f>IF(AA2179="","",'Procyfloc 956A'!L180)</f>
        <v/>
      </c>
      <c r="AF2179">
        <f t="shared" si="221"/>
        <v>0</v>
      </c>
      <c r="AG2179" t="str">
        <f t="shared" si="222"/>
        <v/>
      </c>
      <c r="AH2179" t="str">
        <f t="shared" si="223"/>
        <v/>
      </c>
      <c r="AI2179">
        <f t="shared" si="224"/>
        <v>0</v>
      </c>
      <c r="AJ2179">
        <f t="shared" si="225"/>
        <v>0</v>
      </c>
      <c r="AK2179">
        <v>0</v>
      </c>
      <c r="AL2179" t="str">
        <f>IF(AA2179="","",IFERROR(IF(ISNUMBER('Procyfloc 956A'!D180),'Procyfloc 956A'!D180,IF(ISNUMBER(SEARCH("12",'Procyfloc 956A'!D180)),EDATE(AB2179,12),IF(ISNUMBER(SEARCH("6",'Procyfloc 956A'!D180)),EDATE(AB2179,6),IF(ISNUMBER(SEARCH("3",'Procyfloc 956A'!D180)),EDATE(AB2179,3),DATEVALUE('Procyfloc 956A'!D180))))),""))</f>
        <v/>
      </c>
      <c r="AM2179" t="str">
        <f t="shared" ca="1" si="226"/>
        <v/>
      </c>
    </row>
    <row r="2180" spans="27:39" x14ac:dyDescent="0.3">
      <c r="AA2180" t="str">
        <f>IF(COUNTA('Procyfloc 956A'!A181,'Procyfloc 956A'!B181,'Procyfloc 956A'!C181)&gt;0,"956A","")</f>
        <v/>
      </c>
      <c r="AB2180" t="str">
        <f>IFERROR(IF(ISNUMBER('Procyfloc 956A'!A181),'Procyfloc 956A'!A181,DATEVALUE('Procyfloc 956A'!A181)),"")</f>
        <v/>
      </c>
      <c r="AC2180" t="str">
        <f>IF(AA2180="","",'Procyfloc 956A'!B181)</f>
        <v/>
      </c>
      <c r="AD2180" t="str">
        <f>IF(AA2180="","",IFERROR(1*'Procyfloc 956A'!C181,IFERROR(_xludf.NUMBERVALUE('Procyfloc 956A'!C181,".",","),IFERROR(_xludf.NUMBERVALUE('Procyfloc 956A'!C181,",","."),0))))</f>
        <v/>
      </c>
      <c r="AE2180" t="str">
        <f>IF(AA2180="","",'Procyfloc 956A'!L181)</f>
        <v/>
      </c>
      <c r="AF2180">
        <f t="shared" si="221"/>
        <v>0</v>
      </c>
      <c r="AG2180" t="str">
        <f t="shared" si="222"/>
        <v/>
      </c>
      <c r="AH2180" t="str">
        <f t="shared" si="223"/>
        <v/>
      </c>
      <c r="AI2180">
        <f t="shared" si="224"/>
        <v>0</v>
      </c>
      <c r="AJ2180">
        <f t="shared" si="225"/>
        <v>0</v>
      </c>
      <c r="AK2180">
        <v>0</v>
      </c>
      <c r="AL2180" t="str">
        <f>IF(AA2180="","",IFERROR(IF(ISNUMBER('Procyfloc 956A'!D181),'Procyfloc 956A'!D181,IF(ISNUMBER(SEARCH("12",'Procyfloc 956A'!D181)),EDATE(AB2180,12),IF(ISNUMBER(SEARCH("6",'Procyfloc 956A'!D181)),EDATE(AB2180,6),IF(ISNUMBER(SEARCH("3",'Procyfloc 956A'!D181)),EDATE(AB2180,3),DATEVALUE('Procyfloc 956A'!D181))))),""))</f>
        <v/>
      </c>
      <c r="AM2180" t="str">
        <f t="shared" ca="1" si="226"/>
        <v/>
      </c>
    </row>
    <row r="2181" spans="27:39" x14ac:dyDescent="0.3">
      <c r="AA2181" t="str">
        <f>IF(COUNTA('Procyfloc 956A'!A182,'Procyfloc 956A'!B182,'Procyfloc 956A'!C182)&gt;0,"956A","")</f>
        <v/>
      </c>
      <c r="AB2181" t="str">
        <f>IFERROR(IF(ISNUMBER('Procyfloc 956A'!A182),'Procyfloc 956A'!A182,DATEVALUE('Procyfloc 956A'!A182)),"")</f>
        <v/>
      </c>
      <c r="AC2181" t="str">
        <f>IF(AA2181="","",'Procyfloc 956A'!B182)</f>
        <v/>
      </c>
      <c r="AD2181" t="str">
        <f>IF(AA2181="","",IFERROR(1*'Procyfloc 956A'!C182,IFERROR(_xludf.NUMBERVALUE('Procyfloc 956A'!C182,".",","),IFERROR(_xludf.NUMBERVALUE('Procyfloc 956A'!C182,",","."),0))))</f>
        <v/>
      </c>
      <c r="AE2181" t="str">
        <f>IF(AA2181="","",'Procyfloc 956A'!L182)</f>
        <v/>
      </c>
      <c r="AF2181">
        <f t="shared" si="221"/>
        <v>0</v>
      </c>
      <c r="AG2181" t="str">
        <f t="shared" si="222"/>
        <v/>
      </c>
      <c r="AH2181" t="str">
        <f t="shared" si="223"/>
        <v/>
      </c>
      <c r="AI2181">
        <f t="shared" si="224"/>
        <v>0</v>
      </c>
      <c r="AJ2181">
        <f t="shared" si="225"/>
        <v>0</v>
      </c>
      <c r="AK2181">
        <v>0</v>
      </c>
      <c r="AL2181" t="str">
        <f>IF(AA2181="","",IFERROR(IF(ISNUMBER('Procyfloc 956A'!D182),'Procyfloc 956A'!D182,IF(ISNUMBER(SEARCH("12",'Procyfloc 956A'!D182)),EDATE(AB2181,12),IF(ISNUMBER(SEARCH("6",'Procyfloc 956A'!D182)),EDATE(AB2181,6),IF(ISNUMBER(SEARCH("3",'Procyfloc 956A'!D182)),EDATE(AB2181,3),DATEVALUE('Procyfloc 956A'!D182))))),""))</f>
        <v/>
      </c>
      <c r="AM2181" t="str">
        <f t="shared" ca="1" si="226"/>
        <v/>
      </c>
    </row>
    <row r="2182" spans="27:39" x14ac:dyDescent="0.3">
      <c r="AA2182" t="str">
        <f>IF(COUNTA('Procyfloc 956A'!A183,'Procyfloc 956A'!B183,'Procyfloc 956A'!C183)&gt;0,"956A","")</f>
        <v/>
      </c>
      <c r="AB2182" t="str">
        <f>IFERROR(IF(ISNUMBER('Procyfloc 956A'!A183),'Procyfloc 956A'!A183,DATEVALUE('Procyfloc 956A'!A183)),"")</f>
        <v/>
      </c>
      <c r="AC2182" t="str">
        <f>IF(AA2182="","",'Procyfloc 956A'!B183)</f>
        <v/>
      </c>
      <c r="AD2182" t="str">
        <f>IF(AA2182="","",IFERROR(1*'Procyfloc 956A'!C183,IFERROR(_xludf.NUMBERVALUE('Procyfloc 956A'!C183,".",","),IFERROR(_xludf.NUMBERVALUE('Procyfloc 956A'!C183,",","."),0))))</f>
        <v/>
      </c>
      <c r="AE2182" t="str">
        <f>IF(AA2182="","",'Procyfloc 956A'!L183)</f>
        <v/>
      </c>
      <c r="AF2182">
        <f t="shared" si="221"/>
        <v>0</v>
      </c>
      <c r="AG2182" t="str">
        <f t="shared" si="222"/>
        <v/>
      </c>
      <c r="AH2182" t="str">
        <f t="shared" si="223"/>
        <v/>
      </c>
      <c r="AI2182">
        <f t="shared" si="224"/>
        <v>0</v>
      </c>
      <c r="AJ2182">
        <f t="shared" si="225"/>
        <v>0</v>
      </c>
      <c r="AK2182">
        <v>0</v>
      </c>
      <c r="AL2182" t="str">
        <f>IF(AA2182="","",IFERROR(IF(ISNUMBER('Procyfloc 956A'!D183),'Procyfloc 956A'!D183,IF(ISNUMBER(SEARCH("12",'Procyfloc 956A'!D183)),EDATE(AB2182,12),IF(ISNUMBER(SEARCH("6",'Procyfloc 956A'!D183)),EDATE(AB2182,6),IF(ISNUMBER(SEARCH("3",'Procyfloc 956A'!D183)),EDATE(AB2182,3),DATEVALUE('Procyfloc 956A'!D183))))),""))</f>
        <v/>
      </c>
      <c r="AM2182" t="str">
        <f t="shared" ca="1" si="226"/>
        <v/>
      </c>
    </row>
    <row r="2183" spans="27:39" x14ac:dyDescent="0.3">
      <c r="AA2183" t="str">
        <f>IF(COUNTA('Procyfloc 956A'!A184,'Procyfloc 956A'!B184,'Procyfloc 956A'!C184)&gt;0,"956A","")</f>
        <v/>
      </c>
      <c r="AB2183" t="str">
        <f>IFERROR(IF(ISNUMBER('Procyfloc 956A'!A184),'Procyfloc 956A'!A184,DATEVALUE('Procyfloc 956A'!A184)),"")</f>
        <v/>
      </c>
      <c r="AC2183" t="str">
        <f>IF(AA2183="","",'Procyfloc 956A'!B184)</f>
        <v/>
      </c>
      <c r="AD2183" t="str">
        <f>IF(AA2183="","",IFERROR(1*'Procyfloc 956A'!C184,IFERROR(_xludf.NUMBERVALUE('Procyfloc 956A'!C184,".",","),IFERROR(_xludf.NUMBERVALUE('Procyfloc 956A'!C184,",","."),0))))</f>
        <v/>
      </c>
      <c r="AE2183" t="str">
        <f>IF(AA2183="","",'Procyfloc 956A'!L184)</f>
        <v/>
      </c>
      <c r="AF2183">
        <f t="shared" si="221"/>
        <v>0</v>
      </c>
      <c r="AG2183" t="str">
        <f t="shared" si="222"/>
        <v/>
      </c>
      <c r="AH2183" t="str">
        <f t="shared" si="223"/>
        <v/>
      </c>
      <c r="AI2183">
        <f t="shared" si="224"/>
        <v>0</v>
      </c>
      <c r="AJ2183">
        <f t="shared" si="225"/>
        <v>0</v>
      </c>
      <c r="AK2183">
        <v>0</v>
      </c>
      <c r="AL2183" t="str">
        <f>IF(AA2183="","",IFERROR(IF(ISNUMBER('Procyfloc 956A'!D184),'Procyfloc 956A'!D184,IF(ISNUMBER(SEARCH("12",'Procyfloc 956A'!D184)),EDATE(AB2183,12),IF(ISNUMBER(SEARCH("6",'Procyfloc 956A'!D184)),EDATE(AB2183,6),IF(ISNUMBER(SEARCH("3",'Procyfloc 956A'!D184)),EDATE(AB2183,3),DATEVALUE('Procyfloc 956A'!D184))))),""))</f>
        <v/>
      </c>
      <c r="AM2183" t="str">
        <f t="shared" ca="1" si="226"/>
        <v/>
      </c>
    </row>
    <row r="2184" spans="27:39" x14ac:dyDescent="0.3">
      <c r="AA2184" t="str">
        <f>IF(COUNTA('Procyfloc 956A'!A185,'Procyfloc 956A'!B185,'Procyfloc 956A'!C185)&gt;0,"956A","")</f>
        <v/>
      </c>
      <c r="AB2184" t="str">
        <f>IFERROR(IF(ISNUMBER('Procyfloc 956A'!A185),'Procyfloc 956A'!A185,DATEVALUE('Procyfloc 956A'!A185)),"")</f>
        <v/>
      </c>
      <c r="AC2184" t="str">
        <f>IF(AA2184="","",'Procyfloc 956A'!B185)</f>
        <v/>
      </c>
      <c r="AD2184" t="str">
        <f>IF(AA2184="","",IFERROR(1*'Procyfloc 956A'!C185,IFERROR(_xludf.NUMBERVALUE('Procyfloc 956A'!C185,".",","),IFERROR(_xludf.NUMBERVALUE('Procyfloc 956A'!C185,",","."),0))))</f>
        <v/>
      </c>
      <c r="AE2184" t="str">
        <f>IF(AA2184="","",'Procyfloc 956A'!L185)</f>
        <v/>
      </c>
      <c r="AF2184">
        <f t="shared" si="221"/>
        <v>0</v>
      </c>
      <c r="AG2184" t="str">
        <f t="shared" si="222"/>
        <v/>
      </c>
      <c r="AH2184" t="str">
        <f t="shared" si="223"/>
        <v/>
      </c>
      <c r="AI2184">
        <f t="shared" si="224"/>
        <v>0</v>
      </c>
      <c r="AJ2184">
        <f t="shared" si="225"/>
        <v>0</v>
      </c>
      <c r="AK2184">
        <v>0</v>
      </c>
      <c r="AL2184" t="str">
        <f>IF(AA2184="","",IFERROR(IF(ISNUMBER('Procyfloc 956A'!D185),'Procyfloc 956A'!D185,IF(ISNUMBER(SEARCH("12",'Procyfloc 956A'!D185)),EDATE(AB2184,12),IF(ISNUMBER(SEARCH("6",'Procyfloc 956A'!D185)),EDATE(AB2184,6),IF(ISNUMBER(SEARCH("3",'Procyfloc 956A'!D185)),EDATE(AB2184,3),DATEVALUE('Procyfloc 956A'!D185))))),""))</f>
        <v/>
      </c>
      <c r="AM2184" t="str">
        <f t="shared" ca="1" si="226"/>
        <v/>
      </c>
    </row>
    <row r="2185" spans="27:39" x14ac:dyDescent="0.3">
      <c r="AA2185" t="str">
        <f>IF(COUNTA('Procyfloc 956A'!A186,'Procyfloc 956A'!B186,'Procyfloc 956A'!C186)&gt;0,"956A","")</f>
        <v/>
      </c>
      <c r="AB2185" t="str">
        <f>IFERROR(IF(ISNUMBER('Procyfloc 956A'!A186),'Procyfloc 956A'!A186,DATEVALUE('Procyfloc 956A'!A186)),"")</f>
        <v/>
      </c>
      <c r="AC2185" t="str">
        <f>IF(AA2185="","",'Procyfloc 956A'!B186)</f>
        <v/>
      </c>
      <c r="AD2185" t="str">
        <f>IF(AA2185="","",IFERROR(1*'Procyfloc 956A'!C186,IFERROR(_xludf.NUMBERVALUE('Procyfloc 956A'!C186,".",","),IFERROR(_xludf.NUMBERVALUE('Procyfloc 956A'!C186,",","."),0))))</f>
        <v/>
      </c>
      <c r="AE2185" t="str">
        <f>IF(AA2185="","",'Procyfloc 956A'!L186)</f>
        <v/>
      </c>
      <c r="AF2185">
        <f t="shared" si="221"/>
        <v>0</v>
      </c>
      <c r="AG2185" t="str">
        <f t="shared" si="222"/>
        <v/>
      </c>
      <c r="AH2185" t="str">
        <f t="shared" si="223"/>
        <v/>
      </c>
      <c r="AI2185">
        <f t="shared" si="224"/>
        <v>0</v>
      </c>
      <c r="AJ2185">
        <f t="shared" si="225"/>
        <v>0</v>
      </c>
      <c r="AK2185">
        <v>0</v>
      </c>
      <c r="AL2185" t="str">
        <f>IF(AA2185="","",IFERROR(IF(ISNUMBER('Procyfloc 956A'!D186),'Procyfloc 956A'!D186,IF(ISNUMBER(SEARCH("12",'Procyfloc 956A'!D186)),EDATE(AB2185,12),IF(ISNUMBER(SEARCH("6",'Procyfloc 956A'!D186)),EDATE(AB2185,6),IF(ISNUMBER(SEARCH("3",'Procyfloc 956A'!D186)),EDATE(AB2185,3),DATEVALUE('Procyfloc 956A'!D186))))),""))</f>
        <v/>
      </c>
      <c r="AM2185" t="str">
        <f t="shared" ca="1" si="226"/>
        <v/>
      </c>
    </row>
    <row r="2186" spans="27:39" x14ac:dyDescent="0.3">
      <c r="AA2186" t="str">
        <f>IF(COUNTA('Procyfloc 956A'!A187,'Procyfloc 956A'!B187,'Procyfloc 956A'!C187)&gt;0,"956A","")</f>
        <v/>
      </c>
      <c r="AB2186" t="str">
        <f>IFERROR(IF(ISNUMBER('Procyfloc 956A'!A187),'Procyfloc 956A'!A187,DATEVALUE('Procyfloc 956A'!A187)),"")</f>
        <v/>
      </c>
      <c r="AC2186" t="str">
        <f>IF(AA2186="","",'Procyfloc 956A'!B187)</f>
        <v/>
      </c>
      <c r="AD2186" t="str">
        <f>IF(AA2186="","",IFERROR(1*'Procyfloc 956A'!C187,IFERROR(_xludf.NUMBERVALUE('Procyfloc 956A'!C187,".",","),IFERROR(_xludf.NUMBERVALUE('Procyfloc 956A'!C187,",","."),0))))</f>
        <v/>
      </c>
      <c r="AE2186" t="str">
        <f>IF(AA2186="","",'Procyfloc 956A'!L187)</f>
        <v/>
      </c>
      <c r="AF2186">
        <f t="shared" si="221"/>
        <v>0</v>
      </c>
      <c r="AG2186" t="str">
        <f t="shared" si="222"/>
        <v/>
      </c>
      <c r="AH2186" t="str">
        <f t="shared" si="223"/>
        <v/>
      </c>
      <c r="AI2186">
        <f t="shared" si="224"/>
        <v>0</v>
      </c>
      <c r="AJ2186">
        <f t="shared" si="225"/>
        <v>0</v>
      </c>
      <c r="AK2186">
        <v>0</v>
      </c>
      <c r="AL2186" t="str">
        <f>IF(AA2186="","",IFERROR(IF(ISNUMBER('Procyfloc 956A'!D187),'Procyfloc 956A'!D187,IF(ISNUMBER(SEARCH("12",'Procyfloc 956A'!D187)),EDATE(AB2186,12),IF(ISNUMBER(SEARCH("6",'Procyfloc 956A'!D187)),EDATE(AB2186,6),IF(ISNUMBER(SEARCH("3",'Procyfloc 956A'!D187)),EDATE(AB2186,3),DATEVALUE('Procyfloc 956A'!D187))))),""))</f>
        <v/>
      </c>
      <c r="AM2186" t="str">
        <f t="shared" ca="1" si="226"/>
        <v/>
      </c>
    </row>
    <row r="2187" spans="27:39" x14ac:dyDescent="0.3">
      <c r="AA2187" t="str">
        <f>IF(COUNTA('Procyfloc 956A'!A188,'Procyfloc 956A'!B188,'Procyfloc 956A'!C188)&gt;0,"956A","")</f>
        <v/>
      </c>
      <c r="AB2187" t="str">
        <f>IFERROR(IF(ISNUMBER('Procyfloc 956A'!A188),'Procyfloc 956A'!A188,DATEVALUE('Procyfloc 956A'!A188)),"")</f>
        <v/>
      </c>
      <c r="AC2187" t="str">
        <f>IF(AA2187="","",'Procyfloc 956A'!B188)</f>
        <v/>
      </c>
      <c r="AD2187" t="str">
        <f>IF(AA2187="","",IFERROR(1*'Procyfloc 956A'!C188,IFERROR(_xludf.NUMBERVALUE('Procyfloc 956A'!C188,".",","),IFERROR(_xludf.NUMBERVALUE('Procyfloc 956A'!C188,",","."),0))))</f>
        <v/>
      </c>
      <c r="AE2187" t="str">
        <f>IF(AA2187="","",'Procyfloc 956A'!L188)</f>
        <v/>
      </c>
      <c r="AF2187">
        <f t="shared" si="221"/>
        <v>0</v>
      </c>
      <c r="AG2187" t="str">
        <f t="shared" si="222"/>
        <v/>
      </c>
      <c r="AH2187" t="str">
        <f t="shared" si="223"/>
        <v/>
      </c>
      <c r="AI2187">
        <f t="shared" si="224"/>
        <v>0</v>
      </c>
      <c r="AJ2187">
        <f t="shared" si="225"/>
        <v>0</v>
      </c>
      <c r="AK2187">
        <v>0</v>
      </c>
      <c r="AL2187" t="str">
        <f>IF(AA2187="","",IFERROR(IF(ISNUMBER('Procyfloc 956A'!D188),'Procyfloc 956A'!D188,IF(ISNUMBER(SEARCH("12",'Procyfloc 956A'!D188)),EDATE(AB2187,12),IF(ISNUMBER(SEARCH("6",'Procyfloc 956A'!D188)),EDATE(AB2187,6),IF(ISNUMBER(SEARCH("3",'Procyfloc 956A'!D188)),EDATE(AB2187,3),DATEVALUE('Procyfloc 956A'!D188))))),""))</f>
        <v/>
      </c>
      <c r="AM2187" t="str">
        <f t="shared" ca="1" si="226"/>
        <v/>
      </c>
    </row>
    <row r="2188" spans="27:39" x14ac:dyDescent="0.3">
      <c r="AA2188" t="str">
        <f>IF(COUNTA('Procyfloc 956A'!A189,'Procyfloc 956A'!B189,'Procyfloc 956A'!C189)&gt;0,"956A","")</f>
        <v/>
      </c>
      <c r="AB2188" t="str">
        <f>IFERROR(IF(ISNUMBER('Procyfloc 956A'!A189),'Procyfloc 956A'!A189,DATEVALUE('Procyfloc 956A'!A189)),"")</f>
        <v/>
      </c>
      <c r="AC2188" t="str">
        <f>IF(AA2188="","",'Procyfloc 956A'!B189)</f>
        <v/>
      </c>
      <c r="AD2188" t="str">
        <f>IF(AA2188="","",IFERROR(1*'Procyfloc 956A'!C189,IFERROR(_xludf.NUMBERVALUE('Procyfloc 956A'!C189,".",","),IFERROR(_xludf.NUMBERVALUE('Procyfloc 956A'!C189,",","."),0))))</f>
        <v/>
      </c>
      <c r="AE2188" t="str">
        <f>IF(AA2188="","",'Procyfloc 956A'!L189)</f>
        <v/>
      </c>
      <c r="AF2188">
        <f t="shared" si="221"/>
        <v>0</v>
      </c>
      <c r="AG2188" t="str">
        <f t="shared" si="222"/>
        <v/>
      </c>
      <c r="AH2188" t="str">
        <f t="shared" si="223"/>
        <v/>
      </c>
      <c r="AI2188">
        <f t="shared" si="224"/>
        <v>0</v>
      </c>
      <c r="AJ2188">
        <f t="shared" si="225"/>
        <v>0</v>
      </c>
      <c r="AK2188">
        <v>0</v>
      </c>
      <c r="AL2188" t="str">
        <f>IF(AA2188="","",IFERROR(IF(ISNUMBER('Procyfloc 956A'!D189),'Procyfloc 956A'!D189,IF(ISNUMBER(SEARCH("12",'Procyfloc 956A'!D189)),EDATE(AB2188,12),IF(ISNUMBER(SEARCH("6",'Procyfloc 956A'!D189)),EDATE(AB2188,6),IF(ISNUMBER(SEARCH("3",'Procyfloc 956A'!D189)),EDATE(AB2188,3),DATEVALUE('Procyfloc 956A'!D189))))),""))</f>
        <v/>
      </c>
      <c r="AM2188" t="str">
        <f t="shared" ca="1" si="226"/>
        <v/>
      </c>
    </row>
    <row r="2189" spans="27:39" x14ac:dyDescent="0.3">
      <c r="AA2189" t="str">
        <f>IF(COUNTA('Procyfloc 956A'!A190,'Procyfloc 956A'!B190,'Procyfloc 956A'!C190)&gt;0,"956A","")</f>
        <v/>
      </c>
      <c r="AB2189" t="str">
        <f>IFERROR(IF(ISNUMBER('Procyfloc 956A'!A190),'Procyfloc 956A'!A190,DATEVALUE('Procyfloc 956A'!A190)),"")</f>
        <v/>
      </c>
      <c r="AC2189" t="str">
        <f>IF(AA2189="","",'Procyfloc 956A'!B190)</f>
        <v/>
      </c>
      <c r="AD2189" t="str">
        <f>IF(AA2189="","",IFERROR(1*'Procyfloc 956A'!C190,IFERROR(_xludf.NUMBERVALUE('Procyfloc 956A'!C190,".",","),IFERROR(_xludf.NUMBERVALUE('Procyfloc 956A'!C190,",","."),0))))</f>
        <v/>
      </c>
      <c r="AE2189" t="str">
        <f>IF(AA2189="","",'Procyfloc 956A'!L190)</f>
        <v/>
      </c>
      <c r="AF2189">
        <f t="shared" si="221"/>
        <v>0</v>
      </c>
      <c r="AG2189" t="str">
        <f t="shared" si="222"/>
        <v/>
      </c>
      <c r="AH2189" t="str">
        <f t="shared" si="223"/>
        <v/>
      </c>
      <c r="AI2189">
        <f t="shared" si="224"/>
        <v>0</v>
      </c>
      <c r="AJ2189">
        <f t="shared" si="225"/>
        <v>0</v>
      </c>
      <c r="AK2189">
        <v>0</v>
      </c>
      <c r="AL2189" t="str">
        <f>IF(AA2189="","",IFERROR(IF(ISNUMBER('Procyfloc 956A'!D190),'Procyfloc 956A'!D190,IF(ISNUMBER(SEARCH("12",'Procyfloc 956A'!D190)),EDATE(AB2189,12),IF(ISNUMBER(SEARCH("6",'Procyfloc 956A'!D190)),EDATE(AB2189,6),IF(ISNUMBER(SEARCH("3",'Procyfloc 956A'!D190)),EDATE(AB2189,3),DATEVALUE('Procyfloc 956A'!D190))))),""))</f>
        <v/>
      </c>
      <c r="AM2189" t="str">
        <f t="shared" ca="1" si="226"/>
        <v/>
      </c>
    </row>
    <row r="2190" spans="27:39" x14ac:dyDescent="0.3">
      <c r="AA2190" t="str">
        <f>IF(COUNTA('Procyfloc 956A'!A191,'Procyfloc 956A'!B191,'Procyfloc 956A'!C191)&gt;0,"956A","")</f>
        <v/>
      </c>
      <c r="AB2190" t="str">
        <f>IFERROR(IF(ISNUMBER('Procyfloc 956A'!A191),'Procyfloc 956A'!A191,DATEVALUE('Procyfloc 956A'!A191)),"")</f>
        <v/>
      </c>
      <c r="AC2190" t="str">
        <f>IF(AA2190="","",'Procyfloc 956A'!B191)</f>
        <v/>
      </c>
      <c r="AD2190" t="str">
        <f>IF(AA2190="","",IFERROR(1*'Procyfloc 956A'!C191,IFERROR(_xludf.NUMBERVALUE('Procyfloc 956A'!C191,".",","),IFERROR(_xludf.NUMBERVALUE('Procyfloc 956A'!C191,",","."),0))))</f>
        <v/>
      </c>
      <c r="AE2190" t="str">
        <f>IF(AA2190="","",'Procyfloc 956A'!L191)</f>
        <v/>
      </c>
      <c r="AF2190">
        <f t="shared" si="221"/>
        <v>0</v>
      </c>
      <c r="AG2190" t="str">
        <f t="shared" si="222"/>
        <v/>
      </c>
      <c r="AH2190" t="str">
        <f t="shared" si="223"/>
        <v/>
      </c>
      <c r="AI2190">
        <f t="shared" si="224"/>
        <v>0</v>
      </c>
      <c r="AJ2190">
        <f t="shared" si="225"/>
        <v>0</v>
      </c>
      <c r="AK2190">
        <v>0</v>
      </c>
      <c r="AL2190" t="str">
        <f>IF(AA2190="","",IFERROR(IF(ISNUMBER('Procyfloc 956A'!D191),'Procyfloc 956A'!D191,IF(ISNUMBER(SEARCH("12",'Procyfloc 956A'!D191)),EDATE(AB2190,12),IF(ISNUMBER(SEARCH("6",'Procyfloc 956A'!D191)),EDATE(AB2190,6),IF(ISNUMBER(SEARCH("3",'Procyfloc 956A'!D191)),EDATE(AB2190,3),DATEVALUE('Procyfloc 956A'!D191))))),""))</f>
        <v/>
      </c>
      <c r="AM2190" t="str">
        <f t="shared" ca="1" si="226"/>
        <v/>
      </c>
    </row>
    <row r="2191" spans="27:39" x14ac:dyDescent="0.3">
      <c r="AA2191" t="str">
        <f>IF(COUNTA('Procyfloc 956A'!A192,'Procyfloc 956A'!B192,'Procyfloc 956A'!C192)&gt;0,"956A","")</f>
        <v/>
      </c>
      <c r="AB2191" t="str">
        <f>IFERROR(IF(ISNUMBER('Procyfloc 956A'!A192),'Procyfloc 956A'!A192,DATEVALUE('Procyfloc 956A'!A192)),"")</f>
        <v/>
      </c>
      <c r="AC2191" t="str">
        <f>IF(AA2191="","",'Procyfloc 956A'!B192)</f>
        <v/>
      </c>
      <c r="AD2191" t="str">
        <f>IF(AA2191="","",IFERROR(1*'Procyfloc 956A'!C192,IFERROR(_xludf.NUMBERVALUE('Procyfloc 956A'!C192,".",","),IFERROR(_xludf.NUMBERVALUE('Procyfloc 956A'!C192,",","."),0))))</f>
        <v/>
      </c>
      <c r="AE2191" t="str">
        <f>IF(AA2191="","",'Procyfloc 956A'!L192)</f>
        <v/>
      </c>
      <c r="AF2191">
        <f t="shared" si="221"/>
        <v>0</v>
      </c>
      <c r="AG2191" t="str">
        <f t="shared" si="222"/>
        <v/>
      </c>
      <c r="AH2191" t="str">
        <f t="shared" si="223"/>
        <v/>
      </c>
      <c r="AI2191">
        <f t="shared" si="224"/>
        <v>0</v>
      </c>
      <c r="AJ2191">
        <f t="shared" si="225"/>
        <v>0</v>
      </c>
      <c r="AK2191">
        <v>0</v>
      </c>
      <c r="AL2191" t="str">
        <f>IF(AA2191="","",IFERROR(IF(ISNUMBER('Procyfloc 956A'!D192),'Procyfloc 956A'!D192,IF(ISNUMBER(SEARCH("12",'Procyfloc 956A'!D192)),EDATE(AB2191,12),IF(ISNUMBER(SEARCH("6",'Procyfloc 956A'!D192)),EDATE(AB2191,6),IF(ISNUMBER(SEARCH("3",'Procyfloc 956A'!D192)),EDATE(AB2191,3),DATEVALUE('Procyfloc 956A'!D192))))),""))</f>
        <v/>
      </c>
      <c r="AM2191" t="str">
        <f t="shared" ca="1" si="226"/>
        <v/>
      </c>
    </row>
    <row r="2192" spans="27:39" x14ac:dyDescent="0.3">
      <c r="AA2192" t="str">
        <f>IF(COUNTA('Procyfloc 956A'!A193,'Procyfloc 956A'!B193,'Procyfloc 956A'!C193)&gt;0,"956A","")</f>
        <v/>
      </c>
      <c r="AB2192" t="str">
        <f>IFERROR(IF(ISNUMBER('Procyfloc 956A'!A193),'Procyfloc 956A'!A193,DATEVALUE('Procyfloc 956A'!A193)),"")</f>
        <v/>
      </c>
      <c r="AC2192" t="str">
        <f>IF(AA2192="","",'Procyfloc 956A'!B193)</f>
        <v/>
      </c>
      <c r="AD2192" t="str">
        <f>IF(AA2192="","",IFERROR(1*'Procyfloc 956A'!C193,IFERROR(_xludf.NUMBERVALUE('Procyfloc 956A'!C193,".",","),IFERROR(_xludf.NUMBERVALUE('Procyfloc 956A'!C193,",","."),0))))</f>
        <v/>
      </c>
      <c r="AE2192" t="str">
        <f>IF(AA2192="","",'Procyfloc 956A'!L193)</f>
        <v/>
      </c>
      <c r="AF2192">
        <f t="shared" si="221"/>
        <v>0</v>
      </c>
      <c r="AG2192" t="str">
        <f t="shared" si="222"/>
        <v/>
      </c>
      <c r="AH2192" t="str">
        <f t="shared" si="223"/>
        <v/>
      </c>
      <c r="AI2192">
        <f t="shared" si="224"/>
        <v>0</v>
      </c>
      <c r="AJ2192">
        <f t="shared" si="225"/>
        <v>0</v>
      </c>
      <c r="AK2192">
        <v>0</v>
      </c>
      <c r="AL2192" t="str">
        <f>IF(AA2192="","",IFERROR(IF(ISNUMBER('Procyfloc 956A'!D193),'Procyfloc 956A'!D193,IF(ISNUMBER(SEARCH("12",'Procyfloc 956A'!D193)),EDATE(AB2192,12),IF(ISNUMBER(SEARCH("6",'Procyfloc 956A'!D193)),EDATE(AB2192,6),IF(ISNUMBER(SEARCH("3",'Procyfloc 956A'!D193)),EDATE(AB2192,3),DATEVALUE('Procyfloc 956A'!D193))))),""))</f>
        <v/>
      </c>
      <c r="AM2192" t="str">
        <f t="shared" ca="1" si="226"/>
        <v/>
      </c>
    </row>
    <row r="2193" spans="27:39" x14ac:dyDescent="0.3">
      <c r="AA2193" t="str">
        <f>IF(COUNTA('Procyfloc 956A'!A194,'Procyfloc 956A'!B194,'Procyfloc 956A'!C194)&gt;0,"956A","")</f>
        <v/>
      </c>
      <c r="AB2193" t="str">
        <f>IFERROR(IF(ISNUMBER('Procyfloc 956A'!A194),'Procyfloc 956A'!A194,DATEVALUE('Procyfloc 956A'!A194)),"")</f>
        <v/>
      </c>
      <c r="AC2193" t="str">
        <f>IF(AA2193="","",'Procyfloc 956A'!B194)</f>
        <v/>
      </c>
      <c r="AD2193" t="str">
        <f>IF(AA2193="","",IFERROR(1*'Procyfloc 956A'!C194,IFERROR(_xludf.NUMBERVALUE('Procyfloc 956A'!C194,".",","),IFERROR(_xludf.NUMBERVALUE('Procyfloc 956A'!C194,",","."),0))))</f>
        <v/>
      </c>
      <c r="AE2193" t="str">
        <f>IF(AA2193="","",'Procyfloc 956A'!L194)</f>
        <v/>
      </c>
      <c r="AF2193">
        <f t="shared" si="221"/>
        <v>0</v>
      </c>
      <c r="AG2193" t="str">
        <f t="shared" si="222"/>
        <v/>
      </c>
      <c r="AH2193" t="str">
        <f t="shared" si="223"/>
        <v/>
      </c>
      <c r="AI2193">
        <f t="shared" si="224"/>
        <v>0</v>
      </c>
      <c r="AJ2193">
        <f t="shared" si="225"/>
        <v>0</v>
      </c>
      <c r="AK2193">
        <v>0</v>
      </c>
      <c r="AL2193" t="str">
        <f>IF(AA2193="","",IFERROR(IF(ISNUMBER('Procyfloc 956A'!D194),'Procyfloc 956A'!D194,IF(ISNUMBER(SEARCH("12",'Procyfloc 956A'!D194)),EDATE(AB2193,12),IF(ISNUMBER(SEARCH("6",'Procyfloc 956A'!D194)),EDATE(AB2193,6),IF(ISNUMBER(SEARCH("3",'Procyfloc 956A'!D194)),EDATE(AB2193,3),DATEVALUE('Procyfloc 956A'!D194))))),""))</f>
        <v/>
      </c>
      <c r="AM2193" t="str">
        <f t="shared" ca="1" si="226"/>
        <v/>
      </c>
    </row>
    <row r="2194" spans="27:39" x14ac:dyDescent="0.3">
      <c r="AA2194" t="str">
        <f>IF(COUNTA('Procyfloc 956A'!A195,'Procyfloc 956A'!B195,'Procyfloc 956A'!C195)&gt;0,"956A","")</f>
        <v/>
      </c>
      <c r="AB2194" t="str">
        <f>IFERROR(IF(ISNUMBER('Procyfloc 956A'!A195),'Procyfloc 956A'!A195,DATEVALUE('Procyfloc 956A'!A195)),"")</f>
        <v/>
      </c>
      <c r="AC2194" t="str">
        <f>IF(AA2194="","",'Procyfloc 956A'!B195)</f>
        <v/>
      </c>
      <c r="AD2194" t="str">
        <f>IF(AA2194="","",IFERROR(1*'Procyfloc 956A'!C195,IFERROR(_xludf.NUMBERVALUE('Procyfloc 956A'!C195,".",","),IFERROR(_xludf.NUMBERVALUE('Procyfloc 956A'!C195,",","."),0))))</f>
        <v/>
      </c>
      <c r="AE2194" t="str">
        <f>IF(AA2194="","",'Procyfloc 956A'!L195)</f>
        <v/>
      </c>
      <c r="AF2194">
        <f t="shared" si="221"/>
        <v>0</v>
      </c>
      <c r="AG2194" t="str">
        <f t="shared" si="222"/>
        <v/>
      </c>
      <c r="AH2194" t="str">
        <f t="shared" si="223"/>
        <v/>
      </c>
      <c r="AI2194">
        <f t="shared" si="224"/>
        <v>0</v>
      </c>
      <c r="AJ2194">
        <f t="shared" si="225"/>
        <v>0</v>
      </c>
      <c r="AK2194">
        <v>0</v>
      </c>
      <c r="AL2194" t="str">
        <f>IF(AA2194="","",IFERROR(IF(ISNUMBER('Procyfloc 956A'!D195),'Procyfloc 956A'!D195,IF(ISNUMBER(SEARCH("12",'Procyfloc 956A'!D195)),EDATE(AB2194,12),IF(ISNUMBER(SEARCH("6",'Procyfloc 956A'!D195)),EDATE(AB2194,6),IF(ISNUMBER(SEARCH("3",'Procyfloc 956A'!D195)),EDATE(AB2194,3),DATEVALUE('Procyfloc 956A'!D195))))),""))</f>
        <v/>
      </c>
      <c r="AM2194" t="str">
        <f t="shared" ca="1" si="226"/>
        <v/>
      </c>
    </row>
    <row r="2195" spans="27:39" x14ac:dyDescent="0.3">
      <c r="AA2195" t="str">
        <f>IF(COUNTA('Procyfloc 956A'!A196,'Procyfloc 956A'!B196,'Procyfloc 956A'!C196)&gt;0,"956A","")</f>
        <v/>
      </c>
      <c r="AB2195" t="str">
        <f>IFERROR(IF(ISNUMBER('Procyfloc 956A'!A196),'Procyfloc 956A'!A196,DATEVALUE('Procyfloc 956A'!A196)),"")</f>
        <v/>
      </c>
      <c r="AC2195" t="str">
        <f>IF(AA2195="","",'Procyfloc 956A'!B196)</f>
        <v/>
      </c>
      <c r="AD2195" t="str">
        <f>IF(AA2195="","",IFERROR(1*'Procyfloc 956A'!C196,IFERROR(_xludf.NUMBERVALUE('Procyfloc 956A'!C196,".",","),IFERROR(_xludf.NUMBERVALUE('Procyfloc 956A'!C196,",","."),0))))</f>
        <v/>
      </c>
      <c r="AE2195" t="str">
        <f>IF(AA2195="","",'Procyfloc 956A'!L196)</f>
        <v/>
      </c>
      <c r="AF2195">
        <f t="shared" si="221"/>
        <v>0</v>
      </c>
      <c r="AG2195" t="str">
        <f t="shared" si="222"/>
        <v/>
      </c>
      <c r="AH2195" t="str">
        <f t="shared" si="223"/>
        <v/>
      </c>
      <c r="AI2195">
        <f t="shared" si="224"/>
        <v>0</v>
      </c>
      <c r="AJ2195">
        <f t="shared" si="225"/>
        <v>0</v>
      </c>
      <c r="AK2195">
        <v>0</v>
      </c>
      <c r="AL2195" t="str">
        <f>IF(AA2195="","",IFERROR(IF(ISNUMBER('Procyfloc 956A'!D196),'Procyfloc 956A'!D196,IF(ISNUMBER(SEARCH("12",'Procyfloc 956A'!D196)),EDATE(AB2195,12),IF(ISNUMBER(SEARCH("6",'Procyfloc 956A'!D196)),EDATE(AB2195,6),IF(ISNUMBER(SEARCH("3",'Procyfloc 956A'!D196)),EDATE(AB2195,3),DATEVALUE('Procyfloc 956A'!D196))))),""))</f>
        <v/>
      </c>
      <c r="AM2195" t="str">
        <f t="shared" ca="1" si="226"/>
        <v/>
      </c>
    </row>
    <row r="2196" spans="27:39" x14ac:dyDescent="0.3">
      <c r="AA2196" t="str">
        <f>IF(COUNTA('Procyfloc 956A'!A197,'Procyfloc 956A'!B197,'Procyfloc 956A'!C197)&gt;0,"956A","")</f>
        <v/>
      </c>
      <c r="AB2196" t="str">
        <f>IFERROR(IF(ISNUMBER('Procyfloc 956A'!A197),'Procyfloc 956A'!A197,DATEVALUE('Procyfloc 956A'!A197)),"")</f>
        <v/>
      </c>
      <c r="AC2196" t="str">
        <f>IF(AA2196="","",'Procyfloc 956A'!B197)</f>
        <v/>
      </c>
      <c r="AD2196" t="str">
        <f>IF(AA2196="","",IFERROR(1*'Procyfloc 956A'!C197,IFERROR(_xludf.NUMBERVALUE('Procyfloc 956A'!C197,".",","),IFERROR(_xludf.NUMBERVALUE('Procyfloc 956A'!C197,",","."),0))))</f>
        <v/>
      </c>
      <c r="AE2196" t="str">
        <f>IF(AA2196="","",'Procyfloc 956A'!L197)</f>
        <v/>
      </c>
      <c r="AF2196">
        <f t="shared" si="221"/>
        <v>0</v>
      </c>
      <c r="AG2196" t="str">
        <f t="shared" si="222"/>
        <v/>
      </c>
      <c r="AH2196" t="str">
        <f t="shared" si="223"/>
        <v/>
      </c>
      <c r="AI2196">
        <f t="shared" si="224"/>
        <v>0</v>
      </c>
      <c r="AJ2196">
        <f t="shared" si="225"/>
        <v>0</v>
      </c>
      <c r="AK2196">
        <v>0</v>
      </c>
      <c r="AL2196" t="str">
        <f>IF(AA2196="","",IFERROR(IF(ISNUMBER('Procyfloc 956A'!D197),'Procyfloc 956A'!D197,IF(ISNUMBER(SEARCH("12",'Procyfloc 956A'!D197)),EDATE(AB2196,12),IF(ISNUMBER(SEARCH("6",'Procyfloc 956A'!D197)),EDATE(AB2196,6),IF(ISNUMBER(SEARCH("3",'Procyfloc 956A'!D197)),EDATE(AB2196,3),DATEVALUE('Procyfloc 956A'!D197))))),""))</f>
        <v/>
      </c>
      <c r="AM2196" t="str">
        <f t="shared" ca="1" si="226"/>
        <v/>
      </c>
    </row>
    <row r="2197" spans="27:39" x14ac:dyDescent="0.3">
      <c r="AA2197" t="str">
        <f>IF(COUNTA('Procyfloc 956A'!A198,'Procyfloc 956A'!B198,'Procyfloc 956A'!C198)&gt;0,"956A","")</f>
        <v/>
      </c>
      <c r="AB2197" t="str">
        <f>IFERROR(IF(ISNUMBER('Procyfloc 956A'!A198),'Procyfloc 956A'!A198,DATEVALUE('Procyfloc 956A'!A198)),"")</f>
        <v/>
      </c>
      <c r="AC2197" t="str">
        <f>IF(AA2197="","",'Procyfloc 956A'!B198)</f>
        <v/>
      </c>
      <c r="AD2197" t="str">
        <f>IF(AA2197="","",IFERROR(1*'Procyfloc 956A'!C198,IFERROR(_xludf.NUMBERVALUE('Procyfloc 956A'!C198,".",","),IFERROR(_xludf.NUMBERVALUE('Procyfloc 956A'!C198,",","."),0))))</f>
        <v/>
      </c>
      <c r="AE2197" t="str">
        <f>IF(AA2197="","",'Procyfloc 956A'!L198)</f>
        <v/>
      </c>
      <c r="AF2197">
        <f t="shared" si="221"/>
        <v>0</v>
      </c>
      <c r="AG2197" t="str">
        <f t="shared" si="222"/>
        <v/>
      </c>
      <c r="AH2197" t="str">
        <f t="shared" si="223"/>
        <v/>
      </c>
      <c r="AI2197">
        <f t="shared" si="224"/>
        <v>0</v>
      </c>
      <c r="AJ2197">
        <f t="shared" si="225"/>
        <v>0</v>
      </c>
      <c r="AK2197">
        <v>0</v>
      </c>
      <c r="AL2197" t="str">
        <f>IF(AA2197="","",IFERROR(IF(ISNUMBER('Procyfloc 956A'!D198),'Procyfloc 956A'!D198,IF(ISNUMBER(SEARCH("12",'Procyfloc 956A'!D198)),EDATE(AB2197,12),IF(ISNUMBER(SEARCH("6",'Procyfloc 956A'!D198)),EDATE(AB2197,6),IF(ISNUMBER(SEARCH("3",'Procyfloc 956A'!D198)),EDATE(AB2197,3),DATEVALUE('Procyfloc 956A'!D198))))),""))</f>
        <v/>
      </c>
      <c r="AM2197" t="str">
        <f t="shared" ca="1" si="226"/>
        <v/>
      </c>
    </row>
    <row r="2198" spans="27:39" x14ac:dyDescent="0.3">
      <c r="AA2198" t="str">
        <f>IF(COUNTA('Procyfloc 956A'!A199,'Procyfloc 956A'!B199,'Procyfloc 956A'!C199)&gt;0,"956A","")</f>
        <v/>
      </c>
      <c r="AB2198" t="str">
        <f>IFERROR(IF(ISNUMBER('Procyfloc 956A'!A199),'Procyfloc 956A'!A199,DATEVALUE('Procyfloc 956A'!A199)),"")</f>
        <v/>
      </c>
      <c r="AC2198" t="str">
        <f>IF(AA2198="","",'Procyfloc 956A'!B199)</f>
        <v/>
      </c>
      <c r="AD2198" t="str">
        <f>IF(AA2198="","",IFERROR(1*'Procyfloc 956A'!C199,IFERROR(_xludf.NUMBERVALUE('Procyfloc 956A'!C199,".",","),IFERROR(_xludf.NUMBERVALUE('Procyfloc 956A'!C199,",","."),0))))</f>
        <v/>
      </c>
      <c r="AE2198" t="str">
        <f>IF(AA2198="","",'Procyfloc 956A'!L199)</f>
        <v/>
      </c>
      <c r="AF2198">
        <f t="shared" si="221"/>
        <v>0</v>
      </c>
      <c r="AG2198" t="str">
        <f t="shared" si="222"/>
        <v/>
      </c>
      <c r="AH2198" t="str">
        <f t="shared" si="223"/>
        <v/>
      </c>
      <c r="AI2198">
        <f t="shared" si="224"/>
        <v>0</v>
      </c>
      <c r="AJ2198">
        <f t="shared" si="225"/>
        <v>0</v>
      </c>
      <c r="AK2198">
        <v>0</v>
      </c>
      <c r="AL2198" t="str">
        <f>IF(AA2198="","",IFERROR(IF(ISNUMBER('Procyfloc 956A'!D199),'Procyfloc 956A'!D199,IF(ISNUMBER(SEARCH("12",'Procyfloc 956A'!D199)),EDATE(AB2198,12),IF(ISNUMBER(SEARCH("6",'Procyfloc 956A'!D199)),EDATE(AB2198,6),IF(ISNUMBER(SEARCH("3",'Procyfloc 956A'!D199)),EDATE(AB2198,3),DATEVALUE('Procyfloc 956A'!D199))))),""))</f>
        <v/>
      </c>
      <c r="AM2198" t="str">
        <f t="shared" ca="1" si="226"/>
        <v/>
      </c>
    </row>
    <row r="2199" spans="27:39" x14ac:dyDescent="0.3">
      <c r="AA2199" t="str">
        <f>IF(COUNTA('Procyfloc 956A'!A200,'Procyfloc 956A'!B200,'Procyfloc 956A'!C200)&gt;0,"956A","")</f>
        <v/>
      </c>
      <c r="AB2199" t="str">
        <f>IFERROR(IF(ISNUMBER('Procyfloc 956A'!A200),'Procyfloc 956A'!A200,DATEVALUE('Procyfloc 956A'!A200)),"")</f>
        <v/>
      </c>
      <c r="AC2199" t="str">
        <f>IF(AA2199="","",'Procyfloc 956A'!B200)</f>
        <v/>
      </c>
      <c r="AD2199" t="str">
        <f>IF(AA2199="","",IFERROR(1*'Procyfloc 956A'!C200,IFERROR(_xludf.NUMBERVALUE('Procyfloc 956A'!C200,".",","),IFERROR(_xludf.NUMBERVALUE('Procyfloc 956A'!C200,",","."),0))))</f>
        <v/>
      </c>
      <c r="AE2199" t="str">
        <f>IF(AA2199="","",'Procyfloc 956A'!L200)</f>
        <v/>
      </c>
      <c r="AF2199">
        <f t="shared" si="221"/>
        <v>0</v>
      </c>
      <c r="AG2199" t="str">
        <f t="shared" si="222"/>
        <v/>
      </c>
      <c r="AH2199" t="str">
        <f t="shared" si="223"/>
        <v/>
      </c>
      <c r="AI2199">
        <f t="shared" si="224"/>
        <v>0</v>
      </c>
      <c r="AJ2199">
        <f t="shared" si="225"/>
        <v>0</v>
      </c>
      <c r="AK2199">
        <v>0</v>
      </c>
      <c r="AL2199" t="str">
        <f>IF(AA2199="","",IFERROR(IF(ISNUMBER('Procyfloc 956A'!D200),'Procyfloc 956A'!D200,IF(ISNUMBER(SEARCH("12",'Procyfloc 956A'!D200)),EDATE(AB2199,12),IF(ISNUMBER(SEARCH("6",'Procyfloc 956A'!D200)),EDATE(AB2199,6),IF(ISNUMBER(SEARCH("3",'Procyfloc 956A'!D200)),EDATE(AB2199,3),DATEVALUE('Procyfloc 956A'!D200))))),""))</f>
        <v/>
      </c>
      <c r="AM2199" t="str">
        <f t="shared" ca="1" si="226"/>
        <v/>
      </c>
    </row>
    <row r="2200" spans="27:39" x14ac:dyDescent="0.3">
      <c r="AA2200" t="str">
        <f>IF(COUNTA('Procyfloc 956A'!A201,'Procyfloc 956A'!B201,'Procyfloc 956A'!C201)&gt;0,"956A","")</f>
        <v/>
      </c>
      <c r="AB2200" t="str">
        <f>IFERROR(IF(ISNUMBER('Procyfloc 956A'!A201),'Procyfloc 956A'!A201,DATEVALUE('Procyfloc 956A'!A201)),"")</f>
        <v/>
      </c>
      <c r="AC2200" t="str">
        <f>IF(AA2200="","",'Procyfloc 956A'!B201)</f>
        <v/>
      </c>
      <c r="AD2200" t="str">
        <f>IF(AA2200="","",IFERROR(1*'Procyfloc 956A'!C201,IFERROR(_xludf.NUMBERVALUE('Procyfloc 956A'!C201,".",","),IFERROR(_xludf.NUMBERVALUE('Procyfloc 956A'!C201,",","."),0))))</f>
        <v/>
      </c>
      <c r="AE2200" t="str">
        <f>IF(AA2200="","",'Procyfloc 956A'!L201)</f>
        <v/>
      </c>
      <c r="AF2200">
        <f t="shared" si="221"/>
        <v>0</v>
      </c>
      <c r="AG2200" t="str">
        <f t="shared" si="222"/>
        <v/>
      </c>
      <c r="AH2200" t="str">
        <f t="shared" si="223"/>
        <v/>
      </c>
      <c r="AI2200">
        <f t="shared" si="224"/>
        <v>0</v>
      </c>
      <c r="AJ2200">
        <f t="shared" si="225"/>
        <v>0</v>
      </c>
      <c r="AK2200">
        <v>0</v>
      </c>
      <c r="AL2200" t="str">
        <f>IF(AA2200="","",IFERROR(IF(ISNUMBER('Procyfloc 956A'!D201),'Procyfloc 956A'!D201,IF(ISNUMBER(SEARCH("12",'Procyfloc 956A'!D201)),EDATE(AB2200,12),IF(ISNUMBER(SEARCH("6",'Procyfloc 956A'!D201)),EDATE(AB2200,6),IF(ISNUMBER(SEARCH("3",'Procyfloc 956A'!D201)),EDATE(AB2200,3),DATEVALUE('Procyfloc 956A'!D201))))),""))</f>
        <v/>
      </c>
      <c r="AM2200" t="str">
        <f t="shared" ca="1" si="226"/>
        <v/>
      </c>
    </row>
    <row r="2201" spans="27:39" x14ac:dyDescent="0.3">
      <c r="AA2201" t="str">
        <f>IF(COUNTA('Procyfloc 956A'!A202,'Procyfloc 956A'!B202,'Procyfloc 956A'!C202)&gt;0,"956A","")</f>
        <v/>
      </c>
      <c r="AB2201" t="str">
        <f>IFERROR(IF(ISNUMBER('Procyfloc 956A'!A202),'Procyfloc 956A'!A202,DATEVALUE('Procyfloc 956A'!A202)),"")</f>
        <v/>
      </c>
      <c r="AC2201" t="str">
        <f>IF(AA2201="","",'Procyfloc 956A'!B202)</f>
        <v/>
      </c>
      <c r="AD2201" t="str">
        <f>IF(AA2201="","",IFERROR(1*'Procyfloc 956A'!C202,IFERROR(_xludf.NUMBERVALUE('Procyfloc 956A'!C202,".",","),IFERROR(_xludf.NUMBERVALUE('Procyfloc 956A'!C202,",","."),0))))</f>
        <v/>
      </c>
      <c r="AE2201" t="str">
        <f>IF(AA2201="","",'Procyfloc 956A'!L202)</f>
        <v/>
      </c>
      <c r="AF2201">
        <f t="shared" si="221"/>
        <v>0</v>
      </c>
      <c r="AG2201" t="str">
        <f t="shared" si="222"/>
        <v/>
      </c>
      <c r="AH2201" t="str">
        <f t="shared" si="223"/>
        <v/>
      </c>
      <c r="AI2201">
        <f t="shared" si="224"/>
        <v>0</v>
      </c>
      <c r="AJ2201">
        <f t="shared" si="225"/>
        <v>0</v>
      </c>
      <c r="AK2201">
        <v>0</v>
      </c>
      <c r="AL2201" t="str">
        <f>IF(AA2201="","",IFERROR(IF(ISNUMBER('Procyfloc 956A'!D202),'Procyfloc 956A'!D202,IF(ISNUMBER(SEARCH("12",'Procyfloc 956A'!D202)),EDATE(AB2201,12),IF(ISNUMBER(SEARCH("6",'Procyfloc 956A'!D202)),EDATE(AB2201,6),IF(ISNUMBER(SEARCH("3",'Procyfloc 956A'!D202)),EDATE(AB2201,3),DATEVALUE('Procyfloc 956A'!D202))))),""))</f>
        <v/>
      </c>
      <c r="AM2201" t="str">
        <f t="shared" ca="1" si="226"/>
        <v/>
      </c>
    </row>
    <row r="2202" spans="27:39" x14ac:dyDescent="0.3">
      <c r="AA2202" t="str">
        <f>IF(COUNTA('Procyfloc 956A'!A203,'Procyfloc 956A'!B203,'Procyfloc 956A'!C203)&gt;0,"956A","")</f>
        <v/>
      </c>
      <c r="AB2202" t="str">
        <f>IFERROR(IF(ISNUMBER('Procyfloc 956A'!A203),'Procyfloc 956A'!A203,DATEVALUE('Procyfloc 956A'!A203)),"")</f>
        <v/>
      </c>
      <c r="AC2202" t="str">
        <f>IF(AA2202="","",'Procyfloc 956A'!B203)</f>
        <v/>
      </c>
      <c r="AD2202" t="str">
        <f>IF(AA2202="","",IFERROR(1*'Procyfloc 956A'!C203,IFERROR(_xludf.NUMBERVALUE('Procyfloc 956A'!C203,".",","),IFERROR(_xludf.NUMBERVALUE('Procyfloc 956A'!C203,",","."),0))))</f>
        <v/>
      </c>
      <c r="AE2202" t="str">
        <f>IF(AA2202="","",'Procyfloc 956A'!L203)</f>
        <v/>
      </c>
      <c r="AF2202">
        <f t="shared" si="221"/>
        <v>0</v>
      </c>
      <c r="AG2202" t="str">
        <f t="shared" si="222"/>
        <v/>
      </c>
      <c r="AH2202" t="str">
        <f t="shared" si="223"/>
        <v/>
      </c>
      <c r="AI2202">
        <f t="shared" si="224"/>
        <v>0</v>
      </c>
      <c r="AJ2202">
        <f t="shared" si="225"/>
        <v>0</v>
      </c>
      <c r="AK2202">
        <v>0</v>
      </c>
      <c r="AL2202" t="str">
        <f>IF(AA2202="","",IFERROR(IF(ISNUMBER('Procyfloc 956A'!D203),'Procyfloc 956A'!D203,IF(ISNUMBER(SEARCH("12",'Procyfloc 956A'!D203)),EDATE(AB2202,12),IF(ISNUMBER(SEARCH("6",'Procyfloc 956A'!D203)),EDATE(AB2202,6),IF(ISNUMBER(SEARCH("3",'Procyfloc 956A'!D203)),EDATE(AB2202,3),DATEVALUE('Procyfloc 956A'!D203))))),""))</f>
        <v/>
      </c>
      <c r="AM2202" t="str">
        <f t="shared" ca="1" si="226"/>
        <v/>
      </c>
    </row>
    <row r="2203" spans="27:39" x14ac:dyDescent="0.3">
      <c r="AA2203" t="str">
        <f>IF(COUNTA('Procyfloc 956A'!A204,'Procyfloc 956A'!B204,'Procyfloc 956A'!C204)&gt;0,"956A","")</f>
        <v/>
      </c>
      <c r="AB2203" t="str">
        <f>IFERROR(IF(ISNUMBER('Procyfloc 956A'!A204),'Procyfloc 956A'!A204,DATEVALUE('Procyfloc 956A'!A204)),"")</f>
        <v/>
      </c>
      <c r="AC2203" t="str">
        <f>IF(AA2203="","",'Procyfloc 956A'!B204)</f>
        <v/>
      </c>
      <c r="AD2203" t="str">
        <f>IF(AA2203="","",IFERROR(1*'Procyfloc 956A'!C204,IFERROR(_xludf.NUMBERVALUE('Procyfloc 956A'!C204,".",","),IFERROR(_xludf.NUMBERVALUE('Procyfloc 956A'!C204,",","."),0))))</f>
        <v/>
      </c>
      <c r="AE2203" t="str">
        <f>IF(AA2203="","",'Procyfloc 956A'!L204)</f>
        <v/>
      </c>
      <c r="AF2203">
        <f t="shared" si="221"/>
        <v>0</v>
      </c>
      <c r="AG2203" t="str">
        <f t="shared" si="222"/>
        <v/>
      </c>
      <c r="AH2203" t="str">
        <f t="shared" si="223"/>
        <v/>
      </c>
      <c r="AI2203">
        <f t="shared" si="224"/>
        <v>0</v>
      </c>
      <c r="AJ2203">
        <f t="shared" si="225"/>
        <v>0</v>
      </c>
      <c r="AK2203">
        <v>0</v>
      </c>
      <c r="AL2203" t="str">
        <f>IF(AA2203="","",IFERROR(IF(ISNUMBER('Procyfloc 956A'!D204),'Procyfloc 956A'!D204,IF(ISNUMBER(SEARCH("12",'Procyfloc 956A'!D204)),EDATE(AB2203,12),IF(ISNUMBER(SEARCH("6",'Procyfloc 956A'!D204)),EDATE(AB2203,6),IF(ISNUMBER(SEARCH("3",'Procyfloc 956A'!D204)),EDATE(AB2203,3),DATEVALUE('Procyfloc 956A'!D204))))),""))</f>
        <v/>
      </c>
      <c r="AM2203" t="str">
        <f t="shared" ca="1" si="226"/>
        <v/>
      </c>
    </row>
    <row r="2204" spans="27:39" x14ac:dyDescent="0.3">
      <c r="AA2204" t="str">
        <f>IF(COUNTA('Procyfloc 956A'!A205,'Procyfloc 956A'!B205,'Procyfloc 956A'!C205)&gt;0,"956A","")</f>
        <v/>
      </c>
      <c r="AB2204" t="str">
        <f>IFERROR(IF(ISNUMBER('Procyfloc 956A'!A205),'Procyfloc 956A'!A205,DATEVALUE('Procyfloc 956A'!A205)),"")</f>
        <v/>
      </c>
      <c r="AC2204" t="str">
        <f>IF(AA2204="","",'Procyfloc 956A'!B205)</f>
        <v/>
      </c>
      <c r="AD2204" t="str">
        <f>IF(AA2204="","",IFERROR(1*'Procyfloc 956A'!C205,IFERROR(_xludf.NUMBERVALUE('Procyfloc 956A'!C205,".",","),IFERROR(_xludf.NUMBERVALUE('Procyfloc 956A'!C205,",","."),0))))</f>
        <v/>
      </c>
      <c r="AE2204" t="str">
        <f>IF(AA2204="","",'Procyfloc 956A'!L205)</f>
        <v/>
      </c>
      <c r="AF2204">
        <f t="shared" si="221"/>
        <v>0</v>
      </c>
      <c r="AG2204" t="str">
        <f t="shared" si="222"/>
        <v/>
      </c>
      <c r="AH2204" t="str">
        <f t="shared" si="223"/>
        <v/>
      </c>
      <c r="AI2204">
        <f t="shared" si="224"/>
        <v>0</v>
      </c>
      <c r="AJ2204">
        <f t="shared" si="225"/>
        <v>0</v>
      </c>
      <c r="AK2204">
        <v>0</v>
      </c>
      <c r="AL2204" t="str">
        <f>IF(AA2204="","",IFERROR(IF(ISNUMBER('Procyfloc 956A'!D205),'Procyfloc 956A'!D205,IF(ISNUMBER(SEARCH("12",'Procyfloc 956A'!D205)),EDATE(AB2204,12),IF(ISNUMBER(SEARCH("6",'Procyfloc 956A'!D205)),EDATE(AB2204,6),IF(ISNUMBER(SEARCH("3",'Procyfloc 956A'!D205)),EDATE(AB2204,3),DATEVALUE('Procyfloc 956A'!D205))))),""))</f>
        <v/>
      </c>
      <c r="AM2204" t="str">
        <f t="shared" ca="1" si="226"/>
        <v/>
      </c>
    </row>
    <row r="2205" spans="27:39" x14ac:dyDescent="0.3">
      <c r="AA2205" t="str">
        <f>IF(COUNTA('Procyfloc 956A'!A206,'Procyfloc 956A'!B206,'Procyfloc 956A'!C206)&gt;0,"956A","")</f>
        <v/>
      </c>
      <c r="AB2205" t="str">
        <f>IFERROR(IF(ISNUMBER('Procyfloc 956A'!A206),'Procyfloc 956A'!A206,DATEVALUE('Procyfloc 956A'!A206)),"")</f>
        <v/>
      </c>
      <c r="AC2205" t="str">
        <f>IF(AA2205="","",'Procyfloc 956A'!B206)</f>
        <v/>
      </c>
      <c r="AD2205" t="str">
        <f>IF(AA2205="","",IFERROR(1*'Procyfloc 956A'!C206,IFERROR(_xludf.NUMBERVALUE('Procyfloc 956A'!C206,".",","),IFERROR(_xludf.NUMBERVALUE('Procyfloc 956A'!C206,",","."),0))))</f>
        <v/>
      </c>
      <c r="AE2205" t="str">
        <f>IF(AA2205="","",'Procyfloc 956A'!L206)</f>
        <v/>
      </c>
      <c r="AF2205">
        <f t="shared" si="221"/>
        <v>0</v>
      </c>
      <c r="AG2205" t="str">
        <f t="shared" si="222"/>
        <v/>
      </c>
      <c r="AH2205" t="str">
        <f t="shared" si="223"/>
        <v/>
      </c>
      <c r="AI2205">
        <f t="shared" si="224"/>
        <v>0</v>
      </c>
      <c r="AJ2205">
        <f t="shared" si="225"/>
        <v>0</v>
      </c>
      <c r="AK2205">
        <v>0</v>
      </c>
      <c r="AL2205" t="str">
        <f>IF(AA2205="","",IFERROR(IF(ISNUMBER('Procyfloc 956A'!D206),'Procyfloc 956A'!D206,IF(ISNUMBER(SEARCH("12",'Procyfloc 956A'!D206)),EDATE(AB2205,12),IF(ISNUMBER(SEARCH("6",'Procyfloc 956A'!D206)),EDATE(AB2205,6),IF(ISNUMBER(SEARCH("3",'Procyfloc 956A'!D206)),EDATE(AB2205,3),DATEVALUE('Procyfloc 956A'!D206))))),""))</f>
        <v/>
      </c>
      <c r="AM2205" t="str">
        <f t="shared" ca="1" si="226"/>
        <v/>
      </c>
    </row>
    <row r="2206" spans="27:39" x14ac:dyDescent="0.3">
      <c r="AA2206" t="str">
        <f>IF(COUNTA('Procyfloc 956A'!A207,'Procyfloc 956A'!B207,'Procyfloc 956A'!C207)&gt;0,"956A","")</f>
        <v/>
      </c>
      <c r="AB2206" t="str">
        <f>IFERROR(IF(ISNUMBER('Procyfloc 956A'!A207),'Procyfloc 956A'!A207,DATEVALUE('Procyfloc 956A'!A207)),"")</f>
        <v/>
      </c>
      <c r="AC2206" t="str">
        <f>IF(AA2206="","",'Procyfloc 956A'!B207)</f>
        <v/>
      </c>
      <c r="AD2206" t="str">
        <f>IF(AA2206="","",IFERROR(1*'Procyfloc 956A'!C207,IFERROR(_xludf.NUMBERVALUE('Procyfloc 956A'!C207,".",","),IFERROR(_xludf.NUMBERVALUE('Procyfloc 956A'!C207,",","."),0))))</f>
        <v/>
      </c>
      <c r="AE2206" t="str">
        <f>IF(AA2206="","",'Procyfloc 956A'!L207)</f>
        <v/>
      </c>
      <c r="AF2206">
        <f t="shared" si="221"/>
        <v>0</v>
      </c>
      <c r="AG2206" t="str">
        <f t="shared" si="222"/>
        <v/>
      </c>
      <c r="AH2206" t="str">
        <f t="shared" si="223"/>
        <v/>
      </c>
      <c r="AI2206">
        <f t="shared" si="224"/>
        <v>0</v>
      </c>
      <c r="AJ2206">
        <f t="shared" si="225"/>
        <v>0</v>
      </c>
      <c r="AK2206">
        <v>0</v>
      </c>
      <c r="AL2206" t="str">
        <f>IF(AA2206="","",IFERROR(IF(ISNUMBER('Procyfloc 956A'!D207),'Procyfloc 956A'!D207,IF(ISNUMBER(SEARCH("12",'Procyfloc 956A'!D207)),EDATE(AB2206,12),IF(ISNUMBER(SEARCH("6",'Procyfloc 956A'!D207)),EDATE(AB2206,6),IF(ISNUMBER(SEARCH("3",'Procyfloc 956A'!D207)),EDATE(AB2206,3),DATEVALUE('Procyfloc 956A'!D207))))),""))</f>
        <v/>
      </c>
      <c r="AM2206" t="str">
        <f t="shared" ca="1" si="226"/>
        <v/>
      </c>
    </row>
    <row r="2207" spans="27:39" x14ac:dyDescent="0.3">
      <c r="AA2207" t="str">
        <f>IF(COUNTA('Procyfloc 956A'!A208,'Procyfloc 956A'!B208,'Procyfloc 956A'!C208)&gt;0,"956A","")</f>
        <v/>
      </c>
      <c r="AB2207" t="str">
        <f>IFERROR(IF(ISNUMBER('Procyfloc 956A'!A208),'Procyfloc 956A'!A208,DATEVALUE('Procyfloc 956A'!A208)),"")</f>
        <v/>
      </c>
      <c r="AC2207" t="str">
        <f>IF(AA2207="","",'Procyfloc 956A'!B208)</f>
        <v/>
      </c>
      <c r="AD2207" t="str">
        <f>IF(AA2207="","",IFERROR(1*'Procyfloc 956A'!C208,IFERROR(_xludf.NUMBERVALUE('Procyfloc 956A'!C208,".",","),IFERROR(_xludf.NUMBERVALUE('Procyfloc 956A'!C208,",","."),0))))</f>
        <v/>
      </c>
      <c r="AE2207" t="str">
        <f>IF(AA2207="","",'Procyfloc 956A'!L208)</f>
        <v/>
      </c>
      <c r="AF2207">
        <f t="shared" si="221"/>
        <v>0</v>
      </c>
      <c r="AG2207" t="str">
        <f t="shared" si="222"/>
        <v/>
      </c>
      <c r="AH2207" t="str">
        <f t="shared" si="223"/>
        <v/>
      </c>
      <c r="AI2207">
        <f t="shared" si="224"/>
        <v>0</v>
      </c>
      <c r="AJ2207">
        <f t="shared" si="225"/>
        <v>0</v>
      </c>
      <c r="AK2207">
        <v>0</v>
      </c>
      <c r="AL2207" t="str">
        <f>IF(AA2207="","",IFERROR(IF(ISNUMBER('Procyfloc 956A'!D208),'Procyfloc 956A'!D208,IF(ISNUMBER(SEARCH("12",'Procyfloc 956A'!D208)),EDATE(AB2207,12),IF(ISNUMBER(SEARCH("6",'Procyfloc 956A'!D208)),EDATE(AB2207,6),IF(ISNUMBER(SEARCH("3",'Procyfloc 956A'!D208)),EDATE(AB2207,3),DATEVALUE('Procyfloc 956A'!D208))))),""))</f>
        <v/>
      </c>
      <c r="AM2207" t="str">
        <f t="shared" ca="1" si="226"/>
        <v/>
      </c>
    </row>
    <row r="2208" spans="27:39" x14ac:dyDescent="0.3">
      <c r="AA2208" t="str">
        <f>IF(COUNTA('Procyfloc 956A'!A209,'Procyfloc 956A'!B209,'Procyfloc 956A'!C209)&gt;0,"956A","")</f>
        <v/>
      </c>
      <c r="AB2208" t="str">
        <f>IFERROR(IF(ISNUMBER('Procyfloc 956A'!A209),'Procyfloc 956A'!A209,DATEVALUE('Procyfloc 956A'!A209)),"")</f>
        <v/>
      </c>
      <c r="AC2208" t="str">
        <f>IF(AA2208="","",'Procyfloc 956A'!B209)</f>
        <v/>
      </c>
      <c r="AD2208" t="str">
        <f>IF(AA2208="","",IFERROR(1*'Procyfloc 956A'!C209,IFERROR(_xludf.NUMBERVALUE('Procyfloc 956A'!C209,".",","),IFERROR(_xludf.NUMBERVALUE('Procyfloc 956A'!C209,",","."),0))))</f>
        <v/>
      </c>
      <c r="AE2208" t="str">
        <f>IF(AA2208="","",'Procyfloc 956A'!L209)</f>
        <v/>
      </c>
      <c r="AF2208">
        <f t="shared" si="221"/>
        <v>0</v>
      </c>
      <c r="AG2208" t="str">
        <f t="shared" si="222"/>
        <v/>
      </c>
      <c r="AH2208" t="str">
        <f t="shared" si="223"/>
        <v/>
      </c>
      <c r="AI2208">
        <f t="shared" si="224"/>
        <v>0</v>
      </c>
      <c r="AJ2208">
        <f t="shared" si="225"/>
        <v>0</v>
      </c>
      <c r="AK2208">
        <v>0</v>
      </c>
      <c r="AL2208" t="str">
        <f>IF(AA2208="","",IFERROR(IF(ISNUMBER('Procyfloc 956A'!D209),'Procyfloc 956A'!D209,IF(ISNUMBER(SEARCH("12",'Procyfloc 956A'!D209)),EDATE(AB2208,12),IF(ISNUMBER(SEARCH("6",'Procyfloc 956A'!D209)),EDATE(AB2208,6),IF(ISNUMBER(SEARCH("3",'Procyfloc 956A'!D209)),EDATE(AB2208,3),DATEVALUE('Procyfloc 956A'!D209))))),""))</f>
        <v/>
      </c>
      <c r="AM2208" t="str">
        <f t="shared" ca="1" si="226"/>
        <v/>
      </c>
    </row>
    <row r="2209" spans="27:39" x14ac:dyDescent="0.3">
      <c r="AA2209" t="str">
        <f>IF(COUNTA('Procyfloc 956A'!A210,'Procyfloc 956A'!B210,'Procyfloc 956A'!C210)&gt;0,"956A","")</f>
        <v/>
      </c>
      <c r="AB2209" t="str">
        <f>IFERROR(IF(ISNUMBER('Procyfloc 956A'!A210),'Procyfloc 956A'!A210,DATEVALUE('Procyfloc 956A'!A210)),"")</f>
        <v/>
      </c>
      <c r="AC2209" t="str">
        <f>IF(AA2209="","",'Procyfloc 956A'!B210)</f>
        <v/>
      </c>
      <c r="AD2209" t="str">
        <f>IF(AA2209="","",IFERROR(1*'Procyfloc 956A'!C210,IFERROR(_xludf.NUMBERVALUE('Procyfloc 956A'!C210,".",","),IFERROR(_xludf.NUMBERVALUE('Procyfloc 956A'!C210,",","."),0))))</f>
        <v/>
      </c>
      <c r="AE2209" t="str">
        <f>IF(AA2209="","",'Procyfloc 956A'!L210)</f>
        <v/>
      </c>
      <c r="AF2209">
        <f t="shared" si="221"/>
        <v>0</v>
      </c>
      <c r="AG2209" t="str">
        <f t="shared" si="222"/>
        <v/>
      </c>
      <c r="AH2209" t="str">
        <f t="shared" si="223"/>
        <v/>
      </c>
      <c r="AI2209">
        <f t="shared" si="224"/>
        <v>0</v>
      </c>
      <c r="AJ2209">
        <f t="shared" si="225"/>
        <v>0</v>
      </c>
      <c r="AK2209">
        <v>0</v>
      </c>
      <c r="AL2209" t="str">
        <f>IF(AA2209="","",IFERROR(IF(ISNUMBER('Procyfloc 956A'!D210),'Procyfloc 956A'!D210,IF(ISNUMBER(SEARCH("12",'Procyfloc 956A'!D210)),EDATE(AB2209,12),IF(ISNUMBER(SEARCH("6",'Procyfloc 956A'!D210)),EDATE(AB2209,6),IF(ISNUMBER(SEARCH("3",'Procyfloc 956A'!D210)),EDATE(AB2209,3),DATEVALUE('Procyfloc 956A'!D210))))),""))</f>
        <v/>
      </c>
      <c r="AM2209" t="str">
        <f t="shared" ca="1" si="226"/>
        <v/>
      </c>
    </row>
    <row r="2210" spans="27:39" x14ac:dyDescent="0.3">
      <c r="AA2210" t="str">
        <f>IF(COUNTA('Procyfloc 956A'!A211,'Procyfloc 956A'!B211,'Procyfloc 956A'!C211)&gt;0,"956A","")</f>
        <v/>
      </c>
      <c r="AB2210" t="str">
        <f>IFERROR(IF(ISNUMBER('Procyfloc 956A'!A211),'Procyfloc 956A'!A211,DATEVALUE('Procyfloc 956A'!A211)),"")</f>
        <v/>
      </c>
      <c r="AC2210" t="str">
        <f>IF(AA2210="","",'Procyfloc 956A'!B211)</f>
        <v/>
      </c>
      <c r="AD2210" t="str">
        <f>IF(AA2210="","",IFERROR(1*'Procyfloc 956A'!C211,IFERROR(_xludf.NUMBERVALUE('Procyfloc 956A'!C211,".",","),IFERROR(_xludf.NUMBERVALUE('Procyfloc 956A'!C211,",","."),0))))</f>
        <v/>
      </c>
      <c r="AE2210" t="str">
        <f>IF(AA2210="","",'Procyfloc 956A'!L211)</f>
        <v/>
      </c>
      <c r="AF2210">
        <f t="shared" si="221"/>
        <v>0</v>
      </c>
      <c r="AG2210" t="str">
        <f t="shared" si="222"/>
        <v/>
      </c>
      <c r="AH2210" t="str">
        <f t="shared" si="223"/>
        <v/>
      </c>
      <c r="AI2210">
        <f t="shared" si="224"/>
        <v>0</v>
      </c>
      <c r="AJ2210">
        <f t="shared" si="225"/>
        <v>0</v>
      </c>
      <c r="AK2210">
        <v>0</v>
      </c>
      <c r="AL2210" t="str">
        <f>IF(AA2210="","",IFERROR(IF(ISNUMBER('Procyfloc 956A'!D211),'Procyfloc 956A'!D211,IF(ISNUMBER(SEARCH("12",'Procyfloc 956A'!D211)),EDATE(AB2210,12),IF(ISNUMBER(SEARCH("6",'Procyfloc 956A'!D211)),EDATE(AB2210,6),IF(ISNUMBER(SEARCH("3",'Procyfloc 956A'!D211)),EDATE(AB2210,3),DATEVALUE('Procyfloc 956A'!D211))))),""))</f>
        <v/>
      </c>
      <c r="AM2210" t="str">
        <f t="shared" ca="1" si="226"/>
        <v/>
      </c>
    </row>
    <row r="2211" spans="27:39" x14ac:dyDescent="0.3">
      <c r="AA2211" t="str">
        <f>IF(COUNTA('Procyfloc 956A'!A212,'Procyfloc 956A'!B212,'Procyfloc 956A'!C212)&gt;0,"956A","")</f>
        <v/>
      </c>
      <c r="AB2211" t="str">
        <f>IFERROR(IF(ISNUMBER('Procyfloc 956A'!A212),'Procyfloc 956A'!A212,DATEVALUE('Procyfloc 956A'!A212)),"")</f>
        <v/>
      </c>
      <c r="AC2211" t="str">
        <f>IF(AA2211="","",'Procyfloc 956A'!B212)</f>
        <v/>
      </c>
      <c r="AD2211" t="str">
        <f>IF(AA2211="","",IFERROR(1*'Procyfloc 956A'!C212,IFERROR(_xludf.NUMBERVALUE('Procyfloc 956A'!C212,".",","),IFERROR(_xludf.NUMBERVALUE('Procyfloc 956A'!C212,",","."),0))))</f>
        <v/>
      </c>
      <c r="AE2211" t="str">
        <f>IF(AA2211="","",'Procyfloc 956A'!L212)</f>
        <v/>
      </c>
      <c r="AF2211">
        <f t="shared" si="221"/>
        <v>0</v>
      </c>
      <c r="AG2211" t="str">
        <f t="shared" si="222"/>
        <v/>
      </c>
      <c r="AH2211" t="str">
        <f t="shared" si="223"/>
        <v/>
      </c>
      <c r="AI2211">
        <f t="shared" si="224"/>
        <v>0</v>
      </c>
      <c r="AJ2211">
        <f t="shared" si="225"/>
        <v>0</v>
      </c>
      <c r="AK2211">
        <v>0</v>
      </c>
      <c r="AL2211" t="str">
        <f>IF(AA2211="","",IFERROR(IF(ISNUMBER('Procyfloc 956A'!D212),'Procyfloc 956A'!D212,IF(ISNUMBER(SEARCH("12",'Procyfloc 956A'!D212)),EDATE(AB2211,12),IF(ISNUMBER(SEARCH("6",'Procyfloc 956A'!D212)),EDATE(AB2211,6),IF(ISNUMBER(SEARCH("3",'Procyfloc 956A'!D212)),EDATE(AB2211,3),DATEVALUE('Procyfloc 956A'!D212))))),""))</f>
        <v/>
      </c>
      <c r="AM2211" t="str">
        <f t="shared" ca="1" si="226"/>
        <v/>
      </c>
    </row>
    <row r="2212" spans="27:39" x14ac:dyDescent="0.3">
      <c r="AA2212" t="str">
        <f>IF(COUNTA('Procyfloc 956A'!A213,'Procyfloc 956A'!B213,'Procyfloc 956A'!C213)&gt;0,"956A","")</f>
        <v/>
      </c>
      <c r="AB2212" t="str">
        <f>IFERROR(IF(ISNUMBER('Procyfloc 956A'!A213),'Procyfloc 956A'!A213,DATEVALUE('Procyfloc 956A'!A213)),"")</f>
        <v/>
      </c>
      <c r="AC2212" t="str">
        <f>IF(AA2212="","",'Procyfloc 956A'!B213)</f>
        <v/>
      </c>
      <c r="AD2212" t="str">
        <f>IF(AA2212="","",IFERROR(1*'Procyfloc 956A'!C213,IFERROR(_xludf.NUMBERVALUE('Procyfloc 956A'!C213,".",","),IFERROR(_xludf.NUMBERVALUE('Procyfloc 956A'!C213,",","."),0))))</f>
        <v/>
      </c>
      <c r="AE2212" t="str">
        <f>IF(AA2212="","",'Procyfloc 956A'!L213)</f>
        <v/>
      </c>
      <c r="AF2212">
        <f t="shared" si="221"/>
        <v>0</v>
      </c>
      <c r="AG2212" t="str">
        <f t="shared" si="222"/>
        <v/>
      </c>
      <c r="AH2212" t="str">
        <f t="shared" si="223"/>
        <v/>
      </c>
      <c r="AI2212">
        <f t="shared" si="224"/>
        <v>0</v>
      </c>
      <c r="AJ2212">
        <f t="shared" si="225"/>
        <v>0</v>
      </c>
      <c r="AK2212">
        <v>0</v>
      </c>
      <c r="AL2212" t="str">
        <f>IF(AA2212="","",IFERROR(IF(ISNUMBER('Procyfloc 956A'!D213),'Procyfloc 956A'!D213,IF(ISNUMBER(SEARCH("12",'Procyfloc 956A'!D213)),EDATE(AB2212,12),IF(ISNUMBER(SEARCH("6",'Procyfloc 956A'!D213)),EDATE(AB2212,6),IF(ISNUMBER(SEARCH("3",'Procyfloc 956A'!D213)),EDATE(AB2212,3),DATEVALUE('Procyfloc 956A'!D213))))),""))</f>
        <v/>
      </c>
      <c r="AM2212" t="str">
        <f t="shared" ca="1" si="226"/>
        <v/>
      </c>
    </row>
    <row r="2213" spans="27:39" x14ac:dyDescent="0.3">
      <c r="AA2213" t="str">
        <f>IF(COUNTA('Procyfloc 956A'!A214,'Procyfloc 956A'!B214,'Procyfloc 956A'!C214)&gt;0,"956A","")</f>
        <v/>
      </c>
      <c r="AB2213" t="str">
        <f>IFERROR(IF(ISNUMBER('Procyfloc 956A'!A214),'Procyfloc 956A'!A214,DATEVALUE('Procyfloc 956A'!A214)),"")</f>
        <v/>
      </c>
      <c r="AC2213" t="str">
        <f>IF(AA2213="","",'Procyfloc 956A'!B214)</f>
        <v/>
      </c>
      <c r="AD2213" t="str">
        <f>IF(AA2213="","",IFERROR(1*'Procyfloc 956A'!C214,IFERROR(_xludf.NUMBERVALUE('Procyfloc 956A'!C214,".",","),IFERROR(_xludf.NUMBERVALUE('Procyfloc 956A'!C214,",","."),0))))</f>
        <v/>
      </c>
      <c r="AE2213" t="str">
        <f>IF(AA2213="","",'Procyfloc 956A'!L214)</f>
        <v/>
      </c>
      <c r="AF2213">
        <f t="shared" si="221"/>
        <v>0</v>
      </c>
      <c r="AG2213" t="str">
        <f t="shared" si="222"/>
        <v/>
      </c>
      <c r="AH2213" t="str">
        <f t="shared" si="223"/>
        <v/>
      </c>
      <c r="AI2213">
        <f t="shared" si="224"/>
        <v>0</v>
      </c>
      <c r="AJ2213">
        <f t="shared" si="225"/>
        <v>0</v>
      </c>
      <c r="AK2213">
        <v>0</v>
      </c>
      <c r="AL2213" t="str">
        <f>IF(AA2213="","",IFERROR(IF(ISNUMBER('Procyfloc 956A'!D214),'Procyfloc 956A'!D214,IF(ISNUMBER(SEARCH("12",'Procyfloc 956A'!D214)),EDATE(AB2213,12),IF(ISNUMBER(SEARCH("6",'Procyfloc 956A'!D214)),EDATE(AB2213,6),IF(ISNUMBER(SEARCH("3",'Procyfloc 956A'!D214)),EDATE(AB2213,3),DATEVALUE('Procyfloc 956A'!D214))))),""))</f>
        <v/>
      </c>
      <c r="AM2213" t="str">
        <f t="shared" ca="1" si="226"/>
        <v/>
      </c>
    </row>
    <row r="2214" spans="27:39" x14ac:dyDescent="0.3">
      <c r="AA2214" t="str">
        <f>IF(COUNTA('Procyfloc 956A'!A215,'Procyfloc 956A'!B215,'Procyfloc 956A'!C215)&gt;0,"956A","")</f>
        <v/>
      </c>
      <c r="AB2214" t="str">
        <f>IFERROR(IF(ISNUMBER('Procyfloc 956A'!A215),'Procyfloc 956A'!A215,DATEVALUE('Procyfloc 956A'!A215)),"")</f>
        <v/>
      </c>
      <c r="AC2214" t="str">
        <f>IF(AA2214="","",'Procyfloc 956A'!B215)</f>
        <v/>
      </c>
      <c r="AD2214" t="str">
        <f>IF(AA2214="","",IFERROR(1*'Procyfloc 956A'!C215,IFERROR(_xludf.NUMBERVALUE('Procyfloc 956A'!C215,".",","),IFERROR(_xludf.NUMBERVALUE('Procyfloc 956A'!C215,",","."),0))))</f>
        <v/>
      </c>
      <c r="AE2214" t="str">
        <f>IF(AA2214="","",'Procyfloc 956A'!L215)</f>
        <v/>
      </c>
      <c r="AF2214">
        <f t="shared" si="221"/>
        <v>0</v>
      </c>
      <c r="AG2214" t="str">
        <f t="shared" si="222"/>
        <v/>
      </c>
      <c r="AH2214" t="str">
        <f t="shared" si="223"/>
        <v/>
      </c>
      <c r="AI2214">
        <f t="shared" si="224"/>
        <v>0</v>
      </c>
      <c r="AJ2214">
        <f t="shared" si="225"/>
        <v>0</v>
      </c>
      <c r="AK2214">
        <v>0</v>
      </c>
      <c r="AL2214" t="str">
        <f>IF(AA2214="","",IFERROR(IF(ISNUMBER('Procyfloc 956A'!D215),'Procyfloc 956A'!D215,IF(ISNUMBER(SEARCH("12",'Procyfloc 956A'!D215)),EDATE(AB2214,12),IF(ISNUMBER(SEARCH("6",'Procyfloc 956A'!D215)),EDATE(AB2214,6),IF(ISNUMBER(SEARCH("3",'Procyfloc 956A'!D215)),EDATE(AB2214,3),DATEVALUE('Procyfloc 956A'!D215))))),""))</f>
        <v/>
      </c>
      <c r="AM2214" t="str">
        <f t="shared" ca="1" si="226"/>
        <v/>
      </c>
    </row>
    <row r="2215" spans="27:39" x14ac:dyDescent="0.3">
      <c r="AA2215" t="str">
        <f>IF(COUNTA('Procyfloc 956A'!A216,'Procyfloc 956A'!B216,'Procyfloc 956A'!C216)&gt;0,"956A","")</f>
        <v/>
      </c>
      <c r="AB2215" t="str">
        <f>IFERROR(IF(ISNUMBER('Procyfloc 956A'!A216),'Procyfloc 956A'!A216,DATEVALUE('Procyfloc 956A'!A216)),"")</f>
        <v/>
      </c>
      <c r="AC2215" t="str">
        <f>IF(AA2215="","",'Procyfloc 956A'!B216)</f>
        <v/>
      </c>
      <c r="AD2215" t="str">
        <f>IF(AA2215="","",IFERROR(1*'Procyfloc 956A'!C216,IFERROR(_xludf.NUMBERVALUE('Procyfloc 956A'!C216,".",","),IFERROR(_xludf.NUMBERVALUE('Procyfloc 956A'!C216,",","."),0))))</f>
        <v/>
      </c>
      <c r="AE2215" t="str">
        <f>IF(AA2215="","",'Procyfloc 956A'!L216)</f>
        <v/>
      </c>
      <c r="AF2215">
        <f t="shared" si="221"/>
        <v>0</v>
      </c>
      <c r="AG2215" t="str">
        <f t="shared" si="222"/>
        <v/>
      </c>
      <c r="AH2215" t="str">
        <f t="shared" si="223"/>
        <v/>
      </c>
      <c r="AI2215">
        <f t="shared" si="224"/>
        <v>0</v>
      </c>
      <c r="AJ2215">
        <f t="shared" si="225"/>
        <v>0</v>
      </c>
      <c r="AK2215">
        <v>0</v>
      </c>
      <c r="AL2215" t="str">
        <f>IF(AA2215="","",IFERROR(IF(ISNUMBER('Procyfloc 956A'!D216),'Procyfloc 956A'!D216,IF(ISNUMBER(SEARCH("12",'Procyfloc 956A'!D216)),EDATE(AB2215,12),IF(ISNUMBER(SEARCH("6",'Procyfloc 956A'!D216)),EDATE(AB2215,6),IF(ISNUMBER(SEARCH("3",'Procyfloc 956A'!D216)),EDATE(AB2215,3),DATEVALUE('Procyfloc 956A'!D216))))),""))</f>
        <v/>
      </c>
      <c r="AM2215" t="str">
        <f t="shared" ca="1" si="226"/>
        <v/>
      </c>
    </row>
    <row r="2216" spans="27:39" x14ac:dyDescent="0.3">
      <c r="AA2216" t="str">
        <f>IF(COUNTA('Procyfloc 956A'!A217,'Procyfloc 956A'!B217,'Procyfloc 956A'!C217)&gt;0,"956A","")</f>
        <v/>
      </c>
      <c r="AB2216" t="str">
        <f>IFERROR(IF(ISNUMBER('Procyfloc 956A'!A217),'Procyfloc 956A'!A217,DATEVALUE('Procyfloc 956A'!A217)),"")</f>
        <v/>
      </c>
      <c r="AC2216" t="str">
        <f>IF(AA2216="","",'Procyfloc 956A'!B217)</f>
        <v/>
      </c>
      <c r="AD2216" t="str">
        <f>IF(AA2216="","",IFERROR(1*'Procyfloc 956A'!C217,IFERROR(_xludf.NUMBERVALUE('Procyfloc 956A'!C217,".",","),IFERROR(_xludf.NUMBERVALUE('Procyfloc 956A'!C217,",","."),0))))</f>
        <v/>
      </c>
      <c r="AE2216" t="str">
        <f>IF(AA2216="","",'Procyfloc 956A'!L217)</f>
        <v/>
      </c>
      <c r="AF2216">
        <f t="shared" si="221"/>
        <v>0</v>
      </c>
      <c r="AG2216" t="str">
        <f t="shared" si="222"/>
        <v/>
      </c>
      <c r="AH2216" t="str">
        <f t="shared" si="223"/>
        <v/>
      </c>
      <c r="AI2216">
        <f t="shared" si="224"/>
        <v>0</v>
      </c>
      <c r="AJ2216">
        <f t="shared" si="225"/>
        <v>0</v>
      </c>
      <c r="AK2216">
        <v>0</v>
      </c>
      <c r="AL2216" t="str">
        <f>IF(AA2216="","",IFERROR(IF(ISNUMBER('Procyfloc 956A'!D217),'Procyfloc 956A'!D217,IF(ISNUMBER(SEARCH("12",'Procyfloc 956A'!D217)),EDATE(AB2216,12),IF(ISNUMBER(SEARCH("6",'Procyfloc 956A'!D217)),EDATE(AB2216,6),IF(ISNUMBER(SEARCH("3",'Procyfloc 956A'!D217)),EDATE(AB2216,3),DATEVALUE('Procyfloc 956A'!D217))))),""))</f>
        <v/>
      </c>
      <c r="AM2216" t="str">
        <f t="shared" ca="1" si="226"/>
        <v/>
      </c>
    </row>
    <row r="2217" spans="27:39" x14ac:dyDescent="0.3">
      <c r="AA2217" t="str">
        <f>IF(COUNTA('Procyfloc 956A'!A218,'Procyfloc 956A'!B218,'Procyfloc 956A'!C218)&gt;0,"956A","")</f>
        <v/>
      </c>
      <c r="AB2217" t="str">
        <f>IFERROR(IF(ISNUMBER('Procyfloc 956A'!A218),'Procyfloc 956A'!A218,DATEVALUE('Procyfloc 956A'!A218)),"")</f>
        <v/>
      </c>
      <c r="AC2217" t="str">
        <f>IF(AA2217="","",'Procyfloc 956A'!B218)</f>
        <v/>
      </c>
      <c r="AD2217" t="str">
        <f>IF(AA2217="","",IFERROR(1*'Procyfloc 956A'!C218,IFERROR(_xludf.NUMBERVALUE('Procyfloc 956A'!C218,".",","),IFERROR(_xludf.NUMBERVALUE('Procyfloc 956A'!C218,",","."),0))))</f>
        <v/>
      </c>
      <c r="AE2217" t="str">
        <f>IF(AA2217="","",'Procyfloc 956A'!L218)</f>
        <v/>
      </c>
      <c r="AF2217">
        <f t="shared" si="221"/>
        <v>0</v>
      </c>
      <c r="AG2217" t="str">
        <f t="shared" si="222"/>
        <v/>
      </c>
      <c r="AH2217" t="str">
        <f t="shared" si="223"/>
        <v/>
      </c>
      <c r="AI2217">
        <f t="shared" si="224"/>
        <v>0</v>
      </c>
      <c r="AJ2217">
        <f t="shared" si="225"/>
        <v>0</v>
      </c>
      <c r="AK2217">
        <v>0</v>
      </c>
      <c r="AL2217" t="str">
        <f>IF(AA2217="","",IFERROR(IF(ISNUMBER('Procyfloc 956A'!D218),'Procyfloc 956A'!D218,IF(ISNUMBER(SEARCH("12",'Procyfloc 956A'!D218)),EDATE(AB2217,12),IF(ISNUMBER(SEARCH("6",'Procyfloc 956A'!D218)),EDATE(AB2217,6),IF(ISNUMBER(SEARCH("3",'Procyfloc 956A'!D218)),EDATE(AB2217,3),DATEVALUE('Procyfloc 956A'!D218))))),""))</f>
        <v/>
      </c>
      <c r="AM2217" t="str">
        <f t="shared" ca="1" si="226"/>
        <v/>
      </c>
    </row>
    <row r="2218" spans="27:39" x14ac:dyDescent="0.3">
      <c r="AA2218" t="str">
        <f>IF(COUNTA('Procyfloc 956A'!A219,'Procyfloc 956A'!B219,'Procyfloc 956A'!C219)&gt;0,"956A","")</f>
        <v/>
      </c>
      <c r="AB2218" t="str">
        <f>IFERROR(IF(ISNUMBER('Procyfloc 956A'!A219),'Procyfloc 956A'!A219,DATEVALUE('Procyfloc 956A'!A219)),"")</f>
        <v/>
      </c>
      <c r="AC2218" t="str">
        <f>IF(AA2218="","",'Procyfloc 956A'!B219)</f>
        <v/>
      </c>
      <c r="AD2218" t="str">
        <f>IF(AA2218="","",IFERROR(1*'Procyfloc 956A'!C219,IFERROR(_xludf.NUMBERVALUE('Procyfloc 956A'!C219,".",","),IFERROR(_xludf.NUMBERVALUE('Procyfloc 956A'!C219,",","."),0))))</f>
        <v/>
      </c>
      <c r="AE2218" t="str">
        <f>IF(AA2218="","",'Procyfloc 956A'!L219)</f>
        <v/>
      </c>
      <c r="AF2218">
        <f t="shared" si="221"/>
        <v>0</v>
      </c>
      <c r="AG2218" t="str">
        <f t="shared" si="222"/>
        <v/>
      </c>
      <c r="AH2218" t="str">
        <f t="shared" si="223"/>
        <v/>
      </c>
      <c r="AI2218">
        <f t="shared" si="224"/>
        <v>0</v>
      </c>
      <c r="AJ2218">
        <f t="shared" si="225"/>
        <v>0</v>
      </c>
      <c r="AK2218">
        <v>0</v>
      </c>
      <c r="AL2218" t="str">
        <f>IF(AA2218="","",IFERROR(IF(ISNUMBER('Procyfloc 956A'!D219),'Procyfloc 956A'!D219,IF(ISNUMBER(SEARCH("12",'Procyfloc 956A'!D219)),EDATE(AB2218,12),IF(ISNUMBER(SEARCH("6",'Procyfloc 956A'!D219)),EDATE(AB2218,6),IF(ISNUMBER(SEARCH("3",'Procyfloc 956A'!D219)),EDATE(AB2218,3),DATEVALUE('Procyfloc 956A'!D219))))),""))</f>
        <v/>
      </c>
      <c r="AM2218" t="str">
        <f t="shared" ca="1" si="226"/>
        <v/>
      </c>
    </row>
    <row r="2219" spans="27:39" x14ac:dyDescent="0.3">
      <c r="AA2219" t="str">
        <f>IF(COUNTA('Procyfloc 956A'!A220,'Procyfloc 956A'!B220,'Procyfloc 956A'!C220)&gt;0,"956A","")</f>
        <v/>
      </c>
      <c r="AB2219" t="str">
        <f>IFERROR(IF(ISNUMBER('Procyfloc 956A'!A220),'Procyfloc 956A'!A220,DATEVALUE('Procyfloc 956A'!A220)),"")</f>
        <v/>
      </c>
      <c r="AC2219" t="str">
        <f>IF(AA2219="","",'Procyfloc 956A'!B220)</f>
        <v/>
      </c>
      <c r="AD2219" t="str">
        <f>IF(AA2219="","",IFERROR(1*'Procyfloc 956A'!C220,IFERROR(_xludf.NUMBERVALUE('Procyfloc 956A'!C220,".",","),IFERROR(_xludf.NUMBERVALUE('Procyfloc 956A'!C220,",","."),0))))</f>
        <v/>
      </c>
      <c r="AE2219" t="str">
        <f>IF(AA2219="","",'Procyfloc 956A'!L220)</f>
        <v/>
      </c>
      <c r="AF2219">
        <f t="shared" si="221"/>
        <v>0</v>
      </c>
      <c r="AG2219" t="str">
        <f t="shared" si="222"/>
        <v/>
      </c>
      <c r="AH2219" t="str">
        <f t="shared" si="223"/>
        <v/>
      </c>
      <c r="AI2219">
        <f t="shared" si="224"/>
        <v>0</v>
      </c>
      <c r="AJ2219">
        <f t="shared" si="225"/>
        <v>0</v>
      </c>
      <c r="AK2219">
        <v>0</v>
      </c>
      <c r="AL2219" t="str">
        <f>IF(AA2219="","",IFERROR(IF(ISNUMBER('Procyfloc 956A'!D220),'Procyfloc 956A'!D220,IF(ISNUMBER(SEARCH("12",'Procyfloc 956A'!D220)),EDATE(AB2219,12),IF(ISNUMBER(SEARCH("6",'Procyfloc 956A'!D220)),EDATE(AB2219,6),IF(ISNUMBER(SEARCH("3",'Procyfloc 956A'!D220)),EDATE(AB2219,3),DATEVALUE('Procyfloc 956A'!D220))))),""))</f>
        <v/>
      </c>
      <c r="AM2219" t="str">
        <f t="shared" ca="1" si="226"/>
        <v/>
      </c>
    </row>
    <row r="2220" spans="27:39" x14ac:dyDescent="0.3">
      <c r="AA2220" t="str">
        <f>IF(COUNTA('Procyfloc 956A'!A221,'Procyfloc 956A'!B221,'Procyfloc 956A'!C221)&gt;0,"956A","")</f>
        <v/>
      </c>
      <c r="AB2220" t="str">
        <f>IFERROR(IF(ISNUMBER('Procyfloc 956A'!A221),'Procyfloc 956A'!A221,DATEVALUE('Procyfloc 956A'!A221)),"")</f>
        <v/>
      </c>
      <c r="AC2220" t="str">
        <f>IF(AA2220="","",'Procyfloc 956A'!B221)</f>
        <v/>
      </c>
      <c r="AD2220" t="str">
        <f>IF(AA2220="","",IFERROR(1*'Procyfloc 956A'!C221,IFERROR(_xludf.NUMBERVALUE('Procyfloc 956A'!C221,".",","),IFERROR(_xludf.NUMBERVALUE('Procyfloc 956A'!C221,",","."),0))))</f>
        <v/>
      </c>
      <c r="AE2220" t="str">
        <f>IF(AA2220="","",'Procyfloc 956A'!L221)</f>
        <v/>
      </c>
      <c r="AF2220">
        <f t="shared" si="221"/>
        <v>0</v>
      </c>
      <c r="AG2220" t="str">
        <f t="shared" si="222"/>
        <v/>
      </c>
      <c r="AH2220" t="str">
        <f t="shared" si="223"/>
        <v/>
      </c>
      <c r="AI2220">
        <f t="shared" si="224"/>
        <v>0</v>
      </c>
      <c r="AJ2220">
        <f t="shared" si="225"/>
        <v>0</v>
      </c>
      <c r="AK2220">
        <v>0</v>
      </c>
      <c r="AL2220" t="str">
        <f>IF(AA2220="","",IFERROR(IF(ISNUMBER('Procyfloc 956A'!D221),'Procyfloc 956A'!D221,IF(ISNUMBER(SEARCH("12",'Procyfloc 956A'!D221)),EDATE(AB2220,12),IF(ISNUMBER(SEARCH("6",'Procyfloc 956A'!D221)),EDATE(AB2220,6),IF(ISNUMBER(SEARCH("3",'Procyfloc 956A'!D221)),EDATE(AB2220,3),DATEVALUE('Procyfloc 956A'!D221))))),""))</f>
        <v/>
      </c>
      <c r="AM2220" t="str">
        <f t="shared" ca="1" si="226"/>
        <v/>
      </c>
    </row>
    <row r="2221" spans="27:39" x14ac:dyDescent="0.3">
      <c r="AA2221" t="str">
        <f>IF(COUNTA('Procyfloc 956A'!A222,'Procyfloc 956A'!B222,'Procyfloc 956A'!C222)&gt;0,"956A","")</f>
        <v/>
      </c>
      <c r="AB2221" t="str">
        <f>IFERROR(IF(ISNUMBER('Procyfloc 956A'!A222),'Procyfloc 956A'!A222,DATEVALUE('Procyfloc 956A'!A222)),"")</f>
        <v/>
      </c>
      <c r="AC2221" t="str">
        <f>IF(AA2221="","",'Procyfloc 956A'!B222)</f>
        <v/>
      </c>
      <c r="AD2221" t="str">
        <f>IF(AA2221="","",IFERROR(1*'Procyfloc 956A'!C222,IFERROR(_xludf.NUMBERVALUE('Procyfloc 956A'!C222,".",","),IFERROR(_xludf.NUMBERVALUE('Procyfloc 956A'!C222,",","."),0))))</f>
        <v/>
      </c>
      <c r="AE2221" t="str">
        <f>IF(AA2221="","",'Procyfloc 956A'!L222)</f>
        <v/>
      </c>
      <c r="AF2221">
        <f t="shared" si="221"/>
        <v>0</v>
      </c>
      <c r="AG2221" t="str">
        <f t="shared" si="222"/>
        <v/>
      </c>
      <c r="AH2221" t="str">
        <f t="shared" si="223"/>
        <v/>
      </c>
      <c r="AI2221">
        <f t="shared" si="224"/>
        <v>0</v>
      </c>
      <c r="AJ2221">
        <f t="shared" si="225"/>
        <v>0</v>
      </c>
      <c r="AK2221">
        <v>0</v>
      </c>
      <c r="AL2221" t="str">
        <f>IF(AA2221="","",IFERROR(IF(ISNUMBER('Procyfloc 956A'!D222),'Procyfloc 956A'!D222,IF(ISNUMBER(SEARCH("12",'Procyfloc 956A'!D222)),EDATE(AB2221,12),IF(ISNUMBER(SEARCH("6",'Procyfloc 956A'!D222)),EDATE(AB2221,6),IF(ISNUMBER(SEARCH("3",'Procyfloc 956A'!D222)),EDATE(AB2221,3),DATEVALUE('Procyfloc 956A'!D222))))),""))</f>
        <v/>
      </c>
      <c r="AM2221" t="str">
        <f t="shared" ca="1" si="226"/>
        <v/>
      </c>
    </row>
    <row r="2222" spans="27:39" x14ac:dyDescent="0.3">
      <c r="AA2222" t="str">
        <f>IF(COUNTA('Procyfloc 956A'!A223,'Procyfloc 956A'!B223,'Procyfloc 956A'!C223)&gt;0,"956A","")</f>
        <v/>
      </c>
      <c r="AB2222" t="str">
        <f>IFERROR(IF(ISNUMBER('Procyfloc 956A'!A223),'Procyfloc 956A'!A223,DATEVALUE('Procyfloc 956A'!A223)),"")</f>
        <v/>
      </c>
      <c r="AC2222" t="str">
        <f>IF(AA2222="","",'Procyfloc 956A'!B223)</f>
        <v/>
      </c>
      <c r="AD2222" t="str">
        <f>IF(AA2222="","",IFERROR(1*'Procyfloc 956A'!C223,IFERROR(_xludf.NUMBERVALUE('Procyfloc 956A'!C223,".",","),IFERROR(_xludf.NUMBERVALUE('Procyfloc 956A'!C223,",","."),0))))</f>
        <v/>
      </c>
      <c r="AE2222" t="str">
        <f>IF(AA2222="","",'Procyfloc 956A'!L223)</f>
        <v/>
      </c>
      <c r="AF2222">
        <f t="shared" si="221"/>
        <v>0</v>
      </c>
      <c r="AG2222" t="str">
        <f t="shared" si="222"/>
        <v/>
      </c>
      <c r="AH2222" t="str">
        <f t="shared" si="223"/>
        <v/>
      </c>
      <c r="AI2222">
        <f t="shared" si="224"/>
        <v>0</v>
      </c>
      <c r="AJ2222">
        <f t="shared" si="225"/>
        <v>0</v>
      </c>
      <c r="AK2222">
        <v>0</v>
      </c>
      <c r="AL2222" t="str">
        <f>IF(AA2222="","",IFERROR(IF(ISNUMBER('Procyfloc 956A'!D223),'Procyfloc 956A'!D223,IF(ISNUMBER(SEARCH("12",'Procyfloc 956A'!D223)),EDATE(AB2222,12),IF(ISNUMBER(SEARCH("6",'Procyfloc 956A'!D223)),EDATE(AB2222,6),IF(ISNUMBER(SEARCH("3",'Procyfloc 956A'!D223)),EDATE(AB2222,3),DATEVALUE('Procyfloc 956A'!D223))))),""))</f>
        <v/>
      </c>
      <c r="AM2222" t="str">
        <f t="shared" ca="1" si="226"/>
        <v/>
      </c>
    </row>
    <row r="2223" spans="27:39" x14ac:dyDescent="0.3">
      <c r="AA2223" t="str">
        <f>IF(COUNTA('Procyfloc 956A'!A224,'Procyfloc 956A'!B224,'Procyfloc 956A'!C224)&gt;0,"956A","")</f>
        <v/>
      </c>
      <c r="AB2223" t="str">
        <f>IFERROR(IF(ISNUMBER('Procyfloc 956A'!A224),'Procyfloc 956A'!A224,DATEVALUE('Procyfloc 956A'!A224)),"")</f>
        <v/>
      </c>
      <c r="AC2223" t="str">
        <f>IF(AA2223="","",'Procyfloc 956A'!B224)</f>
        <v/>
      </c>
      <c r="AD2223" t="str">
        <f>IF(AA2223="","",IFERROR(1*'Procyfloc 956A'!C224,IFERROR(_xludf.NUMBERVALUE('Procyfloc 956A'!C224,".",","),IFERROR(_xludf.NUMBERVALUE('Procyfloc 956A'!C224,",","."),0))))</f>
        <v/>
      </c>
      <c r="AE2223" t="str">
        <f>IF(AA2223="","",'Procyfloc 956A'!L224)</f>
        <v/>
      </c>
      <c r="AF2223">
        <f t="shared" si="221"/>
        <v>0</v>
      </c>
      <c r="AG2223" t="str">
        <f t="shared" si="222"/>
        <v/>
      </c>
      <c r="AH2223" t="str">
        <f t="shared" si="223"/>
        <v/>
      </c>
      <c r="AI2223">
        <f t="shared" si="224"/>
        <v>0</v>
      </c>
      <c r="AJ2223">
        <f t="shared" si="225"/>
        <v>0</v>
      </c>
      <c r="AK2223">
        <v>0</v>
      </c>
      <c r="AL2223" t="str">
        <f>IF(AA2223="","",IFERROR(IF(ISNUMBER('Procyfloc 956A'!D224),'Procyfloc 956A'!D224,IF(ISNUMBER(SEARCH("12",'Procyfloc 956A'!D224)),EDATE(AB2223,12),IF(ISNUMBER(SEARCH("6",'Procyfloc 956A'!D224)),EDATE(AB2223,6),IF(ISNUMBER(SEARCH("3",'Procyfloc 956A'!D224)),EDATE(AB2223,3),DATEVALUE('Procyfloc 956A'!D224))))),""))</f>
        <v/>
      </c>
      <c r="AM2223" t="str">
        <f t="shared" ca="1" si="226"/>
        <v/>
      </c>
    </row>
    <row r="2224" spans="27:39" x14ac:dyDescent="0.3">
      <c r="AA2224" t="str">
        <f>IF(COUNTA('Procyfloc 956A'!A225,'Procyfloc 956A'!B225,'Procyfloc 956A'!C225)&gt;0,"956A","")</f>
        <v/>
      </c>
      <c r="AB2224" t="str">
        <f>IFERROR(IF(ISNUMBER('Procyfloc 956A'!A225),'Procyfloc 956A'!A225,DATEVALUE('Procyfloc 956A'!A225)),"")</f>
        <v/>
      </c>
      <c r="AC2224" t="str">
        <f>IF(AA2224="","",'Procyfloc 956A'!B225)</f>
        <v/>
      </c>
      <c r="AD2224" t="str">
        <f>IF(AA2224="","",IFERROR(1*'Procyfloc 956A'!C225,IFERROR(_xludf.NUMBERVALUE('Procyfloc 956A'!C225,".",","),IFERROR(_xludf.NUMBERVALUE('Procyfloc 956A'!C225,",","."),0))))</f>
        <v/>
      </c>
      <c r="AE2224" t="str">
        <f>IF(AA2224="","",'Procyfloc 956A'!L225)</f>
        <v/>
      </c>
      <c r="AF2224">
        <f t="shared" si="221"/>
        <v>0</v>
      </c>
      <c r="AG2224" t="str">
        <f t="shared" si="222"/>
        <v/>
      </c>
      <c r="AH2224" t="str">
        <f t="shared" si="223"/>
        <v/>
      </c>
      <c r="AI2224">
        <f t="shared" si="224"/>
        <v>0</v>
      </c>
      <c r="AJ2224">
        <f t="shared" si="225"/>
        <v>0</v>
      </c>
      <c r="AK2224">
        <v>0</v>
      </c>
      <c r="AL2224" t="str">
        <f>IF(AA2224="","",IFERROR(IF(ISNUMBER('Procyfloc 956A'!D225),'Procyfloc 956A'!D225,IF(ISNUMBER(SEARCH("12",'Procyfloc 956A'!D225)),EDATE(AB2224,12),IF(ISNUMBER(SEARCH("6",'Procyfloc 956A'!D225)),EDATE(AB2224,6),IF(ISNUMBER(SEARCH("3",'Procyfloc 956A'!D225)),EDATE(AB2224,3),DATEVALUE('Procyfloc 956A'!D225))))),""))</f>
        <v/>
      </c>
      <c r="AM2224" t="str">
        <f t="shared" ca="1" si="226"/>
        <v/>
      </c>
    </row>
    <row r="2225" spans="27:39" x14ac:dyDescent="0.3">
      <c r="AA2225" t="str">
        <f>IF(COUNTA('Procyfloc 956A'!A226,'Procyfloc 956A'!B226,'Procyfloc 956A'!C226)&gt;0,"956A","")</f>
        <v/>
      </c>
      <c r="AB2225" t="str">
        <f>IFERROR(IF(ISNUMBER('Procyfloc 956A'!A226),'Procyfloc 956A'!A226,DATEVALUE('Procyfloc 956A'!A226)),"")</f>
        <v/>
      </c>
      <c r="AC2225" t="str">
        <f>IF(AA2225="","",'Procyfloc 956A'!B226)</f>
        <v/>
      </c>
      <c r="AD2225" t="str">
        <f>IF(AA2225="","",IFERROR(1*'Procyfloc 956A'!C226,IFERROR(_xludf.NUMBERVALUE('Procyfloc 956A'!C226,".",","),IFERROR(_xludf.NUMBERVALUE('Procyfloc 956A'!C226,",","."),0))))</f>
        <v/>
      </c>
      <c r="AE2225" t="str">
        <f>IF(AA2225="","",'Procyfloc 956A'!L226)</f>
        <v/>
      </c>
      <c r="AF2225">
        <f t="shared" si="221"/>
        <v>0</v>
      </c>
      <c r="AG2225" t="str">
        <f t="shared" si="222"/>
        <v/>
      </c>
      <c r="AH2225" t="str">
        <f t="shared" si="223"/>
        <v/>
      </c>
      <c r="AI2225">
        <f t="shared" si="224"/>
        <v>0</v>
      </c>
      <c r="AJ2225">
        <f t="shared" si="225"/>
        <v>0</v>
      </c>
      <c r="AK2225">
        <v>0</v>
      </c>
      <c r="AL2225" t="str">
        <f>IF(AA2225="","",IFERROR(IF(ISNUMBER('Procyfloc 956A'!D226),'Procyfloc 956A'!D226,IF(ISNUMBER(SEARCH("12",'Procyfloc 956A'!D226)),EDATE(AB2225,12),IF(ISNUMBER(SEARCH("6",'Procyfloc 956A'!D226)),EDATE(AB2225,6),IF(ISNUMBER(SEARCH("3",'Procyfloc 956A'!D226)),EDATE(AB2225,3),DATEVALUE('Procyfloc 956A'!D226))))),""))</f>
        <v/>
      </c>
      <c r="AM2225" t="str">
        <f t="shared" ca="1" si="226"/>
        <v/>
      </c>
    </row>
    <row r="2226" spans="27:39" x14ac:dyDescent="0.3">
      <c r="AA2226" t="str">
        <f>IF(COUNTA('Procyfloc 956A'!A227,'Procyfloc 956A'!B227,'Procyfloc 956A'!C227)&gt;0,"956A","")</f>
        <v/>
      </c>
      <c r="AB2226" t="str">
        <f>IFERROR(IF(ISNUMBER('Procyfloc 956A'!A227),'Procyfloc 956A'!A227,DATEVALUE('Procyfloc 956A'!A227)),"")</f>
        <v/>
      </c>
      <c r="AC2226" t="str">
        <f>IF(AA2226="","",'Procyfloc 956A'!B227)</f>
        <v/>
      </c>
      <c r="AD2226" t="str">
        <f>IF(AA2226="","",IFERROR(1*'Procyfloc 956A'!C227,IFERROR(_xludf.NUMBERVALUE('Procyfloc 956A'!C227,".",","),IFERROR(_xludf.NUMBERVALUE('Procyfloc 956A'!C227,",","."),0))))</f>
        <v/>
      </c>
      <c r="AE2226" t="str">
        <f>IF(AA2226="","",'Procyfloc 956A'!L227)</f>
        <v/>
      </c>
      <c r="AF2226">
        <f t="shared" si="221"/>
        <v>0</v>
      </c>
      <c r="AG2226" t="str">
        <f t="shared" si="222"/>
        <v/>
      </c>
      <c r="AH2226" t="str">
        <f t="shared" si="223"/>
        <v/>
      </c>
      <c r="AI2226">
        <f t="shared" si="224"/>
        <v>0</v>
      </c>
      <c r="AJ2226">
        <f t="shared" si="225"/>
        <v>0</v>
      </c>
      <c r="AK2226">
        <v>0</v>
      </c>
      <c r="AL2226" t="str">
        <f>IF(AA2226="","",IFERROR(IF(ISNUMBER('Procyfloc 956A'!D227),'Procyfloc 956A'!D227,IF(ISNUMBER(SEARCH("12",'Procyfloc 956A'!D227)),EDATE(AB2226,12),IF(ISNUMBER(SEARCH("6",'Procyfloc 956A'!D227)),EDATE(AB2226,6),IF(ISNUMBER(SEARCH("3",'Procyfloc 956A'!D227)),EDATE(AB2226,3),DATEVALUE('Procyfloc 956A'!D227))))),""))</f>
        <v/>
      </c>
      <c r="AM2226" t="str">
        <f t="shared" ca="1" si="226"/>
        <v/>
      </c>
    </row>
    <row r="2227" spans="27:39" x14ac:dyDescent="0.3">
      <c r="AA2227" t="str">
        <f>IF(COUNTA('Procyfloc 956A'!A228,'Procyfloc 956A'!B228,'Procyfloc 956A'!C228)&gt;0,"956A","")</f>
        <v/>
      </c>
      <c r="AB2227" t="str">
        <f>IFERROR(IF(ISNUMBER('Procyfloc 956A'!A228),'Procyfloc 956A'!A228,DATEVALUE('Procyfloc 956A'!A228)),"")</f>
        <v/>
      </c>
      <c r="AC2227" t="str">
        <f>IF(AA2227="","",'Procyfloc 956A'!B228)</f>
        <v/>
      </c>
      <c r="AD2227" t="str">
        <f>IF(AA2227="","",IFERROR(1*'Procyfloc 956A'!C228,IFERROR(_xludf.NUMBERVALUE('Procyfloc 956A'!C228,".",","),IFERROR(_xludf.NUMBERVALUE('Procyfloc 956A'!C228,",","."),0))))</f>
        <v/>
      </c>
      <c r="AE2227" t="str">
        <f>IF(AA2227="","",'Procyfloc 956A'!L228)</f>
        <v/>
      </c>
      <c r="AF2227">
        <f t="shared" si="221"/>
        <v>0</v>
      </c>
      <c r="AG2227" t="str">
        <f t="shared" si="222"/>
        <v/>
      </c>
      <c r="AH2227" t="str">
        <f t="shared" si="223"/>
        <v/>
      </c>
      <c r="AI2227">
        <f t="shared" si="224"/>
        <v>0</v>
      </c>
      <c r="AJ2227">
        <f t="shared" si="225"/>
        <v>0</v>
      </c>
      <c r="AK2227">
        <v>0</v>
      </c>
      <c r="AL2227" t="str">
        <f>IF(AA2227="","",IFERROR(IF(ISNUMBER('Procyfloc 956A'!D228),'Procyfloc 956A'!D228,IF(ISNUMBER(SEARCH("12",'Procyfloc 956A'!D228)),EDATE(AB2227,12),IF(ISNUMBER(SEARCH("6",'Procyfloc 956A'!D228)),EDATE(AB2227,6),IF(ISNUMBER(SEARCH("3",'Procyfloc 956A'!D228)),EDATE(AB2227,3),DATEVALUE('Procyfloc 956A'!D228))))),""))</f>
        <v/>
      </c>
      <c r="AM2227" t="str">
        <f t="shared" ca="1" si="226"/>
        <v/>
      </c>
    </row>
    <row r="2228" spans="27:39" x14ac:dyDescent="0.3">
      <c r="AA2228" t="str">
        <f>IF(COUNTA('Procyfloc 956A'!A229,'Procyfloc 956A'!B229,'Procyfloc 956A'!C229)&gt;0,"956A","")</f>
        <v/>
      </c>
      <c r="AB2228" t="str">
        <f>IFERROR(IF(ISNUMBER('Procyfloc 956A'!A229),'Procyfloc 956A'!A229,DATEVALUE('Procyfloc 956A'!A229)),"")</f>
        <v/>
      </c>
      <c r="AC2228" t="str">
        <f>IF(AA2228="","",'Procyfloc 956A'!B229)</f>
        <v/>
      </c>
      <c r="AD2228" t="str">
        <f>IF(AA2228="","",IFERROR(1*'Procyfloc 956A'!C229,IFERROR(_xludf.NUMBERVALUE('Procyfloc 956A'!C229,".",","),IFERROR(_xludf.NUMBERVALUE('Procyfloc 956A'!C229,",","."),0))))</f>
        <v/>
      </c>
      <c r="AE2228" t="str">
        <f>IF(AA2228="","",'Procyfloc 956A'!L229)</f>
        <v/>
      </c>
      <c r="AF2228">
        <f t="shared" si="221"/>
        <v>0</v>
      </c>
      <c r="AG2228" t="str">
        <f t="shared" si="222"/>
        <v/>
      </c>
      <c r="AH2228" t="str">
        <f t="shared" si="223"/>
        <v/>
      </c>
      <c r="AI2228">
        <f t="shared" si="224"/>
        <v>0</v>
      </c>
      <c r="AJ2228">
        <f t="shared" si="225"/>
        <v>0</v>
      </c>
      <c r="AK2228">
        <v>0</v>
      </c>
      <c r="AL2228" t="str">
        <f>IF(AA2228="","",IFERROR(IF(ISNUMBER('Procyfloc 956A'!D229),'Procyfloc 956A'!D229,IF(ISNUMBER(SEARCH("12",'Procyfloc 956A'!D229)),EDATE(AB2228,12),IF(ISNUMBER(SEARCH("6",'Procyfloc 956A'!D229)),EDATE(AB2228,6),IF(ISNUMBER(SEARCH("3",'Procyfloc 956A'!D229)),EDATE(AB2228,3),DATEVALUE('Procyfloc 956A'!D229))))),""))</f>
        <v/>
      </c>
      <c r="AM2228" t="str">
        <f t="shared" ca="1" si="226"/>
        <v/>
      </c>
    </row>
    <row r="2229" spans="27:39" x14ac:dyDescent="0.3">
      <c r="AA2229" t="str">
        <f>IF(COUNTA('Procyfloc 956A'!A230,'Procyfloc 956A'!B230,'Procyfloc 956A'!C230)&gt;0,"956A","")</f>
        <v/>
      </c>
      <c r="AB2229" t="str">
        <f>IFERROR(IF(ISNUMBER('Procyfloc 956A'!A230),'Procyfloc 956A'!A230,DATEVALUE('Procyfloc 956A'!A230)),"")</f>
        <v/>
      </c>
      <c r="AC2229" t="str">
        <f>IF(AA2229="","",'Procyfloc 956A'!B230)</f>
        <v/>
      </c>
      <c r="AD2229" t="str">
        <f>IF(AA2229="","",IFERROR(1*'Procyfloc 956A'!C230,IFERROR(_xludf.NUMBERVALUE('Procyfloc 956A'!C230,".",","),IFERROR(_xludf.NUMBERVALUE('Procyfloc 956A'!C230,",","."),0))))</f>
        <v/>
      </c>
      <c r="AE2229" t="str">
        <f>IF(AA2229="","",'Procyfloc 956A'!L230)</f>
        <v/>
      </c>
      <c r="AF2229">
        <f t="shared" si="221"/>
        <v>0</v>
      </c>
      <c r="AG2229" t="str">
        <f t="shared" si="222"/>
        <v/>
      </c>
      <c r="AH2229" t="str">
        <f t="shared" si="223"/>
        <v/>
      </c>
      <c r="AI2229">
        <f t="shared" si="224"/>
        <v>0</v>
      </c>
      <c r="AJ2229">
        <f t="shared" si="225"/>
        <v>0</v>
      </c>
      <c r="AK2229">
        <v>0</v>
      </c>
      <c r="AL2229" t="str">
        <f>IF(AA2229="","",IFERROR(IF(ISNUMBER('Procyfloc 956A'!D230),'Procyfloc 956A'!D230,IF(ISNUMBER(SEARCH("12",'Procyfloc 956A'!D230)),EDATE(AB2229,12),IF(ISNUMBER(SEARCH("6",'Procyfloc 956A'!D230)),EDATE(AB2229,6),IF(ISNUMBER(SEARCH("3",'Procyfloc 956A'!D230)),EDATE(AB2229,3),DATEVALUE('Procyfloc 956A'!D230))))),""))</f>
        <v/>
      </c>
      <c r="AM2229" t="str">
        <f t="shared" ca="1" si="226"/>
        <v/>
      </c>
    </row>
    <row r="2230" spans="27:39" x14ac:dyDescent="0.3">
      <c r="AA2230" t="str">
        <f>IF(COUNTA('Procyfloc 956A'!A231,'Procyfloc 956A'!B231,'Procyfloc 956A'!C231)&gt;0,"956A","")</f>
        <v/>
      </c>
      <c r="AB2230" t="str">
        <f>IFERROR(IF(ISNUMBER('Procyfloc 956A'!A231),'Procyfloc 956A'!A231,DATEVALUE('Procyfloc 956A'!A231)),"")</f>
        <v/>
      </c>
      <c r="AC2230" t="str">
        <f>IF(AA2230="","",'Procyfloc 956A'!B231)</f>
        <v/>
      </c>
      <c r="AD2230" t="str">
        <f>IF(AA2230="","",IFERROR(1*'Procyfloc 956A'!C231,IFERROR(_xludf.NUMBERVALUE('Procyfloc 956A'!C231,".",","),IFERROR(_xludf.NUMBERVALUE('Procyfloc 956A'!C231,",","."),0))))</f>
        <v/>
      </c>
      <c r="AE2230" t="str">
        <f>IF(AA2230="","",'Procyfloc 956A'!L231)</f>
        <v/>
      </c>
      <c r="AF2230">
        <f t="shared" si="221"/>
        <v>0</v>
      </c>
      <c r="AG2230" t="str">
        <f t="shared" si="222"/>
        <v/>
      </c>
      <c r="AH2230" t="str">
        <f t="shared" si="223"/>
        <v/>
      </c>
      <c r="AI2230">
        <f t="shared" si="224"/>
        <v>0</v>
      </c>
      <c r="AJ2230">
        <f t="shared" si="225"/>
        <v>0</v>
      </c>
      <c r="AK2230">
        <v>0</v>
      </c>
      <c r="AL2230" t="str">
        <f>IF(AA2230="","",IFERROR(IF(ISNUMBER('Procyfloc 956A'!D231),'Procyfloc 956A'!D231,IF(ISNUMBER(SEARCH("12",'Procyfloc 956A'!D231)),EDATE(AB2230,12),IF(ISNUMBER(SEARCH("6",'Procyfloc 956A'!D231)),EDATE(AB2230,6),IF(ISNUMBER(SEARCH("3",'Procyfloc 956A'!D231)),EDATE(AB2230,3),DATEVALUE('Procyfloc 956A'!D231))))),""))</f>
        <v/>
      </c>
      <c r="AM2230" t="str">
        <f t="shared" ca="1" si="226"/>
        <v/>
      </c>
    </row>
    <row r="2231" spans="27:39" x14ac:dyDescent="0.3">
      <c r="AA2231" t="str">
        <f>IF(COUNTA('Procyfloc 956A'!A232,'Procyfloc 956A'!B232,'Procyfloc 956A'!C232)&gt;0,"956A","")</f>
        <v/>
      </c>
      <c r="AB2231" t="str">
        <f>IFERROR(IF(ISNUMBER('Procyfloc 956A'!A232),'Procyfloc 956A'!A232,DATEVALUE('Procyfloc 956A'!A232)),"")</f>
        <v/>
      </c>
      <c r="AC2231" t="str">
        <f>IF(AA2231="","",'Procyfloc 956A'!B232)</f>
        <v/>
      </c>
      <c r="AD2231" t="str">
        <f>IF(AA2231="","",IFERROR(1*'Procyfloc 956A'!C232,IFERROR(_xludf.NUMBERVALUE('Procyfloc 956A'!C232,".",","),IFERROR(_xludf.NUMBERVALUE('Procyfloc 956A'!C232,",","."),0))))</f>
        <v/>
      </c>
      <c r="AE2231" t="str">
        <f>IF(AA2231="","",'Procyfloc 956A'!L232)</f>
        <v/>
      </c>
      <c r="AF2231">
        <f t="shared" si="221"/>
        <v>0</v>
      </c>
      <c r="AG2231" t="str">
        <f t="shared" si="222"/>
        <v/>
      </c>
      <c r="AH2231" t="str">
        <f t="shared" si="223"/>
        <v/>
      </c>
      <c r="AI2231">
        <f t="shared" si="224"/>
        <v>0</v>
      </c>
      <c r="AJ2231">
        <f t="shared" si="225"/>
        <v>0</v>
      </c>
      <c r="AK2231">
        <v>0</v>
      </c>
      <c r="AL2231" t="str">
        <f>IF(AA2231="","",IFERROR(IF(ISNUMBER('Procyfloc 956A'!D232),'Procyfloc 956A'!D232,IF(ISNUMBER(SEARCH("12",'Procyfloc 956A'!D232)),EDATE(AB2231,12),IF(ISNUMBER(SEARCH("6",'Procyfloc 956A'!D232)),EDATE(AB2231,6),IF(ISNUMBER(SEARCH("3",'Procyfloc 956A'!D232)),EDATE(AB2231,3),DATEVALUE('Procyfloc 956A'!D232))))),""))</f>
        <v/>
      </c>
      <c r="AM2231" t="str">
        <f t="shared" ca="1" si="226"/>
        <v/>
      </c>
    </row>
    <row r="2232" spans="27:39" x14ac:dyDescent="0.3">
      <c r="AA2232" t="str">
        <f>IF(COUNTA('Procyfloc 956A'!A233,'Procyfloc 956A'!B233,'Procyfloc 956A'!C233)&gt;0,"956A","")</f>
        <v/>
      </c>
      <c r="AB2232" t="str">
        <f>IFERROR(IF(ISNUMBER('Procyfloc 956A'!A233),'Procyfloc 956A'!A233,DATEVALUE('Procyfloc 956A'!A233)),"")</f>
        <v/>
      </c>
      <c r="AC2232" t="str">
        <f>IF(AA2232="","",'Procyfloc 956A'!B233)</f>
        <v/>
      </c>
      <c r="AD2232" t="str">
        <f>IF(AA2232="","",IFERROR(1*'Procyfloc 956A'!C233,IFERROR(_xludf.NUMBERVALUE('Procyfloc 956A'!C233,".",","),IFERROR(_xludf.NUMBERVALUE('Procyfloc 956A'!C233,",","."),0))))</f>
        <v/>
      </c>
      <c r="AE2232" t="str">
        <f>IF(AA2232="","",'Procyfloc 956A'!L233)</f>
        <v/>
      </c>
      <c r="AF2232">
        <f t="shared" si="221"/>
        <v>0</v>
      </c>
      <c r="AG2232" t="str">
        <f t="shared" si="222"/>
        <v/>
      </c>
      <c r="AH2232" t="str">
        <f t="shared" si="223"/>
        <v/>
      </c>
      <c r="AI2232">
        <f t="shared" si="224"/>
        <v>0</v>
      </c>
      <c r="AJ2232">
        <f t="shared" si="225"/>
        <v>0</v>
      </c>
      <c r="AK2232">
        <v>0</v>
      </c>
      <c r="AL2232" t="str">
        <f>IF(AA2232="","",IFERROR(IF(ISNUMBER('Procyfloc 956A'!D233),'Procyfloc 956A'!D233,IF(ISNUMBER(SEARCH("12",'Procyfloc 956A'!D233)),EDATE(AB2232,12),IF(ISNUMBER(SEARCH("6",'Procyfloc 956A'!D233)),EDATE(AB2232,6),IF(ISNUMBER(SEARCH("3",'Procyfloc 956A'!D233)),EDATE(AB2232,3),DATEVALUE('Procyfloc 956A'!D233))))),""))</f>
        <v/>
      </c>
      <c r="AM2232" t="str">
        <f t="shared" ca="1" si="226"/>
        <v/>
      </c>
    </row>
    <row r="2233" spans="27:39" x14ac:dyDescent="0.3">
      <c r="AA2233" t="str">
        <f>IF(COUNTA('Procyfloc 956A'!A234,'Procyfloc 956A'!B234,'Procyfloc 956A'!C234)&gt;0,"956A","")</f>
        <v/>
      </c>
      <c r="AB2233" t="str">
        <f>IFERROR(IF(ISNUMBER('Procyfloc 956A'!A234),'Procyfloc 956A'!A234,DATEVALUE('Procyfloc 956A'!A234)),"")</f>
        <v/>
      </c>
      <c r="AC2233" t="str">
        <f>IF(AA2233="","",'Procyfloc 956A'!B234)</f>
        <v/>
      </c>
      <c r="AD2233" t="str">
        <f>IF(AA2233="","",IFERROR(1*'Procyfloc 956A'!C234,IFERROR(_xludf.NUMBERVALUE('Procyfloc 956A'!C234,".",","),IFERROR(_xludf.NUMBERVALUE('Procyfloc 956A'!C234,",","."),0))))</f>
        <v/>
      </c>
      <c r="AE2233" t="str">
        <f>IF(AA2233="","",'Procyfloc 956A'!L234)</f>
        <v/>
      </c>
      <c r="AF2233">
        <f t="shared" si="221"/>
        <v>0</v>
      </c>
      <c r="AG2233" t="str">
        <f t="shared" si="222"/>
        <v/>
      </c>
      <c r="AH2233" t="str">
        <f t="shared" si="223"/>
        <v/>
      </c>
      <c r="AI2233">
        <f t="shared" si="224"/>
        <v>0</v>
      </c>
      <c r="AJ2233">
        <f t="shared" si="225"/>
        <v>0</v>
      </c>
      <c r="AK2233">
        <v>0</v>
      </c>
      <c r="AL2233" t="str">
        <f>IF(AA2233="","",IFERROR(IF(ISNUMBER('Procyfloc 956A'!D234),'Procyfloc 956A'!D234,IF(ISNUMBER(SEARCH("12",'Procyfloc 956A'!D234)),EDATE(AB2233,12),IF(ISNUMBER(SEARCH("6",'Procyfloc 956A'!D234)),EDATE(AB2233,6),IF(ISNUMBER(SEARCH("3",'Procyfloc 956A'!D234)),EDATE(AB2233,3),DATEVALUE('Procyfloc 956A'!D234))))),""))</f>
        <v/>
      </c>
      <c r="AM2233" t="str">
        <f t="shared" ca="1" si="226"/>
        <v/>
      </c>
    </row>
    <row r="2234" spans="27:39" x14ac:dyDescent="0.3">
      <c r="AA2234" t="str">
        <f>IF(COUNTA('Procyfloc 956A'!A235,'Procyfloc 956A'!B235,'Procyfloc 956A'!C235)&gt;0,"956A","")</f>
        <v/>
      </c>
      <c r="AB2234" t="str">
        <f>IFERROR(IF(ISNUMBER('Procyfloc 956A'!A235),'Procyfloc 956A'!A235,DATEVALUE('Procyfloc 956A'!A235)),"")</f>
        <v/>
      </c>
      <c r="AC2234" t="str">
        <f>IF(AA2234="","",'Procyfloc 956A'!B235)</f>
        <v/>
      </c>
      <c r="AD2234" t="str">
        <f>IF(AA2234="","",IFERROR(1*'Procyfloc 956A'!C235,IFERROR(_xludf.NUMBERVALUE('Procyfloc 956A'!C235,".",","),IFERROR(_xludf.NUMBERVALUE('Procyfloc 956A'!C235,",","."),0))))</f>
        <v/>
      </c>
      <c r="AE2234" t="str">
        <f>IF(AA2234="","",'Procyfloc 956A'!L235)</f>
        <v/>
      </c>
      <c r="AF2234">
        <f t="shared" si="221"/>
        <v>0</v>
      </c>
      <c r="AG2234" t="str">
        <f t="shared" si="222"/>
        <v/>
      </c>
      <c r="AH2234" t="str">
        <f t="shared" si="223"/>
        <v/>
      </c>
      <c r="AI2234">
        <f t="shared" si="224"/>
        <v>0</v>
      </c>
      <c r="AJ2234">
        <f t="shared" si="225"/>
        <v>0</v>
      </c>
      <c r="AK2234">
        <v>0</v>
      </c>
      <c r="AL2234" t="str">
        <f>IF(AA2234="","",IFERROR(IF(ISNUMBER('Procyfloc 956A'!D235),'Procyfloc 956A'!D235,IF(ISNUMBER(SEARCH("12",'Procyfloc 956A'!D235)),EDATE(AB2234,12),IF(ISNUMBER(SEARCH("6",'Procyfloc 956A'!D235)),EDATE(AB2234,6),IF(ISNUMBER(SEARCH("3",'Procyfloc 956A'!D235)),EDATE(AB2234,3),DATEVALUE('Procyfloc 956A'!D235))))),""))</f>
        <v/>
      </c>
      <c r="AM2234" t="str">
        <f t="shared" ca="1" si="226"/>
        <v/>
      </c>
    </row>
    <row r="2235" spans="27:39" x14ac:dyDescent="0.3">
      <c r="AA2235" t="str">
        <f>IF(COUNTA('Procyfloc 956A'!A236,'Procyfloc 956A'!B236,'Procyfloc 956A'!C236)&gt;0,"956A","")</f>
        <v/>
      </c>
      <c r="AB2235" t="str">
        <f>IFERROR(IF(ISNUMBER('Procyfloc 956A'!A236),'Procyfloc 956A'!A236,DATEVALUE('Procyfloc 956A'!A236)),"")</f>
        <v/>
      </c>
      <c r="AC2235" t="str">
        <f>IF(AA2235="","",'Procyfloc 956A'!B236)</f>
        <v/>
      </c>
      <c r="AD2235" t="str">
        <f>IF(AA2235="","",IFERROR(1*'Procyfloc 956A'!C236,IFERROR(_xludf.NUMBERVALUE('Procyfloc 956A'!C236,".",","),IFERROR(_xludf.NUMBERVALUE('Procyfloc 956A'!C236,",","."),0))))</f>
        <v/>
      </c>
      <c r="AE2235" t="str">
        <f>IF(AA2235="","",'Procyfloc 956A'!L236)</f>
        <v/>
      </c>
      <c r="AF2235">
        <f t="shared" si="221"/>
        <v>0</v>
      </c>
      <c r="AG2235" t="str">
        <f t="shared" si="222"/>
        <v/>
      </c>
      <c r="AH2235" t="str">
        <f t="shared" si="223"/>
        <v/>
      </c>
      <c r="AI2235">
        <f t="shared" si="224"/>
        <v>0</v>
      </c>
      <c r="AJ2235">
        <f t="shared" si="225"/>
        <v>0</v>
      </c>
      <c r="AK2235">
        <v>0</v>
      </c>
      <c r="AL2235" t="str">
        <f>IF(AA2235="","",IFERROR(IF(ISNUMBER('Procyfloc 956A'!D236),'Procyfloc 956A'!D236,IF(ISNUMBER(SEARCH("12",'Procyfloc 956A'!D236)),EDATE(AB2235,12),IF(ISNUMBER(SEARCH("6",'Procyfloc 956A'!D236)),EDATE(AB2235,6),IF(ISNUMBER(SEARCH("3",'Procyfloc 956A'!D236)),EDATE(AB2235,3),DATEVALUE('Procyfloc 956A'!D236))))),""))</f>
        <v/>
      </c>
      <c r="AM2235" t="str">
        <f t="shared" ca="1" si="226"/>
        <v/>
      </c>
    </row>
    <row r="2236" spans="27:39" x14ac:dyDescent="0.3">
      <c r="AA2236" t="str">
        <f>IF(COUNTA('Procyfloc 956A'!A237,'Procyfloc 956A'!B237,'Procyfloc 956A'!C237)&gt;0,"956A","")</f>
        <v/>
      </c>
      <c r="AB2236" t="str">
        <f>IFERROR(IF(ISNUMBER('Procyfloc 956A'!A237),'Procyfloc 956A'!A237,DATEVALUE('Procyfloc 956A'!A237)),"")</f>
        <v/>
      </c>
      <c r="AC2236" t="str">
        <f>IF(AA2236="","",'Procyfloc 956A'!B237)</f>
        <v/>
      </c>
      <c r="AD2236" t="str">
        <f>IF(AA2236="","",IFERROR(1*'Procyfloc 956A'!C237,IFERROR(_xludf.NUMBERVALUE('Procyfloc 956A'!C237,".",","),IFERROR(_xludf.NUMBERVALUE('Procyfloc 956A'!C237,",","."),0))))</f>
        <v/>
      </c>
      <c r="AE2236" t="str">
        <f>IF(AA2236="","",'Procyfloc 956A'!L237)</f>
        <v/>
      </c>
      <c r="AF2236">
        <f t="shared" si="221"/>
        <v>0</v>
      </c>
      <c r="AG2236" t="str">
        <f t="shared" si="222"/>
        <v/>
      </c>
      <c r="AH2236" t="str">
        <f t="shared" si="223"/>
        <v/>
      </c>
      <c r="AI2236">
        <f t="shared" si="224"/>
        <v>0</v>
      </c>
      <c r="AJ2236">
        <f t="shared" si="225"/>
        <v>0</v>
      </c>
      <c r="AK2236">
        <v>0</v>
      </c>
      <c r="AL2236" t="str">
        <f>IF(AA2236="","",IFERROR(IF(ISNUMBER('Procyfloc 956A'!D237),'Procyfloc 956A'!D237,IF(ISNUMBER(SEARCH("12",'Procyfloc 956A'!D237)),EDATE(AB2236,12),IF(ISNUMBER(SEARCH("6",'Procyfloc 956A'!D237)),EDATE(AB2236,6),IF(ISNUMBER(SEARCH("3",'Procyfloc 956A'!D237)),EDATE(AB2236,3),DATEVALUE('Procyfloc 956A'!D237))))),""))</f>
        <v/>
      </c>
      <c r="AM2236" t="str">
        <f t="shared" ca="1" si="226"/>
        <v/>
      </c>
    </row>
    <row r="2237" spans="27:39" x14ac:dyDescent="0.3">
      <c r="AA2237" t="str">
        <f>IF(COUNTA('Procyfloc 956A'!A238,'Procyfloc 956A'!B238,'Procyfloc 956A'!C238)&gt;0,"956A","")</f>
        <v/>
      </c>
      <c r="AB2237" t="str">
        <f>IFERROR(IF(ISNUMBER('Procyfloc 956A'!A238),'Procyfloc 956A'!A238,DATEVALUE('Procyfloc 956A'!A238)),"")</f>
        <v/>
      </c>
      <c r="AC2237" t="str">
        <f>IF(AA2237="","",'Procyfloc 956A'!B238)</f>
        <v/>
      </c>
      <c r="AD2237" t="str">
        <f>IF(AA2237="","",IFERROR(1*'Procyfloc 956A'!C238,IFERROR(_xludf.NUMBERVALUE('Procyfloc 956A'!C238,".",","),IFERROR(_xludf.NUMBERVALUE('Procyfloc 956A'!C238,",","."),0))))</f>
        <v/>
      </c>
      <c r="AE2237" t="str">
        <f>IF(AA2237="","",'Procyfloc 956A'!L238)</f>
        <v/>
      </c>
      <c r="AF2237">
        <f t="shared" si="221"/>
        <v>0</v>
      </c>
      <c r="AG2237" t="str">
        <f t="shared" si="222"/>
        <v/>
      </c>
      <c r="AH2237" t="str">
        <f t="shared" si="223"/>
        <v/>
      </c>
      <c r="AI2237">
        <f t="shared" si="224"/>
        <v>0</v>
      </c>
      <c r="AJ2237">
        <f t="shared" si="225"/>
        <v>0</v>
      </c>
      <c r="AK2237">
        <v>0</v>
      </c>
      <c r="AL2237" t="str">
        <f>IF(AA2237="","",IFERROR(IF(ISNUMBER('Procyfloc 956A'!D238),'Procyfloc 956A'!D238,IF(ISNUMBER(SEARCH("12",'Procyfloc 956A'!D238)),EDATE(AB2237,12),IF(ISNUMBER(SEARCH("6",'Procyfloc 956A'!D238)),EDATE(AB2237,6),IF(ISNUMBER(SEARCH("3",'Procyfloc 956A'!D238)),EDATE(AB2237,3),DATEVALUE('Procyfloc 956A'!D238))))),""))</f>
        <v/>
      </c>
      <c r="AM2237" t="str">
        <f t="shared" ca="1" si="226"/>
        <v/>
      </c>
    </row>
    <row r="2238" spans="27:39" x14ac:dyDescent="0.3">
      <c r="AA2238" t="str">
        <f>IF(COUNTA('Procyfloc 956A'!A239,'Procyfloc 956A'!B239,'Procyfloc 956A'!C239)&gt;0,"956A","")</f>
        <v/>
      </c>
      <c r="AB2238" t="str">
        <f>IFERROR(IF(ISNUMBER('Procyfloc 956A'!A239),'Procyfloc 956A'!A239,DATEVALUE('Procyfloc 956A'!A239)),"")</f>
        <v/>
      </c>
      <c r="AC2238" t="str">
        <f>IF(AA2238="","",'Procyfloc 956A'!B239)</f>
        <v/>
      </c>
      <c r="AD2238" t="str">
        <f>IF(AA2238="","",IFERROR(1*'Procyfloc 956A'!C239,IFERROR(_xludf.NUMBERVALUE('Procyfloc 956A'!C239,".",","),IFERROR(_xludf.NUMBERVALUE('Procyfloc 956A'!C239,",","."),0))))</f>
        <v/>
      </c>
      <c r="AE2238" t="str">
        <f>IF(AA2238="","",'Procyfloc 956A'!L239)</f>
        <v/>
      </c>
      <c r="AF2238">
        <f t="shared" si="221"/>
        <v>0</v>
      </c>
      <c r="AG2238" t="str">
        <f t="shared" si="222"/>
        <v/>
      </c>
      <c r="AH2238" t="str">
        <f t="shared" si="223"/>
        <v/>
      </c>
      <c r="AI2238">
        <f t="shared" si="224"/>
        <v>0</v>
      </c>
      <c r="AJ2238">
        <f t="shared" si="225"/>
        <v>0</v>
      </c>
      <c r="AK2238">
        <v>0</v>
      </c>
      <c r="AL2238" t="str">
        <f>IF(AA2238="","",IFERROR(IF(ISNUMBER('Procyfloc 956A'!D239),'Procyfloc 956A'!D239,IF(ISNUMBER(SEARCH("12",'Procyfloc 956A'!D239)),EDATE(AB2238,12),IF(ISNUMBER(SEARCH("6",'Procyfloc 956A'!D239)),EDATE(AB2238,6),IF(ISNUMBER(SEARCH("3",'Procyfloc 956A'!D239)),EDATE(AB2238,3),DATEVALUE('Procyfloc 956A'!D239))))),""))</f>
        <v/>
      </c>
      <c r="AM2238" t="str">
        <f t="shared" ca="1" si="226"/>
        <v/>
      </c>
    </row>
    <row r="2239" spans="27:39" x14ac:dyDescent="0.3">
      <c r="AA2239" t="str">
        <f>IF(COUNTA('Procyfloc 956A'!A240,'Procyfloc 956A'!B240,'Procyfloc 956A'!C240)&gt;0,"956A","")</f>
        <v/>
      </c>
      <c r="AB2239" t="str">
        <f>IFERROR(IF(ISNUMBER('Procyfloc 956A'!A240),'Procyfloc 956A'!A240,DATEVALUE('Procyfloc 956A'!A240)),"")</f>
        <v/>
      </c>
      <c r="AC2239" t="str">
        <f>IF(AA2239="","",'Procyfloc 956A'!B240)</f>
        <v/>
      </c>
      <c r="AD2239" t="str">
        <f>IF(AA2239="","",IFERROR(1*'Procyfloc 956A'!C240,IFERROR(_xludf.NUMBERVALUE('Procyfloc 956A'!C240,".",","),IFERROR(_xludf.NUMBERVALUE('Procyfloc 956A'!C240,",","."),0))))</f>
        <v/>
      </c>
      <c r="AE2239" t="str">
        <f>IF(AA2239="","",'Procyfloc 956A'!L240)</f>
        <v/>
      </c>
      <c r="AF2239">
        <f t="shared" si="221"/>
        <v>0</v>
      </c>
      <c r="AG2239" t="str">
        <f t="shared" si="222"/>
        <v/>
      </c>
      <c r="AH2239" t="str">
        <f t="shared" si="223"/>
        <v/>
      </c>
      <c r="AI2239">
        <f t="shared" si="224"/>
        <v>0</v>
      </c>
      <c r="AJ2239">
        <f t="shared" si="225"/>
        <v>0</v>
      </c>
      <c r="AK2239">
        <v>0</v>
      </c>
      <c r="AL2239" t="str">
        <f>IF(AA2239="","",IFERROR(IF(ISNUMBER('Procyfloc 956A'!D240),'Procyfloc 956A'!D240,IF(ISNUMBER(SEARCH("12",'Procyfloc 956A'!D240)),EDATE(AB2239,12),IF(ISNUMBER(SEARCH("6",'Procyfloc 956A'!D240)),EDATE(AB2239,6),IF(ISNUMBER(SEARCH("3",'Procyfloc 956A'!D240)),EDATE(AB2239,3),DATEVALUE('Procyfloc 956A'!D240))))),""))</f>
        <v/>
      </c>
      <c r="AM2239" t="str">
        <f t="shared" ca="1" si="226"/>
        <v/>
      </c>
    </row>
    <row r="2240" spans="27:39" x14ac:dyDescent="0.3">
      <c r="AA2240" t="str">
        <f>IF(COUNTA('Procyfloc 956A'!A241,'Procyfloc 956A'!B241,'Procyfloc 956A'!C241)&gt;0,"956A","")</f>
        <v/>
      </c>
      <c r="AB2240" t="str">
        <f>IFERROR(IF(ISNUMBER('Procyfloc 956A'!A241),'Procyfloc 956A'!A241,DATEVALUE('Procyfloc 956A'!A241)),"")</f>
        <v/>
      </c>
      <c r="AC2240" t="str">
        <f>IF(AA2240="","",'Procyfloc 956A'!B241)</f>
        <v/>
      </c>
      <c r="AD2240" t="str">
        <f>IF(AA2240="","",IFERROR(1*'Procyfloc 956A'!C241,IFERROR(_xludf.NUMBERVALUE('Procyfloc 956A'!C241,".",","),IFERROR(_xludf.NUMBERVALUE('Procyfloc 956A'!C241,",","."),0))))</f>
        <v/>
      </c>
      <c r="AE2240" t="str">
        <f>IF(AA2240="","",'Procyfloc 956A'!L241)</f>
        <v/>
      </c>
      <c r="AF2240">
        <f t="shared" si="221"/>
        <v>0</v>
      </c>
      <c r="AG2240" t="str">
        <f t="shared" si="222"/>
        <v/>
      </c>
      <c r="AH2240" t="str">
        <f t="shared" si="223"/>
        <v/>
      </c>
      <c r="AI2240">
        <f t="shared" si="224"/>
        <v>0</v>
      </c>
      <c r="AJ2240">
        <f t="shared" si="225"/>
        <v>0</v>
      </c>
      <c r="AK2240">
        <v>0</v>
      </c>
      <c r="AL2240" t="str">
        <f>IF(AA2240="","",IFERROR(IF(ISNUMBER('Procyfloc 956A'!D241),'Procyfloc 956A'!D241,IF(ISNUMBER(SEARCH("12",'Procyfloc 956A'!D241)),EDATE(AB2240,12),IF(ISNUMBER(SEARCH("6",'Procyfloc 956A'!D241)),EDATE(AB2240,6),IF(ISNUMBER(SEARCH("3",'Procyfloc 956A'!D241)),EDATE(AB2240,3),DATEVALUE('Procyfloc 956A'!D241))))),""))</f>
        <v/>
      </c>
      <c r="AM2240" t="str">
        <f t="shared" ca="1" si="226"/>
        <v/>
      </c>
    </row>
    <row r="2241" spans="27:39" x14ac:dyDescent="0.3">
      <c r="AA2241" t="str">
        <f>IF(COUNTA('Procyfloc 956A'!A242,'Procyfloc 956A'!B242,'Procyfloc 956A'!C242)&gt;0,"956A","")</f>
        <v/>
      </c>
      <c r="AB2241" t="str">
        <f>IFERROR(IF(ISNUMBER('Procyfloc 956A'!A242),'Procyfloc 956A'!A242,DATEVALUE('Procyfloc 956A'!A242)),"")</f>
        <v/>
      </c>
      <c r="AC2241" t="str">
        <f>IF(AA2241="","",'Procyfloc 956A'!B242)</f>
        <v/>
      </c>
      <c r="AD2241" t="str">
        <f>IF(AA2241="","",IFERROR(1*'Procyfloc 956A'!C242,IFERROR(_xludf.NUMBERVALUE('Procyfloc 956A'!C242,".",","),IFERROR(_xludf.NUMBERVALUE('Procyfloc 956A'!C242,",","."),0))))</f>
        <v/>
      </c>
      <c r="AE2241" t="str">
        <f>IF(AA2241="","",'Procyfloc 956A'!L242)</f>
        <v/>
      </c>
      <c r="AF2241">
        <f t="shared" si="221"/>
        <v>0</v>
      </c>
      <c r="AG2241" t="str">
        <f t="shared" si="222"/>
        <v/>
      </c>
      <c r="AH2241" t="str">
        <f t="shared" si="223"/>
        <v/>
      </c>
      <c r="AI2241">
        <f t="shared" si="224"/>
        <v>0</v>
      </c>
      <c r="AJ2241">
        <f t="shared" si="225"/>
        <v>0</v>
      </c>
      <c r="AK2241">
        <v>0</v>
      </c>
      <c r="AL2241" t="str">
        <f>IF(AA2241="","",IFERROR(IF(ISNUMBER('Procyfloc 956A'!D242),'Procyfloc 956A'!D242,IF(ISNUMBER(SEARCH("12",'Procyfloc 956A'!D242)),EDATE(AB2241,12),IF(ISNUMBER(SEARCH("6",'Procyfloc 956A'!D242)),EDATE(AB2241,6),IF(ISNUMBER(SEARCH("3",'Procyfloc 956A'!D242)),EDATE(AB2241,3),DATEVALUE('Procyfloc 956A'!D242))))),""))</f>
        <v/>
      </c>
      <c r="AM2241" t="str">
        <f t="shared" ca="1" si="226"/>
        <v/>
      </c>
    </row>
    <row r="2242" spans="27:39" x14ac:dyDescent="0.3">
      <c r="AA2242" t="str">
        <f>IF(COUNTA('Procyfloc 956A'!A243,'Procyfloc 956A'!B243,'Procyfloc 956A'!C243)&gt;0,"956A","")</f>
        <v/>
      </c>
      <c r="AB2242" t="str">
        <f>IFERROR(IF(ISNUMBER('Procyfloc 956A'!A243),'Procyfloc 956A'!A243,DATEVALUE('Procyfloc 956A'!A243)),"")</f>
        <v/>
      </c>
      <c r="AC2242" t="str">
        <f>IF(AA2242="","",'Procyfloc 956A'!B243)</f>
        <v/>
      </c>
      <c r="AD2242" t="str">
        <f>IF(AA2242="","",IFERROR(1*'Procyfloc 956A'!C243,IFERROR(_xludf.NUMBERVALUE('Procyfloc 956A'!C243,".",","),IFERROR(_xludf.NUMBERVALUE('Procyfloc 956A'!C243,",","."),0))))</f>
        <v/>
      </c>
      <c r="AE2242" t="str">
        <f>IF(AA2242="","",'Procyfloc 956A'!L243)</f>
        <v/>
      </c>
      <c r="AF2242">
        <f t="shared" ref="AF2242:AF2305" si="227">IF(AA2242="",0,--AND(ISNUMBER(SEARCH("aprov",AE2242)),NOT(ISNUMBER(SEARCH("reprov",AE2242)))))</f>
        <v>0</v>
      </c>
      <c r="AG2242" t="str">
        <f t="shared" ref="AG2242:AG2305" si="228">IF(AB2242="","",YEAR(AB2242))</f>
        <v/>
      </c>
      <c r="AH2242" t="str">
        <f t="shared" ref="AH2242:AH2305" si="229">IF(AB2242="","",MONTH(AB2242))</f>
        <v/>
      </c>
      <c r="AI2242">
        <f t="shared" ref="AI2242:AI2305" si="230">IF(AB2242="",0,AB2242+ROW()/1000000)</f>
        <v>0</v>
      </c>
      <c r="AJ2242">
        <f t="shared" ref="AJ2242:AJ2305" si="231">--(AA2242&lt;&gt;"")</f>
        <v>0</v>
      </c>
      <c r="AK2242">
        <v>0</v>
      </c>
      <c r="AL2242" t="str">
        <f>IF(AA2242="","",IFERROR(IF(ISNUMBER('Procyfloc 956A'!D243),'Procyfloc 956A'!D243,IF(ISNUMBER(SEARCH("12",'Procyfloc 956A'!D243)),EDATE(AB2242,12),IF(ISNUMBER(SEARCH("6",'Procyfloc 956A'!D243)),EDATE(AB2242,6),IF(ISNUMBER(SEARCH("3",'Procyfloc 956A'!D243)),EDATE(AB2242,3),DATEVALUE('Procyfloc 956A'!D243))))),""))</f>
        <v/>
      </c>
      <c r="AM2242" t="str">
        <f t="shared" ref="AM2242:AM2305" ca="1" si="232">IF(AND(AJ2242=1,AL2242&lt;&gt;"",AL2242&gt;=TODAY(),AG2242=$W$3),AL2242+ROW()/1000000,"")</f>
        <v/>
      </c>
    </row>
    <row r="2243" spans="27:39" x14ac:dyDescent="0.3">
      <c r="AA2243" t="str">
        <f>IF(COUNTA('Procyfloc 956A'!A244,'Procyfloc 956A'!B244,'Procyfloc 956A'!C244)&gt;0,"956A","")</f>
        <v/>
      </c>
      <c r="AB2243" t="str">
        <f>IFERROR(IF(ISNUMBER('Procyfloc 956A'!A244),'Procyfloc 956A'!A244,DATEVALUE('Procyfloc 956A'!A244)),"")</f>
        <v/>
      </c>
      <c r="AC2243" t="str">
        <f>IF(AA2243="","",'Procyfloc 956A'!B244)</f>
        <v/>
      </c>
      <c r="AD2243" t="str">
        <f>IF(AA2243="","",IFERROR(1*'Procyfloc 956A'!C244,IFERROR(_xludf.NUMBERVALUE('Procyfloc 956A'!C244,".",","),IFERROR(_xludf.NUMBERVALUE('Procyfloc 956A'!C244,",","."),0))))</f>
        <v/>
      </c>
      <c r="AE2243" t="str">
        <f>IF(AA2243="","",'Procyfloc 956A'!L244)</f>
        <v/>
      </c>
      <c r="AF2243">
        <f t="shared" si="227"/>
        <v>0</v>
      </c>
      <c r="AG2243" t="str">
        <f t="shared" si="228"/>
        <v/>
      </c>
      <c r="AH2243" t="str">
        <f t="shared" si="229"/>
        <v/>
      </c>
      <c r="AI2243">
        <f t="shared" si="230"/>
        <v>0</v>
      </c>
      <c r="AJ2243">
        <f t="shared" si="231"/>
        <v>0</v>
      </c>
      <c r="AK2243">
        <v>0</v>
      </c>
      <c r="AL2243" t="str">
        <f>IF(AA2243="","",IFERROR(IF(ISNUMBER('Procyfloc 956A'!D244),'Procyfloc 956A'!D244,IF(ISNUMBER(SEARCH("12",'Procyfloc 956A'!D244)),EDATE(AB2243,12),IF(ISNUMBER(SEARCH("6",'Procyfloc 956A'!D244)),EDATE(AB2243,6),IF(ISNUMBER(SEARCH("3",'Procyfloc 956A'!D244)),EDATE(AB2243,3),DATEVALUE('Procyfloc 956A'!D244))))),""))</f>
        <v/>
      </c>
      <c r="AM2243" t="str">
        <f t="shared" ca="1" si="232"/>
        <v/>
      </c>
    </row>
    <row r="2244" spans="27:39" x14ac:dyDescent="0.3">
      <c r="AA2244" t="str">
        <f>IF(COUNTA('Procyfloc 956A'!A245,'Procyfloc 956A'!B245,'Procyfloc 956A'!C245)&gt;0,"956A","")</f>
        <v/>
      </c>
      <c r="AB2244" t="str">
        <f>IFERROR(IF(ISNUMBER('Procyfloc 956A'!A245),'Procyfloc 956A'!A245,DATEVALUE('Procyfloc 956A'!A245)),"")</f>
        <v/>
      </c>
      <c r="AC2244" t="str">
        <f>IF(AA2244="","",'Procyfloc 956A'!B245)</f>
        <v/>
      </c>
      <c r="AD2244" t="str">
        <f>IF(AA2244="","",IFERROR(1*'Procyfloc 956A'!C245,IFERROR(_xludf.NUMBERVALUE('Procyfloc 956A'!C245,".",","),IFERROR(_xludf.NUMBERVALUE('Procyfloc 956A'!C245,",","."),0))))</f>
        <v/>
      </c>
      <c r="AE2244" t="str">
        <f>IF(AA2244="","",'Procyfloc 956A'!L245)</f>
        <v/>
      </c>
      <c r="AF2244">
        <f t="shared" si="227"/>
        <v>0</v>
      </c>
      <c r="AG2244" t="str">
        <f t="shared" si="228"/>
        <v/>
      </c>
      <c r="AH2244" t="str">
        <f t="shared" si="229"/>
        <v/>
      </c>
      <c r="AI2244">
        <f t="shared" si="230"/>
        <v>0</v>
      </c>
      <c r="AJ2244">
        <f t="shared" si="231"/>
        <v>0</v>
      </c>
      <c r="AK2244">
        <v>0</v>
      </c>
      <c r="AL2244" t="str">
        <f>IF(AA2244="","",IFERROR(IF(ISNUMBER('Procyfloc 956A'!D245),'Procyfloc 956A'!D245,IF(ISNUMBER(SEARCH("12",'Procyfloc 956A'!D245)),EDATE(AB2244,12),IF(ISNUMBER(SEARCH("6",'Procyfloc 956A'!D245)),EDATE(AB2244,6),IF(ISNUMBER(SEARCH("3",'Procyfloc 956A'!D245)),EDATE(AB2244,3),DATEVALUE('Procyfloc 956A'!D245))))),""))</f>
        <v/>
      </c>
      <c r="AM2244" t="str">
        <f t="shared" ca="1" si="232"/>
        <v/>
      </c>
    </row>
    <row r="2245" spans="27:39" x14ac:dyDescent="0.3">
      <c r="AA2245" t="str">
        <f>IF(COUNTA('Procyfloc 956A'!A246,'Procyfloc 956A'!B246,'Procyfloc 956A'!C246)&gt;0,"956A","")</f>
        <v/>
      </c>
      <c r="AB2245" t="str">
        <f>IFERROR(IF(ISNUMBER('Procyfloc 956A'!A246),'Procyfloc 956A'!A246,DATEVALUE('Procyfloc 956A'!A246)),"")</f>
        <v/>
      </c>
      <c r="AC2245" t="str">
        <f>IF(AA2245="","",'Procyfloc 956A'!B246)</f>
        <v/>
      </c>
      <c r="AD2245" t="str">
        <f>IF(AA2245="","",IFERROR(1*'Procyfloc 956A'!C246,IFERROR(_xludf.NUMBERVALUE('Procyfloc 956A'!C246,".",","),IFERROR(_xludf.NUMBERVALUE('Procyfloc 956A'!C246,",","."),0))))</f>
        <v/>
      </c>
      <c r="AE2245" t="str">
        <f>IF(AA2245="","",'Procyfloc 956A'!L246)</f>
        <v/>
      </c>
      <c r="AF2245">
        <f t="shared" si="227"/>
        <v>0</v>
      </c>
      <c r="AG2245" t="str">
        <f t="shared" si="228"/>
        <v/>
      </c>
      <c r="AH2245" t="str">
        <f t="shared" si="229"/>
        <v/>
      </c>
      <c r="AI2245">
        <f t="shared" si="230"/>
        <v>0</v>
      </c>
      <c r="AJ2245">
        <f t="shared" si="231"/>
        <v>0</v>
      </c>
      <c r="AK2245">
        <v>0</v>
      </c>
      <c r="AL2245" t="str">
        <f>IF(AA2245="","",IFERROR(IF(ISNUMBER('Procyfloc 956A'!D246),'Procyfloc 956A'!D246,IF(ISNUMBER(SEARCH("12",'Procyfloc 956A'!D246)),EDATE(AB2245,12),IF(ISNUMBER(SEARCH("6",'Procyfloc 956A'!D246)),EDATE(AB2245,6),IF(ISNUMBER(SEARCH("3",'Procyfloc 956A'!D246)),EDATE(AB2245,3),DATEVALUE('Procyfloc 956A'!D246))))),""))</f>
        <v/>
      </c>
      <c r="AM2245" t="str">
        <f t="shared" ca="1" si="232"/>
        <v/>
      </c>
    </row>
    <row r="2246" spans="27:39" x14ac:dyDescent="0.3">
      <c r="AA2246" t="str">
        <f>IF(COUNTA('Procyfloc 956A'!A247,'Procyfloc 956A'!B247,'Procyfloc 956A'!C247)&gt;0,"956A","")</f>
        <v/>
      </c>
      <c r="AB2246" t="str">
        <f>IFERROR(IF(ISNUMBER('Procyfloc 956A'!A247),'Procyfloc 956A'!A247,DATEVALUE('Procyfloc 956A'!A247)),"")</f>
        <v/>
      </c>
      <c r="AC2246" t="str">
        <f>IF(AA2246="","",'Procyfloc 956A'!B247)</f>
        <v/>
      </c>
      <c r="AD2246" t="str">
        <f>IF(AA2246="","",IFERROR(1*'Procyfloc 956A'!C247,IFERROR(_xludf.NUMBERVALUE('Procyfloc 956A'!C247,".",","),IFERROR(_xludf.NUMBERVALUE('Procyfloc 956A'!C247,",","."),0))))</f>
        <v/>
      </c>
      <c r="AE2246" t="str">
        <f>IF(AA2246="","",'Procyfloc 956A'!L247)</f>
        <v/>
      </c>
      <c r="AF2246">
        <f t="shared" si="227"/>
        <v>0</v>
      </c>
      <c r="AG2246" t="str">
        <f t="shared" si="228"/>
        <v/>
      </c>
      <c r="AH2246" t="str">
        <f t="shared" si="229"/>
        <v/>
      </c>
      <c r="AI2246">
        <f t="shared" si="230"/>
        <v>0</v>
      </c>
      <c r="AJ2246">
        <f t="shared" si="231"/>
        <v>0</v>
      </c>
      <c r="AK2246">
        <v>0</v>
      </c>
      <c r="AL2246" t="str">
        <f>IF(AA2246="","",IFERROR(IF(ISNUMBER('Procyfloc 956A'!D247),'Procyfloc 956A'!D247,IF(ISNUMBER(SEARCH("12",'Procyfloc 956A'!D247)),EDATE(AB2246,12),IF(ISNUMBER(SEARCH("6",'Procyfloc 956A'!D247)),EDATE(AB2246,6),IF(ISNUMBER(SEARCH("3",'Procyfloc 956A'!D247)),EDATE(AB2246,3),DATEVALUE('Procyfloc 956A'!D247))))),""))</f>
        <v/>
      </c>
      <c r="AM2246" t="str">
        <f t="shared" ca="1" si="232"/>
        <v/>
      </c>
    </row>
    <row r="2247" spans="27:39" x14ac:dyDescent="0.3">
      <c r="AA2247" t="str">
        <f>IF(COUNTA('Procyfloc 956A'!A248,'Procyfloc 956A'!B248,'Procyfloc 956A'!C248)&gt;0,"956A","")</f>
        <v/>
      </c>
      <c r="AB2247" t="str">
        <f>IFERROR(IF(ISNUMBER('Procyfloc 956A'!A248),'Procyfloc 956A'!A248,DATEVALUE('Procyfloc 956A'!A248)),"")</f>
        <v/>
      </c>
      <c r="AC2247" t="str">
        <f>IF(AA2247="","",'Procyfloc 956A'!B248)</f>
        <v/>
      </c>
      <c r="AD2247" t="str">
        <f>IF(AA2247="","",IFERROR(1*'Procyfloc 956A'!C248,IFERROR(_xludf.NUMBERVALUE('Procyfloc 956A'!C248,".",","),IFERROR(_xludf.NUMBERVALUE('Procyfloc 956A'!C248,",","."),0))))</f>
        <v/>
      </c>
      <c r="AE2247" t="str">
        <f>IF(AA2247="","",'Procyfloc 956A'!L248)</f>
        <v/>
      </c>
      <c r="AF2247">
        <f t="shared" si="227"/>
        <v>0</v>
      </c>
      <c r="AG2247" t="str">
        <f t="shared" si="228"/>
        <v/>
      </c>
      <c r="AH2247" t="str">
        <f t="shared" si="229"/>
        <v/>
      </c>
      <c r="AI2247">
        <f t="shared" si="230"/>
        <v>0</v>
      </c>
      <c r="AJ2247">
        <f t="shared" si="231"/>
        <v>0</v>
      </c>
      <c r="AK2247">
        <v>0</v>
      </c>
      <c r="AL2247" t="str">
        <f>IF(AA2247="","",IFERROR(IF(ISNUMBER('Procyfloc 956A'!D248),'Procyfloc 956A'!D248,IF(ISNUMBER(SEARCH("12",'Procyfloc 956A'!D248)),EDATE(AB2247,12),IF(ISNUMBER(SEARCH("6",'Procyfloc 956A'!D248)),EDATE(AB2247,6),IF(ISNUMBER(SEARCH("3",'Procyfloc 956A'!D248)),EDATE(AB2247,3),DATEVALUE('Procyfloc 956A'!D248))))),""))</f>
        <v/>
      </c>
      <c r="AM2247" t="str">
        <f t="shared" ca="1" si="232"/>
        <v/>
      </c>
    </row>
    <row r="2248" spans="27:39" x14ac:dyDescent="0.3">
      <c r="AA2248" t="str">
        <f>IF(COUNTA('Procyfloc 956A'!A249,'Procyfloc 956A'!B249,'Procyfloc 956A'!C249)&gt;0,"956A","")</f>
        <v/>
      </c>
      <c r="AB2248" t="str">
        <f>IFERROR(IF(ISNUMBER('Procyfloc 956A'!A249),'Procyfloc 956A'!A249,DATEVALUE('Procyfloc 956A'!A249)),"")</f>
        <v/>
      </c>
      <c r="AC2248" t="str">
        <f>IF(AA2248="","",'Procyfloc 956A'!B249)</f>
        <v/>
      </c>
      <c r="AD2248" t="str">
        <f>IF(AA2248="","",IFERROR(1*'Procyfloc 956A'!C249,IFERROR(_xludf.NUMBERVALUE('Procyfloc 956A'!C249,".",","),IFERROR(_xludf.NUMBERVALUE('Procyfloc 956A'!C249,",","."),0))))</f>
        <v/>
      </c>
      <c r="AE2248" t="str">
        <f>IF(AA2248="","",'Procyfloc 956A'!L249)</f>
        <v/>
      </c>
      <c r="AF2248">
        <f t="shared" si="227"/>
        <v>0</v>
      </c>
      <c r="AG2248" t="str">
        <f t="shared" si="228"/>
        <v/>
      </c>
      <c r="AH2248" t="str">
        <f t="shared" si="229"/>
        <v/>
      </c>
      <c r="AI2248">
        <f t="shared" si="230"/>
        <v>0</v>
      </c>
      <c r="AJ2248">
        <f t="shared" si="231"/>
        <v>0</v>
      </c>
      <c r="AK2248">
        <v>0</v>
      </c>
      <c r="AL2248" t="str">
        <f>IF(AA2248="","",IFERROR(IF(ISNUMBER('Procyfloc 956A'!D249),'Procyfloc 956A'!D249,IF(ISNUMBER(SEARCH("12",'Procyfloc 956A'!D249)),EDATE(AB2248,12),IF(ISNUMBER(SEARCH("6",'Procyfloc 956A'!D249)),EDATE(AB2248,6),IF(ISNUMBER(SEARCH("3",'Procyfloc 956A'!D249)),EDATE(AB2248,3),DATEVALUE('Procyfloc 956A'!D249))))),""))</f>
        <v/>
      </c>
      <c r="AM2248" t="str">
        <f t="shared" ca="1" si="232"/>
        <v/>
      </c>
    </row>
    <row r="2249" spans="27:39" x14ac:dyDescent="0.3">
      <c r="AA2249" t="str">
        <f>IF(COUNTA('Procyfloc 956A'!A250,'Procyfloc 956A'!B250,'Procyfloc 956A'!C250)&gt;0,"956A","")</f>
        <v/>
      </c>
      <c r="AB2249" t="str">
        <f>IFERROR(IF(ISNUMBER('Procyfloc 956A'!A250),'Procyfloc 956A'!A250,DATEVALUE('Procyfloc 956A'!A250)),"")</f>
        <v/>
      </c>
      <c r="AC2249" t="str">
        <f>IF(AA2249="","",'Procyfloc 956A'!B250)</f>
        <v/>
      </c>
      <c r="AD2249" t="str">
        <f>IF(AA2249="","",IFERROR(1*'Procyfloc 956A'!C250,IFERROR(_xludf.NUMBERVALUE('Procyfloc 956A'!C250,".",","),IFERROR(_xludf.NUMBERVALUE('Procyfloc 956A'!C250,",","."),0))))</f>
        <v/>
      </c>
      <c r="AE2249" t="str">
        <f>IF(AA2249="","",'Procyfloc 956A'!L250)</f>
        <v/>
      </c>
      <c r="AF2249">
        <f t="shared" si="227"/>
        <v>0</v>
      </c>
      <c r="AG2249" t="str">
        <f t="shared" si="228"/>
        <v/>
      </c>
      <c r="AH2249" t="str">
        <f t="shared" si="229"/>
        <v/>
      </c>
      <c r="AI2249">
        <f t="shared" si="230"/>
        <v>0</v>
      </c>
      <c r="AJ2249">
        <f t="shared" si="231"/>
        <v>0</v>
      </c>
      <c r="AK2249">
        <v>0</v>
      </c>
      <c r="AL2249" t="str">
        <f>IF(AA2249="","",IFERROR(IF(ISNUMBER('Procyfloc 956A'!D250),'Procyfloc 956A'!D250,IF(ISNUMBER(SEARCH("12",'Procyfloc 956A'!D250)),EDATE(AB2249,12),IF(ISNUMBER(SEARCH("6",'Procyfloc 956A'!D250)),EDATE(AB2249,6),IF(ISNUMBER(SEARCH("3",'Procyfloc 956A'!D250)),EDATE(AB2249,3),DATEVALUE('Procyfloc 956A'!D250))))),""))</f>
        <v/>
      </c>
      <c r="AM2249" t="str">
        <f t="shared" ca="1" si="232"/>
        <v/>
      </c>
    </row>
    <row r="2250" spans="27:39" x14ac:dyDescent="0.3">
      <c r="AA2250" t="str">
        <f>IF(COUNTA('Procyfloc 956A'!A251,'Procyfloc 956A'!B251,'Procyfloc 956A'!C251)&gt;0,"956A","")</f>
        <v/>
      </c>
      <c r="AB2250" t="str">
        <f>IFERROR(IF(ISNUMBER('Procyfloc 956A'!A251),'Procyfloc 956A'!A251,DATEVALUE('Procyfloc 956A'!A251)),"")</f>
        <v/>
      </c>
      <c r="AC2250" t="str">
        <f>IF(AA2250="","",'Procyfloc 956A'!B251)</f>
        <v/>
      </c>
      <c r="AD2250" t="str">
        <f>IF(AA2250="","",IFERROR(1*'Procyfloc 956A'!C251,IFERROR(_xludf.NUMBERVALUE('Procyfloc 956A'!C251,".",","),IFERROR(_xludf.NUMBERVALUE('Procyfloc 956A'!C251,",","."),0))))</f>
        <v/>
      </c>
      <c r="AE2250" t="str">
        <f>IF(AA2250="","",'Procyfloc 956A'!L251)</f>
        <v/>
      </c>
      <c r="AF2250">
        <f t="shared" si="227"/>
        <v>0</v>
      </c>
      <c r="AG2250" t="str">
        <f t="shared" si="228"/>
        <v/>
      </c>
      <c r="AH2250" t="str">
        <f t="shared" si="229"/>
        <v/>
      </c>
      <c r="AI2250">
        <f t="shared" si="230"/>
        <v>0</v>
      </c>
      <c r="AJ2250">
        <f t="shared" si="231"/>
        <v>0</v>
      </c>
      <c r="AK2250">
        <v>0</v>
      </c>
      <c r="AL2250" t="str">
        <f>IF(AA2250="","",IFERROR(IF(ISNUMBER('Procyfloc 956A'!D251),'Procyfloc 956A'!D251,IF(ISNUMBER(SEARCH("12",'Procyfloc 956A'!D251)),EDATE(AB2250,12),IF(ISNUMBER(SEARCH("6",'Procyfloc 956A'!D251)),EDATE(AB2250,6),IF(ISNUMBER(SEARCH("3",'Procyfloc 956A'!D251)),EDATE(AB2250,3),DATEVALUE('Procyfloc 956A'!D251))))),""))</f>
        <v/>
      </c>
      <c r="AM2250" t="str">
        <f t="shared" ca="1" si="232"/>
        <v/>
      </c>
    </row>
    <row r="2251" spans="27:39" x14ac:dyDescent="0.3">
      <c r="AA2251" t="str">
        <f>IF(COUNTA('Procyfloc 956A'!A252,'Procyfloc 956A'!B252,'Procyfloc 956A'!C252)&gt;0,"956A","")</f>
        <v/>
      </c>
      <c r="AB2251" t="str">
        <f>IFERROR(IF(ISNUMBER('Procyfloc 956A'!A252),'Procyfloc 956A'!A252,DATEVALUE('Procyfloc 956A'!A252)),"")</f>
        <v/>
      </c>
      <c r="AC2251" t="str">
        <f>IF(AA2251="","",'Procyfloc 956A'!B252)</f>
        <v/>
      </c>
      <c r="AD2251" t="str">
        <f>IF(AA2251="","",IFERROR(1*'Procyfloc 956A'!C252,IFERROR(_xludf.NUMBERVALUE('Procyfloc 956A'!C252,".",","),IFERROR(_xludf.NUMBERVALUE('Procyfloc 956A'!C252,",","."),0))))</f>
        <v/>
      </c>
      <c r="AE2251" t="str">
        <f>IF(AA2251="","",'Procyfloc 956A'!L252)</f>
        <v/>
      </c>
      <c r="AF2251">
        <f t="shared" si="227"/>
        <v>0</v>
      </c>
      <c r="AG2251" t="str">
        <f t="shared" si="228"/>
        <v/>
      </c>
      <c r="AH2251" t="str">
        <f t="shared" si="229"/>
        <v/>
      </c>
      <c r="AI2251">
        <f t="shared" si="230"/>
        <v>0</v>
      </c>
      <c r="AJ2251">
        <f t="shared" si="231"/>
        <v>0</v>
      </c>
      <c r="AK2251">
        <v>0</v>
      </c>
      <c r="AL2251" t="str">
        <f>IF(AA2251="","",IFERROR(IF(ISNUMBER('Procyfloc 956A'!D252),'Procyfloc 956A'!D252,IF(ISNUMBER(SEARCH("12",'Procyfloc 956A'!D252)),EDATE(AB2251,12),IF(ISNUMBER(SEARCH("6",'Procyfloc 956A'!D252)),EDATE(AB2251,6),IF(ISNUMBER(SEARCH("3",'Procyfloc 956A'!D252)),EDATE(AB2251,3),DATEVALUE('Procyfloc 956A'!D252))))),""))</f>
        <v/>
      </c>
      <c r="AM2251" t="str">
        <f t="shared" ca="1" si="232"/>
        <v/>
      </c>
    </row>
    <row r="2252" spans="27:39" x14ac:dyDescent="0.3">
      <c r="AA2252" t="str">
        <f>IF(COUNTA('Procyfloc 956A'!A253,'Procyfloc 956A'!B253,'Procyfloc 956A'!C253)&gt;0,"956A","")</f>
        <v/>
      </c>
      <c r="AB2252" t="str">
        <f>IFERROR(IF(ISNUMBER('Procyfloc 956A'!A253),'Procyfloc 956A'!A253,DATEVALUE('Procyfloc 956A'!A253)),"")</f>
        <v/>
      </c>
      <c r="AC2252" t="str">
        <f>IF(AA2252="","",'Procyfloc 956A'!B253)</f>
        <v/>
      </c>
      <c r="AD2252" t="str">
        <f>IF(AA2252="","",IFERROR(1*'Procyfloc 956A'!C253,IFERROR(_xludf.NUMBERVALUE('Procyfloc 956A'!C253,".",","),IFERROR(_xludf.NUMBERVALUE('Procyfloc 956A'!C253,",","."),0))))</f>
        <v/>
      </c>
      <c r="AE2252" t="str">
        <f>IF(AA2252="","",'Procyfloc 956A'!L253)</f>
        <v/>
      </c>
      <c r="AF2252">
        <f t="shared" si="227"/>
        <v>0</v>
      </c>
      <c r="AG2252" t="str">
        <f t="shared" si="228"/>
        <v/>
      </c>
      <c r="AH2252" t="str">
        <f t="shared" si="229"/>
        <v/>
      </c>
      <c r="AI2252">
        <f t="shared" si="230"/>
        <v>0</v>
      </c>
      <c r="AJ2252">
        <f t="shared" si="231"/>
        <v>0</v>
      </c>
      <c r="AK2252">
        <v>0</v>
      </c>
      <c r="AL2252" t="str">
        <f>IF(AA2252="","",IFERROR(IF(ISNUMBER('Procyfloc 956A'!D253),'Procyfloc 956A'!D253,IF(ISNUMBER(SEARCH("12",'Procyfloc 956A'!D253)),EDATE(AB2252,12),IF(ISNUMBER(SEARCH("6",'Procyfloc 956A'!D253)),EDATE(AB2252,6),IF(ISNUMBER(SEARCH("3",'Procyfloc 956A'!D253)),EDATE(AB2252,3),DATEVALUE('Procyfloc 956A'!D253))))),""))</f>
        <v/>
      </c>
      <c r="AM2252" t="str">
        <f t="shared" ca="1" si="232"/>
        <v/>
      </c>
    </row>
    <row r="2253" spans="27:39" x14ac:dyDescent="0.3">
      <c r="AA2253" t="str">
        <f>IF(COUNTA('Procyfloc 956A'!A254,'Procyfloc 956A'!B254,'Procyfloc 956A'!C254)&gt;0,"956A","")</f>
        <v/>
      </c>
      <c r="AB2253" t="str">
        <f>IFERROR(IF(ISNUMBER('Procyfloc 956A'!A254),'Procyfloc 956A'!A254,DATEVALUE('Procyfloc 956A'!A254)),"")</f>
        <v/>
      </c>
      <c r="AC2253" t="str">
        <f>IF(AA2253="","",'Procyfloc 956A'!B254)</f>
        <v/>
      </c>
      <c r="AD2253" t="str">
        <f>IF(AA2253="","",IFERROR(1*'Procyfloc 956A'!C254,IFERROR(_xludf.NUMBERVALUE('Procyfloc 956A'!C254,".",","),IFERROR(_xludf.NUMBERVALUE('Procyfloc 956A'!C254,",","."),0))))</f>
        <v/>
      </c>
      <c r="AE2253" t="str">
        <f>IF(AA2253="","",'Procyfloc 956A'!L254)</f>
        <v/>
      </c>
      <c r="AF2253">
        <f t="shared" si="227"/>
        <v>0</v>
      </c>
      <c r="AG2253" t="str">
        <f t="shared" si="228"/>
        <v/>
      </c>
      <c r="AH2253" t="str">
        <f t="shared" si="229"/>
        <v/>
      </c>
      <c r="AI2253">
        <f t="shared" si="230"/>
        <v>0</v>
      </c>
      <c r="AJ2253">
        <f t="shared" si="231"/>
        <v>0</v>
      </c>
      <c r="AK2253">
        <v>0</v>
      </c>
      <c r="AL2253" t="str">
        <f>IF(AA2253="","",IFERROR(IF(ISNUMBER('Procyfloc 956A'!D254),'Procyfloc 956A'!D254,IF(ISNUMBER(SEARCH("12",'Procyfloc 956A'!D254)),EDATE(AB2253,12),IF(ISNUMBER(SEARCH("6",'Procyfloc 956A'!D254)),EDATE(AB2253,6),IF(ISNUMBER(SEARCH("3",'Procyfloc 956A'!D254)),EDATE(AB2253,3),DATEVALUE('Procyfloc 956A'!D254))))),""))</f>
        <v/>
      </c>
      <c r="AM2253" t="str">
        <f t="shared" ca="1" si="232"/>
        <v/>
      </c>
    </row>
    <row r="2254" spans="27:39" x14ac:dyDescent="0.3">
      <c r="AA2254" t="str">
        <f>IF(COUNTA('Procyfloc 956A'!A255,'Procyfloc 956A'!B255,'Procyfloc 956A'!C255)&gt;0,"956A","")</f>
        <v/>
      </c>
      <c r="AB2254" t="str">
        <f>IFERROR(IF(ISNUMBER('Procyfloc 956A'!A255),'Procyfloc 956A'!A255,DATEVALUE('Procyfloc 956A'!A255)),"")</f>
        <v/>
      </c>
      <c r="AC2254" t="str">
        <f>IF(AA2254="","",'Procyfloc 956A'!B255)</f>
        <v/>
      </c>
      <c r="AD2254" t="str">
        <f>IF(AA2254="","",IFERROR(1*'Procyfloc 956A'!C255,IFERROR(_xludf.NUMBERVALUE('Procyfloc 956A'!C255,".",","),IFERROR(_xludf.NUMBERVALUE('Procyfloc 956A'!C255,",","."),0))))</f>
        <v/>
      </c>
      <c r="AE2254" t="str">
        <f>IF(AA2254="","",'Procyfloc 956A'!L255)</f>
        <v/>
      </c>
      <c r="AF2254">
        <f t="shared" si="227"/>
        <v>0</v>
      </c>
      <c r="AG2254" t="str">
        <f t="shared" si="228"/>
        <v/>
      </c>
      <c r="AH2254" t="str">
        <f t="shared" si="229"/>
        <v/>
      </c>
      <c r="AI2254">
        <f t="shared" si="230"/>
        <v>0</v>
      </c>
      <c r="AJ2254">
        <f t="shared" si="231"/>
        <v>0</v>
      </c>
      <c r="AK2254">
        <v>0</v>
      </c>
      <c r="AL2254" t="str">
        <f>IF(AA2254="","",IFERROR(IF(ISNUMBER('Procyfloc 956A'!D255),'Procyfloc 956A'!D255,IF(ISNUMBER(SEARCH("12",'Procyfloc 956A'!D255)),EDATE(AB2254,12),IF(ISNUMBER(SEARCH("6",'Procyfloc 956A'!D255)),EDATE(AB2254,6),IF(ISNUMBER(SEARCH("3",'Procyfloc 956A'!D255)),EDATE(AB2254,3),DATEVALUE('Procyfloc 956A'!D255))))),""))</f>
        <v/>
      </c>
      <c r="AM2254" t="str">
        <f t="shared" ca="1" si="232"/>
        <v/>
      </c>
    </row>
    <row r="2255" spans="27:39" x14ac:dyDescent="0.3">
      <c r="AA2255" t="str">
        <f>IF(COUNTA('Procyfloc 956A'!A256,'Procyfloc 956A'!B256,'Procyfloc 956A'!C256)&gt;0,"956A","")</f>
        <v/>
      </c>
      <c r="AB2255" t="str">
        <f>IFERROR(IF(ISNUMBER('Procyfloc 956A'!A256),'Procyfloc 956A'!A256,DATEVALUE('Procyfloc 956A'!A256)),"")</f>
        <v/>
      </c>
      <c r="AC2255" t="str">
        <f>IF(AA2255="","",'Procyfloc 956A'!B256)</f>
        <v/>
      </c>
      <c r="AD2255" t="str">
        <f>IF(AA2255="","",IFERROR(1*'Procyfloc 956A'!C256,IFERROR(_xludf.NUMBERVALUE('Procyfloc 956A'!C256,".",","),IFERROR(_xludf.NUMBERVALUE('Procyfloc 956A'!C256,",","."),0))))</f>
        <v/>
      </c>
      <c r="AE2255" t="str">
        <f>IF(AA2255="","",'Procyfloc 956A'!L256)</f>
        <v/>
      </c>
      <c r="AF2255">
        <f t="shared" si="227"/>
        <v>0</v>
      </c>
      <c r="AG2255" t="str">
        <f t="shared" si="228"/>
        <v/>
      </c>
      <c r="AH2255" t="str">
        <f t="shared" si="229"/>
        <v/>
      </c>
      <c r="AI2255">
        <f t="shared" si="230"/>
        <v>0</v>
      </c>
      <c r="AJ2255">
        <f t="shared" si="231"/>
        <v>0</v>
      </c>
      <c r="AK2255">
        <v>0</v>
      </c>
      <c r="AL2255" t="str">
        <f>IF(AA2255="","",IFERROR(IF(ISNUMBER('Procyfloc 956A'!D256),'Procyfloc 956A'!D256,IF(ISNUMBER(SEARCH("12",'Procyfloc 956A'!D256)),EDATE(AB2255,12),IF(ISNUMBER(SEARCH("6",'Procyfloc 956A'!D256)),EDATE(AB2255,6),IF(ISNUMBER(SEARCH("3",'Procyfloc 956A'!D256)),EDATE(AB2255,3),DATEVALUE('Procyfloc 956A'!D256))))),""))</f>
        <v/>
      </c>
      <c r="AM2255" t="str">
        <f t="shared" ca="1" si="232"/>
        <v/>
      </c>
    </row>
    <row r="2256" spans="27:39" x14ac:dyDescent="0.3">
      <c r="AA2256" t="str">
        <f>IF(COUNTA('Procyfloc 956A'!A257,'Procyfloc 956A'!B257,'Procyfloc 956A'!C257)&gt;0,"956A","")</f>
        <v/>
      </c>
      <c r="AB2256" t="str">
        <f>IFERROR(IF(ISNUMBER('Procyfloc 956A'!A257),'Procyfloc 956A'!A257,DATEVALUE('Procyfloc 956A'!A257)),"")</f>
        <v/>
      </c>
      <c r="AC2256" t="str">
        <f>IF(AA2256="","",'Procyfloc 956A'!B257)</f>
        <v/>
      </c>
      <c r="AD2256" t="str">
        <f>IF(AA2256="","",IFERROR(1*'Procyfloc 956A'!C257,IFERROR(_xludf.NUMBERVALUE('Procyfloc 956A'!C257,".",","),IFERROR(_xludf.NUMBERVALUE('Procyfloc 956A'!C257,",","."),0))))</f>
        <v/>
      </c>
      <c r="AE2256" t="str">
        <f>IF(AA2256="","",'Procyfloc 956A'!L257)</f>
        <v/>
      </c>
      <c r="AF2256">
        <f t="shared" si="227"/>
        <v>0</v>
      </c>
      <c r="AG2256" t="str">
        <f t="shared" si="228"/>
        <v/>
      </c>
      <c r="AH2256" t="str">
        <f t="shared" si="229"/>
        <v/>
      </c>
      <c r="AI2256">
        <f t="shared" si="230"/>
        <v>0</v>
      </c>
      <c r="AJ2256">
        <f t="shared" si="231"/>
        <v>0</v>
      </c>
      <c r="AK2256">
        <v>0</v>
      </c>
      <c r="AL2256" t="str">
        <f>IF(AA2256="","",IFERROR(IF(ISNUMBER('Procyfloc 956A'!D257),'Procyfloc 956A'!D257,IF(ISNUMBER(SEARCH("12",'Procyfloc 956A'!D257)),EDATE(AB2256,12),IF(ISNUMBER(SEARCH("6",'Procyfloc 956A'!D257)),EDATE(AB2256,6),IF(ISNUMBER(SEARCH("3",'Procyfloc 956A'!D257)),EDATE(AB2256,3),DATEVALUE('Procyfloc 956A'!D257))))),""))</f>
        <v/>
      </c>
      <c r="AM2256" t="str">
        <f t="shared" ca="1" si="232"/>
        <v/>
      </c>
    </row>
    <row r="2257" spans="27:39" x14ac:dyDescent="0.3">
      <c r="AA2257" t="str">
        <f>IF(COUNTA('Procyfloc 956A'!A258,'Procyfloc 956A'!B258,'Procyfloc 956A'!C258)&gt;0,"956A","")</f>
        <v/>
      </c>
      <c r="AB2257" t="str">
        <f>IFERROR(IF(ISNUMBER('Procyfloc 956A'!A258),'Procyfloc 956A'!A258,DATEVALUE('Procyfloc 956A'!A258)),"")</f>
        <v/>
      </c>
      <c r="AC2257" t="str">
        <f>IF(AA2257="","",'Procyfloc 956A'!B258)</f>
        <v/>
      </c>
      <c r="AD2257" t="str">
        <f>IF(AA2257="","",IFERROR(1*'Procyfloc 956A'!C258,IFERROR(_xludf.NUMBERVALUE('Procyfloc 956A'!C258,".",","),IFERROR(_xludf.NUMBERVALUE('Procyfloc 956A'!C258,",","."),0))))</f>
        <v/>
      </c>
      <c r="AE2257" t="str">
        <f>IF(AA2257="","",'Procyfloc 956A'!L258)</f>
        <v/>
      </c>
      <c r="AF2257">
        <f t="shared" si="227"/>
        <v>0</v>
      </c>
      <c r="AG2257" t="str">
        <f t="shared" si="228"/>
        <v/>
      </c>
      <c r="AH2257" t="str">
        <f t="shared" si="229"/>
        <v/>
      </c>
      <c r="AI2257">
        <f t="shared" si="230"/>
        <v>0</v>
      </c>
      <c r="AJ2257">
        <f t="shared" si="231"/>
        <v>0</v>
      </c>
      <c r="AK2257">
        <v>0</v>
      </c>
      <c r="AL2257" t="str">
        <f>IF(AA2257="","",IFERROR(IF(ISNUMBER('Procyfloc 956A'!D258),'Procyfloc 956A'!D258,IF(ISNUMBER(SEARCH("12",'Procyfloc 956A'!D258)),EDATE(AB2257,12),IF(ISNUMBER(SEARCH("6",'Procyfloc 956A'!D258)),EDATE(AB2257,6),IF(ISNUMBER(SEARCH("3",'Procyfloc 956A'!D258)),EDATE(AB2257,3),DATEVALUE('Procyfloc 956A'!D258))))),""))</f>
        <v/>
      </c>
      <c r="AM2257" t="str">
        <f t="shared" ca="1" si="232"/>
        <v/>
      </c>
    </row>
    <row r="2258" spans="27:39" x14ac:dyDescent="0.3">
      <c r="AA2258" t="str">
        <f>IF(COUNTA('Procyfloc 956A'!A259,'Procyfloc 956A'!B259,'Procyfloc 956A'!C259)&gt;0,"956A","")</f>
        <v/>
      </c>
      <c r="AB2258" t="str">
        <f>IFERROR(IF(ISNUMBER('Procyfloc 956A'!A259),'Procyfloc 956A'!A259,DATEVALUE('Procyfloc 956A'!A259)),"")</f>
        <v/>
      </c>
      <c r="AC2258" t="str">
        <f>IF(AA2258="","",'Procyfloc 956A'!B259)</f>
        <v/>
      </c>
      <c r="AD2258" t="str">
        <f>IF(AA2258="","",IFERROR(1*'Procyfloc 956A'!C259,IFERROR(_xludf.NUMBERVALUE('Procyfloc 956A'!C259,".",","),IFERROR(_xludf.NUMBERVALUE('Procyfloc 956A'!C259,",","."),0))))</f>
        <v/>
      </c>
      <c r="AE2258" t="str">
        <f>IF(AA2258="","",'Procyfloc 956A'!L259)</f>
        <v/>
      </c>
      <c r="AF2258">
        <f t="shared" si="227"/>
        <v>0</v>
      </c>
      <c r="AG2258" t="str">
        <f t="shared" si="228"/>
        <v/>
      </c>
      <c r="AH2258" t="str">
        <f t="shared" si="229"/>
        <v/>
      </c>
      <c r="AI2258">
        <f t="shared" si="230"/>
        <v>0</v>
      </c>
      <c r="AJ2258">
        <f t="shared" si="231"/>
        <v>0</v>
      </c>
      <c r="AK2258">
        <v>0</v>
      </c>
      <c r="AL2258" t="str">
        <f>IF(AA2258="","",IFERROR(IF(ISNUMBER('Procyfloc 956A'!D259),'Procyfloc 956A'!D259,IF(ISNUMBER(SEARCH("12",'Procyfloc 956A'!D259)),EDATE(AB2258,12),IF(ISNUMBER(SEARCH("6",'Procyfloc 956A'!D259)),EDATE(AB2258,6),IF(ISNUMBER(SEARCH("3",'Procyfloc 956A'!D259)),EDATE(AB2258,3),DATEVALUE('Procyfloc 956A'!D259))))),""))</f>
        <v/>
      </c>
      <c r="AM2258" t="str">
        <f t="shared" ca="1" si="232"/>
        <v/>
      </c>
    </row>
    <row r="2259" spans="27:39" x14ac:dyDescent="0.3">
      <c r="AA2259" t="str">
        <f>IF(COUNTA('Procyfloc 956A'!A260,'Procyfloc 956A'!B260,'Procyfloc 956A'!C260)&gt;0,"956A","")</f>
        <v/>
      </c>
      <c r="AB2259" t="str">
        <f>IFERROR(IF(ISNUMBER('Procyfloc 956A'!A260),'Procyfloc 956A'!A260,DATEVALUE('Procyfloc 956A'!A260)),"")</f>
        <v/>
      </c>
      <c r="AC2259" t="str">
        <f>IF(AA2259="","",'Procyfloc 956A'!B260)</f>
        <v/>
      </c>
      <c r="AD2259" t="str">
        <f>IF(AA2259="","",IFERROR(1*'Procyfloc 956A'!C260,IFERROR(_xludf.NUMBERVALUE('Procyfloc 956A'!C260,".",","),IFERROR(_xludf.NUMBERVALUE('Procyfloc 956A'!C260,",","."),0))))</f>
        <v/>
      </c>
      <c r="AE2259" t="str">
        <f>IF(AA2259="","",'Procyfloc 956A'!L260)</f>
        <v/>
      </c>
      <c r="AF2259">
        <f t="shared" si="227"/>
        <v>0</v>
      </c>
      <c r="AG2259" t="str">
        <f t="shared" si="228"/>
        <v/>
      </c>
      <c r="AH2259" t="str">
        <f t="shared" si="229"/>
        <v/>
      </c>
      <c r="AI2259">
        <f t="shared" si="230"/>
        <v>0</v>
      </c>
      <c r="AJ2259">
        <f t="shared" si="231"/>
        <v>0</v>
      </c>
      <c r="AK2259">
        <v>0</v>
      </c>
      <c r="AL2259" t="str">
        <f>IF(AA2259="","",IFERROR(IF(ISNUMBER('Procyfloc 956A'!D260),'Procyfloc 956A'!D260,IF(ISNUMBER(SEARCH("12",'Procyfloc 956A'!D260)),EDATE(AB2259,12),IF(ISNUMBER(SEARCH("6",'Procyfloc 956A'!D260)),EDATE(AB2259,6),IF(ISNUMBER(SEARCH("3",'Procyfloc 956A'!D260)),EDATE(AB2259,3),DATEVALUE('Procyfloc 956A'!D260))))),""))</f>
        <v/>
      </c>
      <c r="AM2259" t="str">
        <f t="shared" ca="1" si="232"/>
        <v/>
      </c>
    </row>
    <row r="2260" spans="27:39" x14ac:dyDescent="0.3">
      <c r="AA2260" t="str">
        <f>IF(COUNTA('Procyfloc 956A'!A261,'Procyfloc 956A'!B261,'Procyfloc 956A'!C261)&gt;0,"956A","")</f>
        <v/>
      </c>
      <c r="AB2260" t="str">
        <f>IFERROR(IF(ISNUMBER('Procyfloc 956A'!A261),'Procyfloc 956A'!A261,DATEVALUE('Procyfloc 956A'!A261)),"")</f>
        <v/>
      </c>
      <c r="AC2260" t="str">
        <f>IF(AA2260="","",'Procyfloc 956A'!B261)</f>
        <v/>
      </c>
      <c r="AD2260" t="str">
        <f>IF(AA2260="","",IFERROR(1*'Procyfloc 956A'!C261,IFERROR(_xludf.NUMBERVALUE('Procyfloc 956A'!C261,".",","),IFERROR(_xludf.NUMBERVALUE('Procyfloc 956A'!C261,",","."),0))))</f>
        <v/>
      </c>
      <c r="AE2260" t="str">
        <f>IF(AA2260="","",'Procyfloc 956A'!L261)</f>
        <v/>
      </c>
      <c r="AF2260">
        <f t="shared" si="227"/>
        <v>0</v>
      </c>
      <c r="AG2260" t="str">
        <f t="shared" si="228"/>
        <v/>
      </c>
      <c r="AH2260" t="str">
        <f t="shared" si="229"/>
        <v/>
      </c>
      <c r="AI2260">
        <f t="shared" si="230"/>
        <v>0</v>
      </c>
      <c r="AJ2260">
        <f t="shared" si="231"/>
        <v>0</v>
      </c>
      <c r="AK2260">
        <v>0</v>
      </c>
      <c r="AL2260" t="str">
        <f>IF(AA2260="","",IFERROR(IF(ISNUMBER('Procyfloc 956A'!D261),'Procyfloc 956A'!D261,IF(ISNUMBER(SEARCH("12",'Procyfloc 956A'!D261)),EDATE(AB2260,12),IF(ISNUMBER(SEARCH("6",'Procyfloc 956A'!D261)),EDATE(AB2260,6),IF(ISNUMBER(SEARCH("3",'Procyfloc 956A'!D261)),EDATE(AB2260,3),DATEVALUE('Procyfloc 956A'!D261))))),""))</f>
        <v/>
      </c>
      <c r="AM2260" t="str">
        <f t="shared" ca="1" si="232"/>
        <v/>
      </c>
    </row>
    <row r="2261" spans="27:39" x14ac:dyDescent="0.3">
      <c r="AA2261" t="str">
        <f>IF(COUNTA('Procyfloc 956A'!A262,'Procyfloc 956A'!B262,'Procyfloc 956A'!C262)&gt;0,"956A","")</f>
        <v/>
      </c>
      <c r="AB2261" t="str">
        <f>IFERROR(IF(ISNUMBER('Procyfloc 956A'!A262),'Procyfloc 956A'!A262,DATEVALUE('Procyfloc 956A'!A262)),"")</f>
        <v/>
      </c>
      <c r="AC2261" t="str">
        <f>IF(AA2261="","",'Procyfloc 956A'!B262)</f>
        <v/>
      </c>
      <c r="AD2261" t="str">
        <f>IF(AA2261="","",IFERROR(1*'Procyfloc 956A'!C262,IFERROR(_xludf.NUMBERVALUE('Procyfloc 956A'!C262,".",","),IFERROR(_xludf.NUMBERVALUE('Procyfloc 956A'!C262,",","."),0))))</f>
        <v/>
      </c>
      <c r="AE2261" t="str">
        <f>IF(AA2261="","",'Procyfloc 956A'!L262)</f>
        <v/>
      </c>
      <c r="AF2261">
        <f t="shared" si="227"/>
        <v>0</v>
      </c>
      <c r="AG2261" t="str">
        <f t="shared" si="228"/>
        <v/>
      </c>
      <c r="AH2261" t="str">
        <f t="shared" si="229"/>
        <v/>
      </c>
      <c r="AI2261">
        <f t="shared" si="230"/>
        <v>0</v>
      </c>
      <c r="AJ2261">
        <f t="shared" si="231"/>
        <v>0</v>
      </c>
      <c r="AK2261">
        <v>0</v>
      </c>
      <c r="AL2261" t="str">
        <f>IF(AA2261="","",IFERROR(IF(ISNUMBER('Procyfloc 956A'!D262),'Procyfloc 956A'!D262,IF(ISNUMBER(SEARCH("12",'Procyfloc 956A'!D262)),EDATE(AB2261,12),IF(ISNUMBER(SEARCH("6",'Procyfloc 956A'!D262)),EDATE(AB2261,6),IF(ISNUMBER(SEARCH("3",'Procyfloc 956A'!D262)),EDATE(AB2261,3),DATEVALUE('Procyfloc 956A'!D262))))),""))</f>
        <v/>
      </c>
      <c r="AM2261" t="str">
        <f t="shared" ca="1" si="232"/>
        <v/>
      </c>
    </row>
    <row r="2262" spans="27:39" x14ac:dyDescent="0.3">
      <c r="AA2262" t="str">
        <f>IF(COUNTA('Procyfloc 956A'!A263,'Procyfloc 956A'!B263,'Procyfloc 956A'!C263)&gt;0,"956A","")</f>
        <v/>
      </c>
      <c r="AB2262" t="str">
        <f>IFERROR(IF(ISNUMBER('Procyfloc 956A'!A263),'Procyfloc 956A'!A263,DATEVALUE('Procyfloc 956A'!A263)),"")</f>
        <v/>
      </c>
      <c r="AC2262" t="str">
        <f>IF(AA2262="","",'Procyfloc 956A'!B263)</f>
        <v/>
      </c>
      <c r="AD2262" t="str">
        <f>IF(AA2262="","",IFERROR(1*'Procyfloc 956A'!C263,IFERROR(_xludf.NUMBERVALUE('Procyfloc 956A'!C263,".",","),IFERROR(_xludf.NUMBERVALUE('Procyfloc 956A'!C263,",","."),0))))</f>
        <v/>
      </c>
      <c r="AE2262" t="str">
        <f>IF(AA2262="","",'Procyfloc 956A'!L263)</f>
        <v/>
      </c>
      <c r="AF2262">
        <f t="shared" si="227"/>
        <v>0</v>
      </c>
      <c r="AG2262" t="str">
        <f t="shared" si="228"/>
        <v/>
      </c>
      <c r="AH2262" t="str">
        <f t="shared" si="229"/>
        <v/>
      </c>
      <c r="AI2262">
        <f t="shared" si="230"/>
        <v>0</v>
      </c>
      <c r="AJ2262">
        <f t="shared" si="231"/>
        <v>0</v>
      </c>
      <c r="AK2262">
        <v>0</v>
      </c>
      <c r="AL2262" t="str">
        <f>IF(AA2262="","",IFERROR(IF(ISNUMBER('Procyfloc 956A'!D263),'Procyfloc 956A'!D263,IF(ISNUMBER(SEARCH("12",'Procyfloc 956A'!D263)),EDATE(AB2262,12),IF(ISNUMBER(SEARCH("6",'Procyfloc 956A'!D263)),EDATE(AB2262,6),IF(ISNUMBER(SEARCH("3",'Procyfloc 956A'!D263)),EDATE(AB2262,3),DATEVALUE('Procyfloc 956A'!D263))))),""))</f>
        <v/>
      </c>
      <c r="AM2262" t="str">
        <f t="shared" ca="1" si="232"/>
        <v/>
      </c>
    </row>
    <row r="2263" spans="27:39" x14ac:dyDescent="0.3">
      <c r="AA2263" t="str">
        <f>IF(COUNTA('Procyfloc 956A'!A264,'Procyfloc 956A'!B264,'Procyfloc 956A'!C264)&gt;0,"956A","")</f>
        <v/>
      </c>
      <c r="AB2263" t="str">
        <f>IFERROR(IF(ISNUMBER('Procyfloc 956A'!A264),'Procyfloc 956A'!A264,DATEVALUE('Procyfloc 956A'!A264)),"")</f>
        <v/>
      </c>
      <c r="AC2263" t="str">
        <f>IF(AA2263="","",'Procyfloc 956A'!B264)</f>
        <v/>
      </c>
      <c r="AD2263" t="str">
        <f>IF(AA2263="","",IFERROR(1*'Procyfloc 956A'!C264,IFERROR(_xludf.NUMBERVALUE('Procyfloc 956A'!C264,".",","),IFERROR(_xludf.NUMBERVALUE('Procyfloc 956A'!C264,",","."),0))))</f>
        <v/>
      </c>
      <c r="AE2263" t="str">
        <f>IF(AA2263="","",'Procyfloc 956A'!L264)</f>
        <v/>
      </c>
      <c r="AF2263">
        <f t="shared" si="227"/>
        <v>0</v>
      </c>
      <c r="AG2263" t="str">
        <f t="shared" si="228"/>
        <v/>
      </c>
      <c r="AH2263" t="str">
        <f t="shared" si="229"/>
        <v/>
      </c>
      <c r="AI2263">
        <f t="shared" si="230"/>
        <v>0</v>
      </c>
      <c r="AJ2263">
        <f t="shared" si="231"/>
        <v>0</v>
      </c>
      <c r="AK2263">
        <v>0</v>
      </c>
      <c r="AL2263" t="str">
        <f>IF(AA2263="","",IFERROR(IF(ISNUMBER('Procyfloc 956A'!D264),'Procyfloc 956A'!D264,IF(ISNUMBER(SEARCH("12",'Procyfloc 956A'!D264)),EDATE(AB2263,12),IF(ISNUMBER(SEARCH("6",'Procyfloc 956A'!D264)),EDATE(AB2263,6),IF(ISNUMBER(SEARCH("3",'Procyfloc 956A'!D264)),EDATE(AB2263,3),DATEVALUE('Procyfloc 956A'!D264))))),""))</f>
        <v/>
      </c>
      <c r="AM2263" t="str">
        <f t="shared" ca="1" si="232"/>
        <v/>
      </c>
    </row>
    <row r="2264" spans="27:39" x14ac:dyDescent="0.3">
      <c r="AA2264" t="str">
        <f>IF(COUNTA('Procyfloc 956A'!A265,'Procyfloc 956A'!B265,'Procyfloc 956A'!C265)&gt;0,"956A","")</f>
        <v/>
      </c>
      <c r="AB2264" t="str">
        <f>IFERROR(IF(ISNUMBER('Procyfloc 956A'!A265),'Procyfloc 956A'!A265,DATEVALUE('Procyfloc 956A'!A265)),"")</f>
        <v/>
      </c>
      <c r="AC2264" t="str">
        <f>IF(AA2264="","",'Procyfloc 956A'!B265)</f>
        <v/>
      </c>
      <c r="AD2264" t="str">
        <f>IF(AA2264="","",IFERROR(1*'Procyfloc 956A'!C265,IFERROR(_xludf.NUMBERVALUE('Procyfloc 956A'!C265,".",","),IFERROR(_xludf.NUMBERVALUE('Procyfloc 956A'!C265,",","."),0))))</f>
        <v/>
      </c>
      <c r="AE2264" t="str">
        <f>IF(AA2264="","",'Procyfloc 956A'!L265)</f>
        <v/>
      </c>
      <c r="AF2264">
        <f t="shared" si="227"/>
        <v>0</v>
      </c>
      <c r="AG2264" t="str">
        <f t="shared" si="228"/>
        <v/>
      </c>
      <c r="AH2264" t="str">
        <f t="shared" si="229"/>
        <v/>
      </c>
      <c r="AI2264">
        <f t="shared" si="230"/>
        <v>0</v>
      </c>
      <c r="AJ2264">
        <f t="shared" si="231"/>
        <v>0</v>
      </c>
      <c r="AK2264">
        <v>0</v>
      </c>
      <c r="AL2264" t="str">
        <f>IF(AA2264="","",IFERROR(IF(ISNUMBER('Procyfloc 956A'!D265),'Procyfloc 956A'!D265,IF(ISNUMBER(SEARCH("12",'Procyfloc 956A'!D265)),EDATE(AB2264,12),IF(ISNUMBER(SEARCH("6",'Procyfloc 956A'!D265)),EDATE(AB2264,6),IF(ISNUMBER(SEARCH("3",'Procyfloc 956A'!D265)),EDATE(AB2264,3),DATEVALUE('Procyfloc 956A'!D265))))),""))</f>
        <v/>
      </c>
      <c r="AM2264" t="str">
        <f t="shared" ca="1" si="232"/>
        <v/>
      </c>
    </row>
    <row r="2265" spans="27:39" x14ac:dyDescent="0.3">
      <c r="AA2265" t="str">
        <f>IF(COUNTA('Procyfloc 956A'!A266,'Procyfloc 956A'!B266,'Procyfloc 956A'!C266)&gt;0,"956A","")</f>
        <v/>
      </c>
      <c r="AB2265" t="str">
        <f>IFERROR(IF(ISNUMBER('Procyfloc 956A'!A266),'Procyfloc 956A'!A266,DATEVALUE('Procyfloc 956A'!A266)),"")</f>
        <v/>
      </c>
      <c r="AC2265" t="str">
        <f>IF(AA2265="","",'Procyfloc 956A'!B266)</f>
        <v/>
      </c>
      <c r="AD2265" t="str">
        <f>IF(AA2265="","",IFERROR(1*'Procyfloc 956A'!C266,IFERROR(_xludf.NUMBERVALUE('Procyfloc 956A'!C266,".",","),IFERROR(_xludf.NUMBERVALUE('Procyfloc 956A'!C266,",","."),0))))</f>
        <v/>
      </c>
      <c r="AE2265" t="str">
        <f>IF(AA2265="","",'Procyfloc 956A'!L266)</f>
        <v/>
      </c>
      <c r="AF2265">
        <f t="shared" si="227"/>
        <v>0</v>
      </c>
      <c r="AG2265" t="str">
        <f t="shared" si="228"/>
        <v/>
      </c>
      <c r="AH2265" t="str">
        <f t="shared" si="229"/>
        <v/>
      </c>
      <c r="AI2265">
        <f t="shared" si="230"/>
        <v>0</v>
      </c>
      <c r="AJ2265">
        <f t="shared" si="231"/>
        <v>0</v>
      </c>
      <c r="AK2265">
        <v>0</v>
      </c>
      <c r="AL2265" t="str">
        <f>IF(AA2265="","",IFERROR(IF(ISNUMBER('Procyfloc 956A'!D266),'Procyfloc 956A'!D266,IF(ISNUMBER(SEARCH("12",'Procyfloc 956A'!D266)),EDATE(AB2265,12),IF(ISNUMBER(SEARCH("6",'Procyfloc 956A'!D266)),EDATE(AB2265,6),IF(ISNUMBER(SEARCH("3",'Procyfloc 956A'!D266)),EDATE(AB2265,3),DATEVALUE('Procyfloc 956A'!D266))))),""))</f>
        <v/>
      </c>
      <c r="AM2265" t="str">
        <f t="shared" ca="1" si="232"/>
        <v/>
      </c>
    </row>
    <row r="2266" spans="27:39" x14ac:dyDescent="0.3">
      <c r="AA2266" t="str">
        <f>IF(COUNTA('Procyfloc 956A'!A267,'Procyfloc 956A'!B267,'Procyfloc 956A'!C267)&gt;0,"956A","")</f>
        <v/>
      </c>
      <c r="AB2266" t="str">
        <f>IFERROR(IF(ISNUMBER('Procyfloc 956A'!A267),'Procyfloc 956A'!A267,DATEVALUE('Procyfloc 956A'!A267)),"")</f>
        <v/>
      </c>
      <c r="AC2266" t="str">
        <f>IF(AA2266="","",'Procyfloc 956A'!B267)</f>
        <v/>
      </c>
      <c r="AD2266" t="str">
        <f>IF(AA2266="","",IFERROR(1*'Procyfloc 956A'!C267,IFERROR(_xludf.NUMBERVALUE('Procyfloc 956A'!C267,".",","),IFERROR(_xludf.NUMBERVALUE('Procyfloc 956A'!C267,",","."),0))))</f>
        <v/>
      </c>
      <c r="AE2266" t="str">
        <f>IF(AA2266="","",'Procyfloc 956A'!L267)</f>
        <v/>
      </c>
      <c r="AF2266">
        <f t="shared" si="227"/>
        <v>0</v>
      </c>
      <c r="AG2266" t="str">
        <f t="shared" si="228"/>
        <v/>
      </c>
      <c r="AH2266" t="str">
        <f t="shared" si="229"/>
        <v/>
      </c>
      <c r="AI2266">
        <f t="shared" si="230"/>
        <v>0</v>
      </c>
      <c r="AJ2266">
        <f t="shared" si="231"/>
        <v>0</v>
      </c>
      <c r="AK2266">
        <v>0</v>
      </c>
      <c r="AL2266" t="str">
        <f>IF(AA2266="","",IFERROR(IF(ISNUMBER('Procyfloc 956A'!D267),'Procyfloc 956A'!D267,IF(ISNUMBER(SEARCH("12",'Procyfloc 956A'!D267)),EDATE(AB2266,12),IF(ISNUMBER(SEARCH("6",'Procyfloc 956A'!D267)),EDATE(AB2266,6),IF(ISNUMBER(SEARCH("3",'Procyfloc 956A'!D267)),EDATE(AB2266,3),DATEVALUE('Procyfloc 956A'!D267))))),""))</f>
        <v/>
      </c>
      <c r="AM2266" t="str">
        <f t="shared" ca="1" si="232"/>
        <v/>
      </c>
    </row>
    <row r="2267" spans="27:39" x14ac:dyDescent="0.3">
      <c r="AA2267" t="str">
        <f>IF(COUNTA('Procyfloc 956A'!A268,'Procyfloc 956A'!B268,'Procyfloc 956A'!C268)&gt;0,"956A","")</f>
        <v/>
      </c>
      <c r="AB2267" t="str">
        <f>IFERROR(IF(ISNUMBER('Procyfloc 956A'!A268),'Procyfloc 956A'!A268,DATEVALUE('Procyfloc 956A'!A268)),"")</f>
        <v/>
      </c>
      <c r="AC2267" t="str">
        <f>IF(AA2267="","",'Procyfloc 956A'!B268)</f>
        <v/>
      </c>
      <c r="AD2267" t="str">
        <f>IF(AA2267="","",IFERROR(1*'Procyfloc 956A'!C268,IFERROR(_xludf.NUMBERVALUE('Procyfloc 956A'!C268,".",","),IFERROR(_xludf.NUMBERVALUE('Procyfloc 956A'!C268,",","."),0))))</f>
        <v/>
      </c>
      <c r="AE2267" t="str">
        <f>IF(AA2267="","",'Procyfloc 956A'!L268)</f>
        <v/>
      </c>
      <c r="AF2267">
        <f t="shared" si="227"/>
        <v>0</v>
      </c>
      <c r="AG2267" t="str">
        <f t="shared" si="228"/>
        <v/>
      </c>
      <c r="AH2267" t="str">
        <f t="shared" si="229"/>
        <v/>
      </c>
      <c r="AI2267">
        <f t="shared" si="230"/>
        <v>0</v>
      </c>
      <c r="AJ2267">
        <f t="shared" si="231"/>
        <v>0</v>
      </c>
      <c r="AK2267">
        <v>0</v>
      </c>
      <c r="AL2267" t="str">
        <f>IF(AA2267="","",IFERROR(IF(ISNUMBER('Procyfloc 956A'!D268),'Procyfloc 956A'!D268,IF(ISNUMBER(SEARCH("12",'Procyfloc 956A'!D268)),EDATE(AB2267,12),IF(ISNUMBER(SEARCH("6",'Procyfloc 956A'!D268)),EDATE(AB2267,6),IF(ISNUMBER(SEARCH("3",'Procyfloc 956A'!D268)),EDATE(AB2267,3),DATEVALUE('Procyfloc 956A'!D268))))),""))</f>
        <v/>
      </c>
      <c r="AM2267" t="str">
        <f t="shared" ca="1" si="232"/>
        <v/>
      </c>
    </row>
    <row r="2268" spans="27:39" x14ac:dyDescent="0.3">
      <c r="AA2268" t="str">
        <f>IF(COUNTA('Procyfloc 956A'!A269,'Procyfloc 956A'!B269,'Procyfloc 956A'!C269)&gt;0,"956A","")</f>
        <v/>
      </c>
      <c r="AB2268" t="str">
        <f>IFERROR(IF(ISNUMBER('Procyfloc 956A'!A269),'Procyfloc 956A'!A269,DATEVALUE('Procyfloc 956A'!A269)),"")</f>
        <v/>
      </c>
      <c r="AC2268" t="str">
        <f>IF(AA2268="","",'Procyfloc 956A'!B269)</f>
        <v/>
      </c>
      <c r="AD2268" t="str">
        <f>IF(AA2268="","",IFERROR(1*'Procyfloc 956A'!C269,IFERROR(_xludf.NUMBERVALUE('Procyfloc 956A'!C269,".",","),IFERROR(_xludf.NUMBERVALUE('Procyfloc 956A'!C269,",","."),0))))</f>
        <v/>
      </c>
      <c r="AE2268" t="str">
        <f>IF(AA2268="","",'Procyfloc 956A'!L269)</f>
        <v/>
      </c>
      <c r="AF2268">
        <f t="shared" si="227"/>
        <v>0</v>
      </c>
      <c r="AG2268" t="str">
        <f t="shared" si="228"/>
        <v/>
      </c>
      <c r="AH2268" t="str">
        <f t="shared" si="229"/>
        <v/>
      </c>
      <c r="AI2268">
        <f t="shared" si="230"/>
        <v>0</v>
      </c>
      <c r="AJ2268">
        <f t="shared" si="231"/>
        <v>0</v>
      </c>
      <c r="AK2268">
        <v>0</v>
      </c>
      <c r="AL2268" t="str">
        <f>IF(AA2268="","",IFERROR(IF(ISNUMBER('Procyfloc 956A'!D269),'Procyfloc 956A'!D269,IF(ISNUMBER(SEARCH("12",'Procyfloc 956A'!D269)),EDATE(AB2268,12),IF(ISNUMBER(SEARCH("6",'Procyfloc 956A'!D269)),EDATE(AB2268,6),IF(ISNUMBER(SEARCH("3",'Procyfloc 956A'!D269)),EDATE(AB2268,3),DATEVALUE('Procyfloc 956A'!D269))))),""))</f>
        <v/>
      </c>
      <c r="AM2268" t="str">
        <f t="shared" ca="1" si="232"/>
        <v/>
      </c>
    </row>
    <row r="2269" spans="27:39" x14ac:dyDescent="0.3">
      <c r="AA2269" t="str">
        <f>IF(COUNTA('Procyfloc 956A'!A270,'Procyfloc 956A'!B270,'Procyfloc 956A'!C270)&gt;0,"956A","")</f>
        <v/>
      </c>
      <c r="AB2269" t="str">
        <f>IFERROR(IF(ISNUMBER('Procyfloc 956A'!A270),'Procyfloc 956A'!A270,DATEVALUE('Procyfloc 956A'!A270)),"")</f>
        <v/>
      </c>
      <c r="AC2269" t="str">
        <f>IF(AA2269="","",'Procyfloc 956A'!B270)</f>
        <v/>
      </c>
      <c r="AD2269" t="str">
        <f>IF(AA2269="","",IFERROR(1*'Procyfloc 956A'!C270,IFERROR(_xludf.NUMBERVALUE('Procyfloc 956A'!C270,".",","),IFERROR(_xludf.NUMBERVALUE('Procyfloc 956A'!C270,",","."),0))))</f>
        <v/>
      </c>
      <c r="AE2269" t="str">
        <f>IF(AA2269="","",'Procyfloc 956A'!L270)</f>
        <v/>
      </c>
      <c r="AF2269">
        <f t="shared" si="227"/>
        <v>0</v>
      </c>
      <c r="AG2269" t="str">
        <f t="shared" si="228"/>
        <v/>
      </c>
      <c r="AH2269" t="str">
        <f t="shared" si="229"/>
        <v/>
      </c>
      <c r="AI2269">
        <f t="shared" si="230"/>
        <v>0</v>
      </c>
      <c r="AJ2269">
        <f t="shared" si="231"/>
        <v>0</v>
      </c>
      <c r="AK2269">
        <v>0</v>
      </c>
      <c r="AL2269" t="str">
        <f>IF(AA2269="","",IFERROR(IF(ISNUMBER('Procyfloc 956A'!D270),'Procyfloc 956A'!D270,IF(ISNUMBER(SEARCH("12",'Procyfloc 956A'!D270)),EDATE(AB2269,12),IF(ISNUMBER(SEARCH("6",'Procyfloc 956A'!D270)),EDATE(AB2269,6),IF(ISNUMBER(SEARCH("3",'Procyfloc 956A'!D270)),EDATE(AB2269,3),DATEVALUE('Procyfloc 956A'!D270))))),""))</f>
        <v/>
      </c>
      <c r="AM2269" t="str">
        <f t="shared" ca="1" si="232"/>
        <v/>
      </c>
    </row>
    <row r="2270" spans="27:39" x14ac:dyDescent="0.3">
      <c r="AA2270" t="str">
        <f>IF(COUNTA('Procyfloc 956A'!A271,'Procyfloc 956A'!B271,'Procyfloc 956A'!C271)&gt;0,"956A","")</f>
        <v/>
      </c>
      <c r="AB2270" t="str">
        <f>IFERROR(IF(ISNUMBER('Procyfloc 956A'!A271),'Procyfloc 956A'!A271,DATEVALUE('Procyfloc 956A'!A271)),"")</f>
        <v/>
      </c>
      <c r="AC2270" t="str">
        <f>IF(AA2270="","",'Procyfloc 956A'!B271)</f>
        <v/>
      </c>
      <c r="AD2270" t="str">
        <f>IF(AA2270="","",IFERROR(1*'Procyfloc 956A'!C271,IFERROR(_xludf.NUMBERVALUE('Procyfloc 956A'!C271,".",","),IFERROR(_xludf.NUMBERVALUE('Procyfloc 956A'!C271,",","."),0))))</f>
        <v/>
      </c>
      <c r="AE2270" t="str">
        <f>IF(AA2270="","",'Procyfloc 956A'!L271)</f>
        <v/>
      </c>
      <c r="AF2270">
        <f t="shared" si="227"/>
        <v>0</v>
      </c>
      <c r="AG2270" t="str">
        <f t="shared" si="228"/>
        <v/>
      </c>
      <c r="AH2270" t="str">
        <f t="shared" si="229"/>
        <v/>
      </c>
      <c r="AI2270">
        <f t="shared" si="230"/>
        <v>0</v>
      </c>
      <c r="AJ2270">
        <f t="shared" si="231"/>
        <v>0</v>
      </c>
      <c r="AK2270">
        <v>0</v>
      </c>
      <c r="AL2270" t="str">
        <f>IF(AA2270="","",IFERROR(IF(ISNUMBER('Procyfloc 956A'!D271),'Procyfloc 956A'!D271,IF(ISNUMBER(SEARCH("12",'Procyfloc 956A'!D271)),EDATE(AB2270,12),IF(ISNUMBER(SEARCH("6",'Procyfloc 956A'!D271)),EDATE(AB2270,6),IF(ISNUMBER(SEARCH("3",'Procyfloc 956A'!D271)),EDATE(AB2270,3),DATEVALUE('Procyfloc 956A'!D271))))),""))</f>
        <v/>
      </c>
      <c r="AM2270" t="str">
        <f t="shared" ca="1" si="232"/>
        <v/>
      </c>
    </row>
    <row r="2271" spans="27:39" x14ac:dyDescent="0.3">
      <c r="AA2271" t="str">
        <f>IF(COUNTA('Procyfloc 956A'!A272,'Procyfloc 956A'!B272,'Procyfloc 956A'!C272)&gt;0,"956A","")</f>
        <v/>
      </c>
      <c r="AB2271" t="str">
        <f>IFERROR(IF(ISNUMBER('Procyfloc 956A'!A272),'Procyfloc 956A'!A272,DATEVALUE('Procyfloc 956A'!A272)),"")</f>
        <v/>
      </c>
      <c r="AC2271" t="str">
        <f>IF(AA2271="","",'Procyfloc 956A'!B272)</f>
        <v/>
      </c>
      <c r="AD2271" t="str">
        <f>IF(AA2271="","",IFERROR(1*'Procyfloc 956A'!C272,IFERROR(_xludf.NUMBERVALUE('Procyfloc 956A'!C272,".",","),IFERROR(_xludf.NUMBERVALUE('Procyfloc 956A'!C272,",","."),0))))</f>
        <v/>
      </c>
      <c r="AE2271" t="str">
        <f>IF(AA2271="","",'Procyfloc 956A'!L272)</f>
        <v/>
      </c>
      <c r="AF2271">
        <f t="shared" si="227"/>
        <v>0</v>
      </c>
      <c r="AG2271" t="str">
        <f t="shared" si="228"/>
        <v/>
      </c>
      <c r="AH2271" t="str">
        <f t="shared" si="229"/>
        <v/>
      </c>
      <c r="AI2271">
        <f t="shared" si="230"/>
        <v>0</v>
      </c>
      <c r="AJ2271">
        <f t="shared" si="231"/>
        <v>0</v>
      </c>
      <c r="AK2271">
        <v>0</v>
      </c>
      <c r="AL2271" t="str">
        <f>IF(AA2271="","",IFERROR(IF(ISNUMBER('Procyfloc 956A'!D272),'Procyfloc 956A'!D272,IF(ISNUMBER(SEARCH("12",'Procyfloc 956A'!D272)),EDATE(AB2271,12),IF(ISNUMBER(SEARCH("6",'Procyfloc 956A'!D272)),EDATE(AB2271,6),IF(ISNUMBER(SEARCH("3",'Procyfloc 956A'!D272)),EDATE(AB2271,3),DATEVALUE('Procyfloc 956A'!D272))))),""))</f>
        <v/>
      </c>
      <c r="AM2271" t="str">
        <f t="shared" ca="1" si="232"/>
        <v/>
      </c>
    </row>
    <row r="2272" spans="27:39" x14ac:dyDescent="0.3">
      <c r="AA2272" t="str">
        <f>IF(COUNTA('Procyfloc 956A'!A273,'Procyfloc 956A'!B273,'Procyfloc 956A'!C273)&gt;0,"956A","")</f>
        <v/>
      </c>
      <c r="AB2272" t="str">
        <f>IFERROR(IF(ISNUMBER('Procyfloc 956A'!A273),'Procyfloc 956A'!A273,DATEVALUE('Procyfloc 956A'!A273)),"")</f>
        <v/>
      </c>
      <c r="AC2272" t="str">
        <f>IF(AA2272="","",'Procyfloc 956A'!B273)</f>
        <v/>
      </c>
      <c r="AD2272" t="str">
        <f>IF(AA2272="","",IFERROR(1*'Procyfloc 956A'!C273,IFERROR(_xludf.NUMBERVALUE('Procyfloc 956A'!C273,".",","),IFERROR(_xludf.NUMBERVALUE('Procyfloc 956A'!C273,",","."),0))))</f>
        <v/>
      </c>
      <c r="AE2272" t="str">
        <f>IF(AA2272="","",'Procyfloc 956A'!L273)</f>
        <v/>
      </c>
      <c r="AF2272">
        <f t="shared" si="227"/>
        <v>0</v>
      </c>
      <c r="AG2272" t="str">
        <f t="shared" si="228"/>
        <v/>
      </c>
      <c r="AH2272" t="str">
        <f t="shared" si="229"/>
        <v/>
      </c>
      <c r="AI2272">
        <f t="shared" si="230"/>
        <v>0</v>
      </c>
      <c r="AJ2272">
        <f t="shared" si="231"/>
        <v>0</v>
      </c>
      <c r="AK2272">
        <v>0</v>
      </c>
      <c r="AL2272" t="str">
        <f>IF(AA2272="","",IFERROR(IF(ISNUMBER('Procyfloc 956A'!D273),'Procyfloc 956A'!D273,IF(ISNUMBER(SEARCH("12",'Procyfloc 956A'!D273)),EDATE(AB2272,12),IF(ISNUMBER(SEARCH("6",'Procyfloc 956A'!D273)),EDATE(AB2272,6),IF(ISNUMBER(SEARCH("3",'Procyfloc 956A'!D273)),EDATE(AB2272,3),DATEVALUE('Procyfloc 956A'!D273))))),""))</f>
        <v/>
      </c>
      <c r="AM2272" t="str">
        <f t="shared" ca="1" si="232"/>
        <v/>
      </c>
    </row>
    <row r="2273" spans="27:39" x14ac:dyDescent="0.3">
      <c r="AA2273" t="str">
        <f>IF(COUNTA('Procyfloc 956A'!A274,'Procyfloc 956A'!B274,'Procyfloc 956A'!C274)&gt;0,"956A","")</f>
        <v/>
      </c>
      <c r="AB2273" t="str">
        <f>IFERROR(IF(ISNUMBER('Procyfloc 956A'!A274),'Procyfloc 956A'!A274,DATEVALUE('Procyfloc 956A'!A274)),"")</f>
        <v/>
      </c>
      <c r="AC2273" t="str">
        <f>IF(AA2273="","",'Procyfloc 956A'!B274)</f>
        <v/>
      </c>
      <c r="AD2273" t="str">
        <f>IF(AA2273="","",IFERROR(1*'Procyfloc 956A'!C274,IFERROR(_xludf.NUMBERVALUE('Procyfloc 956A'!C274,".",","),IFERROR(_xludf.NUMBERVALUE('Procyfloc 956A'!C274,",","."),0))))</f>
        <v/>
      </c>
      <c r="AE2273" t="str">
        <f>IF(AA2273="","",'Procyfloc 956A'!L274)</f>
        <v/>
      </c>
      <c r="AF2273">
        <f t="shared" si="227"/>
        <v>0</v>
      </c>
      <c r="AG2273" t="str">
        <f t="shared" si="228"/>
        <v/>
      </c>
      <c r="AH2273" t="str">
        <f t="shared" si="229"/>
        <v/>
      </c>
      <c r="AI2273">
        <f t="shared" si="230"/>
        <v>0</v>
      </c>
      <c r="AJ2273">
        <f t="shared" si="231"/>
        <v>0</v>
      </c>
      <c r="AK2273">
        <v>0</v>
      </c>
      <c r="AL2273" t="str">
        <f>IF(AA2273="","",IFERROR(IF(ISNUMBER('Procyfloc 956A'!D274),'Procyfloc 956A'!D274,IF(ISNUMBER(SEARCH("12",'Procyfloc 956A'!D274)),EDATE(AB2273,12),IF(ISNUMBER(SEARCH("6",'Procyfloc 956A'!D274)),EDATE(AB2273,6),IF(ISNUMBER(SEARCH("3",'Procyfloc 956A'!D274)),EDATE(AB2273,3),DATEVALUE('Procyfloc 956A'!D274))))),""))</f>
        <v/>
      </c>
      <c r="AM2273" t="str">
        <f t="shared" ca="1" si="232"/>
        <v/>
      </c>
    </row>
    <row r="2274" spans="27:39" x14ac:dyDescent="0.3">
      <c r="AA2274" t="str">
        <f>IF(COUNTA('Procyfloc 956A'!A275,'Procyfloc 956A'!B275,'Procyfloc 956A'!C275)&gt;0,"956A","")</f>
        <v/>
      </c>
      <c r="AB2274" t="str">
        <f>IFERROR(IF(ISNUMBER('Procyfloc 956A'!A275),'Procyfloc 956A'!A275,DATEVALUE('Procyfloc 956A'!A275)),"")</f>
        <v/>
      </c>
      <c r="AC2274" t="str">
        <f>IF(AA2274="","",'Procyfloc 956A'!B275)</f>
        <v/>
      </c>
      <c r="AD2274" t="str">
        <f>IF(AA2274="","",IFERROR(1*'Procyfloc 956A'!C275,IFERROR(_xludf.NUMBERVALUE('Procyfloc 956A'!C275,".",","),IFERROR(_xludf.NUMBERVALUE('Procyfloc 956A'!C275,",","."),0))))</f>
        <v/>
      </c>
      <c r="AE2274" t="str">
        <f>IF(AA2274="","",'Procyfloc 956A'!L275)</f>
        <v/>
      </c>
      <c r="AF2274">
        <f t="shared" si="227"/>
        <v>0</v>
      </c>
      <c r="AG2274" t="str">
        <f t="shared" si="228"/>
        <v/>
      </c>
      <c r="AH2274" t="str">
        <f t="shared" si="229"/>
        <v/>
      </c>
      <c r="AI2274">
        <f t="shared" si="230"/>
        <v>0</v>
      </c>
      <c r="AJ2274">
        <f t="shared" si="231"/>
        <v>0</v>
      </c>
      <c r="AK2274">
        <v>0</v>
      </c>
      <c r="AL2274" t="str">
        <f>IF(AA2274="","",IFERROR(IF(ISNUMBER('Procyfloc 956A'!D275),'Procyfloc 956A'!D275,IF(ISNUMBER(SEARCH("12",'Procyfloc 956A'!D275)),EDATE(AB2274,12),IF(ISNUMBER(SEARCH("6",'Procyfloc 956A'!D275)),EDATE(AB2274,6),IF(ISNUMBER(SEARCH("3",'Procyfloc 956A'!D275)),EDATE(AB2274,3),DATEVALUE('Procyfloc 956A'!D275))))),""))</f>
        <v/>
      </c>
      <c r="AM2274" t="str">
        <f t="shared" ca="1" si="232"/>
        <v/>
      </c>
    </row>
    <row r="2275" spans="27:39" x14ac:dyDescent="0.3">
      <c r="AA2275" t="str">
        <f>IF(COUNTA('Procyfloc 956A'!A276,'Procyfloc 956A'!B276,'Procyfloc 956A'!C276)&gt;0,"956A","")</f>
        <v/>
      </c>
      <c r="AB2275" t="str">
        <f>IFERROR(IF(ISNUMBER('Procyfloc 956A'!A276),'Procyfloc 956A'!A276,DATEVALUE('Procyfloc 956A'!A276)),"")</f>
        <v/>
      </c>
      <c r="AC2275" t="str">
        <f>IF(AA2275="","",'Procyfloc 956A'!B276)</f>
        <v/>
      </c>
      <c r="AD2275" t="str">
        <f>IF(AA2275="","",IFERROR(1*'Procyfloc 956A'!C276,IFERROR(_xludf.NUMBERVALUE('Procyfloc 956A'!C276,".",","),IFERROR(_xludf.NUMBERVALUE('Procyfloc 956A'!C276,",","."),0))))</f>
        <v/>
      </c>
      <c r="AE2275" t="str">
        <f>IF(AA2275="","",'Procyfloc 956A'!L276)</f>
        <v/>
      </c>
      <c r="AF2275">
        <f t="shared" si="227"/>
        <v>0</v>
      </c>
      <c r="AG2275" t="str">
        <f t="shared" si="228"/>
        <v/>
      </c>
      <c r="AH2275" t="str">
        <f t="shared" si="229"/>
        <v/>
      </c>
      <c r="AI2275">
        <f t="shared" si="230"/>
        <v>0</v>
      </c>
      <c r="AJ2275">
        <f t="shared" si="231"/>
        <v>0</v>
      </c>
      <c r="AK2275">
        <v>0</v>
      </c>
      <c r="AL2275" t="str">
        <f>IF(AA2275="","",IFERROR(IF(ISNUMBER('Procyfloc 956A'!D276),'Procyfloc 956A'!D276,IF(ISNUMBER(SEARCH("12",'Procyfloc 956A'!D276)),EDATE(AB2275,12),IF(ISNUMBER(SEARCH("6",'Procyfloc 956A'!D276)),EDATE(AB2275,6),IF(ISNUMBER(SEARCH("3",'Procyfloc 956A'!D276)),EDATE(AB2275,3),DATEVALUE('Procyfloc 956A'!D276))))),""))</f>
        <v/>
      </c>
      <c r="AM2275" t="str">
        <f t="shared" ca="1" si="232"/>
        <v/>
      </c>
    </row>
    <row r="2276" spans="27:39" x14ac:dyDescent="0.3">
      <c r="AA2276" t="str">
        <f>IF(COUNTA('Procyfloc 956A'!A277,'Procyfloc 956A'!B277,'Procyfloc 956A'!C277)&gt;0,"956A","")</f>
        <v/>
      </c>
      <c r="AB2276" t="str">
        <f>IFERROR(IF(ISNUMBER('Procyfloc 956A'!A277),'Procyfloc 956A'!A277,DATEVALUE('Procyfloc 956A'!A277)),"")</f>
        <v/>
      </c>
      <c r="AC2276" t="str">
        <f>IF(AA2276="","",'Procyfloc 956A'!B277)</f>
        <v/>
      </c>
      <c r="AD2276" t="str">
        <f>IF(AA2276="","",IFERROR(1*'Procyfloc 956A'!C277,IFERROR(_xludf.NUMBERVALUE('Procyfloc 956A'!C277,".",","),IFERROR(_xludf.NUMBERVALUE('Procyfloc 956A'!C277,",","."),0))))</f>
        <v/>
      </c>
      <c r="AE2276" t="str">
        <f>IF(AA2276="","",'Procyfloc 956A'!L277)</f>
        <v/>
      </c>
      <c r="AF2276">
        <f t="shared" si="227"/>
        <v>0</v>
      </c>
      <c r="AG2276" t="str">
        <f t="shared" si="228"/>
        <v/>
      </c>
      <c r="AH2276" t="str">
        <f t="shared" si="229"/>
        <v/>
      </c>
      <c r="AI2276">
        <f t="shared" si="230"/>
        <v>0</v>
      </c>
      <c r="AJ2276">
        <f t="shared" si="231"/>
        <v>0</v>
      </c>
      <c r="AK2276">
        <v>0</v>
      </c>
      <c r="AL2276" t="str">
        <f>IF(AA2276="","",IFERROR(IF(ISNUMBER('Procyfloc 956A'!D277),'Procyfloc 956A'!D277,IF(ISNUMBER(SEARCH("12",'Procyfloc 956A'!D277)),EDATE(AB2276,12),IF(ISNUMBER(SEARCH("6",'Procyfloc 956A'!D277)),EDATE(AB2276,6),IF(ISNUMBER(SEARCH("3",'Procyfloc 956A'!D277)),EDATE(AB2276,3),DATEVALUE('Procyfloc 956A'!D277))))),""))</f>
        <v/>
      </c>
      <c r="AM2276" t="str">
        <f t="shared" ca="1" si="232"/>
        <v/>
      </c>
    </row>
    <row r="2277" spans="27:39" x14ac:dyDescent="0.3">
      <c r="AA2277" t="str">
        <f>IF(COUNTA('Procyfloc 956A'!A278,'Procyfloc 956A'!B278,'Procyfloc 956A'!C278)&gt;0,"956A","")</f>
        <v/>
      </c>
      <c r="AB2277" t="str">
        <f>IFERROR(IF(ISNUMBER('Procyfloc 956A'!A278),'Procyfloc 956A'!A278,DATEVALUE('Procyfloc 956A'!A278)),"")</f>
        <v/>
      </c>
      <c r="AC2277" t="str">
        <f>IF(AA2277="","",'Procyfloc 956A'!B278)</f>
        <v/>
      </c>
      <c r="AD2277" t="str">
        <f>IF(AA2277="","",IFERROR(1*'Procyfloc 956A'!C278,IFERROR(_xludf.NUMBERVALUE('Procyfloc 956A'!C278,".",","),IFERROR(_xludf.NUMBERVALUE('Procyfloc 956A'!C278,",","."),0))))</f>
        <v/>
      </c>
      <c r="AE2277" t="str">
        <f>IF(AA2277="","",'Procyfloc 956A'!L278)</f>
        <v/>
      </c>
      <c r="AF2277">
        <f t="shared" si="227"/>
        <v>0</v>
      </c>
      <c r="AG2277" t="str">
        <f t="shared" si="228"/>
        <v/>
      </c>
      <c r="AH2277" t="str">
        <f t="shared" si="229"/>
        <v/>
      </c>
      <c r="AI2277">
        <f t="shared" si="230"/>
        <v>0</v>
      </c>
      <c r="AJ2277">
        <f t="shared" si="231"/>
        <v>0</v>
      </c>
      <c r="AK2277">
        <v>0</v>
      </c>
      <c r="AL2277" t="str">
        <f>IF(AA2277="","",IFERROR(IF(ISNUMBER('Procyfloc 956A'!D278),'Procyfloc 956A'!D278,IF(ISNUMBER(SEARCH("12",'Procyfloc 956A'!D278)),EDATE(AB2277,12),IF(ISNUMBER(SEARCH("6",'Procyfloc 956A'!D278)),EDATE(AB2277,6),IF(ISNUMBER(SEARCH("3",'Procyfloc 956A'!D278)),EDATE(AB2277,3),DATEVALUE('Procyfloc 956A'!D278))))),""))</f>
        <v/>
      </c>
      <c r="AM2277" t="str">
        <f t="shared" ca="1" si="232"/>
        <v/>
      </c>
    </row>
    <row r="2278" spans="27:39" x14ac:dyDescent="0.3">
      <c r="AA2278" t="str">
        <f>IF(COUNTA('Procyfloc 956A'!A279,'Procyfloc 956A'!B279,'Procyfloc 956A'!C279)&gt;0,"956A","")</f>
        <v/>
      </c>
      <c r="AB2278" t="str">
        <f>IFERROR(IF(ISNUMBER('Procyfloc 956A'!A279),'Procyfloc 956A'!A279,DATEVALUE('Procyfloc 956A'!A279)),"")</f>
        <v/>
      </c>
      <c r="AC2278" t="str">
        <f>IF(AA2278="","",'Procyfloc 956A'!B279)</f>
        <v/>
      </c>
      <c r="AD2278" t="str">
        <f>IF(AA2278="","",IFERROR(1*'Procyfloc 956A'!C279,IFERROR(_xludf.NUMBERVALUE('Procyfloc 956A'!C279,".",","),IFERROR(_xludf.NUMBERVALUE('Procyfloc 956A'!C279,",","."),0))))</f>
        <v/>
      </c>
      <c r="AE2278" t="str">
        <f>IF(AA2278="","",'Procyfloc 956A'!L279)</f>
        <v/>
      </c>
      <c r="AF2278">
        <f t="shared" si="227"/>
        <v>0</v>
      </c>
      <c r="AG2278" t="str">
        <f t="shared" si="228"/>
        <v/>
      </c>
      <c r="AH2278" t="str">
        <f t="shared" si="229"/>
        <v/>
      </c>
      <c r="AI2278">
        <f t="shared" si="230"/>
        <v>0</v>
      </c>
      <c r="AJ2278">
        <f t="shared" si="231"/>
        <v>0</v>
      </c>
      <c r="AK2278">
        <v>0</v>
      </c>
      <c r="AL2278" t="str">
        <f>IF(AA2278="","",IFERROR(IF(ISNUMBER('Procyfloc 956A'!D279),'Procyfloc 956A'!D279,IF(ISNUMBER(SEARCH("12",'Procyfloc 956A'!D279)),EDATE(AB2278,12),IF(ISNUMBER(SEARCH("6",'Procyfloc 956A'!D279)),EDATE(AB2278,6),IF(ISNUMBER(SEARCH("3",'Procyfloc 956A'!D279)),EDATE(AB2278,3),DATEVALUE('Procyfloc 956A'!D279))))),""))</f>
        <v/>
      </c>
      <c r="AM2278" t="str">
        <f t="shared" ca="1" si="232"/>
        <v/>
      </c>
    </row>
    <row r="2279" spans="27:39" x14ac:dyDescent="0.3">
      <c r="AA2279" t="str">
        <f>IF(COUNTA('Procyfloc 956A'!A280,'Procyfloc 956A'!B280,'Procyfloc 956A'!C280)&gt;0,"956A","")</f>
        <v/>
      </c>
      <c r="AB2279" t="str">
        <f>IFERROR(IF(ISNUMBER('Procyfloc 956A'!A280),'Procyfloc 956A'!A280,DATEVALUE('Procyfloc 956A'!A280)),"")</f>
        <v/>
      </c>
      <c r="AC2279" t="str">
        <f>IF(AA2279="","",'Procyfloc 956A'!B280)</f>
        <v/>
      </c>
      <c r="AD2279" t="str">
        <f>IF(AA2279="","",IFERROR(1*'Procyfloc 956A'!C280,IFERROR(_xludf.NUMBERVALUE('Procyfloc 956A'!C280,".",","),IFERROR(_xludf.NUMBERVALUE('Procyfloc 956A'!C280,",","."),0))))</f>
        <v/>
      </c>
      <c r="AE2279" t="str">
        <f>IF(AA2279="","",'Procyfloc 956A'!L280)</f>
        <v/>
      </c>
      <c r="AF2279">
        <f t="shared" si="227"/>
        <v>0</v>
      </c>
      <c r="AG2279" t="str">
        <f t="shared" si="228"/>
        <v/>
      </c>
      <c r="AH2279" t="str">
        <f t="shared" si="229"/>
        <v/>
      </c>
      <c r="AI2279">
        <f t="shared" si="230"/>
        <v>0</v>
      </c>
      <c r="AJ2279">
        <f t="shared" si="231"/>
        <v>0</v>
      </c>
      <c r="AK2279">
        <v>0</v>
      </c>
      <c r="AL2279" t="str">
        <f>IF(AA2279="","",IFERROR(IF(ISNUMBER('Procyfloc 956A'!D280),'Procyfloc 956A'!D280,IF(ISNUMBER(SEARCH("12",'Procyfloc 956A'!D280)),EDATE(AB2279,12),IF(ISNUMBER(SEARCH("6",'Procyfloc 956A'!D280)),EDATE(AB2279,6),IF(ISNUMBER(SEARCH("3",'Procyfloc 956A'!D280)),EDATE(AB2279,3),DATEVALUE('Procyfloc 956A'!D280))))),""))</f>
        <v/>
      </c>
      <c r="AM2279" t="str">
        <f t="shared" ca="1" si="232"/>
        <v/>
      </c>
    </row>
    <row r="2280" spans="27:39" x14ac:dyDescent="0.3">
      <c r="AA2280" t="str">
        <f>IF(COUNTA('Procyfloc 956A'!A281,'Procyfloc 956A'!B281,'Procyfloc 956A'!C281)&gt;0,"956A","")</f>
        <v/>
      </c>
      <c r="AB2280" t="str">
        <f>IFERROR(IF(ISNUMBER('Procyfloc 956A'!A281),'Procyfloc 956A'!A281,DATEVALUE('Procyfloc 956A'!A281)),"")</f>
        <v/>
      </c>
      <c r="AC2280" t="str">
        <f>IF(AA2280="","",'Procyfloc 956A'!B281)</f>
        <v/>
      </c>
      <c r="AD2280" t="str">
        <f>IF(AA2280="","",IFERROR(1*'Procyfloc 956A'!C281,IFERROR(_xludf.NUMBERVALUE('Procyfloc 956A'!C281,".",","),IFERROR(_xludf.NUMBERVALUE('Procyfloc 956A'!C281,",","."),0))))</f>
        <v/>
      </c>
      <c r="AE2280" t="str">
        <f>IF(AA2280="","",'Procyfloc 956A'!L281)</f>
        <v/>
      </c>
      <c r="AF2280">
        <f t="shared" si="227"/>
        <v>0</v>
      </c>
      <c r="AG2280" t="str">
        <f t="shared" si="228"/>
        <v/>
      </c>
      <c r="AH2280" t="str">
        <f t="shared" si="229"/>
        <v/>
      </c>
      <c r="AI2280">
        <f t="shared" si="230"/>
        <v>0</v>
      </c>
      <c r="AJ2280">
        <f t="shared" si="231"/>
        <v>0</v>
      </c>
      <c r="AK2280">
        <v>0</v>
      </c>
      <c r="AL2280" t="str">
        <f>IF(AA2280="","",IFERROR(IF(ISNUMBER('Procyfloc 956A'!D281),'Procyfloc 956A'!D281,IF(ISNUMBER(SEARCH("12",'Procyfloc 956A'!D281)),EDATE(AB2280,12),IF(ISNUMBER(SEARCH("6",'Procyfloc 956A'!D281)),EDATE(AB2280,6),IF(ISNUMBER(SEARCH("3",'Procyfloc 956A'!D281)),EDATE(AB2280,3),DATEVALUE('Procyfloc 956A'!D281))))),""))</f>
        <v/>
      </c>
      <c r="AM2280" t="str">
        <f t="shared" ca="1" si="232"/>
        <v/>
      </c>
    </row>
    <row r="2281" spans="27:39" x14ac:dyDescent="0.3">
      <c r="AA2281" t="str">
        <f>IF(COUNTA('Procyfloc 956A'!A282,'Procyfloc 956A'!B282,'Procyfloc 956A'!C282)&gt;0,"956A","")</f>
        <v/>
      </c>
      <c r="AB2281" t="str">
        <f>IFERROR(IF(ISNUMBER('Procyfloc 956A'!A282),'Procyfloc 956A'!A282,DATEVALUE('Procyfloc 956A'!A282)),"")</f>
        <v/>
      </c>
      <c r="AC2281" t="str">
        <f>IF(AA2281="","",'Procyfloc 956A'!B282)</f>
        <v/>
      </c>
      <c r="AD2281" t="str">
        <f>IF(AA2281="","",IFERROR(1*'Procyfloc 956A'!C282,IFERROR(_xludf.NUMBERVALUE('Procyfloc 956A'!C282,".",","),IFERROR(_xludf.NUMBERVALUE('Procyfloc 956A'!C282,",","."),0))))</f>
        <v/>
      </c>
      <c r="AE2281" t="str">
        <f>IF(AA2281="","",'Procyfloc 956A'!L282)</f>
        <v/>
      </c>
      <c r="AF2281">
        <f t="shared" si="227"/>
        <v>0</v>
      </c>
      <c r="AG2281" t="str">
        <f t="shared" si="228"/>
        <v/>
      </c>
      <c r="AH2281" t="str">
        <f t="shared" si="229"/>
        <v/>
      </c>
      <c r="AI2281">
        <f t="shared" si="230"/>
        <v>0</v>
      </c>
      <c r="AJ2281">
        <f t="shared" si="231"/>
        <v>0</v>
      </c>
      <c r="AK2281">
        <v>0</v>
      </c>
      <c r="AL2281" t="str">
        <f>IF(AA2281="","",IFERROR(IF(ISNUMBER('Procyfloc 956A'!D282),'Procyfloc 956A'!D282,IF(ISNUMBER(SEARCH("12",'Procyfloc 956A'!D282)),EDATE(AB2281,12),IF(ISNUMBER(SEARCH("6",'Procyfloc 956A'!D282)),EDATE(AB2281,6),IF(ISNUMBER(SEARCH("3",'Procyfloc 956A'!D282)),EDATE(AB2281,3),DATEVALUE('Procyfloc 956A'!D282))))),""))</f>
        <v/>
      </c>
      <c r="AM2281" t="str">
        <f t="shared" ca="1" si="232"/>
        <v/>
      </c>
    </row>
    <row r="2282" spans="27:39" x14ac:dyDescent="0.3">
      <c r="AA2282" t="str">
        <f>IF(COUNTA('Procyfloc 956A'!A283,'Procyfloc 956A'!B283,'Procyfloc 956A'!C283)&gt;0,"956A","")</f>
        <v/>
      </c>
      <c r="AB2282" t="str">
        <f>IFERROR(IF(ISNUMBER('Procyfloc 956A'!A283),'Procyfloc 956A'!A283,DATEVALUE('Procyfloc 956A'!A283)),"")</f>
        <v/>
      </c>
      <c r="AC2282" t="str">
        <f>IF(AA2282="","",'Procyfloc 956A'!B283)</f>
        <v/>
      </c>
      <c r="AD2282" t="str">
        <f>IF(AA2282="","",IFERROR(1*'Procyfloc 956A'!C283,IFERROR(_xludf.NUMBERVALUE('Procyfloc 956A'!C283,".",","),IFERROR(_xludf.NUMBERVALUE('Procyfloc 956A'!C283,",","."),0))))</f>
        <v/>
      </c>
      <c r="AE2282" t="str">
        <f>IF(AA2282="","",'Procyfloc 956A'!L283)</f>
        <v/>
      </c>
      <c r="AF2282">
        <f t="shared" si="227"/>
        <v>0</v>
      </c>
      <c r="AG2282" t="str">
        <f t="shared" si="228"/>
        <v/>
      </c>
      <c r="AH2282" t="str">
        <f t="shared" si="229"/>
        <v/>
      </c>
      <c r="AI2282">
        <f t="shared" si="230"/>
        <v>0</v>
      </c>
      <c r="AJ2282">
        <f t="shared" si="231"/>
        <v>0</v>
      </c>
      <c r="AK2282">
        <v>0</v>
      </c>
      <c r="AL2282" t="str">
        <f>IF(AA2282="","",IFERROR(IF(ISNUMBER('Procyfloc 956A'!D283),'Procyfloc 956A'!D283,IF(ISNUMBER(SEARCH("12",'Procyfloc 956A'!D283)),EDATE(AB2282,12),IF(ISNUMBER(SEARCH("6",'Procyfloc 956A'!D283)),EDATE(AB2282,6),IF(ISNUMBER(SEARCH("3",'Procyfloc 956A'!D283)),EDATE(AB2282,3),DATEVALUE('Procyfloc 956A'!D283))))),""))</f>
        <v/>
      </c>
      <c r="AM2282" t="str">
        <f t="shared" ca="1" si="232"/>
        <v/>
      </c>
    </row>
    <row r="2283" spans="27:39" x14ac:dyDescent="0.3">
      <c r="AA2283" t="str">
        <f>IF(COUNTA('Procyfloc 956A'!A284,'Procyfloc 956A'!B284,'Procyfloc 956A'!C284)&gt;0,"956A","")</f>
        <v/>
      </c>
      <c r="AB2283" t="str">
        <f>IFERROR(IF(ISNUMBER('Procyfloc 956A'!A284),'Procyfloc 956A'!A284,DATEVALUE('Procyfloc 956A'!A284)),"")</f>
        <v/>
      </c>
      <c r="AC2283" t="str">
        <f>IF(AA2283="","",'Procyfloc 956A'!B284)</f>
        <v/>
      </c>
      <c r="AD2283" t="str">
        <f>IF(AA2283="","",IFERROR(1*'Procyfloc 956A'!C284,IFERROR(_xludf.NUMBERVALUE('Procyfloc 956A'!C284,".",","),IFERROR(_xludf.NUMBERVALUE('Procyfloc 956A'!C284,",","."),0))))</f>
        <v/>
      </c>
      <c r="AE2283" t="str">
        <f>IF(AA2283="","",'Procyfloc 956A'!L284)</f>
        <v/>
      </c>
      <c r="AF2283">
        <f t="shared" si="227"/>
        <v>0</v>
      </c>
      <c r="AG2283" t="str">
        <f t="shared" si="228"/>
        <v/>
      </c>
      <c r="AH2283" t="str">
        <f t="shared" si="229"/>
        <v/>
      </c>
      <c r="AI2283">
        <f t="shared" si="230"/>
        <v>0</v>
      </c>
      <c r="AJ2283">
        <f t="shared" si="231"/>
        <v>0</v>
      </c>
      <c r="AK2283">
        <v>0</v>
      </c>
      <c r="AL2283" t="str">
        <f>IF(AA2283="","",IFERROR(IF(ISNUMBER('Procyfloc 956A'!D284),'Procyfloc 956A'!D284,IF(ISNUMBER(SEARCH("12",'Procyfloc 956A'!D284)),EDATE(AB2283,12),IF(ISNUMBER(SEARCH("6",'Procyfloc 956A'!D284)),EDATE(AB2283,6),IF(ISNUMBER(SEARCH("3",'Procyfloc 956A'!D284)),EDATE(AB2283,3),DATEVALUE('Procyfloc 956A'!D284))))),""))</f>
        <v/>
      </c>
      <c r="AM2283" t="str">
        <f t="shared" ca="1" si="232"/>
        <v/>
      </c>
    </row>
    <row r="2284" spans="27:39" x14ac:dyDescent="0.3">
      <c r="AA2284" t="str">
        <f>IF(COUNTA('Procyfloc 956A'!A285,'Procyfloc 956A'!B285,'Procyfloc 956A'!C285)&gt;0,"956A","")</f>
        <v/>
      </c>
      <c r="AB2284" t="str">
        <f>IFERROR(IF(ISNUMBER('Procyfloc 956A'!A285),'Procyfloc 956A'!A285,DATEVALUE('Procyfloc 956A'!A285)),"")</f>
        <v/>
      </c>
      <c r="AC2284" t="str">
        <f>IF(AA2284="","",'Procyfloc 956A'!B285)</f>
        <v/>
      </c>
      <c r="AD2284" t="str">
        <f>IF(AA2284="","",IFERROR(1*'Procyfloc 956A'!C285,IFERROR(_xludf.NUMBERVALUE('Procyfloc 956A'!C285,".",","),IFERROR(_xludf.NUMBERVALUE('Procyfloc 956A'!C285,",","."),0))))</f>
        <v/>
      </c>
      <c r="AE2284" t="str">
        <f>IF(AA2284="","",'Procyfloc 956A'!L285)</f>
        <v/>
      </c>
      <c r="AF2284">
        <f t="shared" si="227"/>
        <v>0</v>
      </c>
      <c r="AG2284" t="str">
        <f t="shared" si="228"/>
        <v/>
      </c>
      <c r="AH2284" t="str">
        <f t="shared" si="229"/>
        <v/>
      </c>
      <c r="AI2284">
        <f t="shared" si="230"/>
        <v>0</v>
      </c>
      <c r="AJ2284">
        <f t="shared" si="231"/>
        <v>0</v>
      </c>
      <c r="AK2284">
        <v>0</v>
      </c>
      <c r="AL2284" t="str">
        <f>IF(AA2284="","",IFERROR(IF(ISNUMBER('Procyfloc 956A'!D285),'Procyfloc 956A'!D285,IF(ISNUMBER(SEARCH("12",'Procyfloc 956A'!D285)),EDATE(AB2284,12),IF(ISNUMBER(SEARCH("6",'Procyfloc 956A'!D285)),EDATE(AB2284,6),IF(ISNUMBER(SEARCH("3",'Procyfloc 956A'!D285)),EDATE(AB2284,3),DATEVALUE('Procyfloc 956A'!D285))))),""))</f>
        <v/>
      </c>
      <c r="AM2284" t="str">
        <f t="shared" ca="1" si="232"/>
        <v/>
      </c>
    </row>
    <row r="2285" spans="27:39" x14ac:dyDescent="0.3">
      <c r="AA2285" t="str">
        <f>IF(COUNTA('Procyfloc 956A'!A286,'Procyfloc 956A'!B286,'Procyfloc 956A'!C286)&gt;0,"956A","")</f>
        <v/>
      </c>
      <c r="AB2285" t="str">
        <f>IFERROR(IF(ISNUMBER('Procyfloc 956A'!A286),'Procyfloc 956A'!A286,DATEVALUE('Procyfloc 956A'!A286)),"")</f>
        <v/>
      </c>
      <c r="AC2285" t="str">
        <f>IF(AA2285="","",'Procyfloc 956A'!B286)</f>
        <v/>
      </c>
      <c r="AD2285" t="str">
        <f>IF(AA2285="","",IFERROR(1*'Procyfloc 956A'!C286,IFERROR(_xludf.NUMBERVALUE('Procyfloc 956A'!C286,".",","),IFERROR(_xludf.NUMBERVALUE('Procyfloc 956A'!C286,",","."),0))))</f>
        <v/>
      </c>
      <c r="AE2285" t="str">
        <f>IF(AA2285="","",'Procyfloc 956A'!L286)</f>
        <v/>
      </c>
      <c r="AF2285">
        <f t="shared" si="227"/>
        <v>0</v>
      </c>
      <c r="AG2285" t="str">
        <f t="shared" si="228"/>
        <v/>
      </c>
      <c r="AH2285" t="str">
        <f t="shared" si="229"/>
        <v/>
      </c>
      <c r="AI2285">
        <f t="shared" si="230"/>
        <v>0</v>
      </c>
      <c r="AJ2285">
        <f t="shared" si="231"/>
        <v>0</v>
      </c>
      <c r="AK2285">
        <v>0</v>
      </c>
      <c r="AL2285" t="str">
        <f>IF(AA2285="","",IFERROR(IF(ISNUMBER('Procyfloc 956A'!D286),'Procyfloc 956A'!D286,IF(ISNUMBER(SEARCH("12",'Procyfloc 956A'!D286)),EDATE(AB2285,12),IF(ISNUMBER(SEARCH("6",'Procyfloc 956A'!D286)),EDATE(AB2285,6),IF(ISNUMBER(SEARCH("3",'Procyfloc 956A'!D286)),EDATE(AB2285,3),DATEVALUE('Procyfloc 956A'!D286))))),""))</f>
        <v/>
      </c>
      <c r="AM2285" t="str">
        <f t="shared" ca="1" si="232"/>
        <v/>
      </c>
    </row>
    <row r="2286" spans="27:39" x14ac:dyDescent="0.3">
      <c r="AA2286" t="str">
        <f>IF(COUNTA('Procyfloc 956A'!A287,'Procyfloc 956A'!B287,'Procyfloc 956A'!C287)&gt;0,"956A","")</f>
        <v/>
      </c>
      <c r="AB2286" t="str">
        <f>IFERROR(IF(ISNUMBER('Procyfloc 956A'!A287),'Procyfloc 956A'!A287,DATEVALUE('Procyfloc 956A'!A287)),"")</f>
        <v/>
      </c>
      <c r="AC2286" t="str">
        <f>IF(AA2286="","",'Procyfloc 956A'!B287)</f>
        <v/>
      </c>
      <c r="AD2286" t="str">
        <f>IF(AA2286="","",IFERROR(1*'Procyfloc 956A'!C287,IFERROR(_xludf.NUMBERVALUE('Procyfloc 956A'!C287,".",","),IFERROR(_xludf.NUMBERVALUE('Procyfloc 956A'!C287,",","."),0))))</f>
        <v/>
      </c>
      <c r="AE2286" t="str">
        <f>IF(AA2286="","",'Procyfloc 956A'!L287)</f>
        <v/>
      </c>
      <c r="AF2286">
        <f t="shared" si="227"/>
        <v>0</v>
      </c>
      <c r="AG2286" t="str">
        <f t="shared" si="228"/>
        <v/>
      </c>
      <c r="AH2286" t="str">
        <f t="shared" si="229"/>
        <v/>
      </c>
      <c r="AI2286">
        <f t="shared" si="230"/>
        <v>0</v>
      </c>
      <c r="AJ2286">
        <f t="shared" si="231"/>
        <v>0</v>
      </c>
      <c r="AK2286">
        <v>0</v>
      </c>
      <c r="AL2286" t="str">
        <f>IF(AA2286="","",IFERROR(IF(ISNUMBER('Procyfloc 956A'!D287),'Procyfloc 956A'!D287,IF(ISNUMBER(SEARCH("12",'Procyfloc 956A'!D287)),EDATE(AB2286,12),IF(ISNUMBER(SEARCH("6",'Procyfloc 956A'!D287)),EDATE(AB2286,6),IF(ISNUMBER(SEARCH("3",'Procyfloc 956A'!D287)),EDATE(AB2286,3),DATEVALUE('Procyfloc 956A'!D287))))),""))</f>
        <v/>
      </c>
      <c r="AM2286" t="str">
        <f t="shared" ca="1" si="232"/>
        <v/>
      </c>
    </row>
    <row r="2287" spans="27:39" x14ac:dyDescent="0.3">
      <c r="AA2287" t="str">
        <f>IF(COUNTA('Procyfloc 956A'!A288,'Procyfloc 956A'!B288,'Procyfloc 956A'!C288)&gt;0,"956A","")</f>
        <v/>
      </c>
      <c r="AB2287" t="str">
        <f>IFERROR(IF(ISNUMBER('Procyfloc 956A'!A288),'Procyfloc 956A'!A288,DATEVALUE('Procyfloc 956A'!A288)),"")</f>
        <v/>
      </c>
      <c r="AC2287" t="str">
        <f>IF(AA2287="","",'Procyfloc 956A'!B288)</f>
        <v/>
      </c>
      <c r="AD2287" t="str">
        <f>IF(AA2287="","",IFERROR(1*'Procyfloc 956A'!C288,IFERROR(_xludf.NUMBERVALUE('Procyfloc 956A'!C288,".",","),IFERROR(_xludf.NUMBERVALUE('Procyfloc 956A'!C288,",","."),0))))</f>
        <v/>
      </c>
      <c r="AE2287" t="str">
        <f>IF(AA2287="","",'Procyfloc 956A'!L288)</f>
        <v/>
      </c>
      <c r="AF2287">
        <f t="shared" si="227"/>
        <v>0</v>
      </c>
      <c r="AG2287" t="str">
        <f t="shared" si="228"/>
        <v/>
      </c>
      <c r="AH2287" t="str">
        <f t="shared" si="229"/>
        <v/>
      </c>
      <c r="AI2287">
        <f t="shared" si="230"/>
        <v>0</v>
      </c>
      <c r="AJ2287">
        <f t="shared" si="231"/>
        <v>0</v>
      </c>
      <c r="AK2287">
        <v>0</v>
      </c>
      <c r="AL2287" t="str">
        <f>IF(AA2287="","",IFERROR(IF(ISNUMBER('Procyfloc 956A'!D288),'Procyfloc 956A'!D288,IF(ISNUMBER(SEARCH("12",'Procyfloc 956A'!D288)),EDATE(AB2287,12),IF(ISNUMBER(SEARCH("6",'Procyfloc 956A'!D288)),EDATE(AB2287,6),IF(ISNUMBER(SEARCH("3",'Procyfloc 956A'!D288)),EDATE(AB2287,3),DATEVALUE('Procyfloc 956A'!D288))))),""))</f>
        <v/>
      </c>
      <c r="AM2287" t="str">
        <f t="shared" ca="1" si="232"/>
        <v/>
      </c>
    </row>
    <row r="2288" spans="27:39" x14ac:dyDescent="0.3">
      <c r="AA2288" t="str">
        <f>IF(COUNTA('Procyfloc 956A'!A289,'Procyfloc 956A'!B289,'Procyfloc 956A'!C289)&gt;0,"956A","")</f>
        <v/>
      </c>
      <c r="AB2288" t="str">
        <f>IFERROR(IF(ISNUMBER('Procyfloc 956A'!A289),'Procyfloc 956A'!A289,DATEVALUE('Procyfloc 956A'!A289)),"")</f>
        <v/>
      </c>
      <c r="AC2288" t="str">
        <f>IF(AA2288="","",'Procyfloc 956A'!B289)</f>
        <v/>
      </c>
      <c r="AD2288" t="str">
        <f>IF(AA2288="","",IFERROR(1*'Procyfloc 956A'!C289,IFERROR(_xludf.NUMBERVALUE('Procyfloc 956A'!C289,".",","),IFERROR(_xludf.NUMBERVALUE('Procyfloc 956A'!C289,",","."),0))))</f>
        <v/>
      </c>
      <c r="AE2288" t="str">
        <f>IF(AA2288="","",'Procyfloc 956A'!L289)</f>
        <v/>
      </c>
      <c r="AF2288">
        <f t="shared" si="227"/>
        <v>0</v>
      </c>
      <c r="AG2288" t="str">
        <f t="shared" si="228"/>
        <v/>
      </c>
      <c r="AH2288" t="str">
        <f t="shared" si="229"/>
        <v/>
      </c>
      <c r="AI2288">
        <f t="shared" si="230"/>
        <v>0</v>
      </c>
      <c r="AJ2288">
        <f t="shared" si="231"/>
        <v>0</v>
      </c>
      <c r="AK2288">
        <v>0</v>
      </c>
      <c r="AL2288" t="str">
        <f>IF(AA2288="","",IFERROR(IF(ISNUMBER('Procyfloc 956A'!D289),'Procyfloc 956A'!D289,IF(ISNUMBER(SEARCH("12",'Procyfloc 956A'!D289)),EDATE(AB2288,12),IF(ISNUMBER(SEARCH("6",'Procyfloc 956A'!D289)),EDATE(AB2288,6),IF(ISNUMBER(SEARCH("3",'Procyfloc 956A'!D289)),EDATE(AB2288,3),DATEVALUE('Procyfloc 956A'!D289))))),""))</f>
        <v/>
      </c>
      <c r="AM2288" t="str">
        <f t="shared" ca="1" si="232"/>
        <v/>
      </c>
    </row>
    <row r="2289" spans="27:39" x14ac:dyDescent="0.3">
      <c r="AA2289" t="str">
        <f>IF(COUNTA('Procyfloc 956A'!A290,'Procyfloc 956A'!B290,'Procyfloc 956A'!C290)&gt;0,"956A","")</f>
        <v/>
      </c>
      <c r="AB2289" t="str">
        <f>IFERROR(IF(ISNUMBER('Procyfloc 956A'!A290),'Procyfloc 956A'!A290,DATEVALUE('Procyfloc 956A'!A290)),"")</f>
        <v/>
      </c>
      <c r="AC2289" t="str">
        <f>IF(AA2289="","",'Procyfloc 956A'!B290)</f>
        <v/>
      </c>
      <c r="AD2289" t="str">
        <f>IF(AA2289="","",IFERROR(1*'Procyfloc 956A'!C290,IFERROR(_xludf.NUMBERVALUE('Procyfloc 956A'!C290,".",","),IFERROR(_xludf.NUMBERVALUE('Procyfloc 956A'!C290,",","."),0))))</f>
        <v/>
      </c>
      <c r="AE2289" t="str">
        <f>IF(AA2289="","",'Procyfloc 956A'!L290)</f>
        <v/>
      </c>
      <c r="AF2289">
        <f t="shared" si="227"/>
        <v>0</v>
      </c>
      <c r="AG2289" t="str">
        <f t="shared" si="228"/>
        <v/>
      </c>
      <c r="AH2289" t="str">
        <f t="shared" si="229"/>
        <v/>
      </c>
      <c r="AI2289">
        <f t="shared" si="230"/>
        <v>0</v>
      </c>
      <c r="AJ2289">
        <f t="shared" si="231"/>
        <v>0</v>
      </c>
      <c r="AK2289">
        <v>0</v>
      </c>
      <c r="AL2289" t="str">
        <f>IF(AA2289="","",IFERROR(IF(ISNUMBER('Procyfloc 956A'!D290),'Procyfloc 956A'!D290,IF(ISNUMBER(SEARCH("12",'Procyfloc 956A'!D290)),EDATE(AB2289,12),IF(ISNUMBER(SEARCH("6",'Procyfloc 956A'!D290)),EDATE(AB2289,6),IF(ISNUMBER(SEARCH("3",'Procyfloc 956A'!D290)),EDATE(AB2289,3),DATEVALUE('Procyfloc 956A'!D290))))),""))</f>
        <v/>
      </c>
      <c r="AM2289" t="str">
        <f t="shared" ca="1" si="232"/>
        <v/>
      </c>
    </row>
    <row r="2290" spans="27:39" x14ac:dyDescent="0.3">
      <c r="AA2290" t="str">
        <f>IF(COUNTA('Procyfloc 956A'!A291,'Procyfloc 956A'!B291,'Procyfloc 956A'!C291)&gt;0,"956A","")</f>
        <v/>
      </c>
      <c r="AB2290" t="str">
        <f>IFERROR(IF(ISNUMBER('Procyfloc 956A'!A291),'Procyfloc 956A'!A291,DATEVALUE('Procyfloc 956A'!A291)),"")</f>
        <v/>
      </c>
      <c r="AC2290" t="str">
        <f>IF(AA2290="","",'Procyfloc 956A'!B291)</f>
        <v/>
      </c>
      <c r="AD2290" t="str">
        <f>IF(AA2290="","",IFERROR(1*'Procyfloc 956A'!C291,IFERROR(_xludf.NUMBERVALUE('Procyfloc 956A'!C291,".",","),IFERROR(_xludf.NUMBERVALUE('Procyfloc 956A'!C291,",","."),0))))</f>
        <v/>
      </c>
      <c r="AE2290" t="str">
        <f>IF(AA2290="","",'Procyfloc 956A'!L291)</f>
        <v/>
      </c>
      <c r="AF2290">
        <f t="shared" si="227"/>
        <v>0</v>
      </c>
      <c r="AG2290" t="str">
        <f t="shared" si="228"/>
        <v/>
      </c>
      <c r="AH2290" t="str">
        <f t="shared" si="229"/>
        <v/>
      </c>
      <c r="AI2290">
        <f t="shared" si="230"/>
        <v>0</v>
      </c>
      <c r="AJ2290">
        <f t="shared" si="231"/>
        <v>0</v>
      </c>
      <c r="AK2290">
        <v>0</v>
      </c>
      <c r="AL2290" t="str">
        <f>IF(AA2290="","",IFERROR(IF(ISNUMBER('Procyfloc 956A'!D291),'Procyfloc 956A'!D291,IF(ISNUMBER(SEARCH("12",'Procyfloc 956A'!D291)),EDATE(AB2290,12),IF(ISNUMBER(SEARCH("6",'Procyfloc 956A'!D291)),EDATE(AB2290,6),IF(ISNUMBER(SEARCH("3",'Procyfloc 956A'!D291)),EDATE(AB2290,3),DATEVALUE('Procyfloc 956A'!D291))))),""))</f>
        <v/>
      </c>
      <c r="AM2290" t="str">
        <f t="shared" ca="1" si="232"/>
        <v/>
      </c>
    </row>
    <row r="2291" spans="27:39" x14ac:dyDescent="0.3">
      <c r="AA2291" t="str">
        <f>IF(COUNTA('Procyfloc 956A'!A292,'Procyfloc 956A'!B292,'Procyfloc 956A'!C292)&gt;0,"956A","")</f>
        <v/>
      </c>
      <c r="AB2291" t="str">
        <f>IFERROR(IF(ISNUMBER('Procyfloc 956A'!A292),'Procyfloc 956A'!A292,DATEVALUE('Procyfloc 956A'!A292)),"")</f>
        <v/>
      </c>
      <c r="AC2291" t="str">
        <f>IF(AA2291="","",'Procyfloc 956A'!B292)</f>
        <v/>
      </c>
      <c r="AD2291" t="str">
        <f>IF(AA2291="","",IFERROR(1*'Procyfloc 956A'!C292,IFERROR(_xludf.NUMBERVALUE('Procyfloc 956A'!C292,".",","),IFERROR(_xludf.NUMBERVALUE('Procyfloc 956A'!C292,",","."),0))))</f>
        <v/>
      </c>
      <c r="AE2291" t="str">
        <f>IF(AA2291="","",'Procyfloc 956A'!L292)</f>
        <v/>
      </c>
      <c r="AF2291">
        <f t="shared" si="227"/>
        <v>0</v>
      </c>
      <c r="AG2291" t="str">
        <f t="shared" si="228"/>
        <v/>
      </c>
      <c r="AH2291" t="str">
        <f t="shared" si="229"/>
        <v/>
      </c>
      <c r="AI2291">
        <f t="shared" si="230"/>
        <v>0</v>
      </c>
      <c r="AJ2291">
        <f t="shared" si="231"/>
        <v>0</v>
      </c>
      <c r="AK2291">
        <v>0</v>
      </c>
      <c r="AL2291" t="str">
        <f>IF(AA2291="","",IFERROR(IF(ISNUMBER('Procyfloc 956A'!D292),'Procyfloc 956A'!D292,IF(ISNUMBER(SEARCH("12",'Procyfloc 956A'!D292)),EDATE(AB2291,12),IF(ISNUMBER(SEARCH("6",'Procyfloc 956A'!D292)),EDATE(AB2291,6),IF(ISNUMBER(SEARCH("3",'Procyfloc 956A'!D292)),EDATE(AB2291,3),DATEVALUE('Procyfloc 956A'!D292))))),""))</f>
        <v/>
      </c>
      <c r="AM2291" t="str">
        <f t="shared" ca="1" si="232"/>
        <v/>
      </c>
    </row>
    <row r="2292" spans="27:39" x14ac:dyDescent="0.3">
      <c r="AA2292" t="str">
        <f>IF(COUNTA('Procyfloc 956A'!A293,'Procyfloc 956A'!B293,'Procyfloc 956A'!C293)&gt;0,"956A","")</f>
        <v/>
      </c>
      <c r="AB2292" t="str">
        <f>IFERROR(IF(ISNUMBER('Procyfloc 956A'!A293),'Procyfloc 956A'!A293,DATEVALUE('Procyfloc 956A'!A293)),"")</f>
        <v/>
      </c>
      <c r="AC2292" t="str">
        <f>IF(AA2292="","",'Procyfloc 956A'!B293)</f>
        <v/>
      </c>
      <c r="AD2292" t="str">
        <f>IF(AA2292="","",IFERROR(1*'Procyfloc 956A'!C293,IFERROR(_xludf.NUMBERVALUE('Procyfloc 956A'!C293,".",","),IFERROR(_xludf.NUMBERVALUE('Procyfloc 956A'!C293,",","."),0))))</f>
        <v/>
      </c>
      <c r="AE2292" t="str">
        <f>IF(AA2292="","",'Procyfloc 956A'!L293)</f>
        <v/>
      </c>
      <c r="AF2292">
        <f t="shared" si="227"/>
        <v>0</v>
      </c>
      <c r="AG2292" t="str">
        <f t="shared" si="228"/>
        <v/>
      </c>
      <c r="AH2292" t="str">
        <f t="shared" si="229"/>
        <v/>
      </c>
      <c r="AI2292">
        <f t="shared" si="230"/>
        <v>0</v>
      </c>
      <c r="AJ2292">
        <f t="shared" si="231"/>
        <v>0</v>
      </c>
      <c r="AK2292">
        <v>0</v>
      </c>
      <c r="AL2292" t="str">
        <f>IF(AA2292="","",IFERROR(IF(ISNUMBER('Procyfloc 956A'!D293),'Procyfloc 956A'!D293,IF(ISNUMBER(SEARCH("12",'Procyfloc 956A'!D293)),EDATE(AB2292,12),IF(ISNUMBER(SEARCH("6",'Procyfloc 956A'!D293)),EDATE(AB2292,6),IF(ISNUMBER(SEARCH("3",'Procyfloc 956A'!D293)),EDATE(AB2292,3),DATEVALUE('Procyfloc 956A'!D293))))),""))</f>
        <v/>
      </c>
      <c r="AM2292" t="str">
        <f t="shared" ca="1" si="232"/>
        <v/>
      </c>
    </row>
    <row r="2293" spans="27:39" x14ac:dyDescent="0.3">
      <c r="AA2293" t="str">
        <f>IF(COUNTA('Procyfloc 956A'!A294,'Procyfloc 956A'!B294,'Procyfloc 956A'!C294)&gt;0,"956A","")</f>
        <v/>
      </c>
      <c r="AB2293" t="str">
        <f>IFERROR(IF(ISNUMBER('Procyfloc 956A'!A294),'Procyfloc 956A'!A294,DATEVALUE('Procyfloc 956A'!A294)),"")</f>
        <v/>
      </c>
      <c r="AC2293" t="str">
        <f>IF(AA2293="","",'Procyfloc 956A'!B294)</f>
        <v/>
      </c>
      <c r="AD2293" t="str">
        <f>IF(AA2293="","",IFERROR(1*'Procyfloc 956A'!C294,IFERROR(_xludf.NUMBERVALUE('Procyfloc 956A'!C294,".",","),IFERROR(_xludf.NUMBERVALUE('Procyfloc 956A'!C294,",","."),0))))</f>
        <v/>
      </c>
      <c r="AE2293" t="str">
        <f>IF(AA2293="","",'Procyfloc 956A'!L294)</f>
        <v/>
      </c>
      <c r="AF2293">
        <f t="shared" si="227"/>
        <v>0</v>
      </c>
      <c r="AG2293" t="str">
        <f t="shared" si="228"/>
        <v/>
      </c>
      <c r="AH2293" t="str">
        <f t="shared" si="229"/>
        <v/>
      </c>
      <c r="AI2293">
        <f t="shared" si="230"/>
        <v>0</v>
      </c>
      <c r="AJ2293">
        <f t="shared" si="231"/>
        <v>0</v>
      </c>
      <c r="AK2293">
        <v>0</v>
      </c>
      <c r="AL2293" t="str">
        <f>IF(AA2293="","",IFERROR(IF(ISNUMBER('Procyfloc 956A'!D294),'Procyfloc 956A'!D294,IF(ISNUMBER(SEARCH("12",'Procyfloc 956A'!D294)),EDATE(AB2293,12),IF(ISNUMBER(SEARCH("6",'Procyfloc 956A'!D294)),EDATE(AB2293,6),IF(ISNUMBER(SEARCH("3",'Procyfloc 956A'!D294)),EDATE(AB2293,3),DATEVALUE('Procyfloc 956A'!D294))))),""))</f>
        <v/>
      </c>
      <c r="AM2293" t="str">
        <f t="shared" ca="1" si="232"/>
        <v/>
      </c>
    </row>
    <row r="2294" spans="27:39" x14ac:dyDescent="0.3">
      <c r="AA2294" t="str">
        <f>IF(COUNTA('Procyfloc 956A'!A295,'Procyfloc 956A'!B295,'Procyfloc 956A'!C295)&gt;0,"956A","")</f>
        <v/>
      </c>
      <c r="AB2294" t="str">
        <f>IFERROR(IF(ISNUMBER('Procyfloc 956A'!A295),'Procyfloc 956A'!A295,DATEVALUE('Procyfloc 956A'!A295)),"")</f>
        <v/>
      </c>
      <c r="AC2294" t="str">
        <f>IF(AA2294="","",'Procyfloc 956A'!B295)</f>
        <v/>
      </c>
      <c r="AD2294" t="str">
        <f>IF(AA2294="","",IFERROR(1*'Procyfloc 956A'!C295,IFERROR(_xludf.NUMBERVALUE('Procyfloc 956A'!C295,".",","),IFERROR(_xludf.NUMBERVALUE('Procyfloc 956A'!C295,",","."),0))))</f>
        <v/>
      </c>
      <c r="AE2294" t="str">
        <f>IF(AA2294="","",'Procyfloc 956A'!L295)</f>
        <v/>
      </c>
      <c r="AF2294">
        <f t="shared" si="227"/>
        <v>0</v>
      </c>
      <c r="AG2294" t="str">
        <f t="shared" si="228"/>
        <v/>
      </c>
      <c r="AH2294" t="str">
        <f t="shared" si="229"/>
        <v/>
      </c>
      <c r="AI2294">
        <f t="shared" si="230"/>
        <v>0</v>
      </c>
      <c r="AJ2294">
        <f t="shared" si="231"/>
        <v>0</v>
      </c>
      <c r="AK2294">
        <v>0</v>
      </c>
      <c r="AL2294" t="str">
        <f>IF(AA2294="","",IFERROR(IF(ISNUMBER('Procyfloc 956A'!D295),'Procyfloc 956A'!D295,IF(ISNUMBER(SEARCH("12",'Procyfloc 956A'!D295)),EDATE(AB2294,12),IF(ISNUMBER(SEARCH("6",'Procyfloc 956A'!D295)),EDATE(AB2294,6),IF(ISNUMBER(SEARCH("3",'Procyfloc 956A'!D295)),EDATE(AB2294,3),DATEVALUE('Procyfloc 956A'!D295))))),""))</f>
        <v/>
      </c>
      <c r="AM2294" t="str">
        <f t="shared" ca="1" si="232"/>
        <v/>
      </c>
    </row>
    <row r="2295" spans="27:39" x14ac:dyDescent="0.3">
      <c r="AA2295" t="str">
        <f>IF(COUNTA('Procyfloc 956A'!A296,'Procyfloc 956A'!B296,'Procyfloc 956A'!C296)&gt;0,"956A","")</f>
        <v/>
      </c>
      <c r="AB2295" t="str">
        <f>IFERROR(IF(ISNUMBER('Procyfloc 956A'!A296),'Procyfloc 956A'!A296,DATEVALUE('Procyfloc 956A'!A296)),"")</f>
        <v/>
      </c>
      <c r="AC2295" t="str">
        <f>IF(AA2295="","",'Procyfloc 956A'!B296)</f>
        <v/>
      </c>
      <c r="AD2295" t="str">
        <f>IF(AA2295="","",IFERROR(1*'Procyfloc 956A'!C296,IFERROR(_xludf.NUMBERVALUE('Procyfloc 956A'!C296,".",","),IFERROR(_xludf.NUMBERVALUE('Procyfloc 956A'!C296,",","."),0))))</f>
        <v/>
      </c>
      <c r="AE2295" t="str">
        <f>IF(AA2295="","",'Procyfloc 956A'!L296)</f>
        <v/>
      </c>
      <c r="AF2295">
        <f t="shared" si="227"/>
        <v>0</v>
      </c>
      <c r="AG2295" t="str">
        <f t="shared" si="228"/>
        <v/>
      </c>
      <c r="AH2295" t="str">
        <f t="shared" si="229"/>
        <v/>
      </c>
      <c r="AI2295">
        <f t="shared" si="230"/>
        <v>0</v>
      </c>
      <c r="AJ2295">
        <f t="shared" si="231"/>
        <v>0</v>
      </c>
      <c r="AK2295">
        <v>0</v>
      </c>
      <c r="AL2295" t="str">
        <f>IF(AA2295="","",IFERROR(IF(ISNUMBER('Procyfloc 956A'!D296),'Procyfloc 956A'!D296,IF(ISNUMBER(SEARCH("12",'Procyfloc 956A'!D296)),EDATE(AB2295,12),IF(ISNUMBER(SEARCH("6",'Procyfloc 956A'!D296)),EDATE(AB2295,6),IF(ISNUMBER(SEARCH("3",'Procyfloc 956A'!D296)),EDATE(AB2295,3),DATEVALUE('Procyfloc 956A'!D296))))),""))</f>
        <v/>
      </c>
      <c r="AM2295" t="str">
        <f t="shared" ca="1" si="232"/>
        <v/>
      </c>
    </row>
    <row r="2296" spans="27:39" x14ac:dyDescent="0.3">
      <c r="AA2296" t="str">
        <f>IF(COUNTA('Procyfloc 956A'!A297,'Procyfloc 956A'!B297,'Procyfloc 956A'!C297)&gt;0,"956A","")</f>
        <v/>
      </c>
      <c r="AB2296" t="str">
        <f>IFERROR(IF(ISNUMBER('Procyfloc 956A'!A297),'Procyfloc 956A'!A297,DATEVALUE('Procyfloc 956A'!A297)),"")</f>
        <v/>
      </c>
      <c r="AC2296" t="str">
        <f>IF(AA2296="","",'Procyfloc 956A'!B297)</f>
        <v/>
      </c>
      <c r="AD2296" t="str">
        <f>IF(AA2296="","",IFERROR(1*'Procyfloc 956A'!C297,IFERROR(_xludf.NUMBERVALUE('Procyfloc 956A'!C297,".",","),IFERROR(_xludf.NUMBERVALUE('Procyfloc 956A'!C297,",","."),0))))</f>
        <v/>
      </c>
      <c r="AE2296" t="str">
        <f>IF(AA2296="","",'Procyfloc 956A'!L297)</f>
        <v/>
      </c>
      <c r="AF2296">
        <f t="shared" si="227"/>
        <v>0</v>
      </c>
      <c r="AG2296" t="str">
        <f t="shared" si="228"/>
        <v/>
      </c>
      <c r="AH2296" t="str">
        <f t="shared" si="229"/>
        <v/>
      </c>
      <c r="AI2296">
        <f t="shared" si="230"/>
        <v>0</v>
      </c>
      <c r="AJ2296">
        <f t="shared" si="231"/>
        <v>0</v>
      </c>
      <c r="AK2296">
        <v>0</v>
      </c>
      <c r="AL2296" t="str">
        <f>IF(AA2296="","",IFERROR(IF(ISNUMBER('Procyfloc 956A'!D297),'Procyfloc 956A'!D297,IF(ISNUMBER(SEARCH("12",'Procyfloc 956A'!D297)),EDATE(AB2296,12),IF(ISNUMBER(SEARCH("6",'Procyfloc 956A'!D297)),EDATE(AB2296,6),IF(ISNUMBER(SEARCH("3",'Procyfloc 956A'!D297)),EDATE(AB2296,3),DATEVALUE('Procyfloc 956A'!D297))))),""))</f>
        <v/>
      </c>
      <c r="AM2296" t="str">
        <f t="shared" ca="1" si="232"/>
        <v/>
      </c>
    </row>
    <row r="2297" spans="27:39" x14ac:dyDescent="0.3">
      <c r="AA2297" t="str">
        <f>IF(COUNTA('Procyfloc 956A'!A298,'Procyfloc 956A'!B298,'Procyfloc 956A'!C298)&gt;0,"956A","")</f>
        <v/>
      </c>
      <c r="AB2297" t="str">
        <f>IFERROR(IF(ISNUMBER('Procyfloc 956A'!A298),'Procyfloc 956A'!A298,DATEVALUE('Procyfloc 956A'!A298)),"")</f>
        <v/>
      </c>
      <c r="AC2297" t="str">
        <f>IF(AA2297="","",'Procyfloc 956A'!B298)</f>
        <v/>
      </c>
      <c r="AD2297" t="str">
        <f>IF(AA2297="","",IFERROR(1*'Procyfloc 956A'!C298,IFERROR(_xludf.NUMBERVALUE('Procyfloc 956A'!C298,".",","),IFERROR(_xludf.NUMBERVALUE('Procyfloc 956A'!C298,",","."),0))))</f>
        <v/>
      </c>
      <c r="AE2297" t="str">
        <f>IF(AA2297="","",'Procyfloc 956A'!L298)</f>
        <v/>
      </c>
      <c r="AF2297">
        <f t="shared" si="227"/>
        <v>0</v>
      </c>
      <c r="AG2297" t="str">
        <f t="shared" si="228"/>
        <v/>
      </c>
      <c r="AH2297" t="str">
        <f t="shared" si="229"/>
        <v/>
      </c>
      <c r="AI2297">
        <f t="shared" si="230"/>
        <v>0</v>
      </c>
      <c r="AJ2297">
        <f t="shared" si="231"/>
        <v>0</v>
      </c>
      <c r="AK2297">
        <v>0</v>
      </c>
      <c r="AL2297" t="str">
        <f>IF(AA2297="","",IFERROR(IF(ISNUMBER('Procyfloc 956A'!D298),'Procyfloc 956A'!D298,IF(ISNUMBER(SEARCH("12",'Procyfloc 956A'!D298)),EDATE(AB2297,12),IF(ISNUMBER(SEARCH("6",'Procyfloc 956A'!D298)),EDATE(AB2297,6),IF(ISNUMBER(SEARCH("3",'Procyfloc 956A'!D298)),EDATE(AB2297,3),DATEVALUE('Procyfloc 956A'!D298))))),""))</f>
        <v/>
      </c>
      <c r="AM2297" t="str">
        <f t="shared" ca="1" si="232"/>
        <v/>
      </c>
    </row>
    <row r="2298" spans="27:39" x14ac:dyDescent="0.3">
      <c r="AA2298" t="str">
        <f>IF(COUNTA('Procyfloc 956A'!A299,'Procyfloc 956A'!B299,'Procyfloc 956A'!C299)&gt;0,"956A","")</f>
        <v/>
      </c>
      <c r="AB2298" t="str">
        <f>IFERROR(IF(ISNUMBER('Procyfloc 956A'!A299),'Procyfloc 956A'!A299,DATEVALUE('Procyfloc 956A'!A299)),"")</f>
        <v/>
      </c>
      <c r="AC2298" t="str">
        <f>IF(AA2298="","",'Procyfloc 956A'!B299)</f>
        <v/>
      </c>
      <c r="AD2298" t="str">
        <f>IF(AA2298="","",IFERROR(1*'Procyfloc 956A'!C299,IFERROR(_xludf.NUMBERVALUE('Procyfloc 956A'!C299,".",","),IFERROR(_xludf.NUMBERVALUE('Procyfloc 956A'!C299,",","."),0))))</f>
        <v/>
      </c>
      <c r="AE2298" t="str">
        <f>IF(AA2298="","",'Procyfloc 956A'!L299)</f>
        <v/>
      </c>
      <c r="AF2298">
        <f t="shared" si="227"/>
        <v>0</v>
      </c>
      <c r="AG2298" t="str">
        <f t="shared" si="228"/>
        <v/>
      </c>
      <c r="AH2298" t="str">
        <f t="shared" si="229"/>
        <v/>
      </c>
      <c r="AI2298">
        <f t="shared" si="230"/>
        <v>0</v>
      </c>
      <c r="AJ2298">
        <f t="shared" si="231"/>
        <v>0</v>
      </c>
      <c r="AK2298">
        <v>0</v>
      </c>
      <c r="AL2298" t="str">
        <f>IF(AA2298="","",IFERROR(IF(ISNUMBER('Procyfloc 956A'!D299),'Procyfloc 956A'!D299,IF(ISNUMBER(SEARCH("12",'Procyfloc 956A'!D299)),EDATE(AB2298,12),IF(ISNUMBER(SEARCH("6",'Procyfloc 956A'!D299)),EDATE(AB2298,6),IF(ISNUMBER(SEARCH("3",'Procyfloc 956A'!D299)),EDATE(AB2298,3),DATEVALUE('Procyfloc 956A'!D299))))),""))</f>
        <v/>
      </c>
      <c r="AM2298" t="str">
        <f t="shared" ca="1" si="232"/>
        <v/>
      </c>
    </row>
    <row r="2299" spans="27:39" x14ac:dyDescent="0.3">
      <c r="AA2299" t="str">
        <f>IF(COUNTA('Procyfloc 956A'!A300,'Procyfloc 956A'!B300,'Procyfloc 956A'!C300)&gt;0,"956A","")</f>
        <v/>
      </c>
      <c r="AB2299" t="str">
        <f>IFERROR(IF(ISNUMBER('Procyfloc 956A'!A300),'Procyfloc 956A'!A300,DATEVALUE('Procyfloc 956A'!A300)),"")</f>
        <v/>
      </c>
      <c r="AC2299" t="str">
        <f>IF(AA2299="","",'Procyfloc 956A'!B300)</f>
        <v/>
      </c>
      <c r="AD2299" t="str">
        <f>IF(AA2299="","",IFERROR(1*'Procyfloc 956A'!C300,IFERROR(_xludf.NUMBERVALUE('Procyfloc 956A'!C300,".",","),IFERROR(_xludf.NUMBERVALUE('Procyfloc 956A'!C300,",","."),0))))</f>
        <v/>
      </c>
      <c r="AE2299" t="str">
        <f>IF(AA2299="","",'Procyfloc 956A'!L300)</f>
        <v/>
      </c>
      <c r="AF2299">
        <f t="shared" si="227"/>
        <v>0</v>
      </c>
      <c r="AG2299" t="str">
        <f t="shared" si="228"/>
        <v/>
      </c>
      <c r="AH2299" t="str">
        <f t="shared" si="229"/>
        <v/>
      </c>
      <c r="AI2299">
        <f t="shared" si="230"/>
        <v>0</v>
      </c>
      <c r="AJ2299">
        <f t="shared" si="231"/>
        <v>0</v>
      </c>
      <c r="AK2299">
        <v>0</v>
      </c>
      <c r="AL2299" t="str">
        <f>IF(AA2299="","",IFERROR(IF(ISNUMBER('Procyfloc 956A'!D300),'Procyfloc 956A'!D300,IF(ISNUMBER(SEARCH("12",'Procyfloc 956A'!D300)),EDATE(AB2299,12),IF(ISNUMBER(SEARCH("6",'Procyfloc 956A'!D300)),EDATE(AB2299,6),IF(ISNUMBER(SEARCH("3",'Procyfloc 956A'!D300)),EDATE(AB2299,3),DATEVALUE('Procyfloc 956A'!D300))))),""))</f>
        <v/>
      </c>
      <c r="AM2299" t="str">
        <f t="shared" ca="1" si="232"/>
        <v/>
      </c>
    </row>
    <row r="2300" spans="27:39" x14ac:dyDescent="0.3">
      <c r="AA2300" t="str">
        <f>IF(COUNTA('Procyfloc 956A'!A301,'Procyfloc 956A'!B301,'Procyfloc 956A'!C301)&gt;0,"956A","")</f>
        <v/>
      </c>
      <c r="AB2300" t="str">
        <f>IFERROR(IF(ISNUMBER('Procyfloc 956A'!A301),'Procyfloc 956A'!A301,DATEVALUE('Procyfloc 956A'!A301)),"")</f>
        <v/>
      </c>
      <c r="AC2300" t="str">
        <f>IF(AA2300="","",'Procyfloc 956A'!B301)</f>
        <v/>
      </c>
      <c r="AD2300" t="str">
        <f>IF(AA2300="","",IFERROR(1*'Procyfloc 956A'!C301,IFERROR(_xludf.NUMBERVALUE('Procyfloc 956A'!C301,".",","),IFERROR(_xludf.NUMBERVALUE('Procyfloc 956A'!C301,",","."),0))))</f>
        <v/>
      </c>
      <c r="AE2300" t="str">
        <f>IF(AA2300="","",'Procyfloc 956A'!L301)</f>
        <v/>
      </c>
      <c r="AF2300">
        <f t="shared" si="227"/>
        <v>0</v>
      </c>
      <c r="AG2300" t="str">
        <f t="shared" si="228"/>
        <v/>
      </c>
      <c r="AH2300" t="str">
        <f t="shared" si="229"/>
        <v/>
      </c>
      <c r="AI2300">
        <f t="shared" si="230"/>
        <v>0</v>
      </c>
      <c r="AJ2300">
        <f t="shared" si="231"/>
        <v>0</v>
      </c>
      <c r="AK2300">
        <v>0</v>
      </c>
      <c r="AL2300" t="str">
        <f>IF(AA2300="","",IFERROR(IF(ISNUMBER('Procyfloc 956A'!D301),'Procyfloc 956A'!D301,IF(ISNUMBER(SEARCH("12",'Procyfloc 956A'!D301)),EDATE(AB2300,12),IF(ISNUMBER(SEARCH("6",'Procyfloc 956A'!D301)),EDATE(AB2300,6),IF(ISNUMBER(SEARCH("3",'Procyfloc 956A'!D301)),EDATE(AB2300,3),DATEVALUE('Procyfloc 956A'!D301))))),""))</f>
        <v/>
      </c>
      <c r="AM2300" t="str">
        <f t="shared" ca="1" si="232"/>
        <v/>
      </c>
    </row>
    <row r="2301" spans="27:39" x14ac:dyDescent="0.3">
      <c r="AA2301" t="str">
        <f>IF(COUNTA('Procyfloc 956A'!A302,'Procyfloc 956A'!B302,'Procyfloc 956A'!C302)&gt;0,"956A","")</f>
        <v/>
      </c>
      <c r="AB2301" t="str">
        <f>IFERROR(IF(ISNUMBER('Procyfloc 956A'!A302),'Procyfloc 956A'!A302,DATEVALUE('Procyfloc 956A'!A302)),"")</f>
        <v/>
      </c>
      <c r="AC2301" t="str">
        <f>IF(AA2301="","",'Procyfloc 956A'!B302)</f>
        <v/>
      </c>
      <c r="AD2301" t="str">
        <f>IF(AA2301="","",IFERROR(1*'Procyfloc 956A'!C302,IFERROR(_xludf.NUMBERVALUE('Procyfloc 956A'!C302,".",","),IFERROR(_xludf.NUMBERVALUE('Procyfloc 956A'!C302,",","."),0))))</f>
        <v/>
      </c>
      <c r="AE2301" t="str">
        <f>IF(AA2301="","",'Procyfloc 956A'!L302)</f>
        <v/>
      </c>
      <c r="AF2301">
        <f t="shared" si="227"/>
        <v>0</v>
      </c>
      <c r="AG2301" t="str">
        <f t="shared" si="228"/>
        <v/>
      </c>
      <c r="AH2301" t="str">
        <f t="shared" si="229"/>
        <v/>
      </c>
      <c r="AI2301">
        <f t="shared" si="230"/>
        <v>0</v>
      </c>
      <c r="AJ2301">
        <f t="shared" si="231"/>
        <v>0</v>
      </c>
      <c r="AK2301">
        <v>0</v>
      </c>
      <c r="AL2301" t="str">
        <f>IF(AA2301="","",IFERROR(IF(ISNUMBER('Procyfloc 956A'!D302),'Procyfloc 956A'!D302,IF(ISNUMBER(SEARCH("12",'Procyfloc 956A'!D302)),EDATE(AB2301,12),IF(ISNUMBER(SEARCH("6",'Procyfloc 956A'!D302)),EDATE(AB2301,6),IF(ISNUMBER(SEARCH("3",'Procyfloc 956A'!D302)),EDATE(AB2301,3),DATEVALUE('Procyfloc 956A'!D302))))),""))</f>
        <v/>
      </c>
      <c r="AM2301" t="str">
        <f t="shared" ca="1" si="232"/>
        <v/>
      </c>
    </row>
    <row r="2302" spans="27:39" x14ac:dyDescent="0.3">
      <c r="AA2302" t="str">
        <f>IF(COUNTA('Procyfloc 956A'!A303,'Procyfloc 956A'!B303,'Procyfloc 956A'!C303)&gt;0,"956A","")</f>
        <v/>
      </c>
      <c r="AB2302" t="str">
        <f>IFERROR(IF(ISNUMBER('Procyfloc 956A'!A303),'Procyfloc 956A'!A303,DATEVALUE('Procyfloc 956A'!A303)),"")</f>
        <v/>
      </c>
      <c r="AC2302" t="str">
        <f>IF(AA2302="","",'Procyfloc 956A'!B303)</f>
        <v/>
      </c>
      <c r="AD2302" t="str">
        <f>IF(AA2302="","",IFERROR(1*'Procyfloc 956A'!C303,IFERROR(_xludf.NUMBERVALUE('Procyfloc 956A'!C303,".",","),IFERROR(_xludf.NUMBERVALUE('Procyfloc 956A'!C303,",","."),0))))</f>
        <v/>
      </c>
      <c r="AE2302" t="str">
        <f>IF(AA2302="","",'Procyfloc 956A'!L303)</f>
        <v/>
      </c>
      <c r="AF2302">
        <f t="shared" si="227"/>
        <v>0</v>
      </c>
      <c r="AG2302" t="str">
        <f t="shared" si="228"/>
        <v/>
      </c>
      <c r="AH2302" t="str">
        <f t="shared" si="229"/>
        <v/>
      </c>
      <c r="AI2302">
        <f t="shared" si="230"/>
        <v>0</v>
      </c>
      <c r="AJ2302">
        <f t="shared" si="231"/>
        <v>0</v>
      </c>
      <c r="AK2302">
        <v>0</v>
      </c>
      <c r="AL2302" t="str">
        <f>IF(AA2302="","",IFERROR(IF(ISNUMBER('Procyfloc 956A'!D303),'Procyfloc 956A'!D303,IF(ISNUMBER(SEARCH("12",'Procyfloc 956A'!D303)),EDATE(AB2302,12),IF(ISNUMBER(SEARCH("6",'Procyfloc 956A'!D303)),EDATE(AB2302,6),IF(ISNUMBER(SEARCH("3",'Procyfloc 956A'!D303)),EDATE(AB2302,3),DATEVALUE('Procyfloc 956A'!D303))))),""))</f>
        <v/>
      </c>
      <c r="AM2302" t="str">
        <f t="shared" ca="1" si="232"/>
        <v/>
      </c>
    </row>
    <row r="2303" spans="27:39" x14ac:dyDescent="0.3">
      <c r="AA2303" t="str">
        <f>IF(COUNTA('Procyfloc 956A'!A304,'Procyfloc 956A'!B304,'Procyfloc 956A'!C304)&gt;0,"956A","")</f>
        <v/>
      </c>
      <c r="AB2303" t="str">
        <f>IFERROR(IF(ISNUMBER('Procyfloc 956A'!A304),'Procyfloc 956A'!A304,DATEVALUE('Procyfloc 956A'!A304)),"")</f>
        <v/>
      </c>
      <c r="AC2303" t="str">
        <f>IF(AA2303="","",'Procyfloc 956A'!B304)</f>
        <v/>
      </c>
      <c r="AD2303" t="str">
        <f>IF(AA2303="","",IFERROR(1*'Procyfloc 956A'!C304,IFERROR(_xludf.NUMBERVALUE('Procyfloc 956A'!C304,".",","),IFERROR(_xludf.NUMBERVALUE('Procyfloc 956A'!C304,",","."),0))))</f>
        <v/>
      </c>
      <c r="AE2303" t="str">
        <f>IF(AA2303="","",'Procyfloc 956A'!L304)</f>
        <v/>
      </c>
      <c r="AF2303">
        <f t="shared" si="227"/>
        <v>0</v>
      </c>
      <c r="AG2303" t="str">
        <f t="shared" si="228"/>
        <v/>
      </c>
      <c r="AH2303" t="str">
        <f t="shared" si="229"/>
        <v/>
      </c>
      <c r="AI2303">
        <f t="shared" si="230"/>
        <v>0</v>
      </c>
      <c r="AJ2303">
        <f t="shared" si="231"/>
        <v>0</v>
      </c>
      <c r="AK2303">
        <v>0</v>
      </c>
      <c r="AL2303" t="str">
        <f>IF(AA2303="","",IFERROR(IF(ISNUMBER('Procyfloc 956A'!D304),'Procyfloc 956A'!D304,IF(ISNUMBER(SEARCH("12",'Procyfloc 956A'!D304)),EDATE(AB2303,12),IF(ISNUMBER(SEARCH("6",'Procyfloc 956A'!D304)),EDATE(AB2303,6),IF(ISNUMBER(SEARCH("3",'Procyfloc 956A'!D304)),EDATE(AB2303,3),DATEVALUE('Procyfloc 956A'!D304))))),""))</f>
        <v/>
      </c>
      <c r="AM2303" t="str">
        <f t="shared" ca="1" si="232"/>
        <v/>
      </c>
    </row>
    <row r="2304" spans="27:39" x14ac:dyDescent="0.3">
      <c r="AA2304" t="str">
        <f>IF(COUNTA('Procyfloc 956A'!A305,'Procyfloc 956A'!B305,'Procyfloc 956A'!C305)&gt;0,"956A","")</f>
        <v/>
      </c>
      <c r="AB2304" t="str">
        <f>IFERROR(IF(ISNUMBER('Procyfloc 956A'!A305),'Procyfloc 956A'!A305,DATEVALUE('Procyfloc 956A'!A305)),"")</f>
        <v/>
      </c>
      <c r="AC2304" t="str">
        <f>IF(AA2304="","",'Procyfloc 956A'!B305)</f>
        <v/>
      </c>
      <c r="AD2304" t="str">
        <f>IF(AA2304="","",IFERROR(1*'Procyfloc 956A'!C305,IFERROR(_xludf.NUMBERVALUE('Procyfloc 956A'!C305,".",","),IFERROR(_xludf.NUMBERVALUE('Procyfloc 956A'!C305,",","."),0))))</f>
        <v/>
      </c>
      <c r="AE2304" t="str">
        <f>IF(AA2304="","",'Procyfloc 956A'!L305)</f>
        <v/>
      </c>
      <c r="AF2304">
        <f t="shared" si="227"/>
        <v>0</v>
      </c>
      <c r="AG2304" t="str">
        <f t="shared" si="228"/>
        <v/>
      </c>
      <c r="AH2304" t="str">
        <f t="shared" si="229"/>
        <v/>
      </c>
      <c r="AI2304">
        <f t="shared" si="230"/>
        <v>0</v>
      </c>
      <c r="AJ2304">
        <f t="shared" si="231"/>
        <v>0</v>
      </c>
      <c r="AK2304">
        <v>0</v>
      </c>
      <c r="AL2304" t="str">
        <f>IF(AA2304="","",IFERROR(IF(ISNUMBER('Procyfloc 956A'!D305),'Procyfloc 956A'!D305,IF(ISNUMBER(SEARCH("12",'Procyfloc 956A'!D305)),EDATE(AB2304,12),IF(ISNUMBER(SEARCH("6",'Procyfloc 956A'!D305)),EDATE(AB2304,6),IF(ISNUMBER(SEARCH("3",'Procyfloc 956A'!D305)),EDATE(AB2304,3),DATEVALUE('Procyfloc 956A'!D305))))),""))</f>
        <v/>
      </c>
      <c r="AM2304" t="str">
        <f t="shared" ca="1" si="232"/>
        <v/>
      </c>
    </row>
    <row r="2305" spans="27:39" x14ac:dyDescent="0.3">
      <c r="AA2305" t="str">
        <f>IF(COUNTA('Procyfloc 956A'!A306,'Procyfloc 956A'!B306,'Procyfloc 956A'!C306)&gt;0,"956A","")</f>
        <v/>
      </c>
      <c r="AB2305" t="str">
        <f>IFERROR(IF(ISNUMBER('Procyfloc 956A'!A306),'Procyfloc 956A'!A306,DATEVALUE('Procyfloc 956A'!A306)),"")</f>
        <v/>
      </c>
      <c r="AC2305" t="str">
        <f>IF(AA2305="","",'Procyfloc 956A'!B306)</f>
        <v/>
      </c>
      <c r="AD2305" t="str">
        <f>IF(AA2305="","",IFERROR(1*'Procyfloc 956A'!C306,IFERROR(_xludf.NUMBERVALUE('Procyfloc 956A'!C306,".",","),IFERROR(_xludf.NUMBERVALUE('Procyfloc 956A'!C306,",","."),0))))</f>
        <v/>
      </c>
      <c r="AE2305" t="str">
        <f>IF(AA2305="","",'Procyfloc 956A'!L306)</f>
        <v/>
      </c>
      <c r="AF2305">
        <f t="shared" si="227"/>
        <v>0</v>
      </c>
      <c r="AG2305" t="str">
        <f t="shared" si="228"/>
        <v/>
      </c>
      <c r="AH2305" t="str">
        <f t="shared" si="229"/>
        <v/>
      </c>
      <c r="AI2305">
        <f t="shared" si="230"/>
        <v>0</v>
      </c>
      <c r="AJ2305">
        <f t="shared" si="231"/>
        <v>0</v>
      </c>
      <c r="AK2305">
        <v>0</v>
      </c>
      <c r="AL2305" t="str">
        <f>IF(AA2305="","",IFERROR(IF(ISNUMBER('Procyfloc 956A'!D306),'Procyfloc 956A'!D306,IF(ISNUMBER(SEARCH("12",'Procyfloc 956A'!D306)),EDATE(AB2305,12),IF(ISNUMBER(SEARCH("6",'Procyfloc 956A'!D306)),EDATE(AB2305,6),IF(ISNUMBER(SEARCH("3",'Procyfloc 956A'!D306)),EDATE(AB2305,3),DATEVALUE('Procyfloc 956A'!D306))))),""))</f>
        <v/>
      </c>
      <c r="AM2305" t="str">
        <f t="shared" ca="1" si="232"/>
        <v/>
      </c>
    </row>
    <row r="2306" spans="27:39" x14ac:dyDescent="0.3">
      <c r="AA2306" t="str">
        <f>IF(COUNTA('Procyfloc 956A'!A307,'Procyfloc 956A'!B307,'Procyfloc 956A'!C307)&gt;0,"956A","")</f>
        <v/>
      </c>
      <c r="AB2306" t="str">
        <f>IFERROR(IF(ISNUMBER('Procyfloc 956A'!A307),'Procyfloc 956A'!A307,DATEVALUE('Procyfloc 956A'!A307)),"")</f>
        <v/>
      </c>
      <c r="AC2306" t="str">
        <f>IF(AA2306="","",'Procyfloc 956A'!B307)</f>
        <v/>
      </c>
      <c r="AD2306" t="str">
        <f>IF(AA2306="","",IFERROR(1*'Procyfloc 956A'!C307,IFERROR(_xludf.NUMBERVALUE('Procyfloc 956A'!C307,".",","),IFERROR(_xludf.NUMBERVALUE('Procyfloc 956A'!C307,",","."),0))))</f>
        <v/>
      </c>
      <c r="AE2306" t="str">
        <f>IF(AA2306="","",'Procyfloc 956A'!L307)</f>
        <v/>
      </c>
      <c r="AF2306">
        <f t="shared" ref="AF2306:AF2369" si="233">IF(AA2306="",0,--AND(ISNUMBER(SEARCH("aprov",AE2306)),NOT(ISNUMBER(SEARCH("reprov",AE2306)))))</f>
        <v>0</v>
      </c>
      <c r="AG2306" t="str">
        <f t="shared" ref="AG2306:AG2369" si="234">IF(AB2306="","",YEAR(AB2306))</f>
        <v/>
      </c>
      <c r="AH2306" t="str">
        <f t="shared" ref="AH2306:AH2369" si="235">IF(AB2306="","",MONTH(AB2306))</f>
        <v/>
      </c>
      <c r="AI2306">
        <f t="shared" ref="AI2306:AI2369" si="236">IF(AB2306="",0,AB2306+ROW()/1000000)</f>
        <v>0</v>
      </c>
      <c r="AJ2306">
        <f t="shared" ref="AJ2306:AJ2369" si="237">--(AA2306&lt;&gt;"")</f>
        <v>0</v>
      </c>
      <c r="AK2306">
        <v>0</v>
      </c>
      <c r="AL2306" t="str">
        <f>IF(AA2306="","",IFERROR(IF(ISNUMBER('Procyfloc 956A'!D307),'Procyfloc 956A'!D307,IF(ISNUMBER(SEARCH("12",'Procyfloc 956A'!D307)),EDATE(AB2306,12),IF(ISNUMBER(SEARCH("6",'Procyfloc 956A'!D307)),EDATE(AB2306,6),IF(ISNUMBER(SEARCH("3",'Procyfloc 956A'!D307)),EDATE(AB2306,3),DATEVALUE('Procyfloc 956A'!D307))))),""))</f>
        <v/>
      </c>
      <c r="AM2306" t="str">
        <f t="shared" ref="AM2306:AM2369" ca="1" si="238">IF(AND(AJ2306=1,AL2306&lt;&gt;"",AL2306&gt;=TODAY(),AG2306=$W$3),AL2306+ROW()/1000000,"")</f>
        <v/>
      </c>
    </row>
    <row r="2307" spans="27:39" x14ac:dyDescent="0.3">
      <c r="AA2307" t="str">
        <f>IF(COUNTA('Procyfloc 956A'!A308,'Procyfloc 956A'!B308,'Procyfloc 956A'!C308)&gt;0,"956A","")</f>
        <v/>
      </c>
      <c r="AB2307" t="str">
        <f>IFERROR(IF(ISNUMBER('Procyfloc 956A'!A308),'Procyfloc 956A'!A308,DATEVALUE('Procyfloc 956A'!A308)),"")</f>
        <v/>
      </c>
      <c r="AC2307" t="str">
        <f>IF(AA2307="","",'Procyfloc 956A'!B308)</f>
        <v/>
      </c>
      <c r="AD2307" t="str">
        <f>IF(AA2307="","",IFERROR(1*'Procyfloc 956A'!C308,IFERROR(_xludf.NUMBERVALUE('Procyfloc 956A'!C308,".",","),IFERROR(_xludf.NUMBERVALUE('Procyfloc 956A'!C308,",","."),0))))</f>
        <v/>
      </c>
      <c r="AE2307" t="str">
        <f>IF(AA2307="","",'Procyfloc 956A'!L308)</f>
        <v/>
      </c>
      <c r="AF2307">
        <f t="shared" si="233"/>
        <v>0</v>
      </c>
      <c r="AG2307" t="str">
        <f t="shared" si="234"/>
        <v/>
      </c>
      <c r="AH2307" t="str">
        <f t="shared" si="235"/>
        <v/>
      </c>
      <c r="AI2307">
        <f t="shared" si="236"/>
        <v>0</v>
      </c>
      <c r="AJ2307">
        <f t="shared" si="237"/>
        <v>0</v>
      </c>
      <c r="AK2307">
        <v>0</v>
      </c>
      <c r="AL2307" t="str">
        <f>IF(AA2307="","",IFERROR(IF(ISNUMBER('Procyfloc 956A'!D308),'Procyfloc 956A'!D308,IF(ISNUMBER(SEARCH("12",'Procyfloc 956A'!D308)),EDATE(AB2307,12),IF(ISNUMBER(SEARCH("6",'Procyfloc 956A'!D308)),EDATE(AB2307,6),IF(ISNUMBER(SEARCH("3",'Procyfloc 956A'!D308)),EDATE(AB2307,3),DATEVALUE('Procyfloc 956A'!D308))))),""))</f>
        <v/>
      </c>
      <c r="AM2307" t="str">
        <f t="shared" ca="1" si="238"/>
        <v/>
      </c>
    </row>
    <row r="2308" spans="27:39" x14ac:dyDescent="0.3">
      <c r="AA2308" t="str">
        <f>IF(COUNTA('Procyfloc 956A'!A309,'Procyfloc 956A'!B309,'Procyfloc 956A'!C309)&gt;0,"956A","")</f>
        <v/>
      </c>
      <c r="AB2308" t="str">
        <f>IFERROR(IF(ISNUMBER('Procyfloc 956A'!A309),'Procyfloc 956A'!A309,DATEVALUE('Procyfloc 956A'!A309)),"")</f>
        <v/>
      </c>
      <c r="AC2308" t="str">
        <f>IF(AA2308="","",'Procyfloc 956A'!B309)</f>
        <v/>
      </c>
      <c r="AD2308" t="str">
        <f>IF(AA2308="","",IFERROR(1*'Procyfloc 956A'!C309,IFERROR(_xludf.NUMBERVALUE('Procyfloc 956A'!C309,".",","),IFERROR(_xludf.NUMBERVALUE('Procyfloc 956A'!C309,",","."),0))))</f>
        <v/>
      </c>
      <c r="AE2308" t="str">
        <f>IF(AA2308="","",'Procyfloc 956A'!L309)</f>
        <v/>
      </c>
      <c r="AF2308">
        <f t="shared" si="233"/>
        <v>0</v>
      </c>
      <c r="AG2308" t="str">
        <f t="shared" si="234"/>
        <v/>
      </c>
      <c r="AH2308" t="str">
        <f t="shared" si="235"/>
        <v/>
      </c>
      <c r="AI2308">
        <f t="shared" si="236"/>
        <v>0</v>
      </c>
      <c r="AJ2308">
        <f t="shared" si="237"/>
        <v>0</v>
      </c>
      <c r="AK2308">
        <v>0</v>
      </c>
      <c r="AL2308" t="str">
        <f>IF(AA2308="","",IFERROR(IF(ISNUMBER('Procyfloc 956A'!D309),'Procyfloc 956A'!D309,IF(ISNUMBER(SEARCH("12",'Procyfloc 956A'!D309)),EDATE(AB2308,12),IF(ISNUMBER(SEARCH("6",'Procyfloc 956A'!D309)),EDATE(AB2308,6),IF(ISNUMBER(SEARCH("3",'Procyfloc 956A'!D309)),EDATE(AB2308,3),DATEVALUE('Procyfloc 956A'!D309))))),""))</f>
        <v/>
      </c>
      <c r="AM2308" t="str">
        <f t="shared" ca="1" si="238"/>
        <v/>
      </c>
    </row>
    <row r="2309" spans="27:39" x14ac:dyDescent="0.3">
      <c r="AA2309" t="str">
        <f>IF(COUNTA('Procyfloc 956A'!A310,'Procyfloc 956A'!B310,'Procyfloc 956A'!C310)&gt;0,"956A","")</f>
        <v/>
      </c>
      <c r="AB2309" t="str">
        <f>IFERROR(IF(ISNUMBER('Procyfloc 956A'!A310),'Procyfloc 956A'!A310,DATEVALUE('Procyfloc 956A'!A310)),"")</f>
        <v/>
      </c>
      <c r="AC2309" t="str">
        <f>IF(AA2309="","",'Procyfloc 956A'!B310)</f>
        <v/>
      </c>
      <c r="AD2309" t="str">
        <f>IF(AA2309="","",IFERROR(1*'Procyfloc 956A'!C310,IFERROR(_xludf.NUMBERVALUE('Procyfloc 956A'!C310,".",","),IFERROR(_xludf.NUMBERVALUE('Procyfloc 956A'!C310,",","."),0))))</f>
        <v/>
      </c>
      <c r="AE2309" t="str">
        <f>IF(AA2309="","",'Procyfloc 956A'!L310)</f>
        <v/>
      </c>
      <c r="AF2309">
        <f t="shared" si="233"/>
        <v>0</v>
      </c>
      <c r="AG2309" t="str">
        <f t="shared" si="234"/>
        <v/>
      </c>
      <c r="AH2309" t="str">
        <f t="shared" si="235"/>
        <v/>
      </c>
      <c r="AI2309">
        <f t="shared" si="236"/>
        <v>0</v>
      </c>
      <c r="AJ2309">
        <f t="shared" si="237"/>
        <v>0</v>
      </c>
      <c r="AK2309">
        <v>0</v>
      </c>
      <c r="AL2309" t="str">
        <f>IF(AA2309="","",IFERROR(IF(ISNUMBER('Procyfloc 956A'!D310),'Procyfloc 956A'!D310,IF(ISNUMBER(SEARCH("12",'Procyfloc 956A'!D310)),EDATE(AB2309,12),IF(ISNUMBER(SEARCH("6",'Procyfloc 956A'!D310)),EDATE(AB2309,6),IF(ISNUMBER(SEARCH("3",'Procyfloc 956A'!D310)),EDATE(AB2309,3),DATEVALUE('Procyfloc 956A'!D310))))),""))</f>
        <v/>
      </c>
      <c r="AM2309" t="str">
        <f t="shared" ca="1" si="238"/>
        <v/>
      </c>
    </row>
    <row r="2310" spans="27:39" x14ac:dyDescent="0.3">
      <c r="AA2310" t="str">
        <f>IF(COUNTA('Procyfloc 956A'!A311,'Procyfloc 956A'!B311,'Procyfloc 956A'!C311)&gt;0,"956A","")</f>
        <v/>
      </c>
      <c r="AB2310" t="str">
        <f>IFERROR(IF(ISNUMBER('Procyfloc 956A'!A311),'Procyfloc 956A'!A311,DATEVALUE('Procyfloc 956A'!A311)),"")</f>
        <v/>
      </c>
      <c r="AC2310" t="str">
        <f>IF(AA2310="","",'Procyfloc 956A'!B311)</f>
        <v/>
      </c>
      <c r="AD2310" t="str">
        <f>IF(AA2310="","",IFERROR(1*'Procyfloc 956A'!C311,IFERROR(_xludf.NUMBERVALUE('Procyfloc 956A'!C311,".",","),IFERROR(_xludf.NUMBERVALUE('Procyfloc 956A'!C311,",","."),0))))</f>
        <v/>
      </c>
      <c r="AE2310" t="str">
        <f>IF(AA2310="","",'Procyfloc 956A'!L311)</f>
        <v/>
      </c>
      <c r="AF2310">
        <f t="shared" si="233"/>
        <v>0</v>
      </c>
      <c r="AG2310" t="str">
        <f t="shared" si="234"/>
        <v/>
      </c>
      <c r="AH2310" t="str">
        <f t="shared" si="235"/>
        <v/>
      </c>
      <c r="AI2310">
        <f t="shared" si="236"/>
        <v>0</v>
      </c>
      <c r="AJ2310">
        <f t="shared" si="237"/>
        <v>0</v>
      </c>
      <c r="AK2310">
        <v>0</v>
      </c>
      <c r="AL2310" t="str">
        <f>IF(AA2310="","",IFERROR(IF(ISNUMBER('Procyfloc 956A'!D311),'Procyfloc 956A'!D311,IF(ISNUMBER(SEARCH("12",'Procyfloc 956A'!D311)),EDATE(AB2310,12),IF(ISNUMBER(SEARCH("6",'Procyfloc 956A'!D311)),EDATE(AB2310,6),IF(ISNUMBER(SEARCH("3",'Procyfloc 956A'!D311)),EDATE(AB2310,3),DATEVALUE('Procyfloc 956A'!D311))))),""))</f>
        <v/>
      </c>
      <c r="AM2310" t="str">
        <f t="shared" ca="1" si="238"/>
        <v/>
      </c>
    </row>
    <row r="2311" spans="27:39" x14ac:dyDescent="0.3">
      <c r="AA2311" t="str">
        <f>IF(COUNTA('Procyfloc 956A'!A312,'Procyfloc 956A'!B312,'Procyfloc 956A'!C312)&gt;0,"956A","")</f>
        <v/>
      </c>
      <c r="AB2311" t="str">
        <f>IFERROR(IF(ISNUMBER('Procyfloc 956A'!A312),'Procyfloc 956A'!A312,DATEVALUE('Procyfloc 956A'!A312)),"")</f>
        <v/>
      </c>
      <c r="AC2311" t="str">
        <f>IF(AA2311="","",'Procyfloc 956A'!B312)</f>
        <v/>
      </c>
      <c r="AD2311" t="str">
        <f>IF(AA2311="","",IFERROR(1*'Procyfloc 956A'!C312,IFERROR(_xludf.NUMBERVALUE('Procyfloc 956A'!C312,".",","),IFERROR(_xludf.NUMBERVALUE('Procyfloc 956A'!C312,",","."),0))))</f>
        <v/>
      </c>
      <c r="AE2311" t="str">
        <f>IF(AA2311="","",'Procyfloc 956A'!L312)</f>
        <v/>
      </c>
      <c r="AF2311">
        <f t="shared" si="233"/>
        <v>0</v>
      </c>
      <c r="AG2311" t="str">
        <f t="shared" si="234"/>
        <v/>
      </c>
      <c r="AH2311" t="str">
        <f t="shared" si="235"/>
        <v/>
      </c>
      <c r="AI2311">
        <f t="shared" si="236"/>
        <v>0</v>
      </c>
      <c r="AJ2311">
        <f t="shared" si="237"/>
        <v>0</v>
      </c>
      <c r="AK2311">
        <v>0</v>
      </c>
      <c r="AL2311" t="str">
        <f>IF(AA2311="","",IFERROR(IF(ISNUMBER('Procyfloc 956A'!D312),'Procyfloc 956A'!D312,IF(ISNUMBER(SEARCH("12",'Procyfloc 956A'!D312)),EDATE(AB2311,12),IF(ISNUMBER(SEARCH("6",'Procyfloc 956A'!D312)),EDATE(AB2311,6),IF(ISNUMBER(SEARCH("3",'Procyfloc 956A'!D312)),EDATE(AB2311,3),DATEVALUE('Procyfloc 956A'!D312))))),""))</f>
        <v/>
      </c>
      <c r="AM2311" t="str">
        <f t="shared" ca="1" si="238"/>
        <v/>
      </c>
    </row>
    <row r="2312" spans="27:39" x14ac:dyDescent="0.3">
      <c r="AA2312" t="str">
        <f>IF(COUNTA('Procyfloc 956A'!A313,'Procyfloc 956A'!B313,'Procyfloc 956A'!C313)&gt;0,"956A","")</f>
        <v/>
      </c>
      <c r="AB2312" t="str">
        <f>IFERROR(IF(ISNUMBER('Procyfloc 956A'!A313),'Procyfloc 956A'!A313,DATEVALUE('Procyfloc 956A'!A313)),"")</f>
        <v/>
      </c>
      <c r="AC2312" t="str">
        <f>IF(AA2312="","",'Procyfloc 956A'!B313)</f>
        <v/>
      </c>
      <c r="AD2312" t="str">
        <f>IF(AA2312="","",IFERROR(1*'Procyfloc 956A'!C313,IFERROR(_xludf.NUMBERVALUE('Procyfloc 956A'!C313,".",","),IFERROR(_xludf.NUMBERVALUE('Procyfloc 956A'!C313,",","."),0))))</f>
        <v/>
      </c>
      <c r="AE2312" t="str">
        <f>IF(AA2312="","",'Procyfloc 956A'!L313)</f>
        <v/>
      </c>
      <c r="AF2312">
        <f t="shared" si="233"/>
        <v>0</v>
      </c>
      <c r="AG2312" t="str">
        <f t="shared" si="234"/>
        <v/>
      </c>
      <c r="AH2312" t="str">
        <f t="shared" si="235"/>
        <v/>
      </c>
      <c r="AI2312">
        <f t="shared" si="236"/>
        <v>0</v>
      </c>
      <c r="AJ2312">
        <f t="shared" si="237"/>
        <v>0</v>
      </c>
      <c r="AK2312">
        <v>0</v>
      </c>
      <c r="AL2312" t="str">
        <f>IF(AA2312="","",IFERROR(IF(ISNUMBER('Procyfloc 956A'!D313),'Procyfloc 956A'!D313,IF(ISNUMBER(SEARCH("12",'Procyfloc 956A'!D313)),EDATE(AB2312,12),IF(ISNUMBER(SEARCH("6",'Procyfloc 956A'!D313)),EDATE(AB2312,6),IF(ISNUMBER(SEARCH("3",'Procyfloc 956A'!D313)),EDATE(AB2312,3),DATEVALUE('Procyfloc 956A'!D313))))),""))</f>
        <v/>
      </c>
      <c r="AM2312" t="str">
        <f t="shared" ca="1" si="238"/>
        <v/>
      </c>
    </row>
    <row r="2313" spans="27:39" x14ac:dyDescent="0.3">
      <c r="AA2313" t="str">
        <f>IF(COUNTA('Procyfloc 956A'!A314,'Procyfloc 956A'!B314,'Procyfloc 956A'!C314)&gt;0,"956A","")</f>
        <v/>
      </c>
      <c r="AB2313" t="str">
        <f>IFERROR(IF(ISNUMBER('Procyfloc 956A'!A314),'Procyfloc 956A'!A314,DATEVALUE('Procyfloc 956A'!A314)),"")</f>
        <v/>
      </c>
      <c r="AC2313" t="str">
        <f>IF(AA2313="","",'Procyfloc 956A'!B314)</f>
        <v/>
      </c>
      <c r="AD2313" t="str">
        <f>IF(AA2313="","",IFERROR(1*'Procyfloc 956A'!C314,IFERROR(_xludf.NUMBERVALUE('Procyfloc 956A'!C314,".",","),IFERROR(_xludf.NUMBERVALUE('Procyfloc 956A'!C314,",","."),0))))</f>
        <v/>
      </c>
      <c r="AE2313" t="str">
        <f>IF(AA2313="","",'Procyfloc 956A'!L314)</f>
        <v/>
      </c>
      <c r="AF2313">
        <f t="shared" si="233"/>
        <v>0</v>
      </c>
      <c r="AG2313" t="str">
        <f t="shared" si="234"/>
        <v/>
      </c>
      <c r="AH2313" t="str">
        <f t="shared" si="235"/>
        <v/>
      </c>
      <c r="AI2313">
        <f t="shared" si="236"/>
        <v>0</v>
      </c>
      <c r="AJ2313">
        <f t="shared" si="237"/>
        <v>0</v>
      </c>
      <c r="AK2313">
        <v>0</v>
      </c>
      <c r="AL2313" t="str">
        <f>IF(AA2313="","",IFERROR(IF(ISNUMBER('Procyfloc 956A'!D314),'Procyfloc 956A'!D314,IF(ISNUMBER(SEARCH("12",'Procyfloc 956A'!D314)),EDATE(AB2313,12),IF(ISNUMBER(SEARCH("6",'Procyfloc 956A'!D314)),EDATE(AB2313,6),IF(ISNUMBER(SEARCH("3",'Procyfloc 956A'!D314)),EDATE(AB2313,3),DATEVALUE('Procyfloc 956A'!D314))))),""))</f>
        <v/>
      </c>
      <c r="AM2313" t="str">
        <f t="shared" ca="1" si="238"/>
        <v/>
      </c>
    </row>
    <row r="2314" spans="27:39" x14ac:dyDescent="0.3">
      <c r="AA2314" t="str">
        <f>IF(COUNTA('Procyfloc 956A'!A315,'Procyfloc 956A'!B315,'Procyfloc 956A'!C315)&gt;0,"956A","")</f>
        <v/>
      </c>
      <c r="AB2314" t="str">
        <f>IFERROR(IF(ISNUMBER('Procyfloc 956A'!A315),'Procyfloc 956A'!A315,DATEVALUE('Procyfloc 956A'!A315)),"")</f>
        <v/>
      </c>
      <c r="AC2314" t="str">
        <f>IF(AA2314="","",'Procyfloc 956A'!B315)</f>
        <v/>
      </c>
      <c r="AD2314" t="str">
        <f>IF(AA2314="","",IFERROR(1*'Procyfloc 956A'!C315,IFERROR(_xludf.NUMBERVALUE('Procyfloc 956A'!C315,".",","),IFERROR(_xludf.NUMBERVALUE('Procyfloc 956A'!C315,",","."),0))))</f>
        <v/>
      </c>
      <c r="AE2314" t="str">
        <f>IF(AA2314="","",'Procyfloc 956A'!L315)</f>
        <v/>
      </c>
      <c r="AF2314">
        <f t="shared" si="233"/>
        <v>0</v>
      </c>
      <c r="AG2314" t="str">
        <f t="shared" si="234"/>
        <v/>
      </c>
      <c r="AH2314" t="str">
        <f t="shared" si="235"/>
        <v/>
      </c>
      <c r="AI2314">
        <f t="shared" si="236"/>
        <v>0</v>
      </c>
      <c r="AJ2314">
        <f t="shared" si="237"/>
        <v>0</v>
      </c>
      <c r="AK2314">
        <v>0</v>
      </c>
      <c r="AL2314" t="str">
        <f>IF(AA2314="","",IFERROR(IF(ISNUMBER('Procyfloc 956A'!D315),'Procyfloc 956A'!D315,IF(ISNUMBER(SEARCH("12",'Procyfloc 956A'!D315)),EDATE(AB2314,12),IF(ISNUMBER(SEARCH("6",'Procyfloc 956A'!D315)),EDATE(AB2314,6),IF(ISNUMBER(SEARCH("3",'Procyfloc 956A'!D315)),EDATE(AB2314,3),DATEVALUE('Procyfloc 956A'!D315))))),""))</f>
        <v/>
      </c>
      <c r="AM2314" t="str">
        <f t="shared" ca="1" si="238"/>
        <v/>
      </c>
    </row>
    <row r="2315" spans="27:39" x14ac:dyDescent="0.3">
      <c r="AA2315" t="str">
        <f>IF(COUNTA('Procyfloc 956A'!A316,'Procyfloc 956A'!B316,'Procyfloc 956A'!C316)&gt;0,"956A","")</f>
        <v/>
      </c>
      <c r="AB2315" t="str">
        <f>IFERROR(IF(ISNUMBER('Procyfloc 956A'!A316),'Procyfloc 956A'!A316,DATEVALUE('Procyfloc 956A'!A316)),"")</f>
        <v/>
      </c>
      <c r="AC2315" t="str">
        <f>IF(AA2315="","",'Procyfloc 956A'!B316)</f>
        <v/>
      </c>
      <c r="AD2315" t="str">
        <f>IF(AA2315="","",IFERROR(1*'Procyfloc 956A'!C316,IFERROR(_xludf.NUMBERVALUE('Procyfloc 956A'!C316,".",","),IFERROR(_xludf.NUMBERVALUE('Procyfloc 956A'!C316,",","."),0))))</f>
        <v/>
      </c>
      <c r="AE2315" t="str">
        <f>IF(AA2315="","",'Procyfloc 956A'!L316)</f>
        <v/>
      </c>
      <c r="AF2315">
        <f t="shared" si="233"/>
        <v>0</v>
      </c>
      <c r="AG2315" t="str">
        <f t="shared" si="234"/>
        <v/>
      </c>
      <c r="AH2315" t="str">
        <f t="shared" si="235"/>
        <v/>
      </c>
      <c r="AI2315">
        <f t="shared" si="236"/>
        <v>0</v>
      </c>
      <c r="AJ2315">
        <f t="shared" si="237"/>
        <v>0</v>
      </c>
      <c r="AK2315">
        <v>0</v>
      </c>
      <c r="AL2315" t="str">
        <f>IF(AA2315="","",IFERROR(IF(ISNUMBER('Procyfloc 956A'!D316),'Procyfloc 956A'!D316,IF(ISNUMBER(SEARCH("12",'Procyfloc 956A'!D316)),EDATE(AB2315,12),IF(ISNUMBER(SEARCH("6",'Procyfloc 956A'!D316)),EDATE(AB2315,6),IF(ISNUMBER(SEARCH("3",'Procyfloc 956A'!D316)),EDATE(AB2315,3),DATEVALUE('Procyfloc 956A'!D316))))),""))</f>
        <v/>
      </c>
      <c r="AM2315" t="str">
        <f t="shared" ca="1" si="238"/>
        <v/>
      </c>
    </row>
    <row r="2316" spans="27:39" x14ac:dyDescent="0.3">
      <c r="AA2316" t="str">
        <f>IF(COUNTA('Procyfloc 956A'!A317,'Procyfloc 956A'!B317,'Procyfloc 956A'!C317)&gt;0,"956A","")</f>
        <v/>
      </c>
      <c r="AB2316" t="str">
        <f>IFERROR(IF(ISNUMBER('Procyfloc 956A'!A317),'Procyfloc 956A'!A317,DATEVALUE('Procyfloc 956A'!A317)),"")</f>
        <v/>
      </c>
      <c r="AC2316" t="str">
        <f>IF(AA2316="","",'Procyfloc 956A'!B317)</f>
        <v/>
      </c>
      <c r="AD2316" t="str">
        <f>IF(AA2316="","",IFERROR(1*'Procyfloc 956A'!C317,IFERROR(_xludf.NUMBERVALUE('Procyfloc 956A'!C317,".",","),IFERROR(_xludf.NUMBERVALUE('Procyfloc 956A'!C317,",","."),0))))</f>
        <v/>
      </c>
      <c r="AE2316" t="str">
        <f>IF(AA2316="","",'Procyfloc 956A'!L317)</f>
        <v/>
      </c>
      <c r="AF2316">
        <f t="shared" si="233"/>
        <v>0</v>
      </c>
      <c r="AG2316" t="str">
        <f t="shared" si="234"/>
        <v/>
      </c>
      <c r="AH2316" t="str">
        <f t="shared" si="235"/>
        <v/>
      </c>
      <c r="AI2316">
        <f t="shared" si="236"/>
        <v>0</v>
      </c>
      <c r="AJ2316">
        <f t="shared" si="237"/>
        <v>0</v>
      </c>
      <c r="AK2316">
        <v>0</v>
      </c>
      <c r="AL2316" t="str">
        <f>IF(AA2316="","",IFERROR(IF(ISNUMBER('Procyfloc 956A'!D317),'Procyfloc 956A'!D317,IF(ISNUMBER(SEARCH("12",'Procyfloc 956A'!D317)),EDATE(AB2316,12),IF(ISNUMBER(SEARCH("6",'Procyfloc 956A'!D317)),EDATE(AB2316,6),IF(ISNUMBER(SEARCH("3",'Procyfloc 956A'!D317)),EDATE(AB2316,3),DATEVALUE('Procyfloc 956A'!D317))))),""))</f>
        <v/>
      </c>
      <c r="AM2316" t="str">
        <f t="shared" ca="1" si="238"/>
        <v/>
      </c>
    </row>
    <row r="2317" spans="27:39" x14ac:dyDescent="0.3">
      <c r="AA2317" t="str">
        <f>IF(COUNTA('Procyfloc 956A'!A318,'Procyfloc 956A'!B318,'Procyfloc 956A'!C318)&gt;0,"956A","")</f>
        <v/>
      </c>
      <c r="AB2317" t="str">
        <f>IFERROR(IF(ISNUMBER('Procyfloc 956A'!A318),'Procyfloc 956A'!A318,DATEVALUE('Procyfloc 956A'!A318)),"")</f>
        <v/>
      </c>
      <c r="AC2317" t="str">
        <f>IF(AA2317="","",'Procyfloc 956A'!B318)</f>
        <v/>
      </c>
      <c r="AD2317" t="str">
        <f>IF(AA2317="","",IFERROR(1*'Procyfloc 956A'!C318,IFERROR(_xludf.NUMBERVALUE('Procyfloc 956A'!C318,".",","),IFERROR(_xludf.NUMBERVALUE('Procyfloc 956A'!C318,",","."),0))))</f>
        <v/>
      </c>
      <c r="AE2317" t="str">
        <f>IF(AA2317="","",'Procyfloc 956A'!L318)</f>
        <v/>
      </c>
      <c r="AF2317">
        <f t="shared" si="233"/>
        <v>0</v>
      </c>
      <c r="AG2317" t="str">
        <f t="shared" si="234"/>
        <v/>
      </c>
      <c r="AH2317" t="str">
        <f t="shared" si="235"/>
        <v/>
      </c>
      <c r="AI2317">
        <f t="shared" si="236"/>
        <v>0</v>
      </c>
      <c r="AJ2317">
        <f t="shared" si="237"/>
        <v>0</v>
      </c>
      <c r="AK2317">
        <v>0</v>
      </c>
      <c r="AL2317" t="str">
        <f>IF(AA2317="","",IFERROR(IF(ISNUMBER('Procyfloc 956A'!D318),'Procyfloc 956A'!D318,IF(ISNUMBER(SEARCH("12",'Procyfloc 956A'!D318)),EDATE(AB2317,12),IF(ISNUMBER(SEARCH("6",'Procyfloc 956A'!D318)),EDATE(AB2317,6),IF(ISNUMBER(SEARCH("3",'Procyfloc 956A'!D318)),EDATE(AB2317,3),DATEVALUE('Procyfloc 956A'!D318))))),""))</f>
        <v/>
      </c>
      <c r="AM2317" t="str">
        <f t="shared" ca="1" si="238"/>
        <v/>
      </c>
    </row>
    <row r="2318" spans="27:39" x14ac:dyDescent="0.3">
      <c r="AA2318" t="str">
        <f>IF(COUNTA('Procyfloc 956A'!A319,'Procyfloc 956A'!B319,'Procyfloc 956A'!C319)&gt;0,"956A","")</f>
        <v/>
      </c>
      <c r="AB2318" t="str">
        <f>IFERROR(IF(ISNUMBER('Procyfloc 956A'!A319),'Procyfloc 956A'!A319,DATEVALUE('Procyfloc 956A'!A319)),"")</f>
        <v/>
      </c>
      <c r="AC2318" t="str">
        <f>IF(AA2318="","",'Procyfloc 956A'!B319)</f>
        <v/>
      </c>
      <c r="AD2318" t="str">
        <f>IF(AA2318="","",IFERROR(1*'Procyfloc 956A'!C319,IFERROR(_xludf.NUMBERVALUE('Procyfloc 956A'!C319,".",","),IFERROR(_xludf.NUMBERVALUE('Procyfloc 956A'!C319,",","."),0))))</f>
        <v/>
      </c>
      <c r="AE2318" t="str">
        <f>IF(AA2318="","",'Procyfloc 956A'!L319)</f>
        <v/>
      </c>
      <c r="AF2318">
        <f t="shared" si="233"/>
        <v>0</v>
      </c>
      <c r="AG2318" t="str">
        <f t="shared" si="234"/>
        <v/>
      </c>
      <c r="AH2318" t="str">
        <f t="shared" si="235"/>
        <v/>
      </c>
      <c r="AI2318">
        <f t="shared" si="236"/>
        <v>0</v>
      </c>
      <c r="AJ2318">
        <f t="shared" si="237"/>
        <v>0</v>
      </c>
      <c r="AK2318">
        <v>0</v>
      </c>
      <c r="AL2318" t="str">
        <f>IF(AA2318="","",IFERROR(IF(ISNUMBER('Procyfloc 956A'!D319),'Procyfloc 956A'!D319,IF(ISNUMBER(SEARCH("12",'Procyfloc 956A'!D319)),EDATE(AB2318,12),IF(ISNUMBER(SEARCH("6",'Procyfloc 956A'!D319)),EDATE(AB2318,6),IF(ISNUMBER(SEARCH("3",'Procyfloc 956A'!D319)),EDATE(AB2318,3),DATEVALUE('Procyfloc 956A'!D319))))),""))</f>
        <v/>
      </c>
      <c r="AM2318" t="str">
        <f t="shared" ca="1" si="238"/>
        <v/>
      </c>
    </row>
    <row r="2319" spans="27:39" x14ac:dyDescent="0.3">
      <c r="AA2319" t="str">
        <f>IF(COUNTA('Procyfloc 956A'!A320,'Procyfloc 956A'!B320,'Procyfloc 956A'!C320)&gt;0,"956A","")</f>
        <v/>
      </c>
      <c r="AB2319" t="str">
        <f>IFERROR(IF(ISNUMBER('Procyfloc 956A'!A320),'Procyfloc 956A'!A320,DATEVALUE('Procyfloc 956A'!A320)),"")</f>
        <v/>
      </c>
      <c r="AC2319" t="str">
        <f>IF(AA2319="","",'Procyfloc 956A'!B320)</f>
        <v/>
      </c>
      <c r="AD2319" t="str">
        <f>IF(AA2319="","",IFERROR(1*'Procyfloc 956A'!C320,IFERROR(_xludf.NUMBERVALUE('Procyfloc 956A'!C320,".",","),IFERROR(_xludf.NUMBERVALUE('Procyfloc 956A'!C320,",","."),0))))</f>
        <v/>
      </c>
      <c r="AE2319" t="str">
        <f>IF(AA2319="","",'Procyfloc 956A'!L320)</f>
        <v/>
      </c>
      <c r="AF2319">
        <f t="shared" si="233"/>
        <v>0</v>
      </c>
      <c r="AG2319" t="str">
        <f t="shared" si="234"/>
        <v/>
      </c>
      <c r="AH2319" t="str">
        <f t="shared" si="235"/>
        <v/>
      </c>
      <c r="AI2319">
        <f t="shared" si="236"/>
        <v>0</v>
      </c>
      <c r="AJ2319">
        <f t="shared" si="237"/>
        <v>0</v>
      </c>
      <c r="AK2319">
        <v>0</v>
      </c>
      <c r="AL2319" t="str">
        <f>IF(AA2319="","",IFERROR(IF(ISNUMBER('Procyfloc 956A'!D320),'Procyfloc 956A'!D320,IF(ISNUMBER(SEARCH("12",'Procyfloc 956A'!D320)),EDATE(AB2319,12),IF(ISNUMBER(SEARCH("6",'Procyfloc 956A'!D320)),EDATE(AB2319,6),IF(ISNUMBER(SEARCH("3",'Procyfloc 956A'!D320)),EDATE(AB2319,3),DATEVALUE('Procyfloc 956A'!D320))))),""))</f>
        <v/>
      </c>
      <c r="AM2319" t="str">
        <f t="shared" ca="1" si="238"/>
        <v/>
      </c>
    </row>
    <row r="2320" spans="27:39" x14ac:dyDescent="0.3">
      <c r="AA2320" t="str">
        <f>IF(COUNTA('Procyfloc 956A'!A321,'Procyfloc 956A'!B321,'Procyfloc 956A'!C321)&gt;0,"956A","")</f>
        <v/>
      </c>
      <c r="AB2320" t="str">
        <f>IFERROR(IF(ISNUMBER('Procyfloc 956A'!A321),'Procyfloc 956A'!A321,DATEVALUE('Procyfloc 956A'!A321)),"")</f>
        <v/>
      </c>
      <c r="AC2320" t="str">
        <f>IF(AA2320="","",'Procyfloc 956A'!B321)</f>
        <v/>
      </c>
      <c r="AD2320" t="str">
        <f>IF(AA2320="","",IFERROR(1*'Procyfloc 956A'!C321,IFERROR(_xludf.NUMBERVALUE('Procyfloc 956A'!C321,".",","),IFERROR(_xludf.NUMBERVALUE('Procyfloc 956A'!C321,",","."),0))))</f>
        <v/>
      </c>
      <c r="AE2320" t="str">
        <f>IF(AA2320="","",'Procyfloc 956A'!L321)</f>
        <v/>
      </c>
      <c r="AF2320">
        <f t="shared" si="233"/>
        <v>0</v>
      </c>
      <c r="AG2320" t="str">
        <f t="shared" si="234"/>
        <v/>
      </c>
      <c r="AH2320" t="str">
        <f t="shared" si="235"/>
        <v/>
      </c>
      <c r="AI2320">
        <f t="shared" si="236"/>
        <v>0</v>
      </c>
      <c r="AJ2320">
        <f t="shared" si="237"/>
        <v>0</v>
      </c>
      <c r="AK2320">
        <v>0</v>
      </c>
      <c r="AL2320" t="str">
        <f>IF(AA2320="","",IFERROR(IF(ISNUMBER('Procyfloc 956A'!D321),'Procyfloc 956A'!D321,IF(ISNUMBER(SEARCH("12",'Procyfloc 956A'!D321)),EDATE(AB2320,12),IF(ISNUMBER(SEARCH("6",'Procyfloc 956A'!D321)),EDATE(AB2320,6),IF(ISNUMBER(SEARCH("3",'Procyfloc 956A'!D321)),EDATE(AB2320,3),DATEVALUE('Procyfloc 956A'!D321))))),""))</f>
        <v/>
      </c>
      <c r="AM2320" t="str">
        <f t="shared" ca="1" si="238"/>
        <v/>
      </c>
    </row>
    <row r="2321" spans="27:39" x14ac:dyDescent="0.3">
      <c r="AA2321" t="str">
        <f>IF(COUNTA('Procyfloc 956A'!A322,'Procyfloc 956A'!B322,'Procyfloc 956A'!C322)&gt;0,"956A","")</f>
        <v/>
      </c>
      <c r="AB2321" t="str">
        <f>IFERROR(IF(ISNUMBER('Procyfloc 956A'!A322),'Procyfloc 956A'!A322,DATEVALUE('Procyfloc 956A'!A322)),"")</f>
        <v/>
      </c>
      <c r="AC2321" t="str">
        <f>IF(AA2321="","",'Procyfloc 956A'!B322)</f>
        <v/>
      </c>
      <c r="AD2321" t="str">
        <f>IF(AA2321="","",IFERROR(1*'Procyfloc 956A'!C322,IFERROR(_xludf.NUMBERVALUE('Procyfloc 956A'!C322,".",","),IFERROR(_xludf.NUMBERVALUE('Procyfloc 956A'!C322,",","."),0))))</f>
        <v/>
      </c>
      <c r="AE2321" t="str">
        <f>IF(AA2321="","",'Procyfloc 956A'!L322)</f>
        <v/>
      </c>
      <c r="AF2321">
        <f t="shared" si="233"/>
        <v>0</v>
      </c>
      <c r="AG2321" t="str">
        <f t="shared" si="234"/>
        <v/>
      </c>
      <c r="AH2321" t="str">
        <f t="shared" si="235"/>
        <v/>
      </c>
      <c r="AI2321">
        <f t="shared" si="236"/>
        <v>0</v>
      </c>
      <c r="AJ2321">
        <f t="shared" si="237"/>
        <v>0</v>
      </c>
      <c r="AK2321">
        <v>0</v>
      </c>
      <c r="AL2321" t="str">
        <f>IF(AA2321="","",IFERROR(IF(ISNUMBER('Procyfloc 956A'!D322),'Procyfloc 956A'!D322,IF(ISNUMBER(SEARCH("12",'Procyfloc 956A'!D322)),EDATE(AB2321,12),IF(ISNUMBER(SEARCH("6",'Procyfloc 956A'!D322)),EDATE(AB2321,6),IF(ISNUMBER(SEARCH("3",'Procyfloc 956A'!D322)),EDATE(AB2321,3),DATEVALUE('Procyfloc 956A'!D322))))),""))</f>
        <v/>
      </c>
      <c r="AM2321" t="str">
        <f t="shared" ca="1" si="238"/>
        <v/>
      </c>
    </row>
    <row r="2322" spans="27:39" x14ac:dyDescent="0.3">
      <c r="AA2322" t="str">
        <f>IF(COUNTA('Procyfloc 956A'!A323,'Procyfloc 956A'!B323,'Procyfloc 956A'!C323)&gt;0,"956A","")</f>
        <v/>
      </c>
      <c r="AB2322" t="str">
        <f>IFERROR(IF(ISNUMBER('Procyfloc 956A'!A323),'Procyfloc 956A'!A323,DATEVALUE('Procyfloc 956A'!A323)),"")</f>
        <v/>
      </c>
      <c r="AC2322" t="str">
        <f>IF(AA2322="","",'Procyfloc 956A'!B323)</f>
        <v/>
      </c>
      <c r="AD2322" t="str">
        <f>IF(AA2322="","",IFERROR(1*'Procyfloc 956A'!C323,IFERROR(_xludf.NUMBERVALUE('Procyfloc 956A'!C323,".",","),IFERROR(_xludf.NUMBERVALUE('Procyfloc 956A'!C323,",","."),0))))</f>
        <v/>
      </c>
      <c r="AE2322" t="str">
        <f>IF(AA2322="","",'Procyfloc 956A'!L323)</f>
        <v/>
      </c>
      <c r="AF2322">
        <f t="shared" si="233"/>
        <v>0</v>
      </c>
      <c r="AG2322" t="str">
        <f t="shared" si="234"/>
        <v/>
      </c>
      <c r="AH2322" t="str">
        <f t="shared" si="235"/>
        <v/>
      </c>
      <c r="AI2322">
        <f t="shared" si="236"/>
        <v>0</v>
      </c>
      <c r="AJ2322">
        <f t="shared" si="237"/>
        <v>0</v>
      </c>
      <c r="AK2322">
        <v>0</v>
      </c>
      <c r="AL2322" t="str">
        <f>IF(AA2322="","",IFERROR(IF(ISNUMBER('Procyfloc 956A'!D323),'Procyfloc 956A'!D323,IF(ISNUMBER(SEARCH("12",'Procyfloc 956A'!D323)),EDATE(AB2322,12),IF(ISNUMBER(SEARCH("6",'Procyfloc 956A'!D323)),EDATE(AB2322,6),IF(ISNUMBER(SEARCH("3",'Procyfloc 956A'!D323)),EDATE(AB2322,3),DATEVALUE('Procyfloc 956A'!D323))))),""))</f>
        <v/>
      </c>
      <c r="AM2322" t="str">
        <f t="shared" ca="1" si="238"/>
        <v/>
      </c>
    </row>
    <row r="2323" spans="27:39" x14ac:dyDescent="0.3">
      <c r="AA2323" t="str">
        <f>IF(COUNTA('Procyfloc 956A'!A324,'Procyfloc 956A'!B324,'Procyfloc 956A'!C324)&gt;0,"956A","")</f>
        <v/>
      </c>
      <c r="AB2323" t="str">
        <f>IFERROR(IF(ISNUMBER('Procyfloc 956A'!A324),'Procyfloc 956A'!A324,DATEVALUE('Procyfloc 956A'!A324)),"")</f>
        <v/>
      </c>
      <c r="AC2323" t="str">
        <f>IF(AA2323="","",'Procyfloc 956A'!B324)</f>
        <v/>
      </c>
      <c r="AD2323" t="str">
        <f>IF(AA2323="","",IFERROR(1*'Procyfloc 956A'!C324,IFERROR(_xludf.NUMBERVALUE('Procyfloc 956A'!C324,".",","),IFERROR(_xludf.NUMBERVALUE('Procyfloc 956A'!C324,",","."),0))))</f>
        <v/>
      </c>
      <c r="AE2323" t="str">
        <f>IF(AA2323="","",'Procyfloc 956A'!L324)</f>
        <v/>
      </c>
      <c r="AF2323">
        <f t="shared" si="233"/>
        <v>0</v>
      </c>
      <c r="AG2323" t="str">
        <f t="shared" si="234"/>
        <v/>
      </c>
      <c r="AH2323" t="str">
        <f t="shared" si="235"/>
        <v/>
      </c>
      <c r="AI2323">
        <f t="shared" si="236"/>
        <v>0</v>
      </c>
      <c r="AJ2323">
        <f t="shared" si="237"/>
        <v>0</v>
      </c>
      <c r="AK2323">
        <v>0</v>
      </c>
      <c r="AL2323" t="str">
        <f>IF(AA2323="","",IFERROR(IF(ISNUMBER('Procyfloc 956A'!D324),'Procyfloc 956A'!D324,IF(ISNUMBER(SEARCH("12",'Procyfloc 956A'!D324)),EDATE(AB2323,12),IF(ISNUMBER(SEARCH("6",'Procyfloc 956A'!D324)),EDATE(AB2323,6),IF(ISNUMBER(SEARCH("3",'Procyfloc 956A'!D324)),EDATE(AB2323,3),DATEVALUE('Procyfloc 956A'!D324))))),""))</f>
        <v/>
      </c>
      <c r="AM2323" t="str">
        <f t="shared" ca="1" si="238"/>
        <v/>
      </c>
    </row>
    <row r="2324" spans="27:39" x14ac:dyDescent="0.3">
      <c r="AA2324" t="str">
        <f>IF(COUNTA('Procyfloc 956A'!A325,'Procyfloc 956A'!B325,'Procyfloc 956A'!C325)&gt;0,"956A","")</f>
        <v/>
      </c>
      <c r="AB2324" t="str">
        <f>IFERROR(IF(ISNUMBER('Procyfloc 956A'!A325),'Procyfloc 956A'!A325,DATEVALUE('Procyfloc 956A'!A325)),"")</f>
        <v/>
      </c>
      <c r="AC2324" t="str">
        <f>IF(AA2324="","",'Procyfloc 956A'!B325)</f>
        <v/>
      </c>
      <c r="AD2324" t="str">
        <f>IF(AA2324="","",IFERROR(1*'Procyfloc 956A'!C325,IFERROR(_xludf.NUMBERVALUE('Procyfloc 956A'!C325,".",","),IFERROR(_xludf.NUMBERVALUE('Procyfloc 956A'!C325,",","."),0))))</f>
        <v/>
      </c>
      <c r="AE2324" t="str">
        <f>IF(AA2324="","",'Procyfloc 956A'!L325)</f>
        <v/>
      </c>
      <c r="AF2324">
        <f t="shared" si="233"/>
        <v>0</v>
      </c>
      <c r="AG2324" t="str">
        <f t="shared" si="234"/>
        <v/>
      </c>
      <c r="AH2324" t="str">
        <f t="shared" si="235"/>
        <v/>
      </c>
      <c r="AI2324">
        <f t="shared" si="236"/>
        <v>0</v>
      </c>
      <c r="AJ2324">
        <f t="shared" si="237"/>
        <v>0</v>
      </c>
      <c r="AK2324">
        <v>0</v>
      </c>
      <c r="AL2324" t="str">
        <f>IF(AA2324="","",IFERROR(IF(ISNUMBER('Procyfloc 956A'!D325),'Procyfloc 956A'!D325,IF(ISNUMBER(SEARCH("12",'Procyfloc 956A'!D325)),EDATE(AB2324,12),IF(ISNUMBER(SEARCH("6",'Procyfloc 956A'!D325)),EDATE(AB2324,6),IF(ISNUMBER(SEARCH("3",'Procyfloc 956A'!D325)),EDATE(AB2324,3),DATEVALUE('Procyfloc 956A'!D325))))),""))</f>
        <v/>
      </c>
      <c r="AM2324" t="str">
        <f t="shared" ca="1" si="238"/>
        <v/>
      </c>
    </row>
    <row r="2325" spans="27:39" x14ac:dyDescent="0.3">
      <c r="AA2325" t="str">
        <f>IF(COUNTA('Procyfloc 956A'!A326,'Procyfloc 956A'!B326,'Procyfloc 956A'!C326)&gt;0,"956A","")</f>
        <v/>
      </c>
      <c r="AB2325" t="str">
        <f>IFERROR(IF(ISNUMBER('Procyfloc 956A'!A326),'Procyfloc 956A'!A326,DATEVALUE('Procyfloc 956A'!A326)),"")</f>
        <v/>
      </c>
      <c r="AC2325" t="str">
        <f>IF(AA2325="","",'Procyfloc 956A'!B326)</f>
        <v/>
      </c>
      <c r="AD2325" t="str">
        <f>IF(AA2325="","",IFERROR(1*'Procyfloc 956A'!C326,IFERROR(_xludf.NUMBERVALUE('Procyfloc 956A'!C326,".",","),IFERROR(_xludf.NUMBERVALUE('Procyfloc 956A'!C326,",","."),0))))</f>
        <v/>
      </c>
      <c r="AE2325" t="str">
        <f>IF(AA2325="","",'Procyfloc 956A'!L326)</f>
        <v/>
      </c>
      <c r="AF2325">
        <f t="shared" si="233"/>
        <v>0</v>
      </c>
      <c r="AG2325" t="str">
        <f t="shared" si="234"/>
        <v/>
      </c>
      <c r="AH2325" t="str">
        <f t="shared" si="235"/>
        <v/>
      </c>
      <c r="AI2325">
        <f t="shared" si="236"/>
        <v>0</v>
      </c>
      <c r="AJ2325">
        <f t="shared" si="237"/>
        <v>0</v>
      </c>
      <c r="AK2325">
        <v>0</v>
      </c>
      <c r="AL2325" t="str">
        <f>IF(AA2325="","",IFERROR(IF(ISNUMBER('Procyfloc 956A'!D326),'Procyfloc 956A'!D326,IF(ISNUMBER(SEARCH("12",'Procyfloc 956A'!D326)),EDATE(AB2325,12),IF(ISNUMBER(SEARCH("6",'Procyfloc 956A'!D326)),EDATE(AB2325,6),IF(ISNUMBER(SEARCH("3",'Procyfloc 956A'!D326)),EDATE(AB2325,3),DATEVALUE('Procyfloc 956A'!D326))))),""))</f>
        <v/>
      </c>
      <c r="AM2325" t="str">
        <f t="shared" ca="1" si="238"/>
        <v/>
      </c>
    </row>
    <row r="2326" spans="27:39" x14ac:dyDescent="0.3">
      <c r="AA2326" t="str">
        <f>IF(COUNTA('Procyfloc 956A'!A327,'Procyfloc 956A'!B327,'Procyfloc 956A'!C327)&gt;0,"956A","")</f>
        <v/>
      </c>
      <c r="AB2326" t="str">
        <f>IFERROR(IF(ISNUMBER('Procyfloc 956A'!A327),'Procyfloc 956A'!A327,DATEVALUE('Procyfloc 956A'!A327)),"")</f>
        <v/>
      </c>
      <c r="AC2326" t="str">
        <f>IF(AA2326="","",'Procyfloc 956A'!B327)</f>
        <v/>
      </c>
      <c r="AD2326" t="str">
        <f>IF(AA2326="","",IFERROR(1*'Procyfloc 956A'!C327,IFERROR(_xludf.NUMBERVALUE('Procyfloc 956A'!C327,".",","),IFERROR(_xludf.NUMBERVALUE('Procyfloc 956A'!C327,",","."),0))))</f>
        <v/>
      </c>
      <c r="AE2326" t="str">
        <f>IF(AA2326="","",'Procyfloc 956A'!L327)</f>
        <v/>
      </c>
      <c r="AF2326">
        <f t="shared" si="233"/>
        <v>0</v>
      </c>
      <c r="AG2326" t="str">
        <f t="shared" si="234"/>
        <v/>
      </c>
      <c r="AH2326" t="str">
        <f t="shared" si="235"/>
        <v/>
      </c>
      <c r="AI2326">
        <f t="shared" si="236"/>
        <v>0</v>
      </c>
      <c r="AJ2326">
        <f t="shared" si="237"/>
        <v>0</v>
      </c>
      <c r="AK2326">
        <v>0</v>
      </c>
      <c r="AL2326" t="str">
        <f>IF(AA2326="","",IFERROR(IF(ISNUMBER('Procyfloc 956A'!D327),'Procyfloc 956A'!D327,IF(ISNUMBER(SEARCH("12",'Procyfloc 956A'!D327)),EDATE(AB2326,12),IF(ISNUMBER(SEARCH("6",'Procyfloc 956A'!D327)),EDATE(AB2326,6),IF(ISNUMBER(SEARCH("3",'Procyfloc 956A'!D327)),EDATE(AB2326,3),DATEVALUE('Procyfloc 956A'!D327))))),""))</f>
        <v/>
      </c>
      <c r="AM2326" t="str">
        <f t="shared" ca="1" si="238"/>
        <v/>
      </c>
    </row>
    <row r="2327" spans="27:39" x14ac:dyDescent="0.3">
      <c r="AA2327" t="str">
        <f>IF(COUNTA('Procyfloc 956A'!A328,'Procyfloc 956A'!B328,'Procyfloc 956A'!C328)&gt;0,"956A","")</f>
        <v/>
      </c>
      <c r="AB2327" t="str">
        <f>IFERROR(IF(ISNUMBER('Procyfloc 956A'!A328),'Procyfloc 956A'!A328,DATEVALUE('Procyfloc 956A'!A328)),"")</f>
        <v/>
      </c>
      <c r="AC2327" t="str">
        <f>IF(AA2327="","",'Procyfloc 956A'!B328)</f>
        <v/>
      </c>
      <c r="AD2327" t="str">
        <f>IF(AA2327="","",IFERROR(1*'Procyfloc 956A'!C328,IFERROR(_xludf.NUMBERVALUE('Procyfloc 956A'!C328,".",","),IFERROR(_xludf.NUMBERVALUE('Procyfloc 956A'!C328,",","."),0))))</f>
        <v/>
      </c>
      <c r="AE2327" t="str">
        <f>IF(AA2327="","",'Procyfloc 956A'!L328)</f>
        <v/>
      </c>
      <c r="AF2327">
        <f t="shared" si="233"/>
        <v>0</v>
      </c>
      <c r="AG2327" t="str">
        <f t="shared" si="234"/>
        <v/>
      </c>
      <c r="AH2327" t="str">
        <f t="shared" si="235"/>
        <v/>
      </c>
      <c r="AI2327">
        <f t="shared" si="236"/>
        <v>0</v>
      </c>
      <c r="AJ2327">
        <f t="shared" si="237"/>
        <v>0</v>
      </c>
      <c r="AK2327">
        <v>0</v>
      </c>
      <c r="AL2327" t="str">
        <f>IF(AA2327="","",IFERROR(IF(ISNUMBER('Procyfloc 956A'!D328),'Procyfloc 956A'!D328,IF(ISNUMBER(SEARCH("12",'Procyfloc 956A'!D328)),EDATE(AB2327,12),IF(ISNUMBER(SEARCH("6",'Procyfloc 956A'!D328)),EDATE(AB2327,6),IF(ISNUMBER(SEARCH("3",'Procyfloc 956A'!D328)),EDATE(AB2327,3),DATEVALUE('Procyfloc 956A'!D328))))),""))</f>
        <v/>
      </c>
      <c r="AM2327" t="str">
        <f t="shared" ca="1" si="238"/>
        <v/>
      </c>
    </row>
    <row r="2328" spans="27:39" x14ac:dyDescent="0.3">
      <c r="AA2328" t="str">
        <f>IF(COUNTA('Procyfloc 956A'!A329,'Procyfloc 956A'!B329,'Procyfloc 956A'!C329)&gt;0,"956A","")</f>
        <v/>
      </c>
      <c r="AB2328" t="str">
        <f>IFERROR(IF(ISNUMBER('Procyfloc 956A'!A329),'Procyfloc 956A'!A329,DATEVALUE('Procyfloc 956A'!A329)),"")</f>
        <v/>
      </c>
      <c r="AC2328" t="str">
        <f>IF(AA2328="","",'Procyfloc 956A'!B329)</f>
        <v/>
      </c>
      <c r="AD2328" t="str">
        <f>IF(AA2328="","",IFERROR(1*'Procyfloc 956A'!C329,IFERROR(_xludf.NUMBERVALUE('Procyfloc 956A'!C329,".",","),IFERROR(_xludf.NUMBERVALUE('Procyfloc 956A'!C329,",","."),0))))</f>
        <v/>
      </c>
      <c r="AE2328" t="str">
        <f>IF(AA2328="","",'Procyfloc 956A'!L329)</f>
        <v/>
      </c>
      <c r="AF2328">
        <f t="shared" si="233"/>
        <v>0</v>
      </c>
      <c r="AG2328" t="str">
        <f t="shared" si="234"/>
        <v/>
      </c>
      <c r="AH2328" t="str">
        <f t="shared" si="235"/>
        <v/>
      </c>
      <c r="AI2328">
        <f t="shared" si="236"/>
        <v>0</v>
      </c>
      <c r="AJ2328">
        <f t="shared" si="237"/>
        <v>0</v>
      </c>
      <c r="AK2328">
        <v>0</v>
      </c>
      <c r="AL2328" t="str">
        <f>IF(AA2328="","",IFERROR(IF(ISNUMBER('Procyfloc 956A'!D329),'Procyfloc 956A'!D329,IF(ISNUMBER(SEARCH("12",'Procyfloc 956A'!D329)),EDATE(AB2328,12),IF(ISNUMBER(SEARCH("6",'Procyfloc 956A'!D329)),EDATE(AB2328,6),IF(ISNUMBER(SEARCH("3",'Procyfloc 956A'!D329)),EDATE(AB2328,3),DATEVALUE('Procyfloc 956A'!D329))))),""))</f>
        <v/>
      </c>
      <c r="AM2328" t="str">
        <f t="shared" ca="1" si="238"/>
        <v/>
      </c>
    </row>
    <row r="2329" spans="27:39" x14ac:dyDescent="0.3">
      <c r="AA2329" t="str">
        <f>IF(COUNTA('Procyfloc 956A'!A330,'Procyfloc 956A'!B330,'Procyfloc 956A'!C330)&gt;0,"956A","")</f>
        <v/>
      </c>
      <c r="AB2329" t="str">
        <f>IFERROR(IF(ISNUMBER('Procyfloc 956A'!A330),'Procyfloc 956A'!A330,DATEVALUE('Procyfloc 956A'!A330)),"")</f>
        <v/>
      </c>
      <c r="AC2329" t="str">
        <f>IF(AA2329="","",'Procyfloc 956A'!B330)</f>
        <v/>
      </c>
      <c r="AD2329" t="str">
        <f>IF(AA2329="","",IFERROR(1*'Procyfloc 956A'!C330,IFERROR(_xludf.NUMBERVALUE('Procyfloc 956A'!C330,".",","),IFERROR(_xludf.NUMBERVALUE('Procyfloc 956A'!C330,",","."),0))))</f>
        <v/>
      </c>
      <c r="AE2329" t="str">
        <f>IF(AA2329="","",'Procyfloc 956A'!L330)</f>
        <v/>
      </c>
      <c r="AF2329">
        <f t="shared" si="233"/>
        <v>0</v>
      </c>
      <c r="AG2329" t="str">
        <f t="shared" si="234"/>
        <v/>
      </c>
      <c r="AH2329" t="str">
        <f t="shared" si="235"/>
        <v/>
      </c>
      <c r="AI2329">
        <f t="shared" si="236"/>
        <v>0</v>
      </c>
      <c r="AJ2329">
        <f t="shared" si="237"/>
        <v>0</v>
      </c>
      <c r="AK2329">
        <v>0</v>
      </c>
      <c r="AL2329" t="str">
        <f>IF(AA2329="","",IFERROR(IF(ISNUMBER('Procyfloc 956A'!D330),'Procyfloc 956A'!D330,IF(ISNUMBER(SEARCH("12",'Procyfloc 956A'!D330)),EDATE(AB2329,12),IF(ISNUMBER(SEARCH("6",'Procyfloc 956A'!D330)),EDATE(AB2329,6),IF(ISNUMBER(SEARCH("3",'Procyfloc 956A'!D330)),EDATE(AB2329,3),DATEVALUE('Procyfloc 956A'!D330))))),""))</f>
        <v/>
      </c>
      <c r="AM2329" t="str">
        <f t="shared" ca="1" si="238"/>
        <v/>
      </c>
    </row>
    <row r="2330" spans="27:39" x14ac:dyDescent="0.3">
      <c r="AA2330" t="str">
        <f>IF(COUNTA('Procyfloc 956A'!A331,'Procyfloc 956A'!B331,'Procyfloc 956A'!C331)&gt;0,"956A","")</f>
        <v/>
      </c>
      <c r="AB2330" t="str">
        <f>IFERROR(IF(ISNUMBER('Procyfloc 956A'!A331),'Procyfloc 956A'!A331,DATEVALUE('Procyfloc 956A'!A331)),"")</f>
        <v/>
      </c>
      <c r="AC2330" t="str">
        <f>IF(AA2330="","",'Procyfloc 956A'!B331)</f>
        <v/>
      </c>
      <c r="AD2330" t="str">
        <f>IF(AA2330="","",IFERROR(1*'Procyfloc 956A'!C331,IFERROR(_xludf.NUMBERVALUE('Procyfloc 956A'!C331,".",","),IFERROR(_xludf.NUMBERVALUE('Procyfloc 956A'!C331,",","."),0))))</f>
        <v/>
      </c>
      <c r="AE2330" t="str">
        <f>IF(AA2330="","",'Procyfloc 956A'!L331)</f>
        <v/>
      </c>
      <c r="AF2330">
        <f t="shared" si="233"/>
        <v>0</v>
      </c>
      <c r="AG2330" t="str">
        <f t="shared" si="234"/>
        <v/>
      </c>
      <c r="AH2330" t="str">
        <f t="shared" si="235"/>
        <v/>
      </c>
      <c r="AI2330">
        <f t="shared" si="236"/>
        <v>0</v>
      </c>
      <c r="AJ2330">
        <f t="shared" si="237"/>
        <v>0</v>
      </c>
      <c r="AK2330">
        <v>0</v>
      </c>
      <c r="AL2330" t="str">
        <f>IF(AA2330="","",IFERROR(IF(ISNUMBER('Procyfloc 956A'!D331),'Procyfloc 956A'!D331,IF(ISNUMBER(SEARCH("12",'Procyfloc 956A'!D331)),EDATE(AB2330,12),IF(ISNUMBER(SEARCH("6",'Procyfloc 956A'!D331)),EDATE(AB2330,6),IF(ISNUMBER(SEARCH("3",'Procyfloc 956A'!D331)),EDATE(AB2330,3),DATEVALUE('Procyfloc 956A'!D331))))),""))</f>
        <v/>
      </c>
      <c r="AM2330" t="str">
        <f t="shared" ca="1" si="238"/>
        <v/>
      </c>
    </row>
    <row r="2331" spans="27:39" x14ac:dyDescent="0.3">
      <c r="AA2331" t="str">
        <f>IF(COUNTA('Procyfloc 956A'!A332,'Procyfloc 956A'!B332,'Procyfloc 956A'!C332)&gt;0,"956A","")</f>
        <v/>
      </c>
      <c r="AB2331" t="str">
        <f>IFERROR(IF(ISNUMBER('Procyfloc 956A'!A332),'Procyfloc 956A'!A332,DATEVALUE('Procyfloc 956A'!A332)),"")</f>
        <v/>
      </c>
      <c r="AC2331" t="str">
        <f>IF(AA2331="","",'Procyfloc 956A'!B332)</f>
        <v/>
      </c>
      <c r="AD2331" t="str">
        <f>IF(AA2331="","",IFERROR(1*'Procyfloc 956A'!C332,IFERROR(_xludf.NUMBERVALUE('Procyfloc 956A'!C332,".",","),IFERROR(_xludf.NUMBERVALUE('Procyfloc 956A'!C332,",","."),0))))</f>
        <v/>
      </c>
      <c r="AE2331" t="str">
        <f>IF(AA2331="","",'Procyfloc 956A'!L332)</f>
        <v/>
      </c>
      <c r="AF2331">
        <f t="shared" si="233"/>
        <v>0</v>
      </c>
      <c r="AG2331" t="str">
        <f t="shared" si="234"/>
        <v/>
      </c>
      <c r="AH2331" t="str">
        <f t="shared" si="235"/>
        <v/>
      </c>
      <c r="AI2331">
        <f t="shared" si="236"/>
        <v>0</v>
      </c>
      <c r="AJ2331">
        <f t="shared" si="237"/>
        <v>0</v>
      </c>
      <c r="AK2331">
        <v>0</v>
      </c>
      <c r="AL2331" t="str">
        <f>IF(AA2331="","",IFERROR(IF(ISNUMBER('Procyfloc 956A'!D332),'Procyfloc 956A'!D332,IF(ISNUMBER(SEARCH("12",'Procyfloc 956A'!D332)),EDATE(AB2331,12),IF(ISNUMBER(SEARCH("6",'Procyfloc 956A'!D332)),EDATE(AB2331,6),IF(ISNUMBER(SEARCH("3",'Procyfloc 956A'!D332)),EDATE(AB2331,3),DATEVALUE('Procyfloc 956A'!D332))))),""))</f>
        <v/>
      </c>
      <c r="AM2331" t="str">
        <f t="shared" ca="1" si="238"/>
        <v/>
      </c>
    </row>
    <row r="2332" spans="27:39" x14ac:dyDescent="0.3">
      <c r="AA2332" t="str">
        <f>IF(COUNTA('Procyfloc 956A'!A333,'Procyfloc 956A'!B333,'Procyfloc 956A'!C333)&gt;0,"956A","")</f>
        <v/>
      </c>
      <c r="AB2332" t="str">
        <f>IFERROR(IF(ISNUMBER('Procyfloc 956A'!A333),'Procyfloc 956A'!A333,DATEVALUE('Procyfloc 956A'!A333)),"")</f>
        <v/>
      </c>
      <c r="AC2332" t="str">
        <f>IF(AA2332="","",'Procyfloc 956A'!B333)</f>
        <v/>
      </c>
      <c r="AD2332" t="str">
        <f>IF(AA2332="","",IFERROR(1*'Procyfloc 956A'!C333,IFERROR(_xludf.NUMBERVALUE('Procyfloc 956A'!C333,".",","),IFERROR(_xludf.NUMBERVALUE('Procyfloc 956A'!C333,",","."),0))))</f>
        <v/>
      </c>
      <c r="AE2332" t="str">
        <f>IF(AA2332="","",'Procyfloc 956A'!L333)</f>
        <v/>
      </c>
      <c r="AF2332">
        <f t="shared" si="233"/>
        <v>0</v>
      </c>
      <c r="AG2332" t="str">
        <f t="shared" si="234"/>
        <v/>
      </c>
      <c r="AH2332" t="str">
        <f t="shared" si="235"/>
        <v/>
      </c>
      <c r="AI2332">
        <f t="shared" si="236"/>
        <v>0</v>
      </c>
      <c r="AJ2332">
        <f t="shared" si="237"/>
        <v>0</v>
      </c>
      <c r="AK2332">
        <v>0</v>
      </c>
      <c r="AL2332" t="str">
        <f>IF(AA2332="","",IFERROR(IF(ISNUMBER('Procyfloc 956A'!D333),'Procyfloc 956A'!D333,IF(ISNUMBER(SEARCH("12",'Procyfloc 956A'!D333)),EDATE(AB2332,12),IF(ISNUMBER(SEARCH("6",'Procyfloc 956A'!D333)),EDATE(AB2332,6),IF(ISNUMBER(SEARCH("3",'Procyfloc 956A'!D333)),EDATE(AB2332,3),DATEVALUE('Procyfloc 956A'!D333))))),""))</f>
        <v/>
      </c>
      <c r="AM2332" t="str">
        <f t="shared" ca="1" si="238"/>
        <v/>
      </c>
    </row>
    <row r="2333" spans="27:39" x14ac:dyDescent="0.3">
      <c r="AA2333" t="str">
        <f>IF(COUNTA('Procyfloc 956A'!A334,'Procyfloc 956A'!B334,'Procyfloc 956A'!C334)&gt;0,"956A","")</f>
        <v/>
      </c>
      <c r="AB2333" t="str">
        <f>IFERROR(IF(ISNUMBER('Procyfloc 956A'!A334),'Procyfloc 956A'!A334,DATEVALUE('Procyfloc 956A'!A334)),"")</f>
        <v/>
      </c>
      <c r="AC2333" t="str">
        <f>IF(AA2333="","",'Procyfloc 956A'!B334)</f>
        <v/>
      </c>
      <c r="AD2333" t="str">
        <f>IF(AA2333="","",IFERROR(1*'Procyfloc 956A'!C334,IFERROR(_xludf.NUMBERVALUE('Procyfloc 956A'!C334,".",","),IFERROR(_xludf.NUMBERVALUE('Procyfloc 956A'!C334,",","."),0))))</f>
        <v/>
      </c>
      <c r="AE2333" t="str">
        <f>IF(AA2333="","",'Procyfloc 956A'!L334)</f>
        <v/>
      </c>
      <c r="AF2333">
        <f t="shared" si="233"/>
        <v>0</v>
      </c>
      <c r="AG2333" t="str">
        <f t="shared" si="234"/>
        <v/>
      </c>
      <c r="AH2333" t="str">
        <f t="shared" si="235"/>
        <v/>
      </c>
      <c r="AI2333">
        <f t="shared" si="236"/>
        <v>0</v>
      </c>
      <c r="AJ2333">
        <f t="shared" si="237"/>
        <v>0</v>
      </c>
      <c r="AK2333">
        <v>0</v>
      </c>
      <c r="AL2333" t="str">
        <f>IF(AA2333="","",IFERROR(IF(ISNUMBER('Procyfloc 956A'!D334),'Procyfloc 956A'!D334,IF(ISNUMBER(SEARCH("12",'Procyfloc 956A'!D334)),EDATE(AB2333,12),IF(ISNUMBER(SEARCH("6",'Procyfloc 956A'!D334)),EDATE(AB2333,6),IF(ISNUMBER(SEARCH("3",'Procyfloc 956A'!D334)),EDATE(AB2333,3),DATEVALUE('Procyfloc 956A'!D334))))),""))</f>
        <v/>
      </c>
      <c r="AM2333" t="str">
        <f t="shared" ca="1" si="238"/>
        <v/>
      </c>
    </row>
    <row r="2334" spans="27:39" x14ac:dyDescent="0.3">
      <c r="AA2334" t="str">
        <f>IF(COUNTA('Procyfloc 956A'!A335,'Procyfloc 956A'!B335,'Procyfloc 956A'!C335)&gt;0,"956A","")</f>
        <v/>
      </c>
      <c r="AB2334" t="str">
        <f>IFERROR(IF(ISNUMBER('Procyfloc 956A'!A335),'Procyfloc 956A'!A335,DATEVALUE('Procyfloc 956A'!A335)),"")</f>
        <v/>
      </c>
      <c r="AC2334" t="str">
        <f>IF(AA2334="","",'Procyfloc 956A'!B335)</f>
        <v/>
      </c>
      <c r="AD2334" t="str">
        <f>IF(AA2334="","",IFERROR(1*'Procyfloc 956A'!C335,IFERROR(_xludf.NUMBERVALUE('Procyfloc 956A'!C335,".",","),IFERROR(_xludf.NUMBERVALUE('Procyfloc 956A'!C335,",","."),0))))</f>
        <v/>
      </c>
      <c r="AE2334" t="str">
        <f>IF(AA2334="","",'Procyfloc 956A'!L335)</f>
        <v/>
      </c>
      <c r="AF2334">
        <f t="shared" si="233"/>
        <v>0</v>
      </c>
      <c r="AG2334" t="str">
        <f t="shared" si="234"/>
        <v/>
      </c>
      <c r="AH2334" t="str">
        <f t="shared" si="235"/>
        <v/>
      </c>
      <c r="AI2334">
        <f t="shared" si="236"/>
        <v>0</v>
      </c>
      <c r="AJ2334">
        <f t="shared" si="237"/>
        <v>0</v>
      </c>
      <c r="AK2334">
        <v>0</v>
      </c>
      <c r="AL2334" t="str">
        <f>IF(AA2334="","",IFERROR(IF(ISNUMBER('Procyfloc 956A'!D335),'Procyfloc 956A'!D335,IF(ISNUMBER(SEARCH("12",'Procyfloc 956A'!D335)),EDATE(AB2334,12),IF(ISNUMBER(SEARCH("6",'Procyfloc 956A'!D335)),EDATE(AB2334,6),IF(ISNUMBER(SEARCH("3",'Procyfloc 956A'!D335)),EDATE(AB2334,3),DATEVALUE('Procyfloc 956A'!D335))))),""))</f>
        <v/>
      </c>
      <c r="AM2334" t="str">
        <f t="shared" ca="1" si="238"/>
        <v/>
      </c>
    </row>
    <row r="2335" spans="27:39" x14ac:dyDescent="0.3">
      <c r="AA2335" t="str">
        <f>IF(COUNTA('Procyfloc 956A'!A336,'Procyfloc 956A'!B336,'Procyfloc 956A'!C336)&gt;0,"956A","")</f>
        <v/>
      </c>
      <c r="AB2335" t="str">
        <f>IFERROR(IF(ISNUMBER('Procyfloc 956A'!A336),'Procyfloc 956A'!A336,DATEVALUE('Procyfloc 956A'!A336)),"")</f>
        <v/>
      </c>
      <c r="AC2335" t="str">
        <f>IF(AA2335="","",'Procyfloc 956A'!B336)</f>
        <v/>
      </c>
      <c r="AD2335" t="str">
        <f>IF(AA2335="","",IFERROR(1*'Procyfloc 956A'!C336,IFERROR(_xludf.NUMBERVALUE('Procyfloc 956A'!C336,".",","),IFERROR(_xludf.NUMBERVALUE('Procyfloc 956A'!C336,",","."),0))))</f>
        <v/>
      </c>
      <c r="AE2335" t="str">
        <f>IF(AA2335="","",'Procyfloc 956A'!L336)</f>
        <v/>
      </c>
      <c r="AF2335">
        <f t="shared" si="233"/>
        <v>0</v>
      </c>
      <c r="AG2335" t="str">
        <f t="shared" si="234"/>
        <v/>
      </c>
      <c r="AH2335" t="str">
        <f t="shared" si="235"/>
        <v/>
      </c>
      <c r="AI2335">
        <f t="shared" si="236"/>
        <v>0</v>
      </c>
      <c r="AJ2335">
        <f t="shared" si="237"/>
        <v>0</v>
      </c>
      <c r="AK2335">
        <v>0</v>
      </c>
      <c r="AL2335" t="str">
        <f>IF(AA2335="","",IFERROR(IF(ISNUMBER('Procyfloc 956A'!D336),'Procyfloc 956A'!D336,IF(ISNUMBER(SEARCH("12",'Procyfloc 956A'!D336)),EDATE(AB2335,12),IF(ISNUMBER(SEARCH("6",'Procyfloc 956A'!D336)),EDATE(AB2335,6),IF(ISNUMBER(SEARCH("3",'Procyfloc 956A'!D336)),EDATE(AB2335,3),DATEVALUE('Procyfloc 956A'!D336))))),""))</f>
        <v/>
      </c>
      <c r="AM2335" t="str">
        <f t="shared" ca="1" si="238"/>
        <v/>
      </c>
    </row>
    <row r="2336" spans="27:39" x14ac:dyDescent="0.3">
      <c r="AA2336" t="str">
        <f>IF(COUNTA('Procyfloc 956A'!A337,'Procyfloc 956A'!B337,'Procyfloc 956A'!C337)&gt;0,"956A","")</f>
        <v/>
      </c>
      <c r="AB2336" t="str">
        <f>IFERROR(IF(ISNUMBER('Procyfloc 956A'!A337),'Procyfloc 956A'!A337,DATEVALUE('Procyfloc 956A'!A337)),"")</f>
        <v/>
      </c>
      <c r="AC2336" t="str">
        <f>IF(AA2336="","",'Procyfloc 956A'!B337)</f>
        <v/>
      </c>
      <c r="AD2336" t="str">
        <f>IF(AA2336="","",IFERROR(1*'Procyfloc 956A'!C337,IFERROR(_xludf.NUMBERVALUE('Procyfloc 956A'!C337,".",","),IFERROR(_xludf.NUMBERVALUE('Procyfloc 956A'!C337,",","."),0))))</f>
        <v/>
      </c>
      <c r="AE2336" t="str">
        <f>IF(AA2336="","",'Procyfloc 956A'!L337)</f>
        <v/>
      </c>
      <c r="AF2336">
        <f t="shared" si="233"/>
        <v>0</v>
      </c>
      <c r="AG2336" t="str">
        <f t="shared" si="234"/>
        <v/>
      </c>
      <c r="AH2336" t="str">
        <f t="shared" si="235"/>
        <v/>
      </c>
      <c r="AI2336">
        <f t="shared" si="236"/>
        <v>0</v>
      </c>
      <c r="AJ2336">
        <f t="shared" si="237"/>
        <v>0</v>
      </c>
      <c r="AK2336">
        <v>0</v>
      </c>
      <c r="AL2336" t="str">
        <f>IF(AA2336="","",IFERROR(IF(ISNUMBER('Procyfloc 956A'!D337),'Procyfloc 956A'!D337,IF(ISNUMBER(SEARCH("12",'Procyfloc 956A'!D337)),EDATE(AB2336,12),IF(ISNUMBER(SEARCH("6",'Procyfloc 956A'!D337)),EDATE(AB2336,6),IF(ISNUMBER(SEARCH("3",'Procyfloc 956A'!D337)),EDATE(AB2336,3),DATEVALUE('Procyfloc 956A'!D337))))),""))</f>
        <v/>
      </c>
      <c r="AM2336" t="str">
        <f t="shared" ca="1" si="238"/>
        <v/>
      </c>
    </row>
    <row r="2337" spans="27:39" x14ac:dyDescent="0.3">
      <c r="AA2337" t="str">
        <f>IF(COUNTA('Procyfloc 956A'!A338,'Procyfloc 956A'!B338,'Procyfloc 956A'!C338)&gt;0,"956A","")</f>
        <v/>
      </c>
      <c r="AB2337" t="str">
        <f>IFERROR(IF(ISNUMBER('Procyfloc 956A'!A338),'Procyfloc 956A'!A338,DATEVALUE('Procyfloc 956A'!A338)),"")</f>
        <v/>
      </c>
      <c r="AC2337" t="str">
        <f>IF(AA2337="","",'Procyfloc 956A'!B338)</f>
        <v/>
      </c>
      <c r="AD2337" t="str">
        <f>IF(AA2337="","",IFERROR(1*'Procyfloc 956A'!C338,IFERROR(_xludf.NUMBERVALUE('Procyfloc 956A'!C338,".",","),IFERROR(_xludf.NUMBERVALUE('Procyfloc 956A'!C338,",","."),0))))</f>
        <v/>
      </c>
      <c r="AE2337" t="str">
        <f>IF(AA2337="","",'Procyfloc 956A'!L338)</f>
        <v/>
      </c>
      <c r="AF2337">
        <f t="shared" si="233"/>
        <v>0</v>
      </c>
      <c r="AG2337" t="str">
        <f t="shared" si="234"/>
        <v/>
      </c>
      <c r="AH2337" t="str">
        <f t="shared" si="235"/>
        <v/>
      </c>
      <c r="AI2337">
        <f t="shared" si="236"/>
        <v>0</v>
      </c>
      <c r="AJ2337">
        <f t="shared" si="237"/>
        <v>0</v>
      </c>
      <c r="AK2337">
        <v>0</v>
      </c>
      <c r="AL2337" t="str">
        <f>IF(AA2337="","",IFERROR(IF(ISNUMBER('Procyfloc 956A'!D338),'Procyfloc 956A'!D338,IF(ISNUMBER(SEARCH("12",'Procyfloc 956A'!D338)),EDATE(AB2337,12),IF(ISNUMBER(SEARCH("6",'Procyfloc 956A'!D338)),EDATE(AB2337,6),IF(ISNUMBER(SEARCH("3",'Procyfloc 956A'!D338)),EDATE(AB2337,3),DATEVALUE('Procyfloc 956A'!D338))))),""))</f>
        <v/>
      </c>
      <c r="AM2337" t="str">
        <f t="shared" ca="1" si="238"/>
        <v/>
      </c>
    </row>
    <row r="2338" spans="27:39" x14ac:dyDescent="0.3">
      <c r="AA2338" t="str">
        <f>IF(COUNTA('Procyfloc 956A'!A339,'Procyfloc 956A'!B339,'Procyfloc 956A'!C339)&gt;0,"956A","")</f>
        <v/>
      </c>
      <c r="AB2338" t="str">
        <f>IFERROR(IF(ISNUMBER('Procyfloc 956A'!A339),'Procyfloc 956A'!A339,DATEVALUE('Procyfloc 956A'!A339)),"")</f>
        <v/>
      </c>
      <c r="AC2338" t="str">
        <f>IF(AA2338="","",'Procyfloc 956A'!B339)</f>
        <v/>
      </c>
      <c r="AD2338" t="str">
        <f>IF(AA2338="","",IFERROR(1*'Procyfloc 956A'!C339,IFERROR(_xludf.NUMBERVALUE('Procyfloc 956A'!C339,".",","),IFERROR(_xludf.NUMBERVALUE('Procyfloc 956A'!C339,",","."),0))))</f>
        <v/>
      </c>
      <c r="AE2338" t="str">
        <f>IF(AA2338="","",'Procyfloc 956A'!L339)</f>
        <v/>
      </c>
      <c r="AF2338">
        <f t="shared" si="233"/>
        <v>0</v>
      </c>
      <c r="AG2338" t="str">
        <f t="shared" si="234"/>
        <v/>
      </c>
      <c r="AH2338" t="str">
        <f t="shared" si="235"/>
        <v/>
      </c>
      <c r="AI2338">
        <f t="shared" si="236"/>
        <v>0</v>
      </c>
      <c r="AJ2338">
        <f t="shared" si="237"/>
        <v>0</v>
      </c>
      <c r="AK2338">
        <v>0</v>
      </c>
      <c r="AL2338" t="str">
        <f>IF(AA2338="","",IFERROR(IF(ISNUMBER('Procyfloc 956A'!D339),'Procyfloc 956A'!D339,IF(ISNUMBER(SEARCH("12",'Procyfloc 956A'!D339)),EDATE(AB2338,12),IF(ISNUMBER(SEARCH("6",'Procyfloc 956A'!D339)),EDATE(AB2338,6),IF(ISNUMBER(SEARCH("3",'Procyfloc 956A'!D339)),EDATE(AB2338,3),DATEVALUE('Procyfloc 956A'!D339))))),""))</f>
        <v/>
      </c>
      <c r="AM2338" t="str">
        <f t="shared" ca="1" si="238"/>
        <v/>
      </c>
    </row>
    <row r="2339" spans="27:39" x14ac:dyDescent="0.3">
      <c r="AA2339" t="str">
        <f>IF(COUNTA('Procyfloc 956A'!A340,'Procyfloc 956A'!B340,'Procyfloc 956A'!C340)&gt;0,"956A","")</f>
        <v/>
      </c>
      <c r="AB2339" t="str">
        <f>IFERROR(IF(ISNUMBER('Procyfloc 956A'!A340),'Procyfloc 956A'!A340,DATEVALUE('Procyfloc 956A'!A340)),"")</f>
        <v/>
      </c>
      <c r="AC2339" t="str">
        <f>IF(AA2339="","",'Procyfloc 956A'!B340)</f>
        <v/>
      </c>
      <c r="AD2339" t="str">
        <f>IF(AA2339="","",IFERROR(1*'Procyfloc 956A'!C340,IFERROR(_xludf.NUMBERVALUE('Procyfloc 956A'!C340,".",","),IFERROR(_xludf.NUMBERVALUE('Procyfloc 956A'!C340,",","."),0))))</f>
        <v/>
      </c>
      <c r="AE2339" t="str">
        <f>IF(AA2339="","",'Procyfloc 956A'!L340)</f>
        <v/>
      </c>
      <c r="AF2339">
        <f t="shared" si="233"/>
        <v>0</v>
      </c>
      <c r="AG2339" t="str">
        <f t="shared" si="234"/>
        <v/>
      </c>
      <c r="AH2339" t="str">
        <f t="shared" si="235"/>
        <v/>
      </c>
      <c r="AI2339">
        <f t="shared" si="236"/>
        <v>0</v>
      </c>
      <c r="AJ2339">
        <f t="shared" si="237"/>
        <v>0</v>
      </c>
      <c r="AK2339">
        <v>0</v>
      </c>
      <c r="AL2339" t="str">
        <f>IF(AA2339="","",IFERROR(IF(ISNUMBER('Procyfloc 956A'!D340),'Procyfloc 956A'!D340,IF(ISNUMBER(SEARCH("12",'Procyfloc 956A'!D340)),EDATE(AB2339,12),IF(ISNUMBER(SEARCH("6",'Procyfloc 956A'!D340)),EDATE(AB2339,6),IF(ISNUMBER(SEARCH("3",'Procyfloc 956A'!D340)),EDATE(AB2339,3),DATEVALUE('Procyfloc 956A'!D340))))),""))</f>
        <v/>
      </c>
      <c r="AM2339" t="str">
        <f t="shared" ca="1" si="238"/>
        <v/>
      </c>
    </row>
    <row r="2340" spans="27:39" x14ac:dyDescent="0.3">
      <c r="AA2340" t="str">
        <f>IF(COUNTA('Procyfloc 956A'!A341,'Procyfloc 956A'!B341,'Procyfloc 956A'!C341)&gt;0,"956A","")</f>
        <v/>
      </c>
      <c r="AB2340" t="str">
        <f>IFERROR(IF(ISNUMBER('Procyfloc 956A'!A341),'Procyfloc 956A'!A341,DATEVALUE('Procyfloc 956A'!A341)),"")</f>
        <v/>
      </c>
      <c r="AC2340" t="str">
        <f>IF(AA2340="","",'Procyfloc 956A'!B341)</f>
        <v/>
      </c>
      <c r="AD2340" t="str">
        <f>IF(AA2340="","",IFERROR(1*'Procyfloc 956A'!C341,IFERROR(_xludf.NUMBERVALUE('Procyfloc 956A'!C341,".",","),IFERROR(_xludf.NUMBERVALUE('Procyfloc 956A'!C341,",","."),0))))</f>
        <v/>
      </c>
      <c r="AE2340" t="str">
        <f>IF(AA2340="","",'Procyfloc 956A'!L341)</f>
        <v/>
      </c>
      <c r="AF2340">
        <f t="shared" si="233"/>
        <v>0</v>
      </c>
      <c r="AG2340" t="str">
        <f t="shared" si="234"/>
        <v/>
      </c>
      <c r="AH2340" t="str">
        <f t="shared" si="235"/>
        <v/>
      </c>
      <c r="AI2340">
        <f t="shared" si="236"/>
        <v>0</v>
      </c>
      <c r="AJ2340">
        <f t="shared" si="237"/>
        <v>0</v>
      </c>
      <c r="AK2340">
        <v>0</v>
      </c>
      <c r="AL2340" t="str">
        <f>IF(AA2340="","",IFERROR(IF(ISNUMBER('Procyfloc 956A'!D341),'Procyfloc 956A'!D341,IF(ISNUMBER(SEARCH("12",'Procyfloc 956A'!D341)),EDATE(AB2340,12),IF(ISNUMBER(SEARCH("6",'Procyfloc 956A'!D341)),EDATE(AB2340,6),IF(ISNUMBER(SEARCH("3",'Procyfloc 956A'!D341)),EDATE(AB2340,3),DATEVALUE('Procyfloc 956A'!D341))))),""))</f>
        <v/>
      </c>
      <c r="AM2340" t="str">
        <f t="shared" ca="1" si="238"/>
        <v/>
      </c>
    </row>
    <row r="2341" spans="27:39" x14ac:dyDescent="0.3">
      <c r="AA2341" t="str">
        <f>IF(COUNTA('Procyfloc 956A'!A342,'Procyfloc 956A'!B342,'Procyfloc 956A'!C342)&gt;0,"956A","")</f>
        <v/>
      </c>
      <c r="AB2341" t="str">
        <f>IFERROR(IF(ISNUMBER('Procyfloc 956A'!A342),'Procyfloc 956A'!A342,DATEVALUE('Procyfloc 956A'!A342)),"")</f>
        <v/>
      </c>
      <c r="AC2341" t="str">
        <f>IF(AA2341="","",'Procyfloc 956A'!B342)</f>
        <v/>
      </c>
      <c r="AD2341" t="str">
        <f>IF(AA2341="","",IFERROR(1*'Procyfloc 956A'!C342,IFERROR(_xludf.NUMBERVALUE('Procyfloc 956A'!C342,".",","),IFERROR(_xludf.NUMBERVALUE('Procyfloc 956A'!C342,",","."),0))))</f>
        <v/>
      </c>
      <c r="AE2341" t="str">
        <f>IF(AA2341="","",'Procyfloc 956A'!L342)</f>
        <v/>
      </c>
      <c r="AF2341">
        <f t="shared" si="233"/>
        <v>0</v>
      </c>
      <c r="AG2341" t="str">
        <f t="shared" si="234"/>
        <v/>
      </c>
      <c r="AH2341" t="str">
        <f t="shared" si="235"/>
        <v/>
      </c>
      <c r="AI2341">
        <f t="shared" si="236"/>
        <v>0</v>
      </c>
      <c r="AJ2341">
        <f t="shared" si="237"/>
        <v>0</v>
      </c>
      <c r="AK2341">
        <v>0</v>
      </c>
      <c r="AL2341" t="str">
        <f>IF(AA2341="","",IFERROR(IF(ISNUMBER('Procyfloc 956A'!D342),'Procyfloc 956A'!D342,IF(ISNUMBER(SEARCH("12",'Procyfloc 956A'!D342)),EDATE(AB2341,12),IF(ISNUMBER(SEARCH("6",'Procyfloc 956A'!D342)),EDATE(AB2341,6),IF(ISNUMBER(SEARCH("3",'Procyfloc 956A'!D342)),EDATE(AB2341,3),DATEVALUE('Procyfloc 956A'!D342))))),""))</f>
        <v/>
      </c>
      <c r="AM2341" t="str">
        <f t="shared" ca="1" si="238"/>
        <v/>
      </c>
    </row>
    <row r="2342" spans="27:39" x14ac:dyDescent="0.3">
      <c r="AA2342" t="str">
        <f>IF(COUNTA('Procyfloc 956A'!A343,'Procyfloc 956A'!B343,'Procyfloc 956A'!C343)&gt;0,"956A","")</f>
        <v/>
      </c>
      <c r="AB2342" t="str">
        <f>IFERROR(IF(ISNUMBER('Procyfloc 956A'!A343),'Procyfloc 956A'!A343,DATEVALUE('Procyfloc 956A'!A343)),"")</f>
        <v/>
      </c>
      <c r="AC2342" t="str">
        <f>IF(AA2342="","",'Procyfloc 956A'!B343)</f>
        <v/>
      </c>
      <c r="AD2342" t="str">
        <f>IF(AA2342="","",IFERROR(1*'Procyfloc 956A'!C343,IFERROR(_xludf.NUMBERVALUE('Procyfloc 956A'!C343,".",","),IFERROR(_xludf.NUMBERVALUE('Procyfloc 956A'!C343,",","."),0))))</f>
        <v/>
      </c>
      <c r="AE2342" t="str">
        <f>IF(AA2342="","",'Procyfloc 956A'!L343)</f>
        <v/>
      </c>
      <c r="AF2342">
        <f t="shared" si="233"/>
        <v>0</v>
      </c>
      <c r="AG2342" t="str">
        <f t="shared" si="234"/>
        <v/>
      </c>
      <c r="AH2342" t="str">
        <f t="shared" si="235"/>
        <v/>
      </c>
      <c r="AI2342">
        <f t="shared" si="236"/>
        <v>0</v>
      </c>
      <c r="AJ2342">
        <f t="shared" si="237"/>
        <v>0</v>
      </c>
      <c r="AK2342">
        <v>0</v>
      </c>
      <c r="AL2342" t="str">
        <f>IF(AA2342="","",IFERROR(IF(ISNUMBER('Procyfloc 956A'!D343),'Procyfloc 956A'!D343,IF(ISNUMBER(SEARCH("12",'Procyfloc 956A'!D343)),EDATE(AB2342,12),IF(ISNUMBER(SEARCH("6",'Procyfloc 956A'!D343)),EDATE(AB2342,6),IF(ISNUMBER(SEARCH("3",'Procyfloc 956A'!D343)),EDATE(AB2342,3),DATEVALUE('Procyfloc 956A'!D343))))),""))</f>
        <v/>
      </c>
      <c r="AM2342" t="str">
        <f t="shared" ca="1" si="238"/>
        <v/>
      </c>
    </row>
    <row r="2343" spans="27:39" x14ac:dyDescent="0.3">
      <c r="AA2343" t="str">
        <f>IF(COUNTA('Procyfloc 956A'!A344,'Procyfloc 956A'!B344,'Procyfloc 956A'!C344)&gt;0,"956A","")</f>
        <v/>
      </c>
      <c r="AB2343" t="str">
        <f>IFERROR(IF(ISNUMBER('Procyfloc 956A'!A344),'Procyfloc 956A'!A344,DATEVALUE('Procyfloc 956A'!A344)),"")</f>
        <v/>
      </c>
      <c r="AC2343" t="str">
        <f>IF(AA2343="","",'Procyfloc 956A'!B344)</f>
        <v/>
      </c>
      <c r="AD2343" t="str">
        <f>IF(AA2343="","",IFERROR(1*'Procyfloc 956A'!C344,IFERROR(_xludf.NUMBERVALUE('Procyfloc 956A'!C344,".",","),IFERROR(_xludf.NUMBERVALUE('Procyfloc 956A'!C344,",","."),0))))</f>
        <v/>
      </c>
      <c r="AE2343" t="str">
        <f>IF(AA2343="","",'Procyfloc 956A'!L344)</f>
        <v/>
      </c>
      <c r="AF2343">
        <f t="shared" si="233"/>
        <v>0</v>
      </c>
      <c r="AG2343" t="str">
        <f t="shared" si="234"/>
        <v/>
      </c>
      <c r="AH2343" t="str">
        <f t="shared" si="235"/>
        <v/>
      </c>
      <c r="AI2343">
        <f t="shared" si="236"/>
        <v>0</v>
      </c>
      <c r="AJ2343">
        <f t="shared" si="237"/>
        <v>0</v>
      </c>
      <c r="AK2343">
        <v>0</v>
      </c>
      <c r="AL2343" t="str">
        <f>IF(AA2343="","",IFERROR(IF(ISNUMBER('Procyfloc 956A'!D344),'Procyfloc 956A'!D344,IF(ISNUMBER(SEARCH("12",'Procyfloc 956A'!D344)),EDATE(AB2343,12),IF(ISNUMBER(SEARCH("6",'Procyfloc 956A'!D344)),EDATE(AB2343,6),IF(ISNUMBER(SEARCH("3",'Procyfloc 956A'!D344)),EDATE(AB2343,3),DATEVALUE('Procyfloc 956A'!D344))))),""))</f>
        <v/>
      </c>
      <c r="AM2343" t="str">
        <f t="shared" ca="1" si="238"/>
        <v/>
      </c>
    </row>
    <row r="2344" spans="27:39" x14ac:dyDescent="0.3">
      <c r="AA2344" t="str">
        <f>IF(COUNTA('Procyfloc 956A'!A345,'Procyfloc 956A'!B345,'Procyfloc 956A'!C345)&gt;0,"956A","")</f>
        <v/>
      </c>
      <c r="AB2344" t="str">
        <f>IFERROR(IF(ISNUMBER('Procyfloc 956A'!A345),'Procyfloc 956A'!A345,DATEVALUE('Procyfloc 956A'!A345)),"")</f>
        <v/>
      </c>
      <c r="AC2344" t="str">
        <f>IF(AA2344="","",'Procyfloc 956A'!B345)</f>
        <v/>
      </c>
      <c r="AD2344" t="str">
        <f>IF(AA2344="","",IFERROR(1*'Procyfloc 956A'!C345,IFERROR(_xludf.NUMBERVALUE('Procyfloc 956A'!C345,".",","),IFERROR(_xludf.NUMBERVALUE('Procyfloc 956A'!C345,",","."),0))))</f>
        <v/>
      </c>
      <c r="AE2344" t="str">
        <f>IF(AA2344="","",'Procyfloc 956A'!L345)</f>
        <v/>
      </c>
      <c r="AF2344">
        <f t="shared" si="233"/>
        <v>0</v>
      </c>
      <c r="AG2344" t="str">
        <f t="shared" si="234"/>
        <v/>
      </c>
      <c r="AH2344" t="str">
        <f t="shared" si="235"/>
        <v/>
      </c>
      <c r="AI2344">
        <f t="shared" si="236"/>
        <v>0</v>
      </c>
      <c r="AJ2344">
        <f t="shared" si="237"/>
        <v>0</v>
      </c>
      <c r="AK2344">
        <v>0</v>
      </c>
      <c r="AL2344" t="str">
        <f>IF(AA2344="","",IFERROR(IF(ISNUMBER('Procyfloc 956A'!D345),'Procyfloc 956A'!D345,IF(ISNUMBER(SEARCH("12",'Procyfloc 956A'!D345)),EDATE(AB2344,12),IF(ISNUMBER(SEARCH("6",'Procyfloc 956A'!D345)),EDATE(AB2344,6),IF(ISNUMBER(SEARCH("3",'Procyfloc 956A'!D345)),EDATE(AB2344,3),DATEVALUE('Procyfloc 956A'!D345))))),""))</f>
        <v/>
      </c>
      <c r="AM2344" t="str">
        <f t="shared" ca="1" si="238"/>
        <v/>
      </c>
    </row>
    <row r="2345" spans="27:39" x14ac:dyDescent="0.3">
      <c r="AA2345" t="str">
        <f>IF(COUNTA('Procyfloc 956A'!A346,'Procyfloc 956A'!B346,'Procyfloc 956A'!C346)&gt;0,"956A","")</f>
        <v/>
      </c>
      <c r="AB2345" t="str">
        <f>IFERROR(IF(ISNUMBER('Procyfloc 956A'!A346),'Procyfloc 956A'!A346,DATEVALUE('Procyfloc 956A'!A346)),"")</f>
        <v/>
      </c>
      <c r="AC2345" t="str">
        <f>IF(AA2345="","",'Procyfloc 956A'!B346)</f>
        <v/>
      </c>
      <c r="AD2345" t="str">
        <f>IF(AA2345="","",IFERROR(1*'Procyfloc 956A'!C346,IFERROR(_xludf.NUMBERVALUE('Procyfloc 956A'!C346,".",","),IFERROR(_xludf.NUMBERVALUE('Procyfloc 956A'!C346,",","."),0))))</f>
        <v/>
      </c>
      <c r="AE2345" t="str">
        <f>IF(AA2345="","",'Procyfloc 956A'!L346)</f>
        <v/>
      </c>
      <c r="AF2345">
        <f t="shared" si="233"/>
        <v>0</v>
      </c>
      <c r="AG2345" t="str">
        <f t="shared" si="234"/>
        <v/>
      </c>
      <c r="AH2345" t="str">
        <f t="shared" si="235"/>
        <v/>
      </c>
      <c r="AI2345">
        <f t="shared" si="236"/>
        <v>0</v>
      </c>
      <c r="AJ2345">
        <f t="shared" si="237"/>
        <v>0</v>
      </c>
      <c r="AK2345">
        <v>0</v>
      </c>
      <c r="AL2345" t="str">
        <f>IF(AA2345="","",IFERROR(IF(ISNUMBER('Procyfloc 956A'!D346),'Procyfloc 956A'!D346,IF(ISNUMBER(SEARCH("12",'Procyfloc 956A'!D346)),EDATE(AB2345,12),IF(ISNUMBER(SEARCH("6",'Procyfloc 956A'!D346)),EDATE(AB2345,6),IF(ISNUMBER(SEARCH("3",'Procyfloc 956A'!D346)),EDATE(AB2345,3),DATEVALUE('Procyfloc 956A'!D346))))),""))</f>
        <v/>
      </c>
      <c r="AM2345" t="str">
        <f t="shared" ca="1" si="238"/>
        <v/>
      </c>
    </row>
    <row r="2346" spans="27:39" x14ac:dyDescent="0.3">
      <c r="AA2346" t="str">
        <f>IF(COUNTA('Procyfloc 956A'!A347,'Procyfloc 956A'!B347,'Procyfloc 956A'!C347)&gt;0,"956A","")</f>
        <v/>
      </c>
      <c r="AB2346" t="str">
        <f>IFERROR(IF(ISNUMBER('Procyfloc 956A'!A347),'Procyfloc 956A'!A347,DATEVALUE('Procyfloc 956A'!A347)),"")</f>
        <v/>
      </c>
      <c r="AC2346" t="str">
        <f>IF(AA2346="","",'Procyfloc 956A'!B347)</f>
        <v/>
      </c>
      <c r="AD2346" t="str">
        <f>IF(AA2346="","",IFERROR(1*'Procyfloc 956A'!C347,IFERROR(_xludf.NUMBERVALUE('Procyfloc 956A'!C347,".",","),IFERROR(_xludf.NUMBERVALUE('Procyfloc 956A'!C347,",","."),0))))</f>
        <v/>
      </c>
      <c r="AE2346" t="str">
        <f>IF(AA2346="","",'Procyfloc 956A'!L347)</f>
        <v/>
      </c>
      <c r="AF2346">
        <f t="shared" si="233"/>
        <v>0</v>
      </c>
      <c r="AG2346" t="str">
        <f t="shared" si="234"/>
        <v/>
      </c>
      <c r="AH2346" t="str">
        <f t="shared" si="235"/>
        <v/>
      </c>
      <c r="AI2346">
        <f t="shared" si="236"/>
        <v>0</v>
      </c>
      <c r="AJ2346">
        <f t="shared" si="237"/>
        <v>0</v>
      </c>
      <c r="AK2346">
        <v>0</v>
      </c>
      <c r="AL2346" t="str">
        <f>IF(AA2346="","",IFERROR(IF(ISNUMBER('Procyfloc 956A'!D347),'Procyfloc 956A'!D347,IF(ISNUMBER(SEARCH("12",'Procyfloc 956A'!D347)),EDATE(AB2346,12),IF(ISNUMBER(SEARCH("6",'Procyfloc 956A'!D347)),EDATE(AB2346,6),IF(ISNUMBER(SEARCH("3",'Procyfloc 956A'!D347)),EDATE(AB2346,3),DATEVALUE('Procyfloc 956A'!D347))))),""))</f>
        <v/>
      </c>
      <c r="AM2346" t="str">
        <f t="shared" ca="1" si="238"/>
        <v/>
      </c>
    </row>
    <row r="2347" spans="27:39" x14ac:dyDescent="0.3">
      <c r="AA2347" t="str">
        <f>IF(COUNTA('Procyfloc 956A'!A348,'Procyfloc 956A'!B348,'Procyfloc 956A'!C348)&gt;0,"956A","")</f>
        <v/>
      </c>
      <c r="AB2347" t="str">
        <f>IFERROR(IF(ISNUMBER('Procyfloc 956A'!A348),'Procyfloc 956A'!A348,DATEVALUE('Procyfloc 956A'!A348)),"")</f>
        <v/>
      </c>
      <c r="AC2347" t="str">
        <f>IF(AA2347="","",'Procyfloc 956A'!B348)</f>
        <v/>
      </c>
      <c r="AD2347" t="str">
        <f>IF(AA2347="","",IFERROR(1*'Procyfloc 956A'!C348,IFERROR(_xludf.NUMBERVALUE('Procyfloc 956A'!C348,".",","),IFERROR(_xludf.NUMBERVALUE('Procyfloc 956A'!C348,",","."),0))))</f>
        <v/>
      </c>
      <c r="AE2347" t="str">
        <f>IF(AA2347="","",'Procyfloc 956A'!L348)</f>
        <v/>
      </c>
      <c r="AF2347">
        <f t="shared" si="233"/>
        <v>0</v>
      </c>
      <c r="AG2347" t="str">
        <f t="shared" si="234"/>
        <v/>
      </c>
      <c r="AH2347" t="str">
        <f t="shared" si="235"/>
        <v/>
      </c>
      <c r="AI2347">
        <f t="shared" si="236"/>
        <v>0</v>
      </c>
      <c r="AJ2347">
        <f t="shared" si="237"/>
        <v>0</v>
      </c>
      <c r="AK2347">
        <v>0</v>
      </c>
      <c r="AL2347" t="str">
        <f>IF(AA2347="","",IFERROR(IF(ISNUMBER('Procyfloc 956A'!D348),'Procyfloc 956A'!D348,IF(ISNUMBER(SEARCH("12",'Procyfloc 956A'!D348)),EDATE(AB2347,12),IF(ISNUMBER(SEARCH("6",'Procyfloc 956A'!D348)),EDATE(AB2347,6),IF(ISNUMBER(SEARCH("3",'Procyfloc 956A'!D348)),EDATE(AB2347,3),DATEVALUE('Procyfloc 956A'!D348))))),""))</f>
        <v/>
      </c>
      <c r="AM2347" t="str">
        <f t="shared" ca="1" si="238"/>
        <v/>
      </c>
    </row>
    <row r="2348" spans="27:39" x14ac:dyDescent="0.3">
      <c r="AA2348" t="str">
        <f>IF(COUNTA('Procyfloc 956A'!A349,'Procyfloc 956A'!B349,'Procyfloc 956A'!C349)&gt;0,"956A","")</f>
        <v/>
      </c>
      <c r="AB2348" t="str">
        <f>IFERROR(IF(ISNUMBER('Procyfloc 956A'!A349),'Procyfloc 956A'!A349,DATEVALUE('Procyfloc 956A'!A349)),"")</f>
        <v/>
      </c>
      <c r="AC2348" t="str">
        <f>IF(AA2348="","",'Procyfloc 956A'!B349)</f>
        <v/>
      </c>
      <c r="AD2348" t="str">
        <f>IF(AA2348="","",IFERROR(1*'Procyfloc 956A'!C349,IFERROR(_xludf.NUMBERVALUE('Procyfloc 956A'!C349,".",","),IFERROR(_xludf.NUMBERVALUE('Procyfloc 956A'!C349,",","."),0))))</f>
        <v/>
      </c>
      <c r="AE2348" t="str">
        <f>IF(AA2348="","",'Procyfloc 956A'!L349)</f>
        <v/>
      </c>
      <c r="AF2348">
        <f t="shared" si="233"/>
        <v>0</v>
      </c>
      <c r="AG2348" t="str">
        <f t="shared" si="234"/>
        <v/>
      </c>
      <c r="AH2348" t="str">
        <f t="shared" si="235"/>
        <v/>
      </c>
      <c r="AI2348">
        <f t="shared" si="236"/>
        <v>0</v>
      </c>
      <c r="AJ2348">
        <f t="shared" si="237"/>
        <v>0</v>
      </c>
      <c r="AK2348">
        <v>0</v>
      </c>
      <c r="AL2348" t="str">
        <f>IF(AA2348="","",IFERROR(IF(ISNUMBER('Procyfloc 956A'!D349),'Procyfloc 956A'!D349,IF(ISNUMBER(SEARCH("12",'Procyfloc 956A'!D349)),EDATE(AB2348,12),IF(ISNUMBER(SEARCH("6",'Procyfloc 956A'!D349)),EDATE(AB2348,6),IF(ISNUMBER(SEARCH("3",'Procyfloc 956A'!D349)),EDATE(AB2348,3),DATEVALUE('Procyfloc 956A'!D349))))),""))</f>
        <v/>
      </c>
      <c r="AM2348" t="str">
        <f t="shared" ca="1" si="238"/>
        <v/>
      </c>
    </row>
    <row r="2349" spans="27:39" x14ac:dyDescent="0.3">
      <c r="AA2349" t="str">
        <f>IF(COUNTA('Procyfloc 956A'!A350,'Procyfloc 956A'!B350,'Procyfloc 956A'!C350)&gt;0,"956A","")</f>
        <v/>
      </c>
      <c r="AB2349" t="str">
        <f>IFERROR(IF(ISNUMBER('Procyfloc 956A'!A350),'Procyfloc 956A'!A350,DATEVALUE('Procyfloc 956A'!A350)),"")</f>
        <v/>
      </c>
      <c r="AC2349" t="str">
        <f>IF(AA2349="","",'Procyfloc 956A'!B350)</f>
        <v/>
      </c>
      <c r="AD2349" t="str">
        <f>IF(AA2349="","",IFERROR(1*'Procyfloc 956A'!C350,IFERROR(_xludf.NUMBERVALUE('Procyfloc 956A'!C350,".",","),IFERROR(_xludf.NUMBERVALUE('Procyfloc 956A'!C350,",","."),0))))</f>
        <v/>
      </c>
      <c r="AE2349" t="str">
        <f>IF(AA2349="","",'Procyfloc 956A'!L350)</f>
        <v/>
      </c>
      <c r="AF2349">
        <f t="shared" si="233"/>
        <v>0</v>
      </c>
      <c r="AG2349" t="str">
        <f t="shared" si="234"/>
        <v/>
      </c>
      <c r="AH2349" t="str">
        <f t="shared" si="235"/>
        <v/>
      </c>
      <c r="AI2349">
        <f t="shared" si="236"/>
        <v>0</v>
      </c>
      <c r="AJ2349">
        <f t="shared" si="237"/>
        <v>0</v>
      </c>
      <c r="AK2349">
        <v>0</v>
      </c>
      <c r="AL2349" t="str">
        <f>IF(AA2349="","",IFERROR(IF(ISNUMBER('Procyfloc 956A'!D350),'Procyfloc 956A'!D350,IF(ISNUMBER(SEARCH("12",'Procyfloc 956A'!D350)),EDATE(AB2349,12),IF(ISNUMBER(SEARCH("6",'Procyfloc 956A'!D350)),EDATE(AB2349,6),IF(ISNUMBER(SEARCH("3",'Procyfloc 956A'!D350)),EDATE(AB2349,3),DATEVALUE('Procyfloc 956A'!D350))))),""))</f>
        <v/>
      </c>
      <c r="AM2349" t="str">
        <f t="shared" ca="1" si="238"/>
        <v/>
      </c>
    </row>
    <row r="2350" spans="27:39" x14ac:dyDescent="0.3">
      <c r="AA2350" t="str">
        <f>IF(COUNTA('Procyfloc 956A'!A351,'Procyfloc 956A'!B351,'Procyfloc 956A'!C351)&gt;0,"956A","")</f>
        <v/>
      </c>
      <c r="AB2350" t="str">
        <f>IFERROR(IF(ISNUMBER('Procyfloc 956A'!A351),'Procyfloc 956A'!A351,DATEVALUE('Procyfloc 956A'!A351)),"")</f>
        <v/>
      </c>
      <c r="AC2350" t="str">
        <f>IF(AA2350="","",'Procyfloc 956A'!B351)</f>
        <v/>
      </c>
      <c r="AD2350" t="str">
        <f>IF(AA2350="","",IFERROR(1*'Procyfloc 956A'!C351,IFERROR(_xludf.NUMBERVALUE('Procyfloc 956A'!C351,".",","),IFERROR(_xludf.NUMBERVALUE('Procyfloc 956A'!C351,",","."),0))))</f>
        <v/>
      </c>
      <c r="AE2350" t="str">
        <f>IF(AA2350="","",'Procyfloc 956A'!L351)</f>
        <v/>
      </c>
      <c r="AF2350">
        <f t="shared" si="233"/>
        <v>0</v>
      </c>
      <c r="AG2350" t="str">
        <f t="shared" si="234"/>
        <v/>
      </c>
      <c r="AH2350" t="str">
        <f t="shared" si="235"/>
        <v/>
      </c>
      <c r="AI2350">
        <f t="shared" si="236"/>
        <v>0</v>
      </c>
      <c r="AJ2350">
        <f t="shared" si="237"/>
        <v>0</v>
      </c>
      <c r="AK2350">
        <v>0</v>
      </c>
      <c r="AL2350" t="str">
        <f>IF(AA2350="","",IFERROR(IF(ISNUMBER('Procyfloc 956A'!D351),'Procyfloc 956A'!D351,IF(ISNUMBER(SEARCH("12",'Procyfloc 956A'!D351)),EDATE(AB2350,12),IF(ISNUMBER(SEARCH("6",'Procyfloc 956A'!D351)),EDATE(AB2350,6),IF(ISNUMBER(SEARCH("3",'Procyfloc 956A'!D351)),EDATE(AB2350,3),DATEVALUE('Procyfloc 956A'!D351))))),""))</f>
        <v/>
      </c>
      <c r="AM2350" t="str">
        <f t="shared" ca="1" si="238"/>
        <v/>
      </c>
    </row>
    <row r="2351" spans="27:39" x14ac:dyDescent="0.3">
      <c r="AA2351" t="str">
        <f>IF(COUNTA('Procyfloc 956A'!A352,'Procyfloc 956A'!B352,'Procyfloc 956A'!C352)&gt;0,"956A","")</f>
        <v/>
      </c>
      <c r="AB2351" t="str">
        <f>IFERROR(IF(ISNUMBER('Procyfloc 956A'!A352),'Procyfloc 956A'!A352,DATEVALUE('Procyfloc 956A'!A352)),"")</f>
        <v/>
      </c>
      <c r="AC2351" t="str">
        <f>IF(AA2351="","",'Procyfloc 956A'!B352)</f>
        <v/>
      </c>
      <c r="AD2351" t="str">
        <f>IF(AA2351="","",IFERROR(1*'Procyfloc 956A'!C352,IFERROR(_xludf.NUMBERVALUE('Procyfloc 956A'!C352,".",","),IFERROR(_xludf.NUMBERVALUE('Procyfloc 956A'!C352,",","."),0))))</f>
        <v/>
      </c>
      <c r="AE2351" t="str">
        <f>IF(AA2351="","",'Procyfloc 956A'!L352)</f>
        <v/>
      </c>
      <c r="AF2351">
        <f t="shared" si="233"/>
        <v>0</v>
      </c>
      <c r="AG2351" t="str">
        <f t="shared" si="234"/>
        <v/>
      </c>
      <c r="AH2351" t="str">
        <f t="shared" si="235"/>
        <v/>
      </c>
      <c r="AI2351">
        <f t="shared" si="236"/>
        <v>0</v>
      </c>
      <c r="AJ2351">
        <f t="shared" si="237"/>
        <v>0</v>
      </c>
      <c r="AK2351">
        <v>0</v>
      </c>
      <c r="AL2351" t="str">
        <f>IF(AA2351="","",IFERROR(IF(ISNUMBER('Procyfloc 956A'!D352),'Procyfloc 956A'!D352,IF(ISNUMBER(SEARCH("12",'Procyfloc 956A'!D352)),EDATE(AB2351,12),IF(ISNUMBER(SEARCH("6",'Procyfloc 956A'!D352)),EDATE(AB2351,6),IF(ISNUMBER(SEARCH("3",'Procyfloc 956A'!D352)),EDATE(AB2351,3),DATEVALUE('Procyfloc 956A'!D352))))),""))</f>
        <v/>
      </c>
      <c r="AM2351" t="str">
        <f t="shared" ca="1" si="238"/>
        <v/>
      </c>
    </row>
    <row r="2352" spans="27:39" x14ac:dyDescent="0.3">
      <c r="AA2352" t="str">
        <f>IF(COUNTA('Procyfloc 956A'!A353,'Procyfloc 956A'!B353,'Procyfloc 956A'!C353)&gt;0,"956A","")</f>
        <v/>
      </c>
      <c r="AB2352" t="str">
        <f>IFERROR(IF(ISNUMBER('Procyfloc 956A'!A353),'Procyfloc 956A'!A353,DATEVALUE('Procyfloc 956A'!A353)),"")</f>
        <v/>
      </c>
      <c r="AC2352" t="str">
        <f>IF(AA2352="","",'Procyfloc 956A'!B353)</f>
        <v/>
      </c>
      <c r="AD2352" t="str">
        <f>IF(AA2352="","",IFERROR(1*'Procyfloc 956A'!C353,IFERROR(_xludf.NUMBERVALUE('Procyfloc 956A'!C353,".",","),IFERROR(_xludf.NUMBERVALUE('Procyfloc 956A'!C353,",","."),0))))</f>
        <v/>
      </c>
      <c r="AE2352" t="str">
        <f>IF(AA2352="","",'Procyfloc 956A'!L353)</f>
        <v/>
      </c>
      <c r="AF2352">
        <f t="shared" si="233"/>
        <v>0</v>
      </c>
      <c r="AG2352" t="str">
        <f t="shared" si="234"/>
        <v/>
      </c>
      <c r="AH2352" t="str">
        <f t="shared" si="235"/>
        <v/>
      </c>
      <c r="AI2352">
        <f t="shared" si="236"/>
        <v>0</v>
      </c>
      <c r="AJ2352">
        <f t="shared" si="237"/>
        <v>0</v>
      </c>
      <c r="AK2352">
        <v>0</v>
      </c>
      <c r="AL2352" t="str">
        <f>IF(AA2352="","",IFERROR(IF(ISNUMBER('Procyfloc 956A'!D353),'Procyfloc 956A'!D353,IF(ISNUMBER(SEARCH("12",'Procyfloc 956A'!D353)),EDATE(AB2352,12),IF(ISNUMBER(SEARCH("6",'Procyfloc 956A'!D353)),EDATE(AB2352,6),IF(ISNUMBER(SEARCH("3",'Procyfloc 956A'!D353)),EDATE(AB2352,3),DATEVALUE('Procyfloc 956A'!D353))))),""))</f>
        <v/>
      </c>
      <c r="AM2352" t="str">
        <f t="shared" ca="1" si="238"/>
        <v/>
      </c>
    </row>
    <row r="2353" spans="27:39" x14ac:dyDescent="0.3">
      <c r="AA2353" t="str">
        <f>IF(COUNTA('Procyfloc 956A'!A354,'Procyfloc 956A'!B354,'Procyfloc 956A'!C354)&gt;0,"956A","")</f>
        <v/>
      </c>
      <c r="AB2353" t="str">
        <f>IFERROR(IF(ISNUMBER('Procyfloc 956A'!A354),'Procyfloc 956A'!A354,DATEVALUE('Procyfloc 956A'!A354)),"")</f>
        <v/>
      </c>
      <c r="AC2353" t="str">
        <f>IF(AA2353="","",'Procyfloc 956A'!B354)</f>
        <v/>
      </c>
      <c r="AD2353" t="str">
        <f>IF(AA2353="","",IFERROR(1*'Procyfloc 956A'!C354,IFERROR(_xludf.NUMBERVALUE('Procyfloc 956A'!C354,".",","),IFERROR(_xludf.NUMBERVALUE('Procyfloc 956A'!C354,",","."),0))))</f>
        <v/>
      </c>
      <c r="AE2353" t="str">
        <f>IF(AA2353="","",'Procyfloc 956A'!L354)</f>
        <v/>
      </c>
      <c r="AF2353">
        <f t="shared" si="233"/>
        <v>0</v>
      </c>
      <c r="AG2353" t="str">
        <f t="shared" si="234"/>
        <v/>
      </c>
      <c r="AH2353" t="str">
        <f t="shared" si="235"/>
        <v/>
      </c>
      <c r="AI2353">
        <f t="shared" si="236"/>
        <v>0</v>
      </c>
      <c r="AJ2353">
        <f t="shared" si="237"/>
        <v>0</v>
      </c>
      <c r="AK2353">
        <v>0</v>
      </c>
      <c r="AL2353" t="str">
        <f>IF(AA2353="","",IFERROR(IF(ISNUMBER('Procyfloc 956A'!D354),'Procyfloc 956A'!D354,IF(ISNUMBER(SEARCH("12",'Procyfloc 956A'!D354)),EDATE(AB2353,12),IF(ISNUMBER(SEARCH("6",'Procyfloc 956A'!D354)),EDATE(AB2353,6),IF(ISNUMBER(SEARCH("3",'Procyfloc 956A'!D354)),EDATE(AB2353,3),DATEVALUE('Procyfloc 956A'!D354))))),""))</f>
        <v/>
      </c>
      <c r="AM2353" t="str">
        <f t="shared" ca="1" si="238"/>
        <v/>
      </c>
    </row>
    <row r="2354" spans="27:39" x14ac:dyDescent="0.3">
      <c r="AA2354" t="str">
        <f>IF(COUNTA('Procyfloc 956A'!A355,'Procyfloc 956A'!B355,'Procyfloc 956A'!C355)&gt;0,"956A","")</f>
        <v/>
      </c>
      <c r="AB2354" t="str">
        <f>IFERROR(IF(ISNUMBER('Procyfloc 956A'!A355),'Procyfloc 956A'!A355,DATEVALUE('Procyfloc 956A'!A355)),"")</f>
        <v/>
      </c>
      <c r="AC2354" t="str">
        <f>IF(AA2354="","",'Procyfloc 956A'!B355)</f>
        <v/>
      </c>
      <c r="AD2354" t="str">
        <f>IF(AA2354="","",IFERROR(1*'Procyfloc 956A'!C355,IFERROR(_xludf.NUMBERVALUE('Procyfloc 956A'!C355,".",","),IFERROR(_xludf.NUMBERVALUE('Procyfloc 956A'!C355,",","."),0))))</f>
        <v/>
      </c>
      <c r="AE2354" t="str">
        <f>IF(AA2354="","",'Procyfloc 956A'!L355)</f>
        <v/>
      </c>
      <c r="AF2354">
        <f t="shared" si="233"/>
        <v>0</v>
      </c>
      <c r="AG2354" t="str">
        <f t="shared" si="234"/>
        <v/>
      </c>
      <c r="AH2354" t="str">
        <f t="shared" si="235"/>
        <v/>
      </c>
      <c r="AI2354">
        <f t="shared" si="236"/>
        <v>0</v>
      </c>
      <c r="AJ2354">
        <f t="shared" si="237"/>
        <v>0</v>
      </c>
      <c r="AK2354">
        <v>0</v>
      </c>
      <c r="AL2354" t="str">
        <f>IF(AA2354="","",IFERROR(IF(ISNUMBER('Procyfloc 956A'!D355),'Procyfloc 956A'!D355,IF(ISNUMBER(SEARCH("12",'Procyfloc 956A'!D355)),EDATE(AB2354,12),IF(ISNUMBER(SEARCH("6",'Procyfloc 956A'!D355)),EDATE(AB2354,6),IF(ISNUMBER(SEARCH("3",'Procyfloc 956A'!D355)),EDATE(AB2354,3),DATEVALUE('Procyfloc 956A'!D355))))),""))</f>
        <v/>
      </c>
      <c r="AM2354" t="str">
        <f t="shared" ca="1" si="238"/>
        <v/>
      </c>
    </row>
    <row r="2355" spans="27:39" x14ac:dyDescent="0.3">
      <c r="AA2355" t="str">
        <f>IF(COUNTA('Procyfloc 956A'!A356,'Procyfloc 956A'!B356,'Procyfloc 956A'!C356)&gt;0,"956A","")</f>
        <v/>
      </c>
      <c r="AB2355" t="str">
        <f>IFERROR(IF(ISNUMBER('Procyfloc 956A'!A356),'Procyfloc 956A'!A356,DATEVALUE('Procyfloc 956A'!A356)),"")</f>
        <v/>
      </c>
      <c r="AC2355" t="str">
        <f>IF(AA2355="","",'Procyfloc 956A'!B356)</f>
        <v/>
      </c>
      <c r="AD2355" t="str">
        <f>IF(AA2355="","",IFERROR(1*'Procyfloc 956A'!C356,IFERROR(_xludf.NUMBERVALUE('Procyfloc 956A'!C356,".",","),IFERROR(_xludf.NUMBERVALUE('Procyfloc 956A'!C356,",","."),0))))</f>
        <v/>
      </c>
      <c r="AE2355" t="str">
        <f>IF(AA2355="","",'Procyfloc 956A'!L356)</f>
        <v/>
      </c>
      <c r="AF2355">
        <f t="shared" si="233"/>
        <v>0</v>
      </c>
      <c r="AG2355" t="str">
        <f t="shared" si="234"/>
        <v/>
      </c>
      <c r="AH2355" t="str">
        <f t="shared" si="235"/>
        <v/>
      </c>
      <c r="AI2355">
        <f t="shared" si="236"/>
        <v>0</v>
      </c>
      <c r="AJ2355">
        <f t="shared" si="237"/>
        <v>0</v>
      </c>
      <c r="AK2355">
        <v>0</v>
      </c>
      <c r="AL2355" t="str">
        <f>IF(AA2355="","",IFERROR(IF(ISNUMBER('Procyfloc 956A'!D356),'Procyfloc 956A'!D356,IF(ISNUMBER(SEARCH("12",'Procyfloc 956A'!D356)),EDATE(AB2355,12),IF(ISNUMBER(SEARCH("6",'Procyfloc 956A'!D356)),EDATE(AB2355,6),IF(ISNUMBER(SEARCH("3",'Procyfloc 956A'!D356)),EDATE(AB2355,3),DATEVALUE('Procyfloc 956A'!D356))))),""))</f>
        <v/>
      </c>
      <c r="AM2355" t="str">
        <f t="shared" ca="1" si="238"/>
        <v/>
      </c>
    </row>
    <row r="2356" spans="27:39" x14ac:dyDescent="0.3">
      <c r="AA2356" t="str">
        <f>IF(COUNTA('Procyfloc 956A'!A357,'Procyfloc 956A'!B357,'Procyfloc 956A'!C357)&gt;0,"956A","")</f>
        <v/>
      </c>
      <c r="AB2356" t="str">
        <f>IFERROR(IF(ISNUMBER('Procyfloc 956A'!A357),'Procyfloc 956A'!A357,DATEVALUE('Procyfloc 956A'!A357)),"")</f>
        <v/>
      </c>
      <c r="AC2356" t="str">
        <f>IF(AA2356="","",'Procyfloc 956A'!B357)</f>
        <v/>
      </c>
      <c r="AD2356" t="str">
        <f>IF(AA2356="","",IFERROR(1*'Procyfloc 956A'!C357,IFERROR(_xludf.NUMBERVALUE('Procyfloc 956A'!C357,".",","),IFERROR(_xludf.NUMBERVALUE('Procyfloc 956A'!C357,",","."),0))))</f>
        <v/>
      </c>
      <c r="AE2356" t="str">
        <f>IF(AA2356="","",'Procyfloc 956A'!L357)</f>
        <v/>
      </c>
      <c r="AF2356">
        <f t="shared" si="233"/>
        <v>0</v>
      </c>
      <c r="AG2356" t="str">
        <f t="shared" si="234"/>
        <v/>
      </c>
      <c r="AH2356" t="str">
        <f t="shared" si="235"/>
        <v/>
      </c>
      <c r="AI2356">
        <f t="shared" si="236"/>
        <v>0</v>
      </c>
      <c r="AJ2356">
        <f t="shared" si="237"/>
        <v>0</v>
      </c>
      <c r="AK2356">
        <v>0</v>
      </c>
      <c r="AL2356" t="str">
        <f>IF(AA2356="","",IFERROR(IF(ISNUMBER('Procyfloc 956A'!D357),'Procyfloc 956A'!D357,IF(ISNUMBER(SEARCH("12",'Procyfloc 956A'!D357)),EDATE(AB2356,12),IF(ISNUMBER(SEARCH("6",'Procyfloc 956A'!D357)),EDATE(AB2356,6),IF(ISNUMBER(SEARCH("3",'Procyfloc 956A'!D357)),EDATE(AB2356,3),DATEVALUE('Procyfloc 956A'!D357))))),""))</f>
        <v/>
      </c>
      <c r="AM2356" t="str">
        <f t="shared" ca="1" si="238"/>
        <v/>
      </c>
    </row>
    <row r="2357" spans="27:39" x14ac:dyDescent="0.3">
      <c r="AA2357" t="str">
        <f>IF(COUNTA('Procyfloc 956A'!A358,'Procyfloc 956A'!B358,'Procyfloc 956A'!C358)&gt;0,"956A","")</f>
        <v/>
      </c>
      <c r="AB2357" t="str">
        <f>IFERROR(IF(ISNUMBER('Procyfloc 956A'!A358),'Procyfloc 956A'!A358,DATEVALUE('Procyfloc 956A'!A358)),"")</f>
        <v/>
      </c>
      <c r="AC2357" t="str">
        <f>IF(AA2357="","",'Procyfloc 956A'!B358)</f>
        <v/>
      </c>
      <c r="AD2357" t="str">
        <f>IF(AA2357="","",IFERROR(1*'Procyfloc 956A'!C358,IFERROR(_xludf.NUMBERVALUE('Procyfloc 956A'!C358,".",","),IFERROR(_xludf.NUMBERVALUE('Procyfloc 956A'!C358,",","."),0))))</f>
        <v/>
      </c>
      <c r="AE2357" t="str">
        <f>IF(AA2357="","",'Procyfloc 956A'!L358)</f>
        <v/>
      </c>
      <c r="AF2357">
        <f t="shared" si="233"/>
        <v>0</v>
      </c>
      <c r="AG2357" t="str">
        <f t="shared" si="234"/>
        <v/>
      </c>
      <c r="AH2357" t="str">
        <f t="shared" si="235"/>
        <v/>
      </c>
      <c r="AI2357">
        <f t="shared" si="236"/>
        <v>0</v>
      </c>
      <c r="AJ2357">
        <f t="shared" si="237"/>
        <v>0</v>
      </c>
      <c r="AK2357">
        <v>0</v>
      </c>
      <c r="AL2357" t="str">
        <f>IF(AA2357="","",IFERROR(IF(ISNUMBER('Procyfloc 956A'!D358),'Procyfloc 956A'!D358,IF(ISNUMBER(SEARCH("12",'Procyfloc 956A'!D358)),EDATE(AB2357,12),IF(ISNUMBER(SEARCH("6",'Procyfloc 956A'!D358)),EDATE(AB2357,6),IF(ISNUMBER(SEARCH("3",'Procyfloc 956A'!D358)),EDATE(AB2357,3),DATEVALUE('Procyfloc 956A'!D358))))),""))</f>
        <v/>
      </c>
      <c r="AM2357" t="str">
        <f t="shared" ca="1" si="238"/>
        <v/>
      </c>
    </row>
    <row r="2358" spans="27:39" x14ac:dyDescent="0.3">
      <c r="AA2358" t="str">
        <f>IF(COUNTA('Procyfloc 956A'!A359,'Procyfloc 956A'!B359,'Procyfloc 956A'!C359)&gt;0,"956A","")</f>
        <v/>
      </c>
      <c r="AB2358" t="str">
        <f>IFERROR(IF(ISNUMBER('Procyfloc 956A'!A359),'Procyfloc 956A'!A359,DATEVALUE('Procyfloc 956A'!A359)),"")</f>
        <v/>
      </c>
      <c r="AC2358" t="str">
        <f>IF(AA2358="","",'Procyfloc 956A'!B359)</f>
        <v/>
      </c>
      <c r="AD2358" t="str">
        <f>IF(AA2358="","",IFERROR(1*'Procyfloc 956A'!C359,IFERROR(_xludf.NUMBERVALUE('Procyfloc 956A'!C359,".",","),IFERROR(_xludf.NUMBERVALUE('Procyfloc 956A'!C359,",","."),0))))</f>
        <v/>
      </c>
      <c r="AE2358" t="str">
        <f>IF(AA2358="","",'Procyfloc 956A'!L359)</f>
        <v/>
      </c>
      <c r="AF2358">
        <f t="shared" si="233"/>
        <v>0</v>
      </c>
      <c r="AG2358" t="str">
        <f t="shared" si="234"/>
        <v/>
      </c>
      <c r="AH2358" t="str">
        <f t="shared" si="235"/>
        <v/>
      </c>
      <c r="AI2358">
        <f t="shared" si="236"/>
        <v>0</v>
      </c>
      <c r="AJ2358">
        <f t="shared" si="237"/>
        <v>0</v>
      </c>
      <c r="AK2358">
        <v>0</v>
      </c>
      <c r="AL2358" t="str">
        <f>IF(AA2358="","",IFERROR(IF(ISNUMBER('Procyfloc 956A'!D359),'Procyfloc 956A'!D359,IF(ISNUMBER(SEARCH("12",'Procyfloc 956A'!D359)),EDATE(AB2358,12),IF(ISNUMBER(SEARCH("6",'Procyfloc 956A'!D359)),EDATE(AB2358,6),IF(ISNUMBER(SEARCH("3",'Procyfloc 956A'!D359)),EDATE(AB2358,3),DATEVALUE('Procyfloc 956A'!D359))))),""))</f>
        <v/>
      </c>
      <c r="AM2358" t="str">
        <f t="shared" ca="1" si="238"/>
        <v/>
      </c>
    </row>
    <row r="2359" spans="27:39" x14ac:dyDescent="0.3">
      <c r="AA2359" t="str">
        <f>IF(COUNTA('Procyfloc 956A'!A360,'Procyfloc 956A'!B360,'Procyfloc 956A'!C360)&gt;0,"956A","")</f>
        <v/>
      </c>
      <c r="AB2359" t="str">
        <f>IFERROR(IF(ISNUMBER('Procyfloc 956A'!A360),'Procyfloc 956A'!A360,DATEVALUE('Procyfloc 956A'!A360)),"")</f>
        <v/>
      </c>
      <c r="AC2359" t="str">
        <f>IF(AA2359="","",'Procyfloc 956A'!B360)</f>
        <v/>
      </c>
      <c r="AD2359" t="str">
        <f>IF(AA2359="","",IFERROR(1*'Procyfloc 956A'!C360,IFERROR(_xludf.NUMBERVALUE('Procyfloc 956A'!C360,".",","),IFERROR(_xludf.NUMBERVALUE('Procyfloc 956A'!C360,",","."),0))))</f>
        <v/>
      </c>
      <c r="AE2359" t="str">
        <f>IF(AA2359="","",'Procyfloc 956A'!L360)</f>
        <v/>
      </c>
      <c r="AF2359">
        <f t="shared" si="233"/>
        <v>0</v>
      </c>
      <c r="AG2359" t="str">
        <f t="shared" si="234"/>
        <v/>
      </c>
      <c r="AH2359" t="str">
        <f t="shared" si="235"/>
        <v/>
      </c>
      <c r="AI2359">
        <f t="shared" si="236"/>
        <v>0</v>
      </c>
      <c r="AJ2359">
        <f t="shared" si="237"/>
        <v>0</v>
      </c>
      <c r="AK2359">
        <v>0</v>
      </c>
      <c r="AL2359" t="str">
        <f>IF(AA2359="","",IFERROR(IF(ISNUMBER('Procyfloc 956A'!D360),'Procyfloc 956A'!D360,IF(ISNUMBER(SEARCH("12",'Procyfloc 956A'!D360)),EDATE(AB2359,12),IF(ISNUMBER(SEARCH("6",'Procyfloc 956A'!D360)),EDATE(AB2359,6),IF(ISNUMBER(SEARCH("3",'Procyfloc 956A'!D360)),EDATE(AB2359,3),DATEVALUE('Procyfloc 956A'!D360))))),""))</f>
        <v/>
      </c>
      <c r="AM2359" t="str">
        <f t="shared" ca="1" si="238"/>
        <v/>
      </c>
    </row>
    <row r="2360" spans="27:39" x14ac:dyDescent="0.3">
      <c r="AA2360" t="str">
        <f>IF(COUNTA('Procyfloc 956A'!A361,'Procyfloc 956A'!B361,'Procyfloc 956A'!C361)&gt;0,"956A","")</f>
        <v/>
      </c>
      <c r="AB2360" t="str">
        <f>IFERROR(IF(ISNUMBER('Procyfloc 956A'!A361),'Procyfloc 956A'!A361,DATEVALUE('Procyfloc 956A'!A361)),"")</f>
        <v/>
      </c>
      <c r="AC2360" t="str">
        <f>IF(AA2360="","",'Procyfloc 956A'!B361)</f>
        <v/>
      </c>
      <c r="AD2360" t="str">
        <f>IF(AA2360="","",IFERROR(1*'Procyfloc 956A'!C361,IFERROR(_xludf.NUMBERVALUE('Procyfloc 956A'!C361,".",","),IFERROR(_xludf.NUMBERVALUE('Procyfloc 956A'!C361,",","."),0))))</f>
        <v/>
      </c>
      <c r="AE2360" t="str">
        <f>IF(AA2360="","",'Procyfloc 956A'!L361)</f>
        <v/>
      </c>
      <c r="AF2360">
        <f t="shared" si="233"/>
        <v>0</v>
      </c>
      <c r="AG2360" t="str">
        <f t="shared" si="234"/>
        <v/>
      </c>
      <c r="AH2360" t="str">
        <f t="shared" si="235"/>
        <v/>
      </c>
      <c r="AI2360">
        <f t="shared" si="236"/>
        <v>0</v>
      </c>
      <c r="AJ2360">
        <f t="shared" si="237"/>
        <v>0</v>
      </c>
      <c r="AK2360">
        <v>0</v>
      </c>
      <c r="AL2360" t="str">
        <f>IF(AA2360="","",IFERROR(IF(ISNUMBER('Procyfloc 956A'!D361),'Procyfloc 956A'!D361,IF(ISNUMBER(SEARCH("12",'Procyfloc 956A'!D361)),EDATE(AB2360,12),IF(ISNUMBER(SEARCH("6",'Procyfloc 956A'!D361)),EDATE(AB2360,6),IF(ISNUMBER(SEARCH("3",'Procyfloc 956A'!D361)),EDATE(AB2360,3),DATEVALUE('Procyfloc 956A'!D361))))),""))</f>
        <v/>
      </c>
      <c r="AM2360" t="str">
        <f t="shared" ca="1" si="238"/>
        <v/>
      </c>
    </row>
    <row r="2361" spans="27:39" x14ac:dyDescent="0.3">
      <c r="AA2361" t="str">
        <f>IF(COUNTA('Procyfloc 956A'!A362,'Procyfloc 956A'!B362,'Procyfloc 956A'!C362)&gt;0,"956A","")</f>
        <v/>
      </c>
      <c r="AB2361" t="str">
        <f>IFERROR(IF(ISNUMBER('Procyfloc 956A'!A362),'Procyfloc 956A'!A362,DATEVALUE('Procyfloc 956A'!A362)),"")</f>
        <v/>
      </c>
      <c r="AC2361" t="str">
        <f>IF(AA2361="","",'Procyfloc 956A'!B362)</f>
        <v/>
      </c>
      <c r="AD2361" t="str">
        <f>IF(AA2361="","",IFERROR(1*'Procyfloc 956A'!C362,IFERROR(_xludf.NUMBERVALUE('Procyfloc 956A'!C362,".",","),IFERROR(_xludf.NUMBERVALUE('Procyfloc 956A'!C362,",","."),0))))</f>
        <v/>
      </c>
      <c r="AE2361" t="str">
        <f>IF(AA2361="","",'Procyfloc 956A'!L362)</f>
        <v/>
      </c>
      <c r="AF2361">
        <f t="shared" si="233"/>
        <v>0</v>
      </c>
      <c r="AG2361" t="str">
        <f t="shared" si="234"/>
        <v/>
      </c>
      <c r="AH2361" t="str">
        <f t="shared" si="235"/>
        <v/>
      </c>
      <c r="AI2361">
        <f t="shared" si="236"/>
        <v>0</v>
      </c>
      <c r="AJ2361">
        <f t="shared" si="237"/>
        <v>0</v>
      </c>
      <c r="AK2361">
        <v>0</v>
      </c>
      <c r="AL2361" t="str">
        <f>IF(AA2361="","",IFERROR(IF(ISNUMBER('Procyfloc 956A'!D362),'Procyfloc 956A'!D362,IF(ISNUMBER(SEARCH("12",'Procyfloc 956A'!D362)),EDATE(AB2361,12),IF(ISNUMBER(SEARCH("6",'Procyfloc 956A'!D362)),EDATE(AB2361,6),IF(ISNUMBER(SEARCH("3",'Procyfloc 956A'!D362)),EDATE(AB2361,3),DATEVALUE('Procyfloc 956A'!D362))))),""))</f>
        <v/>
      </c>
      <c r="AM2361" t="str">
        <f t="shared" ca="1" si="238"/>
        <v/>
      </c>
    </row>
    <row r="2362" spans="27:39" x14ac:dyDescent="0.3">
      <c r="AA2362" t="str">
        <f>IF(COUNTA('Procyfloc 956A'!A363,'Procyfloc 956A'!B363,'Procyfloc 956A'!C363)&gt;0,"956A","")</f>
        <v/>
      </c>
      <c r="AB2362" t="str">
        <f>IFERROR(IF(ISNUMBER('Procyfloc 956A'!A363),'Procyfloc 956A'!A363,DATEVALUE('Procyfloc 956A'!A363)),"")</f>
        <v/>
      </c>
      <c r="AC2362" t="str">
        <f>IF(AA2362="","",'Procyfloc 956A'!B363)</f>
        <v/>
      </c>
      <c r="AD2362" t="str">
        <f>IF(AA2362="","",IFERROR(1*'Procyfloc 956A'!C363,IFERROR(_xludf.NUMBERVALUE('Procyfloc 956A'!C363,".",","),IFERROR(_xludf.NUMBERVALUE('Procyfloc 956A'!C363,",","."),0))))</f>
        <v/>
      </c>
      <c r="AE2362" t="str">
        <f>IF(AA2362="","",'Procyfloc 956A'!L363)</f>
        <v/>
      </c>
      <c r="AF2362">
        <f t="shared" si="233"/>
        <v>0</v>
      </c>
      <c r="AG2362" t="str">
        <f t="shared" si="234"/>
        <v/>
      </c>
      <c r="AH2362" t="str">
        <f t="shared" si="235"/>
        <v/>
      </c>
      <c r="AI2362">
        <f t="shared" si="236"/>
        <v>0</v>
      </c>
      <c r="AJ2362">
        <f t="shared" si="237"/>
        <v>0</v>
      </c>
      <c r="AK2362">
        <v>0</v>
      </c>
      <c r="AL2362" t="str">
        <f>IF(AA2362="","",IFERROR(IF(ISNUMBER('Procyfloc 956A'!D363),'Procyfloc 956A'!D363,IF(ISNUMBER(SEARCH("12",'Procyfloc 956A'!D363)),EDATE(AB2362,12),IF(ISNUMBER(SEARCH("6",'Procyfloc 956A'!D363)),EDATE(AB2362,6),IF(ISNUMBER(SEARCH("3",'Procyfloc 956A'!D363)),EDATE(AB2362,3),DATEVALUE('Procyfloc 956A'!D363))))),""))</f>
        <v/>
      </c>
      <c r="AM2362" t="str">
        <f t="shared" ca="1" si="238"/>
        <v/>
      </c>
    </row>
    <row r="2363" spans="27:39" x14ac:dyDescent="0.3">
      <c r="AA2363" t="str">
        <f>IF(COUNTA('Procyfloc 956A'!A364,'Procyfloc 956A'!B364,'Procyfloc 956A'!C364)&gt;0,"956A","")</f>
        <v/>
      </c>
      <c r="AB2363" t="str">
        <f>IFERROR(IF(ISNUMBER('Procyfloc 956A'!A364),'Procyfloc 956A'!A364,DATEVALUE('Procyfloc 956A'!A364)),"")</f>
        <v/>
      </c>
      <c r="AC2363" t="str">
        <f>IF(AA2363="","",'Procyfloc 956A'!B364)</f>
        <v/>
      </c>
      <c r="AD2363" t="str">
        <f>IF(AA2363="","",IFERROR(1*'Procyfloc 956A'!C364,IFERROR(_xludf.NUMBERVALUE('Procyfloc 956A'!C364,".",","),IFERROR(_xludf.NUMBERVALUE('Procyfloc 956A'!C364,",","."),0))))</f>
        <v/>
      </c>
      <c r="AE2363" t="str">
        <f>IF(AA2363="","",'Procyfloc 956A'!L364)</f>
        <v/>
      </c>
      <c r="AF2363">
        <f t="shared" si="233"/>
        <v>0</v>
      </c>
      <c r="AG2363" t="str">
        <f t="shared" si="234"/>
        <v/>
      </c>
      <c r="AH2363" t="str">
        <f t="shared" si="235"/>
        <v/>
      </c>
      <c r="AI2363">
        <f t="shared" si="236"/>
        <v>0</v>
      </c>
      <c r="AJ2363">
        <f t="shared" si="237"/>
        <v>0</v>
      </c>
      <c r="AK2363">
        <v>0</v>
      </c>
      <c r="AL2363" t="str">
        <f>IF(AA2363="","",IFERROR(IF(ISNUMBER('Procyfloc 956A'!D364),'Procyfloc 956A'!D364,IF(ISNUMBER(SEARCH("12",'Procyfloc 956A'!D364)),EDATE(AB2363,12),IF(ISNUMBER(SEARCH("6",'Procyfloc 956A'!D364)),EDATE(AB2363,6),IF(ISNUMBER(SEARCH("3",'Procyfloc 956A'!D364)),EDATE(AB2363,3),DATEVALUE('Procyfloc 956A'!D364))))),""))</f>
        <v/>
      </c>
      <c r="AM2363" t="str">
        <f t="shared" ca="1" si="238"/>
        <v/>
      </c>
    </row>
    <row r="2364" spans="27:39" x14ac:dyDescent="0.3">
      <c r="AA2364" t="str">
        <f>IF(COUNTA('Procyfloc 956A'!A365,'Procyfloc 956A'!B365,'Procyfloc 956A'!C365)&gt;0,"956A","")</f>
        <v/>
      </c>
      <c r="AB2364" t="str">
        <f>IFERROR(IF(ISNUMBER('Procyfloc 956A'!A365),'Procyfloc 956A'!A365,DATEVALUE('Procyfloc 956A'!A365)),"")</f>
        <v/>
      </c>
      <c r="AC2364" t="str">
        <f>IF(AA2364="","",'Procyfloc 956A'!B365)</f>
        <v/>
      </c>
      <c r="AD2364" t="str">
        <f>IF(AA2364="","",IFERROR(1*'Procyfloc 956A'!C365,IFERROR(_xludf.NUMBERVALUE('Procyfloc 956A'!C365,".",","),IFERROR(_xludf.NUMBERVALUE('Procyfloc 956A'!C365,",","."),0))))</f>
        <v/>
      </c>
      <c r="AE2364" t="str">
        <f>IF(AA2364="","",'Procyfloc 956A'!L365)</f>
        <v/>
      </c>
      <c r="AF2364">
        <f t="shared" si="233"/>
        <v>0</v>
      </c>
      <c r="AG2364" t="str">
        <f t="shared" si="234"/>
        <v/>
      </c>
      <c r="AH2364" t="str">
        <f t="shared" si="235"/>
        <v/>
      </c>
      <c r="AI2364">
        <f t="shared" si="236"/>
        <v>0</v>
      </c>
      <c r="AJ2364">
        <f t="shared" si="237"/>
        <v>0</v>
      </c>
      <c r="AK2364">
        <v>0</v>
      </c>
      <c r="AL2364" t="str">
        <f>IF(AA2364="","",IFERROR(IF(ISNUMBER('Procyfloc 956A'!D365),'Procyfloc 956A'!D365,IF(ISNUMBER(SEARCH("12",'Procyfloc 956A'!D365)),EDATE(AB2364,12),IF(ISNUMBER(SEARCH("6",'Procyfloc 956A'!D365)),EDATE(AB2364,6),IF(ISNUMBER(SEARCH("3",'Procyfloc 956A'!D365)),EDATE(AB2364,3),DATEVALUE('Procyfloc 956A'!D365))))),""))</f>
        <v/>
      </c>
      <c r="AM2364" t="str">
        <f t="shared" ca="1" si="238"/>
        <v/>
      </c>
    </row>
    <row r="2365" spans="27:39" x14ac:dyDescent="0.3">
      <c r="AA2365" t="str">
        <f>IF(COUNTA('Procyfloc 956A'!A366,'Procyfloc 956A'!B366,'Procyfloc 956A'!C366)&gt;0,"956A","")</f>
        <v/>
      </c>
      <c r="AB2365" t="str">
        <f>IFERROR(IF(ISNUMBER('Procyfloc 956A'!A366),'Procyfloc 956A'!A366,DATEVALUE('Procyfloc 956A'!A366)),"")</f>
        <v/>
      </c>
      <c r="AC2365" t="str">
        <f>IF(AA2365="","",'Procyfloc 956A'!B366)</f>
        <v/>
      </c>
      <c r="AD2365" t="str">
        <f>IF(AA2365="","",IFERROR(1*'Procyfloc 956A'!C366,IFERROR(_xludf.NUMBERVALUE('Procyfloc 956A'!C366,".",","),IFERROR(_xludf.NUMBERVALUE('Procyfloc 956A'!C366,",","."),0))))</f>
        <v/>
      </c>
      <c r="AE2365" t="str">
        <f>IF(AA2365="","",'Procyfloc 956A'!L366)</f>
        <v/>
      </c>
      <c r="AF2365">
        <f t="shared" si="233"/>
        <v>0</v>
      </c>
      <c r="AG2365" t="str">
        <f t="shared" si="234"/>
        <v/>
      </c>
      <c r="AH2365" t="str">
        <f t="shared" si="235"/>
        <v/>
      </c>
      <c r="AI2365">
        <f t="shared" si="236"/>
        <v>0</v>
      </c>
      <c r="AJ2365">
        <f t="shared" si="237"/>
        <v>0</v>
      </c>
      <c r="AK2365">
        <v>0</v>
      </c>
      <c r="AL2365" t="str">
        <f>IF(AA2365="","",IFERROR(IF(ISNUMBER('Procyfloc 956A'!D366),'Procyfloc 956A'!D366,IF(ISNUMBER(SEARCH("12",'Procyfloc 956A'!D366)),EDATE(AB2365,12),IF(ISNUMBER(SEARCH("6",'Procyfloc 956A'!D366)),EDATE(AB2365,6),IF(ISNUMBER(SEARCH("3",'Procyfloc 956A'!D366)),EDATE(AB2365,3),DATEVALUE('Procyfloc 956A'!D366))))),""))</f>
        <v/>
      </c>
      <c r="AM2365" t="str">
        <f t="shared" ca="1" si="238"/>
        <v/>
      </c>
    </row>
    <row r="2366" spans="27:39" x14ac:dyDescent="0.3">
      <c r="AA2366" t="str">
        <f>IF(COUNTA('Procyfloc 956A'!A367,'Procyfloc 956A'!B367,'Procyfloc 956A'!C367)&gt;0,"956A","")</f>
        <v/>
      </c>
      <c r="AB2366" t="str">
        <f>IFERROR(IF(ISNUMBER('Procyfloc 956A'!A367),'Procyfloc 956A'!A367,DATEVALUE('Procyfloc 956A'!A367)),"")</f>
        <v/>
      </c>
      <c r="AC2366" t="str">
        <f>IF(AA2366="","",'Procyfloc 956A'!B367)</f>
        <v/>
      </c>
      <c r="AD2366" t="str">
        <f>IF(AA2366="","",IFERROR(1*'Procyfloc 956A'!C367,IFERROR(_xludf.NUMBERVALUE('Procyfloc 956A'!C367,".",","),IFERROR(_xludf.NUMBERVALUE('Procyfloc 956A'!C367,",","."),0))))</f>
        <v/>
      </c>
      <c r="AE2366" t="str">
        <f>IF(AA2366="","",'Procyfloc 956A'!L367)</f>
        <v/>
      </c>
      <c r="AF2366">
        <f t="shared" si="233"/>
        <v>0</v>
      </c>
      <c r="AG2366" t="str">
        <f t="shared" si="234"/>
        <v/>
      </c>
      <c r="AH2366" t="str">
        <f t="shared" si="235"/>
        <v/>
      </c>
      <c r="AI2366">
        <f t="shared" si="236"/>
        <v>0</v>
      </c>
      <c r="AJ2366">
        <f t="shared" si="237"/>
        <v>0</v>
      </c>
      <c r="AK2366">
        <v>0</v>
      </c>
      <c r="AL2366" t="str">
        <f>IF(AA2366="","",IFERROR(IF(ISNUMBER('Procyfloc 956A'!D367),'Procyfloc 956A'!D367,IF(ISNUMBER(SEARCH("12",'Procyfloc 956A'!D367)),EDATE(AB2366,12),IF(ISNUMBER(SEARCH("6",'Procyfloc 956A'!D367)),EDATE(AB2366,6),IF(ISNUMBER(SEARCH("3",'Procyfloc 956A'!D367)),EDATE(AB2366,3),DATEVALUE('Procyfloc 956A'!D367))))),""))</f>
        <v/>
      </c>
      <c r="AM2366" t="str">
        <f t="shared" ca="1" si="238"/>
        <v/>
      </c>
    </row>
    <row r="2367" spans="27:39" x14ac:dyDescent="0.3">
      <c r="AA2367" t="str">
        <f>IF(COUNTA('Procyfloc 956A'!A368,'Procyfloc 956A'!B368,'Procyfloc 956A'!C368)&gt;0,"956A","")</f>
        <v/>
      </c>
      <c r="AB2367" t="str">
        <f>IFERROR(IF(ISNUMBER('Procyfloc 956A'!A368),'Procyfloc 956A'!A368,DATEVALUE('Procyfloc 956A'!A368)),"")</f>
        <v/>
      </c>
      <c r="AC2367" t="str">
        <f>IF(AA2367="","",'Procyfloc 956A'!B368)</f>
        <v/>
      </c>
      <c r="AD2367" t="str">
        <f>IF(AA2367="","",IFERROR(1*'Procyfloc 956A'!C368,IFERROR(_xludf.NUMBERVALUE('Procyfloc 956A'!C368,".",","),IFERROR(_xludf.NUMBERVALUE('Procyfloc 956A'!C368,",","."),0))))</f>
        <v/>
      </c>
      <c r="AE2367" t="str">
        <f>IF(AA2367="","",'Procyfloc 956A'!L368)</f>
        <v/>
      </c>
      <c r="AF2367">
        <f t="shared" si="233"/>
        <v>0</v>
      </c>
      <c r="AG2367" t="str">
        <f t="shared" si="234"/>
        <v/>
      </c>
      <c r="AH2367" t="str">
        <f t="shared" si="235"/>
        <v/>
      </c>
      <c r="AI2367">
        <f t="shared" si="236"/>
        <v>0</v>
      </c>
      <c r="AJ2367">
        <f t="shared" si="237"/>
        <v>0</v>
      </c>
      <c r="AK2367">
        <v>0</v>
      </c>
      <c r="AL2367" t="str">
        <f>IF(AA2367="","",IFERROR(IF(ISNUMBER('Procyfloc 956A'!D368),'Procyfloc 956A'!D368,IF(ISNUMBER(SEARCH("12",'Procyfloc 956A'!D368)),EDATE(AB2367,12),IF(ISNUMBER(SEARCH("6",'Procyfloc 956A'!D368)),EDATE(AB2367,6),IF(ISNUMBER(SEARCH("3",'Procyfloc 956A'!D368)),EDATE(AB2367,3),DATEVALUE('Procyfloc 956A'!D368))))),""))</f>
        <v/>
      </c>
      <c r="AM2367" t="str">
        <f t="shared" ca="1" si="238"/>
        <v/>
      </c>
    </row>
    <row r="2368" spans="27:39" x14ac:dyDescent="0.3">
      <c r="AA2368" t="str">
        <f>IF(COUNTA('Procyfloc 956A'!A369,'Procyfloc 956A'!B369,'Procyfloc 956A'!C369)&gt;0,"956A","")</f>
        <v/>
      </c>
      <c r="AB2368" t="str">
        <f>IFERROR(IF(ISNUMBER('Procyfloc 956A'!A369),'Procyfloc 956A'!A369,DATEVALUE('Procyfloc 956A'!A369)),"")</f>
        <v/>
      </c>
      <c r="AC2368" t="str">
        <f>IF(AA2368="","",'Procyfloc 956A'!B369)</f>
        <v/>
      </c>
      <c r="AD2368" t="str">
        <f>IF(AA2368="","",IFERROR(1*'Procyfloc 956A'!C369,IFERROR(_xludf.NUMBERVALUE('Procyfloc 956A'!C369,".",","),IFERROR(_xludf.NUMBERVALUE('Procyfloc 956A'!C369,",","."),0))))</f>
        <v/>
      </c>
      <c r="AE2368" t="str">
        <f>IF(AA2368="","",'Procyfloc 956A'!L369)</f>
        <v/>
      </c>
      <c r="AF2368">
        <f t="shared" si="233"/>
        <v>0</v>
      </c>
      <c r="AG2368" t="str">
        <f t="shared" si="234"/>
        <v/>
      </c>
      <c r="AH2368" t="str">
        <f t="shared" si="235"/>
        <v/>
      </c>
      <c r="AI2368">
        <f t="shared" si="236"/>
        <v>0</v>
      </c>
      <c r="AJ2368">
        <f t="shared" si="237"/>
        <v>0</v>
      </c>
      <c r="AK2368">
        <v>0</v>
      </c>
      <c r="AL2368" t="str">
        <f>IF(AA2368="","",IFERROR(IF(ISNUMBER('Procyfloc 956A'!D369),'Procyfloc 956A'!D369,IF(ISNUMBER(SEARCH("12",'Procyfloc 956A'!D369)),EDATE(AB2368,12),IF(ISNUMBER(SEARCH("6",'Procyfloc 956A'!D369)),EDATE(AB2368,6),IF(ISNUMBER(SEARCH("3",'Procyfloc 956A'!D369)),EDATE(AB2368,3),DATEVALUE('Procyfloc 956A'!D369))))),""))</f>
        <v/>
      </c>
      <c r="AM2368" t="str">
        <f t="shared" ca="1" si="238"/>
        <v/>
      </c>
    </row>
    <row r="2369" spans="27:39" x14ac:dyDescent="0.3">
      <c r="AA2369" t="str">
        <f>IF(COUNTA('Procyfloc 956A'!A370,'Procyfloc 956A'!B370,'Procyfloc 956A'!C370)&gt;0,"956A","")</f>
        <v/>
      </c>
      <c r="AB2369" t="str">
        <f>IFERROR(IF(ISNUMBER('Procyfloc 956A'!A370),'Procyfloc 956A'!A370,DATEVALUE('Procyfloc 956A'!A370)),"")</f>
        <v/>
      </c>
      <c r="AC2369" t="str">
        <f>IF(AA2369="","",'Procyfloc 956A'!B370)</f>
        <v/>
      </c>
      <c r="AD2369" t="str">
        <f>IF(AA2369="","",IFERROR(1*'Procyfloc 956A'!C370,IFERROR(_xludf.NUMBERVALUE('Procyfloc 956A'!C370,".",","),IFERROR(_xludf.NUMBERVALUE('Procyfloc 956A'!C370,",","."),0))))</f>
        <v/>
      </c>
      <c r="AE2369" t="str">
        <f>IF(AA2369="","",'Procyfloc 956A'!L370)</f>
        <v/>
      </c>
      <c r="AF2369">
        <f t="shared" si="233"/>
        <v>0</v>
      </c>
      <c r="AG2369" t="str">
        <f t="shared" si="234"/>
        <v/>
      </c>
      <c r="AH2369" t="str">
        <f t="shared" si="235"/>
        <v/>
      </c>
      <c r="AI2369">
        <f t="shared" si="236"/>
        <v>0</v>
      </c>
      <c r="AJ2369">
        <f t="shared" si="237"/>
        <v>0</v>
      </c>
      <c r="AK2369">
        <v>0</v>
      </c>
      <c r="AL2369" t="str">
        <f>IF(AA2369="","",IFERROR(IF(ISNUMBER('Procyfloc 956A'!D370),'Procyfloc 956A'!D370,IF(ISNUMBER(SEARCH("12",'Procyfloc 956A'!D370)),EDATE(AB2369,12),IF(ISNUMBER(SEARCH("6",'Procyfloc 956A'!D370)),EDATE(AB2369,6),IF(ISNUMBER(SEARCH("3",'Procyfloc 956A'!D370)),EDATE(AB2369,3),DATEVALUE('Procyfloc 956A'!D370))))),""))</f>
        <v/>
      </c>
      <c r="AM2369" t="str">
        <f t="shared" ca="1" si="238"/>
        <v/>
      </c>
    </row>
    <row r="2370" spans="27:39" x14ac:dyDescent="0.3">
      <c r="AA2370" t="str">
        <f>IF(COUNTA('Procyfloc 956A'!A371,'Procyfloc 956A'!B371,'Procyfloc 956A'!C371)&gt;0,"956A","")</f>
        <v/>
      </c>
      <c r="AB2370" t="str">
        <f>IFERROR(IF(ISNUMBER('Procyfloc 956A'!A371),'Procyfloc 956A'!A371,DATEVALUE('Procyfloc 956A'!A371)),"")</f>
        <v/>
      </c>
      <c r="AC2370" t="str">
        <f>IF(AA2370="","",'Procyfloc 956A'!B371)</f>
        <v/>
      </c>
      <c r="AD2370" t="str">
        <f>IF(AA2370="","",IFERROR(1*'Procyfloc 956A'!C371,IFERROR(_xludf.NUMBERVALUE('Procyfloc 956A'!C371,".",","),IFERROR(_xludf.NUMBERVALUE('Procyfloc 956A'!C371,",","."),0))))</f>
        <v/>
      </c>
      <c r="AE2370" t="str">
        <f>IF(AA2370="","",'Procyfloc 956A'!L371)</f>
        <v/>
      </c>
      <c r="AF2370">
        <f t="shared" ref="AF2370:AF2433" si="239">IF(AA2370="",0,--AND(ISNUMBER(SEARCH("aprov",AE2370)),NOT(ISNUMBER(SEARCH("reprov",AE2370)))))</f>
        <v>0</v>
      </c>
      <c r="AG2370" t="str">
        <f t="shared" ref="AG2370:AG2433" si="240">IF(AB2370="","",YEAR(AB2370))</f>
        <v/>
      </c>
      <c r="AH2370" t="str">
        <f t="shared" ref="AH2370:AH2433" si="241">IF(AB2370="","",MONTH(AB2370))</f>
        <v/>
      </c>
      <c r="AI2370">
        <f t="shared" ref="AI2370:AI2433" si="242">IF(AB2370="",0,AB2370+ROW()/1000000)</f>
        <v>0</v>
      </c>
      <c r="AJ2370">
        <f t="shared" ref="AJ2370:AJ2433" si="243">--(AA2370&lt;&gt;"")</f>
        <v>0</v>
      </c>
      <c r="AK2370">
        <v>0</v>
      </c>
      <c r="AL2370" t="str">
        <f>IF(AA2370="","",IFERROR(IF(ISNUMBER('Procyfloc 956A'!D371),'Procyfloc 956A'!D371,IF(ISNUMBER(SEARCH("12",'Procyfloc 956A'!D371)),EDATE(AB2370,12),IF(ISNUMBER(SEARCH("6",'Procyfloc 956A'!D371)),EDATE(AB2370,6),IF(ISNUMBER(SEARCH("3",'Procyfloc 956A'!D371)),EDATE(AB2370,3),DATEVALUE('Procyfloc 956A'!D371))))),""))</f>
        <v/>
      </c>
      <c r="AM2370" t="str">
        <f t="shared" ref="AM2370:AM2433" ca="1" si="244">IF(AND(AJ2370=1,AL2370&lt;&gt;"",AL2370&gt;=TODAY(),AG2370=$W$3),AL2370+ROW()/1000000,"")</f>
        <v/>
      </c>
    </row>
    <row r="2371" spans="27:39" x14ac:dyDescent="0.3">
      <c r="AA2371" t="str">
        <f>IF(COUNTA('Procyfloc 956A'!A372,'Procyfloc 956A'!B372,'Procyfloc 956A'!C372)&gt;0,"956A","")</f>
        <v/>
      </c>
      <c r="AB2371" t="str">
        <f>IFERROR(IF(ISNUMBER('Procyfloc 956A'!A372),'Procyfloc 956A'!A372,DATEVALUE('Procyfloc 956A'!A372)),"")</f>
        <v/>
      </c>
      <c r="AC2371" t="str">
        <f>IF(AA2371="","",'Procyfloc 956A'!B372)</f>
        <v/>
      </c>
      <c r="AD2371" t="str">
        <f>IF(AA2371="","",IFERROR(1*'Procyfloc 956A'!C372,IFERROR(_xludf.NUMBERVALUE('Procyfloc 956A'!C372,".",","),IFERROR(_xludf.NUMBERVALUE('Procyfloc 956A'!C372,",","."),0))))</f>
        <v/>
      </c>
      <c r="AE2371" t="str">
        <f>IF(AA2371="","",'Procyfloc 956A'!L372)</f>
        <v/>
      </c>
      <c r="AF2371">
        <f t="shared" si="239"/>
        <v>0</v>
      </c>
      <c r="AG2371" t="str">
        <f t="shared" si="240"/>
        <v/>
      </c>
      <c r="AH2371" t="str">
        <f t="shared" si="241"/>
        <v/>
      </c>
      <c r="AI2371">
        <f t="shared" si="242"/>
        <v>0</v>
      </c>
      <c r="AJ2371">
        <f t="shared" si="243"/>
        <v>0</v>
      </c>
      <c r="AK2371">
        <v>0</v>
      </c>
      <c r="AL2371" t="str">
        <f>IF(AA2371="","",IFERROR(IF(ISNUMBER('Procyfloc 956A'!D372),'Procyfloc 956A'!D372,IF(ISNUMBER(SEARCH("12",'Procyfloc 956A'!D372)),EDATE(AB2371,12),IF(ISNUMBER(SEARCH("6",'Procyfloc 956A'!D372)),EDATE(AB2371,6),IF(ISNUMBER(SEARCH("3",'Procyfloc 956A'!D372)),EDATE(AB2371,3),DATEVALUE('Procyfloc 956A'!D372))))),""))</f>
        <v/>
      </c>
      <c r="AM2371" t="str">
        <f t="shared" ca="1" si="244"/>
        <v/>
      </c>
    </row>
    <row r="2372" spans="27:39" x14ac:dyDescent="0.3">
      <c r="AA2372" t="str">
        <f>IF(COUNTA('Procyfloc 956A'!A373,'Procyfloc 956A'!B373,'Procyfloc 956A'!C373)&gt;0,"956A","")</f>
        <v/>
      </c>
      <c r="AB2372" t="str">
        <f>IFERROR(IF(ISNUMBER('Procyfloc 956A'!A373),'Procyfloc 956A'!A373,DATEVALUE('Procyfloc 956A'!A373)),"")</f>
        <v/>
      </c>
      <c r="AC2372" t="str">
        <f>IF(AA2372="","",'Procyfloc 956A'!B373)</f>
        <v/>
      </c>
      <c r="AD2372" t="str">
        <f>IF(AA2372="","",IFERROR(1*'Procyfloc 956A'!C373,IFERROR(_xludf.NUMBERVALUE('Procyfloc 956A'!C373,".",","),IFERROR(_xludf.NUMBERVALUE('Procyfloc 956A'!C373,",","."),0))))</f>
        <v/>
      </c>
      <c r="AE2372" t="str">
        <f>IF(AA2372="","",'Procyfloc 956A'!L373)</f>
        <v/>
      </c>
      <c r="AF2372">
        <f t="shared" si="239"/>
        <v>0</v>
      </c>
      <c r="AG2372" t="str">
        <f t="shared" si="240"/>
        <v/>
      </c>
      <c r="AH2372" t="str">
        <f t="shared" si="241"/>
        <v/>
      </c>
      <c r="AI2372">
        <f t="shared" si="242"/>
        <v>0</v>
      </c>
      <c r="AJ2372">
        <f t="shared" si="243"/>
        <v>0</v>
      </c>
      <c r="AK2372">
        <v>0</v>
      </c>
      <c r="AL2372" t="str">
        <f>IF(AA2372="","",IFERROR(IF(ISNUMBER('Procyfloc 956A'!D373),'Procyfloc 956A'!D373,IF(ISNUMBER(SEARCH("12",'Procyfloc 956A'!D373)),EDATE(AB2372,12),IF(ISNUMBER(SEARCH("6",'Procyfloc 956A'!D373)),EDATE(AB2372,6),IF(ISNUMBER(SEARCH("3",'Procyfloc 956A'!D373)),EDATE(AB2372,3),DATEVALUE('Procyfloc 956A'!D373))))),""))</f>
        <v/>
      </c>
      <c r="AM2372" t="str">
        <f t="shared" ca="1" si="244"/>
        <v/>
      </c>
    </row>
    <row r="2373" spans="27:39" x14ac:dyDescent="0.3">
      <c r="AA2373" t="str">
        <f>IF(COUNTA('Procyfloc 956A'!A374,'Procyfloc 956A'!B374,'Procyfloc 956A'!C374)&gt;0,"956A","")</f>
        <v/>
      </c>
      <c r="AB2373" t="str">
        <f>IFERROR(IF(ISNUMBER('Procyfloc 956A'!A374),'Procyfloc 956A'!A374,DATEVALUE('Procyfloc 956A'!A374)),"")</f>
        <v/>
      </c>
      <c r="AC2373" t="str">
        <f>IF(AA2373="","",'Procyfloc 956A'!B374)</f>
        <v/>
      </c>
      <c r="AD2373" t="str">
        <f>IF(AA2373="","",IFERROR(1*'Procyfloc 956A'!C374,IFERROR(_xludf.NUMBERVALUE('Procyfloc 956A'!C374,".",","),IFERROR(_xludf.NUMBERVALUE('Procyfloc 956A'!C374,",","."),0))))</f>
        <v/>
      </c>
      <c r="AE2373" t="str">
        <f>IF(AA2373="","",'Procyfloc 956A'!L374)</f>
        <v/>
      </c>
      <c r="AF2373">
        <f t="shared" si="239"/>
        <v>0</v>
      </c>
      <c r="AG2373" t="str">
        <f t="shared" si="240"/>
        <v/>
      </c>
      <c r="AH2373" t="str">
        <f t="shared" si="241"/>
        <v/>
      </c>
      <c r="AI2373">
        <f t="shared" si="242"/>
        <v>0</v>
      </c>
      <c r="AJ2373">
        <f t="shared" si="243"/>
        <v>0</v>
      </c>
      <c r="AK2373">
        <v>0</v>
      </c>
      <c r="AL2373" t="str">
        <f>IF(AA2373="","",IFERROR(IF(ISNUMBER('Procyfloc 956A'!D374),'Procyfloc 956A'!D374,IF(ISNUMBER(SEARCH("12",'Procyfloc 956A'!D374)),EDATE(AB2373,12),IF(ISNUMBER(SEARCH("6",'Procyfloc 956A'!D374)),EDATE(AB2373,6),IF(ISNUMBER(SEARCH("3",'Procyfloc 956A'!D374)),EDATE(AB2373,3),DATEVALUE('Procyfloc 956A'!D374))))),""))</f>
        <v/>
      </c>
      <c r="AM2373" t="str">
        <f t="shared" ca="1" si="244"/>
        <v/>
      </c>
    </row>
    <row r="2374" spans="27:39" x14ac:dyDescent="0.3">
      <c r="AA2374" t="str">
        <f>IF(COUNTA('Procyfloc 956A'!A375,'Procyfloc 956A'!B375,'Procyfloc 956A'!C375)&gt;0,"956A","")</f>
        <v/>
      </c>
      <c r="AB2374" t="str">
        <f>IFERROR(IF(ISNUMBER('Procyfloc 956A'!A375),'Procyfloc 956A'!A375,DATEVALUE('Procyfloc 956A'!A375)),"")</f>
        <v/>
      </c>
      <c r="AC2374" t="str">
        <f>IF(AA2374="","",'Procyfloc 956A'!B375)</f>
        <v/>
      </c>
      <c r="AD2374" t="str">
        <f>IF(AA2374="","",IFERROR(1*'Procyfloc 956A'!C375,IFERROR(_xludf.NUMBERVALUE('Procyfloc 956A'!C375,".",","),IFERROR(_xludf.NUMBERVALUE('Procyfloc 956A'!C375,",","."),0))))</f>
        <v/>
      </c>
      <c r="AE2374" t="str">
        <f>IF(AA2374="","",'Procyfloc 956A'!L375)</f>
        <v/>
      </c>
      <c r="AF2374">
        <f t="shared" si="239"/>
        <v>0</v>
      </c>
      <c r="AG2374" t="str">
        <f t="shared" si="240"/>
        <v/>
      </c>
      <c r="AH2374" t="str">
        <f t="shared" si="241"/>
        <v/>
      </c>
      <c r="AI2374">
        <f t="shared" si="242"/>
        <v>0</v>
      </c>
      <c r="AJ2374">
        <f t="shared" si="243"/>
        <v>0</v>
      </c>
      <c r="AK2374">
        <v>0</v>
      </c>
      <c r="AL2374" t="str">
        <f>IF(AA2374="","",IFERROR(IF(ISNUMBER('Procyfloc 956A'!D375),'Procyfloc 956A'!D375,IF(ISNUMBER(SEARCH("12",'Procyfloc 956A'!D375)),EDATE(AB2374,12),IF(ISNUMBER(SEARCH("6",'Procyfloc 956A'!D375)),EDATE(AB2374,6),IF(ISNUMBER(SEARCH("3",'Procyfloc 956A'!D375)),EDATE(AB2374,3),DATEVALUE('Procyfloc 956A'!D375))))),""))</f>
        <v/>
      </c>
      <c r="AM2374" t="str">
        <f t="shared" ca="1" si="244"/>
        <v/>
      </c>
    </row>
    <row r="2375" spans="27:39" x14ac:dyDescent="0.3">
      <c r="AA2375" t="str">
        <f>IF(COUNTA('Procyfloc 956A'!A376,'Procyfloc 956A'!B376,'Procyfloc 956A'!C376)&gt;0,"956A","")</f>
        <v/>
      </c>
      <c r="AB2375" t="str">
        <f>IFERROR(IF(ISNUMBER('Procyfloc 956A'!A376),'Procyfloc 956A'!A376,DATEVALUE('Procyfloc 956A'!A376)),"")</f>
        <v/>
      </c>
      <c r="AC2375" t="str">
        <f>IF(AA2375="","",'Procyfloc 956A'!B376)</f>
        <v/>
      </c>
      <c r="AD2375" t="str">
        <f>IF(AA2375="","",IFERROR(1*'Procyfloc 956A'!C376,IFERROR(_xludf.NUMBERVALUE('Procyfloc 956A'!C376,".",","),IFERROR(_xludf.NUMBERVALUE('Procyfloc 956A'!C376,",","."),0))))</f>
        <v/>
      </c>
      <c r="AE2375" t="str">
        <f>IF(AA2375="","",'Procyfloc 956A'!L376)</f>
        <v/>
      </c>
      <c r="AF2375">
        <f t="shared" si="239"/>
        <v>0</v>
      </c>
      <c r="AG2375" t="str">
        <f t="shared" si="240"/>
        <v/>
      </c>
      <c r="AH2375" t="str">
        <f t="shared" si="241"/>
        <v/>
      </c>
      <c r="AI2375">
        <f t="shared" si="242"/>
        <v>0</v>
      </c>
      <c r="AJ2375">
        <f t="shared" si="243"/>
        <v>0</v>
      </c>
      <c r="AK2375">
        <v>0</v>
      </c>
      <c r="AL2375" t="str">
        <f>IF(AA2375="","",IFERROR(IF(ISNUMBER('Procyfloc 956A'!D376),'Procyfloc 956A'!D376,IF(ISNUMBER(SEARCH("12",'Procyfloc 956A'!D376)),EDATE(AB2375,12),IF(ISNUMBER(SEARCH("6",'Procyfloc 956A'!D376)),EDATE(AB2375,6),IF(ISNUMBER(SEARCH("3",'Procyfloc 956A'!D376)),EDATE(AB2375,3),DATEVALUE('Procyfloc 956A'!D376))))),""))</f>
        <v/>
      </c>
      <c r="AM2375" t="str">
        <f t="shared" ca="1" si="244"/>
        <v/>
      </c>
    </row>
    <row r="2376" spans="27:39" x14ac:dyDescent="0.3">
      <c r="AA2376" t="str">
        <f>IF(COUNTA('Procyfloc 956A'!A377,'Procyfloc 956A'!B377,'Procyfloc 956A'!C377)&gt;0,"956A","")</f>
        <v/>
      </c>
      <c r="AB2376" t="str">
        <f>IFERROR(IF(ISNUMBER('Procyfloc 956A'!A377),'Procyfloc 956A'!A377,DATEVALUE('Procyfloc 956A'!A377)),"")</f>
        <v/>
      </c>
      <c r="AC2376" t="str">
        <f>IF(AA2376="","",'Procyfloc 956A'!B377)</f>
        <v/>
      </c>
      <c r="AD2376" t="str">
        <f>IF(AA2376="","",IFERROR(1*'Procyfloc 956A'!C377,IFERROR(_xludf.NUMBERVALUE('Procyfloc 956A'!C377,".",","),IFERROR(_xludf.NUMBERVALUE('Procyfloc 956A'!C377,",","."),0))))</f>
        <v/>
      </c>
      <c r="AE2376" t="str">
        <f>IF(AA2376="","",'Procyfloc 956A'!L377)</f>
        <v/>
      </c>
      <c r="AF2376">
        <f t="shared" si="239"/>
        <v>0</v>
      </c>
      <c r="AG2376" t="str">
        <f t="shared" si="240"/>
        <v/>
      </c>
      <c r="AH2376" t="str">
        <f t="shared" si="241"/>
        <v/>
      </c>
      <c r="AI2376">
        <f t="shared" si="242"/>
        <v>0</v>
      </c>
      <c r="AJ2376">
        <f t="shared" si="243"/>
        <v>0</v>
      </c>
      <c r="AK2376">
        <v>0</v>
      </c>
      <c r="AL2376" t="str">
        <f>IF(AA2376="","",IFERROR(IF(ISNUMBER('Procyfloc 956A'!D377),'Procyfloc 956A'!D377,IF(ISNUMBER(SEARCH("12",'Procyfloc 956A'!D377)),EDATE(AB2376,12),IF(ISNUMBER(SEARCH("6",'Procyfloc 956A'!D377)),EDATE(AB2376,6),IF(ISNUMBER(SEARCH("3",'Procyfloc 956A'!D377)),EDATE(AB2376,3),DATEVALUE('Procyfloc 956A'!D377))))),""))</f>
        <v/>
      </c>
      <c r="AM2376" t="str">
        <f t="shared" ca="1" si="244"/>
        <v/>
      </c>
    </row>
    <row r="2377" spans="27:39" x14ac:dyDescent="0.3">
      <c r="AA2377" t="str">
        <f>IF(COUNTA('Procyfloc 956A'!A378,'Procyfloc 956A'!B378,'Procyfloc 956A'!C378)&gt;0,"956A","")</f>
        <v/>
      </c>
      <c r="AB2377" t="str">
        <f>IFERROR(IF(ISNUMBER('Procyfloc 956A'!A378),'Procyfloc 956A'!A378,DATEVALUE('Procyfloc 956A'!A378)),"")</f>
        <v/>
      </c>
      <c r="AC2377" t="str">
        <f>IF(AA2377="","",'Procyfloc 956A'!B378)</f>
        <v/>
      </c>
      <c r="AD2377" t="str">
        <f>IF(AA2377="","",IFERROR(1*'Procyfloc 956A'!C378,IFERROR(_xludf.NUMBERVALUE('Procyfloc 956A'!C378,".",","),IFERROR(_xludf.NUMBERVALUE('Procyfloc 956A'!C378,",","."),0))))</f>
        <v/>
      </c>
      <c r="AE2377" t="str">
        <f>IF(AA2377="","",'Procyfloc 956A'!L378)</f>
        <v/>
      </c>
      <c r="AF2377">
        <f t="shared" si="239"/>
        <v>0</v>
      </c>
      <c r="AG2377" t="str">
        <f t="shared" si="240"/>
        <v/>
      </c>
      <c r="AH2377" t="str">
        <f t="shared" si="241"/>
        <v/>
      </c>
      <c r="AI2377">
        <f t="shared" si="242"/>
        <v>0</v>
      </c>
      <c r="AJ2377">
        <f t="shared" si="243"/>
        <v>0</v>
      </c>
      <c r="AK2377">
        <v>0</v>
      </c>
      <c r="AL2377" t="str">
        <f>IF(AA2377="","",IFERROR(IF(ISNUMBER('Procyfloc 956A'!D378),'Procyfloc 956A'!D378,IF(ISNUMBER(SEARCH("12",'Procyfloc 956A'!D378)),EDATE(AB2377,12),IF(ISNUMBER(SEARCH("6",'Procyfloc 956A'!D378)),EDATE(AB2377,6),IF(ISNUMBER(SEARCH("3",'Procyfloc 956A'!D378)),EDATE(AB2377,3),DATEVALUE('Procyfloc 956A'!D378))))),""))</f>
        <v/>
      </c>
      <c r="AM2377" t="str">
        <f t="shared" ca="1" si="244"/>
        <v/>
      </c>
    </row>
    <row r="2378" spans="27:39" x14ac:dyDescent="0.3">
      <c r="AA2378" t="str">
        <f>IF(COUNTA('Procyfloc 956A'!A379,'Procyfloc 956A'!B379,'Procyfloc 956A'!C379)&gt;0,"956A","")</f>
        <v/>
      </c>
      <c r="AB2378" t="str">
        <f>IFERROR(IF(ISNUMBER('Procyfloc 956A'!A379),'Procyfloc 956A'!A379,DATEVALUE('Procyfloc 956A'!A379)),"")</f>
        <v/>
      </c>
      <c r="AC2378" t="str">
        <f>IF(AA2378="","",'Procyfloc 956A'!B379)</f>
        <v/>
      </c>
      <c r="AD2378" t="str">
        <f>IF(AA2378="","",IFERROR(1*'Procyfloc 956A'!C379,IFERROR(_xludf.NUMBERVALUE('Procyfloc 956A'!C379,".",","),IFERROR(_xludf.NUMBERVALUE('Procyfloc 956A'!C379,",","."),0))))</f>
        <v/>
      </c>
      <c r="AE2378" t="str">
        <f>IF(AA2378="","",'Procyfloc 956A'!L379)</f>
        <v/>
      </c>
      <c r="AF2378">
        <f t="shared" si="239"/>
        <v>0</v>
      </c>
      <c r="AG2378" t="str">
        <f t="shared" si="240"/>
        <v/>
      </c>
      <c r="AH2378" t="str">
        <f t="shared" si="241"/>
        <v/>
      </c>
      <c r="AI2378">
        <f t="shared" si="242"/>
        <v>0</v>
      </c>
      <c r="AJ2378">
        <f t="shared" si="243"/>
        <v>0</v>
      </c>
      <c r="AK2378">
        <v>0</v>
      </c>
      <c r="AL2378" t="str">
        <f>IF(AA2378="","",IFERROR(IF(ISNUMBER('Procyfloc 956A'!D379),'Procyfloc 956A'!D379,IF(ISNUMBER(SEARCH("12",'Procyfloc 956A'!D379)),EDATE(AB2378,12),IF(ISNUMBER(SEARCH("6",'Procyfloc 956A'!D379)),EDATE(AB2378,6),IF(ISNUMBER(SEARCH("3",'Procyfloc 956A'!D379)),EDATE(AB2378,3),DATEVALUE('Procyfloc 956A'!D379))))),""))</f>
        <v/>
      </c>
      <c r="AM2378" t="str">
        <f t="shared" ca="1" si="244"/>
        <v/>
      </c>
    </row>
    <row r="2379" spans="27:39" x14ac:dyDescent="0.3">
      <c r="AA2379" t="str">
        <f>IF(COUNTA('Procyfloc 956A'!A380,'Procyfloc 956A'!B380,'Procyfloc 956A'!C380)&gt;0,"956A","")</f>
        <v/>
      </c>
      <c r="AB2379" t="str">
        <f>IFERROR(IF(ISNUMBER('Procyfloc 956A'!A380),'Procyfloc 956A'!A380,DATEVALUE('Procyfloc 956A'!A380)),"")</f>
        <v/>
      </c>
      <c r="AC2379" t="str">
        <f>IF(AA2379="","",'Procyfloc 956A'!B380)</f>
        <v/>
      </c>
      <c r="AD2379" t="str">
        <f>IF(AA2379="","",IFERROR(1*'Procyfloc 956A'!C380,IFERROR(_xludf.NUMBERVALUE('Procyfloc 956A'!C380,".",","),IFERROR(_xludf.NUMBERVALUE('Procyfloc 956A'!C380,",","."),0))))</f>
        <v/>
      </c>
      <c r="AE2379" t="str">
        <f>IF(AA2379="","",'Procyfloc 956A'!L380)</f>
        <v/>
      </c>
      <c r="AF2379">
        <f t="shared" si="239"/>
        <v>0</v>
      </c>
      <c r="AG2379" t="str">
        <f t="shared" si="240"/>
        <v/>
      </c>
      <c r="AH2379" t="str">
        <f t="shared" si="241"/>
        <v/>
      </c>
      <c r="AI2379">
        <f t="shared" si="242"/>
        <v>0</v>
      </c>
      <c r="AJ2379">
        <f t="shared" si="243"/>
        <v>0</v>
      </c>
      <c r="AK2379">
        <v>0</v>
      </c>
      <c r="AL2379" t="str">
        <f>IF(AA2379="","",IFERROR(IF(ISNUMBER('Procyfloc 956A'!D380),'Procyfloc 956A'!D380,IF(ISNUMBER(SEARCH("12",'Procyfloc 956A'!D380)),EDATE(AB2379,12),IF(ISNUMBER(SEARCH("6",'Procyfloc 956A'!D380)),EDATE(AB2379,6),IF(ISNUMBER(SEARCH("3",'Procyfloc 956A'!D380)),EDATE(AB2379,3),DATEVALUE('Procyfloc 956A'!D380))))),""))</f>
        <v/>
      </c>
      <c r="AM2379" t="str">
        <f t="shared" ca="1" si="244"/>
        <v/>
      </c>
    </row>
    <row r="2380" spans="27:39" x14ac:dyDescent="0.3">
      <c r="AA2380" t="str">
        <f>IF(COUNTA('Procyfloc 956A'!A381,'Procyfloc 956A'!B381,'Procyfloc 956A'!C381)&gt;0,"956A","")</f>
        <v/>
      </c>
      <c r="AB2380" t="str">
        <f>IFERROR(IF(ISNUMBER('Procyfloc 956A'!A381),'Procyfloc 956A'!A381,DATEVALUE('Procyfloc 956A'!A381)),"")</f>
        <v/>
      </c>
      <c r="AC2380" t="str">
        <f>IF(AA2380="","",'Procyfloc 956A'!B381)</f>
        <v/>
      </c>
      <c r="AD2380" t="str">
        <f>IF(AA2380="","",IFERROR(1*'Procyfloc 956A'!C381,IFERROR(_xludf.NUMBERVALUE('Procyfloc 956A'!C381,".",","),IFERROR(_xludf.NUMBERVALUE('Procyfloc 956A'!C381,",","."),0))))</f>
        <v/>
      </c>
      <c r="AE2380" t="str">
        <f>IF(AA2380="","",'Procyfloc 956A'!L381)</f>
        <v/>
      </c>
      <c r="AF2380">
        <f t="shared" si="239"/>
        <v>0</v>
      </c>
      <c r="AG2380" t="str">
        <f t="shared" si="240"/>
        <v/>
      </c>
      <c r="AH2380" t="str">
        <f t="shared" si="241"/>
        <v/>
      </c>
      <c r="AI2380">
        <f t="shared" si="242"/>
        <v>0</v>
      </c>
      <c r="AJ2380">
        <f t="shared" si="243"/>
        <v>0</v>
      </c>
      <c r="AK2380">
        <v>0</v>
      </c>
      <c r="AL2380" t="str">
        <f>IF(AA2380="","",IFERROR(IF(ISNUMBER('Procyfloc 956A'!D381),'Procyfloc 956A'!D381,IF(ISNUMBER(SEARCH("12",'Procyfloc 956A'!D381)),EDATE(AB2380,12),IF(ISNUMBER(SEARCH("6",'Procyfloc 956A'!D381)),EDATE(AB2380,6),IF(ISNUMBER(SEARCH("3",'Procyfloc 956A'!D381)),EDATE(AB2380,3),DATEVALUE('Procyfloc 956A'!D381))))),""))</f>
        <v/>
      </c>
      <c r="AM2380" t="str">
        <f t="shared" ca="1" si="244"/>
        <v/>
      </c>
    </row>
    <row r="2381" spans="27:39" x14ac:dyDescent="0.3">
      <c r="AA2381" t="str">
        <f>IF(COUNTA('Procyfloc 956A'!A382,'Procyfloc 956A'!B382,'Procyfloc 956A'!C382)&gt;0,"956A","")</f>
        <v/>
      </c>
      <c r="AB2381" t="str">
        <f>IFERROR(IF(ISNUMBER('Procyfloc 956A'!A382),'Procyfloc 956A'!A382,DATEVALUE('Procyfloc 956A'!A382)),"")</f>
        <v/>
      </c>
      <c r="AC2381" t="str">
        <f>IF(AA2381="","",'Procyfloc 956A'!B382)</f>
        <v/>
      </c>
      <c r="AD2381" t="str">
        <f>IF(AA2381="","",IFERROR(1*'Procyfloc 956A'!C382,IFERROR(_xludf.NUMBERVALUE('Procyfloc 956A'!C382,".",","),IFERROR(_xludf.NUMBERVALUE('Procyfloc 956A'!C382,",","."),0))))</f>
        <v/>
      </c>
      <c r="AE2381" t="str">
        <f>IF(AA2381="","",'Procyfloc 956A'!L382)</f>
        <v/>
      </c>
      <c r="AF2381">
        <f t="shared" si="239"/>
        <v>0</v>
      </c>
      <c r="AG2381" t="str">
        <f t="shared" si="240"/>
        <v/>
      </c>
      <c r="AH2381" t="str">
        <f t="shared" si="241"/>
        <v/>
      </c>
      <c r="AI2381">
        <f t="shared" si="242"/>
        <v>0</v>
      </c>
      <c r="AJ2381">
        <f t="shared" si="243"/>
        <v>0</v>
      </c>
      <c r="AK2381">
        <v>0</v>
      </c>
      <c r="AL2381" t="str">
        <f>IF(AA2381="","",IFERROR(IF(ISNUMBER('Procyfloc 956A'!D382),'Procyfloc 956A'!D382,IF(ISNUMBER(SEARCH("12",'Procyfloc 956A'!D382)),EDATE(AB2381,12),IF(ISNUMBER(SEARCH("6",'Procyfloc 956A'!D382)),EDATE(AB2381,6),IF(ISNUMBER(SEARCH("3",'Procyfloc 956A'!D382)),EDATE(AB2381,3),DATEVALUE('Procyfloc 956A'!D382))))),""))</f>
        <v/>
      </c>
      <c r="AM2381" t="str">
        <f t="shared" ca="1" si="244"/>
        <v/>
      </c>
    </row>
    <row r="2382" spans="27:39" x14ac:dyDescent="0.3">
      <c r="AA2382" t="str">
        <f>IF(COUNTA('Procyfloc 956A'!A383,'Procyfloc 956A'!B383,'Procyfloc 956A'!C383)&gt;0,"956A","")</f>
        <v/>
      </c>
      <c r="AB2382" t="str">
        <f>IFERROR(IF(ISNUMBER('Procyfloc 956A'!A383),'Procyfloc 956A'!A383,DATEVALUE('Procyfloc 956A'!A383)),"")</f>
        <v/>
      </c>
      <c r="AC2382" t="str">
        <f>IF(AA2382="","",'Procyfloc 956A'!B383)</f>
        <v/>
      </c>
      <c r="AD2382" t="str">
        <f>IF(AA2382="","",IFERROR(1*'Procyfloc 956A'!C383,IFERROR(_xludf.NUMBERVALUE('Procyfloc 956A'!C383,".",","),IFERROR(_xludf.NUMBERVALUE('Procyfloc 956A'!C383,",","."),0))))</f>
        <v/>
      </c>
      <c r="AE2382" t="str">
        <f>IF(AA2382="","",'Procyfloc 956A'!L383)</f>
        <v/>
      </c>
      <c r="AF2382">
        <f t="shared" si="239"/>
        <v>0</v>
      </c>
      <c r="AG2382" t="str">
        <f t="shared" si="240"/>
        <v/>
      </c>
      <c r="AH2382" t="str">
        <f t="shared" si="241"/>
        <v/>
      </c>
      <c r="AI2382">
        <f t="shared" si="242"/>
        <v>0</v>
      </c>
      <c r="AJ2382">
        <f t="shared" si="243"/>
        <v>0</v>
      </c>
      <c r="AK2382">
        <v>0</v>
      </c>
      <c r="AL2382" t="str">
        <f>IF(AA2382="","",IFERROR(IF(ISNUMBER('Procyfloc 956A'!D383),'Procyfloc 956A'!D383,IF(ISNUMBER(SEARCH("12",'Procyfloc 956A'!D383)),EDATE(AB2382,12),IF(ISNUMBER(SEARCH("6",'Procyfloc 956A'!D383)),EDATE(AB2382,6),IF(ISNUMBER(SEARCH("3",'Procyfloc 956A'!D383)),EDATE(AB2382,3),DATEVALUE('Procyfloc 956A'!D383))))),""))</f>
        <v/>
      </c>
      <c r="AM2382" t="str">
        <f t="shared" ca="1" si="244"/>
        <v/>
      </c>
    </row>
    <row r="2383" spans="27:39" x14ac:dyDescent="0.3">
      <c r="AA2383" t="str">
        <f>IF(COUNTA('Procyfloc 956A'!A384,'Procyfloc 956A'!B384,'Procyfloc 956A'!C384)&gt;0,"956A","")</f>
        <v/>
      </c>
      <c r="AB2383" t="str">
        <f>IFERROR(IF(ISNUMBER('Procyfloc 956A'!A384),'Procyfloc 956A'!A384,DATEVALUE('Procyfloc 956A'!A384)),"")</f>
        <v/>
      </c>
      <c r="AC2383" t="str">
        <f>IF(AA2383="","",'Procyfloc 956A'!B384)</f>
        <v/>
      </c>
      <c r="AD2383" t="str">
        <f>IF(AA2383="","",IFERROR(1*'Procyfloc 956A'!C384,IFERROR(_xludf.NUMBERVALUE('Procyfloc 956A'!C384,".",","),IFERROR(_xludf.NUMBERVALUE('Procyfloc 956A'!C384,",","."),0))))</f>
        <v/>
      </c>
      <c r="AE2383" t="str">
        <f>IF(AA2383="","",'Procyfloc 956A'!L384)</f>
        <v/>
      </c>
      <c r="AF2383">
        <f t="shared" si="239"/>
        <v>0</v>
      </c>
      <c r="AG2383" t="str">
        <f t="shared" si="240"/>
        <v/>
      </c>
      <c r="AH2383" t="str">
        <f t="shared" si="241"/>
        <v/>
      </c>
      <c r="AI2383">
        <f t="shared" si="242"/>
        <v>0</v>
      </c>
      <c r="AJ2383">
        <f t="shared" si="243"/>
        <v>0</v>
      </c>
      <c r="AK2383">
        <v>0</v>
      </c>
      <c r="AL2383" t="str">
        <f>IF(AA2383="","",IFERROR(IF(ISNUMBER('Procyfloc 956A'!D384),'Procyfloc 956A'!D384,IF(ISNUMBER(SEARCH("12",'Procyfloc 956A'!D384)),EDATE(AB2383,12),IF(ISNUMBER(SEARCH("6",'Procyfloc 956A'!D384)),EDATE(AB2383,6),IF(ISNUMBER(SEARCH("3",'Procyfloc 956A'!D384)),EDATE(AB2383,3),DATEVALUE('Procyfloc 956A'!D384))))),""))</f>
        <v/>
      </c>
      <c r="AM2383" t="str">
        <f t="shared" ca="1" si="244"/>
        <v/>
      </c>
    </row>
    <row r="2384" spans="27:39" x14ac:dyDescent="0.3">
      <c r="AA2384" t="str">
        <f>IF(COUNTA('Procyfloc 956A'!A385,'Procyfloc 956A'!B385,'Procyfloc 956A'!C385)&gt;0,"956A","")</f>
        <v/>
      </c>
      <c r="AB2384" t="str">
        <f>IFERROR(IF(ISNUMBER('Procyfloc 956A'!A385),'Procyfloc 956A'!A385,DATEVALUE('Procyfloc 956A'!A385)),"")</f>
        <v/>
      </c>
      <c r="AC2384" t="str">
        <f>IF(AA2384="","",'Procyfloc 956A'!B385)</f>
        <v/>
      </c>
      <c r="AD2384" t="str">
        <f>IF(AA2384="","",IFERROR(1*'Procyfloc 956A'!C385,IFERROR(_xludf.NUMBERVALUE('Procyfloc 956A'!C385,".",","),IFERROR(_xludf.NUMBERVALUE('Procyfloc 956A'!C385,",","."),0))))</f>
        <v/>
      </c>
      <c r="AE2384" t="str">
        <f>IF(AA2384="","",'Procyfloc 956A'!L385)</f>
        <v/>
      </c>
      <c r="AF2384">
        <f t="shared" si="239"/>
        <v>0</v>
      </c>
      <c r="AG2384" t="str">
        <f t="shared" si="240"/>
        <v/>
      </c>
      <c r="AH2384" t="str">
        <f t="shared" si="241"/>
        <v/>
      </c>
      <c r="AI2384">
        <f t="shared" si="242"/>
        <v>0</v>
      </c>
      <c r="AJ2384">
        <f t="shared" si="243"/>
        <v>0</v>
      </c>
      <c r="AK2384">
        <v>0</v>
      </c>
      <c r="AL2384" t="str">
        <f>IF(AA2384="","",IFERROR(IF(ISNUMBER('Procyfloc 956A'!D385),'Procyfloc 956A'!D385,IF(ISNUMBER(SEARCH("12",'Procyfloc 956A'!D385)),EDATE(AB2384,12),IF(ISNUMBER(SEARCH("6",'Procyfloc 956A'!D385)),EDATE(AB2384,6),IF(ISNUMBER(SEARCH("3",'Procyfloc 956A'!D385)),EDATE(AB2384,3),DATEVALUE('Procyfloc 956A'!D385))))),""))</f>
        <v/>
      </c>
      <c r="AM2384" t="str">
        <f t="shared" ca="1" si="244"/>
        <v/>
      </c>
    </row>
    <row r="2385" spans="27:39" x14ac:dyDescent="0.3">
      <c r="AA2385" t="str">
        <f>IF(COUNTA('Procyfloc 956A'!A386,'Procyfloc 956A'!B386,'Procyfloc 956A'!C386)&gt;0,"956A","")</f>
        <v/>
      </c>
      <c r="AB2385" t="str">
        <f>IFERROR(IF(ISNUMBER('Procyfloc 956A'!A386),'Procyfloc 956A'!A386,DATEVALUE('Procyfloc 956A'!A386)),"")</f>
        <v/>
      </c>
      <c r="AC2385" t="str">
        <f>IF(AA2385="","",'Procyfloc 956A'!B386)</f>
        <v/>
      </c>
      <c r="AD2385" t="str">
        <f>IF(AA2385="","",IFERROR(1*'Procyfloc 956A'!C386,IFERROR(_xludf.NUMBERVALUE('Procyfloc 956A'!C386,".",","),IFERROR(_xludf.NUMBERVALUE('Procyfloc 956A'!C386,",","."),0))))</f>
        <v/>
      </c>
      <c r="AE2385" t="str">
        <f>IF(AA2385="","",'Procyfloc 956A'!L386)</f>
        <v/>
      </c>
      <c r="AF2385">
        <f t="shared" si="239"/>
        <v>0</v>
      </c>
      <c r="AG2385" t="str">
        <f t="shared" si="240"/>
        <v/>
      </c>
      <c r="AH2385" t="str">
        <f t="shared" si="241"/>
        <v/>
      </c>
      <c r="AI2385">
        <f t="shared" si="242"/>
        <v>0</v>
      </c>
      <c r="AJ2385">
        <f t="shared" si="243"/>
        <v>0</v>
      </c>
      <c r="AK2385">
        <v>0</v>
      </c>
      <c r="AL2385" t="str">
        <f>IF(AA2385="","",IFERROR(IF(ISNUMBER('Procyfloc 956A'!D386),'Procyfloc 956A'!D386,IF(ISNUMBER(SEARCH("12",'Procyfloc 956A'!D386)),EDATE(AB2385,12),IF(ISNUMBER(SEARCH("6",'Procyfloc 956A'!D386)),EDATE(AB2385,6),IF(ISNUMBER(SEARCH("3",'Procyfloc 956A'!D386)),EDATE(AB2385,3),DATEVALUE('Procyfloc 956A'!D386))))),""))</f>
        <v/>
      </c>
      <c r="AM2385" t="str">
        <f t="shared" ca="1" si="244"/>
        <v/>
      </c>
    </row>
    <row r="2386" spans="27:39" x14ac:dyDescent="0.3">
      <c r="AA2386" t="str">
        <f>IF(COUNTA('Procyfloc 956A'!A387,'Procyfloc 956A'!B387,'Procyfloc 956A'!C387)&gt;0,"956A","")</f>
        <v/>
      </c>
      <c r="AB2386" t="str">
        <f>IFERROR(IF(ISNUMBER('Procyfloc 956A'!A387),'Procyfloc 956A'!A387,DATEVALUE('Procyfloc 956A'!A387)),"")</f>
        <v/>
      </c>
      <c r="AC2386" t="str">
        <f>IF(AA2386="","",'Procyfloc 956A'!B387)</f>
        <v/>
      </c>
      <c r="AD2386" t="str">
        <f>IF(AA2386="","",IFERROR(1*'Procyfloc 956A'!C387,IFERROR(_xludf.NUMBERVALUE('Procyfloc 956A'!C387,".",","),IFERROR(_xludf.NUMBERVALUE('Procyfloc 956A'!C387,",","."),0))))</f>
        <v/>
      </c>
      <c r="AE2386" t="str">
        <f>IF(AA2386="","",'Procyfloc 956A'!L387)</f>
        <v/>
      </c>
      <c r="AF2386">
        <f t="shared" si="239"/>
        <v>0</v>
      </c>
      <c r="AG2386" t="str">
        <f t="shared" si="240"/>
        <v/>
      </c>
      <c r="AH2386" t="str">
        <f t="shared" si="241"/>
        <v/>
      </c>
      <c r="AI2386">
        <f t="shared" si="242"/>
        <v>0</v>
      </c>
      <c r="AJ2386">
        <f t="shared" si="243"/>
        <v>0</v>
      </c>
      <c r="AK2386">
        <v>0</v>
      </c>
      <c r="AL2386" t="str">
        <f>IF(AA2386="","",IFERROR(IF(ISNUMBER('Procyfloc 956A'!D387),'Procyfloc 956A'!D387,IF(ISNUMBER(SEARCH("12",'Procyfloc 956A'!D387)),EDATE(AB2386,12),IF(ISNUMBER(SEARCH("6",'Procyfloc 956A'!D387)),EDATE(AB2386,6),IF(ISNUMBER(SEARCH("3",'Procyfloc 956A'!D387)),EDATE(AB2386,3),DATEVALUE('Procyfloc 956A'!D387))))),""))</f>
        <v/>
      </c>
      <c r="AM2386" t="str">
        <f t="shared" ca="1" si="244"/>
        <v/>
      </c>
    </row>
    <row r="2387" spans="27:39" x14ac:dyDescent="0.3">
      <c r="AA2387" t="str">
        <f>IF(COUNTA('Procyfloc 956A'!A388,'Procyfloc 956A'!B388,'Procyfloc 956A'!C388)&gt;0,"956A","")</f>
        <v/>
      </c>
      <c r="AB2387" t="str">
        <f>IFERROR(IF(ISNUMBER('Procyfloc 956A'!A388),'Procyfloc 956A'!A388,DATEVALUE('Procyfloc 956A'!A388)),"")</f>
        <v/>
      </c>
      <c r="AC2387" t="str">
        <f>IF(AA2387="","",'Procyfloc 956A'!B388)</f>
        <v/>
      </c>
      <c r="AD2387" t="str">
        <f>IF(AA2387="","",IFERROR(1*'Procyfloc 956A'!C388,IFERROR(_xludf.NUMBERVALUE('Procyfloc 956A'!C388,".",","),IFERROR(_xludf.NUMBERVALUE('Procyfloc 956A'!C388,",","."),0))))</f>
        <v/>
      </c>
      <c r="AE2387" t="str">
        <f>IF(AA2387="","",'Procyfloc 956A'!L388)</f>
        <v/>
      </c>
      <c r="AF2387">
        <f t="shared" si="239"/>
        <v>0</v>
      </c>
      <c r="AG2387" t="str">
        <f t="shared" si="240"/>
        <v/>
      </c>
      <c r="AH2387" t="str">
        <f t="shared" si="241"/>
        <v/>
      </c>
      <c r="AI2387">
        <f t="shared" si="242"/>
        <v>0</v>
      </c>
      <c r="AJ2387">
        <f t="shared" si="243"/>
        <v>0</v>
      </c>
      <c r="AK2387">
        <v>0</v>
      </c>
      <c r="AL2387" t="str">
        <f>IF(AA2387="","",IFERROR(IF(ISNUMBER('Procyfloc 956A'!D388),'Procyfloc 956A'!D388,IF(ISNUMBER(SEARCH("12",'Procyfloc 956A'!D388)),EDATE(AB2387,12),IF(ISNUMBER(SEARCH("6",'Procyfloc 956A'!D388)),EDATE(AB2387,6),IF(ISNUMBER(SEARCH("3",'Procyfloc 956A'!D388)),EDATE(AB2387,3),DATEVALUE('Procyfloc 956A'!D388))))),""))</f>
        <v/>
      </c>
      <c r="AM2387" t="str">
        <f t="shared" ca="1" si="244"/>
        <v/>
      </c>
    </row>
    <row r="2388" spans="27:39" x14ac:dyDescent="0.3">
      <c r="AA2388" t="str">
        <f>IF(COUNTA('Procyfloc 956A'!A389,'Procyfloc 956A'!B389,'Procyfloc 956A'!C389)&gt;0,"956A","")</f>
        <v/>
      </c>
      <c r="AB2388" t="str">
        <f>IFERROR(IF(ISNUMBER('Procyfloc 956A'!A389),'Procyfloc 956A'!A389,DATEVALUE('Procyfloc 956A'!A389)),"")</f>
        <v/>
      </c>
      <c r="AC2388" t="str">
        <f>IF(AA2388="","",'Procyfloc 956A'!B389)</f>
        <v/>
      </c>
      <c r="AD2388" t="str">
        <f>IF(AA2388="","",IFERROR(1*'Procyfloc 956A'!C389,IFERROR(_xludf.NUMBERVALUE('Procyfloc 956A'!C389,".",","),IFERROR(_xludf.NUMBERVALUE('Procyfloc 956A'!C389,",","."),0))))</f>
        <v/>
      </c>
      <c r="AE2388" t="str">
        <f>IF(AA2388="","",'Procyfloc 956A'!L389)</f>
        <v/>
      </c>
      <c r="AF2388">
        <f t="shared" si="239"/>
        <v>0</v>
      </c>
      <c r="AG2388" t="str">
        <f t="shared" si="240"/>
        <v/>
      </c>
      <c r="AH2388" t="str">
        <f t="shared" si="241"/>
        <v/>
      </c>
      <c r="AI2388">
        <f t="shared" si="242"/>
        <v>0</v>
      </c>
      <c r="AJ2388">
        <f t="shared" si="243"/>
        <v>0</v>
      </c>
      <c r="AK2388">
        <v>0</v>
      </c>
      <c r="AL2388" t="str">
        <f>IF(AA2388="","",IFERROR(IF(ISNUMBER('Procyfloc 956A'!D389),'Procyfloc 956A'!D389,IF(ISNUMBER(SEARCH("12",'Procyfloc 956A'!D389)),EDATE(AB2388,12),IF(ISNUMBER(SEARCH("6",'Procyfloc 956A'!D389)),EDATE(AB2388,6),IF(ISNUMBER(SEARCH("3",'Procyfloc 956A'!D389)),EDATE(AB2388,3),DATEVALUE('Procyfloc 956A'!D389))))),""))</f>
        <v/>
      </c>
      <c r="AM2388" t="str">
        <f t="shared" ca="1" si="244"/>
        <v/>
      </c>
    </row>
    <row r="2389" spans="27:39" x14ac:dyDescent="0.3">
      <c r="AA2389" t="str">
        <f>IF(COUNTA('Procyfloc 956A'!A390,'Procyfloc 956A'!B390,'Procyfloc 956A'!C390)&gt;0,"956A","")</f>
        <v/>
      </c>
      <c r="AB2389" t="str">
        <f>IFERROR(IF(ISNUMBER('Procyfloc 956A'!A390),'Procyfloc 956A'!A390,DATEVALUE('Procyfloc 956A'!A390)),"")</f>
        <v/>
      </c>
      <c r="AC2389" t="str">
        <f>IF(AA2389="","",'Procyfloc 956A'!B390)</f>
        <v/>
      </c>
      <c r="AD2389" t="str">
        <f>IF(AA2389="","",IFERROR(1*'Procyfloc 956A'!C390,IFERROR(_xludf.NUMBERVALUE('Procyfloc 956A'!C390,".",","),IFERROR(_xludf.NUMBERVALUE('Procyfloc 956A'!C390,",","."),0))))</f>
        <v/>
      </c>
      <c r="AE2389" t="str">
        <f>IF(AA2389="","",'Procyfloc 956A'!L390)</f>
        <v/>
      </c>
      <c r="AF2389">
        <f t="shared" si="239"/>
        <v>0</v>
      </c>
      <c r="AG2389" t="str">
        <f t="shared" si="240"/>
        <v/>
      </c>
      <c r="AH2389" t="str">
        <f t="shared" si="241"/>
        <v/>
      </c>
      <c r="AI2389">
        <f t="shared" si="242"/>
        <v>0</v>
      </c>
      <c r="AJ2389">
        <f t="shared" si="243"/>
        <v>0</v>
      </c>
      <c r="AK2389">
        <v>0</v>
      </c>
      <c r="AL2389" t="str">
        <f>IF(AA2389="","",IFERROR(IF(ISNUMBER('Procyfloc 956A'!D390),'Procyfloc 956A'!D390,IF(ISNUMBER(SEARCH("12",'Procyfloc 956A'!D390)),EDATE(AB2389,12),IF(ISNUMBER(SEARCH("6",'Procyfloc 956A'!D390)),EDATE(AB2389,6),IF(ISNUMBER(SEARCH("3",'Procyfloc 956A'!D390)),EDATE(AB2389,3),DATEVALUE('Procyfloc 956A'!D390))))),""))</f>
        <v/>
      </c>
      <c r="AM2389" t="str">
        <f t="shared" ca="1" si="244"/>
        <v/>
      </c>
    </row>
    <row r="2390" spans="27:39" x14ac:dyDescent="0.3">
      <c r="AA2390" t="str">
        <f>IF(COUNTA('Procyfloc 956A'!A391,'Procyfloc 956A'!B391,'Procyfloc 956A'!C391)&gt;0,"956A","")</f>
        <v/>
      </c>
      <c r="AB2390" t="str">
        <f>IFERROR(IF(ISNUMBER('Procyfloc 956A'!A391),'Procyfloc 956A'!A391,DATEVALUE('Procyfloc 956A'!A391)),"")</f>
        <v/>
      </c>
      <c r="AC2390" t="str">
        <f>IF(AA2390="","",'Procyfloc 956A'!B391)</f>
        <v/>
      </c>
      <c r="AD2390" t="str">
        <f>IF(AA2390="","",IFERROR(1*'Procyfloc 956A'!C391,IFERROR(_xludf.NUMBERVALUE('Procyfloc 956A'!C391,".",","),IFERROR(_xludf.NUMBERVALUE('Procyfloc 956A'!C391,",","."),0))))</f>
        <v/>
      </c>
      <c r="AE2390" t="str">
        <f>IF(AA2390="","",'Procyfloc 956A'!L391)</f>
        <v/>
      </c>
      <c r="AF2390">
        <f t="shared" si="239"/>
        <v>0</v>
      </c>
      <c r="AG2390" t="str">
        <f t="shared" si="240"/>
        <v/>
      </c>
      <c r="AH2390" t="str">
        <f t="shared" si="241"/>
        <v/>
      </c>
      <c r="AI2390">
        <f t="shared" si="242"/>
        <v>0</v>
      </c>
      <c r="AJ2390">
        <f t="shared" si="243"/>
        <v>0</v>
      </c>
      <c r="AK2390">
        <v>0</v>
      </c>
      <c r="AL2390" t="str">
        <f>IF(AA2390="","",IFERROR(IF(ISNUMBER('Procyfloc 956A'!D391),'Procyfloc 956A'!D391,IF(ISNUMBER(SEARCH("12",'Procyfloc 956A'!D391)),EDATE(AB2390,12),IF(ISNUMBER(SEARCH("6",'Procyfloc 956A'!D391)),EDATE(AB2390,6),IF(ISNUMBER(SEARCH("3",'Procyfloc 956A'!D391)),EDATE(AB2390,3),DATEVALUE('Procyfloc 956A'!D391))))),""))</f>
        <v/>
      </c>
      <c r="AM2390" t="str">
        <f t="shared" ca="1" si="244"/>
        <v/>
      </c>
    </row>
    <row r="2391" spans="27:39" x14ac:dyDescent="0.3">
      <c r="AA2391" t="str">
        <f>IF(COUNTA('Procyfloc 956A'!A392,'Procyfloc 956A'!B392,'Procyfloc 956A'!C392)&gt;0,"956A","")</f>
        <v/>
      </c>
      <c r="AB2391" t="str">
        <f>IFERROR(IF(ISNUMBER('Procyfloc 956A'!A392),'Procyfloc 956A'!A392,DATEVALUE('Procyfloc 956A'!A392)),"")</f>
        <v/>
      </c>
      <c r="AC2391" t="str">
        <f>IF(AA2391="","",'Procyfloc 956A'!B392)</f>
        <v/>
      </c>
      <c r="AD2391" t="str">
        <f>IF(AA2391="","",IFERROR(1*'Procyfloc 956A'!C392,IFERROR(_xludf.NUMBERVALUE('Procyfloc 956A'!C392,".",","),IFERROR(_xludf.NUMBERVALUE('Procyfloc 956A'!C392,",","."),0))))</f>
        <v/>
      </c>
      <c r="AE2391" t="str">
        <f>IF(AA2391="","",'Procyfloc 956A'!L392)</f>
        <v/>
      </c>
      <c r="AF2391">
        <f t="shared" si="239"/>
        <v>0</v>
      </c>
      <c r="AG2391" t="str">
        <f t="shared" si="240"/>
        <v/>
      </c>
      <c r="AH2391" t="str">
        <f t="shared" si="241"/>
        <v/>
      </c>
      <c r="AI2391">
        <f t="shared" si="242"/>
        <v>0</v>
      </c>
      <c r="AJ2391">
        <f t="shared" si="243"/>
        <v>0</v>
      </c>
      <c r="AK2391">
        <v>0</v>
      </c>
      <c r="AL2391" t="str">
        <f>IF(AA2391="","",IFERROR(IF(ISNUMBER('Procyfloc 956A'!D392),'Procyfloc 956A'!D392,IF(ISNUMBER(SEARCH("12",'Procyfloc 956A'!D392)),EDATE(AB2391,12),IF(ISNUMBER(SEARCH("6",'Procyfloc 956A'!D392)),EDATE(AB2391,6),IF(ISNUMBER(SEARCH("3",'Procyfloc 956A'!D392)),EDATE(AB2391,3),DATEVALUE('Procyfloc 956A'!D392))))),""))</f>
        <v/>
      </c>
      <c r="AM2391" t="str">
        <f t="shared" ca="1" si="244"/>
        <v/>
      </c>
    </row>
    <row r="2392" spans="27:39" x14ac:dyDescent="0.3">
      <c r="AA2392" t="str">
        <f>IF(COUNTA('Procyfloc 956A'!A393,'Procyfloc 956A'!B393,'Procyfloc 956A'!C393)&gt;0,"956A","")</f>
        <v/>
      </c>
      <c r="AB2392" t="str">
        <f>IFERROR(IF(ISNUMBER('Procyfloc 956A'!A393),'Procyfloc 956A'!A393,DATEVALUE('Procyfloc 956A'!A393)),"")</f>
        <v/>
      </c>
      <c r="AC2392" t="str">
        <f>IF(AA2392="","",'Procyfloc 956A'!B393)</f>
        <v/>
      </c>
      <c r="AD2392" t="str">
        <f>IF(AA2392="","",IFERROR(1*'Procyfloc 956A'!C393,IFERROR(_xludf.NUMBERVALUE('Procyfloc 956A'!C393,".",","),IFERROR(_xludf.NUMBERVALUE('Procyfloc 956A'!C393,",","."),0))))</f>
        <v/>
      </c>
      <c r="AE2392" t="str">
        <f>IF(AA2392="","",'Procyfloc 956A'!L393)</f>
        <v/>
      </c>
      <c r="AF2392">
        <f t="shared" si="239"/>
        <v>0</v>
      </c>
      <c r="AG2392" t="str">
        <f t="shared" si="240"/>
        <v/>
      </c>
      <c r="AH2392" t="str">
        <f t="shared" si="241"/>
        <v/>
      </c>
      <c r="AI2392">
        <f t="shared" si="242"/>
        <v>0</v>
      </c>
      <c r="AJ2392">
        <f t="shared" si="243"/>
        <v>0</v>
      </c>
      <c r="AK2392">
        <v>0</v>
      </c>
      <c r="AL2392" t="str">
        <f>IF(AA2392="","",IFERROR(IF(ISNUMBER('Procyfloc 956A'!D393),'Procyfloc 956A'!D393,IF(ISNUMBER(SEARCH("12",'Procyfloc 956A'!D393)),EDATE(AB2392,12),IF(ISNUMBER(SEARCH("6",'Procyfloc 956A'!D393)),EDATE(AB2392,6),IF(ISNUMBER(SEARCH("3",'Procyfloc 956A'!D393)),EDATE(AB2392,3),DATEVALUE('Procyfloc 956A'!D393))))),""))</f>
        <v/>
      </c>
      <c r="AM2392" t="str">
        <f t="shared" ca="1" si="244"/>
        <v/>
      </c>
    </row>
    <row r="2393" spans="27:39" x14ac:dyDescent="0.3">
      <c r="AA2393" t="str">
        <f>IF(COUNTA('Procyfloc 956A'!A394,'Procyfloc 956A'!B394,'Procyfloc 956A'!C394)&gt;0,"956A","")</f>
        <v/>
      </c>
      <c r="AB2393" t="str">
        <f>IFERROR(IF(ISNUMBER('Procyfloc 956A'!A394),'Procyfloc 956A'!A394,DATEVALUE('Procyfloc 956A'!A394)),"")</f>
        <v/>
      </c>
      <c r="AC2393" t="str">
        <f>IF(AA2393="","",'Procyfloc 956A'!B394)</f>
        <v/>
      </c>
      <c r="AD2393" t="str">
        <f>IF(AA2393="","",IFERROR(1*'Procyfloc 956A'!C394,IFERROR(_xludf.NUMBERVALUE('Procyfloc 956A'!C394,".",","),IFERROR(_xludf.NUMBERVALUE('Procyfloc 956A'!C394,",","."),0))))</f>
        <v/>
      </c>
      <c r="AE2393" t="str">
        <f>IF(AA2393="","",'Procyfloc 956A'!L394)</f>
        <v/>
      </c>
      <c r="AF2393">
        <f t="shared" si="239"/>
        <v>0</v>
      </c>
      <c r="AG2393" t="str">
        <f t="shared" si="240"/>
        <v/>
      </c>
      <c r="AH2393" t="str">
        <f t="shared" si="241"/>
        <v/>
      </c>
      <c r="AI2393">
        <f t="shared" si="242"/>
        <v>0</v>
      </c>
      <c r="AJ2393">
        <f t="shared" si="243"/>
        <v>0</v>
      </c>
      <c r="AK2393">
        <v>0</v>
      </c>
      <c r="AL2393" t="str">
        <f>IF(AA2393="","",IFERROR(IF(ISNUMBER('Procyfloc 956A'!D394),'Procyfloc 956A'!D394,IF(ISNUMBER(SEARCH("12",'Procyfloc 956A'!D394)),EDATE(AB2393,12),IF(ISNUMBER(SEARCH("6",'Procyfloc 956A'!D394)),EDATE(AB2393,6),IF(ISNUMBER(SEARCH("3",'Procyfloc 956A'!D394)),EDATE(AB2393,3),DATEVALUE('Procyfloc 956A'!D394))))),""))</f>
        <v/>
      </c>
      <c r="AM2393" t="str">
        <f t="shared" ca="1" si="244"/>
        <v/>
      </c>
    </row>
    <row r="2394" spans="27:39" x14ac:dyDescent="0.3">
      <c r="AA2394" t="str">
        <f>IF(COUNTA('Procyfloc 956A'!A395,'Procyfloc 956A'!B395,'Procyfloc 956A'!C395)&gt;0,"956A","")</f>
        <v/>
      </c>
      <c r="AB2394" t="str">
        <f>IFERROR(IF(ISNUMBER('Procyfloc 956A'!A395),'Procyfloc 956A'!A395,DATEVALUE('Procyfloc 956A'!A395)),"")</f>
        <v/>
      </c>
      <c r="AC2394" t="str">
        <f>IF(AA2394="","",'Procyfloc 956A'!B395)</f>
        <v/>
      </c>
      <c r="AD2394" t="str">
        <f>IF(AA2394="","",IFERROR(1*'Procyfloc 956A'!C395,IFERROR(_xludf.NUMBERVALUE('Procyfloc 956A'!C395,".",","),IFERROR(_xludf.NUMBERVALUE('Procyfloc 956A'!C395,",","."),0))))</f>
        <v/>
      </c>
      <c r="AE2394" t="str">
        <f>IF(AA2394="","",'Procyfloc 956A'!L395)</f>
        <v/>
      </c>
      <c r="AF2394">
        <f t="shared" si="239"/>
        <v>0</v>
      </c>
      <c r="AG2394" t="str">
        <f t="shared" si="240"/>
        <v/>
      </c>
      <c r="AH2394" t="str">
        <f t="shared" si="241"/>
        <v/>
      </c>
      <c r="AI2394">
        <f t="shared" si="242"/>
        <v>0</v>
      </c>
      <c r="AJ2394">
        <f t="shared" si="243"/>
        <v>0</v>
      </c>
      <c r="AK2394">
        <v>0</v>
      </c>
      <c r="AL2394" t="str">
        <f>IF(AA2394="","",IFERROR(IF(ISNUMBER('Procyfloc 956A'!D395),'Procyfloc 956A'!D395,IF(ISNUMBER(SEARCH("12",'Procyfloc 956A'!D395)),EDATE(AB2394,12),IF(ISNUMBER(SEARCH("6",'Procyfloc 956A'!D395)),EDATE(AB2394,6),IF(ISNUMBER(SEARCH("3",'Procyfloc 956A'!D395)),EDATE(AB2394,3),DATEVALUE('Procyfloc 956A'!D395))))),""))</f>
        <v/>
      </c>
      <c r="AM2394" t="str">
        <f t="shared" ca="1" si="244"/>
        <v/>
      </c>
    </row>
    <row r="2395" spans="27:39" x14ac:dyDescent="0.3">
      <c r="AA2395" t="str">
        <f>IF(COUNTA('Procyfloc 956A'!A396,'Procyfloc 956A'!B396,'Procyfloc 956A'!C396)&gt;0,"956A","")</f>
        <v/>
      </c>
      <c r="AB2395" t="str">
        <f>IFERROR(IF(ISNUMBER('Procyfloc 956A'!A396),'Procyfloc 956A'!A396,DATEVALUE('Procyfloc 956A'!A396)),"")</f>
        <v/>
      </c>
      <c r="AC2395" t="str">
        <f>IF(AA2395="","",'Procyfloc 956A'!B396)</f>
        <v/>
      </c>
      <c r="AD2395" t="str">
        <f>IF(AA2395="","",IFERROR(1*'Procyfloc 956A'!C396,IFERROR(_xludf.NUMBERVALUE('Procyfloc 956A'!C396,".",","),IFERROR(_xludf.NUMBERVALUE('Procyfloc 956A'!C396,",","."),0))))</f>
        <v/>
      </c>
      <c r="AE2395" t="str">
        <f>IF(AA2395="","",'Procyfloc 956A'!L396)</f>
        <v/>
      </c>
      <c r="AF2395">
        <f t="shared" si="239"/>
        <v>0</v>
      </c>
      <c r="AG2395" t="str">
        <f t="shared" si="240"/>
        <v/>
      </c>
      <c r="AH2395" t="str">
        <f t="shared" si="241"/>
        <v/>
      </c>
      <c r="AI2395">
        <f t="shared" si="242"/>
        <v>0</v>
      </c>
      <c r="AJ2395">
        <f t="shared" si="243"/>
        <v>0</v>
      </c>
      <c r="AK2395">
        <v>0</v>
      </c>
      <c r="AL2395" t="str">
        <f>IF(AA2395="","",IFERROR(IF(ISNUMBER('Procyfloc 956A'!D396),'Procyfloc 956A'!D396,IF(ISNUMBER(SEARCH("12",'Procyfloc 956A'!D396)),EDATE(AB2395,12),IF(ISNUMBER(SEARCH("6",'Procyfloc 956A'!D396)),EDATE(AB2395,6),IF(ISNUMBER(SEARCH("3",'Procyfloc 956A'!D396)),EDATE(AB2395,3),DATEVALUE('Procyfloc 956A'!D396))))),""))</f>
        <v/>
      </c>
      <c r="AM2395" t="str">
        <f t="shared" ca="1" si="244"/>
        <v/>
      </c>
    </row>
    <row r="2396" spans="27:39" x14ac:dyDescent="0.3">
      <c r="AA2396" t="str">
        <f>IF(COUNTA('Procyfloc 956A'!A397,'Procyfloc 956A'!B397,'Procyfloc 956A'!C397)&gt;0,"956A","")</f>
        <v/>
      </c>
      <c r="AB2396" t="str">
        <f>IFERROR(IF(ISNUMBER('Procyfloc 956A'!A397),'Procyfloc 956A'!A397,DATEVALUE('Procyfloc 956A'!A397)),"")</f>
        <v/>
      </c>
      <c r="AC2396" t="str">
        <f>IF(AA2396="","",'Procyfloc 956A'!B397)</f>
        <v/>
      </c>
      <c r="AD2396" t="str">
        <f>IF(AA2396="","",IFERROR(1*'Procyfloc 956A'!C397,IFERROR(_xludf.NUMBERVALUE('Procyfloc 956A'!C397,".",","),IFERROR(_xludf.NUMBERVALUE('Procyfloc 956A'!C397,",","."),0))))</f>
        <v/>
      </c>
      <c r="AE2396" t="str">
        <f>IF(AA2396="","",'Procyfloc 956A'!L397)</f>
        <v/>
      </c>
      <c r="AF2396">
        <f t="shared" si="239"/>
        <v>0</v>
      </c>
      <c r="AG2396" t="str">
        <f t="shared" si="240"/>
        <v/>
      </c>
      <c r="AH2396" t="str">
        <f t="shared" si="241"/>
        <v/>
      </c>
      <c r="AI2396">
        <f t="shared" si="242"/>
        <v>0</v>
      </c>
      <c r="AJ2396">
        <f t="shared" si="243"/>
        <v>0</v>
      </c>
      <c r="AK2396">
        <v>0</v>
      </c>
      <c r="AL2396" t="str">
        <f>IF(AA2396="","",IFERROR(IF(ISNUMBER('Procyfloc 956A'!D397),'Procyfloc 956A'!D397,IF(ISNUMBER(SEARCH("12",'Procyfloc 956A'!D397)),EDATE(AB2396,12),IF(ISNUMBER(SEARCH("6",'Procyfloc 956A'!D397)),EDATE(AB2396,6),IF(ISNUMBER(SEARCH("3",'Procyfloc 956A'!D397)),EDATE(AB2396,3),DATEVALUE('Procyfloc 956A'!D397))))),""))</f>
        <v/>
      </c>
      <c r="AM2396" t="str">
        <f t="shared" ca="1" si="244"/>
        <v/>
      </c>
    </row>
    <row r="2397" spans="27:39" x14ac:dyDescent="0.3">
      <c r="AA2397" t="str">
        <f>IF(COUNTA('Procyfloc 956A'!A398,'Procyfloc 956A'!B398,'Procyfloc 956A'!C398)&gt;0,"956A","")</f>
        <v/>
      </c>
      <c r="AB2397" t="str">
        <f>IFERROR(IF(ISNUMBER('Procyfloc 956A'!A398),'Procyfloc 956A'!A398,DATEVALUE('Procyfloc 956A'!A398)),"")</f>
        <v/>
      </c>
      <c r="AC2397" t="str">
        <f>IF(AA2397="","",'Procyfloc 956A'!B398)</f>
        <v/>
      </c>
      <c r="AD2397" t="str">
        <f>IF(AA2397="","",IFERROR(1*'Procyfloc 956A'!C398,IFERROR(_xludf.NUMBERVALUE('Procyfloc 956A'!C398,".",","),IFERROR(_xludf.NUMBERVALUE('Procyfloc 956A'!C398,",","."),0))))</f>
        <v/>
      </c>
      <c r="AE2397" t="str">
        <f>IF(AA2397="","",'Procyfloc 956A'!L398)</f>
        <v/>
      </c>
      <c r="AF2397">
        <f t="shared" si="239"/>
        <v>0</v>
      </c>
      <c r="AG2397" t="str">
        <f t="shared" si="240"/>
        <v/>
      </c>
      <c r="AH2397" t="str">
        <f t="shared" si="241"/>
        <v/>
      </c>
      <c r="AI2397">
        <f t="shared" si="242"/>
        <v>0</v>
      </c>
      <c r="AJ2397">
        <f t="shared" si="243"/>
        <v>0</v>
      </c>
      <c r="AK2397">
        <v>0</v>
      </c>
      <c r="AL2397" t="str">
        <f>IF(AA2397="","",IFERROR(IF(ISNUMBER('Procyfloc 956A'!D398),'Procyfloc 956A'!D398,IF(ISNUMBER(SEARCH("12",'Procyfloc 956A'!D398)),EDATE(AB2397,12),IF(ISNUMBER(SEARCH("6",'Procyfloc 956A'!D398)),EDATE(AB2397,6),IF(ISNUMBER(SEARCH("3",'Procyfloc 956A'!D398)),EDATE(AB2397,3),DATEVALUE('Procyfloc 956A'!D398))))),""))</f>
        <v/>
      </c>
      <c r="AM2397" t="str">
        <f t="shared" ca="1" si="244"/>
        <v/>
      </c>
    </row>
    <row r="2398" spans="27:39" x14ac:dyDescent="0.3">
      <c r="AA2398" t="str">
        <f>IF(COUNTA('Procyfloc 956A'!A399,'Procyfloc 956A'!B399,'Procyfloc 956A'!C399)&gt;0,"956A","")</f>
        <v/>
      </c>
      <c r="AB2398" t="str">
        <f>IFERROR(IF(ISNUMBER('Procyfloc 956A'!A399),'Procyfloc 956A'!A399,DATEVALUE('Procyfloc 956A'!A399)),"")</f>
        <v/>
      </c>
      <c r="AC2398" t="str">
        <f>IF(AA2398="","",'Procyfloc 956A'!B399)</f>
        <v/>
      </c>
      <c r="AD2398" t="str">
        <f>IF(AA2398="","",IFERROR(1*'Procyfloc 956A'!C399,IFERROR(_xludf.NUMBERVALUE('Procyfloc 956A'!C399,".",","),IFERROR(_xludf.NUMBERVALUE('Procyfloc 956A'!C399,",","."),0))))</f>
        <v/>
      </c>
      <c r="AE2398" t="str">
        <f>IF(AA2398="","",'Procyfloc 956A'!L399)</f>
        <v/>
      </c>
      <c r="AF2398">
        <f t="shared" si="239"/>
        <v>0</v>
      </c>
      <c r="AG2398" t="str">
        <f t="shared" si="240"/>
        <v/>
      </c>
      <c r="AH2398" t="str">
        <f t="shared" si="241"/>
        <v/>
      </c>
      <c r="AI2398">
        <f t="shared" si="242"/>
        <v>0</v>
      </c>
      <c r="AJ2398">
        <f t="shared" si="243"/>
        <v>0</v>
      </c>
      <c r="AK2398">
        <v>0</v>
      </c>
      <c r="AL2398" t="str">
        <f>IF(AA2398="","",IFERROR(IF(ISNUMBER('Procyfloc 956A'!D399),'Procyfloc 956A'!D399,IF(ISNUMBER(SEARCH("12",'Procyfloc 956A'!D399)),EDATE(AB2398,12),IF(ISNUMBER(SEARCH("6",'Procyfloc 956A'!D399)),EDATE(AB2398,6),IF(ISNUMBER(SEARCH("3",'Procyfloc 956A'!D399)),EDATE(AB2398,3),DATEVALUE('Procyfloc 956A'!D399))))),""))</f>
        <v/>
      </c>
      <c r="AM2398" t="str">
        <f t="shared" ca="1" si="244"/>
        <v/>
      </c>
    </row>
    <row r="2399" spans="27:39" x14ac:dyDescent="0.3">
      <c r="AA2399" t="str">
        <f>IF(COUNTA('Procyfloc 956A'!A400,'Procyfloc 956A'!B400,'Procyfloc 956A'!C400)&gt;0,"956A","")</f>
        <v/>
      </c>
      <c r="AB2399" t="str">
        <f>IFERROR(IF(ISNUMBER('Procyfloc 956A'!A400),'Procyfloc 956A'!A400,DATEVALUE('Procyfloc 956A'!A400)),"")</f>
        <v/>
      </c>
      <c r="AC2399" t="str">
        <f>IF(AA2399="","",'Procyfloc 956A'!B400)</f>
        <v/>
      </c>
      <c r="AD2399" t="str">
        <f>IF(AA2399="","",IFERROR(1*'Procyfloc 956A'!C400,IFERROR(_xludf.NUMBERVALUE('Procyfloc 956A'!C400,".",","),IFERROR(_xludf.NUMBERVALUE('Procyfloc 956A'!C400,",","."),0))))</f>
        <v/>
      </c>
      <c r="AE2399" t="str">
        <f>IF(AA2399="","",'Procyfloc 956A'!L400)</f>
        <v/>
      </c>
      <c r="AF2399">
        <f t="shared" si="239"/>
        <v>0</v>
      </c>
      <c r="AG2399" t="str">
        <f t="shared" si="240"/>
        <v/>
      </c>
      <c r="AH2399" t="str">
        <f t="shared" si="241"/>
        <v/>
      </c>
      <c r="AI2399">
        <f t="shared" si="242"/>
        <v>0</v>
      </c>
      <c r="AJ2399">
        <f t="shared" si="243"/>
        <v>0</v>
      </c>
      <c r="AK2399">
        <v>0</v>
      </c>
      <c r="AL2399" t="str">
        <f>IF(AA2399="","",IFERROR(IF(ISNUMBER('Procyfloc 956A'!D400),'Procyfloc 956A'!D400,IF(ISNUMBER(SEARCH("12",'Procyfloc 956A'!D400)),EDATE(AB2399,12),IF(ISNUMBER(SEARCH("6",'Procyfloc 956A'!D400)),EDATE(AB2399,6),IF(ISNUMBER(SEARCH("3",'Procyfloc 956A'!D400)),EDATE(AB2399,3),DATEVALUE('Procyfloc 956A'!D400))))),""))</f>
        <v/>
      </c>
      <c r="AM2399" t="str">
        <f t="shared" ca="1" si="244"/>
        <v/>
      </c>
    </row>
    <row r="2400" spans="27:39" x14ac:dyDescent="0.3">
      <c r="AA2400" t="str">
        <f>IF(COUNTA('Procyfloc 956A'!A401,'Procyfloc 956A'!B401,'Procyfloc 956A'!C401)&gt;0,"956A","")</f>
        <v/>
      </c>
      <c r="AB2400" t="str">
        <f>IFERROR(IF(ISNUMBER('Procyfloc 956A'!A401),'Procyfloc 956A'!A401,DATEVALUE('Procyfloc 956A'!A401)),"")</f>
        <v/>
      </c>
      <c r="AC2400" t="str">
        <f>IF(AA2400="","",'Procyfloc 956A'!B401)</f>
        <v/>
      </c>
      <c r="AD2400" t="str">
        <f>IF(AA2400="","",IFERROR(1*'Procyfloc 956A'!C401,IFERROR(_xludf.NUMBERVALUE('Procyfloc 956A'!C401,".",","),IFERROR(_xludf.NUMBERVALUE('Procyfloc 956A'!C401,",","."),0))))</f>
        <v/>
      </c>
      <c r="AE2400" t="str">
        <f>IF(AA2400="","",'Procyfloc 956A'!L401)</f>
        <v/>
      </c>
      <c r="AF2400">
        <f t="shared" si="239"/>
        <v>0</v>
      </c>
      <c r="AG2400" t="str">
        <f t="shared" si="240"/>
        <v/>
      </c>
      <c r="AH2400" t="str">
        <f t="shared" si="241"/>
        <v/>
      </c>
      <c r="AI2400">
        <f t="shared" si="242"/>
        <v>0</v>
      </c>
      <c r="AJ2400">
        <f t="shared" si="243"/>
        <v>0</v>
      </c>
      <c r="AK2400">
        <v>0</v>
      </c>
      <c r="AL2400" t="str">
        <f>IF(AA2400="","",IFERROR(IF(ISNUMBER('Procyfloc 956A'!D401),'Procyfloc 956A'!D401,IF(ISNUMBER(SEARCH("12",'Procyfloc 956A'!D401)),EDATE(AB2400,12),IF(ISNUMBER(SEARCH("6",'Procyfloc 956A'!D401)),EDATE(AB2400,6),IF(ISNUMBER(SEARCH("3",'Procyfloc 956A'!D401)),EDATE(AB2400,3),DATEVALUE('Procyfloc 956A'!D401))))),""))</f>
        <v/>
      </c>
      <c r="AM2400" t="str">
        <f t="shared" ca="1" si="244"/>
        <v/>
      </c>
    </row>
    <row r="2401" spans="27:39" x14ac:dyDescent="0.3">
      <c r="AA2401" t="str">
        <f>IF(COUNTA('Procyfloc 956A'!A402,'Procyfloc 956A'!B402,'Procyfloc 956A'!C402)&gt;0,"956A","")</f>
        <v/>
      </c>
      <c r="AB2401" t="str">
        <f>IFERROR(IF(ISNUMBER('Procyfloc 956A'!A402),'Procyfloc 956A'!A402,DATEVALUE('Procyfloc 956A'!A402)),"")</f>
        <v/>
      </c>
      <c r="AC2401" t="str">
        <f>IF(AA2401="","",'Procyfloc 956A'!B402)</f>
        <v/>
      </c>
      <c r="AD2401" t="str">
        <f>IF(AA2401="","",IFERROR(1*'Procyfloc 956A'!C402,IFERROR(_xludf.NUMBERVALUE('Procyfloc 956A'!C402,".",","),IFERROR(_xludf.NUMBERVALUE('Procyfloc 956A'!C402,",","."),0))))</f>
        <v/>
      </c>
      <c r="AE2401" t="str">
        <f>IF(AA2401="","",'Procyfloc 956A'!L402)</f>
        <v/>
      </c>
      <c r="AF2401">
        <f t="shared" si="239"/>
        <v>0</v>
      </c>
      <c r="AG2401" t="str">
        <f t="shared" si="240"/>
        <v/>
      </c>
      <c r="AH2401" t="str">
        <f t="shared" si="241"/>
        <v/>
      </c>
      <c r="AI2401">
        <f t="shared" si="242"/>
        <v>0</v>
      </c>
      <c r="AJ2401">
        <f t="shared" si="243"/>
        <v>0</v>
      </c>
      <c r="AK2401">
        <v>0</v>
      </c>
      <c r="AL2401" t="str">
        <f>IF(AA2401="","",IFERROR(IF(ISNUMBER('Procyfloc 956A'!D402),'Procyfloc 956A'!D402,IF(ISNUMBER(SEARCH("12",'Procyfloc 956A'!D402)),EDATE(AB2401,12),IF(ISNUMBER(SEARCH("6",'Procyfloc 956A'!D402)),EDATE(AB2401,6),IF(ISNUMBER(SEARCH("3",'Procyfloc 956A'!D402)),EDATE(AB2401,3),DATEVALUE('Procyfloc 956A'!D402))))),""))</f>
        <v/>
      </c>
      <c r="AM2401" t="str">
        <f t="shared" ca="1" si="244"/>
        <v/>
      </c>
    </row>
    <row r="2402" spans="27:39" x14ac:dyDescent="0.3">
      <c r="AA2402" t="str">
        <f>IF(COUNTA('Procyfloc 956A'!A403,'Procyfloc 956A'!B403,'Procyfloc 956A'!C403)&gt;0,"956A","")</f>
        <v/>
      </c>
      <c r="AB2402" t="str">
        <f>IFERROR(IF(ISNUMBER('Procyfloc 956A'!A403),'Procyfloc 956A'!A403,DATEVALUE('Procyfloc 956A'!A403)),"")</f>
        <v/>
      </c>
      <c r="AC2402" t="str">
        <f>IF(AA2402="","",'Procyfloc 956A'!B403)</f>
        <v/>
      </c>
      <c r="AD2402" t="str">
        <f>IF(AA2402="","",IFERROR(1*'Procyfloc 956A'!C403,IFERROR(_xludf.NUMBERVALUE('Procyfloc 956A'!C403,".",","),IFERROR(_xludf.NUMBERVALUE('Procyfloc 956A'!C403,",","."),0))))</f>
        <v/>
      </c>
      <c r="AE2402" t="str">
        <f>IF(AA2402="","",'Procyfloc 956A'!L403)</f>
        <v/>
      </c>
      <c r="AF2402">
        <f t="shared" si="239"/>
        <v>0</v>
      </c>
      <c r="AG2402" t="str">
        <f t="shared" si="240"/>
        <v/>
      </c>
      <c r="AH2402" t="str">
        <f t="shared" si="241"/>
        <v/>
      </c>
      <c r="AI2402">
        <f t="shared" si="242"/>
        <v>0</v>
      </c>
      <c r="AJ2402">
        <f t="shared" si="243"/>
        <v>0</v>
      </c>
      <c r="AK2402">
        <v>0</v>
      </c>
      <c r="AL2402" t="str">
        <f>IF(AA2402="","",IFERROR(IF(ISNUMBER('Procyfloc 956A'!D403),'Procyfloc 956A'!D403,IF(ISNUMBER(SEARCH("12",'Procyfloc 956A'!D403)),EDATE(AB2402,12),IF(ISNUMBER(SEARCH("6",'Procyfloc 956A'!D403)),EDATE(AB2402,6),IF(ISNUMBER(SEARCH("3",'Procyfloc 956A'!D403)),EDATE(AB2402,3),DATEVALUE('Procyfloc 956A'!D403))))),""))</f>
        <v/>
      </c>
      <c r="AM2402" t="str">
        <f t="shared" ca="1" si="244"/>
        <v/>
      </c>
    </row>
    <row r="2403" spans="27:39" x14ac:dyDescent="0.3">
      <c r="AA2403" t="str">
        <f>IF(COUNTA('Procyfloc 956A'!A404,'Procyfloc 956A'!B404,'Procyfloc 956A'!C404)&gt;0,"956A","")</f>
        <v/>
      </c>
      <c r="AB2403" t="str">
        <f>IFERROR(IF(ISNUMBER('Procyfloc 956A'!A404),'Procyfloc 956A'!A404,DATEVALUE('Procyfloc 956A'!A404)),"")</f>
        <v/>
      </c>
      <c r="AC2403" t="str">
        <f>IF(AA2403="","",'Procyfloc 956A'!B404)</f>
        <v/>
      </c>
      <c r="AD2403" t="str">
        <f>IF(AA2403="","",IFERROR(1*'Procyfloc 956A'!C404,IFERROR(_xludf.NUMBERVALUE('Procyfloc 956A'!C404,".",","),IFERROR(_xludf.NUMBERVALUE('Procyfloc 956A'!C404,",","."),0))))</f>
        <v/>
      </c>
      <c r="AE2403" t="str">
        <f>IF(AA2403="","",'Procyfloc 956A'!L404)</f>
        <v/>
      </c>
      <c r="AF2403">
        <f t="shared" si="239"/>
        <v>0</v>
      </c>
      <c r="AG2403" t="str">
        <f t="shared" si="240"/>
        <v/>
      </c>
      <c r="AH2403" t="str">
        <f t="shared" si="241"/>
        <v/>
      </c>
      <c r="AI2403">
        <f t="shared" si="242"/>
        <v>0</v>
      </c>
      <c r="AJ2403">
        <f t="shared" si="243"/>
        <v>0</v>
      </c>
      <c r="AK2403">
        <v>0</v>
      </c>
      <c r="AL2403" t="str">
        <f>IF(AA2403="","",IFERROR(IF(ISNUMBER('Procyfloc 956A'!D404),'Procyfloc 956A'!D404,IF(ISNUMBER(SEARCH("12",'Procyfloc 956A'!D404)),EDATE(AB2403,12),IF(ISNUMBER(SEARCH("6",'Procyfloc 956A'!D404)),EDATE(AB2403,6),IF(ISNUMBER(SEARCH("3",'Procyfloc 956A'!D404)),EDATE(AB2403,3),DATEVALUE('Procyfloc 956A'!D404))))),""))</f>
        <v/>
      </c>
      <c r="AM2403" t="str">
        <f t="shared" ca="1" si="244"/>
        <v/>
      </c>
    </row>
    <row r="2404" spans="27:39" x14ac:dyDescent="0.3">
      <c r="AA2404" t="str">
        <f>IF(COUNTA('Procyfloc 956A'!A405,'Procyfloc 956A'!B405,'Procyfloc 956A'!C405)&gt;0,"956A","")</f>
        <v/>
      </c>
      <c r="AB2404" t="str">
        <f>IFERROR(IF(ISNUMBER('Procyfloc 956A'!A405),'Procyfloc 956A'!A405,DATEVALUE('Procyfloc 956A'!A405)),"")</f>
        <v/>
      </c>
      <c r="AC2404" t="str">
        <f>IF(AA2404="","",'Procyfloc 956A'!B405)</f>
        <v/>
      </c>
      <c r="AD2404" t="str">
        <f>IF(AA2404="","",IFERROR(1*'Procyfloc 956A'!C405,IFERROR(_xludf.NUMBERVALUE('Procyfloc 956A'!C405,".",","),IFERROR(_xludf.NUMBERVALUE('Procyfloc 956A'!C405,",","."),0))))</f>
        <v/>
      </c>
      <c r="AE2404" t="str">
        <f>IF(AA2404="","",'Procyfloc 956A'!L405)</f>
        <v/>
      </c>
      <c r="AF2404">
        <f t="shared" si="239"/>
        <v>0</v>
      </c>
      <c r="AG2404" t="str">
        <f t="shared" si="240"/>
        <v/>
      </c>
      <c r="AH2404" t="str">
        <f t="shared" si="241"/>
        <v/>
      </c>
      <c r="AI2404">
        <f t="shared" si="242"/>
        <v>0</v>
      </c>
      <c r="AJ2404">
        <f t="shared" si="243"/>
        <v>0</v>
      </c>
      <c r="AK2404">
        <v>0</v>
      </c>
      <c r="AL2404" t="str">
        <f>IF(AA2404="","",IFERROR(IF(ISNUMBER('Procyfloc 956A'!D405),'Procyfloc 956A'!D405,IF(ISNUMBER(SEARCH("12",'Procyfloc 956A'!D405)),EDATE(AB2404,12),IF(ISNUMBER(SEARCH("6",'Procyfloc 956A'!D405)),EDATE(AB2404,6),IF(ISNUMBER(SEARCH("3",'Procyfloc 956A'!D405)),EDATE(AB2404,3),DATEVALUE('Procyfloc 956A'!D405))))),""))</f>
        <v/>
      </c>
      <c r="AM2404" t="str">
        <f t="shared" ca="1" si="244"/>
        <v/>
      </c>
    </row>
    <row r="2405" spans="27:39" x14ac:dyDescent="0.3">
      <c r="AA2405" t="str">
        <f>IF(COUNTA('Procyfloc 956A'!A406,'Procyfloc 956A'!B406,'Procyfloc 956A'!C406)&gt;0,"956A","")</f>
        <v/>
      </c>
      <c r="AB2405" t="str">
        <f>IFERROR(IF(ISNUMBER('Procyfloc 956A'!A406),'Procyfloc 956A'!A406,DATEVALUE('Procyfloc 956A'!A406)),"")</f>
        <v/>
      </c>
      <c r="AC2405" t="str">
        <f>IF(AA2405="","",'Procyfloc 956A'!B406)</f>
        <v/>
      </c>
      <c r="AD2405" t="str">
        <f>IF(AA2405="","",IFERROR(1*'Procyfloc 956A'!C406,IFERROR(_xludf.NUMBERVALUE('Procyfloc 956A'!C406,".",","),IFERROR(_xludf.NUMBERVALUE('Procyfloc 956A'!C406,",","."),0))))</f>
        <v/>
      </c>
      <c r="AE2405" t="str">
        <f>IF(AA2405="","",'Procyfloc 956A'!L406)</f>
        <v/>
      </c>
      <c r="AF2405">
        <f t="shared" si="239"/>
        <v>0</v>
      </c>
      <c r="AG2405" t="str">
        <f t="shared" si="240"/>
        <v/>
      </c>
      <c r="AH2405" t="str">
        <f t="shared" si="241"/>
        <v/>
      </c>
      <c r="AI2405">
        <f t="shared" si="242"/>
        <v>0</v>
      </c>
      <c r="AJ2405">
        <f t="shared" si="243"/>
        <v>0</v>
      </c>
      <c r="AK2405">
        <v>0</v>
      </c>
      <c r="AL2405" t="str">
        <f>IF(AA2405="","",IFERROR(IF(ISNUMBER('Procyfloc 956A'!D406),'Procyfloc 956A'!D406,IF(ISNUMBER(SEARCH("12",'Procyfloc 956A'!D406)),EDATE(AB2405,12),IF(ISNUMBER(SEARCH("6",'Procyfloc 956A'!D406)),EDATE(AB2405,6),IF(ISNUMBER(SEARCH("3",'Procyfloc 956A'!D406)),EDATE(AB2405,3),DATEVALUE('Procyfloc 956A'!D406))))),""))</f>
        <v/>
      </c>
      <c r="AM2405" t="str">
        <f t="shared" ca="1" si="244"/>
        <v/>
      </c>
    </row>
    <row r="2406" spans="27:39" x14ac:dyDescent="0.3">
      <c r="AA2406" t="str">
        <f>IF(COUNTA('Procyfloc 956A'!A407,'Procyfloc 956A'!B407,'Procyfloc 956A'!C407)&gt;0,"956A","")</f>
        <v/>
      </c>
      <c r="AB2406" t="str">
        <f>IFERROR(IF(ISNUMBER('Procyfloc 956A'!A407),'Procyfloc 956A'!A407,DATEVALUE('Procyfloc 956A'!A407)),"")</f>
        <v/>
      </c>
      <c r="AC2406" t="str">
        <f>IF(AA2406="","",'Procyfloc 956A'!B407)</f>
        <v/>
      </c>
      <c r="AD2406" t="str">
        <f>IF(AA2406="","",IFERROR(1*'Procyfloc 956A'!C407,IFERROR(_xludf.NUMBERVALUE('Procyfloc 956A'!C407,".",","),IFERROR(_xludf.NUMBERVALUE('Procyfloc 956A'!C407,",","."),0))))</f>
        <v/>
      </c>
      <c r="AE2406" t="str">
        <f>IF(AA2406="","",'Procyfloc 956A'!L407)</f>
        <v/>
      </c>
      <c r="AF2406">
        <f t="shared" si="239"/>
        <v>0</v>
      </c>
      <c r="AG2406" t="str">
        <f t="shared" si="240"/>
        <v/>
      </c>
      <c r="AH2406" t="str">
        <f t="shared" si="241"/>
        <v/>
      </c>
      <c r="AI2406">
        <f t="shared" si="242"/>
        <v>0</v>
      </c>
      <c r="AJ2406">
        <f t="shared" si="243"/>
        <v>0</v>
      </c>
      <c r="AK2406">
        <v>0</v>
      </c>
      <c r="AL2406" t="str">
        <f>IF(AA2406="","",IFERROR(IF(ISNUMBER('Procyfloc 956A'!D407),'Procyfloc 956A'!D407,IF(ISNUMBER(SEARCH("12",'Procyfloc 956A'!D407)),EDATE(AB2406,12),IF(ISNUMBER(SEARCH("6",'Procyfloc 956A'!D407)),EDATE(AB2406,6),IF(ISNUMBER(SEARCH("3",'Procyfloc 956A'!D407)),EDATE(AB2406,3),DATEVALUE('Procyfloc 956A'!D407))))),""))</f>
        <v/>
      </c>
      <c r="AM2406" t="str">
        <f t="shared" ca="1" si="244"/>
        <v/>
      </c>
    </row>
    <row r="2407" spans="27:39" x14ac:dyDescent="0.3">
      <c r="AA2407" t="str">
        <f>IF(COUNTA('Procyfloc 956A'!A408,'Procyfloc 956A'!B408,'Procyfloc 956A'!C408)&gt;0,"956A","")</f>
        <v/>
      </c>
      <c r="AB2407" t="str">
        <f>IFERROR(IF(ISNUMBER('Procyfloc 956A'!A408),'Procyfloc 956A'!A408,DATEVALUE('Procyfloc 956A'!A408)),"")</f>
        <v/>
      </c>
      <c r="AC2407" t="str">
        <f>IF(AA2407="","",'Procyfloc 956A'!B408)</f>
        <v/>
      </c>
      <c r="AD2407" t="str">
        <f>IF(AA2407="","",IFERROR(1*'Procyfloc 956A'!C408,IFERROR(_xludf.NUMBERVALUE('Procyfloc 956A'!C408,".",","),IFERROR(_xludf.NUMBERVALUE('Procyfloc 956A'!C408,",","."),0))))</f>
        <v/>
      </c>
      <c r="AE2407" t="str">
        <f>IF(AA2407="","",'Procyfloc 956A'!L408)</f>
        <v/>
      </c>
      <c r="AF2407">
        <f t="shared" si="239"/>
        <v>0</v>
      </c>
      <c r="AG2407" t="str">
        <f t="shared" si="240"/>
        <v/>
      </c>
      <c r="AH2407" t="str">
        <f t="shared" si="241"/>
        <v/>
      </c>
      <c r="AI2407">
        <f t="shared" si="242"/>
        <v>0</v>
      </c>
      <c r="AJ2407">
        <f t="shared" si="243"/>
        <v>0</v>
      </c>
      <c r="AK2407">
        <v>0</v>
      </c>
      <c r="AL2407" t="str">
        <f>IF(AA2407="","",IFERROR(IF(ISNUMBER('Procyfloc 956A'!D408),'Procyfloc 956A'!D408,IF(ISNUMBER(SEARCH("12",'Procyfloc 956A'!D408)),EDATE(AB2407,12),IF(ISNUMBER(SEARCH("6",'Procyfloc 956A'!D408)),EDATE(AB2407,6),IF(ISNUMBER(SEARCH("3",'Procyfloc 956A'!D408)),EDATE(AB2407,3),DATEVALUE('Procyfloc 956A'!D408))))),""))</f>
        <v/>
      </c>
      <c r="AM2407" t="str">
        <f t="shared" ca="1" si="244"/>
        <v/>
      </c>
    </row>
    <row r="2408" spans="27:39" x14ac:dyDescent="0.3">
      <c r="AA2408" t="str">
        <f>IF(COUNTA('Procyfloc 956A'!A409,'Procyfloc 956A'!B409,'Procyfloc 956A'!C409)&gt;0,"956A","")</f>
        <v/>
      </c>
      <c r="AB2408" t="str">
        <f>IFERROR(IF(ISNUMBER('Procyfloc 956A'!A409),'Procyfloc 956A'!A409,DATEVALUE('Procyfloc 956A'!A409)),"")</f>
        <v/>
      </c>
      <c r="AC2408" t="str">
        <f>IF(AA2408="","",'Procyfloc 956A'!B409)</f>
        <v/>
      </c>
      <c r="AD2408" t="str">
        <f>IF(AA2408="","",IFERROR(1*'Procyfloc 956A'!C409,IFERROR(_xludf.NUMBERVALUE('Procyfloc 956A'!C409,".",","),IFERROR(_xludf.NUMBERVALUE('Procyfloc 956A'!C409,",","."),0))))</f>
        <v/>
      </c>
      <c r="AE2408" t="str">
        <f>IF(AA2408="","",'Procyfloc 956A'!L409)</f>
        <v/>
      </c>
      <c r="AF2408">
        <f t="shared" si="239"/>
        <v>0</v>
      </c>
      <c r="AG2408" t="str">
        <f t="shared" si="240"/>
        <v/>
      </c>
      <c r="AH2408" t="str">
        <f t="shared" si="241"/>
        <v/>
      </c>
      <c r="AI2408">
        <f t="shared" si="242"/>
        <v>0</v>
      </c>
      <c r="AJ2408">
        <f t="shared" si="243"/>
        <v>0</v>
      </c>
      <c r="AK2408">
        <v>0</v>
      </c>
      <c r="AL2408" t="str">
        <f>IF(AA2408="","",IFERROR(IF(ISNUMBER('Procyfloc 956A'!D409),'Procyfloc 956A'!D409,IF(ISNUMBER(SEARCH("12",'Procyfloc 956A'!D409)),EDATE(AB2408,12),IF(ISNUMBER(SEARCH("6",'Procyfloc 956A'!D409)),EDATE(AB2408,6),IF(ISNUMBER(SEARCH("3",'Procyfloc 956A'!D409)),EDATE(AB2408,3),DATEVALUE('Procyfloc 956A'!D409))))),""))</f>
        <v/>
      </c>
      <c r="AM2408" t="str">
        <f t="shared" ca="1" si="244"/>
        <v/>
      </c>
    </row>
    <row r="2409" spans="27:39" x14ac:dyDescent="0.3">
      <c r="AA2409" t="str">
        <f>IF(COUNTA('Procyfloc 956A'!A410,'Procyfloc 956A'!B410,'Procyfloc 956A'!C410)&gt;0,"956A","")</f>
        <v/>
      </c>
      <c r="AB2409" t="str">
        <f>IFERROR(IF(ISNUMBER('Procyfloc 956A'!A410),'Procyfloc 956A'!A410,DATEVALUE('Procyfloc 956A'!A410)),"")</f>
        <v/>
      </c>
      <c r="AC2409" t="str">
        <f>IF(AA2409="","",'Procyfloc 956A'!B410)</f>
        <v/>
      </c>
      <c r="AD2409" t="str">
        <f>IF(AA2409="","",IFERROR(1*'Procyfloc 956A'!C410,IFERROR(_xludf.NUMBERVALUE('Procyfloc 956A'!C410,".",","),IFERROR(_xludf.NUMBERVALUE('Procyfloc 956A'!C410,",","."),0))))</f>
        <v/>
      </c>
      <c r="AE2409" t="str">
        <f>IF(AA2409="","",'Procyfloc 956A'!L410)</f>
        <v/>
      </c>
      <c r="AF2409">
        <f t="shared" si="239"/>
        <v>0</v>
      </c>
      <c r="AG2409" t="str">
        <f t="shared" si="240"/>
        <v/>
      </c>
      <c r="AH2409" t="str">
        <f t="shared" si="241"/>
        <v/>
      </c>
      <c r="AI2409">
        <f t="shared" si="242"/>
        <v>0</v>
      </c>
      <c r="AJ2409">
        <f t="shared" si="243"/>
        <v>0</v>
      </c>
      <c r="AK2409">
        <v>0</v>
      </c>
      <c r="AL2409" t="str">
        <f>IF(AA2409="","",IFERROR(IF(ISNUMBER('Procyfloc 956A'!D410),'Procyfloc 956A'!D410,IF(ISNUMBER(SEARCH("12",'Procyfloc 956A'!D410)),EDATE(AB2409,12),IF(ISNUMBER(SEARCH("6",'Procyfloc 956A'!D410)),EDATE(AB2409,6),IF(ISNUMBER(SEARCH("3",'Procyfloc 956A'!D410)),EDATE(AB2409,3),DATEVALUE('Procyfloc 956A'!D410))))),""))</f>
        <v/>
      </c>
      <c r="AM2409" t="str">
        <f t="shared" ca="1" si="244"/>
        <v/>
      </c>
    </row>
    <row r="2410" spans="27:39" x14ac:dyDescent="0.3">
      <c r="AA2410" t="str">
        <f>IF(COUNTA('Procyfloc 956A'!A411,'Procyfloc 956A'!B411,'Procyfloc 956A'!C411)&gt;0,"956A","")</f>
        <v/>
      </c>
      <c r="AB2410" t="str">
        <f>IFERROR(IF(ISNUMBER('Procyfloc 956A'!A411),'Procyfloc 956A'!A411,DATEVALUE('Procyfloc 956A'!A411)),"")</f>
        <v/>
      </c>
      <c r="AC2410" t="str">
        <f>IF(AA2410="","",'Procyfloc 956A'!B411)</f>
        <v/>
      </c>
      <c r="AD2410" t="str">
        <f>IF(AA2410="","",IFERROR(1*'Procyfloc 956A'!C411,IFERROR(_xludf.NUMBERVALUE('Procyfloc 956A'!C411,".",","),IFERROR(_xludf.NUMBERVALUE('Procyfloc 956A'!C411,",","."),0))))</f>
        <v/>
      </c>
      <c r="AE2410" t="str">
        <f>IF(AA2410="","",'Procyfloc 956A'!L411)</f>
        <v/>
      </c>
      <c r="AF2410">
        <f t="shared" si="239"/>
        <v>0</v>
      </c>
      <c r="AG2410" t="str">
        <f t="shared" si="240"/>
        <v/>
      </c>
      <c r="AH2410" t="str">
        <f t="shared" si="241"/>
        <v/>
      </c>
      <c r="AI2410">
        <f t="shared" si="242"/>
        <v>0</v>
      </c>
      <c r="AJ2410">
        <f t="shared" si="243"/>
        <v>0</v>
      </c>
      <c r="AK2410">
        <v>0</v>
      </c>
      <c r="AL2410" t="str">
        <f>IF(AA2410="","",IFERROR(IF(ISNUMBER('Procyfloc 956A'!D411),'Procyfloc 956A'!D411,IF(ISNUMBER(SEARCH("12",'Procyfloc 956A'!D411)),EDATE(AB2410,12),IF(ISNUMBER(SEARCH("6",'Procyfloc 956A'!D411)),EDATE(AB2410,6),IF(ISNUMBER(SEARCH("3",'Procyfloc 956A'!D411)),EDATE(AB2410,3),DATEVALUE('Procyfloc 956A'!D411))))),""))</f>
        <v/>
      </c>
      <c r="AM2410" t="str">
        <f t="shared" ca="1" si="244"/>
        <v/>
      </c>
    </row>
    <row r="2411" spans="27:39" x14ac:dyDescent="0.3">
      <c r="AA2411" t="str">
        <f>IF(COUNTA('Procyfloc 956A'!A412,'Procyfloc 956A'!B412,'Procyfloc 956A'!C412)&gt;0,"956A","")</f>
        <v/>
      </c>
      <c r="AB2411" t="str">
        <f>IFERROR(IF(ISNUMBER('Procyfloc 956A'!A412),'Procyfloc 956A'!A412,DATEVALUE('Procyfloc 956A'!A412)),"")</f>
        <v/>
      </c>
      <c r="AC2411" t="str">
        <f>IF(AA2411="","",'Procyfloc 956A'!B412)</f>
        <v/>
      </c>
      <c r="AD2411" t="str">
        <f>IF(AA2411="","",IFERROR(1*'Procyfloc 956A'!C412,IFERROR(_xludf.NUMBERVALUE('Procyfloc 956A'!C412,".",","),IFERROR(_xludf.NUMBERVALUE('Procyfloc 956A'!C412,",","."),0))))</f>
        <v/>
      </c>
      <c r="AE2411" t="str">
        <f>IF(AA2411="","",'Procyfloc 956A'!L412)</f>
        <v/>
      </c>
      <c r="AF2411">
        <f t="shared" si="239"/>
        <v>0</v>
      </c>
      <c r="AG2411" t="str">
        <f t="shared" si="240"/>
        <v/>
      </c>
      <c r="AH2411" t="str">
        <f t="shared" si="241"/>
        <v/>
      </c>
      <c r="AI2411">
        <f t="shared" si="242"/>
        <v>0</v>
      </c>
      <c r="AJ2411">
        <f t="shared" si="243"/>
        <v>0</v>
      </c>
      <c r="AK2411">
        <v>0</v>
      </c>
      <c r="AL2411" t="str">
        <f>IF(AA2411="","",IFERROR(IF(ISNUMBER('Procyfloc 956A'!D412),'Procyfloc 956A'!D412,IF(ISNUMBER(SEARCH("12",'Procyfloc 956A'!D412)),EDATE(AB2411,12),IF(ISNUMBER(SEARCH("6",'Procyfloc 956A'!D412)),EDATE(AB2411,6),IF(ISNUMBER(SEARCH("3",'Procyfloc 956A'!D412)),EDATE(AB2411,3),DATEVALUE('Procyfloc 956A'!D412))))),""))</f>
        <v/>
      </c>
      <c r="AM2411" t="str">
        <f t="shared" ca="1" si="244"/>
        <v/>
      </c>
    </row>
    <row r="2412" spans="27:39" x14ac:dyDescent="0.3">
      <c r="AA2412" t="str">
        <f>IF(COUNTA('Procyfloc 956A'!A413,'Procyfloc 956A'!B413,'Procyfloc 956A'!C413)&gt;0,"956A","")</f>
        <v/>
      </c>
      <c r="AB2412" t="str">
        <f>IFERROR(IF(ISNUMBER('Procyfloc 956A'!A413),'Procyfloc 956A'!A413,DATEVALUE('Procyfloc 956A'!A413)),"")</f>
        <v/>
      </c>
      <c r="AC2412" t="str">
        <f>IF(AA2412="","",'Procyfloc 956A'!B413)</f>
        <v/>
      </c>
      <c r="AD2412" t="str">
        <f>IF(AA2412="","",IFERROR(1*'Procyfloc 956A'!C413,IFERROR(_xludf.NUMBERVALUE('Procyfloc 956A'!C413,".",","),IFERROR(_xludf.NUMBERVALUE('Procyfloc 956A'!C413,",","."),0))))</f>
        <v/>
      </c>
      <c r="AE2412" t="str">
        <f>IF(AA2412="","",'Procyfloc 956A'!L413)</f>
        <v/>
      </c>
      <c r="AF2412">
        <f t="shared" si="239"/>
        <v>0</v>
      </c>
      <c r="AG2412" t="str">
        <f t="shared" si="240"/>
        <v/>
      </c>
      <c r="AH2412" t="str">
        <f t="shared" si="241"/>
        <v/>
      </c>
      <c r="AI2412">
        <f t="shared" si="242"/>
        <v>0</v>
      </c>
      <c r="AJ2412">
        <f t="shared" si="243"/>
        <v>0</v>
      </c>
      <c r="AK2412">
        <v>0</v>
      </c>
      <c r="AL2412" t="str">
        <f>IF(AA2412="","",IFERROR(IF(ISNUMBER('Procyfloc 956A'!D413),'Procyfloc 956A'!D413,IF(ISNUMBER(SEARCH("12",'Procyfloc 956A'!D413)),EDATE(AB2412,12),IF(ISNUMBER(SEARCH("6",'Procyfloc 956A'!D413)),EDATE(AB2412,6),IF(ISNUMBER(SEARCH("3",'Procyfloc 956A'!D413)),EDATE(AB2412,3),DATEVALUE('Procyfloc 956A'!D413))))),""))</f>
        <v/>
      </c>
      <c r="AM2412" t="str">
        <f t="shared" ca="1" si="244"/>
        <v/>
      </c>
    </row>
    <row r="2413" spans="27:39" x14ac:dyDescent="0.3">
      <c r="AA2413" t="str">
        <f>IF(COUNTA('Procyfloc 956A'!A414,'Procyfloc 956A'!B414,'Procyfloc 956A'!C414)&gt;0,"956A","")</f>
        <v/>
      </c>
      <c r="AB2413" t="str">
        <f>IFERROR(IF(ISNUMBER('Procyfloc 956A'!A414),'Procyfloc 956A'!A414,DATEVALUE('Procyfloc 956A'!A414)),"")</f>
        <v/>
      </c>
      <c r="AC2413" t="str">
        <f>IF(AA2413="","",'Procyfloc 956A'!B414)</f>
        <v/>
      </c>
      <c r="AD2413" t="str">
        <f>IF(AA2413="","",IFERROR(1*'Procyfloc 956A'!C414,IFERROR(_xludf.NUMBERVALUE('Procyfloc 956A'!C414,".",","),IFERROR(_xludf.NUMBERVALUE('Procyfloc 956A'!C414,",","."),0))))</f>
        <v/>
      </c>
      <c r="AE2413" t="str">
        <f>IF(AA2413="","",'Procyfloc 956A'!L414)</f>
        <v/>
      </c>
      <c r="AF2413">
        <f t="shared" si="239"/>
        <v>0</v>
      </c>
      <c r="AG2413" t="str">
        <f t="shared" si="240"/>
        <v/>
      </c>
      <c r="AH2413" t="str">
        <f t="shared" si="241"/>
        <v/>
      </c>
      <c r="AI2413">
        <f t="shared" si="242"/>
        <v>0</v>
      </c>
      <c r="AJ2413">
        <f t="shared" si="243"/>
        <v>0</v>
      </c>
      <c r="AK2413">
        <v>0</v>
      </c>
      <c r="AL2413" t="str">
        <f>IF(AA2413="","",IFERROR(IF(ISNUMBER('Procyfloc 956A'!D414),'Procyfloc 956A'!D414,IF(ISNUMBER(SEARCH("12",'Procyfloc 956A'!D414)),EDATE(AB2413,12),IF(ISNUMBER(SEARCH("6",'Procyfloc 956A'!D414)),EDATE(AB2413,6),IF(ISNUMBER(SEARCH("3",'Procyfloc 956A'!D414)),EDATE(AB2413,3),DATEVALUE('Procyfloc 956A'!D414))))),""))</f>
        <v/>
      </c>
      <c r="AM2413" t="str">
        <f t="shared" ca="1" si="244"/>
        <v/>
      </c>
    </row>
    <row r="2414" spans="27:39" x14ac:dyDescent="0.3">
      <c r="AA2414" t="str">
        <f>IF(COUNTA('Procyfloc 956A'!A415,'Procyfloc 956A'!B415,'Procyfloc 956A'!C415)&gt;0,"956A","")</f>
        <v/>
      </c>
      <c r="AB2414" t="str">
        <f>IFERROR(IF(ISNUMBER('Procyfloc 956A'!A415),'Procyfloc 956A'!A415,DATEVALUE('Procyfloc 956A'!A415)),"")</f>
        <v/>
      </c>
      <c r="AC2414" t="str">
        <f>IF(AA2414="","",'Procyfloc 956A'!B415)</f>
        <v/>
      </c>
      <c r="AD2414" t="str">
        <f>IF(AA2414="","",IFERROR(1*'Procyfloc 956A'!C415,IFERROR(_xludf.NUMBERVALUE('Procyfloc 956A'!C415,".",","),IFERROR(_xludf.NUMBERVALUE('Procyfloc 956A'!C415,",","."),0))))</f>
        <v/>
      </c>
      <c r="AE2414" t="str">
        <f>IF(AA2414="","",'Procyfloc 956A'!L415)</f>
        <v/>
      </c>
      <c r="AF2414">
        <f t="shared" si="239"/>
        <v>0</v>
      </c>
      <c r="AG2414" t="str">
        <f t="shared" si="240"/>
        <v/>
      </c>
      <c r="AH2414" t="str">
        <f t="shared" si="241"/>
        <v/>
      </c>
      <c r="AI2414">
        <f t="shared" si="242"/>
        <v>0</v>
      </c>
      <c r="AJ2414">
        <f t="shared" si="243"/>
        <v>0</v>
      </c>
      <c r="AK2414">
        <v>0</v>
      </c>
      <c r="AL2414" t="str">
        <f>IF(AA2414="","",IFERROR(IF(ISNUMBER('Procyfloc 956A'!D415),'Procyfloc 956A'!D415,IF(ISNUMBER(SEARCH("12",'Procyfloc 956A'!D415)),EDATE(AB2414,12),IF(ISNUMBER(SEARCH("6",'Procyfloc 956A'!D415)),EDATE(AB2414,6),IF(ISNUMBER(SEARCH("3",'Procyfloc 956A'!D415)),EDATE(AB2414,3),DATEVALUE('Procyfloc 956A'!D415))))),""))</f>
        <v/>
      </c>
      <c r="AM2414" t="str">
        <f t="shared" ca="1" si="244"/>
        <v/>
      </c>
    </row>
    <row r="2415" spans="27:39" x14ac:dyDescent="0.3">
      <c r="AA2415" t="str">
        <f>IF(COUNTA('Procyfloc 956A'!A416,'Procyfloc 956A'!B416,'Procyfloc 956A'!C416)&gt;0,"956A","")</f>
        <v/>
      </c>
      <c r="AB2415" t="str">
        <f>IFERROR(IF(ISNUMBER('Procyfloc 956A'!A416),'Procyfloc 956A'!A416,DATEVALUE('Procyfloc 956A'!A416)),"")</f>
        <v/>
      </c>
      <c r="AC2415" t="str">
        <f>IF(AA2415="","",'Procyfloc 956A'!B416)</f>
        <v/>
      </c>
      <c r="AD2415" t="str">
        <f>IF(AA2415="","",IFERROR(1*'Procyfloc 956A'!C416,IFERROR(_xludf.NUMBERVALUE('Procyfloc 956A'!C416,".",","),IFERROR(_xludf.NUMBERVALUE('Procyfloc 956A'!C416,",","."),0))))</f>
        <v/>
      </c>
      <c r="AE2415" t="str">
        <f>IF(AA2415="","",'Procyfloc 956A'!L416)</f>
        <v/>
      </c>
      <c r="AF2415">
        <f t="shared" si="239"/>
        <v>0</v>
      </c>
      <c r="AG2415" t="str">
        <f t="shared" si="240"/>
        <v/>
      </c>
      <c r="AH2415" t="str">
        <f t="shared" si="241"/>
        <v/>
      </c>
      <c r="AI2415">
        <f t="shared" si="242"/>
        <v>0</v>
      </c>
      <c r="AJ2415">
        <f t="shared" si="243"/>
        <v>0</v>
      </c>
      <c r="AK2415">
        <v>0</v>
      </c>
      <c r="AL2415" t="str">
        <f>IF(AA2415="","",IFERROR(IF(ISNUMBER('Procyfloc 956A'!D416),'Procyfloc 956A'!D416,IF(ISNUMBER(SEARCH("12",'Procyfloc 956A'!D416)),EDATE(AB2415,12),IF(ISNUMBER(SEARCH("6",'Procyfloc 956A'!D416)),EDATE(AB2415,6),IF(ISNUMBER(SEARCH("3",'Procyfloc 956A'!D416)),EDATE(AB2415,3),DATEVALUE('Procyfloc 956A'!D416))))),""))</f>
        <v/>
      </c>
      <c r="AM2415" t="str">
        <f t="shared" ca="1" si="244"/>
        <v/>
      </c>
    </row>
    <row r="2416" spans="27:39" x14ac:dyDescent="0.3">
      <c r="AA2416" t="str">
        <f>IF(COUNTA('Procyfloc 956A'!A417,'Procyfloc 956A'!B417,'Procyfloc 956A'!C417)&gt;0,"956A","")</f>
        <v/>
      </c>
      <c r="AB2416" t="str">
        <f>IFERROR(IF(ISNUMBER('Procyfloc 956A'!A417),'Procyfloc 956A'!A417,DATEVALUE('Procyfloc 956A'!A417)),"")</f>
        <v/>
      </c>
      <c r="AC2416" t="str">
        <f>IF(AA2416="","",'Procyfloc 956A'!B417)</f>
        <v/>
      </c>
      <c r="AD2416" t="str">
        <f>IF(AA2416="","",IFERROR(1*'Procyfloc 956A'!C417,IFERROR(_xludf.NUMBERVALUE('Procyfloc 956A'!C417,".",","),IFERROR(_xludf.NUMBERVALUE('Procyfloc 956A'!C417,",","."),0))))</f>
        <v/>
      </c>
      <c r="AE2416" t="str">
        <f>IF(AA2416="","",'Procyfloc 956A'!L417)</f>
        <v/>
      </c>
      <c r="AF2416">
        <f t="shared" si="239"/>
        <v>0</v>
      </c>
      <c r="AG2416" t="str">
        <f t="shared" si="240"/>
        <v/>
      </c>
      <c r="AH2416" t="str">
        <f t="shared" si="241"/>
        <v/>
      </c>
      <c r="AI2416">
        <f t="shared" si="242"/>
        <v>0</v>
      </c>
      <c r="AJ2416">
        <f t="shared" si="243"/>
        <v>0</v>
      </c>
      <c r="AK2416">
        <v>0</v>
      </c>
      <c r="AL2416" t="str">
        <f>IF(AA2416="","",IFERROR(IF(ISNUMBER('Procyfloc 956A'!D417),'Procyfloc 956A'!D417,IF(ISNUMBER(SEARCH("12",'Procyfloc 956A'!D417)),EDATE(AB2416,12),IF(ISNUMBER(SEARCH("6",'Procyfloc 956A'!D417)),EDATE(AB2416,6),IF(ISNUMBER(SEARCH("3",'Procyfloc 956A'!D417)),EDATE(AB2416,3),DATEVALUE('Procyfloc 956A'!D417))))),""))</f>
        <v/>
      </c>
      <c r="AM2416" t="str">
        <f t="shared" ca="1" si="244"/>
        <v/>
      </c>
    </row>
    <row r="2417" spans="27:39" x14ac:dyDescent="0.3">
      <c r="AA2417" t="str">
        <f>IF(COUNTA('Procyfloc 956A'!A418,'Procyfloc 956A'!B418,'Procyfloc 956A'!C418)&gt;0,"956A","")</f>
        <v/>
      </c>
      <c r="AB2417" t="str">
        <f>IFERROR(IF(ISNUMBER('Procyfloc 956A'!A418),'Procyfloc 956A'!A418,DATEVALUE('Procyfloc 956A'!A418)),"")</f>
        <v/>
      </c>
      <c r="AC2417" t="str">
        <f>IF(AA2417="","",'Procyfloc 956A'!B418)</f>
        <v/>
      </c>
      <c r="AD2417" t="str">
        <f>IF(AA2417="","",IFERROR(1*'Procyfloc 956A'!C418,IFERROR(_xludf.NUMBERVALUE('Procyfloc 956A'!C418,".",","),IFERROR(_xludf.NUMBERVALUE('Procyfloc 956A'!C418,",","."),0))))</f>
        <v/>
      </c>
      <c r="AE2417" t="str">
        <f>IF(AA2417="","",'Procyfloc 956A'!L418)</f>
        <v/>
      </c>
      <c r="AF2417">
        <f t="shared" si="239"/>
        <v>0</v>
      </c>
      <c r="AG2417" t="str">
        <f t="shared" si="240"/>
        <v/>
      </c>
      <c r="AH2417" t="str">
        <f t="shared" si="241"/>
        <v/>
      </c>
      <c r="AI2417">
        <f t="shared" si="242"/>
        <v>0</v>
      </c>
      <c r="AJ2417">
        <f t="shared" si="243"/>
        <v>0</v>
      </c>
      <c r="AK2417">
        <v>0</v>
      </c>
      <c r="AL2417" t="str">
        <f>IF(AA2417="","",IFERROR(IF(ISNUMBER('Procyfloc 956A'!D418),'Procyfloc 956A'!D418,IF(ISNUMBER(SEARCH("12",'Procyfloc 956A'!D418)),EDATE(AB2417,12),IF(ISNUMBER(SEARCH("6",'Procyfloc 956A'!D418)),EDATE(AB2417,6),IF(ISNUMBER(SEARCH("3",'Procyfloc 956A'!D418)),EDATE(AB2417,3),DATEVALUE('Procyfloc 956A'!D418))))),""))</f>
        <v/>
      </c>
      <c r="AM2417" t="str">
        <f t="shared" ca="1" si="244"/>
        <v/>
      </c>
    </row>
    <row r="2418" spans="27:39" x14ac:dyDescent="0.3">
      <c r="AA2418" t="str">
        <f>IF(COUNTA('Procyfloc 956A'!A419,'Procyfloc 956A'!B419,'Procyfloc 956A'!C419)&gt;0,"956A","")</f>
        <v/>
      </c>
      <c r="AB2418" t="str">
        <f>IFERROR(IF(ISNUMBER('Procyfloc 956A'!A419),'Procyfloc 956A'!A419,DATEVALUE('Procyfloc 956A'!A419)),"")</f>
        <v/>
      </c>
      <c r="AC2418" t="str">
        <f>IF(AA2418="","",'Procyfloc 956A'!B419)</f>
        <v/>
      </c>
      <c r="AD2418" t="str">
        <f>IF(AA2418="","",IFERROR(1*'Procyfloc 956A'!C419,IFERROR(_xludf.NUMBERVALUE('Procyfloc 956A'!C419,".",","),IFERROR(_xludf.NUMBERVALUE('Procyfloc 956A'!C419,",","."),0))))</f>
        <v/>
      </c>
      <c r="AE2418" t="str">
        <f>IF(AA2418="","",'Procyfloc 956A'!L419)</f>
        <v/>
      </c>
      <c r="AF2418">
        <f t="shared" si="239"/>
        <v>0</v>
      </c>
      <c r="AG2418" t="str">
        <f t="shared" si="240"/>
        <v/>
      </c>
      <c r="AH2418" t="str">
        <f t="shared" si="241"/>
        <v/>
      </c>
      <c r="AI2418">
        <f t="shared" si="242"/>
        <v>0</v>
      </c>
      <c r="AJ2418">
        <f t="shared" si="243"/>
        <v>0</v>
      </c>
      <c r="AK2418">
        <v>0</v>
      </c>
      <c r="AL2418" t="str">
        <f>IF(AA2418="","",IFERROR(IF(ISNUMBER('Procyfloc 956A'!D419),'Procyfloc 956A'!D419,IF(ISNUMBER(SEARCH("12",'Procyfloc 956A'!D419)),EDATE(AB2418,12),IF(ISNUMBER(SEARCH("6",'Procyfloc 956A'!D419)),EDATE(AB2418,6),IF(ISNUMBER(SEARCH("3",'Procyfloc 956A'!D419)),EDATE(AB2418,3),DATEVALUE('Procyfloc 956A'!D419))))),""))</f>
        <v/>
      </c>
      <c r="AM2418" t="str">
        <f t="shared" ca="1" si="244"/>
        <v/>
      </c>
    </row>
    <row r="2419" spans="27:39" x14ac:dyDescent="0.3">
      <c r="AA2419" t="str">
        <f>IF(COUNTA('Procyfloc 956A'!A420,'Procyfloc 956A'!B420,'Procyfloc 956A'!C420)&gt;0,"956A","")</f>
        <v/>
      </c>
      <c r="AB2419" t="str">
        <f>IFERROR(IF(ISNUMBER('Procyfloc 956A'!A420),'Procyfloc 956A'!A420,DATEVALUE('Procyfloc 956A'!A420)),"")</f>
        <v/>
      </c>
      <c r="AC2419" t="str">
        <f>IF(AA2419="","",'Procyfloc 956A'!B420)</f>
        <v/>
      </c>
      <c r="AD2419" t="str">
        <f>IF(AA2419="","",IFERROR(1*'Procyfloc 956A'!C420,IFERROR(_xludf.NUMBERVALUE('Procyfloc 956A'!C420,".",","),IFERROR(_xludf.NUMBERVALUE('Procyfloc 956A'!C420,",","."),0))))</f>
        <v/>
      </c>
      <c r="AE2419" t="str">
        <f>IF(AA2419="","",'Procyfloc 956A'!L420)</f>
        <v/>
      </c>
      <c r="AF2419">
        <f t="shared" si="239"/>
        <v>0</v>
      </c>
      <c r="AG2419" t="str">
        <f t="shared" si="240"/>
        <v/>
      </c>
      <c r="AH2419" t="str">
        <f t="shared" si="241"/>
        <v/>
      </c>
      <c r="AI2419">
        <f t="shared" si="242"/>
        <v>0</v>
      </c>
      <c r="AJ2419">
        <f t="shared" si="243"/>
        <v>0</v>
      </c>
      <c r="AK2419">
        <v>0</v>
      </c>
      <c r="AL2419" t="str">
        <f>IF(AA2419="","",IFERROR(IF(ISNUMBER('Procyfloc 956A'!D420),'Procyfloc 956A'!D420,IF(ISNUMBER(SEARCH("12",'Procyfloc 956A'!D420)),EDATE(AB2419,12),IF(ISNUMBER(SEARCH("6",'Procyfloc 956A'!D420)),EDATE(AB2419,6),IF(ISNUMBER(SEARCH("3",'Procyfloc 956A'!D420)),EDATE(AB2419,3),DATEVALUE('Procyfloc 956A'!D420))))),""))</f>
        <v/>
      </c>
      <c r="AM2419" t="str">
        <f t="shared" ca="1" si="244"/>
        <v/>
      </c>
    </row>
    <row r="2420" spans="27:39" x14ac:dyDescent="0.3">
      <c r="AA2420" t="str">
        <f>IF(COUNTA('Procyfloc 956A'!A421,'Procyfloc 956A'!B421,'Procyfloc 956A'!C421)&gt;0,"956A","")</f>
        <v/>
      </c>
      <c r="AB2420" t="str">
        <f>IFERROR(IF(ISNUMBER('Procyfloc 956A'!A421),'Procyfloc 956A'!A421,DATEVALUE('Procyfloc 956A'!A421)),"")</f>
        <v/>
      </c>
      <c r="AC2420" t="str">
        <f>IF(AA2420="","",'Procyfloc 956A'!B421)</f>
        <v/>
      </c>
      <c r="AD2420" t="str">
        <f>IF(AA2420="","",IFERROR(1*'Procyfloc 956A'!C421,IFERROR(_xludf.NUMBERVALUE('Procyfloc 956A'!C421,".",","),IFERROR(_xludf.NUMBERVALUE('Procyfloc 956A'!C421,",","."),0))))</f>
        <v/>
      </c>
      <c r="AE2420" t="str">
        <f>IF(AA2420="","",'Procyfloc 956A'!L421)</f>
        <v/>
      </c>
      <c r="AF2420">
        <f t="shared" si="239"/>
        <v>0</v>
      </c>
      <c r="AG2420" t="str">
        <f t="shared" si="240"/>
        <v/>
      </c>
      <c r="AH2420" t="str">
        <f t="shared" si="241"/>
        <v/>
      </c>
      <c r="AI2420">
        <f t="shared" si="242"/>
        <v>0</v>
      </c>
      <c r="AJ2420">
        <f t="shared" si="243"/>
        <v>0</v>
      </c>
      <c r="AK2420">
        <v>0</v>
      </c>
      <c r="AL2420" t="str">
        <f>IF(AA2420="","",IFERROR(IF(ISNUMBER('Procyfloc 956A'!D421),'Procyfloc 956A'!D421,IF(ISNUMBER(SEARCH("12",'Procyfloc 956A'!D421)),EDATE(AB2420,12),IF(ISNUMBER(SEARCH("6",'Procyfloc 956A'!D421)),EDATE(AB2420,6),IF(ISNUMBER(SEARCH("3",'Procyfloc 956A'!D421)),EDATE(AB2420,3),DATEVALUE('Procyfloc 956A'!D421))))),""))</f>
        <v/>
      </c>
      <c r="AM2420" t="str">
        <f t="shared" ca="1" si="244"/>
        <v/>
      </c>
    </row>
    <row r="2421" spans="27:39" x14ac:dyDescent="0.3">
      <c r="AA2421" t="str">
        <f>IF(COUNTA('Procyfloc 956A'!A422,'Procyfloc 956A'!B422,'Procyfloc 956A'!C422)&gt;0,"956A","")</f>
        <v/>
      </c>
      <c r="AB2421" t="str">
        <f>IFERROR(IF(ISNUMBER('Procyfloc 956A'!A422),'Procyfloc 956A'!A422,DATEVALUE('Procyfloc 956A'!A422)),"")</f>
        <v/>
      </c>
      <c r="AC2421" t="str">
        <f>IF(AA2421="","",'Procyfloc 956A'!B422)</f>
        <v/>
      </c>
      <c r="AD2421" t="str">
        <f>IF(AA2421="","",IFERROR(1*'Procyfloc 956A'!C422,IFERROR(_xludf.NUMBERVALUE('Procyfloc 956A'!C422,".",","),IFERROR(_xludf.NUMBERVALUE('Procyfloc 956A'!C422,",","."),0))))</f>
        <v/>
      </c>
      <c r="AE2421" t="str">
        <f>IF(AA2421="","",'Procyfloc 956A'!L422)</f>
        <v/>
      </c>
      <c r="AF2421">
        <f t="shared" si="239"/>
        <v>0</v>
      </c>
      <c r="AG2421" t="str">
        <f t="shared" si="240"/>
        <v/>
      </c>
      <c r="AH2421" t="str">
        <f t="shared" si="241"/>
        <v/>
      </c>
      <c r="AI2421">
        <f t="shared" si="242"/>
        <v>0</v>
      </c>
      <c r="AJ2421">
        <f t="shared" si="243"/>
        <v>0</v>
      </c>
      <c r="AK2421">
        <v>0</v>
      </c>
      <c r="AL2421" t="str">
        <f>IF(AA2421="","",IFERROR(IF(ISNUMBER('Procyfloc 956A'!D422),'Procyfloc 956A'!D422,IF(ISNUMBER(SEARCH("12",'Procyfloc 956A'!D422)),EDATE(AB2421,12),IF(ISNUMBER(SEARCH("6",'Procyfloc 956A'!D422)),EDATE(AB2421,6),IF(ISNUMBER(SEARCH("3",'Procyfloc 956A'!D422)),EDATE(AB2421,3),DATEVALUE('Procyfloc 956A'!D422))))),""))</f>
        <v/>
      </c>
      <c r="AM2421" t="str">
        <f t="shared" ca="1" si="244"/>
        <v/>
      </c>
    </row>
    <row r="2422" spans="27:39" x14ac:dyDescent="0.3">
      <c r="AA2422" t="str">
        <f>IF(COUNTA('Procyfloc 956A'!A423,'Procyfloc 956A'!B423,'Procyfloc 956A'!C423)&gt;0,"956A","")</f>
        <v/>
      </c>
      <c r="AB2422" t="str">
        <f>IFERROR(IF(ISNUMBER('Procyfloc 956A'!A423),'Procyfloc 956A'!A423,DATEVALUE('Procyfloc 956A'!A423)),"")</f>
        <v/>
      </c>
      <c r="AC2422" t="str">
        <f>IF(AA2422="","",'Procyfloc 956A'!B423)</f>
        <v/>
      </c>
      <c r="AD2422" t="str">
        <f>IF(AA2422="","",IFERROR(1*'Procyfloc 956A'!C423,IFERROR(_xludf.NUMBERVALUE('Procyfloc 956A'!C423,".",","),IFERROR(_xludf.NUMBERVALUE('Procyfloc 956A'!C423,",","."),0))))</f>
        <v/>
      </c>
      <c r="AE2422" t="str">
        <f>IF(AA2422="","",'Procyfloc 956A'!L423)</f>
        <v/>
      </c>
      <c r="AF2422">
        <f t="shared" si="239"/>
        <v>0</v>
      </c>
      <c r="AG2422" t="str">
        <f t="shared" si="240"/>
        <v/>
      </c>
      <c r="AH2422" t="str">
        <f t="shared" si="241"/>
        <v/>
      </c>
      <c r="AI2422">
        <f t="shared" si="242"/>
        <v>0</v>
      </c>
      <c r="AJ2422">
        <f t="shared" si="243"/>
        <v>0</v>
      </c>
      <c r="AK2422">
        <v>0</v>
      </c>
      <c r="AL2422" t="str">
        <f>IF(AA2422="","",IFERROR(IF(ISNUMBER('Procyfloc 956A'!D423),'Procyfloc 956A'!D423,IF(ISNUMBER(SEARCH("12",'Procyfloc 956A'!D423)),EDATE(AB2422,12),IF(ISNUMBER(SEARCH("6",'Procyfloc 956A'!D423)),EDATE(AB2422,6),IF(ISNUMBER(SEARCH("3",'Procyfloc 956A'!D423)),EDATE(AB2422,3),DATEVALUE('Procyfloc 956A'!D423))))),""))</f>
        <v/>
      </c>
      <c r="AM2422" t="str">
        <f t="shared" ca="1" si="244"/>
        <v/>
      </c>
    </row>
    <row r="2423" spans="27:39" x14ac:dyDescent="0.3">
      <c r="AA2423" t="str">
        <f>IF(COUNTA('Procyfloc 956A'!A424,'Procyfloc 956A'!B424,'Procyfloc 956A'!C424)&gt;0,"956A","")</f>
        <v/>
      </c>
      <c r="AB2423" t="str">
        <f>IFERROR(IF(ISNUMBER('Procyfloc 956A'!A424),'Procyfloc 956A'!A424,DATEVALUE('Procyfloc 956A'!A424)),"")</f>
        <v/>
      </c>
      <c r="AC2423" t="str">
        <f>IF(AA2423="","",'Procyfloc 956A'!B424)</f>
        <v/>
      </c>
      <c r="AD2423" t="str">
        <f>IF(AA2423="","",IFERROR(1*'Procyfloc 956A'!C424,IFERROR(_xludf.NUMBERVALUE('Procyfloc 956A'!C424,".",","),IFERROR(_xludf.NUMBERVALUE('Procyfloc 956A'!C424,",","."),0))))</f>
        <v/>
      </c>
      <c r="AE2423" t="str">
        <f>IF(AA2423="","",'Procyfloc 956A'!L424)</f>
        <v/>
      </c>
      <c r="AF2423">
        <f t="shared" si="239"/>
        <v>0</v>
      </c>
      <c r="AG2423" t="str">
        <f t="shared" si="240"/>
        <v/>
      </c>
      <c r="AH2423" t="str">
        <f t="shared" si="241"/>
        <v/>
      </c>
      <c r="AI2423">
        <f t="shared" si="242"/>
        <v>0</v>
      </c>
      <c r="AJ2423">
        <f t="shared" si="243"/>
        <v>0</v>
      </c>
      <c r="AK2423">
        <v>0</v>
      </c>
      <c r="AL2423" t="str">
        <f>IF(AA2423="","",IFERROR(IF(ISNUMBER('Procyfloc 956A'!D424),'Procyfloc 956A'!D424,IF(ISNUMBER(SEARCH("12",'Procyfloc 956A'!D424)),EDATE(AB2423,12),IF(ISNUMBER(SEARCH("6",'Procyfloc 956A'!D424)),EDATE(AB2423,6),IF(ISNUMBER(SEARCH("3",'Procyfloc 956A'!D424)),EDATE(AB2423,3),DATEVALUE('Procyfloc 956A'!D424))))),""))</f>
        <v/>
      </c>
      <c r="AM2423" t="str">
        <f t="shared" ca="1" si="244"/>
        <v/>
      </c>
    </row>
    <row r="2424" spans="27:39" x14ac:dyDescent="0.3">
      <c r="AA2424" t="str">
        <f>IF(COUNTA('Procyfloc 956A'!A425,'Procyfloc 956A'!B425,'Procyfloc 956A'!C425)&gt;0,"956A","")</f>
        <v/>
      </c>
      <c r="AB2424" t="str">
        <f>IFERROR(IF(ISNUMBER('Procyfloc 956A'!A425),'Procyfloc 956A'!A425,DATEVALUE('Procyfloc 956A'!A425)),"")</f>
        <v/>
      </c>
      <c r="AC2424" t="str">
        <f>IF(AA2424="","",'Procyfloc 956A'!B425)</f>
        <v/>
      </c>
      <c r="AD2424" t="str">
        <f>IF(AA2424="","",IFERROR(1*'Procyfloc 956A'!C425,IFERROR(_xludf.NUMBERVALUE('Procyfloc 956A'!C425,".",","),IFERROR(_xludf.NUMBERVALUE('Procyfloc 956A'!C425,",","."),0))))</f>
        <v/>
      </c>
      <c r="AE2424" t="str">
        <f>IF(AA2424="","",'Procyfloc 956A'!L425)</f>
        <v/>
      </c>
      <c r="AF2424">
        <f t="shared" si="239"/>
        <v>0</v>
      </c>
      <c r="AG2424" t="str">
        <f t="shared" si="240"/>
        <v/>
      </c>
      <c r="AH2424" t="str">
        <f t="shared" si="241"/>
        <v/>
      </c>
      <c r="AI2424">
        <f t="shared" si="242"/>
        <v>0</v>
      </c>
      <c r="AJ2424">
        <f t="shared" si="243"/>
        <v>0</v>
      </c>
      <c r="AK2424">
        <v>0</v>
      </c>
      <c r="AL2424" t="str">
        <f>IF(AA2424="","",IFERROR(IF(ISNUMBER('Procyfloc 956A'!D425),'Procyfloc 956A'!D425,IF(ISNUMBER(SEARCH("12",'Procyfloc 956A'!D425)),EDATE(AB2424,12),IF(ISNUMBER(SEARCH("6",'Procyfloc 956A'!D425)),EDATE(AB2424,6),IF(ISNUMBER(SEARCH("3",'Procyfloc 956A'!D425)),EDATE(AB2424,3),DATEVALUE('Procyfloc 956A'!D425))))),""))</f>
        <v/>
      </c>
      <c r="AM2424" t="str">
        <f t="shared" ca="1" si="244"/>
        <v/>
      </c>
    </row>
    <row r="2425" spans="27:39" x14ac:dyDescent="0.3">
      <c r="AA2425" t="str">
        <f>IF(COUNTA('Procyfloc 956A'!A426,'Procyfloc 956A'!B426,'Procyfloc 956A'!C426)&gt;0,"956A","")</f>
        <v/>
      </c>
      <c r="AB2425" t="str">
        <f>IFERROR(IF(ISNUMBER('Procyfloc 956A'!A426),'Procyfloc 956A'!A426,DATEVALUE('Procyfloc 956A'!A426)),"")</f>
        <v/>
      </c>
      <c r="AC2425" t="str">
        <f>IF(AA2425="","",'Procyfloc 956A'!B426)</f>
        <v/>
      </c>
      <c r="AD2425" t="str">
        <f>IF(AA2425="","",IFERROR(1*'Procyfloc 956A'!C426,IFERROR(_xludf.NUMBERVALUE('Procyfloc 956A'!C426,".",","),IFERROR(_xludf.NUMBERVALUE('Procyfloc 956A'!C426,",","."),0))))</f>
        <v/>
      </c>
      <c r="AE2425" t="str">
        <f>IF(AA2425="","",'Procyfloc 956A'!L426)</f>
        <v/>
      </c>
      <c r="AF2425">
        <f t="shared" si="239"/>
        <v>0</v>
      </c>
      <c r="AG2425" t="str">
        <f t="shared" si="240"/>
        <v/>
      </c>
      <c r="AH2425" t="str">
        <f t="shared" si="241"/>
        <v/>
      </c>
      <c r="AI2425">
        <f t="shared" si="242"/>
        <v>0</v>
      </c>
      <c r="AJ2425">
        <f t="shared" si="243"/>
        <v>0</v>
      </c>
      <c r="AK2425">
        <v>0</v>
      </c>
      <c r="AL2425" t="str">
        <f>IF(AA2425="","",IFERROR(IF(ISNUMBER('Procyfloc 956A'!D426),'Procyfloc 956A'!D426,IF(ISNUMBER(SEARCH("12",'Procyfloc 956A'!D426)),EDATE(AB2425,12),IF(ISNUMBER(SEARCH("6",'Procyfloc 956A'!D426)),EDATE(AB2425,6),IF(ISNUMBER(SEARCH("3",'Procyfloc 956A'!D426)),EDATE(AB2425,3),DATEVALUE('Procyfloc 956A'!D426))))),""))</f>
        <v/>
      </c>
      <c r="AM2425" t="str">
        <f t="shared" ca="1" si="244"/>
        <v/>
      </c>
    </row>
    <row r="2426" spans="27:39" x14ac:dyDescent="0.3">
      <c r="AA2426" t="str">
        <f>IF(COUNTA('Procyfloc 956A'!A427,'Procyfloc 956A'!B427,'Procyfloc 956A'!C427)&gt;0,"956A","")</f>
        <v/>
      </c>
      <c r="AB2426" t="str">
        <f>IFERROR(IF(ISNUMBER('Procyfloc 956A'!A427),'Procyfloc 956A'!A427,DATEVALUE('Procyfloc 956A'!A427)),"")</f>
        <v/>
      </c>
      <c r="AC2426" t="str">
        <f>IF(AA2426="","",'Procyfloc 956A'!B427)</f>
        <v/>
      </c>
      <c r="AD2426" t="str">
        <f>IF(AA2426="","",IFERROR(1*'Procyfloc 956A'!C427,IFERROR(_xludf.NUMBERVALUE('Procyfloc 956A'!C427,".",","),IFERROR(_xludf.NUMBERVALUE('Procyfloc 956A'!C427,",","."),0))))</f>
        <v/>
      </c>
      <c r="AE2426" t="str">
        <f>IF(AA2426="","",'Procyfloc 956A'!L427)</f>
        <v/>
      </c>
      <c r="AF2426">
        <f t="shared" si="239"/>
        <v>0</v>
      </c>
      <c r="AG2426" t="str">
        <f t="shared" si="240"/>
        <v/>
      </c>
      <c r="AH2426" t="str">
        <f t="shared" si="241"/>
        <v/>
      </c>
      <c r="AI2426">
        <f t="shared" si="242"/>
        <v>0</v>
      </c>
      <c r="AJ2426">
        <f t="shared" si="243"/>
        <v>0</v>
      </c>
      <c r="AK2426">
        <v>0</v>
      </c>
      <c r="AL2426" t="str">
        <f>IF(AA2426="","",IFERROR(IF(ISNUMBER('Procyfloc 956A'!D427),'Procyfloc 956A'!D427,IF(ISNUMBER(SEARCH("12",'Procyfloc 956A'!D427)),EDATE(AB2426,12),IF(ISNUMBER(SEARCH("6",'Procyfloc 956A'!D427)),EDATE(AB2426,6),IF(ISNUMBER(SEARCH("3",'Procyfloc 956A'!D427)),EDATE(AB2426,3),DATEVALUE('Procyfloc 956A'!D427))))),""))</f>
        <v/>
      </c>
      <c r="AM2426" t="str">
        <f t="shared" ca="1" si="244"/>
        <v/>
      </c>
    </row>
    <row r="2427" spans="27:39" x14ac:dyDescent="0.3">
      <c r="AA2427" t="str">
        <f>IF(COUNTA('Procyfloc 956A'!A428,'Procyfloc 956A'!B428,'Procyfloc 956A'!C428)&gt;0,"956A","")</f>
        <v/>
      </c>
      <c r="AB2427" t="str">
        <f>IFERROR(IF(ISNUMBER('Procyfloc 956A'!A428),'Procyfloc 956A'!A428,DATEVALUE('Procyfloc 956A'!A428)),"")</f>
        <v/>
      </c>
      <c r="AC2427" t="str">
        <f>IF(AA2427="","",'Procyfloc 956A'!B428)</f>
        <v/>
      </c>
      <c r="AD2427" t="str">
        <f>IF(AA2427="","",IFERROR(1*'Procyfloc 956A'!C428,IFERROR(_xludf.NUMBERVALUE('Procyfloc 956A'!C428,".",","),IFERROR(_xludf.NUMBERVALUE('Procyfloc 956A'!C428,",","."),0))))</f>
        <v/>
      </c>
      <c r="AE2427" t="str">
        <f>IF(AA2427="","",'Procyfloc 956A'!L428)</f>
        <v/>
      </c>
      <c r="AF2427">
        <f t="shared" si="239"/>
        <v>0</v>
      </c>
      <c r="AG2427" t="str">
        <f t="shared" si="240"/>
        <v/>
      </c>
      <c r="AH2427" t="str">
        <f t="shared" si="241"/>
        <v/>
      </c>
      <c r="AI2427">
        <f t="shared" si="242"/>
        <v>0</v>
      </c>
      <c r="AJ2427">
        <f t="shared" si="243"/>
        <v>0</v>
      </c>
      <c r="AK2427">
        <v>0</v>
      </c>
      <c r="AL2427" t="str">
        <f>IF(AA2427="","",IFERROR(IF(ISNUMBER('Procyfloc 956A'!D428),'Procyfloc 956A'!D428,IF(ISNUMBER(SEARCH("12",'Procyfloc 956A'!D428)),EDATE(AB2427,12),IF(ISNUMBER(SEARCH("6",'Procyfloc 956A'!D428)),EDATE(AB2427,6),IF(ISNUMBER(SEARCH("3",'Procyfloc 956A'!D428)),EDATE(AB2427,3),DATEVALUE('Procyfloc 956A'!D428))))),""))</f>
        <v/>
      </c>
      <c r="AM2427" t="str">
        <f t="shared" ca="1" si="244"/>
        <v/>
      </c>
    </row>
    <row r="2428" spans="27:39" x14ac:dyDescent="0.3">
      <c r="AA2428" t="str">
        <f>IF(COUNTA('Procyfloc 956A'!A429,'Procyfloc 956A'!B429,'Procyfloc 956A'!C429)&gt;0,"956A","")</f>
        <v/>
      </c>
      <c r="AB2428" t="str">
        <f>IFERROR(IF(ISNUMBER('Procyfloc 956A'!A429),'Procyfloc 956A'!A429,DATEVALUE('Procyfloc 956A'!A429)),"")</f>
        <v/>
      </c>
      <c r="AC2428" t="str">
        <f>IF(AA2428="","",'Procyfloc 956A'!B429)</f>
        <v/>
      </c>
      <c r="AD2428" t="str">
        <f>IF(AA2428="","",IFERROR(1*'Procyfloc 956A'!C429,IFERROR(_xludf.NUMBERVALUE('Procyfloc 956A'!C429,".",","),IFERROR(_xludf.NUMBERVALUE('Procyfloc 956A'!C429,",","."),0))))</f>
        <v/>
      </c>
      <c r="AE2428" t="str">
        <f>IF(AA2428="","",'Procyfloc 956A'!L429)</f>
        <v/>
      </c>
      <c r="AF2428">
        <f t="shared" si="239"/>
        <v>0</v>
      </c>
      <c r="AG2428" t="str">
        <f t="shared" si="240"/>
        <v/>
      </c>
      <c r="AH2428" t="str">
        <f t="shared" si="241"/>
        <v/>
      </c>
      <c r="AI2428">
        <f t="shared" si="242"/>
        <v>0</v>
      </c>
      <c r="AJ2428">
        <f t="shared" si="243"/>
        <v>0</v>
      </c>
      <c r="AK2428">
        <v>0</v>
      </c>
      <c r="AL2428" t="str">
        <f>IF(AA2428="","",IFERROR(IF(ISNUMBER('Procyfloc 956A'!D429),'Procyfloc 956A'!D429,IF(ISNUMBER(SEARCH("12",'Procyfloc 956A'!D429)),EDATE(AB2428,12),IF(ISNUMBER(SEARCH("6",'Procyfloc 956A'!D429)),EDATE(AB2428,6),IF(ISNUMBER(SEARCH("3",'Procyfloc 956A'!D429)),EDATE(AB2428,3),DATEVALUE('Procyfloc 956A'!D429))))),""))</f>
        <v/>
      </c>
      <c r="AM2428" t="str">
        <f t="shared" ca="1" si="244"/>
        <v/>
      </c>
    </row>
    <row r="2429" spans="27:39" x14ac:dyDescent="0.3">
      <c r="AA2429" t="str">
        <f>IF(COUNTA('Procyfloc 956A'!A430,'Procyfloc 956A'!B430,'Procyfloc 956A'!C430)&gt;0,"956A","")</f>
        <v/>
      </c>
      <c r="AB2429" t="str">
        <f>IFERROR(IF(ISNUMBER('Procyfloc 956A'!A430),'Procyfloc 956A'!A430,DATEVALUE('Procyfloc 956A'!A430)),"")</f>
        <v/>
      </c>
      <c r="AC2429" t="str">
        <f>IF(AA2429="","",'Procyfloc 956A'!B430)</f>
        <v/>
      </c>
      <c r="AD2429" t="str">
        <f>IF(AA2429="","",IFERROR(1*'Procyfloc 956A'!C430,IFERROR(_xludf.NUMBERVALUE('Procyfloc 956A'!C430,".",","),IFERROR(_xludf.NUMBERVALUE('Procyfloc 956A'!C430,",","."),0))))</f>
        <v/>
      </c>
      <c r="AE2429" t="str">
        <f>IF(AA2429="","",'Procyfloc 956A'!L430)</f>
        <v/>
      </c>
      <c r="AF2429">
        <f t="shared" si="239"/>
        <v>0</v>
      </c>
      <c r="AG2429" t="str">
        <f t="shared" si="240"/>
        <v/>
      </c>
      <c r="AH2429" t="str">
        <f t="shared" si="241"/>
        <v/>
      </c>
      <c r="AI2429">
        <f t="shared" si="242"/>
        <v>0</v>
      </c>
      <c r="AJ2429">
        <f t="shared" si="243"/>
        <v>0</v>
      </c>
      <c r="AK2429">
        <v>0</v>
      </c>
      <c r="AL2429" t="str">
        <f>IF(AA2429="","",IFERROR(IF(ISNUMBER('Procyfloc 956A'!D430),'Procyfloc 956A'!D430,IF(ISNUMBER(SEARCH("12",'Procyfloc 956A'!D430)),EDATE(AB2429,12),IF(ISNUMBER(SEARCH("6",'Procyfloc 956A'!D430)),EDATE(AB2429,6),IF(ISNUMBER(SEARCH("3",'Procyfloc 956A'!D430)),EDATE(AB2429,3),DATEVALUE('Procyfloc 956A'!D430))))),""))</f>
        <v/>
      </c>
      <c r="AM2429" t="str">
        <f t="shared" ca="1" si="244"/>
        <v/>
      </c>
    </row>
    <row r="2430" spans="27:39" x14ac:dyDescent="0.3">
      <c r="AA2430" t="str">
        <f>IF(COUNTA('Procyfloc 956A'!A431,'Procyfloc 956A'!B431,'Procyfloc 956A'!C431)&gt;0,"956A","")</f>
        <v/>
      </c>
      <c r="AB2430" t="str">
        <f>IFERROR(IF(ISNUMBER('Procyfloc 956A'!A431),'Procyfloc 956A'!A431,DATEVALUE('Procyfloc 956A'!A431)),"")</f>
        <v/>
      </c>
      <c r="AC2430" t="str">
        <f>IF(AA2430="","",'Procyfloc 956A'!B431)</f>
        <v/>
      </c>
      <c r="AD2430" t="str">
        <f>IF(AA2430="","",IFERROR(1*'Procyfloc 956A'!C431,IFERROR(_xludf.NUMBERVALUE('Procyfloc 956A'!C431,".",","),IFERROR(_xludf.NUMBERVALUE('Procyfloc 956A'!C431,",","."),0))))</f>
        <v/>
      </c>
      <c r="AE2430" t="str">
        <f>IF(AA2430="","",'Procyfloc 956A'!L431)</f>
        <v/>
      </c>
      <c r="AF2430">
        <f t="shared" si="239"/>
        <v>0</v>
      </c>
      <c r="AG2430" t="str">
        <f t="shared" si="240"/>
        <v/>
      </c>
      <c r="AH2430" t="str">
        <f t="shared" si="241"/>
        <v/>
      </c>
      <c r="AI2430">
        <f t="shared" si="242"/>
        <v>0</v>
      </c>
      <c r="AJ2430">
        <f t="shared" si="243"/>
        <v>0</v>
      </c>
      <c r="AK2430">
        <v>0</v>
      </c>
      <c r="AL2430" t="str">
        <f>IF(AA2430="","",IFERROR(IF(ISNUMBER('Procyfloc 956A'!D431),'Procyfloc 956A'!D431,IF(ISNUMBER(SEARCH("12",'Procyfloc 956A'!D431)),EDATE(AB2430,12),IF(ISNUMBER(SEARCH("6",'Procyfloc 956A'!D431)),EDATE(AB2430,6),IF(ISNUMBER(SEARCH("3",'Procyfloc 956A'!D431)),EDATE(AB2430,3),DATEVALUE('Procyfloc 956A'!D431))))),""))</f>
        <v/>
      </c>
      <c r="AM2430" t="str">
        <f t="shared" ca="1" si="244"/>
        <v/>
      </c>
    </row>
    <row r="2431" spans="27:39" x14ac:dyDescent="0.3">
      <c r="AA2431" t="str">
        <f>IF(COUNTA('Procyfloc 956A'!A432,'Procyfloc 956A'!B432,'Procyfloc 956A'!C432)&gt;0,"956A","")</f>
        <v/>
      </c>
      <c r="AB2431" t="str">
        <f>IFERROR(IF(ISNUMBER('Procyfloc 956A'!A432),'Procyfloc 956A'!A432,DATEVALUE('Procyfloc 956A'!A432)),"")</f>
        <v/>
      </c>
      <c r="AC2431" t="str">
        <f>IF(AA2431="","",'Procyfloc 956A'!B432)</f>
        <v/>
      </c>
      <c r="AD2431" t="str">
        <f>IF(AA2431="","",IFERROR(1*'Procyfloc 956A'!C432,IFERROR(_xludf.NUMBERVALUE('Procyfloc 956A'!C432,".",","),IFERROR(_xludf.NUMBERVALUE('Procyfloc 956A'!C432,",","."),0))))</f>
        <v/>
      </c>
      <c r="AE2431" t="str">
        <f>IF(AA2431="","",'Procyfloc 956A'!L432)</f>
        <v/>
      </c>
      <c r="AF2431">
        <f t="shared" si="239"/>
        <v>0</v>
      </c>
      <c r="AG2431" t="str">
        <f t="shared" si="240"/>
        <v/>
      </c>
      <c r="AH2431" t="str">
        <f t="shared" si="241"/>
        <v/>
      </c>
      <c r="AI2431">
        <f t="shared" si="242"/>
        <v>0</v>
      </c>
      <c r="AJ2431">
        <f t="shared" si="243"/>
        <v>0</v>
      </c>
      <c r="AK2431">
        <v>0</v>
      </c>
      <c r="AL2431" t="str">
        <f>IF(AA2431="","",IFERROR(IF(ISNUMBER('Procyfloc 956A'!D432),'Procyfloc 956A'!D432,IF(ISNUMBER(SEARCH("12",'Procyfloc 956A'!D432)),EDATE(AB2431,12),IF(ISNUMBER(SEARCH("6",'Procyfloc 956A'!D432)),EDATE(AB2431,6),IF(ISNUMBER(SEARCH("3",'Procyfloc 956A'!D432)),EDATE(AB2431,3),DATEVALUE('Procyfloc 956A'!D432))))),""))</f>
        <v/>
      </c>
      <c r="AM2431" t="str">
        <f t="shared" ca="1" si="244"/>
        <v/>
      </c>
    </row>
    <row r="2432" spans="27:39" x14ac:dyDescent="0.3">
      <c r="AA2432" t="str">
        <f>IF(COUNTA('Procyfloc 956A'!A433,'Procyfloc 956A'!B433,'Procyfloc 956A'!C433)&gt;0,"956A","")</f>
        <v/>
      </c>
      <c r="AB2432" t="str">
        <f>IFERROR(IF(ISNUMBER('Procyfloc 956A'!A433),'Procyfloc 956A'!A433,DATEVALUE('Procyfloc 956A'!A433)),"")</f>
        <v/>
      </c>
      <c r="AC2432" t="str">
        <f>IF(AA2432="","",'Procyfloc 956A'!B433)</f>
        <v/>
      </c>
      <c r="AD2432" t="str">
        <f>IF(AA2432="","",IFERROR(1*'Procyfloc 956A'!C433,IFERROR(_xludf.NUMBERVALUE('Procyfloc 956A'!C433,".",","),IFERROR(_xludf.NUMBERVALUE('Procyfloc 956A'!C433,",","."),0))))</f>
        <v/>
      </c>
      <c r="AE2432" t="str">
        <f>IF(AA2432="","",'Procyfloc 956A'!L433)</f>
        <v/>
      </c>
      <c r="AF2432">
        <f t="shared" si="239"/>
        <v>0</v>
      </c>
      <c r="AG2432" t="str">
        <f t="shared" si="240"/>
        <v/>
      </c>
      <c r="AH2432" t="str">
        <f t="shared" si="241"/>
        <v/>
      </c>
      <c r="AI2432">
        <f t="shared" si="242"/>
        <v>0</v>
      </c>
      <c r="AJ2432">
        <f t="shared" si="243"/>
        <v>0</v>
      </c>
      <c r="AK2432">
        <v>0</v>
      </c>
      <c r="AL2432" t="str">
        <f>IF(AA2432="","",IFERROR(IF(ISNUMBER('Procyfloc 956A'!D433),'Procyfloc 956A'!D433,IF(ISNUMBER(SEARCH("12",'Procyfloc 956A'!D433)),EDATE(AB2432,12),IF(ISNUMBER(SEARCH("6",'Procyfloc 956A'!D433)),EDATE(AB2432,6),IF(ISNUMBER(SEARCH("3",'Procyfloc 956A'!D433)),EDATE(AB2432,3),DATEVALUE('Procyfloc 956A'!D433))))),""))</f>
        <v/>
      </c>
      <c r="AM2432" t="str">
        <f t="shared" ca="1" si="244"/>
        <v/>
      </c>
    </row>
    <row r="2433" spans="27:39" x14ac:dyDescent="0.3">
      <c r="AA2433" t="str">
        <f>IF(COUNTA('Procyfloc 956A'!A434,'Procyfloc 956A'!B434,'Procyfloc 956A'!C434)&gt;0,"956A","")</f>
        <v/>
      </c>
      <c r="AB2433" t="str">
        <f>IFERROR(IF(ISNUMBER('Procyfloc 956A'!A434),'Procyfloc 956A'!A434,DATEVALUE('Procyfloc 956A'!A434)),"")</f>
        <v/>
      </c>
      <c r="AC2433" t="str">
        <f>IF(AA2433="","",'Procyfloc 956A'!B434)</f>
        <v/>
      </c>
      <c r="AD2433" t="str">
        <f>IF(AA2433="","",IFERROR(1*'Procyfloc 956A'!C434,IFERROR(_xludf.NUMBERVALUE('Procyfloc 956A'!C434,".",","),IFERROR(_xludf.NUMBERVALUE('Procyfloc 956A'!C434,",","."),0))))</f>
        <v/>
      </c>
      <c r="AE2433" t="str">
        <f>IF(AA2433="","",'Procyfloc 956A'!L434)</f>
        <v/>
      </c>
      <c r="AF2433">
        <f t="shared" si="239"/>
        <v>0</v>
      </c>
      <c r="AG2433" t="str">
        <f t="shared" si="240"/>
        <v/>
      </c>
      <c r="AH2433" t="str">
        <f t="shared" si="241"/>
        <v/>
      </c>
      <c r="AI2433">
        <f t="shared" si="242"/>
        <v>0</v>
      </c>
      <c r="AJ2433">
        <f t="shared" si="243"/>
        <v>0</v>
      </c>
      <c r="AK2433">
        <v>0</v>
      </c>
      <c r="AL2433" t="str">
        <f>IF(AA2433="","",IFERROR(IF(ISNUMBER('Procyfloc 956A'!D434),'Procyfloc 956A'!D434,IF(ISNUMBER(SEARCH("12",'Procyfloc 956A'!D434)),EDATE(AB2433,12),IF(ISNUMBER(SEARCH("6",'Procyfloc 956A'!D434)),EDATE(AB2433,6),IF(ISNUMBER(SEARCH("3",'Procyfloc 956A'!D434)),EDATE(AB2433,3),DATEVALUE('Procyfloc 956A'!D434))))),""))</f>
        <v/>
      </c>
      <c r="AM2433" t="str">
        <f t="shared" ca="1" si="244"/>
        <v/>
      </c>
    </row>
    <row r="2434" spans="27:39" x14ac:dyDescent="0.3">
      <c r="AA2434" t="str">
        <f>IF(COUNTA('Procyfloc 956A'!A435,'Procyfloc 956A'!B435,'Procyfloc 956A'!C435)&gt;0,"956A","")</f>
        <v/>
      </c>
      <c r="AB2434" t="str">
        <f>IFERROR(IF(ISNUMBER('Procyfloc 956A'!A435),'Procyfloc 956A'!A435,DATEVALUE('Procyfloc 956A'!A435)),"")</f>
        <v/>
      </c>
      <c r="AC2434" t="str">
        <f>IF(AA2434="","",'Procyfloc 956A'!B435)</f>
        <v/>
      </c>
      <c r="AD2434" t="str">
        <f>IF(AA2434="","",IFERROR(1*'Procyfloc 956A'!C435,IFERROR(_xludf.NUMBERVALUE('Procyfloc 956A'!C435,".",","),IFERROR(_xludf.NUMBERVALUE('Procyfloc 956A'!C435,",","."),0))))</f>
        <v/>
      </c>
      <c r="AE2434" t="str">
        <f>IF(AA2434="","",'Procyfloc 956A'!L435)</f>
        <v/>
      </c>
      <c r="AF2434">
        <f t="shared" ref="AF2434:AF2497" si="245">IF(AA2434="",0,--AND(ISNUMBER(SEARCH("aprov",AE2434)),NOT(ISNUMBER(SEARCH("reprov",AE2434)))))</f>
        <v>0</v>
      </c>
      <c r="AG2434" t="str">
        <f t="shared" ref="AG2434:AG2497" si="246">IF(AB2434="","",YEAR(AB2434))</f>
        <v/>
      </c>
      <c r="AH2434" t="str">
        <f t="shared" ref="AH2434:AH2497" si="247">IF(AB2434="","",MONTH(AB2434))</f>
        <v/>
      </c>
      <c r="AI2434">
        <f t="shared" ref="AI2434:AI2497" si="248">IF(AB2434="",0,AB2434+ROW()/1000000)</f>
        <v>0</v>
      </c>
      <c r="AJ2434">
        <f t="shared" ref="AJ2434:AJ2497" si="249">--(AA2434&lt;&gt;"")</f>
        <v>0</v>
      </c>
      <c r="AK2434">
        <v>0</v>
      </c>
      <c r="AL2434" t="str">
        <f>IF(AA2434="","",IFERROR(IF(ISNUMBER('Procyfloc 956A'!D435),'Procyfloc 956A'!D435,IF(ISNUMBER(SEARCH("12",'Procyfloc 956A'!D435)),EDATE(AB2434,12),IF(ISNUMBER(SEARCH("6",'Procyfloc 956A'!D435)),EDATE(AB2434,6),IF(ISNUMBER(SEARCH("3",'Procyfloc 956A'!D435)),EDATE(AB2434,3),DATEVALUE('Procyfloc 956A'!D435))))),""))</f>
        <v/>
      </c>
      <c r="AM2434" t="str">
        <f t="shared" ref="AM2434:AM2497" ca="1" si="250">IF(AND(AJ2434=1,AL2434&lt;&gt;"",AL2434&gt;=TODAY(),AG2434=$W$3),AL2434+ROW()/1000000,"")</f>
        <v/>
      </c>
    </row>
    <row r="2435" spans="27:39" x14ac:dyDescent="0.3">
      <c r="AA2435" t="str">
        <f>IF(COUNTA('Procyfloc 956A'!A436,'Procyfloc 956A'!B436,'Procyfloc 956A'!C436)&gt;0,"956A","")</f>
        <v/>
      </c>
      <c r="AB2435" t="str">
        <f>IFERROR(IF(ISNUMBER('Procyfloc 956A'!A436),'Procyfloc 956A'!A436,DATEVALUE('Procyfloc 956A'!A436)),"")</f>
        <v/>
      </c>
      <c r="AC2435" t="str">
        <f>IF(AA2435="","",'Procyfloc 956A'!B436)</f>
        <v/>
      </c>
      <c r="AD2435" t="str">
        <f>IF(AA2435="","",IFERROR(1*'Procyfloc 956A'!C436,IFERROR(_xludf.NUMBERVALUE('Procyfloc 956A'!C436,".",","),IFERROR(_xludf.NUMBERVALUE('Procyfloc 956A'!C436,",","."),0))))</f>
        <v/>
      </c>
      <c r="AE2435" t="str">
        <f>IF(AA2435="","",'Procyfloc 956A'!L436)</f>
        <v/>
      </c>
      <c r="AF2435">
        <f t="shared" si="245"/>
        <v>0</v>
      </c>
      <c r="AG2435" t="str">
        <f t="shared" si="246"/>
        <v/>
      </c>
      <c r="AH2435" t="str">
        <f t="shared" si="247"/>
        <v/>
      </c>
      <c r="AI2435">
        <f t="shared" si="248"/>
        <v>0</v>
      </c>
      <c r="AJ2435">
        <f t="shared" si="249"/>
        <v>0</v>
      </c>
      <c r="AK2435">
        <v>0</v>
      </c>
      <c r="AL2435" t="str">
        <f>IF(AA2435="","",IFERROR(IF(ISNUMBER('Procyfloc 956A'!D436),'Procyfloc 956A'!D436,IF(ISNUMBER(SEARCH("12",'Procyfloc 956A'!D436)),EDATE(AB2435,12),IF(ISNUMBER(SEARCH("6",'Procyfloc 956A'!D436)),EDATE(AB2435,6),IF(ISNUMBER(SEARCH("3",'Procyfloc 956A'!D436)),EDATE(AB2435,3),DATEVALUE('Procyfloc 956A'!D436))))),""))</f>
        <v/>
      </c>
      <c r="AM2435" t="str">
        <f t="shared" ca="1" si="250"/>
        <v/>
      </c>
    </row>
    <row r="2436" spans="27:39" x14ac:dyDescent="0.3">
      <c r="AA2436" t="str">
        <f>IF(COUNTA('Procyfloc 956A'!A437,'Procyfloc 956A'!B437,'Procyfloc 956A'!C437)&gt;0,"956A","")</f>
        <v/>
      </c>
      <c r="AB2436" t="str">
        <f>IFERROR(IF(ISNUMBER('Procyfloc 956A'!A437),'Procyfloc 956A'!A437,DATEVALUE('Procyfloc 956A'!A437)),"")</f>
        <v/>
      </c>
      <c r="AC2436" t="str">
        <f>IF(AA2436="","",'Procyfloc 956A'!B437)</f>
        <v/>
      </c>
      <c r="AD2436" t="str">
        <f>IF(AA2436="","",IFERROR(1*'Procyfloc 956A'!C437,IFERROR(_xludf.NUMBERVALUE('Procyfloc 956A'!C437,".",","),IFERROR(_xludf.NUMBERVALUE('Procyfloc 956A'!C437,",","."),0))))</f>
        <v/>
      </c>
      <c r="AE2436" t="str">
        <f>IF(AA2436="","",'Procyfloc 956A'!L437)</f>
        <v/>
      </c>
      <c r="AF2436">
        <f t="shared" si="245"/>
        <v>0</v>
      </c>
      <c r="AG2436" t="str">
        <f t="shared" si="246"/>
        <v/>
      </c>
      <c r="AH2436" t="str">
        <f t="shared" si="247"/>
        <v/>
      </c>
      <c r="AI2436">
        <f t="shared" si="248"/>
        <v>0</v>
      </c>
      <c r="AJ2436">
        <f t="shared" si="249"/>
        <v>0</v>
      </c>
      <c r="AK2436">
        <v>0</v>
      </c>
      <c r="AL2436" t="str">
        <f>IF(AA2436="","",IFERROR(IF(ISNUMBER('Procyfloc 956A'!D437),'Procyfloc 956A'!D437,IF(ISNUMBER(SEARCH("12",'Procyfloc 956A'!D437)),EDATE(AB2436,12),IF(ISNUMBER(SEARCH("6",'Procyfloc 956A'!D437)),EDATE(AB2436,6),IF(ISNUMBER(SEARCH("3",'Procyfloc 956A'!D437)),EDATE(AB2436,3),DATEVALUE('Procyfloc 956A'!D437))))),""))</f>
        <v/>
      </c>
      <c r="AM2436" t="str">
        <f t="shared" ca="1" si="250"/>
        <v/>
      </c>
    </row>
    <row r="2437" spans="27:39" x14ac:dyDescent="0.3">
      <c r="AA2437" t="str">
        <f>IF(COUNTA('Procyfloc 956A'!A438,'Procyfloc 956A'!B438,'Procyfloc 956A'!C438)&gt;0,"956A","")</f>
        <v/>
      </c>
      <c r="AB2437" t="str">
        <f>IFERROR(IF(ISNUMBER('Procyfloc 956A'!A438),'Procyfloc 956A'!A438,DATEVALUE('Procyfloc 956A'!A438)),"")</f>
        <v/>
      </c>
      <c r="AC2437" t="str">
        <f>IF(AA2437="","",'Procyfloc 956A'!B438)</f>
        <v/>
      </c>
      <c r="AD2437" t="str">
        <f>IF(AA2437="","",IFERROR(1*'Procyfloc 956A'!C438,IFERROR(_xludf.NUMBERVALUE('Procyfloc 956A'!C438,".",","),IFERROR(_xludf.NUMBERVALUE('Procyfloc 956A'!C438,",","."),0))))</f>
        <v/>
      </c>
      <c r="AE2437" t="str">
        <f>IF(AA2437="","",'Procyfloc 956A'!L438)</f>
        <v/>
      </c>
      <c r="AF2437">
        <f t="shared" si="245"/>
        <v>0</v>
      </c>
      <c r="AG2437" t="str">
        <f t="shared" si="246"/>
        <v/>
      </c>
      <c r="AH2437" t="str">
        <f t="shared" si="247"/>
        <v/>
      </c>
      <c r="AI2437">
        <f t="shared" si="248"/>
        <v>0</v>
      </c>
      <c r="AJ2437">
        <f t="shared" si="249"/>
        <v>0</v>
      </c>
      <c r="AK2437">
        <v>0</v>
      </c>
      <c r="AL2437" t="str">
        <f>IF(AA2437="","",IFERROR(IF(ISNUMBER('Procyfloc 956A'!D438),'Procyfloc 956A'!D438,IF(ISNUMBER(SEARCH("12",'Procyfloc 956A'!D438)),EDATE(AB2437,12),IF(ISNUMBER(SEARCH("6",'Procyfloc 956A'!D438)),EDATE(AB2437,6),IF(ISNUMBER(SEARCH("3",'Procyfloc 956A'!D438)),EDATE(AB2437,3),DATEVALUE('Procyfloc 956A'!D438))))),""))</f>
        <v/>
      </c>
      <c r="AM2437" t="str">
        <f t="shared" ca="1" si="250"/>
        <v/>
      </c>
    </row>
    <row r="2438" spans="27:39" x14ac:dyDescent="0.3">
      <c r="AA2438" t="str">
        <f>IF(COUNTA('Procyfloc 956A'!A439,'Procyfloc 956A'!B439,'Procyfloc 956A'!C439)&gt;0,"956A","")</f>
        <v/>
      </c>
      <c r="AB2438" t="str">
        <f>IFERROR(IF(ISNUMBER('Procyfloc 956A'!A439),'Procyfloc 956A'!A439,DATEVALUE('Procyfloc 956A'!A439)),"")</f>
        <v/>
      </c>
      <c r="AC2438" t="str">
        <f>IF(AA2438="","",'Procyfloc 956A'!B439)</f>
        <v/>
      </c>
      <c r="AD2438" t="str">
        <f>IF(AA2438="","",IFERROR(1*'Procyfloc 956A'!C439,IFERROR(_xludf.NUMBERVALUE('Procyfloc 956A'!C439,".",","),IFERROR(_xludf.NUMBERVALUE('Procyfloc 956A'!C439,",","."),0))))</f>
        <v/>
      </c>
      <c r="AE2438" t="str">
        <f>IF(AA2438="","",'Procyfloc 956A'!L439)</f>
        <v/>
      </c>
      <c r="AF2438">
        <f t="shared" si="245"/>
        <v>0</v>
      </c>
      <c r="AG2438" t="str">
        <f t="shared" si="246"/>
        <v/>
      </c>
      <c r="AH2438" t="str">
        <f t="shared" si="247"/>
        <v/>
      </c>
      <c r="AI2438">
        <f t="shared" si="248"/>
        <v>0</v>
      </c>
      <c r="AJ2438">
        <f t="shared" si="249"/>
        <v>0</v>
      </c>
      <c r="AK2438">
        <v>0</v>
      </c>
      <c r="AL2438" t="str">
        <f>IF(AA2438="","",IFERROR(IF(ISNUMBER('Procyfloc 956A'!D439),'Procyfloc 956A'!D439,IF(ISNUMBER(SEARCH("12",'Procyfloc 956A'!D439)),EDATE(AB2438,12),IF(ISNUMBER(SEARCH("6",'Procyfloc 956A'!D439)),EDATE(AB2438,6),IF(ISNUMBER(SEARCH("3",'Procyfloc 956A'!D439)),EDATE(AB2438,3),DATEVALUE('Procyfloc 956A'!D439))))),""))</f>
        <v/>
      </c>
      <c r="AM2438" t="str">
        <f t="shared" ca="1" si="250"/>
        <v/>
      </c>
    </row>
    <row r="2439" spans="27:39" x14ac:dyDescent="0.3">
      <c r="AA2439" t="str">
        <f>IF(COUNTA('Procyfloc 956A'!A440,'Procyfloc 956A'!B440,'Procyfloc 956A'!C440)&gt;0,"956A","")</f>
        <v/>
      </c>
      <c r="AB2439" t="str">
        <f>IFERROR(IF(ISNUMBER('Procyfloc 956A'!A440),'Procyfloc 956A'!A440,DATEVALUE('Procyfloc 956A'!A440)),"")</f>
        <v/>
      </c>
      <c r="AC2439" t="str">
        <f>IF(AA2439="","",'Procyfloc 956A'!B440)</f>
        <v/>
      </c>
      <c r="AD2439" t="str">
        <f>IF(AA2439="","",IFERROR(1*'Procyfloc 956A'!C440,IFERROR(_xludf.NUMBERVALUE('Procyfloc 956A'!C440,".",","),IFERROR(_xludf.NUMBERVALUE('Procyfloc 956A'!C440,",","."),0))))</f>
        <v/>
      </c>
      <c r="AE2439" t="str">
        <f>IF(AA2439="","",'Procyfloc 956A'!L440)</f>
        <v/>
      </c>
      <c r="AF2439">
        <f t="shared" si="245"/>
        <v>0</v>
      </c>
      <c r="AG2439" t="str">
        <f t="shared" si="246"/>
        <v/>
      </c>
      <c r="AH2439" t="str">
        <f t="shared" si="247"/>
        <v/>
      </c>
      <c r="AI2439">
        <f t="shared" si="248"/>
        <v>0</v>
      </c>
      <c r="AJ2439">
        <f t="shared" si="249"/>
        <v>0</v>
      </c>
      <c r="AK2439">
        <v>0</v>
      </c>
      <c r="AL2439" t="str">
        <f>IF(AA2439="","",IFERROR(IF(ISNUMBER('Procyfloc 956A'!D440),'Procyfloc 956A'!D440,IF(ISNUMBER(SEARCH("12",'Procyfloc 956A'!D440)),EDATE(AB2439,12),IF(ISNUMBER(SEARCH("6",'Procyfloc 956A'!D440)),EDATE(AB2439,6),IF(ISNUMBER(SEARCH("3",'Procyfloc 956A'!D440)),EDATE(AB2439,3),DATEVALUE('Procyfloc 956A'!D440))))),""))</f>
        <v/>
      </c>
      <c r="AM2439" t="str">
        <f t="shared" ca="1" si="250"/>
        <v/>
      </c>
    </row>
    <row r="2440" spans="27:39" x14ac:dyDescent="0.3">
      <c r="AA2440" t="str">
        <f>IF(COUNTA('Procyfloc 956A'!A441,'Procyfloc 956A'!B441,'Procyfloc 956A'!C441)&gt;0,"956A","")</f>
        <v/>
      </c>
      <c r="AB2440" t="str">
        <f>IFERROR(IF(ISNUMBER('Procyfloc 956A'!A441),'Procyfloc 956A'!A441,DATEVALUE('Procyfloc 956A'!A441)),"")</f>
        <v/>
      </c>
      <c r="AC2440" t="str">
        <f>IF(AA2440="","",'Procyfloc 956A'!B441)</f>
        <v/>
      </c>
      <c r="AD2440" t="str">
        <f>IF(AA2440="","",IFERROR(1*'Procyfloc 956A'!C441,IFERROR(_xludf.NUMBERVALUE('Procyfloc 956A'!C441,".",","),IFERROR(_xludf.NUMBERVALUE('Procyfloc 956A'!C441,",","."),0))))</f>
        <v/>
      </c>
      <c r="AE2440" t="str">
        <f>IF(AA2440="","",'Procyfloc 956A'!L441)</f>
        <v/>
      </c>
      <c r="AF2440">
        <f t="shared" si="245"/>
        <v>0</v>
      </c>
      <c r="AG2440" t="str">
        <f t="shared" si="246"/>
        <v/>
      </c>
      <c r="AH2440" t="str">
        <f t="shared" si="247"/>
        <v/>
      </c>
      <c r="AI2440">
        <f t="shared" si="248"/>
        <v>0</v>
      </c>
      <c r="AJ2440">
        <f t="shared" si="249"/>
        <v>0</v>
      </c>
      <c r="AK2440">
        <v>0</v>
      </c>
      <c r="AL2440" t="str">
        <f>IF(AA2440="","",IFERROR(IF(ISNUMBER('Procyfloc 956A'!D441),'Procyfloc 956A'!D441,IF(ISNUMBER(SEARCH("12",'Procyfloc 956A'!D441)),EDATE(AB2440,12),IF(ISNUMBER(SEARCH("6",'Procyfloc 956A'!D441)),EDATE(AB2440,6),IF(ISNUMBER(SEARCH("3",'Procyfloc 956A'!D441)),EDATE(AB2440,3),DATEVALUE('Procyfloc 956A'!D441))))),""))</f>
        <v/>
      </c>
      <c r="AM2440" t="str">
        <f t="shared" ca="1" si="250"/>
        <v/>
      </c>
    </row>
    <row r="2441" spans="27:39" x14ac:dyDescent="0.3">
      <c r="AA2441" t="str">
        <f>IF(COUNTA('Procyfloc 956A'!A442,'Procyfloc 956A'!B442,'Procyfloc 956A'!C442)&gt;0,"956A","")</f>
        <v/>
      </c>
      <c r="AB2441" t="str">
        <f>IFERROR(IF(ISNUMBER('Procyfloc 956A'!A442),'Procyfloc 956A'!A442,DATEVALUE('Procyfloc 956A'!A442)),"")</f>
        <v/>
      </c>
      <c r="AC2441" t="str">
        <f>IF(AA2441="","",'Procyfloc 956A'!B442)</f>
        <v/>
      </c>
      <c r="AD2441" t="str">
        <f>IF(AA2441="","",IFERROR(1*'Procyfloc 956A'!C442,IFERROR(_xludf.NUMBERVALUE('Procyfloc 956A'!C442,".",","),IFERROR(_xludf.NUMBERVALUE('Procyfloc 956A'!C442,",","."),0))))</f>
        <v/>
      </c>
      <c r="AE2441" t="str">
        <f>IF(AA2441="","",'Procyfloc 956A'!L442)</f>
        <v/>
      </c>
      <c r="AF2441">
        <f t="shared" si="245"/>
        <v>0</v>
      </c>
      <c r="AG2441" t="str">
        <f t="shared" si="246"/>
        <v/>
      </c>
      <c r="AH2441" t="str">
        <f t="shared" si="247"/>
        <v/>
      </c>
      <c r="AI2441">
        <f t="shared" si="248"/>
        <v>0</v>
      </c>
      <c r="AJ2441">
        <f t="shared" si="249"/>
        <v>0</v>
      </c>
      <c r="AK2441">
        <v>0</v>
      </c>
      <c r="AL2441" t="str">
        <f>IF(AA2441="","",IFERROR(IF(ISNUMBER('Procyfloc 956A'!D442),'Procyfloc 956A'!D442,IF(ISNUMBER(SEARCH("12",'Procyfloc 956A'!D442)),EDATE(AB2441,12),IF(ISNUMBER(SEARCH("6",'Procyfloc 956A'!D442)),EDATE(AB2441,6),IF(ISNUMBER(SEARCH("3",'Procyfloc 956A'!D442)),EDATE(AB2441,3),DATEVALUE('Procyfloc 956A'!D442))))),""))</f>
        <v/>
      </c>
      <c r="AM2441" t="str">
        <f t="shared" ca="1" si="250"/>
        <v/>
      </c>
    </row>
    <row r="2442" spans="27:39" x14ac:dyDescent="0.3">
      <c r="AA2442" t="str">
        <f>IF(COUNTA('Procyfloc 956A'!A443,'Procyfloc 956A'!B443,'Procyfloc 956A'!C443)&gt;0,"956A","")</f>
        <v/>
      </c>
      <c r="AB2442" t="str">
        <f>IFERROR(IF(ISNUMBER('Procyfloc 956A'!A443),'Procyfloc 956A'!A443,DATEVALUE('Procyfloc 956A'!A443)),"")</f>
        <v/>
      </c>
      <c r="AC2442" t="str">
        <f>IF(AA2442="","",'Procyfloc 956A'!B443)</f>
        <v/>
      </c>
      <c r="AD2442" t="str">
        <f>IF(AA2442="","",IFERROR(1*'Procyfloc 956A'!C443,IFERROR(_xludf.NUMBERVALUE('Procyfloc 956A'!C443,".",","),IFERROR(_xludf.NUMBERVALUE('Procyfloc 956A'!C443,",","."),0))))</f>
        <v/>
      </c>
      <c r="AE2442" t="str">
        <f>IF(AA2442="","",'Procyfloc 956A'!L443)</f>
        <v/>
      </c>
      <c r="AF2442">
        <f t="shared" si="245"/>
        <v>0</v>
      </c>
      <c r="AG2442" t="str">
        <f t="shared" si="246"/>
        <v/>
      </c>
      <c r="AH2442" t="str">
        <f t="shared" si="247"/>
        <v/>
      </c>
      <c r="AI2442">
        <f t="shared" si="248"/>
        <v>0</v>
      </c>
      <c r="AJ2442">
        <f t="shared" si="249"/>
        <v>0</v>
      </c>
      <c r="AK2442">
        <v>0</v>
      </c>
      <c r="AL2442" t="str">
        <f>IF(AA2442="","",IFERROR(IF(ISNUMBER('Procyfloc 956A'!D443),'Procyfloc 956A'!D443,IF(ISNUMBER(SEARCH("12",'Procyfloc 956A'!D443)),EDATE(AB2442,12),IF(ISNUMBER(SEARCH("6",'Procyfloc 956A'!D443)),EDATE(AB2442,6),IF(ISNUMBER(SEARCH("3",'Procyfloc 956A'!D443)),EDATE(AB2442,3),DATEVALUE('Procyfloc 956A'!D443))))),""))</f>
        <v/>
      </c>
      <c r="AM2442" t="str">
        <f t="shared" ca="1" si="250"/>
        <v/>
      </c>
    </row>
    <row r="2443" spans="27:39" x14ac:dyDescent="0.3">
      <c r="AA2443" t="str">
        <f>IF(COUNTA('Procyfloc 956A'!A444,'Procyfloc 956A'!B444,'Procyfloc 956A'!C444)&gt;0,"956A","")</f>
        <v/>
      </c>
      <c r="AB2443" t="str">
        <f>IFERROR(IF(ISNUMBER('Procyfloc 956A'!A444),'Procyfloc 956A'!A444,DATEVALUE('Procyfloc 956A'!A444)),"")</f>
        <v/>
      </c>
      <c r="AC2443" t="str">
        <f>IF(AA2443="","",'Procyfloc 956A'!B444)</f>
        <v/>
      </c>
      <c r="AD2443" t="str">
        <f>IF(AA2443="","",IFERROR(1*'Procyfloc 956A'!C444,IFERROR(_xludf.NUMBERVALUE('Procyfloc 956A'!C444,".",","),IFERROR(_xludf.NUMBERVALUE('Procyfloc 956A'!C444,",","."),0))))</f>
        <v/>
      </c>
      <c r="AE2443" t="str">
        <f>IF(AA2443="","",'Procyfloc 956A'!L444)</f>
        <v/>
      </c>
      <c r="AF2443">
        <f t="shared" si="245"/>
        <v>0</v>
      </c>
      <c r="AG2443" t="str">
        <f t="shared" si="246"/>
        <v/>
      </c>
      <c r="AH2443" t="str">
        <f t="shared" si="247"/>
        <v/>
      </c>
      <c r="AI2443">
        <f t="shared" si="248"/>
        <v>0</v>
      </c>
      <c r="AJ2443">
        <f t="shared" si="249"/>
        <v>0</v>
      </c>
      <c r="AK2443">
        <v>0</v>
      </c>
      <c r="AL2443" t="str">
        <f>IF(AA2443="","",IFERROR(IF(ISNUMBER('Procyfloc 956A'!D444),'Procyfloc 956A'!D444,IF(ISNUMBER(SEARCH("12",'Procyfloc 956A'!D444)),EDATE(AB2443,12),IF(ISNUMBER(SEARCH("6",'Procyfloc 956A'!D444)),EDATE(AB2443,6),IF(ISNUMBER(SEARCH("3",'Procyfloc 956A'!D444)),EDATE(AB2443,3),DATEVALUE('Procyfloc 956A'!D444))))),""))</f>
        <v/>
      </c>
      <c r="AM2443" t="str">
        <f t="shared" ca="1" si="250"/>
        <v/>
      </c>
    </row>
    <row r="2444" spans="27:39" x14ac:dyDescent="0.3">
      <c r="AA2444" t="str">
        <f>IF(COUNTA('Procyfloc 956A'!A445,'Procyfloc 956A'!B445,'Procyfloc 956A'!C445)&gt;0,"956A","")</f>
        <v/>
      </c>
      <c r="AB2444" t="str">
        <f>IFERROR(IF(ISNUMBER('Procyfloc 956A'!A445),'Procyfloc 956A'!A445,DATEVALUE('Procyfloc 956A'!A445)),"")</f>
        <v/>
      </c>
      <c r="AC2444" t="str">
        <f>IF(AA2444="","",'Procyfloc 956A'!B445)</f>
        <v/>
      </c>
      <c r="AD2444" t="str">
        <f>IF(AA2444="","",IFERROR(1*'Procyfloc 956A'!C445,IFERROR(_xludf.NUMBERVALUE('Procyfloc 956A'!C445,".",","),IFERROR(_xludf.NUMBERVALUE('Procyfloc 956A'!C445,",","."),0))))</f>
        <v/>
      </c>
      <c r="AE2444" t="str">
        <f>IF(AA2444="","",'Procyfloc 956A'!L445)</f>
        <v/>
      </c>
      <c r="AF2444">
        <f t="shared" si="245"/>
        <v>0</v>
      </c>
      <c r="AG2444" t="str">
        <f t="shared" si="246"/>
        <v/>
      </c>
      <c r="AH2444" t="str">
        <f t="shared" si="247"/>
        <v/>
      </c>
      <c r="AI2444">
        <f t="shared" si="248"/>
        <v>0</v>
      </c>
      <c r="AJ2444">
        <f t="shared" si="249"/>
        <v>0</v>
      </c>
      <c r="AK2444">
        <v>0</v>
      </c>
      <c r="AL2444" t="str">
        <f>IF(AA2444="","",IFERROR(IF(ISNUMBER('Procyfloc 956A'!D445),'Procyfloc 956A'!D445,IF(ISNUMBER(SEARCH("12",'Procyfloc 956A'!D445)),EDATE(AB2444,12),IF(ISNUMBER(SEARCH("6",'Procyfloc 956A'!D445)),EDATE(AB2444,6),IF(ISNUMBER(SEARCH("3",'Procyfloc 956A'!D445)),EDATE(AB2444,3),DATEVALUE('Procyfloc 956A'!D445))))),""))</f>
        <v/>
      </c>
      <c r="AM2444" t="str">
        <f t="shared" ca="1" si="250"/>
        <v/>
      </c>
    </row>
    <row r="2445" spans="27:39" x14ac:dyDescent="0.3">
      <c r="AA2445" t="str">
        <f>IF(COUNTA('Procyfloc 956A'!A446,'Procyfloc 956A'!B446,'Procyfloc 956A'!C446)&gt;0,"956A","")</f>
        <v/>
      </c>
      <c r="AB2445" t="str">
        <f>IFERROR(IF(ISNUMBER('Procyfloc 956A'!A446),'Procyfloc 956A'!A446,DATEVALUE('Procyfloc 956A'!A446)),"")</f>
        <v/>
      </c>
      <c r="AC2445" t="str">
        <f>IF(AA2445="","",'Procyfloc 956A'!B446)</f>
        <v/>
      </c>
      <c r="AD2445" t="str">
        <f>IF(AA2445="","",IFERROR(1*'Procyfloc 956A'!C446,IFERROR(_xludf.NUMBERVALUE('Procyfloc 956A'!C446,".",","),IFERROR(_xludf.NUMBERVALUE('Procyfloc 956A'!C446,",","."),0))))</f>
        <v/>
      </c>
      <c r="AE2445" t="str">
        <f>IF(AA2445="","",'Procyfloc 956A'!L446)</f>
        <v/>
      </c>
      <c r="AF2445">
        <f t="shared" si="245"/>
        <v>0</v>
      </c>
      <c r="AG2445" t="str">
        <f t="shared" si="246"/>
        <v/>
      </c>
      <c r="AH2445" t="str">
        <f t="shared" si="247"/>
        <v/>
      </c>
      <c r="AI2445">
        <f t="shared" si="248"/>
        <v>0</v>
      </c>
      <c r="AJ2445">
        <f t="shared" si="249"/>
        <v>0</v>
      </c>
      <c r="AK2445">
        <v>0</v>
      </c>
      <c r="AL2445" t="str">
        <f>IF(AA2445="","",IFERROR(IF(ISNUMBER('Procyfloc 956A'!D446),'Procyfloc 956A'!D446,IF(ISNUMBER(SEARCH("12",'Procyfloc 956A'!D446)),EDATE(AB2445,12),IF(ISNUMBER(SEARCH("6",'Procyfloc 956A'!D446)),EDATE(AB2445,6),IF(ISNUMBER(SEARCH("3",'Procyfloc 956A'!D446)),EDATE(AB2445,3),DATEVALUE('Procyfloc 956A'!D446))))),""))</f>
        <v/>
      </c>
      <c r="AM2445" t="str">
        <f t="shared" ca="1" si="250"/>
        <v/>
      </c>
    </row>
    <row r="2446" spans="27:39" x14ac:dyDescent="0.3">
      <c r="AA2446" t="str">
        <f>IF(COUNTA('Procyfloc 956A'!A447,'Procyfloc 956A'!B447,'Procyfloc 956A'!C447)&gt;0,"956A","")</f>
        <v/>
      </c>
      <c r="AB2446" t="str">
        <f>IFERROR(IF(ISNUMBER('Procyfloc 956A'!A447),'Procyfloc 956A'!A447,DATEVALUE('Procyfloc 956A'!A447)),"")</f>
        <v/>
      </c>
      <c r="AC2446" t="str">
        <f>IF(AA2446="","",'Procyfloc 956A'!B447)</f>
        <v/>
      </c>
      <c r="AD2446" t="str">
        <f>IF(AA2446="","",IFERROR(1*'Procyfloc 956A'!C447,IFERROR(_xludf.NUMBERVALUE('Procyfloc 956A'!C447,".",","),IFERROR(_xludf.NUMBERVALUE('Procyfloc 956A'!C447,",","."),0))))</f>
        <v/>
      </c>
      <c r="AE2446" t="str">
        <f>IF(AA2446="","",'Procyfloc 956A'!L447)</f>
        <v/>
      </c>
      <c r="AF2446">
        <f t="shared" si="245"/>
        <v>0</v>
      </c>
      <c r="AG2446" t="str">
        <f t="shared" si="246"/>
        <v/>
      </c>
      <c r="AH2446" t="str">
        <f t="shared" si="247"/>
        <v/>
      </c>
      <c r="AI2446">
        <f t="shared" si="248"/>
        <v>0</v>
      </c>
      <c r="AJ2446">
        <f t="shared" si="249"/>
        <v>0</v>
      </c>
      <c r="AK2446">
        <v>0</v>
      </c>
      <c r="AL2446" t="str">
        <f>IF(AA2446="","",IFERROR(IF(ISNUMBER('Procyfloc 956A'!D447),'Procyfloc 956A'!D447,IF(ISNUMBER(SEARCH("12",'Procyfloc 956A'!D447)),EDATE(AB2446,12),IF(ISNUMBER(SEARCH("6",'Procyfloc 956A'!D447)),EDATE(AB2446,6),IF(ISNUMBER(SEARCH("3",'Procyfloc 956A'!D447)),EDATE(AB2446,3),DATEVALUE('Procyfloc 956A'!D447))))),""))</f>
        <v/>
      </c>
      <c r="AM2446" t="str">
        <f t="shared" ca="1" si="250"/>
        <v/>
      </c>
    </row>
    <row r="2447" spans="27:39" x14ac:dyDescent="0.3">
      <c r="AA2447" t="str">
        <f>IF(COUNTA('Procyfloc 956A'!A448,'Procyfloc 956A'!B448,'Procyfloc 956A'!C448)&gt;0,"956A","")</f>
        <v/>
      </c>
      <c r="AB2447" t="str">
        <f>IFERROR(IF(ISNUMBER('Procyfloc 956A'!A448),'Procyfloc 956A'!A448,DATEVALUE('Procyfloc 956A'!A448)),"")</f>
        <v/>
      </c>
      <c r="AC2447" t="str">
        <f>IF(AA2447="","",'Procyfloc 956A'!B448)</f>
        <v/>
      </c>
      <c r="AD2447" t="str">
        <f>IF(AA2447="","",IFERROR(1*'Procyfloc 956A'!C448,IFERROR(_xludf.NUMBERVALUE('Procyfloc 956A'!C448,".",","),IFERROR(_xludf.NUMBERVALUE('Procyfloc 956A'!C448,",","."),0))))</f>
        <v/>
      </c>
      <c r="AE2447" t="str">
        <f>IF(AA2447="","",'Procyfloc 956A'!L448)</f>
        <v/>
      </c>
      <c r="AF2447">
        <f t="shared" si="245"/>
        <v>0</v>
      </c>
      <c r="AG2447" t="str">
        <f t="shared" si="246"/>
        <v/>
      </c>
      <c r="AH2447" t="str">
        <f t="shared" si="247"/>
        <v/>
      </c>
      <c r="AI2447">
        <f t="shared" si="248"/>
        <v>0</v>
      </c>
      <c r="AJ2447">
        <f t="shared" si="249"/>
        <v>0</v>
      </c>
      <c r="AK2447">
        <v>0</v>
      </c>
      <c r="AL2447" t="str">
        <f>IF(AA2447="","",IFERROR(IF(ISNUMBER('Procyfloc 956A'!D448),'Procyfloc 956A'!D448,IF(ISNUMBER(SEARCH("12",'Procyfloc 956A'!D448)),EDATE(AB2447,12),IF(ISNUMBER(SEARCH("6",'Procyfloc 956A'!D448)),EDATE(AB2447,6),IF(ISNUMBER(SEARCH("3",'Procyfloc 956A'!D448)),EDATE(AB2447,3),DATEVALUE('Procyfloc 956A'!D448))))),""))</f>
        <v/>
      </c>
      <c r="AM2447" t="str">
        <f t="shared" ca="1" si="250"/>
        <v/>
      </c>
    </row>
    <row r="2448" spans="27:39" x14ac:dyDescent="0.3">
      <c r="AA2448" t="str">
        <f>IF(COUNTA('Procyfloc 956A'!A449,'Procyfloc 956A'!B449,'Procyfloc 956A'!C449)&gt;0,"956A","")</f>
        <v/>
      </c>
      <c r="AB2448" t="str">
        <f>IFERROR(IF(ISNUMBER('Procyfloc 956A'!A449),'Procyfloc 956A'!A449,DATEVALUE('Procyfloc 956A'!A449)),"")</f>
        <v/>
      </c>
      <c r="AC2448" t="str">
        <f>IF(AA2448="","",'Procyfloc 956A'!B449)</f>
        <v/>
      </c>
      <c r="AD2448" t="str">
        <f>IF(AA2448="","",IFERROR(1*'Procyfloc 956A'!C449,IFERROR(_xludf.NUMBERVALUE('Procyfloc 956A'!C449,".",","),IFERROR(_xludf.NUMBERVALUE('Procyfloc 956A'!C449,",","."),0))))</f>
        <v/>
      </c>
      <c r="AE2448" t="str">
        <f>IF(AA2448="","",'Procyfloc 956A'!L449)</f>
        <v/>
      </c>
      <c r="AF2448">
        <f t="shared" si="245"/>
        <v>0</v>
      </c>
      <c r="AG2448" t="str">
        <f t="shared" si="246"/>
        <v/>
      </c>
      <c r="AH2448" t="str">
        <f t="shared" si="247"/>
        <v/>
      </c>
      <c r="AI2448">
        <f t="shared" si="248"/>
        <v>0</v>
      </c>
      <c r="AJ2448">
        <f t="shared" si="249"/>
        <v>0</v>
      </c>
      <c r="AK2448">
        <v>0</v>
      </c>
      <c r="AL2448" t="str">
        <f>IF(AA2448="","",IFERROR(IF(ISNUMBER('Procyfloc 956A'!D449),'Procyfloc 956A'!D449,IF(ISNUMBER(SEARCH("12",'Procyfloc 956A'!D449)),EDATE(AB2448,12),IF(ISNUMBER(SEARCH("6",'Procyfloc 956A'!D449)),EDATE(AB2448,6),IF(ISNUMBER(SEARCH("3",'Procyfloc 956A'!D449)),EDATE(AB2448,3),DATEVALUE('Procyfloc 956A'!D449))))),""))</f>
        <v/>
      </c>
      <c r="AM2448" t="str">
        <f t="shared" ca="1" si="250"/>
        <v/>
      </c>
    </row>
    <row r="2449" spans="27:39" x14ac:dyDescent="0.3">
      <c r="AA2449" t="str">
        <f>IF(COUNTA('Procyfloc 956A'!A450,'Procyfloc 956A'!B450,'Procyfloc 956A'!C450)&gt;0,"956A","")</f>
        <v/>
      </c>
      <c r="AB2449" t="str">
        <f>IFERROR(IF(ISNUMBER('Procyfloc 956A'!A450),'Procyfloc 956A'!A450,DATEVALUE('Procyfloc 956A'!A450)),"")</f>
        <v/>
      </c>
      <c r="AC2449" t="str">
        <f>IF(AA2449="","",'Procyfloc 956A'!B450)</f>
        <v/>
      </c>
      <c r="AD2449" t="str">
        <f>IF(AA2449="","",IFERROR(1*'Procyfloc 956A'!C450,IFERROR(_xludf.NUMBERVALUE('Procyfloc 956A'!C450,".",","),IFERROR(_xludf.NUMBERVALUE('Procyfloc 956A'!C450,",","."),0))))</f>
        <v/>
      </c>
      <c r="AE2449" t="str">
        <f>IF(AA2449="","",'Procyfloc 956A'!L450)</f>
        <v/>
      </c>
      <c r="AF2449">
        <f t="shared" si="245"/>
        <v>0</v>
      </c>
      <c r="AG2449" t="str">
        <f t="shared" si="246"/>
        <v/>
      </c>
      <c r="AH2449" t="str">
        <f t="shared" si="247"/>
        <v/>
      </c>
      <c r="AI2449">
        <f t="shared" si="248"/>
        <v>0</v>
      </c>
      <c r="AJ2449">
        <f t="shared" si="249"/>
        <v>0</v>
      </c>
      <c r="AK2449">
        <v>0</v>
      </c>
      <c r="AL2449" t="str">
        <f>IF(AA2449="","",IFERROR(IF(ISNUMBER('Procyfloc 956A'!D450),'Procyfloc 956A'!D450,IF(ISNUMBER(SEARCH("12",'Procyfloc 956A'!D450)),EDATE(AB2449,12),IF(ISNUMBER(SEARCH("6",'Procyfloc 956A'!D450)),EDATE(AB2449,6),IF(ISNUMBER(SEARCH("3",'Procyfloc 956A'!D450)),EDATE(AB2449,3),DATEVALUE('Procyfloc 956A'!D450))))),""))</f>
        <v/>
      </c>
      <c r="AM2449" t="str">
        <f t="shared" ca="1" si="250"/>
        <v/>
      </c>
    </row>
    <row r="2450" spans="27:39" x14ac:dyDescent="0.3">
      <c r="AA2450" t="str">
        <f>IF(COUNTA('Procyfloc 956A'!A451,'Procyfloc 956A'!B451,'Procyfloc 956A'!C451)&gt;0,"956A","")</f>
        <v/>
      </c>
      <c r="AB2450" t="str">
        <f>IFERROR(IF(ISNUMBER('Procyfloc 956A'!A451),'Procyfloc 956A'!A451,DATEVALUE('Procyfloc 956A'!A451)),"")</f>
        <v/>
      </c>
      <c r="AC2450" t="str">
        <f>IF(AA2450="","",'Procyfloc 956A'!B451)</f>
        <v/>
      </c>
      <c r="AD2450" t="str">
        <f>IF(AA2450="","",IFERROR(1*'Procyfloc 956A'!C451,IFERROR(_xludf.NUMBERVALUE('Procyfloc 956A'!C451,".",","),IFERROR(_xludf.NUMBERVALUE('Procyfloc 956A'!C451,",","."),0))))</f>
        <v/>
      </c>
      <c r="AE2450" t="str">
        <f>IF(AA2450="","",'Procyfloc 956A'!L451)</f>
        <v/>
      </c>
      <c r="AF2450">
        <f t="shared" si="245"/>
        <v>0</v>
      </c>
      <c r="AG2450" t="str">
        <f t="shared" si="246"/>
        <v/>
      </c>
      <c r="AH2450" t="str">
        <f t="shared" si="247"/>
        <v/>
      </c>
      <c r="AI2450">
        <f t="shared" si="248"/>
        <v>0</v>
      </c>
      <c r="AJ2450">
        <f t="shared" si="249"/>
        <v>0</v>
      </c>
      <c r="AK2450">
        <v>0</v>
      </c>
      <c r="AL2450" t="str">
        <f>IF(AA2450="","",IFERROR(IF(ISNUMBER('Procyfloc 956A'!D451),'Procyfloc 956A'!D451,IF(ISNUMBER(SEARCH("12",'Procyfloc 956A'!D451)),EDATE(AB2450,12),IF(ISNUMBER(SEARCH("6",'Procyfloc 956A'!D451)),EDATE(AB2450,6),IF(ISNUMBER(SEARCH("3",'Procyfloc 956A'!D451)),EDATE(AB2450,3),DATEVALUE('Procyfloc 956A'!D451))))),""))</f>
        <v/>
      </c>
      <c r="AM2450" t="str">
        <f t="shared" ca="1" si="250"/>
        <v/>
      </c>
    </row>
    <row r="2451" spans="27:39" x14ac:dyDescent="0.3">
      <c r="AA2451" t="str">
        <f>IF(COUNTA('Procyfloc 956A'!A452,'Procyfloc 956A'!B452,'Procyfloc 956A'!C452)&gt;0,"956A","")</f>
        <v/>
      </c>
      <c r="AB2451" t="str">
        <f>IFERROR(IF(ISNUMBER('Procyfloc 956A'!A452),'Procyfloc 956A'!A452,DATEVALUE('Procyfloc 956A'!A452)),"")</f>
        <v/>
      </c>
      <c r="AC2451" t="str">
        <f>IF(AA2451="","",'Procyfloc 956A'!B452)</f>
        <v/>
      </c>
      <c r="AD2451" t="str">
        <f>IF(AA2451="","",IFERROR(1*'Procyfloc 956A'!C452,IFERROR(_xludf.NUMBERVALUE('Procyfloc 956A'!C452,".",","),IFERROR(_xludf.NUMBERVALUE('Procyfloc 956A'!C452,",","."),0))))</f>
        <v/>
      </c>
      <c r="AE2451" t="str">
        <f>IF(AA2451="","",'Procyfloc 956A'!L452)</f>
        <v/>
      </c>
      <c r="AF2451">
        <f t="shared" si="245"/>
        <v>0</v>
      </c>
      <c r="AG2451" t="str">
        <f t="shared" si="246"/>
        <v/>
      </c>
      <c r="AH2451" t="str">
        <f t="shared" si="247"/>
        <v/>
      </c>
      <c r="AI2451">
        <f t="shared" si="248"/>
        <v>0</v>
      </c>
      <c r="AJ2451">
        <f t="shared" si="249"/>
        <v>0</v>
      </c>
      <c r="AK2451">
        <v>0</v>
      </c>
      <c r="AL2451" t="str">
        <f>IF(AA2451="","",IFERROR(IF(ISNUMBER('Procyfloc 956A'!D452),'Procyfloc 956A'!D452,IF(ISNUMBER(SEARCH("12",'Procyfloc 956A'!D452)),EDATE(AB2451,12),IF(ISNUMBER(SEARCH("6",'Procyfloc 956A'!D452)),EDATE(AB2451,6),IF(ISNUMBER(SEARCH("3",'Procyfloc 956A'!D452)),EDATE(AB2451,3),DATEVALUE('Procyfloc 956A'!D452))))),""))</f>
        <v/>
      </c>
      <c r="AM2451" t="str">
        <f t="shared" ca="1" si="250"/>
        <v/>
      </c>
    </row>
    <row r="2452" spans="27:39" x14ac:dyDescent="0.3">
      <c r="AA2452" t="str">
        <f>IF(COUNTA('Procyfloc 956A'!A453,'Procyfloc 956A'!B453,'Procyfloc 956A'!C453)&gt;0,"956A","")</f>
        <v/>
      </c>
      <c r="AB2452" t="str">
        <f>IFERROR(IF(ISNUMBER('Procyfloc 956A'!A453),'Procyfloc 956A'!A453,DATEVALUE('Procyfloc 956A'!A453)),"")</f>
        <v/>
      </c>
      <c r="AC2452" t="str">
        <f>IF(AA2452="","",'Procyfloc 956A'!B453)</f>
        <v/>
      </c>
      <c r="AD2452" t="str">
        <f>IF(AA2452="","",IFERROR(1*'Procyfloc 956A'!C453,IFERROR(_xludf.NUMBERVALUE('Procyfloc 956A'!C453,".",","),IFERROR(_xludf.NUMBERVALUE('Procyfloc 956A'!C453,",","."),0))))</f>
        <v/>
      </c>
      <c r="AE2452" t="str">
        <f>IF(AA2452="","",'Procyfloc 956A'!L453)</f>
        <v/>
      </c>
      <c r="AF2452">
        <f t="shared" si="245"/>
        <v>0</v>
      </c>
      <c r="AG2452" t="str">
        <f t="shared" si="246"/>
        <v/>
      </c>
      <c r="AH2452" t="str">
        <f t="shared" si="247"/>
        <v/>
      </c>
      <c r="AI2452">
        <f t="shared" si="248"/>
        <v>0</v>
      </c>
      <c r="AJ2452">
        <f t="shared" si="249"/>
        <v>0</v>
      </c>
      <c r="AK2452">
        <v>0</v>
      </c>
      <c r="AL2452" t="str">
        <f>IF(AA2452="","",IFERROR(IF(ISNUMBER('Procyfloc 956A'!D453),'Procyfloc 956A'!D453,IF(ISNUMBER(SEARCH("12",'Procyfloc 956A'!D453)),EDATE(AB2452,12),IF(ISNUMBER(SEARCH("6",'Procyfloc 956A'!D453)),EDATE(AB2452,6),IF(ISNUMBER(SEARCH("3",'Procyfloc 956A'!D453)),EDATE(AB2452,3),DATEVALUE('Procyfloc 956A'!D453))))),""))</f>
        <v/>
      </c>
      <c r="AM2452" t="str">
        <f t="shared" ca="1" si="250"/>
        <v/>
      </c>
    </row>
    <row r="2453" spans="27:39" x14ac:dyDescent="0.3">
      <c r="AA2453" t="str">
        <f>IF(COUNTA('Procyfloc 956A'!A454,'Procyfloc 956A'!B454,'Procyfloc 956A'!C454)&gt;0,"956A","")</f>
        <v/>
      </c>
      <c r="AB2453" t="str">
        <f>IFERROR(IF(ISNUMBER('Procyfloc 956A'!A454),'Procyfloc 956A'!A454,DATEVALUE('Procyfloc 956A'!A454)),"")</f>
        <v/>
      </c>
      <c r="AC2453" t="str">
        <f>IF(AA2453="","",'Procyfloc 956A'!B454)</f>
        <v/>
      </c>
      <c r="AD2453" t="str">
        <f>IF(AA2453="","",IFERROR(1*'Procyfloc 956A'!C454,IFERROR(_xludf.NUMBERVALUE('Procyfloc 956A'!C454,".",","),IFERROR(_xludf.NUMBERVALUE('Procyfloc 956A'!C454,",","."),0))))</f>
        <v/>
      </c>
      <c r="AE2453" t="str">
        <f>IF(AA2453="","",'Procyfloc 956A'!L454)</f>
        <v/>
      </c>
      <c r="AF2453">
        <f t="shared" si="245"/>
        <v>0</v>
      </c>
      <c r="AG2453" t="str">
        <f t="shared" si="246"/>
        <v/>
      </c>
      <c r="AH2453" t="str">
        <f t="shared" si="247"/>
        <v/>
      </c>
      <c r="AI2453">
        <f t="shared" si="248"/>
        <v>0</v>
      </c>
      <c r="AJ2453">
        <f t="shared" si="249"/>
        <v>0</v>
      </c>
      <c r="AK2453">
        <v>0</v>
      </c>
      <c r="AL2453" t="str">
        <f>IF(AA2453="","",IFERROR(IF(ISNUMBER('Procyfloc 956A'!D454),'Procyfloc 956A'!D454,IF(ISNUMBER(SEARCH("12",'Procyfloc 956A'!D454)),EDATE(AB2453,12),IF(ISNUMBER(SEARCH("6",'Procyfloc 956A'!D454)),EDATE(AB2453,6),IF(ISNUMBER(SEARCH("3",'Procyfloc 956A'!D454)),EDATE(AB2453,3),DATEVALUE('Procyfloc 956A'!D454))))),""))</f>
        <v/>
      </c>
      <c r="AM2453" t="str">
        <f t="shared" ca="1" si="250"/>
        <v/>
      </c>
    </row>
    <row r="2454" spans="27:39" x14ac:dyDescent="0.3">
      <c r="AA2454" t="str">
        <f>IF(COUNTA('Procyfloc 956A'!A455,'Procyfloc 956A'!B455,'Procyfloc 956A'!C455)&gt;0,"956A","")</f>
        <v/>
      </c>
      <c r="AB2454" t="str">
        <f>IFERROR(IF(ISNUMBER('Procyfloc 956A'!A455),'Procyfloc 956A'!A455,DATEVALUE('Procyfloc 956A'!A455)),"")</f>
        <v/>
      </c>
      <c r="AC2454" t="str">
        <f>IF(AA2454="","",'Procyfloc 956A'!B455)</f>
        <v/>
      </c>
      <c r="AD2454" t="str">
        <f>IF(AA2454="","",IFERROR(1*'Procyfloc 956A'!C455,IFERROR(_xludf.NUMBERVALUE('Procyfloc 956A'!C455,".",","),IFERROR(_xludf.NUMBERVALUE('Procyfloc 956A'!C455,",","."),0))))</f>
        <v/>
      </c>
      <c r="AE2454" t="str">
        <f>IF(AA2454="","",'Procyfloc 956A'!L455)</f>
        <v/>
      </c>
      <c r="AF2454">
        <f t="shared" si="245"/>
        <v>0</v>
      </c>
      <c r="AG2454" t="str">
        <f t="shared" si="246"/>
        <v/>
      </c>
      <c r="AH2454" t="str">
        <f t="shared" si="247"/>
        <v/>
      </c>
      <c r="AI2454">
        <f t="shared" si="248"/>
        <v>0</v>
      </c>
      <c r="AJ2454">
        <f t="shared" si="249"/>
        <v>0</v>
      </c>
      <c r="AK2454">
        <v>0</v>
      </c>
      <c r="AL2454" t="str">
        <f>IF(AA2454="","",IFERROR(IF(ISNUMBER('Procyfloc 956A'!D455),'Procyfloc 956A'!D455,IF(ISNUMBER(SEARCH("12",'Procyfloc 956A'!D455)),EDATE(AB2454,12),IF(ISNUMBER(SEARCH("6",'Procyfloc 956A'!D455)),EDATE(AB2454,6),IF(ISNUMBER(SEARCH("3",'Procyfloc 956A'!D455)),EDATE(AB2454,3),DATEVALUE('Procyfloc 956A'!D455))))),""))</f>
        <v/>
      </c>
      <c r="AM2454" t="str">
        <f t="shared" ca="1" si="250"/>
        <v/>
      </c>
    </row>
    <row r="2455" spans="27:39" x14ac:dyDescent="0.3">
      <c r="AA2455" t="str">
        <f>IF(COUNTA('Procyfloc 956A'!A456,'Procyfloc 956A'!B456,'Procyfloc 956A'!C456)&gt;0,"956A","")</f>
        <v/>
      </c>
      <c r="AB2455" t="str">
        <f>IFERROR(IF(ISNUMBER('Procyfloc 956A'!A456),'Procyfloc 956A'!A456,DATEVALUE('Procyfloc 956A'!A456)),"")</f>
        <v/>
      </c>
      <c r="AC2455" t="str">
        <f>IF(AA2455="","",'Procyfloc 956A'!B456)</f>
        <v/>
      </c>
      <c r="AD2455" t="str">
        <f>IF(AA2455="","",IFERROR(1*'Procyfloc 956A'!C456,IFERROR(_xludf.NUMBERVALUE('Procyfloc 956A'!C456,".",","),IFERROR(_xludf.NUMBERVALUE('Procyfloc 956A'!C456,",","."),0))))</f>
        <v/>
      </c>
      <c r="AE2455" t="str">
        <f>IF(AA2455="","",'Procyfloc 956A'!L456)</f>
        <v/>
      </c>
      <c r="AF2455">
        <f t="shared" si="245"/>
        <v>0</v>
      </c>
      <c r="AG2455" t="str">
        <f t="shared" si="246"/>
        <v/>
      </c>
      <c r="AH2455" t="str">
        <f t="shared" si="247"/>
        <v/>
      </c>
      <c r="AI2455">
        <f t="shared" si="248"/>
        <v>0</v>
      </c>
      <c r="AJ2455">
        <f t="shared" si="249"/>
        <v>0</v>
      </c>
      <c r="AK2455">
        <v>0</v>
      </c>
      <c r="AL2455" t="str">
        <f>IF(AA2455="","",IFERROR(IF(ISNUMBER('Procyfloc 956A'!D456),'Procyfloc 956A'!D456,IF(ISNUMBER(SEARCH("12",'Procyfloc 956A'!D456)),EDATE(AB2455,12),IF(ISNUMBER(SEARCH("6",'Procyfloc 956A'!D456)),EDATE(AB2455,6),IF(ISNUMBER(SEARCH("3",'Procyfloc 956A'!D456)),EDATE(AB2455,3),DATEVALUE('Procyfloc 956A'!D456))))),""))</f>
        <v/>
      </c>
      <c r="AM2455" t="str">
        <f t="shared" ca="1" si="250"/>
        <v/>
      </c>
    </row>
    <row r="2456" spans="27:39" x14ac:dyDescent="0.3">
      <c r="AA2456" t="str">
        <f>IF(COUNTA('Procyfloc 956A'!A457,'Procyfloc 956A'!B457,'Procyfloc 956A'!C457)&gt;0,"956A","")</f>
        <v/>
      </c>
      <c r="AB2456" t="str">
        <f>IFERROR(IF(ISNUMBER('Procyfloc 956A'!A457),'Procyfloc 956A'!A457,DATEVALUE('Procyfloc 956A'!A457)),"")</f>
        <v/>
      </c>
      <c r="AC2456" t="str">
        <f>IF(AA2456="","",'Procyfloc 956A'!B457)</f>
        <v/>
      </c>
      <c r="AD2456" t="str">
        <f>IF(AA2456="","",IFERROR(1*'Procyfloc 956A'!C457,IFERROR(_xludf.NUMBERVALUE('Procyfloc 956A'!C457,".",","),IFERROR(_xludf.NUMBERVALUE('Procyfloc 956A'!C457,",","."),0))))</f>
        <v/>
      </c>
      <c r="AE2456" t="str">
        <f>IF(AA2456="","",'Procyfloc 956A'!L457)</f>
        <v/>
      </c>
      <c r="AF2456">
        <f t="shared" si="245"/>
        <v>0</v>
      </c>
      <c r="AG2456" t="str">
        <f t="shared" si="246"/>
        <v/>
      </c>
      <c r="AH2456" t="str">
        <f t="shared" si="247"/>
        <v/>
      </c>
      <c r="AI2456">
        <f t="shared" si="248"/>
        <v>0</v>
      </c>
      <c r="AJ2456">
        <f t="shared" si="249"/>
        <v>0</v>
      </c>
      <c r="AK2456">
        <v>0</v>
      </c>
      <c r="AL2456" t="str">
        <f>IF(AA2456="","",IFERROR(IF(ISNUMBER('Procyfloc 956A'!D457),'Procyfloc 956A'!D457,IF(ISNUMBER(SEARCH("12",'Procyfloc 956A'!D457)),EDATE(AB2456,12),IF(ISNUMBER(SEARCH("6",'Procyfloc 956A'!D457)),EDATE(AB2456,6),IF(ISNUMBER(SEARCH("3",'Procyfloc 956A'!D457)),EDATE(AB2456,3),DATEVALUE('Procyfloc 956A'!D457))))),""))</f>
        <v/>
      </c>
      <c r="AM2456" t="str">
        <f t="shared" ca="1" si="250"/>
        <v/>
      </c>
    </row>
    <row r="2457" spans="27:39" x14ac:dyDescent="0.3">
      <c r="AA2457" t="str">
        <f>IF(COUNTA('Procyfloc 956A'!A458,'Procyfloc 956A'!B458,'Procyfloc 956A'!C458)&gt;0,"956A","")</f>
        <v/>
      </c>
      <c r="AB2457" t="str">
        <f>IFERROR(IF(ISNUMBER('Procyfloc 956A'!A458),'Procyfloc 956A'!A458,DATEVALUE('Procyfloc 956A'!A458)),"")</f>
        <v/>
      </c>
      <c r="AC2457" t="str">
        <f>IF(AA2457="","",'Procyfloc 956A'!B458)</f>
        <v/>
      </c>
      <c r="AD2457" t="str">
        <f>IF(AA2457="","",IFERROR(1*'Procyfloc 956A'!C458,IFERROR(_xludf.NUMBERVALUE('Procyfloc 956A'!C458,".",","),IFERROR(_xludf.NUMBERVALUE('Procyfloc 956A'!C458,",","."),0))))</f>
        <v/>
      </c>
      <c r="AE2457" t="str">
        <f>IF(AA2457="","",'Procyfloc 956A'!L458)</f>
        <v/>
      </c>
      <c r="AF2457">
        <f t="shared" si="245"/>
        <v>0</v>
      </c>
      <c r="AG2457" t="str">
        <f t="shared" si="246"/>
        <v/>
      </c>
      <c r="AH2457" t="str">
        <f t="shared" si="247"/>
        <v/>
      </c>
      <c r="AI2457">
        <f t="shared" si="248"/>
        <v>0</v>
      </c>
      <c r="AJ2457">
        <f t="shared" si="249"/>
        <v>0</v>
      </c>
      <c r="AK2457">
        <v>0</v>
      </c>
      <c r="AL2457" t="str">
        <f>IF(AA2457="","",IFERROR(IF(ISNUMBER('Procyfloc 956A'!D458),'Procyfloc 956A'!D458,IF(ISNUMBER(SEARCH("12",'Procyfloc 956A'!D458)),EDATE(AB2457,12),IF(ISNUMBER(SEARCH("6",'Procyfloc 956A'!D458)),EDATE(AB2457,6),IF(ISNUMBER(SEARCH("3",'Procyfloc 956A'!D458)),EDATE(AB2457,3),DATEVALUE('Procyfloc 956A'!D458))))),""))</f>
        <v/>
      </c>
      <c r="AM2457" t="str">
        <f t="shared" ca="1" si="250"/>
        <v/>
      </c>
    </row>
    <row r="2458" spans="27:39" x14ac:dyDescent="0.3">
      <c r="AA2458" t="str">
        <f>IF(COUNTA('Procyfloc 956A'!A459,'Procyfloc 956A'!B459,'Procyfloc 956A'!C459)&gt;0,"956A","")</f>
        <v/>
      </c>
      <c r="AB2458" t="str">
        <f>IFERROR(IF(ISNUMBER('Procyfloc 956A'!A459),'Procyfloc 956A'!A459,DATEVALUE('Procyfloc 956A'!A459)),"")</f>
        <v/>
      </c>
      <c r="AC2458" t="str">
        <f>IF(AA2458="","",'Procyfloc 956A'!B459)</f>
        <v/>
      </c>
      <c r="AD2458" t="str">
        <f>IF(AA2458="","",IFERROR(1*'Procyfloc 956A'!C459,IFERROR(_xludf.NUMBERVALUE('Procyfloc 956A'!C459,".",","),IFERROR(_xludf.NUMBERVALUE('Procyfloc 956A'!C459,",","."),0))))</f>
        <v/>
      </c>
      <c r="AE2458" t="str">
        <f>IF(AA2458="","",'Procyfloc 956A'!L459)</f>
        <v/>
      </c>
      <c r="AF2458">
        <f t="shared" si="245"/>
        <v>0</v>
      </c>
      <c r="AG2458" t="str">
        <f t="shared" si="246"/>
        <v/>
      </c>
      <c r="AH2458" t="str">
        <f t="shared" si="247"/>
        <v/>
      </c>
      <c r="AI2458">
        <f t="shared" si="248"/>
        <v>0</v>
      </c>
      <c r="AJ2458">
        <f t="shared" si="249"/>
        <v>0</v>
      </c>
      <c r="AK2458">
        <v>0</v>
      </c>
      <c r="AL2458" t="str">
        <f>IF(AA2458="","",IFERROR(IF(ISNUMBER('Procyfloc 956A'!D459),'Procyfloc 956A'!D459,IF(ISNUMBER(SEARCH("12",'Procyfloc 956A'!D459)),EDATE(AB2458,12),IF(ISNUMBER(SEARCH("6",'Procyfloc 956A'!D459)),EDATE(AB2458,6),IF(ISNUMBER(SEARCH("3",'Procyfloc 956A'!D459)),EDATE(AB2458,3),DATEVALUE('Procyfloc 956A'!D459))))),""))</f>
        <v/>
      </c>
      <c r="AM2458" t="str">
        <f t="shared" ca="1" si="250"/>
        <v/>
      </c>
    </row>
    <row r="2459" spans="27:39" x14ac:dyDescent="0.3">
      <c r="AA2459" t="str">
        <f>IF(COUNTA('Procyfloc 956A'!A460,'Procyfloc 956A'!B460,'Procyfloc 956A'!C460)&gt;0,"956A","")</f>
        <v/>
      </c>
      <c r="AB2459" t="str">
        <f>IFERROR(IF(ISNUMBER('Procyfloc 956A'!A460),'Procyfloc 956A'!A460,DATEVALUE('Procyfloc 956A'!A460)),"")</f>
        <v/>
      </c>
      <c r="AC2459" t="str">
        <f>IF(AA2459="","",'Procyfloc 956A'!B460)</f>
        <v/>
      </c>
      <c r="AD2459" t="str">
        <f>IF(AA2459="","",IFERROR(1*'Procyfloc 956A'!C460,IFERROR(_xludf.NUMBERVALUE('Procyfloc 956A'!C460,".",","),IFERROR(_xludf.NUMBERVALUE('Procyfloc 956A'!C460,",","."),0))))</f>
        <v/>
      </c>
      <c r="AE2459" t="str">
        <f>IF(AA2459="","",'Procyfloc 956A'!L460)</f>
        <v/>
      </c>
      <c r="AF2459">
        <f t="shared" si="245"/>
        <v>0</v>
      </c>
      <c r="AG2459" t="str">
        <f t="shared" si="246"/>
        <v/>
      </c>
      <c r="AH2459" t="str">
        <f t="shared" si="247"/>
        <v/>
      </c>
      <c r="AI2459">
        <f t="shared" si="248"/>
        <v>0</v>
      </c>
      <c r="AJ2459">
        <f t="shared" si="249"/>
        <v>0</v>
      </c>
      <c r="AK2459">
        <v>0</v>
      </c>
      <c r="AL2459" t="str">
        <f>IF(AA2459="","",IFERROR(IF(ISNUMBER('Procyfloc 956A'!D460),'Procyfloc 956A'!D460,IF(ISNUMBER(SEARCH("12",'Procyfloc 956A'!D460)),EDATE(AB2459,12),IF(ISNUMBER(SEARCH("6",'Procyfloc 956A'!D460)),EDATE(AB2459,6),IF(ISNUMBER(SEARCH("3",'Procyfloc 956A'!D460)),EDATE(AB2459,3),DATEVALUE('Procyfloc 956A'!D460))))),""))</f>
        <v/>
      </c>
      <c r="AM2459" t="str">
        <f t="shared" ca="1" si="250"/>
        <v/>
      </c>
    </row>
    <row r="2460" spans="27:39" x14ac:dyDescent="0.3">
      <c r="AA2460" t="str">
        <f>IF(COUNTA('Procyfloc 956A'!A461,'Procyfloc 956A'!B461,'Procyfloc 956A'!C461)&gt;0,"956A","")</f>
        <v/>
      </c>
      <c r="AB2460" t="str">
        <f>IFERROR(IF(ISNUMBER('Procyfloc 956A'!A461),'Procyfloc 956A'!A461,DATEVALUE('Procyfloc 956A'!A461)),"")</f>
        <v/>
      </c>
      <c r="AC2460" t="str">
        <f>IF(AA2460="","",'Procyfloc 956A'!B461)</f>
        <v/>
      </c>
      <c r="AD2460" t="str">
        <f>IF(AA2460="","",IFERROR(1*'Procyfloc 956A'!C461,IFERROR(_xludf.NUMBERVALUE('Procyfloc 956A'!C461,".",","),IFERROR(_xludf.NUMBERVALUE('Procyfloc 956A'!C461,",","."),0))))</f>
        <v/>
      </c>
      <c r="AE2460" t="str">
        <f>IF(AA2460="","",'Procyfloc 956A'!L461)</f>
        <v/>
      </c>
      <c r="AF2460">
        <f t="shared" si="245"/>
        <v>0</v>
      </c>
      <c r="AG2460" t="str">
        <f t="shared" si="246"/>
        <v/>
      </c>
      <c r="AH2460" t="str">
        <f t="shared" si="247"/>
        <v/>
      </c>
      <c r="AI2460">
        <f t="shared" si="248"/>
        <v>0</v>
      </c>
      <c r="AJ2460">
        <f t="shared" si="249"/>
        <v>0</v>
      </c>
      <c r="AK2460">
        <v>0</v>
      </c>
      <c r="AL2460" t="str">
        <f>IF(AA2460="","",IFERROR(IF(ISNUMBER('Procyfloc 956A'!D461),'Procyfloc 956A'!D461,IF(ISNUMBER(SEARCH("12",'Procyfloc 956A'!D461)),EDATE(AB2460,12),IF(ISNUMBER(SEARCH("6",'Procyfloc 956A'!D461)),EDATE(AB2460,6),IF(ISNUMBER(SEARCH("3",'Procyfloc 956A'!D461)),EDATE(AB2460,3),DATEVALUE('Procyfloc 956A'!D461))))),""))</f>
        <v/>
      </c>
      <c r="AM2460" t="str">
        <f t="shared" ca="1" si="250"/>
        <v/>
      </c>
    </row>
    <row r="2461" spans="27:39" x14ac:dyDescent="0.3">
      <c r="AA2461" t="str">
        <f>IF(COUNTA('Procyfloc 956A'!A462,'Procyfloc 956A'!B462,'Procyfloc 956A'!C462)&gt;0,"956A","")</f>
        <v/>
      </c>
      <c r="AB2461" t="str">
        <f>IFERROR(IF(ISNUMBER('Procyfloc 956A'!A462),'Procyfloc 956A'!A462,DATEVALUE('Procyfloc 956A'!A462)),"")</f>
        <v/>
      </c>
      <c r="AC2461" t="str">
        <f>IF(AA2461="","",'Procyfloc 956A'!B462)</f>
        <v/>
      </c>
      <c r="AD2461" t="str">
        <f>IF(AA2461="","",IFERROR(1*'Procyfloc 956A'!C462,IFERROR(_xludf.NUMBERVALUE('Procyfloc 956A'!C462,".",","),IFERROR(_xludf.NUMBERVALUE('Procyfloc 956A'!C462,",","."),0))))</f>
        <v/>
      </c>
      <c r="AE2461" t="str">
        <f>IF(AA2461="","",'Procyfloc 956A'!L462)</f>
        <v/>
      </c>
      <c r="AF2461">
        <f t="shared" si="245"/>
        <v>0</v>
      </c>
      <c r="AG2461" t="str">
        <f t="shared" si="246"/>
        <v/>
      </c>
      <c r="AH2461" t="str">
        <f t="shared" si="247"/>
        <v/>
      </c>
      <c r="AI2461">
        <f t="shared" si="248"/>
        <v>0</v>
      </c>
      <c r="AJ2461">
        <f t="shared" si="249"/>
        <v>0</v>
      </c>
      <c r="AK2461">
        <v>0</v>
      </c>
      <c r="AL2461" t="str">
        <f>IF(AA2461="","",IFERROR(IF(ISNUMBER('Procyfloc 956A'!D462),'Procyfloc 956A'!D462,IF(ISNUMBER(SEARCH("12",'Procyfloc 956A'!D462)),EDATE(AB2461,12),IF(ISNUMBER(SEARCH("6",'Procyfloc 956A'!D462)),EDATE(AB2461,6),IF(ISNUMBER(SEARCH("3",'Procyfloc 956A'!D462)),EDATE(AB2461,3),DATEVALUE('Procyfloc 956A'!D462))))),""))</f>
        <v/>
      </c>
      <c r="AM2461" t="str">
        <f t="shared" ca="1" si="250"/>
        <v/>
      </c>
    </row>
    <row r="2462" spans="27:39" x14ac:dyDescent="0.3">
      <c r="AA2462" t="str">
        <f>IF(COUNTA('Procyfloc 956A'!A463,'Procyfloc 956A'!B463,'Procyfloc 956A'!C463)&gt;0,"956A","")</f>
        <v/>
      </c>
      <c r="AB2462" t="str">
        <f>IFERROR(IF(ISNUMBER('Procyfloc 956A'!A463),'Procyfloc 956A'!A463,DATEVALUE('Procyfloc 956A'!A463)),"")</f>
        <v/>
      </c>
      <c r="AC2462" t="str">
        <f>IF(AA2462="","",'Procyfloc 956A'!B463)</f>
        <v/>
      </c>
      <c r="AD2462" t="str">
        <f>IF(AA2462="","",IFERROR(1*'Procyfloc 956A'!C463,IFERROR(_xludf.NUMBERVALUE('Procyfloc 956A'!C463,".",","),IFERROR(_xludf.NUMBERVALUE('Procyfloc 956A'!C463,",","."),0))))</f>
        <v/>
      </c>
      <c r="AE2462" t="str">
        <f>IF(AA2462="","",'Procyfloc 956A'!L463)</f>
        <v/>
      </c>
      <c r="AF2462">
        <f t="shared" si="245"/>
        <v>0</v>
      </c>
      <c r="AG2462" t="str">
        <f t="shared" si="246"/>
        <v/>
      </c>
      <c r="AH2462" t="str">
        <f t="shared" si="247"/>
        <v/>
      </c>
      <c r="AI2462">
        <f t="shared" si="248"/>
        <v>0</v>
      </c>
      <c r="AJ2462">
        <f t="shared" si="249"/>
        <v>0</v>
      </c>
      <c r="AK2462">
        <v>0</v>
      </c>
      <c r="AL2462" t="str">
        <f>IF(AA2462="","",IFERROR(IF(ISNUMBER('Procyfloc 956A'!D463),'Procyfloc 956A'!D463,IF(ISNUMBER(SEARCH("12",'Procyfloc 956A'!D463)),EDATE(AB2462,12),IF(ISNUMBER(SEARCH("6",'Procyfloc 956A'!D463)),EDATE(AB2462,6),IF(ISNUMBER(SEARCH("3",'Procyfloc 956A'!D463)),EDATE(AB2462,3),DATEVALUE('Procyfloc 956A'!D463))))),""))</f>
        <v/>
      </c>
      <c r="AM2462" t="str">
        <f t="shared" ca="1" si="250"/>
        <v/>
      </c>
    </row>
    <row r="2463" spans="27:39" x14ac:dyDescent="0.3">
      <c r="AA2463" t="str">
        <f>IF(COUNTA('Procyfloc 956A'!A464,'Procyfloc 956A'!B464,'Procyfloc 956A'!C464)&gt;0,"956A","")</f>
        <v/>
      </c>
      <c r="AB2463" t="str">
        <f>IFERROR(IF(ISNUMBER('Procyfloc 956A'!A464),'Procyfloc 956A'!A464,DATEVALUE('Procyfloc 956A'!A464)),"")</f>
        <v/>
      </c>
      <c r="AC2463" t="str">
        <f>IF(AA2463="","",'Procyfloc 956A'!B464)</f>
        <v/>
      </c>
      <c r="AD2463" t="str">
        <f>IF(AA2463="","",IFERROR(1*'Procyfloc 956A'!C464,IFERROR(_xludf.NUMBERVALUE('Procyfloc 956A'!C464,".",","),IFERROR(_xludf.NUMBERVALUE('Procyfloc 956A'!C464,",","."),0))))</f>
        <v/>
      </c>
      <c r="AE2463" t="str">
        <f>IF(AA2463="","",'Procyfloc 956A'!L464)</f>
        <v/>
      </c>
      <c r="AF2463">
        <f t="shared" si="245"/>
        <v>0</v>
      </c>
      <c r="AG2463" t="str">
        <f t="shared" si="246"/>
        <v/>
      </c>
      <c r="AH2463" t="str">
        <f t="shared" si="247"/>
        <v/>
      </c>
      <c r="AI2463">
        <f t="shared" si="248"/>
        <v>0</v>
      </c>
      <c r="AJ2463">
        <f t="shared" si="249"/>
        <v>0</v>
      </c>
      <c r="AK2463">
        <v>0</v>
      </c>
      <c r="AL2463" t="str">
        <f>IF(AA2463="","",IFERROR(IF(ISNUMBER('Procyfloc 956A'!D464),'Procyfloc 956A'!D464,IF(ISNUMBER(SEARCH("12",'Procyfloc 956A'!D464)),EDATE(AB2463,12),IF(ISNUMBER(SEARCH("6",'Procyfloc 956A'!D464)),EDATE(AB2463,6),IF(ISNUMBER(SEARCH("3",'Procyfloc 956A'!D464)),EDATE(AB2463,3),DATEVALUE('Procyfloc 956A'!D464))))),""))</f>
        <v/>
      </c>
      <c r="AM2463" t="str">
        <f t="shared" ca="1" si="250"/>
        <v/>
      </c>
    </row>
    <row r="2464" spans="27:39" x14ac:dyDescent="0.3">
      <c r="AA2464" t="str">
        <f>IF(COUNTA('Procyfloc 956A'!A465,'Procyfloc 956A'!B465,'Procyfloc 956A'!C465)&gt;0,"956A","")</f>
        <v/>
      </c>
      <c r="AB2464" t="str">
        <f>IFERROR(IF(ISNUMBER('Procyfloc 956A'!A465),'Procyfloc 956A'!A465,DATEVALUE('Procyfloc 956A'!A465)),"")</f>
        <v/>
      </c>
      <c r="AC2464" t="str">
        <f>IF(AA2464="","",'Procyfloc 956A'!B465)</f>
        <v/>
      </c>
      <c r="AD2464" t="str">
        <f>IF(AA2464="","",IFERROR(1*'Procyfloc 956A'!C465,IFERROR(_xludf.NUMBERVALUE('Procyfloc 956A'!C465,".",","),IFERROR(_xludf.NUMBERVALUE('Procyfloc 956A'!C465,",","."),0))))</f>
        <v/>
      </c>
      <c r="AE2464" t="str">
        <f>IF(AA2464="","",'Procyfloc 956A'!L465)</f>
        <v/>
      </c>
      <c r="AF2464">
        <f t="shared" si="245"/>
        <v>0</v>
      </c>
      <c r="AG2464" t="str">
        <f t="shared" si="246"/>
        <v/>
      </c>
      <c r="AH2464" t="str">
        <f t="shared" si="247"/>
        <v/>
      </c>
      <c r="AI2464">
        <f t="shared" si="248"/>
        <v>0</v>
      </c>
      <c r="AJ2464">
        <f t="shared" si="249"/>
        <v>0</v>
      </c>
      <c r="AK2464">
        <v>0</v>
      </c>
      <c r="AL2464" t="str">
        <f>IF(AA2464="","",IFERROR(IF(ISNUMBER('Procyfloc 956A'!D465),'Procyfloc 956A'!D465,IF(ISNUMBER(SEARCH("12",'Procyfloc 956A'!D465)),EDATE(AB2464,12),IF(ISNUMBER(SEARCH("6",'Procyfloc 956A'!D465)),EDATE(AB2464,6),IF(ISNUMBER(SEARCH("3",'Procyfloc 956A'!D465)),EDATE(AB2464,3),DATEVALUE('Procyfloc 956A'!D465))))),""))</f>
        <v/>
      </c>
      <c r="AM2464" t="str">
        <f t="shared" ca="1" si="250"/>
        <v/>
      </c>
    </row>
    <row r="2465" spans="27:39" x14ac:dyDescent="0.3">
      <c r="AA2465" t="str">
        <f>IF(COUNTA('Procyfloc 956A'!A466,'Procyfloc 956A'!B466,'Procyfloc 956A'!C466)&gt;0,"956A","")</f>
        <v/>
      </c>
      <c r="AB2465" t="str">
        <f>IFERROR(IF(ISNUMBER('Procyfloc 956A'!A466),'Procyfloc 956A'!A466,DATEVALUE('Procyfloc 956A'!A466)),"")</f>
        <v/>
      </c>
      <c r="AC2465" t="str">
        <f>IF(AA2465="","",'Procyfloc 956A'!B466)</f>
        <v/>
      </c>
      <c r="AD2465" t="str">
        <f>IF(AA2465="","",IFERROR(1*'Procyfloc 956A'!C466,IFERROR(_xludf.NUMBERVALUE('Procyfloc 956A'!C466,".",","),IFERROR(_xludf.NUMBERVALUE('Procyfloc 956A'!C466,",","."),0))))</f>
        <v/>
      </c>
      <c r="AE2465" t="str">
        <f>IF(AA2465="","",'Procyfloc 956A'!L466)</f>
        <v/>
      </c>
      <c r="AF2465">
        <f t="shared" si="245"/>
        <v>0</v>
      </c>
      <c r="AG2465" t="str">
        <f t="shared" si="246"/>
        <v/>
      </c>
      <c r="AH2465" t="str">
        <f t="shared" si="247"/>
        <v/>
      </c>
      <c r="AI2465">
        <f t="shared" si="248"/>
        <v>0</v>
      </c>
      <c r="AJ2465">
        <f t="shared" si="249"/>
        <v>0</v>
      </c>
      <c r="AK2465">
        <v>0</v>
      </c>
      <c r="AL2465" t="str">
        <f>IF(AA2465="","",IFERROR(IF(ISNUMBER('Procyfloc 956A'!D466),'Procyfloc 956A'!D466,IF(ISNUMBER(SEARCH("12",'Procyfloc 956A'!D466)),EDATE(AB2465,12),IF(ISNUMBER(SEARCH("6",'Procyfloc 956A'!D466)),EDATE(AB2465,6),IF(ISNUMBER(SEARCH("3",'Procyfloc 956A'!D466)),EDATE(AB2465,3),DATEVALUE('Procyfloc 956A'!D466))))),""))</f>
        <v/>
      </c>
      <c r="AM2465" t="str">
        <f t="shared" ca="1" si="250"/>
        <v/>
      </c>
    </row>
    <row r="2466" spans="27:39" x14ac:dyDescent="0.3">
      <c r="AA2466" t="str">
        <f>IF(COUNTA('Procyfloc 956A'!A467,'Procyfloc 956A'!B467,'Procyfloc 956A'!C467)&gt;0,"956A","")</f>
        <v/>
      </c>
      <c r="AB2466" t="str">
        <f>IFERROR(IF(ISNUMBER('Procyfloc 956A'!A467),'Procyfloc 956A'!A467,DATEVALUE('Procyfloc 956A'!A467)),"")</f>
        <v/>
      </c>
      <c r="AC2466" t="str">
        <f>IF(AA2466="","",'Procyfloc 956A'!B467)</f>
        <v/>
      </c>
      <c r="AD2466" t="str">
        <f>IF(AA2466="","",IFERROR(1*'Procyfloc 956A'!C467,IFERROR(_xludf.NUMBERVALUE('Procyfloc 956A'!C467,".",","),IFERROR(_xludf.NUMBERVALUE('Procyfloc 956A'!C467,",","."),0))))</f>
        <v/>
      </c>
      <c r="AE2466" t="str">
        <f>IF(AA2466="","",'Procyfloc 956A'!L467)</f>
        <v/>
      </c>
      <c r="AF2466">
        <f t="shared" si="245"/>
        <v>0</v>
      </c>
      <c r="AG2466" t="str">
        <f t="shared" si="246"/>
        <v/>
      </c>
      <c r="AH2466" t="str">
        <f t="shared" si="247"/>
        <v/>
      </c>
      <c r="AI2466">
        <f t="shared" si="248"/>
        <v>0</v>
      </c>
      <c r="AJ2466">
        <f t="shared" si="249"/>
        <v>0</v>
      </c>
      <c r="AK2466">
        <v>0</v>
      </c>
      <c r="AL2466" t="str">
        <f>IF(AA2466="","",IFERROR(IF(ISNUMBER('Procyfloc 956A'!D467),'Procyfloc 956A'!D467,IF(ISNUMBER(SEARCH("12",'Procyfloc 956A'!D467)),EDATE(AB2466,12),IF(ISNUMBER(SEARCH("6",'Procyfloc 956A'!D467)),EDATE(AB2466,6),IF(ISNUMBER(SEARCH("3",'Procyfloc 956A'!D467)),EDATE(AB2466,3),DATEVALUE('Procyfloc 956A'!D467))))),""))</f>
        <v/>
      </c>
      <c r="AM2466" t="str">
        <f t="shared" ca="1" si="250"/>
        <v/>
      </c>
    </row>
    <row r="2467" spans="27:39" x14ac:dyDescent="0.3">
      <c r="AA2467" t="str">
        <f>IF(COUNTA('Procyfloc 956A'!A468,'Procyfloc 956A'!B468,'Procyfloc 956A'!C468)&gt;0,"956A","")</f>
        <v/>
      </c>
      <c r="AB2467" t="str">
        <f>IFERROR(IF(ISNUMBER('Procyfloc 956A'!A468),'Procyfloc 956A'!A468,DATEVALUE('Procyfloc 956A'!A468)),"")</f>
        <v/>
      </c>
      <c r="AC2467" t="str">
        <f>IF(AA2467="","",'Procyfloc 956A'!B468)</f>
        <v/>
      </c>
      <c r="AD2467" t="str">
        <f>IF(AA2467="","",IFERROR(1*'Procyfloc 956A'!C468,IFERROR(_xludf.NUMBERVALUE('Procyfloc 956A'!C468,".",","),IFERROR(_xludf.NUMBERVALUE('Procyfloc 956A'!C468,",","."),0))))</f>
        <v/>
      </c>
      <c r="AE2467" t="str">
        <f>IF(AA2467="","",'Procyfloc 956A'!L468)</f>
        <v/>
      </c>
      <c r="AF2467">
        <f t="shared" si="245"/>
        <v>0</v>
      </c>
      <c r="AG2467" t="str">
        <f t="shared" si="246"/>
        <v/>
      </c>
      <c r="AH2467" t="str">
        <f t="shared" si="247"/>
        <v/>
      </c>
      <c r="AI2467">
        <f t="shared" si="248"/>
        <v>0</v>
      </c>
      <c r="AJ2467">
        <f t="shared" si="249"/>
        <v>0</v>
      </c>
      <c r="AK2467">
        <v>0</v>
      </c>
      <c r="AL2467" t="str">
        <f>IF(AA2467="","",IFERROR(IF(ISNUMBER('Procyfloc 956A'!D468),'Procyfloc 956A'!D468,IF(ISNUMBER(SEARCH("12",'Procyfloc 956A'!D468)),EDATE(AB2467,12),IF(ISNUMBER(SEARCH("6",'Procyfloc 956A'!D468)),EDATE(AB2467,6),IF(ISNUMBER(SEARCH("3",'Procyfloc 956A'!D468)),EDATE(AB2467,3),DATEVALUE('Procyfloc 956A'!D468))))),""))</f>
        <v/>
      </c>
      <c r="AM2467" t="str">
        <f t="shared" ca="1" si="250"/>
        <v/>
      </c>
    </row>
    <row r="2468" spans="27:39" x14ac:dyDescent="0.3">
      <c r="AA2468" t="str">
        <f>IF(COUNTA('Procyfloc 956A'!A469,'Procyfloc 956A'!B469,'Procyfloc 956A'!C469)&gt;0,"956A","")</f>
        <v/>
      </c>
      <c r="AB2468" t="str">
        <f>IFERROR(IF(ISNUMBER('Procyfloc 956A'!A469),'Procyfloc 956A'!A469,DATEVALUE('Procyfloc 956A'!A469)),"")</f>
        <v/>
      </c>
      <c r="AC2468" t="str">
        <f>IF(AA2468="","",'Procyfloc 956A'!B469)</f>
        <v/>
      </c>
      <c r="AD2468" t="str">
        <f>IF(AA2468="","",IFERROR(1*'Procyfloc 956A'!C469,IFERROR(_xludf.NUMBERVALUE('Procyfloc 956A'!C469,".",","),IFERROR(_xludf.NUMBERVALUE('Procyfloc 956A'!C469,",","."),0))))</f>
        <v/>
      </c>
      <c r="AE2468" t="str">
        <f>IF(AA2468="","",'Procyfloc 956A'!L469)</f>
        <v/>
      </c>
      <c r="AF2468">
        <f t="shared" si="245"/>
        <v>0</v>
      </c>
      <c r="AG2468" t="str">
        <f t="shared" si="246"/>
        <v/>
      </c>
      <c r="AH2468" t="str">
        <f t="shared" si="247"/>
        <v/>
      </c>
      <c r="AI2468">
        <f t="shared" si="248"/>
        <v>0</v>
      </c>
      <c r="AJ2468">
        <f t="shared" si="249"/>
        <v>0</v>
      </c>
      <c r="AK2468">
        <v>0</v>
      </c>
      <c r="AL2468" t="str">
        <f>IF(AA2468="","",IFERROR(IF(ISNUMBER('Procyfloc 956A'!D469),'Procyfloc 956A'!D469,IF(ISNUMBER(SEARCH("12",'Procyfloc 956A'!D469)),EDATE(AB2468,12),IF(ISNUMBER(SEARCH("6",'Procyfloc 956A'!D469)),EDATE(AB2468,6),IF(ISNUMBER(SEARCH("3",'Procyfloc 956A'!D469)),EDATE(AB2468,3),DATEVALUE('Procyfloc 956A'!D469))))),""))</f>
        <v/>
      </c>
      <c r="AM2468" t="str">
        <f t="shared" ca="1" si="250"/>
        <v/>
      </c>
    </row>
    <row r="2469" spans="27:39" x14ac:dyDescent="0.3">
      <c r="AA2469" t="str">
        <f>IF(COUNTA('Procyfloc 956A'!A470,'Procyfloc 956A'!B470,'Procyfloc 956A'!C470)&gt;0,"956A","")</f>
        <v/>
      </c>
      <c r="AB2469" t="str">
        <f>IFERROR(IF(ISNUMBER('Procyfloc 956A'!A470),'Procyfloc 956A'!A470,DATEVALUE('Procyfloc 956A'!A470)),"")</f>
        <v/>
      </c>
      <c r="AC2469" t="str">
        <f>IF(AA2469="","",'Procyfloc 956A'!B470)</f>
        <v/>
      </c>
      <c r="AD2469" t="str">
        <f>IF(AA2469="","",IFERROR(1*'Procyfloc 956A'!C470,IFERROR(_xludf.NUMBERVALUE('Procyfloc 956A'!C470,".",","),IFERROR(_xludf.NUMBERVALUE('Procyfloc 956A'!C470,",","."),0))))</f>
        <v/>
      </c>
      <c r="AE2469" t="str">
        <f>IF(AA2469="","",'Procyfloc 956A'!L470)</f>
        <v/>
      </c>
      <c r="AF2469">
        <f t="shared" si="245"/>
        <v>0</v>
      </c>
      <c r="AG2469" t="str">
        <f t="shared" si="246"/>
        <v/>
      </c>
      <c r="AH2469" t="str">
        <f t="shared" si="247"/>
        <v/>
      </c>
      <c r="AI2469">
        <f t="shared" si="248"/>
        <v>0</v>
      </c>
      <c r="AJ2469">
        <f t="shared" si="249"/>
        <v>0</v>
      </c>
      <c r="AK2469">
        <v>0</v>
      </c>
      <c r="AL2469" t="str">
        <f>IF(AA2469="","",IFERROR(IF(ISNUMBER('Procyfloc 956A'!D470),'Procyfloc 956A'!D470,IF(ISNUMBER(SEARCH("12",'Procyfloc 956A'!D470)),EDATE(AB2469,12),IF(ISNUMBER(SEARCH("6",'Procyfloc 956A'!D470)),EDATE(AB2469,6),IF(ISNUMBER(SEARCH("3",'Procyfloc 956A'!D470)),EDATE(AB2469,3),DATEVALUE('Procyfloc 956A'!D470))))),""))</f>
        <v/>
      </c>
      <c r="AM2469" t="str">
        <f t="shared" ca="1" si="250"/>
        <v/>
      </c>
    </row>
    <row r="2470" spans="27:39" x14ac:dyDescent="0.3">
      <c r="AA2470" t="str">
        <f>IF(COUNTA('Procyfloc 956A'!A471,'Procyfloc 956A'!B471,'Procyfloc 956A'!C471)&gt;0,"956A","")</f>
        <v/>
      </c>
      <c r="AB2470" t="str">
        <f>IFERROR(IF(ISNUMBER('Procyfloc 956A'!A471),'Procyfloc 956A'!A471,DATEVALUE('Procyfloc 956A'!A471)),"")</f>
        <v/>
      </c>
      <c r="AC2470" t="str">
        <f>IF(AA2470="","",'Procyfloc 956A'!B471)</f>
        <v/>
      </c>
      <c r="AD2470" t="str">
        <f>IF(AA2470="","",IFERROR(1*'Procyfloc 956A'!C471,IFERROR(_xludf.NUMBERVALUE('Procyfloc 956A'!C471,".",","),IFERROR(_xludf.NUMBERVALUE('Procyfloc 956A'!C471,",","."),0))))</f>
        <v/>
      </c>
      <c r="AE2470" t="str">
        <f>IF(AA2470="","",'Procyfloc 956A'!L471)</f>
        <v/>
      </c>
      <c r="AF2470">
        <f t="shared" si="245"/>
        <v>0</v>
      </c>
      <c r="AG2470" t="str">
        <f t="shared" si="246"/>
        <v/>
      </c>
      <c r="AH2470" t="str">
        <f t="shared" si="247"/>
        <v/>
      </c>
      <c r="AI2470">
        <f t="shared" si="248"/>
        <v>0</v>
      </c>
      <c r="AJ2470">
        <f t="shared" si="249"/>
        <v>0</v>
      </c>
      <c r="AK2470">
        <v>0</v>
      </c>
      <c r="AL2470" t="str">
        <f>IF(AA2470="","",IFERROR(IF(ISNUMBER('Procyfloc 956A'!D471),'Procyfloc 956A'!D471,IF(ISNUMBER(SEARCH("12",'Procyfloc 956A'!D471)),EDATE(AB2470,12),IF(ISNUMBER(SEARCH("6",'Procyfloc 956A'!D471)),EDATE(AB2470,6),IF(ISNUMBER(SEARCH("3",'Procyfloc 956A'!D471)),EDATE(AB2470,3),DATEVALUE('Procyfloc 956A'!D471))))),""))</f>
        <v/>
      </c>
      <c r="AM2470" t="str">
        <f t="shared" ca="1" si="250"/>
        <v/>
      </c>
    </row>
    <row r="2471" spans="27:39" x14ac:dyDescent="0.3">
      <c r="AA2471" t="str">
        <f>IF(COUNTA('Procyfloc 956A'!A472,'Procyfloc 956A'!B472,'Procyfloc 956A'!C472)&gt;0,"956A","")</f>
        <v/>
      </c>
      <c r="AB2471" t="str">
        <f>IFERROR(IF(ISNUMBER('Procyfloc 956A'!A472),'Procyfloc 956A'!A472,DATEVALUE('Procyfloc 956A'!A472)),"")</f>
        <v/>
      </c>
      <c r="AC2471" t="str">
        <f>IF(AA2471="","",'Procyfloc 956A'!B472)</f>
        <v/>
      </c>
      <c r="AD2471" t="str">
        <f>IF(AA2471="","",IFERROR(1*'Procyfloc 956A'!C472,IFERROR(_xludf.NUMBERVALUE('Procyfloc 956A'!C472,".",","),IFERROR(_xludf.NUMBERVALUE('Procyfloc 956A'!C472,",","."),0))))</f>
        <v/>
      </c>
      <c r="AE2471" t="str">
        <f>IF(AA2471="","",'Procyfloc 956A'!L472)</f>
        <v/>
      </c>
      <c r="AF2471">
        <f t="shared" si="245"/>
        <v>0</v>
      </c>
      <c r="AG2471" t="str">
        <f t="shared" si="246"/>
        <v/>
      </c>
      <c r="AH2471" t="str">
        <f t="shared" si="247"/>
        <v/>
      </c>
      <c r="AI2471">
        <f t="shared" si="248"/>
        <v>0</v>
      </c>
      <c r="AJ2471">
        <f t="shared" si="249"/>
        <v>0</v>
      </c>
      <c r="AK2471">
        <v>0</v>
      </c>
      <c r="AL2471" t="str">
        <f>IF(AA2471="","",IFERROR(IF(ISNUMBER('Procyfloc 956A'!D472),'Procyfloc 956A'!D472,IF(ISNUMBER(SEARCH("12",'Procyfloc 956A'!D472)),EDATE(AB2471,12),IF(ISNUMBER(SEARCH("6",'Procyfloc 956A'!D472)),EDATE(AB2471,6),IF(ISNUMBER(SEARCH("3",'Procyfloc 956A'!D472)),EDATE(AB2471,3),DATEVALUE('Procyfloc 956A'!D472))))),""))</f>
        <v/>
      </c>
      <c r="AM2471" t="str">
        <f t="shared" ca="1" si="250"/>
        <v/>
      </c>
    </row>
    <row r="2472" spans="27:39" x14ac:dyDescent="0.3">
      <c r="AA2472" t="str">
        <f>IF(COUNTA('Procyfloc 956A'!A473,'Procyfloc 956A'!B473,'Procyfloc 956A'!C473)&gt;0,"956A","")</f>
        <v/>
      </c>
      <c r="AB2472" t="str">
        <f>IFERROR(IF(ISNUMBER('Procyfloc 956A'!A473),'Procyfloc 956A'!A473,DATEVALUE('Procyfloc 956A'!A473)),"")</f>
        <v/>
      </c>
      <c r="AC2472" t="str">
        <f>IF(AA2472="","",'Procyfloc 956A'!B473)</f>
        <v/>
      </c>
      <c r="AD2472" t="str">
        <f>IF(AA2472="","",IFERROR(1*'Procyfloc 956A'!C473,IFERROR(_xludf.NUMBERVALUE('Procyfloc 956A'!C473,".",","),IFERROR(_xludf.NUMBERVALUE('Procyfloc 956A'!C473,",","."),0))))</f>
        <v/>
      </c>
      <c r="AE2472" t="str">
        <f>IF(AA2472="","",'Procyfloc 956A'!L473)</f>
        <v/>
      </c>
      <c r="AF2472">
        <f t="shared" si="245"/>
        <v>0</v>
      </c>
      <c r="AG2472" t="str">
        <f t="shared" si="246"/>
        <v/>
      </c>
      <c r="AH2472" t="str">
        <f t="shared" si="247"/>
        <v/>
      </c>
      <c r="AI2472">
        <f t="shared" si="248"/>
        <v>0</v>
      </c>
      <c r="AJ2472">
        <f t="shared" si="249"/>
        <v>0</v>
      </c>
      <c r="AK2472">
        <v>0</v>
      </c>
      <c r="AL2472" t="str">
        <f>IF(AA2472="","",IFERROR(IF(ISNUMBER('Procyfloc 956A'!D473),'Procyfloc 956A'!D473,IF(ISNUMBER(SEARCH("12",'Procyfloc 956A'!D473)),EDATE(AB2472,12),IF(ISNUMBER(SEARCH("6",'Procyfloc 956A'!D473)),EDATE(AB2472,6),IF(ISNUMBER(SEARCH("3",'Procyfloc 956A'!D473)),EDATE(AB2472,3),DATEVALUE('Procyfloc 956A'!D473))))),""))</f>
        <v/>
      </c>
      <c r="AM2472" t="str">
        <f t="shared" ca="1" si="250"/>
        <v/>
      </c>
    </row>
    <row r="2473" spans="27:39" x14ac:dyDescent="0.3">
      <c r="AA2473" t="str">
        <f>IF(COUNTA('Procyfloc 956A'!A474,'Procyfloc 956A'!B474,'Procyfloc 956A'!C474)&gt;0,"956A","")</f>
        <v/>
      </c>
      <c r="AB2473" t="str">
        <f>IFERROR(IF(ISNUMBER('Procyfloc 956A'!A474),'Procyfloc 956A'!A474,DATEVALUE('Procyfloc 956A'!A474)),"")</f>
        <v/>
      </c>
      <c r="AC2473" t="str">
        <f>IF(AA2473="","",'Procyfloc 956A'!B474)</f>
        <v/>
      </c>
      <c r="AD2473" t="str">
        <f>IF(AA2473="","",IFERROR(1*'Procyfloc 956A'!C474,IFERROR(_xludf.NUMBERVALUE('Procyfloc 956A'!C474,".",","),IFERROR(_xludf.NUMBERVALUE('Procyfloc 956A'!C474,",","."),0))))</f>
        <v/>
      </c>
      <c r="AE2473" t="str">
        <f>IF(AA2473="","",'Procyfloc 956A'!L474)</f>
        <v/>
      </c>
      <c r="AF2473">
        <f t="shared" si="245"/>
        <v>0</v>
      </c>
      <c r="AG2473" t="str">
        <f t="shared" si="246"/>
        <v/>
      </c>
      <c r="AH2473" t="str">
        <f t="shared" si="247"/>
        <v/>
      </c>
      <c r="AI2473">
        <f t="shared" si="248"/>
        <v>0</v>
      </c>
      <c r="AJ2473">
        <f t="shared" si="249"/>
        <v>0</v>
      </c>
      <c r="AK2473">
        <v>0</v>
      </c>
      <c r="AL2473" t="str">
        <f>IF(AA2473="","",IFERROR(IF(ISNUMBER('Procyfloc 956A'!D474),'Procyfloc 956A'!D474,IF(ISNUMBER(SEARCH("12",'Procyfloc 956A'!D474)),EDATE(AB2473,12),IF(ISNUMBER(SEARCH("6",'Procyfloc 956A'!D474)),EDATE(AB2473,6),IF(ISNUMBER(SEARCH("3",'Procyfloc 956A'!D474)),EDATE(AB2473,3),DATEVALUE('Procyfloc 956A'!D474))))),""))</f>
        <v/>
      </c>
      <c r="AM2473" t="str">
        <f t="shared" ca="1" si="250"/>
        <v/>
      </c>
    </row>
    <row r="2474" spans="27:39" x14ac:dyDescent="0.3">
      <c r="AA2474" t="str">
        <f>IF(COUNTA('Procyfloc 956A'!A475,'Procyfloc 956A'!B475,'Procyfloc 956A'!C475)&gt;0,"956A","")</f>
        <v/>
      </c>
      <c r="AB2474" t="str">
        <f>IFERROR(IF(ISNUMBER('Procyfloc 956A'!A475),'Procyfloc 956A'!A475,DATEVALUE('Procyfloc 956A'!A475)),"")</f>
        <v/>
      </c>
      <c r="AC2474" t="str">
        <f>IF(AA2474="","",'Procyfloc 956A'!B475)</f>
        <v/>
      </c>
      <c r="AD2474" t="str">
        <f>IF(AA2474="","",IFERROR(1*'Procyfloc 956A'!C475,IFERROR(_xludf.NUMBERVALUE('Procyfloc 956A'!C475,".",","),IFERROR(_xludf.NUMBERVALUE('Procyfloc 956A'!C475,",","."),0))))</f>
        <v/>
      </c>
      <c r="AE2474" t="str">
        <f>IF(AA2474="","",'Procyfloc 956A'!L475)</f>
        <v/>
      </c>
      <c r="AF2474">
        <f t="shared" si="245"/>
        <v>0</v>
      </c>
      <c r="AG2474" t="str">
        <f t="shared" si="246"/>
        <v/>
      </c>
      <c r="AH2474" t="str">
        <f t="shared" si="247"/>
        <v/>
      </c>
      <c r="AI2474">
        <f t="shared" si="248"/>
        <v>0</v>
      </c>
      <c r="AJ2474">
        <f t="shared" si="249"/>
        <v>0</v>
      </c>
      <c r="AK2474">
        <v>0</v>
      </c>
      <c r="AL2474" t="str">
        <f>IF(AA2474="","",IFERROR(IF(ISNUMBER('Procyfloc 956A'!D475),'Procyfloc 956A'!D475,IF(ISNUMBER(SEARCH("12",'Procyfloc 956A'!D475)),EDATE(AB2474,12),IF(ISNUMBER(SEARCH("6",'Procyfloc 956A'!D475)),EDATE(AB2474,6),IF(ISNUMBER(SEARCH("3",'Procyfloc 956A'!D475)),EDATE(AB2474,3),DATEVALUE('Procyfloc 956A'!D475))))),""))</f>
        <v/>
      </c>
      <c r="AM2474" t="str">
        <f t="shared" ca="1" si="250"/>
        <v/>
      </c>
    </row>
    <row r="2475" spans="27:39" x14ac:dyDescent="0.3">
      <c r="AA2475" t="str">
        <f>IF(COUNTA('Procyfloc 956A'!A476,'Procyfloc 956A'!B476,'Procyfloc 956A'!C476)&gt;0,"956A","")</f>
        <v/>
      </c>
      <c r="AB2475" t="str">
        <f>IFERROR(IF(ISNUMBER('Procyfloc 956A'!A476),'Procyfloc 956A'!A476,DATEVALUE('Procyfloc 956A'!A476)),"")</f>
        <v/>
      </c>
      <c r="AC2475" t="str">
        <f>IF(AA2475="","",'Procyfloc 956A'!B476)</f>
        <v/>
      </c>
      <c r="AD2475" t="str">
        <f>IF(AA2475="","",IFERROR(1*'Procyfloc 956A'!C476,IFERROR(_xludf.NUMBERVALUE('Procyfloc 956A'!C476,".",","),IFERROR(_xludf.NUMBERVALUE('Procyfloc 956A'!C476,",","."),0))))</f>
        <v/>
      </c>
      <c r="AE2475" t="str">
        <f>IF(AA2475="","",'Procyfloc 956A'!L476)</f>
        <v/>
      </c>
      <c r="AF2475">
        <f t="shared" si="245"/>
        <v>0</v>
      </c>
      <c r="AG2475" t="str">
        <f t="shared" si="246"/>
        <v/>
      </c>
      <c r="AH2475" t="str">
        <f t="shared" si="247"/>
        <v/>
      </c>
      <c r="AI2475">
        <f t="shared" si="248"/>
        <v>0</v>
      </c>
      <c r="AJ2475">
        <f t="shared" si="249"/>
        <v>0</v>
      </c>
      <c r="AK2475">
        <v>0</v>
      </c>
      <c r="AL2475" t="str">
        <f>IF(AA2475="","",IFERROR(IF(ISNUMBER('Procyfloc 956A'!D476),'Procyfloc 956A'!D476,IF(ISNUMBER(SEARCH("12",'Procyfloc 956A'!D476)),EDATE(AB2475,12),IF(ISNUMBER(SEARCH("6",'Procyfloc 956A'!D476)),EDATE(AB2475,6),IF(ISNUMBER(SEARCH("3",'Procyfloc 956A'!D476)),EDATE(AB2475,3),DATEVALUE('Procyfloc 956A'!D476))))),""))</f>
        <v/>
      </c>
      <c r="AM2475" t="str">
        <f t="shared" ca="1" si="250"/>
        <v/>
      </c>
    </row>
    <row r="2476" spans="27:39" x14ac:dyDescent="0.3">
      <c r="AA2476" t="str">
        <f>IF(COUNTA('Procyfloc 956A'!A477,'Procyfloc 956A'!B477,'Procyfloc 956A'!C477)&gt;0,"956A","")</f>
        <v/>
      </c>
      <c r="AB2476" t="str">
        <f>IFERROR(IF(ISNUMBER('Procyfloc 956A'!A477),'Procyfloc 956A'!A477,DATEVALUE('Procyfloc 956A'!A477)),"")</f>
        <v/>
      </c>
      <c r="AC2476" t="str">
        <f>IF(AA2476="","",'Procyfloc 956A'!B477)</f>
        <v/>
      </c>
      <c r="AD2476" t="str">
        <f>IF(AA2476="","",IFERROR(1*'Procyfloc 956A'!C477,IFERROR(_xludf.NUMBERVALUE('Procyfloc 956A'!C477,".",","),IFERROR(_xludf.NUMBERVALUE('Procyfloc 956A'!C477,",","."),0))))</f>
        <v/>
      </c>
      <c r="AE2476" t="str">
        <f>IF(AA2476="","",'Procyfloc 956A'!L477)</f>
        <v/>
      </c>
      <c r="AF2476">
        <f t="shared" si="245"/>
        <v>0</v>
      </c>
      <c r="AG2476" t="str">
        <f t="shared" si="246"/>
        <v/>
      </c>
      <c r="AH2476" t="str">
        <f t="shared" si="247"/>
        <v/>
      </c>
      <c r="AI2476">
        <f t="shared" si="248"/>
        <v>0</v>
      </c>
      <c r="AJ2476">
        <f t="shared" si="249"/>
        <v>0</v>
      </c>
      <c r="AK2476">
        <v>0</v>
      </c>
      <c r="AL2476" t="str">
        <f>IF(AA2476="","",IFERROR(IF(ISNUMBER('Procyfloc 956A'!D477),'Procyfloc 956A'!D477,IF(ISNUMBER(SEARCH("12",'Procyfloc 956A'!D477)),EDATE(AB2476,12),IF(ISNUMBER(SEARCH("6",'Procyfloc 956A'!D477)),EDATE(AB2476,6),IF(ISNUMBER(SEARCH("3",'Procyfloc 956A'!D477)),EDATE(AB2476,3),DATEVALUE('Procyfloc 956A'!D477))))),""))</f>
        <v/>
      </c>
      <c r="AM2476" t="str">
        <f t="shared" ca="1" si="250"/>
        <v/>
      </c>
    </row>
    <row r="2477" spans="27:39" x14ac:dyDescent="0.3">
      <c r="AA2477" t="str">
        <f>IF(COUNTA('Procyfloc 956A'!A478,'Procyfloc 956A'!B478,'Procyfloc 956A'!C478)&gt;0,"956A","")</f>
        <v/>
      </c>
      <c r="AB2477" t="str">
        <f>IFERROR(IF(ISNUMBER('Procyfloc 956A'!A478),'Procyfloc 956A'!A478,DATEVALUE('Procyfloc 956A'!A478)),"")</f>
        <v/>
      </c>
      <c r="AC2477" t="str">
        <f>IF(AA2477="","",'Procyfloc 956A'!B478)</f>
        <v/>
      </c>
      <c r="AD2477" t="str">
        <f>IF(AA2477="","",IFERROR(1*'Procyfloc 956A'!C478,IFERROR(_xludf.NUMBERVALUE('Procyfloc 956A'!C478,".",","),IFERROR(_xludf.NUMBERVALUE('Procyfloc 956A'!C478,",","."),0))))</f>
        <v/>
      </c>
      <c r="AE2477" t="str">
        <f>IF(AA2477="","",'Procyfloc 956A'!L478)</f>
        <v/>
      </c>
      <c r="AF2477">
        <f t="shared" si="245"/>
        <v>0</v>
      </c>
      <c r="AG2477" t="str">
        <f t="shared" si="246"/>
        <v/>
      </c>
      <c r="AH2477" t="str">
        <f t="shared" si="247"/>
        <v/>
      </c>
      <c r="AI2477">
        <f t="shared" si="248"/>
        <v>0</v>
      </c>
      <c r="AJ2477">
        <f t="shared" si="249"/>
        <v>0</v>
      </c>
      <c r="AK2477">
        <v>0</v>
      </c>
      <c r="AL2477" t="str">
        <f>IF(AA2477="","",IFERROR(IF(ISNUMBER('Procyfloc 956A'!D478),'Procyfloc 956A'!D478,IF(ISNUMBER(SEARCH("12",'Procyfloc 956A'!D478)),EDATE(AB2477,12),IF(ISNUMBER(SEARCH("6",'Procyfloc 956A'!D478)),EDATE(AB2477,6),IF(ISNUMBER(SEARCH("3",'Procyfloc 956A'!D478)),EDATE(AB2477,3),DATEVALUE('Procyfloc 956A'!D478))))),""))</f>
        <v/>
      </c>
      <c r="AM2477" t="str">
        <f t="shared" ca="1" si="250"/>
        <v/>
      </c>
    </row>
    <row r="2478" spans="27:39" x14ac:dyDescent="0.3">
      <c r="AA2478" t="str">
        <f>IF(COUNTA('Procyfloc 956A'!A479,'Procyfloc 956A'!B479,'Procyfloc 956A'!C479)&gt;0,"956A","")</f>
        <v/>
      </c>
      <c r="AB2478" t="str">
        <f>IFERROR(IF(ISNUMBER('Procyfloc 956A'!A479),'Procyfloc 956A'!A479,DATEVALUE('Procyfloc 956A'!A479)),"")</f>
        <v/>
      </c>
      <c r="AC2478" t="str">
        <f>IF(AA2478="","",'Procyfloc 956A'!B479)</f>
        <v/>
      </c>
      <c r="AD2478" t="str">
        <f>IF(AA2478="","",IFERROR(1*'Procyfloc 956A'!C479,IFERROR(_xludf.NUMBERVALUE('Procyfloc 956A'!C479,".",","),IFERROR(_xludf.NUMBERVALUE('Procyfloc 956A'!C479,",","."),0))))</f>
        <v/>
      </c>
      <c r="AE2478" t="str">
        <f>IF(AA2478="","",'Procyfloc 956A'!L479)</f>
        <v/>
      </c>
      <c r="AF2478">
        <f t="shared" si="245"/>
        <v>0</v>
      </c>
      <c r="AG2478" t="str">
        <f t="shared" si="246"/>
        <v/>
      </c>
      <c r="AH2478" t="str">
        <f t="shared" si="247"/>
        <v/>
      </c>
      <c r="AI2478">
        <f t="shared" si="248"/>
        <v>0</v>
      </c>
      <c r="AJ2478">
        <f t="shared" si="249"/>
        <v>0</v>
      </c>
      <c r="AK2478">
        <v>0</v>
      </c>
      <c r="AL2478" t="str">
        <f>IF(AA2478="","",IFERROR(IF(ISNUMBER('Procyfloc 956A'!D479),'Procyfloc 956A'!D479,IF(ISNUMBER(SEARCH("12",'Procyfloc 956A'!D479)),EDATE(AB2478,12),IF(ISNUMBER(SEARCH("6",'Procyfloc 956A'!D479)),EDATE(AB2478,6),IF(ISNUMBER(SEARCH("3",'Procyfloc 956A'!D479)),EDATE(AB2478,3),DATEVALUE('Procyfloc 956A'!D479))))),""))</f>
        <v/>
      </c>
      <c r="AM2478" t="str">
        <f t="shared" ca="1" si="250"/>
        <v/>
      </c>
    </row>
    <row r="2479" spans="27:39" x14ac:dyDescent="0.3">
      <c r="AA2479" t="str">
        <f>IF(COUNTA('Procyfloc 956A'!A480,'Procyfloc 956A'!B480,'Procyfloc 956A'!C480)&gt;0,"956A","")</f>
        <v/>
      </c>
      <c r="AB2479" t="str">
        <f>IFERROR(IF(ISNUMBER('Procyfloc 956A'!A480),'Procyfloc 956A'!A480,DATEVALUE('Procyfloc 956A'!A480)),"")</f>
        <v/>
      </c>
      <c r="AC2479" t="str">
        <f>IF(AA2479="","",'Procyfloc 956A'!B480)</f>
        <v/>
      </c>
      <c r="AD2479" t="str">
        <f>IF(AA2479="","",IFERROR(1*'Procyfloc 956A'!C480,IFERROR(_xludf.NUMBERVALUE('Procyfloc 956A'!C480,".",","),IFERROR(_xludf.NUMBERVALUE('Procyfloc 956A'!C480,",","."),0))))</f>
        <v/>
      </c>
      <c r="AE2479" t="str">
        <f>IF(AA2479="","",'Procyfloc 956A'!L480)</f>
        <v/>
      </c>
      <c r="AF2479">
        <f t="shared" si="245"/>
        <v>0</v>
      </c>
      <c r="AG2479" t="str">
        <f t="shared" si="246"/>
        <v/>
      </c>
      <c r="AH2479" t="str">
        <f t="shared" si="247"/>
        <v/>
      </c>
      <c r="AI2479">
        <f t="shared" si="248"/>
        <v>0</v>
      </c>
      <c r="AJ2479">
        <f t="shared" si="249"/>
        <v>0</v>
      </c>
      <c r="AK2479">
        <v>0</v>
      </c>
      <c r="AL2479" t="str">
        <f>IF(AA2479="","",IFERROR(IF(ISNUMBER('Procyfloc 956A'!D480),'Procyfloc 956A'!D480,IF(ISNUMBER(SEARCH("12",'Procyfloc 956A'!D480)),EDATE(AB2479,12),IF(ISNUMBER(SEARCH("6",'Procyfloc 956A'!D480)),EDATE(AB2479,6),IF(ISNUMBER(SEARCH("3",'Procyfloc 956A'!D480)),EDATE(AB2479,3),DATEVALUE('Procyfloc 956A'!D480))))),""))</f>
        <v/>
      </c>
      <c r="AM2479" t="str">
        <f t="shared" ca="1" si="250"/>
        <v/>
      </c>
    </row>
    <row r="2480" spans="27:39" x14ac:dyDescent="0.3">
      <c r="AA2480" t="str">
        <f>IF(COUNTA('Procyfloc 956A'!A481,'Procyfloc 956A'!B481,'Procyfloc 956A'!C481)&gt;0,"956A","")</f>
        <v/>
      </c>
      <c r="AB2480" t="str">
        <f>IFERROR(IF(ISNUMBER('Procyfloc 956A'!A481),'Procyfloc 956A'!A481,DATEVALUE('Procyfloc 956A'!A481)),"")</f>
        <v/>
      </c>
      <c r="AC2480" t="str">
        <f>IF(AA2480="","",'Procyfloc 956A'!B481)</f>
        <v/>
      </c>
      <c r="AD2480" t="str">
        <f>IF(AA2480="","",IFERROR(1*'Procyfloc 956A'!C481,IFERROR(_xludf.NUMBERVALUE('Procyfloc 956A'!C481,".",","),IFERROR(_xludf.NUMBERVALUE('Procyfloc 956A'!C481,",","."),0))))</f>
        <v/>
      </c>
      <c r="AE2480" t="str">
        <f>IF(AA2480="","",'Procyfloc 956A'!L481)</f>
        <v/>
      </c>
      <c r="AF2480">
        <f t="shared" si="245"/>
        <v>0</v>
      </c>
      <c r="AG2480" t="str">
        <f t="shared" si="246"/>
        <v/>
      </c>
      <c r="AH2480" t="str">
        <f t="shared" si="247"/>
        <v/>
      </c>
      <c r="AI2480">
        <f t="shared" si="248"/>
        <v>0</v>
      </c>
      <c r="AJ2480">
        <f t="shared" si="249"/>
        <v>0</v>
      </c>
      <c r="AK2480">
        <v>0</v>
      </c>
      <c r="AL2480" t="str">
        <f>IF(AA2480="","",IFERROR(IF(ISNUMBER('Procyfloc 956A'!D481),'Procyfloc 956A'!D481,IF(ISNUMBER(SEARCH("12",'Procyfloc 956A'!D481)),EDATE(AB2480,12),IF(ISNUMBER(SEARCH("6",'Procyfloc 956A'!D481)),EDATE(AB2480,6),IF(ISNUMBER(SEARCH("3",'Procyfloc 956A'!D481)),EDATE(AB2480,3),DATEVALUE('Procyfloc 956A'!D481))))),""))</f>
        <v/>
      </c>
      <c r="AM2480" t="str">
        <f t="shared" ca="1" si="250"/>
        <v/>
      </c>
    </row>
    <row r="2481" spans="27:39" x14ac:dyDescent="0.3">
      <c r="AA2481" t="str">
        <f>IF(COUNTA('Procyfloc 956A'!A482,'Procyfloc 956A'!B482,'Procyfloc 956A'!C482)&gt;0,"956A","")</f>
        <v/>
      </c>
      <c r="AB2481" t="str">
        <f>IFERROR(IF(ISNUMBER('Procyfloc 956A'!A482),'Procyfloc 956A'!A482,DATEVALUE('Procyfloc 956A'!A482)),"")</f>
        <v/>
      </c>
      <c r="AC2481" t="str">
        <f>IF(AA2481="","",'Procyfloc 956A'!B482)</f>
        <v/>
      </c>
      <c r="AD2481" t="str">
        <f>IF(AA2481="","",IFERROR(1*'Procyfloc 956A'!C482,IFERROR(_xludf.NUMBERVALUE('Procyfloc 956A'!C482,".",","),IFERROR(_xludf.NUMBERVALUE('Procyfloc 956A'!C482,",","."),0))))</f>
        <v/>
      </c>
      <c r="AE2481" t="str">
        <f>IF(AA2481="","",'Procyfloc 956A'!L482)</f>
        <v/>
      </c>
      <c r="AF2481">
        <f t="shared" si="245"/>
        <v>0</v>
      </c>
      <c r="AG2481" t="str">
        <f t="shared" si="246"/>
        <v/>
      </c>
      <c r="AH2481" t="str">
        <f t="shared" si="247"/>
        <v/>
      </c>
      <c r="AI2481">
        <f t="shared" si="248"/>
        <v>0</v>
      </c>
      <c r="AJ2481">
        <f t="shared" si="249"/>
        <v>0</v>
      </c>
      <c r="AK2481">
        <v>0</v>
      </c>
      <c r="AL2481" t="str">
        <f>IF(AA2481="","",IFERROR(IF(ISNUMBER('Procyfloc 956A'!D482),'Procyfloc 956A'!D482,IF(ISNUMBER(SEARCH("12",'Procyfloc 956A'!D482)),EDATE(AB2481,12),IF(ISNUMBER(SEARCH("6",'Procyfloc 956A'!D482)),EDATE(AB2481,6),IF(ISNUMBER(SEARCH("3",'Procyfloc 956A'!D482)),EDATE(AB2481,3),DATEVALUE('Procyfloc 956A'!D482))))),""))</f>
        <v/>
      </c>
      <c r="AM2481" t="str">
        <f t="shared" ca="1" si="250"/>
        <v/>
      </c>
    </row>
    <row r="2482" spans="27:39" x14ac:dyDescent="0.3">
      <c r="AA2482" t="str">
        <f>IF(COUNTA('Procyfloc 956A'!A483,'Procyfloc 956A'!B483,'Procyfloc 956A'!C483)&gt;0,"956A","")</f>
        <v/>
      </c>
      <c r="AB2482" t="str">
        <f>IFERROR(IF(ISNUMBER('Procyfloc 956A'!A483),'Procyfloc 956A'!A483,DATEVALUE('Procyfloc 956A'!A483)),"")</f>
        <v/>
      </c>
      <c r="AC2482" t="str">
        <f>IF(AA2482="","",'Procyfloc 956A'!B483)</f>
        <v/>
      </c>
      <c r="AD2482" t="str">
        <f>IF(AA2482="","",IFERROR(1*'Procyfloc 956A'!C483,IFERROR(_xludf.NUMBERVALUE('Procyfloc 956A'!C483,".",","),IFERROR(_xludf.NUMBERVALUE('Procyfloc 956A'!C483,",","."),0))))</f>
        <v/>
      </c>
      <c r="AE2482" t="str">
        <f>IF(AA2482="","",'Procyfloc 956A'!L483)</f>
        <v/>
      </c>
      <c r="AF2482">
        <f t="shared" si="245"/>
        <v>0</v>
      </c>
      <c r="AG2482" t="str">
        <f t="shared" si="246"/>
        <v/>
      </c>
      <c r="AH2482" t="str">
        <f t="shared" si="247"/>
        <v/>
      </c>
      <c r="AI2482">
        <f t="shared" si="248"/>
        <v>0</v>
      </c>
      <c r="AJ2482">
        <f t="shared" si="249"/>
        <v>0</v>
      </c>
      <c r="AK2482">
        <v>0</v>
      </c>
      <c r="AL2482" t="str">
        <f>IF(AA2482="","",IFERROR(IF(ISNUMBER('Procyfloc 956A'!D483),'Procyfloc 956A'!D483,IF(ISNUMBER(SEARCH("12",'Procyfloc 956A'!D483)),EDATE(AB2482,12),IF(ISNUMBER(SEARCH("6",'Procyfloc 956A'!D483)),EDATE(AB2482,6),IF(ISNUMBER(SEARCH("3",'Procyfloc 956A'!D483)),EDATE(AB2482,3),DATEVALUE('Procyfloc 956A'!D483))))),""))</f>
        <v/>
      </c>
      <c r="AM2482" t="str">
        <f t="shared" ca="1" si="250"/>
        <v/>
      </c>
    </row>
    <row r="2483" spans="27:39" x14ac:dyDescent="0.3">
      <c r="AA2483" t="str">
        <f>IF(COUNTA('Procyfloc 956A'!A484,'Procyfloc 956A'!B484,'Procyfloc 956A'!C484)&gt;0,"956A","")</f>
        <v/>
      </c>
      <c r="AB2483" t="str">
        <f>IFERROR(IF(ISNUMBER('Procyfloc 956A'!A484),'Procyfloc 956A'!A484,DATEVALUE('Procyfloc 956A'!A484)),"")</f>
        <v/>
      </c>
      <c r="AC2483" t="str">
        <f>IF(AA2483="","",'Procyfloc 956A'!B484)</f>
        <v/>
      </c>
      <c r="AD2483" t="str">
        <f>IF(AA2483="","",IFERROR(1*'Procyfloc 956A'!C484,IFERROR(_xludf.NUMBERVALUE('Procyfloc 956A'!C484,".",","),IFERROR(_xludf.NUMBERVALUE('Procyfloc 956A'!C484,",","."),0))))</f>
        <v/>
      </c>
      <c r="AE2483" t="str">
        <f>IF(AA2483="","",'Procyfloc 956A'!L484)</f>
        <v/>
      </c>
      <c r="AF2483">
        <f t="shared" si="245"/>
        <v>0</v>
      </c>
      <c r="AG2483" t="str">
        <f t="shared" si="246"/>
        <v/>
      </c>
      <c r="AH2483" t="str">
        <f t="shared" si="247"/>
        <v/>
      </c>
      <c r="AI2483">
        <f t="shared" si="248"/>
        <v>0</v>
      </c>
      <c r="AJ2483">
        <f t="shared" si="249"/>
        <v>0</v>
      </c>
      <c r="AK2483">
        <v>0</v>
      </c>
      <c r="AL2483" t="str">
        <f>IF(AA2483="","",IFERROR(IF(ISNUMBER('Procyfloc 956A'!D484),'Procyfloc 956A'!D484,IF(ISNUMBER(SEARCH("12",'Procyfloc 956A'!D484)),EDATE(AB2483,12),IF(ISNUMBER(SEARCH("6",'Procyfloc 956A'!D484)),EDATE(AB2483,6),IF(ISNUMBER(SEARCH("3",'Procyfloc 956A'!D484)),EDATE(AB2483,3),DATEVALUE('Procyfloc 956A'!D484))))),""))</f>
        <v/>
      </c>
      <c r="AM2483" t="str">
        <f t="shared" ca="1" si="250"/>
        <v/>
      </c>
    </row>
    <row r="2484" spans="27:39" x14ac:dyDescent="0.3">
      <c r="AA2484" t="str">
        <f>IF(COUNTA('Procyfloc 956A'!A485,'Procyfloc 956A'!B485,'Procyfloc 956A'!C485)&gt;0,"956A","")</f>
        <v/>
      </c>
      <c r="AB2484" t="str">
        <f>IFERROR(IF(ISNUMBER('Procyfloc 956A'!A485),'Procyfloc 956A'!A485,DATEVALUE('Procyfloc 956A'!A485)),"")</f>
        <v/>
      </c>
      <c r="AC2484" t="str">
        <f>IF(AA2484="","",'Procyfloc 956A'!B485)</f>
        <v/>
      </c>
      <c r="AD2484" t="str">
        <f>IF(AA2484="","",IFERROR(1*'Procyfloc 956A'!C485,IFERROR(_xludf.NUMBERVALUE('Procyfloc 956A'!C485,".",","),IFERROR(_xludf.NUMBERVALUE('Procyfloc 956A'!C485,",","."),0))))</f>
        <v/>
      </c>
      <c r="AE2484" t="str">
        <f>IF(AA2484="","",'Procyfloc 956A'!L485)</f>
        <v/>
      </c>
      <c r="AF2484">
        <f t="shared" si="245"/>
        <v>0</v>
      </c>
      <c r="AG2484" t="str">
        <f t="shared" si="246"/>
        <v/>
      </c>
      <c r="AH2484" t="str">
        <f t="shared" si="247"/>
        <v/>
      </c>
      <c r="AI2484">
        <f t="shared" si="248"/>
        <v>0</v>
      </c>
      <c r="AJ2484">
        <f t="shared" si="249"/>
        <v>0</v>
      </c>
      <c r="AK2484">
        <v>0</v>
      </c>
      <c r="AL2484" t="str">
        <f>IF(AA2484="","",IFERROR(IF(ISNUMBER('Procyfloc 956A'!D485),'Procyfloc 956A'!D485,IF(ISNUMBER(SEARCH("12",'Procyfloc 956A'!D485)),EDATE(AB2484,12),IF(ISNUMBER(SEARCH("6",'Procyfloc 956A'!D485)),EDATE(AB2484,6),IF(ISNUMBER(SEARCH("3",'Procyfloc 956A'!D485)),EDATE(AB2484,3),DATEVALUE('Procyfloc 956A'!D485))))),""))</f>
        <v/>
      </c>
      <c r="AM2484" t="str">
        <f t="shared" ca="1" si="250"/>
        <v/>
      </c>
    </row>
    <row r="2485" spans="27:39" x14ac:dyDescent="0.3">
      <c r="AA2485" t="str">
        <f>IF(COUNTA('Procyfloc 956A'!A486,'Procyfloc 956A'!B486,'Procyfloc 956A'!C486)&gt;0,"956A","")</f>
        <v/>
      </c>
      <c r="AB2485" t="str">
        <f>IFERROR(IF(ISNUMBER('Procyfloc 956A'!A486),'Procyfloc 956A'!A486,DATEVALUE('Procyfloc 956A'!A486)),"")</f>
        <v/>
      </c>
      <c r="AC2485" t="str">
        <f>IF(AA2485="","",'Procyfloc 956A'!B486)</f>
        <v/>
      </c>
      <c r="AD2485" t="str">
        <f>IF(AA2485="","",IFERROR(1*'Procyfloc 956A'!C486,IFERROR(_xludf.NUMBERVALUE('Procyfloc 956A'!C486,".",","),IFERROR(_xludf.NUMBERVALUE('Procyfloc 956A'!C486,",","."),0))))</f>
        <v/>
      </c>
      <c r="AE2485" t="str">
        <f>IF(AA2485="","",'Procyfloc 956A'!L486)</f>
        <v/>
      </c>
      <c r="AF2485">
        <f t="shared" si="245"/>
        <v>0</v>
      </c>
      <c r="AG2485" t="str">
        <f t="shared" si="246"/>
        <v/>
      </c>
      <c r="AH2485" t="str">
        <f t="shared" si="247"/>
        <v/>
      </c>
      <c r="AI2485">
        <f t="shared" si="248"/>
        <v>0</v>
      </c>
      <c r="AJ2485">
        <f t="shared" si="249"/>
        <v>0</v>
      </c>
      <c r="AK2485">
        <v>0</v>
      </c>
      <c r="AL2485" t="str">
        <f>IF(AA2485="","",IFERROR(IF(ISNUMBER('Procyfloc 956A'!D486),'Procyfloc 956A'!D486,IF(ISNUMBER(SEARCH("12",'Procyfloc 956A'!D486)),EDATE(AB2485,12),IF(ISNUMBER(SEARCH("6",'Procyfloc 956A'!D486)),EDATE(AB2485,6),IF(ISNUMBER(SEARCH("3",'Procyfloc 956A'!D486)),EDATE(AB2485,3),DATEVALUE('Procyfloc 956A'!D486))))),""))</f>
        <v/>
      </c>
      <c r="AM2485" t="str">
        <f t="shared" ca="1" si="250"/>
        <v/>
      </c>
    </row>
    <row r="2486" spans="27:39" x14ac:dyDescent="0.3">
      <c r="AA2486" t="str">
        <f>IF(COUNTA('Procyfloc 956A'!A487,'Procyfloc 956A'!B487,'Procyfloc 956A'!C487)&gt;0,"956A","")</f>
        <v/>
      </c>
      <c r="AB2486" t="str">
        <f>IFERROR(IF(ISNUMBER('Procyfloc 956A'!A487),'Procyfloc 956A'!A487,DATEVALUE('Procyfloc 956A'!A487)),"")</f>
        <v/>
      </c>
      <c r="AC2486" t="str">
        <f>IF(AA2486="","",'Procyfloc 956A'!B487)</f>
        <v/>
      </c>
      <c r="AD2486" t="str">
        <f>IF(AA2486="","",IFERROR(1*'Procyfloc 956A'!C487,IFERROR(_xludf.NUMBERVALUE('Procyfloc 956A'!C487,".",","),IFERROR(_xludf.NUMBERVALUE('Procyfloc 956A'!C487,",","."),0))))</f>
        <v/>
      </c>
      <c r="AE2486" t="str">
        <f>IF(AA2486="","",'Procyfloc 956A'!L487)</f>
        <v/>
      </c>
      <c r="AF2486">
        <f t="shared" si="245"/>
        <v>0</v>
      </c>
      <c r="AG2486" t="str">
        <f t="shared" si="246"/>
        <v/>
      </c>
      <c r="AH2486" t="str">
        <f t="shared" si="247"/>
        <v/>
      </c>
      <c r="AI2486">
        <f t="shared" si="248"/>
        <v>0</v>
      </c>
      <c r="AJ2486">
        <f t="shared" si="249"/>
        <v>0</v>
      </c>
      <c r="AK2486">
        <v>0</v>
      </c>
      <c r="AL2486" t="str">
        <f>IF(AA2486="","",IFERROR(IF(ISNUMBER('Procyfloc 956A'!D487),'Procyfloc 956A'!D487,IF(ISNUMBER(SEARCH("12",'Procyfloc 956A'!D487)),EDATE(AB2486,12),IF(ISNUMBER(SEARCH("6",'Procyfloc 956A'!D487)),EDATE(AB2486,6),IF(ISNUMBER(SEARCH("3",'Procyfloc 956A'!D487)),EDATE(AB2486,3),DATEVALUE('Procyfloc 956A'!D487))))),""))</f>
        <v/>
      </c>
      <c r="AM2486" t="str">
        <f t="shared" ca="1" si="250"/>
        <v/>
      </c>
    </row>
    <row r="2487" spans="27:39" x14ac:dyDescent="0.3">
      <c r="AA2487" t="str">
        <f>IF(COUNTA('Procyfloc 956A'!A488,'Procyfloc 956A'!B488,'Procyfloc 956A'!C488)&gt;0,"956A","")</f>
        <v/>
      </c>
      <c r="AB2487" t="str">
        <f>IFERROR(IF(ISNUMBER('Procyfloc 956A'!A488),'Procyfloc 956A'!A488,DATEVALUE('Procyfloc 956A'!A488)),"")</f>
        <v/>
      </c>
      <c r="AC2487" t="str">
        <f>IF(AA2487="","",'Procyfloc 956A'!B488)</f>
        <v/>
      </c>
      <c r="AD2487" t="str">
        <f>IF(AA2487="","",IFERROR(1*'Procyfloc 956A'!C488,IFERROR(_xludf.NUMBERVALUE('Procyfloc 956A'!C488,".",","),IFERROR(_xludf.NUMBERVALUE('Procyfloc 956A'!C488,",","."),0))))</f>
        <v/>
      </c>
      <c r="AE2487" t="str">
        <f>IF(AA2487="","",'Procyfloc 956A'!L488)</f>
        <v/>
      </c>
      <c r="AF2487">
        <f t="shared" si="245"/>
        <v>0</v>
      </c>
      <c r="AG2487" t="str">
        <f t="shared" si="246"/>
        <v/>
      </c>
      <c r="AH2487" t="str">
        <f t="shared" si="247"/>
        <v/>
      </c>
      <c r="AI2487">
        <f t="shared" si="248"/>
        <v>0</v>
      </c>
      <c r="AJ2487">
        <f t="shared" si="249"/>
        <v>0</v>
      </c>
      <c r="AK2487">
        <v>0</v>
      </c>
      <c r="AL2487" t="str">
        <f>IF(AA2487="","",IFERROR(IF(ISNUMBER('Procyfloc 956A'!D488),'Procyfloc 956A'!D488,IF(ISNUMBER(SEARCH("12",'Procyfloc 956A'!D488)),EDATE(AB2487,12),IF(ISNUMBER(SEARCH("6",'Procyfloc 956A'!D488)),EDATE(AB2487,6),IF(ISNUMBER(SEARCH("3",'Procyfloc 956A'!D488)),EDATE(AB2487,3),DATEVALUE('Procyfloc 956A'!D488))))),""))</f>
        <v/>
      </c>
      <c r="AM2487" t="str">
        <f t="shared" ca="1" si="250"/>
        <v/>
      </c>
    </row>
    <row r="2488" spans="27:39" x14ac:dyDescent="0.3">
      <c r="AA2488" t="str">
        <f>IF(COUNTA('Procyfloc 956A'!A489,'Procyfloc 956A'!B489,'Procyfloc 956A'!C489)&gt;0,"956A","")</f>
        <v/>
      </c>
      <c r="AB2488" t="str">
        <f>IFERROR(IF(ISNUMBER('Procyfloc 956A'!A489),'Procyfloc 956A'!A489,DATEVALUE('Procyfloc 956A'!A489)),"")</f>
        <v/>
      </c>
      <c r="AC2488" t="str">
        <f>IF(AA2488="","",'Procyfloc 956A'!B489)</f>
        <v/>
      </c>
      <c r="AD2488" t="str">
        <f>IF(AA2488="","",IFERROR(1*'Procyfloc 956A'!C489,IFERROR(_xludf.NUMBERVALUE('Procyfloc 956A'!C489,".",","),IFERROR(_xludf.NUMBERVALUE('Procyfloc 956A'!C489,",","."),0))))</f>
        <v/>
      </c>
      <c r="AE2488" t="str">
        <f>IF(AA2488="","",'Procyfloc 956A'!L489)</f>
        <v/>
      </c>
      <c r="AF2488">
        <f t="shared" si="245"/>
        <v>0</v>
      </c>
      <c r="AG2488" t="str">
        <f t="shared" si="246"/>
        <v/>
      </c>
      <c r="AH2488" t="str">
        <f t="shared" si="247"/>
        <v/>
      </c>
      <c r="AI2488">
        <f t="shared" si="248"/>
        <v>0</v>
      </c>
      <c r="AJ2488">
        <f t="shared" si="249"/>
        <v>0</v>
      </c>
      <c r="AK2488">
        <v>0</v>
      </c>
      <c r="AL2488" t="str">
        <f>IF(AA2488="","",IFERROR(IF(ISNUMBER('Procyfloc 956A'!D489),'Procyfloc 956A'!D489,IF(ISNUMBER(SEARCH("12",'Procyfloc 956A'!D489)),EDATE(AB2488,12),IF(ISNUMBER(SEARCH("6",'Procyfloc 956A'!D489)),EDATE(AB2488,6),IF(ISNUMBER(SEARCH("3",'Procyfloc 956A'!D489)),EDATE(AB2488,3),DATEVALUE('Procyfloc 956A'!D489))))),""))</f>
        <v/>
      </c>
      <c r="AM2488" t="str">
        <f t="shared" ca="1" si="250"/>
        <v/>
      </c>
    </row>
    <row r="2489" spans="27:39" x14ac:dyDescent="0.3">
      <c r="AA2489" t="str">
        <f>IF(COUNTA('Procyfloc 956A'!A490,'Procyfloc 956A'!B490,'Procyfloc 956A'!C490)&gt;0,"956A","")</f>
        <v/>
      </c>
      <c r="AB2489" t="str">
        <f>IFERROR(IF(ISNUMBER('Procyfloc 956A'!A490),'Procyfloc 956A'!A490,DATEVALUE('Procyfloc 956A'!A490)),"")</f>
        <v/>
      </c>
      <c r="AC2489" t="str">
        <f>IF(AA2489="","",'Procyfloc 956A'!B490)</f>
        <v/>
      </c>
      <c r="AD2489" t="str">
        <f>IF(AA2489="","",IFERROR(1*'Procyfloc 956A'!C490,IFERROR(_xludf.NUMBERVALUE('Procyfloc 956A'!C490,".",","),IFERROR(_xludf.NUMBERVALUE('Procyfloc 956A'!C490,",","."),0))))</f>
        <v/>
      </c>
      <c r="AE2489" t="str">
        <f>IF(AA2489="","",'Procyfloc 956A'!L490)</f>
        <v/>
      </c>
      <c r="AF2489">
        <f t="shared" si="245"/>
        <v>0</v>
      </c>
      <c r="AG2489" t="str">
        <f t="shared" si="246"/>
        <v/>
      </c>
      <c r="AH2489" t="str">
        <f t="shared" si="247"/>
        <v/>
      </c>
      <c r="AI2489">
        <f t="shared" si="248"/>
        <v>0</v>
      </c>
      <c r="AJ2489">
        <f t="shared" si="249"/>
        <v>0</v>
      </c>
      <c r="AK2489">
        <v>0</v>
      </c>
      <c r="AL2489" t="str">
        <f>IF(AA2489="","",IFERROR(IF(ISNUMBER('Procyfloc 956A'!D490),'Procyfloc 956A'!D490,IF(ISNUMBER(SEARCH("12",'Procyfloc 956A'!D490)),EDATE(AB2489,12),IF(ISNUMBER(SEARCH("6",'Procyfloc 956A'!D490)),EDATE(AB2489,6),IF(ISNUMBER(SEARCH("3",'Procyfloc 956A'!D490)),EDATE(AB2489,3),DATEVALUE('Procyfloc 956A'!D490))))),""))</f>
        <v/>
      </c>
      <c r="AM2489" t="str">
        <f t="shared" ca="1" si="250"/>
        <v/>
      </c>
    </row>
    <row r="2490" spans="27:39" x14ac:dyDescent="0.3">
      <c r="AA2490" t="str">
        <f>IF(COUNTA('Procyfloc 956A'!A491,'Procyfloc 956A'!B491,'Procyfloc 956A'!C491)&gt;0,"956A","")</f>
        <v/>
      </c>
      <c r="AB2490" t="str">
        <f>IFERROR(IF(ISNUMBER('Procyfloc 956A'!A491),'Procyfloc 956A'!A491,DATEVALUE('Procyfloc 956A'!A491)),"")</f>
        <v/>
      </c>
      <c r="AC2490" t="str">
        <f>IF(AA2490="","",'Procyfloc 956A'!B491)</f>
        <v/>
      </c>
      <c r="AD2490" t="str">
        <f>IF(AA2490="","",IFERROR(1*'Procyfloc 956A'!C491,IFERROR(_xludf.NUMBERVALUE('Procyfloc 956A'!C491,".",","),IFERROR(_xludf.NUMBERVALUE('Procyfloc 956A'!C491,",","."),0))))</f>
        <v/>
      </c>
      <c r="AE2490" t="str">
        <f>IF(AA2490="","",'Procyfloc 956A'!L491)</f>
        <v/>
      </c>
      <c r="AF2490">
        <f t="shared" si="245"/>
        <v>0</v>
      </c>
      <c r="AG2490" t="str">
        <f t="shared" si="246"/>
        <v/>
      </c>
      <c r="AH2490" t="str">
        <f t="shared" si="247"/>
        <v/>
      </c>
      <c r="AI2490">
        <f t="shared" si="248"/>
        <v>0</v>
      </c>
      <c r="AJ2490">
        <f t="shared" si="249"/>
        <v>0</v>
      </c>
      <c r="AK2490">
        <v>0</v>
      </c>
      <c r="AL2490" t="str">
        <f>IF(AA2490="","",IFERROR(IF(ISNUMBER('Procyfloc 956A'!D491),'Procyfloc 956A'!D491,IF(ISNUMBER(SEARCH("12",'Procyfloc 956A'!D491)),EDATE(AB2490,12),IF(ISNUMBER(SEARCH("6",'Procyfloc 956A'!D491)),EDATE(AB2490,6),IF(ISNUMBER(SEARCH("3",'Procyfloc 956A'!D491)),EDATE(AB2490,3),DATEVALUE('Procyfloc 956A'!D491))))),""))</f>
        <v/>
      </c>
      <c r="AM2490" t="str">
        <f t="shared" ca="1" si="250"/>
        <v/>
      </c>
    </row>
    <row r="2491" spans="27:39" x14ac:dyDescent="0.3">
      <c r="AA2491" t="str">
        <f>IF(COUNTA('Procyfloc 956A'!A492,'Procyfloc 956A'!B492,'Procyfloc 956A'!C492)&gt;0,"956A","")</f>
        <v/>
      </c>
      <c r="AB2491" t="str">
        <f>IFERROR(IF(ISNUMBER('Procyfloc 956A'!A492),'Procyfloc 956A'!A492,DATEVALUE('Procyfloc 956A'!A492)),"")</f>
        <v/>
      </c>
      <c r="AC2491" t="str">
        <f>IF(AA2491="","",'Procyfloc 956A'!B492)</f>
        <v/>
      </c>
      <c r="AD2491" t="str">
        <f>IF(AA2491="","",IFERROR(1*'Procyfloc 956A'!C492,IFERROR(_xludf.NUMBERVALUE('Procyfloc 956A'!C492,".",","),IFERROR(_xludf.NUMBERVALUE('Procyfloc 956A'!C492,",","."),0))))</f>
        <v/>
      </c>
      <c r="AE2491" t="str">
        <f>IF(AA2491="","",'Procyfloc 956A'!L492)</f>
        <v/>
      </c>
      <c r="AF2491">
        <f t="shared" si="245"/>
        <v>0</v>
      </c>
      <c r="AG2491" t="str">
        <f t="shared" si="246"/>
        <v/>
      </c>
      <c r="AH2491" t="str">
        <f t="shared" si="247"/>
        <v/>
      </c>
      <c r="AI2491">
        <f t="shared" si="248"/>
        <v>0</v>
      </c>
      <c r="AJ2491">
        <f t="shared" si="249"/>
        <v>0</v>
      </c>
      <c r="AK2491">
        <v>0</v>
      </c>
      <c r="AL2491" t="str">
        <f>IF(AA2491="","",IFERROR(IF(ISNUMBER('Procyfloc 956A'!D492),'Procyfloc 956A'!D492,IF(ISNUMBER(SEARCH("12",'Procyfloc 956A'!D492)),EDATE(AB2491,12),IF(ISNUMBER(SEARCH("6",'Procyfloc 956A'!D492)),EDATE(AB2491,6),IF(ISNUMBER(SEARCH("3",'Procyfloc 956A'!D492)),EDATE(AB2491,3),DATEVALUE('Procyfloc 956A'!D492))))),""))</f>
        <v/>
      </c>
      <c r="AM2491" t="str">
        <f t="shared" ca="1" si="250"/>
        <v/>
      </c>
    </row>
    <row r="2492" spans="27:39" x14ac:dyDescent="0.3">
      <c r="AA2492" t="str">
        <f>IF(COUNTA('Procyfloc 956A'!A493,'Procyfloc 956A'!B493,'Procyfloc 956A'!C493)&gt;0,"956A","")</f>
        <v/>
      </c>
      <c r="AB2492" t="str">
        <f>IFERROR(IF(ISNUMBER('Procyfloc 956A'!A493),'Procyfloc 956A'!A493,DATEVALUE('Procyfloc 956A'!A493)),"")</f>
        <v/>
      </c>
      <c r="AC2492" t="str">
        <f>IF(AA2492="","",'Procyfloc 956A'!B493)</f>
        <v/>
      </c>
      <c r="AD2492" t="str">
        <f>IF(AA2492="","",IFERROR(1*'Procyfloc 956A'!C493,IFERROR(_xludf.NUMBERVALUE('Procyfloc 956A'!C493,".",","),IFERROR(_xludf.NUMBERVALUE('Procyfloc 956A'!C493,",","."),0))))</f>
        <v/>
      </c>
      <c r="AE2492" t="str">
        <f>IF(AA2492="","",'Procyfloc 956A'!L493)</f>
        <v/>
      </c>
      <c r="AF2492">
        <f t="shared" si="245"/>
        <v>0</v>
      </c>
      <c r="AG2492" t="str">
        <f t="shared" si="246"/>
        <v/>
      </c>
      <c r="AH2492" t="str">
        <f t="shared" si="247"/>
        <v/>
      </c>
      <c r="AI2492">
        <f t="shared" si="248"/>
        <v>0</v>
      </c>
      <c r="AJ2492">
        <f t="shared" si="249"/>
        <v>0</v>
      </c>
      <c r="AK2492">
        <v>0</v>
      </c>
      <c r="AL2492" t="str">
        <f>IF(AA2492="","",IFERROR(IF(ISNUMBER('Procyfloc 956A'!D493),'Procyfloc 956A'!D493,IF(ISNUMBER(SEARCH("12",'Procyfloc 956A'!D493)),EDATE(AB2492,12),IF(ISNUMBER(SEARCH("6",'Procyfloc 956A'!D493)),EDATE(AB2492,6),IF(ISNUMBER(SEARCH("3",'Procyfloc 956A'!D493)),EDATE(AB2492,3),DATEVALUE('Procyfloc 956A'!D493))))),""))</f>
        <v/>
      </c>
      <c r="AM2492" t="str">
        <f t="shared" ca="1" si="250"/>
        <v/>
      </c>
    </row>
    <row r="2493" spans="27:39" x14ac:dyDescent="0.3">
      <c r="AA2493" t="str">
        <f>IF(COUNTA('Procyfloc 956A'!A494,'Procyfloc 956A'!B494,'Procyfloc 956A'!C494)&gt;0,"956A","")</f>
        <v/>
      </c>
      <c r="AB2493" t="str">
        <f>IFERROR(IF(ISNUMBER('Procyfloc 956A'!A494),'Procyfloc 956A'!A494,DATEVALUE('Procyfloc 956A'!A494)),"")</f>
        <v/>
      </c>
      <c r="AC2493" t="str">
        <f>IF(AA2493="","",'Procyfloc 956A'!B494)</f>
        <v/>
      </c>
      <c r="AD2493" t="str">
        <f>IF(AA2493="","",IFERROR(1*'Procyfloc 956A'!C494,IFERROR(_xludf.NUMBERVALUE('Procyfloc 956A'!C494,".",","),IFERROR(_xludf.NUMBERVALUE('Procyfloc 956A'!C494,",","."),0))))</f>
        <v/>
      </c>
      <c r="AE2493" t="str">
        <f>IF(AA2493="","",'Procyfloc 956A'!L494)</f>
        <v/>
      </c>
      <c r="AF2493">
        <f t="shared" si="245"/>
        <v>0</v>
      </c>
      <c r="AG2493" t="str">
        <f t="shared" si="246"/>
        <v/>
      </c>
      <c r="AH2493" t="str">
        <f t="shared" si="247"/>
        <v/>
      </c>
      <c r="AI2493">
        <f t="shared" si="248"/>
        <v>0</v>
      </c>
      <c r="AJ2493">
        <f t="shared" si="249"/>
        <v>0</v>
      </c>
      <c r="AK2493">
        <v>0</v>
      </c>
      <c r="AL2493" t="str">
        <f>IF(AA2493="","",IFERROR(IF(ISNUMBER('Procyfloc 956A'!D494),'Procyfloc 956A'!D494,IF(ISNUMBER(SEARCH("12",'Procyfloc 956A'!D494)),EDATE(AB2493,12),IF(ISNUMBER(SEARCH("6",'Procyfloc 956A'!D494)),EDATE(AB2493,6),IF(ISNUMBER(SEARCH("3",'Procyfloc 956A'!D494)),EDATE(AB2493,3),DATEVALUE('Procyfloc 956A'!D494))))),""))</f>
        <v/>
      </c>
      <c r="AM2493" t="str">
        <f t="shared" ca="1" si="250"/>
        <v/>
      </c>
    </row>
    <row r="2494" spans="27:39" x14ac:dyDescent="0.3">
      <c r="AA2494" t="str">
        <f>IF(COUNTA('Procyfloc 956A'!A495,'Procyfloc 956A'!B495,'Procyfloc 956A'!C495)&gt;0,"956A","")</f>
        <v/>
      </c>
      <c r="AB2494" t="str">
        <f>IFERROR(IF(ISNUMBER('Procyfloc 956A'!A495),'Procyfloc 956A'!A495,DATEVALUE('Procyfloc 956A'!A495)),"")</f>
        <v/>
      </c>
      <c r="AC2494" t="str">
        <f>IF(AA2494="","",'Procyfloc 956A'!B495)</f>
        <v/>
      </c>
      <c r="AD2494" t="str">
        <f>IF(AA2494="","",IFERROR(1*'Procyfloc 956A'!C495,IFERROR(_xludf.NUMBERVALUE('Procyfloc 956A'!C495,".",","),IFERROR(_xludf.NUMBERVALUE('Procyfloc 956A'!C495,",","."),0))))</f>
        <v/>
      </c>
      <c r="AE2494" t="str">
        <f>IF(AA2494="","",'Procyfloc 956A'!L495)</f>
        <v/>
      </c>
      <c r="AF2494">
        <f t="shared" si="245"/>
        <v>0</v>
      </c>
      <c r="AG2494" t="str">
        <f t="shared" si="246"/>
        <v/>
      </c>
      <c r="AH2494" t="str">
        <f t="shared" si="247"/>
        <v/>
      </c>
      <c r="AI2494">
        <f t="shared" si="248"/>
        <v>0</v>
      </c>
      <c r="AJ2494">
        <f t="shared" si="249"/>
        <v>0</v>
      </c>
      <c r="AK2494">
        <v>0</v>
      </c>
      <c r="AL2494" t="str">
        <f>IF(AA2494="","",IFERROR(IF(ISNUMBER('Procyfloc 956A'!D495),'Procyfloc 956A'!D495,IF(ISNUMBER(SEARCH("12",'Procyfloc 956A'!D495)),EDATE(AB2494,12),IF(ISNUMBER(SEARCH("6",'Procyfloc 956A'!D495)),EDATE(AB2494,6),IF(ISNUMBER(SEARCH("3",'Procyfloc 956A'!D495)),EDATE(AB2494,3),DATEVALUE('Procyfloc 956A'!D495))))),""))</f>
        <v/>
      </c>
      <c r="AM2494" t="str">
        <f t="shared" ca="1" si="250"/>
        <v/>
      </c>
    </row>
    <row r="2495" spans="27:39" x14ac:dyDescent="0.3">
      <c r="AA2495" t="str">
        <f>IF(COUNTA('Procyfloc 956A'!A496,'Procyfloc 956A'!B496,'Procyfloc 956A'!C496)&gt;0,"956A","")</f>
        <v/>
      </c>
      <c r="AB2495" t="str">
        <f>IFERROR(IF(ISNUMBER('Procyfloc 956A'!A496),'Procyfloc 956A'!A496,DATEVALUE('Procyfloc 956A'!A496)),"")</f>
        <v/>
      </c>
      <c r="AC2495" t="str">
        <f>IF(AA2495="","",'Procyfloc 956A'!B496)</f>
        <v/>
      </c>
      <c r="AD2495" t="str">
        <f>IF(AA2495="","",IFERROR(1*'Procyfloc 956A'!C496,IFERROR(_xludf.NUMBERVALUE('Procyfloc 956A'!C496,".",","),IFERROR(_xludf.NUMBERVALUE('Procyfloc 956A'!C496,",","."),0))))</f>
        <v/>
      </c>
      <c r="AE2495" t="str">
        <f>IF(AA2495="","",'Procyfloc 956A'!L496)</f>
        <v/>
      </c>
      <c r="AF2495">
        <f t="shared" si="245"/>
        <v>0</v>
      </c>
      <c r="AG2495" t="str">
        <f t="shared" si="246"/>
        <v/>
      </c>
      <c r="AH2495" t="str">
        <f t="shared" si="247"/>
        <v/>
      </c>
      <c r="AI2495">
        <f t="shared" si="248"/>
        <v>0</v>
      </c>
      <c r="AJ2495">
        <f t="shared" si="249"/>
        <v>0</v>
      </c>
      <c r="AK2495">
        <v>0</v>
      </c>
      <c r="AL2495" t="str">
        <f>IF(AA2495="","",IFERROR(IF(ISNUMBER('Procyfloc 956A'!D496),'Procyfloc 956A'!D496,IF(ISNUMBER(SEARCH("12",'Procyfloc 956A'!D496)),EDATE(AB2495,12),IF(ISNUMBER(SEARCH("6",'Procyfloc 956A'!D496)),EDATE(AB2495,6),IF(ISNUMBER(SEARCH("3",'Procyfloc 956A'!D496)),EDATE(AB2495,3),DATEVALUE('Procyfloc 956A'!D496))))),""))</f>
        <v/>
      </c>
      <c r="AM2495" t="str">
        <f t="shared" ca="1" si="250"/>
        <v/>
      </c>
    </row>
    <row r="2496" spans="27:39" x14ac:dyDescent="0.3">
      <c r="AA2496" t="str">
        <f>IF(COUNTA('Procyfloc 956A'!A497,'Procyfloc 956A'!B497,'Procyfloc 956A'!C497)&gt;0,"956A","")</f>
        <v/>
      </c>
      <c r="AB2496" t="str">
        <f>IFERROR(IF(ISNUMBER('Procyfloc 956A'!A497),'Procyfloc 956A'!A497,DATEVALUE('Procyfloc 956A'!A497)),"")</f>
        <v/>
      </c>
      <c r="AC2496" t="str">
        <f>IF(AA2496="","",'Procyfloc 956A'!B497)</f>
        <v/>
      </c>
      <c r="AD2496" t="str">
        <f>IF(AA2496="","",IFERROR(1*'Procyfloc 956A'!C497,IFERROR(_xludf.NUMBERVALUE('Procyfloc 956A'!C497,".",","),IFERROR(_xludf.NUMBERVALUE('Procyfloc 956A'!C497,",","."),0))))</f>
        <v/>
      </c>
      <c r="AE2496" t="str">
        <f>IF(AA2496="","",'Procyfloc 956A'!L497)</f>
        <v/>
      </c>
      <c r="AF2496">
        <f t="shared" si="245"/>
        <v>0</v>
      </c>
      <c r="AG2496" t="str">
        <f t="shared" si="246"/>
        <v/>
      </c>
      <c r="AH2496" t="str">
        <f t="shared" si="247"/>
        <v/>
      </c>
      <c r="AI2496">
        <f t="shared" si="248"/>
        <v>0</v>
      </c>
      <c r="AJ2496">
        <f t="shared" si="249"/>
        <v>0</v>
      </c>
      <c r="AK2496">
        <v>0</v>
      </c>
      <c r="AL2496" t="str">
        <f>IF(AA2496="","",IFERROR(IF(ISNUMBER('Procyfloc 956A'!D497),'Procyfloc 956A'!D497,IF(ISNUMBER(SEARCH("12",'Procyfloc 956A'!D497)),EDATE(AB2496,12),IF(ISNUMBER(SEARCH("6",'Procyfloc 956A'!D497)),EDATE(AB2496,6),IF(ISNUMBER(SEARCH("3",'Procyfloc 956A'!D497)),EDATE(AB2496,3),DATEVALUE('Procyfloc 956A'!D497))))),""))</f>
        <v/>
      </c>
      <c r="AM2496" t="str">
        <f t="shared" ca="1" si="250"/>
        <v/>
      </c>
    </row>
    <row r="2497" spans="27:39" x14ac:dyDescent="0.3">
      <c r="AA2497" t="str">
        <f>IF(COUNTA('Procyfloc 956A'!A498,'Procyfloc 956A'!B498,'Procyfloc 956A'!C498)&gt;0,"956A","")</f>
        <v/>
      </c>
      <c r="AB2497" t="str">
        <f>IFERROR(IF(ISNUMBER('Procyfloc 956A'!A498),'Procyfloc 956A'!A498,DATEVALUE('Procyfloc 956A'!A498)),"")</f>
        <v/>
      </c>
      <c r="AC2497" t="str">
        <f>IF(AA2497="","",'Procyfloc 956A'!B498)</f>
        <v/>
      </c>
      <c r="AD2497" t="str">
        <f>IF(AA2497="","",IFERROR(1*'Procyfloc 956A'!C498,IFERROR(_xludf.NUMBERVALUE('Procyfloc 956A'!C498,".",","),IFERROR(_xludf.NUMBERVALUE('Procyfloc 956A'!C498,",","."),0))))</f>
        <v/>
      </c>
      <c r="AE2497" t="str">
        <f>IF(AA2497="","",'Procyfloc 956A'!L498)</f>
        <v/>
      </c>
      <c r="AF2497">
        <f t="shared" si="245"/>
        <v>0</v>
      </c>
      <c r="AG2497" t="str">
        <f t="shared" si="246"/>
        <v/>
      </c>
      <c r="AH2497" t="str">
        <f t="shared" si="247"/>
        <v/>
      </c>
      <c r="AI2497">
        <f t="shared" si="248"/>
        <v>0</v>
      </c>
      <c r="AJ2497">
        <f t="shared" si="249"/>
        <v>0</v>
      </c>
      <c r="AK2497">
        <v>0</v>
      </c>
      <c r="AL2497" t="str">
        <f>IF(AA2497="","",IFERROR(IF(ISNUMBER('Procyfloc 956A'!D498),'Procyfloc 956A'!D498,IF(ISNUMBER(SEARCH("12",'Procyfloc 956A'!D498)),EDATE(AB2497,12),IF(ISNUMBER(SEARCH("6",'Procyfloc 956A'!D498)),EDATE(AB2497,6),IF(ISNUMBER(SEARCH("3",'Procyfloc 956A'!D498)),EDATE(AB2497,3),DATEVALUE('Procyfloc 956A'!D498))))),""))</f>
        <v/>
      </c>
      <c r="AM2497" t="str">
        <f t="shared" ca="1" si="250"/>
        <v/>
      </c>
    </row>
    <row r="2498" spans="27:39" x14ac:dyDescent="0.3">
      <c r="AA2498" t="str">
        <f>IF(COUNTA('Procyfloc 956A'!A499,'Procyfloc 956A'!B499,'Procyfloc 956A'!C499)&gt;0,"956A","")</f>
        <v/>
      </c>
      <c r="AB2498" t="str">
        <f>IFERROR(IF(ISNUMBER('Procyfloc 956A'!A499),'Procyfloc 956A'!A499,DATEVALUE('Procyfloc 956A'!A499)),"")</f>
        <v/>
      </c>
      <c r="AC2498" t="str">
        <f>IF(AA2498="","",'Procyfloc 956A'!B499)</f>
        <v/>
      </c>
      <c r="AD2498" t="str">
        <f>IF(AA2498="","",IFERROR(1*'Procyfloc 956A'!C499,IFERROR(_xludf.NUMBERVALUE('Procyfloc 956A'!C499,".",","),IFERROR(_xludf.NUMBERVALUE('Procyfloc 956A'!C499,",","."),0))))</f>
        <v/>
      </c>
      <c r="AE2498" t="str">
        <f>IF(AA2498="","",'Procyfloc 956A'!L499)</f>
        <v/>
      </c>
      <c r="AF2498">
        <f t="shared" ref="AF2498:AF2561" si="251">IF(AA2498="",0,--AND(ISNUMBER(SEARCH("aprov",AE2498)),NOT(ISNUMBER(SEARCH("reprov",AE2498)))))</f>
        <v>0</v>
      </c>
      <c r="AG2498" t="str">
        <f t="shared" ref="AG2498:AG2561" si="252">IF(AB2498="","",YEAR(AB2498))</f>
        <v/>
      </c>
      <c r="AH2498" t="str">
        <f t="shared" ref="AH2498:AH2561" si="253">IF(AB2498="","",MONTH(AB2498))</f>
        <v/>
      </c>
      <c r="AI2498">
        <f t="shared" ref="AI2498:AI2561" si="254">IF(AB2498="",0,AB2498+ROW()/1000000)</f>
        <v>0</v>
      </c>
      <c r="AJ2498">
        <f t="shared" ref="AJ2498:AJ2561" si="255">--(AA2498&lt;&gt;"")</f>
        <v>0</v>
      </c>
      <c r="AK2498">
        <v>0</v>
      </c>
      <c r="AL2498" t="str">
        <f>IF(AA2498="","",IFERROR(IF(ISNUMBER('Procyfloc 956A'!D499),'Procyfloc 956A'!D499,IF(ISNUMBER(SEARCH("12",'Procyfloc 956A'!D499)),EDATE(AB2498,12),IF(ISNUMBER(SEARCH("6",'Procyfloc 956A'!D499)),EDATE(AB2498,6),IF(ISNUMBER(SEARCH("3",'Procyfloc 956A'!D499)),EDATE(AB2498,3),DATEVALUE('Procyfloc 956A'!D499))))),""))</f>
        <v/>
      </c>
      <c r="AM2498" t="str">
        <f t="shared" ref="AM2498:AM2561" ca="1" si="256">IF(AND(AJ2498=1,AL2498&lt;&gt;"",AL2498&gt;=TODAY(),AG2498=$W$3),AL2498+ROW()/1000000,"")</f>
        <v/>
      </c>
    </row>
    <row r="2499" spans="27:39" x14ac:dyDescent="0.3">
      <c r="AA2499" t="str">
        <f>IF(COUNTA('Procyfloc 956A'!A500,'Procyfloc 956A'!B500,'Procyfloc 956A'!C500)&gt;0,"956A","")</f>
        <v/>
      </c>
      <c r="AB2499" t="str">
        <f>IFERROR(IF(ISNUMBER('Procyfloc 956A'!A500),'Procyfloc 956A'!A500,DATEVALUE('Procyfloc 956A'!A500)),"")</f>
        <v/>
      </c>
      <c r="AC2499" t="str">
        <f>IF(AA2499="","",'Procyfloc 956A'!B500)</f>
        <v/>
      </c>
      <c r="AD2499" t="str">
        <f>IF(AA2499="","",IFERROR(1*'Procyfloc 956A'!C500,IFERROR(_xludf.NUMBERVALUE('Procyfloc 956A'!C500,".",","),IFERROR(_xludf.NUMBERVALUE('Procyfloc 956A'!C500,",","."),0))))</f>
        <v/>
      </c>
      <c r="AE2499" t="str">
        <f>IF(AA2499="","",'Procyfloc 956A'!L500)</f>
        <v/>
      </c>
      <c r="AF2499">
        <f t="shared" si="251"/>
        <v>0</v>
      </c>
      <c r="AG2499" t="str">
        <f t="shared" si="252"/>
        <v/>
      </c>
      <c r="AH2499" t="str">
        <f t="shared" si="253"/>
        <v/>
      </c>
      <c r="AI2499">
        <f t="shared" si="254"/>
        <v>0</v>
      </c>
      <c r="AJ2499">
        <f t="shared" si="255"/>
        <v>0</v>
      </c>
      <c r="AK2499">
        <v>0</v>
      </c>
      <c r="AL2499" t="str">
        <f>IF(AA2499="","",IFERROR(IF(ISNUMBER('Procyfloc 956A'!D500),'Procyfloc 956A'!D500,IF(ISNUMBER(SEARCH("12",'Procyfloc 956A'!D500)),EDATE(AB2499,12),IF(ISNUMBER(SEARCH("6",'Procyfloc 956A'!D500)),EDATE(AB2499,6),IF(ISNUMBER(SEARCH("3",'Procyfloc 956A'!D500)),EDATE(AB2499,3),DATEVALUE('Procyfloc 956A'!D500))))),""))</f>
        <v/>
      </c>
      <c r="AM2499" t="str">
        <f t="shared" ca="1" si="256"/>
        <v/>
      </c>
    </row>
    <row r="2500" spans="27:39" x14ac:dyDescent="0.3">
      <c r="AA2500" t="str">
        <f>IF(COUNTA('Procyfloc 956A'!A501,'Procyfloc 956A'!B501,'Procyfloc 956A'!C501)&gt;0,"956A","")</f>
        <v/>
      </c>
      <c r="AB2500" t="str">
        <f>IFERROR(IF(ISNUMBER('Procyfloc 956A'!A501),'Procyfloc 956A'!A501,DATEVALUE('Procyfloc 956A'!A501)),"")</f>
        <v/>
      </c>
      <c r="AC2500" t="str">
        <f>IF(AA2500="","",'Procyfloc 956A'!B501)</f>
        <v/>
      </c>
      <c r="AD2500" t="str">
        <f>IF(AA2500="","",IFERROR(1*'Procyfloc 956A'!C501,IFERROR(_xludf.NUMBERVALUE('Procyfloc 956A'!C501,".",","),IFERROR(_xludf.NUMBERVALUE('Procyfloc 956A'!C501,",","."),0))))</f>
        <v/>
      </c>
      <c r="AE2500" t="str">
        <f>IF(AA2500="","",'Procyfloc 956A'!L501)</f>
        <v/>
      </c>
      <c r="AF2500">
        <f t="shared" si="251"/>
        <v>0</v>
      </c>
      <c r="AG2500" t="str">
        <f t="shared" si="252"/>
        <v/>
      </c>
      <c r="AH2500" t="str">
        <f t="shared" si="253"/>
        <v/>
      </c>
      <c r="AI2500">
        <f t="shared" si="254"/>
        <v>0</v>
      </c>
      <c r="AJ2500">
        <f t="shared" si="255"/>
        <v>0</v>
      </c>
      <c r="AK2500">
        <v>0</v>
      </c>
      <c r="AL2500" t="str">
        <f>IF(AA2500="","",IFERROR(IF(ISNUMBER('Procyfloc 956A'!D501),'Procyfloc 956A'!D501,IF(ISNUMBER(SEARCH("12",'Procyfloc 956A'!D501)),EDATE(AB2500,12),IF(ISNUMBER(SEARCH("6",'Procyfloc 956A'!D501)),EDATE(AB2500,6),IF(ISNUMBER(SEARCH("3",'Procyfloc 956A'!D501)),EDATE(AB2500,3),DATEVALUE('Procyfloc 956A'!D501))))),""))</f>
        <v/>
      </c>
      <c r="AM2500" t="str">
        <f t="shared" ca="1" si="256"/>
        <v/>
      </c>
    </row>
    <row r="2501" spans="27:39" x14ac:dyDescent="0.3">
      <c r="AA2501" t="str">
        <f>IF(COUNTA('Procyfloc 956A'!A502,'Procyfloc 956A'!B502,'Procyfloc 956A'!C502)&gt;0,"956A","")</f>
        <v/>
      </c>
      <c r="AB2501" t="str">
        <f>IFERROR(IF(ISNUMBER('Procyfloc 956A'!A502),'Procyfloc 956A'!A502,DATEVALUE('Procyfloc 956A'!A502)),"")</f>
        <v/>
      </c>
      <c r="AC2501" t="str">
        <f>IF(AA2501="","",'Procyfloc 956A'!B502)</f>
        <v/>
      </c>
      <c r="AD2501" t="str">
        <f>IF(AA2501="","",IFERROR(1*'Procyfloc 956A'!C502,IFERROR(_xludf.NUMBERVALUE('Procyfloc 956A'!C502,".",","),IFERROR(_xludf.NUMBERVALUE('Procyfloc 956A'!C502,",","."),0))))</f>
        <v/>
      </c>
      <c r="AE2501" t="str">
        <f>IF(AA2501="","",'Procyfloc 956A'!L502)</f>
        <v/>
      </c>
      <c r="AF2501">
        <f t="shared" si="251"/>
        <v>0</v>
      </c>
      <c r="AG2501" t="str">
        <f t="shared" si="252"/>
        <v/>
      </c>
      <c r="AH2501" t="str">
        <f t="shared" si="253"/>
        <v/>
      </c>
      <c r="AI2501">
        <f t="shared" si="254"/>
        <v>0</v>
      </c>
      <c r="AJ2501">
        <f t="shared" si="255"/>
        <v>0</v>
      </c>
      <c r="AK2501">
        <v>0</v>
      </c>
      <c r="AL2501" t="str">
        <f>IF(AA2501="","",IFERROR(IF(ISNUMBER('Procyfloc 956A'!D502),'Procyfloc 956A'!D502,IF(ISNUMBER(SEARCH("12",'Procyfloc 956A'!D502)),EDATE(AB2501,12),IF(ISNUMBER(SEARCH("6",'Procyfloc 956A'!D502)),EDATE(AB2501,6),IF(ISNUMBER(SEARCH("3",'Procyfloc 956A'!D502)),EDATE(AB2501,3),DATEVALUE('Procyfloc 956A'!D502))))),""))</f>
        <v/>
      </c>
      <c r="AM2501" t="str">
        <f t="shared" ca="1" si="256"/>
        <v/>
      </c>
    </row>
    <row r="2502" spans="27:39" x14ac:dyDescent="0.3">
      <c r="AA2502" t="str">
        <f>IF(COUNTA('Procyfloc 1009'!A3,'Procyfloc 1009'!B3,'Procyfloc 1009'!C3)&gt;0,"1009","")</f>
        <v/>
      </c>
      <c r="AB2502" t="str">
        <f>IFERROR(IF(ISNUMBER('Procyfloc 1009'!A3),'Procyfloc 1009'!A3,DATEVALUE('Procyfloc 1009'!A3)),"")</f>
        <v/>
      </c>
      <c r="AC2502" t="str">
        <f>IF(AA2502="","",'Procyfloc 1009'!B3)</f>
        <v/>
      </c>
      <c r="AD2502" t="str">
        <f>IF(AA2502="","",IFERROR(1*'Procyfloc 1009'!C3,IFERROR(_xludf.NUMBERVALUE('Procyfloc 1009'!C3,".",","),IFERROR(_xludf.NUMBERVALUE('Procyfloc 1009'!C3,",","."),0))))</f>
        <v/>
      </c>
      <c r="AE2502" t="str">
        <f>IF(AA2502="","",'Procyfloc 1009'!L3)</f>
        <v/>
      </c>
      <c r="AF2502">
        <f t="shared" si="251"/>
        <v>0</v>
      </c>
      <c r="AG2502" t="str">
        <f t="shared" si="252"/>
        <v/>
      </c>
      <c r="AH2502" t="str">
        <f t="shared" si="253"/>
        <v/>
      </c>
      <c r="AI2502">
        <f t="shared" si="254"/>
        <v>0</v>
      </c>
      <c r="AJ2502">
        <f t="shared" si="255"/>
        <v>0</v>
      </c>
      <c r="AK2502">
        <v>0</v>
      </c>
      <c r="AL2502" t="str">
        <f>IF(AA2502="","",IFERROR(IF(ISNUMBER('Procyfloc 1009'!D3),'Procyfloc 1009'!D3,IF(ISNUMBER(SEARCH("12",'Procyfloc 1009'!D3)),EDATE(AB2502,12),IF(ISNUMBER(SEARCH("6",'Procyfloc 1009'!D3)),EDATE(AB2502,6),IF(ISNUMBER(SEARCH("3",'Procyfloc 1009'!D3)),EDATE(AB2502,3),DATEVALUE('Procyfloc 1009'!D3))))),""))</f>
        <v/>
      </c>
      <c r="AM2502" t="str">
        <f t="shared" ca="1" si="256"/>
        <v/>
      </c>
    </row>
    <row r="2503" spans="27:39" x14ac:dyDescent="0.3">
      <c r="AA2503" t="str">
        <f>IF(COUNTA('Procyfloc 1009'!A4,'Procyfloc 1009'!B4,'Procyfloc 1009'!C4)&gt;0,"1009","")</f>
        <v/>
      </c>
      <c r="AB2503" t="str">
        <f>IFERROR(IF(ISNUMBER('Procyfloc 1009'!A4),'Procyfloc 1009'!A4,DATEVALUE('Procyfloc 1009'!A4)),"")</f>
        <v/>
      </c>
      <c r="AC2503" t="str">
        <f>IF(AA2503="","",'Procyfloc 1009'!B4)</f>
        <v/>
      </c>
      <c r="AD2503" t="str">
        <f>IF(AA2503="","",IFERROR(1*'Procyfloc 1009'!C4,IFERROR(_xludf.NUMBERVALUE('Procyfloc 1009'!C4,".",","),IFERROR(_xludf.NUMBERVALUE('Procyfloc 1009'!C4,",","."),0))))</f>
        <v/>
      </c>
      <c r="AE2503" t="str">
        <f>IF(AA2503="","",'Procyfloc 1009'!L4)</f>
        <v/>
      </c>
      <c r="AF2503">
        <f t="shared" si="251"/>
        <v>0</v>
      </c>
      <c r="AG2503" t="str">
        <f t="shared" si="252"/>
        <v/>
      </c>
      <c r="AH2503" t="str">
        <f t="shared" si="253"/>
        <v/>
      </c>
      <c r="AI2503">
        <f t="shared" si="254"/>
        <v>0</v>
      </c>
      <c r="AJ2503">
        <f t="shared" si="255"/>
        <v>0</v>
      </c>
      <c r="AK2503">
        <v>0</v>
      </c>
      <c r="AL2503" t="str">
        <f>IF(AA2503="","",IFERROR(IF(ISNUMBER('Procyfloc 1009'!D4),'Procyfloc 1009'!D4,IF(ISNUMBER(SEARCH("12",'Procyfloc 1009'!D4)),EDATE(AB2503,12),IF(ISNUMBER(SEARCH("6",'Procyfloc 1009'!D4)),EDATE(AB2503,6),IF(ISNUMBER(SEARCH("3",'Procyfloc 1009'!D4)),EDATE(AB2503,3),DATEVALUE('Procyfloc 1009'!D4))))),""))</f>
        <v/>
      </c>
      <c r="AM2503" t="str">
        <f t="shared" ca="1" si="256"/>
        <v/>
      </c>
    </row>
    <row r="2504" spans="27:39" x14ac:dyDescent="0.3">
      <c r="AA2504" t="str">
        <f>IF(COUNTA('Procyfloc 1009'!A5,'Procyfloc 1009'!B5,'Procyfloc 1009'!C5)&gt;0,"1009","")</f>
        <v/>
      </c>
      <c r="AB2504" t="str">
        <f>IFERROR(IF(ISNUMBER('Procyfloc 1009'!A5),'Procyfloc 1009'!A5,DATEVALUE('Procyfloc 1009'!A5)),"")</f>
        <v/>
      </c>
      <c r="AC2504" t="str">
        <f>IF(AA2504="","",'Procyfloc 1009'!B5)</f>
        <v/>
      </c>
      <c r="AD2504" t="str">
        <f>IF(AA2504="","",IFERROR(1*'Procyfloc 1009'!C5,IFERROR(_xludf.NUMBERVALUE('Procyfloc 1009'!C5,".",","),IFERROR(_xludf.NUMBERVALUE('Procyfloc 1009'!C5,",","."),0))))</f>
        <v/>
      </c>
      <c r="AE2504" t="str">
        <f>IF(AA2504="","",'Procyfloc 1009'!L5)</f>
        <v/>
      </c>
      <c r="AF2504">
        <f t="shared" si="251"/>
        <v>0</v>
      </c>
      <c r="AG2504" t="str">
        <f t="shared" si="252"/>
        <v/>
      </c>
      <c r="AH2504" t="str">
        <f t="shared" si="253"/>
        <v/>
      </c>
      <c r="AI2504">
        <f t="shared" si="254"/>
        <v>0</v>
      </c>
      <c r="AJ2504">
        <f t="shared" si="255"/>
        <v>0</v>
      </c>
      <c r="AK2504">
        <v>0</v>
      </c>
      <c r="AL2504" t="str">
        <f>IF(AA2504="","",IFERROR(IF(ISNUMBER('Procyfloc 1009'!D5),'Procyfloc 1009'!D5,IF(ISNUMBER(SEARCH("12",'Procyfloc 1009'!D5)),EDATE(AB2504,12),IF(ISNUMBER(SEARCH("6",'Procyfloc 1009'!D5)),EDATE(AB2504,6),IF(ISNUMBER(SEARCH("3",'Procyfloc 1009'!D5)),EDATE(AB2504,3),DATEVALUE('Procyfloc 1009'!D5))))),""))</f>
        <v/>
      </c>
      <c r="AM2504" t="str">
        <f t="shared" ca="1" si="256"/>
        <v/>
      </c>
    </row>
    <row r="2505" spans="27:39" x14ac:dyDescent="0.3">
      <c r="AA2505" t="str">
        <f>IF(COUNTA('Procyfloc 1009'!A6,'Procyfloc 1009'!B6,'Procyfloc 1009'!C6)&gt;0,"1009","")</f>
        <v/>
      </c>
      <c r="AB2505" t="str">
        <f>IFERROR(IF(ISNUMBER('Procyfloc 1009'!A6),'Procyfloc 1009'!A6,DATEVALUE('Procyfloc 1009'!A6)),"")</f>
        <v/>
      </c>
      <c r="AC2505" t="str">
        <f>IF(AA2505="","",'Procyfloc 1009'!B6)</f>
        <v/>
      </c>
      <c r="AD2505" t="str">
        <f>IF(AA2505="","",IFERROR(1*'Procyfloc 1009'!C6,IFERROR(_xludf.NUMBERVALUE('Procyfloc 1009'!C6,".",","),IFERROR(_xludf.NUMBERVALUE('Procyfloc 1009'!C6,",","."),0))))</f>
        <v/>
      </c>
      <c r="AE2505" t="str">
        <f>IF(AA2505="","",'Procyfloc 1009'!L6)</f>
        <v/>
      </c>
      <c r="AF2505">
        <f t="shared" si="251"/>
        <v>0</v>
      </c>
      <c r="AG2505" t="str">
        <f t="shared" si="252"/>
        <v/>
      </c>
      <c r="AH2505" t="str">
        <f t="shared" si="253"/>
        <v/>
      </c>
      <c r="AI2505">
        <f t="shared" si="254"/>
        <v>0</v>
      </c>
      <c r="AJ2505">
        <f t="shared" si="255"/>
        <v>0</v>
      </c>
      <c r="AK2505">
        <v>0</v>
      </c>
      <c r="AL2505" t="str">
        <f>IF(AA2505="","",IFERROR(IF(ISNUMBER('Procyfloc 1009'!D6),'Procyfloc 1009'!D6,IF(ISNUMBER(SEARCH("12",'Procyfloc 1009'!D6)),EDATE(AB2505,12),IF(ISNUMBER(SEARCH("6",'Procyfloc 1009'!D6)),EDATE(AB2505,6),IF(ISNUMBER(SEARCH("3",'Procyfloc 1009'!D6)),EDATE(AB2505,3),DATEVALUE('Procyfloc 1009'!D6))))),""))</f>
        <v/>
      </c>
      <c r="AM2505" t="str">
        <f t="shared" ca="1" si="256"/>
        <v/>
      </c>
    </row>
    <row r="2506" spans="27:39" x14ac:dyDescent="0.3">
      <c r="AA2506" t="str">
        <f>IF(COUNTA('Procyfloc 1009'!A7,'Procyfloc 1009'!B7,'Procyfloc 1009'!C7)&gt;0,"1009","")</f>
        <v/>
      </c>
      <c r="AB2506" t="str">
        <f>IFERROR(IF(ISNUMBER('Procyfloc 1009'!A7),'Procyfloc 1009'!A7,DATEVALUE('Procyfloc 1009'!A7)),"")</f>
        <v/>
      </c>
      <c r="AC2506" t="str">
        <f>IF(AA2506="","",'Procyfloc 1009'!B7)</f>
        <v/>
      </c>
      <c r="AD2506" t="str">
        <f>IF(AA2506="","",IFERROR(1*'Procyfloc 1009'!C7,IFERROR(_xludf.NUMBERVALUE('Procyfloc 1009'!C7,".",","),IFERROR(_xludf.NUMBERVALUE('Procyfloc 1009'!C7,",","."),0))))</f>
        <v/>
      </c>
      <c r="AE2506" t="str">
        <f>IF(AA2506="","",'Procyfloc 1009'!L7)</f>
        <v/>
      </c>
      <c r="AF2506">
        <f t="shared" si="251"/>
        <v>0</v>
      </c>
      <c r="AG2506" t="str">
        <f t="shared" si="252"/>
        <v/>
      </c>
      <c r="AH2506" t="str">
        <f t="shared" si="253"/>
        <v/>
      </c>
      <c r="AI2506">
        <f t="shared" si="254"/>
        <v>0</v>
      </c>
      <c r="AJ2506">
        <f t="shared" si="255"/>
        <v>0</v>
      </c>
      <c r="AK2506">
        <v>0</v>
      </c>
      <c r="AL2506" t="str">
        <f>IF(AA2506="","",IFERROR(IF(ISNUMBER('Procyfloc 1009'!D7),'Procyfloc 1009'!D7,IF(ISNUMBER(SEARCH("12",'Procyfloc 1009'!D7)),EDATE(AB2506,12),IF(ISNUMBER(SEARCH("6",'Procyfloc 1009'!D7)),EDATE(AB2506,6),IF(ISNUMBER(SEARCH("3",'Procyfloc 1009'!D7)),EDATE(AB2506,3),DATEVALUE('Procyfloc 1009'!D7))))),""))</f>
        <v/>
      </c>
      <c r="AM2506" t="str">
        <f t="shared" ca="1" si="256"/>
        <v/>
      </c>
    </row>
    <row r="2507" spans="27:39" x14ac:dyDescent="0.3">
      <c r="AA2507" t="str">
        <f>IF(COUNTA('Procyfloc 1009'!A8,'Procyfloc 1009'!B8,'Procyfloc 1009'!C8)&gt;0,"1009","")</f>
        <v/>
      </c>
      <c r="AB2507" t="str">
        <f>IFERROR(IF(ISNUMBER('Procyfloc 1009'!A8),'Procyfloc 1009'!A8,DATEVALUE('Procyfloc 1009'!A8)),"")</f>
        <v/>
      </c>
      <c r="AC2507" t="str">
        <f>IF(AA2507="","",'Procyfloc 1009'!B8)</f>
        <v/>
      </c>
      <c r="AD2507" t="str">
        <f>IF(AA2507="","",IFERROR(1*'Procyfloc 1009'!C8,IFERROR(_xludf.NUMBERVALUE('Procyfloc 1009'!C8,".",","),IFERROR(_xludf.NUMBERVALUE('Procyfloc 1009'!C8,",","."),0))))</f>
        <v/>
      </c>
      <c r="AE2507" t="str">
        <f>IF(AA2507="","",'Procyfloc 1009'!L8)</f>
        <v/>
      </c>
      <c r="AF2507">
        <f t="shared" si="251"/>
        <v>0</v>
      </c>
      <c r="AG2507" t="str">
        <f t="shared" si="252"/>
        <v/>
      </c>
      <c r="AH2507" t="str">
        <f t="shared" si="253"/>
        <v/>
      </c>
      <c r="AI2507">
        <f t="shared" si="254"/>
        <v>0</v>
      </c>
      <c r="AJ2507">
        <f t="shared" si="255"/>
        <v>0</v>
      </c>
      <c r="AK2507">
        <v>0</v>
      </c>
      <c r="AL2507" t="str">
        <f>IF(AA2507="","",IFERROR(IF(ISNUMBER('Procyfloc 1009'!D8),'Procyfloc 1009'!D8,IF(ISNUMBER(SEARCH("12",'Procyfloc 1009'!D8)),EDATE(AB2507,12),IF(ISNUMBER(SEARCH("6",'Procyfloc 1009'!D8)),EDATE(AB2507,6),IF(ISNUMBER(SEARCH("3",'Procyfloc 1009'!D8)),EDATE(AB2507,3),DATEVALUE('Procyfloc 1009'!D8))))),""))</f>
        <v/>
      </c>
      <c r="AM2507" t="str">
        <f t="shared" ca="1" si="256"/>
        <v/>
      </c>
    </row>
    <row r="2508" spans="27:39" x14ac:dyDescent="0.3">
      <c r="AA2508" t="str">
        <f>IF(COUNTA('Procyfloc 1009'!A9,'Procyfloc 1009'!B9,'Procyfloc 1009'!C9)&gt;0,"1009","")</f>
        <v/>
      </c>
      <c r="AB2508" t="str">
        <f>IFERROR(IF(ISNUMBER('Procyfloc 1009'!A9),'Procyfloc 1009'!A9,DATEVALUE('Procyfloc 1009'!A9)),"")</f>
        <v/>
      </c>
      <c r="AC2508" t="str">
        <f>IF(AA2508="","",'Procyfloc 1009'!B9)</f>
        <v/>
      </c>
      <c r="AD2508" t="str">
        <f>IF(AA2508="","",IFERROR(1*'Procyfloc 1009'!C9,IFERROR(_xludf.NUMBERVALUE('Procyfloc 1009'!C9,".",","),IFERROR(_xludf.NUMBERVALUE('Procyfloc 1009'!C9,",","."),0))))</f>
        <v/>
      </c>
      <c r="AE2508" t="str">
        <f>IF(AA2508="","",'Procyfloc 1009'!L9)</f>
        <v/>
      </c>
      <c r="AF2508">
        <f t="shared" si="251"/>
        <v>0</v>
      </c>
      <c r="AG2508" t="str">
        <f t="shared" si="252"/>
        <v/>
      </c>
      <c r="AH2508" t="str">
        <f t="shared" si="253"/>
        <v/>
      </c>
      <c r="AI2508">
        <f t="shared" si="254"/>
        <v>0</v>
      </c>
      <c r="AJ2508">
        <f t="shared" si="255"/>
        <v>0</v>
      </c>
      <c r="AK2508">
        <v>0</v>
      </c>
      <c r="AL2508" t="str">
        <f>IF(AA2508="","",IFERROR(IF(ISNUMBER('Procyfloc 1009'!D9),'Procyfloc 1009'!D9,IF(ISNUMBER(SEARCH("12",'Procyfloc 1009'!D9)),EDATE(AB2508,12),IF(ISNUMBER(SEARCH("6",'Procyfloc 1009'!D9)),EDATE(AB2508,6),IF(ISNUMBER(SEARCH("3",'Procyfloc 1009'!D9)),EDATE(AB2508,3),DATEVALUE('Procyfloc 1009'!D9))))),""))</f>
        <v/>
      </c>
      <c r="AM2508" t="str">
        <f t="shared" ca="1" si="256"/>
        <v/>
      </c>
    </row>
    <row r="2509" spans="27:39" x14ac:dyDescent="0.3">
      <c r="AA2509" t="str">
        <f>IF(COUNTA('Procyfloc 1009'!A10,'Procyfloc 1009'!B10,'Procyfloc 1009'!C10)&gt;0,"1009","")</f>
        <v/>
      </c>
      <c r="AB2509" t="str">
        <f>IFERROR(IF(ISNUMBER('Procyfloc 1009'!A10),'Procyfloc 1009'!A10,DATEVALUE('Procyfloc 1009'!A10)),"")</f>
        <v/>
      </c>
      <c r="AC2509" t="str">
        <f>IF(AA2509="","",'Procyfloc 1009'!B10)</f>
        <v/>
      </c>
      <c r="AD2509" t="str">
        <f>IF(AA2509="","",IFERROR(1*'Procyfloc 1009'!C10,IFERROR(_xludf.NUMBERVALUE('Procyfloc 1009'!C10,".",","),IFERROR(_xludf.NUMBERVALUE('Procyfloc 1009'!C10,",","."),0))))</f>
        <v/>
      </c>
      <c r="AE2509" t="str">
        <f>IF(AA2509="","",'Procyfloc 1009'!L10)</f>
        <v/>
      </c>
      <c r="AF2509">
        <f t="shared" si="251"/>
        <v>0</v>
      </c>
      <c r="AG2509" t="str">
        <f t="shared" si="252"/>
        <v/>
      </c>
      <c r="AH2509" t="str">
        <f t="shared" si="253"/>
        <v/>
      </c>
      <c r="AI2509">
        <f t="shared" si="254"/>
        <v>0</v>
      </c>
      <c r="AJ2509">
        <f t="shared" si="255"/>
        <v>0</v>
      </c>
      <c r="AK2509">
        <v>0</v>
      </c>
      <c r="AL2509" t="str">
        <f>IF(AA2509="","",IFERROR(IF(ISNUMBER('Procyfloc 1009'!D10),'Procyfloc 1009'!D10,IF(ISNUMBER(SEARCH("12",'Procyfloc 1009'!D10)),EDATE(AB2509,12),IF(ISNUMBER(SEARCH("6",'Procyfloc 1009'!D10)),EDATE(AB2509,6),IF(ISNUMBER(SEARCH("3",'Procyfloc 1009'!D10)),EDATE(AB2509,3),DATEVALUE('Procyfloc 1009'!D10))))),""))</f>
        <v/>
      </c>
      <c r="AM2509" t="str">
        <f t="shared" ca="1" si="256"/>
        <v/>
      </c>
    </row>
    <row r="2510" spans="27:39" x14ac:dyDescent="0.3">
      <c r="AA2510" t="str">
        <f>IF(COUNTA('Procyfloc 1009'!A11,'Procyfloc 1009'!B11,'Procyfloc 1009'!C11)&gt;0,"1009","")</f>
        <v/>
      </c>
      <c r="AB2510" t="str">
        <f>IFERROR(IF(ISNUMBER('Procyfloc 1009'!A11),'Procyfloc 1009'!A11,DATEVALUE('Procyfloc 1009'!A11)),"")</f>
        <v/>
      </c>
      <c r="AC2510" t="str">
        <f>IF(AA2510="","",'Procyfloc 1009'!B11)</f>
        <v/>
      </c>
      <c r="AD2510" t="str">
        <f>IF(AA2510="","",IFERROR(1*'Procyfloc 1009'!C11,IFERROR(_xludf.NUMBERVALUE('Procyfloc 1009'!C11,".",","),IFERROR(_xludf.NUMBERVALUE('Procyfloc 1009'!C11,",","."),0))))</f>
        <v/>
      </c>
      <c r="AE2510" t="str">
        <f>IF(AA2510="","",'Procyfloc 1009'!L11)</f>
        <v/>
      </c>
      <c r="AF2510">
        <f t="shared" si="251"/>
        <v>0</v>
      </c>
      <c r="AG2510" t="str">
        <f t="shared" si="252"/>
        <v/>
      </c>
      <c r="AH2510" t="str">
        <f t="shared" si="253"/>
        <v/>
      </c>
      <c r="AI2510">
        <f t="shared" si="254"/>
        <v>0</v>
      </c>
      <c r="AJ2510">
        <f t="shared" si="255"/>
        <v>0</v>
      </c>
      <c r="AK2510">
        <v>0</v>
      </c>
      <c r="AL2510" t="str">
        <f>IF(AA2510="","",IFERROR(IF(ISNUMBER('Procyfloc 1009'!D11),'Procyfloc 1009'!D11,IF(ISNUMBER(SEARCH("12",'Procyfloc 1009'!D11)),EDATE(AB2510,12),IF(ISNUMBER(SEARCH("6",'Procyfloc 1009'!D11)),EDATE(AB2510,6),IF(ISNUMBER(SEARCH("3",'Procyfloc 1009'!D11)),EDATE(AB2510,3),DATEVALUE('Procyfloc 1009'!D11))))),""))</f>
        <v/>
      </c>
      <c r="AM2510" t="str">
        <f t="shared" ca="1" si="256"/>
        <v/>
      </c>
    </row>
    <row r="2511" spans="27:39" x14ac:dyDescent="0.3">
      <c r="AA2511" t="str">
        <f>IF(COUNTA('Procyfloc 1009'!A12,'Procyfloc 1009'!B12,'Procyfloc 1009'!C12)&gt;0,"1009","")</f>
        <v/>
      </c>
      <c r="AB2511" t="str">
        <f>IFERROR(IF(ISNUMBER('Procyfloc 1009'!A12),'Procyfloc 1009'!A12,DATEVALUE('Procyfloc 1009'!A12)),"")</f>
        <v/>
      </c>
      <c r="AC2511" t="str">
        <f>IF(AA2511="","",'Procyfloc 1009'!B12)</f>
        <v/>
      </c>
      <c r="AD2511" t="str">
        <f>IF(AA2511="","",IFERROR(1*'Procyfloc 1009'!C12,IFERROR(_xludf.NUMBERVALUE('Procyfloc 1009'!C12,".",","),IFERROR(_xludf.NUMBERVALUE('Procyfloc 1009'!C12,",","."),0))))</f>
        <v/>
      </c>
      <c r="AE2511" t="str">
        <f>IF(AA2511="","",'Procyfloc 1009'!L12)</f>
        <v/>
      </c>
      <c r="AF2511">
        <f t="shared" si="251"/>
        <v>0</v>
      </c>
      <c r="AG2511" t="str">
        <f t="shared" si="252"/>
        <v/>
      </c>
      <c r="AH2511" t="str">
        <f t="shared" si="253"/>
        <v/>
      </c>
      <c r="AI2511">
        <f t="shared" si="254"/>
        <v>0</v>
      </c>
      <c r="AJ2511">
        <f t="shared" si="255"/>
        <v>0</v>
      </c>
      <c r="AK2511">
        <v>0</v>
      </c>
      <c r="AL2511" t="str">
        <f>IF(AA2511="","",IFERROR(IF(ISNUMBER('Procyfloc 1009'!D12),'Procyfloc 1009'!D12,IF(ISNUMBER(SEARCH("12",'Procyfloc 1009'!D12)),EDATE(AB2511,12),IF(ISNUMBER(SEARCH("6",'Procyfloc 1009'!D12)),EDATE(AB2511,6),IF(ISNUMBER(SEARCH("3",'Procyfloc 1009'!D12)),EDATE(AB2511,3),DATEVALUE('Procyfloc 1009'!D12))))),""))</f>
        <v/>
      </c>
      <c r="AM2511" t="str">
        <f t="shared" ca="1" si="256"/>
        <v/>
      </c>
    </row>
    <row r="2512" spans="27:39" x14ac:dyDescent="0.3">
      <c r="AA2512" t="str">
        <f>IF(COUNTA('Procyfloc 1009'!A13,'Procyfloc 1009'!B13,'Procyfloc 1009'!C13)&gt;0,"1009","")</f>
        <v/>
      </c>
      <c r="AB2512" t="str">
        <f>IFERROR(IF(ISNUMBER('Procyfloc 1009'!A13),'Procyfloc 1009'!A13,DATEVALUE('Procyfloc 1009'!A13)),"")</f>
        <v/>
      </c>
      <c r="AC2512" t="str">
        <f>IF(AA2512="","",'Procyfloc 1009'!B13)</f>
        <v/>
      </c>
      <c r="AD2512" t="str">
        <f>IF(AA2512="","",IFERROR(1*'Procyfloc 1009'!C13,IFERROR(_xludf.NUMBERVALUE('Procyfloc 1009'!C13,".",","),IFERROR(_xludf.NUMBERVALUE('Procyfloc 1009'!C13,",","."),0))))</f>
        <v/>
      </c>
      <c r="AE2512" t="str">
        <f>IF(AA2512="","",'Procyfloc 1009'!L13)</f>
        <v/>
      </c>
      <c r="AF2512">
        <f t="shared" si="251"/>
        <v>0</v>
      </c>
      <c r="AG2512" t="str">
        <f t="shared" si="252"/>
        <v/>
      </c>
      <c r="AH2512" t="str">
        <f t="shared" si="253"/>
        <v/>
      </c>
      <c r="AI2512">
        <f t="shared" si="254"/>
        <v>0</v>
      </c>
      <c r="AJ2512">
        <f t="shared" si="255"/>
        <v>0</v>
      </c>
      <c r="AK2512">
        <v>0</v>
      </c>
      <c r="AL2512" t="str">
        <f>IF(AA2512="","",IFERROR(IF(ISNUMBER('Procyfloc 1009'!D13),'Procyfloc 1009'!D13,IF(ISNUMBER(SEARCH("12",'Procyfloc 1009'!D13)),EDATE(AB2512,12),IF(ISNUMBER(SEARCH("6",'Procyfloc 1009'!D13)),EDATE(AB2512,6),IF(ISNUMBER(SEARCH("3",'Procyfloc 1009'!D13)),EDATE(AB2512,3),DATEVALUE('Procyfloc 1009'!D13))))),""))</f>
        <v/>
      </c>
      <c r="AM2512" t="str">
        <f t="shared" ca="1" si="256"/>
        <v/>
      </c>
    </row>
    <row r="2513" spans="27:39" x14ac:dyDescent="0.3">
      <c r="AA2513" t="str">
        <f>IF(COUNTA('Procyfloc 1009'!A14,'Procyfloc 1009'!B14,'Procyfloc 1009'!C14)&gt;0,"1009","")</f>
        <v/>
      </c>
      <c r="AB2513" t="str">
        <f>IFERROR(IF(ISNUMBER('Procyfloc 1009'!A14),'Procyfloc 1009'!A14,DATEVALUE('Procyfloc 1009'!A14)),"")</f>
        <v/>
      </c>
      <c r="AC2513" t="str">
        <f>IF(AA2513="","",'Procyfloc 1009'!B14)</f>
        <v/>
      </c>
      <c r="AD2513" t="str">
        <f>IF(AA2513="","",IFERROR(1*'Procyfloc 1009'!C14,IFERROR(_xludf.NUMBERVALUE('Procyfloc 1009'!C14,".",","),IFERROR(_xludf.NUMBERVALUE('Procyfloc 1009'!C14,",","."),0))))</f>
        <v/>
      </c>
      <c r="AE2513" t="str">
        <f>IF(AA2513="","",'Procyfloc 1009'!L14)</f>
        <v/>
      </c>
      <c r="AF2513">
        <f t="shared" si="251"/>
        <v>0</v>
      </c>
      <c r="AG2513" t="str">
        <f t="shared" si="252"/>
        <v/>
      </c>
      <c r="AH2513" t="str">
        <f t="shared" si="253"/>
        <v/>
      </c>
      <c r="AI2513">
        <f t="shared" si="254"/>
        <v>0</v>
      </c>
      <c r="AJ2513">
        <f t="shared" si="255"/>
        <v>0</v>
      </c>
      <c r="AK2513">
        <v>0</v>
      </c>
      <c r="AL2513" t="str">
        <f>IF(AA2513="","",IFERROR(IF(ISNUMBER('Procyfloc 1009'!D14),'Procyfloc 1009'!D14,IF(ISNUMBER(SEARCH("12",'Procyfloc 1009'!D14)),EDATE(AB2513,12),IF(ISNUMBER(SEARCH("6",'Procyfloc 1009'!D14)),EDATE(AB2513,6),IF(ISNUMBER(SEARCH("3",'Procyfloc 1009'!D14)),EDATE(AB2513,3),DATEVALUE('Procyfloc 1009'!D14))))),""))</f>
        <v/>
      </c>
      <c r="AM2513" t="str">
        <f t="shared" ca="1" si="256"/>
        <v/>
      </c>
    </row>
    <row r="2514" spans="27:39" x14ac:dyDescent="0.3">
      <c r="AA2514" t="str">
        <f>IF(COUNTA('Procyfloc 1009'!A15,'Procyfloc 1009'!B15,'Procyfloc 1009'!C15)&gt;0,"1009","")</f>
        <v/>
      </c>
      <c r="AB2514" t="str">
        <f>IFERROR(IF(ISNUMBER('Procyfloc 1009'!A15),'Procyfloc 1009'!A15,DATEVALUE('Procyfloc 1009'!A15)),"")</f>
        <v/>
      </c>
      <c r="AC2514" t="str">
        <f>IF(AA2514="","",'Procyfloc 1009'!B15)</f>
        <v/>
      </c>
      <c r="AD2514" t="str">
        <f>IF(AA2514="","",IFERROR(1*'Procyfloc 1009'!C15,IFERROR(_xludf.NUMBERVALUE('Procyfloc 1009'!C15,".",","),IFERROR(_xludf.NUMBERVALUE('Procyfloc 1009'!C15,",","."),0))))</f>
        <v/>
      </c>
      <c r="AE2514" t="str">
        <f>IF(AA2514="","",'Procyfloc 1009'!L15)</f>
        <v/>
      </c>
      <c r="AF2514">
        <f t="shared" si="251"/>
        <v>0</v>
      </c>
      <c r="AG2514" t="str">
        <f t="shared" si="252"/>
        <v/>
      </c>
      <c r="AH2514" t="str">
        <f t="shared" si="253"/>
        <v/>
      </c>
      <c r="AI2514">
        <f t="shared" si="254"/>
        <v>0</v>
      </c>
      <c r="AJ2514">
        <f t="shared" si="255"/>
        <v>0</v>
      </c>
      <c r="AK2514">
        <v>0</v>
      </c>
      <c r="AL2514" t="str">
        <f>IF(AA2514="","",IFERROR(IF(ISNUMBER('Procyfloc 1009'!D15),'Procyfloc 1009'!D15,IF(ISNUMBER(SEARCH("12",'Procyfloc 1009'!D15)),EDATE(AB2514,12),IF(ISNUMBER(SEARCH("6",'Procyfloc 1009'!D15)),EDATE(AB2514,6),IF(ISNUMBER(SEARCH("3",'Procyfloc 1009'!D15)),EDATE(AB2514,3),DATEVALUE('Procyfloc 1009'!D15))))),""))</f>
        <v/>
      </c>
      <c r="AM2514" t="str">
        <f t="shared" ca="1" si="256"/>
        <v/>
      </c>
    </row>
    <row r="2515" spans="27:39" x14ac:dyDescent="0.3">
      <c r="AA2515" t="str">
        <f>IF(COUNTA('Procyfloc 1009'!A16,'Procyfloc 1009'!B16,'Procyfloc 1009'!C16)&gt;0,"1009","")</f>
        <v/>
      </c>
      <c r="AB2515" t="str">
        <f>IFERROR(IF(ISNUMBER('Procyfloc 1009'!A16),'Procyfloc 1009'!A16,DATEVALUE('Procyfloc 1009'!A16)),"")</f>
        <v/>
      </c>
      <c r="AC2515" t="str">
        <f>IF(AA2515="","",'Procyfloc 1009'!B16)</f>
        <v/>
      </c>
      <c r="AD2515" t="str">
        <f>IF(AA2515="","",IFERROR(1*'Procyfloc 1009'!C16,IFERROR(_xludf.NUMBERVALUE('Procyfloc 1009'!C16,".",","),IFERROR(_xludf.NUMBERVALUE('Procyfloc 1009'!C16,",","."),0))))</f>
        <v/>
      </c>
      <c r="AE2515" t="str">
        <f>IF(AA2515="","",'Procyfloc 1009'!L16)</f>
        <v/>
      </c>
      <c r="AF2515">
        <f t="shared" si="251"/>
        <v>0</v>
      </c>
      <c r="AG2515" t="str">
        <f t="shared" si="252"/>
        <v/>
      </c>
      <c r="AH2515" t="str">
        <f t="shared" si="253"/>
        <v/>
      </c>
      <c r="AI2515">
        <f t="shared" si="254"/>
        <v>0</v>
      </c>
      <c r="AJ2515">
        <f t="shared" si="255"/>
        <v>0</v>
      </c>
      <c r="AK2515">
        <v>0</v>
      </c>
      <c r="AL2515" t="str">
        <f>IF(AA2515="","",IFERROR(IF(ISNUMBER('Procyfloc 1009'!D16),'Procyfloc 1009'!D16,IF(ISNUMBER(SEARCH("12",'Procyfloc 1009'!D16)),EDATE(AB2515,12),IF(ISNUMBER(SEARCH("6",'Procyfloc 1009'!D16)),EDATE(AB2515,6),IF(ISNUMBER(SEARCH("3",'Procyfloc 1009'!D16)),EDATE(AB2515,3),DATEVALUE('Procyfloc 1009'!D16))))),""))</f>
        <v/>
      </c>
      <c r="AM2515" t="str">
        <f t="shared" ca="1" si="256"/>
        <v/>
      </c>
    </row>
    <row r="2516" spans="27:39" x14ac:dyDescent="0.3">
      <c r="AA2516" t="str">
        <f>IF(COUNTA('Procyfloc 1009'!A17,'Procyfloc 1009'!B17,'Procyfloc 1009'!C17)&gt;0,"1009","")</f>
        <v/>
      </c>
      <c r="AB2516" t="str">
        <f>IFERROR(IF(ISNUMBER('Procyfloc 1009'!A17),'Procyfloc 1009'!A17,DATEVALUE('Procyfloc 1009'!A17)),"")</f>
        <v/>
      </c>
      <c r="AC2516" t="str">
        <f>IF(AA2516="","",'Procyfloc 1009'!B17)</f>
        <v/>
      </c>
      <c r="AD2516" t="str">
        <f>IF(AA2516="","",IFERROR(1*'Procyfloc 1009'!C17,IFERROR(_xludf.NUMBERVALUE('Procyfloc 1009'!C17,".",","),IFERROR(_xludf.NUMBERVALUE('Procyfloc 1009'!C17,",","."),0))))</f>
        <v/>
      </c>
      <c r="AE2516" t="str">
        <f>IF(AA2516="","",'Procyfloc 1009'!L17)</f>
        <v/>
      </c>
      <c r="AF2516">
        <f t="shared" si="251"/>
        <v>0</v>
      </c>
      <c r="AG2516" t="str">
        <f t="shared" si="252"/>
        <v/>
      </c>
      <c r="AH2516" t="str">
        <f t="shared" si="253"/>
        <v/>
      </c>
      <c r="AI2516">
        <f t="shared" si="254"/>
        <v>0</v>
      </c>
      <c r="AJ2516">
        <f t="shared" si="255"/>
        <v>0</v>
      </c>
      <c r="AK2516">
        <v>0</v>
      </c>
      <c r="AL2516" t="str">
        <f>IF(AA2516="","",IFERROR(IF(ISNUMBER('Procyfloc 1009'!D17),'Procyfloc 1009'!D17,IF(ISNUMBER(SEARCH("12",'Procyfloc 1009'!D17)),EDATE(AB2516,12),IF(ISNUMBER(SEARCH("6",'Procyfloc 1009'!D17)),EDATE(AB2516,6),IF(ISNUMBER(SEARCH("3",'Procyfloc 1009'!D17)),EDATE(AB2516,3),DATEVALUE('Procyfloc 1009'!D17))))),""))</f>
        <v/>
      </c>
      <c r="AM2516" t="str">
        <f t="shared" ca="1" si="256"/>
        <v/>
      </c>
    </row>
    <row r="2517" spans="27:39" x14ac:dyDescent="0.3">
      <c r="AA2517" t="str">
        <f>IF(COUNTA('Procyfloc 1009'!A18,'Procyfloc 1009'!B18,'Procyfloc 1009'!C18)&gt;0,"1009","")</f>
        <v/>
      </c>
      <c r="AB2517" t="str">
        <f>IFERROR(IF(ISNUMBER('Procyfloc 1009'!A18),'Procyfloc 1009'!A18,DATEVALUE('Procyfloc 1009'!A18)),"")</f>
        <v/>
      </c>
      <c r="AC2517" t="str">
        <f>IF(AA2517="","",'Procyfloc 1009'!B18)</f>
        <v/>
      </c>
      <c r="AD2517" t="str">
        <f>IF(AA2517="","",IFERROR(1*'Procyfloc 1009'!C18,IFERROR(_xludf.NUMBERVALUE('Procyfloc 1009'!C18,".",","),IFERROR(_xludf.NUMBERVALUE('Procyfloc 1009'!C18,",","."),0))))</f>
        <v/>
      </c>
      <c r="AE2517" t="str">
        <f>IF(AA2517="","",'Procyfloc 1009'!L18)</f>
        <v/>
      </c>
      <c r="AF2517">
        <f t="shared" si="251"/>
        <v>0</v>
      </c>
      <c r="AG2517" t="str">
        <f t="shared" si="252"/>
        <v/>
      </c>
      <c r="AH2517" t="str">
        <f t="shared" si="253"/>
        <v/>
      </c>
      <c r="AI2517">
        <f t="shared" si="254"/>
        <v>0</v>
      </c>
      <c r="AJ2517">
        <f t="shared" si="255"/>
        <v>0</v>
      </c>
      <c r="AK2517">
        <v>0</v>
      </c>
      <c r="AL2517" t="str">
        <f>IF(AA2517="","",IFERROR(IF(ISNUMBER('Procyfloc 1009'!D18),'Procyfloc 1009'!D18,IF(ISNUMBER(SEARCH("12",'Procyfloc 1009'!D18)),EDATE(AB2517,12),IF(ISNUMBER(SEARCH("6",'Procyfloc 1009'!D18)),EDATE(AB2517,6),IF(ISNUMBER(SEARCH("3",'Procyfloc 1009'!D18)),EDATE(AB2517,3),DATEVALUE('Procyfloc 1009'!D18))))),""))</f>
        <v/>
      </c>
      <c r="AM2517" t="str">
        <f t="shared" ca="1" si="256"/>
        <v/>
      </c>
    </row>
    <row r="2518" spans="27:39" x14ac:dyDescent="0.3">
      <c r="AA2518" t="str">
        <f>IF(COUNTA('Procyfloc 1009'!A19,'Procyfloc 1009'!B19,'Procyfloc 1009'!C19)&gt;0,"1009","")</f>
        <v/>
      </c>
      <c r="AB2518" t="str">
        <f>IFERROR(IF(ISNUMBER('Procyfloc 1009'!A19),'Procyfloc 1009'!A19,DATEVALUE('Procyfloc 1009'!A19)),"")</f>
        <v/>
      </c>
      <c r="AC2518" t="str">
        <f>IF(AA2518="","",'Procyfloc 1009'!B19)</f>
        <v/>
      </c>
      <c r="AD2518" t="str">
        <f>IF(AA2518="","",IFERROR(1*'Procyfloc 1009'!C19,IFERROR(_xludf.NUMBERVALUE('Procyfloc 1009'!C19,".",","),IFERROR(_xludf.NUMBERVALUE('Procyfloc 1009'!C19,",","."),0))))</f>
        <v/>
      </c>
      <c r="AE2518" t="str">
        <f>IF(AA2518="","",'Procyfloc 1009'!L19)</f>
        <v/>
      </c>
      <c r="AF2518">
        <f t="shared" si="251"/>
        <v>0</v>
      </c>
      <c r="AG2518" t="str">
        <f t="shared" si="252"/>
        <v/>
      </c>
      <c r="AH2518" t="str">
        <f t="shared" si="253"/>
        <v/>
      </c>
      <c r="AI2518">
        <f t="shared" si="254"/>
        <v>0</v>
      </c>
      <c r="AJ2518">
        <f t="shared" si="255"/>
        <v>0</v>
      </c>
      <c r="AK2518">
        <v>0</v>
      </c>
      <c r="AL2518" t="str">
        <f>IF(AA2518="","",IFERROR(IF(ISNUMBER('Procyfloc 1009'!D19),'Procyfloc 1009'!D19,IF(ISNUMBER(SEARCH("12",'Procyfloc 1009'!D19)),EDATE(AB2518,12),IF(ISNUMBER(SEARCH("6",'Procyfloc 1009'!D19)),EDATE(AB2518,6),IF(ISNUMBER(SEARCH("3",'Procyfloc 1009'!D19)),EDATE(AB2518,3),DATEVALUE('Procyfloc 1009'!D19))))),""))</f>
        <v/>
      </c>
      <c r="AM2518" t="str">
        <f t="shared" ca="1" si="256"/>
        <v/>
      </c>
    </row>
    <row r="2519" spans="27:39" x14ac:dyDescent="0.3">
      <c r="AA2519" t="str">
        <f>IF(COUNTA('Procyfloc 1009'!A20,'Procyfloc 1009'!B20,'Procyfloc 1009'!C20)&gt;0,"1009","")</f>
        <v/>
      </c>
      <c r="AB2519" t="str">
        <f>IFERROR(IF(ISNUMBER('Procyfloc 1009'!A20),'Procyfloc 1009'!A20,DATEVALUE('Procyfloc 1009'!A20)),"")</f>
        <v/>
      </c>
      <c r="AC2519" t="str">
        <f>IF(AA2519="","",'Procyfloc 1009'!B20)</f>
        <v/>
      </c>
      <c r="AD2519" t="str">
        <f>IF(AA2519="","",IFERROR(1*'Procyfloc 1009'!C20,IFERROR(_xludf.NUMBERVALUE('Procyfloc 1009'!C20,".",","),IFERROR(_xludf.NUMBERVALUE('Procyfloc 1009'!C20,",","."),0))))</f>
        <v/>
      </c>
      <c r="AE2519" t="str">
        <f>IF(AA2519="","",'Procyfloc 1009'!L20)</f>
        <v/>
      </c>
      <c r="AF2519">
        <f t="shared" si="251"/>
        <v>0</v>
      </c>
      <c r="AG2519" t="str">
        <f t="shared" si="252"/>
        <v/>
      </c>
      <c r="AH2519" t="str">
        <f t="shared" si="253"/>
        <v/>
      </c>
      <c r="AI2519">
        <f t="shared" si="254"/>
        <v>0</v>
      </c>
      <c r="AJ2519">
        <f t="shared" si="255"/>
        <v>0</v>
      </c>
      <c r="AK2519">
        <v>0</v>
      </c>
      <c r="AL2519" t="str">
        <f>IF(AA2519="","",IFERROR(IF(ISNUMBER('Procyfloc 1009'!D20),'Procyfloc 1009'!D20,IF(ISNUMBER(SEARCH("12",'Procyfloc 1009'!D20)),EDATE(AB2519,12),IF(ISNUMBER(SEARCH("6",'Procyfloc 1009'!D20)),EDATE(AB2519,6),IF(ISNUMBER(SEARCH("3",'Procyfloc 1009'!D20)),EDATE(AB2519,3),DATEVALUE('Procyfloc 1009'!D20))))),""))</f>
        <v/>
      </c>
      <c r="AM2519" t="str">
        <f t="shared" ca="1" si="256"/>
        <v/>
      </c>
    </row>
    <row r="2520" spans="27:39" x14ac:dyDescent="0.3">
      <c r="AA2520" t="str">
        <f>IF(COUNTA('Procyfloc 1009'!A21,'Procyfloc 1009'!B21,'Procyfloc 1009'!C21)&gt;0,"1009","")</f>
        <v/>
      </c>
      <c r="AB2520" t="str">
        <f>IFERROR(IF(ISNUMBER('Procyfloc 1009'!A21),'Procyfloc 1009'!A21,DATEVALUE('Procyfloc 1009'!A21)),"")</f>
        <v/>
      </c>
      <c r="AC2520" t="str">
        <f>IF(AA2520="","",'Procyfloc 1009'!B21)</f>
        <v/>
      </c>
      <c r="AD2520" t="str">
        <f>IF(AA2520="","",IFERROR(1*'Procyfloc 1009'!C21,IFERROR(_xludf.NUMBERVALUE('Procyfloc 1009'!C21,".",","),IFERROR(_xludf.NUMBERVALUE('Procyfloc 1009'!C21,",","."),0))))</f>
        <v/>
      </c>
      <c r="AE2520" t="str">
        <f>IF(AA2520="","",'Procyfloc 1009'!L21)</f>
        <v/>
      </c>
      <c r="AF2520">
        <f t="shared" si="251"/>
        <v>0</v>
      </c>
      <c r="AG2520" t="str">
        <f t="shared" si="252"/>
        <v/>
      </c>
      <c r="AH2520" t="str">
        <f t="shared" si="253"/>
        <v/>
      </c>
      <c r="AI2520">
        <f t="shared" si="254"/>
        <v>0</v>
      </c>
      <c r="AJ2520">
        <f t="shared" si="255"/>
        <v>0</v>
      </c>
      <c r="AK2520">
        <v>0</v>
      </c>
      <c r="AL2520" t="str">
        <f>IF(AA2520="","",IFERROR(IF(ISNUMBER('Procyfloc 1009'!D21),'Procyfloc 1009'!D21,IF(ISNUMBER(SEARCH("12",'Procyfloc 1009'!D21)),EDATE(AB2520,12),IF(ISNUMBER(SEARCH("6",'Procyfloc 1009'!D21)),EDATE(AB2520,6),IF(ISNUMBER(SEARCH("3",'Procyfloc 1009'!D21)),EDATE(AB2520,3),DATEVALUE('Procyfloc 1009'!D21))))),""))</f>
        <v/>
      </c>
      <c r="AM2520" t="str">
        <f t="shared" ca="1" si="256"/>
        <v/>
      </c>
    </row>
    <row r="2521" spans="27:39" x14ac:dyDescent="0.3">
      <c r="AA2521" t="str">
        <f>IF(COUNTA('Procyfloc 1009'!A22,'Procyfloc 1009'!B22,'Procyfloc 1009'!C22)&gt;0,"1009","")</f>
        <v/>
      </c>
      <c r="AB2521" t="str">
        <f>IFERROR(IF(ISNUMBER('Procyfloc 1009'!A22),'Procyfloc 1009'!A22,DATEVALUE('Procyfloc 1009'!A22)),"")</f>
        <v/>
      </c>
      <c r="AC2521" t="str">
        <f>IF(AA2521="","",'Procyfloc 1009'!B22)</f>
        <v/>
      </c>
      <c r="AD2521" t="str">
        <f>IF(AA2521="","",IFERROR(1*'Procyfloc 1009'!C22,IFERROR(_xludf.NUMBERVALUE('Procyfloc 1009'!C22,".",","),IFERROR(_xludf.NUMBERVALUE('Procyfloc 1009'!C22,",","."),0))))</f>
        <v/>
      </c>
      <c r="AE2521" t="str">
        <f>IF(AA2521="","",'Procyfloc 1009'!L22)</f>
        <v/>
      </c>
      <c r="AF2521">
        <f t="shared" si="251"/>
        <v>0</v>
      </c>
      <c r="AG2521" t="str">
        <f t="shared" si="252"/>
        <v/>
      </c>
      <c r="AH2521" t="str">
        <f t="shared" si="253"/>
        <v/>
      </c>
      <c r="AI2521">
        <f t="shared" si="254"/>
        <v>0</v>
      </c>
      <c r="AJ2521">
        <f t="shared" si="255"/>
        <v>0</v>
      </c>
      <c r="AK2521">
        <v>0</v>
      </c>
      <c r="AL2521" t="str">
        <f>IF(AA2521="","",IFERROR(IF(ISNUMBER('Procyfloc 1009'!D22),'Procyfloc 1009'!D22,IF(ISNUMBER(SEARCH("12",'Procyfloc 1009'!D22)),EDATE(AB2521,12),IF(ISNUMBER(SEARCH("6",'Procyfloc 1009'!D22)),EDATE(AB2521,6),IF(ISNUMBER(SEARCH("3",'Procyfloc 1009'!D22)),EDATE(AB2521,3),DATEVALUE('Procyfloc 1009'!D22))))),""))</f>
        <v/>
      </c>
      <c r="AM2521" t="str">
        <f t="shared" ca="1" si="256"/>
        <v/>
      </c>
    </row>
    <row r="2522" spans="27:39" x14ac:dyDescent="0.3">
      <c r="AA2522" t="str">
        <f>IF(COUNTA('Procyfloc 1009'!A23,'Procyfloc 1009'!B23,'Procyfloc 1009'!C23)&gt;0,"1009","")</f>
        <v/>
      </c>
      <c r="AB2522" t="str">
        <f>IFERROR(IF(ISNUMBER('Procyfloc 1009'!A23),'Procyfloc 1009'!A23,DATEVALUE('Procyfloc 1009'!A23)),"")</f>
        <v/>
      </c>
      <c r="AC2522" t="str">
        <f>IF(AA2522="","",'Procyfloc 1009'!B23)</f>
        <v/>
      </c>
      <c r="AD2522" t="str">
        <f>IF(AA2522="","",IFERROR(1*'Procyfloc 1009'!C23,IFERROR(_xludf.NUMBERVALUE('Procyfloc 1009'!C23,".",","),IFERROR(_xludf.NUMBERVALUE('Procyfloc 1009'!C23,",","."),0))))</f>
        <v/>
      </c>
      <c r="AE2522" t="str">
        <f>IF(AA2522="","",'Procyfloc 1009'!L23)</f>
        <v/>
      </c>
      <c r="AF2522">
        <f t="shared" si="251"/>
        <v>0</v>
      </c>
      <c r="AG2522" t="str">
        <f t="shared" si="252"/>
        <v/>
      </c>
      <c r="AH2522" t="str">
        <f t="shared" si="253"/>
        <v/>
      </c>
      <c r="AI2522">
        <f t="shared" si="254"/>
        <v>0</v>
      </c>
      <c r="AJ2522">
        <f t="shared" si="255"/>
        <v>0</v>
      </c>
      <c r="AK2522">
        <v>0</v>
      </c>
      <c r="AL2522" t="str">
        <f>IF(AA2522="","",IFERROR(IF(ISNUMBER('Procyfloc 1009'!D23),'Procyfloc 1009'!D23,IF(ISNUMBER(SEARCH("12",'Procyfloc 1009'!D23)),EDATE(AB2522,12),IF(ISNUMBER(SEARCH("6",'Procyfloc 1009'!D23)),EDATE(AB2522,6),IF(ISNUMBER(SEARCH("3",'Procyfloc 1009'!D23)),EDATE(AB2522,3),DATEVALUE('Procyfloc 1009'!D23))))),""))</f>
        <v/>
      </c>
      <c r="AM2522" t="str">
        <f t="shared" ca="1" si="256"/>
        <v/>
      </c>
    </row>
    <row r="2523" spans="27:39" x14ac:dyDescent="0.3">
      <c r="AA2523" t="str">
        <f>IF(COUNTA('Procyfloc 1009'!A24,'Procyfloc 1009'!B24,'Procyfloc 1009'!C24)&gt;0,"1009","")</f>
        <v/>
      </c>
      <c r="AB2523" t="str">
        <f>IFERROR(IF(ISNUMBER('Procyfloc 1009'!A24),'Procyfloc 1009'!A24,DATEVALUE('Procyfloc 1009'!A24)),"")</f>
        <v/>
      </c>
      <c r="AC2523" t="str">
        <f>IF(AA2523="","",'Procyfloc 1009'!B24)</f>
        <v/>
      </c>
      <c r="AD2523" t="str">
        <f>IF(AA2523="","",IFERROR(1*'Procyfloc 1009'!C24,IFERROR(_xludf.NUMBERVALUE('Procyfloc 1009'!C24,".",","),IFERROR(_xludf.NUMBERVALUE('Procyfloc 1009'!C24,",","."),0))))</f>
        <v/>
      </c>
      <c r="AE2523" t="str">
        <f>IF(AA2523="","",'Procyfloc 1009'!L24)</f>
        <v/>
      </c>
      <c r="AF2523">
        <f t="shared" si="251"/>
        <v>0</v>
      </c>
      <c r="AG2523" t="str">
        <f t="shared" si="252"/>
        <v/>
      </c>
      <c r="AH2523" t="str">
        <f t="shared" si="253"/>
        <v/>
      </c>
      <c r="AI2523">
        <f t="shared" si="254"/>
        <v>0</v>
      </c>
      <c r="AJ2523">
        <f t="shared" si="255"/>
        <v>0</v>
      </c>
      <c r="AK2523">
        <v>0</v>
      </c>
      <c r="AL2523" t="str">
        <f>IF(AA2523="","",IFERROR(IF(ISNUMBER('Procyfloc 1009'!D24),'Procyfloc 1009'!D24,IF(ISNUMBER(SEARCH("12",'Procyfloc 1009'!D24)),EDATE(AB2523,12),IF(ISNUMBER(SEARCH("6",'Procyfloc 1009'!D24)),EDATE(AB2523,6),IF(ISNUMBER(SEARCH("3",'Procyfloc 1009'!D24)),EDATE(AB2523,3),DATEVALUE('Procyfloc 1009'!D24))))),""))</f>
        <v/>
      </c>
      <c r="AM2523" t="str">
        <f t="shared" ca="1" si="256"/>
        <v/>
      </c>
    </row>
    <row r="2524" spans="27:39" x14ac:dyDescent="0.3">
      <c r="AA2524" t="str">
        <f>IF(COUNTA('Procyfloc 1009'!A25,'Procyfloc 1009'!B25,'Procyfloc 1009'!C25)&gt;0,"1009","")</f>
        <v/>
      </c>
      <c r="AB2524" t="str">
        <f>IFERROR(IF(ISNUMBER('Procyfloc 1009'!A25),'Procyfloc 1009'!A25,DATEVALUE('Procyfloc 1009'!A25)),"")</f>
        <v/>
      </c>
      <c r="AC2524" t="str">
        <f>IF(AA2524="","",'Procyfloc 1009'!B25)</f>
        <v/>
      </c>
      <c r="AD2524" t="str">
        <f>IF(AA2524="","",IFERROR(1*'Procyfloc 1009'!C25,IFERROR(_xludf.NUMBERVALUE('Procyfloc 1009'!C25,".",","),IFERROR(_xludf.NUMBERVALUE('Procyfloc 1009'!C25,",","."),0))))</f>
        <v/>
      </c>
      <c r="AE2524" t="str">
        <f>IF(AA2524="","",'Procyfloc 1009'!L25)</f>
        <v/>
      </c>
      <c r="AF2524">
        <f t="shared" si="251"/>
        <v>0</v>
      </c>
      <c r="AG2524" t="str">
        <f t="shared" si="252"/>
        <v/>
      </c>
      <c r="AH2524" t="str">
        <f t="shared" si="253"/>
        <v/>
      </c>
      <c r="AI2524">
        <f t="shared" si="254"/>
        <v>0</v>
      </c>
      <c r="AJ2524">
        <f t="shared" si="255"/>
        <v>0</v>
      </c>
      <c r="AK2524">
        <v>0</v>
      </c>
      <c r="AL2524" t="str">
        <f>IF(AA2524="","",IFERROR(IF(ISNUMBER('Procyfloc 1009'!D25),'Procyfloc 1009'!D25,IF(ISNUMBER(SEARCH("12",'Procyfloc 1009'!D25)),EDATE(AB2524,12),IF(ISNUMBER(SEARCH("6",'Procyfloc 1009'!D25)),EDATE(AB2524,6),IF(ISNUMBER(SEARCH("3",'Procyfloc 1009'!D25)),EDATE(AB2524,3),DATEVALUE('Procyfloc 1009'!D25))))),""))</f>
        <v/>
      </c>
      <c r="AM2524" t="str">
        <f t="shared" ca="1" si="256"/>
        <v/>
      </c>
    </row>
    <row r="2525" spans="27:39" x14ac:dyDescent="0.3">
      <c r="AA2525" t="str">
        <f>IF(COUNTA('Procyfloc 1009'!A26,'Procyfloc 1009'!B26,'Procyfloc 1009'!C26)&gt;0,"1009","")</f>
        <v/>
      </c>
      <c r="AB2525" t="str">
        <f>IFERROR(IF(ISNUMBER('Procyfloc 1009'!A26),'Procyfloc 1009'!A26,DATEVALUE('Procyfloc 1009'!A26)),"")</f>
        <v/>
      </c>
      <c r="AC2525" t="str">
        <f>IF(AA2525="","",'Procyfloc 1009'!B26)</f>
        <v/>
      </c>
      <c r="AD2525" t="str">
        <f>IF(AA2525="","",IFERROR(1*'Procyfloc 1009'!C26,IFERROR(_xludf.NUMBERVALUE('Procyfloc 1009'!C26,".",","),IFERROR(_xludf.NUMBERVALUE('Procyfloc 1009'!C26,",","."),0))))</f>
        <v/>
      </c>
      <c r="AE2525" t="str">
        <f>IF(AA2525="","",'Procyfloc 1009'!L26)</f>
        <v/>
      </c>
      <c r="AF2525">
        <f t="shared" si="251"/>
        <v>0</v>
      </c>
      <c r="AG2525" t="str">
        <f t="shared" si="252"/>
        <v/>
      </c>
      <c r="AH2525" t="str">
        <f t="shared" si="253"/>
        <v/>
      </c>
      <c r="AI2525">
        <f t="shared" si="254"/>
        <v>0</v>
      </c>
      <c r="AJ2525">
        <f t="shared" si="255"/>
        <v>0</v>
      </c>
      <c r="AK2525">
        <v>0</v>
      </c>
      <c r="AL2525" t="str">
        <f>IF(AA2525="","",IFERROR(IF(ISNUMBER('Procyfloc 1009'!D26),'Procyfloc 1009'!D26,IF(ISNUMBER(SEARCH("12",'Procyfloc 1009'!D26)),EDATE(AB2525,12),IF(ISNUMBER(SEARCH("6",'Procyfloc 1009'!D26)),EDATE(AB2525,6),IF(ISNUMBER(SEARCH("3",'Procyfloc 1009'!D26)),EDATE(AB2525,3),DATEVALUE('Procyfloc 1009'!D26))))),""))</f>
        <v/>
      </c>
      <c r="AM2525" t="str">
        <f t="shared" ca="1" si="256"/>
        <v/>
      </c>
    </row>
    <row r="2526" spans="27:39" x14ac:dyDescent="0.3">
      <c r="AA2526" t="str">
        <f>IF(COUNTA('Procyfloc 1009'!A27,'Procyfloc 1009'!B27,'Procyfloc 1009'!C27)&gt;0,"1009","")</f>
        <v/>
      </c>
      <c r="AB2526" t="str">
        <f>IFERROR(IF(ISNUMBER('Procyfloc 1009'!A27),'Procyfloc 1009'!A27,DATEVALUE('Procyfloc 1009'!A27)),"")</f>
        <v/>
      </c>
      <c r="AC2526" t="str">
        <f>IF(AA2526="","",'Procyfloc 1009'!B27)</f>
        <v/>
      </c>
      <c r="AD2526" t="str">
        <f>IF(AA2526="","",IFERROR(1*'Procyfloc 1009'!C27,IFERROR(_xludf.NUMBERVALUE('Procyfloc 1009'!C27,".",","),IFERROR(_xludf.NUMBERVALUE('Procyfloc 1009'!C27,",","."),0))))</f>
        <v/>
      </c>
      <c r="AE2526" t="str">
        <f>IF(AA2526="","",'Procyfloc 1009'!L27)</f>
        <v/>
      </c>
      <c r="AF2526">
        <f t="shared" si="251"/>
        <v>0</v>
      </c>
      <c r="AG2526" t="str">
        <f t="shared" si="252"/>
        <v/>
      </c>
      <c r="AH2526" t="str">
        <f t="shared" si="253"/>
        <v/>
      </c>
      <c r="AI2526">
        <f t="shared" si="254"/>
        <v>0</v>
      </c>
      <c r="AJ2526">
        <f t="shared" si="255"/>
        <v>0</v>
      </c>
      <c r="AK2526">
        <v>0</v>
      </c>
      <c r="AL2526" t="str">
        <f>IF(AA2526="","",IFERROR(IF(ISNUMBER('Procyfloc 1009'!D27),'Procyfloc 1009'!D27,IF(ISNUMBER(SEARCH("12",'Procyfloc 1009'!D27)),EDATE(AB2526,12),IF(ISNUMBER(SEARCH("6",'Procyfloc 1009'!D27)),EDATE(AB2526,6),IF(ISNUMBER(SEARCH("3",'Procyfloc 1009'!D27)),EDATE(AB2526,3),DATEVALUE('Procyfloc 1009'!D27))))),""))</f>
        <v/>
      </c>
      <c r="AM2526" t="str">
        <f t="shared" ca="1" si="256"/>
        <v/>
      </c>
    </row>
    <row r="2527" spans="27:39" x14ac:dyDescent="0.3">
      <c r="AA2527" t="str">
        <f>IF(COUNTA('Procyfloc 1009'!A28,'Procyfloc 1009'!B28,'Procyfloc 1009'!C28)&gt;0,"1009","")</f>
        <v/>
      </c>
      <c r="AB2527" t="str">
        <f>IFERROR(IF(ISNUMBER('Procyfloc 1009'!A28),'Procyfloc 1009'!A28,DATEVALUE('Procyfloc 1009'!A28)),"")</f>
        <v/>
      </c>
      <c r="AC2527" t="str">
        <f>IF(AA2527="","",'Procyfloc 1009'!B28)</f>
        <v/>
      </c>
      <c r="AD2527" t="str">
        <f>IF(AA2527="","",IFERROR(1*'Procyfloc 1009'!C28,IFERROR(_xludf.NUMBERVALUE('Procyfloc 1009'!C28,".",","),IFERROR(_xludf.NUMBERVALUE('Procyfloc 1009'!C28,",","."),0))))</f>
        <v/>
      </c>
      <c r="AE2527" t="str">
        <f>IF(AA2527="","",'Procyfloc 1009'!L28)</f>
        <v/>
      </c>
      <c r="AF2527">
        <f t="shared" si="251"/>
        <v>0</v>
      </c>
      <c r="AG2527" t="str">
        <f t="shared" si="252"/>
        <v/>
      </c>
      <c r="AH2527" t="str">
        <f t="shared" si="253"/>
        <v/>
      </c>
      <c r="AI2527">
        <f t="shared" si="254"/>
        <v>0</v>
      </c>
      <c r="AJ2527">
        <f t="shared" si="255"/>
        <v>0</v>
      </c>
      <c r="AK2527">
        <v>0</v>
      </c>
      <c r="AL2527" t="str">
        <f>IF(AA2527="","",IFERROR(IF(ISNUMBER('Procyfloc 1009'!D28),'Procyfloc 1009'!D28,IF(ISNUMBER(SEARCH("12",'Procyfloc 1009'!D28)),EDATE(AB2527,12),IF(ISNUMBER(SEARCH("6",'Procyfloc 1009'!D28)),EDATE(AB2527,6),IF(ISNUMBER(SEARCH("3",'Procyfloc 1009'!D28)),EDATE(AB2527,3),DATEVALUE('Procyfloc 1009'!D28))))),""))</f>
        <v/>
      </c>
      <c r="AM2527" t="str">
        <f t="shared" ca="1" si="256"/>
        <v/>
      </c>
    </row>
    <row r="2528" spans="27:39" x14ac:dyDescent="0.3">
      <c r="AA2528" t="str">
        <f>IF(COUNTA('Procyfloc 1009'!A29,'Procyfloc 1009'!B29,'Procyfloc 1009'!C29)&gt;0,"1009","")</f>
        <v/>
      </c>
      <c r="AB2528" t="str">
        <f>IFERROR(IF(ISNUMBER('Procyfloc 1009'!A29),'Procyfloc 1009'!A29,DATEVALUE('Procyfloc 1009'!A29)),"")</f>
        <v/>
      </c>
      <c r="AC2528" t="str">
        <f>IF(AA2528="","",'Procyfloc 1009'!B29)</f>
        <v/>
      </c>
      <c r="AD2528" t="str">
        <f>IF(AA2528="","",IFERROR(1*'Procyfloc 1009'!C29,IFERROR(_xludf.NUMBERVALUE('Procyfloc 1009'!C29,".",","),IFERROR(_xludf.NUMBERVALUE('Procyfloc 1009'!C29,",","."),0))))</f>
        <v/>
      </c>
      <c r="AE2528" t="str">
        <f>IF(AA2528="","",'Procyfloc 1009'!L29)</f>
        <v/>
      </c>
      <c r="AF2528">
        <f t="shared" si="251"/>
        <v>0</v>
      </c>
      <c r="AG2528" t="str">
        <f t="shared" si="252"/>
        <v/>
      </c>
      <c r="AH2528" t="str">
        <f t="shared" si="253"/>
        <v/>
      </c>
      <c r="AI2528">
        <f t="shared" si="254"/>
        <v>0</v>
      </c>
      <c r="AJ2528">
        <f t="shared" si="255"/>
        <v>0</v>
      </c>
      <c r="AK2528">
        <v>0</v>
      </c>
      <c r="AL2528" t="str">
        <f>IF(AA2528="","",IFERROR(IF(ISNUMBER('Procyfloc 1009'!D29),'Procyfloc 1009'!D29,IF(ISNUMBER(SEARCH("12",'Procyfloc 1009'!D29)),EDATE(AB2528,12),IF(ISNUMBER(SEARCH("6",'Procyfloc 1009'!D29)),EDATE(AB2528,6),IF(ISNUMBER(SEARCH("3",'Procyfloc 1009'!D29)),EDATE(AB2528,3),DATEVALUE('Procyfloc 1009'!D29))))),""))</f>
        <v/>
      </c>
      <c r="AM2528" t="str">
        <f t="shared" ca="1" si="256"/>
        <v/>
      </c>
    </row>
    <row r="2529" spans="27:39" x14ac:dyDescent="0.3">
      <c r="AA2529" t="str">
        <f>IF(COUNTA('Procyfloc 1009'!A30,'Procyfloc 1009'!B30,'Procyfloc 1009'!C30)&gt;0,"1009","")</f>
        <v/>
      </c>
      <c r="AB2529" t="str">
        <f>IFERROR(IF(ISNUMBER('Procyfloc 1009'!A30),'Procyfloc 1009'!A30,DATEVALUE('Procyfloc 1009'!A30)),"")</f>
        <v/>
      </c>
      <c r="AC2529" t="str">
        <f>IF(AA2529="","",'Procyfloc 1009'!B30)</f>
        <v/>
      </c>
      <c r="AD2529" t="str">
        <f>IF(AA2529="","",IFERROR(1*'Procyfloc 1009'!C30,IFERROR(_xludf.NUMBERVALUE('Procyfloc 1009'!C30,".",","),IFERROR(_xludf.NUMBERVALUE('Procyfloc 1009'!C30,",","."),0))))</f>
        <v/>
      </c>
      <c r="AE2529" t="str">
        <f>IF(AA2529="","",'Procyfloc 1009'!L30)</f>
        <v/>
      </c>
      <c r="AF2529">
        <f t="shared" si="251"/>
        <v>0</v>
      </c>
      <c r="AG2529" t="str">
        <f t="shared" si="252"/>
        <v/>
      </c>
      <c r="AH2529" t="str">
        <f t="shared" si="253"/>
        <v/>
      </c>
      <c r="AI2529">
        <f t="shared" si="254"/>
        <v>0</v>
      </c>
      <c r="AJ2529">
        <f t="shared" si="255"/>
        <v>0</v>
      </c>
      <c r="AK2529">
        <v>0</v>
      </c>
      <c r="AL2529" t="str">
        <f>IF(AA2529="","",IFERROR(IF(ISNUMBER('Procyfloc 1009'!D30),'Procyfloc 1009'!D30,IF(ISNUMBER(SEARCH("12",'Procyfloc 1009'!D30)),EDATE(AB2529,12),IF(ISNUMBER(SEARCH("6",'Procyfloc 1009'!D30)),EDATE(AB2529,6),IF(ISNUMBER(SEARCH("3",'Procyfloc 1009'!D30)),EDATE(AB2529,3),DATEVALUE('Procyfloc 1009'!D30))))),""))</f>
        <v/>
      </c>
      <c r="AM2529" t="str">
        <f t="shared" ca="1" si="256"/>
        <v/>
      </c>
    </row>
    <row r="2530" spans="27:39" x14ac:dyDescent="0.3">
      <c r="AA2530" t="str">
        <f>IF(COUNTA('Procyfloc 1009'!A31,'Procyfloc 1009'!B31,'Procyfloc 1009'!C31)&gt;0,"1009","")</f>
        <v/>
      </c>
      <c r="AB2530" t="str">
        <f>IFERROR(IF(ISNUMBER('Procyfloc 1009'!A31),'Procyfloc 1009'!A31,DATEVALUE('Procyfloc 1009'!A31)),"")</f>
        <v/>
      </c>
      <c r="AC2530" t="str">
        <f>IF(AA2530="","",'Procyfloc 1009'!B31)</f>
        <v/>
      </c>
      <c r="AD2530" t="str">
        <f>IF(AA2530="","",IFERROR(1*'Procyfloc 1009'!C31,IFERROR(_xludf.NUMBERVALUE('Procyfloc 1009'!C31,".",","),IFERROR(_xludf.NUMBERVALUE('Procyfloc 1009'!C31,",","."),0))))</f>
        <v/>
      </c>
      <c r="AE2530" t="str">
        <f>IF(AA2530="","",'Procyfloc 1009'!L31)</f>
        <v/>
      </c>
      <c r="AF2530">
        <f t="shared" si="251"/>
        <v>0</v>
      </c>
      <c r="AG2530" t="str">
        <f t="shared" si="252"/>
        <v/>
      </c>
      <c r="AH2530" t="str">
        <f t="shared" si="253"/>
        <v/>
      </c>
      <c r="AI2530">
        <f t="shared" si="254"/>
        <v>0</v>
      </c>
      <c r="AJ2530">
        <f t="shared" si="255"/>
        <v>0</v>
      </c>
      <c r="AK2530">
        <v>0</v>
      </c>
      <c r="AL2530" t="str">
        <f>IF(AA2530="","",IFERROR(IF(ISNUMBER('Procyfloc 1009'!D31),'Procyfloc 1009'!D31,IF(ISNUMBER(SEARCH("12",'Procyfloc 1009'!D31)),EDATE(AB2530,12),IF(ISNUMBER(SEARCH("6",'Procyfloc 1009'!D31)),EDATE(AB2530,6),IF(ISNUMBER(SEARCH("3",'Procyfloc 1009'!D31)),EDATE(AB2530,3),DATEVALUE('Procyfloc 1009'!D31))))),""))</f>
        <v/>
      </c>
      <c r="AM2530" t="str">
        <f t="shared" ca="1" si="256"/>
        <v/>
      </c>
    </row>
    <row r="2531" spans="27:39" x14ac:dyDescent="0.3">
      <c r="AA2531" t="str">
        <f>IF(COUNTA('Procyfloc 1009'!A32,'Procyfloc 1009'!B32,'Procyfloc 1009'!C32)&gt;0,"1009","")</f>
        <v/>
      </c>
      <c r="AB2531" t="str">
        <f>IFERROR(IF(ISNUMBER('Procyfloc 1009'!A32),'Procyfloc 1009'!A32,DATEVALUE('Procyfloc 1009'!A32)),"")</f>
        <v/>
      </c>
      <c r="AC2531" t="str">
        <f>IF(AA2531="","",'Procyfloc 1009'!B32)</f>
        <v/>
      </c>
      <c r="AD2531" t="str">
        <f>IF(AA2531="","",IFERROR(1*'Procyfloc 1009'!C32,IFERROR(_xludf.NUMBERVALUE('Procyfloc 1009'!C32,".",","),IFERROR(_xludf.NUMBERVALUE('Procyfloc 1009'!C32,",","."),0))))</f>
        <v/>
      </c>
      <c r="AE2531" t="str">
        <f>IF(AA2531="","",'Procyfloc 1009'!L32)</f>
        <v/>
      </c>
      <c r="AF2531">
        <f t="shared" si="251"/>
        <v>0</v>
      </c>
      <c r="AG2531" t="str">
        <f t="shared" si="252"/>
        <v/>
      </c>
      <c r="AH2531" t="str">
        <f t="shared" si="253"/>
        <v/>
      </c>
      <c r="AI2531">
        <f t="shared" si="254"/>
        <v>0</v>
      </c>
      <c r="AJ2531">
        <f t="shared" si="255"/>
        <v>0</v>
      </c>
      <c r="AK2531">
        <v>0</v>
      </c>
      <c r="AL2531" t="str">
        <f>IF(AA2531="","",IFERROR(IF(ISNUMBER('Procyfloc 1009'!D32),'Procyfloc 1009'!D32,IF(ISNUMBER(SEARCH("12",'Procyfloc 1009'!D32)),EDATE(AB2531,12),IF(ISNUMBER(SEARCH("6",'Procyfloc 1009'!D32)),EDATE(AB2531,6),IF(ISNUMBER(SEARCH("3",'Procyfloc 1009'!D32)),EDATE(AB2531,3),DATEVALUE('Procyfloc 1009'!D32))))),""))</f>
        <v/>
      </c>
      <c r="AM2531" t="str">
        <f t="shared" ca="1" si="256"/>
        <v/>
      </c>
    </row>
    <row r="2532" spans="27:39" x14ac:dyDescent="0.3">
      <c r="AA2532" t="str">
        <f>IF(COUNTA('Procyfloc 1009'!A33,'Procyfloc 1009'!B33,'Procyfloc 1009'!C33)&gt;0,"1009","")</f>
        <v/>
      </c>
      <c r="AB2532" t="str">
        <f>IFERROR(IF(ISNUMBER('Procyfloc 1009'!A33),'Procyfloc 1009'!A33,DATEVALUE('Procyfloc 1009'!A33)),"")</f>
        <v/>
      </c>
      <c r="AC2532" t="str">
        <f>IF(AA2532="","",'Procyfloc 1009'!B33)</f>
        <v/>
      </c>
      <c r="AD2532" t="str">
        <f>IF(AA2532="","",IFERROR(1*'Procyfloc 1009'!C33,IFERROR(_xludf.NUMBERVALUE('Procyfloc 1009'!C33,".",","),IFERROR(_xludf.NUMBERVALUE('Procyfloc 1009'!C33,",","."),0))))</f>
        <v/>
      </c>
      <c r="AE2532" t="str">
        <f>IF(AA2532="","",'Procyfloc 1009'!L33)</f>
        <v/>
      </c>
      <c r="AF2532">
        <f t="shared" si="251"/>
        <v>0</v>
      </c>
      <c r="AG2532" t="str">
        <f t="shared" si="252"/>
        <v/>
      </c>
      <c r="AH2532" t="str">
        <f t="shared" si="253"/>
        <v/>
      </c>
      <c r="AI2532">
        <f t="shared" si="254"/>
        <v>0</v>
      </c>
      <c r="AJ2532">
        <f t="shared" si="255"/>
        <v>0</v>
      </c>
      <c r="AK2532">
        <v>0</v>
      </c>
      <c r="AL2532" t="str">
        <f>IF(AA2532="","",IFERROR(IF(ISNUMBER('Procyfloc 1009'!D33),'Procyfloc 1009'!D33,IF(ISNUMBER(SEARCH("12",'Procyfloc 1009'!D33)),EDATE(AB2532,12),IF(ISNUMBER(SEARCH("6",'Procyfloc 1009'!D33)),EDATE(AB2532,6),IF(ISNUMBER(SEARCH("3",'Procyfloc 1009'!D33)),EDATE(AB2532,3),DATEVALUE('Procyfloc 1009'!D33))))),""))</f>
        <v/>
      </c>
      <c r="AM2532" t="str">
        <f t="shared" ca="1" si="256"/>
        <v/>
      </c>
    </row>
    <row r="2533" spans="27:39" x14ac:dyDescent="0.3">
      <c r="AA2533" t="str">
        <f>IF(COUNTA('Procyfloc 1009'!A34,'Procyfloc 1009'!B34,'Procyfloc 1009'!C34)&gt;0,"1009","")</f>
        <v/>
      </c>
      <c r="AB2533" t="str">
        <f>IFERROR(IF(ISNUMBER('Procyfloc 1009'!A34),'Procyfloc 1009'!A34,DATEVALUE('Procyfloc 1009'!A34)),"")</f>
        <v/>
      </c>
      <c r="AC2533" t="str">
        <f>IF(AA2533="","",'Procyfloc 1009'!B34)</f>
        <v/>
      </c>
      <c r="AD2533" t="str">
        <f>IF(AA2533="","",IFERROR(1*'Procyfloc 1009'!C34,IFERROR(_xludf.NUMBERVALUE('Procyfloc 1009'!C34,".",","),IFERROR(_xludf.NUMBERVALUE('Procyfloc 1009'!C34,",","."),0))))</f>
        <v/>
      </c>
      <c r="AE2533" t="str">
        <f>IF(AA2533="","",'Procyfloc 1009'!L34)</f>
        <v/>
      </c>
      <c r="AF2533">
        <f t="shared" si="251"/>
        <v>0</v>
      </c>
      <c r="AG2533" t="str">
        <f t="shared" si="252"/>
        <v/>
      </c>
      <c r="AH2533" t="str">
        <f t="shared" si="253"/>
        <v/>
      </c>
      <c r="AI2533">
        <f t="shared" si="254"/>
        <v>0</v>
      </c>
      <c r="AJ2533">
        <f t="shared" si="255"/>
        <v>0</v>
      </c>
      <c r="AK2533">
        <v>0</v>
      </c>
      <c r="AL2533" t="str">
        <f>IF(AA2533="","",IFERROR(IF(ISNUMBER('Procyfloc 1009'!D34),'Procyfloc 1009'!D34,IF(ISNUMBER(SEARCH("12",'Procyfloc 1009'!D34)),EDATE(AB2533,12),IF(ISNUMBER(SEARCH("6",'Procyfloc 1009'!D34)),EDATE(AB2533,6),IF(ISNUMBER(SEARCH("3",'Procyfloc 1009'!D34)),EDATE(AB2533,3),DATEVALUE('Procyfloc 1009'!D34))))),""))</f>
        <v/>
      </c>
      <c r="AM2533" t="str">
        <f t="shared" ca="1" si="256"/>
        <v/>
      </c>
    </row>
    <row r="2534" spans="27:39" x14ac:dyDescent="0.3">
      <c r="AA2534" t="str">
        <f>IF(COUNTA('Procyfloc 1009'!A35,'Procyfloc 1009'!B35,'Procyfloc 1009'!C35)&gt;0,"1009","")</f>
        <v/>
      </c>
      <c r="AB2534" t="str">
        <f>IFERROR(IF(ISNUMBER('Procyfloc 1009'!A35),'Procyfloc 1009'!A35,DATEVALUE('Procyfloc 1009'!A35)),"")</f>
        <v/>
      </c>
      <c r="AC2534" t="str">
        <f>IF(AA2534="","",'Procyfloc 1009'!B35)</f>
        <v/>
      </c>
      <c r="AD2534" t="str">
        <f>IF(AA2534="","",IFERROR(1*'Procyfloc 1009'!C35,IFERROR(_xludf.NUMBERVALUE('Procyfloc 1009'!C35,".",","),IFERROR(_xludf.NUMBERVALUE('Procyfloc 1009'!C35,",","."),0))))</f>
        <v/>
      </c>
      <c r="AE2534" t="str">
        <f>IF(AA2534="","",'Procyfloc 1009'!L35)</f>
        <v/>
      </c>
      <c r="AF2534">
        <f t="shared" si="251"/>
        <v>0</v>
      </c>
      <c r="AG2534" t="str">
        <f t="shared" si="252"/>
        <v/>
      </c>
      <c r="AH2534" t="str">
        <f t="shared" si="253"/>
        <v/>
      </c>
      <c r="AI2534">
        <f t="shared" si="254"/>
        <v>0</v>
      </c>
      <c r="AJ2534">
        <f t="shared" si="255"/>
        <v>0</v>
      </c>
      <c r="AK2534">
        <v>0</v>
      </c>
      <c r="AL2534" t="str">
        <f>IF(AA2534="","",IFERROR(IF(ISNUMBER('Procyfloc 1009'!D35),'Procyfloc 1009'!D35,IF(ISNUMBER(SEARCH("12",'Procyfloc 1009'!D35)),EDATE(AB2534,12),IF(ISNUMBER(SEARCH("6",'Procyfloc 1009'!D35)),EDATE(AB2534,6),IF(ISNUMBER(SEARCH("3",'Procyfloc 1009'!D35)),EDATE(AB2534,3),DATEVALUE('Procyfloc 1009'!D35))))),""))</f>
        <v/>
      </c>
      <c r="AM2534" t="str">
        <f t="shared" ca="1" si="256"/>
        <v/>
      </c>
    </row>
    <row r="2535" spans="27:39" x14ac:dyDescent="0.3">
      <c r="AA2535" t="str">
        <f>IF(COUNTA('Procyfloc 1009'!A36,'Procyfloc 1009'!B36,'Procyfloc 1009'!C36)&gt;0,"1009","")</f>
        <v/>
      </c>
      <c r="AB2535" t="str">
        <f>IFERROR(IF(ISNUMBER('Procyfloc 1009'!A36),'Procyfloc 1009'!A36,DATEVALUE('Procyfloc 1009'!A36)),"")</f>
        <v/>
      </c>
      <c r="AC2535" t="str">
        <f>IF(AA2535="","",'Procyfloc 1009'!B36)</f>
        <v/>
      </c>
      <c r="AD2535" t="str">
        <f>IF(AA2535="","",IFERROR(1*'Procyfloc 1009'!C36,IFERROR(_xludf.NUMBERVALUE('Procyfloc 1009'!C36,".",","),IFERROR(_xludf.NUMBERVALUE('Procyfloc 1009'!C36,",","."),0))))</f>
        <v/>
      </c>
      <c r="AE2535" t="str">
        <f>IF(AA2535="","",'Procyfloc 1009'!L36)</f>
        <v/>
      </c>
      <c r="AF2535">
        <f t="shared" si="251"/>
        <v>0</v>
      </c>
      <c r="AG2535" t="str">
        <f t="shared" si="252"/>
        <v/>
      </c>
      <c r="AH2535" t="str">
        <f t="shared" si="253"/>
        <v/>
      </c>
      <c r="AI2535">
        <f t="shared" si="254"/>
        <v>0</v>
      </c>
      <c r="AJ2535">
        <f t="shared" si="255"/>
        <v>0</v>
      </c>
      <c r="AK2535">
        <v>0</v>
      </c>
      <c r="AL2535" t="str">
        <f>IF(AA2535="","",IFERROR(IF(ISNUMBER('Procyfloc 1009'!D36),'Procyfloc 1009'!D36,IF(ISNUMBER(SEARCH("12",'Procyfloc 1009'!D36)),EDATE(AB2535,12),IF(ISNUMBER(SEARCH("6",'Procyfloc 1009'!D36)),EDATE(AB2535,6),IF(ISNUMBER(SEARCH("3",'Procyfloc 1009'!D36)),EDATE(AB2535,3),DATEVALUE('Procyfloc 1009'!D36))))),""))</f>
        <v/>
      </c>
      <c r="AM2535" t="str">
        <f t="shared" ca="1" si="256"/>
        <v/>
      </c>
    </row>
    <row r="2536" spans="27:39" x14ac:dyDescent="0.3">
      <c r="AA2536" t="str">
        <f>IF(COUNTA('Procyfloc 1009'!A37,'Procyfloc 1009'!B37,'Procyfloc 1009'!C37)&gt;0,"1009","")</f>
        <v/>
      </c>
      <c r="AB2536" t="str">
        <f>IFERROR(IF(ISNUMBER('Procyfloc 1009'!A37),'Procyfloc 1009'!A37,DATEVALUE('Procyfloc 1009'!A37)),"")</f>
        <v/>
      </c>
      <c r="AC2536" t="str">
        <f>IF(AA2536="","",'Procyfloc 1009'!B37)</f>
        <v/>
      </c>
      <c r="AD2536" t="str">
        <f>IF(AA2536="","",IFERROR(1*'Procyfloc 1009'!C37,IFERROR(_xludf.NUMBERVALUE('Procyfloc 1009'!C37,".",","),IFERROR(_xludf.NUMBERVALUE('Procyfloc 1009'!C37,",","."),0))))</f>
        <v/>
      </c>
      <c r="AE2536" t="str">
        <f>IF(AA2536="","",'Procyfloc 1009'!L37)</f>
        <v/>
      </c>
      <c r="AF2536">
        <f t="shared" si="251"/>
        <v>0</v>
      </c>
      <c r="AG2536" t="str">
        <f t="shared" si="252"/>
        <v/>
      </c>
      <c r="AH2536" t="str">
        <f t="shared" si="253"/>
        <v/>
      </c>
      <c r="AI2536">
        <f t="shared" si="254"/>
        <v>0</v>
      </c>
      <c r="AJ2536">
        <f t="shared" si="255"/>
        <v>0</v>
      </c>
      <c r="AK2536">
        <v>0</v>
      </c>
      <c r="AL2536" t="str">
        <f>IF(AA2536="","",IFERROR(IF(ISNUMBER('Procyfloc 1009'!D37),'Procyfloc 1009'!D37,IF(ISNUMBER(SEARCH("12",'Procyfloc 1009'!D37)),EDATE(AB2536,12),IF(ISNUMBER(SEARCH("6",'Procyfloc 1009'!D37)),EDATE(AB2536,6),IF(ISNUMBER(SEARCH("3",'Procyfloc 1009'!D37)),EDATE(AB2536,3),DATEVALUE('Procyfloc 1009'!D37))))),""))</f>
        <v/>
      </c>
      <c r="AM2536" t="str">
        <f t="shared" ca="1" si="256"/>
        <v/>
      </c>
    </row>
    <row r="2537" spans="27:39" x14ac:dyDescent="0.3">
      <c r="AA2537" t="str">
        <f>IF(COUNTA('Procyfloc 1009'!A38,'Procyfloc 1009'!B38,'Procyfloc 1009'!C38)&gt;0,"1009","")</f>
        <v/>
      </c>
      <c r="AB2537" t="str">
        <f>IFERROR(IF(ISNUMBER('Procyfloc 1009'!A38),'Procyfloc 1009'!A38,DATEVALUE('Procyfloc 1009'!A38)),"")</f>
        <v/>
      </c>
      <c r="AC2537" t="str">
        <f>IF(AA2537="","",'Procyfloc 1009'!B38)</f>
        <v/>
      </c>
      <c r="AD2537" t="str">
        <f>IF(AA2537="","",IFERROR(1*'Procyfloc 1009'!C38,IFERROR(_xludf.NUMBERVALUE('Procyfloc 1009'!C38,".",","),IFERROR(_xludf.NUMBERVALUE('Procyfloc 1009'!C38,",","."),0))))</f>
        <v/>
      </c>
      <c r="AE2537" t="str">
        <f>IF(AA2537="","",'Procyfloc 1009'!L38)</f>
        <v/>
      </c>
      <c r="AF2537">
        <f t="shared" si="251"/>
        <v>0</v>
      </c>
      <c r="AG2537" t="str">
        <f t="shared" si="252"/>
        <v/>
      </c>
      <c r="AH2537" t="str">
        <f t="shared" si="253"/>
        <v/>
      </c>
      <c r="AI2537">
        <f t="shared" si="254"/>
        <v>0</v>
      </c>
      <c r="AJ2537">
        <f t="shared" si="255"/>
        <v>0</v>
      </c>
      <c r="AK2537">
        <v>0</v>
      </c>
      <c r="AL2537" t="str">
        <f>IF(AA2537="","",IFERROR(IF(ISNUMBER('Procyfloc 1009'!D38),'Procyfloc 1009'!D38,IF(ISNUMBER(SEARCH("12",'Procyfloc 1009'!D38)),EDATE(AB2537,12),IF(ISNUMBER(SEARCH("6",'Procyfloc 1009'!D38)),EDATE(AB2537,6),IF(ISNUMBER(SEARCH("3",'Procyfloc 1009'!D38)),EDATE(AB2537,3),DATEVALUE('Procyfloc 1009'!D38))))),""))</f>
        <v/>
      </c>
      <c r="AM2537" t="str">
        <f t="shared" ca="1" si="256"/>
        <v/>
      </c>
    </row>
    <row r="2538" spans="27:39" x14ac:dyDescent="0.3">
      <c r="AA2538" t="str">
        <f>IF(COUNTA('Procyfloc 1009'!A39,'Procyfloc 1009'!B39,'Procyfloc 1009'!C39)&gt;0,"1009","")</f>
        <v/>
      </c>
      <c r="AB2538" t="str">
        <f>IFERROR(IF(ISNUMBER('Procyfloc 1009'!A39),'Procyfloc 1009'!A39,DATEVALUE('Procyfloc 1009'!A39)),"")</f>
        <v/>
      </c>
      <c r="AC2538" t="str">
        <f>IF(AA2538="","",'Procyfloc 1009'!B39)</f>
        <v/>
      </c>
      <c r="AD2538" t="str">
        <f>IF(AA2538="","",IFERROR(1*'Procyfloc 1009'!C39,IFERROR(_xludf.NUMBERVALUE('Procyfloc 1009'!C39,".",","),IFERROR(_xludf.NUMBERVALUE('Procyfloc 1009'!C39,",","."),0))))</f>
        <v/>
      </c>
      <c r="AE2538" t="str">
        <f>IF(AA2538="","",'Procyfloc 1009'!L39)</f>
        <v/>
      </c>
      <c r="AF2538">
        <f t="shared" si="251"/>
        <v>0</v>
      </c>
      <c r="AG2538" t="str">
        <f t="shared" si="252"/>
        <v/>
      </c>
      <c r="AH2538" t="str">
        <f t="shared" si="253"/>
        <v/>
      </c>
      <c r="AI2538">
        <f t="shared" si="254"/>
        <v>0</v>
      </c>
      <c r="AJ2538">
        <f t="shared" si="255"/>
        <v>0</v>
      </c>
      <c r="AK2538">
        <v>0</v>
      </c>
      <c r="AL2538" t="str">
        <f>IF(AA2538="","",IFERROR(IF(ISNUMBER('Procyfloc 1009'!D39),'Procyfloc 1009'!D39,IF(ISNUMBER(SEARCH("12",'Procyfloc 1009'!D39)),EDATE(AB2538,12),IF(ISNUMBER(SEARCH("6",'Procyfloc 1009'!D39)),EDATE(AB2538,6),IF(ISNUMBER(SEARCH("3",'Procyfloc 1009'!D39)),EDATE(AB2538,3),DATEVALUE('Procyfloc 1009'!D39))))),""))</f>
        <v/>
      </c>
      <c r="AM2538" t="str">
        <f t="shared" ca="1" si="256"/>
        <v/>
      </c>
    </row>
    <row r="2539" spans="27:39" x14ac:dyDescent="0.3">
      <c r="AA2539" t="str">
        <f>IF(COUNTA('Procyfloc 1009'!A40,'Procyfloc 1009'!B40,'Procyfloc 1009'!C40)&gt;0,"1009","")</f>
        <v/>
      </c>
      <c r="AB2539" t="str">
        <f>IFERROR(IF(ISNUMBER('Procyfloc 1009'!A40),'Procyfloc 1009'!A40,DATEVALUE('Procyfloc 1009'!A40)),"")</f>
        <v/>
      </c>
      <c r="AC2539" t="str">
        <f>IF(AA2539="","",'Procyfloc 1009'!B40)</f>
        <v/>
      </c>
      <c r="AD2539" t="str">
        <f>IF(AA2539="","",IFERROR(1*'Procyfloc 1009'!C40,IFERROR(_xludf.NUMBERVALUE('Procyfloc 1009'!C40,".",","),IFERROR(_xludf.NUMBERVALUE('Procyfloc 1009'!C40,",","."),0))))</f>
        <v/>
      </c>
      <c r="AE2539" t="str">
        <f>IF(AA2539="","",'Procyfloc 1009'!L40)</f>
        <v/>
      </c>
      <c r="AF2539">
        <f t="shared" si="251"/>
        <v>0</v>
      </c>
      <c r="AG2539" t="str">
        <f t="shared" si="252"/>
        <v/>
      </c>
      <c r="AH2539" t="str">
        <f t="shared" si="253"/>
        <v/>
      </c>
      <c r="AI2539">
        <f t="shared" si="254"/>
        <v>0</v>
      </c>
      <c r="AJ2539">
        <f t="shared" si="255"/>
        <v>0</v>
      </c>
      <c r="AK2539">
        <v>0</v>
      </c>
      <c r="AL2539" t="str">
        <f>IF(AA2539="","",IFERROR(IF(ISNUMBER('Procyfloc 1009'!D40),'Procyfloc 1009'!D40,IF(ISNUMBER(SEARCH("12",'Procyfloc 1009'!D40)),EDATE(AB2539,12),IF(ISNUMBER(SEARCH("6",'Procyfloc 1009'!D40)),EDATE(AB2539,6),IF(ISNUMBER(SEARCH("3",'Procyfloc 1009'!D40)),EDATE(AB2539,3),DATEVALUE('Procyfloc 1009'!D40))))),""))</f>
        <v/>
      </c>
      <c r="AM2539" t="str">
        <f t="shared" ca="1" si="256"/>
        <v/>
      </c>
    </row>
    <row r="2540" spans="27:39" x14ac:dyDescent="0.3">
      <c r="AA2540" t="str">
        <f>IF(COUNTA('Procyfloc 1009'!A41,'Procyfloc 1009'!B41,'Procyfloc 1009'!C41)&gt;0,"1009","")</f>
        <v/>
      </c>
      <c r="AB2540" t="str">
        <f>IFERROR(IF(ISNUMBER('Procyfloc 1009'!A41),'Procyfloc 1009'!A41,DATEVALUE('Procyfloc 1009'!A41)),"")</f>
        <v/>
      </c>
      <c r="AC2540" t="str">
        <f>IF(AA2540="","",'Procyfloc 1009'!B41)</f>
        <v/>
      </c>
      <c r="AD2540" t="str">
        <f>IF(AA2540="","",IFERROR(1*'Procyfloc 1009'!C41,IFERROR(_xludf.NUMBERVALUE('Procyfloc 1009'!C41,".",","),IFERROR(_xludf.NUMBERVALUE('Procyfloc 1009'!C41,",","."),0))))</f>
        <v/>
      </c>
      <c r="AE2540" t="str">
        <f>IF(AA2540="","",'Procyfloc 1009'!L41)</f>
        <v/>
      </c>
      <c r="AF2540">
        <f t="shared" si="251"/>
        <v>0</v>
      </c>
      <c r="AG2540" t="str">
        <f t="shared" si="252"/>
        <v/>
      </c>
      <c r="AH2540" t="str">
        <f t="shared" si="253"/>
        <v/>
      </c>
      <c r="AI2540">
        <f t="shared" si="254"/>
        <v>0</v>
      </c>
      <c r="AJ2540">
        <f t="shared" si="255"/>
        <v>0</v>
      </c>
      <c r="AK2540">
        <v>0</v>
      </c>
      <c r="AL2540" t="str">
        <f>IF(AA2540="","",IFERROR(IF(ISNUMBER('Procyfloc 1009'!D41),'Procyfloc 1009'!D41,IF(ISNUMBER(SEARCH("12",'Procyfloc 1009'!D41)),EDATE(AB2540,12),IF(ISNUMBER(SEARCH("6",'Procyfloc 1009'!D41)),EDATE(AB2540,6),IF(ISNUMBER(SEARCH("3",'Procyfloc 1009'!D41)),EDATE(AB2540,3),DATEVALUE('Procyfloc 1009'!D41))))),""))</f>
        <v/>
      </c>
      <c r="AM2540" t="str">
        <f t="shared" ca="1" si="256"/>
        <v/>
      </c>
    </row>
    <row r="2541" spans="27:39" x14ac:dyDescent="0.3">
      <c r="AA2541" t="str">
        <f>IF(COUNTA('Procyfloc 1009'!A42,'Procyfloc 1009'!B42,'Procyfloc 1009'!C42)&gt;0,"1009","")</f>
        <v/>
      </c>
      <c r="AB2541" t="str">
        <f>IFERROR(IF(ISNUMBER('Procyfloc 1009'!A42),'Procyfloc 1009'!A42,DATEVALUE('Procyfloc 1009'!A42)),"")</f>
        <v/>
      </c>
      <c r="AC2541" t="str">
        <f>IF(AA2541="","",'Procyfloc 1009'!B42)</f>
        <v/>
      </c>
      <c r="AD2541" t="str">
        <f>IF(AA2541="","",IFERROR(1*'Procyfloc 1009'!C42,IFERROR(_xludf.NUMBERVALUE('Procyfloc 1009'!C42,".",","),IFERROR(_xludf.NUMBERVALUE('Procyfloc 1009'!C42,",","."),0))))</f>
        <v/>
      </c>
      <c r="AE2541" t="str">
        <f>IF(AA2541="","",'Procyfloc 1009'!L42)</f>
        <v/>
      </c>
      <c r="AF2541">
        <f t="shared" si="251"/>
        <v>0</v>
      </c>
      <c r="AG2541" t="str">
        <f t="shared" si="252"/>
        <v/>
      </c>
      <c r="AH2541" t="str">
        <f t="shared" si="253"/>
        <v/>
      </c>
      <c r="AI2541">
        <f t="shared" si="254"/>
        <v>0</v>
      </c>
      <c r="AJ2541">
        <f t="shared" si="255"/>
        <v>0</v>
      </c>
      <c r="AK2541">
        <v>0</v>
      </c>
      <c r="AL2541" t="str">
        <f>IF(AA2541="","",IFERROR(IF(ISNUMBER('Procyfloc 1009'!D42),'Procyfloc 1009'!D42,IF(ISNUMBER(SEARCH("12",'Procyfloc 1009'!D42)),EDATE(AB2541,12),IF(ISNUMBER(SEARCH("6",'Procyfloc 1009'!D42)),EDATE(AB2541,6),IF(ISNUMBER(SEARCH("3",'Procyfloc 1009'!D42)),EDATE(AB2541,3),DATEVALUE('Procyfloc 1009'!D42))))),""))</f>
        <v/>
      </c>
      <c r="AM2541" t="str">
        <f t="shared" ca="1" si="256"/>
        <v/>
      </c>
    </row>
    <row r="2542" spans="27:39" x14ac:dyDescent="0.3">
      <c r="AA2542" t="str">
        <f>IF(COUNTA('Procyfloc 1009'!A43,'Procyfloc 1009'!B43,'Procyfloc 1009'!C43)&gt;0,"1009","")</f>
        <v/>
      </c>
      <c r="AB2542" t="str">
        <f>IFERROR(IF(ISNUMBER('Procyfloc 1009'!A43),'Procyfloc 1009'!A43,DATEVALUE('Procyfloc 1009'!A43)),"")</f>
        <v/>
      </c>
      <c r="AC2542" t="str">
        <f>IF(AA2542="","",'Procyfloc 1009'!B43)</f>
        <v/>
      </c>
      <c r="AD2542" t="str">
        <f>IF(AA2542="","",IFERROR(1*'Procyfloc 1009'!C43,IFERROR(_xludf.NUMBERVALUE('Procyfloc 1009'!C43,".",","),IFERROR(_xludf.NUMBERVALUE('Procyfloc 1009'!C43,",","."),0))))</f>
        <v/>
      </c>
      <c r="AE2542" t="str">
        <f>IF(AA2542="","",'Procyfloc 1009'!L43)</f>
        <v/>
      </c>
      <c r="AF2542">
        <f t="shared" si="251"/>
        <v>0</v>
      </c>
      <c r="AG2542" t="str">
        <f t="shared" si="252"/>
        <v/>
      </c>
      <c r="AH2542" t="str">
        <f t="shared" si="253"/>
        <v/>
      </c>
      <c r="AI2542">
        <f t="shared" si="254"/>
        <v>0</v>
      </c>
      <c r="AJ2542">
        <f t="shared" si="255"/>
        <v>0</v>
      </c>
      <c r="AK2542">
        <v>0</v>
      </c>
      <c r="AL2542" t="str">
        <f>IF(AA2542="","",IFERROR(IF(ISNUMBER('Procyfloc 1009'!D43),'Procyfloc 1009'!D43,IF(ISNUMBER(SEARCH("12",'Procyfloc 1009'!D43)),EDATE(AB2542,12),IF(ISNUMBER(SEARCH("6",'Procyfloc 1009'!D43)),EDATE(AB2542,6),IF(ISNUMBER(SEARCH("3",'Procyfloc 1009'!D43)),EDATE(AB2542,3),DATEVALUE('Procyfloc 1009'!D43))))),""))</f>
        <v/>
      </c>
      <c r="AM2542" t="str">
        <f t="shared" ca="1" si="256"/>
        <v/>
      </c>
    </row>
    <row r="2543" spans="27:39" x14ac:dyDescent="0.3">
      <c r="AA2543" t="str">
        <f>IF(COUNTA('Procyfloc 1009'!A44,'Procyfloc 1009'!B44,'Procyfloc 1009'!C44)&gt;0,"1009","")</f>
        <v/>
      </c>
      <c r="AB2543" t="str">
        <f>IFERROR(IF(ISNUMBER('Procyfloc 1009'!A44),'Procyfloc 1009'!A44,DATEVALUE('Procyfloc 1009'!A44)),"")</f>
        <v/>
      </c>
      <c r="AC2543" t="str">
        <f>IF(AA2543="","",'Procyfloc 1009'!B44)</f>
        <v/>
      </c>
      <c r="AD2543" t="str">
        <f>IF(AA2543="","",IFERROR(1*'Procyfloc 1009'!C44,IFERROR(_xludf.NUMBERVALUE('Procyfloc 1009'!C44,".",","),IFERROR(_xludf.NUMBERVALUE('Procyfloc 1009'!C44,",","."),0))))</f>
        <v/>
      </c>
      <c r="AE2543" t="str">
        <f>IF(AA2543="","",'Procyfloc 1009'!L44)</f>
        <v/>
      </c>
      <c r="AF2543">
        <f t="shared" si="251"/>
        <v>0</v>
      </c>
      <c r="AG2543" t="str">
        <f t="shared" si="252"/>
        <v/>
      </c>
      <c r="AH2543" t="str">
        <f t="shared" si="253"/>
        <v/>
      </c>
      <c r="AI2543">
        <f t="shared" si="254"/>
        <v>0</v>
      </c>
      <c r="AJ2543">
        <f t="shared" si="255"/>
        <v>0</v>
      </c>
      <c r="AK2543">
        <v>0</v>
      </c>
      <c r="AL2543" t="str">
        <f>IF(AA2543="","",IFERROR(IF(ISNUMBER('Procyfloc 1009'!D44),'Procyfloc 1009'!D44,IF(ISNUMBER(SEARCH("12",'Procyfloc 1009'!D44)),EDATE(AB2543,12),IF(ISNUMBER(SEARCH("6",'Procyfloc 1009'!D44)),EDATE(AB2543,6),IF(ISNUMBER(SEARCH("3",'Procyfloc 1009'!D44)),EDATE(AB2543,3),DATEVALUE('Procyfloc 1009'!D44))))),""))</f>
        <v/>
      </c>
      <c r="AM2543" t="str">
        <f t="shared" ca="1" si="256"/>
        <v/>
      </c>
    </row>
    <row r="2544" spans="27:39" x14ac:dyDescent="0.3">
      <c r="AA2544" t="str">
        <f>IF(COUNTA('Procyfloc 1009'!A45,'Procyfloc 1009'!B45,'Procyfloc 1009'!C45)&gt;0,"1009","")</f>
        <v/>
      </c>
      <c r="AB2544" t="str">
        <f>IFERROR(IF(ISNUMBER('Procyfloc 1009'!A45),'Procyfloc 1009'!A45,DATEVALUE('Procyfloc 1009'!A45)),"")</f>
        <v/>
      </c>
      <c r="AC2544" t="str">
        <f>IF(AA2544="","",'Procyfloc 1009'!B45)</f>
        <v/>
      </c>
      <c r="AD2544" t="str">
        <f>IF(AA2544="","",IFERROR(1*'Procyfloc 1009'!C45,IFERROR(_xludf.NUMBERVALUE('Procyfloc 1009'!C45,".",","),IFERROR(_xludf.NUMBERVALUE('Procyfloc 1009'!C45,",","."),0))))</f>
        <v/>
      </c>
      <c r="AE2544" t="str">
        <f>IF(AA2544="","",'Procyfloc 1009'!L45)</f>
        <v/>
      </c>
      <c r="AF2544">
        <f t="shared" si="251"/>
        <v>0</v>
      </c>
      <c r="AG2544" t="str">
        <f t="shared" si="252"/>
        <v/>
      </c>
      <c r="AH2544" t="str">
        <f t="shared" si="253"/>
        <v/>
      </c>
      <c r="AI2544">
        <f t="shared" si="254"/>
        <v>0</v>
      </c>
      <c r="AJ2544">
        <f t="shared" si="255"/>
        <v>0</v>
      </c>
      <c r="AK2544">
        <v>0</v>
      </c>
      <c r="AL2544" t="str">
        <f>IF(AA2544="","",IFERROR(IF(ISNUMBER('Procyfloc 1009'!D45),'Procyfloc 1009'!D45,IF(ISNUMBER(SEARCH("12",'Procyfloc 1009'!D45)),EDATE(AB2544,12),IF(ISNUMBER(SEARCH("6",'Procyfloc 1009'!D45)),EDATE(AB2544,6),IF(ISNUMBER(SEARCH("3",'Procyfloc 1009'!D45)),EDATE(AB2544,3),DATEVALUE('Procyfloc 1009'!D45))))),""))</f>
        <v/>
      </c>
      <c r="AM2544" t="str">
        <f t="shared" ca="1" si="256"/>
        <v/>
      </c>
    </row>
    <row r="2545" spans="27:39" x14ac:dyDescent="0.3">
      <c r="AA2545" t="str">
        <f>IF(COUNTA('Procyfloc 1009'!A46,'Procyfloc 1009'!B46,'Procyfloc 1009'!C46)&gt;0,"1009","")</f>
        <v/>
      </c>
      <c r="AB2545" t="str">
        <f>IFERROR(IF(ISNUMBER('Procyfloc 1009'!A46),'Procyfloc 1009'!A46,DATEVALUE('Procyfloc 1009'!A46)),"")</f>
        <v/>
      </c>
      <c r="AC2545" t="str">
        <f>IF(AA2545="","",'Procyfloc 1009'!B46)</f>
        <v/>
      </c>
      <c r="AD2545" t="str">
        <f>IF(AA2545="","",IFERROR(1*'Procyfloc 1009'!C46,IFERROR(_xludf.NUMBERVALUE('Procyfloc 1009'!C46,".",","),IFERROR(_xludf.NUMBERVALUE('Procyfloc 1009'!C46,",","."),0))))</f>
        <v/>
      </c>
      <c r="AE2545" t="str">
        <f>IF(AA2545="","",'Procyfloc 1009'!L46)</f>
        <v/>
      </c>
      <c r="AF2545">
        <f t="shared" si="251"/>
        <v>0</v>
      </c>
      <c r="AG2545" t="str">
        <f t="shared" si="252"/>
        <v/>
      </c>
      <c r="AH2545" t="str">
        <f t="shared" si="253"/>
        <v/>
      </c>
      <c r="AI2545">
        <f t="shared" si="254"/>
        <v>0</v>
      </c>
      <c r="AJ2545">
        <f t="shared" si="255"/>
        <v>0</v>
      </c>
      <c r="AK2545">
        <v>0</v>
      </c>
      <c r="AL2545" t="str">
        <f>IF(AA2545="","",IFERROR(IF(ISNUMBER('Procyfloc 1009'!D46),'Procyfloc 1009'!D46,IF(ISNUMBER(SEARCH("12",'Procyfloc 1009'!D46)),EDATE(AB2545,12),IF(ISNUMBER(SEARCH("6",'Procyfloc 1009'!D46)),EDATE(AB2545,6),IF(ISNUMBER(SEARCH("3",'Procyfloc 1009'!D46)),EDATE(AB2545,3),DATEVALUE('Procyfloc 1009'!D46))))),""))</f>
        <v/>
      </c>
      <c r="AM2545" t="str">
        <f t="shared" ca="1" si="256"/>
        <v/>
      </c>
    </row>
    <row r="2546" spans="27:39" x14ac:dyDescent="0.3">
      <c r="AA2546" t="str">
        <f>IF(COUNTA('Procyfloc 1009'!A47,'Procyfloc 1009'!B47,'Procyfloc 1009'!C47)&gt;0,"1009","")</f>
        <v/>
      </c>
      <c r="AB2546" t="str">
        <f>IFERROR(IF(ISNUMBER('Procyfloc 1009'!A47),'Procyfloc 1009'!A47,DATEVALUE('Procyfloc 1009'!A47)),"")</f>
        <v/>
      </c>
      <c r="AC2546" t="str">
        <f>IF(AA2546="","",'Procyfloc 1009'!B47)</f>
        <v/>
      </c>
      <c r="AD2546" t="str">
        <f>IF(AA2546="","",IFERROR(1*'Procyfloc 1009'!C47,IFERROR(_xludf.NUMBERVALUE('Procyfloc 1009'!C47,".",","),IFERROR(_xludf.NUMBERVALUE('Procyfloc 1009'!C47,",","."),0))))</f>
        <v/>
      </c>
      <c r="AE2546" t="str">
        <f>IF(AA2546="","",'Procyfloc 1009'!L47)</f>
        <v/>
      </c>
      <c r="AF2546">
        <f t="shared" si="251"/>
        <v>0</v>
      </c>
      <c r="AG2546" t="str">
        <f t="shared" si="252"/>
        <v/>
      </c>
      <c r="AH2546" t="str">
        <f t="shared" si="253"/>
        <v/>
      </c>
      <c r="AI2546">
        <f t="shared" si="254"/>
        <v>0</v>
      </c>
      <c r="AJ2546">
        <f t="shared" si="255"/>
        <v>0</v>
      </c>
      <c r="AK2546">
        <v>0</v>
      </c>
      <c r="AL2546" t="str">
        <f>IF(AA2546="","",IFERROR(IF(ISNUMBER('Procyfloc 1009'!D47),'Procyfloc 1009'!D47,IF(ISNUMBER(SEARCH("12",'Procyfloc 1009'!D47)),EDATE(AB2546,12),IF(ISNUMBER(SEARCH("6",'Procyfloc 1009'!D47)),EDATE(AB2546,6),IF(ISNUMBER(SEARCH("3",'Procyfloc 1009'!D47)),EDATE(AB2546,3),DATEVALUE('Procyfloc 1009'!D47))))),""))</f>
        <v/>
      </c>
      <c r="AM2546" t="str">
        <f t="shared" ca="1" si="256"/>
        <v/>
      </c>
    </row>
    <row r="2547" spans="27:39" x14ac:dyDescent="0.3">
      <c r="AA2547" t="str">
        <f>IF(COUNTA('Procyfloc 1009'!A48,'Procyfloc 1009'!B48,'Procyfloc 1009'!C48)&gt;0,"1009","")</f>
        <v/>
      </c>
      <c r="AB2547" t="str">
        <f>IFERROR(IF(ISNUMBER('Procyfloc 1009'!A48),'Procyfloc 1009'!A48,DATEVALUE('Procyfloc 1009'!A48)),"")</f>
        <v/>
      </c>
      <c r="AC2547" t="str">
        <f>IF(AA2547="","",'Procyfloc 1009'!B48)</f>
        <v/>
      </c>
      <c r="AD2547" t="str">
        <f>IF(AA2547="","",IFERROR(1*'Procyfloc 1009'!C48,IFERROR(_xludf.NUMBERVALUE('Procyfloc 1009'!C48,".",","),IFERROR(_xludf.NUMBERVALUE('Procyfloc 1009'!C48,",","."),0))))</f>
        <v/>
      </c>
      <c r="AE2547" t="str">
        <f>IF(AA2547="","",'Procyfloc 1009'!L48)</f>
        <v/>
      </c>
      <c r="AF2547">
        <f t="shared" si="251"/>
        <v>0</v>
      </c>
      <c r="AG2547" t="str">
        <f t="shared" si="252"/>
        <v/>
      </c>
      <c r="AH2547" t="str">
        <f t="shared" si="253"/>
        <v/>
      </c>
      <c r="AI2547">
        <f t="shared" si="254"/>
        <v>0</v>
      </c>
      <c r="AJ2547">
        <f t="shared" si="255"/>
        <v>0</v>
      </c>
      <c r="AK2547">
        <v>0</v>
      </c>
      <c r="AL2547" t="str">
        <f>IF(AA2547="","",IFERROR(IF(ISNUMBER('Procyfloc 1009'!D48),'Procyfloc 1009'!D48,IF(ISNUMBER(SEARCH("12",'Procyfloc 1009'!D48)),EDATE(AB2547,12),IF(ISNUMBER(SEARCH("6",'Procyfloc 1009'!D48)),EDATE(AB2547,6),IF(ISNUMBER(SEARCH("3",'Procyfloc 1009'!D48)),EDATE(AB2547,3),DATEVALUE('Procyfloc 1009'!D48))))),""))</f>
        <v/>
      </c>
      <c r="AM2547" t="str">
        <f t="shared" ca="1" si="256"/>
        <v/>
      </c>
    </row>
    <row r="2548" spans="27:39" x14ac:dyDescent="0.3">
      <c r="AA2548" t="str">
        <f>IF(COUNTA('Procyfloc 1009'!A49,'Procyfloc 1009'!B49,'Procyfloc 1009'!C49)&gt;0,"1009","")</f>
        <v/>
      </c>
      <c r="AB2548" t="str">
        <f>IFERROR(IF(ISNUMBER('Procyfloc 1009'!A49),'Procyfloc 1009'!A49,DATEVALUE('Procyfloc 1009'!A49)),"")</f>
        <v/>
      </c>
      <c r="AC2548" t="str">
        <f>IF(AA2548="","",'Procyfloc 1009'!B49)</f>
        <v/>
      </c>
      <c r="AD2548" t="str">
        <f>IF(AA2548="","",IFERROR(1*'Procyfloc 1009'!C49,IFERROR(_xludf.NUMBERVALUE('Procyfloc 1009'!C49,".",","),IFERROR(_xludf.NUMBERVALUE('Procyfloc 1009'!C49,",","."),0))))</f>
        <v/>
      </c>
      <c r="AE2548" t="str">
        <f>IF(AA2548="","",'Procyfloc 1009'!L49)</f>
        <v/>
      </c>
      <c r="AF2548">
        <f t="shared" si="251"/>
        <v>0</v>
      </c>
      <c r="AG2548" t="str">
        <f t="shared" si="252"/>
        <v/>
      </c>
      <c r="AH2548" t="str">
        <f t="shared" si="253"/>
        <v/>
      </c>
      <c r="AI2548">
        <f t="shared" si="254"/>
        <v>0</v>
      </c>
      <c r="AJ2548">
        <f t="shared" si="255"/>
        <v>0</v>
      </c>
      <c r="AK2548">
        <v>0</v>
      </c>
      <c r="AL2548" t="str">
        <f>IF(AA2548="","",IFERROR(IF(ISNUMBER('Procyfloc 1009'!D49),'Procyfloc 1009'!D49,IF(ISNUMBER(SEARCH("12",'Procyfloc 1009'!D49)),EDATE(AB2548,12),IF(ISNUMBER(SEARCH("6",'Procyfloc 1009'!D49)),EDATE(AB2548,6),IF(ISNUMBER(SEARCH("3",'Procyfloc 1009'!D49)),EDATE(AB2548,3),DATEVALUE('Procyfloc 1009'!D49))))),""))</f>
        <v/>
      </c>
      <c r="AM2548" t="str">
        <f t="shared" ca="1" si="256"/>
        <v/>
      </c>
    </row>
    <row r="2549" spans="27:39" x14ac:dyDescent="0.3">
      <c r="AA2549" t="str">
        <f>IF(COUNTA('Procyfloc 1009'!A50,'Procyfloc 1009'!B50,'Procyfloc 1009'!C50)&gt;0,"1009","")</f>
        <v/>
      </c>
      <c r="AB2549" t="str">
        <f>IFERROR(IF(ISNUMBER('Procyfloc 1009'!A50),'Procyfloc 1009'!A50,DATEVALUE('Procyfloc 1009'!A50)),"")</f>
        <v/>
      </c>
      <c r="AC2549" t="str">
        <f>IF(AA2549="","",'Procyfloc 1009'!B50)</f>
        <v/>
      </c>
      <c r="AD2549" t="str">
        <f>IF(AA2549="","",IFERROR(1*'Procyfloc 1009'!C50,IFERROR(_xludf.NUMBERVALUE('Procyfloc 1009'!C50,".",","),IFERROR(_xludf.NUMBERVALUE('Procyfloc 1009'!C50,",","."),0))))</f>
        <v/>
      </c>
      <c r="AE2549" t="str">
        <f>IF(AA2549="","",'Procyfloc 1009'!L50)</f>
        <v/>
      </c>
      <c r="AF2549">
        <f t="shared" si="251"/>
        <v>0</v>
      </c>
      <c r="AG2549" t="str">
        <f t="shared" si="252"/>
        <v/>
      </c>
      <c r="AH2549" t="str">
        <f t="shared" si="253"/>
        <v/>
      </c>
      <c r="AI2549">
        <f t="shared" si="254"/>
        <v>0</v>
      </c>
      <c r="AJ2549">
        <f t="shared" si="255"/>
        <v>0</v>
      </c>
      <c r="AK2549">
        <v>0</v>
      </c>
      <c r="AL2549" t="str">
        <f>IF(AA2549="","",IFERROR(IF(ISNUMBER('Procyfloc 1009'!D50),'Procyfloc 1009'!D50,IF(ISNUMBER(SEARCH("12",'Procyfloc 1009'!D50)),EDATE(AB2549,12),IF(ISNUMBER(SEARCH("6",'Procyfloc 1009'!D50)),EDATE(AB2549,6),IF(ISNUMBER(SEARCH("3",'Procyfloc 1009'!D50)),EDATE(AB2549,3),DATEVALUE('Procyfloc 1009'!D50))))),""))</f>
        <v/>
      </c>
      <c r="AM2549" t="str">
        <f t="shared" ca="1" si="256"/>
        <v/>
      </c>
    </row>
    <row r="2550" spans="27:39" x14ac:dyDescent="0.3">
      <c r="AA2550" t="str">
        <f>IF(COUNTA('Procyfloc 1009'!A51,'Procyfloc 1009'!B51,'Procyfloc 1009'!C51)&gt;0,"1009","")</f>
        <v/>
      </c>
      <c r="AB2550" t="str">
        <f>IFERROR(IF(ISNUMBER('Procyfloc 1009'!A51),'Procyfloc 1009'!A51,DATEVALUE('Procyfloc 1009'!A51)),"")</f>
        <v/>
      </c>
      <c r="AC2550" t="str">
        <f>IF(AA2550="","",'Procyfloc 1009'!B51)</f>
        <v/>
      </c>
      <c r="AD2550" t="str">
        <f>IF(AA2550="","",IFERROR(1*'Procyfloc 1009'!C51,IFERROR(_xludf.NUMBERVALUE('Procyfloc 1009'!C51,".",","),IFERROR(_xludf.NUMBERVALUE('Procyfloc 1009'!C51,",","."),0))))</f>
        <v/>
      </c>
      <c r="AE2550" t="str">
        <f>IF(AA2550="","",'Procyfloc 1009'!L51)</f>
        <v/>
      </c>
      <c r="AF2550">
        <f t="shared" si="251"/>
        <v>0</v>
      </c>
      <c r="AG2550" t="str">
        <f t="shared" si="252"/>
        <v/>
      </c>
      <c r="AH2550" t="str">
        <f t="shared" si="253"/>
        <v/>
      </c>
      <c r="AI2550">
        <f t="shared" si="254"/>
        <v>0</v>
      </c>
      <c r="AJ2550">
        <f t="shared" si="255"/>
        <v>0</v>
      </c>
      <c r="AK2550">
        <v>0</v>
      </c>
      <c r="AL2550" t="str">
        <f>IF(AA2550="","",IFERROR(IF(ISNUMBER('Procyfloc 1009'!D51),'Procyfloc 1009'!D51,IF(ISNUMBER(SEARCH("12",'Procyfloc 1009'!D51)),EDATE(AB2550,12),IF(ISNUMBER(SEARCH("6",'Procyfloc 1009'!D51)),EDATE(AB2550,6),IF(ISNUMBER(SEARCH("3",'Procyfloc 1009'!D51)),EDATE(AB2550,3),DATEVALUE('Procyfloc 1009'!D51))))),""))</f>
        <v/>
      </c>
      <c r="AM2550" t="str">
        <f t="shared" ca="1" si="256"/>
        <v/>
      </c>
    </row>
    <row r="2551" spans="27:39" x14ac:dyDescent="0.3">
      <c r="AA2551" t="str">
        <f>IF(COUNTA('Procyfloc 1009'!A52,'Procyfloc 1009'!B52,'Procyfloc 1009'!C52)&gt;0,"1009","")</f>
        <v/>
      </c>
      <c r="AB2551" t="str">
        <f>IFERROR(IF(ISNUMBER('Procyfloc 1009'!A52),'Procyfloc 1009'!A52,DATEVALUE('Procyfloc 1009'!A52)),"")</f>
        <v/>
      </c>
      <c r="AC2551" t="str">
        <f>IF(AA2551="","",'Procyfloc 1009'!B52)</f>
        <v/>
      </c>
      <c r="AD2551" t="str">
        <f>IF(AA2551="","",IFERROR(1*'Procyfloc 1009'!C52,IFERROR(_xludf.NUMBERVALUE('Procyfloc 1009'!C52,".",","),IFERROR(_xludf.NUMBERVALUE('Procyfloc 1009'!C52,",","."),0))))</f>
        <v/>
      </c>
      <c r="AE2551" t="str">
        <f>IF(AA2551="","",'Procyfloc 1009'!L52)</f>
        <v/>
      </c>
      <c r="AF2551">
        <f t="shared" si="251"/>
        <v>0</v>
      </c>
      <c r="AG2551" t="str">
        <f t="shared" si="252"/>
        <v/>
      </c>
      <c r="AH2551" t="str">
        <f t="shared" si="253"/>
        <v/>
      </c>
      <c r="AI2551">
        <f t="shared" si="254"/>
        <v>0</v>
      </c>
      <c r="AJ2551">
        <f t="shared" si="255"/>
        <v>0</v>
      </c>
      <c r="AK2551">
        <v>0</v>
      </c>
      <c r="AL2551" t="str">
        <f>IF(AA2551="","",IFERROR(IF(ISNUMBER('Procyfloc 1009'!D52),'Procyfloc 1009'!D52,IF(ISNUMBER(SEARCH("12",'Procyfloc 1009'!D52)),EDATE(AB2551,12),IF(ISNUMBER(SEARCH("6",'Procyfloc 1009'!D52)),EDATE(AB2551,6),IF(ISNUMBER(SEARCH("3",'Procyfloc 1009'!D52)),EDATE(AB2551,3),DATEVALUE('Procyfloc 1009'!D52))))),""))</f>
        <v/>
      </c>
      <c r="AM2551" t="str">
        <f t="shared" ca="1" si="256"/>
        <v/>
      </c>
    </row>
    <row r="2552" spans="27:39" x14ac:dyDescent="0.3">
      <c r="AA2552" t="str">
        <f>IF(COUNTA('Procyfloc 1009'!A53,'Procyfloc 1009'!B53,'Procyfloc 1009'!C53)&gt;0,"1009","")</f>
        <v/>
      </c>
      <c r="AB2552" t="str">
        <f>IFERROR(IF(ISNUMBER('Procyfloc 1009'!A53),'Procyfloc 1009'!A53,DATEVALUE('Procyfloc 1009'!A53)),"")</f>
        <v/>
      </c>
      <c r="AC2552" t="str">
        <f>IF(AA2552="","",'Procyfloc 1009'!B53)</f>
        <v/>
      </c>
      <c r="AD2552" t="str">
        <f>IF(AA2552="","",IFERROR(1*'Procyfloc 1009'!C53,IFERROR(_xludf.NUMBERVALUE('Procyfloc 1009'!C53,".",","),IFERROR(_xludf.NUMBERVALUE('Procyfloc 1009'!C53,",","."),0))))</f>
        <v/>
      </c>
      <c r="AE2552" t="str">
        <f>IF(AA2552="","",'Procyfloc 1009'!L53)</f>
        <v/>
      </c>
      <c r="AF2552">
        <f t="shared" si="251"/>
        <v>0</v>
      </c>
      <c r="AG2552" t="str">
        <f t="shared" si="252"/>
        <v/>
      </c>
      <c r="AH2552" t="str">
        <f t="shared" si="253"/>
        <v/>
      </c>
      <c r="AI2552">
        <f t="shared" si="254"/>
        <v>0</v>
      </c>
      <c r="AJ2552">
        <f t="shared" si="255"/>
        <v>0</v>
      </c>
      <c r="AK2552">
        <v>0</v>
      </c>
      <c r="AL2552" t="str">
        <f>IF(AA2552="","",IFERROR(IF(ISNUMBER('Procyfloc 1009'!D53),'Procyfloc 1009'!D53,IF(ISNUMBER(SEARCH("12",'Procyfloc 1009'!D53)),EDATE(AB2552,12),IF(ISNUMBER(SEARCH("6",'Procyfloc 1009'!D53)),EDATE(AB2552,6),IF(ISNUMBER(SEARCH("3",'Procyfloc 1009'!D53)),EDATE(AB2552,3),DATEVALUE('Procyfloc 1009'!D53))))),""))</f>
        <v/>
      </c>
      <c r="AM2552" t="str">
        <f t="shared" ca="1" si="256"/>
        <v/>
      </c>
    </row>
    <row r="2553" spans="27:39" x14ac:dyDescent="0.3">
      <c r="AA2553" t="str">
        <f>IF(COUNTA('Procyfloc 1009'!A54,'Procyfloc 1009'!B54,'Procyfloc 1009'!C54)&gt;0,"1009","")</f>
        <v/>
      </c>
      <c r="AB2553" t="str">
        <f>IFERROR(IF(ISNUMBER('Procyfloc 1009'!A54),'Procyfloc 1009'!A54,DATEVALUE('Procyfloc 1009'!A54)),"")</f>
        <v/>
      </c>
      <c r="AC2553" t="str">
        <f>IF(AA2553="","",'Procyfloc 1009'!B54)</f>
        <v/>
      </c>
      <c r="AD2553" t="str">
        <f>IF(AA2553="","",IFERROR(1*'Procyfloc 1009'!C54,IFERROR(_xludf.NUMBERVALUE('Procyfloc 1009'!C54,".",","),IFERROR(_xludf.NUMBERVALUE('Procyfloc 1009'!C54,",","."),0))))</f>
        <v/>
      </c>
      <c r="AE2553" t="str">
        <f>IF(AA2553="","",'Procyfloc 1009'!L54)</f>
        <v/>
      </c>
      <c r="AF2553">
        <f t="shared" si="251"/>
        <v>0</v>
      </c>
      <c r="AG2553" t="str">
        <f t="shared" si="252"/>
        <v/>
      </c>
      <c r="AH2553" t="str">
        <f t="shared" si="253"/>
        <v/>
      </c>
      <c r="AI2553">
        <f t="shared" si="254"/>
        <v>0</v>
      </c>
      <c r="AJ2553">
        <f t="shared" si="255"/>
        <v>0</v>
      </c>
      <c r="AK2553">
        <v>0</v>
      </c>
      <c r="AL2553" t="str">
        <f>IF(AA2553="","",IFERROR(IF(ISNUMBER('Procyfloc 1009'!D54),'Procyfloc 1009'!D54,IF(ISNUMBER(SEARCH("12",'Procyfloc 1009'!D54)),EDATE(AB2553,12),IF(ISNUMBER(SEARCH("6",'Procyfloc 1009'!D54)),EDATE(AB2553,6),IF(ISNUMBER(SEARCH("3",'Procyfloc 1009'!D54)),EDATE(AB2553,3),DATEVALUE('Procyfloc 1009'!D54))))),""))</f>
        <v/>
      </c>
      <c r="AM2553" t="str">
        <f t="shared" ca="1" si="256"/>
        <v/>
      </c>
    </row>
    <row r="2554" spans="27:39" x14ac:dyDescent="0.3">
      <c r="AA2554" t="str">
        <f>IF(COUNTA('Procyfloc 1009'!A55,'Procyfloc 1009'!B55,'Procyfloc 1009'!C55)&gt;0,"1009","")</f>
        <v/>
      </c>
      <c r="AB2554" t="str">
        <f>IFERROR(IF(ISNUMBER('Procyfloc 1009'!A55),'Procyfloc 1009'!A55,DATEVALUE('Procyfloc 1009'!A55)),"")</f>
        <v/>
      </c>
      <c r="AC2554" t="str">
        <f>IF(AA2554="","",'Procyfloc 1009'!B55)</f>
        <v/>
      </c>
      <c r="AD2554" t="str">
        <f>IF(AA2554="","",IFERROR(1*'Procyfloc 1009'!C55,IFERROR(_xludf.NUMBERVALUE('Procyfloc 1009'!C55,".",","),IFERROR(_xludf.NUMBERVALUE('Procyfloc 1009'!C55,",","."),0))))</f>
        <v/>
      </c>
      <c r="AE2554" t="str">
        <f>IF(AA2554="","",'Procyfloc 1009'!L55)</f>
        <v/>
      </c>
      <c r="AF2554">
        <f t="shared" si="251"/>
        <v>0</v>
      </c>
      <c r="AG2554" t="str">
        <f t="shared" si="252"/>
        <v/>
      </c>
      <c r="AH2554" t="str">
        <f t="shared" si="253"/>
        <v/>
      </c>
      <c r="AI2554">
        <f t="shared" si="254"/>
        <v>0</v>
      </c>
      <c r="AJ2554">
        <f t="shared" si="255"/>
        <v>0</v>
      </c>
      <c r="AK2554">
        <v>0</v>
      </c>
      <c r="AL2554" t="str">
        <f>IF(AA2554="","",IFERROR(IF(ISNUMBER('Procyfloc 1009'!D55),'Procyfloc 1009'!D55,IF(ISNUMBER(SEARCH("12",'Procyfloc 1009'!D55)),EDATE(AB2554,12),IF(ISNUMBER(SEARCH("6",'Procyfloc 1009'!D55)),EDATE(AB2554,6),IF(ISNUMBER(SEARCH("3",'Procyfloc 1009'!D55)),EDATE(AB2554,3),DATEVALUE('Procyfloc 1009'!D55))))),""))</f>
        <v/>
      </c>
      <c r="AM2554" t="str">
        <f t="shared" ca="1" si="256"/>
        <v/>
      </c>
    </row>
    <row r="2555" spans="27:39" x14ac:dyDescent="0.3">
      <c r="AA2555" t="str">
        <f>IF(COUNTA('Procyfloc 1009'!A56,'Procyfloc 1009'!B56,'Procyfloc 1009'!C56)&gt;0,"1009","")</f>
        <v/>
      </c>
      <c r="AB2555" t="str">
        <f>IFERROR(IF(ISNUMBER('Procyfloc 1009'!A56),'Procyfloc 1009'!A56,DATEVALUE('Procyfloc 1009'!A56)),"")</f>
        <v/>
      </c>
      <c r="AC2555" t="str">
        <f>IF(AA2555="","",'Procyfloc 1009'!B56)</f>
        <v/>
      </c>
      <c r="AD2555" t="str">
        <f>IF(AA2555="","",IFERROR(1*'Procyfloc 1009'!C56,IFERROR(_xludf.NUMBERVALUE('Procyfloc 1009'!C56,".",","),IFERROR(_xludf.NUMBERVALUE('Procyfloc 1009'!C56,",","."),0))))</f>
        <v/>
      </c>
      <c r="AE2555" t="str">
        <f>IF(AA2555="","",'Procyfloc 1009'!L56)</f>
        <v/>
      </c>
      <c r="AF2555">
        <f t="shared" si="251"/>
        <v>0</v>
      </c>
      <c r="AG2555" t="str">
        <f t="shared" si="252"/>
        <v/>
      </c>
      <c r="AH2555" t="str">
        <f t="shared" si="253"/>
        <v/>
      </c>
      <c r="AI2555">
        <f t="shared" si="254"/>
        <v>0</v>
      </c>
      <c r="AJ2555">
        <f t="shared" si="255"/>
        <v>0</v>
      </c>
      <c r="AK2555">
        <v>0</v>
      </c>
      <c r="AL2555" t="str">
        <f>IF(AA2555="","",IFERROR(IF(ISNUMBER('Procyfloc 1009'!D56),'Procyfloc 1009'!D56,IF(ISNUMBER(SEARCH("12",'Procyfloc 1009'!D56)),EDATE(AB2555,12),IF(ISNUMBER(SEARCH("6",'Procyfloc 1009'!D56)),EDATE(AB2555,6),IF(ISNUMBER(SEARCH("3",'Procyfloc 1009'!D56)),EDATE(AB2555,3),DATEVALUE('Procyfloc 1009'!D56))))),""))</f>
        <v/>
      </c>
      <c r="AM2555" t="str">
        <f t="shared" ca="1" si="256"/>
        <v/>
      </c>
    </row>
    <row r="2556" spans="27:39" x14ac:dyDescent="0.3">
      <c r="AA2556" t="str">
        <f>IF(COUNTA('Procyfloc 1009'!A57,'Procyfloc 1009'!B57,'Procyfloc 1009'!C57)&gt;0,"1009","")</f>
        <v/>
      </c>
      <c r="AB2556" t="str">
        <f>IFERROR(IF(ISNUMBER('Procyfloc 1009'!A57),'Procyfloc 1009'!A57,DATEVALUE('Procyfloc 1009'!A57)),"")</f>
        <v/>
      </c>
      <c r="AC2556" t="str">
        <f>IF(AA2556="","",'Procyfloc 1009'!B57)</f>
        <v/>
      </c>
      <c r="AD2556" t="str">
        <f>IF(AA2556="","",IFERROR(1*'Procyfloc 1009'!C57,IFERROR(_xludf.NUMBERVALUE('Procyfloc 1009'!C57,".",","),IFERROR(_xludf.NUMBERVALUE('Procyfloc 1009'!C57,",","."),0))))</f>
        <v/>
      </c>
      <c r="AE2556" t="str">
        <f>IF(AA2556="","",'Procyfloc 1009'!L57)</f>
        <v/>
      </c>
      <c r="AF2556">
        <f t="shared" si="251"/>
        <v>0</v>
      </c>
      <c r="AG2556" t="str">
        <f t="shared" si="252"/>
        <v/>
      </c>
      <c r="AH2556" t="str">
        <f t="shared" si="253"/>
        <v/>
      </c>
      <c r="AI2556">
        <f t="shared" si="254"/>
        <v>0</v>
      </c>
      <c r="AJ2556">
        <f t="shared" si="255"/>
        <v>0</v>
      </c>
      <c r="AK2556">
        <v>0</v>
      </c>
      <c r="AL2556" t="str">
        <f>IF(AA2556="","",IFERROR(IF(ISNUMBER('Procyfloc 1009'!D57),'Procyfloc 1009'!D57,IF(ISNUMBER(SEARCH("12",'Procyfloc 1009'!D57)),EDATE(AB2556,12),IF(ISNUMBER(SEARCH("6",'Procyfloc 1009'!D57)),EDATE(AB2556,6),IF(ISNUMBER(SEARCH("3",'Procyfloc 1009'!D57)),EDATE(AB2556,3),DATEVALUE('Procyfloc 1009'!D57))))),""))</f>
        <v/>
      </c>
      <c r="AM2556" t="str">
        <f t="shared" ca="1" si="256"/>
        <v/>
      </c>
    </row>
    <row r="2557" spans="27:39" x14ac:dyDescent="0.3">
      <c r="AA2557" t="str">
        <f>IF(COUNTA('Procyfloc 1009'!A58,'Procyfloc 1009'!B58,'Procyfloc 1009'!C58)&gt;0,"1009","")</f>
        <v/>
      </c>
      <c r="AB2557" t="str">
        <f>IFERROR(IF(ISNUMBER('Procyfloc 1009'!A58),'Procyfloc 1009'!A58,DATEVALUE('Procyfloc 1009'!A58)),"")</f>
        <v/>
      </c>
      <c r="AC2557" t="str">
        <f>IF(AA2557="","",'Procyfloc 1009'!B58)</f>
        <v/>
      </c>
      <c r="AD2557" t="str">
        <f>IF(AA2557="","",IFERROR(1*'Procyfloc 1009'!C58,IFERROR(_xludf.NUMBERVALUE('Procyfloc 1009'!C58,".",","),IFERROR(_xludf.NUMBERVALUE('Procyfloc 1009'!C58,",","."),0))))</f>
        <v/>
      </c>
      <c r="AE2557" t="str">
        <f>IF(AA2557="","",'Procyfloc 1009'!L58)</f>
        <v/>
      </c>
      <c r="AF2557">
        <f t="shared" si="251"/>
        <v>0</v>
      </c>
      <c r="AG2557" t="str">
        <f t="shared" si="252"/>
        <v/>
      </c>
      <c r="AH2557" t="str">
        <f t="shared" si="253"/>
        <v/>
      </c>
      <c r="AI2557">
        <f t="shared" si="254"/>
        <v>0</v>
      </c>
      <c r="AJ2557">
        <f t="shared" si="255"/>
        <v>0</v>
      </c>
      <c r="AK2557">
        <v>0</v>
      </c>
      <c r="AL2557" t="str">
        <f>IF(AA2557="","",IFERROR(IF(ISNUMBER('Procyfloc 1009'!D58),'Procyfloc 1009'!D58,IF(ISNUMBER(SEARCH("12",'Procyfloc 1009'!D58)),EDATE(AB2557,12),IF(ISNUMBER(SEARCH("6",'Procyfloc 1009'!D58)),EDATE(AB2557,6),IF(ISNUMBER(SEARCH("3",'Procyfloc 1009'!D58)),EDATE(AB2557,3),DATEVALUE('Procyfloc 1009'!D58))))),""))</f>
        <v/>
      </c>
      <c r="AM2557" t="str">
        <f t="shared" ca="1" si="256"/>
        <v/>
      </c>
    </row>
    <row r="2558" spans="27:39" x14ac:dyDescent="0.3">
      <c r="AA2558" t="str">
        <f>IF(COUNTA('Procyfloc 1009'!A59,'Procyfloc 1009'!B59,'Procyfloc 1009'!C59)&gt;0,"1009","")</f>
        <v/>
      </c>
      <c r="AB2558" t="str">
        <f>IFERROR(IF(ISNUMBER('Procyfloc 1009'!A59),'Procyfloc 1009'!A59,DATEVALUE('Procyfloc 1009'!A59)),"")</f>
        <v/>
      </c>
      <c r="AC2558" t="str">
        <f>IF(AA2558="","",'Procyfloc 1009'!B59)</f>
        <v/>
      </c>
      <c r="AD2558" t="str">
        <f>IF(AA2558="","",IFERROR(1*'Procyfloc 1009'!C59,IFERROR(_xludf.NUMBERVALUE('Procyfloc 1009'!C59,".",","),IFERROR(_xludf.NUMBERVALUE('Procyfloc 1009'!C59,",","."),0))))</f>
        <v/>
      </c>
      <c r="AE2558" t="str">
        <f>IF(AA2558="","",'Procyfloc 1009'!L59)</f>
        <v/>
      </c>
      <c r="AF2558">
        <f t="shared" si="251"/>
        <v>0</v>
      </c>
      <c r="AG2558" t="str">
        <f t="shared" si="252"/>
        <v/>
      </c>
      <c r="AH2558" t="str">
        <f t="shared" si="253"/>
        <v/>
      </c>
      <c r="AI2558">
        <f t="shared" si="254"/>
        <v>0</v>
      </c>
      <c r="AJ2558">
        <f t="shared" si="255"/>
        <v>0</v>
      </c>
      <c r="AK2558">
        <v>0</v>
      </c>
      <c r="AL2558" t="str">
        <f>IF(AA2558="","",IFERROR(IF(ISNUMBER('Procyfloc 1009'!D59),'Procyfloc 1009'!D59,IF(ISNUMBER(SEARCH("12",'Procyfloc 1009'!D59)),EDATE(AB2558,12),IF(ISNUMBER(SEARCH("6",'Procyfloc 1009'!D59)),EDATE(AB2558,6),IF(ISNUMBER(SEARCH("3",'Procyfloc 1009'!D59)),EDATE(AB2558,3),DATEVALUE('Procyfloc 1009'!D59))))),""))</f>
        <v/>
      </c>
      <c r="AM2558" t="str">
        <f t="shared" ca="1" si="256"/>
        <v/>
      </c>
    </row>
    <row r="2559" spans="27:39" x14ac:dyDescent="0.3">
      <c r="AA2559" t="str">
        <f>IF(COUNTA('Procyfloc 1009'!A60,'Procyfloc 1009'!B60,'Procyfloc 1009'!C60)&gt;0,"1009","")</f>
        <v/>
      </c>
      <c r="AB2559" t="str">
        <f>IFERROR(IF(ISNUMBER('Procyfloc 1009'!A60),'Procyfloc 1009'!A60,DATEVALUE('Procyfloc 1009'!A60)),"")</f>
        <v/>
      </c>
      <c r="AC2559" t="str">
        <f>IF(AA2559="","",'Procyfloc 1009'!B60)</f>
        <v/>
      </c>
      <c r="AD2559" t="str">
        <f>IF(AA2559="","",IFERROR(1*'Procyfloc 1009'!C60,IFERROR(_xludf.NUMBERVALUE('Procyfloc 1009'!C60,".",","),IFERROR(_xludf.NUMBERVALUE('Procyfloc 1009'!C60,",","."),0))))</f>
        <v/>
      </c>
      <c r="AE2559" t="str">
        <f>IF(AA2559="","",'Procyfloc 1009'!L60)</f>
        <v/>
      </c>
      <c r="AF2559">
        <f t="shared" si="251"/>
        <v>0</v>
      </c>
      <c r="AG2559" t="str">
        <f t="shared" si="252"/>
        <v/>
      </c>
      <c r="AH2559" t="str">
        <f t="shared" si="253"/>
        <v/>
      </c>
      <c r="AI2559">
        <f t="shared" si="254"/>
        <v>0</v>
      </c>
      <c r="AJ2559">
        <f t="shared" si="255"/>
        <v>0</v>
      </c>
      <c r="AK2559">
        <v>0</v>
      </c>
      <c r="AL2559" t="str">
        <f>IF(AA2559="","",IFERROR(IF(ISNUMBER('Procyfloc 1009'!D60),'Procyfloc 1009'!D60,IF(ISNUMBER(SEARCH("12",'Procyfloc 1009'!D60)),EDATE(AB2559,12),IF(ISNUMBER(SEARCH("6",'Procyfloc 1009'!D60)),EDATE(AB2559,6),IF(ISNUMBER(SEARCH("3",'Procyfloc 1009'!D60)),EDATE(AB2559,3),DATEVALUE('Procyfloc 1009'!D60))))),""))</f>
        <v/>
      </c>
      <c r="AM2559" t="str">
        <f t="shared" ca="1" si="256"/>
        <v/>
      </c>
    </row>
    <row r="2560" spans="27:39" x14ac:dyDescent="0.3">
      <c r="AA2560" t="str">
        <f>IF(COUNTA('Procyfloc 1009'!A61,'Procyfloc 1009'!B61,'Procyfloc 1009'!C61)&gt;0,"1009","")</f>
        <v/>
      </c>
      <c r="AB2560" t="str">
        <f>IFERROR(IF(ISNUMBER('Procyfloc 1009'!A61),'Procyfloc 1009'!A61,DATEVALUE('Procyfloc 1009'!A61)),"")</f>
        <v/>
      </c>
      <c r="AC2560" t="str">
        <f>IF(AA2560="","",'Procyfloc 1009'!B61)</f>
        <v/>
      </c>
      <c r="AD2560" t="str">
        <f>IF(AA2560="","",IFERROR(1*'Procyfloc 1009'!C61,IFERROR(_xludf.NUMBERVALUE('Procyfloc 1009'!C61,".",","),IFERROR(_xludf.NUMBERVALUE('Procyfloc 1009'!C61,",","."),0))))</f>
        <v/>
      </c>
      <c r="AE2560" t="str">
        <f>IF(AA2560="","",'Procyfloc 1009'!L61)</f>
        <v/>
      </c>
      <c r="AF2560">
        <f t="shared" si="251"/>
        <v>0</v>
      </c>
      <c r="AG2560" t="str">
        <f t="shared" si="252"/>
        <v/>
      </c>
      <c r="AH2560" t="str">
        <f t="shared" si="253"/>
        <v/>
      </c>
      <c r="AI2560">
        <f t="shared" si="254"/>
        <v>0</v>
      </c>
      <c r="AJ2560">
        <f t="shared" si="255"/>
        <v>0</v>
      </c>
      <c r="AK2560">
        <v>0</v>
      </c>
      <c r="AL2560" t="str">
        <f>IF(AA2560="","",IFERROR(IF(ISNUMBER('Procyfloc 1009'!D61),'Procyfloc 1009'!D61,IF(ISNUMBER(SEARCH("12",'Procyfloc 1009'!D61)),EDATE(AB2560,12),IF(ISNUMBER(SEARCH("6",'Procyfloc 1009'!D61)),EDATE(AB2560,6),IF(ISNUMBER(SEARCH("3",'Procyfloc 1009'!D61)),EDATE(AB2560,3),DATEVALUE('Procyfloc 1009'!D61))))),""))</f>
        <v/>
      </c>
      <c r="AM2560" t="str">
        <f t="shared" ca="1" si="256"/>
        <v/>
      </c>
    </row>
    <row r="2561" spans="27:39" x14ac:dyDescent="0.3">
      <c r="AA2561" t="str">
        <f>IF(COUNTA('Procyfloc 1009'!A62,'Procyfloc 1009'!B62,'Procyfloc 1009'!C62)&gt;0,"1009","")</f>
        <v/>
      </c>
      <c r="AB2561" t="str">
        <f>IFERROR(IF(ISNUMBER('Procyfloc 1009'!A62),'Procyfloc 1009'!A62,DATEVALUE('Procyfloc 1009'!A62)),"")</f>
        <v/>
      </c>
      <c r="AC2561" t="str">
        <f>IF(AA2561="","",'Procyfloc 1009'!B62)</f>
        <v/>
      </c>
      <c r="AD2561" t="str">
        <f>IF(AA2561="","",IFERROR(1*'Procyfloc 1009'!C62,IFERROR(_xludf.NUMBERVALUE('Procyfloc 1009'!C62,".",","),IFERROR(_xludf.NUMBERVALUE('Procyfloc 1009'!C62,",","."),0))))</f>
        <v/>
      </c>
      <c r="AE2561" t="str">
        <f>IF(AA2561="","",'Procyfloc 1009'!L62)</f>
        <v/>
      </c>
      <c r="AF2561">
        <f t="shared" si="251"/>
        <v>0</v>
      </c>
      <c r="AG2561" t="str">
        <f t="shared" si="252"/>
        <v/>
      </c>
      <c r="AH2561" t="str">
        <f t="shared" si="253"/>
        <v/>
      </c>
      <c r="AI2561">
        <f t="shared" si="254"/>
        <v>0</v>
      </c>
      <c r="AJ2561">
        <f t="shared" si="255"/>
        <v>0</v>
      </c>
      <c r="AK2561">
        <v>0</v>
      </c>
      <c r="AL2561" t="str">
        <f>IF(AA2561="","",IFERROR(IF(ISNUMBER('Procyfloc 1009'!D62),'Procyfloc 1009'!D62,IF(ISNUMBER(SEARCH("12",'Procyfloc 1009'!D62)),EDATE(AB2561,12),IF(ISNUMBER(SEARCH("6",'Procyfloc 1009'!D62)),EDATE(AB2561,6),IF(ISNUMBER(SEARCH("3",'Procyfloc 1009'!D62)),EDATE(AB2561,3),DATEVALUE('Procyfloc 1009'!D62))))),""))</f>
        <v/>
      </c>
      <c r="AM2561" t="str">
        <f t="shared" ca="1" si="256"/>
        <v/>
      </c>
    </row>
    <row r="2562" spans="27:39" x14ac:dyDescent="0.3">
      <c r="AA2562" t="str">
        <f>IF(COUNTA('Procyfloc 1009'!A63,'Procyfloc 1009'!B63,'Procyfloc 1009'!C63)&gt;0,"1009","")</f>
        <v/>
      </c>
      <c r="AB2562" t="str">
        <f>IFERROR(IF(ISNUMBER('Procyfloc 1009'!A63),'Procyfloc 1009'!A63,DATEVALUE('Procyfloc 1009'!A63)),"")</f>
        <v/>
      </c>
      <c r="AC2562" t="str">
        <f>IF(AA2562="","",'Procyfloc 1009'!B63)</f>
        <v/>
      </c>
      <c r="AD2562" t="str">
        <f>IF(AA2562="","",IFERROR(1*'Procyfloc 1009'!C63,IFERROR(_xludf.NUMBERVALUE('Procyfloc 1009'!C63,".",","),IFERROR(_xludf.NUMBERVALUE('Procyfloc 1009'!C63,",","."),0))))</f>
        <v/>
      </c>
      <c r="AE2562" t="str">
        <f>IF(AA2562="","",'Procyfloc 1009'!L63)</f>
        <v/>
      </c>
      <c r="AF2562">
        <f t="shared" ref="AF2562:AF2625" si="257">IF(AA2562="",0,--AND(ISNUMBER(SEARCH("aprov",AE2562)),NOT(ISNUMBER(SEARCH("reprov",AE2562)))))</f>
        <v>0</v>
      </c>
      <c r="AG2562" t="str">
        <f t="shared" ref="AG2562:AG2625" si="258">IF(AB2562="","",YEAR(AB2562))</f>
        <v/>
      </c>
      <c r="AH2562" t="str">
        <f t="shared" ref="AH2562:AH2625" si="259">IF(AB2562="","",MONTH(AB2562))</f>
        <v/>
      </c>
      <c r="AI2562">
        <f t="shared" ref="AI2562:AI2625" si="260">IF(AB2562="",0,AB2562+ROW()/1000000)</f>
        <v>0</v>
      </c>
      <c r="AJ2562">
        <f t="shared" ref="AJ2562:AJ2625" si="261">--(AA2562&lt;&gt;"")</f>
        <v>0</v>
      </c>
      <c r="AK2562">
        <v>0</v>
      </c>
      <c r="AL2562" t="str">
        <f>IF(AA2562="","",IFERROR(IF(ISNUMBER('Procyfloc 1009'!D63),'Procyfloc 1009'!D63,IF(ISNUMBER(SEARCH("12",'Procyfloc 1009'!D63)),EDATE(AB2562,12),IF(ISNUMBER(SEARCH("6",'Procyfloc 1009'!D63)),EDATE(AB2562,6),IF(ISNUMBER(SEARCH("3",'Procyfloc 1009'!D63)),EDATE(AB2562,3),DATEVALUE('Procyfloc 1009'!D63))))),""))</f>
        <v/>
      </c>
      <c r="AM2562" t="str">
        <f t="shared" ref="AM2562:AM2625" ca="1" si="262">IF(AND(AJ2562=1,AL2562&lt;&gt;"",AL2562&gt;=TODAY(),AG2562=$W$3),AL2562+ROW()/1000000,"")</f>
        <v/>
      </c>
    </row>
    <row r="2563" spans="27:39" x14ac:dyDescent="0.3">
      <c r="AA2563" t="str">
        <f>IF(COUNTA('Procyfloc 1009'!A64,'Procyfloc 1009'!B64,'Procyfloc 1009'!C64)&gt;0,"1009","")</f>
        <v/>
      </c>
      <c r="AB2563" t="str">
        <f>IFERROR(IF(ISNUMBER('Procyfloc 1009'!A64),'Procyfloc 1009'!A64,DATEVALUE('Procyfloc 1009'!A64)),"")</f>
        <v/>
      </c>
      <c r="AC2563" t="str">
        <f>IF(AA2563="","",'Procyfloc 1009'!B64)</f>
        <v/>
      </c>
      <c r="AD2563" t="str">
        <f>IF(AA2563="","",IFERROR(1*'Procyfloc 1009'!C64,IFERROR(_xludf.NUMBERVALUE('Procyfloc 1009'!C64,".",","),IFERROR(_xludf.NUMBERVALUE('Procyfloc 1009'!C64,",","."),0))))</f>
        <v/>
      </c>
      <c r="AE2563" t="str">
        <f>IF(AA2563="","",'Procyfloc 1009'!L64)</f>
        <v/>
      </c>
      <c r="AF2563">
        <f t="shared" si="257"/>
        <v>0</v>
      </c>
      <c r="AG2563" t="str">
        <f t="shared" si="258"/>
        <v/>
      </c>
      <c r="AH2563" t="str">
        <f t="shared" si="259"/>
        <v/>
      </c>
      <c r="AI2563">
        <f t="shared" si="260"/>
        <v>0</v>
      </c>
      <c r="AJ2563">
        <f t="shared" si="261"/>
        <v>0</v>
      </c>
      <c r="AK2563">
        <v>0</v>
      </c>
      <c r="AL2563" t="str">
        <f>IF(AA2563="","",IFERROR(IF(ISNUMBER('Procyfloc 1009'!D64),'Procyfloc 1009'!D64,IF(ISNUMBER(SEARCH("12",'Procyfloc 1009'!D64)),EDATE(AB2563,12),IF(ISNUMBER(SEARCH("6",'Procyfloc 1009'!D64)),EDATE(AB2563,6),IF(ISNUMBER(SEARCH("3",'Procyfloc 1009'!D64)),EDATE(AB2563,3),DATEVALUE('Procyfloc 1009'!D64))))),""))</f>
        <v/>
      </c>
      <c r="AM2563" t="str">
        <f t="shared" ca="1" si="262"/>
        <v/>
      </c>
    </row>
    <row r="2564" spans="27:39" x14ac:dyDescent="0.3">
      <c r="AA2564" t="str">
        <f>IF(COUNTA('Procyfloc 1009'!A65,'Procyfloc 1009'!B65,'Procyfloc 1009'!C65)&gt;0,"1009","")</f>
        <v/>
      </c>
      <c r="AB2564" t="str">
        <f>IFERROR(IF(ISNUMBER('Procyfloc 1009'!A65),'Procyfloc 1009'!A65,DATEVALUE('Procyfloc 1009'!A65)),"")</f>
        <v/>
      </c>
      <c r="AC2564" t="str">
        <f>IF(AA2564="","",'Procyfloc 1009'!B65)</f>
        <v/>
      </c>
      <c r="AD2564" t="str">
        <f>IF(AA2564="","",IFERROR(1*'Procyfloc 1009'!C65,IFERROR(_xludf.NUMBERVALUE('Procyfloc 1009'!C65,".",","),IFERROR(_xludf.NUMBERVALUE('Procyfloc 1009'!C65,",","."),0))))</f>
        <v/>
      </c>
      <c r="AE2564" t="str">
        <f>IF(AA2564="","",'Procyfloc 1009'!L65)</f>
        <v/>
      </c>
      <c r="AF2564">
        <f t="shared" si="257"/>
        <v>0</v>
      </c>
      <c r="AG2564" t="str">
        <f t="shared" si="258"/>
        <v/>
      </c>
      <c r="AH2564" t="str">
        <f t="shared" si="259"/>
        <v/>
      </c>
      <c r="AI2564">
        <f t="shared" si="260"/>
        <v>0</v>
      </c>
      <c r="AJ2564">
        <f t="shared" si="261"/>
        <v>0</v>
      </c>
      <c r="AK2564">
        <v>0</v>
      </c>
      <c r="AL2564" t="str">
        <f>IF(AA2564="","",IFERROR(IF(ISNUMBER('Procyfloc 1009'!D65),'Procyfloc 1009'!D65,IF(ISNUMBER(SEARCH("12",'Procyfloc 1009'!D65)),EDATE(AB2564,12),IF(ISNUMBER(SEARCH("6",'Procyfloc 1009'!D65)),EDATE(AB2564,6),IF(ISNUMBER(SEARCH("3",'Procyfloc 1009'!D65)),EDATE(AB2564,3),DATEVALUE('Procyfloc 1009'!D65))))),""))</f>
        <v/>
      </c>
      <c r="AM2564" t="str">
        <f t="shared" ca="1" si="262"/>
        <v/>
      </c>
    </row>
    <row r="2565" spans="27:39" x14ac:dyDescent="0.3">
      <c r="AA2565" t="str">
        <f>IF(COUNTA('Procyfloc 1009'!A66,'Procyfloc 1009'!B66,'Procyfloc 1009'!C66)&gt;0,"1009","")</f>
        <v/>
      </c>
      <c r="AB2565" t="str">
        <f>IFERROR(IF(ISNUMBER('Procyfloc 1009'!A66),'Procyfloc 1009'!A66,DATEVALUE('Procyfloc 1009'!A66)),"")</f>
        <v/>
      </c>
      <c r="AC2565" t="str">
        <f>IF(AA2565="","",'Procyfloc 1009'!B66)</f>
        <v/>
      </c>
      <c r="AD2565" t="str">
        <f>IF(AA2565="","",IFERROR(1*'Procyfloc 1009'!C66,IFERROR(_xludf.NUMBERVALUE('Procyfloc 1009'!C66,".",","),IFERROR(_xludf.NUMBERVALUE('Procyfloc 1009'!C66,",","."),0))))</f>
        <v/>
      </c>
      <c r="AE2565" t="str">
        <f>IF(AA2565="","",'Procyfloc 1009'!L66)</f>
        <v/>
      </c>
      <c r="AF2565">
        <f t="shared" si="257"/>
        <v>0</v>
      </c>
      <c r="AG2565" t="str">
        <f t="shared" si="258"/>
        <v/>
      </c>
      <c r="AH2565" t="str">
        <f t="shared" si="259"/>
        <v/>
      </c>
      <c r="AI2565">
        <f t="shared" si="260"/>
        <v>0</v>
      </c>
      <c r="AJ2565">
        <f t="shared" si="261"/>
        <v>0</v>
      </c>
      <c r="AK2565">
        <v>0</v>
      </c>
      <c r="AL2565" t="str">
        <f>IF(AA2565="","",IFERROR(IF(ISNUMBER('Procyfloc 1009'!D66),'Procyfloc 1009'!D66,IF(ISNUMBER(SEARCH("12",'Procyfloc 1009'!D66)),EDATE(AB2565,12),IF(ISNUMBER(SEARCH("6",'Procyfloc 1009'!D66)),EDATE(AB2565,6),IF(ISNUMBER(SEARCH("3",'Procyfloc 1009'!D66)),EDATE(AB2565,3),DATEVALUE('Procyfloc 1009'!D66))))),""))</f>
        <v/>
      </c>
      <c r="AM2565" t="str">
        <f t="shared" ca="1" si="262"/>
        <v/>
      </c>
    </row>
    <row r="2566" spans="27:39" x14ac:dyDescent="0.3">
      <c r="AA2566" t="str">
        <f>IF(COUNTA('Procyfloc 1009'!A67,'Procyfloc 1009'!B67,'Procyfloc 1009'!C67)&gt;0,"1009","")</f>
        <v/>
      </c>
      <c r="AB2566" t="str">
        <f>IFERROR(IF(ISNUMBER('Procyfloc 1009'!A67),'Procyfloc 1009'!A67,DATEVALUE('Procyfloc 1009'!A67)),"")</f>
        <v/>
      </c>
      <c r="AC2566" t="str">
        <f>IF(AA2566="","",'Procyfloc 1009'!B67)</f>
        <v/>
      </c>
      <c r="AD2566" t="str">
        <f>IF(AA2566="","",IFERROR(1*'Procyfloc 1009'!C67,IFERROR(_xludf.NUMBERVALUE('Procyfloc 1009'!C67,".",","),IFERROR(_xludf.NUMBERVALUE('Procyfloc 1009'!C67,",","."),0))))</f>
        <v/>
      </c>
      <c r="AE2566" t="str">
        <f>IF(AA2566="","",'Procyfloc 1009'!L67)</f>
        <v/>
      </c>
      <c r="AF2566">
        <f t="shared" si="257"/>
        <v>0</v>
      </c>
      <c r="AG2566" t="str">
        <f t="shared" si="258"/>
        <v/>
      </c>
      <c r="AH2566" t="str">
        <f t="shared" si="259"/>
        <v/>
      </c>
      <c r="AI2566">
        <f t="shared" si="260"/>
        <v>0</v>
      </c>
      <c r="AJ2566">
        <f t="shared" si="261"/>
        <v>0</v>
      </c>
      <c r="AK2566">
        <v>0</v>
      </c>
      <c r="AL2566" t="str">
        <f>IF(AA2566="","",IFERROR(IF(ISNUMBER('Procyfloc 1009'!D67),'Procyfloc 1009'!D67,IF(ISNUMBER(SEARCH("12",'Procyfloc 1009'!D67)),EDATE(AB2566,12),IF(ISNUMBER(SEARCH("6",'Procyfloc 1009'!D67)),EDATE(AB2566,6),IF(ISNUMBER(SEARCH("3",'Procyfloc 1009'!D67)),EDATE(AB2566,3),DATEVALUE('Procyfloc 1009'!D67))))),""))</f>
        <v/>
      </c>
      <c r="AM2566" t="str">
        <f t="shared" ca="1" si="262"/>
        <v/>
      </c>
    </row>
    <row r="2567" spans="27:39" x14ac:dyDescent="0.3">
      <c r="AA2567" t="str">
        <f>IF(COUNTA('Procyfloc 1009'!A68,'Procyfloc 1009'!B68,'Procyfloc 1009'!C68)&gt;0,"1009","")</f>
        <v/>
      </c>
      <c r="AB2567" t="str">
        <f>IFERROR(IF(ISNUMBER('Procyfloc 1009'!A68),'Procyfloc 1009'!A68,DATEVALUE('Procyfloc 1009'!A68)),"")</f>
        <v/>
      </c>
      <c r="AC2567" t="str">
        <f>IF(AA2567="","",'Procyfloc 1009'!B68)</f>
        <v/>
      </c>
      <c r="AD2567" t="str">
        <f>IF(AA2567="","",IFERROR(1*'Procyfloc 1009'!C68,IFERROR(_xludf.NUMBERVALUE('Procyfloc 1009'!C68,".",","),IFERROR(_xludf.NUMBERVALUE('Procyfloc 1009'!C68,",","."),0))))</f>
        <v/>
      </c>
      <c r="AE2567" t="str">
        <f>IF(AA2567="","",'Procyfloc 1009'!L68)</f>
        <v/>
      </c>
      <c r="AF2567">
        <f t="shared" si="257"/>
        <v>0</v>
      </c>
      <c r="AG2567" t="str">
        <f t="shared" si="258"/>
        <v/>
      </c>
      <c r="AH2567" t="str">
        <f t="shared" si="259"/>
        <v/>
      </c>
      <c r="AI2567">
        <f t="shared" si="260"/>
        <v>0</v>
      </c>
      <c r="AJ2567">
        <f t="shared" si="261"/>
        <v>0</v>
      </c>
      <c r="AK2567">
        <v>0</v>
      </c>
      <c r="AL2567" t="str">
        <f>IF(AA2567="","",IFERROR(IF(ISNUMBER('Procyfloc 1009'!D68),'Procyfloc 1009'!D68,IF(ISNUMBER(SEARCH("12",'Procyfloc 1009'!D68)),EDATE(AB2567,12),IF(ISNUMBER(SEARCH("6",'Procyfloc 1009'!D68)),EDATE(AB2567,6),IF(ISNUMBER(SEARCH("3",'Procyfloc 1009'!D68)),EDATE(AB2567,3),DATEVALUE('Procyfloc 1009'!D68))))),""))</f>
        <v/>
      </c>
      <c r="AM2567" t="str">
        <f t="shared" ca="1" si="262"/>
        <v/>
      </c>
    </row>
    <row r="2568" spans="27:39" x14ac:dyDescent="0.3">
      <c r="AA2568" t="str">
        <f>IF(COUNTA('Procyfloc 1009'!A69,'Procyfloc 1009'!B69,'Procyfloc 1009'!C69)&gt;0,"1009","")</f>
        <v/>
      </c>
      <c r="AB2568" t="str">
        <f>IFERROR(IF(ISNUMBER('Procyfloc 1009'!A69),'Procyfloc 1009'!A69,DATEVALUE('Procyfloc 1009'!A69)),"")</f>
        <v/>
      </c>
      <c r="AC2568" t="str">
        <f>IF(AA2568="","",'Procyfloc 1009'!B69)</f>
        <v/>
      </c>
      <c r="AD2568" t="str">
        <f>IF(AA2568="","",IFERROR(1*'Procyfloc 1009'!C69,IFERROR(_xludf.NUMBERVALUE('Procyfloc 1009'!C69,".",","),IFERROR(_xludf.NUMBERVALUE('Procyfloc 1009'!C69,",","."),0))))</f>
        <v/>
      </c>
      <c r="AE2568" t="str">
        <f>IF(AA2568="","",'Procyfloc 1009'!L69)</f>
        <v/>
      </c>
      <c r="AF2568">
        <f t="shared" si="257"/>
        <v>0</v>
      </c>
      <c r="AG2568" t="str">
        <f t="shared" si="258"/>
        <v/>
      </c>
      <c r="AH2568" t="str">
        <f t="shared" si="259"/>
        <v/>
      </c>
      <c r="AI2568">
        <f t="shared" si="260"/>
        <v>0</v>
      </c>
      <c r="AJ2568">
        <f t="shared" si="261"/>
        <v>0</v>
      </c>
      <c r="AK2568">
        <v>0</v>
      </c>
      <c r="AL2568" t="str">
        <f>IF(AA2568="","",IFERROR(IF(ISNUMBER('Procyfloc 1009'!D69),'Procyfloc 1009'!D69,IF(ISNUMBER(SEARCH("12",'Procyfloc 1009'!D69)),EDATE(AB2568,12),IF(ISNUMBER(SEARCH("6",'Procyfloc 1009'!D69)),EDATE(AB2568,6),IF(ISNUMBER(SEARCH("3",'Procyfloc 1009'!D69)),EDATE(AB2568,3),DATEVALUE('Procyfloc 1009'!D69))))),""))</f>
        <v/>
      </c>
      <c r="AM2568" t="str">
        <f t="shared" ca="1" si="262"/>
        <v/>
      </c>
    </row>
    <row r="2569" spans="27:39" x14ac:dyDescent="0.3">
      <c r="AA2569" t="str">
        <f>IF(COUNTA('Procyfloc 1009'!A70,'Procyfloc 1009'!B70,'Procyfloc 1009'!C70)&gt;0,"1009","")</f>
        <v/>
      </c>
      <c r="AB2569" t="str">
        <f>IFERROR(IF(ISNUMBER('Procyfloc 1009'!A70),'Procyfloc 1009'!A70,DATEVALUE('Procyfloc 1009'!A70)),"")</f>
        <v/>
      </c>
      <c r="AC2569" t="str">
        <f>IF(AA2569="","",'Procyfloc 1009'!B70)</f>
        <v/>
      </c>
      <c r="AD2569" t="str">
        <f>IF(AA2569="","",IFERROR(1*'Procyfloc 1009'!C70,IFERROR(_xludf.NUMBERVALUE('Procyfloc 1009'!C70,".",","),IFERROR(_xludf.NUMBERVALUE('Procyfloc 1009'!C70,",","."),0))))</f>
        <v/>
      </c>
      <c r="AE2569" t="str">
        <f>IF(AA2569="","",'Procyfloc 1009'!L70)</f>
        <v/>
      </c>
      <c r="AF2569">
        <f t="shared" si="257"/>
        <v>0</v>
      </c>
      <c r="AG2569" t="str">
        <f t="shared" si="258"/>
        <v/>
      </c>
      <c r="AH2569" t="str">
        <f t="shared" si="259"/>
        <v/>
      </c>
      <c r="AI2569">
        <f t="shared" si="260"/>
        <v>0</v>
      </c>
      <c r="AJ2569">
        <f t="shared" si="261"/>
        <v>0</v>
      </c>
      <c r="AK2569">
        <v>0</v>
      </c>
      <c r="AL2569" t="str">
        <f>IF(AA2569="","",IFERROR(IF(ISNUMBER('Procyfloc 1009'!D70),'Procyfloc 1009'!D70,IF(ISNUMBER(SEARCH("12",'Procyfloc 1009'!D70)),EDATE(AB2569,12),IF(ISNUMBER(SEARCH("6",'Procyfloc 1009'!D70)),EDATE(AB2569,6),IF(ISNUMBER(SEARCH("3",'Procyfloc 1009'!D70)),EDATE(AB2569,3),DATEVALUE('Procyfloc 1009'!D70))))),""))</f>
        <v/>
      </c>
      <c r="AM2569" t="str">
        <f t="shared" ca="1" si="262"/>
        <v/>
      </c>
    </row>
    <row r="2570" spans="27:39" x14ac:dyDescent="0.3">
      <c r="AA2570" t="str">
        <f>IF(COUNTA('Procyfloc 1009'!A71,'Procyfloc 1009'!B71,'Procyfloc 1009'!C71)&gt;0,"1009","")</f>
        <v/>
      </c>
      <c r="AB2570" t="str">
        <f>IFERROR(IF(ISNUMBER('Procyfloc 1009'!A71),'Procyfloc 1009'!A71,DATEVALUE('Procyfloc 1009'!A71)),"")</f>
        <v/>
      </c>
      <c r="AC2570" t="str">
        <f>IF(AA2570="","",'Procyfloc 1009'!B71)</f>
        <v/>
      </c>
      <c r="AD2570" t="str">
        <f>IF(AA2570="","",IFERROR(1*'Procyfloc 1009'!C71,IFERROR(_xludf.NUMBERVALUE('Procyfloc 1009'!C71,".",","),IFERROR(_xludf.NUMBERVALUE('Procyfloc 1009'!C71,",","."),0))))</f>
        <v/>
      </c>
      <c r="AE2570" t="str">
        <f>IF(AA2570="","",'Procyfloc 1009'!L71)</f>
        <v/>
      </c>
      <c r="AF2570">
        <f t="shared" si="257"/>
        <v>0</v>
      </c>
      <c r="AG2570" t="str">
        <f t="shared" si="258"/>
        <v/>
      </c>
      <c r="AH2570" t="str">
        <f t="shared" si="259"/>
        <v/>
      </c>
      <c r="AI2570">
        <f t="shared" si="260"/>
        <v>0</v>
      </c>
      <c r="AJ2570">
        <f t="shared" si="261"/>
        <v>0</v>
      </c>
      <c r="AK2570">
        <v>0</v>
      </c>
      <c r="AL2570" t="str">
        <f>IF(AA2570="","",IFERROR(IF(ISNUMBER('Procyfloc 1009'!D71),'Procyfloc 1009'!D71,IF(ISNUMBER(SEARCH("12",'Procyfloc 1009'!D71)),EDATE(AB2570,12),IF(ISNUMBER(SEARCH("6",'Procyfloc 1009'!D71)),EDATE(AB2570,6),IF(ISNUMBER(SEARCH("3",'Procyfloc 1009'!D71)),EDATE(AB2570,3),DATEVALUE('Procyfloc 1009'!D71))))),""))</f>
        <v/>
      </c>
      <c r="AM2570" t="str">
        <f t="shared" ca="1" si="262"/>
        <v/>
      </c>
    </row>
    <row r="2571" spans="27:39" x14ac:dyDescent="0.3">
      <c r="AA2571" t="str">
        <f>IF(COUNTA('Procyfloc 1009'!A72,'Procyfloc 1009'!B72,'Procyfloc 1009'!C72)&gt;0,"1009","")</f>
        <v/>
      </c>
      <c r="AB2571" t="str">
        <f>IFERROR(IF(ISNUMBER('Procyfloc 1009'!A72),'Procyfloc 1009'!A72,DATEVALUE('Procyfloc 1009'!A72)),"")</f>
        <v/>
      </c>
      <c r="AC2571" t="str">
        <f>IF(AA2571="","",'Procyfloc 1009'!B72)</f>
        <v/>
      </c>
      <c r="AD2571" t="str">
        <f>IF(AA2571="","",IFERROR(1*'Procyfloc 1009'!C72,IFERROR(_xludf.NUMBERVALUE('Procyfloc 1009'!C72,".",","),IFERROR(_xludf.NUMBERVALUE('Procyfloc 1009'!C72,",","."),0))))</f>
        <v/>
      </c>
      <c r="AE2571" t="str">
        <f>IF(AA2571="","",'Procyfloc 1009'!L72)</f>
        <v/>
      </c>
      <c r="AF2571">
        <f t="shared" si="257"/>
        <v>0</v>
      </c>
      <c r="AG2571" t="str">
        <f t="shared" si="258"/>
        <v/>
      </c>
      <c r="AH2571" t="str">
        <f t="shared" si="259"/>
        <v/>
      </c>
      <c r="AI2571">
        <f t="shared" si="260"/>
        <v>0</v>
      </c>
      <c r="AJ2571">
        <f t="shared" si="261"/>
        <v>0</v>
      </c>
      <c r="AK2571">
        <v>0</v>
      </c>
      <c r="AL2571" t="str">
        <f>IF(AA2571="","",IFERROR(IF(ISNUMBER('Procyfloc 1009'!D72),'Procyfloc 1009'!D72,IF(ISNUMBER(SEARCH("12",'Procyfloc 1009'!D72)),EDATE(AB2571,12),IF(ISNUMBER(SEARCH("6",'Procyfloc 1009'!D72)),EDATE(AB2571,6),IF(ISNUMBER(SEARCH("3",'Procyfloc 1009'!D72)),EDATE(AB2571,3),DATEVALUE('Procyfloc 1009'!D72))))),""))</f>
        <v/>
      </c>
      <c r="AM2571" t="str">
        <f t="shared" ca="1" si="262"/>
        <v/>
      </c>
    </row>
    <row r="2572" spans="27:39" x14ac:dyDescent="0.3">
      <c r="AA2572" t="str">
        <f>IF(COUNTA('Procyfloc 1009'!A73,'Procyfloc 1009'!B73,'Procyfloc 1009'!C73)&gt;0,"1009","")</f>
        <v/>
      </c>
      <c r="AB2572" t="str">
        <f>IFERROR(IF(ISNUMBER('Procyfloc 1009'!A73),'Procyfloc 1009'!A73,DATEVALUE('Procyfloc 1009'!A73)),"")</f>
        <v/>
      </c>
      <c r="AC2572" t="str">
        <f>IF(AA2572="","",'Procyfloc 1009'!B73)</f>
        <v/>
      </c>
      <c r="AD2572" t="str">
        <f>IF(AA2572="","",IFERROR(1*'Procyfloc 1009'!C73,IFERROR(_xludf.NUMBERVALUE('Procyfloc 1009'!C73,".",","),IFERROR(_xludf.NUMBERVALUE('Procyfloc 1009'!C73,",","."),0))))</f>
        <v/>
      </c>
      <c r="AE2572" t="str">
        <f>IF(AA2572="","",'Procyfloc 1009'!L73)</f>
        <v/>
      </c>
      <c r="AF2572">
        <f t="shared" si="257"/>
        <v>0</v>
      </c>
      <c r="AG2572" t="str">
        <f t="shared" si="258"/>
        <v/>
      </c>
      <c r="AH2572" t="str">
        <f t="shared" si="259"/>
        <v/>
      </c>
      <c r="AI2572">
        <f t="shared" si="260"/>
        <v>0</v>
      </c>
      <c r="AJ2572">
        <f t="shared" si="261"/>
        <v>0</v>
      </c>
      <c r="AK2572">
        <v>0</v>
      </c>
      <c r="AL2572" t="str">
        <f>IF(AA2572="","",IFERROR(IF(ISNUMBER('Procyfloc 1009'!D73),'Procyfloc 1009'!D73,IF(ISNUMBER(SEARCH("12",'Procyfloc 1009'!D73)),EDATE(AB2572,12),IF(ISNUMBER(SEARCH("6",'Procyfloc 1009'!D73)),EDATE(AB2572,6),IF(ISNUMBER(SEARCH("3",'Procyfloc 1009'!D73)),EDATE(AB2572,3),DATEVALUE('Procyfloc 1009'!D73))))),""))</f>
        <v/>
      </c>
      <c r="AM2572" t="str">
        <f t="shared" ca="1" si="262"/>
        <v/>
      </c>
    </row>
    <row r="2573" spans="27:39" x14ac:dyDescent="0.3">
      <c r="AA2573" t="str">
        <f>IF(COUNTA('Procyfloc 1009'!A74,'Procyfloc 1009'!B74,'Procyfloc 1009'!C74)&gt;0,"1009","")</f>
        <v/>
      </c>
      <c r="AB2573" t="str">
        <f>IFERROR(IF(ISNUMBER('Procyfloc 1009'!A74),'Procyfloc 1009'!A74,DATEVALUE('Procyfloc 1009'!A74)),"")</f>
        <v/>
      </c>
      <c r="AC2573" t="str">
        <f>IF(AA2573="","",'Procyfloc 1009'!B74)</f>
        <v/>
      </c>
      <c r="AD2573" t="str">
        <f>IF(AA2573="","",IFERROR(1*'Procyfloc 1009'!C74,IFERROR(_xludf.NUMBERVALUE('Procyfloc 1009'!C74,".",","),IFERROR(_xludf.NUMBERVALUE('Procyfloc 1009'!C74,",","."),0))))</f>
        <v/>
      </c>
      <c r="AE2573" t="str">
        <f>IF(AA2573="","",'Procyfloc 1009'!L74)</f>
        <v/>
      </c>
      <c r="AF2573">
        <f t="shared" si="257"/>
        <v>0</v>
      </c>
      <c r="AG2573" t="str">
        <f t="shared" si="258"/>
        <v/>
      </c>
      <c r="AH2573" t="str">
        <f t="shared" si="259"/>
        <v/>
      </c>
      <c r="AI2573">
        <f t="shared" si="260"/>
        <v>0</v>
      </c>
      <c r="AJ2573">
        <f t="shared" si="261"/>
        <v>0</v>
      </c>
      <c r="AK2573">
        <v>0</v>
      </c>
      <c r="AL2573" t="str">
        <f>IF(AA2573="","",IFERROR(IF(ISNUMBER('Procyfloc 1009'!D74),'Procyfloc 1009'!D74,IF(ISNUMBER(SEARCH("12",'Procyfloc 1009'!D74)),EDATE(AB2573,12),IF(ISNUMBER(SEARCH("6",'Procyfloc 1009'!D74)),EDATE(AB2573,6),IF(ISNUMBER(SEARCH("3",'Procyfloc 1009'!D74)),EDATE(AB2573,3),DATEVALUE('Procyfloc 1009'!D74))))),""))</f>
        <v/>
      </c>
      <c r="AM2573" t="str">
        <f t="shared" ca="1" si="262"/>
        <v/>
      </c>
    </row>
    <row r="2574" spans="27:39" x14ac:dyDescent="0.3">
      <c r="AA2574" t="str">
        <f>IF(COUNTA('Procyfloc 1009'!A75,'Procyfloc 1009'!B75,'Procyfloc 1009'!C75)&gt;0,"1009","")</f>
        <v/>
      </c>
      <c r="AB2574" t="str">
        <f>IFERROR(IF(ISNUMBER('Procyfloc 1009'!A75),'Procyfloc 1009'!A75,DATEVALUE('Procyfloc 1009'!A75)),"")</f>
        <v/>
      </c>
      <c r="AC2574" t="str">
        <f>IF(AA2574="","",'Procyfloc 1009'!B75)</f>
        <v/>
      </c>
      <c r="AD2574" t="str">
        <f>IF(AA2574="","",IFERROR(1*'Procyfloc 1009'!C75,IFERROR(_xludf.NUMBERVALUE('Procyfloc 1009'!C75,".",","),IFERROR(_xludf.NUMBERVALUE('Procyfloc 1009'!C75,",","."),0))))</f>
        <v/>
      </c>
      <c r="AE2574" t="str">
        <f>IF(AA2574="","",'Procyfloc 1009'!L75)</f>
        <v/>
      </c>
      <c r="AF2574">
        <f t="shared" si="257"/>
        <v>0</v>
      </c>
      <c r="AG2574" t="str">
        <f t="shared" si="258"/>
        <v/>
      </c>
      <c r="AH2574" t="str">
        <f t="shared" si="259"/>
        <v/>
      </c>
      <c r="AI2574">
        <f t="shared" si="260"/>
        <v>0</v>
      </c>
      <c r="AJ2574">
        <f t="shared" si="261"/>
        <v>0</v>
      </c>
      <c r="AK2574">
        <v>0</v>
      </c>
      <c r="AL2574" t="str">
        <f>IF(AA2574="","",IFERROR(IF(ISNUMBER('Procyfloc 1009'!D75),'Procyfloc 1009'!D75,IF(ISNUMBER(SEARCH("12",'Procyfloc 1009'!D75)),EDATE(AB2574,12),IF(ISNUMBER(SEARCH("6",'Procyfloc 1009'!D75)),EDATE(AB2574,6),IF(ISNUMBER(SEARCH("3",'Procyfloc 1009'!D75)),EDATE(AB2574,3),DATEVALUE('Procyfloc 1009'!D75))))),""))</f>
        <v/>
      </c>
      <c r="AM2574" t="str">
        <f t="shared" ca="1" si="262"/>
        <v/>
      </c>
    </row>
    <row r="2575" spans="27:39" x14ac:dyDescent="0.3">
      <c r="AA2575" t="str">
        <f>IF(COUNTA('Procyfloc 1009'!A76,'Procyfloc 1009'!B76,'Procyfloc 1009'!C76)&gt;0,"1009","")</f>
        <v/>
      </c>
      <c r="AB2575" t="str">
        <f>IFERROR(IF(ISNUMBER('Procyfloc 1009'!A76),'Procyfloc 1009'!A76,DATEVALUE('Procyfloc 1009'!A76)),"")</f>
        <v/>
      </c>
      <c r="AC2575" t="str">
        <f>IF(AA2575="","",'Procyfloc 1009'!B76)</f>
        <v/>
      </c>
      <c r="AD2575" t="str">
        <f>IF(AA2575="","",IFERROR(1*'Procyfloc 1009'!C76,IFERROR(_xludf.NUMBERVALUE('Procyfloc 1009'!C76,".",","),IFERROR(_xludf.NUMBERVALUE('Procyfloc 1009'!C76,",","."),0))))</f>
        <v/>
      </c>
      <c r="AE2575" t="str">
        <f>IF(AA2575="","",'Procyfloc 1009'!L76)</f>
        <v/>
      </c>
      <c r="AF2575">
        <f t="shared" si="257"/>
        <v>0</v>
      </c>
      <c r="AG2575" t="str">
        <f t="shared" si="258"/>
        <v/>
      </c>
      <c r="AH2575" t="str">
        <f t="shared" si="259"/>
        <v/>
      </c>
      <c r="AI2575">
        <f t="shared" si="260"/>
        <v>0</v>
      </c>
      <c r="AJ2575">
        <f t="shared" si="261"/>
        <v>0</v>
      </c>
      <c r="AK2575">
        <v>0</v>
      </c>
      <c r="AL2575" t="str">
        <f>IF(AA2575="","",IFERROR(IF(ISNUMBER('Procyfloc 1009'!D76),'Procyfloc 1009'!D76,IF(ISNUMBER(SEARCH("12",'Procyfloc 1009'!D76)),EDATE(AB2575,12),IF(ISNUMBER(SEARCH("6",'Procyfloc 1009'!D76)),EDATE(AB2575,6),IF(ISNUMBER(SEARCH("3",'Procyfloc 1009'!D76)),EDATE(AB2575,3),DATEVALUE('Procyfloc 1009'!D76))))),""))</f>
        <v/>
      </c>
      <c r="AM2575" t="str">
        <f t="shared" ca="1" si="262"/>
        <v/>
      </c>
    </row>
    <row r="2576" spans="27:39" x14ac:dyDescent="0.3">
      <c r="AA2576" t="str">
        <f>IF(COUNTA('Procyfloc 1009'!A77,'Procyfloc 1009'!B77,'Procyfloc 1009'!C77)&gt;0,"1009","")</f>
        <v/>
      </c>
      <c r="AB2576" t="str">
        <f>IFERROR(IF(ISNUMBER('Procyfloc 1009'!A77),'Procyfloc 1009'!A77,DATEVALUE('Procyfloc 1009'!A77)),"")</f>
        <v/>
      </c>
      <c r="AC2576" t="str">
        <f>IF(AA2576="","",'Procyfloc 1009'!B77)</f>
        <v/>
      </c>
      <c r="AD2576" t="str">
        <f>IF(AA2576="","",IFERROR(1*'Procyfloc 1009'!C77,IFERROR(_xludf.NUMBERVALUE('Procyfloc 1009'!C77,".",","),IFERROR(_xludf.NUMBERVALUE('Procyfloc 1009'!C77,",","."),0))))</f>
        <v/>
      </c>
      <c r="AE2576" t="str">
        <f>IF(AA2576="","",'Procyfloc 1009'!L77)</f>
        <v/>
      </c>
      <c r="AF2576">
        <f t="shared" si="257"/>
        <v>0</v>
      </c>
      <c r="AG2576" t="str">
        <f t="shared" si="258"/>
        <v/>
      </c>
      <c r="AH2576" t="str">
        <f t="shared" si="259"/>
        <v/>
      </c>
      <c r="AI2576">
        <f t="shared" si="260"/>
        <v>0</v>
      </c>
      <c r="AJ2576">
        <f t="shared" si="261"/>
        <v>0</v>
      </c>
      <c r="AK2576">
        <v>0</v>
      </c>
      <c r="AL2576" t="str">
        <f>IF(AA2576="","",IFERROR(IF(ISNUMBER('Procyfloc 1009'!D77),'Procyfloc 1009'!D77,IF(ISNUMBER(SEARCH("12",'Procyfloc 1009'!D77)),EDATE(AB2576,12),IF(ISNUMBER(SEARCH("6",'Procyfloc 1009'!D77)),EDATE(AB2576,6),IF(ISNUMBER(SEARCH("3",'Procyfloc 1009'!D77)),EDATE(AB2576,3),DATEVALUE('Procyfloc 1009'!D77))))),""))</f>
        <v/>
      </c>
      <c r="AM2576" t="str">
        <f t="shared" ca="1" si="262"/>
        <v/>
      </c>
    </row>
    <row r="2577" spans="27:39" x14ac:dyDescent="0.3">
      <c r="AA2577" t="str">
        <f>IF(COUNTA('Procyfloc 1009'!A78,'Procyfloc 1009'!B78,'Procyfloc 1009'!C78)&gt;0,"1009","")</f>
        <v/>
      </c>
      <c r="AB2577" t="str">
        <f>IFERROR(IF(ISNUMBER('Procyfloc 1009'!A78),'Procyfloc 1009'!A78,DATEVALUE('Procyfloc 1009'!A78)),"")</f>
        <v/>
      </c>
      <c r="AC2577" t="str">
        <f>IF(AA2577="","",'Procyfloc 1009'!B78)</f>
        <v/>
      </c>
      <c r="AD2577" t="str">
        <f>IF(AA2577="","",IFERROR(1*'Procyfloc 1009'!C78,IFERROR(_xludf.NUMBERVALUE('Procyfloc 1009'!C78,".",","),IFERROR(_xludf.NUMBERVALUE('Procyfloc 1009'!C78,",","."),0))))</f>
        <v/>
      </c>
      <c r="AE2577" t="str">
        <f>IF(AA2577="","",'Procyfloc 1009'!L78)</f>
        <v/>
      </c>
      <c r="AF2577">
        <f t="shared" si="257"/>
        <v>0</v>
      </c>
      <c r="AG2577" t="str">
        <f t="shared" si="258"/>
        <v/>
      </c>
      <c r="AH2577" t="str">
        <f t="shared" si="259"/>
        <v/>
      </c>
      <c r="AI2577">
        <f t="shared" si="260"/>
        <v>0</v>
      </c>
      <c r="AJ2577">
        <f t="shared" si="261"/>
        <v>0</v>
      </c>
      <c r="AK2577">
        <v>0</v>
      </c>
      <c r="AL2577" t="str">
        <f>IF(AA2577="","",IFERROR(IF(ISNUMBER('Procyfloc 1009'!D78),'Procyfloc 1009'!D78,IF(ISNUMBER(SEARCH("12",'Procyfloc 1009'!D78)),EDATE(AB2577,12),IF(ISNUMBER(SEARCH("6",'Procyfloc 1009'!D78)),EDATE(AB2577,6),IF(ISNUMBER(SEARCH("3",'Procyfloc 1009'!D78)),EDATE(AB2577,3),DATEVALUE('Procyfloc 1009'!D78))))),""))</f>
        <v/>
      </c>
      <c r="AM2577" t="str">
        <f t="shared" ca="1" si="262"/>
        <v/>
      </c>
    </row>
    <row r="2578" spans="27:39" x14ac:dyDescent="0.3">
      <c r="AA2578" t="str">
        <f>IF(COUNTA('Procyfloc 1009'!A79,'Procyfloc 1009'!B79,'Procyfloc 1009'!C79)&gt;0,"1009","")</f>
        <v/>
      </c>
      <c r="AB2578" t="str">
        <f>IFERROR(IF(ISNUMBER('Procyfloc 1009'!A79),'Procyfloc 1009'!A79,DATEVALUE('Procyfloc 1009'!A79)),"")</f>
        <v/>
      </c>
      <c r="AC2578" t="str">
        <f>IF(AA2578="","",'Procyfloc 1009'!B79)</f>
        <v/>
      </c>
      <c r="AD2578" t="str">
        <f>IF(AA2578="","",IFERROR(1*'Procyfloc 1009'!C79,IFERROR(_xludf.NUMBERVALUE('Procyfloc 1009'!C79,".",","),IFERROR(_xludf.NUMBERVALUE('Procyfloc 1009'!C79,",","."),0))))</f>
        <v/>
      </c>
      <c r="AE2578" t="str">
        <f>IF(AA2578="","",'Procyfloc 1009'!L79)</f>
        <v/>
      </c>
      <c r="AF2578">
        <f t="shared" si="257"/>
        <v>0</v>
      </c>
      <c r="AG2578" t="str">
        <f t="shared" si="258"/>
        <v/>
      </c>
      <c r="AH2578" t="str">
        <f t="shared" si="259"/>
        <v/>
      </c>
      <c r="AI2578">
        <f t="shared" si="260"/>
        <v>0</v>
      </c>
      <c r="AJ2578">
        <f t="shared" si="261"/>
        <v>0</v>
      </c>
      <c r="AK2578">
        <v>0</v>
      </c>
      <c r="AL2578" t="str">
        <f>IF(AA2578="","",IFERROR(IF(ISNUMBER('Procyfloc 1009'!D79),'Procyfloc 1009'!D79,IF(ISNUMBER(SEARCH("12",'Procyfloc 1009'!D79)),EDATE(AB2578,12),IF(ISNUMBER(SEARCH("6",'Procyfloc 1009'!D79)),EDATE(AB2578,6),IF(ISNUMBER(SEARCH("3",'Procyfloc 1009'!D79)),EDATE(AB2578,3),DATEVALUE('Procyfloc 1009'!D79))))),""))</f>
        <v/>
      </c>
      <c r="AM2578" t="str">
        <f t="shared" ca="1" si="262"/>
        <v/>
      </c>
    </row>
    <row r="2579" spans="27:39" x14ac:dyDescent="0.3">
      <c r="AA2579" t="str">
        <f>IF(COUNTA('Procyfloc 1009'!A80,'Procyfloc 1009'!B80,'Procyfloc 1009'!C80)&gt;0,"1009","")</f>
        <v/>
      </c>
      <c r="AB2579" t="str">
        <f>IFERROR(IF(ISNUMBER('Procyfloc 1009'!A80),'Procyfloc 1009'!A80,DATEVALUE('Procyfloc 1009'!A80)),"")</f>
        <v/>
      </c>
      <c r="AC2579" t="str">
        <f>IF(AA2579="","",'Procyfloc 1009'!B80)</f>
        <v/>
      </c>
      <c r="AD2579" t="str">
        <f>IF(AA2579="","",IFERROR(1*'Procyfloc 1009'!C80,IFERROR(_xludf.NUMBERVALUE('Procyfloc 1009'!C80,".",","),IFERROR(_xludf.NUMBERVALUE('Procyfloc 1009'!C80,",","."),0))))</f>
        <v/>
      </c>
      <c r="AE2579" t="str">
        <f>IF(AA2579="","",'Procyfloc 1009'!L80)</f>
        <v/>
      </c>
      <c r="AF2579">
        <f t="shared" si="257"/>
        <v>0</v>
      </c>
      <c r="AG2579" t="str">
        <f t="shared" si="258"/>
        <v/>
      </c>
      <c r="AH2579" t="str">
        <f t="shared" si="259"/>
        <v/>
      </c>
      <c r="AI2579">
        <f t="shared" si="260"/>
        <v>0</v>
      </c>
      <c r="AJ2579">
        <f t="shared" si="261"/>
        <v>0</v>
      </c>
      <c r="AK2579">
        <v>0</v>
      </c>
      <c r="AL2579" t="str">
        <f>IF(AA2579="","",IFERROR(IF(ISNUMBER('Procyfloc 1009'!D80),'Procyfloc 1009'!D80,IF(ISNUMBER(SEARCH("12",'Procyfloc 1009'!D80)),EDATE(AB2579,12),IF(ISNUMBER(SEARCH("6",'Procyfloc 1009'!D80)),EDATE(AB2579,6),IF(ISNUMBER(SEARCH("3",'Procyfloc 1009'!D80)),EDATE(AB2579,3),DATEVALUE('Procyfloc 1009'!D80))))),""))</f>
        <v/>
      </c>
      <c r="AM2579" t="str">
        <f t="shared" ca="1" si="262"/>
        <v/>
      </c>
    </row>
    <row r="2580" spans="27:39" x14ac:dyDescent="0.3">
      <c r="AA2580" t="str">
        <f>IF(COUNTA('Procyfloc 1009'!A81,'Procyfloc 1009'!B81,'Procyfloc 1009'!C81)&gt;0,"1009","")</f>
        <v/>
      </c>
      <c r="AB2580" t="str">
        <f>IFERROR(IF(ISNUMBER('Procyfloc 1009'!A81),'Procyfloc 1009'!A81,DATEVALUE('Procyfloc 1009'!A81)),"")</f>
        <v/>
      </c>
      <c r="AC2580" t="str">
        <f>IF(AA2580="","",'Procyfloc 1009'!B81)</f>
        <v/>
      </c>
      <c r="AD2580" t="str">
        <f>IF(AA2580="","",IFERROR(1*'Procyfloc 1009'!C81,IFERROR(_xludf.NUMBERVALUE('Procyfloc 1009'!C81,".",","),IFERROR(_xludf.NUMBERVALUE('Procyfloc 1009'!C81,",","."),0))))</f>
        <v/>
      </c>
      <c r="AE2580" t="str">
        <f>IF(AA2580="","",'Procyfloc 1009'!L81)</f>
        <v/>
      </c>
      <c r="AF2580">
        <f t="shared" si="257"/>
        <v>0</v>
      </c>
      <c r="AG2580" t="str">
        <f t="shared" si="258"/>
        <v/>
      </c>
      <c r="AH2580" t="str">
        <f t="shared" si="259"/>
        <v/>
      </c>
      <c r="AI2580">
        <f t="shared" si="260"/>
        <v>0</v>
      </c>
      <c r="AJ2580">
        <f t="shared" si="261"/>
        <v>0</v>
      </c>
      <c r="AK2580">
        <v>0</v>
      </c>
      <c r="AL2580" t="str">
        <f>IF(AA2580="","",IFERROR(IF(ISNUMBER('Procyfloc 1009'!D81),'Procyfloc 1009'!D81,IF(ISNUMBER(SEARCH("12",'Procyfloc 1009'!D81)),EDATE(AB2580,12),IF(ISNUMBER(SEARCH("6",'Procyfloc 1009'!D81)),EDATE(AB2580,6),IF(ISNUMBER(SEARCH("3",'Procyfloc 1009'!D81)),EDATE(AB2580,3),DATEVALUE('Procyfloc 1009'!D81))))),""))</f>
        <v/>
      </c>
      <c r="AM2580" t="str">
        <f t="shared" ca="1" si="262"/>
        <v/>
      </c>
    </row>
    <row r="2581" spans="27:39" x14ac:dyDescent="0.3">
      <c r="AA2581" t="str">
        <f>IF(COUNTA('Procyfloc 1009'!A82,'Procyfloc 1009'!B82,'Procyfloc 1009'!C82)&gt;0,"1009","")</f>
        <v/>
      </c>
      <c r="AB2581" t="str">
        <f>IFERROR(IF(ISNUMBER('Procyfloc 1009'!A82),'Procyfloc 1009'!A82,DATEVALUE('Procyfloc 1009'!A82)),"")</f>
        <v/>
      </c>
      <c r="AC2581" t="str">
        <f>IF(AA2581="","",'Procyfloc 1009'!B82)</f>
        <v/>
      </c>
      <c r="AD2581" t="str">
        <f>IF(AA2581="","",IFERROR(1*'Procyfloc 1009'!C82,IFERROR(_xludf.NUMBERVALUE('Procyfloc 1009'!C82,".",","),IFERROR(_xludf.NUMBERVALUE('Procyfloc 1009'!C82,",","."),0))))</f>
        <v/>
      </c>
      <c r="AE2581" t="str">
        <f>IF(AA2581="","",'Procyfloc 1009'!L82)</f>
        <v/>
      </c>
      <c r="AF2581">
        <f t="shared" si="257"/>
        <v>0</v>
      </c>
      <c r="AG2581" t="str">
        <f t="shared" si="258"/>
        <v/>
      </c>
      <c r="AH2581" t="str">
        <f t="shared" si="259"/>
        <v/>
      </c>
      <c r="AI2581">
        <f t="shared" si="260"/>
        <v>0</v>
      </c>
      <c r="AJ2581">
        <f t="shared" si="261"/>
        <v>0</v>
      </c>
      <c r="AK2581">
        <v>0</v>
      </c>
      <c r="AL2581" t="str">
        <f>IF(AA2581="","",IFERROR(IF(ISNUMBER('Procyfloc 1009'!D82),'Procyfloc 1009'!D82,IF(ISNUMBER(SEARCH("12",'Procyfloc 1009'!D82)),EDATE(AB2581,12),IF(ISNUMBER(SEARCH("6",'Procyfloc 1009'!D82)),EDATE(AB2581,6),IF(ISNUMBER(SEARCH("3",'Procyfloc 1009'!D82)),EDATE(AB2581,3),DATEVALUE('Procyfloc 1009'!D82))))),""))</f>
        <v/>
      </c>
      <c r="AM2581" t="str">
        <f t="shared" ca="1" si="262"/>
        <v/>
      </c>
    </row>
    <row r="2582" spans="27:39" x14ac:dyDescent="0.3">
      <c r="AA2582" t="str">
        <f>IF(COUNTA('Procyfloc 1009'!A83,'Procyfloc 1009'!B83,'Procyfloc 1009'!C83)&gt;0,"1009","")</f>
        <v/>
      </c>
      <c r="AB2582" t="str">
        <f>IFERROR(IF(ISNUMBER('Procyfloc 1009'!A83),'Procyfloc 1009'!A83,DATEVALUE('Procyfloc 1009'!A83)),"")</f>
        <v/>
      </c>
      <c r="AC2582" t="str">
        <f>IF(AA2582="","",'Procyfloc 1009'!B83)</f>
        <v/>
      </c>
      <c r="AD2582" t="str">
        <f>IF(AA2582="","",IFERROR(1*'Procyfloc 1009'!C83,IFERROR(_xludf.NUMBERVALUE('Procyfloc 1009'!C83,".",","),IFERROR(_xludf.NUMBERVALUE('Procyfloc 1009'!C83,",","."),0))))</f>
        <v/>
      </c>
      <c r="AE2582" t="str">
        <f>IF(AA2582="","",'Procyfloc 1009'!L83)</f>
        <v/>
      </c>
      <c r="AF2582">
        <f t="shared" si="257"/>
        <v>0</v>
      </c>
      <c r="AG2582" t="str">
        <f t="shared" si="258"/>
        <v/>
      </c>
      <c r="AH2582" t="str">
        <f t="shared" si="259"/>
        <v/>
      </c>
      <c r="AI2582">
        <f t="shared" si="260"/>
        <v>0</v>
      </c>
      <c r="AJ2582">
        <f t="shared" si="261"/>
        <v>0</v>
      </c>
      <c r="AK2582">
        <v>0</v>
      </c>
      <c r="AL2582" t="str">
        <f>IF(AA2582="","",IFERROR(IF(ISNUMBER('Procyfloc 1009'!D83),'Procyfloc 1009'!D83,IF(ISNUMBER(SEARCH("12",'Procyfloc 1009'!D83)),EDATE(AB2582,12),IF(ISNUMBER(SEARCH("6",'Procyfloc 1009'!D83)),EDATE(AB2582,6),IF(ISNUMBER(SEARCH("3",'Procyfloc 1009'!D83)),EDATE(AB2582,3),DATEVALUE('Procyfloc 1009'!D83))))),""))</f>
        <v/>
      </c>
      <c r="AM2582" t="str">
        <f t="shared" ca="1" si="262"/>
        <v/>
      </c>
    </row>
    <row r="2583" spans="27:39" x14ac:dyDescent="0.3">
      <c r="AA2583" t="str">
        <f>IF(COUNTA('Procyfloc 1009'!A84,'Procyfloc 1009'!B84,'Procyfloc 1009'!C84)&gt;0,"1009","")</f>
        <v/>
      </c>
      <c r="AB2583" t="str">
        <f>IFERROR(IF(ISNUMBER('Procyfloc 1009'!A84),'Procyfloc 1009'!A84,DATEVALUE('Procyfloc 1009'!A84)),"")</f>
        <v/>
      </c>
      <c r="AC2583" t="str">
        <f>IF(AA2583="","",'Procyfloc 1009'!B84)</f>
        <v/>
      </c>
      <c r="AD2583" t="str">
        <f>IF(AA2583="","",IFERROR(1*'Procyfloc 1009'!C84,IFERROR(_xludf.NUMBERVALUE('Procyfloc 1009'!C84,".",","),IFERROR(_xludf.NUMBERVALUE('Procyfloc 1009'!C84,",","."),0))))</f>
        <v/>
      </c>
      <c r="AE2583" t="str">
        <f>IF(AA2583="","",'Procyfloc 1009'!L84)</f>
        <v/>
      </c>
      <c r="AF2583">
        <f t="shared" si="257"/>
        <v>0</v>
      </c>
      <c r="AG2583" t="str">
        <f t="shared" si="258"/>
        <v/>
      </c>
      <c r="AH2583" t="str">
        <f t="shared" si="259"/>
        <v/>
      </c>
      <c r="AI2583">
        <f t="shared" si="260"/>
        <v>0</v>
      </c>
      <c r="AJ2583">
        <f t="shared" si="261"/>
        <v>0</v>
      </c>
      <c r="AK2583">
        <v>0</v>
      </c>
      <c r="AL2583" t="str">
        <f>IF(AA2583="","",IFERROR(IF(ISNUMBER('Procyfloc 1009'!D84),'Procyfloc 1009'!D84,IF(ISNUMBER(SEARCH("12",'Procyfloc 1009'!D84)),EDATE(AB2583,12),IF(ISNUMBER(SEARCH("6",'Procyfloc 1009'!D84)),EDATE(AB2583,6),IF(ISNUMBER(SEARCH("3",'Procyfloc 1009'!D84)),EDATE(AB2583,3),DATEVALUE('Procyfloc 1009'!D84))))),""))</f>
        <v/>
      </c>
      <c r="AM2583" t="str">
        <f t="shared" ca="1" si="262"/>
        <v/>
      </c>
    </row>
    <row r="2584" spans="27:39" x14ac:dyDescent="0.3">
      <c r="AA2584" t="str">
        <f>IF(COUNTA('Procyfloc 1009'!A85,'Procyfloc 1009'!B85,'Procyfloc 1009'!C85)&gt;0,"1009","")</f>
        <v/>
      </c>
      <c r="AB2584" t="str">
        <f>IFERROR(IF(ISNUMBER('Procyfloc 1009'!A85),'Procyfloc 1009'!A85,DATEVALUE('Procyfloc 1009'!A85)),"")</f>
        <v/>
      </c>
      <c r="AC2584" t="str">
        <f>IF(AA2584="","",'Procyfloc 1009'!B85)</f>
        <v/>
      </c>
      <c r="AD2584" t="str">
        <f>IF(AA2584="","",IFERROR(1*'Procyfloc 1009'!C85,IFERROR(_xludf.NUMBERVALUE('Procyfloc 1009'!C85,".",","),IFERROR(_xludf.NUMBERVALUE('Procyfloc 1009'!C85,",","."),0))))</f>
        <v/>
      </c>
      <c r="AE2584" t="str">
        <f>IF(AA2584="","",'Procyfloc 1009'!L85)</f>
        <v/>
      </c>
      <c r="AF2584">
        <f t="shared" si="257"/>
        <v>0</v>
      </c>
      <c r="AG2584" t="str">
        <f t="shared" si="258"/>
        <v/>
      </c>
      <c r="AH2584" t="str">
        <f t="shared" si="259"/>
        <v/>
      </c>
      <c r="AI2584">
        <f t="shared" si="260"/>
        <v>0</v>
      </c>
      <c r="AJ2584">
        <f t="shared" si="261"/>
        <v>0</v>
      </c>
      <c r="AK2584">
        <v>0</v>
      </c>
      <c r="AL2584" t="str">
        <f>IF(AA2584="","",IFERROR(IF(ISNUMBER('Procyfloc 1009'!D85),'Procyfloc 1009'!D85,IF(ISNUMBER(SEARCH("12",'Procyfloc 1009'!D85)),EDATE(AB2584,12),IF(ISNUMBER(SEARCH("6",'Procyfloc 1009'!D85)),EDATE(AB2584,6),IF(ISNUMBER(SEARCH("3",'Procyfloc 1009'!D85)),EDATE(AB2584,3),DATEVALUE('Procyfloc 1009'!D85))))),""))</f>
        <v/>
      </c>
      <c r="AM2584" t="str">
        <f t="shared" ca="1" si="262"/>
        <v/>
      </c>
    </row>
    <row r="2585" spans="27:39" x14ac:dyDescent="0.3">
      <c r="AA2585" t="str">
        <f>IF(COUNTA('Procyfloc 1009'!A86,'Procyfloc 1009'!B86,'Procyfloc 1009'!C86)&gt;0,"1009","")</f>
        <v/>
      </c>
      <c r="AB2585" t="str">
        <f>IFERROR(IF(ISNUMBER('Procyfloc 1009'!A86),'Procyfloc 1009'!A86,DATEVALUE('Procyfloc 1009'!A86)),"")</f>
        <v/>
      </c>
      <c r="AC2585" t="str">
        <f>IF(AA2585="","",'Procyfloc 1009'!B86)</f>
        <v/>
      </c>
      <c r="AD2585" t="str">
        <f>IF(AA2585="","",IFERROR(1*'Procyfloc 1009'!C86,IFERROR(_xludf.NUMBERVALUE('Procyfloc 1009'!C86,".",","),IFERROR(_xludf.NUMBERVALUE('Procyfloc 1009'!C86,",","."),0))))</f>
        <v/>
      </c>
      <c r="AE2585" t="str">
        <f>IF(AA2585="","",'Procyfloc 1009'!L86)</f>
        <v/>
      </c>
      <c r="AF2585">
        <f t="shared" si="257"/>
        <v>0</v>
      </c>
      <c r="AG2585" t="str">
        <f t="shared" si="258"/>
        <v/>
      </c>
      <c r="AH2585" t="str">
        <f t="shared" si="259"/>
        <v/>
      </c>
      <c r="AI2585">
        <f t="shared" si="260"/>
        <v>0</v>
      </c>
      <c r="AJ2585">
        <f t="shared" si="261"/>
        <v>0</v>
      </c>
      <c r="AK2585">
        <v>0</v>
      </c>
      <c r="AL2585" t="str">
        <f>IF(AA2585="","",IFERROR(IF(ISNUMBER('Procyfloc 1009'!D86),'Procyfloc 1009'!D86,IF(ISNUMBER(SEARCH("12",'Procyfloc 1009'!D86)),EDATE(AB2585,12),IF(ISNUMBER(SEARCH("6",'Procyfloc 1009'!D86)),EDATE(AB2585,6),IF(ISNUMBER(SEARCH("3",'Procyfloc 1009'!D86)),EDATE(AB2585,3),DATEVALUE('Procyfloc 1009'!D86))))),""))</f>
        <v/>
      </c>
      <c r="AM2585" t="str">
        <f t="shared" ca="1" si="262"/>
        <v/>
      </c>
    </row>
    <row r="2586" spans="27:39" x14ac:dyDescent="0.3">
      <c r="AA2586" t="str">
        <f>IF(COUNTA('Procyfloc 1009'!A87,'Procyfloc 1009'!B87,'Procyfloc 1009'!C87)&gt;0,"1009","")</f>
        <v/>
      </c>
      <c r="AB2586" t="str">
        <f>IFERROR(IF(ISNUMBER('Procyfloc 1009'!A87),'Procyfloc 1009'!A87,DATEVALUE('Procyfloc 1009'!A87)),"")</f>
        <v/>
      </c>
      <c r="AC2586" t="str">
        <f>IF(AA2586="","",'Procyfloc 1009'!B87)</f>
        <v/>
      </c>
      <c r="AD2586" t="str">
        <f>IF(AA2586="","",IFERROR(1*'Procyfloc 1009'!C87,IFERROR(_xludf.NUMBERVALUE('Procyfloc 1009'!C87,".",","),IFERROR(_xludf.NUMBERVALUE('Procyfloc 1009'!C87,",","."),0))))</f>
        <v/>
      </c>
      <c r="AE2586" t="str">
        <f>IF(AA2586="","",'Procyfloc 1009'!L87)</f>
        <v/>
      </c>
      <c r="AF2586">
        <f t="shared" si="257"/>
        <v>0</v>
      </c>
      <c r="AG2586" t="str">
        <f t="shared" si="258"/>
        <v/>
      </c>
      <c r="AH2586" t="str">
        <f t="shared" si="259"/>
        <v/>
      </c>
      <c r="AI2586">
        <f t="shared" si="260"/>
        <v>0</v>
      </c>
      <c r="AJ2586">
        <f t="shared" si="261"/>
        <v>0</v>
      </c>
      <c r="AK2586">
        <v>0</v>
      </c>
      <c r="AL2586" t="str">
        <f>IF(AA2586="","",IFERROR(IF(ISNUMBER('Procyfloc 1009'!D87),'Procyfloc 1009'!D87,IF(ISNUMBER(SEARCH("12",'Procyfloc 1009'!D87)),EDATE(AB2586,12),IF(ISNUMBER(SEARCH("6",'Procyfloc 1009'!D87)),EDATE(AB2586,6),IF(ISNUMBER(SEARCH("3",'Procyfloc 1009'!D87)),EDATE(AB2586,3),DATEVALUE('Procyfloc 1009'!D87))))),""))</f>
        <v/>
      </c>
      <c r="AM2586" t="str">
        <f t="shared" ca="1" si="262"/>
        <v/>
      </c>
    </row>
    <row r="2587" spans="27:39" x14ac:dyDescent="0.3">
      <c r="AA2587" t="str">
        <f>IF(COUNTA('Procyfloc 1009'!A88,'Procyfloc 1009'!B88,'Procyfloc 1009'!C88)&gt;0,"1009","")</f>
        <v/>
      </c>
      <c r="AB2587" t="str">
        <f>IFERROR(IF(ISNUMBER('Procyfloc 1009'!A88),'Procyfloc 1009'!A88,DATEVALUE('Procyfloc 1009'!A88)),"")</f>
        <v/>
      </c>
      <c r="AC2587" t="str">
        <f>IF(AA2587="","",'Procyfloc 1009'!B88)</f>
        <v/>
      </c>
      <c r="AD2587" t="str">
        <f>IF(AA2587="","",IFERROR(1*'Procyfloc 1009'!C88,IFERROR(_xludf.NUMBERVALUE('Procyfloc 1009'!C88,".",","),IFERROR(_xludf.NUMBERVALUE('Procyfloc 1009'!C88,",","."),0))))</f>
        <v/>
      </c>
      <c r="AE2587" t="str">
        <f>IF(AA2587="","",'Procyfloc 1009'!L88)</f>
        <v/>
      </c>
      <c r="AF2587">
        <f t="shared" si="257"/>
        <v>0</v>
      </c>
      <c r="AG2587" t="str">
        <f t="shared" si="258"/>
        <v/>
      </c>
      <c r="AH2587" t="str">
        <f t="shared" si="259"/>
        <v/>
      </c>
      <c r="AI2587">
        <f t="shared" si="260"/>
        <v>0</v>
      </c>
      <c r="AJ2587">
        <f t="shared" si="261"/>
        <v>0</v>
      </c>
      <c r="AK2587">
        <v>0</v>
      </c>
      <c r="AL2587" t="str">
        <f>IF(AA2587="","",IFERROR(IF(ISNUMBER('Procyfloc 1009'!D88),'Procyfloc 1009'!D88,IF(ISNUMBER(SEARCH("12",'Procyfloc 1009'!D88)),EDATE(AB2587,12),IF(ISNUMBER(SEARCH("6",'Procyfloc 1009'!D88)),EDATE(AB2587,6),IF(ISNUMBER(SEARCH("3",'Procyfloc 1009'!D88)),EDATE(AB2587,3),DATEVALUE('Procyfloc 1009'!D88))))),""))</f>
        <v/>
      </c>
      <c r="AM2587" t="str">
        <f t="shared" ca="1" si="262"/>
        <v/>
      </c>
    </row>
    <row r="2588" spans="27:39" x14ac:dyDescent="0.3">
      <c r="AA2588" t="str">
        <f>IF(COUNTA('Procyfloc 1009'!A89,'Procyfloc 1009'!B89,'Procyfloc 1009'!C89)&gt;0,"1009","")</f>
        <v/>
      </c>
      <c r="AB2588" t="str">
        <f>IFERROR(IF(ISNUMBER('Procyfloc 1009'!A89),'Procyfloc 1009'!A89,DATEVALUE('Procyfloc 1009'!A89)),"")</f>
        <v/>
      </c>
      <c r="AC2588" t="str">
        <f>IF(AA2588="","",'Procyfloc 1009'!B89)</f>
        <v/>
      </c>
      <c r="AD2588" t="str">
        <f>IF(AA2588="","",IFERROR(1*'Procyfloc 1009'!C89,IFERROR(_xludf.NUMBERVALUE('Procyfloc 1009'!C89,".",","),IFERROR(_xludf.NUMBERVALUE('Procyfloc 1009'!C89,",","."),0))))</f>
        <v/>
      </c>
      <c r="AE2588" t="str">
        <f>IF(AA2588="","",'Procyfloc 1009'!L89)</f>
        <v/>
      </c>
      <c r="AF2588">
        <f t="shared" si="257"/>
        <v>0</v>
      </c>
      <c r="AG2588" t="str">
        <f t="shared" si="258"/>
        <v/>
      </c>
      <c r="AH2588" t="str">
        <f t="shared" si="259"/>
        <v/>
      </c>
      <c r="AI2588">
        <f t="shared" si="260"/>
        <v>0</v>
      </c>
      <c r="AJ2588">
        <f t="shared" si="261"/>
        <v>0</v>
      </c>
      <c r="AK2588">
        <v>0</v>
      </c>
      <c r="AL2588" t="str">
        <f>IF(AA2588="","",IFERROR(IF(ISNUMBER('Procyfloc 1009'!D89),'Procyfloc 1009'!D89,IF(ISNUMBER(SEARCH("12",'Procyfloc 1009'!D89)),EDATE(AB2588,12),IF(ISNUMBER(SEARCH("6",'Procyfloc 1009'!D89)),EDATE(AB2588,6),IF(ISNUMBER(SEARCH("3",'Procyfloc 1009'!D89)),EDATE(AB2588,3),DATEVALUE('Procyfloc 1009'!D89))))),""))</f>
        <v/>
      </c>
      <c r="AM2588" t="str">
        <f t="shared" ca="1" si="262"/>
        <v/>
      </c>
    </row>
    <row r="2589" spans="27:39" x14ac:dyDescent="0.3">
      <c r="AA2589" t="str">
        <f>IF(COUNTA('Procyfloc 1009'!A90,'Procyfloc 1009'!B90,'Procyfloc 1009'!C90)&gt;0,"1009","")</f>
        <v/>
      </c>
      <c r="AB2589" t="str">
        <f>IFERROR(IF(ISNUMBER('Procyfloc 1009'!A90),'Procyfloc 1009'!A90,DATEVALUE('Procyfloc 1009'!A90)),"")</f>
        <v/>
      </c>
      <c r="AC2589" t="str">
        <f>IF(AA2589="","",'Procyfloc 1009'!B90)</f>
        <v/>
      </c>
      <c r="AD2589" t="str">
        <f>IF(AA2589="","",IFERROR(1*'Procyfloc 1009'!C90,IFERROR(_xludf.NUMBERVALUE('Procyfloc 1009'!C90,".",","),IFERROR(_xludf.NUMBERVALUE('Procyfloc 1009'!C90,",","."),0))))</f>
        <v/>
      </c>
      <c r="AE2589" t="str">
        <f>IF(AA2589="","",'Procyfloc 1009'!L90)</f>
        <v/>
      </c>
      <c r="AF2589">
        <f t="shared" si="257"/>
        <v>0</v>
      </c>
      <c r="AG2589" t="str">
        <f t="shared" si="258"/>
        <v/>
      </c>
      <c r="AH2589" t="str">
        <f t="shared" si="259"/>
        <v/>
      </c>
      <c r="AI2589">
        <f t="shared" si="260"/>
        <v>0</v>
      </c>
      <c r="AJ2589">
        <f t="shared" si="261"/>
        <v>0</v>
      </c>
      <c r="AK2589">
        <v>0</v>
      </c>
      <c r="AL2589" t="str">
        <f>IF(AA2589="","",IFERROR(IF(ISNUMBER('Procyfloc 1009'!D90),'Procyfloc 1009'!D90,IF(ISNUMBER(SEARCH("12",'Procyfloc 1009'!D90)),EDATE(AB2589,12),IF(ISNUMBER(SEARCH("6",'Procyfloc 1009'!D90)),EDATE(AB2589,6),IF(ISNUMBER(SEARCH("3",'Procyfloc 1009'!D90)),EDATE(AB2589,3),DATEVALUE('Procyfloc 1009'!D90))))),""))</f>
        <v/>
      </c>
      <c r="AM2589" t="str">
        <f t="shared" ca="1" si="262"/>
        <v/>
      </c>
    </row>
    <row r="2590" spans="27:39" x14ac:dyDescent="0.3">
      <c r="AA2590" t="str">
        <f>IF(COUNTA('Procyfloc 1009'!A91,'Procyfloc 1009'!B91,'Procyfloc 1009'!C91)&gt;0,"1009","")</f>
        <v/>
      </c>
      <c r="AB2590" t="str">
        <f>IFERROR(IF(ISNUMBER('Procyfloc 1009'!A91),'Procyfloc 1009'!A91,DATEVALUE('Procyfloc 1009'!A91)),"")</f>
        <v/>
      </c>
      <c r="AC2590" t="str">
        <f>IF(AA2590="","",'Procyfloc 1009'!B91)</f>
        <v/>
      </c>
      <c r="AD2590" t="str">
        <f>IF(AA2590="","",IFERROR(1*'Procyfloc 1009'!C91,IFERROR(_xludf.NUMBERVALUE('Procyfloc 1009'!C91,".",","),IFERROR(_xludf.NUMBERVALUE('Procyfloc 1009'!C91,",","."),0))))</f>
        <v/>
      </c>
      <c r="AE2590" t="str">
        <f>IF(AA2590="","",'Procyfloc 1009'!L91)</f>
        <v/>
      </c>
      <c r="AF2590">
        <f t="shared" si="257"/>
        <v>0</v>
      </c>
      <c r="AG2590" t="str">
        <f t="shared" si="258"/>
        <v/>
      </c>
      <c r="AH2590" t="str">
        <f t="shared" si="259"/>
        <v/>
      </c>
      <c r="AI2590">
        <f t="shared" si="260"/>
        <v>0</v>
      </c>
      <c r="AJ2590">
        <f t="shared" si="261"/>
        <v>0</v>
      </c>
      <c r="AK2590">
        <v>0</v>
      </c>
      <c r="AL2590" t="str">
        <f>IF(AA2590="","",IFERROR(IF(ISNUMBER('Procyfloc 1009'!D91),'Procyfloc 1009'!D91,IF(ISNUMBER(SEARCH("12",'Procyfloc 1009'!D91)),EDATE(AB2590,12),IF(ISNUMBER(SEARCH("6",'Procyfloc 1009'!D91)),EDATE(AB2590,6),IF(ISNUMBER(SEARCH("3",'Procyfloc 1009'!D91)),EDATE(AB2590,3),DATEVALUE('Procyfloc 1009'!D91))))),""))</f>
        <v/>
      </c>
      <c r="AM2590" t="str">
        <f t="shared" ca="1" si="262"/>
        <v/>
      </c>
    </row>
    <row r="2591" spans="27:39" x14ac:dyDescent="0.3">
      <c r="AA2591" t="str">
        <f>IF(COUNTA('Procyfloc 1009'!A92,'Procyfloc 1009'!B92,'Procyfloc 1009'!C92)&gt;0,"1009","")</f>
        <v/>
      </c>
      <c r="AB2591" t="str">
        <f>IFERROR(IF(ISNUMBER('Procyfloc 1009'!A92),'Procyfloc 1009'!A92,DATEVALUE('Procyfloc 1009'!A92)),"")</f>
        <v/>
      </c>
      <c r="AC2591" t="str">
        <f>IF(AA2591="","",'Procyfloc 1009'!B92)</f>
        <v/>
      </c>
      <c r="AD2591" t="str">
        <f>IF(AA2591="","",IFERROR(1*'Procyfloc 1009'!C92,IFERROR(_xludf.NUMBERVALUE('Procyfloc 1009'!C92,".",","),IFERROR(_xludf.NUMBERVALUE('Procyfloc 1009'!C92,",","."),0))))</f>
        <v/>
      </c>
      <c r="AE2591" t="str">
        <f>IF(AA2591="","",'Procyfloc 1009'!L92)</f>
        <v/>
      </c>
      <c r="AF2591">
        <f t="shared" si="257"/>
        <v>0</v>
      </c>
      <c r="AG2591" t="str">
        <f t="shared" si="258"/>
        <v/>
      </c>
      <c r="AH2591" t="str">
        <f t="shared" si="259"/>
        <v/>
      </c>
      <c r="AI2591">
        <f t="shared" si="260"/>
        <v>0</v>
      </c>
      <c r="AJ2591">
        <f t="shared" si="261"/>
        <v>0</v>
      </c>
      <c r="AK2591">
        <v>0</v>
      </c>
      <c r="AL2591" t="str">
        <f>IF(AA2591="","",IFERROR(IF(ISNUMBER('Procyfloc 1009'!D92),'Procyfloc 1009'!D92,IF(ISNUMBER(SEARCH("12",'Procyfloc 1009'!D92)),EDATE(AB2591,12),IF(ISNUMBER(SEARCH("6",'Procyfloc 1009'!D92)),EDATE(AB2591,6),IF(ISNUMBER(SEARCH("3",'Procyfloc 1009'!D92)),EDATE(AB2591,3),DATEVALUE('Procyfloc 1009'!D92))))),""))</f>
        <v/>
      </c>
      <c r="AM2591" t="str">
        <f t="shared" ca="1" si="262"/>
        <v/>
      </c>
    </row>
    <row r="2592" spans="27:39" x14ac:dyDescent="0.3">
      <c r="AA2592" t="str">
        <f>IF(COUNTA('Procyfloc 1009'!A93,'Procyfloc 1009'!B93,'Procyfloc 1009'!C93)&gt;0,"1009","")</f>
        <v/>
      </c>
      <c r="AB2592" t="str">
        <f>IFERROR(IF(ISNUMBER('Procyfloc 1009'!A93),'Procyfloc 1009'!A93,DATEVALUE('Procyfloc 1009'!A93)),"")</f>
        <v/>
      </c>
      <c r="AC2592" t="str">
        <f>IF(AA2592="","",'Procyfloc 1009'!B93)</f>
        <v/>
      </c>
      <c r="AD2592" t="str">
        <f>IF(AA2592="","",IFERROR(1*'Procyfloc 1009'!C93,IFERROR(_xludf.NUMBERVALUE('Procyfloc 1009'!C93,".",","),IFERROR(_xludf.NUMBERVALUE('Procyfloc 1009'!C93,",","."),0))))</f>
        <v/>
      </c>
      <c r="AE2592" t="str">
        <f>IF(AA2592="","",'Procyfloc 1009'!L93)</f>
        <v/>
      </c>
      <c r="AF2592">
        <f t="shared" si="257"/>
        <v>0</v>
      </c>
      <c r="AG2592" t="str">
        <f t="shared" si="258"/>
        <v/>
      </c>
      <c r="AH2592" t="str">
        <f t="shared" si="259"/>
        <v/>
      </c>
      <c r="AI2592">
        <f t="shared" si="260"/>
        <v>0</v>
      </c>
      <c r="AJ2592">
        <f t="shared" si="261"/>
        <v>0</v>
      </c>
      <c r="AK2592">
        <v>0</v>
      </c>
      <c r="AL2592" t="str">
        <f>IF(AA2592="","",IFERROR(IF(ISNUMBER('Procyfloc 1009'!D93),'Procyfloc 1009'!D93,IF(ISNUMBER(SEARCH("12",'Procyfloc 1009'!D93)),EDATE(AB2592,12),IF(ISNUMBER(SEARCH("6",'Procyfloc 1009'!D93)),EDATE(AB2592,6),IF(ISNUMBER(SEARCH("3",'Procyfloc 1009'!D93)),EDATE(AB2592,3),DATEVALUE('Procyfloc 1009'!D93))))),""))</f>
        <v/>
      </c>
      <c r="AM2592" t="str">
        <f t="shared" ca="1" si="262"/>
        <v/>
      </c>
    </row>
    <row r="2593" spans="27:39" x14ac:dyDescent="0.3">
      <c r="AA2593" t="str">
        <f>IF(COUNTA('Procyfloc 1009'!A94,'Procyfloc 1009'!B94,'Procyfloc 1009'!C94)&gt;0,"1009","")</f>
        <v/>
      </c>
      <c r="AB2593" t="str">
        <f>IFERROR(IF(ISNUMBER('Procyfloc 1009'!A94),'Procyfloc 1009'!A94,DATEVALUE('Procyfloc 1009'!A94)),"")</f>
        <v/>
      </c>
      <c r="AC2593" t="str">
        <f>IF(AA2593="","",'Procyfloc 1009'!B94)</f>
        <v/>
      </c>
      <c r="AD2593" t="str">
        <f>IF(AA2593="","",IFERROR(1*'Procyfloc 1009'!C94,IFERROR(_xludf.NUMBERVALUE('Procyfloc 1009'!C94,".",","),IFERROR(_xludf.NUMBERVALUE('Procyfloc 1009'!C94,",","."),0))))</f>
        <v/>
      </c>
      <c r="AE2593" t="str">
        <f>IF(AA2593="","",'Procyfloc 1009'!L94)</f>
        <v/>
      </c>
      <c r="AF2593">
        <f t="shared" si="257"/>
        <v>0</v>
      </c>
      <c r="AG2593" t="str">
        <f t="shared" si="258"/>
        <v/>
      </c>
      <c r="AH2593" t="str">
        <f t="shared" si="259"/>
        <v/>
      </c>
      <c r="AI2593">
        <f t="shared" si="260"/>
        <v>0</v>
      </c>
      <c r="AJ2593">
        <f t="shared" si="261"/>
        <v>0</v>
      </c>
      <c r="AK2593">
        <v>0</v>
      </c>
      <c r="AL2593" t="str">
        <f>IF(AA2593="","",IFERROR(IF(ISNUMBER('Procyfloc 1009'!D94),'Procyfloc 1009'!D94,IF(ISNUMBER(SEARCH("12",'Procyfloc 1009'!D94)),EDATE(AB2593,12),IF(ISNUMBER(SEARCH("6",'Procyfloc 1009'!D94)),EDATE(AB2593,6),IF(ISNUMBER(SEARCH("3",'Procyfloc 1009'!D94)),EDATE(AB2593,3),DATEVALUE('Procyfloc 1009'!D94))))),""))</f>
        <v/>
      </c>
      <c r="AM2593" t="str">
        <f t="shared" ca="1" si="262"/>
        <v/>
      </c>
    </row>
    <row r="2594" spans="27:39" x14ac:dyDescent="0.3">
      <c r="AA2594" t="str">
        <f>IF(COUNTA('Procyfloc 1009'!A95,'Procyfloc 1009'!B95,'Procyfloc 1009'!C95)&gt;0,"1009","")</f>
        <v/>
      </c>
      <c r="AB2594" t="str">
        <f>IFERROR(IF(ISNUMBER('Procyfloc 1009'!A95),'Procyfloc 1009'!A95,DATEVALUE('Procyfloc 1009'!A95)),"")</f>
        <v/>
      </c>
      <c r="AC2594" t="str">
        <f>IF(AA2594="","",'Procyfloc 1009'!B95)</f>
        <v/>
      </c>
      <c r="AD2594" t="str">
        <f>IF(AA2594="","",IFERROR(1*'Procyfloc 1009'!C95,IFERROR(_xludf.NUMBERVALUE('Procyfloc 1009'!C95,".",","),IFERROR(_xludf.NUMBERVALUE('Procyfloc 1009'!C95,",","."),0))))</f>
        <v/>
      </c>
      <c r="AE2594" t="str">
        <f>IF(AA2594="","",'Procyfloc 1009'!L95)</f>
        <v/>
      </c>
      <c r="AF2594">
        <f t="shared" si="257"/>
        <v>0</v>
      </c>
      <c r="AG2594" t="str">
        <f t="shared" si="258"/>
        <v/>
      </c>
      <c r="AH2594" t="str">
        <f t="shared" si="259"/>
        <v/>
      </c>
      <c r="AI2594">
        <f t="shared" si="260"/>
        <v>0</v>
      </c>
      <c r="AJ2594">
        <f t="shared" si="261"/>
        <v>0</v>
      </c>
      <c r="AK2594">
        <v>0</v>
      </c>
      <c r="AL2594" t="str">
        <f>IF(AA2594="","",IFERROR(IF(ISNUMBER('Procyfloc 1009'!D95),'Procyfloc 1009'!D95,IF(ISNUMBER(SEARCH("12",'Procyfloc 1009'!D95)),EDATE(AB2594,12),IF(ISNUMBER(SEARCH("6",'Procyfloc 1009'!D95)),EDATE(AB2594,6),IF(ISNUMBER(SEARCH("3",'Procyfloc 1009'!D95)),EDATE(AB2594,3),DATEVALUE('Procyfloc 1009'!D95))))),""))</f>
        <v/>
      </c>
      <c r="AM2594" t="str">
        <f t="shared" ca="1" si="262"/>
        <v/>
      </c>
    </row>
    <row r="2595" spans="27:39" x14ac:dyDescent="0.3">
      <c r="AA2595" t="str">
        <f>IF(COUNTA('Procyfloc 1009'!A96,'Procyfloc 1009'!B96,'Procyfloc 1009'!C96)&gt;0,"1009","")</f>
        <v/>
      </c>
      <c r="AB2595" t="str">
        <f>IFERROR(IF(ISNUMBER('Procyfloc 1009'!A96),'Procyfloc 1009'!A96,DATEVALUE('Procyfloc 1009'!A96)),"")</f>
        <v/>
      </c>
      <c r="AC2595" t="str">
        <f>IF(AA2595="","",'Procyfloc 1009'!B96)</f>
        <v/>
      </c>
      <c r="AD2595" t="str">
        <f>IF(AA2595="","",IFERROR(1*'Procyfloc 1009'!C96,IFERROR(_xludf.NUMBERVALUE('Procyfloc 1009'!C96,".",","),IFERROR(_xludf.NUMBERVALUE('Procyfloc 1009'!C96,",","."),0))))</f>
        <v/>
      </c>
      <c r="AE2595" t="str">
        <f>IF(AA2595="","",'Procyfloc 1009'!L96)</f>
        <v/>
      </c>
      <c r="AF2595">
        <f t="shared" si="257"/>
        <v>0</v>
      </c>
      <c r="AG2595" t="str">
        <f t="shared" si="258"/>
        <v/>
      </c>
      <c r="AH2595" t="str">
        <f t="shared" si="259"/>
        <v/>
      </c>
      <c r="AI2595">
        <f t="shared" si="260"/>
        <v>0</v>
      </c>
      <c r="AJ2595">
        <f t="shared" si="261"/>
        <v>0</v>
      </c>
      <c r="AK2595">
        <v>0</v>
      </c>
      <c r="AL2595" t="str">
        <f>IF(AA2595="","",IFERROR(IF(ISNUMBER('Procyfloc 1009'!D96),'Procyfloc 1009'!D96,IF(ISNUMBER(SEARCH("12",'Procyfloc 1009'!D96)),EDATE(AB2595,12),IF(ISNUMBER(SEARCH("6",'Procyfloc 1009'!D96)),EDATE(AB2595,6),IF(ISNUMBER(SEARCH("3",'Procyfloc 1009'!D96)),EDATE(AB2595,3),DATEVALUE('Procyfloc 1009'!D96))))),""))</f>
        <v/>
      </c>
      <c r="AM2595" t="str">
        <f t="shared" ca="1" si="262"/>
        <v/>
      </c>
    </row>
    <row r="2596" spans="27:39" x14ac:dyDescent="0.3">
      <c r="AA2596" t="str">
        <f>IF(COUNTA('Procyfloc 1009'!A97,'Procyfloc 1009'!B97,'Procyfloc 1009'!C97)&gt;0,"1009","")</f>
        <v/>
      </c>
      <c r="AB2596" t="str">
        <f>IFERROR(IF(ISNUMBER('Procyfloc 1009'!A97),'Procyfloc 1009'!A97,DATEVALUE('Procyfloc 1009'!A97)),"")</f>
        <v/>
      </c>
      <c r="AC2596" t="str">
        <f>IF(AA2596="","",'Procyfloc 1009'!B97)</f>
        <v/>
      </c>
      <c r="AD2596" t="str">
        <f>IF(AA2596="","",IFERROR(1*'Procyfloc 1009'!C97,IFERROR(_xludf.NUMBERVALUE('Procyfloc 1009'!C97,".",","),IFERROR(_xludf.NUMBERVALUE('Procyfloc 1009'!C97,",","."),0))))</f>
        <v/>
      </c>
      <c r="AE2596" t="str">
        <f>IF(AA2596="","",'Procyfloc 1009'!L97)</f>
        <v/>
      </c>
      <c r="AF2596">
        <f t="shared" si="257"/>
        <v>0</v>
      </c>
      <c r="AG2596" t="str">
        <f t="shared" si="258"/>
        <v/>
      </c>
      <c r="AH2596" t="str">
        <f t="shared" si="259"/>
        <v/>
      </c>
      <c r="AI2596">
        <f t="shared" si="260"/>
        <v>0</v>
      </c>
      <c r="AJ2596">
        <f t="shared" si="261"/>
        <v>0</v>
      </c>
      <c r="AK2596">
        <v>0</v>
      </c>
      <c r="AL2596" t="str">
        <f>IF(AA2596="","",IFERROR(IF(ISNUMBER('Procyfloc 1009'!D97),'Procyfloc 1009'!D97,IF(ISNUMBER(SEARCH("12",'Procyfloc 1009'!D97)),EDATE(AB2596,12),IF(ISNUMBER(SEARCH("6",'Procyfloc 1009'!D97)),EDATE(AB2596,6),IF(ISNUMBER(SEARCH("3",'Procyfloc 1009'!D97)),EDATE(AB2596,3),DATEVALUE('Procyfloc 1009'!D97))))),""))</f>
        <v/>
      </c>
      <c r="AM2596" t="str">
        <f t="shared" ca="1" si="262"/>
        <v/>
      </c>
    </row>
    <row r="2597" spans="27:39" x14ac:dyDescent="0.3">
      <c r="AA2597" t="str">
        <f>IF(COUNTA('Procyfloc 1009'!A98,'Procyfloc 1009'!B98,'Procyfloc 1009'!C98)&gt;0,"1009","")</f>
        <v/>
      </c>
      <c r="AB2597" t="str">
        <f>IFERROR(IF(ISNUMBER('Procyfloc 1009'!A98),'Procyfloc 1009'!A98,DATEVALUE('Procyfloc 1009'!A98)),"")</f>
        <v/>
      </c>
      <c r="AC2597" t="str">
        <f>IF(AA2597="","",'Procyfloc 1009'!B98)</f>
        <v/>
      </c>
      <c r="AD2597" t="str">
        <f>IF(AA2597="","",IFERROR(1*'Procyfloc 1009'!C98,IFERROR(_xludf.NUMBERVALUE('Procyfloc 1009'!C98,".",","),IFERROR(_xludf.NUMBERVALUE('Procyfloc 1009'!C98,",","."),0))))</f>
        <v/>
      </c>
      <c r="AE2597" t="str">
        <f>IF(AA2597="","",'Procyfloc 1009'!L98)</f>
        <v/>
      </c>
      <c r="AF2597">
        <f t="shared" si="257"/>
        <v>0</v>
      </c>
      <c r="AG2597" t="str">
        <f t="shared" si="258"/>
        <v/>
      </c>
      <c r="AH2597" t="str">
        <f t="shared" si="259"/>
        <v/>
      </c>
      <c r="AI2597">
        <f t="shared" si="260"/>
        <v>0</v>
      </c>
      <c r="AJ2597">
        <f t="shared" si="261"/>
        <v>0</v>
      </c>
      <c r="AK2597">
        <v>0</v>
      </c>
      <c r="AL2597" t="str">
        <f>IF(AA2597="","",IFERROR(IF(ISNUMBER('Procyfloc 1009'!D98),'Procyfloc 1009'!D98,IF(ISNUMBER(SEARCH("12",'Procyfloc 1009'!D98)),EDATE(AB2597,12),IF(ISNUMBER(SEARCH("6",'Procyfloc 1009'!D98)),EDATE(AB2597,6),IF(ISNUMBER(SEARCH("3",'Procyfloc 1009'!D98)),EDATE(AB2597,3),DATEVALUE('Procyfloc 1009'!D98))))),""))</f>
        <v/>
      </c>
      <c r="AM2597" t="str">
        <f t="shared" ca="1" si="262"/>
        <v/>
      </c>
    </row>
    <row r="2598" spans="27:39" x14ac:dyDescent="0.3">
      <c r="AA2598" t="str">
        <f>IF(COUNTA('Procyfloc 1009'!A99,'Procyfloc 1009'!B99,'Procyfloc 1009'!C99)&gt;0,"1009","")</f>
        <v/>
      </c>
      <c r="AB2598" t="str">
        <f>IFERROR(IF(ISNUMBER('Procyfloc 1009'!A99),'Procyfloc 1009'!A99,DATEVALUE('Procyfloc 1009'!A99)),"")</f>
        <v/>
      </c>
      <c r="AC2598" t="str">
        <f>IF(AA2598="","",'Procyfloc 1009'!B99)</f>
        <v/>
      </c>
      <c r="AD2598" t="str">
        <f>IF(AA2598="","",IFERROR(1*'Procyfloc 1009'!C99,IFERROR(_xludf.NUMBERVALUE('Procyfloc 1009'!C99,".",","),IFERROR(_xludf.NUMBERVALUE('Procyfloc 1009'!C99,",","."),0))))</f>
        <v/>
      </c>
      <c r="AE2598" t="str">
        <f>IF(AA2598="","",'Procyfloc 1009'!L99)</f>
        <v/>
      </c>
      <c r="AF2598">
        <f t="shared" si="257"/>
        <v>0</v>
      </c>
      <c r="AG2598" t="str">
        <f t="shared" si="258"/>
        <v/>
      </c>
      <c r="AH2598" t="str">
        <f t="shared" si="259"/>
        <v/>
      </c>
      <c r="AI2598">
        <f t="shared" si="260"/>
        <v>0</v>
      </c>
      <c r="AJ2598">
        <f t="shared" si="261"/>
        <v>0</v>
      </c>
      <c r="AK2598">
        <v>0</v>
      </c>
      <c r="AL2598" t="str">
        <f>IF(AA2598="","",IFERROR(IF(ISNUMBER('Procyfloc 1009'!D99),'Procyfloc 1009'!D99,IF(ISNUMBER(SEARCH("12",'Procyfloc 1009'!D99)),EDATE(AB2598,12),IF(ISNUMBER(SEARCH("6",'Procyfloc 1009'!D99)),EDATE(AB2598,6),IF(ISNUMBER(SEARCH("3",'Procyfloc 1009'!D99)),EDATE(AB2598,3),DATEVALUE('Procyfloc 1009'!D99))))),""))</f>
        <v/>
      </c>
      <c r="AM2598" t="str">
        <f t="shared" ca="1" si="262"/>
        <v/>
      </c>
    </row>
    <row r="2599" spans="27:39" x14ac:dyDescent="0.3">
      <c r="AA2599" t="str">
        <f>IF(COUNTA('Procyfloc 1009'!A100,'Procyfloc 1009'!B100,'Procyfloc 1009'!C100)&gt;0,"1009","")</f>
        <v/>
      </c>
      <c r="AB2599" t="str">
        <f>IFERROR(IF(ISNUMBER('Procyfloc 1009'!A100),'Procyfloc 1009'!A100,DATEVALUE('Procyfloc 1009'!A100)),"")</f>
        <v/>
      </c>
      <c r="AC2599" t="str">
        <f>IF(AA2599="","",'Procyfloc 1009'!B100)</f>
        <v/>
      </c>
      <c r="AD2599" t="str">
        <f>IF(AA2599="","",IFERROR(1*'Procyfloc 1009'!C100,IFERROR(_xludf.NUMBERVALUE('Procyfloc 1009'!C100,".",","),IFERROR(_xludf.NUMBERVALUE('Procyfloc 1009'!C100,",","."),0))))</f>
        <v/>
      </c>
      <c r="AE2599" t="str">
        <f>IF(AA2599="","",'Procyfloc 1009'!L100)</f>
        <v/>
      </c>
      <c r="AF2599">
        <f t="shared" si="257"/>
        <v>0</v>
      </c>
      <c r="AG2599" t="str">
        <f t="shared" si="258"/>
        <v/>
      </c>
      <c r="AH2599" t="str">
        <f t="shared" si="259"/>
        <v/>
      </c>
      <c r="AI2599">
        <f t="shared" si="260"/>
        <v>0</v>
      </c>
      <c r="AJ2599">
        <f t="shared" si="261"/>
        <v>0</v>
      </c>
      <c r="AK2599">
        <v>0</v>
      </c>
      <c r="AL2599" t="str">
        <f>IF(AA2599="","",IFERROR(IF(ISNUMBER('Procyfloc 1009'!D100),'Procyfloc 1009'!D100,IF(ISNUMBER(SEARCH("12",'Procyfloc 1009'!D100)),EDATE(AB2599,12),IF(ISNUMBER(SEARCH("6",'Procyfloc 1009'!D100)),EDATE(AB2599,6),IF(ISNUMBER(SEARCH("3",'Procyfloc 1009'!D100)),EDATE(AB2599,3),DATEVALUE('Procyfloc 1009'!D100))))),""))</f>
        <v/>
      </c>
      <c r="AM2599" t="str">
        <f t="shared" ca="1" si="262"/>
        <v/>
      </c>
    </row>
    <row r="2600" spans="27:39" x14ac:dyDescent="0.3">
      <c r="AA2600" t="str">
        <f>IF(COUNTA('Procyfloc 1009'!A101,'Procyfloc 1009'!B101,'Procyfloc 1009'!C101)&gt;0,"1009","")</f>
        <v/>
      </c>
      <c r="AB2600" t="str">
        <f>IFERROR(IF(ISNUMBER('Procyfloc 1009'!A101),'Procyfloc 1009'!A101,DATEVALUE('Procyfloc 1009'!A101)),"")</f>
        <v/>
      </c>
      <c r="AC2600" t="str">
        <f>IF(AA2600="","",'Procyfloc 1009'!B101)</f>
        <v/>
      </c>
      <c r="AD2600" t="str">
        <f>IF(AA2600="","",IFERROR(1*'Procyfloc 1009'!C101,IFERROR(_xludf.NUMBERVALUE('Procyfloc 1009'!C101,".",","),IFERROR(_xludf.NUMBERVALUE('Procyfloc 1009'!C101,",","."),0))))</f>
        <v/>
      </c>
      <c r="AE2600" t="str">
        <f>IF(AA2600="","",'Procyfloc 1009'!L101)</f>
        <v/>
      </c>
      <c r="AF2600">
        <f t="shared" si="257"/>
        <v>0</v>
      </c>
      <c r="AG2600" t="str">
        <f t="shared" si="258"/>
        <v/>
      </c>
      <c r="AH2600" t="str">
        <f t="shared" si="259"/>
        <v/>
      </c>
      <c r="AI2600">
        <f t="shared" si="260"/>
        <v>0</v>
      </c>
      <c r="AJ2600">
        <f t="shared" si="261"/>
        <v>0</v>
      </c>
      <c r="AK2600">
        <v>0</v>
      </c>
      <c r="AL2600" t="str">
        <f>IF(AA2600="","",IFERROR(IF(ISNUMBER('Procyfloc 1009'!D101),'Procyfloc 1009'!D101,IF(ISNUMBER(SEARCH("12",'Procyfloc 1009'!D101)),EDATE(AB2600,12),IF(ISNUMBER(SEARCH("6",'Procyfloc 1009'!D101)),EDATE(AB2600,6),IF(ISNUMBER(SEARCH("3",'Procyfloc 1009'!D101)),EDATE(AB2600,3),DATEVALUE('Procyfloc 1009'!D101))))),""))</f>
        <v/>
      </c>
      <c r="AM2600" t="str">
        <f t="shared" ca="1" si="262"/>
        <v/>
      </c>
    </row>
    <row r="2601" spans="27:39" x14ac:dyDescent="0.3">
      <c r="AA2601" t="str">
        <f>IF(COUNTA('Procyfloc 1009'!A102,'Procyfloc 1009'!B102,'Procyfloc 1009'!C102)&gt;0,"1009","")</f>
        <v/>
      </c>
      <c r="AB2601" t="str">
        <f>IFERROR(IF(ISNUMBER('Procyfloc 1009'!A102),'Procyfloc 1009'!A102,DATEVALUE('Procyfloc 1009'!A102)),"")</f>
        <v/>
      </c>
      <c r="AC2601" t="str">
        <f>IF(AA2601="","",'Procyfloc 1009'!B102)</f>
        <v/>
      </c>
      <c r="AD2601" t="str">
        <f>IF(AA2601="","",IFERROR(1*'Procyfloc 1009'!C102,IFERROR(_xludf.NUMBERVALUE('Procyfloc 1009'!C102,".",","),IFERROR(_xludf.NUMBERVALUE('Procyfloc 1009'!C102,",","."),0))))</f>
        <v/>
      </c>
      <c r="AE2601" t="str">
        <f>IF(AA2601="","",'Procyfloc 1009'!L102)</f>
        <v/>
      </c>
      <c r="AF2601">
        <f t="shared" si="257"/>
        <v>0</v>
      </c>
      <c r="AG2601" t="str">
        <f t="shared" si="258"/>
        <v/>
      </c>
      <c r="AH2601" t="str">
        <f t="shared" si="259"/>
        <v/>
      </c>
      <c r="AI2601">
        <f t="shared" si="260"/>
        <v>0</v>
      </c>
      <c r="AJ2601">
        <f t="shared" si="261"/>
        <v>0</v>
      </c>
      <c r="AK2601">
        <v>0</v>
      </c>
      <c r="AL2601" t="str">
        <f>IF(AA2601="","",IFERROR(IF(ISNUMBER('Procyfloc 1009'!D102),'Procyfloc 1009'!D102,IF(ISNUMBER(SEARCH("12",'Procyfloc 1009'!D102)),EDATE(AB2601,12),IF(ISNUMBER(SEARCH("6",'Procyfloc 1009'!D102)),EDATE(AB2601,6),IF(ISNUMBER(SEARCH("3",'Procyfloc 1009'!D102)),EDATE(AB2601,3),DATEVALUE('Procyfloc 1009'!D102))))),""))</f>
        <v/>
      </c>
      <c r="AM2601" t="str">
        <f t="shared" ca="1" si="262"/>
        <v/>
      </c>
    </row>
    <row r="2602" spans="27:39" x14ac:dyDescent="0.3">
      <c r="AA2602" t="str">
        <f>IF(COUNTA('Procyfloc 1009'!A103,'Procyfloc 1009'!B103,'Procyfloc 1009'!C103)&gt;0,"1009","")</f>
        <v/>
      </c>
      <c r="AB2602" t="str">
        <f>IFERROR(IF(ISNUMBER('Procyfloc 1009'!A103),'Procyfloc 1009'!A103,DATEVALUE('Procyfloc 1009'!A103)),"")</f>
        <v/>
      </c>
      <c r="AC2602" t="str">
        <f>IF(AA2602="","",'Procyfloc 1009'!B103)</f>
        <v/>
      </c>
      <c r="AD2602" t="str">
        <f>IF(AA2602="","",IFERROR(1*'Procyfloc 1009'!C103,IFERROR(_xludf.NUMBERVALUE('Procyfloc 1009'!C103,".",","),IFERROR(_xludf.NUMBERVALUE('Procyfloc 1009'!C103,",","."),0))))</f>
        <v/>
      </c>
      <c r="AE2602" t="str">
        <f>IF(AA2602="","",'Procyfloc 1009'!L103)</f>
        <v/>
      </c>
      <c r="AF2602">
        <f t="shared" si="257"/>
        <v>0</v>
      </c>
      <c r="AG2602" t="str">
        <f t="shared" si="258"/>
        <v/>
      </c>
      <c r="AH2602" t="str">
        <f t="shared" si="259"/>
        <v/>
      </c>
      <c r="AI2602">
        <f t="shared" si="260"/>
        <v>0</v>
      </c>
      <c r="AJ2602">
        <f t="shared" si="261"/>
        <v>0</v>
      </c>
      <c r="AK2602">
        <v>0</v>
      </c>
      <c r="AL2602" t="str">
        <f>IF(AA2602="","",IFERROR(IF(ISNUMBER('Procyfloc 1009'!D103),'Procyfloc 1009'!D103,IF(ISNUMBER(SEARCH("12",'Procyfloc 1009'!D103)),EDATE(AB2602,12),IF(ISNUMBER(SEARCH("6",'Procyfloc 1009'!D103)),EDATE(AB2602,6),IF(ISNUMBER(SEARCH("3",'Procyfloc 1009'!D103)),EDATE(AB2602,3),DATEVALUE('Procyfloc 1009'!D103))))),""))</f>
        <v/>
      </c>
      <c r="AM2602" t="str">
        <f t="shared" ca="1" si="262"/>
        <v/>
      </c>
    </row>
    <row r="2603" spans="27:39" x14ac:dyDescent="0.3">
      <c r="AA2603" t="str">
        <f>IF(COUNTA('Procyfloc 1009'!A104,'Procyfloc 1009'!B104,'Procyfloc 1009'!C104)&gt;0,"1009","")</f>
        <v/>
      </c>
      <c r="AB2603" t="str">
        <f>IFERROR(IF(ISNUMBER('Procyfloc 1009'!A104),'Procyfloc 1009'!A104,DATEVALUE('Procyfloc 1009'!A104)),"")</f>
        <v/>
      </c>
      <c r="AC2603" t="str">
        <f>IF(AA2603="","",'Procyfloc 1009'!B104)</f>
        <v/>
      </c>
      <c r="AD2603" t="str">
        <f>IF(AA2603="","",IFERROR(1*'Procyfloc 1009'!C104,IFERROR(_xludf.NUMBERVALUE('Procyfloc 1009'!C104,".",","),IFERROR(_xludf.NUMBERVALUE('Procyfloc 1009'!C104,",","."),0))))</f>
        <v/>
      </c>
      <c r="AE2603" t="str">
        <f>IF(AA2603="","",'Procyfloc 1009'!L104)</f>
        <v/>
      </c>
      <c r="AF2603">
        <f t="shared" si="257"/>
        <v>0</v>
      </c>
      <c r="AG2603" t="str">
        <f t="shared" si="258"/>
        <v/>
      </c>
      <c r="AH2603" t="str">
        <f t="shared" si="259"/>
        <v/>
      </c>
      <c r="AI2603">
        <f t="shared" si="260"/>
        <v>0</v>
      </c>
      <c r="AJ2603">
        <f t="shared" si="261"/>
        <v>0</v>
      </c>
      <c r="AK2603">
        <v>0</v>
      </c>
      <c r="AL2603" t="str">
        <f>IF(AA2603="","",IFERROR(IF(ISNUMBER('Procyfloc 1009'!D104),'Procyfloc 1009'!D104,IF(ISNUMBER(SEARCH("12",'Procyfloc 1009'!D104)),EDATE(AB2603,12),IF(ISNUMBER(SEARCH("6",'Procyfloc 1009'!D104)),EDATE(AB2603,6),IF(ISNUMBER(SEARCH("3",'Procyfloc 1009'!D104)),EDATE(AB2603,3),DATEVALUE('Procyfloc 1009'!D104))))),""))</f>
        <v/>
      </c>
      <c r="AM2603" t="str">
        <f t="shared" ca="1" si="262"/>
        <v/>
      </c>
    </row>
    <row r="2604" spans="27:39" x14ac:dyDescent="0.3">
      <c r="AA2604" t="str">
        <f>IF(COUNTA('Procyfloc 1009'!A105,'Procyfloc 1009'!B105,'Procyfloc 1009'!C105)&gt;0,"1009","")</f>
        <v/>
      </c>
      <c r="AB2604" t="str">
        <f>IFERROR(IF(ISNUMBER('Procyfloc 1009'!A105),'Procyfloc 1009'!A105,DATEVALUE('Procyfloc 1009'!A105)),"")</f>
        <v/>
      </c>
      <c r="AC2604" t="str">
        <f>IF(AA2604="","",'Procyfloc 1009'!B105)</f>
        <v/>
      </c>
      <c r="AD2604" t="str">
        <f>IF(AA2604="","",IFERROR(1*'Procyfloc 1009'!C105,IFERROR(_xludf.NUMBERVALUE('Procyfloc 1009'!C105,".",","),IFERROR(_xludf.NUMBERVALUE('Procyfloc 1009'!C105,",","."),0))))</f>
        <v/>
      </c>
      <c r="AE2604" t="str">
        <f>IF(AA2604="","",'Procyfloc 1009'!L105)</f>
        <v/>
      </c>
      <c r="AF2604">
        <f t="shared" si="257"/>
        <v>0</v>
      </c>
      <c r="AG2604" t="str">
        <f t="shared" si="258"/>
        <v/>
      </c>
      <c r="AH2604" t="str">
        <f t="shared" si="259"/>
        <v/>
      </c>
      <c r="AI2604">
        <f t="shared" si="260"/>
        <v>0</v>
      </c>
      <c r="AJ2604">
        <f t="shared" si="261"/>
        <v>0</v>
      </c>
      <c r="AK2604">
        <v>0</v>
      </c>
      <c r="AL2604" t="str">
        <f>IF(AA2604="","",IFERROR(IF(ISNUMBER('Procyfloc 1009'!D105),'Procyfloc 1009'!D105,IF(ISNUMBER(SEARCH("12",'Procyfloc 1009'!D105)),EDATE(AB2604,12),IF(ISNUMBER(SEARCH("6",'Procyfloc 1009'!D105)),EDATE(AB2604,6),IF(ISNUMBER(SEARCH("3",'Procyfloc 1009'!D105)),EDATE(AB2604,3),DATEVALUE('Procyfloc 1009'!D105))))),""))</f>
        <v/>
      </c>
      <c r="AM2604" t="str">
        <f t="shared" ca="1" si="262"/>
        <v/>
      </c>
    </row>
    <row r="2605" spans="27:39" x14ac:dyDescent="0.3">
      <c r="AA2605" t="str">
        <f>IF(COUNTA('Procyfloc 1009'!A106,'Procyfloc 1009'!B106,'Procyfloc 1009'!C106)&gt;0,"1009","")</f>
        <v/>
      </c>
      <c r="AB2605" t="str">
        <f>IFERROR(IF(ISNUMBER('Procyfloc 1009'!A106),'Procyfloc 1009'!A106,DATEVALUE('Procyfloc 1009'!A106)),"")</f>
        <v/>
      </c>
      <c r="AC2605" t="str">
        <f>IF(AA2605="","",'Procyfloc 1009'!B106)</f>
        <v/>
      </c>
      <c r="AD2605" t="str">
        <f>IF(AA2605="","",IFERROR(1*'Procyfloc 1009'!C106,IFERROR(_xludf.NUMBERVALUE('Procyfloc 1009'!C106,".",","),IFERROR(_xludf.NUMBERVALUE('Procyfloc 1009'!C106,",","."),0))))</f>
        <v/>
      </c>
      <c r="AE2605" t="str">
        <f>IF(AA2605="","",'Procyfloc 1009'!L106)</f>
        <v/>
      </c>
      <c r="AF2605">
        <f t="shared" si="257"/>
        <v>0</v>
      </c>
      <c r="AG2605" t="str">
        <f t="shared" si="258"/>
        <v/>
      </c>
      <c r="AH2605" t="str">
        <f t="shared" si="259"/>
        <v/>
      </c>
      <c r="AI2605">
        <f t="shared" si="260"/>
        <v>0</v>
      </c>
      <c r="AJ2605">
        <f t="shared" si="261"/>
        <v>0</v>
      </c>
      <c r="AK2605">
        <v>0</v>
      </c>
      <c r="AL2605" t="str">
        <f>IF(AA2605="","",IFERROR(IF(ISNUMBER('Procyfloc 1009'!D106),'Procyfloc 1009'!D106,IF(ISNUMBER(SEARCH("12",'Procyfloc 1009'!D106)),EDATE(AB2605,12),IF(ISNUMBER(SEARCH("6",'Procyfloc 1009'!D106)),EDATE(AB2605,6),IF(ISNUMBER(SEARCH("3",'Procyfloc 1009'!D106)),EDATE(AB2605,3),DATEVALUE('Procyfloc 1009'!D106))))),""))</f>
        <v/>
      </c>
      <c r="AM2605" t="str">
        <f t="shared" ca="1" si="262"/>
        <v/>
      </c>
    </row>
    <row r="2606" spans="27:39" x14ac:dyDescent="0.3">
      <c r="AA2606" t="str">
        <f>IF(COUNTA('Procyfloc 1009'!A107,'Procyfloc 1009'!B107,'Procyfloc 1009'!C107)&gt;0,"1009","")</f>
        <v/>
      </c>
      <c r="AB2606" t="str">
        <f>IFERROR(IF(ISNUMBER('Procyfloc 1009'!A107),'Procyfloc 1009'!A107,DATEVALUE('Procyfloc 1009'!A107)),"")</f>
        <v/>
      </c>
      <c r="AC2606" t="str">
        <f>IF(AA2606="","",'Procyfloc 1009'!B107)</f>
        <v/>
      </c>
      <c r="AD2606" t="str">
        <f>IF(AA2606="","",IFERROR(1*'Procyfloc 1009'!C107,IFERROR(_xludf.NUMBERVALUE('Procyfloc 1009'!C107,".",","),IFERROR(_xludf.NUMBERVALUE('Procyfloc 1009'!C107,",","."),0))))</f>
        <v/>
      </c>
      <c r="AE2606" t="str">
        <f>IF(AA2606="","",'Procyfloc 1009'!L107)</f>
        <v/>
      </c>
      <c r="AF2606">
        <f t="shared" si="257"/>
        <v>0</v>
      </c>
      <c r="AG2606" t="str">
        <f t="shared" si="258"/>
        <v/>
      </c>
      <c r="AH2606" t="str">
        <f t="shared" si="259"/>
        <v/>
      </c>
      <c r="AI2606">
        <f t="shared" si="260"/>
        <v>0</v>
      </c>
      <c r="AJ2606">
        <f t="shared" si="261"/>
        <v>0</v>
      </c>
      <c r="AK2606">
        <v>0</v>
      </c>
      <c r="AL2606" t="str">
        <f>IF(AA2606="","",IFERROR(IF(ISNUMBER('Procyfloc 1009'!D107),'Procyfloc 1009'!D107,IF(ISNUMBER(SEARCH("12",'Procyfloc 1009'!D107)),EDATE(AB2606,12),IF(ISNUMBER(SEARCH("6",'Procyfloc 1009'!D107)),EDATE(AB2606,6),IF(ISNUMBER(SEARCH("3",'Procyfloc 1009'!D107)),EDATE(AB2606,3),DATEVALUE('Procyfloc 1009'!D107))))),""))</f>
        <v/>
      </c>
      <c r="AM2606" t="str">
        <f t="shared" ca="1" si="262"/>
        <v/>
      </c>
    </row>
    <row r="2607" spans="27:39" x14ac:dyDescent="0.3">
      <c r="AA2607" t="str">
        <f>IF(COUNTA('Procyfloc 1009'!A108,'Procyfloc 1009'!B108,'Procyfloc 1009'!C108)&gt;0,"1009","")</f>
        <v/>
      </c>
      <c r="AB2607" t="str">
        <f>IFERROR(IF(ISNUMBER('Procyfloc 1009'!A108),'Procyfloc 1009'!A108,DATEVALUE('Procyfloc 1009'!A108)),"")</f>
        <v/>
      </c>
      <c r="AC2607" t="str">
        <f>IF(AA2607="","",'Procyfloc 1009'!B108)</f>
        <v/>
      </c>
      <c r="AD2607" t="str">
        <f>IF(AA2607="","",IFERROR(1*'Procyfloc 1009'!C108,IFERROR(_xludf.NUMBERVALUE('Procyfloc 1009'!C108,".",","),IFERROR(_xludf.NUMBERVALUE('Procyfloc 1009'!C108,",","."),0))))</f>
        <v/>
      </c>
      <c r="AE2607" t="str">
        <f>IF(AA2607="","",'Procyfloc 1009'!L108)</f>
        <v/>
      </c>
      <c r="AF2607">
        <f t="shared" si="257"/>
        <v>0</v>
      </c>
      <c r="AG2607" t="str">
        <f t="shared" si="258"/>
        <v/>
      </c>
      <c r="AH2607" t="str">
        <f t="shared" si="259"/>
        <v/>
      </c>
      <c r="AI2607">
        <f t="shared" si="260"/>
        <v>0</v>
      </c>
      <c r="AJ2607">
        <f t="shared" si="261"/>
        <v>0</v>
      </c>
      <c r="AK2607">
        <v>0</v>
      </c>
      <c r="AL2607" t="str">
        <f>IF(AA2607="","",IFERROR(IF(ISNUMBER('Procyfloc 1009'!D108),'Procyfloc 1009'!D108,IF(ISNUMBER(SEARCH("12",'Procyfloc 1009'!D108)),EDATE(AB2607,12),IF(ISNUMBER(SEARCH("6",'Procyfloc 1009'!D108)),EDATE(AB2607,6),IF(ISNUMBER(SEARCH("3",'Procyfloc 1009'!D108)),EDATE(AB2607,3),DATEVALUE('Procyfloc 1009'!D108))))),""))</f>
        <v/>
      </c>
      <c r="AM2607" t="str">
        <f t="shared" ca="1" si="262"/>
        <v/>
      </c>
    </row>
    <row r="2608" spans="27:39" x14ac:dyDescent="0.3">
      <c r="AA2608" t="str">
        <f>IF(COUNTA('Procyfloc 1009'!A109,'Procyfloc 1009'!B109,'Procyfloc 1009'!C109)&gt;0,"1009","")</f>
        <v/>
      </c>
      <c r="AB2608" t="str">
        <f>IFERROR(IF(ISNUMBER('Procyfloc 1009'!A109),'Procyfloc 1009'!A109,DATEVALUE('Procyfloc 1009'!A109)),"")</f>
        <v/>
      </c>
      <c r="AC2608" t="str">
        <f>IF(AA2608="","",'Procyfloc 1009'!B109)</f>
        <v/>
      </c>
      <c r="AD2608" t="str">
        <f>IF(AA2608="","",IFERROR(1*'Procyfloc 1009'!C109,IFERROR(_xludf.NUMBERVALUE('Procyfloc 1009'!C109,".",","),IFERROR(_xludf.NUMBERVALUE('Procyfloc 1009'!C109,",","."),0))))</f>
        <v/>
      </c>
      <c r="AE2608" t="str">
        <f>IF(AA2608="","",'Procyfloc 1009'!L109)</f>
        <v/>
      </c>
      <c r="AF2608">
        <f t="shared" si="257"/>
        <v>0</v>
      </c>
      <c r="AG2608" t="str">
        <f t="shared" si="258"/>
        <v/>
      </c>
      <c r="AH2608" t="str">
        <f t="shared" si="259"/>
        <v/>
      </c>
      <c r="AI2608">
        <f t="shared" si="260"/>
        <v>0</v>
      </c>
      <c r="AJ2608">
        <f t="shared" si="261"/>
        <v>0</v>
      </c>
      <c r="AK2608">
        <v>0</v>
      </c>
      <c r="AL2608" t="str">
        <f>IF(AA2608="","",IFERROR(IF(ISNUMBER('Procyfloc 1009'!D109),'Procyfloc 1009'!D109,IF(ISNUMBER(SEARCH("12",'Procyfloc 1009'!D109)),EDATE(AB2608,12),IF(ISNUMBER(SEARCH("6",'Procyfloc 1009'!D109)),EDATE(AB2608,6),IF(ISNUMBER(SEARCH("3",'Procyfloc 1009'!D109)),EDATE(AB2608,3),DATEVALUE('Procyfloc 1009'!D109))))),""))</f>
        <v/>
      </c>
      <c r="AM2608" t="str">
        <f t="shared" ca="1" si="262"/>
        <v/>
      </c>
    </row>
    <row r="2609" spans="27:39" x14ac:dyDescent="0.3">
      <c r="AA2609" t="str">
        <f>IF(COUNTA('Procyfloc 1009'!A110,'Procyfloc 1009'!B110,'Procyfloc 1009'!C110)&gt;0,"1009","")</f>
        <v/>
      </c>
      <c r="AB2609" t="str">
        <f>IFERROR(IF(ISNUMBER('Procyfloc 1009'!A110),'Procyfloc 1009'!A110,DATEVALUE('Procyfloc 1009'!A110)),"")</f>
        <v/>
      </c>
      <c r="AC2609" t="str">
        <f>IF(AA2609="","",'Procyfloc 1009'!B110)</f>
        <v/>
      </c>
      <c r="AD2609" t="str">
        <f>IF(AA2609="","",IFERROR(1*'Procyfloc 1009'!C110,IFERROR(_xludf.NUMBERVALUE('Procyfloc 1009'!C110,".",","),IFERROR(_xludf.NUMBERVALUE('Procyfloc 1009'!C110,",","."),0))))</f>
        <v/>
      </c>
      <c r="AE2609" t="str">
        <f>IF(AA2609="","",'Procyfloc 1009'!L110)</f>
        <v/>
      </c>
      <c r="AF2609">
        <f t="shared" si="257"/>
        <v>0</v>
      </c>
      <c r="AG2609" t="str">
        <f t="shared" si="258"/>
        <v/>
      </c>
      <c r="AH2609" t="str">
        <f t="shared" si="259"/>
        <v/>
      </c>
      <c r="AI2609">
        <f t="shared" si="260"/>
        <v>0</v>
      </c>
      <c r="AJ2609">
        <f t="shared" si="261"/>
        <v>0</v>
      </c>
      <c r="AK2609">
        <v>0</v>
      </c>
      <c r="AL2609" t="str">
        <f>IF(AA2609="","",IFERROR(IF(ISNUMBER('Procyfloc 1009'!D110),'Procyfloc 1009'!D110,IF(ISNUMBER(SEARCH("12",'Procyfloc 1009'!D110)),EDATE(AB2609,12),IF(ISNUMBER(SEARCH("6",'Procyfloc 1009'!D110)),EDATE(AB2609,6),IF(ISNUMBER(SEARCH("3",'Procyfloc 1009'!D110)),EDATE(AB2609,3),DATEVALUE('Procyfloc 1009'!D110))))),""))</f>
        <v/>
      </c>
      <c r="AM2609" t="str">
        <f t="shared" ca="1" si="262"/>
        <v/>
      </c>
    </row>
    <row r="2610" spans="27:39" x14ac:dyDescent="0.3">
      <c r="AA2610" t="str">
        <f>IF(COUNTA('Procyfloc 1009'!A111,'Procyfloc 1009'!B111,'Procyfloc 1009'!C111)&gt;0,"1009","")</f>
        <v/>
      </c>
      <c r="AB2610" t="str">
        <f>IFERROR(IF(ISNUMBER('Procyfloc 1009'!A111),'Procyfloc 1009'!A111,DATEVALUE('Procyfloc 1009'!A111)),"")</f>
        <v/>
      </c>
      <c r="AC2610" t="str">
        <f>IF(AA2610="","",'Procyfloc 1009'!B111)</f>
        <v/>
      </c>
      <c r="AD2610" t="str">
        <f>IF(AA2610="","",IFERROR(1*'Procyfloc 1009'!C111,IFERROR(_xludf.NUMBERVALUE('Procyfloc 1009'!C111,".",","),IFERROR(_xludf.NUMBERVALUE('Procyfloc 1009'!C111,",","."),0))))</f>
        <v/>
      </c>
      <c r="AE2610" t="str">
        <f>IF(AA2610="","",'Procyfloc 1009'!L111)</f>
        <v/>
      </c>
      <c r="AF2610">
        <f t="shared" si="257"/>
        <v>0</v>
      </c>
      <c r="AG2610" t="str">
        <f t="shared" si="258"/>
        <v/>
      </c>
      <c r="AH2610" t="str">
        <f t="shared" si="259"/>
        <v/>
      </c>
      <c r="AI2610">
        <f t="shared" si="260"/>
        <v>0</v>
      </c>
      <c r="AJ2610">
        <f t="shared" si="261"/>
        <v>0</v>
      </c>
      <c r="AK2610">
        <v>0</v>
      </c>
      <c r="AL2610" t="str">
        <f>IF(AA2610="","",IFERROR(IF(ISNUMBER('Procyfloc 1009'!D111),'Procyfloc 1009'!D111,IF(ISNUMBER(SEARCH("12",'Procyfloc 1009'!D111)),EDATE(AB2610,12),IF(ISNUMBER(SEARCH("6",'Procyfloc 1009'!D111)),EDATE(AB2610,6),IF(ISNUMBER(SEARCH("3",'Procyfloc 1009'!D111)),EDATE(AB2610,3),DATEVALUE('Procyfloc 1009'!D111))))),""))</f>
        <v/>
      </c>
      <c r="AM2610" t="str">
        <f t="shared" ca="1" si="262"/>
        <v/>
      </c>
    </row>
    <row r="2611" spans="27:39" x14ac:dyDescent="0.3">
      <c r="AA2611" t="str">
        <f>IF(COUNTA('Procyfloc 1009'!A112,'Procyfloc 1009'!B112,'Procyfloc 1009'!C112)&gt;0,"1009","")</f>
        <v/>
      </c>
      <c r="AB2611" t="str">
        <f>IFERROR(IF(ISNUMBER('Procyfloc 1009'!A112),'Procyfloc 1009'!A112,DATEVALUE('Procyfloc 1009'!A112)),"")</f>
        <v/>
      </c>
      <c r="AC2611" t="str">
        <f>IF(AA2611="","",'Procyfloc 1009'!B112)</f>
        <v/>
      </c>
      <c r="AD2611" t="str">
        <f>IF(AA2611="","",IFERROR(1*'Procyfloc 1009'!C112,IFERROR(_xludf.NUMBERVALUE('Procyfloc 1009'!C112,".",","),IFERROR(_xludf.NUMBERVALUE('Procyfloc 1009'!C112,",","."),0))))</f>
        <v/>
      </c>
      <c r="AE2611" t="str">
        <f>IF(AA2611="","",'Procyfloc 1009'!L112)</f>
        <v/>
      </c>
      <c r="AF2611">
        <f t="shared" si="257"/>
        <v>0</v>
      </c>
      <c r="AG2611" t="str">
        <f t="shared" si="258"/>
        <v/>
      </c>
      <c r="AH2611" t="str">
        <f t="shared" si="259"/>
        <v/>
      </c>
      <c r="AI2611">
        <f t="shared" si="260"/>
        <v>0</v>
      </c>
      <c r="AJ2611">
        <f t="shared" si="261"/>
        <v>0</v>
      </c>
      <c r="AK2611">
        <v>0</v>
      </c>
      <c r="AL2611" t="str">
        <f>IF(AA2611="","",IFERROR(IF(ISNUMBER('Procyfloc 1009'!D112),'Procyfloc 1009'!D112,IF(ISNUMBER(SEARCH("12",'Procyfloc 1009'!D112)),EDATE(AB2611,12),IF(ISNUMBER(SEARCH("6",'Procyfloc 1009'!D112)),EDATE(AB2611,6),IF(ISNUMBER(SEARCH("3",'Procyfloc 1009'!D112)),EDATE(AB2611,3),DATEVALUE('Procyfloc 1009'!D112))))),""))</f>
        <v/>
      </c>
      <c r="AM2611" t="str">
        <f t="shared" ca="1" si="262"/>
        <v/>
      </c>
    </row>
    <row r="2612" spans="27:39" x14ac:dyDescent="0.3">
      <c r="AA2612" t="str">
        <f>IF(COUNTA('Procyfloc 1009'!A113,'Procyfloc 1009'!B113,'Procyfloc 1009'!C113)&gt;0,"1009","")</f>
        <v/>
      </c>
      <c r="AB2612" t="str">
        <f>IFERROR(IF(ISNUMBER('Procyfloc 1009'!A113),'Procyfloc 1009'!A113,DATEVALUE('Procyfloc 1009'!A113)),"")</f>
        <v/>
      </c>
      <c r="AC2612" t="str">
        <f>IF(AA2612="","",'Procyfloc 1009'!B113)</f>
        <v/>
      </c>
      <c r="AD2612" t="str">
        <f>IF(AA2612="","",IFERROR(1*'Procyfloc 1009'!C113,IFERROR(_xludf.NUMBERVALUE('Procyfloc 1009'!C113,".",","),IFERROR(_xludf.NUMBERVALUE('Procyfloc 1009'!C113,",","."),0))))</f>
        <v/>
      </c>
      <c r="AE2612" t="str">
        <f>IF(AA2612="","",'Procyfloc 1009'!L113)</f>
        <v/>
      </c>
      <c r="AF2612">
        <f t="shared" si="257"/>
        <v>0</v>
      </c>
      <c r="AG2612" t="str">
        <f t="shared" si="258"/>
        <v/>
      </c>
      <c r="AH2612" t="str">
        <f t="shared" si="259"/>
        <v/>
      </c>
      <c r="AI2612">
        <f t="shared" si="260"/>
        <v>0</v>
      </c>
      <c r="AJ2612">
        <f t="shared" si="261"/>
        <v>0</v>
      </c>
      <c r="AK2612">
        <v>0</v>
      </c>
      <c r="AL2612" t="str">
        <f>IF(AA2612="","",IFERROR(IF(ISNUMBER('Procyfloc 1009'!D113),'Procyfloc 1009'!D113,IF(ISNUMBER(SEARCH("12",'Procyfloc 1009'!D113)),EDATE(AB2612,12),IF(ISNUMBER(SEARCH("6",'Procyfloc 1009'!D113)),EDATE(AB2612,6),IF(ISNUMBER(SEARCH("3",'Procyfloc 1009'!D113)),EDATE(AB2612,3),DATEVALUE('Procyfloc 1009'!D113))))),""))</f>
        <v/>
      </c>
      <c r="AM2612" t="str">
        <f t="shared" ca="1" si="262"/>
        <v/>
      </c>
    </row>
    <row r="2613" spans="27:39" x14ac:dyDescent="0.3">
      <c r="AA2613" t="str">
        <f>IF(COUNTA('Procyfloc 1009'!A114,'Procyfloc 1009'!B114,'Procyfloc 1009'!C114)&gt;0,"1009","")</f>
        <v/>
      </c>
      <c r="AB2613" t="str">
        <f>IFERROR(IF(ISNUMBER('Procyfloc 1009'!A114),'Procyfloc 1009'!A114,DATEVALUE('Procyfloc 1009'!A114)),"")</f>
        <v/>
      </c>
      <c r="AC2613" t="str">
        <f>IF(AA2613="","",'Procyfloc 1009'!B114)</f>
        <v/>
      </c>
      <c r="AD2613" t="str">
        <f>IF(AA2613="","",IFERROR(1*'Procyfloc 1009'!C114,IFERROR(_xludf.NUMBERVALUE('Procyfloc 1009'!C114,".",","),IFERROR(_xludf.NUMBERVALUE('Procyfloc 1009'!C114,",","."),0))))</f>
        <v/>
      </c>
      <c r="AE2613" t="str">
        <f>IF(AA2613="","",'Procyfloc 1009'!L114)</f>
        <v/>
      </c>
      <c r="AF2613">
        <f t="shared" si="257"/>
        <v>0</v>
      </c>
      <c r="AG2613" t="str">
        <f t="shared" si="258"/>
        <v/>
      </c>
      <c r="AH2613" t="str">
        <f t="shared" si="259"/>
        <v/>
      </c>
      <c r="AI2613">
        <f t="shared" si="260"/>
        <v>0</v>
      </c>
      <c r="AJ2613">
        <f t="shared" si="261"/>
        <v>0</v>
      </c>
      <c r="AK2613">
        <v>0</v>
      </c>
      <c r="AL2613" t="str">
        <f>IF(AA2613="","",IFERROR(IF(ISNUMBER('Procyfloc 1009'!D114),'Procyfloc 1009'!D114,IF(ISNUMBER(SEARCH("12",'Procyfloc 1009'!D114)),EDATE(AB2613,12),IF(ISNUMBER(SEARCH("6",'Procyfloc 1009'!D114)),EDATE(AB2613,6),IF(ISNUMBER(SEARCH("3",'Procyfloc 1009'!D114)),EDATE(AB2613,3),DATEVALUE('Procyfloc 1009'!D114))))),""))</f>
        <v/>
      </c>
      <c r="AM2613" t="str">
        <f t="shared" ca="1" si="262"/>
        <v/>
      </c>
    </row>
    <row r="2614" spans="27:39" x14ac:dyDescent="0.3">
      <c r="AA2614" t="str">
        <f>IF(COUNTA('Procyfloc 1009'!A115,'Procyfloc 1009'!B115,'Procyfloc 1009'!C115)&gt;0,"1009","")</f>
        <v/>
      </c>
      <c r="AB2614" t="str">
        <f>IFERROR(IF(ISNUMBER('Procyfloc 1009'!A115),'Procyfloc 1009'!A115,DATEVALUE('Procyfloc 1009'!A115)),"")</f>
        <v/>
      </c>
      <c r="AC2614" t="str">
        <f>IF(AA2614="","",'Procyfloc 1009'!B115)</f>
        <v/>
      </c>
      <c r="AD2614" t="str">
        <f>IF(AA2614="","",IFERROR(1*'Procyfloc 1009'!C115,IFERROR(_xludf.NUMBERVALUE('Procyfloc 1009'!C115,".",","),IFERROR(_xludf.NUMBERVALUE('Procyfloc 1009'!C115,",","."),0))))</f>
        <v/>
      </c>
      <c r="AE2614" t="str">
        <f>IF(AA2614="","",'Procyfloc 1009'!L115)</f>
        <v/>
      </c>
      <c r="AF2614">
        <f t="shared" si="257"/>
        <v>0</v>
      </c>
      <c r="AG2614" t="str">
        <f t="shared" si="258"/>
        <v/>
      </c>
      <c r="AH2614" t="str">
        <f t="shared" si="259"/>
        <v/>
      </c>
      <c r="AI2614">
        <f t="shared" si="260"/>
        <v>0</v>
      </c>
      <c r="AJ2614">
        <f t="shared" si="261"/>
        <v>0</v>
      </c>
      <c r="AK2614">
        <v>0</v>
      </c>
      <c r="AL2614" t="str">
        <f>IF(AA2614="","",IFERROR(IF(ISNUMBER('Procyfloc 1009'!D115),'Procyfloc 1009'!D115,IF(ISNUMBER(SEARCH("12",'Procyfloc 1009'!D115)),EDATE(AB2614,12),IF(ISNUMBER(SEARCH("6",'Procyfloc 1009'!D115)),EDATE(AB2614,6),IF(ISNUMBER(SEARCH("3",'Procyfloc 1009'!D115)),EDATE(AB2614,3),DATEVALUE('Procyfloc 1009'!D115))))),""))</f>
        <v/>
      </c>
      <c r="AM2614" t="str">
        <f t="shared" ca="1" si="262"/>
        <v/>
      </c>
    </row>
    <row r="2615" spans="27:39" x14ac:dyDescent="0.3">
      <c r="AA2615" t="str">
        <f>IF(COUNTA('Procyfloc 1009'!A116,'Procyfloc 1009'!B116,'Procyfloc 1009'!C116)&gt;0,"1009","")</f>
        <v/>
      </c>
      <c r="AB2615" t="str">
        <f>IFERROR(IF(ISNUMBER('Procyfloc 1009'!A116),'Procyfloc 1009'!A116,DATEVALUE('Procyfloc 1009'!A116)),"")</f>
        <v/>
      </c>
      <c r="AC2615" t="str">
        <f>IF(AA2615="","",'Procyfloc 1009'!B116)</f>
        <v/>
      </c>
      <c r="AD2615" t="str">
        <f>IF(AA2615="","",IFERROR(1*'Procyfloc 1009'!C116,IFERROR(_xludf.NUMBERVALUE('Procyfloc 1009'!C116,".",","),IFERROR(_xludf.NUMBERVALUE('Procyfloc 1009'!C116,",","."),0))))</f>
        <v/>
      </c>
      <c r="AE2615" t="str">
        <f>IF(AA2615="","",'Procyfloc 1009'!L116)</f>
        <v/>
      </c>
      <c r="AF2615">
        <f t="shared" si="257"/>
        <v>0</v>
      </c>
      <c r="AG2615" t="str">
        <f t="shared" si="258"/>
        <v/>
      </c>
      <c r="AH2615" t="str">
        <f t="shared" si="259"/>
        <v/>
      </c>
      <c r="AI2615">
        <f t="shared" si="260"/>
        <v>0</v>
      </c>
      <c r="AJ2615">
        <f t="shared" si="261"/>
        <v>0</v>
      </c>
      <c r="AK2615">
        <v>0</v>
      </c>
      <c r="AL2615" t="str">
        <f>IF(AA2615="","",IFERROR(IF(ISNUMBER('Procyfloc 1009'!D116),'Procyfloc 1009'!D116,IF(ISNUMBER(SEARCH("12",'Procyfloc 1009'!D116)),EDATE(AB2615,12),IF(ISNUMBER(SEARCH("6",'Procyfloc 1009'!D116)),EDATE(AB2615,6),IF(ISNUMBER(SEARCH("3",'Procyfloc 1009'!D116)),EDATE(AB2615,3),DATEVALUE('Procyfloc 1009'!D116))))),""))</f>
        <v/>
      </c>
      <c r="AM2615" t="str">
        <f t="shared" ca="1" si="262"/>
        <v/>
      </c>
    </row>
    <row r="2616" spans="27:39" x14ac:dyDescent="0.3">
      <c r="AA2616" t="str">
        <f>IF(COUNTA('Procyfloc 1009'!A117,'Procyfloc 1009'!B117,'Procyfloc 1009'!C117)&gt;0,"1009","")</f>
        <v/>
      </c>
      <c r="AB2616" t="str">
        <f>IFERROR(IF(ISNUMBER('Procyfloc 1009'!A117),'Procyfloc 1009'!A117,DATEVALUE('Procyfloc 1009'!A117)),"")</f>
        <v/>
      </c>
      <c r="AC2616" t="str">
        <f>IF(AA2616="","",'Procyfloc 1009'!B117)</f>
        <v/>
      </c>
      <c r="AD2616" t="str">
        <f>IF(AA2616="","",IFERROR(1*'Procyfloc 1009'!C117,IFERROR(_xludf.NUMBERVALUE('Procyfloc 1009'!C117,".",","),IFERROR(_xludf.NUMBERVALUE('Procyfloc 1009'!C117,",","."),0))))</f>
        <v/>
      </c>
      <c r="AE2616" t="str">
        <f>IF(AA2616="","",'Procyfloc 1009'!L117)</f>
        <v/>
      </c>
      <c r="AF2616">
        <f t="shared" si="257"/>
        <v>0</v>
      </c>
      <c r="AG2616" t="str">
        <f t="shared" si="258"/>
        <v/>
      </c>
      <c r="AH2616" t="str">
        <f t="shared" si="259"/>
        <v/>
      </c>
      <c r="AI2616">
        <f t="shared" si="260"/>
        <v>0</v>
      </c>
      <c r="AJ2616">
        <f t="shared" si="261"/>
        <v>0</v>
      </c>
      <c r="AK2616">
        <v>0</v>
      </c>
      <c r="AL2616" t="str">
        <f>IF(AA2616="","",IFERROR(IF(ISNUMBER('Procyfloc 1009'!D117),'Procyfloc 1009'!D117,IF(ISNUMBER(SEARCH("12",'Procyfloc 1009'!D117)),EDATE(AB2616,12),IF(ISNUMBER(SEARCH("6",'Procyfloc 1009'!D117)),EDATE(AB2616,6),IF(ISNUMBER(SEARCH("3",'Procyfloc 1009'!D117)),EDATE(AB2616,3),DATEVALUE('Procyfloc 1009'!D117))))),""))</f>
        <v/>
      </c>
      <c r="AM2616" t="str">
        <f t="shared" ca="1" si="262"/>
        <v/>
      </c>
    </row>
    <row r="2617" spans="27:39" x14ac:dyDescent="0.3">
      <c r="AA2617" t="str">
        <f>IF(COUNTA('Procyfloc 1009'!A118,'Procyfloc 1009'!B118,'Procyfloc 1009'!C118)&gt;0,"1009","")</f>
        <v/>
      </c>
      <c r="AB2617" t="str">
        <f>IFERROR(IF(ISNUMBER('Procyfloc 1009'!A118),'Procyfloc 1009'!A118,DATEVALUE('Procyfloc 1009'!A118)),"")</f>
        <v/>
      </c>
      <c r="AC2617" t="str">
        <f>IF(AA2617="","",'Procyfloc 1009'!B118)</f>
        <v/>
      </c>
      <c r="AD2617" t="str">
        <f>IF(AA2617="","",IFERROR(1*'Procyfloc 1009'!C118,IFERROR(_xludf.NUMBERVALUE('Procyfloc 1009'!C118,".",","),IFERROR(_xludf.NUMBERVALUE('Procyfloc 1009'!C118,",","."),0))))</f>
        <v/>
      </c>
      <c r="AE2617" t="str">
        <f>IF(AA2617="","",'Procyfloc 1009'!L118)</f>
        <v/>
      </c>
      <c r="AF2617">
        <f t="shared" si="257"/>
        <v>0</v>
      </c>
      <c r="AG2617" t="str">
        <f t="shared" si="258"/>
        <v/>
      </c>
      <c r="AH2617" t="str">
        <f t="shared" si="259"/>
        <v/>
      </c>
      <c r="AI2617">
        <f t="shared" si="260"/>
        <v>0</v>
      </c>
      <c r="AJ2617">
        <f t="shared" si="261"/>
        <v>0</v>
      </c>
      <c r="AK2617">
        <v>0</v>
      </c>
      <c r="AL2617" t="str">
        <f>IF(AA2617="","",IFERROR(IF(ISNUMBER('Procyfloc 1009'!D118),'Procyfloc 1009'!D118,IF(ISNUMBER(SEARCH("12",'Procyfloc 1009'!D118)),EDATE(AB2617,12),IF(ISNUMBER(SEARCH("6",'Procyfloc 1009'!D118)),EDATE(AB2617,6),IF(ISNUMBER(SEARCH("3",'Procyfloc 1009'!D118)),EDATE(AB2617,3),DATEVALUE('Procyfloc 1009'!D118))))),""))</f>
        <v/>
      </c>
      <c r="AM2617" t="str">
        <f t="shared" ca="1" si="262"/>
        <v/>
      </c>
    </row>
    <row r="2618" spans="27:39" x14ac:dyDescent="0.3">
      <c r="AA2618" t="str">
        <f>IF(COUNTA('Procyfloc 1009'!A119,'Procyfloc 1009'!B119,'Procyfloc 1009'!C119)&gt;0,"1009","")</f>
        <v/>
      </c>
      <c r="AB2618" t="str">
        <f>IFERROR(IF(ISNUMBER('Procyfloc 1009'!A119),'Procyfloc 1009'!A119,DATEVALUE('Procyfloc 1009'!A119)),"")</f>
        <v/>
      </c>
      <c r="AC2618" t="str">
        <f>IF(AA2618="","",'Procyfloc 1009'!B119)</f>
        <v/>
      </c>
      <c r="AD2618" t="str">
        <f>IF(AA2618="","",IFERROR(1*'Procyfloc 1009'!C119,IFERROR(_xludf.NUMBERVALUE('Procyfloc 1009'!C119,".",","),IFERROR(_xludf.NUMBERVALUE('Procyfloc 1009'!C119,",","."),0))))</f>
        <v/>
      </c>
      <c r="AE2618" t="str">
        <f>IF(AA2618="","",'Procyfloc 1009'!L119)</f>
        <v/>
      </c>
      <c r="AF2618">
        <f t="shared" si="257"/>
        <v>0</v>
      </c>
      <c r="AG2618" t="str">
        <f t="shared" si="258"/>
        <v/>
      </c>
      <c r="AH2618" t="str">
        <f t="shared" si="259"/>
        <v/>
      </c>
      <c r="AI2618">
        <f t="shared" si="260"/>
        <v>0</v>
      </c>
      <c r="AJ2618">
        <f t="shared" si="261"/>
        <v>0</v>
      </c>
      <c r="AK2618">
        <v>0</v>
      </c>
      <c r="AL2618" t="str">
        <f>IF(AA2618="","",IFERROR(IF(ISNUMBER('Procyfloc 1009'!D119),'Procyfloc 1009'!D119,IF(ISNUMBER(SEARCH("12",'Procyfloc 1009'!D119)),EDATE(AB2618,12),IF(ISNUMBER(SEARCH("6",'Procyfloc 1009'!D119)),EDATE(AB2618,6),IF(ISNUMBER(SEARCH("3",'Procyfloc 1009'!D119)),EDATE(AB2618,3),DATEVALUE('Procyfloc 1009'!D119))))),""))</f>
        <v/>
      </c>
      <c r="AM2618" t="str">
        <f t="shared" ca="1" si="262"/>
        <v/>
      </c>
    </row>
    <row r="2619" spans="27:39" x14ac:dyDescent="0.3">
      <c r="AA2619" t="str">
        <f>IF(COUNTA('Procyfloc 1009'!A120,'Procyfloc 1009'!B120,'Procyfloc 1009'!C120)&gt;0,"1009","")</f>
        <v/>
      </c>
      <c r="AB2619" t="str">
        <f>IFERROR(IF(ISNUMBER('Procyfloc 1009'!A120),'Procyfloc 1009'!A120,DATEVALUE('Procyfloc 1009'!A120)),"")</f>
        <v/>
      </c>
      <c r="AC2619" t="str">
        <f>IF(AA2619="","",'Procyfloc 1009'!B120)</f>
        <v/>
      </c>
      <c r="AD2619" t="str">
        <f>IF(AA2619="","",IFERROR(1*'Procyfloc 1009'!C120,IFERROR(_xludf.NUMBERVALUE('Procyfloc 1009'!C120,".",","),IFERROR(_xludf.NUMBERVALUE('Procyfloc 1009'!C120,",","."),0))))</f>
        <v/>
      </c>
      <c r="AE2619" t="str">
        <f>IF(AA2619="","",'Procyfloc 1009'!L120)</f>
        <v/>
      </c>
      <c r="AF2619">
        <f t="shared" si="257"/>
        <v>0</v>
      </c>
      <c r="AG2619" t="str">
        <f t="shared" si="258"/>
        <v/>
      </c>
      <c r="AH2619" t="str">
        <f t="shared" si="259"/>
        <v/>
      </c>
      <c r="AI2619">
        <f t="shared" si="260"/>
        <v>0</v>
      </c>
      <c r="AJ2619">
        <f t="shared" si="261"/>
        <v>0</v>
      </c>
      <c r="AK2619">
        <v>0</v>
      </c>
      <c r="AL2619" t="str">
        <f>IF(AA2619="","",IFERROR(IF(ISNUMBER('Procyfloc 1009'!D120),'Procyfloc 1009'!D120,IF(ISNUMBER(SEARCH("12",'Procyfloc 1009'!D120)),EDATE(AB2619,12),IF(ISNUMBER(SEARCH("6",'Procyfloc 1009'!D120)),EDATE(AB2619,6),IF(ISNUMBER(SEARCH("3",'Procyfloc 1009'!D120)),EDATE(AB2619,3),DATEVALUE('Procyfloc 1009'!D120))))),""))</f>
        <v/>
      </c>
      <c r="AM2619" t="str">
        <f t="shared" ca="1" si="262"/>
        <v/>
      </c>
    </row>
    <row r="2620" spans="27:39" x14ac:dyDescent="0.3">
      <c r="AA2620" t="str">
        <f>IF(COUNTA('Procyfloc 1009'!A121,'Procyfloc 1009'!B121,'Procyfloc 1009'!C121)&gt;0,"1009","")</f>
        <v/>
      </c>
      <c r="AB2620" t="str">
        <f>IFERROR(IF(ISNUMBER('Procyfloc 1009'!A121),'Procyfloc 1009'!A121,DATEVALUE('Procyfloc 1009'!A121)),"")</f>
        <v/>
      </c>
      <c r="AC2620" t="str">
        <f>IF(AA2620="","",'Procyfloc 1009'!B121)</f>
        <v/>
      </c>
      <c r="AD2620" t="str">
        <f>IF(AA2620="","",IFERROR(1*'Procyfloc 1009'!C121,IFERROR(_xludf.NUMBERVALUE('Procyfloc 1009'!C121,".",","),IFERROR(_xludf.NUMBERVALUE('Procyfloc 1009'!C121,",","."),0))))</f>
        <v/>
      </c>
      <c r="AE2620" t="str">
        <f>IF(AA2620="","",'Procyfloc 1009'!L121)</f>
        <v/>
      </c>
      <c r="AF2620">
        <f t="shared" si="257"/>
        <v>0</v>
      </c>
      <c r="AG2620" t="str">
        <f t="shared" si="258"/>
        <v/>
      </c>
      <c r="AH2620" t="str">
        <f t="shared" si="259"/>
        <v/>
      </c>
      <c r="AI2620">
        <f t="shared" si="260"/>
        <v>0</v>
      </c>
      <c r="AJ2620">
        <f t="shared" si="261"/>
        <v>0</v>
      </c>
      <c r="AK2620">
        <v>0</v>
      </c>
      <c r="AL2620" t="str">
        <f>IF(AA2620="","",IFERROR(IF(ISNUMBER('Procyfloc 1009'!D121),'Procyfloc 1009'!D121,IF(ISNUMBER(SEARCH("12",'Procyfloc 1009'!D121)),EDATE(AB2620,12),IF(ISNUMBER(SEARCH("6",'Procyfloc 1009'!D121)),EDATE(AB2620,6),IF(ISNUMBER(SEARCH("3",'Procyfloc 1009'!D121)),EDATE(AB2620,3),DATEVALUE('Procyfloc 1009'!D121))))),""))</f>
        <v/>
      </c>
      <c r="AM2620" t="str">
        <f t="shared" ca="1" si="262"/>
        <v/>
      </c>
    </row>
    <row r="2621" spans="27:39" x14ac:dyDescent="0.3">
      <c r="AA2621" t="str">
        <f>IF(COUNTA('Procyfloc 1009'!A122,'Procyfloc 1009'!B122,'Procyfloc 1009'!C122)&gt;0,"1009","")</f>
        <v/>
      </c>
      <c r="AB2621" t="str">
        <f>IFERROR(IF(ISNUMBER('Procyfloc 1009'!A122),'Procyfloc 1009'!A122,DATEVALUE('Procyfloc 1009'!A122)),"")</f>
        <v/>
      </c>
      <c r="AC2621" t="str">
        <f>IF(AA2621="","",'Procyfloc 1009'!B122)</f>
        <v/>
      </c>
      <c r="AD2621" t="str">
        <f>IF(AA2621="","",IFERROR(1*'Procyfloc 1009'!C122,IFERROR(_xludf.NUMBERVALUE('Procyfloc 1009'!C122,".",","),IFERROR(_xludf.NUMBERVALUE('Procyfloc 1009'!C122,",","."),0))))</f>
        <v/>
      </c>
      <c r="AE2621" t="str">
        <f>IF(AA2621="","",'Procyfloc 1009'!L122)</f>
        <v/>
      </c>
      <c r="AF2621">
        <f t="shared" si="257"/>
        <v>0</v>
      </c>
      <c r="AG2621" t="str">
        <f t="shared" si="258"/>
        <v/>
      </c>
      <c r="AH2621" t="str">
        <f t="shared" si="259"/>
        <v/>
      </c>
      <c r="AI2621">
        <f t="shared" si="260"/>
        <v>0</v>
      </c>
      <c r="AJ2621">
        <f t="shared" si="261"/>
        <v>0</v>
      </c>
      <c r="AK2621">
        <v>0</v>
      </c>
      <c r="AL2621" t="str">
        <f>IF(AA2621="","",IFERROR(IF(ISNUMBER('Procyfloc 1009'!D122),'Procyfloc 1009'!D122,IF(ISNUMBER(SEARCH("12",'Procyfloc 1009'!D122)),EDATE(AB2621,12),IF(ISNUMBER(SEARCH("6",'Procyfloc 1009'!D122)),EDATE(AB2621,6),IF(ISNUMBER(SEARCH("3",'Procyfloc 1009'!D122)),EDATE(AB2621,3),DATEVALUE('Procyfloc 1009'!D122))))),""))</f>
        <v/>
      </c>
      <c r="AM2621" t="str">
        <f t="shared" ca="1" si="262"/>
        <v/>
      </c>
    </row>
    <row r="2622" spans="27:39" x14ac:dyDescent="0.3">
      <c r="AA2622" t="str">
        <f>IF(COUNTA('Procyfloc 1009'!A123,'Procyfloc 1009'!B123,'Procyfloc 1009'!C123)&gt;0,"1009","")</f>
        <v/>
      </c>
      <c r="AB2622" t="str">
        <f>IFERROR(IF(ISNUMBER('Procyfloc 1009'!A123),'Procyfloc 1009'!A123,DATEVALUE('Procyfloc 1009'!A123)),"")</f>
        <v/>
      </c>
      <c r="AC2622" t="str">
        <f>IF(AA2622="","",'Procyfloc 1009'!B123)</f>
        <v/>
      </c>
      <c r="AD2622" t="str">
        <f>IF(AA2622="","",IFERROR(1*'Procyfloc 1009'!C123,IFERROR(_xludf.NUMBERVALUE('Procyfloc 1009'!C123,".",","),IFERROR(_xludf.NUMBERVALUE('Procyfloc 1009'!C123,",","."),0))))</f>
        <v/>
      </c>
      <c r="AE2622" t="str">
        <f>IF(AA2622="","",'Procyfloc 1009'!L123)</f>
        <v/>
      </c>
      <c r="AF2622">
        <f t="shared" si="257"/>
        <v>0</v>
      </c>
      <c r="AG2622" t="str">
        <f t="shared" si="258"/>
        <v/>
      </c>
      <c r="AH2622" t="str">
        <f t="shared" si="259"/>
        <v/>
      </c>
      <c r="AI2622">
        <f t="shared" si="260"/>
        <v>0</v>
      </c>
      <c r="AJ2622">
        <f t="shared" si="261"/>
        <v>0</v>
      </c>
      <c r="AK2622">
        <v>0</v>
      </c>
      <c r="AL2622" t="str">
        <f>IF(AA2622="","",IFERROR(IF(ISNUMBER('Procyfloc 1009'!D123),'Procyfloc 1009'!D123,IF(ISNUMBER(SEARCH("12",'Procyfloc 1009'!D123)),EDATE(AB2622,12),IF(ISNUMBER(SEARCH("6",'Procyfloc 1009'!D123)),EDATE(AB2622,6),IF(ISNUMBER(SEARCH("3",'Procyfloc 1009'!D123)),EDATE(AB2622,3),DATEVALUE('Procyfloc 1009'!D123))))),""))</f>
        <v/>
      </c>
      <c r="AM2622" t="str">
        <f t="shared" ca="1" si="262"/>
        <v/>
      </c>
    </row>
    <row r="2623" spans="27:39" x14ac:dyDescent="0.3">
      <c r="AA2623" t="str">
        <f>IF(COUNTA('Procyfloc 1009'!A124,'Procyfloc 1009'!B124,'Procyfloc 1009'!C124)&gt;0,"1009","")</f>
        <v/>
      </c>
      <c r="AB2623" t="str">
        <f>IFERROR(IF(ISNUMBER('Procyfloc 1009'!A124),'Procyfloc 1009'!A124,DATEVALUE('Procyfloc 1009'!A124)),"")</f>
        <v/>
      </c>
      <c r="AC2623" t="str">
        <f>IF(AA2623="","",'Procyfloc 1009'!B124)</f>
        <v/>
      </c>
      <c r="AD2623" t="str">
        <f>IF(AA2623="","",IFERROR(1*'Procyfloc 1009'!C124,IFERROR(_xludf.NUMBERVALUE('Procyfloc 1009'!C124,".",","),IFERROR(_xludf.NUMBERVALUE('Procyfloc 1009'!C124,",","."),0))))</f>
        <v/>
      </c>
      <c r="AE2623" t="str">
        <f>IF(AA2623="","",'Procyfloc 1009'!L124)</f>
        <v/>
      </c>
      <c r="AF2623">
        <f t="shared" si="257"/>
        <v>0</v>
      </c>
      <c r="AG2623" t="str">
        <f t="shared" si="258"/>
        <v/>
      </c>
      <c r="AH2623" t="str">
        <f t="shared" si="259"/>
        <v/>
      </c>
      <c r="AI2623">
        <f t="shared" si="260"/>
        <v>0</v>
      </c>
      <c r="AJ2623">
        <f t="shared" si="261"/>
        <v>0</v>
      </c>
      <c r="AK2623">
        <v>0</v>
      </c>
      <c r="AL2623" t="str">
        <f>IF(AA2623="","",IFERROR(IF(ISNUMBER('Procyfloc 1009'!D124),'Procyfloc 1009'!D124,IF(ISNUMBER(SEARCH("12",'Procyfloc 1009'!D124)),EDATE(AB2623,12),IF(ISNUMBER(SEARCH("6",'Procyfloc 1009'!D124)),EDATE(AB2623,6),IF(ISNUMBER(SEARCH("3",'Procyfloc 1009'!D124)),EDATE(AB2623,3),DATEVALUE('Procyfloc 1009'!D124))))),""))</f>
        <v/>
      </c>
      <c r="AM2623" t="str">
        <f t="shared" ca="1" si="262"/>
        <v/>
      </c>
    </row>
    <row r="2624" spans="27:39" x14ac:dyDescent="0.3">
      <c r="AA2624" t="str">
        <f>IF(COUNTA('Procyfloc 1009'!A125,'Procyfloc 1009'!B125,'Procyfloc 1009'!C125)&gt;0,"1009","")</f>
        <v/>
      </c>
      <c r="AB2624" t="str">
        <f>IFERROR(IF(ISNUMBER('Procyfloc 1009'!A125),'Procyfloc 1009'!A125,DATEVALUE('Procyfloc 1009'!A125)),"")</f>
        <v/>
      </c>
      <c r="AC2624" t="str">
        <f>IF(AA2624="","",'Procyfloc 1009'!B125)</f>
        <v/>
      </c>
      <c r="AD2624" t="str">
        <f>IF(AA2624="","",IFERROR(1*'Procyfloc 1009'!C125,IFERROR(_xludf.NUMBERVALUE('Procyfloc 1009'!C125,".",","),IFERROR(_xludf.NUMBERVALUE('Procyfloc 1009'!C125,",","."),0))))</f>
        <v/>
      </c>
      <c r="AE2624" t="str">
        <f>IF(AA2624="","",'Procyfloc 1009'!L125)</f>
        <v/>
      </c>
      <c r="AF2624">
        <f t="shared" si="257"/>
        <v>0</v>
      </c>
      <c r="AG2624" t="str">
        <f t="shared" si="258"/>
        <v/>
      </c>
      <c r="AH2624" t="str">
        <f t="shared" si="259"/>
        <v/>
      </c>
      <c r="AI2624">
        <f t="shared" si="260"/>
        <v>0</v>
      </c>
      <c r="AJ2624">
        <f t="shared" si="261"/>
        <v>0</v>
      </c>
      <c r="AK2624">
        <v>0</v>
      </c>
      <c r="AL2624" t="str">
        <f>IF(AA2624="","",IFERROR(IF(ISNUMBER('Procyfloc 1009'!D125),'Procyfloc 1009'!D125,IF(ISNUMBER(SEARCH("12",'Procyfloc 1009'!D125)),EDATE(AB2624,12),IF(ISNUMBER(SEARCH("6",'Procyfloc 1009'!D125)),EDATE(AB2624,6),IF(ISNUMBER(SEARCH("3",'Procyfloc 1009'!D125)),EDATE(AB2624,3),DATEVALUE('Procyfloc 1009'!D125))))),""))</f>
        <v/>
      </c>
      <c r="AM2624" t="str">
        <f t="shared" ca="1" si="262"/>
        <v/>
      </c>
    </row>
    <row r="2625" spans="27:39" x14ac:dyDescent="0.3">
      <c r="AA2625" t="str">
        <f>IF(COUNTA('Procyfloc 1009'!A126,'Procyfloc 1009'!B126,'Procyfloc 1009'!C126)&gt;0,"1009","")</f>
        <v/>
      </c>
      <c r="AB2625" t="str">
        <f>IFERROR(IF(ISNUMBER('Procyfloc 1009'!A126),'Procyfloc 1009'!A126,DATEVALUE('Procyfloc 1009'!A126)),"")</f>
        <v/>
      </c>
      <c r="AC2625" t="str">
        <f>IF(AA2625="","",'Procyfloc 1009'!B126)</f>
        <v/>
      </c>
      <c r="AD2625" t="str">
        <f>IF(AA2625="","",IFERROR(1*'Procyfloc 1009'!C126,IFERROR(_xludf.NUMBERVALUE('Procyfloc 1009'!C126,".",","),IFERROR(_xludf.NUMBERVALUE('Procyfloc 1009'!C126,",","."),0))))</f>
        <v/>
      </c>
      <c r="AE2625" t="str">
        <f>IF(AA2625="","",'Procyfloc 1009'!L126)</f>
        <v/>
      </c>
      <c r="AF2625">
        <f t="shared" si="257"/>
        <v>0</v>
      </c>
      <c r="AG2625" t="str">
        <f t="shared" si="258"/>
        <v/>
      </c>
      <c r="AH2625" t="str">
        <f t="shared" si="259"/>
        <v/>
      </c>
      <c r="AI2625">
        <f t="shared" si="260"/>
        <v>0</v>
      </c>
      <c r="AJ2625">
        <f t="shared" si="261"/>
        <v>0</v>
      </c>
      <c r="AK2625">
        <v>0</v>
      </c>
      <c r="AL2625" t="str">
        <f>IF(AA2625="","",IFERROR(IF(ISNUMBER('Procyfloc 1009'!D126),'Procyfloc 1009'!D126,IF(ISNUMBER(SEARCH("12",'Procyfloc 1009'!D126)),EDATE(AB2625,12),IF(ISNUMBER(SEARCH("6",'Procyfloc 1009'!D126)),EDATE(AB2625,6),IF(ISNUMBER(SEARCH("3",'Procyfloc 1009'!D126)),EDATE(AB2625,3),DATEVALUE('Procyfloc 1009'!D126))))),""))</f>
        <v/>
      </c>
      <c r="AM2625" t="str">
        <f t="shared" ca="1" si="262"/>
        <v/>
      </c>
    </row>
    <row r="2626" spans="27:39" x14ac:dyDescent="0.3">
      <c r="AA2626" t="str">
        <f>IF(COUNTA('Procyfloc 1009'!A127,'Procyfloc 1009'!B127,'Procyfloc 1009'!C127)&gt;0,"1009","")</f>
        <v/>
      </c>
      <c r="AB2626" t="str">
        <f>IFERROR(IF(ISNUMBER('Procyfloc 1009'!A127),'Procyfloc 1009'!A127,DATEVALUE('Procyfloc 1009'!A127)),"")</f>
        <v/>
      </c>
      <c r="AC2626" t="str">
        <f>IF(AA2626="","",'Procyfloc 1009'!B127)</f>
        <v/>
      </c>
      <c r="AD2626" t="str">
        <f>IF(AA2626="","",IFERROR(1*'Procyfloc 1009'!C127,IFERROR(_xludf.NUMBERVALUE('Procyfloc 1009'!C127,".",","),IFERROR(_xludf.NUMBERVALUE('Procyfloc 1009'!C127,",","."),0))))</f>
        <v/>
      </c>
      <c r="AE2626" t="str">
        <f>IF(AA2626="","",'Procyfloc 1009'!L127)</f>
        <v/>
      </c>
      <c r="AF2626">
        <f t="shared" ref="AF2626:AF2689" si="263">IF(AA2626="",0,--AND(ISNUMBER(SEARCH("aprov",AE2626)),NOT(ISNUMBER(SEARCH("reprov",AE2626)))))</f>
        <v>0</v>
      </c>
      <c r="AG2626" t="str">
        <f t="shared" ref="AG2626:AG2689" si="264">IF(AB2626="","",YEAR(AB2626))</f>
        <v/>
      </c>
      <c r="AH2626" t="str">
        <f t="shared" ref="AH2626:AH2689" si="265">IF(AB2626="","",MONTH(AB2626))</f>
        <v/>
      </c>
      <c r="AI2626">
        <f t="shared" ref="AI2626:AI2689" si="266">IF(AB2626="",0,AB2626+ROW()/1000000)</f>
        <v>0</v>
      </c>
      <c r="AJ2626">
        <f t="shared" ref="AJ2626:AJ2689" si="267">--(AA2626&lt;&gt;"")</f>
        <v>0</v>
      </c>
      <c r="AK2626">
        <v>0</v>
      </c>
      <c r="AL2626" t="str">
        <f>IF(AA2626="","",IFERROR(IF(ISNUMBER('Procyfloc 1009'!D127),'Procyfloc 1009'!D127,IF(ISNUMBER(SEARCH("12",'Procyfloc 1009'!D127)),EDATE(AB2626,12),IF(ISNUMBER(SEARCH("6",'Procyfloc 1009'!D127)),EDATE(AB2626,6),IF(ISNUMBER(SEARCH("3",'Procyfloc 1009'!D127)),EDATE(AB2626,3),DATEVALUE('Procyfloc 1009'!D127))))),""))</f>
        <v/>
      </c>
      <c r="AM2626" t="str">
        <f t="shared" ref="AM2626:AM2689" ca="1" si="268">IF(AND(AJ2626=1,AL2626&lt;&gt;"",AL2626&gt;=TODAY(),AG2626=$W$3),AL2626+ROW()/1000000,"")</f>
        <v/>
      </c>
    </row>
    <row r="2627" spans="27:39" x14ac:dyDescent="0.3">
      <c r="AA2627" t="str">
        <f>IF(COUNTA('Procyfloc 1009'!A128,'Procyfloc 1009'!B128,'Procyfloc 1009'!C128)&gt;0,"1009","")</f>
        <v/>
      </c>
      <c r="AB2627" t="str">
        <f>IFERROR(IF(ISNUMBER('Procyfloc 1009'!A128),'Procyfloc 1009'!A128,DATEVALUE('Procyfloc 1009'!A128)),"")</f>
        <v/>
      </c>
      <c r="AC2627" t="str">
        <f>IF(AA2627="","",'Procyfloc 1009'!B128)</f>
        <v/>
      </c>
      <c r="AD2627" t="str">
        <f>IF(AA2627="","",IFERROR(1*'Procyfloc 1009'!C128,IFERROR(_xludf.NUMBERVALUE('Procyfloc 1009'!C128,".",","),IFERROR(_xludf.NUMBERVALUE('Procyfloc 1009'!C128,",","."),0))))</f>
        <v/>
      </c>
      <c r="AE2627" t="str">
        <f>IF(AA2627="","",'Procyfloc 1009'!L128)</f>
        <v/>
      </c>
      <c r="AF2627">
        <f t="shared" si="263"/>
        <v>0</v>
      </c>
      <c r="AG2627" t="str">
        <f t="shared" si="264"/>
        <v/>
      </c>
      <c r="AH2627" t="str">
        <f t="shared" si="265"/>
        <v/>
      </c>
      <c r="AI2627">
        <f t="shared" si="266"/>
        <v>0</v>
      </c>
      <c r="AJ2627">
        <f t="shared" si="267"/>
        <v>0</v>
      </c>
      <c r="AK2627">
        <v>0</v>
      </c>
      <c r="AL2627" t="str">
        <f>IF(AA2627="","",IFERROR(IF(ISNUMBER('Procyfloc 1009'!D128),'Procyfloc 1009'!D128,IF(ISNUMBER(SEARCH("12",'Procyfloc 1009'!D128)),EDATE(AB2627,12),IF(ISNUMBER(SEARCH("6",'Procyfloc 1009'!D128)),EDATE(AB2627,6),IF(ISNUMBER(SEARCH("3",'Procyfloc 1009'!D128)),EDATE(AB2627,3),DATEVALUE('Procyfloc 1009'!D128))))),""))</f>
        <v/>
      </c>
      <c r="AM2627" t="str">
        <f t="shared" ca="1" si="268"/>
        <v/>
      </c>
    </row>
    <row r="2628" spans="27:39" x14ac:dyDescent="0.3">
      <c r="AA2628" t="str">
        <f>IF(COUNTA('Procyfloc 1009'!A129,'Procyfloc 1009'!B129,'Procyfloc 1009'!C129)&gt;0,"1009","")</f>
        <v/>
      </c>
      <c r="AB2628" t="str">
        <f>IFERROR(IF(ISNUMBER('Procyfloc 1009'!A129),'Procyfloc 1009'!A129,DATEVALUE('Procyfloc 1009'!A129)),"")</f>
        <v/>
      </c>
      <c r="AC2628" t="str">
        <f>IF(AA2628="","",'Procyfloc 1009'!B129)</f>
        <v/>
      </c>
      <c r="AD2628" t="str">
        <f>IF(AA2628="","",IFERROR(1*'Procyfloc 1009'!C129,IFERROR(_xludf.NUMBERVALUE('Procyfloc 1009'!C129,".",","),IFERROR(_xludf.NUMBERVALUE('Procyfloc 1009'!C129,",","."),0))))</f>
        <v/>
      </c>
      <c r="AE2628" t="str">
        <f>IF(AA2628="","",'Procyfloc 1009'!L129)</f>
        <v/>
      </c>
      <c r="AF2628">
        <f t="shared" si="263"/>
        <v>0</v>
      </c>
      <c r="AG2628" t="str">
        <f t="shared" si="264"/>
        <v/>
      </c>
      <c r="AH2628" t="str">
        <f t="shared" si="265"/>
        <v/>
      </c>
      <c r="AI2628">
        <f t="shared" si="266"/>
        <v>0</v>
      </c>
      <c r="AJ2628">
        <f t="shared" si="267"/>
        <v>0</v>
      </c>
      <c r="AK2628">
        <v>0</v>
      </c>
      <c r="AL2628" t="str">
        <f>IF(AA2628="","",IFERROR(IF(ISNUMBER('Procyfloc 1009'!D129),'Procyfloc 1009'!D129,IF(ISNUMBER(SEARCH("12",'Procyfloc 1009'!D129)),EDATE(AB2628,12),IF(ISNUMBER(SEARCH("6",'Procyfloc 1009'!D129)),EDATE(AB2628,6),IF(ISNUMBER(SEARCH("3",'Procyfloc 1009'!D129)),EDATE(AB2628,3),DATEVALUE('Procyfloc 1009'!D129))))),""))</f>
        <v/>
      </c>
      <c r="AM2628" t="str">
        <f t="shared" ca="1" si="268"/>
        <v/>
      </c>
    </row>
    <row r="2629" spans="27:39" x14ac:dyDescent="0.3">
      <c r="AA2629" t="str">
        <f>IF(COUNTA('Procyfloc 1009'!A130,'Procyfloc 1009'!B130,'Procyfloc 1009'!C130)&gt;0,"1009","")</f>
        <v/>
      </c>
      <c r="AB2629" t="str">
        <f>IFERROR(IF(ISNUMBER('Procyfloc 1009'!A130),'Procyfloc 1009'!A130,DATEVALUE('Procyfloc 1009'!A130)),"")</f>
        <v/>
      </c>
      <c r="AC2629" t="str">
        <f>IF(AA2629="","",'Procyfloc 1009'!B130)</f>
        <v/>
      </c>
      <c r="AD2629" t="str">
        <f>IF(AA2629="","",IFERROR(1*'Procyfloc 1009'!C130,IFERROR(_xludf.NUMBERVALUE('Procyfloc 1009'!C130,".",","),IFERROR(_xludf.NUMBERVALUE('Procyfloc 1009'!C130,",","."),0))))</f>
        <v/>
      </c>
      <c r="AE2629" t="str">
        <f>IF(AA2629="","",'Procyfloc 1009'!L130)</f>
        <v/>
      </c>
      <c r="AF2629">
        <f t="shared" si="263"/>
        <v>0</v>
      </c>
      <c r="AG2629" t="str">
        <f t="shared" si="264"/>
        <v/>
      </c>
      <c r="AH2629" t="str">
        <f t="shared" si="265"/>
        <v/>
      </c>
      <c r="AI2629">
        <f t="shared" si="266"/>
        <v>0</v>
      </c>
      <c r="AJ2629">
        <f t="shared" si="267"/>
        <v>0</v>
      </c>
      <c r="AK2629">
        <v>0</v>
      </c>
      <c r="AL2629" t="str">
        <f>IF(AA2629="","",IFERROR(IF(ISNUMBER('Procyfloc 1009'!D130),'Procyfloc 1009'!D130,IF(ISNUMBER(SEARCH("12",'Procyfloc 1009'!D130)),EDATE(AB2629,12),IF(ISNUMBER(SEARCH("6",'Procyfloc 1009'!D130)),EDATE(AB2629,6),IF(ISNUMBER(SEARCH("3",'Procyfloc 1009'!D130)),EDATE(AB2629,3),DATEVALUE('Procyfloc 1009'!D130))))),""))</f>
        <v/>
      </c>
      <c r="AM2629" t="str">
        <f t="shared" ca="1" si="268"/>
        <v/>
      </c>
    </row>
    <row r="2630" spans="27:39" x14ac:dyDescent="0.3">
      <c r="AA2630" t="str">
        <f>IF(COUNTA('Procyfloc 1009'!A131,'Procyfloc 1009'!B131,'Procyfloc 1009'!C131)&gt;0,"1009","")</f>
        <v/>
      </c>
      <c r="AB2630" t="str">
        <f>IFERROR(IF(ISNUMBER('Procyfloc 1009'!A131),'Procyfloc 1009'!A131,DATEVALUE('Procyfloc 1009'!A131)),"")</f>
        <v/>
      </c>
      <c r="AC2630" t="str">
        <f>IF(AA2630="","",'Procyfloc 1009'!B131)</f>
        <v/>
      </c>
      <c r="AD2630" t="str">
        <f>IF(AA2630="","",IFERROR(1*'Procyfloc 1009'!C131,IFERROR(_xludf.NUMBERVALUE('Procyfloc 1009'!C131,".",","),IFERROR(_xludf.NUMBERVALUE('Procyfloc 1009'!C131,",","."),0))))</f>
        <v/>
      </c>
      <c r="AE2630" t="str">
        <f>IF(AA2630="","",'Procyfloc 1009'!L131)</f>
        <v/>
      </c>
      <c r="AF2630">
        <f t="shared" si="263"/>
        <v>0</v>
      </c>
      <c r="AG2630" t="str">
        <f t="shared" si="264"/>
        <v/>
      </c>
      <c r="AH2630" t="str">
        <f t="shared" si="265"/>
        <v/>
      </c>
      <c r="AI2630">
        <f t="shared" si="266"/>
        <v>0</v>
      </c>
      <c r="AJ2630">
        <f t="shared" si="267"/>
        <v>0</v>
      </c>
      <c r="AK2630">
        <v>0</v>
      </c>
      <c r="AL2630" t="str">
        <f>IF(AA2630="","",IFERROR(IF(ISNUMBER('Procyfloc 1009'!D131),'Procyfloc 1009'!D131,IF(ISNUMBER(SEARCH("12",'Procyfloc 1009'!D131)),EDATE(AB2630,12),IF(ISNUMBER(SEARCH("6",'Procyfloc 1009'!D131)),EDATE(AB2630,6),IF(ISNUMBER(SEARCH("3",'Procyfloc 1009'!D131)),EDATE(AB2630,3),DATEVALUE('Procyfloc 1009'!D131))))),""))</f>
        <v/>
      </c>
      <c r="AM2630" t="str">
        <f t="shared" ca="1" si="268"/>
        <v/>
      </c>
    </row>
    <row r="2631" spans="27:39" x14ac:dyDescent="0.3">
      <c r="AA2631" t="str">
        <f>IF(COUNTA('Procyfloc 1009'!A132,'Procyfloc 1009'!B132,'Procyfloc 1009'!C132)&gt;0,"1009","")</f>
        <v/>
      </c>
      <c r="AB2631" t="str">
        <f>IFERROR(IF(ISNUMBER('Procyfloc 1009'!A132),'Procyfloc 1009'!A132,DATEVALUE('Procyfloc 1009'!A132)),"")</f>
        <v/>
      </c>
      <c r="AC2631" t="str">
        <f>IF(AA2631="","",'Procyfloc 1009'!B132)</f>
        <v/>
      </c>
      <c r="AD2631" t="str">
        <f>IF(AA2631="","",IFERROR(1*'Procyfloc 1009'!C132,IFERROR(_xludf.NUMBERVALUE('Procyfloc 1009'!C132,".",","),IFERROR(_xludf.NUMBERVALUE('Procyfloc 1009'!C132,",","."),0))))</f>
        <v/>
      </c>
      <c r="AE2631" t="str">
        <f>IF(AA2631="","",'Procyfloc 1009'!L132)</f>
        <v/>
      </c>
      <c r="AF2631">
        <f t="shared" si="263"/>
        <v>0</v>
      </c>
      <c r="AG2631" t="str">
        <f t="shared" si="264"/>
        <v/>
      </c>
      <c r="AH2631" t="str">
        <f t="shared" si="265"/>
        <v/>
      </c>
      <c r="AI2631">
        <f t="shared" si="266"/>
        <v>0</v>
      </c>
      <c r="AJ2631">
        <f t="shared" si="267"/>
        <v>0</v>
      </c>
      <c r="AK2631">
        <v>0</v>
      </c>
      <c r="AL2631" t="str">
        <f>IF(AA2631="","",IFERROR(IF(ISNUMBER('Procyfloc 1009'!D132),'Procyfloc 1009'!D132,IF(ISNUMBER(SEARCH("12",'Procyfloc 1009'!D132)),EDATE(AB2631,12),IF(ISNUMBER(SEARCH("6",'Procyfloc 1009'!D132)),EDATE(AB2631,6),IF(ISNUMBER(SEARCH("3",'Procyfloc 1009'!D132)),EDATE(AB2631,3),DATEVALUE('Procyfloc 1009'!D132))))),""))</f>
        <v/>
      </c>
      <c r="AM2631" t="str">
        <f t="shared" ca="1" si="268"/>
        <v/>
      </c>
    </row>
    <row r="2632" spans="27:39" x14ac:dyDescent="0.3">
      <c r="AA2632" t="str">
        <f>IF(COUNTA('Procyfloc 1009'!A133,'Procyfloc 1009'!B133,'Procyfloc 1009'!C133)&gt;0,"1009","")</f>
        <v/>
      </c>
      <c r="AB2632" t="str">
        <f>IFERROR(IF(ISNUMBER('Procyfloc 1009'!A133),'Procyfloc 1009'!A133,DATEVALUE('Procyfloc 1009'!A133)),"")</f>
        <v/>
      </c>
      <c r="AC2632" t="str">
        <f>IF(AA2632="","",'Procyfloc 1009'!B133)</f>
        <v/>
      </c>
      <c r="AD2632" t="str">
        <f>IF(AA2632="","",IFERROR(1*'Procyfloc 1009'!C133,IFERROR(_xludf.NUMBERVALUE('Procyfloc 1009'!C133,".",","),IFERROR(_xludf.NUMBERVALUE('Procyfloc 1009'!C133,",","."),0))))</f>
        <v/>
      </c>
      <c r="AE2632" t="str">
        <f>IF(AA2632="","",'Procyfloc 1009'!L133)</f>
        <v/>
      </c>
      <c r="AF2632">
        <f t="shared" si="263"/>
        <v>0</v>
      </c>
      <c r="AG2632" t="str">
        <f t="shared" si="264"/>
        <v/>
      </c>
      <c r="AH2632" t="str">
        <f t="shared" si="265"/>
        <v/>
      </c>
      <c r="AI2632">
        <f t="shared" si="266"/>
        <v>0</v>
      </c>
      <c r="AJ2632">
        <f t="shared" si="267"/>
        <v>0</v>
      </c>
      <c r="AK2632">
        <v>0</v>
      </c>
      <c r="AL2632" t="str">
        <f>IF(AA2632="","",IFERROR(IF(ISNUMBER('Procyfloc 1009'!D133),'Procyfloc 1009'!D133,IF(ISNUMBER(SEARCH("12",'Procyfloc 1009'!D133)),EDATE(AB2632,12),IF(ISNUMBER(SEARCH("6",'Procyfloc 1009'!D133)),EDATE(AB2632,6),IF(ISNUMBER(SEARCH("3",'Procyfloc 1009'!D133)),EDATE(AB2632,3),DATEVALUE('Procyfloc 1009'!D133))))),""))</f>
        <v/>
      </c>
      <c r="AM2632" t="str">
        <f t="shared" ca="1" si="268"/>
        <v/>
      </c>
    </row>
    <row r="2633" spans="27:39" x14ac:dyDescent="0.3">
      <c r="AA2633" t="str">
        <f>IF(COUNTA('Procyfloc 1009'!A134,'Procyfloc 1009'!B134,'Procyfloc 1009'!C134)&gt;0,"1009","")</f>
        <v/>
      </c>
      <c r="AB2633" t="str">
        <f>IFERROR(IF(ISNUMBER('Procyfloc 1009'!A134),'Procyfloc 1009'!A134,DATEVALUE('Procyfloc 1009'!A134)),"")</f>
        <v/>
      </c>
      <c r="AC2633" t="str">
        <f>IF(AA2633="","",'Procyfloc 1009'!B134)</f>
        <v/>
      </c>
      <c r="AD2633" t="str">
        <f>IF(AA2633="","",IFERROR(1*'Procyfloc 1009'!C134,IFERROR(_xludf.NUMBERVALUE('Procyfloc 1009'!C134,".",","),IFERROR(_xludf.NUMBERVALUE('Procyfloc 1009'!C134,",","."),0))))</f>
        <v/>
      </c>
      <c r="AE2633" t="str">
        <f>IF(AA2633="","",'Procyfloc 1009'!L134)</f>
        <v/>
      </c>
      <c r="AF2633">
        <f t="shared" si="263"/>
        <v>0</v>
      </c>
      <c r="AG2633" t="str">
        <f t="shared" si="264"/>
        <v/>
      </c>
      <c r="AH2633" t="str">
        <f t="shared" si="265"/>
        <v/>
      </c>
      <c r="AI2633">
        <f t="shared" si="266"/>
        <v>0</v>
      </c>
      <c r="AJ2633">
        <f t="shared" si="267"/>
        <v>0</v>
      </c>
      <c r="AK2633">
        <v>0</v>
      </c>
      <c r="AL2633" t="str">
        <f>IF(AA2633="","",IFERROR(IF(ISNUMBER('Procyfloc 1009'!D134),'Procyfloc 1009'!D134,IF(ISNUMBER(SEARCH("12",'Procyfloc 1009'!D134)),EDATE(AB2633,12),IF(ISNUMBER(SEARCH("6",'Procyfloc 1009'!D134)),EDATE(AB2633,6),IF(ISNUMBER(SEARCH("3",'Procyfloc 1009'!D134)),EDATE(AB2633,3),DATEVALUE('Procyfloc 1009'!D134))))),""))</f>
        <v/>
      </c>
      <c r="AM2633" t="str">
        <f t="shared" ca="1" si="268"/>
        <v/>
      </c>
    </row>
    <row r="2634" spans="27:39" x14ac:dyDescent="0.3">
      <c r="AA2634" t="str">
        <f>IF(COUNTA('Procyfloc 1009'!A135,'Procyfloc 1009'!B135,'Procyfloc 1009'!C135)&gt;0,"1009","")</f>
        <v/>
      </c>
      <c r="AB2634" t="str">
        <f>IFERROR(IF(ISNUMBER('Procyfloc 1009'!A135),'Procyfloc 1009'!A135,DATEVALUE('Procyfloc 1009'!A135)),"")</f>
        <v/>
      </c>
      <c r="AC2634" t="str">
        <f>IF(AA2634="","",'Procyfloc 1009'!B135)</f>
        <v/>
      </c>
      <c r="AD2634" t="str">
        <f>IF(AA2634="","",IFERROR(1*'Procyfloc 1009'!C135,IFERROR(_xludf.NUMBERVALUE('Procyfloc 1009'!C135,".",","),IFERROR(_xludf.NUMBERVALUE('Procyfloc 1009'!C135,",","."),0))))</f>
        <v/>
      </c>
      <c r="AE2634" t="str">
        <f>IF(AA2634="","",'Procyfloc 1009'!L135)</f>
        <v/>
      </c>
      <c r="AF2634">
        <f t="shared" si="263"/>
        <v>0</v>
      </c>
      <c r="AG2634" t="str">
        <f t="shared" si="264"/>
        <v/>
      </c>
      <c r="AH2634" t="str">
        <f t="shared" si="265"/>
        <v/>
      </c>
      <c r="AI2634">
        <f t="shared" si="266"/>
        <v>0</v>
      </c>
      <c r="AJ2634">
        <f t="shared" si="267"/>
        <v>0</v>
      </c>
      <c r="AK2634">
        <v>0</v>
      </c>
      <c r="AL2634" t="str">
        <f>IF(AA2634="","",IFERROR(IF(ISNUMBER('Procyfloc 1009'!D135),'Procyfloc 1009'!D135,IF(ISNUMBER(SEARCH("12",'Procyfloc 1009'!D135)),EDATE(AB2634,12),IF(ISNUMBER(SEARCH("6",'Procyfloc 1009'!D135)),EDATE(AB2634,6),IF(ISNUMBER(SEARCH("3",'Procyfloc 1009'!D135)),EDATE(AB2634,3),DATEVALUE('Procyfloc 1009'!D135))))),""))</f>
        <v/>
      </c>
      <c r="AM2634" t="str">
        <f t="shared" ca="1" si="268"/>
        <v/>
      </c>
    </row>
    <row r="2635" spans="27:39" x14ac:dyDescent="0.3">
      <c r="AA2635" t="str">
        <f>IF(COUNTA('Procyfloc 1009'!A136,'Procyfloc 1009'!B136,'Procyfloc 1009'!C136)&gt;0,"1009","")</f>
        <v/>
      </c>
      <c r="AB2635" t="str">
        <f>IFERROR(IF(ISNUMBER('Procyfloc 1009'!A136),'Procyfloc 1009'!A136,DATEVALUE('Procyfloc 1009'!A136)),"")</f>
        <v/>
      </c>
      <c r="AC2635" t="str">
        <f>IF(AA2635="","",'Procyfloc 1009'!B136)</f>
        <v/>
      </c>
      <c r="AD2635" t="str">
        <f>IF(AA2635="","",IFERROR(1*'Procyfloc 1009'!C136,IFERROR(_xludf.NUMBERVALUE('Procyfloc 1009'!C136,".",","),IFERROR(_xludf.NUMBERVALUE('Procyfloc 1009'!C136,",","."),0))))</f>
        <v/>
      </c>
      <c r="AE2635" t="str">
        <f>IF(AA2635="","",'Procyfloc 1009'!L136)</f>
        <v/>
      </c>
      <c r="AF2635">
        <f t="shared" si="263"/>
        <v>0</v>
      </c>
      <c r="AG2635" t="str">
        <f t="shared" si="264"/>
        <v/>
      </c>
      <c r="AH2635" t="str">
        <f t="shared" si="265"/>
        <v/>
      </c>
      <c r="AI2635">
        <f t="shared" si="266"/>
        <v>0</v>
      </c>
      <c r="AJ2635">
        <f t="shared" si="267"/>
        <v>0</v>
      </c>
      <c r="AK2635">
        <v>0</v>
      </c>
      <c r="AL2635" t="str">
        <f>IF(AA2635="","",IFERROR(IF(ISNUMBER('Procyfloc 1009'!D136),'Procyfloc 1009'!D136,IF(ISNUMBER(SEARCH("12",'Procyfloc 1009'!D136)),EDATE(AB2635,12),IF(ISNUMBER(SEARCH("6",'Procyfloc 1009'!D136)),EDATE(AB2635,6),IF(ISNUMBER(SEARCH("3",'Procyfloc 1009'!D136)),EDATE(AB2635,3),DATEVALUE('Procyfloc 1009'!D136))))),""))</f>
        <v/>
      </c>
      <c r="AM2635" t="str">
        <f t="shared" ca="1" si="268"/>
        <v/>
      </c>
    </row>
    <row r="2636" spans="27:39" x14ac:dyDescent="0.3">
      <c r="AA2636" t="str">
        <f>IF(COUNTA('Procyfloc 1009'!A137,'Procyfloc 1009'!B137,'Procyfloc 1009'!C137)&gt;0,"1009","")</f>
        <v/>
      </c>
      <c r="AB2636" t="str">
        <f>IFERROR(IF(ISNUMBER('Procyfloc 1009'!A137),'Procyfloc 1009'!A137,DATEVALUE('Procyfloc 1009'!A137)),"")</f>
        <v/>
      </c>
      <c r="AC2636" t="str">
        <f>IF(AA2636="","",'Procyfloc 1009'!B137)</f>
        <v/>
      </c>
      <c r="AD2636" t="str">
        <f>IF(AA2636="","",IFERROR(1*'Procyfloc 1009'!C137,IFERROR(_xludf.NUMBERVALUE('Procyfloc 1009'!C137,".",","),IFERROR(_xludf.NUMBERVALUE('Procyfloc 1009'!C137,",","."),0))))</f>
        <v/>
      </c>
      <c r="AE2636" t="str">
        <f>IF(AA2636="","",'Procyfloc 1009'!L137)</f>
        <v/>
      </c>
      <c r="AF2636">
        <f t="shared" si="263"/>
        <v>0</v>
      </c>
      <c r="AG2636" t="str">
        <f t="shared" si="264"/>
        <v/>
      </c>
      <c r="AH2636" t="str">
        <f t="shared" si="265"/>
        <v/>
      </c>
      <c r="AI2636">
        <f t="shared" si="266"/>
        <v>0</v>
      </c>
      <c r="AJ2636">
        <f t="shared" si="267"/>
        <v>0</v>
      </c>
      <c r="AK2636">
        <v>0</v>
      </c>
      <c r="AL2636" t="str">
        <f>IF(AA2636="","",IFERROR(IF(ISNUMBER('Procyfloc 1009'!D137),'Procyfloc 1009'!D137,IF(ISNUMBER(SEARCH("12",'Procyfloc 1009'!D137)),EDATE(AB2636,12),IF(ISNUMBER(SEARCH("6",'Procyfloc 1009'!D137)),EDATE(AB2636,6),IF(ISNUMBER(SEARCH("3",'Procyfloc 1009'!D137)),EDATE(AB2636,3),DATEVALUE('Procyfloc 1009'!D137))))),""))</f>
        <v/>
      </c>
      <c r="AM2636" t="str">
        <f t="shared" ca="1" si="268"/>
        <v/>
      </c>
    </row>
    <row r="2637" spans="27:39" x14ac:dyDescent="0.3">
      <c r="AA2637" t="str">
        <f>IF(COUNTA('Procyfloc 1009'!A138,'Procyfloc 1009'!B138,'Procyfloc 1009'!C138)&gt;0,"1009","")</f>
        <v/>
      </c>
      <c r="AB2637" t="str">
        <f>IFERROR(IF(ISNUMBER('Procyfloc 1009'!A138),'Procyfloc 1009'!A138,DATEVALUE('Procyfloc 1009'!A138)),"")</f>
        <v/>
      </c>
      <c r="AC2637" t="str">
        <f>IF(AA2637="","",'Procyfloc 1009'!B138)</f>
        <v/>
      </c>
      <c r="AD2637" t="str">
        <f>IF(AA2637="","",IFERROR(1*'Procyfloc 1009'!C138,IFERROR(_xludf.NUMBERVALUE('Procyfloc 1009'!C138,".",","),IFERROR(_xludf.NUMBERVALUE('Procyfloc 1009'!C138,",","."),0))))</f>
        <v/>
      </c>
      <c r="AE2637" t="str">
        <f>IF(AA2637="","",'Procyfloc 1009'!L138)</f>
        <v/>
      </c>
      <c r="AF2637">
        <f t="shared" si="263"/>
        <v>0</v>
      </c>
      <c r="AG2637" t="str">
        <f t="shared" si="264"/>
        <v/>
      </c>
      <c r="AH2637" t="str">
        <f t="shared" si="265"/>
        <v/>
      </c>
      <c r="AI2637">
        <f t="shared" si="266"/>
        <v>0</v>
      </c>
      <c r="AJ2637">
        <f t="shared" si="267"/>
        <v>0</v>
      </c>
      <c r="AK2637">
        <v>0</v>
      </c>
      <c r="AL2637" t="str">
        <f>IF(AA2637="","",IFERROR(IF(ISNUMBER('Procyfloc 1009'!D138),'Procyfloc 1009'!D138,IF(ISNUMBER(SEARCH("12",'Procyfloc 1009'!D138)),EDATE(AB2637,12),IF(ISNUMBER(SEARCH("6",'Procyfloc 1009'!D138)),EDATE(AB2637,6),IF(ISNUMBER(SEARCH("3",'Procyfloc 1009'!D138)),EDATE(AB2637,3),DATEVALUE('Procyfloc 1009'!D138))))),""))</f>
        <v/>
      </c>
      <c r="AM2637" t="str">
        <f t="shared" ca="1" si="268"/>
        <v/>
      </c>
    </row>
    <row r="2638" spans="27:39" x14ac:dyDescent="0.3">
      <c r="AA2638" t="str">
        <f>IF(COUNTA('Procyfloc 1009'!A139,'Procyfloc 1009'!B139,'Procyfloc 1009'!C139)&gt;0,"1009","")</f>
        <v/>
      </c>
      <c r="AB2638" t="str">
        <f>IFERROR(IF(ISNUMBER('Procyfloc 1009'!A139),'Procyfloc 1009'!A139,DATEVALUE('Procyfloc 1009'!A139)),"")</f>
        <v/>
      </c>
      <c r="AC2638" t="str">
        <f>IF(AA2638="","",'Procyfloc 1009'!B139)</f>
        <v/>
      </c>
      <c r="AD2638" t="str">
        <f>IF(AA2638="","",IFERROR(1*'Procyfloc 1009'!C139,IFERROR(_xludf.NUMBERVALUE('Procyfloc 1009'!C139,".",","),IFERROR(_xludf.NUMBERVALUE('Procyfloc 1009'!C139,",","."),0))))</f>
        <v/>
      </c>
      <c r="AE2638" t="str">
        <f>IF(AA2638="","",'Procyfloc 1009'!L139)</f>
        <v/>
      </c>
      <c r="AF2638">
        <f t="shared" si="263"/>
        <v>0</v>
      </c>
      <c r="AG2638" t="str">
        <f t="shared" si="264"/>
        <v/>
      </c>
      <c r="AH2638" t="str">
        <f t="shared" si="265"/>
        <v/>
      </c>
      <c r="AI2638">
        <f t="shared" si="266"/>
        <v>0</v>
      </c>
      <c r="AJ2638">
        <f t="shared" si="267"/>
        <v>0</v>
      </c>
      <c r="AK2638">
        <v>0</v>
      </c>
      <c r="AL2638" t="str">
        <f>IF(AA2638="","",IFERROR(IF(ISNUMBER('Procyfloc 1009'!D139),'Procyfloc 1009'!D139,IF(ISNUMBER(SEARCH("12",'Procyfloc 1009'!D139)),EDATE(AB2638,12),IF(ISNUMBER(SEARCH("6",'Procyfloc 1009'!D139)),EDATE(AB2638,6),IF(ISNUMBER(SEARCH("3",'Procyfloc 1009'!D139)),EDATE(AB2638,3),DATEVALUE('Procyfloc 1009'!D139))))),""))</f>
        <v/>
      </c>
      <c r="AM2638" t="str">
        <f t="shared" ca="1" si="268"/>
        <v/>
      </c>
    </row>
    <row r="2639" spans="27:39" x14ac:dyDescent="0.3">
      <c r="AA2639" t="str">
        <f>IF(COUNTA('Procyfloc 1009'!A140,'Procyfloc 1009'!B140,'Procyfloc 1009'!C140)&gt;0,"1009","")</f>
        <v/>
      </c>
      <c r="AB2639" t="str">
        <f>IFERROR(IF(ISNUMBER('Procyfloc 1009'!A140),'Procyfloc 1009'!A140,DATEVALUE('Procyfloc 1009'!A140)),"")</f>
        <v/>
      </c>
      <c r="AC2639" t="str">
        <f>IF(AA2639="","",'Procyfloc 1009'!B140)</f>
        <v/>
      </c>
      <c r="AD2639" t="str">
        <f>IF(AA2639="","",IFERROR(1*'Procyfloc 1009'!C140,IFERROR(_xludf.NUMBERVALUE('Procyfloc 1009'!C140,".",","),IFERROR(_xludf.NUMBERVALUE('Procyfloc 1009'!C140,",","."),0))))</f>
        <v/>
      </c>
      <c r="AE2639" t="str">
        <f>IF(AA2639="","",'Procyfloc 1009'!L140)</f>
        <v/>
      </c>
      <c r="AF2639">
        <f t="shared" si="263"/>
        <v>0</v>
      </c>
      <c r="AG2639" t="str">
        <f t="shared" si="264"/>
        <v/>
      </c>
      <c r="AH2639" t="str">
        <f t="shared" si="265"/>
        <v/>
      </c>
      <c r="AI2639">
        <f t="shared" si="266"/>
        <v>0</v>
      </c>
      <c r="AJ2639">
        <f t="shared" si="267"/>
        <v>0</v>
      </c>
      <c r="AK2639">
        <v>0</v>
      </c>
      <c r="AL2639" t="str">
        <f>IF(AA2639="","",IFERROR(IF(ISNUMBER('Procyfloc 1009'!D140),'Procyfloc 1009'!D140,IF(ISNUMBER(SEARCH("12",'Procyfloc 1009'!D140)),EDATE(AB2639,12),IF(ISNUMBER(SEARCH("6",'Procyfloc 1009'!D140)),EDATE(AB2639,6),IF(ISNUMBER(SEARCH("3",'Procyfloc 1009'!D140)),EDATE(AB2639,3),DATEVALUE('Procyfloc 1009'!D140))))),""))</f>
        <v/>
      </c>
      <c r="AM2639" t="str">
        <f t="shared" ca="1" si="268"/>
        <v/>
      </c>
    </row>
    <row r="2640" spans="27:39" x14ac:dyDescent="0.3">
      <c r="AA2640" t="str">
        <f>IF(COUNTA('Procyfloc 1009'!A141,'Procyfloc 1009'!B141,'Procyfloc 1009'!C141)&gt;0,"1009","")</f>
        <v/>
      </c>
      <c r="AB2640" t="str">
        <f>IFERROR(IF(ISNUMBER('Procyfloc 1009'!A141),'Procyfloc 1009'!A141,DATEVALUE('Procyfloc 1009'!A141)),"")</f>
        <v/>
      </c>
      <c r="AC2640" t="str">
        <f>IF(AA2640="","",'Procyfloc 1009'!B141)</f>
        <v/>
      </c>
      <c r="AD2640" t="str">
        <f>IF(AA2640="","",IFERROR(1*'Procyfloc 1009'!C141,IFERROR(_xludf.NUMBERVALUE('Procyfloc 1009'!C141,".",","),IFERROR(_xludf.NUMBERVALUE('Procyfloc 1009'!C141,",","."),0))))</f>
        <v/>
      </c>
      <c r="AE2640" t="str">
        <f>IF(AA2640="","",'Procyfloc 1009'!L141)</f>
        <v/>
      </c>
      <c r="AF2640">
        <f t="shared" si="263"/>
        <v>0</v>
      </c>
      <c r="AG2640" t="str">
        <f t="shared" si="264"/>
        <v/>
      </c>
      <c r="AH2640" t="str">
        <f t="shared" si="265"/>
        <v/>
      </c>
      <c r="AI2640">
        <f t="shared" si="266"/>
        <v>0</v>
      </c>
      <c r="AJ2640">
        <f t="shared" si="267"/>
        <v>0</v>
      </c>
      <c r="AK2640">
        <v>0</v>
      </c>
      <c r="AL2640" t="str">
        <f>IF(AA2640="","",IFERROR(IF(ISNUMBER('Procyfloc 1009'!D141),'Procyfloc 1009'!D141,IF(ISNUMBER(SEARCH("12",'Procyfloc 1009'!D141)),EDATE(AB2640,12),IF(ISNUMBER(SEARCH("6",'Procyfloc 1009'!D141)),EDATE(AB2640,6),IF(ISNUMBER(SEARCH("3",'Procyfloc 1009'!D141)),EDATE(AB2640,3),DATEVALUE('Procyfloc 1009'!D141))))),""))</f>
        <v/>
      </c>
      <c r="AM2640" t="str">
        <f t="shared" ca="1" si="268"/>
        <v/>
      </c>
    </row>
    <row r="2641" spans="27:39" x14ac:dyDescent="0.3">
      <c r="AA2641" t="str">
        <f>IF(COUNTA('Procyfloc 1009'!A142,'Procyfloc 1009'!B142,'Procyfloc 1009'!C142)&gt;0,"1009","")</f>
        <v/>
      </c>
      <c r="AB2641" t="str">
        <f>IFERROR(IF(ISNUMBER('Procyfloc 1009'!A142),'Procyfloc 1009'!A142,DATEVALUE('Procyfloc 1009'!A142)),"")</f>
        <v/>
      </c>
      <c r="AC2641" t="str">
        <f>IF(AA2641="","",'Procyfloc 1009'!B142)</f>
        <v/>
      </c>
      <c r="AD2641" t="str">
        <f>IF(AA2641="","",IFERROR(1*'Procyfloc 1009'!C142,IFERROR(_xludf.NUMBERVALUE('Procyfloc 1009'!C142,".",","),IFERROR(_xludf.NUMBERVALUE('Procyfloc 1009'!C142,",","."),0))))</f>
        <v/>
      </c>
      <c r="AE2641" t="str">
        <f>IF(AA2641="","",'Procyfloc 1009'!L142)</f>
        <v/>
      </c>
      <c r="AF2641">
        <f t="shared" si="263"/>
        <v>0</v>
      </c>
      <c r="AG2641" t="str">
        <f t="shared" si="264"/>
        <v/>
      </c>
      <c r="AH2641" t="str">
        <f t="shared" si="265"/>
        <v/>
      </c>
      <c r="AI2641">
        <f t="shared" si="266"/>
        <v>0</v>
      </c>
      <c r="AJ2641">
        <f t="shared" si="267"/>
        <v>0</v>
      </c>
      <c r="AK2641">
        <v>0</v>
      </c>
      <c r="AL2641" t="str">
        <f>IF(AA2641="","",IFERROR(IF(ISNUMBER('Procyfloc 1009'!D142),'Procyfloc 1009'!D142,IF(ISNUMBER(SEARCH("12",'Procyfloc 1009'!D142)),EDATE(AB2641,12),IF(ISNUMBER(SEARCH("6",'Procyfloc 1009'!D142)),EDATE(AB2641,6),IF(ISNUMBER(SEARCH("3",'Procyfloc 1009'!D142)),EDATE(AB2641,3),DATEVALUE('Procyfloc 1009'!D142))))),""))</f>
        <v/>
      </c>
      <c r="AM2641" t="str">
        <f t="shared" ca="1" si="268"/>
        <v/>
      </c>
    </row>
    <row r="2642" spans="27:39" x14ac:dyDescent="0.3">
      <c r="AA2642" t="str">
        <f>IF(COUNTA('Procyfloc 1009'!A143,'Procyfloc 1009'!B143,'Procyfloc 1009'!C143)&gt;0,"1009","")</f>
        <v/>
      </c>
      <c r="AB2642" t="str">
        <f>IFERROR(IF(ISNUMBER('Procyfloc 1009'!A143),'Procyfloc 1009'!A143,DATEVALUE('Procyfloc 1009'!A143)),"")</f>
        <v/>
      </c>
      <c r="AC2642" t="str">
        <f>IF(AA2642="","",'Procyfloc 1009'!B143)</f>
        <v/>
      </c>
      <c r="AD2642" t="str">
        <f>IF(AA2642="","",IFERROR(1*'Procyfloc 1009'!C143,IFERROR(_xludf.NUMBERVALUE('Procyfloc 1009'!C143,".",","),IFERROR(_xludf.NUMBERVALUE('Procyfloc 1009'!C143,",","."),0))))</f>
        <v/>
      </c>
      <c r="AE2642" t="str">
        <f>IF(AA2642="","",'Procyfloc 1009'!L143)</f>
        <v/>
      </c>
      <c r="AF2642">
        <f t="shared" si="263"/>
        <v>0</v>
      </c>
      <c r="AG2642" t="str">
        <f t="shared" si="264"/>
        <v/>
      </c>
      <c r="AH2642" t="str">
        <f t="shared" si="265"/>
        <v/>
      </c>
      <c r="AI2642">
        <f t="shared" si="266"/>
        <v>0</v>
      </c>
      <c r="AJ2642">
        <f t="shared" si="267"/>
        <v>0</v>
      </c>
      <c r="AK2642">
        <v>0</v>
      </c>
      <c r="AL2642" t="str">
        <f>IF(AA2642="","",IFERROR(IF(ISNUMBER('Procyfloc 1009'!D143),'Procyfloc 1009'!D143,IF(ISNUMBER(SEARCH("12",'Procyfloc 1009'!D143)),EDATE(AB2642,12),IF(ISNUMBER(SEARCH("6",'Procyfloc 1009'!D143)),EDATE(AB2642,6),IF(ISNUMBER(SEARCH("3",'Procyfloc 1009'!D143)),EDATE(AB2642,3),DATEVALUE('Procyfloc 1009'!D143))))),""))</f>
        <v/>
      </c>
      <c r="AM2642" t="str">
        <f t="shared" ca="1" si="268"/>
        <v/>
      </c>
    </row>
    <row r="2643" spans="27:39" x14ac:dyDescent="0.3">
      <c r="AA2643" t="str">
        <f>IF(COUNTA('Procyfloc 1009'!A144,'Procyfloc 1009'!B144,'Procyfloc 1009'!C144)&gt;0,"1009","")</f>
        <v/>
      </c>
      <c r="AB2643" t="str">
        <f>IFERROR(IF(ISNUMBER('Procyfloc 1009'!A144),'Procyfloc 1009'!A144,DATEVALUE('Procyfloc 1009'!A144)),"")</f>
        <v/>
      </c>
      <c r="AC2643" t="str">
        <f>IF(AA2643="","",'Procyfloc 1009'!B144)</f>
        <v/>
      </c>
      <c r="AD2643" t="str">
        <f>IF(AA2643="","",IFERROR(1*'Procyfloc 1009'!C144,IFERROR(_xludf.NUMBERVALUE('Procyfloc 1009'!C144,".",","),IFERROR(_xludf.NUMBERVALUE('Procyfloc 1009'!C144,",","."),0))))</f>
        <v/>
      </c>
      <c r="AE2643" t="str">
        <f>IF(AA2643="","",'Procyfloc 1009'!L144)</f>
        <v/>
      </c>
      <c r="AF2643">
        <f t="shared" si="263"/>
        <v>0</v>
      </c>
      <c r="AG2643" t="str">
        <f t="shared" si="264"/>
        <v/>
      </c>
      <c r="AH2643" t="str">
        <f t="shared" si="265"/>
        <v/>
      </c>
      <c r="AI2643">
        <f t="shared" si="266"/>
        <v>0</v>
      </c>
      <c r="AJ2643">
        <f t="shared" si="267"/>
        <v>0</v>
      </c>
      <c r="AK2643">
        <v>0</v>
      </c>
      <c r="AL2643" t="str">
        <f>IF(AA2643="","",IFERROR(IF(ISNUMBER('Procyfloc 1009'!D144),'Procyfloc 1009'!D144,IF(ISNUMBER(SEARCH("12",'Procyfloc 1009'!D144)),EDATE(AB2643,12),IF(ISNUMBER(SEARCH("6",'Procyfloc 1009'!D144)),EDATE(AB2643,6),IF(ISNUMBER(SEARCH("3",'Procyfloc 1009'!D144)),EDATE(AB2643,3),DATEVALUE('Procyfloc 1009'!D144))))),""))</f>
        <v/>
      </c>
      <c r="AM2643" t="str">
        <f t="shared" ca="1" si="268"/>
        <v/>
      </c>
    </row>
    <row r="2644" spans="27:39" x14ac:dyDescent="0.3">
      <c r="AA2644" t="str">
        <f>IF(COUNTA('Procyfloc 1009'!A145,'Procyfloc 1009'!B145,'Procyfloc 1009'!C145)&gt;0,"1009","")</f>
        <v/>
      </c>
      <c r="AB2644" t="str">
        <f>IFERROR(IF(ISNUMBER('Procyfloc 1009'!A145),'Procyfloc 1009'!A145,DATEVALUE('Procyfloc 1009'!A145)),"")</f>
        <v/>
      </c>
      <c r="AC2644" t="str">
        <f>IF(AA2644="","",'Procyfloc 1009'!B145)</f>
        <v/>
      </c>
      <c r="AD2644" t="str">
        <f>IF(AA2644="","",IFERROR(1*'Procyfloc 1009'!C145,IFERROR(_xludf.NUMBERVALUE('Procyfloc 1009'!C145,".",","),IFERROR(_xludf.NUMBERVALUE('Procyfloc 1009'!C145,",","."),0))))</f>
        <v/>
      </c>
      <c r="AE2644" t="str">
        <f>IF(AA2644="","",'Procyfloc 1009'!L145)</f>
        <v/>
      </c>
      <c r="AF2644">
        <f t="shared" si="263"/>
        <v>0</v>
      </c>
      <c r="AG2644" t="str">
        <f t="shared" si="264"/>
        <v/>
      </c>
      <c r="AH2644" t="str">
        <f t="shared" si="265"/>
        <v/>
      </c>
      <c r="AI2644">
        <f t="shared" si="266"/>
        <v>0</v>
      </c>
      <c r="AJ2644">
        <f t="shared" si="267"/>
        <v>0</v>
      </c>
      <c r="AK2644">
        <v>0</v>
      </c>
      <c r="AL2644" t="str">
        <f>IF(AA2644="","",IFERROR(IF(ISNUMBER('Procyfloc 1009'!D145),'Procyfloc 1009'!D145,IF(ISNUMBER(SEARCH("12",'Procyfloc 1009'!D145)),EDATE(AB2644,12),IF(ISNUMBER(SEARCH("6",'Procyfloc 1009'!D145)),EDATE(AB2644,6),IF(ISNUMBER(SEARCH("3",'Procyfloc 1009'!D145)),EDATE(AB2644,3),DATEVALUE('Procyfloc 1009'!D145))))),""))</f>
        <v/>
      </c>
      <c r="AM2644" t="str">
        <f t="shared" ca="1" si="268"/>
        <v/>
      </c>
    </row>
    <row r="2645" spans="27:39" x14ac:dyDescent="0.3">
      <c r="AA2645" t="str">
        <f>IF(COUNTA('Procyfloc 1009'!A146,'Procyfloc 1009'!B146,'Procyfloc 1009'!C146)&gt;0,"1009","")</f>
        <v/>
      </c>
      <c r="AB2645" t="str">
        <f>IFERROR(IF(ISNUMBER('Procyfloc 1009'!A146),'Procyfloc 1009'!A146,DATEVALUE('Procyfloc 1009'!A146)),"")</f>
        <v/>
      </c>
      <c r="AC2645" t="str">
        <f>IF(AA2645="","",'Procyfloc 1009'!B146)</f>
        <v/>
      </c>
      <c r="AD2645" t="str">
        <f>IF(AA2645="","",IFERROR(1*'Procyfloc 1009'!C146,IFERROR(_xludf.NUMBERVALUE('Procyfloc 1009'!C146,".",","),IFERROR(_xludf.NUMBERVALUE('Procyfloc 1009'!C146,",","."),0))))</f>
        <v/>
      </c>
      <c r="AE2645" t="str">
        <f>IF(AA2645="","",'Procyfloc 1009'!L146)</f>
        <v/>
      </c>
      <c r="AF2645">
        <f t="shared" si="263"/>
        <v>0</v>
      </c>
      <c r="AG2645" t="str">
        <f t="shared" si="264"/>
        <v/>
      </c>
      <c r="AH2645" t="str">
        <f t="shared" si="265"/>
        <v/>
      </c>
      <c r="AI2645">
        <f t="shared" si="266"/>
        <v>0</v>
      </c>
      <c r="AJ2645">
        <f t="shared" si="267"/>
        <v>0</v>
      </c>
      <c r="AK2645">
        <v>0</v>
      </c>
      <c r="AL2645" t="str">
        <f>IF(AA2645="","",IFERROR(IF(ISNUMBER('Procyfloc 1009'!D146),'Procyfloc 1009'!D146,IF(ISNUMBER(SEARCH("12",'Procyfloc 1009'!D146)),EDATE(AB2645,12),IF(ISNUMBER(SEARCH("6",'Procyfloc 1009'!D146)),EDATE(AB2645,6),IF(ISNUMBER(SEARCH("3",'Procyfloc 1009'!D146)),EDATE(AB2645,3),DATEVALUE('Procyfloc 1009'!D146))))),""))</f>
        <v/>
      </c>
      <c r="AM2645" t="str">
        <f t="shared" ca="1" si="268"/>
        <v/>
      </c>
    </row>
    <row r="2646" spans="27:39" x14ac:dyDescent="0.3">
      <c r="AA2646" t="str">
        <f>IF(COUNTA('Procyfloc 1009'!A147,'Procyfloc 1009'!B147,'Procyfloc 1009'!C147)&gt;0,"1009","")</f>
        <v/>
      </c>
      <c r="AB2646" t="str">
        <f>IFERROR(IF(ISNUMBER('Procyfloc 1009'!A147),'Procyfloc 1009'!A147,DATEVALUE('Procyfloc 1009'!A147)),"")</f>
        <v/>
      </c>
      <c r="AC2646" t="str">
        <f>IF(AA2646="","",'Procyfloc 1009'!B147)</f>
        <v/>
      </c>
      <c r="AD2646" t="str">
        <f>IF(AA2646="","",IFERROR(1*'Procyfloc 1009'!C147,IFERROR(_xludf.NUMBERVALUE('Procyfloc 1009'!C147,".",","),IFERROR(_xludf.NUMBERVALUE('Procyfloc 1009'!C147,",","."),0))))</f>
        <v/>
      </c>
      <c r="AE2646" t="str">
        <f>IF(AA2646="","",'Procyfloc 1009'!L147)</f>
        <v/>
      </c>
      <c r="AF2646">
        <f t="shared" si="263"/>
        <v>0</v>
      </c>
      <c r="AG2646" t="str">
        <f t="shared" si="264"/>
        <v/>
      </c>
      <c r="AH2646" t="str">
        <f t="shared" si="265"/>
        <v/>
      </c>
      <c r="AI2646">
        <f t="shared" si="266"/>
        <v>0</v>
      </c>
      <c r="AJ2646">
        <f t="shared" si="267"/>
        <v>0</v>
      </c>
      <c r="AK2646">
        <v>0</v>
      </c>
      <c r="AL2646" t="str">
        <f>IF(AA2646="","",IFERROR(IF(ISNUMBER('Procyfloc 1009'!D147),'Procyfloc 1009'!D147,IF(ISNUMBER(SEARCH("12",'Procyfloc 1009'!D147)),EDATE(AB2646,12),IF(ISNUMBER(SEARCH("6",'Procyfloc 1009'!D147)),EDATE(AB2646,6),IF(ISNUMBER(SEARCH("3",'Procyfloc 1009'!D147)),EDATE(AB2646,3),DATEVALUE('Procyfloc 1009'!D147))))),""))</f>
        <v/>
      </c>
      <c r="AM2646" t="str">
        <f t="shared" ca="1" si="268"/>
        <v/>
      </c>
    </row>
    <row r="2647" spans="27:39" x14ac:dyDescent="0.3">
      <c r="AA2647" t="str">
        <f>IF(COUNTA('Procyfloc 1009'!A148,'Procyfloc 1009'!B148,'Procyfloc 1009'!C148)&gt;0,"1009","")</f>
        <v/>
      </c>
      <c r="AB2647" t="str">
        <f>IFERROR(IF(ISNUMBER('Procyfloc 1009'!A148),'Procyfloc 1009'!A148,DATEVALUE('Procyfloc 1009'!A148)),"")</f>
        <v/>
      </c>
      <c r="AC2647" t="str">
        <f>IF(AA2647="","",'Procyfloc 1009'!B148)</f>
        <v/>
      </c>
      <c r="AD2647" t="str">
        <f>IF(AA2647="","",IFERROR(1*'Procyfloc 1009'!C148,IFERROR(_xludf.NUMBERVALUE('Procyfloc 1009'!C148,".",","),IFERROR(_xludf.NUMBERVALUE('Procyfloc 1009'!C148,",","."),0))))</f>
        <v/>
      </c>
      <c r="AE2647" t="str">
        <f>IF(AA2647="","",'Procyfloc 1009'!L148)</f>
        <v/>
      </c>
      <c r="AF2647">
        <f t="shared" si="263"/>
        <v>0</v>
      </c>
      <c r="AG2647" t="str">
        <f t="shared" si="264"/>
        <v/>
      </c>
      <c r="AH2647" t="str">
        <f t="shared" si="265"/>
        <v/>
      </c>
      <c r="AI2647">
        <f t="shared" si="266"/>
        <v>0</v>
      </c>
      <c r="AJ2647">
        <f t="shared" si="267"/>
        <v>0</v>
      </c>
      <c r="AK2647">
        <v>0</v>
      </c>
      <c r="AL2647" t="str">
        <f>IF(AA2647="","",IFERROR(IF(ISNUMBER('Procyfloc 1009'!D148),'Procyfloc 1009'!D148,IF(ISNUMBER(SEARCH("12",'Procyfloc 1009'!D148)),EDATE(AB2647,12),IF(ISNUMBER(SEARCH("6",'Procyfloc 1009'!D148)),EDATE(AB2647,6),IF(ISNUMBER(SEARCH("3",'Procyfloc 1009'!D148)),EDATE(AB2647,3),DATEVALUE('Procyfloc 1009'!D148))))),""))</f>
        <v/>
      </c>
      <c r="AM2647" t="str">
        <f t="shared" ca="1" si="268"/>
        <v/>
      </c>
    </row>
    <row r="2648" spans="27:39" x14ac:dyDescent="0.3">
      <c r="AA2648" t="str">
        <f>IF(COUNTA('Procyfloc 1009'!A149,'Procyfloc 1009'!B149,'Procyfloc 1009'!C149)&gt;0,"1009","")</f>
        <v/>
      </c>
      <c r="AB2648" t="str">
        <f>IFERROR(IF(ISNUMBER('Procyfloc 1009'!A149),'Procyfloc 1009'!A149,DATEVALUE('Procyfloc 1009'!A149)),"")</f>
        <v/>
      </c>
      <c r="AC2648" t="str">
        <f>IF(AA2648="","",'Procyfloc 1009'!B149)</f>
        <v/>
      </c>
      <c r="AD2648" t="str">
        <f>IF(AA2648="","",IFERROR(1*'Procyfloc 1009'!C149,IFERROR(_xludf.NUMBERVALUE('Procyfloc 1009'!C149,".",","),IFERROR(_xludf.NUMBERVALUE('Procyfloc 1009'!C149,",","."),0))))</f>
        <v/>
      </c>
      <c r="AE2648" t="str">
        <f>IF(AA2648="","",'Procyfloc 1009'!L149)</f>
        <v/>
      </c>
      <c r="AF2648">
        <f t="shared" si="263"/>
        <v>0</v>
      </c>
      <c r="AG2648" t="str">
        <f t="shared" si="264"/>
        <v/>
      </c>
      <c r="AH2648" t="str">
        <f t="shared" si="265"/>
        <v/>
      </c>
      <c r="AI2648">
        <f t="shared" si="266"/>
        <v>0</v>
      </c>
      <c r="AJ2648">
        <f t="shared" si="267"/>
        <v>0</v>
      </c>
      <c r="AK2648">
        <v>0</v>
      </c>
      <c r="AL2648" t="str">
        <f>IF(AA2648="","",IFERROR(IF(ISNUMBER('Procyfloc 1009'!D149),'Procyfloc 1009'!D149,IF(ISNUMBER(SEARCH("12",'Procyfloc 1009'!D149)),EDATE(AB2648,12),IF(ISNUMBER(SEARCH("6",'Procyfloc 1009'!D149)),EDATE(AB2648,6),IF(ISNUMBER(SEARCH("3",'Procyfloc 1009'!D149)),EDATE(AB2648,3),DATEVALUE('Procyfloc 1009'!D149))))),""))</f>
        <v/>
      </c>
      <c r="AM2648" t="str">
        <f t="shared" ca="1" si="268"/>
        <v/>
      </c>
    </row>
    <row r="2649" spans="27:39" x14ac:dyDescent="0.3">
      <c r="AA2649" t="str">
        <f>IF(COUNTA('Procyfloc 1009'!A150,'Procyfloc 1009'!B150,'Procyfloc 1009'!C150)&gt;0,"1009","")</f>
        <v/>
      </c>
      <c r="AB2649" t="str">
        <f>IFERROR(IF(ISNUMBER('Procyfloc 1009'!A150),'Procyfloc 1009'!A150,DATEVALUE('Procyfloc 1009'!A150)),"")</f>
        <v/>
      </c>
      <c r="AC2649" t="str">
        <f>IF(AA2649="","",'Procyfloc 1009'!B150)</f>
        <v/>
      </c>
      <c r="AD2649" t="str">
        <f>IF(AA2649="","",IFERROR(1*'Procyfloc 1009'!C150,IFERROR(_xludf.NUMBERVALUE('Procyfloc 1009'!C150,".",","),IFERROR(_xludf.NUMBERVALUE('Procyfloc 1009'!C150,",","."),0))))</f>
        <v/>
      </c>
      <c r="AE2649" t="str">
        <f>IF(AA2649="","",'Procyfloc 1009'!L150)</f>
        <v/>
      </c>
      <c r="AF2649">
        <f t="shared" si="263"/>
        <v>0</v>
      </c>
      <c r="AG2649" t="str">
        <f t="shared" si="264"/>
        <v/>
      </c>
      <c r="AH2649" t="str">
        <f t="shared" si="265"/>
        <v/>
      </c>
      <c r="AI2649">
        <f t="shared" si="266"/>
        <v>0</v>
      </c>
      <c r="AJ2649">
        <f t="shared" si="267"/>
        <v>0</v>
      </c>
      <c r="AK2649">
        <v>0</v>
      </c>
      <c r="AL2649" t="str">
        <f>IF(AA2649="","",IFERROR(IF(ISNUMBER('Procyfloc 1009'!D150),'Procyfloc 1009'!D150,IF(ISNUMBER(SEARCH("12",'Procyfloc 1009'!D150)),EDATE(AB2649,12),IF(ISNUMBER(SEARCH("6",'Procyfloc 1009'!D150)),EDATE(AB2649,6),IF(ISNUMBER(SEARCH("3",'Procyfloc 1009'!D150)),EDATE(AB2649,3),DATEVALUE('Procyfloc 1009'!D150))))),""))</f>
        <v/>
      </c>
      <c r="AM2649" t="str">
        <f t="shared" ca="1" si="268"/>
        <v/>
      </c>
    </row>
    <row r="2650" spans="27:39" x14ac:dyDescent="0.3">
      <c r="AA2650" t="str">
        <f>IF(COUNTA('Procyfloc 1009'!A151,'Procyfloc 1009'!B151,'Procyfloc 1009'!C151)&gt;0,"1009","")</f>
        <v/>
      </c>
      <c r="AB2650" t="str">
        <f>IFERROR(IF(ISNUMBER('Procyfloc 1009'!A151),'Procyfloc 1009'!A151,DATEVALUE('Procyfloc 1009'!A151)),"")</f>
        <v/>
      </c>
      <c r="AC2650" t="str">
        <f>IF(AA2650="","",'Procyfloc 1009'!B151)</f>
        <v/>
      </c>
      <c r="AD2650" t="str">
        <f>IF(AA2650="","",IFERROR(1*'Procyfloc 1009'!C151,IFERROR(_xludf.NUMBERVALUE('Procyfloc 1009'!C151,".",","),IFERROR(_xludf.NUMBERVALUE('Procyfloc 1009'!C151,",","."),0))))</f>
        <v/>
      </c>
      <c r="AE2650" t="str">
        <f>IF(AA2650="","",'Procyfloc 1009'!L151)</f>
        <v/>
      </c>
      <c r="AF2650">
        <f t="shared" si="263"/>
        <v>0</v>
      </c>
      <c r="AG2650" t="str">
        <f t="shared" si="264"/>
        <v/>
      </c>
      <c r="AH2650" t="str">
        <f t="shared" si="265"/>
        <v/>
      </c>
      <c r="AI2650">
        <f t="shared" si="266"/>
        <v>0</v>
      </c>
      <c r="AJ2650">
        <f t="shared" si="267"/>
        <v>0</v>
      </c>
      <c r="AK2650">
        <v>0</v>
      </c>
      <c r="AL2650" t="str">
        <f>IF(AA2650="","",IFERROR(IF(ISNUMBER('Procyfloc 1009'!D151),'Procyfloc 1009'!D151,IF(ISNUMBER(SEARCH("12",'Procyfloc 1009'!D151)),EDATE(AB2650,12),IF(ISNUMBER(SEARCH("6",'Procyfloc 1009'!D151)),EDATE(AB2650,6),IF(ISNUMBER(SEARCH("3",'Procyfloc 1009'!D151)),EDATE(AB2650,3),DATEVALUE('Procyfloc 1009'!D151))))),""))</f>
        <v/>
      </c>
      <c r="AM2650" t="str">
        <f t="shared" ca="1" si="268"/>
        <v/>
      </c>
    </row>
    <row r="2651" spans="27:39" x14ac:dyDescent="0.3">
      <c r="AA2651" t="str">
        <f>IF(COUNTA('Procyfloc 1009'!A152,'Procyfloc 1009'!B152,'Procyfloc 1009'!C152)&gt;0,"1009","")</f>
        <v/>
      </c>
      <c r="AB2651" t="str">
        <f>IFERROR(IF(ISNUMBER('Procyfloc 1009'!A152),'Procyfloc 1009'!A152,DATEVALUE('Procyfloc 1009'!A152)),"")</f>
        <v/>
      </c>
      <c r="AC2651" t="str">
        <f>IF(AA2651="","",'Procyfloc 1009'!B152)</f>
        <v/>
      </c>
      <c r="AD2651" t="str">
        <f>IF(AA2651="","",IFERROR(1*'Procyfloc 1009'!C152,IFERROR(_xludf.NUMBERVALUE('Procyfloc 1009'!C152,".",","),IFERROR(_xludf.NUMBERVALUE('Procyfloc 1009'!C152,",","."),0))))</f>
        <v/>
      </c>
      <c r="AE2651" t="str">
        <f>IF(AA2651="","",'Procyfloc 1009'!L152)</f>
        <v/>
      </c>
      <c r="AF2651">
        <f t="shared" si="263"/>
        <v>0</v>
      </c>
      <c r="AG2651" t="str">
        <f t="shared" si="264"/>
        <v/>
      </c>
      <c r="AH2651" t="str">
        <f t="shared" si="265"/>
        <v/>
      </c>
      <c r="AI2651">
        <f t="shared" si="266"/>
        <v>0</v>
      </c>
      <c r="AJ2651">
        <f t="shared" si="267"/>
        <v>0</v>
      </c>
      <c r="AK2651">
        <v>0</v>
      </c>
      <c r="AL2651" t="str">
        <f>IF(AA2651="","",IFERROR(IF(ISNUMBER('Procyfloc 1009'!D152),'Procyfloc 1009'!D152,IF(ISNUMBER(SEARCH("12",'Procyfloc 1009'!D152)),EDATE(AB2651,12),IF(ISNUMBER(SEARCH("6",'Procyfloc 1009'!D152)),EDATE(AB2651,6),IF(ISNUMBER(SEARCH("3",'Procyfloc 1009'!D152)),EDATE(AB2651,3),DATEVALUE('Procyfloc 1009'!D152))))),""))</f>
        <v/>
      </c>
      <c r="AM2651" t="str">
        <f t="shared" ca="1" si="268"/>
        <v/>
      </c>
    </row>
    <row r="2652" spans="27:39" x14ac:dyDescent="0.3">
      <c r="AA2652" t="str">
        <f>IF(COUNTA('Procyfloc 1009'!A153,'Procyfloc 1009'!B153,'Procyfloc 1009'!C153)&gt;0,"1009","")</f>
        <v/>
      </c>
      <c r="AB2652" t="str">
        <f>IFERROR(IF(ISNUMBER('Procyfloc 1009'!A153),'Procyfloc 1009'!A153,DATEVALUE('Procyfloc 1009'!A153)),"")</f>
        <v/>
      </c>
      <c r="AC2652" t="str">
        <f>IF(AA2652="","",'Procyfloc 1009'!B153)</f>
        <v/>
      </c>
      <c r="AD2652" t="str">
        <f>IF(AA2652="","",IFERROR(1*'Procyfloc 1009'!C153,IFERROR(_xludf.NUMBERVALUE('Procyfloc 1009'!C153,".",","),IFERROR(_xludf.NUMBERVALUE('Procyfloc 1009'!C153,",","."),0))))</f>
        <v/>
      </c>
      <c r="AE2652" t="str">
        <f>IF(AA2652="","",'Procyfloc 1009'!L153)</f>
        <v/>
      </c>
      <c r="AF2652">
        <f t="shared" si="263"/>
        <v>0</v>
      </c>
      <c r="AG2652" t="str">
        <f t="shared" si="264"/>
        <v/>
      </c>
      <c r="AH2652" t="str">
        <f t="shared" si="265"/>
        <v/>
      </c>
      <c r="AI2652">
        <f t="shared" si="266"/>
        <v>0</v>
      </c>
      <c r="AJ2652">
        <f t="shared" si="267"/>
        <v>0</v>
      </c>
      <c r="AK2652">
        <v>0</v>
      </c>
      <c r="AL2652" t="str">
        <f>IF(AA2652="","",IFERROR(IF(ISNUMBER('Procyfloc 1009'!D153),'Procyfloc 1009'!D153,IF(ISNUMBER(SEARCH("12",'Procyfloc 1009'!D153)),EDATE(AB2652,12),IF(ISNUMBER(SEARCH("6",'Procyfloc 1009'!D153)),EDATE(AB2652,6),IF(ISNUMBER(SEARCH("3",'Procyfloc 1009'!D153)),EDATE(AB2652,3),DATEVALUE('Procyfloc 1009'!D153))))),""))</f>
        <v/>
      </c>
      <c r="AM2652" t="str">
        <f t="shared" ca="1" si="268"/>
        <v/>
      </c>
    </row>
    <row r="2653" spans="27:39" x14ac:dyDescent="0.3">
      <c r="AA2653" t="str">
        <f>IF(COUNTA('Procyfloc 1009'!A154,'Procyfloc 1009'!B154,'Procyfloc 1009'!C154)&gt;0,"1009","")</f>
        <v/>
      </c>
      <c r="AB2653" t="str">
        <f>IFERROR(IF(ISNUMBER('Procyfloc 1009'!A154),'Procyfloc 1009'!A154,DATEVALUE('Procyfloc 1009'!A154)),"")</f>
        <v/>
      </c>
      <c r="AC2653" t="str">
        <f>IF(AA2653="","",'Procyfloc 1009'!B154)</f>
        <v/>
      </c>
      <c r="AD2653" t="str">
        <f>IF(AA2653="","",IFERROR(1*'Procyfloc 1009'!C154,IFERROR(_xludf.NUMBERVALUE('Procyfloc 1009'!C154,".",","),IFERROR(_xludf.NUMBERVALUE('Procyfloc 1009'!C154,",","."),0))))</f>
        <v/>
      </c>
      <c r="AE2653" t="str">
        <f>IF(AA2653="","",'Procyfloc 1009'!L154)</f>
        <v/>
      </c>
      <c r="AF2653">
        <f t="shared" si="263"/>
        <v>0</v>
      </c>
      <c r="AG2653" t="str">
        <f t="shared" si="264"/>
        <v/>
      </c>
      <c r="AH2653" t="str">
        <f t="shared" si="265"/>
        <v/>
      </c>
      <c r="AI2653">
        <f t="shared" si="266"/>
        <v>0</v>
      </c>
      <c r="AJ2653">
        <f t="shared" si="267"/>
        <v>0</v>
      </c>
      <c r="AK2653">
        <v>0</v>
      </c>
      <c r="AL2653" t="str">
        <f>IF(AA2653="","",IFERROR(IF(ISNUMBER('Procyfloc 1009'!D154),'Procyfloc 1009'!D154,IF(ISNUMBER(SEARCH("12",'Procyfloc 1009'!D154)),EDATE(AB2653,12),IF(ISNUMBER(SEARCH("6",'Procyfloc 1009'!D154)),EDATE(AB2653,6),IF(ISNUMBER(SEARCH("3",'Procyfloc 1009'!D154)),EDATE(AB2653,3),DATEVALUE('Procyfloc 1009'!D154))))),""))</f>
        <v/>
      </c>
      <c r="AM2653" t="str">
        <f t="shared" ca="1" si="268"/>
        <v/>
      </c>
    </row>
    <row r="2654" spans="27:39" x14ac:dyDescent="0.3">
      <c r="AA2654" t="str">
        <f>IF(COUNTA('Procyfloc 1009'!A155,'Procyfloc 1009'!B155,'Procyfloc 1009'!C155)&gt;0,"1009","")</f>
        <v/>
      </c>
      <c r="AB2654" t="str">
        <f>IFERROR(IF(ISNUMBER('Procyfloc 1009'!A155),'Procyfloc 1009'!A155,DATEVALUE('Procyfloc 1009'!A155)),"")</f>
        <v/>
      </c>
      <c r="AC2654" t="str">
        <f>IF(AA2654="","",'Procyfloc 1009'!B155)</f>
        <v/>
      </c>
      <c r="AD2654" t="str">
        <f>IF(AA2654="","",IFERROR(1*'Procyfloc 1009'!C155,IFERROR(_xludf.NUMBERVALUE('Procyfloc 1009'!C155,".",","),IFERROR(_xludf.NUMBERVALUE('Procyfloc 1009'!C155,",","."),0))))</f>
        <v/>
      </c>
      <c r="AE2654" t="str">
        <f>IF(AA2654="","",'Procyfloc 1009'!L155)</f>
        <v/>
      </c>
      <c r="AF2654">
        <f t="shared" si="263"/>
        <v>0</v>
      </c>
      <c r="AG2654" t="str">
        <f t="shared" si="264"/>
        <v/>
      </c>
      <c r="AH2654" t="str">
        <f t="shared" si="265"/>
        <v/>
      </c>
      <c r="AI2654">
        <f t="shared" si="266"/>
        <v>0</v>
      </c>
      <c r="AJ2654">
        <f t="shared" si="267"/>
        <v>0</v>
      </c>
      <c r="AK2654">
        <v>0</v>
      </c>
      <c r="AL2654" t="str">
        <f>IF(AA2654="","",IFERROR(IF(ISNUMBER('Procyfloc 1009'!D155),'Procyfloc 1009'!D155,IF(ISNUMBER(SEARCH("12",'Procyfloc 1009'!D155)),EDATE(AB2654,12),IF(ISNUMBER(SEARCH("6",'Procyfloc 1009'!D155)),EDATE(AB2654,6),IF(ISNUMBER(SEARCH("3",'Procyfloc 1009'!D155)),EDATE(AB2654,3),DATEVALUE('Procyfloc 1009'!D155))))),""))</f>
        <v/>
      </c>
      <c r="AM2654" t="str">
        <f t="shared" ca="1" si="268"/>
        <v/>
      </c>
    </row>
    <row r="2655" spans="27:39" x14ac:dyDescent="0.3">
      <c r="AA2655" t="str">
        <f>IF(COUNTA('Procyfloc 1009'!A156,'Procyfloc 1009'!B156,'Procyfloc 1009'!C156)&gt;0,"1009","")</f>
        <v/>
      </c>
      <c r="AB2655" t="str">
        <f>IFERROR(IF(ISNUMBER('Procyfloc 1009'!A156),'Procyfloc 1009'!A156,DATEVALUE('Procyfloc 1009'!A156)),"")</f>
        <v/>
      </c>
      <c r="AC2655" t="str">
        <f>IF(AA2655="","",'Procyfloc 1009'!B156)</f>
        <v/>
      </c>
      <c r="AD2655" t="str">
        <f>IF(AA2655="","",IFERROR(1*'Procyfloc 1009'!C156,IFERROR(_xludf.NUMBERVALUE('Procyfloc 1009'!C156,".",","),IFERROR(_xludf.NUMBERVALUE('Procyfloc 1009'!C156,",","."),0))))</f>
        <v/>
      </c>
      <c r="AE2655" t="str">
        <f>IF(AA2655="","",'Procyfloc 1009'!L156)</f>
        <v/>
      </c>
      <c r="AF2655">
        <f t="shared" si="263"/>
        <v>0</v>
      </c>
      <c r="AG2655" t="str">
        <f t="shared" si="264"/>
        <v/>
      </c>
      <c r="AH2655" t="str">
        <f t="shared" si="265"/>
        <v/>
      </c>
      <c r="AI2655">
        <f t="shared" si="266"/>
        <v>0</v>
      </c>
      <c r="AJ2655">
        <f t="shared" si="267"/>
        <v>0</v>
      </c>
      <c r="AK2655">
        <v>0</v>
      </c>
      <c r="AL2655" t="str">
        <f>IF(AA2655="","",IFERROR(IF(ISNUMBER('Procyfloc 1009'!D156),'Procyfloc 1009'!D156,IF(ISNUMBER(SEARCH("12",'Procyfloc 1009'!D156)),EDATE(AB2655,12),IF(ISNUMBER(SEARCH("6",'Procyfloc 1009'!D156)),EDATE(AB2655,6),IF(ISNUMBER(SEARCH("3",'Procyfloc 1009'!D156)),EDATE(AB2655,3),DATEVALUE('Procyfloc 1009'!D156))))),""))</f>
        <v/>
      </c>
      <c r="AM2655" t="str">
        <f t="shared" ca="1" si="268"/>
        <v/>
      </c>
    </row>
    <row r="2656" spans="27:39" x14ac:dyDescent="0.3">
      <c r="AA2656" t="str">
        <f>IF(COUNTA('Procyfloc 1009'!A157,'Procyfloc 1009'!B157,'Procyfloc 1009'!C157)&gt;0,"1009","")</f>
        <v/>
      </c>
      <c r="AB2656" t="str">
        <f>IFERROR(IF(ISNUMBER('Procyfloc 1009'!A157),'Procyfloc 1009'!A157,DATEVALUE('Procyfloc 1009'!A157)),"")</f>
        <v/>
      </c>
      <c r="AC2656" t="str">
        <f>IF(AA2656="","",'Procyfloc 1009'!B157)</f>
        <v/>
      </c>
      <c r="AD2656" t="str">
        <f>IF(AA2656="","",IFERROR(1*'Procyfloc 1009'!C157,IFERROR(_xludf.NUMBERVALUE('Procyfloc 1009'!C157,".",","),IFERROR(_xludf.NUMBERVALUE('Procyfloc 1009'!C157,",","."),0))))</f>
        <v/>
      </c>
      <c r="AE2656" t="str">
        <f>IF(AA2656="","",'Procyfloc 1009'!L157)</f>
        <v/>
      </c>
      <c r="AF2656">
        <f t="shared" si="263"/>
        <v>0</v>
      </c>
      <c r="AG2656" t="str">
        <f t="shared" si="264"/>
        <v/>
      </c>
      <c r="AH2656" t="str">
        <f t="shared" si="265"/>
        <v/>
      </c>
      <c r="AI2656">
        <f t="shared" si="266"/>
        <v>0</v>
      </c>
      <c r="AJ2656">
        <f t="shared" si="267"/>
        <v>0</v>
      </c>
      <c r="AK2656">
        <v>0</v>
      </c>
      <c r="AL2656" t="str">
        <f>IF(AA2656="","",IFERROR(IF(ISNUMBER('Procyfloc 1009'!D157),'Procyfloc 1009'!D157,IF(ISNUMBER(SEARCH("12",'Procyfloc 1009'!D157)),EDATE(AB2656,12),IF(ISNUMBER(SEARCH("6",'Procyfloc 1009'!D157)),EDATE(AB2656,6),IF(ISNUMBER(SEARCH("3",'Procyfloc 1009'!D157)),EDATE(AB2656,3),DATEVALUE('Procyfloc 1009'!D157))))),""))</f>
        <v/>
      </c>
      <c r="AM2656" t="str">
        <f t="shared" ca="1" si="268"/>
        <v/>
      </c>
    </row>
    <row r="2657" spans="27:39" x14ac:dyDescent="0.3">
      <c r="AA2657" t="str">
        <f>IF(COUNTA('Procyfloc 1009'!A158,'Procyfloc 1009'!B158,'Procyfloc 1009'!C158)&gt;0,"1009","")</f>
        <v/>
      </c>
      <c r="AB2657" t="str">
        <f>IFERROR(IF(ISNUMBER('Procyfloc 1009'!A158),'Procyfloc 1009'!A158,DATEVALUE('Procyfloc 1009'!A158)),"")</f>
        <v/>
      </c>
      <c r="AC2657" t="str">
        <f>IF(AA2657="","",'Procyfloc 1009'!B158)</f>
        <v/>
      </c>
      <c r="AD2657" t="str">
        <f>IF(AA2657="","",IFERROR(1*'Procyfloc 1009'!C158,IFERROR(_xludf.NUMBERVALUE('Procyfloc 1009'!C158,".",","),IFERROR(_xludf.NUMBERVALUE('Procyfloc 1009'!C158,",","."),0))))</f>
        <v/>
      </c>
      <c r="AE2657" t="str">
        <f>IF(AA2657="","",'Procyfloc 1009'!L158)</f>
        <v/>
      </c>
      <c r="AF2657">
        <f t="shared" si="263"/>
        <v>0</v>
      </c>
      <c r="AG2657" t="str">
        <f t="shared" si="264"/>
        <v/>
      </c>
      <c r="AH2657" t="str">
        <f t="shared" si="265"/>
        <v/>
      </c>
      <c r="AI2657">
        <f t="shared" si="266"/>
        <v>0</v>
      </c>
      <c r="AJ2657">
        <f t="shared" si="267"/>
        <v>0</v>
      </c>
      <c r="AK2657">
        <v>0</v>
      </c>
      <c r="AL2657" t="str">
        <f>IF(AA2657="","",IFERROR(IF(ISNUMBER('Procyfloc 1009'!D158),'Procyfloc 1009'!D158,IF(ISNUMBER(SEARCH("12",'Procyfloc 1009'!D158)),EDATE(AB2657,12),IF(ISNUMBER(SEARCH("6",'Procyfloc 1009'!D158)),EDATE(AB2657,6),IF(ISNUMBER(SEARCH("3",'Procyfloc 1009'!D158)),EDATE(AB2657,3),DATEVALUE('Procyfloc 1009'!D158))))),""))</f>
        <v/>
      </c>
      <c r="AM2657" t="str">
        <f t="shared" ca="1" si="268"/>
        <v/>
      </c>
    </row>
    <row r="2658" spans="27:39" x14ac:dyDescent="0.3">
      <c r="AA2658" t="str">
        <f>IF(COUNTA('Procyfloc 1009'!A159,'Procyfloc 1009'!B159,'Procyfloc 1009'!C159)&gt;0,"1009","")</f>
        <v/>
      </c>
      <c r="AB2658" t="str">
        <f>IFERROR(IF(ISNUMBER('Procyfloc 1009'!A159),'Procyfloc 1009'!A159,DATEVALUE('Procyfloc 1009'!A159)),"")</f>
        <v/>
      </c>
      <c r="AC2658" t="str">
        <f>IF(AA2658="","",'Procyfloc 1009'!B159)</f>
        <v/>
      </c>
      <c r="AD2658" t="str">
        <f>IF(AA2658="","",IFERROR(1*'Procyfloc 1009'!C159,IFERROR(_xludf.NUMBERVALUE('Procyfloc 1009'!C159,".",","),IFERROR(_xludf.NUMBERVALUE('Procyfloc 1009'!C159,",","."),0))))</f>
        <v/>
      </c>
      <c r="AE2658" t="str">
        <f>IF(AA2658="","",'Procyfloc 1009'!L159)</f>
        <v/>
      </c>
      <c r="AF2658">
        <f t="shared" si="263"/>
        <v>0</v>
      </c>
      <c r="AG2658" t="str">
        <f t="shared" si="264"/>
        <v/>
      </c>
      <c r="AH2658" t="str">
        <f t="shared" si="265"/>
        <v/>
      </c>
      <c r="AI2658">
        <f t="shared" si="266"/>
        <v>0</v>
      </c>
      <c r="AJ2658">
        <f t="shared" si="267"/>
        <v>0</v>
      </c>
      <c r="AK2658">
        <v>0</v>
      </c>
      <c r="AL2658" t="str">
        <f>IF(AA2658="","",IFERROR(IF(ISNUMBER('Procyfloc 1009'!D159),'Procyfloc 1009'!D159,IF(ISNUMBER(SEARCH("12",'Procyfloc 1009'!D159)),EDATE(AB2658,12),IF(ISNUMBER(SEARCH("6",'Procyfloc 1009'!D159)),EDATE(AB2658,6),IF(ISNUMBER(SEARCH("3",'Procyfloc 1009'!D159)),EDATE(AB2658,3),DATEVALUE('Procyfloc 1009'!D159))))),""))</f>
        <v/>
      </c>
      <c r="AM2658" t="str">
        <f t="shared" ca="1" si="268"/>
        <v/>
      </c>
    </row>
    <row r="2659" spans="27:39" x14ac:dyDescent="0.3">
      <c r="AA2659" t="str">
        <f>IF(COUNTA('Procyfloc 1009'!A160,'Procyfloc 1009'!B160,'Procyfloc 1009'!C160)&gt;0,"1009","")</f>
        <v/>
      </c>
      <c r="AB2659" t="str">
        <f>IFERROR(IF(ISNUMBER('Procyfloc 1009'!A160),'Procyfloc 1009'!A160,DATEVALUE('Procyfloc 1009'!A160)),"")</f>
        <v/>
      </c>
      <c r="AC2659" t="str">
        <f>IF(AA2659="","",'Procyfloc 1009'!B160)</f>
        <v/>
      </c>
      <c r="AD2659" t="str">
        <f>IF(AA2659="","",IFERROR(1*'Procyfloc 1009'!C160,IFERROR(_xludf.NUMBERVALUE('Procyfloc 1009'!C160,".",","),IFERROR(_xludf.NUMBERVALUE('Procyfloc 1009'!C160,",","."),0))))</f>
        <v/>
      </c>
      <c r="AE2659" t="str">
        <f>IF(AA2659="","",'Procyfloc 1009'!L160)</f>
        <v/>
      </c>
      <c r="AF2659">
        <f t="shared" si="263"/>
        <v>0</v>
      </c>
      <c r="AG2659" t="str">
        <f t="shared" si="264"/>
        <v/>
      </c>
      <c r="AH2659" t="str">
        <f t="shared" si="265"/>
        <v/>
      </c>
      <c r="AI2659">
        <f t="shared" si="266"/>
        <v>0</v>
      </c>
      <c r="AJ2659">
        <f t="shared" si="267"/>
        <v>0</v>
      </c>
      <c r="AK2659">
        <v>0</v>
      </c>
      <c r="AL2659" t="str">
        <f>IF(AA2659="","",IFERROR(IF(ISNUMBER('Procyfloc 1009'!D160),'Procyfloc 1009'!D160,IF(ISNUMBER(SEARCH("12",'Procyfloc 1009'!D160)),EDATE(AB2659,12),IF(ISNUMBER(SEARCH("6",'Procyfloc 1009'!D160)),EDATE(AB2659,6),IF(ISNUMBER(SEARCH("3",'Procyfloc 1009'!D160)),EDATE(AB2659,3),DATEVALUE('Procyfloc 1009'!D160))))),""))</f>
        <v/>
      </c>
      <c r="AM2659" t="str">
        <f t="shared" ca="1" si="268"/>
        <v/>
      </c>
    </row>
    <row r="2660" spans="27:39" x14ac:dyDescent="0.3">
      <c r="AA2660" t="str">
        <f>IF(COUNTA('Procyfloc 1009'!A161,'Procyfloc 1009'!B161,'Procyfloc 1009'!C161)&gt;0,"1009","")</f>
        <v/>
      </c>
      <c r="AB2660" t="str">
        <f>IFERROR(IF(ISNUMBER('Procyfloc 1009'!A161),'Procyfloc 1009'!A161,DATEVALUE('Procyfloc 1009'!A161)),"")</f>
        <v/>
      </c>
      <c r="AC2660" t="str">
        <f>IF(AA2660="","",'Procyfloc 1009'!B161)</f>
        <v/>
      </c>
      <c r="AD2660" t="str">
        <f>IF(AA2660="","",IFERROR(1*'Procyfloc 1009'!C161,IFERROR(_xludf.NUMBERVALUE('Procyfloc 1009'!C161,".",","),IFERROR(_xludf.NUMBERVALUE('Procyfloc 1009'!C161,",","."),0))))</f>
        <v/>
      </c>
      <c r="AE2660" t="str">
        <f>IF(AA2660="","",'Procyfloc 1009'!L161)</f>
        <v/>
      </c>
      <c r="AF2660">
        <f t="shared" si="263"/>
        <v>0</v>
      </c>
      <c r="AG2660" t="str">
        <f t="shared" si="264"/>
        <v/>
      </c>
      <c r="AH2660" t="str">
        <f t="shared" si="265"/>
        <v/>
      </c>
      <c r="AI2660">
        <f t="shared" si="266"/>
        <v>0</v>
      </c>
      <c r="AJ2660">
        <f t="shared" si="267"/>
        <v>0</v>
      </c>
      <c r="AK2660">
        <v>0</v>
      </c>
      <c r="AL2660" t="str">
        <f>IF(AA2660="","",IFERROR(IF(ISNUMBER('Procyfloc 1009'!D161),'Procyfloc 1009'!D161,IF(ISNUMBER(SEARCH("12",'Procyfloc 1009'!D161)),EDATE(AB2660,12),IF(ISNUMBER(SEARCH("6",'Procyfloc 1009'!D161)),EDATE(AB2660,6),IF(ISNUMBER(SEARCH("3",'Procyfloc 1009'!D161)),EDATE(AB2660,3),DATEVALUE('Procyfloc 1009'!D161))))),""))</f>
        <v/>
      </c>
      <c r="AM2660" t="str">
        <f t="shared" ca="1" si="268"/>
        <v/>
      </c>
    </row>
    <row r="2661" spans="27:39" x14ac:dyDescent="0.3">
      <c r="AA2661" t="str">
        <f>IF(COUNTA('Procyfloc 1009'!A162,'Procyfloc 1009'!B162,'Procyfloc 1009'!C162)&gt;0,"1009","")</f>
        <v/>
      </c>
      <c r="AB2661" t="str">
        <f>IFERROR(IF(ISNUMBER('Procyfloc 1009'!A162),'Procyfloc 1009'!A162,DATEVALUE('Procyfloc 1009'!A162)),"")</f>
        <v/>
      </c>
      <c r="AC2661" t="str">
        <f>IF(AA2661="","",'Procyfloc 1009'!B162)</f>
        <v/>
      </c>
      <c r="AD2661" t="str">
        <f>IF(AA2661="","",IFERROR(1*'Procyfloc 1009'!C162,IFERROR(_xludf.NUMBERVALUE('Procyfloc 1009'!C162,".",","),IFERROR(_xludf.NUMBERVALUE('Procyfloc 1009'!C162,",","."),0))))</f>
        <v/>
      </c>
      <c r="AE2661" t="str">
        <f>IF(AA2661="","",'Procyfloc 1009'!L162)</f>
        <v/>
      </c>
      <c r="AF2661">
        <f t="shared" si="263"/>
        <v>0</v>
      </c>
      <c r="AG2661" t="str">
        <f t="shared" si="264"/>
        <v/>
      </c>
      <c r="AH2661" t="str">
        <f t="shared" si="265"/>
        <v/>
      </c>
      <c r="AI2661">
        <f t="shared" si="266"/>
        <v>0</v>
      </c>
      <c r="AJ2661">
        <f t="shared" si="267"/>
        <v>0</v>
      </c>
      <c r="AK2661">
        <v>0</v>
      </c>
      <c r="AL2661" t="str">
        <f>IF(AA2661="","",IFERROR(IF(ISNUMBER('Procyfloc 1009'!D162),'Procyfloc 1009'!D162,IF(ISNUMBER(SEARCH("12",'Procyfloc 1009'!D162)),EDATE(AB2661,12),IF(ISNUMBER(SEARCH("6",'Procyfloc 1009'!D162)),EDATE(AB2661,6),IF(ISNUMBER(SEARCH("3",'Procyfloc 1009'!D162)),EDATE(AB2661,3),DATEVALUE('Procyfloc 1009'!D162))))),""))</f>
        <v/>
      </c>
      <c r="AM2661" t="str">
        <f t="shared" ca="1" si="268"/>
        <v/>
      </c>
    </row>
    <row r="2662" spans="27:39" x14ac:dyDescent="0.3">
      <c r="AA2662" t="str">
        <f>IF(COUNTA('Procyfloc 1009'!A163,'Procyfloc 1009'!B163,'Procyfloc 1009'!C163)&gt;0,"1009","")</f>
        <v/>
      </c>
      <c r="AB2662" t="str">
        <f>IFERROR(IF(ISNUMBER('Procyfloc 1009'!A163),'Procyfloc 1009'!A163,DATEVALUE('Procyfloc 1009'!A163)),"")</f>
        <v/>
      </c>
      <c r="AC2662" t="str">
        <f>IF(AA2662="","",'Procyfloc 1009'!B163)</f>
        <v/>
      </c>
      <c r="AD2662" t="str">
        <f>IF(AA2662="","",IFERROR(1*'Procyfloc 1009'!C163,IFERROR(_xludf.NUMBERVALUE('Procyfloc 1009'!C163,".",","),IFERROR(_xludf.NUMBERVALUE('Procyfloc 1009'!C163,",","."),0))))</f>
        <v/>
      </c>
      <c r="AE2662" t="str">
        <f>IF(AA2662="","",'Procyfloc 1009'!L163)</f>
        <v/>
      </c>
      <c r="AF2662">
        <f t="shared" si="263"/>
        <v>0</v>
      </c>
      <c r="AG2662" t="str">
        <f t="shared" si="264"/>
        <v/>
      </c>
      <c r="AH2662" t="str">
        <f t="shared" si="265"/>
        <v/>
      </c>
      <c r="AI2662">
        <f t="shared" si="266"/>
        <v>0</v>
      </c>
      <c r="AJ2662">
        <f t="shared" si="267"/>
        <v>0</v>
      </c>
      <c r="AK2662">
        <v>0</v>
      </c>
      <c r="AL2662" t="str">
        <f>IF(AA2662="","",IFERROR(IF(ISNUMBER('Procyfloc 1009'!D163),'Procyfloc 1009'!D163,IF(ISNUMBER(SEARCH("12",'Procyfloc 1009'!D163)),EDATE(AB2662,12),IF(ISNUMBER(SEARCH("6",'Procyfloc 1009'!D163)),EDATE(AB2662,6),IF(ISNUMBER(SEARCH("3",'Procyfloc 1009'!D163)),EDATE(AB2662,3),DATEVALUE('Procyfloc 1009'!D163))))),""))</f>
        <v/>
      </c>
      <c r="AM2662" t="str">
        <f t="shared" ca="1" si="268"/>
        <v/>
      </c>
    </row>
    <row r="2663" spans="27:39" x14ac:dyDescent="0.3">
      <c r="AA2663" t="str">
        <f>IF(COUNTA('Procyfloc 1009'!A164,'Procyfloc 1009'!B164,'Procyfloc 1009'!C164)&gt;0,"1009","")</f>
        <v/>
      </c>
      <c r="AB2663" t="str">
        <f>IFERROR(IF(ISNUMBER('Procyfloc 1009'!A164),'Procyfloc 1009'!A164,DATEVALUE('Procyfloc 1009'!A164)),"")</f>
        <v/>
      </c>
      <c r="AC2663" t="str">
        <f>IF(AA2663="","",'Procyfloc 1009'!B164)</f>
        <v/>
      </c>
      <c r="AD2663" t="str">
        <f>IF(AA2663="","",IFERROR(1*'Procyfloc 1009'!C164,IFERROR(_xludf.NUMBERVALUE('Procyfloc 1009'!C164,".",","),IFERROR(_xludf.NUMBERVALUE('Procyfloc 1009'!C164,",","."),0))))</f>
        <v/>
      </c>
      <c r="AE2663" t="str">
        <f>IF(AA2663="","",'Procyfloc 1009'!L164)</f>
        <v/>
      </c>
      <c r="AF2663">
        <f t="shared" si="263"/>
        <v>0</v>
      </c>
      <c r="AG2663" t="str">
        <f t="shared" si="264"/>
        <v/>
      </c>
      <c r="AH2663" t="str">
        <f t="shared" si="265"/>
        <v/>
      </c>
      <c r="AI2663">
        <f t="shared" si="266"/>
        <v>0</v>
      </c>
      <c r="AJ2663">
        <f t="shared" si="267"/>
        <v>0</v>
      </c>
      <c r="AK2663">
        <v>0</v>
      </c>
      <c r="AL2663" t="str">
        <f>IF(AA2663="","",IFERROR(IF(ISNUMBER('Procyfloc 1009'!D164),'Procyfloc 1009'!D164,IF(ISNUMBER(SEARCH("12",'Procyfloc 1009'!D164)),EDATE(AB2663,12),IF(ISNUMBER(SEARCH("6",'Procyfloc 1009'!D164)),EDATE(AB2663,6),IF(ISNUMBER(SEARCH("3",'Procyfloc 1009'!D164)),EDATE(AB2663,3),DATEVALUE('Procyfloc 1009'!D164))))),""))</f>
        <v/>
      </c>
      <c r="AM2663" t="str">
        <f t="shared" ca="1" si="268"/>
        <v/>
      </c>
    </row>
    <row r="2664" spans="27:39" x14ac:dyDescent="0.3">
      <c r="AA2664" t="str">
        <f>IF(COUNTA('Procyfloc 1009'!A165,'Procyfloc 1009'!B165,'Procyfloc 1009'!C165)&gt;0,"1009","")</f>
        <v/>
      </c>
      <c r="AB2664" t="str">
        <f>IFERROR(IF(ISNUMBER('Procyfloc 1009'!A165),'Procyfloc 1009'!A165,DATEVALUE('Procyfloc 1009'!A165)),"")</f>
        <v/>
      </c>
      <c r="AC2664" t="str">
        <f>IF(AA2664="","",'Procyfloc 1009'!B165)</f>
        <v/>
      </c>
      <c r="AD2664" t="str">
        <f>IF(AA2664="","",IFERROR(1*'Procyfloc 1009'!C165,IFERROR(_xludf.NUMBERVALUE('Procyfloc 1009'!C165,".",","),IFERROR(_xludf.NUMBERVALUE('Procyfloc 1009'!C165,",","."),0))))</f>
        <v/>
      </c>
      <c r="AE2664" t="str">
        <f>IF(AA2664="","",'Procyfloc 1009'!L165)</f>
        <v/>
      </c>
      <c r="AF2664">
        <f t="shared" si="263"/>
        <v>0</v>
      </c>
      <c r="AG2664" t="str">
        <f t="shared" si="264"/>
        <v/>
      </c>
      <c r="AH2664" t="str">
        <f t="shared" si="265"/>
        <v/>
      </c>
      <c r="AI2664">
        <f t="shared" si="266"/>
        <v>0</v>
      </c>
      <c r="AJ2664">
        <f t="shared" si="267"/>
        <v>0</v>
      </c>
      <c r="AK2664">
        <v>0</v>
      </c>
      <c r="AL2664" t="str">
        <f>IF(AA2664="","",IFERROR(IF(ISNUMBER('Procyfloc 1009'!D165),'Procyfloc 1009'!D165,IF(ISNUMBER(SEARCH("12",'Procyfloc 1009'!D165)),EDATE(AB2664,12),IF(ISNUMBER(SEARCH("6",'Procyfloc 1009'!D165)),EDATE(AB2664,6),IF(ISNUMBER(SEARCH("3",'Procyfloc 1009'!D165)),EDATE(AB2664,3),DATEVALUE('Procyfloc 1009'!D165))))),""))</f>
        <v/>
      </c>
      <c r="AM2664" t="str">
        <f t="shared" ca="1" si="268"/>
        <v/>
      </c>
    </row>
    <row r="2665" spans="27:39" x14ac:dyDescent="0.3">
      <c r="AA2665" t="str">
        <f>IF(COUNTA('Procyfloc 1009'!A166,'Procyfloc 1009'!B166,'Procyfloc 1009'!C166)&gt;0,"1009","")</f>
        <v/>
      </c>
      <c r="AB2665" t="str">
        <f>IFERROR(IF(ISNUMBER('Procyfloc 1009'!A166),'Procyfloc 1009'!A166,DATEVALUE('Procyfloc 1009'!A166)),"")</f>
        <v/>
      </c>
      <c r="AC2665" t="str">
        <f>IF(AA2665="","",'Procyfloc 1009'!B166)</f>
        <v/>
      </c>
      <c r="AD2665" t="str">
        <f>IF(AA2665="","",IFERROR(1*'Procyfloc 1009'!C166,IFERROR(_xludf.NUMBERVALUE('Procyfloc 1009'!C166,".",","),IFERROR(_xludf.NUMBERVALUE('Procyfloc 1009'!C166,",","."),0))))</f>
        <v/>
      </c>
      <c r="AE2665" t="str">
        <f>IF(AA2665="","",'Procyfloc 1009'!L166)</f>
        <v/>
      </c>
      <c r="AF2665">
        <f t="shared" si="263"/>
        <v>0</v>
      </c>
      <c r="AG2665" t="str">
        <f t="shared" si="264"/>
        <v/>
      </c>
      <c r="AH2665" t="str">
        <f t="shared" si="265"/>
        <v/>
      </c>
      <c r="AI2665">
        <f t="shared" si="266"/>
        <v>0</v>
      </c>
      <c r="AJ2665">
        <f t="shared" si="267"/>
        <v>0</v>
      </c>
      <c r="AK2665">
        <v>0</v>
      </c>
      <c r="AL2665" t="str">
        <f>IF(AA2665="","",IFERROR(IF(ISNUMBER('Procyfloc 1009'!D166),'Procyfloc 1009'!D166,IF(ISNUMBER(SEARCH("12",'Procyfloc 1009'!D166)),EDATE(AB2665,12),IF(ISNUMBER(SEARCH("6",'Procyfloc 1009'!D166)),EDATE(AB2665,6),IF(ISNUMBER(SEARCH("3",'Procyfloc 1009'!D166)),EDATE(AB2665,3),DATEVALUE('Procyfloc 1009'!D166))))),""))</f>
        <v/>
      </c>
      <c r="AM2665" t="str">
        <f t="shared" ca="1" si="268"/>
        <v/>
      </c>
    </row>
    <row r="2666" spans="27:39" x14ac:dyDescent="0.3">
      <c r="AA2666" t="str">
        <f>IF(COUNTA('Procyfloc 1009'!A167,'Procyfloc 1009'!B167,'Procyfloc 1009'!C167)&gt;0,"1009","")</f>
        <v/>
      </c>
      <c r="AB2666" t="str">
        <f>IFERROR(IF(ISNUMBER('Procyfloc 1009'!A167),'Procyfloc 1009'!A167,DATEVALUE('Procyfloc 1009'!A167)),"")</f>
        <v/>
      </c>
      <c r="AC2666" t="str">
        <f>IF(AA2666="","",'Procyfloc 1009'!B167)</f>
        <v/>
      </c>
      <c r="AD2666" t="str">
        <f>IF(AA2666="","",IFERROR(1*'Procyfloc 1009'!C167,IFERROR(_xludf.NUMBERVALUE('Procyfloc 1009'!C167,".",","),IFERROR(_xludf.NUMBERVALUE('Procyfloc 1009'!C167,",","."),0))))</f>
        <v/>
      </c>
      <c r="AE2666" t="str">
        <f>IF(AA2666="","",'Procyfloc 1009'!L167)</f>
        <v/>
      </c>
      <c r="AF2666">
        <f t="shared" si="263"/>
        <v>0</v>
      </c>
      <c r="AG2666" t="str">
        <f t="shared" si="264"/>
        <v/>
      </c>
      <c r="AH2666" t="str">
        <f t="shared" si="265"/>
        <v/>
      </c>
      <c r="AI2666">
        <f t="shared" si="266"/>
        <v>0</v>
      </c>
      <c r="AJ2666">
        <f t="shared" si="267"/>
        <v>0</v>
      </c>
      <c r="AK2666">
        <v>0</v>
      </c>
      <c r="AL2666" t="str">
        <f>IF(AA2666="","",IFERROR(IF(ISNUMBER('Procyfloc 1009'!D167),'Procyfloc 1009'!D167,IF(ISNUMBER(SEARCH("12",'Procyfloc 1009'!D167)),EDATE(AB2666,12),IF(ISNUMBER(SEARCH("6",'Procyfloc 1009'!D167)),EDATE(AB2666,6),IF(ISNUMBER(SEARCH("3",'Procyfloc 1009'!D167)),EDATE(AB2666,3),DATEVALUE('Procyfloc 1009'!D167))))),""))</f>
        <v/>
      </c>
      <c r="AM2666" t="str">
        <f t="shared" ca="1" si="268"/>
        <v/>
      </c>
    </row>
    <row r="2667" spans="27:39" x14ac:dyDescent="0.3">
      <c r="AA2667" t="str">
        <f>IF(COUNTA('Procyfloc 1009'!A168,'Procyfloc 1009'!B168,'Procyfloc 1009'!C168)&gt;0,"1009","")</f>
        <v/>
      </c>
      <c r="AB2667" t="str">
        <f>IFERROR(IF(ISNUMBER('Procyfloc 1009'!A168),'Procyfloc 1009'!A168,DATEVALUE('Procyfloc 1009'!A168)),"")</f>
        <v/>
      </c>
      <c r="AC2667" t="str">
        <f>IF(AA2667="","",'Procyfloc 1009'!B168)</f>
        <v/>
      </c>
      <c r="AD2667" t="str">
        <f>IF(AA2667="","",IFERROR(1*'Procyfloc 1009'!C168,IFERROR(_xludf.NUMBERVALUE('Procyfloc 1009'!C168,".",","),IFERROR(_xludf.NUMBERVALUE('Procyfloc 1009'!C168,",","."),0))))</f>
        <v/>
      </c>
      <c r="AE2667" t="str">
        <f>IF(AA2667="","",'Procyfloc 1009'!L168)</f>
        <v/>
      </c>
      <c r="AF2667">
        <f t="shared" si="263"/>
        <v>0</v>
      </c>
      <c r="AG2667" t="str">
        <f t="shared" si="264"/>
        <v/>
      </c>
      <c r="AH2667" t="str">
        <f t="shared" si="265"/>
        <v/>
      </c>
      <c r="AI2667">
        <f t="shared" si="266"/>
        <v>0</v>
      </c>
      <c r="AJ2667">
        <f t="shared" si="267"/>
        <v>0</v>
      </c>
      <c r="AK2667">
        <v>0</v>
      </c>
      <c r="AL2667" t="str">
        <f>IF(AA2667="","",IFERROR(IF(ISNUMBER('Procyfloc 1009'!D168),'Procyfloc 1009'!D168,IF(ISNUMBER(SEARCH("12",'Procyfloc 1009'!D168)),EDATE(AB2667,12),IF(ISNUMBER(SEARCH("6",'Procyfloc 1009'!D168)),EDATE(AB2667,6),IF(ISNUMBER(SEARCH("3",'Procyfloc 1009'!D168)),EDATE(AB2667,3),DATEVALUE('Procyfloc 1009'!D168))))),""))</f>
        <v/>
      </c>
      <c r="AM2667" t="str">
        <f t="shared" ca="1" si="268"/>
        <v/>
      </c>
    </row>
    <row r="2668" spans="27:39" x14ac:dyDescent="0.3">
      <c r="AA2668" t="str">
        <f>IF(COUNTA('Procyfloc 1009'!A169,'Procyfloc 1009'!B169,'Procyfloc 1009'!C169)&gt;0,"1009","")</f>
        <v/>
      </c>
      <c r="AB2668" t="str">
        <f>IFERROR(IF(ISNUMBER('Procyfloc 1009'!A169),'Procyfloc 1009'!A169,DATEVALUE('Procyfloc 1009'!A169)),"")</f>
        <v/>
      </c>
      <c r="AC2668" t="str">
        <f>IF(AA2668="","",'Procyfloc 1009'!B169)</f>
        <v/>
      </c>
      <c r="AD2668" t="str">
        <f>IF(AA2668="","",IFERROR(1*'Procyfloc 1009'!C169,IFERROR(_xludf.NUMBERVALUE('Procyfloc 1009'!C169,".",","),IFERROR(_xludf.NUMBERVALUE('Procyfloc 1009'!C169,",","."),0))))</f>
        <v/>
      </c>
      <c r="AE2668" t="str">
        <f>IF(AA2668="","",'Procyfloc 1009'!L169)</f>
        <v/>
      </c>
      <c r="AF2668">
        <f t="shared" si="263"/>
        <v>0</v>
      </c>
      <c r="AG2668" t="str">
        <f t="shared" si="264"/>
        <v/>
      </c>
      <c r="AH2668" t="str">
        <f t="shared" si="265"/>
        <v/>
      </c>
      <c r="AI2668">
        <f t="shared" si="266"/>
        <v>0</v>
      </c>
      <c r="AJ2668">
        <f t="shared" si="267"/>
        <v>0</v>
      </c>
      <c r="AK2668">
        <v>0</v>
      </c>
      <c r="AL2668" t="str">
        <f>IF(AA2668="","",IFERROR(IF(ISNUMBER('Procyfloc 1009'!D169),'Procyfloc 1009'!D169,IF(ISNUMBER(SEARCH("12",'Procyfloc 1009'!D169)),EDATE(AB2668,12),IF(ISNUMBER(SEARCH("6",'Procyfloc 1009'!D169)),EDATE(AB2668,6),IF(ISNUMBER(SEARCH("3",'Procyfloc 1009'!D169)),EDATE(AB2668,3),DATEVALUE('Procyfloc 1009'!D169))))),""))</f>
        <v/>
      </c>
      <c r="AM2668" t="str">
        <f t="shared" ca="1" si="268"/>
        <v/>
      </c>
    </row>
    <row r="2669" spans="27:39" x14ac:dyDescent="0.3">
      <c r="AA2669" t="str">
        <f>IF(COUNTA('Procyfloc 1009'!A170,'Procyfloc 1009'!B170,'Procyfloc 1009'!C170)&gt;0,"1009","")</f>
        <v/>
      </c>
      <c r="AB2669" t="str">
        <f>IFERROR(IF(ISNUMBER('Procyfloc 1009'!A170),'Procyfloc 1009'!A170,DATEVALUE('Procyfloc 1009'!A170)),"")</f>
        <v/>
      </c>
      <c r="AC2669" t="str">
        <f>IF(AA2669="","",'Procyfloc 1009'!B170)</f>
        <v/>
      </c>
      <c r="AD2669" t="str">
        <f>IF(AA2669="","",IFERROR(1*'Procyfloc 1009'!C170,IFERROR(_xludf.NUMBERVALUE('Procyfloc 1009'!C170,".",","),IFERROR(_xludf.NUMBERVALUE('Procyfloc 1009'!C170,",","."),0))))</f>
        <v/>
      </c>
      <c r="AE2669" t="str">
        <f>IF(AA2669="","",'Procyfloc 1009'!L170)</f>
        <v/>
      </c>
      <c r="AF2669">
        <f t="shared" si="263"/>
        <v>0</v>
      </c>
      <c r="AG2669" t="str">
        <f t="shared" si="264"/>
        <v/>
      </c>
      <c r="AH2669" t="str">
        <f t="shared" si="265"/>
        <v/>
      </c>
      <c r="AI2669">
        <f t="shared" si="266"/>
        <v>0</v>
      </c>
      <c r="AJ2669">
        <f t="shared" si="267"/>
        <v>0</v>
      </c>
      <c r="AK2669">
        <v>0</v>
      </c>
      <c r="AL2669" t="str">
        <f>IF(AA2669="","",IFERROR(IF(ISNUMBER('Procyfloc 1009'!D170),'Procyfloc 1009'!D170,IF(ISNUMBER(SEARCH("12",'Procyfloc 1009'!D170)),EDATE(AB2669,12),IF(ISNUMBER(SEARCH("6",'Procyfloc 1009'!D170)),EDATE(AB2669,6),IF(ISNUMBER(SEARCH("3",'Procyfloc 1009'!D170)),EDATE(AB2669,3),DATEVALUE('Procyfloc 1009'!D170))))),""))</f>
        <v/>
      </c>
      <c r="AM2669" t="str">
        <f t="shared" ca="1" si="268"/>
        <v/>
      </c>
    </row>
    <row r="2670" spans="27:39" x14ac:dyDescent="0.3">
      <c r="AA2670" t="str">
        <f>IF(COUNTA('Procyfloc 1009'!A171,'Procyfloc 1009'!B171,'Procyfloc 1009'!C171)&gt;0,"1009","")</f>
        <v/>
      </c>
      <c r="AB2670" t="str">
        <f>IFERROR(IF(ISNUMBER('Procyfloc 1009'!A171),'Procyfloc 1009'!A171,DATEVALUE('Procyfloc 1009'!A171)),"")</f>
        <v/>
      </c>
      <c r="AC2670" t="str">
        <f>IF(AA2670="","",'Procyfloc 1009'!B171)</f>
        <v/>
      </c>
      <c r="AD2670" t="str">
        <f>IF(AA2670="","",IFERROR(1*'Procyfloc 1009'!C171,IFERROR(_xludf.NUMBERVALUE('Procyfloc 1009'!C171,".",","),IFERROR(_xludf.NUMBERVALUE('Procyfloc 1009'!C171,",","."),0))))</f>
        <v/>
      </c>
      <c r="AE2670" t="str">
        <f>IF(AA2670="","",'Procyfloc 1009'!L171)</f>
        <v/>
      </c>
      <c r="AF2670">
        <f t="shared" si="263"/>
        <v>0</v>
      </c>
      <c r="AG2670" t="str">
        <f t="shared" si="264"/>
        <v/>
      </c>
      <c r="AH2670" t="str">
        <f t="shared" si="265"/>
        <v/>
      </c>
      <c r="AI2670">
        <f t="shared" si="266"/>
        <v>0</v>
      </c>
      <c r="AJ2670">
        <f t="shared" si="267"/>
        <v>0</v>
      </c>
      <c r="AK2670">
        <v>0</v>
      </c>
      <c r="AL2670" t="str">
        <f>IF(AA2670="","",IFERROR(IF(ISNUMBER('Procyfloc 1009'!D171),'Procyfloc 1009'!D171,IF(ISNUMBER(SEARCH("12",'Procyfloc 1009'!D171)),EDATE(AB2670,12),IF(ISNUMBER(SEARCH("6",'Procyfloc 1009'!D171)),EDATE(AB2670,6),IF(ISNUMBER(SEARCH("3",'Procyfloc 1009'!D171)),EDATE(AB2670,3),DATEVALUE('Procyfloc 1009'!D171))))),""))</f>
        <v/>
      </c>
      <c r="AM2670" t="str">
        <f t="shared" ca="1" si="268"/>
        <v/>
      </c>
    </row>
    <row r="2671" spans="27:39" x14ac:dyDescent="0.3">
      <c r="AA2671" t="str">
        <f>IF(COUNTA('Procyfloc 1009'!A172,'Procyfloc 1009'!B172,'Procyfloc 1009'!C172)&gt;0,"1009","")</f>
        <v/>
      </c>
      <c r="AB2671" t="str">
        <f>IFERROR(IF(ISNUMBER('Procyfloc 1009'!A172),'Procyfloc 1009'!A172,DATEVALUE('Procyfloc 1009'!A172)),"")</f>
        <v/>
      </c>
      <c r="AC2671" t="str">
        <f>IF(AA2671="","",'Procyfloc 1009'!B172)</f>
        <v/>
      </c>
      <c r="AD2671" t="str">
        <f>IF(AA2671="","",IFERROR(1*'Procyfloc 1009'!C172,IFERROR(_xludf.NUMBERVALUE('Procyfloc 1009'!C172,".",","),IFERROR(_xludf.NUMBERVALUE('Procyfloc 1009'!C172,",","."),0))))</f>
        <v/>
      </c>
      <c r="AE2671" t="str">
        <f>IF(AA2671="","",'Procyfloc 1009'!L172)</f>
        <v/>
      </c>
      <c r="AF2671">
        <f t="shared" si="263"/>
        <v>0</v>
      </c>
      <c r="AG2671" t="str">
        <f t="shared" si="264"/>
        <v/>
      </c>
      <c r="AH2671" t="str">
        <f t="shared" si="265"/>
        <v/>
      </c>
      <c r="AI2671">
        <f t="shared" si="266"/>
        <v>0</v>
      </c>
      <c r="AJ2671">
        <f t="shared" si="267"/>
        <v>0</v>
      </c>
      <c r="AK2671">
        <v>0</v>
      </c>
      <c r="AL2671" t="str">
        <f>IF(AA2671="","",IFERROR(IF(ISNUMBER('Procyfloc 1009'!D172),'Procyfloc 1009'!D172,IF(ISNUMBER(SEARCH("12",'Procyfloc 1009'!D172)),EDATE(AB2671,12),IF(ISNUMBER(SEARCH("6",'Procyfloc 1009'!D172)),EDATE(AB2671,6),IF(ISNUMBER(SEARCH("3",'Procyfloc 1009'!D172)),EDATE(AB2671,3),DATEVALUE('Procyfloc 1009'!D172))))),""))</f>
        <v/>
      </c>
      <c r="AM2671" t="str">
        <f t="shared" ca="1" si="268"/>
        <v/>
      </c>
    </row>
    <row r="2672" spans="27:39" x14ac:dyDescent="0.3">
      <c r="AA2672" t="str">
        <f>IF(COUNTA('Procyfloc 1009'!A173,'Procyfloc 1009'!B173,'Procyfloc 1009'!C173)&gt;0,"1009","")</f>
        <v/>
      </c>
      <c r="AB2672" t="str">
        <f>IFERROR(IF(ISNUMBER('Procyfloc 1009'!A173),'Procyfloc 1009'!A173,DATEVALUE('Procyfloc 1009'!A173)),"")</f>
        <v/>
      </c>
      <c r="AC2672" t="str">
        <f>IF(AA2672="","",'Procyfloc 1009'!B173)</f>
        <v/>
      </c>
      <c r="AD2672" t="str">
        <f>IF(AA2672="","",IFERROR(1*'Procyfloc 1009'!C173,IFERROR(_xludf.NUMBERVALUE('Procyfloc 1009'!C173,".",","),IFERROR(_xludf.NUMBERVALUE('Procyfloc 1009'!C173,",","."),0))))</f>
        <v/>
      </c>
      <c r="AE2672" t="str">
        <f>IF(AA2672="","",'Procyfloc 1009'!L173)</f>
        <v/>
      </c>
      <c r="AF2672">
        <f t="shared" si="263"/>
        <v>0</v>
      </c>
      <c r="AG2672" t="str">
        <f t="shared" si="264"/>
        <v/>
      </c>
      <c r="AH2672" t="str">
        <f t="shared" si="265"/>
        <v/>
      </c>
      <c r="AI2672">
        <f t="shared" si="266"/>
        <v>0</v>
      </c>
      <c r="AJ2672">
        <f t="shared" si="267"/>
        <v>0</v>
      </c>
      <c r="AK2672">
        <v>0</v>
      </c>
      <c r="AL2672" t="str">
        <f>IF(AA2672="","",IFERROR(IF(ISNUMBER('Procyfloc 1009'!D173),'Procyfloc 1009'!D173,IF(ISNUMBER(SEARCH("12",'Procyfloc 1009'!D173)),EDATE(AB2672,12),IF(ISNUMBER(SEARCH("6",'Procyfloc 1009'!D173)),EDATE(AB2672,6),IF(ISNUMBER(SEARCH("3",'Procyfloc 1009'!D173)),EDATE(AB2672,3),DATEVALUE('Procyfloc 1009'!D173))))),""))</f>
        <v/>
      </c>
      <c r="AM2672" t="str">
        <f t="shared" ca="1" si="268"/>
        <v/>
      </c>
    </row>
    <row r="2673" spans="27:39" x14ac:dyDescent="0.3">
      <c r="AA2673" t="str">
        <f>IF(COUNTA('Procyfloc 1009'!A174,'Procyfloc 1009'!B174,'Procyfloc 1009'!C174)&gt;0,"1009","")</f>
        <v/>
      </c>
      <c r="AB2673" t="str">
        <f>IFERROR(IF(ISNUMBER('Procyfloc 1009'!A174),'Procyfloc 1009'!A174,DATEVALUE('Procyfloc 1009'!A174)),"")</f>
        <v/>
      </c>
      <c r="AC2673" t="str">
        <f>IF(AA2673="","",'Procyfloc 1009'!B174)</f>
        <v/>
      </c>
      <c r="AD2673" t="str">
        <f>IF(AA2673="","",IFERROR(1*'Procyfloc 1009'!C174,IFERROR(_xludf.NUMBERVALUE('Procyfloc 1009'!C174,".",","),IFERROR(_xludf.NUMBERVALUE('Procyfloc 1009'!C174,",","."),0))))</f>
        <v/>
      </c>
      <c r="AE2673" t="str">
        <f>IF(AA2673="","",'Procyfloc 1009'!L174)</f>
        <v/>
      </c>
      <c r="AF2673">
        <f t="shared" si="263"/>
        <v>0</v>
      </c>
      <c r="AG2673" t="str">
        <f t="shared" si="264"/>
        <v/>
      </c>
      <c r="AH2673" t="str">
        <f t="shared" si="265"/>
        <v/>
      </c>
      <c r="AI2673">
        <f t="shared" si="266"/>
        <v>0</v>
      </c>
      <c r="AJ2673">
        <f t="shared" si="267"/>
        <v>0</v>
      </c>
      <c r="AK2673">
        <v>0</v>
      </c>
      <c r="AL2673" t="str">
        <f>IF(AA2673="","",IFERROR(IF(ISNUMBER('Procyfloc 1009'!D174),'Procyfloc 1009'!D174,IF(ISNUMBER(SEARCH("12",'Procyfloc 1009'!D174)),EDATE(AB2673,12),IF(ISNUMBER(SEARCH("6",'Procyfloc 1009'!D174)),EDATE(AB2673,6),IF(ISNUMBER(SEARCH("3",'Procyfloc 1009'!D174)),EDATE(AB2673,3),DATEVALUE('Procyfloc 1009'!D174))))),""))</f>
        <v/>
      </c>
      <c r="AM2673" t="str">
        <f t="shared" ca="1" si="268"/>
        <v/>
      </c>
    </row>
    <row r="2674" spans="27:39" x14ac:dyDescent="0.3">
      <c r="AA2674" t="str">
        <f>IF(COUNTA('Procyfloc 1009'!A175,'Procyfloc 1009'!B175,'Procyfloc 1009'!C175)&gt;0,"1009","")</f>
        <v/>
      </c>
      <c r="AB2674" t="str">
        <f>IFERROR(IF(ISNUMBER('Procyfloc 1009'!A175),'Procyfloc 1009'!A175,DATEVALUE('Procyfloc 1009'!A175)),"")</f>
        <v/>
      </c>
      <c r="AC2674" t="str">
        <f>IF(AA2674="","",'Procyfloc 1009'!B175)</f>
        <v/>
      </c>
      <c r="AD2674" t="str">
        <f>IF(AA2674="","",IFERROR(1*'Procyfloc 1009'!C175,IFERROR(_xludf.NUMBERVALUE('Procyfloc 1009'!C175,".",","),IFERROR(_xludf.NUMBERVALUE('Procyfloc 1009'!C175,",","."),0))))</f>
        <v/>
      </c>
      <c r="AE2674" t="str">
        <f>IF(AA2674="","",'Procyfloc 1009'!L175)</f>
        <v/>
      </c>
      <c r="AF2674">
        <f t="shared" si="263"/>
        <v>0</v>
      </c>
      <c r="AG2674" t="str">
        <f t="shared" si="264"/>
        <v/>
      </c>
      <c r="AH2674" t="str">
        <f t="shared" si="265"/>
        <v/>
      </c>
      <c r="AI2674">
        <f t="shared" si="266"/>
        <v>0</v>
      </c>
      <c r="AJ2674">
        <f t="shared" si="267"/>
        <v>0</v>
      </c>
      <c r="AK2674">
        <v>0</v>
      </c>
      <c r="AL2674" t="str">
        <f>IF(AA2674="","",IFERROR(IF(ISNUMBER('Procyfloc 1009'!D175),'Procyfloc 1009'!D175,IF(ISNUMBER(SEARCH("12",'Procyfloc 1009'!D175)),EDATE(AB2674,12),IF(ISNUMBER(SEARCH("6",'Procyfloc 1009'!D175)),EDATE(AB2674,6),IF(ISNUMBER(SEARCH("3",'Procyfloc 1009'!D175)),EDATE(AB2674,3),DATEVALUE('Procyfloc 1009'!D175))))),""))</f>
        <v/>
      </c>
      <c r="AM2674" t="str">
        <f t="shared" ca="1" si="268"/>
        <v/>
      </c>
    </row>
    <row r="2675" spans="27:39" x14ac:dyDescent="0.3">
      <c r="AA2675" t="str">
        <f>IF(COUNTA('Procyfloc 1009'!A176,'Procyfloc 1009'!B176,'Procyfloc 1009'!C176)&gt;0,"1009","")</f>
        <v/>
      </c>
      <c r="AB2675" t="str">
        <f>IFERROR(IF(ISNUMBER('Procyfloc 1009'!A176),'Procyfloc 1009'!A176,DATEVALUE('Procyfloc 1009'!A176)),"")</f>
        <v/>
      </c>
      <c r="AC2675" t="str">
        <f>IF(AA2675="","",'Procyfloc 1009'!B176)</f>
        <v/>
      </c>
      <c r="AD2675" t="str">
        <f>IF(AA2675="","",IFERROR(1*'Procyfloc 1009'!C176,IFERROR(_xludf.NUMBERVALUE('Procyfloc 1009'!C176,".",","),IFERROR(_xludf.NUMBERVALUE('Procyfloc 1009'!C176,",","."),0))))</f>
        <v/>
      </c>
      <c r="AE2675" t="str">
        <f>IF(AA2675="","",'Procyfloc 1009'!L176)</f>
        <v/>
      </c>
      <c r="AF2675">
        <f t="shared" si="263"/>
        <v>0</v>
      </c>
      <c r="AG2675" t="str">
        <f t="shared" si="264"/>
        <v/>
      </c>
      <c r="AH2675" t="str">
        <f t="shared" si="265"/>
        <v/>
      </c>
      <c r="AI2675">
        <f t="shared" si="266"/>
        <v>0</v>
      </c>
      <c r="AJ2675">
        <f t="shared" si="267"/>
        <v>0</v>
      </c>
      <c r="AK2675">
        <v>0</v>
      </c>
      <c r="AL2675" t="str">
        <f>IF(AA2675="","",IFERROR(IF(ISNUMBER('Procyfloc 1009'!D176),'Procyfloc 1009'!D176,IF(ISNUMBER(SEARCH("12",'Procyfloc 1009'!D176)),EDATE(AB2675,12),IF(ISNUMBER(SEARCH("6",'Procyfloc 1009'!D176)),EDATE(AB2675,6),IF(ISNUMBER(SEARCH("3",'Procyfloc 1009'!D176)),EDATE(AB2675,3),DATEVALUE('Procyfloc 1009'!D176))))),""))</f>
        <v/>
      </c>
      <c r="AM2675" t="str">
        <f t="shared" ca="1" si="268"/>
        <v/>
      </c>
    </row>
    <row r="2676" spans="27:39" x14ac:dyDescent="0.3">
      <c r="AA2676" t="str">
        <f>IF(COUNTA('Procyfloc 1009'!A177,'Procyfloc 1009'!B177,'Procyfloc 1009'!C177)&gt;0,"1009","")</f>
        <v/>
      </c>
      <c r="AB2676" t="str">
        <f>IFERROR(IF(ISNUMBER('Procyfloc 1009'!A177),'Procyfloc 1009'!A177,DATEVALUE('Procyfloc 1009'!A177)),"")</f>
        <v/>
      </c>
      <c r="AC2676" t="str">
        <f>IF(AA2676="","",'Procyfloc 1009'!B177)</f>
        <v/>
      </c>
      <c r="AD2676" t="str">
        <f>IF(AA2676="","",IFERROR(1*'Procyfloc 1009'!C177,IFERROR(_xludf.NUMBERVALUE('Procyfloc 1009'!C177,".",","),IFERROR(_xludf.NUMBERVALUE('Procyfloc 1009'!C177,",","."),0))))</f>
        <v/>
      </c>
      <c r="AE2676" t="str">
        <f>IF(AA2676="","",'Procyfloc 1009'!L177)</f>
        <v/>
      </c>
      <c r="AF2676">
        <f t="shared" si="263"/>
        <v>0</v>
      </c>
      <c r="AG2676" t="str">
        <f t="shared" si="264"/>
        <v/>
      </c>
      <c r="AH2676" t="str">
        <f t="shared" si="265"/>
        <v/>
      </c>
      <c r="AI2676">
        <f t="shared" si="266"/>
        <v>0</v>
      </c>
      <c r="AJ2676">
        <f t="shared" si="267"/>
        <v>0</v>
      </c>
      <c r="AK2676">
        <v>0</v>
      </c>
      <c r="AL2676" t="str">
        <f>IF(AA2676="","",IFERROR(IF(ISNUMBER('Procyfloc 1009'!D177),'Procyfloc 1009'!D177,IF(ISNUMBER(SEARCH("12",'Procyfloc 1009'!D177)),EDATE(AB2676,12),IF(ISNUMBER(SEARCH("6",'Procyfloc 1009'!D177)),EDATE(AB2676,6),IF(ISNUMBER(SEARCH("3",'Procyfloc 1009'!D177)),EDATE(AB2676,3),DATEVALUE('Procyfloc 1009'!D177))))),""))</f>
        <v/>
      </c>
      <c r="AM2676" t="str">
        <f t="shared" ca="1" si="268"/>
        <v/>
      </c>
    </row>
    <row r="2677" spans="27:39" x14ac:dyDescent="0.3">
      <c r="AA2677" t="str">
        <f>IF(COUNTA('Procyfloc 1009'!A178,'Procyfloc 1009'!B178,'Procyfloc 1009'!C178)&gt;0,"1009","")</f>
        <v/>
      </c>
      <c r="AB2677" t="str">
        <f>IFERROR(IF(ISNUMBER('Procyfloc 1009'!A178),'Procyfloc 1009'!A178,DATEVALUE('Procyfloc 1009'!A178)),"")</f>
        <v/>
      </c>
      <c r="AC2677" t="str">
        <f>IF(AA2677="","",'Procyfloc 1009'!B178)</f>
        <v/>
      </c>
      <c r="AD2677" t="str">
        <f>IF(AA2677="","",IFERROR(1*'Procyfloc 1009'!C178,IFERROR(_xludf.NUMBERVALUE('Procyfloc 1009'!C178,".",","),IFERROR(_xludf.NUMBERVALUE('Procyfloc 1009'!C178,",","."),0))))</f>
        <v/>
      </c>
      <c r="AE2677" t="str">
        <f>IF(AA2677="","",'Procyfloc 1009'!L178)</f>
        <v/>
      </c>
      <c r="AF2677">
        <f t="shared" si="263"/>
        <v>0</v>
      </c>
      <c r="AG2677" t="str">
        <f t="shared" si="264"/>
        <v/>
      </c>
      <c r="AH2677" t="str">
        <f t="shared" si="265"/>
        <v/>
      </c>
      <c r="AI2677">
        <f t="shared" si="266"/>
        <v>0</v>
      </c>
      <c r="AJ2677">
        <f t="shared" si="267"/>
        <v>0</v>
      </c>
      <c r="AK2677">
        <v>0</v>
      </c>
      <c r="AL2677" t="str">
        <f>IF(AA2677="","",IFERROR(IF(ISNUMBER('Procyfloc 1009'!D178),'Procyfloc 1009'!D178,IF(ISNUMBER(SEARCH("12",'Procyfloc 1009'!D178)),EDATE(AB2677,12),IF(ISNUMBER(SEARCH("6",'Procyfloc 1009'!D178)),EDATE(AB2677,6),IF(ISNUMBER(SEARCH("3",'Procyfloc 1009'!D178)),EDATE(AB2677,3),DATEVALUE('Procyfloc 1009'!D178))))),""))</f>
        <v/>
      </c>
      <c r="AM2677" t="str">
        <f t="shared" ca="1" si="268"/>
        <v/>
      </c>
    </row>
    <row r="2678" spans="27:39" x14ac:dyDescent="0.3">
      <c r="AA2678" t="str">
        <f>IF(COUNTA('Procyfloc 1009'!A179,'Procyfloc 1009'!B179,'Procyfloc 1009'!C179)&gt;0,"1009","")</f>
        <v/>
      </c>
      <c r="AB2678" t="str">
        <f>IFERROR(IF(ISNUMBER('Procyfloc 1009'!A179),'Procyfloc 1009'!A179,DATEVALUE('Procyfloc 1009'!A179)),"")</f>
        <v/>
      </c>
      <c r="AC2678" t="str">
        <f>IF(AA2678="","",'Procyfloc 1009'!B179)</f>
        <v/>
      </c>
      <c r="AD2678" t="str">
        <f>IF(AA2678="","",IFERROR(1*'Procyfloc 1009'!C179,IFERROR(_xludf.NUMBERVALUE('Procyfloc 1009'!C179,".",","),IFERROR(_xludf.NUMBERVALUE('Procyfloc 1009'!C179,",","."),0))))</f>
        <v/>
      </c>
      <c r="AE2678" t="str">
        <f>IF(AA2678="","",'Procyfloc 1009'!L179)</f>
        <v/>
      </c>
      <c r="AF2678">
        <f t="shared" si="263"/>
        <v>0</v>
      </c>
      <c r="AG2678" t="str">
        <f t="shared" si="264"/>
        <v/>
      </c>
      <c r="AH2678" t="str">
        <f t="shared" si="265"/>
        <v/>
      </c>
      <c r="AI2678">
        <f t="shared" si="266"/>
        <v>0</v>
      </c>
      <c r="AJ2678">
        <f t="shared" si="267"/>
        <v>0</v>
      </c>
      <c r="AK2678">
        <v>0</v>
      </c>
      <c r="AL2678" t="str">
        <f>IF(AA2678="","",IFERROR(IF(ISNUMBER('Procyfloc 1009'!D179),'Procyfloc 1009'!D179,IF(ISNUMBER(SEARCH("12",'Procyfloc 1009'!D179)),EDATE(AB2678,12),IF(ISNUMBER(SEARCH("6",'Procyfloc 1009'!D179)),EDATE(AB2678,6),IF(ISNUMBER(SEARCH("3",'Procyfloc 1009'!D179)),EDATE(AB2678,3),DATEVALUE('Procyfloc 1009'!D179))))),""))</f>
        <v/>
      </c>
      <c r="AM2678" t="str">
        <f t="shared" ca="1" si="268"/>
        <v/>
      </c>
    </row>
    <row r="2679" spans="27:39" x14ac:dyDescent="0.3">
      <c r="AA2679" t="str">
        <f>IF(COUNTA('Procyfloc 1009'!A180,'Procyfloc 1009'!B180,'Procyfloc 1009'!C180)&gt;0,"1009","")</f>
        <v/>
      </c>
      <c r="AB2679" t="str">
        <f>IFERROR(IF(ISNUMBER('Procyfloc 1009'!A180),'Procyfloc 1009'!A180,DATEVALUE('Procyfloc 1009'!A180)),"")</f>
        <v/>
      </c>
      <c r="AC2679" t="str">
        <f>IF(AA2679="","",'Procyfloc 1009'!B180)</f>
        <v/>
      </c>
      <c r="AD2679" t="str">
        <f>IF(AA2679="","",IFERROR(1*'Procyfloc 1009'!C180,IFERROR(_xludf.NUMBERVALUE('Procyfloc 1009'!C180,".",","),IFERROR(_xludf.NUMBERVALUE('Procyfloc 1009'!C180,",","."),0))))</f>
        <v/>
      </c>
      <c r="AE2679" t="str">
        <f>IF(AA2679="","",'Procyfloc 1009'!L180)</f>
        <v/>
      </c>
      <c r="AF2679">
        <f t="shared" si="263"/>
        <v>0</v>
      </c>
      <c r="AG2679" t="str">
        <f t="shared" si="264"/>
        <v/>
      </c>
      <c r="AH2679" t="str">
        <f t="shared" si="265"/>
        <v/>
      </c>
      <c r="AI2679">
        <f t="shared" si="266"/>
        <v>0</v>
      </c>
      <c r="AJ2679">
        <f t="shared" si="267"/>
        <v>0</v>
      </c>
      <c r="AK2679">
        <v>0</v>
      </c>
      <c r="AL2679" t="str">
        <f>IF(AA2679="","",IFERROR(IF(ISNUMBER('Procyfloc 1009'!D180),'Procyfloc 1009'!D180,IF(ISNUMBER(SEARCH("12",'Procyfloc 1009'!D180)),EDATE(AB2679,12),IF(ISNUMBER(SEARCH("6",'Procyfloc 1009'!D180)),EDATE(AB2679,6),IF(ISNUMBER(SEARCH("3",'Procyfloc 1009'!D180)),EDATE(AB2679,3),DATEVALUE('Procyfloc 1009'!D180))))),""))</f>
        <v/>
      </c>
      <c r="AM2679" t="str">
        <f t="shared" ca="1" si="268"/>
        <v/>
      </c>
    </row>
    <row r="2680" spans="27:39" x14ac:dyDescent="0.3">
      <c r="AA2680" t="str">
        <f>IF(COUNTA('Procyfloc 1009'!A181,'Procyfloc 1009'!B181,'Procyfloc 1009'!C181)&gt;0,"1009","")</f>
        <v/>
      </c>
      <c r="AB2680" t="str">
        <f>IFERROR(IF(ISNUMBER('Procyfloc 1009'!A181),'Procyfloc 1009'!A181,DATEVALUE('Procyfloc 1009'!A181)),"")</f>
        <v/>
      </c>
      <c r="AC2680" t="str">
        <f>IF(AA2680="","",'Procyfloc 1009'!B181)</f>
        <v/>
      </c>
      <c r="AD2680" t="str">
        <f>IF(AA2680="","",IFERROR(1*'Procyfloc 1009'!C181,IFERROR(_xludf.NUMBERVALUE('Procyfloc 1009'!C181,".",","),IFERROR(_xludf.NUMBERVALUE('Procyfloc 1009'!C181,",","."),0))))</f>
        <v/>
      </c>
      <c r="AE2680" t="str">
        <f>IF(AA2680="","",'Procyfloc 1009'!L181)</f>
        <v/>
      </c>
      <c r="AF2680">
        <f t="shared" si="263"/>
        <v>0</v>
      </c>
      <c r="AG2680" t="str">
        <f t="shared" si="264"/>
        <v/>
      </c>
      <c r="AH2680" t="str">
        <f t="shared" si="265"/>
        <v/>
      </c>
      <c r="AI2680">
        <f t="shared" si="266"/>
        <v>0</v>
      </c>
      <c r="AJ2680">
        <f t="shared" si="267"/>
        <v>0</v>
      </c>
      <c r="AK2680">
        <v>0</v>
      </c>
      <c r="AL2680" t="str">
        <f>IF(AA2680="","",IFERROR(IF(ISNUMBER('Procyfloc 1009'!D181),'Procyfloc 1009'!D181,IF(ISNUMBER(SEARCH("12",'Procyfloc 1009'!D181)),EDATE(AB2680,12),IF(ISNUMBER(SEARCH("6",'Procyfloc 1009'!D181)),EDATE(AB2680,6),IF(ISNUMBER(SEARCH("3",'Procyfloc 1009'!D181)),EDATE(AB2680,3),DATEVALUE('Procyfloc 1009'!D181))))),""))</f>
        <v/>
      </c>
      <c r="AM2680" t="str">
        <f t="shared" ca="1" si="268"/>
        <v/>
      </c>
    </row>
    <row r="2681" spans="27:39" x14ac:dyDescent="0.3">
      <c r="AA2681" t="str">
        <f>IF(COUNTA('Procyfloc 1009'!A182,'Procyfloc 1009'!B182,'Procyfloc 1009'!C182)&gt;0,"1009","")</f>
        <v/>
      </c>
      <c r="AB2681" t="str">
        <f>IFERROR(IF(ISNUMBER('Procyfloc 1009'!A182),'Procyfloc 1009'!A182,DATEVALUE('Procyfloc 1009'!A182)),"")</f>
        <v/>
      </c>
      <c r="AC2681" t="str">
        <f>IF(AA2681="","",'Procyfloc 1009'!B182)</f>
        <v/>
      </c>
      <c r="AD2681" t="str">
        <f>IF(AA2681="","",IFERROR(1*'Procyfloc 1009'!C182,IFERROR(_xludf.NUMBERVALUE('Procyfloc 1009'!C182,".",","),IFERROR(_xludf.NUMBERVALUE('Procyfloc 1009'!C182,",","."),0))))</f>
        <v/>
      </c>
      <c r="AE2681" t="str">
        <f>IF(AA2681="","",'Procyfloc 1009'!L182)</f>
        <v/>
      </c>
      <c r="AF2681">
        <f t="shared" si="263"/>
        <v>0</v>
      </c>
      <c r="AG2681" t="str">
        <f t="shared" si="264"/>
        <v/>
      </c>
      <c r="AH2681" t="str">
        <f t="shared" si="265"/>
        <v/>
      </c>
      <c r="AI2681">
        <f t="shared" si="266"/>
        <v>0</v>
      </c>
      <c r="AJ2681">
        <f t="shared" si="267"/>
        <v>0</v>
      </c>
      <c r="AK2681">
        <v>0</v>
      </c>
      <c r="AL2681" t="str">
        <f>IF(AA2681="","",IFERROR(IF(ISNUMBER('Procyfloc 1009'!D182),'Procyfloc 1009'!D182,IF(ISNUMBER(SEARCH("12",'Procyfloc 1009'!D182)),EDATE(AB2681,12),IF(ISNUMBER(SEARCH("6",'Procyfloc 1009'!D182)),EDATE(AB2681,6),IF(ISNUMBER(SEARCH("3",'Procyfloc 1009'!D182)),EDATE(AB2681,3),DATEVALUE('Procyfloc 1009'!D182))))),""))</f>
        <v/>
      </c>
      <c r="AM2681" t="str">
        <f t="shared" ca="1" si="268"/>
        <v/>
      </c>
    </row>
    <row r="2682" spans="27:39" x14ac:dyDescent="0.3">
      <c r="AA2682" t="str">
        <f>IF(COUNTA('Procyfloc 1009'!A183,'Procyfloc 1009'!B183,'Procyfloc 1009'!C183)&gt;0,"1009","")</f>
        <v/>
      </c>
      <c r="AB2682" t="str">
        <f>IFERROR(IF(ISNUMBER('Procyfloc 1009'!A183),'Procyfloc 1009'!A183,DATEVALUE('Procyfloc 1009'!A183)),"")</f>
        <v/>
      </c>
      <c r="AC2682" t="str">
        <f>IF(AA2682="","",'Procyfloc 1009'!B183)</f>
        <v/>
      </c>
      <c r="AD2682" t="str">
        <f>IF(AA2682="","",IFERROR(1*'Procyfloc 1009'!C183,IFERROR(_xludf.NUMBERVALUE('Procyfloc 1009'!C183,".",","),IFERROR(_xludf.NUMBERVALUE('Procyfloc 1009'!C183,",","."),0))))</f>
        <v/>
      </c>
      <c r="AE2682" t="str">
        <f>IF(AA2682="","",'Procyfloc 1009'!L183)</f>
        <v/>
      </c>
      <c r="AF2682">
        <f t="shared" si="263"/>
        <v>0</v>
      </c>
      <c r="AG2682" t="str">
        <f t="shared" si="264"/>
        <v/>
      </c>
      <c r="AH2682" t="str">
        <f t="shared" si="265"/>
        <v/>
      </c>
      <c r="AI2682">
        <f t="shared" si="266"/>
        <v>0</v>
      </c>
      <c r="AJ2682">
        <f t="shared" si="267"/>
        <v>0</v>
      </c>
      <c r="AK2682">
        <v>0</v>
      </c>
      <c r="AL2682" t="str">
        <f>IF(AA2682="","",IFERROR(IF(ISNUMBER('Procyfloc 1009'!D183),'Procyfloc 1009'!D183,IF(ISNUMBER(SEARCH("12",'Procyfloc 1009'!D183)),EDATE(AB2682,12),IF(ISNUMBER(SEARCH("6",'Procyfloc 1009'!D183)),EDATE(AB2682,6),IF(ISNUMBER(SEARCH("3",'Procyfloc 1009'!D183)),EDATE(AB2682,3),DATEVALUE('Procyfloc 1009'!D183))))),""))</f>
        <v/>
      </c>
      <c r="AM2682" t="str">
        <f t="shared" ca="1" si="268"/>
        <v/>
      </c>
    </row>
    <row r="2683" spans="27:39" x14ac:dyDescent="0.3">
      <c r="AA2683" t="str">
        <f>IF(COUNTA('Procyfloc 1009'!A184,'Procyfloc 1009'!B184,'Procyfloc 1009'!C184)&gt;0,"1009","")</f>
        <v/>
      </c>
      <c r="AB2683" t="str">
        <f>IFERROR(IF(ISNUMBER('Procyfloc 1009'!A184),'Procyfloc 1009'!A184,DATEVALUE('Procyfloc 1009'!A184)),"")</f>
        <v/>
      </c>
      <c r="AC2683" t="str">
        <f>IF(AA2683="","",'Procyfloc 1009'!B184)</f>
        <v/>
      </c>
      <c r="AD2683" t="str">
        <f>IF(AA2683="","",IFERROR(1*'Procyfloc 1009'!C184,IFERROR(_xludf.NUMBERVALUE('Procyfloc 1009'!C184,".",","),IFERROR(_xludf.NUMBERVALUE('Procyfloc 1009'!C184,",","."),0))))</f>
        <v/>
      </c>
      <c r="AE2683" t="str">
        <f>IF(AA2683="","",'Procyfloc 1009'!L184)</f>
        <v/>
      </c>
      <c r="AF2683">
        <f t="shared" si="263"/>
        <v>0</v>
      </c>
      <c r="AG2683" t="str">
        <f t="shared" si="264"/>
        <v/>
      </c>
      <c r="AH2683" t="str">
        <f t="shared" si="265"/>
        <v/>
      </c>
      <c r="AI2683">
        <f t="shared" si="266"/>
        <v>0</v>
      </c>
      <c r="AJ2683">
        <f t="shared" si="267"/>
        <v>0</v>
      </c>
      <c r="AK2683">
        <v>0</v>
      </c>
      <c r="AL2683" t="str">
        <f>IF(AA2683="","",IFERROR(IF(ISNUMBER('Procyfloc 1009'!D184),'Procyfloc 1009'!D184,IF(ISNUMBER(SEARCH("12",'Procyfloc 1009'!D184)),EDATE(AB2683,12),IF(ISNUMBER(SEARCH("6",'Procyfloc 1009'!D184)),EDATE(AB2683,6),IF(ISNUMBER(SEARCH("3",'Procyfloc 1009'!D184)),EDATE(AB2683,3),DATEVALUE('Procyfloc 1009'!D184))))),""))</f>
        <v/>
      </c>
      <c r="AM2683" t="str">
        <f t="shared" ca="1" si="268"/>
        <v/>
      </c>
    </row>
    <row r="2684" spans="27:39" x14ac:dyDescent="0.3">
      <c r="AA2684" t="str">
        <f>IF(COUNTA('Procyfloc 1009'!A185,'Procyfloc 1009'!B185,'Procyfloc 1009'!C185)&gt;0,"1009","")</f>
        <v/>
      </c>
      <c r="AB2684" t="str">
        <f>IFERROR(IF(ISNUMBER('Procyfloc 1009'!A185),'Procyfloc 1009'!A185,DATEVALUE('Procyfloc 1009'!A185)),"")</f>
        <v/>
      </c>
      <c r="AC2684" t="str">
        <f>IF(AA2684="","",'Procyfloc 1009'!B185)</f>
        <v/>
      </c>
      <c r="AD2684" t="str">
        <f>IF(AA2684="","",IFERROR(1*'Procyfloc 1009'!C185,IFERROR(_xludf.NUMBERVALUE('Procyfloc 1009'!C185,".",","),IFERROR(_xludf.NUMBERVALUE('Procyfloc 1009'!C185,",","."),0))))</f>
        <v/>
      </c>
      <c r="AE2684" t="str">
        <f>IF(AA2684="","",'Procyfloc 1009'!L185)</f>
        <v/>
      </c>
      <c r="AF2684">
        <f t="shared" si="263"/>
        <v>0</v>
      </c>
      <c r="AG2684" t="str">
        <f t="shared" si="264"/>
        <v/>
      </c>
      <c r="AH2684" t="str">
        <f t="shared" si="265"/>
        <v/>
      </c>
      <c r="AI2684">
        <f t="shared" si="266"/>
        <v>0</v>
      </c>
      <c r="AJ2684">
        <f t="shared" si="267"/>
        <v>0</v>
      </c>
      <c r="AK2684">
        <v>0</v>
      </c>
      <c r="AL2684" t="str">
        <f>IF(AA2684="","",IFERROR(IF(ISNUMBER('Procyfloc 1009'!D185),'Procyfloc 1009'!D185,IF(ISNUMBER(SEARCH("12",'Procyfloc 1009'!D185)),EDATE(AB2684,12),IF(ISNUMBER(SEARCH("6",'Procyfloc 1009'!D185)),EDATE(AB2684,6),IF(ISNUMBER(SEARCH("3",'Procyfloc 1009'!D185)),EDATE(AB2684,3),DATEVALUE('Procyfloc 1009'!D185))))),""))</f>
        <v/>
      </c>
      <c r="AM2684" t="str">
        <f t="shared" ca="1" si="268"/>
        <v/>
      </c>
    </row>
    <row r="2685" spans="27:39" x14ac:dyDescent="0.3">
      <c r="AA2685" t="str">
        <f>IF(COUNTA('Procyfloc 1009'!A186,'Procyfloc 1009'!B186,'Procyfloc 1009'!C186)&gt;0,"1009","")</f>
        <v/>
      </c>
      <c r="AB2685" t="str">
        <f>IFERROR(IF(ISNUMBER('Procyfloc 1009'!A186),'Procyfloc 1009'!A186,DATEVALUE('Procyfloc 1009'!A186)),"")</f>
        <v/>
      </c>
      <c r="AC2685" t="str">
        <f>IF(AA2685="","",'Procyfloc 1009'!B186)</f>
        <v/>
      </c>
      <c r="AD2685" t="str">
        <f>IF(AA2685="","",IFERROR(1*'Procyfloc 1009'!C186,IFERROR(_xludf.NUMBERVALUE('Procyfloc 1009'!C186,".",","),IFERROR(_xludf.NUMBERVALUE('Procyfloc 1009'!C186,",","."),0))))</f>
        <v/>
      </c>
      <c r="AE2685" t="str">
        <f>IF(AA2685="","",'Procyfloc 1009'!L186)</f>
        <v/>
      </c>
      <c r="AF2685">
        <f t="shared" si="263"/>
        <v>0</v>
      </c>
      <c r="AG2685" t="str">
        <f t="shared" si="264"/>
        <v/>
      </c>
      <c r="AH2685" t="str">
        <f t="shared" si="265"/>
        <v/>
      </c>
      <c r="AI2685">
        <f t="shared" si="266"/>
        <v>0</v>
      </c>
      <c r="AJ2685">
        <f t="shared" si="267"/>
        <v>0</v>
      </c>
      <c r="AK2685">
        <v>0</v>
      </c>
      <c r="AL2685" t="str">
        <f>IF(AA2685="","",IFERROR(IF(ISNUMBER('Procyfloc 1009'!D186),'Procyfloc 1009'!D186,IF(ISNUMBER(SEARCH("12",'Procyfloc 1009'!D186)),EDATE(AB2685,12),IF(ISNUMBER(SEARCH("6",'Procyfloc 1009'!D186)),EDATE(AB2685,6),IF(ISNUMBER(SEARCH("3",'Procyfloc 1009'!D186)),EDATE(AB2685,3),DATEVALUE('Procyfloc 1009'!D186))))),""))</f>
        <v/>
      </c>
      <c r="AM2685" t="str">
        <f t="shared" ca="1" si="268"/>
        <v/>
      </c>
    </row>
    <row r="2686" spans="27:39" x14ac:dyDescent="0.3">
      <c r="AA2686" t="str">
        <f>IF(COUNTA('Procyfloc 1009'!A187,'Procyfloc 1009'!B187,'Procyfloc 1009'!C187)&gt;0,"1009","")</f>
        <v/>
      </c>
      <c r="AB2686" t="str">
        <f>IFERROR(IF(ISNUMBER('Procyfloc 1009'!A187),'Procyfloc 1009'!A187,DATEVALUE('Procyfloc 1009'!A187)),"")</f>
        <v/>
      </c>
      <c r="AC2686" t="str">
        <f>IF(AA2686="","",'Procyfloc 1009'!B187)</f>
        <v/>
      </c>
      <c r="AD2686" t="str">
        <f>IF(AA2686="","",IFERROR(1*'Procyfloc 1009'!C187,IFERROR(_xludf.NUMBERVALUE('Procyfloc 1009'!C187,".",","),IFERROR(_xludf.NUMBERVALUE('Procyfloc 1009'!C187,",","."),0))))</f>
        <v/>
      </c>
      <c r="AE2686" t="str">
        <f>IF(AA2686="","",'Procyfloc 1009'!L187)</f>
        <v/>
      </c>
      <c r="AF2686">
        <f t="shared" si="263"/>
        <v>0</v>
      </c>
      <c r="AG2686" t="str">
        <f t="shared" si="264"/>
        <v/>
      </c>
      <c r="AH2686" t="str">
        <f t="shared" si="265"/>
        <v/>
      </c>
      <c r="AI2686">
        <f t="shared" si="266"/>
        <v>0</v>
      </c>
      <c r="AJ2686">
        <f t="shared" si="267"/>
        <v>0</v>
      </c>
      <c r="AK2686">
        <v>0</v>
      </c>
      <c r="AL2686" t="str">
        <f>IF(AA2686="","",IFERROR(IF(ISNUMBER('Procyfloc 1009'!D187),'Procyfloc 1009'!D187,IF(ISNUMBER(SEARCH("12",'Procyfloc 1009'!D187)),EDATE(AB2686,12),IF(ISNUMBER(SEARCH("6",'Procyfloc 1009'!D187)),EDATE(AB2686,6),IF(ISNUMBER(SEARCH("3",'Procyfloc 1009'!D187)),EDATE(AB2686,3),DATEVALUE('Procyfloc 1009'!D187))))),""))</f>
        <v/>
      </c>
      <c r="AM2686" t="str">
        <f t="shared" ca="1" si="268"/>
        <v/>
      </c>
    </row>
    <row r="2687" spans="27:39" x14ac:dyDescent="0.3">
      <c r="AA2687" t="str">
        <f>IF(COUNTA('Procyfloc 1009'!A188,'Procyfloc 1009'!B188,'Procyfloc 1009'!C188)&gt;0,"1009","")</f>
        <v/>
      </c>
      <c r="AB2687" t="str">
        <f>IFERROR(IF(ISNUMBER('Procyfloc 1009'!A188),'Procyfloc 1009'!A188,DATEVALUE('Procyfloc 1009'!A188)),"")</f>
        <v/>
      </c>
      <c r="AC2687" t="str">
        <f>IF(AA2687="","",'Procyfloc 1009'!B188)</f>
        <v/>
      </c>
      <c r="AD2687" t="str">
        <f>IF(AA2687="","",IFERROR(1*'Procyfloc 1009'!C188,IFERROR(_xludf.NUMBERVALUE('Procyfloc 1009'!C188,".",","),IFERROR(_xludf.NUMBERVALUE('Procyfloc 1009'!C188,",","."),0))))</f>
        <v/>
      </c>
      <c r="AE2687" t="str">
        <f>IF(AA2687="","",'Procyfloc 1009'!L188)</f>
        <v/>
      </c>
      <c r="AF2687">
        <f t="shared" si="263"/>
        <v>0</v>
      </c>
      <c r="AG2687" t="str">
        <f t="shared" si="264"/>
        <v/>
      </c>
      <c r="AH2687" t="str">
        <f t="shared" si="265"/>
        <v/>
      </c>
      <c r="AI2687">
        <f t="shared" si="266"/>
        <v>0</v>
      </c>
      <c r="AJ2687">
        <f t="shared" si="267"/>
        <v>0</v>
      </c>
      <c r="AK2687">
        <v>0</v>
      </c>
      <c r="AL2687" t="str">
        <f>IF(AA2687="","",IFERROR(IF(ISNUMBER('Procyfloc 1009'!D188),'Procyfloc 1009'!D188,IF(ISNUMBER(SEARCH("12",'Procyfloc 1009'!D188)),EDATE(AB2687,12),IF(ISNUMBER(SEARCH("6",'Procyfloc 1009'!D188)),EDATE(AB2687,6),IF(ISNUMBER(SEARCH("3",'Procyfloc 1009'!D188)),EDATE(AB2687,3),DATEVALUE('Procyfloc 1009'!D188))))),""))</f>
        <v/>
      </c>
      <c r="AM2687" t="str">
        <f t="shared" ca="1" si="268"/>
        <v/>
      </c>
    </row>
    <row r="2688" spans="27:39" x14ac:dyDescent="0.3">
      <c r="AA2688" t="str">
        <f>IF(COUNTA('Procyfloc 1009'!A189,'Procyfloc 1009'!B189,'Procyfloc 1009'!C189)&gt;0,"1009","")</f>
        <v/>
      </c>
      <c r="AB2688" t="str">
        <f>IFERROR(IF(ISNUMBER('Procyfloc 1009'!A189),'Procyfloc 1009'!A189,DATEVALUE('Procyfloc 1009'!A189)),"")</f>
        <v/>
      </c>
      <c r="AC2688" t="str">
        <f>IF(AA2688="","",'Procyfloc 1009'!B189)</f>
        <v/>
      </c>
      <c r="AD2688" t="str">
        <f>IF(AA2688="","",IFERROR(1*'Procyfloc 1009'!C189,IFERROR(_xludf.NUMBERVALUE('Procyfloc 1009'!C189,".",","),IFERROR(_xludf.NUMBERVALUE('Procyfloc 1009'!C189,",","."),0))))</f>
        <v/>
      </c>
      <c r="AE2688" t="str">
        <f>IF(AA2688="","",'Procyfloc 1009'!L189)</f>
        <v/>
      </c>
      <c r="AF2688">
        <f t="shared" si="263"/>
        <v>0</v>
      </c>
      <c r="AG2688" t="str">
        <f t="shared" si="264"/>
        <v/>
      </c>
      <c r="AH2688" t="str">
        <f t="shared" si="265"/>
        <v/>
      </c>
      <c r="AI2688">
        <f t="shared" si="266"/>
        <v>0</v>
      </c>
      <c r="AJ2688">
        <f t="shared" si="267"/>
        <v>0</v>
      </c>
      <c r="AK2688">
        <v>0</v>
      </c>
      <c r="AL2688" t="str">
        <f>IF(AA2688="","",IFERROR(IF(ISNUMBER('Procyfloc 1009'!D189),'Procyfloc 1009'!D189,IF(ISNUMBER(SEARCH("12",'Procyfloc 1009'!D189)),EDATE(AB2688,12),IF(ISNUMBER(SEARCH("6",'Procyfloc 1009'!D189)),EDATE(AB2688,6),IF(ISNUMBER(SEARCH("3",'Procyfloc 1009'!D189)),EDATE(AB2688,3),DATEVALUE('Procyfloc 1009'!D189))))),""))</f>
        <v/>
      </c>
      <c r="AM2688" t="str">
        <f t="shared" ca="1" si="268"/>
        <v/>
      </c>
    </row>
    <row r="2689" spans="27:39" x14ac:dyDescent="0.3">
      <c r="AA2689" t="str">
        <f>IF(COUNTA('Procyfloc 1009'!A190,'Procyfloc 1009'!B190,'Procyfloc 1009'!C190)&gt;0,"1009","")</f>
        <v/>
      </c>
      <c r="AB2689" t="str">
        <f>IFERROR(IF(ISNUMBER('Procyfloc 1009'!A190),'Procyfloc 1009'!A190,DATEVALUE('Procyfloc 1009'!A190)),"")</f>
        <v/>
      </c>
      <c r="AC2689" t="str">
        <f>IF(AA2689="","",'Procyfloc 1009'!B190)</f>
        <v/>
      </c>
      <c r="AD2689" t="str">
        <f>IF(AA2689="","",IFERROR(1*'Procyfloc 1009'!C190,IFERROR(_xludf.NUMBERVALUE('Procyfloc 1009'!C190,".",","),IFERROR(_xludf.NUMBERVALUE('Procyfloc 1009'!C190,",","."),0))))</f>
        <v/>
      </c>
      <c r="AE2689" t="str">
        <f>IF(AA2689="","",'Procyfloc 1009'!L190)</f>
        <v/>
      </c>
      <c r="AF2689">
        <f t="shared" si="263"/>
        <v>0</v>
      </c>
      <c r="AG2689" t="str">
        <f t="shared" si="264"/>
        <v/>
      </c>
      <c r="AH2689" t="str">
        <f t="shared" si="265"/>
        <v/>
      </c>
      <c r="AI2689">
        <f t="shared" si="266"/>
        <v>0</v>
      </c>
      <c r="AJ2689">
        <f t="shared" si="267"/>
        <v>0</v>
      </c>
      <c r="AK2689">
        <v>0</v>
      </c>
      <c r="AL2689" t="str">
        <f>IF(AA2689="","",IFERROR(IF(ISNUMBER('Procyfloc 1009'!D190),'Procyfloc 1009'!D190,IF(ISNUMBER(SEARCH("12",'Procyfloc 1009'!D190)),EDATE(AB2689,12),IF(ISNUMBER(SEARCH("6",'Procyfloc 1009'!D190)),EDATE(AB2689,6),IF(ISNUMBER(SEARCH("3",'Procyfloc 1009'!D190)),EDATE(AB2689,3),DATEVALUE('Procyfloc 1009'!D190))))),""))</f>
        <v/>
      </c>
      <c r="AM2689" t="str">
        <f t="shared" ca="1" si="268"/>
        <v/>
      </c>
    </row>
    <row r="2690" spans="27:39" x14ac:dyDescent="0.3">
      <c r="AA2690" t="str">
        <f>IF(COUNTA('Procyfloc 1009'!A191,'Procyfloc 1009'!B191,'Procyfloc 1009'!C191)&gt;0,"1009","")</f>
        <v/>
      </c>
      <c r="AB2690" t="str">
        <f>IFERROR(IF(ISNUMBER('Procyfloc 1009'!A191),'Procyfloc 1009'!A191,DATEVALUE('Procyfloc 1009'!A191)),"")</f>
        <v/>
      </c>
      <c r="AC2690" t="str">
        <f>IF(AA2690="","",'Procyfloc 1009'!B191)</f>
        <v/>
      </c>
      <c r="AD2690" t="str">
        <f>IF(AA2690="","",IFERROR(1*'Procyfloc 1009'!C191,IFERROR(_xludf.NUMBERVALUE('Procyfloc 1009'!C191,".",","),IFERROR(_xludf.NUMBERVALUE('Procyfloc 1009'!C191,",","."),0))))</f>
        <v/>
      </c>
      <c r="AE2690" t="str">
        <f>IF(AA2690="","",'Procyfloc 1009'!L191)</f>
        <v/>
      </c>
      <c r="AF2690">
        <f t="shared" ref="AF2690:AF2753" si="269">IF(AA2690="",0,--AND(ISNUMBER(SEARCH("aprov",AE2690)),NOT(ISNUMBER(SEARCH("reprov",AE2690)))))</f>
        <v>0</v>
      </c>
      <c r="AG2690" t="str">
        <f t="shared" ref="AG2690:AG2753" si="270">IF(AB2690="","",YEAR(AB2690))</f>
        <v/>
      </c>
      <c r="AH2690" t="str">
        <f t="shared" ref="AH2690:AH2753" si="271">IF(AB2690="","",MONTH(AB2690))</f>
        <v/>
      </c>
      <c r="AI2690">
        <f t="shared" ref="AI2690:AI2753" si="272">IF(AB2690="",0,AB2690+ROW()/1000000)</f>
        <v>0</v>
      </c>
      <c r="AJ2690">
        <f t="shared" ref="AJ2690:AJ2753" si="273">--(AA2690&lt;&gt;"")</f>
        <v>0</v>
      </c>
      <c r="AK2690">
        <v>0</v>
      </c>
      <c r="AL2690" t="str">
        <f>IF(AA2690="","",IFERROR(IF(ISNUMBER('Procyfloc 1009'!D191),'Procyfloc 1009'!D191,IF(ISNUMBER(SEARCH("12",'Procyfloc 1009'!D191)),EDATE(AB2690,12),IF(ISNUMBER(SEARCH("6",'Procyfloc 1009'!D191)),EDATE(AB2690,6),IF(ISNUMBER(SEARCH("3",'Procyfloc 1009'!D191)),EDATE(AB2690,3),DATEVALUE('Procyfloc 1009'!D191))))),""))</f>
        <v/>
      </c>
      <c r="AM2690" t="str">
        <f t="shared" ref="AM2690:AM2753" ca="1" si="274">IF(AND(AJ2690=1,AL2690&lt;&gt;"",AL2690&gt;=TODAY(),AG2690=$W$3),AL2690+ROW()/1000000,"")</f>
        <v/>
      </c>
    </row>
    <row r="2691" spans="27:39" x14ac:dyDescent="0.3">
      <c r="AA2691" t="str">
        <f>IF(COUNTA('Procyfloc 1009'!A192,'Procyfloc 1009'!B192,'Procyfloc 1009'!C192)&gt;0,"1009","")</f>
        <v/>
      </c>
      <c r="AB2691" t="str">
        <f>IFERROR(IF(ISNUMBER('Procyfloc 1009'!A192),'Procyfloc 1009'!A192,DATEVALUE('Procyfloc 1009'!A192)),"")</f>
        <v/>
      </c>
      <c r="AC2691" t="str">
        <f>IF(AA2691="","",'Procyfloc 1009'!B192)</f>
        <v/>
      </c>
      <c r="AD2691" t="str">
        <f>IF(AA2691="","",IFERROR(1*'Procyfloc 1009'!C192,IFERROR(_xludf.NUMBERVALUE('Procyfloc 1009'!C192,".",","),IFERROR(_xludf.NUMBERVALUE('Procyfloc 1009'!C192,",","."),0))))</f>
        <v/>
      </c>
      <c r="AE2691" t="str">
        <f>IF(AA2691="","",'Procyfloc 1009'!L192)</f>
        <v/>
      </c>
      <c r="AF2691">
        <f t="shared" si="269"/>
        <v>0</v>
      </c>
      <c r="AG2691" t="str">
        <f t="shared" si="270"/>
        <v/>
      </c>
      <c r="AH2691" t="str">
        <f t="shared" si="271"/>
        <v/>
      </c>
      <c r="AI2691">
        <f t="shared" si="272"/>
        <v>0</v>
      </c>
      <c r="AJ2691">
        <f t="shared" si="273"/>
        <v>0</v>
      </c>
      <c r="AK2691">
        <v>0</v>
      </c>
      <c r="AL2691" t="str">
        <f>IF(AA2691="","",IFERROR(IF(ISNUMBER('Procyfloc 1009'!D192),'Procyfloc 1009'!D192,IF(ISNUMBER(SEARCH("12",'Procyfloc 1009'!D192)),EDATE(AB2691,12),IF(ISNUMBER(SEARCH("6",'Procyfloc 1009'!D192)),EDATE(AB2691,6),IF(ISNUMBER(SEARCH("3",'Procyfloc 1009'!D192)),EDATE(AB2691,3),DATEVALUE('Procyfloc 1009'!D192))))),""))</f>
        <v/>
      </c>
      <c r="AM2691" t="str">
        <f t="shared" ca="1" si="274"/>
        <v/>
      </c>
    </row>
    <row r="2692" spans="27:39" x14ac:dyDescent="0.3">
      <c r="AA2692" t="str">
        <f>IF(COUNTA('Procyfloc 1009'!A193,'Procyfloc 1009'!B193,'Procyfloc 1009'!C193)&gt;0,"1009","")</f>
        <v/>
      </c>
      <c r="AB2692" t="str">
        <f>IFERROR(IF(ISNUMBER('Procyfloc 1009'!A193),'Procyfloc 1009'!A193,DATEVALUE('Procyfloc 1009'!A193)),"")</f>
        <v/>
      </c>
      <c r="AC2692" t="str">
        <f>IF(AA2692="","",'Procyfloc 1009'!B193)</f>
        <v/>
      </c>
      <c r="AD2692" t="str">
        <f>IF(AA2692="","",IFERROR(1*'Procyfloc 1009'!C193,IFERROR(_xludf.NUMBERVALUE('Procyfloc 1009'!C193,".",","),IFERROR(_xludf.NUMBERVALUE('Procyfloc 1009'!C193,",","."),0))))</f>
        <v/>
      </c>
      <c r="AE2692" t="str">
        <f>IF(AA2692="","",'Procyfloc 1009'!L193)</f>
        <v/>
      </c>
      <c r="AF2692">
        <f t="shared" si="269"/>
        <v>0</v>
      </c>
      <c r="AG2692" t="str">
        <f t="shared" si="270"/>
        <v/>
      </c>
      <c r="AH2692" t="str">
        <f t="shared" si="271"/>
        <v/>
      </c>
      <c r="AI2692">
        <f t="shared" si="272"/>
        <v>0</v>
      </c>
      <c r="AJ2692">
        <f t="shared" si="273"/>
        <v>0</v>
      </c>
      <c r="AK2692">
        <v>0</v>
      </c>
      <c r="AL2692" t="str">
        <f>IF(AA2692="","",IFERROR(IF(ISNUMBER('Procyfloc 1009'!D193),'Procyfloc 1009'!D193,IF(ISNUMBER(SEARCH("12",'Procyfloc 1009'!D193)),EDATE(AB2692,12),IF(ISNUMBER(SEARCH("6",'Procyfloc 1009'!D193)),EDATE(AB2692,6),IF(ISNUMBER(SEARCH("3",'Procyfloc 1009'!D193)),EDATE(AB2692,3),DATEVALUE('Procyfloc 1009'!D193))))),""))</f>
        <v/>
      </c>
      <c r="AM2692" t="str">
        <f t="shared" ca="1" si="274"/>
        <v/>
      </c>
    </row>
    <row r="2693" spans="27:39" x14ac:dyDescent="0.3">
      <c r="AA2693" t="str">
        <f>IF(COUNTA('Procyfloc 1009'!A194,'Procyfloc 1009'!B194,'Procyfloc 1009'!C194)&gt;0,"1009","")</f>
        <v/>
      </c>
      <c r="AB2693" t="str">
        <f>IFERROR(IF(ISNUMBER('Procyfloc 1009'!A194),'Procyfloc 1009'!A194,DATEVALUE('Procyfloc 1009'!A194)),"")</f>
        <v/>
      </c>
      <c r="AC2693" t="str">
        <f>IF(AA2693="","",'Procyfloc 1009'!B194)</f>
        <v/>
      </c>
      <c r="AD2693" t="str">
        <f>IF(AA2693="","",IFERROR(1*'Procyfloc 1009'!C194,IFERROR(_xludf.NUMBERVALUE('Procyfloc 1009'!C194,".",","),IFERROR(_xludf.NUMBERVALUE('Procyfloc 1009'!C194,",","."),0))))</f>
        <v/>
      </c>
      <c r="AE2693" t="str">
        <f>IF(AA2693="","",'Procyfloc 1009'!L194)</f>
        <v/>
      </c>
      <c r="AF2693">
        <f t="shared" si="269"/>
        <v>0</v>
      </c>
      <c r="AG2693" t="str">
        <f t="shared" si="270"/>
        <v/>
      </c>
      <c r="AH2693" t="str">
        <f t="shared" si="271"/>
        <v/>
      </c>
      <c r="AI2693">
        <f t="shared" si="272"/>
        <v>0</v>
      </c>
      <c r="AJ2693">
        <f t="shared" si="273"/>
        <v>0</v>
      </c>
      <c r="AK2693">
        <v>0</v>
      </c>
      <c r="AL2693" t="str">
        <f>IF(AA2693="","",IFERROR(IF(ISNUMBER('Procyfloc 1009'!D194),'Procyfloc 1009'!D194,IF(ISNUMBER(SEARCH("12",'Procyfloc 1009'!D194)),EDATE(AB2693,12),IF(ISNUMBER(SEARCH("6",'Procyfloc 1009'!D194)),EDATE(AB2693,6),IF(ISNUMBER(SEARCH("3",'Procyfloc 1009'!D194)),EDATE(AB2693,3),DATEVALUE('Procyfloc 1009'!D194))))),""))</f>
        <v/>
      </c>
      <c r="AM2693" t="str">
        <f t="shared" ca="1" si="274"/>
        <v/>
      </c>
    </row>
    <row r="2694" spans="27:39" x14ac:dyDescent="0.3">
      <c r="AA2694" t="str">
        <f>IF(COUNTA('Procyfloc 1009'!A195,'Procyfloc 1009'!B195,'Procyfloc 1009'!C195)&gt;0,"1009","")</f>
        <v/>
      </c>
      <c r="AB2694" t="str">
        <f>IFERROR(IF(ISNUMBER('Procyfloc 1009'!A195),'Procyfloc 1009'!A195,DATEVALUE('Procyfloc 1009'!A195)),"")</f>
        <v/>
      </c>
      <c r="AC2694" t="str">
        <f>IF(AA2694="","",'Procyfloc 1009'!B195)</f>
        <v/>
      </c>
      <c r="AD2694" t="str">
        <f>IF(AA2694="","",IFERROR(1*'Procyfloc 1009'!C195,IFERROR(_xludf.NUMBERVALUE('Procyfloc 1009'!C195,".",","),IFERROR(_xludf.NUMBERVALUE('Procyfloc 1009'!C195,",","."),0))))</f>
        <v/>
      </c>
      <c r="AE2694" t="str">
        <f>IF(AA2694="","",'Procyfloc 1009'!L195)</f>
        <v/>
      </c>
      <c r="AF2694">
        <f t="shared" si="269"/>
        <v>0</v>
      </c>
      <c r="AG2694" t="str">
        <f t="shared" si="270"/>
        <v/>
      </c>
      <c r="AH2694" t="str">
        <f t="shared" si="271"/>
        <v/>
      </c>
      <c r="AI2694">
        <f t="shared" si="272"/>
        <v>0</v>
      </c>
      <c r="AJ2694">
        <f t="shared" si="273"/>
        <v>0</v>
      </c>
      <c r="AK2694">
        <v>0</v>
      </c>
      <c r="AL2694" t="str">
        <f>IF(AA2694="","",IFERROR(IF(ISNUMBER('Procyfloc 1009'!D195),'Procyfloc 1009'!D195,IF(ISNUMBER(SEARCH("12",'Procyfloc 1009'!D195)),EDATE(AB2694,12),IF(ISNUMBER(SEARCH("6",'Procyfloc 1009'!D195)),EDATE(AB2694,6),IF(ISNUMBER(SEARCH("3",'Procyfloc 1009'!D195)),EDATE(AB2694,3),DATEVALUE('Procyfloc 1009'!D195))))),""))</f>
        <v/>
      </c>
      <c r="AM2694" t="str">
        <f t="shared" ca="1" si="274"/>
        <v/>
      </c>
    </row>
    <row r="2695" spans="27:39" x14ac:dyDescent="0.3">
      <c r="AA2695" t="str">
        <f>IF(COUNTA('Procyfloc 1009'!A196,'Procyfloc 1009'!B196,'Procyfloc 1009'!C196)&gt;0,"1009","")</f>
        <v/>
      </c>
      <c r="AB2695" t="str">
        <f>IFERROR(IF(ISNUMBER('Procyfloc 1009'!A196),'Procyfloc 1009'!A196,DATEVALUE('Procyfloc 1009'!A196)),"")</f>
        <v/>
      </c>
      <c r="AC2695" t="str">
        <f>IF(AA2695="","",'Procyfloc 1009'!B196)</f>
        <v/>
      </c>
      <c r="AD2695" t="str">
        <f>IF(AA2695="","",IFERROR(1*'Procyfloc 1009'!C196,IFERROR(_xludf.NUMBERVALUE('Procyfloc 1009'!C196,".",","),IFERROR(_xludf.NUMBERVALUE('Procyfloc 1009'!C196,",","."),0))))</f>
        <v/>
      </c>
      <c r="AE2695" t="str">
        <f>IF(AA2695="","",'Procyfloc 1009'!L196)</f>
        <v/>
      </c>
      <c r="AF2695">
        <f t="shared" si="269"/>
        <v>0</v>
      </c>
      <c r="AG2695" t="str">
        <f t="shared" si="270"/>
        <v/>
      </c>
      <c r="AH2695" t="str">
        <f t="shared" si="271"/>
        <v/>
      </c>
      <c r="AI2695">
        <f t="shared" si="272"/>
        <v>0</v>
      </c>
      <c r="AJ2695">
        <f t="shared" si="273"/>
        <v>0</v>
      </c>
      <c r="AK2695">
        <v>0</v>
      </c>
      <c r="AL2695" t="str">
        <f>IF(AA2695="","",IFERROR(IF(ISNUMBER('Procyfloc 1009'!D196),'Procyfloc 1009'!D196,IF(ISNUMBER(SEARCH("12",'Procyfloc 1009'!D196)),EDATE(AB2695,12),IF(ISNUMBER(SEARCH("6",'Procyfloc 1009'!D196)),EDATE(AB2695,6),IF(ISNUMBER(SEARCH("3",'Procyfloc 1009'!D196)),EDATE(AB2695,3),DATEVALUE('Procyfloc 1009'!D196))))),""))</f>
        <v/>
      </c>
      <c r="AM2695" t="str">
        <f t="shared" ca="1" si="274"/>
        <v/>
      </c>
    </row>
    <row r="2696" spans="27:39" x14ac:dyDescent="0.3">
      <c r="AA2696" t="str">
        <f>IF(COUNTA('Procyfloc 1009'!A197,'Procyfloc 1009'!B197,'Procyfloc 1009'!C197)&gt;0,"1009","")</f>
        <v/>
      </c>
      <c r="AB2696" t="str">
        <f>IFERROR(IF(ISNUMBER('Procyfloc 1009'!A197),'Procyfloc 1009'!A197,DATEVALUE('Procyfloc 1009'!A197)),"")</f>
        <v/>
      </c>
      <c r="AC2696" t="str">
        <f>IF(AA2696="","",'Procyfloc 1009'!B197)</f>
        <v/>
      </c>
      <c r="AD2696" t="str">
        <f>IF(AA2696="","",IFERROR(1*'Procyfloc 1009'!C197,IFERROR(_xludf.NUMBERVALUE('Procyfloc 1009'!C197,".",","),IFERROR(_xludf.NUMBERVALUE('Procyfloc 1009'!C197,",","."),0))))</f>
        <v/>
      </c>
      <c r="AE2696" t="str">
        <f>IF(AA2696="","",'Procyfloc 1009'!L197)</f>
        <v/>
      </c>
      <c r="AF2696">
        <f t="shared" si="269"/>
        <v>0</v>
      </c>
      <c r="AG2696" t="str">
        <f t="shared" si="270"/>
        <v/>
      </c>
      <c r="AH2696" t="str">
        <f t="shared" si="271"/>
        <v/>
      </c>
      <c r="AI2696">
        <f t="shared" si="272"/>
        <v>0</v>
      </c>
      <c r="AJ2696">
        <f t="shared" si="273"/>
        <v>0</v>
      </c>
      <c r="AK2696">
        <v>0</v>
      </c>
      <c r="AL2696" t="str">
        <f>IF(AA2696="","",IFERROR(IF(ISNUMBER('Procyfloc 1009'!D197),'Procyfloc 1009'!D197,IF(ISNUMBER(SEARCH("12",'Procyfloc 1009'!D197)),EDATE(AB2696,12),IF(ISNUMBER(SEARCH("6",'Procyfloc 1009'!D197)),EDATE(AB2696,6),IF(ISNUMBER(SEARCH("3",'Procyfloc 1009'!D197)),EDATE(AB2696,3),DATEVALUE('Procyfloc 1009'!D197))))),""))</f>
        <v/>
      </c>
      <c r="AM2696" t="str">
        <f t="shared" ca="1" si="274"/>
        <v/>
      </c>
    </row>
    <row r="2697" spans="27:39" x14ac:dyDescent="0.3">
      <c r="AA2697" t="str">
        <f>IF(COUNTA('Procyfloc 1009'!A198,'Procyfloc 1009'!B198,'Procyfloc 1009'!C198)&gt;0,"1009","")</f>
        <v/>
      </c>
      <c r="AB2697" t="str">
        <f>IFERROR(IF(ISNUMBER('Procyfloc 1009'!A198),'Procyfloc 1009'!A198,DATEVALUE('Procyfloc 1009'!A198)),"")</f>
        <v/>
      </c>
      <c r="AC2697" t="str">
        <f>IF(AA2697="","",'Procyfloc 1009'!B198)</f>
        <v/>
      </c>
      <c r="AD2697" t="str">
        <f>IF(AA2697="","",IFERROR(1*'Procyfloc 1009'!C198,IFERROR(_xludf.NUMBERVALUE('Procyfloc 1009'!C198,".",","),IFERROR(_xludf.NUMBERVALUE('Procyfloc 1009'!C198,",","."),0))))</f>
        <v/>
      </c>
      <c r="AE2697" t="str">
        <f>IF(AA2697="","",'Procyfloc 1009'!L198)</f>
        <v/>
      </c>
      <c r="AF2697">
        <f t="shared" si="269"/>
        <v>0</v>
      </c>
      <c r="AG2697" t="str">
        <f t="shared" si="270"/>
        <v/>
      </c>
      <c r="AH2697" t="str">
        <f t="shared" si="271"/>
        <v/>
      </c>
      <c r="AI2697">
        <f t="shared" si="272"/>
        <v>0</v>
      </c>
      <c r="AJ2697">
        <f t="shared" si="273"/>
        <v>0</v>
      </c>
      <c r="AK2697">
        <v>0</v>
      </c>
      <c r="AL2697" t="str">
        <f>IF(AA2697="","",IFERROR(IF(ISNUMBER('Procyfloc 1009'!D198),'Procyfloc 1009'!D198,IF(ISNUMBER(SEARCH("12",'Procyfloc 1009'!D198)),EDATE(AB2697,12),IF(ISNUMBER(SEARCH("6",'Procyfloc 1009'!D198)),EDATE(AB2697,6),IF(ISNUMBER(SEARCH("3",'Procyfloc 1009'!D198)),EDATE(AB2697,3),DATEVALUE('Procyfloc 1009'!D198))))),""))</f>
        <v/>
      </c>
      <c r="AM2697" t="str">
        <f t="shared" ca="1" si="274"/>
        <v/>
      </c>
    </row>
    <row r="2698" spans="27:39" x14ac:dyDescent="0.3">
      <c r="AA2698" t="str">
        <f>IF(COUNTA('Procyfloc 1009'!A199,'Procyfloc 1009'!B199,'Procyfloc 1009'!C199)&gt;0,"1009","")</f>
        <v/>
      </c>
      <c r="AB2698" t="str">
        <f>IFERROR(IF(ISNUMBER('Procyfloc 1009'!A199),'Procyfloc 1009'!A199,DATEVALUE('Procyfloc 1009'!A199)),"")</f>
        <v/>
      </c>
      <c r="AC2698" t="str">
        <f>IF(AA2698="","",'Procyfloc 1009'!B199)</f>
        <v/>
      </c>
      <c r="AD2698" t="str">
        <f>IF(AA2698="","",IFERROR(1*'Procyfloc 1009'!C199,IFERROR(_xludf.NUMBERVALUE('Procyfloc 1009'!C199,".",","),IFERROR(_xludf.NUMBERVALUE('Procyfloc 1009'!C199,",","."),0))))</f>
        <v/>
      </c>
      <c r="AE2698" t="str">
        <f>IF(AA2698="","",'Procyfloc 1009'!L199)</f>
        <v/>
      </c>
      <c r="AF2698">
        <f t="shared" si="269"/>
        <v>0</v>
      </c>
      <c r="AG2698" t="str">
        <f t="shared" si="270"/>
        <v/>
      </c>
      <c r="AH2698" t="str">
        <f t="shared" si="271"/>
        <v/>
      </c>
      <c r="AI2698">
        <f t="shared" si="272"/>
        <v>0</v>
      </c>
      <c r="AJ2698">
        <f t="shared" si="273"/>
        <v>0</v>
      </c>
      <c r="AK2698">
        <v>0</v>
      </c>
      <c r="AL2698" t="str">
        <f>IF(AA2698="","",IFERROR(IF(ISNUMBER('Procyfloc 1009'!D199),'Procyfloc 1009'!D199,IF(ISNUMBER(SEARCH("12",'Procyfloc 1009'!D199)),EDATE(AB2698,12),IF(ISNUMBER(SEARCH("6",'Procyfloc 1009'!D199)),EDATE(AB2698,6),IF(ISNUMBER(SEARCH("3",'Procyfloc 1009'!D199)),EDATE(AB2698,3),DATEVALUE('Procyfloc 1009'!D199))))),""))</f>
        <v/>
      </c>
      <c r="AM2698" t="str">
        <f t="shared" ca="1" si="274"/>
        <v/>
      </c>
    </row>
    <row r="2699" spans="27:39" x14ac:dyDescent="0.3">
      <c r="AA2699" t="str">
        <f>IF(COUNTA('Procyfloc 1009'!A200,'Procyfloc 1009'!B200,'Procyfloc 1009'!C200)&gt;0,"1009","")</f>
        <v/>
      </c>
      <c r="AB2699" t="str">
        <f>IFERROR(IF(ISNUMBER('Procyfloc 1009'!A200),'Procyfloc 1009'!A200,DATEVALUE('Procyfloc 1009'!A200)),"")</f>
        <v/>
      </c>
      <c r="AC2699" t="str">
        <f>IF(AA2699="","",'Procyfloc 1009'!B200)</f>
        <v/>
      </c>
      <c r="AD2699" t="str">
        <f>IF(AA2699="","",IFERROR(1*'Procyfloc 1009'!C200,IFERROR(_xludf.NUMBERVALUE('Procyfloc 1009'!C200,".",","),IFERROR(_xludf.NUMBERVALUE('Procyfloc 1009'!C200,",","."),0))))</f>
        <v/>
      </c>
      <c r="AE2699" t="str">
        <f>IF(AA2699="","",'Procyfloc 1009'!L200)</f>
        <v/>
      </c>
      <c r="AF2699">
        <f t="shared" si="269"/>
        <v>0</v>
      </c>
      <c r="AG2699" t="str">
        <f t="shared" si="270"/>
        <v/>
      </c>
      <c r="AH2699" t="str">
        <f t="shared" si="271"/>
        <v/>
      </c>
      <c r="AI2699">
        <f t="shared" si="272"/>
        <v>0</v>
      </c>
      <c r="AJ2699">
        <f t="shared" si="273"/>
        <v>0</v>
      </c>
      <c r="AK2699">
        <v>0</v>
      </c>
      <c r="AL2699" t="str">
        <f>IF(AA2699="","",IFERROR(IF(ISNUMBER('Procyfloc 1009'!D200),'Procyfloc 1009'!D200,IF(ISNUMBER(SEARCH("12",'Procyfloc 1009'!D200)),EDATE(AB2699,12),IF(ISNUMBER(SEARCH("6",'Procyfloc 1009'!D200)),EDATE(AB2699,6),IF(ISNUMBER(SEARCH("3",'Procyfloc 1009'!D200)),EDATE(AB2699,3),DATEVALUE('Procyfloc 1009'!D200))))),""))</f>
        <v/>
      </c>
      <c r="AM2699" t="str">
        <f t="shared" ca="1" si="274"/>
        <v/>
      </c>
    </row>
    <row r="2700" spans="27:39" x14ac:dyDescent="0.3">
      <c r="AA2700" t="str">
        <f>IF(COUNTA('Procyfloc 1009'!A201,'Procyfloc 1009'!B201,'Procyfloc 1009'!C201)&gt;0,"1009","")</f>
        <v/>
      </c>
      <c r="AB2700" t="str">
        <f>IFERROR(IF(ISNUMBER('Procyfloc 1009'!A201),'Procyfloc 1009'!A201,DATEVALUE('Procyfloc 1009'!A201)),"")</f>
        <v/>
      </c>
      <c r="AC2700" t="str">
        <f>IF(AA2700="","",'Procyfloc 1009'!B201)</f>
        <v/>
      </c>
      <c r="AD2700" t="str">
        <f>IF(AA2700="","",IFERROR(1*'Procyfloc 1009'!C201,IFERROR(_xludf.NUMBERVALUE('Procyfloc 1009'!C201,".",","),IFERROR(_xludf.NUMBERVALUE('Procyfloc 1009'!C201,",","."),0))))</f>
        <v/>
      </c>
      <c r="AE2700" t="str">
        <f>IF(AA2700="","",'Procyfloc 1009'!L201)</f>
        <v/>
      </c>
      <c r="AF2700">
        <f t="shared" si="269"/>
        <v>0</v>
      </c>
      <c r="AG2700" t="str">
        <f t="shared" si="270"/>
        <v/>
      </c>
      <c r="AH2700" t="str">
        <f t="shared" si="271"/>
        <v/>
      </c>
      <c r="AI2700">
        <f t="shared" si="272"/>
        <v>0</v>
      </c>
      <c r="AJ2700">
        <f t="shared" si="273"/>
        <v>0</v>
      </c>
      <c r="AK2700">
        <v>0</v>
      </c>
      <c r="AL2700" t="str">
        <f>IF(AA2700="","",IFERROR(IF(ISNUMBER('Procyfloc 1009'!D201),'Procyfloc 1009'!D201,IF(ISNUMBER(SEARCH("12",'Procyfloc 1009'!D201)),EDATE(AB2700,12),IF(ISNUMBER(SEARCH("6",'Procyfloc 1009'!D201)),EDATE(AB2700,6),IF(ISNUMBER(SEARCH("3",'Procyfloc 1009'!D201)),EDATE(AB2700,3),DATEVALUE('Procyfloc 1009'!D201))))),""))</f>
        <v/>
      </c>
      <c r="AM2700" t="str">
        <f t="shared" ca="1" si="274"/>
        <v/>
      </c>
    </row>
    <row r="2701" spans="27:39" x14ac:dyDescent="0.3">
      <c r="AA2701" t="str">
        <f>IF(COUNTA('Procyfloc 1009'!A202,'Procyfloc 1009'!B202,'Procyfloc 1009'!C202)&gt;0,"1009","")</f>
        <v/>
      </c>
      <c r="AB2701" t="str">
        <f>IFERROR(IF(ISNUMBER('Procyfloc 1009'!A202),'Procyfloc 1009'!A202,DATEVALUE('Procyfloc 1009'!A202)),"")</f>
        <v/>
      </c>
      <c r="AC2701" t="str">
        <f>IF(AA2701="","",'Procyfloc 1009'!B202)</f>
        <v/>
      </c>
      <c r="AD2701" t="str">
        <f>IF(AA2701="","",IFERROR(1*'Procyfloc 1009'!C202,IFERROR(_xludf.NUMBERVALUE('Procyfloc 1009'!C202,".",","),IFERROR(_xludf.NUMBERVALUE('Procyfloc 1009'!C202,",","."),0))))</f>
        <v/>
      </c>
      <c r="AE2701" t="str">
        <f>IF(AA2701="","",'Procyfloc 1009'!L202)</f>
        <v/>
      </c>
      <c r="AF2701">
        <f t="shared" si="269"/>
        <v>0</v>
      </c>
      <c r="AG2701" t="str">
        <f t="shared" si="270"/>
        <v/>
      </c>
      <c r="AH2701" t="str">
        <f t="shared" si="271"/>
        <v/>
      </c>
      <c r="AI2701">
        <f t="shared" si="272"/>
        <v>0</v>
      </c>
      <c r="AJ2701">
        <f t="shared" si="273"/>
        <v>0</v>
      </c>
      <c r="AK2701">
        <v>0</v>
      </c>
      <c r="AL2701" t="str">
        <f>IF(AA2701="","",IFERROR(IF(ISNUMBER('Procyfloc 1009'!D202),'Procyfloc 1009'!D202,IF(ISNUMBER(SEARCH("12",'Procyfloc 1009'!D202)),EDATE(AB2701,12),IF(ISNUMBER(SEARCH("6",'Procyfloc 1009'!D202)),EDATE(AB2701,6),IF(ISNUMBER(SEARCH("3",'Procyfloc 1009'!D202)),EDATE(AB2701,3),DATEVALUE('Procyfloc 1009'!D202))))),""))</f>
        <v/>
      </c>
      <c r="AM2701" t="str">
        <f t="shared" ca="1" si="274"/>
        <v/>
      </c>
    </row>
    <row r="2702" spans="27:39" x14ac:dyDescent="0.3">
      <c r="AA2702" t="str">
        <f>IF(COUNTA('Procyfloc 1009'!A203,'Procyfloc 1009'!B203,'Procyfloc 1009'!C203)&gt;0,"1009","")</f>
        <v/>
      </c>
      <c r="AB2702" t="str">
        <f>IFERROR(IF(ISNUMBER('Procyfloc 1009'!A203),'Procyfloc 1009'!A203,DATEVALUE('Procyfloc 1009'!A203)),"")</f>
        <v/>
      </c>
      <c r="AC2702" t="str">
        <f>IF(AA2702="","",'Procyfloc 1009'!B203)</f>
        <v/>
      </c>
      <c r="AD2702" t="str">
        <f>IF(AA2702="","",IFERROR(1*'Procyfloc 1009'!C203,IFERROR(_xludf.NUMBERVALUE('Procyfloc 1009'!C203,".",","),IFERROR(_xludf.NUMBERVALUE('Procyfloc 1009'!C203,",","."),0))))</f>
        <v/>
      </c>
      <c r="AE2702" t="str">
        <f>IF(AA2702="","",'Procyfloc 1009'!L203)</f>
        <v/>
      </c>
      <c r="AF2702">
        <f t="shared" si="269"/>
        <v>0</v>
      </c>
      <c r="AG2702" t="str">
        <f t="shared" si="270"/>
        <v/>
      </c>
      <c r="AH2702" t="str">
        <f t="shared" si="271"/>
        <v/>
      </c>
      <c r="AI2702">
        <f t="shared" si="272"/>
        <v>0</v>
      </c>
      <c r="AJ2702">
        <f t="shared" si="273"/>
        <v>0</v>
      </c>
      <c r="AK2702">
        <v>0</v>
      </c>
      <c r="AL2702" t="str">
        <f>IF(AA2702="","",IFERROR(IF(ISNUMBER('Procyfloc 1009'!D203),'Procyfloc 1009'!D203,IF(ISNUMBER(SEARCH("12",'Procyfloc 1009'!D203)),EDATE(AB2702,12),IF(ISNUMBER(SEARCH("6",'Procyfloc 1009'!D203)),EDATE(AB2702,6),IF(ISNUMBER(SEARCH("3",'Procyfloc 1009'!D203)),EDATE(AB2702,3),DATEVALUE('Procyfloc 1009'!D203))))),""))</f>
        <v/>
      </c>
      <c r="AM2702" t="str">
        <f t="shared" ca="1" si="274"/>
        <v/>
      </c>
    </row>
    <row r="2703" spans="27:39" x14ac:dyDescent="0.3">
      <c r="AA2703" t="str">
        <f>IF(COUNTA('Procyfloc 1009'!A204,'Procyfloc 1009'!B204,'Procyfloc 1009'!C204)&gt;0,"1009","")</f>
        <v/>
      </c>
      <c r="AB2703" t="str">
        <f>IFERROR(IF(ISNUMBER('Procyfloc 1009'!A204),'Procyfloc 1009'!A204,DATEVALUE('Procyfloc 1009'!A204)),"")</f>
        <v/>
      </c>
      <c r="AC2703" t="str">
        <f>IF(AA2703="","",'Procyfloc 1009'!B204)</f>
        <v/>
      </c>
      <c r="AD2703" t="str">
        <f>IF(AA2703="","",IFERROR(1*'Procyfloc 1009'!C204,IFERROR(_xludf.NUMBERVALUE('Procyfloc 1009'!C204,".",","),IFERROR(_xludf.NUMBERVALUE('Procyfloc 1009'!C204,",","."),0))))</f>
        <v/>
      </c>
      <c r="AE2703" t="str">
        <f>IF(AA2703="","",'Procyfloc 1009'!L204)</f>
        <v/>
      </c>
      <c r="AF2703">
        <f t="shared" si="269"/>
        <v>0</v>
      </c>
      <c r="AG2703" t="str">
        <f t="shared" si="270"/>
        <v/>
      </c>
      <c r="AH2703" t="str">
        <f t="shared" si="271"/>
        <v/>
      </c>
      <c r="AI2703">
        <f t="shared" si="272"/>
        <v>0</v>
      </c>
      <c r="AJ2703">
        <f t="shared" si="273"/>
        <v>0</v>
      </c>
      <c r="AK2703">
        <v>0</v>
      </c>
      <c r="AL2703" t="str">
        <f>IF(AA2703="","",IFERROR(IF(ISNUMBER('Procyfloc 1009'!D204),'Procyfloc 1009'!D204,IF(ISNUMBER(SEARCH("12",'Procyfloc 1009'!D204)),EDATE(AB2703,12),IF(ISNUMBER(SEARCH("6",'Procyfloc 1009'!D204)),EDATE(AB2703,6),IF(ISNUMBER(SEARCH("3",'Procyfloc 1009'!D204)),EDATE(AB2703,3),DATEVALUE('Procyfloc 1009'!D204))))),""))</f>
        <v/>
      </c>
      <c r="AM2703" t="str">
        <f t="shared" ca="1" si="274"/>
        <v/>
      </c>
    </row>
    <row r="2704" spans="27:39" x14ac:dyDescent="0.3">
      <c r="AA2704" t="str">
        <f>IF(COUNTA('Procyfloc 1009'!A205,'Procyfloc 1009'!B205,'Procyfloc 1009'!C205)&gt;0,"1009","")</f>
        <v/>
      </c>
      <c r="AB2704" t="str">
        <f>IFERROR(IF(ISNUMBER('Procyfloc 1009'!A205),'Procyfloc 1009'!A205,DATEVALUE('Procyfloc 1009'!A205)),"")</f>
        <v/>
      </c>
      <c r="AC2704" t="str">
        <f>IF(AA2704="","",'Procyfloc 1009'!B205)</f>
        <v/>
      </c>
      <c r="AD2704" t="str">
        <f>IF(AA2704="","",IFERROR(1*'Procyfloc 1009'!C205,IFERROR(_xludf.NUMBERVALUE('Procyfloc 1009'!C205,".",","),IFERROR(_xludf.NUMBERVALUE('Procyfloc 1009'!C205,",","."),0))))</f>
        <v/>
      </c>
      <c r="AE2704" t="str">
        <f>IF(AA2704="","",'Procyfloc 1009'!L205)</f>
        <v/>
      </c>
      <c r="AF2704">
        <f t="shared" si="269"/>
        <v>0</v>
      </c>
      <c r="AG2704" t="str">
        <f t="shared" si="270"/>
        <v/>
      </c>
      <c r="AH2704" t="str">
        <f t="shared" si="271"/>
        <v/>
      </c>
      <c r="AI2704">
        <f t="shared" si="272"/>
        <v>0</v>
      </c>
      <c r="AJ2704">
        <f t="shared" si="273"/>
        <v>0</v>
      </c>
      <c r="AK2704">
        <v>0</v>
      </c>
      <c r="AL2704" t="str">
        <f>IF(AA2704="","",IFERROR(IF(ISNUMBER('Procyfloc 1009'!D205),'Procyfloc 1009'!D205,IF(ISNUMBER(SEARCH("12",'Procyfloc 1009'!D205)),EDATE(AB2704,12),IF(ISNUMBER(SEARCH("6",'Procyfloc 1009'!D205)),EDATE(AB2704,6),IF(ISNUMBER(SEARCH("3",'Procyfloc 1009'!D205)),EDATE(AB2704,3),DATEVALUE('Procyfloc 1009'!D205))))),""))</f>
        <v/>
      </c>
      <c r="AM2704" t="str">
        <f t="shared" ca="1" si="274"/>
        <v/>
      </c>
    </row>
    <row r="2705" spans="27:39" x14ac:dyDescent="0.3">
      <c r="AA2705" t="str">
        <f>IF(COUNTA('Procyfloc 1009'!A206,'Procyfloc 1009'!B206,'Procyfloc 1009'!C206)&gt;0,"1009","")</f>
        <v/>
      </c>
      <c r="AB2705" t="str">
        <f>IFERROR(IF(ISNUMBER('Procyfloc 1009'!A206),'Procyfloc 1009'!A206,DATEVALUE('Procyfloc 1009'!A206)),"")</f>
        <v/>
      </c>
      <c r="AC2705" t="str">
        <f>IF(AA2705="","",'Procyfloc 1009'!B206)</f>
        <v/>
      </c>
      <c r="AD2705" t="str">
        <f>IF(AA2705="","",IFERROR(1*'Procyfloc 1009'!C206,IFERROR(_xludf.NUMBERVALUE('Procyfloc 1009'!C206,".",","),IFERROR(_xludf.NUMBERVALUE('Procyfloc 1009'!C206,",","."),0))))</f>
        <v/>
      </c>
      <c r="AE2705" t="str">
        <f>IF(AA2705="","",'Procyfloc 1009'!L206)</f>
        <v/>
      </c>
      <c r="AF2705">
        <f t="shared" si="269"/>
        <v>0</v>
      </c>
      <c r="AG2705" t="str">
        <f t="shared" si="270"/>
        <v/>
      </c>
      <c r="AH2705" t="str">
        <f t="shared" si="271"/>
        <v/>
      </c>
      <c r="AI2705">
        <f t="shared" si="272"/>
        <v>0</v>
      </c>
      <c r="AJ2705">
        <f t="shared" si="273"/>
        <v>0</v>
      </c>
      <c r="AK2705">
        <v>0</v>
      </c>
      <c r="AL2705" t="str">
        <f>IF(AA2705="","",IFERROR(IF(ISNUMBER('Procyfloc 1009'!D206),'Procyfloc 1009'!D206,IF(ISNUMBER(SEARCH("12",'Procyfloc 1009'!D206)),EDATE(AB2705,12),IF(ISNUMBER(SEARCH("6",'Procyfloc 1009'!D206)),EDATE(AB2705,6),IF(ISNUMBER(SEARCH("3",'Procyfloc 1009'!D206)),EDATE(AB2705,3),DATEVALUE('Procyfloc 1009'!D206))))),""))</f>
        <v/>
      </c>
      <c r="AM2705" t="str">
        <f t="shared" ca="1" si="274"/>
        <v/>
      </c>
    </row>
    <row r="2706" spans="27:39" x14ac:dyDescent="0.3">
      <c r="AA2706" t="str">
        <f>IF(COUNTA('Procyfloc 1009'!A207,'Procyfloc 1009'!B207,'Procyfloc 1009'!C207)&gt;0,"1009","")</f>
        <v/>
      </c>
      <c r="AB2706" t="str">
        <f>IFERROR(IF(ISNUMBER('Procyfloc 1009'!A207),'Procyfloc 1009'!A207,DATEVALUE('Procyfloc 1009'!A207)),"")</f>
        <v/>
      </c>
      <c r="AC2706" t="str">
        <f>IF(AA2706="","",'Procyfloc 1009'!B207)</f>
        <v/>
      </c>
      <c r="AD2706" t="str">
        <f>IF(AA2706="","",IFERROR(1*'Procyfloc 1009'!C207,IFERROR(_xludf.NUMBERVALUE('Procyfloc 1009'!C207,".",","),IFERROR(_xludf.NUMBERVALUE('Procyfloc 1009'!C207,",","."),0))))</f>
        <v/>
      </c>
      <c r="AE2706" t="str">
        <f>IF(AA2706="","",'Procyfloc 1009'!L207)</f>
        <v/>
      </c>
      <c r="AF2706">
        <f t="shared" si="269"/>
        <v>0</v>
      </c>
      <c r="AG2706" t="str">
        <f t="shared" si="270"/>
        <v/>
      </c>
      <c r="AH2706" t="str">
        <f t="shared" si="271"/>
        <v/>
      </c>
      <c r="AI2706">
        <f t="shared" si="272"/>
        <v>0</v>
      </c>
      <c r="AJ2706">
        <f t="shared" si="273"/>
        <v>0</v>
      </c>
      <c r="AK2706">
        <v>0</v>
      </c>
      <c r="AL2706" t="str">
        <f>IF(AA2706="","",IFERROR(IF(ISNUMBER('Procyfloc 1009'!D207),'Procyfloc 1009'!D207,IF(ISNUMBER(SEARCH("12",'Procyfloc 1009'!D207)),EDATE(AB2706,12),IF(ISNUMBER(SEARCH("6",'Procyfloc 1009'!D207)),EDATE(AB2706,6),IF(ISNUMBER(SEARCH("3",'Procyfloc 1009'!D207)),EDATE(AB2706,3),DATEVALUE('Procyfloc 1009'!D207))))),""))</f>
        <v/>
      </c>
      <c r="AM2706" t="str">
        <f t="shared" ca="1" si="274"/>
        <v/>
      </c>
    </row>
    <row r="2707" spans="27:39" x14ac:dyDescent="0.3">
      <c r="AA2707" t="str">
        <f>IF(COUNTA('Procyfloc 1009'!A208,'Procyfloc 1009'!B208,'Procyfloc 1009'!C208)&gt;0,"1009","")</f>
        <v/>
      </c>
      <c r="AB2707" t="str">
        <f>IFERROR(IF(ISNUMBER('Procyfloc 1009'!A208),'Procyfloc 1009'!A208,DATEVALUE('Procyfloc 1009'!A208)),"")</f>
        <v/>
      </c>
      <c r="AC2707" t="str">
        <f>IF(AA2707="","",'Procyfloc 1009'!B208)</f>
        <v/>
      </c>
      <c r="AD2707" t="str">
        <f>IF(AA2707="","",IFERROR(1*'Procyfloc 1009'!C208,IFERROR(_xludf.NUMBERVALUE('Procyfloc 1009'!C208,".",","),IFERROR(_xludf.NUMBERVALUE('Procyfloc 1009'!C208,",","."),0))))</f>
        <v/>
      </c>
      <c r="AE2707" t="str">
        <f>IF(AA2707="","",'Procyfloc 1009'!L208)</f>
        <v/>
      </c>
      <c r="AF2707">
        <f t="shared" si="269"/>
        <v>0</v>
      </c>
      <c r="AG2707" t="str">
        <f t="shared" si="270"/>
        <v/>
      </c>
      <c r="AH2707" t="str">
        <f t="shared" si="271"/>
        <v/>
      </c>
      <c r="AI2707">
        <f t="shared" si="272"/>
        <v>0</v>
      </c>
      <c r="AJ2707">
        <f t="shared" si="273"/>
        <v>0</v>
      </c>
      <c r="AK2707">
        <v>0</v>
      </c>
      <c r="AL2707" t="str">
        <f>IF(AA2707="","",IFERROR(IF(ISNUMBER('Procyfloc 1009'!D208),'Procyfloc 1009'!D208,IF(ISNUMBER(SEARCH("12",'Procyfloc 1009'!D208)),EDATE(AB2707,12),IF(ISNUMBER(SEARCH("6",'Procyfloc 1009'!D208)),EDATE(AB2707,6),IF(ISNUMBER(SEARCH("3",'Procyfloc 1009'!D208)),EDATE(AB2707,3),DATEVALUE('Procyfloc 1009'!D208))))),""))</f>
        <v/>
      </c>
      <c r="AM2707" t="str">
        <f t="shared" ca="1" si="274"/>
        <v/>
      </c>
    </row>
    <row r="2708" spans="27:39" x14ac:dyDescent="0.3">
      <c r="AA2708" t="str">
        <f>IF(COUNTA('Procyfloc 1009'!A209,'Procyfloc 1009'!B209,'Procyfloc 1009'!C209)&gt;0,"1009","")</f>
        <v/>
      </c>
      <c r="AB2708" t="str">
        <f>IFERROR(IF(ISNUMBER('Procyfloc 1009'!A209),'Procyfloc 1009'!A209,DATEVALUE('Procyfloc 1009'!A209)),"")</f>
        <v/>
      </c>
      <c r="AC2708" t="str">
        <f>IF(AA2708="","",'Procyfloc 1009'!B209)</f>
        <v/>
      </c>
      <c r="AD2708" t="str">
        <f>IF(AA2708="","",IFERROR(1*'Procyfloc 1009'!C209,IFERROR(_xludf.NUMBERVALUE('Procyfloc 1009'!C209,".",","),IFERROR(_xludf.NUMBERVALUE('Procyfloc 1009'!C209,",","."),0))))</f>
        <v/>
      </c>
      <c r="AE2708" t="str">
        <f>IF(AA2708="","",'Procyfloc 1009'!L209)</f>
        <v/>
      </c>
      <c r="AF2708">
        <f t="shared" si="269"/>
        <v>0</v>
      </c>
      <c r="AG2708" t="str">
        <f t="shared" si="270"/>
        <v/>
      </c>
      <c r="AH2708" t="str">
        <f t="shared" si="271"/>
        <v/>
      </c>
      <c r="AI2708">
        <f t="shared" si="272"/>
        <v>0</v>
      </c>
      <c r="AJ2708">
        <f t="shared" si="273"/>
        <v>0</v>
      </c>
      <c r="AK2708">
        <v>0</v>
      </c>
      <c r="AL2708" t="str">
        <f>IF(AA2708="","",IFERROR(IF(ISNUMBER('Procyfloc 1009'!D209),'Procyfloc 1009'!D209,IF(ISNUMBER(SEARCH("12",'Procyfloc 1009'!D209)),EDATE(AB2708,12),IF(ISNUMBER(SEARCH("6",'Procyfloc 1009'!D209)),EDATE(AB2708,6),IF(ISNUMBER(SEARCH("3",'Procyfloc 1009'!D209)),EDATE(AB2708,3),DATEVALUE('Procyfloc 1009'!D209))))),""))</f>
        <v/>
      </c>
      <c r="AM2708" t="str">
        <f t="shared" ca="1" si="274"/>
        <v/>
      </c>
    </row>
    <row r="2709" spans="27:39" x14ac:dyDescent="0.3">
      <c r="AA2709" t="str">
        <f>IF(COUNTA('Procyfloc 1009'!A210,'Procyfloc 1009'!B210,'Procyfloc 1009'!C210)&gt;0,"1009","")</f>
        <v/>
      </c>
      <c r="AB2709" t="str">
        <f>IFERROR(IF(ISNUMBER('Procyfloc 1009'!A210),'Procyfloc 1009'!A210,DATEVALUE('Procyfloc 1009'!A210)),"")</f>
        <v/>
      </c>
      <c r="AC2709" t="str">
        <f>IF(AA2709="","",'Procyfloc 1009'!B210)</f>
        <v/>
      </c>
      <c r="AD2709" t="str">
        <f>IF(AA2709="","",IFERROR(1*'Procyfloc 1009'!C210,IFERROR(_xludf.NUMBERVALUE('Procyfloc 1009'!C210,".",","),IFERROR(_xludf.NUMBERVALUE('Procyfloc 1009'!C210,",","."),0))))</f>
        <v/>
      </c>
      <c r="AE2709" t="str">
        <f>IF(AA2709="","",'Procyfloc 1009'!L210)</f>
        <v/>
      </c>
      <c r="AF2709">
        <f t="shared" si="269"/>
        <v>0</v>
      </c>
      <c r="AG2709" t="str">
        <f t="shared" si="270"/>
        <v/>
      </c>
      <c r="AH2709" t="str">
        <f t="shared" si="271"/>
        <v/>
      </c>
      <c r="AI2709">
        <f t="shared" si="272"/>
        <v>0</v>
      </c>
      <c r="AJ2709">
        <f t="shared" si="273"/>
        <v>0</v>
      </c>
      <c r="AK2709">
        <v>0</v>
      </c>
      <c r="AL2709" t="str">
        <f>IF(AA2709="","",IFERROR(IF(ISNUMBER('Procyfloc 1009'!D210),'Procyfloc 1009'!D210,IF(ISNUMBER(SEARCH("12",'Procyfloc 1009'!D210)),EDATE(AB2709,12),IF(ISNUMBER(SEARCH("6",'Procyfloc 1009'!D210)),EDATE(AB2709,6),IF(ISNUMBER(SEARCH("3",'Procyfloc 1009'!D210)),EDATE(AB2709,3),DATEVALUE('Procyfloc 1009'!D210))))),""))</f>
        <v/>
      </c>
      <c r="AM2709" t="str">
        <f t="shared" ca="1" si="274"/>
        <v/>
      </c>
    </row>
    <row r="2710" spans="27:39" x14ac:dyDescent="0.3">
      <c r="AA2710" t="str">
        <f>IF(COUNTA('Procyfloc 1009'!A211,'Procyfloc 1009'!B211,'Procyfloc 1009'!C211)&gt;0,"1009","")</f>
        <v/>
      </c>
      <c r="AB2710" t="str">
        <f>IFERROR(IF(ISNUMBER('Procyfloc 1009'!A211),'Procyfloc 1009'!A211,DATEVALUE('Procyfloc 1009'!A211)),"")</f>
        <v/>
      </c>
      <c r="AC2710" t="str">
        <f>IF(AA2710="","",'Procyfloc 1009'!B211)</f>
        <v/>
      </c>
      <c r="AD2710" t="str">
        <f>IF(AA2710="","",IFERROR(1*'Procyfloc 1009'!C211,IFERROR(_xludf.NUMBERVALUE('Procyfloc 1009'!C211,".",","),IFERROR(_xludf.NUMBERVALUE('Procyfloc 1009'!C211,",","."),0))))</f>
        <v/>
      </c>
      <c r="AE2710" t="str">
        <f>IF(AA2710="","",'Procyfloc 1009'!L211)</f>
        <v/>
      </c>
      <c r="AF2710">
        <f t="shared" si="269"/>
        <v>0</v>
      </c>
      <c r="AG2710" t="str">
        <f t="shared" si="270"/>
        <v/>
      </c>
      <c r="AH2710" t="str">
        <f t="shared" si="271"/>
        <v/>
      </c>
      <c r="AI2710">
        <f t="shared" si="272"/>
        <v>0</v>
      </c>
      <c r="AJ2710">
        <f t="shared" si="273"/>
        <v>0</v>
      </c>
      <c r="AK2710">
        <v>0</v>
      </c>
      <c r="AL2710" t="str">
        <f>IF(AA2710="","",IFERROR(IF(ISNUMBER('Procyfloc 1009'!D211),'Procyfloc 1009'!D211,IF(ISNUMBER(SEARCH("12",'Procyfloc 1009'!D211)),EDATE(AB2710,12),IF(ISNUMBER(SEARCH("6",'Procyfloc 1009'!D211)),EDATE(AB2710,6),IF(ISNUMBER(SEARCH("3",'Procyfloc 1009'!D211)),EDATE(AB2710,3),DATEVALUE('Procyfloc 1009'!D211))))),""))</f>
        <v/>
      </c>
      <c r="AM2710" t="str">
        <f t="shared" ca="1" si="274"/>
        <v/>
      </c>
    </row>
    <row r="2711" spans="27:39" x14ac:dyDescent="0.3">
      <c r="AA2711" t="str">
        <f>IF(COUNTA('Procyfloc 1009'!A212,'Procyfloc 1009'!B212,'Procyfloc 1009'!C212)&gt;0,"1009","")</f>
        <v/>
      </c>
      <c r="AB2711" t="str">
        <f>IFERROR(IF(ISNUMBER('Procyfloc 1009'!A212),'Procyfloc 1009'!A212,DATEVALUE('Procyfloc 1009'!A212)),"")</f>
        <v/>
      </c>
      <c r="AC2711" t="str">
        <f>IF(AA2711="","",'Procyfloc 1009'!B212)</f>
        <v/>
      </c>
      <c r="AD2711" t="str">
        <f>IF(AA2711="","",IFERROR(1*'Procyfloc 1009'!C212,IFERROR(_xludf.NUMBERVALUE('Procyfloc 1009'!C212,".",","),IFERROR(_xludf.NUMBERVALUE('Procyfloc 1009'!C212,",","."),0))))</f>
        <v/>
      </c>
      <c r="AE2711" t="str">
        <f>IF(AA2711="","",'Procyfloc 1009'!L212)</f>
        <v/>
      </c>
      <c r="AF2711">
        <f t="shared" si="269"/>
        <v>0</v>
      </c>
      <c r="AG2711" t="str">
        <f t="shared" si="270"/>
        <v/>
      </c>
      <c r="AH2711" t="str">
        <f t="shared" si="271"/>
        <v/>
      </c>
      <c r="AI2711">
        <f t="shared" si="272"/>
        <v>0</v>
      </c>
      <c r="AJ2711">
        <f t="shared" si="273"/>
        <v>0</v>
      </c>
      <c r="AK2711">
        <v>0</v>
      </c>
      <c r="AL2711" t="str">
        <f>IF(AA2711="","",IFERROR(IF(ISNUMBER('Procyfloc 1009'!D212),'Procyfloc 1009'!D212,IF(ISNUMBER(SEARCH("12",'Procyfloc 1009'!D212)),EDATE(AB2711,12),IF(ISNUMBER(SEARCH("6",'Procyfloc 1009'!D212)),EDATE(AB2711,6),IF(ISNUMBER(SEARCH("3",'Procyfloc 1009'!D212)),EDATE(AB2711,3),DATEVALUE('Procyfloc 1009'!D212))))),""))</f>
        <v/>
      </c>
      <c r="AM2711" t="str">
        <f t="shared" ca="1" si="274"/>
        <v/>
      </c>
    </row>
    <row r="2712" spans="27:39" x14ac:dyDescent="0.3">
      <c r="AA2712" t="str">
        <f>IF(COUNTA('Procyfloc 1009'!A213,'Procyfloc 1009'!B213,'Procyfloc 1009'!C213)&gt;0,"1009","")</f>
        <v/>
      </c>
      <c r="AB2712" t="str">
        <f>IFERROR(IF(ISNUMBER('Procyfloc 1009'!A213),'Procyfloc 1009'!A213,DATEVALUE('Procyfloc 1009'!A213)),"")</f>
        <v/>
      </c>
      <c r="AC2712" t="str">
        <f>IF(AA2712="","",'Procyfloc 1009'!B213)</f>
        <v/>
      </c>
      <c r="AD2712" t="str">
        <f>IF(AA2712="","",IFERROR(1*'Procyfloc 1009'!C213,IFERROR(_xludf.NUMBERVALUE('Procyfloc 1009'!C213,".",","),IFERROR(_xludf.NUMBERVALUE('Procyfloc 1009'!C213,",","."),0))))</f>
        <v/>
      </c>
      <c r="AE2712" t="str">
        <f>IF(AA2712="","",'Procyfloc 1009'!L213)</f>
        <v/>
      </c>
      <c r="AF2712">
        <f t="shared" si="269"/>
        <v>0</v>
      </c>
      <c r="AG2712" t="str">
        <f t="shared" si="270"/>
        <v/>
      </c>
      <c r="AH2712" t="str">
        <f t="shared" si="271"/>
        <v/>
      </c>
      <c r="AI2712">
        <f t="shared" si="272"/>
        <v>0</v>
      </c>
      <c r="AJ2712">
        <f t="shared" si="273"/>
        <v>0</v>
      </c>
      <c r="AK2712">
        <v>0</v>
      </c>
      <c r="AL2712" t="str">
        <f>IF(AA2712="","",IFERROR(IF(ISNUMBER('Procyfloc 1009'!D213),'Procyfloc 1009'!D213,IF(ISNUMBER(SEARCH("12",'Procyfloc 1009'!D213)),EDATE(AB2712,12),IF(ISNUMBER(SEARCH("6",'Procyfloc 1009'!D213)),EDATE(AB2712,6),IF(ISNUMBER(SEARCH("3",'Procyfloc 1009'!D213)),EDATE(AB2712,3),DATEVALUE('Procyfloc 1009'!D213))))),""))</f>
        <v/>
      </c>
      <c r="AM2712" t="str">
        <f t="shared" ca="1" si="274"/>
        <v/>
      </c>
    </row>
    <row r="2713" spans="27:39" x14ac:dyDescent="0.3">
      <c r="AA2713" t="str">
        <f>IF(COUNTA('Procyfloc 1009'!A214,'Procyfloc 1009'!B214,'Procyfloc 1009'!C214)&gt;0,"1009","")</f>
        <v/>
      </c>
      <c r="AB2713" t="str">
        <f>IFERROR(IF(ISNUMBER('Procyfloc 1009'!A214),'Procyfloc 1009'!A214,DATEVALUE('Procyfloc 1009'!A214)),"")</f>
        <v/>
      </c>
      <c r="AC2713" t="str">
        <f>IF(AA2713="","",'Procyfloc 1009'!B214)</f>
        <v/>
      </c>
      <c r="AD2713" t="str">
        <f>IF(AA2713="","",IFERROR(1*'Procyfloc 1009'!C214,IFERROR(_xludf.NUMBERVALUE('Procyfloc 1009'!C214,".",","),IFERROR(_xludf.NUMBERVALUE('Procyfloc 1009'!C214,",","."),0))))</f>
        <v/>
      </c>
      <c r="AE2713" t="str">
        <f>IF(AA2713="","",'Procyfloc 1009'!L214)</f>
        <v/>
      </c>
      <c r="AF2713">
        <f t="shared" si="269"/>
        <v>0</v>
      </c>
      <c r="AG2713" t="str">
        <f t="shared" si="270"/>
        <v/>
      </c>
      <c r="AH2713" t="str">
        <f t="shared" si="271"/>
        <v/>
      </c>
      <c r="AI2713">
        <f t="shared" si="272"/>
        <v>0</v>
      </c>
      <c r="AJ2713">
        <f t="shared" si="273"/>
        <v>0</v>
      </c>
      <c r="AK2713">
        <v>0</v>
      </c>
      <c r="AL2713" t="str">
        <f>IF(AA2713="","",IFERROR(IF(ISNUMBER('Procyfloc 1009'!D214),'Procyfloc 1009'!D214,IF(ISNUMBER(SEARCH("12",'Procyfloc 1009'!D214)),EDATE(AB2713,12),IF(ISNUMBER(SEARCH("6",'Procyfloc 1009'!D214)),EDATE(AB2713,6),IF(ISNUMBER(SEARCH("3",'Procyfloc 1009'!D214)),EDATE(AB2713,3),DATEVALUE('Procyfloc 1009'!D214))))),""))</f>
        <v/>
      </c>
      <c r="AM2713" t="str">
        <f t="shared" ca="1" si="274"/>
        <v/>
      </c>
    </row>
    <row r="2714" spans="27:39" x14ac:dyDescent="0.3">
      <c r="AA2714" t="str">
        <f>IF(COUNTA('Procyfloc 1009'!A215,'Procyfloc 1009'!B215,'Procyfloc 1009'!C215)&gt;0,"1009","")</f>
        <v/>
      </c>
      <c r="AB2714" t="str">
        <f>IFERROR(IF(ISNUMBER('Procyfloc 1009'!A215),'Procyfloc 1009'!A215,DATEVALUE('Procyfloc 1009'!A215)),"")</f>
        <v/>
      </c>
      <c r="AC2714" t="str">
        <f>IF(AA2714="","",'Procyfloc 1009'!B215)</f>
        <v/>
      </c>
      <c r="AD2714" t="str">
        <f>IF(AA2714="","",IFERROR(1*'Procyfloc 1009'!C215,IFERROR(_xludf.NUMBERVALUE('Procyfloc 1009'!C215,".",","),IFERROR(_xludf.NUMBERVALUE('Procyfloc 1009'!C215,",","."),0))))</f>
        <v/>
      </c>
      <c r="AE2714" t="str">
        <f>IF(AA2714="","",'Procyfloc 1009'!L215)</f>
        <v/>
      </c>
      <c r="AF2714">
        <f t="shared" si="269"/>
        <v>0</v>
      </c>
      <c r="AG2714" t="str">
        <f t="shared" si="270"/>
        <v/>
      </c>
      <c r="AH2714" t="str">
        <f t="shared" si="271"/>
        <v/>
      </c>
      <c r="AI2714">
        <f t="shared" si="272"/>
        <v>0</v>
      </c>
      <c r="AJ2714">
        <f t="shared" si="273"/>
        <v>0</v>
      </c>
      <c r="AK2714">
        <v>0</v>
      </c>
      <c r="AL2714" t="str">
        <f>IF(AA2714="","",IFERROR(IF(ISNUMBER('Procyfloc 1009'!D215),'Procyfloc 1009'!D215,IF(ISNUMBER(SEARCH("12",'Procyfloc 1009'!D215)),EDATE(AB2714,12),IF(ISNUMBER(SEARCH("6",'Procyfloc 1009'!D215)),EDATE(AB2714,6),IF(ISNUMBER(SEARCH("3",'Procyfloc 1009'!D215)),EDATE(AB2714,3),DATEVALUE('Procyfloc 1009'!D215))))),""))</f>
        <v/>
      </c>
      <c r="AM2714" t="str">
        <f t="shared" ca="1" si="274"/>
        <v/>
      </c>
    </row>
    <row r="2715" spans="27:39" x14ac:dyDescent="0.3">
      <c r="AA2715" t="str">
        <f>IF(COUNTA('Procyfloc 1009'!A216,'Procyfloc 1009'!B216,'Procyfloc 1009'!C216)&gt;0,"1009","")</f>
        <v/>
      </c>
      <c r="AB2715" t="str">
        <f>IFERROR(IF(ISNUMBER('Procyfloc 1009'!A216),'Procyfloc 1009'!A216,DATEVALUE('Procyfloc 1009'!A216)),"")</f>
        <v/>
      </c>
      <c r="AC2715" t="str">
        <f>IF(AA2715="","",'Procyfloc 1009'!B216)</f>
        <v/>
      </c>
      <c r="AD2715" t="str">
        <f>IF(AA2715="","",IFERROR(1*'Procyfloc 1009'!C216,IFERROR(_xludf.NUMBERVALUE('Procyfloc 1009'!C216,".",","),IFERROR(_xludf.NUMBERVALUE('Procyfloc 1009'!C216,",","."),0))))</f>
        <v/>
      </c>
      <c r="AE2715" t="str">
        <f>IF(AA2715="","",'Procyfloc 1009'!L216)</f>
        <v/>
      </c>
      <c r="AF2715">
        <f t="shared" si="269"/>
        <v>0</v>
      </c>
      <c r="AG2715" t="str">
        <f t="shared" si="270"/>
        <v/>
      </c>
      <c r="AH2715" t="str">
        <f t="shared" si="271"/>
        <v/>
      </c>
      <c r="AI2715">
        <f t="shared" si="272"/>
        <v>0</v>
      </c>
      <c r="AJ2715">
        <f t="shared" si="273"/>
        <v>0</v>
      </c>
      <c r="AK2715">
        <v>0</v>
      </c>
      <c r="AL2715" t="str">
        <f>IF(AA2715="","",IFERROR(IF(ISNUMBER('Procyfloc 1009'!D216),'Procyfloc 1009'!D216,IF(ISNUMBER(SEARCH("12",'Procyfloc 1009'!D216)),EDATE(AB2715,12),IF(ISNUMBER(SEARCH("6",'Procyfloc 1009'!D216)),EDATE(AB2715,6),IF(ISNUMBER(SEARCH("3",'Procyfloc 1009'!D216)),EDATE(AB2715,3),DATEVALUE('Procyfloc 1009'!D216))))),""))</f>
        <v/>
      </c>
      <c r="AM2715" t="str">
        <f t="shared" ca="1" si="274"/>
        <v/>
      </c>
    </row>
    <row r="2716" spans="27:39" x14ac:dyDescent="0.3">
      <c r="AA2716" t="str">
        <f>IF(COUNTA('Procyfloc 1009'!A217,'Procyfloc 1009'!B217,'Procyfloc 1009'!C217)&gt;0,"1009","")</f>
        <v/>
      </c>
      <c r="AB2716" t="str">
        <f>IFERROR(IF(ISNUMBER('Procyfloc 1009'!A217),'Procyfloc 1009'!A217,DATEVALUE('Procyfloc 1009'!A217)),"")</f>
        <v/>
      </c>
      <c r="AC2716" t="str">
        <f>IF(AA2716="","",'Procyfloc 1009'!B217)</f>
        <v/>
      </c>
      <c r="AD2716" t="str">
        <f>IF(AA2716="","",IFERROR(1*'Procyfloc 1009'!C217,IFERROR(_xludf.NUMBERVALUE('Procyfloc 1009'!C217,".",","),IFERROR(_xludf.NUMBERVALUE('Procyfloc 1009'!C217,",","."),0))))</f>
        <v/>
      </c>
      <c r="AE2716" t="str">
        <f>IF(AA2716="","",'Procyfloc 1009'!L217)</f>
        <v/>
      </c>
      <c r="AF2716">
        <f t="shared" si="269"/>
        <v>0</v>
      </c>
      <c r="AG2716" t="str">
        <f t="shared" si="270"/>
        <v/>
      </c>
      <c r="AH2716" t="str">
        <f t="shared" si="271"/>
        <v/>
      </c>
      <c r="AI2716">
        <f t="shared" si="272"/>
        <v>0</v>
      </c>
      <c r="AJ2716">
        <f t="shared" si="273"/>
        <v>0</v>
      </c>
      <c r="AK2716">
        <v>0</v>
      </c>
      <c r="AL2716" t="str">
        <f>IF(AA2716="","",IFERROR(IF(ISNUMBER('Procyfloc 1009'!D217),'Procyfloc 1009'!D217,IF(ISNUMBER(SEARCH("12",'Procyfloc 1009'!D217)),EDATE(AB2716,12),IF(ISNUMBER(SEARCH("6",'Procyfloc 1009'!D217)),EDATE(AB2716,6),IF(ISNUMBER(SEARCH("3",'Procyfloc 1009'!D217)),EDATE(AB2716,3),DATEVALUE('Procyfloc 1009'!D217))))),""))</f>
        <v/>
      </c>
      <c r="AM2716" t="str">
        <f t="shared" ca="1" si="274"/>
        <v/>
      </c>
    </row>
    <row r="2717" spans="27:39" x14ac:dyDescent="0.3">
      <c r="AA2717" t="str">
        <f>IF(COUNTA('Procyfloc 1009'!A218,'Procyfloc 1009'!B218,'Procyfloc 1009'!C218)&gt;0,"1009","")</f>
        <v/>
      </c>
      <c r="AB2717" t="str">
        <f>IFERROR(IF(ISNUMBER('Procyfloc 1009'!A218),'Procyfloc 1009'!A218,DATEVALUE('Procyfloc 1009'!A218)),"")</f>
        <v/>
      </c>
      <c r="AC2717" t="str">
        <f>IF(AA2717="","",'Procyfloc 1009'!B218)</f>
        <v/>
      </c>
      <c r="AD2717" t="str">
        <f>IF(AA2717="","",IFERROR(1*'Procyfloc 1009'!C218,IFERROR(_xludf.NUMBERVALUE('Procyfloc 1009'!C218,".",","),IFERROR(_xludf.NUMBERVALUE('Procyfloc 1009'!C218,",","."),0))))</f>
        <v/>
      </c>
      <c r="AE2717" t="str">
        <f>IF(AA2717="","",'Procyfloc 1009'!L218)</f>
        <v/>
      </c>
      <c r="AF2717">
        <f t="shared" si="269"/>
        <v>0</v>
      </c>
      <c r="AG2717" t="str">
        <f t="shared" si="270"/>
        <v/>
      </c>
      <c r="AH2717" t="str">
        <f t="shared" si="271"/>
        <v/>
      </c>
      <c r="AI2717">
        <f t="shared" si="272"/>
        <v>0</v>
      </c>
      <c r="AJ2717">
        <f t="shared" si="273"/>
        <v>0</v>
      </c>
      <c r="AK2717">
        <v>0</v>
      </c>
      <c r="AL2717" t="str">
        <f>IF(AA2717="","",IFERROR(IF(ISNUMBER('Procyfloc 1009'!D218),'Procyfloc 1009'!D218,IF(ISNUMBER(SEARCH("12",'Procyfloc 1009'!D218)),EDATE(AB2717,12),IF(ISNUMBER(SEARCH("6",'Procyfloc 1009'!D218)),EDATE(AB2717,6),IF(ISNUMBER(SEARCH("3",'Procyfloc 1009'!D218)),EDATE(AB2717,3),DATEVALUE('Procyfloc 1009'!D218))))),""))</f>
        <v/>
      </c>
      <c r="AM2717" t="str">
        <f t="shared" ca="1" si="274"/>
        <v/>
      </c>
    </row>
    <row r="2718" spans="27:39" x14ac:dyDescent="0.3">
      <c r="AA2718" t="str">
        <f>IF(COUNTA('Procyfloc 1009'!A219,'Procyfloc 1009'!B219,'Procyfloc 1009'!C219)&gt;0,"1009","")</f>
        <v/>
      </c>
      <c r="AB2718" t="str">
        <f>IFERROR(IF(ISNUMBER('Procyfloc 1009'!A219),'Procyfloc 1009'!A219,DATEVALUE('Procyfloc 1009'!A219)),"")</f>
        <v/>
      </c>
      <c r="AC2718" t="str">
        <f>IF(AA2718="","",'Procyfloc 1009'!B219)</f>
        <v/>
      </c>
      <c r="AD2718" t="str">
        <f>IF(AA2718="","",IFERROR(1*'Procyfloc 1009'!C219,IFERROR(_xludf.NUMBERVALUE('Procyfloc 1009'!C219,".",","),IFERROR(_xludf.NUMBERVALUE('Procyfloc 1009'!C219,",","."),0))))</f>
        <v/>
      </c>
      <c r="AE2718" t="str">
        <f>IF(AA2718="","",'Procyfloc 1009'!L219)</f>
        <v/>
      </c>
      <c r="AF2718">
        <f t="shared" si="269"/>
        <v>0</v>
      </c>
      <c r="AG2718" t="str">
        <f t="shared" si="270"/>
        <v/>
      </c>
      <c r="AH2718" t="str">
        <f t="shared" si="271"/>
        <v/>
      </c>
      <c r="AI2718">
        <f t="shared" si="272"/>
        <v>0</v>
      </c>
      <c r="AJ2718">
        <f t="shared" si="273"/>
        <v>0</v>
      </c>
      <c r="AK2718">
        <v>0</v>
      </c>
      <c r="AL2718" t="str">
        <f>IF(AA2718="","",IFERROR(IF(ISNUMBER('Procyfloc 1009'!D219),'Procyfloc 1009'!D219,IF(ISNUMBER(SEARCH("12",'Procyfloc 1009'!D219)),EDATE(AB2718,12),IF(ISNUMBER(SEARCH("6",'Procyfloc 1009'!D219)),EDATE(AB2718,6),IF(ISNUMBER(SEARCH("3",'Procyfloc 1009'!D219)),EDATE(AB2718,3),DATEVALUE('Procyfloc 1009'!D219))))),""))</f>
        <v/>
      </c>
      <c r="AM2718" t="str">
        <f t="shared" ca="1" si="274"/>
        <v/>
      </c>
    </row>
    <row r="2719" spans="27:39" x14ac:dyDescent="0.3">
      <c r="AA2719" t="str">
        <f>IF(COUNTA('Procyfloc 1009'!A220,'Procyfloc 1009'!B220,'Procyfloc 1009'!C220)&gt;0,"1009","")</f>
        <v/>
      </c>
      <c r="AB2719" t="str">
        <f>IFERROR(IF(ISNUMBER('Procyfloc 1009'!A220),'Procyfloc 1009'!A220,DATEVALUE('Procyfloc 1009'!A220)),"")</f>
        <v/>
      </c>
      <c r="AC2719" t="str">
        <f>IF(AA2719="","",'Procyfloc 1009'!B220)</f>
        <v/>
      </c>
      <c r="AD2719" t="str">
        <f>IF(AA2719="","",IFERROR(1*'Procyfloc 1009'!C220,IFERROR(_xludf.NUMBERVALUE('Procyfloc 1009'!C220,".",","),IFERROR(_xludf.NUMBERVALUE('Procyfloc 1009'!C220,",","."),0))))</f>
        <v/>
      </c>
      <c r="AE2719" t="str">
        <f>IF(AA2719="","",'Procyfloc 1009'!L220)</f>
        <v/>
      </c>
      <c r="AF2719">
        <f t="shared" si="269"/>
        <v>0</v>
      </c>
      <c r="AG2719" t="str">
        <f t="shared" si="270"/>
        <v/>
      </c>
      <c r="AH2719" t="str">
        <f t="shared" si="271"/>
        <v/>
      </c>
      <c r="AI2719">
        <f t="shared" si="272"/>
        <v>0</v>
      </c>
      <c r="AJ2719">
        <f t="shared" si="273"/>
        <v>0</v>
      </c>
      <c r="AK2719">
        <v>0</v>
      </c>
      <c r="AL2719" t="str">
        <f>IF(AA2719="","",IFERROR(IF(ISNUMBER('Procyfloc 1009'!D220),'Procyfloc 1009'!D220,IF(ISNUMBER(SEARCH("12",'Procyfloc 1009'!D220)),EDATE(AB2719,12),IF(ISNUMBER(SEARCH("6",'Procyfloc 1009'!D220)),EDATE(AB2719,6),IF(ISNUMBER(SEARCH("3",'Procyfloc 1009'!D220)),EDATE(AB2719,3),DATEVALUE('Procyfloc 1009'!D220))))),""))</f>
        <v/>
      </c>
      <c r="AM2719" t="str">
        <f t="shared" ca="1" si="274"/>
        <v/>
      </c>
    </row>
    <row r="2720" spans="27:39" x14ac:dyDescent="0.3">
      <c r="AA2720" t="str">
        <f>IF(COUNTA('Procyfloc 1009'!A221,'Procyfloc 1009'!B221,'Procyfloc 1009'!C221)&gt;0,"1009","")</f>
        <v/>
      </c>
      <c r="AB2720" t="str">
        <f>IFERROR(IF(ISNUMBER('Procyfloc 1009'!A221),'Procyfloc 1009'!A221,DATEVALUE('Procyfloc 1009'!A221)),"")</f>
        <v/>
      </c>
      <c r="AC2720" t="str">
        <f>IF(AA2720="","",'Procyfloc 1009'!B221)</f>
        <v/>
      </c>
      <c r="AD2720" t="str">
        <f>IF(AA2720="","",IFERROR(1*'Procyfloc 1009'!C221,IFERROR(_xludf.NUMBERVALUE('Procyfloc 1009'!C221,".",","),IFERROR(_xludf.NUMBERVALUE('Procyfloc 1009'!C221,",","."),0))))</f>
        <v/>
      </c>
      <c r="AE2720" t="str">
        <f>IF(AA2720="","",'Procyfloc 1009'!L221)</f>
        <v/>
      </c>
      <c r="AF2720">
        <f t="shared" si="269"/>
        <v>0</v>
      </c>
      <c r="AG2720" t="str">
        <f t="shared" si="270"/>
        <v/>
      </c>
      <c r="AH2720" t="str">
        <f t="shared" si="271"/>
        <v/>
      </c>
      <c r="AI2720">
        <f t="shared" si="272"/>
        <v>0</v>
      </c>
      <c r="AJ2720">
        <f t="shared" si="273"/>
        <v>0</v>
      </c>
      <c r="AK2720">
        <v>0</v>
      </c>
      <c r="AL2720" t="str">
        <f>IF(AA2720="","",IFERROR(IF(ISNUMBER('Procyfloc 1009'!D221),'Procyfloc 1009'!D221,IF(ISNUMBER(SEARCH("12",'Procyfloc 1009'!D221)),EDATE(AB2720,12),IF(ISNUMBER(SEARCH("6",'Procyfloc 1009'!D221)),EDATE(AB2720,6),IF(ISNUMBER(SEARCH("3",'Procyfloc 1009'!D221)),EDATE(AB2720,3),DATEVALUE('Procyfloc 1009'!D221))))),""))</f>
        <v/>
      </c>
      <c r="AM2720" t="str">
        <f t="shared" ca="1" si="274"/>
        <v/>
      </c>
    </row>
    <row r="2721" spans="27:39" x14ac:dyDescent="0.3">
      <c r="AA2721" t="str">
        <f>IF(COUNTA('Procyfloc 1009'!A222,'Procyfloc 1009'!B222,'Procyfloc 1009'!C222)&gt;0,"1009","")</f>
        <v/>
      </c>
      <c r="AB2721" t="str">
        <f>IFERROR(IF(ISNUMBER('Procyfloc 1009'!A222),'Procyfloc 1009'!A222,DATEVALUE('Procyfloc 1009'!A222)),"")</f>
        <v/>
      </c>
      <c r="AC2721" t="str">
        <f>IF(AA2721="","",'Procyfloc 1009'!B222)</f>
        <v/>
      </c>
      <c r="AD2721" t="str">
        <f>IF(AA2721="","",IFERROR(1*'Procyfloc 1009'!C222,IFERROR(_xludf.NUMBERVALUE('Procyfloc 1009'!C222,".",","),IFERROR(_xludf.NUMBERVALUE('Procyfloc 1009'!C222,",","."),0))))</f>
        <v/>
      </c>
      <c r="AE2721" t="str">
        <f>IF(AA2721="","",'Procyfloc 1009'!L222)</f>
        <v/>
      </c>
      <c r="AF2721">
        <f t="shared" si="269"/>
        <v>0</v>
      </c>
      <c r="AG2721" t="str">
        <f t="shared" si="270"/>
        <v/>
      </c>
      <c r="AH2721" t="str">
        <f t="shared" si="271"/>
        <v/>
      </c>
      <c r="AI2721">
        <f t="shared" si="272"/>
        <v>0</v>
      </c>
      <c r="AJ2721">
        <f t="shared" si="273"/>
        <v>0</v>
      </c>
      <c r="AK2721">
        <v>0</v>
      </c>
      <c r="AL2721" t="str">
        <f>IF(AA2721="","",IFERROR(IF(ISNUMBER('Procyfloc 1009'!D222),'Procyfloc 1009'!D222,IF(ISNUMBER(SEARCH("12",'Procyfloc 1009'!D222)),EDATE(AB2721,12),IF(ISNUMBER(SEARCH("6",'Procyfloc 1009'!D222)),EDATE(AB2721,6),IF(ISNUMBER(SEARCH("3",'Procyfloc 1009'!D222)),EDATE(AB2721,3),DATEVALUE('Procyfloc 1009'!D222))))),""))</f>
        <v/>
      </c>
      <c r="AM2721" t="str">
        <f t="shared" ca="1" si="274"/>
        <v/>
      </c>
    </row>
    <row r="2722" spans="27:39" x14ac:dyDescent="0.3">
      <c r="AA2722" t="str">
        <f>IF(COUNTA('Procyfloc 1009'!A223,'Procyfloc 1009'!B223,'Procyfloc 1009'!C223)&gt;0,"1009","")</f>
        <v/>
      </c>
      <c r="AB2722" t="str">
        <f>IFERROR(IF(ISNUMBER('Procyfloc 1009'!A223),'Procyfloc 1009'!A223,DATEVALUE('Procyfloc 1009'!A223)),"")</f>
        <v/>
      </c>
      <c r="AC2722" t="str">
        <f>IF(AA2722="","",'Procyfloc 1009'!B223)</f>
        <v/>
      </c>
      <c r="AD2722" t="str">
        <f>IF(AA2722="","",IFERROR(1*'Procyfloc 1009'!C223,IFERROR(_xludf.NUMBERVALUE('Procyfloc 1009'!C223,".",","),IFERROR(_xludf.NUMBERVALUE('Procyfloc 1009'!C223,",","."),0))))</f>
        <v/>
      </c>
      <c r="AE2722" t="str">
        <f>IF(AA2722="","",'Procyfloc 1009'!L223)</f>
        <v/>
      </c>
      <c r="AF2722">
        <f t="shared" si="269"/>
        <v>0</v>
      </c>
      <c r="AG2722" t="str">
        <f t="shared" si="270"/>
        <v/>
      </c>
      <c r="AH2722" t="str">
        <f t="shared" si="271"/>
        <v/>
      </c>
      <c r="AI2722">
        <f t="shared" si="272"/>
        <v>0</v>
      </c>
      <c r="AJ2722">
        <f t="shared" si="273"/>
        <v>0</v>
      </c>
      <c r="AK2722">
        <v>0</v>
      </c>
      <c r="AL2722" t="str">
        <f>IF(AA2722="","",IFERROR(IF(ISNUMBER('Procyfloc 1009'!D223),'Procyfloc 1009'!D223,IF(ISNUMBER(SEARCH("12",'Procyfloc 1009'!D223)),EDATE(AB2722,12),IF(ISNUMBER(SEARCH("6",'Procyfloc 1009'!D223)),EDATE(AB2722,6),IF(ISNUMBER(SEARCH("3",'Procyfloc 1009'!D223)),EDATE(AB2722,3),DATEVALUE('Procyfloc 1009'!D223))))),""))</f>
        <v/>
      </c>
      <c r="AM2722" t="str">
        <f t="shared" ca="1" si="274"/>
        <v/>
      </c>
    </row>
    <row r="2723" spans="27:39" x14ac:dyDescent="0.3">
      <c r="AA2723" t="str">
        <f>IF(COUNTA('Procyfloc 1009'!A224,'Procyfloc 1009'!B224,'Procyfloc 1009'!C224)&gt;0,"1009","")</f>
        <v/>
      </c>
      <c r="AB2723" t="str">
        <f>IFERROR(IF(ISNUMBER('Procyfloc 1009'!A224),'Procyfloc 1009'!A224,DATEVALUE('Procyfloc 1009'!A224)),"")</f>
        <v/>
      </c>
      <c r="AC2723" t="str">
        <f>IF(AA2723="","",'Procyfloc 1009'!B224)</f>
        <v/>
      </c>
      <c r="AD2723" t="str">
        <f>IF(AA2723="","",IFERROR(1*'Procyfloc 1009'!C224,IFERROR(_xludf.NUMBERVALUE('Procyfloc 1009'!C224,".",","),IFERROR(_xludf.NUMBERVALUE('Procyfloc 1009'!C224,",","."),0))))</f>
        <v/>
      </c>
      <c r="AE2723" t="str">
        <f>IF(AA2723="","",'Procyfloc 1009'!L224)</f>
        <v/>
      </c>
      <c r="AF2723">
        <f t="shared" si="269"/>
        <v>0</v>
      </c>
      <c r="AG2723" t="str">
        <f t="shared" si="270"/>
        <v/>
      </c>
      <c r="AH2723" t="str">
        <f t="shared" si="271"/>
        <v/>
      </c>
      <c r="AI2723">
        <f t="shared" si="272"/>
        <v>0</v>
      </c>
      <c r="AJ2723">
        <f t="shared" si="273"/>
        <v>0</v>
      </c>
      <c r="AK2723">
        <v>0</v>
      </c>
      <c r="AL2723" t="str">
        <f>IF(AA2723="","",IFERROR(IF(ISNUMBER('Procyfloc 1009'!D224),'Procyfloc 1009'!D224,IF(ISNUMBER(SEARCH("12",'Procyfloc 1009'!D224)),EDATE(AB2723,12),IF(ISNUMBER(SEARCH("6",'Procyfloc 1009'!D224)),EDATE(AB2723,6),IF(ISNUMBER(SEARCH("3",'Procyfloc 1009'!D224)),EDATE(AB2723,3),DATEVALUE('Procyfloc 1009'!D224))))),""))</f>
        <v/>
      </c>
      <c r="AM2723" t="str">
        <f t="shared" ca="1" si="274"/>
        <v/>
      </c>
    </row>
    <row r="2724" spans="27:39" x14ac:dyDescent="0.3">
      <c r="AA2724" t="str">
        <f>IF(COUNTA('Procyfloc 1009'!A225,'Procyfloc 1009'!B225,'Procyfloc 1009'!C225)&gt;0,"1009","")</f>
        <v/>
      </c>
      <c r="AB2724" t="str">
        <f>IFERROR(IF(ISNUMBER('Procyfloc 1009'!A225),'Procyfloc 1009'!A225,DATEVALUE('Procyfloc 1009'!A225)),"")</f>
        <v/>
      </c>
      <c r="AC2724" t="str">
        <f>IF(AA2724="","",'Procyfloc 1009'!B225)</f>
        <v/>
      </c>
      <c r="AD2724" t="str">
        <f>IF(AA2724="","",IFERROR(1*'Procyfloc 1009'!C225,IFERROR(_xludf.NUMBERVALUE('Procyfloc 1009'!C225,".",","),IFERROR(_xludf.NUMBERVALUE('Procyfloc 1009'!C225,",","."),0))))</f>
        <v/>
      </c>
      <c r="AE2724" t="str">
        <f>IF(AA2724="","",'Procyfloc 1009'!L225)</f>
        <v/>
      </c>
      <c r="AF2724">
        <f t="shared" si="269"/>
        <v>0</v>
      </c>
      <c r="AG2724" t="str">
        <f t="shared" si="270"/>
        <v/>
      </c>
      <c r="AH2724" t="str">
        <f t="shared" si="271"/>
        <v/>
      </c>
      <c r="AI2724">
        <f t="shared" si="272"/>
        <v>0</v>
      </c>
      <c r="AJ2724">
        <f t="shared" si="273"/>
        <v>0</v>
      </c>
      <c r="AK2724">
        <v>0</v>
      </c>
      <c r="AL2724" t="str">
        <f>IF(AA2724="","",IFERROR(IF(ISNUMBER('Procyfloc 1009'!D225),'Procyfloc 1009'!D225,IF(ISNUMBER(SEARCH("12",'Procyfloc 1009'!D225)),EDATE(AB2724,12),IF(ISNUMBER(SEARCH("6",'Procyfloc 1009'!D225)),EDATE(AB2724,6),IF(ISNUMBER(SEARCH("3",'Procyfloc 1009'!D225)),EDATE(AB2724,3),DATEVALUE('Procyfloc 1009'!D225))))),""))</f>
        <v/>
      </c>
      <c r="AM2724" t="str">
        <f t="shared" ca="1" si="274"/>
        <v/>
      </c>
    </row>
    <row r="2725" spans="27:39" x14ac:dyDescent="0.3">
      <c r="AA2725" t="str">
        <f>IF(COUNTA('Procyfloc 1009'!A226,'Procyfloc 1009'!B226,'Procyfloc 1009'!C226)&gt;0,"1009","")</f>
        <v/>
      </c>
      <c r="AB2725" t="str">
        <f>IFERROR(IF(ISNUMBER('Procyfloc 1009'!A226),'Procyfloc 1009'!A226,DATEVALUE('Procyfloc 1009'!A226)),"")</f>
        <v/>
      </c>
      <c r="AC2725" t="str">
        <f>IF(AA2725="","",'Procyfloc 1009'!B226)</f>
        <v/>
      </c>
      <c r="AD2725" t="str">
        <f>IF(AA2725="","",IFERROR(1*'Procyfloc 1009'!C226,IFERROR(_xludf.NUMBERVALUE('Procyfloc 1009'!C226,".",","),IFERROR(_xludf.NUMBERVALUE('Procyfloc 1009'!C226,",","."),0))))</f>
        <v/>
      </c>
      <c r="AE2725" t="str">
        <f>IF(AA2725="","",'Procyfloc 1009'!L226)</f>
        <v/>
      </c>
      <c r="AF2725">
        <f t="shared" si="269"/>
        <v>0</v>
      </c>
      <c r="AG2725" t="str">
        <f t="shared" si="270"/>
        <v/>
      </c>
      <c r="AH2725" t="str">
        <f t="shared" si="271"/>
        <v/>
      </c>
      <c r="AI2725">
        <f t="shared" si="272"/>
        <v>0</v>
      </c>
      <c r="AJ2725">
        <f t="shared" si="273"/>
        <v>0</v>
      </c>
      <c r="AK2725">
        <v>0</v>
      </c>
      <c r="AL2725" t="str">
        <f>IF(AA2725="","",IFERROR(IF(ISNUMBER('Procyfloc 1009'!D226),'Procyfloc 1009'!D226,IF(ISNUMBER(SEARCH("12",'Procyfloc 1009'!D226)),EDATE(AB2725,12),IF(ISNUMBER(SEARCH("6",'Procyfloc 1009'!D226)),EDATE(AB2725,6),IF(ISNUMBER(SEARCH("3",'Procyfloc 1009'!D226)),EDATE(AB2725,3),DATEVALUE('Procyfloc 1009'!D226))))),""))</f>
        <v/>
      </c>
      <c r="AM2725" t="str">
        <f t="shared" ca="1" si="274"/>
        <v/>
      </c>
    </row>
    <row r="2726" spans="27:39" x14ac:dyDescent="0.3">
      <c r="AA2726" t="str">
        <f>IF(COUNTA('Procyfloc 1009'!A227,'Procyfloc 1009'!B227,'Procyfloc 1009'!C227)&gt;0,"1009","")</f>
        <v/>
      </c>
      <c r="AB2726" t="str">
        <f>IFERROR(IF(ISNUMBER('Procyfloc 1009'!A227),'Procyfloc 1009'!A227,DATEVALUE('Procyfloc 1009'!A227)),"")</f>
        <v/>
      </c>
      <c r="AC2726" t="str">
        <f>IF(AA2726="","",'Procyfloc 1009'!B227)</f>
        <v/>
      </c>
      <c r="AD2726" t="str">
        <f>IF(AA2726="","",IFERROR(1*'Procyfloc 1009'!C227,IFERROR(_xludf.NUMBERVALUE('Procyfloc 1009'!C227,".",","),IFERROR(_xludf.NUMBERVALUE('Procyfloc 1009'!C227,",","."),0))))</f>
        <v/>
      </c>
      <c r="AE2726" t="str">
        <f>IF(AA2726="","",'Procyfloc 1009'!L227)</f>
        <v/>
      </c>
      <c r="AF2726">
        <f t="shared" si="269"/>
        <v>0</v>
      </c>
      <c r="AG2726" t="str">
        <f t="shared" si="270"/>
        <v/>
      </c>
      <c r="AH2726" t="str">
        <f t="shared" si="271"/>
        <v/>
      </c>
      <c r="AI2726">
        <f t="shared" si="272"/>
        <v>0</v>
      </c>
      <c r="AJ2726">
        <f t="shared" si="273"/>
        <v>0</v>
      </c>
      <c r="AK2726">
        <v>0</v>
      </c>
      <c r="AL2726" t="str">
        <f>IF(AA2726="","",IFERROR(IF(ISNUMBER('Procyfloc 1009'!D227),'Procyfloc 1009'!D227,IF(ISNUMBER(SEARCH("12",'Procyfloc 1009'!D227)),EDATE(AB2726,12),IF(ISNUMBER(SEARCH("6",'Procyfloc 1009'!D227)),EDATE(AB2726,6),IF(ISNUMBER(SEARCH("3",'Procyfloc 1009'!D227)),EDATE(AB2726,3),DATEVALUE('Procyfloc 1009'!D227))))),""))</f>
        <v/>
      </c>
      <c r="AM2726" t="str">
        <f t="shared" ca="1" si="274"/>
        <v/>
      </c>
    </row>
    <row r="2727" spans="27:39" x14ac:dyDescent="0.3">
      <c r="AA2727" t="str">
        <f>IF(COUNTA('Procyfloc 1009'!A228,'Procyfloc 1009'!B228,'Procyfloc 1009'!C228)&gt;0,"1009","")</f>
        <v/>
      </c>
      <c r="AB2727" t="str">
        <f>IFERROR(IF(ISNUMBER('Procyfloc 1009'!A228),'Procyfloc 1009'!A228,DATEVALUE('Procyfloc 1009'!A228)),"")</f>
        <v/>
      </c>
      <c r="AC2727" t="str">
        <f>IF(AA2727="","",'Procyfloc 1009'!B228)</f>
        <v/>
      </c>
      <c r="AD2727" t="str">
        <f>IF(AA2727="","",IFERROR(1*'Procyfloc 1009'!C228,IFERROR(_xludf.NUMBERVALUE('Procyfloc 1009'!C228,".",","),IFERROR(_xludf.NUMBERVALUE('Procyfloc 1009'!C228,",","."),0))))</f>
        <v/>
      </c>
      <c r="AE2727" t="str">
        <f>IF(AA2727="","",'Procyfloc 1009'!L228)</f>
        <v/>
      </c>
      <c r="AF2727">
        <f t="shared" si="269"/>
        <v>0</v>
      </c>
      <c r="AG2727" t="str">
        <f t="shared" si="270"/>
        <v/>
      </c>
      <c r="AH2727" t="str">
        <f t="shared" si="271"/>
        <v/>
      </c>
      <c r="AI2727">
        <f t="shared" si="272"/>
        <v>0</v>
      </c>
      <c r="AJ2727">
        <f t="shared" si="273"/>
        <v>0</v>
      </c>
      <c r="AK2727">
        <v>0</v>
      </c>
      <c r="AL2727" t="str">
        <f>IF(AA2727="","",IFERROR(IF(ISNUMBER('Procyfloc 1009'!D228),'Procyfloc 1009'!D228,IF(ISNUMBER(SEARCH("12",'Procyfloc 1009'!D228)),EDATE(AB2727,12),IF(ISNUMBER(SEARCH("6",'Procyfloc 1009'!D228)),EDATE(AB2727,6),IF(ISNUMBER(SEARCH("3",'Procyfloc 1009'!D228)),EDATE(AB2727,3),DATEVALUE('Procyfloc 1009'!D228))))),""))</f>
        <v/>
      </c>
      <c r="AM2727" t="str">
        <f t="shared" ca="1" si="274"/>
        <v/>
      </c>
    </row>
    <row r="2728" spans="27:39" x14ac:dyDescent="0.3">
      <c r="AA2728" t="str">
        <f>IF(COUNTA('Procyfloc 1009'!A229,'Procyfloc 1009'!B229,'Procyfloc 1009'!C229)&gt;0,"1009","")</f>
        <v/>
      </c>
      <c r="AB2728" t="str">
        <f>IFERROR(IF(ISNUMBER('Procyfloc 1009'!A229),'Procyfloc 1009'!A229,DATEVALUE('Procyfloc 1009'!A229)),"")</f>
        <v/>
      </c>
      <c r="AC2728" t="str">
        <f>IF(AA2728="","",'Procyfloc 1009'!B229)</f>
        <v/>
      </c>
      <c r="AD2728" t="str">
        <f>IF(AA2728="","",IFERROR(1*'Procyfloc 1009'!C229,IFERROR(_xludf.NUMBERVALUE('Procyfloc 1009'!C229,".",","),IFERROR(_xludf.NUMBERVALUE('Procyfloc 1009'!C229,",","."),0))))</f>
        <v/>
      </c>
      <c r="AE2728" t="str">
        <f>IF(AA2728="","",'Procyfloc 1009'!L229)</f>
        <v/>
      </c>
      <c r="AF2728">
        <f t="shared" si="269"/>
        <v>0</v>
      </c>
      <c r="AG2728" t="str">
        <f t="shared" si="270"/>
        <v/>
      </c>
      <c r="AH2728" t="str">
        <f t="shared" si="271"/>
        <v/>
      </c>
      <c r="AI2728">
        <f t="shared" si="272"/>
        <v>0</v>
      </c>
      <c r="AJ2728">
        <f t="shared" si="273"/>
        <v>0</v>
      </c>
      <c r="AK2728">
        <v>0</v>
      </c>
      <c r="AL2728" t="str">
        <f>IF(AA2728="","",IFERROR(IF(ISNUMBER('Procyfloc 1009'!D229),'Procyfloc 1009'!D229,IF(ISNUMBER(SEARCH("12",'Procyfloc 1009'!D229)),EDATE(AB2728,12),IF(ISNUMBER(SEARCH("6",'Procyfloc 1009'!D229)),EDATE(AB2728,6),IF(ISNUMBER(SEARCH("3",'Procyfloc 1009'!D229)),EDATE(AB2728,3),DATEVALUE('Procyfloc 1009'!D229))))),""))</f>
        <v/>
      </c>
      <c r="AM2728" t="str">
        <f t="shared" ca="1" si="274"/>
        <v/>
      </c>
    </row>
    <row r="2729" spans="27:39" x14ac:dyDescent="0.3">
      <c r="AA2729" t="str">
        <f>IF(COUNTA('Procyfloc 1009'!A230,'Procyfloc 1009'!B230,'Procyfloc 1009'!C230)&gt;0,"1009","")</f>
        <v/>
      </c>
      <c r="AB2729" t="str">
        <f>IFERROR(IF(ISNUMBER('Procyfloc 1009'!A230),'Procyfloc 1009'!A230,DATEVALUE('Procyfloc 1009'!A230)),"")</f>
        <v/>
      </c>
      <c r="AC2729" t="str">
        <f>IF(AA2729="","",'Procyfloc 1009'!B230)</f>
        <v/>
      </c>
      <c r="AD2729" t="str">
        <f>IF(AA2729="","",IFERROR(1*'Procyfloc 1009'!C230,IFERROR(_xludf.NUMBERVALUE('Procyfloc 1009'!C230,".",","),IFERROR(_xludf.NUMBERVALUE('Procyfloc 1009'!C230,",","."),0))))</f>
        <v/>
      </c>
      <c r="AE2729" t="str">
        <f>IF(AA2729="","",'Procyfloc 1009'!L230)</f>
        <v/>
      </c>
      <c r="AF2729">
        <f t="shared" si="269"/>
        <v>0</v>
      </c>
      <c r="AG2729" t="str">
        <f t="shared" si="270"/>
        <v/>
      </c>
      <c r="AH2729" t="str">
        <f t="shared" si="271"/>
        <v/>
      </c>
      <c r="AI2729">
        <f t="shared" si="272"/>
        <v>0</v>
      </c>
      <c r="AJ2729">
        <f t="shared" si="273"/>
        <v>0</v>
      </c>
      <c r="AK2729">
        <v>0</v>
      </c>
      <c r="AL2729" t="str">
        <f>IF(AA2729="","",IFERROR(IF(ISNUMBER('Procyfloc 1009'!D230),'Procyfloc 1009'!D230,IF(ISNUMBER(SEARCH("12",'Procyfloc 1009'!D230)),EDATE(AB2729,12),IF(ISNUMBER(SEARCH("6",'Procyfloc 1009'!D230)),EDATE(AB2729,6),IF(ISNUMBER(SEARCH("3",'Procyfloc 1009'!D230)),EDATE(AB2729,3),DATEVALUE('Procyfloc 1009'!D230))))),""))</f>
        <v/>
      </c>
      <c r="AM2729" t="str">
        <f t="shared" ca="1" si="274"/>
        <v/>
      </c>
    </row>
    <row r="2730" spans="27:39" x14ac:dyDescent="0.3">
      <c r="AA2730" t="str">
        <f>IF(COUNTA('Procyfloc 1009'!A231,'Procyfloc 1009'!B231,'Procyfloc 1009'!C231)&gt;0,"1009","")</f>
        <v/>
      </c>
      <c r="AB2730" t="str">
        <f>IFERROR(IF(ISNUMBER('Procyfloc 1009'!A231),'Procyfloc 1009'!A231,DATEVALUE('Procyfloc 1009'!A231)),"")</f>
        <v/>
      </c>
      <c r="AC2730" t="str">
        <f>IF(AA2730="","",'Procyfloc 1009'!B231)</f>
        <v/>
      </c>
      <c r="AD2730" t="str">
        <f>IF(AA2730="","",IFERROR(1*'Procyfloc 1009'!C231,IFERROR(_xludf.NUMBERVALUE('Procyfloc 1009'!C231,".",","),IFERROR(_xludf.NUMBERVALUE('Procyfloc 1009'!C231,",","."),0))))</f>
        <v/>
      </c>
      <c r="AE2730" t="str">
        <f>IF(AA2730="","",'Procyfloc 1009'!L231)</f>
        <v/>
      </c>
      <c r="AF2730">
        <f t="shared" si="269"/>
        <v>0</v>
      </c>
      <c r="AG2730" t="str">
        <f t="shared" si="270"/>
        <v/>
      </c>
      <c r="AH2730" t="str">
        <f t="shared" si="271"/>
        <v/>
      </c>
      <c r="AI2730">
        <f t="shared" si="272"/>
        <v>0</v>
      </c>
      <c r="AJ2730">
        <f t="shared" si="273"/>
        <v>0</v>
      </c>
      <c r="AK2730">
        <v>0</v>
      </c>
      <c r="AL2730" t="str">
        <f>IF(AA2730="","",IFERROR(IF(ISNUMBER('Procyfloc 1009'!D231),'Procyfloc 1009'!D231,IF(ISNUMBER(SEARCH("12",'Procyfloc 1009'!D231)),EDATE(AB2730,12),IF(ISNUMBER(SEARCH("6",'Procyfloc 1009'!D231)),EDATE(AB2730,6),IF(ISNUMBER(SEARCH("3",'Procyfloc 1009'!D231)),EDATE(AB2730,3),DATEVALUE('Procyfloc 1009'!D231))))),""))</f>
        <v/>
      </c>
      <c r="AM2730" t="str">
        <f t="shared" ca="1" si="274"/>
        <v/>
      </c>
    </row>
    <row r="2731" spans="27:39" x14ac:dyDescent="0.3">
      <c r="AA2731" t="str">
        <f>IF(COUNTA('Procyfloc 1009'!A232,'Procyfloc 1009'!B232,'Procyfloc 1009'!C232)&gt;0,"1009","")</f>
        <v/>
      </c>
      <c r="AB2731" t="str">
        <f>IFERROR(IF(ISNUMBER('Procyfloc 1009'!A232),'Procyfloc 1009'!A232,DATEVALUE('Procyfloc 1009'!A232)),"")</f>
        <v/>
      </c>
      <c r="AC2731" t="str">
        <f>IF(AA2731="","",'Procyfloc 1009'!B232)</f>
        <v/>
      </c>
      <c r="AD2731" t="str">
        <f>IF(AA2731="","",IFERROR(1*'Procyfloc 1009'!C232,IFERROR(_xludf.NUMBERVALUE('Procyfloc 1009'!C232,".",","),IFERROR(_xludf.NUMBERVALUE('Procyfloc 1009'!C232,",","."),0))))</f>
        <v/>
      </c>
      <c r="AE2731" t="str">
        <f>IF(AA2731="","",'Procyfloc 1009'!L232)</f>
        <v/>
      </c>
      <c r="AF2731">
        <f t="shared" si="269"/>
        <v>0</v>
      </c>
      <c r="AG2731" t="str">
        <f t="shared" si="270"/>
        <v/>
      </c>
      <c r="AH2731" t="str">
        <f t="shared" si="271"/>
        <v/>
      </c>
      <c r="AI2731">
        <f t="shared" si="272"/>
        <v>0</v>
      </c>
      <c r="AJ2731">
        <f t="shared" si="273"/>
        <v>0</v>
      </c>
      <c r="AK2731">
        <v>0</v>
      </c>
      <c r="AL2731" t="str">
        <f>IF(AA2731="","",IFERROR(IF(ISNUMBER('Procyfloc 1009'!D232),'Procyfloc 1009'!D232,IF(ISNUMBER(SEARCH("12",'Procyfloc 1009'!D232)),EDATE(AB2731,12),IF(ISNUMBER(SEARCH("6",'Procyfloc 1009'!D232)),EDATE(AB2731,6),IF(ISNUMBER(SEARCH("3",'Procyfloc 1009'!D232)),EDATE(AB2731,3),DATEVALUE('Procyfloc 1009'!D232))))),""))</f>
        <v/>
      </c>
      <c r="AM2731" t="str">
        <f t="shared" ca="1" si="274"/>
        <v/>
      </c>
    </row>
    <row r="2732" spans="27:39" x14ac:dyDescent="0.3">
      <c r="AA2732" t="str">
        <f>IF(COUNTA('Procyfloc 1009'!A233,'Procyfloc 1009'!B233,'Procyfloc 1009'!C233)&gt;0,"1009","")</f>
        <v/>
      </c>
      <c r="AB2732" t="str">
        <f>IFERROR(IF(ISNUMBER('Procyfloc 1009'!A233),'Procyfloc 1009'!A233,DATEVALUE('Procyfloc 1009'!A233)),"")</f>
        <v/>
      </c>
      <c r="AC2732" t="str">
        <f>IF(AA2732="","",'Procyfloc 1009'!B233)</f>
        <v/>
      </c>
      <c r="AD2732" t="str">
        <f>IF(AA2732="","",IFERROR(1*'Procyfloc 1009'!C233,IFERROR(_xludf.NUMBERVALUE('Procyfloc 1009'!C233,".",","),IFERROR(_xludf.NUMBERVALUE('Procyfloc 1009'!C233,",","."),0))))</f>
        <v/>
      </c>
      <c r="AE2732" t="str">
        <f>IF(AA2732="","",'Procyfloc 1009'!L233)</f>
        <v/>
      </c>
      <c r="AF2732">
        <f t="shared" si="269"/>
        <v>0</v>
      </c>
      <c r="AG2732" t="str">
        <f t="shared" si="270"/>
        <v/>
      </c>
      <c r="AH2732" t="str">
        <f t="shared" si="271"/>
        <v/>
      </c>
      <c r="AI2732">
        <f t="shared" si="272"/>
        <v>0</v>
      </c>
      <c r="AJ2732">
        <f t="shared" si="273"/>
        <v>0</v>
      </c>
      <c r="AK2732">
        <v>0</v>
      </c>
      <c r="AL2732" t="str">
        <f>IF(AA2732="","",IFERROR(IF(ISNUMBER('Procyfloc 1009'!D233),'Procyfloc 1009'!D233,IF(ISNUMBER(SEARCH("12",'Procyfloc 1009'!D233)),EDATE(AB2732,12),IF(ISNUMBER(SEARCH("6",'Procyfloc 1009'!D233)),EDATE(AB2732,6),IF(ISNUMBER(SEARCH("3",'Procyfloc 1009'!D233)),EDATE(AB2732,3),DATEVALUE('Procyfloc 1009'!D233))))),""))</f>
        <v/>
      </c>
      <c r="AM2732" t="str">
        <f t="shared" ca="1" si="274"/>
        <v/>
      </c>
    </row>
    <row r="2733" spans="27:39" x14ac:dyDescent="0.3">
      <c r="AA2733" t="str">
        <f>IF(COUNTA('Procyfloc 1009'!A234,'Procyfloc 1009'!B234,'Procyfloc 1009'!C234)&gt;0,"1009","")</f>
        <v/>
      </c>
      <c r="AB2733" t="str">
        <f>IFERROR(IF(ISNUMBER('Procyfloc 1009'!A234),'Procyfloc 1009'!A234,DATEVALUE('Procyfloc 1009'!A234)),"")</f>
        <v/>
      </c>
      <c r="AC2733" t="str">
        <f>IF(AA2733="","",'Procyfloc 1009'!B234)</f>
        <v/>
      </c>
      <c r="AD2733" t="str">
        <f>IF(AA2733="","",IFERROR(1*'Procyfloc 1009'!C234,IFERROR(_xludf.NUMBERVALUE('Procyfloc 1009'!C234,".",","),IFERROR(_xludf.NUMBERVALUE('Procyfloc 1009'!C234,",","."),0))))</f>
        <v/>
      </c>
      <c r="AE2733" t="str">
        <f>IF(AA2733="","",'Procyfloc 1009'!L234)</f>
        <v/>
      </c>
      <c r="AF2733">
        <f t="shared" si="269"/>
        <v>0</v>
      </c>
      <c r="AG2733" t="str">
        <f t="shared" si="270"/>
        <v/>
      </c>
      <c r="AH2733" t="str">
        <f t="shared" si="271"/>
        <v/>
      </c>
      <c r="AI2733">
        <f t="shared" si="272"/>
        <v>0</v>
      </c>
      <c r="AJ2733">
        <f t="shared" si="273"/>
        <v>0</v>
      </c>
      <c r="AK2733">
        <v>0</v>
      </c>
      <c r="AL2733" t="str">
        <f>IF(AA2733="","",IFERROR(IF(ISNUMBER('Procyfloc 1009'!D234),'Procyfloc 1009'!D234,IF(ISNUMBER(SEARCH("12",'Procyfloc 1009'!D234)),EDATE(AB2733,12),IF(ISNUMBER(SEARCH("6",'Procyfloc 1009'!D234)),EDATE(AB2733,6),IF(ISNUMBER(SEARCH("3",'Procyfloc 1009'!D234)),EDATE(AB2733,3),DATEVALUE('Procyfloc 1009'!D234))))),""))</f>
        <v/>
      </c>
      <c r="AM2733" t="str">
        <f t="shared" ca="1" si="274"/>
        <v/>
      </c>
    </row>
    <row r="2734" spans="27:39" x14ac:dyDescent="0.3">
      <c r="AA2734" t="str">
        <f>IF(COUNTA('Procyfloc 1009'!A235,'Procyfloc 1009'!B235,'Procyfloc 1009'!C235)&gt;0,"1009","")</f>
        <v/>
      </c>
      <c r="AB2734" t="str">
        <f>IFERROR(IF(ISNUMBER('Procyfloc 1009'!A235),'Procyfloc 1009'!A235,DATEVALUE('Procyfloc 1009'!A235)),"")</f>
        <v/>
      </c>
      <c r="AC2734" t="str">
        <f>IF(AA2734="","",'Procyfloc 1009'!B235)</f>
        <v/>
      </c>
      <c r="AD2734" t="str">
        <f>IF(AA2734="","",IFERROR(1*'Procyfloc 1009'!C235,IFERROR(_xludf.NUMBERVALUE('Procyfloc 1009'!C235,".",","),IFERROR(_xludf.NUMBERVALUE('Procyfloc 1009'!C235,",","."),0))))</f>
        <v/>
      </c>
      <c r="AE2734" t="str">
        <f>IF(AA2734="","",'Procyfloc 1009'!L235)</f>
        <v/>
      </c>
      <c r="AF2734">
        <f t="shared" si="269"/>
        <v>0</v>
      </c>
      <c r="AG2734" t="str">
        <f t="shared" si="270"/>
        <v/>
      </c>
      <c r="AH2734" t="str">
        <f t="shared" si="271"/>
        <v/>
      </c>
      <c r="AI2734">
        <f t="shared" si="272"/>
        <v>0</v>
      </c>
      <c r="AJ2734">
        <f t="shared" si="273"/>
        <v>0</v>
      </c>
      <c r="AK2734">
        <v>0</v>
      </c>
      <c r="AL2734" t="str">
        <f>IF(AA2734="","",IFERROR(IF(ISNUMBER('Procyfloc 1009'!D235),'Procyfloc 1009'!D235,IF(ISNUMBER(SEARCH("12",'Procyfloc 1009'!D235)),EDATE(AB2734,12),IF(ISNUMBER(SEARCH("6",'Procyfloc 1009'!D235)),EDATE(AB2734,6),IF(ISNUMBER(SEARCH("3",'Procyfloc 1009'!D235)),EDATE(AB2734,3),DATEVALUE('Procyfloc 1009'!D235))))),""))</f>
        <v/>
      </c>
      <c r="AM2734" t="str">
        <f t="shared" ca="1" si="274"/>
        <v/>
      </c>
    </row>
    <row r="2735" spans="27:39" x14ac:dyDescent="0.3">
      <c r="AA2735" t="str">
        <f>IF(COUNTA('Procyfloc 1009'!A236,'Procyfloc 1009'!B236,'Procyfloc 1009'!C236)&gt;0,"1009","")</f>
        <v/>
      </c>
      <c r="AB2735" t="str">
        <f>IFERROR(IF(ISNUMBER('Procyfloc 1009'!A236),'Procyfloc 1009'!A236,DATEVALUE('Procyfloc 1009'!A236)),"")</f>
        <v/>
      </c>
      <c r="AC2735" t="str">
        <f>IF(AA2735="","",'Procyfloc 1009'!B236)</f>
        <v/>
      </c>
      <c r="AD2735" t="str">
        <f>IF(AA2735="","",IFERROR(1*'Procyfloc 1009'!C236,IFERROR(_xludf.NUMBERVALUE('Procyfloc 1009'!C236,".",","),IFERROR(_xludf.NUMBERVALUE('Procyfloc 1009'!C236,",","."),0))))</f>
        <v/>
      </c>
      <c r="AE2735" t="str">
        <f>IF(AA2735="","",'Procyfloc 1009'!L236)</f>
        <v/>
      </c>
      <c r="AF2735">
        <f t="shared" si="269"/>
        <v>0</v>
      </c>
      <c r="AG2735" t="str">
        <f t="shared" si="270"/>
        <v/>
      </c>
      <c r="AH2735" t="str">
        <f t="shared" si="271"/>
        <v/>
      </c>
      <c r="AI2735">
        <f t="shared" si="272"/>
        <v>0</v>
      </c>
      <c r="AJ2735">
        <f t="shared" si="273"/>
        <v>0</v>
      </c>
      <c r="AK2735">
        <v>0</v>
      </c>
      <c r="AL2735" t="str">
        <f>IF(AA2735="","",IFERROR(IF(ISNUMBER('Procyfloc 1009'!D236),'Procyfloc 1009'!D236,IF(ISNUMBER(SEARCH("12",'Procyfloc 1009'!D236)),EDATE(AB2735,12),IF(ISNUMBER(SEARCH("6",'Procyfloc 1009'!D236)),EDATE(AB2735,6),IF(ISNUMBER(SEARCH("3",'Procyfloc 1009'!D236)),EDATE(AB2735,3),DATEVALUE('Procyfloc 1009'!D236))))),""))</f>
        <v/>
      </c>
      <c r="AM2735" t="str">
        <f t="shared" ca="1" si="274"/>
        <v/>
      </c>
    </row>
    <row r="2736" spans="27:39" x14ac:dyDescent="0.3">
      <c r="AA2736" t="str">
        <f>IF(COUNTA('Procyfloc 1009'!A237,'Procyfloc 1009'!B237,'Procyfloc 1009'!C237)&gt;0,"1009","")</f>
        <v/>
      </c>
      <c r="AB2736" t="str">
        <f>IFERROR(IF(ISNUMBER('Procyfloc 1009'!A237),'Procyfloc 1009'!A237,DATEVALUE('Procyfloc 1009'!A237)),"")</f>
        <v/>
      </c>
      <c r="AC2736" t="str">
        <f>IF(AA2736="","",'Procyfloc 1009'!B237)</f>
        <v/>
      </c>
      <c r="AD2736" t="str">
        <f>IF(AA2736="","",IFERROR(1*'Procyfloc 1009'!C237,IFERROR(_xludf.NUMBERVALUE('Procyfloc 1009'!C237,".",","),IFERROR(_xludf.NUMBERVALUE('Procyfloc 1009'!C237,",","."),0))))</f>
        <v/>
      </c>
      <c r="AE2736" t="str">
        <f>IF(AA2736="","",'Procyfloc 1009'!L237)</f>
        <v/>
      </c>
      <c r="AF2736">
        <f t="shared" si="269"/>
        <v>0</v>
      </c>
      <c r="AG2736" t="str">
        <f t="shared" si="270"/>
        <v/>
      </c>
      <c r="AH2736" t="str">
        <f t="shared" si="271"/>
        <v/>
      </c>
      <c r="AI2736">
        <f t="shared" si="272"/>
        <v>0</v>
      </c>
      <c r="AJ2736">
        <f t="shared" si="273"/>
        <v>0</v>
      </c>
      <c r="AK2736">
        <v>0</v>
      </c>
      <c r="AL2736" t="str">
        <f>IF(AA2736="","",IFERROR(IF(ISNUMBER('Procyfloc 1009'!D237),'Procyfloc 1009'!D237,IF(ISNUMBER(SEARCH("12",'Procyfloc 1009'!D237)),EDATE(AB2736,12),IF(ISNUMBER(SEARCH("6",'Procyfloc 1009'!D237)),EDATE(AB2736,6),IF(ISNUMBER(SEARCH("3",'Procyfloc 1009'!D237)),EDATE(AB2736,3),DATEVALUE('Procyfloc 1009'!D237))))),""))</f>
        <v/>
      </c>
      <c r="AM2736" t="str">
        <f t="shared" ca="1" si="274"/>
        <v/>
      </c>
    </row>
    <row r="2737" spans="27:39" x14ac:dyDescent="0.3">
      <c r="AA2737" t="str">
        <f>IF(COUNTA('Procyfloc 1009'!A238,'Procyfloc 1009'!B238,'Procyfloc 1009'!C238)&gt;0,"1009","")</f>
        <v/>
      </c>
      <c r="AB2737" t="str">
        <f>IFERROR(IF(ISNUMBER('Procyfloc 1009'!A238),'Procyfloc 1009'!A238,DATEVALUE('Procyfloc 1009'!A238)),"")</f>
        <v/>
      </c>
      <c r="AC2737" t="str">
        <f>IF(AA2737="","",'Procyfloc 1009'!B238)</f>
        <v/>
      </c>
      <c r="AD2737" t="str">
        <f>IF(AA2737="","",IFERROR(1*'Procyfloc 1009'!C238,IFERROR(_xludf.NUMBERVALUE('Procyfloc 1009'!C238,".",","),IFERROR(_xludf.NUMBERVALUE('Procyfloc 1009'!C238,",","."),0))))</f>
        <v/>
      </c>
      <c r="AE2737" t="str">
        <f>IF(AA2737="","",'Procyfloc 1009'!L238)</f>
        <v/>
      </c>
      <c r="AF2737">
        <f t="shared" si="269"/>
        <v>0</v>
      </c>
      <c r="AG2737" t="str">
        <f t="shared" si="270"/>
        <v/>
      </c>
      <c r="AH2737" t="str">
        <f t="shared" si="271"/>
        <v/>
      </c>
      <c r="AI2737">
        <f t="shared" si="272"/>
        <v>0</v>
      </c>
      <c r="AJ2737">
        <f t="shared" si="273"/>
        <v>0</v>
      </c>
      <c r="AK2737">
        <v>0</v>
      </c>
      <c r="AL2737" t="str">
        <f>IF(AA2737="","",IFERROR(IF(ISNUMBER('Procyfloc 1009'!D238),'Procyfloc 1009'!D238,IF(ISNUMBER(SEARCH("12",'Procyfloc 1009'!D238)),EDATE(AB2737,12),IF(ISNUMBER(SEARCH("6",'Procyfloc 1009'!D238)),EDATE(AB2737,6),IF(ISNUMBER(SEARCH("3",'Procyfloc 1009'!D238)),EDATE(AB2737,3),DATEVALUE('Procyfloc 1009'!D238))))),""))</f>
        <v/>
      </c>
      <c r="AM2737" t="str">
        <f t="shared" ca="1" si="274"/>
        <v/>
      </c>
    </row>
    <row r="2738" spans="27:39" x14ac:dyDescent="0.3">
      <c r="AA2738" t="str">
        <f>IF(COUNTA('Procyfloc 1009'!A239,'Procyfloc 1009'!B239,'Procyfloc 1009'!C239)&gt;0,"1009","")</f>
        <v/>
      </c>
      <c r="AB2738" t="str">
        <f>IFERROR(IF(ISNUMBER('Procyfloc 1009'!A239),'Procyfloc 1009'!A239,DATEVALUE('Procyfloc 1009'!A239)),"")</f>
        <v/>
      </c>
      <c r="AC2738" t="str">
        <f>IF(AA2738="","",'Procyfloc 1009'!B239)</f>
        <v/>
      </c>
      <c r="AD2738" t="str">
        <f>IF(AA2738="","",IFERROR(1*'Procyfloc 1009'!C239,IFERROR(_xludf.NUMBERVALUE('Procyfloc 1009'!C239,".",","),IFERROR(_xludf.NUMBERVALUE('Procyfloc 1009'!C239,",","."),0))))</f>
        <v/>
      </c>
      <c r="AE2738" t="str">
        <f>IF(AA2738="","",'Procyfloc 1009'!L239)</f>
        <v/>
      </c>
      <c r="AF2738">
        <f t="shared" si="269"/>
        <v>0</v>
      </c>
      <c r="AG2738" t="str">
        <f t="shared" si="270"/>
        <v/>
      </c>
      <c r="AH2738" t="str">
        <f t="shared" si="271"/>
        <v/>
      </c>
      <c r="AI2738">
        <f t="shared" si="272"/>
        <v>0</v>
      </c>
      <c r="AJ2738">
        <f t="shared" si="273"/>
        <v>0</v>
      </c>
      <c r="AK2738">
        <v>0</v>
      </c>
      <c r="AL2738" t="str">
        <f>IF(AA2738="","",IFERROR(IF(ISNUMBER('Procyfloc 1009'!D239),'Procyfloc 1009'!D239,IF(ISNUMBER(SEARCH("12",'Procyfloc 1009'!D239)),EDATE(AB2738,12),IF(ISNUMBER(SEARCH("6",'Procyfloc 1009'!D239)),EDATE(AB2738,6),IF(ISNUMBER(SEARCH("3",'Procyfloc 1009'!D239)),EDATE(AB2738,3),DATEVALUE('Procyfloc 1009'!D239))))),""))</f>
        <v/>
      </c>
      <c r="AM2738" t="str">
        <f t="shared" ca="1" si="274"/>
        <v/>
      </c>
    </row>
    <row r="2739" spans="27:39" x14ac:dyDescent="0.3">
      <c r="AA2739" t="str">
        <f>IF(COUNTA('Procyfloc 1009'!A240,'Procyfloc 1009'!B240,'Procyfloc 1009'!C240)&gt;0,"1009","")</f>
        <v/>
      </c>
      <c r="AB2739" t="str">
        <f>IFERROR(IF(ISNUMBER('Procyfloc 1009'!A240),'Procyfloc 1009'!A240,DATEVALUE('Procyfloc 1009'!A240)),"")</f>
        <v/>
      </c>
      <c r="AC2739" t="str">
        <f>IF(AA2739="","",'Procyfloc 1009'!B240)</f>
        <v/>
      </c>
      <c r="AD2739" t="str">
        <f>IF(AA2739="","",IFERROR(1*'Procyfloc 1009'!C240,IFERROR(_xludf.NUMBERVALUE('Procyfloc 1009'!C240,".",","),IFERROR(_xludf.NUMBERVALUE('Procyfloc 1009'!C240,",","."),0))))</f>
        <v/>
      </c>
      <c r="AE2739" t="str">
        <f>IF(AA2739="","",'Procyfloc 1009'!L240)</f>
        <v/>
      </c>
      <c r="AF2739">
        <f t="shared" si="269"/>
        <v>0</v>
      </c>
      <c r="AG2739" t="str">
        <f t="shared" si="270"/>
        <v/>
      </c>
      <c r="AH2739" t="str">
        <f t="shared" si="271"/>
        <v/>
      </c>
      <c r="AI2739">
        <f t="shared" si="272"/>
        <v>0</v>
      </c>
      <c r="AJ2739">
        <f t="shared" si="273"/>
        <v>0</v>
      </c>
      <c r="AK2739">
        <v>0</v>
      </c>
      <c r="AL2739" t="str">
        <f>IF(AA2739="","",IFERROR(IF(ISNUMBER('Procyfloc 1009'!D240),'Procyfloc 1009'!D240,IF(ISNUMBER(SEARCH("12",'Procyfloc 1009'!D240)),EDATE(AB2739,12),IF(ISNUMBER(SEARCH("6",'Procyfloc 1009'!D240)),EDATE(AB2739,6),IF(ISNUMBER(SEARCH("3",'Procyfloc 1009'!D240)),EDATE(AB2739,3),DATEVALUE('Procyfloc 1009'!D240))))),""))</f>
        <v/>
      </c>
      <c r="AM2739" t="str">
        <f t="shared" ca="1" si="274"/>
        <v/>
      </c>
    </row>
    <row r="2740" spans="27:39" x14ac:dyDescent="0.3">
      <c r="AA2740" t="str">
        <f>IF(COUNTA('Procyfloc 1009'!A241,'Procyfloc 1009'!B241,'Procyfloc 1009'!C241)&gt;0,"1009","")</f>
        <v/>
      </c>
      <c r="AB2740" t="str">
        <f>IFERROR(IF(ISNUMBER('Procyfloc 1009'!A241),'Procyfloc 1009'!A241,DATEVALUE('Procyfloc 1009'!A241)),"")</f>
        <v/>
      </c>
      <c r="AC2740" t="str">
        <f>IF(AA2740="","",'Procyfloc 1009'!B241)</f>
        <v/>
      </c>
      <c r="AD2740" t="str">
        <f>IF(AA2740="","",IFERROR(1*'Procyfloc 1009'!C241,IFERROR(_xludf.NUMBERVALUE('Procyfloc 1009'!C241,".",","),IFERROR(_xludf.NUMBERVALUE('Procyfloc 1009'!C241,",","."),0))))</f>
        <v/>
      </c>
      <c r="AE2740" t="str">
        <f>IF(AA2740="","",'Procyfloc 1009'!L241)</f>
        <v/>
      </c>
      <c r="AF2740">
        <f t="shared" si="269"/>
        <v>0</v>
      </c>
      <c r="AG2740" t="str">
        <f t="shared" si="270"/>
        <v/>
      </c>
      <c r="AH2740" t="str">
        <f t="shared" si="271"/>
        <v/>
      </c>
      <c r="AI2740">
        <f t="shared" si="272"/>
        <v>0</v>
      </c>
      <c r="AJ2740">
        <f t="shared" si="273"/>
        <v>0</v>
      </c>
      <c r="AK2740">
        <v>0</v>
      </c>
      <c r="AL2740" t="str">
        <f>IF(AA2740="","",IFERROR(IF(ISNUMBER('Procyfloc 1009'!D241),'Procyfloc 1009'!D241,IF(ISNUMBER(SEARCH("12",'Procyfloc 1009'!D241)),EDATE(AB2740,12),IF(ISNUMBER(SEARCH("6",'Procyfloc 1009'!D241)),EDATE(AB2740,6),IF(ISNUMBER(SEARCH("3",'Procyfloc 1009'!D241)),EDATE(AB2740,3),DATEVALUE('Procyfloc 1009'!D241))))),""))</f>
        <v/>
      </c>
      <c r="AM2740" t="str">
        <f t="shared" ca="1" si="274"/>
        <v/>
      </c>
    </row>
    <row r="2741" spans="27:39" x14ac:dyDescent="0.3">
      <c r="AA2741" t="str">
        <f>IF(COUNTA('Procyfloc 1009'!A242,'Procyfloc 1009'!B242,'Procyfloc 1009'!C242)&gt;0,"1009","")</f>
        <v/>
      </c>
      <c r="AB2741" t="str">
        <f>IFERROR(IF(ISNUMBER('Procyfloc 1009'!A242),'Procyfloc 1009'!A242,DATEVALUE('Procyfloc 1009'!A242)),"")</f>
        <v/>
      </c>
      <c r="AC2741" t="str">
        <f>IF(AA2741="","",'Procyfloc 1009'!B242)</f>
        <v/>
      </c>
      <c r="AD2741" t="str">
        <f>IF(AA2741="","",IFERROR(1*'Procyfloc 1009'!C242,IFERROR(_xludf.NUMBERVALUE('Procyfloc 1009'!C242,".",","),IFERROR(_xludf.NUMBERVALUE('Procyfloc 1009'!C242,",","."),0))))</f>
        <v/>
      </c>
      <c r="AE2741" t="str">
        <f>IF(AA2741="","",'Procyfloc 1009'!L242)</f>
        <v/>
      </c>
      <c r="AF2741">
        <f t="shared" si="269"/>
        <v>0</v>
      </c>
      <c r="AG2741" t="str">
        <f t="shared" si="270"/>
        <v/>
      </c>
      <c r="AH2741" t="str">
        <f t="shared" si="271"/>
        <v/>
      </c>
      <c r="AI2741">
        <f t="shared" si="272"/>
        <v>0</v>
      </c>
      <c r="AJ2741">
        <f t="shared" si="273"/>
        <v>0</v>
      </c>
      <c r="AK2741">
        <v>0</v>
      </c>
      <c r="AL2741" t="str">
        <f>IF(AA2741="","",IFERROR(IF(ISNUMBER('Procyfloc 1009'!D242),'Procyfloc 1009'!D242,IF(ISNUMBER(SEARCH("12",'Procyfloc 1009'!D242)),EDATE(AB2741,12),IF(ISNUMBER(SEARCH("6",'Procyfloc 1009'!D242)),EDATE(AB2741,6),IF(ISNUMBER(SEARCH("3",'Procyfloc 1009'!D242)),EDATE(AB2741,3),DATEVALUE('Procyfloc 1009'!D242))))),""))</f>
        <v/>
      </c>
      <c r="AM2741" t="str">
        <f t="shared" ca="1" si="274"/>
        <v/>
      </c>
    </row>
    <row r="2742" spans="27:39" x14ac:dyDescent="0.3">
      <c r="AA2742" t="str">
        <f>IF(COUNTA('Procyfloc 1009'!A243,'Procyfloc 1009'!B243,'Procyfloc 1009'!C243)&gt;0,"1009","")</f>
        <v/>
      </c>
      <c r="AB2742" t="str">
        <f>IFERROR(IF(ISNUMBER('Procyfloc 1009'!A243),'Procyfloc 1009'!A243,DATEVALUE('Procyfloc 1009'!A243)),"")</f>
        <v/>
      </c>
      <c r="AC2742" t="str">
        <f>IF(AA2742="","",'Procyfloc 1009'!B243)</f>
        <v/>
      </c>
      <c r="AD2742" t="str">
        <f>IF(AA2742="","",IFERROR(1*'Procyfloc 1009'!C243,IFERROR(_xludf.NUMBERVALUE('Procyfloc 1009'!C243,".",","),IFERROR(_xludf.NUMBERVALUE('Procyfloc 1009'!C243,",","."),0))))</f>
        <v/>
      </c>
      <c r="AE2742" t="str">
        <f>IF(AA2742="","",'Procyfloc 1009'!L243)</f>
        <v/>
      </c>
      <c r="AF2742">
        <f t="shared" si="269"/>
        <v>0</v>
      </c>
      <c r="AG2742" t="str">
        <f t="shared" si="270"/>
        <v/>
      </c>
      <c r="AH2742" t="str">
        <f t="shared" si="271"/>
        <v/>
      </c>
      <c r="AI2742">
        <f t="shared" si="272"/>
        <v>0</v>
      </c>
      <c r="AJ2742">
        <f t="shared" si="273"/>
        <v>0</v>
      </c>
      <c r="AK2742">
        <v>0</v>
      </c>
      <c r="AL2742" t="str">
        <f>IF(AA2742="","",IFERROR(IF(ISNUMBER('Procyfloc 1009'!D243),'Procyfloc 1009'!D243,IF(ISNUMBER(SEARCH("12",'Procyfloc 1009'!D243)),EDATE(AB2742,12),IF(ISNUMBER(SEARCH("6",'Procyfloc 1009'!D243)),EDATE(AB2742,6),IF(ISNUMBER(SEARCH("3",'Procyfloc 1009'!D243)),EDATE(AB2742,3),DATEVALUE('Procyfloc 1009'!D243))))),""))</f>
        <v/>
      </c>
      <c r="AM2742" t="str">
        <f t="shared" ca="1" si="274"/>
        <v/>
      </c>
    </row>
    <row r="2743" spans="27:39" x14ac:dyDescent="0.3">
      <c r="AA2743" t="str">
        <f>IF(COUNTA('Procyfloc 1009'!A244,'Procyfloc 1009'!B244,'Procyfloc 1009'!C244)&gt;0,"1009","")</f>
        <v/>
      </c>
      <c r="AB2743" t="str">
        <f>IFERROR(IF(ISNUMBER('Procyfloc 1009'!A244),'Procyfloc 1009'!A244,DATEVALUE('Procyfloc 1009'!A244)),"")</f>
        <v/>
      </c>
      <c r="AC2743" t="str">
        <f>IF(AA2743="","",'Procyfloc 1009'!B244)</f>
        <v/>
      </c>
      <c r="AD2743" t="str">
        <f>IF(AA2743="","",IFERROR(1*'Procyfloc 1009'!C244,IFERROR(_xludf.NUMBERVALUE('Procyfloc 1009'!C244,".",","),IFERROR(_xludf.NUMBERVALUE('Procyfloc 1009'!C244,",","."),0))))</f>
        <v/>
      </c>
      <c r="AE2743" t="str">
        <f>IF(AA2743="","",'Procyfloc 1009'!L244)</f>
        <v/>
      </c>
      <c r="AF2743">
        <f t="shared" si="269"/>
        <v>0</v>
      </c>
      <c r="AG2743" t="str">
        <f t="shared" si="270"/>
        <v/>
      </c>
      <c r="AH2743" t="str">
        <f t="shared" si="271"/>
        <v/>
      </c>
      <c r="AI2743">
        <f t="shared" si="272"/>
        <v>0</v>
      </c>
      <c r="AJ2743">
        <f t="shared" si="273"/>
        <v>0</v>
      </c>
      <c r="AK2743">
        <v>0</v>
      </c>
      <c r="AL2743" t="str">
        <f>IF(AA2743="","",IFERROR(IF(ISNUMBER('Procyfloc 1009'!D244),'Procyfloc 1009'!D244,IF(ISNUMBER(SEARCH("12",'Procyfloc 1009'!D244)),EDATE(AB2743,12),IF(ISNUMBER(SEARCH("6",'Procyfloc 1009'!D244)),EDATE(AB2743,6),IF(ISNUMBER(SEARCH("3",'Procyfloc 1009'!D244)),EDATE(AB2743,3),DATEVALUE('Procyfloc 1009'!D244))))),""))</f>
        <v/>
      </c>
      <c r="AM2743" t="str">
        <f t="shared" ca="1" si="274"/>
        <v/>
      </c>
    </row>
    <row r="2744" spans="27:39" x14ac:dyDescent="0.3">
      <c r="AA2744" t="str">
        <f>IF(COUNTA('Procyfloc 1009'!A245,'Procyfloc 1009'!B245,'Procyfloc 1009'!C245)&gt;0,"1009","")</f>
        <v/>
      </c>
      <c r="AB2744" t="str">
        <f>IFERROR(IF(ISNUMBER('Procyfloc 1009'!A245),'Procyfloc 1009'!A245,DATEVALUE('Procyfloc 1009'!A245)),"")</f>
        <v/>
      </c>
      <c r="AC2744" t="str">
        <f>IF(AA2744="","",'Procyfloc 1009'!B245)</f>
        <v/>
      </c>
      <c r="AD2744" t="str">
        <f>IF(AA2744="","",IFERROR(1*'Procyfloc 1009'!C245,IFERROR(_xludf.NUMBERVALUE('Procyfloc 1009'!C245,".",","),IFERROR(_xludf.NUMBERVALUE('Procyfloc 1009'!C245,",","."),0))))</f>
        <v/>
      </c>
      <c r="AE2744" t="str">
        <f>IF(AA2744="","",'Procyfloc 1009'!L245)</f>
        <v/>
      </c>
      <c r="AF2744">
        <f t="shared" si="269"/>
        <v>0</v>
      </c>
      <c r="AG2744" t="str">
        <f t="shared" si="270"/>
        <v/>
      </c>
      <c r="AH2744" t="str">
        <f t="shared" si="271"/>
        <v/>
      </c>
      <c r="AI2744">
        <f t="shared" si="272"/>
        <v>0</v>
      </c>
      <c r="AJ2744">
        <f t="shared" si="273"/>
        <v>0</v>
      </c>
      <c r="AK2744">
        <v>0</v>
      </c>
      <c r="AL2744" t="str">
        <f>IF(AA2744="","",IFERROR(IF(ISNUMBER('Procyfloc 1009'!D245),'Procyfloc 1009'!D245,IF(ISNUMBER(SEARCH("12",'Procyfloc 1009'!D245)),EDATE(AB2744,12),IF(ISNUMBER(SEARCH("6",'Procyfloc 1009'!D245)),EDATE(AB2744,6),IF(ISNUMBER(SEARCH("3",'Procyfloc 1009'!D245)),EDATE(AB2744,3),DATEVALUE('Procyfloc 1009'!D245))))),""))</f>
        <v/>
      </c>
      <c r="AM2744" t="str">
        <f t="shared" ca="1" si="274"/>
        <v/>
      </c>
    </row>
    <row r="2745" spans="27:39" x14ac:dyDescent="0.3">
      <c r="AA2745" t="str">
        <f>IF(COUNTA('Procyfloc 1009'!A246,'Procyfloc 1009'!B246,'Procyfloc 1009'!C246)&gt;0,"1009","")</f>
        <v/>
      </c>
      <c r="AB2745" t="str">
        <f>IFERROR(IF(ISNUMBER('Procyfloc 1009'!A246),'Procyfloc 1009'!A246,DATEVALUE('Procyfloc 1009'!A246)),"")</f>
        <v/>
      </c>
      <c r="AC2745" t="str">
        <f>IF(AA2745="","",'Procyfloc 1009'!B246)</f>
        <v/>
      </c>
      <c r="AD2745" t="str">
        <f>IF(AA2745="","",IFERROR(1*'Procyfloc 1009'!C246,IFERROR(_xludf.NUMBERVALUE('Procyfloc 1009'!C246,".",","),IFERROR(_xludf.NUMBERVALUE('Procyfloc 1009'!C246,",","."),0))))</f>
        <v/>
      </c>
      <c r="AE2745" t="str">
        <f>IF(AA2745="","",'Procyfloc 1009'!L246)</f>
        <v/>
      </c>
      <c r="AF2745">
        <f t="shared" si="269"/>
        <v>0</v>
      </c>
      <c r="AG2745" t="str">
        <f t="shared" si="270"/>
        <v/>
      </c>
      <c r="AH2745" t="str">
        <f t="shared" si="271"/>
        <v/>
      </c>
      <c r="AI2745">
        <f t="shared" si="272"/>
        <v>0</v>
      </c>
      <c r="AJ2745">
        <f t="shared" si="273"/>
        <v>0</v>
      </c>
      <c r="AK2745">
        <v>0</v>
      </c>
      <c r="AL2745" t="str">
        <f>IF(AA2745="","",IFERROR(IF(ISNUMBER('Procyfloc 1009'!D246),'Procyfloc 1009'!D246,IF(ISNUMBER(SEARCH("12",'Procyfloc 1009'!D246)),EDATE(AB2745,12),IF(ISNUMBER(SEARCH("6",'Procyfloc 1009'!D246)),EDATE(AB2745,6),IF(ISNUMBER(SEARCH("3",'Procyfloc 1009'!D246)),EDATE(AB2745,3),DATEVALUE('Procyfloc 1009'!D246))))),""))</f>
        <v/>
      </c>
      <c r="AM2745" t="str">
        <f t="shared" ca="1" si="274"/>
        <v/>
      </c>
    </row>
    <row r="2746" spans="27:39" x14ac:dyDescent="0.3">
      <c r="AA2746" t="str">
        <f>IF(COUNTA('Procyfloc 1009'!A247,'Procyfloc 1009'!B247,'Procyfloc 1009'!C247)&gt;0,"1009","")</f>
        <v/>
      </c>
      <c r="AB2746" t="str">
        <f>IFERROR(IF(ISNUMBER('Procyfloc 1009'!A247),'Procyfloc 1009'!A247,DATEVALUE('Procyfloc 1009'!A247)),"")</f>
        <v/>
      </c>
      <c r="AC2746" t="str">
        <f>IF(AA2746="","",'Procyfloc 1009'!B247)</f>
        <v/>
      </c>
      <c r="AD2746" t="str">
        <f>IF(AA2746="","",IFERROR(1*'Procyfloc 1009'!C247,IFERROR(_xludf.NUMBERVALUE('Procyfloc 1009'!C247,".",","),IFERROR(_xludf.NUMBERVALUE('Procyfloc 1009'!C247,",","."),0))))</f>
        <v/>
      </c>
      <c r="AE2746" t="str">
        <f>IF(AA2746="","",'Procyfloc 1009'!L247)</f>
        <v/>
      </c>
      <c r="AF2746">
        <f t="shared" si="269"/>
        <v>0</v>
      </c>
      <c r="AG2746" t="str">
        <f t="shared" si="270"/>
        <v/>
      </c>
      <c r="AH2746" t="str">
        <f t="shared" si="271"/>
        <v/>
      </c>
      <c r="AI2746">
        <f t="shared" si="272"/>
        <v>0</v>
      </c>
      <c r="AJ2746">
        <f t="shared" si="273"/>
        <v>0</v>
      </c>
      <c r="AK2746">
        <v>0</v>
      </c>
      <c r="AL2746" t="str">
        <f>IF(AA2746="","",IFERROR(IF(ISNUMBER('Procyfloc 1009'!D247),'Procyfloc 1009'!D247,IF(ISNUMBER(SEARCH("12",'Procyfloc 1009'!D247)),EDATE(AB2746,12),IF(ISNUMBER(SEARCH("6",'Procyfloc 1009'!D247)),EDATE(AB2746,6),IF(ISNUMBER(SEARCH("3",'Procyfloc 1009'!D247)),EDATE(AB2746,3),DATEVALUE('Procyfloc 1009'!D247))))),""))</f>
        <v/>
      </c>
      <c r="AM2746" t="str">
        <f t="shared" ca="1" si="274"/>
        <v/>
      </c>
    </row>
    <row r="2747" spans="27:39" x14ac:dyDescent="0.3">
      <c r="AA2747" t="str">
        <f>IF(COUNTA('Procyfloc 1009'!A248,'Procyfloc 1009'!B248,'Procyfloc 1009'!C248)&gt;0,"1009","")</f>
        <v/>
      </c>
      <c r="AB2747" t="str">
        <f>IFERROR(IF(ISNUMBER('Procyfloc 1009'!A248),'Procyfloc 1009'!A248,DATEVALUE('Procyfloc 1009'!A248)),"")</f>
        <v/>
      </c>
      <c r="AC2747" t="str">
        <f>IF(AA2747="","",'Procyfloc 1009'!B248)</f>
        <v/>
      </c>
      <c r="AD2747" t="str">
        <f>IF(AA2747="","",IFERROR(1*'Procyfloc 1009'!C248,IFERROR(_xludf.NUMBERVALUE('Procyfloc 1009'!C248,".",","),IFERROR(_xludf.NUMBERVALUE('Procyfloc 1009'!C248,",","."),0))))</f>
        <v/>
      </c>
      <c r="AE2747" t="str">
        <f>IF(AA2747="","",'Procyfloc 1009'!L248)</f>
        <v/>
      </c>
      <c r="AF2747">
        <f t="shared" si="269"/>
        <v>0</v>
      </c>
      <c r="AG2747" t="str">
        <f t="shared" si="270"/>
        <v/>
      </c>
      <c r="AH2747" t="str">
        <f t="shared" si="271"/>
        <v/>
      </c>
      <c r="AI2747">
        <f t="shared" si="272"/>
        <v>0</v>
      </c>
      <c r="AJ2747">
        <f t="shared" si="273"/>
        <v>0</v>
      </c>
      <c r="AK2747">
        <v>0</v>
      </c>
      <c r="AL2747" t="str">
        <f>IF(AA2747="","",IFERROR(IF(ISNUMBER('Procyfloc 1009'!D248),'Procyfloc 1009'!D248,IF(ISNUMBER(SEARCH("12",'Procyfloc 1009'!D248)),EDATE(AB2747,12),IF(ISNUMBER(SEARCH("6",'Procyfloc 1009'!D248)),EDATE(AB2747,6),IF(ISNUMBER(SEARCH("3",'Procyfloc 1009'!D248)),EDATE(AB2747,3),DATEVALUE('Procyfloc 1009'!D248))))),""))</f>
        <v/>
      </c>
      <c r="AM2747" t="str">
        <f t="shared" ca="1" si="274"/>
        <v/>
      </c>
    </row>
    <row r="2748" spans="27:39" x14ac:dyDescent="0.3">
      <c r="AA2748" t="str">
        <f>IF(COUNTA('Procyfloc 1009'!A249,'Procyfloc 1009'!B249,'Procyfloc 1009'!C249)&gt;0,"1009","")</f>
        <v/>
      </c>
      <c r="AB2748" t="str">
        <f>IFERROR(IF(ISNUMBER('Procyfloc 1009'!A249),'Procyfloc 1009'!A249,DATEVALUE('Procyfloc 1009'!A249)),"")</f>
        <v/>
      </c>
      <c r="AC2748" t="str">
        <f>IF(AA2748="","",'Procyfloc 1009'!B249)</f>
        <v/>
      </c>
      <c r="AD2748" t="str">
        <f>IF(AA2748="","",IFERROR(1*'Procyfloc 1009'!C249,IFERROR(_xludf.NUMBERVALUE('Procyfloc 1009'!C249,".",","),IFERROR(_xludf.NUMBERVALUE('Procyfloc 1009'!C249,",","."),0))))</f>
        <v/>
      </c>
      <c r="AE2748" t="str">
        <f>IF(AA2748="","",'Procyfloc 1009'!L249)</f>
        <v/>
      </c>
      <c r="AF2748">
        <f t="shared" si="269"/>
        <v>0</v>
      </c>
      <c r="AG2748" t="str">
        <f t="shared" si="270"/>
        <v/>
      </c>
      <c r="AH2748" t="str">
        <f t="shared" si="271"/>
        <v/>
      </c>
      <c r="AI2748">
        <f t="shared" si="272"/>
        <v>0</v>
      </c>
      <c r="AJ2748">
        <f t="shared" si="273"/>
        <v>0</v>
      </c>
      <c r="AK2748">
        <v>0</v>
      </c>
      <c r="AL2748" t="str">
        <f>IF(AA2748="","",IFERROR(IF(ISNUMBER('Procyfloc 1009'!D249),'Procyfloc 1009'!D249,IF(ISNUMBER(SEARCH("12",'Procyfloc 1009'!D249)),EDATE(AB2748,12),IF(ISNUMBER(SEARCH("6",'Procyfloc 1009'!D249)),EDATE(AB2748,6),IF(ISNUMBER(SEARCH("3",'Procyfloc 1009'!D249)),EDATE(AB2748,3),DATEVALUE('Procyfloc 1009'!D249))))),""))</f>
        <v/>
      </c>
      <c r="AM2748" t="str">
        <f t="shared" ca="1" si="274"/>
        <v/>
      </c>
    </row>
    <row r="2749" spans="27:39" x14ac:dyDescent="0.3">
      <c r="AA2749" t="str">
        <f>IF(COUNTA('Procyfloc 1009'!A250,'Procyfloc 1009'!B250,'Procyfloc 1009'!C250)&gt;0,"1009","")</f>
        <v/>
      </c>
      <c r="AB2749" t="str">
        <f>IFERROR(IF(ISNUMBER('Procyfloc 1009'!A250),'Procyfloc 1009'!A250,DATEVALUE('Procyfloc 1009'!A250)),"")</f>
        <v/>
      </c>
      <c r="AC2749" t="str">
        <f>IF(AA2749="","",'Procyfloc 1009'!B250)</f>
        <v/>
      </c>
      <c r="AD2749" t="str">
        <f>IF(AA2749="","",IFERROR(1*'Procyfloc 1009'!C250,IFERROR(_xludf.NUMBERVALUE('Procyfloc 1009'!C250,".",","),IFERROR(_xludf.NUMBERVALUE('Procyfloc 1009'!C250,",","."),0))))</f>
        <v/>
      </c>
      <c r="AE2749" t="str">
        <f>IF(AA2749="","",'Procyfloc 1009'!L250)</f>
        <v/>
      </c>
      <c r="AF2749">
        <f t="shared" si="269"/>
        <v>0</v>
      </c>
      <c r="AG2749" t="str">
        <f t="shared" si="270"/>
        <v/>
      </c>
      <c r="AH2749" t="str">
        <f t="shared" si="271"/>
        <v/>
      </c>
      <c r="AI2749">
        <f t="shared" si="272"/>
        <v>0</v>
      </c>
      <c r="AJ2749">
        <f t="shared" si="273"/>
        <v>0</v>
      </c>
      <c r="AK2749">
        <v>0</v>
      </c>
      <c r="AL2749" t="str">
        <f>IF(AA2749="","",IFERROR(IF(ISNUMBER('Procyfloc 1009'!D250),'Procyfloc 1009'!D250,IF(ISNUMBER(SEARCH("12",'Procyfloc 1009'!D250)),EDATE(AB2749,12),IF(ISNUMBER(SEARCH("6",'Procyfloc 1009'!D250)),EDATE(AB2749,6),IF(ISNUMBER(SEARCH("3",'Procyfloc 1009'!D250)),EDATE(AB2749,3),DATEVALUE('Procyfloc 1009'!D250))))),""))</f>
        <v/>
      </c>
      <c r="AM2749" t="str">
        <f t="shared" ca="1" si="274"/>
        <v/>
      </c>
    </row>
    <row r="2750" spans="27:39" x14ac:dyDescent="0.3">
      <c r="AA2750" t="str">
        <f>IF(COUNTA('Procyfloc 1009'!A251,'Procyfloc 1009'!B251,'Procyfloc 1009'!C251)&gt;0,"1009","")</f>
        <v/>
      </c>
      <c r="AB2750" t="str">
        <f>IFERROR(IF(ISNUMBER('Procyfloc 1009'!A251),'Procyfloc 1009'!A251,DATEVALUE('Procyfloc 1009'!A251)),"")</f>
        <v/>
      </c>
      <c r="AC2750" t="str">
        <f>IF(AA2750="","",'Procyfloc 1009'!B251)</f>
        <v/>
      </c>
      <c r="AD2750" t="str">
        <f>IF(AA2750="","",IFERROR(1*'Procyfloc 1009'!C251,IFERROR(_xludf.NUMBERVALUE('Procyfloc 1009'!C251,".",","),IFERROR(_xludf.NUMBERVALUE('Procyfloc 1009'!C251,",","."),0))))</f>
        <v/>
      </c>
      <c r="AE2750" t="str">
        <f>IF(AA2750="","",'Procyfloc 1009'!L251)</f>
        <v/>
      </c>
      <c r="AF2750">
        <f t="shared" si="269"/>
        <v>0</v>
      </c>
      <c r="AG2750" t="str">
        <f t="shared" si="270"/>
        <v/>
      </c>
      <c r="AH2750" t="str">
        <f t="shared" si="271"/>
        <v/>
      </c>
      <c r="AI2750">
        <f t="shared" si="272"/>
        <v>0</v>
      </c>
      <c r="AJ2750">
        <f t="shared" si="273"/>
        <v>0</v>
      </c>
      <c r="AK2750">
        <v>0</v>
      </c>
      <c r="AL2750" t="str">
        <f>IF(AA2750="","",IFERROR(IF(ISNUMBER('Procyfloc 1009'!D251),'Procyfloc 1009'!D251,IF(ISNUMBER(SEARCH("12",'Procyfloc 1009'!D251)),EDATE(AB2750,12),IF(ISNUMBER(SEARCH("6",'Procyfloc 1009'!D251)),EDATE(AB2750,6),IF(ISNUMBER(SEARCH("3",'Procyfloc 1009'!D251)),EDATE(AB2750,3),DATEVALUE('Procyfloc 1009'!D251))))),""))</f>
        <v/>
      </c>
      <c r="AM2750" t="str">
        <f t="shared" ca="1" si="274"/>
        <v/>
      </c>
    </row>
    <row r="2751" spans="27:39" x14ac:dyDescent="0.3">
      <c r="AA2751" t="str">
        <f>IF(COUNTA('Procyfloc 1009'!A252,'Procyfloc 1009'!B252,'Procyfloc 1009'!C252)&gt;0,"1009","")</f>
        <v/>
      </c>
      <c r="AB2751" t="str">
        <f>IFERROR(IF(ISNUMBER('Procyfloc 1009'!A252),'Procyfloc 1009'!A252,DATEVALUE('Procyfloc 1009'!A252)),"")</f>
        <v/>
      </c>
      <c r="AC2751" t="str">
        <f>IF(AA2751="","",'Procyfloc 1009'!B252)</f>
        <v/>
      </c>
      <c r="AD2751" t="str">
        <f>IF(AA2751="","",IFERROR(1*'Procyfloc 1009'!C252,IFERROR(_xludf.NUMBERVALUE('Procyfloc 1009'!C252,".",","),IFERROR(_xludf.NUMBERVALUE('Procyfloc 1009'!C252,",","."),0))))</f>
        <v/>
      </c>
      <c r="AE2751" t="str">
        <f>IF(AA2751="","",'Procyfloc 1009'!L252)</f>
        <v/>
      </c>
      <c r="AF2751">
        <f t="shared" si="269"/>
        <v>0</v>
      </c>
      <c r="AG2751" t="str">
        <f t="shared" si="270"/>
        <v/>
      </c>
      <c r="AH2751" t="str">
        <f t="shared" si="271"/>
        <v/>
      </c>
      <c r="AI2751">
        <f t="shared" si="272"/>
        <v>0</v>
      </c>
      <c r="AJ2751">
        <f t="shared" si="273"/>
        <v>0</v>
      </c>
      <c r="AK2751">
        <v>0</v>
      </c>
      <c r="AL2751" t="str">
        <f>IF(AA2751="","",IFERROR(IF(ISNUMBER('Procyfloc 1009'!D252),'Procyfloc 1009'!D252,IF(ISNUMBER(SEARCH("12",'Procyfloc 1009'!D252)),EDATE(AB2751,12),IF(ISNUMBER(SEARCH("6",'Procyfloc 1009'!D252)),EDATE(AB2751,6),IF(ISNUMBER(SEARCH("3",'Procyfloc 1009'!D252)),EDATE(AB2751,3),DATEVALUE('Procyfloc 1009'!D252))))),""))</f>
        <v/>
      </c>
      <c r="AM2751" t="str">
        <f t="shared" ca="1" si="274"/>
        <v/>
      </c>
    </row>
    <row r="2752" spans="27:39" x14ac:dyDescent="0.3">
      <c r="AA2752" t="str">
        <f>IF(COUNTA('Procyfloc 1009'!A253,'Procyfloc 1009'!B253,'Procyfloc 1009'!C253)&gt;0,"1009","")</f>
        <v/>
      </c>
      <c r="AB2752" t="str">
        <f>IFERROR(IF(ISNUMBER('Procyfloc 1009'!A253),'Procyfloc 1009'!A253,DATEVALUE('Procyfloc 1009'!A253)),"")</f>
        <v/>
      </c>
      <c r="AC2752" t="str">
        <f>IF(AA2752="","",'Procyfloc 1009'!B253)</f>
        <v/>
      </c>
      <c r="AD2752" t="str">
        <f>IF(AA2752="","",IFERROR(1*'Procyfloc 1009'!C253,IFERROR(_xludf.NUMBERVALUE('Procyfloc 1009'!C253,".",","),IFERROR(_xludf.NUMBERVALUE('Procyfloc 1009'!C253,",","."),0))))</f>
        <v/>
      </c>
      <c r="AE2752" t="str">
        <f>IF(AA2752="","",'Procyfloc 1009'!L253)</f>
        <v/>
      </c>
      <c r="AF2752">
        <f t="shared" si="269"/>
        <v>0</v>
      </c>
      <c r="AG2752" t="str">
        <f t="shared" si="270"/>
        <v/>
      </c>
      <c r="AH2752" t="str">
        <f t="shared" si="271"/>
        <v/>
      </c>
      <c r="AI2752">
        <f t="shared" si="272"/>
        <v>0</v>
      </c>
      <c r="AJ2752">
        <f t="shared" si="273"/>
        <v>0</v>
      </c>
      <c r="AK2752">
        <v>0</v>
      </c>
      <c r="AL2752" t="str">
        <f>IF(AA2752="","",IFERROR(IF(ISNUMBER('Procyfloc 1009'!D253),'Procyfloc 1009'!D253,IF(ISNUMBER(SEARCH("12",'Procyfloc 1009'!D253)),EDATE(AB2752,12),IF(ISNUMBER(SEARCH("6",'Procyfloc 1009'!D253)),EDATE(AB2752,6),IF(ISNUMBER(SEARCH("3",'Procyfloc 1009'!D253)),EDATE(AB2752,3),DATEVALUE('Procyfloc 1009'!D253))))),""))</f>
        <v/>
      </c>
      <c r="AM2752" t="str">
        <f t="shared" ca="1" si="274"/>
        <v/>
      </c>
    </row>
    <row r="2753" spans="27:39" x14ac:dyDescent="0.3">
      <c r="AA2753" t="str">
        <f>IF(COUNTA('Procyfloc 1009'!A254,'Procyfloc 1009'!B254,'Procyfloc 1009'!C254)&gt;0,"1009","")</f>
        <v/>
      </c>
      <c r="AB2753" t="str">
        <f>IFERROR(IF(ISNUMBER('Procyfloc 1009'!A254),'Procyfloc 1009'!A254,DATEVALUE('Procyfloc 1009'!A254)),"")</f>
        <v/>
      </c>
      <c r="AC2753" t="str">
        <f>IF(AA2753="","",'Procyfloc 1009'!B254)</f>
        <v/>
      </c>
      <c r="AD2753" t="str">
        <f>IF(AA2753="","",IFERROR(1*'Procyfloc 1009'!C254,IFERROR(_xludf.NUMBERVALUE('Procyfloc 1009'!C254,".",","),IFERROR(_xludf.NUMBERVALUE('Procyfloc 1009'!C254,",","."),0))))</f>
        <v/>
      </c>
      <c r="AE2753" t="str">
        <f>IF(AA2753="","",'Procyfloc 1009'!L254)</f>
        <v/>
      </c>
      <c r="AF2753">
        <f t="shared" si="269"/>
        <v>0</v>
      </c>
      <c r="AG2753" t="str">
        <f t="shared" si="270"/>
        <v/>
      </c>
      <c r="AH2753" t="str">
        <f t="shared" si="271"/>
        <v/>
      </c>
      <c r="AI2753">
        <f t="shared" si="272"/>
        <v>0</v>
      </c>
      <c r="AJ2753">
        <f t="shared" si="273"/>
        <v>0</v>
      </c>
      <c r="AK2753">
        <v>0</v>
      </c>
      <c r="AL2753" t="str">
        <f>IF(AA2753="","",IFERROR(IF(ISNUMBER('Procyfloc 1009'!D254),'Procyfloc 1009'!D254,IF(ISNUMBER(SEARCH("12",'Procyfloc 1009'!D254)),EDATE(AB2753,12),IF(ISNUMBER(SEARCH("6",'Procyfloc 1009'!D254)),EDATE(AB2753,6),IF(ISNUMBER(SEARCH("3",'Procyfloc 1009'!D254)),EDATE(AB2753,3),DATEVALUE('Procyfloc 1009'!D254))))),""))</f>
        <v/>
      </c>
      <c r="AM2753" t="str">
        <f t="shared" ca="1" si="274"/>
        <v/>
      </c>
    </row>
    <row r="2754" spans="27:39" x14ac:dyDescent="0.3">
      <c r="AA2754" t="str">
        <f>IF(COUNTA('Procyfloc 1009'!A255,'Procyfloc 1009'!B255,'Procyfloc 1009'!C255)&gt;0,"1009","")</f>
        <v/>
      </c>
      <c r="AB2754" t="str">
        <f>IFERROR(IF(ISNUMBER('Procyfloc 1009'!A255),'Procyfloc 1009'!A255,DATEVALUE('Procyfloc 1009'!A255)),"")</f>
        <v/>
      </c>
      <c r="AC2754" t="str">
        <f>IF(AA2754="","",'Procyfloc 1009'!B255)</f>
        <v/>
      </c>
      <c r="AD2754" t="str">
        <f>IF(AA2754="","",IFERROR(1*'Procyfloc 1009'!C255,IFERROR(_xludf.NUMBERVALUE('Procyfloc 1009'!C255,".",","),IFERROR(_xludf.NUMBERVALUE('Procyfloc 1009'!C255,",","."),0))))</f>
        <v/>
      </c>
      <c r="AE2754" t="str">
        <f>IF(AA2754="","",'Procyfloc 1009'!L255)</f>
        <v/>
      </c>
      <c r="AF2754">
        <f t="shared" ref="AF2754:AF2817" si="275">IF(AA2754="",0,--AND(ISNUMBER(SEARCH("aprov",AE2754)),NOT(ISNUMBER(SEARCH("reprov",AE2754)))))</f>
        <v>0</v>
      </c>
      <c r="AG2754" t="str">
        <f t="shared" ref="AG2754:AG2817" si="276">IF(AB2754="","",YEAR(AB2754))</f>
        <v/>
      </c>
      <c r="AH2754" t="str">
        <f t="shared" ref="AH2754:AH2817" si="277">IF(AB2754="","",MONTH(AB2754))</f>
        <v/>
      </c>
      <c r="AI2754">
        <f t="shared" ref="AI2754:AI2817" si="278">IF(AB2754="",0,AB2754+ROW()/1000000)</f>
        <v>0</v>
      </c>
      <c r="AJ2754">
        <f t="shared" ref="AJ2754:AJ2817" si="279">--(AA2754&lt;&gt;"")</f>
        <v>0</v>
      </c>
      <c r="AK2754">
        <v>0</v>
      </c>
      <c r="AL2754" t="str">
        <f>IF(AA2754="","",IFERROR(IF(ISNUMBER('Procyfloc 1009'!D255),'Procyfloc 1009'!D255,IF(ISNUMBER(SEARCH("12",'Procyfloc 1009'!D255)),EDATE(AB2754,12),IF(ISNUMBER(SEARCH("6",'Procyfloc 1009'!D255)),EDATE(AB2754,6),IF(ISNUMBER(SEARCH("3",'Procyfloc 1009'!D255)),EDATE(AB2754,3),DATEVALUE('Procyfloc 1009'!D255))))),""))</f>
        <v/>
      </c>
      <c r="AM2754" t="str">
        <f t="shared" ref="AM2754:AM2817" ca="1" si="280">IF(AND(AJ2754=1,AL2754&lt;&gt;"",AL2754&gt;=TODAY(),AG2754=$W$3),AL2754+ROW()/1000000,"")</f>
        <v/>
      </c>
    </row>
    <row r="2755" spans="27:39" x14ac:dyDescent="0.3">
      <c r="AA2755" t="str">
        <f>IF(COUNTA('Procyfloc 1009'!A256,'Procyfloc 1009'!B256,'Procyfloc 1009'!C256)&gt;0,"1009","")</f>
        <v/>
      </c>
      <c r="AB2755" t="str">
        <f>IFERROR(IF(ISNUMBER('Procyfloc 1009'!A256),'Procyfloc 1009'!A256,DATEVALUE('Procyfloc 1009'!A256)),"")</f>
        <v/>
      </c>
      <c r="AC2755" t="str">
        <f>IF(AA2755="","",'Procyfloc 1009'!B256)</f>
        <v/>
      </c>
      <c r="AD2755" t="str">
        <f>IF(AA2755="","",IFERROR(1*'Procyfloc 1009'!C256,IFERROR(_xludf.NUMBERVALUE('Procyfloc 1009'!C256,".",","),IFERROR(_xludf.NUMBERVALUE('Procyfloc 1009'!C256,",","."),0))))</f>
        <v/>
      </c>
      <c r="AE2755" t="str">
        <f>IF(AA2755="","",'Procyfloc 1009'!L256)</f>
        <v/>
      </c>
      <c r="AF2755">
        <f t="shared" si="275"/>
        <v>0</v>
      </c>
      <c r="AG2755" t="str">
        <f t="shared" si="276"/>
        <v/>
      </c>
      <c r="AH2755" t="str">
        <f t="shared" si="277"/>
        <v/>
      </c>
      <c r="AI2755">
        <f t="shared" si="278"/>
        <v>0</v>
      </c>
      <c r="AJ2755">
        <f t="shared" si="279"/>
        <v>0</v>
      </c>
      <c r="AK2755">
        <v>0</v>
      </c>
      <c r="AL2755" t="str">
        <f>IF(AA2755="","",IFERROR(IF(ISNUMBER('Procyfloc 1009'!D256),'Procyfloc 1009'!D256,IF(ISNUMBER(SEARCH("12",'Procyfloc 1009'!D256)),EDATE(AB2755,12),IF(ISNUMBER(SEARCH("6",'Procyfloc 1009'!D256)),EDATE(AB2755,6),IF(ISNUMBER(SEARCH("3",'Procyfloc 1009'!D256)),EDATE(AB2755,3),DATEVALUE('Procyfloc 1009'!D256))))),""))</f>
        <v/>
      </c>
      <c r="AM2755" t="str">
        <f t="shared" ca="1" si="280"/>
        <v/>
      </c>
    </row>
    <row r="2756" spans="27:39" x14ac:dyDescent="0.3">
      <c r="AA2756" t="str">
        <f>IF(COUNTA('Procyfloc 1009'!A257,'Procyfloc 1009'!B257,'Procyfloc 1009'!C257)&gt;0,"1009","")</f>
        <v/>
      </c>
      <c r="AB2756" t="str">
        <f>IFERROR(IF(ISNUMBER('Procyfloc 1009'!A257),'Procyfloc 1009'!A257,DATEVALUE('Procyfloc 1009'!A257)),"")</f>
        <v/>
      </c>
      <c r="AC2756" t="str">
        <f>IF(AA2756="","",'Procyfloc 1009'!B257)</f>
        <v/>
      </c>
      <c r="AD2756" t="str">
        <f>IF(AA2756="","",IFERROR(1*'Procyfloc 1009'!C257,IFERROR(_xludf.NUMBERVALUE('Procyfloc 1009'!C257,".",","),IFERROR(_xludf.NUMBERVALUE('Procyfloc 1009'!C257,",","."),0))))</f>
        <v/>
      </c>
      <c r="AE2756" t="str">
        <f>IF(AA2756="","",'Procyfloc 1009'!L257)</f>
        <v/>
      </c>
      <c r="AF2756">
        <f t="shared" si="275"/>
        <v>0</v>
      </c>
      <c r="AG2756" t="str">
        <f t="shared" si="276"/>
        <v/>
      </c>
      <c r="AH2756" t="str">
        <f t="shared" si="277"/>
        <v/>
      </c>
      <c r="AI2756">
        <f t="shared" si="278"/>
        <v>0</v>
      </c>
      <c r="AJ2756">
        <f t="shared" si="279"/>
        <v>0</v>
      </c>
      <c r="AK2756">
        <v>0</v>
      </c>
      <c r="AL2756" t="str">
        <f>IF(AA2756="","",IFERROR(IF(ISNUMBER('Procyfloc 1009'!D257),'Procyfloc 1009'!D257,IF(ISNUMBER(SEARCH("12",'Procyfloc 1009'!D257)),EDATE(AB2756,12),IF(ISNUMBER(SEARCH("6",'Procyfloc 1009'!D257)),EDATE(AB2756,6),IF(ISNUMBER(SEARCH("3",'Procyfloc 1009'!D257)),EDATE(AB2756,3),DATEVALUE('Procyfloc 1009'!D257))))),""))</f>
        <v/>
      </c>
      <c r="AM2756" t="str">
        <f t="shared" ca="1" si="280"/>
        <v/>
      </c>
    </row>
    <row r="2757" spans="27:39" x14ac:dyDescent="0.3">
      <c r="AA2757" t="str">
        <f>IF(COUNTA('Procyfloc 1009'!A258,'Procyfloc 1009'!B258,'Procyfloc 1009'!C258)&gt;0,"1009","")</f>
        <v/>
      </c>
      <c r="AB2757" t="str">
        <f>IFERROR(IF(ISNUMBER('Procyfloc 1009'!A258),'Procyfloc 1009'!A258,DATEVALUE('Procyfloc 1009'!A258)),"")</f>
        <v/>
      </c>
      <c r="AC2757" t="str">
        <f>IF(AA2757="","",'Procyfloc 1009'!B258)</f>
        <v/>
      </c>
      <c r="AD2757" t="str">
        <f>IF(AA2757="","",IFERROR(1*'Procyfloc 1009'!C258,IFERROR(_xludf.NUMBERVALUE('Procyfloc 1009'!C258,".",","),IFERROR(_xludf.NUMBERVALUE('Procyfloc 1009'!C258,",","."),0))))</f>
        <v/>
      </c>
      <c r="AE2757" t="str">
        <f>IF(AA2757="","",'Procyfloc 1009'!L258)</f>
        <v/>
      </c>
      <c r="AF2757">
        <f t="shared" si="275"/>
        <v>0</v>
      </c>
      <c r="AG2757" t="str">
        <f t="shared" si="276"/>
        <v/>
      </c>
      <c r="AH2757" t="str">
        <f t="shared" si="277"/>
        <v/>
      </c>
      <c r="AI2757">
        <f t="shared" si="278"/>
        <v>0</v>
      </c>
      <c r="AJ2757">
        <f t="shared" si="279"/>
        <v>0</v>
      </c>
      <c r="AK2757">
        <v>0</v>
      </c>
      <c r="AL2757" t="str">
        <f>IF(AA2757="","",IFERROR(IF(ISNUMBER('Procyfloc 1009'!D258),'Procyfloc 1009'!D258,IF(ISNUMBER(SEARCH("12",'Procyfloc 1009'!D258)),EDATE(AB2757,12),IF(ISNUMBER(SEARCH("6",'Procyfloc 1009'!D258)),EDATE(AB2757,6),IF(ISNUMBER(SEARCH("3",'Procyfloc 1009'!D258)),EDATE(AB2757,3),DATEVALUE('Procyfloc 1009'!D258))))),""))</f>
        <v/>
      </c>
      <c r="AM2757" t="str">
        <f t="shared" ca="1" si="280"/>
        <v/>
      </c>
    </row>
    <row r="2758" spans="27:39" x14ac:dyDescent="0.3">
      <c r="AA2758" t="str">
        <f>IF(COUNTA('Procyfloc 1009'!A259,'Procyfloc 1009'!B259,'Procyfloc 1009'!C259)&gt;0,"1009","")</f>
        <v/>
      </c>
      <c r="AB2758" t="str">
        <f>IFERROR(IF(ISNUMBER('Procyfloc 1009'!A259),'Procyfloc 1009'!A259,DATEVALUE('Procyfloc 1009'!A259)),"")</f>
        <v/>
      </c>
      <c r="AC2758" t="str">
        <f>IF(AA2758="","",'Procyfloc 1009'!B259)</f>
        <v/>
      </c>
      <c r="AD2758" t="str">
        <f>IF(AA2758="","",IFERROR(1*'Procyfloc 1009'!C259,IFERROR(_xludf.NUMBERVALUE('Procyfloc 1009'!C259,".",","),IFERROR(_xludf.NUMBERVALUE('Procyfloc 1009'!C259,",","."),0))))</f>
        <v/>
      </c>
      <c r="AE2758" t="str">
        <f>IF(AA2758="","",'Procyfloc 1009'!L259)</f>
        <v/>
      </c>
      <c r="AF2758">
        <f t="shared" si="275"/>
        <v>0</v>
      </c>
      <c r="AG2758" t="str">
        <f t="shared" si="276"/>
        <v/>
      </c>
      <c r="AH2758" t="str">
        <f t="shared" si="277"/>
        <v/>
      </c>
      <c r="AI2758">
        <f t="shared" si="278"/>
        <v>0</v>
      </c>
      <c r="AJ2758">
        <f t="shared" si="279"/>
        <v>0</v>
      </c>
      <c r="AK2758">
        <v>0</v>
      </c>
      <c r="AL2758" t="str">
        <f>IF(AA2758="","",IFERROR(IF(ISNUMBER('Procyfloc 1009'!D259),'Procyfloc 1009'!D259,IF(ISNUMBER(SEARCH("12",'Procyfloc 1009'!D259)),EDATE(AB2758,12),IF(ISNUMBER(SEARCH("6",'Procyfloc 1009'!D259)),EDATE(AB2758,6),IF(ISNUMBER(SEARCH("3",'Procyfloc 1009'!D259)),EDATE(AB2758,3),DATEVALUE('Procyfloc 1009'!D259))))),""))</f>
        <v/>
      </c>
      <c r="AM2758" t="str">
        <f t="shared" ca="1" si="280"/>
        <v/>
      </c>
    </row>
    <row r="2759" spans="27:39" x14ac:dyDescent="0.3">
      <c r="AA2759" t="str">
        <f>IF(COUNTA('Procyfloc 1009'!A260,'Procyfloc 1009'!B260,'Procyfloc 1009'!C260)&gt;0,"1009","")</f>
        <v/>
      </c>
      <c r="AB2759" t="str">
        <f>IFERROR(IF(ISNUMBER('Procyfloc 1009'!A260),'Procyfloc 1009'!A260,DATEVALUE('Procyfloc 1009'!A260)),"")</f>
        <v/>
      </c>
      <c r="AC2759" t="str">
        <f>IF(AA2759="","",'Procyfloc 1009'!B260)</f>
        <v/>
      </c>
      <c r="AD2759" t="str">
        <f>IF(AA2759="","",IFERROR(1*'Procyfloc 1009'!C260,IFERROR(_xludf.NUMBERVALUE('Procyfloc 1009'!C260,".",","),IFERROR(_xludf.NUMBERVALUE('Procyfloc 1009'!C260,",","."),0))))</f>
        <v/>
      </c>
      <c r="AE2759" t="str">
        <f>IF(AA2759="","",'Procyfloc 1009'!L260)</f>
        <v/>
      </c>
      <c r="AF2759">
        <f t="shared" si="275"/>
        <v>0</v>
      </c>
      <c r="AG2759" t="str">
        <f t="shared" si="276"/>
        <v/>
      </c>
      <c r="AH2759" t="str">
        <f t="shared" si="277"/>
        <v/>
      </c>
      <c r="AI2759">
        <f t="shared" si="278"/>
        <v>0</v>
      </c>
      <c r="AJ2759">
        <f t="shared" si="279"/>
        <v>0</v>
      </c>
      <c r="AK2759">
        <v>0</v>
      </c>
      <c r="AL2759" t="str">
        <f>IF(AA2759="","",IFERROR(IF(ISNUMBER('Procyfloc 1009'!D260),'Procyfloc 1009'!D260,IF(ISNUMBER(SEARCH("12",'Procyfloc 1009'!D260)),EDATE(AB2759,12),IF(ISNUMBER(SEARCH("6",'Procyfloc 1009'!D260)),EDATE(AB2759,6),IF(ISNUMBER(SEARCH("3",'Procyfloc 1009'!D260)),EDATE(AB2759,3),DATEVALUE('Procyfloc 1009'!D260))))),""))</f>
        <v/>
      </c>
      <c r="AM2759" t="str">
        <f t="shared" ca="1" si="280"/>
        <v/>
      </c>
    </row>
    <row r="2760" spans="27:39" x14ac:dyDescent="0.3">
      <c r="AA2760" t="str">
        <f>IF(COUNTA('Procyfloc 1009'!A261,'Procyfloc 1009'!B261,'Procyfloc 1009'!C261)&gt;0,"1009","")</f>
        <v/>
      </c>
      <c r="AB2760" t="str">
        <f>IFERROR(IF(ISNUMBER('Procyfloc 1009'!A261),'Procyfloc 1009'!A261,DATEVALUE('Procyfloc 1009'!A261)),"")</f>
        <v/>
      </c>
      <c r="AC2760" t="str">
        <f>IF(AA2760="","",'Procyfloc 1009'!B261)</f>
        <v/>
      </c>
      <c r="AD2760" t="str">
        <f>IF(AA2760="","",IFERROR(1*'Procyfloc 1009'!C261,IFERROR(_xludf.NUMBERVALUE('Procyfloc 1009'!C261,".",","),IFERROR(_xludf.NUMBERVALUE('Procyfloc 1009'!C261,",","."),0))))</f>
        <v/>
      </c>
      <c r="AE2760" t="str">
        <f>IF(AA2760="","",'Procyfloc 1009'!L261)</f>
        <v/>
      </c>
      <c r="AF2760">
        <f t="shared" si="275"/>
        <v>0</v>
      </c>
      <c r="AG2760" t="str">
        <f t="shared" si="276"/>
        <v/>
      </c>
      <c r="AH2760" t="str">
        <f t="shared" si="277"/>
        <v/>
      </c>
      <c r="AI2760">
        <f t="shared" si="278"/>
        <v>0</v>
      </c>
      <c r="AJ2760">
        <f t="shared" si="279"/>
        <v>0</v>
      </c>
      <c r="AK2760">
        <v>0</v>
      </c>
      <c r="AL2760" t="str">
        <f>IF(AA2760="","",IFERROR(IF(ISNUMBER('Procyfloc 1009'!D261),'Procyfloc 1009'!D261,IF(ISNUMBER(SEARCH("12",'Procyfloc 1009'!D261)),EDATE(AB2760,12),IF(ISNUMBER(SEARCH("6",'Procyfloc 1009'!D261)),EDATE(AB2760,6),IF(ISNUMBER(SEARCH("3",'Procyfloc 1009'!D261)),EDATE(AB2760,3),DATEVALUE('Procyfloc 1009'!D261))))),""))</f>
        <v/>
      </c>
      <c r="AM2760" t="str">
        <f t="shared" ca="1" si="280"/>
        <v/>
      </c>
    </row>
    <row r="2761" spans="27:39" x14ac:dyDescent="0.3">
      <c r="AA2761" t="str">
        <f>IF(COUNTA('Procyfloc 1009'!A262,'Procyfloc 1009'!B262,'Procyfloc 1009'!C262)&gt;0,"1009","")</f>
        <v/>
      </c>
      <c r="AB2761" t="str">
        <f>IFERROR(IF(ISNUMBER('Procyfloc 1009'!A262),'Procyfloc 1009'!A262,DATEVALUE('Procyfloc 1009'!A262)),"")</f>
        <v/>
      </c>
      <c r="AC2761" t="str">
        <f>IF(AA2761="","",'Procyfloc 1009'!B262)</f>
        <v/>
      </c>
      <c r="AD2761" t="str">
        <f>IF(AA2761="","",IFERROR(1*'Procyfloc 1009'!C262,IFERROR(_xludf.NUMBERVALUE('Procyfloc 1009'!C262,".",","),IFERROR(_xludf.NUMBERVALUE('Procyfloc 1009'!C262,",","."),0))))</f>
        <v/>
      </c>
      <c r="AE2761" t="str">
        <f>IF(AA2761="","",'Procyfloc 1009'!L262)</f>
        <v/>
      </c>
      <c r="AF2761">
        <f t="shared" si="275"/>
        <v>0</v>
      </c>
      <c r="AG2761" t="str">
        <f t="shared" si="276"/>
        <v/>
      </c>
      <c r="AH2761" t="str">
        <f t="shared" si="277"/>
        <v/>
      </c>
      <c r="AI2761">
        <f t="shared" si="278"/>
        <v>0</v>
      </c>
      <c r="AJ2761">
        <f t="shared" si="279"/>
        <v>0</v>
      </c>
      <c r="AK2761">
        <v>0</v>
      </c>
      <c r="AL2761" t="str">
        <f>IF(AA2761="","",IFERROR(IF(ISNUMBER('Procyfloc 1009'!D262),'Procyfloc 1009'!D262,IF(ISNUMBER(SEARCH("12",'Procyfloc 1009'!D262)),EDATE(AB2761,12),IF(ISNUMBER(SEARCH("6",'Procyfloc 1009'!D262)),EDATE(AB2761,6),IF(ISNUMBER(SEARCH("3",'Procyfloc 1009'!D262)),EDATE(AB2761,3),DATEVALUE('Procyfloc 1009'!D262))))),""))</f>
        <v/>
      </c>
      <c r="AM2761" t="str">
        <f t="shared" ca="1" si="280"/>
        <v/>
      </c>
    </row>
    <row r="2762" spans="27:39" x14ac:dyDescent="0.3">
      <c r="AA2762" t="str">
        <f>IF(COUNTA('Procyfloc 1009'!A263,'Procyfloc 1009'!B263,'Procyfloc 1009'!C263)&gt;0,"1009","")</f>
        <v/>
      </c>
      <c r="AB2762" t="str">
        <f>IFERROR(IF(ISNUMBER('Procyfloc 1009'!A263),'Procyfloc 1009'!A263,DATEVALUE('Procyfloc 1009'!A263)),"")</f>
        <v/>
      </c>
      <c r="AC2762" t="str">
        <f>IF(AA2762="","",'Procyfloc 1009'!B263)</f>
        <v/>
      </c>
      <c r="AD2762" t="str">
        <f>IF(AA2762="","",IFERROR(1*'Procyfloc 1009'!C263,IFERROR(_xludf.NUMBERVALUE('Procyfloc 1009'!C263,".",","),IFERROR(_xludf.NUMBERVALUE('Procyfloc 1009'!C263,",","."),0))))</f>
        <v/>
      </c>
      <c r="AE2762" t="str">
        <f>IF(AA2762="","",'Procyfloc 1009'!L263)</f>
        <v/>
      </c>
      <c r="AF2762">
        <f t="shared" si="275"/>
        <v>0</v>
      </c>
      <c r="AG2762" t="str">
        <f t="shared" si="276"/>
        <v/>
      </c>
      <c r="AH2762" t="str">
        <f t="shared" si="277"/>
        <v/>
      </c>
      <c r="AI2762">
        <f t="shared" si="278"/>
        <v>0</v>
      </c>
      <c r="AJ2762">
        <f t="shared" si="279"/>
        <v>0</v>
      </c>
      <c r="AK2762">
        <v>0</v>
      </c>
      <c r="AL2762" t="str">
        <f>IF(AA2762="","",IFERROR(IF(ISNUMBER('Procyfloc 1009'!D263),'Procyfloc 1009'!D263,IF(ISNUMBER(SEARCH("12",'Procyfloc 1009'!D263)),EDATE(AB2762,12),IF(ISNUMBER(SEARCH("6",'Procyfloc 1009'!D263)),EDATE(AB2762,6),IF(ISNUMBER(SEARCH("3",'Procyfloc 1009'!D263)),EDATE(AB2762,3),DATEVALUE('Procyfloc 1009'!D263))))),""))</f>
        <v/>
      </c>
      <c r="AM2762" t="str">
        <f t="shared" ca="1" si="280"/>
        <v/>
      </c>
    </row>
    <row r="2763" spans="27:39" x14ac:dyDescent="0.3">
      <c r="AA2763" t="str">
        <f>IF(COUNTA('Procyfloc 1009'!A264,'Procyfloc 1009'!B264,'Procyfloc 1009'!C264)&gt;0,"1009","")</f>
        <v/>
      </c>
      <c r="AB2763" t="str">
        <f>IFERROR(IF(ISNUMBER('Procyfloc 1009'!A264),'Procyfloc 1009'!A264,DATEVALUE('Procyfloc 1009'!A264)),"")</f>
        <v/>
      </c>
      <c r="AC2763" t="str">
        <f>IF(AA2763="","",'Procyfloc 1009'!B264)</f>
        <v/>
      </c>
      <c r="AD2763" t="str">
        <f>IF(AA2763="","",IFERROR(1*'Procyfloc 1009'!C264,IFERROR(_xludf.NUMBERVALUE('Procyfloc 1009'!C264,".",","),IFERROR(_xludf.NUMBERVALUE('Procyfloc 1009'!C264,",","."),0))))</f>
        <v/>
      </c>
      <c r="AE2763" t="str">
        <f>IF(AA2763="","",'Procyfloc 1009'!L264)</f>
        <v/>
      </c>
      <c r="AF2763">
        <f t="shared" si="275"/>
        <v>0</v>
      </c>
      <c r="AG2763" t="str">
        <f t="shared" si="276"/>
        <v/>
      </c>
      <c r="AH2763" t="str">
        <f t="shared" si="277"/>
        <v/>
      </c>
      <c r="AI2763">
        <f t="shared" si="278"/>
        <v>0</v>
      </c>
      <c r="AJ2763">
        <f t="shared" si="279"/>
        <v>0</v>
      </c>
      <c r="AK2763">
        <v>0</v>
      </c>
      <c r="AL2763" t="str">
        <f>IF(AA2763="","",IFERROR(IF(ISNUMBER('Procyfloc 1009'!D264),'Procyfloc 1009'!D264,IF(ISNUMBER(SEARCH("12",'Procyfloc 1009'!D264)),EDATE(AB2763,12),IF(ISNUMBER(SEARCH("6",'Procyfloc 1009'!D264)),EDATE(AB2763,6),IF(ISNUMBER(SEARCH("3",'Procyfloc 1009'!D264)),EDATE(AB2763,3),DATEVALUE('Procyfloc 1009'!D264))))),""))</f>
        <v/>
      </c>
      <c r="AM2763" t="str">
        <f t="shared" ca="1" si="280"/>
        <v/>
      </c>
    </row>
    <row r="2764" spans="27:39" x14ac:dyDescent="0.3">
      <c r="AA2764" t="str">
        <f>IF(COUNTA('Procyfloc 1009'!A265,'Procyfloc 1009'!B265,'Procyfloc 1009'!C265)&gt;0,"1009","")</f>
        <v/>
      </c>
      <c r="AB2764" t="str">
        <f>IFERROR(IF(ISNUMBER('Procyfloc 1009'!A265),'Procyfloc 1009'!A265,DATEVALUE('Procyfloc 1009'!A265)),"")</f>
        <v/>
      </c>
      <c r="AC2764" t="str">
        <f>IF(AA2764="","",'Procyfloc 1009'!B265)</f>
        <v/>
      </c>
      <c r="AD2764" t="str">
        <f>IF(AA2764="","",IFERROR(1*'Procyfloc 1009'!C265,IFERROR(_xludf.NUMBERVALUE('Procyfloc 1009'!C265,".",","),IFERROR(_xludf.NUMBERVALUE('Procyfloc 1009'!C265,",","."),0))))</f>
        <v/>
      </c>
      <c r="AE2764" t="str">
        <f>IF(AA2764="","",'Procyfloc 1009'!L265)</f>
        <v/>
      </c>
      <c r="AF2764">
        <f t="shared" si="275"/>
        <v>0</v>
      </c>
      <c r="AG2764" t="str">
        <f t="shared" si="276"/>
        <v/>
      </c>
      <c r="AH2764" t="str">
        <f t="shared" si="277"/>
        <v/>
      </c>
      <c r="AI2764">
        <f t="shared" si="278"/>
        <v>0</v>
      </c>
      <c r="AJ2764">
        <f t="shared" si="279"/>
        <v>0</v>
      </c>
      <c r="AK2764">
        <v>0</v>
      </c>
      <c r="AL2764" t="str">
        <f>IF(AA2764="","",IFERROR(IF(ISNUMBER('Procyfloc 1009'!D265),'Procyfloc 1009'!D265,IF(ISNUMBER(SEARCH("12",'Procyfloc 1009'!D265)),EDATE(AB2764,12),IF(ISNUMBER(SEARCH("6",'Procyfloc 1009'!D265)),EDATE(AB2764,6),IF(ISNUMBER(SEARCH("3",'Procyfloc 1009'!D265)),EDATE(AB2764,3),DATEVALUE('Procyfloc 1009'!D265))))),""))</f>
        <v/>
      </c>
      <c r="AM2764" t="str">
        <f t="shared" ca="1" si="280"/>
        <v/>
      </c>
    </row>
    <row r="2765" spans="27:39" x14ac:dyDescent="0.3">
      <c r="AA2765" t="str">
        <f>IF(COUNTA('Procyfloc 1009'!A266,'Procyfloc 1009'!B266,'Procyfloc 1009'!C266)&gt;0,"1009","")</f>
        <v/>
      </c>
      <c r="AB2765" t="str">
        <f>IFERROR(IF(ISNUMBER('Procyfloc 1009'!A266),'Procyfloc 1009'!A266,DATEVALUE('Procyfloc 1009'!A266)),"")</f>
        <v/>
      </c>
      <c r="AC2765" t="str">
        <f>IF(AA2765="","",'Procyfloc 1009'!B266)</f>
        <v/>
      </c>
      <c r="AD2765" t="str">
        <f>IF(AA2765="","",IFERROR(1*'Procyfloc 1009'!C266,IFERROR(_xludf.NUMBERVALUE('Procyfloc 1009'!C266,".",","),IFERROR(_xludf.NUMBERVALUE('Procyfloc 1009'!C266,",","."),0))))</f>
        <v/>
      </c>
      <c r="AE2765" t="str">
        <f>IF(AA2765="","",'Procyfloc 1009'!L266)</f>
        <v/>
      </c>
      <c r="AF2765">
        <f t="shared" si="275"/>
        <v>0</v>
      </c>
      <c r="AG2765" t="str">
        <f t="shared" si="276"/>
        <v/>
      </c>
      <c r="AH2765" t="str">
        <f t="shared" si="277"/>
        <v/>
      </c>
      <c r="AI2765">
        <f t="shared" si="278"/>
        <v>0</v>
      </c>
      <c r="AJ2765">
        <f t="shared" si="279"/>
        <v>0</v>
      </c>
      <c r="AK2765">
        <v>0</v>
      </c>
      <c r="AL2765" t="str">
        <f>IF(AA2765="","",IFERROR(IF(ISNUMBER('Procyfloc 1009'!D266),'Procyfloc 1009'!D266,IF(ISNUMBER(SEARCH("12",'Procyfloc 1009'!D266)),EDATE(AB2765,12),IF(ISNUMBER(SEARCH("6",'Procyfloc 1009'!D266)),EDATE(AB2765,6),IF(ISNUMBER(SEARCH("3",'Procyfloc 1009'!D266)),EDATE(AB2765,3),DATEVALUE('Procyfloc 1009'!D266))))),""))</f>
        <v/>
      </c>
      <c r="AM2765" t="str">
        <f t="shared" ca="1" si="280"/>
        <v/>
      </c>
    </row>
    <row r="2766" spans="27:39" x14ac:dyDescent="0.3">
      <c r="AA2766" t="str">
        <f>IF(COUNTA('Procyfloc 1009'!A267,'Procyfloc 1009'!B267,'Procyfloc 1009'!C267)&gt;0,"1009","")</f>
        <v/>
      </c>
      <c r="AB2766" t="str">
        <f>IFERROR(IF(ISNUMBER('Procyfloc 1009'!A267),'Procyfloc 1009'!A267,DATEVALUE('Procyfloc 1009'!A267)),"")</f>
        <v/>
      </c>
      <c r="AC2766" t="str">
        <f>IF(AA2766="","",'Procyfloc 1009'!B267)</f>
        <v/>
      </c>
      <c r="AD2766" t="str">
        <f>IF(AA2766="","",IFERROR(1*'Procyfloc 1009'!C267,IFERROR(_xludf.NUMBERVALUE('Procyfloc 1009'!C267,".",","),IFERROR(_xludf.NUMBERVALUE('Procyfloc 1009'!C267,",","."),0))))</f>
        <v/>
      </c>
      <c r="AE2766" t="str">
        <f>IF(AA2766="","",'Procyfloc 1009'!L267)</f>
        <v/>
      </c>
      <c r="AF2766">
        <f t="shared" si="275"/>
        <v>0</v>
      </c>
      <c r="AG2766" t="str">
        <f t="shared" si="276"/>
        <v/>
      </c>
      <c r="AH2766" t="str">
        <f t="shared" si="277"/>
        <v/>
      </c>
      <c r="AI2766">
        <f t="shared" si="278"/>
        <v>0</v>
      </c>
      <c r="AJ2766">
        <f t="shared" si="279"/>
        <v>0</v>
      </c>
      <c r="AK2766">
        <v>0</v>
      </c>
      <c r="AL2766" t="str">
        <f>IF(AA2766="","",IFERROR(IF(ISNUMBER('Procyfloc 1009'!D267),'Procyfloc 1009'!D267,IF(ISNUMBER(SEARCH("12",'Procyfloc 1009'!D267)),EDATE(AB2766,12),IF(ISNUMBER(SEARCH("6",'Procyfloc 1009'!D267)),EDATE(AB2766,6),IF(ISNUMBER(SEARCH("3",'Procyfloc 1009'!D267)),EDATE(AB2766,3),DATEVALUE('Procyfloc 1009'!D267))))),""))</f>
        <v/>
      </c>
      <c r="AM2766" t="str">
        <f t="shared" ca="1" si="280"/>
        <v/>
      </c>
    </row>
    <row r="2767" spans="27:39" x14ac:dyDescent="0.3">
      <c r="AA2767" t="str">
        <f>IF(COUNTA('Procyfloc 1009'!A268,'Procyfloc 1009'!B268,'Procyfloc 1009'!C268)&gt;0,"1009","")</f>
        <v/>
      </c>
      <c r="AB2767" t="str">
        <f>IFERROR(IF(ISNUMBER('Procyfloc 1009'!A268),'Procyfloc 1009'!A268,DATEVALUE('Procyfloc 1009'!A268)),"")</f>
        <v/>
      </c>
      <c r="AC2767" t="str">
        <f>IF(AA2767="","",'Procyfloc 1009'!B268)</f>
        <v/>
      </c>
      <c r="AD2767" t="str">
        <f>IF(AA2767="","",IFERROR(1*'Procyfloc 1009'!C268,IFERROR(_xludf.NUMBERVALUE('Procyfloc 1009'!C268,".",","),IFERROR(_xludf.NUMBERVALUE('Procyfloc 1009'!C268,",","."),0))))</f>
        <v/>
      </c>
      <c r="AE2767" t="str">
        <f>IF(AA2767="","",'Procyfloc 1009'!L268)</f>
        <v/>
      </c>
      <c r="AF2767">
        <f t="shared" si="275"/>
        <v>0</v>
      </c>
      <c r="AG2767" t="str">
        <f t="shared" si="276"/>
        <v/>
      </c>
      <c r="AH2767" t="str">
        <f t="shared" si="277"/>
        <v/>
      </c>
      <c r="AI2767">
        <f t="shared" si="278"/>
        <v>0</v>
      </c>
      <c r="AJ2767">
        <f t="shared" si="279"/>
        <v>0</v>
      </c>
      <c r="AK2767">
        <v>0</v>
      </c>
      <c r="AL2767" t="str">
        <f>IF(AA2767="","",IFERROR(IF(ISNUMBER('Procyfloc 1009'!D268),'Procyfloc 1009'!D268,IF(ISNUMBER(SEARCH("12",'Procyfloc 1009'!D268)),EDATE(AB2767,12),IF(ISNUMBER(SEARCH("6",'Procyfloc 1009'!D268)),EDATE(AB2767,6),IF(ISNUMBER(SEARCH("3",'Procyfloc 1009'!D268)),EDATE(AB2767,3),DATEVALUE('Procyfloc 1009'!D268))))),""))</f>
        <v/>
      </c>
      <c r="AM2767" t="str">
        <f t="shared" ca="1" si="280"/>
        <v/>
      </c>
    </row>
    <row r="2768" spans="27:39" x14ac:dyDescent="0.3">
      <c r="AA2768" t="str">
        <f>IF(COUNTA('Procyfloc 1009'!A269,'Procyfloc 1009'!B269,'Procyfloc 1009'!C269)&gt;0,"1009","")</f>
        <v/>
      </c>
      <c r="AB2768" t="str">
        <f>IFERROR(IF(ISNUMBER('Procyfloc 1009'!A269),'Procyfloc 1009'!A269,DATEVALUE('Procyfloc 1009'!A269)),"")</f>
        <v/>
      </c>
      <c r="AC2768" t="str">
        <f>IF(AA2768="","",'Procyfloc 1009'!B269)</f>
        <v/>
      </c>
      <c r="AD2768" t="str">
        <f>IF(AA2768="","",IFERROR(1*'Procyfloc 1009'!C269,IFERROR(_xludf.NUMBERVALUE('Procyfloc 1009'!C269,".",","),IFERROR(_xludf.NUMBERVALUE('Procyfloc 1009'!C269,",","."),0))))</f>
        <v/>
      </c>
      <c r="AE2768" t="str">
        <f>IF(AA2768="","",'Procyfloc 1009'!L269)</f>
        <v/>
      </c>
      <c r="AF2768">
        <f t="shared" si="275"/>
        <v>0</v>
      </c>
      <c r="AG2768" t="str">
        <f t="shared" si="276"/>
        <v/>
      </c>
      <c r="AH2768" t="str">
        <f t="shared" si="277"/>
        <v/>
      </c>
      <c r="AI2768">
        <f t="shared" si="278"/>
        <v>0</v>
      </c>
      <c r="AJ2768">
        <f t="shared" si="279"/>
        <v>0</v>
      </c>
      <c r="AK2768">
        <v>0</v>
      </c>
      <c r="AL2768" t="str">
        <f>IF(AA2768="","",IFERROR(IF(ISNUMBER('Procyfloc 1009'!D269),'Procyfloc 1009'!D269,IF(ISNUMBER(SEARCH("12",'Procyfloc 1009'!D269)),EDATE(AB2768,12),IF(ISNUMBER(SEARCH("6",'Procyfloc 1009'!D269)),EDATE(AB2768,6),IF(ISNUMBER(SEARCH("3",'Procyfloc 1009'!D269)),EDATE(AB2768,3),DATEVALUE('Procyfloc 1009'!D269))))),""))</f>
        <v/>
      </c>
      <c r="AM2768" t="str">
        <f t="shared" ca="1" si="280"/>
        <v/>
      </c>
    </row>
    <row r="2769" spans="27:39" x14ac:dyDescent="0.3">
      <c r="AA2769" t="str">
        <f>IF(COUNTA('Procyfloc 1009'!A270,'Procyfloc 1009'!B270,'Procyfloc 1009'!C270)&gt;0,"1009","")</f>
        <v/>
      </c>
      <c r="AB2769" t="str">
        <f>IFERROR(IF(ISNUMBER('Procyfloc 1009'!A270),'Procyfloc 1009'!A270,DATEVALUE('Procyfloc 1009'!A270)),"")</f>
        <v/>
      </c>
      <c r="AC2769" t="str">
        <f>IF(AA2769="","",'Procyfloc 1009'!B270)</f>
        <v/>
      </c>
      <c r="AD2769" t="str">
        <f>IF(AA2769="","",IFERROR(1*'Procyfloc 1009'!C270,IFERROR(_xludf.NUMBERVALUE('Procyfloc 1009'!C270,".",","),IFERROR(_xludf.NUMBERVALUE('Procyfloc 1009'!C270,",","."),0))))</f>
        <v/>
      </c>
      <c r="AE2769" t="str">
        <f>IF(AA2769="","",'Procyfloc 1009'!L270)</f>
        <v/>
      </c>
      <c r="AF2769">
        <f t="shared" si="275"/>
        <v>0</v>
      </c>
      <c r="AG2769" t="str">
        <f t="shared" si="276"/>
        <v/>
      </c>
      <c r="AH2769" t="str">
        <f t="shared" si="277"/>
        <v/>
      </c>
      <c r="AI2769">
        <f t="shared" si="278"/>
        <v>0</v>
      </c>
      <c r="AJ2769">
        <f t="shared" si="279"/>
        <v>0</v>
      </c>
      <c r="AK2769">
        <v>0</v>
      </c>
      <c r="AL2769" t="str">
        <f>IF(AA2769="","",IFERROR(IF(ISNUMBER('Procyfloc 1009'!D270),'Procyfloc 1009'!D270,IF(ISNUMBER(SEARCH("12",'Procyfloc 1009'!D270)),EDATE(AB2769,12),IF(ISNUMBER(SEARCH("6",'Procyfloc 1009'!D270)),EDATE(AB2769,6),IF(ISNUMBER(SEARCH("3",'Procyfloc 1009'!D270)),EDATE(AB2769,3),DATEVALUE('Procyfloc 1009'!D270))))),""))</f>
        <v/>
      </c>
      <c r="AM2769" t="str">
        <f t="shared" ca="1" si="280"/>
        <v/>
      </c>
    </row>
    <row r="2770" spans="27:39" x14ac:dyDescent="0.3">
      <c r="AA2770" t="str">
        <f>IF(COUNTA('Procyfloc 1009'!A271,'Procyfloc 1009'!B271,'Procyfloc 1009'!C271)&gt;0,"1009","")</f>
        <v/>
      </c>
      <c r="AB2770" t="str">
        <f>IFERROR(IF(ISNUMBER('Procyfloc 1009'!A271),'Procyfloc 1009'!A271,DATEVALUE('Procyfloc 1009'!A271)),"")</f>
        <v/>
      </c>
      <c r="AC2770" t="str">
        <f>IF(AA2770="","",'Procyfloc 1009'!B271)</f>
        <v/>
      </c>
      <c r="AD2770" t="str">
        <f>IF(AA2770="","",IFERROR(1*'Procyfloc 1009'!C271,IFERROR(_xludf.NUMBERVALUE('Procyfloc 1009'!C271,".",","),IFERROR(_xludf.NUMBERVALUE('Procyfloc 1009'!C271,",","."),0))))</f>
        <v/>
      </c>
      <c r="AE2770" t="str">
        <f>IF(AA2770="","",'Procyfloc 1009'!L271)</f>
        <v/>
      </c>
      <c r="AF2770">
        <f t="shared" si="275"/>
        <v>0</v>
      </c>
      <c r="AG2770" t="str">
        <f t="shared" si="276"/>
        <v/>
      </c>
      <c r="AH2770" t="str">
        <f t="shared" si="277"/>
        <v/>
      </c>
      <c r="AI2770">
        <f t="shared" si="278"/>
        <v>0</v>
      </c>
      <c r="AJ2770">
        <f t="shared" si="279"/>
        <v>0</v>
      </c>
      <c r="AK2770">
        <v>0</v>
      </c>
      <c r="AL2770" t="str">
        <f>IF(AA2770="","",IFERROR(IF(ISNUMBER('Procyfloc 1009'!D271),'Procyfloc 1009'!D271,IF(ISNUMBER(SEARCH("12",'Procyfloc 1009'!D271)),EDATE(AB2770,12),IF(ISNUMBER(SEARCH("6",'Procyfloc 1009'!D271)),EDATE(AB2770,6),IF(ISNUMBER(SEARCH("3",'Procyfloc 1009'!D271)),EDATE(AB2770,3),DATEVALUE('Procyfloc 1009'!D271))))),""))</f>
        <v/>
      </c>
      <c r="AM2770" t="str">
        <f t="shared" ca="1" si="280"/>
        <v/>
      </c>
    </row>
    <row r="2771" spans="27:39" x14ac:dyDescent="0.3">
      <c r="AA2771" t="str">
        <f>IF(COUNTA('Procyfloc 1009'!A272,'Procyfloc 1009'!B272,'Procyfloc 1009'!C272)&gt;0,"1009","")</f>
        <v/>
      </c>
      <c r="AB2771" t="str">
        <f>IFERROR(IF(ISNUMBER('Procyfloc 1009'!A272),'Procyfloc 1009'!A272,DATEVALUE('Procyfloc 1009'!A272)),"")</f>
        <v/>
      </c>
      <c r="AC2771" t="str">
        <f>IF(AA2771="","",'Procyfloc 1009'!B272)</f>
        <v/>
      </c>
      <c r="AD2771" t="str">
        <f>IF(AA2771="","",IFERROR(1*'Procyfloc 1009'!C272,IFERROR(_xludf.NUMBERVALUE('Procyfloc 1009'!C272,".",","),IFERROR(_xludf.NUMBERVALUE('Procyfloc 1009'!C272,",","."),0))))</f>
        <v/>
      </c>
      <c r="AE2771" t="str">
        <f>IF(AA2771="","",'Procyfloc 1009'!L272)</f>
        <v/>
      </c>
      <c r="AF2771">
        <f t="shared" si="275"/>
        <v>0</v>
      </c>
      <c r="AG2771" t="str">
        <f t="shared" si="276"/>
        <v/>
      </c>
      <c r="AH2771" t="str">
        <f t="shared" si="277"/>
        <v/>
      </c>
      <c r="AI2771">
        <f t="shared" si="278"/>
        <v>0</v>
      </c>
      <c r="AJ2771">
        <f t="shared" si="279"/>
        <v>0</v>
      </c>
      <c r="AK2771">
        <v>0</v>
      </c>
      <c r="AL2771" t="str">
        <f>IF(AA2771="","",IFERROR(IF(ISNUMBER('Procyfloc 1009'!D272),'Procyfloc 1009'!D272,IF(ISNUMBER(SEARCH("12",'Procyfloc 1009'!D272)),EDATE(AB2771,12),IF(ISNUMBER(SEARCH("6",'Procyfloc 1009'!D272)),EDATE(AB2771,6),IF(ISNUMBER(SEARCH("3",'Procyfloc 1009'!D272)),EDATE(AB2771,3),DATEVALUE('Procyfloc 1009'!D272))))),""))</f>
        <v/>
      </c>
      <c r="AM2771" t="str">
        <f t="shared" ca="1" si="280"/>
        <v/>
      </c>
    </row>
    <row r="2772" spans="27:39" x14ac:dyDescent="0.3">
      <c r="AA2772" t="str">
        <f>IF(COUNTA('Procyfloc 1009'!A273,'Procyfloc 1009'!B273,'Procyfloc 1009'!C273)&gt;0,"1009","")</f>
        <v/>
      </c>
      <c r="AB2772" t="str">
        <f>IFERROR(IF(ISNUMBER('Procyfloc 1009'!A273),'Procyfloc 1009'!A273,DATEVALUE('Procyfloc 1009'!A273)),"")</f>
        <v/>
      </c>
      <c r="AC2772" t="str">
        <f>IF(AA2772="","",'Procyfloc 1009'!B273)</f>
        <v/>
      </c>
      <c r="AD2772" t="str">
        <f>IF(AA2772="","",IFERROR(1*'Procyfloc 1009'!C273,IFERROR(_xludf.NUMBERVALUE('Procyfloc 1009'!C273,".",","),IFERROR(_xludf.NUMBERVALUE('Procyfloc 1009'!C273,",","."),0))))</f>
        <v/>
      </c>
      <c r="AE2772" t="str">
        <f>IF(AA2772="","",'Procyfloc 1009'!L273)</f>
        <v/>
      </c>
      <c r="AF2772">
        <f t="shared" si="275"/>
        <v>0</v>
      </c>
      <c r="AG2772" t="str">
        <f t="shared" si="276"/>
        <v/>
      </c>
      <c r="AH2772" t="str">
        <f t="shared" si="277"/>
        <v/>
      </c>
      <c r="AI2772">
        <f t="shared" si="278"/>
        <v>0</v>
      </c>
      <c r="AJ2772">
        <f t="shared" si="279"/>
        <v>0</v>
      </c>
      <c r="AK2772">
        <v>0</v>
      </c>
      <c r="AL2772" t="str">
        <f>IF(AA2772="","",IFERROR(IF(ISNUMBER('Procyfloc 1009'!D273),'Procyfloc 1009'!D273,IF(ISNUMBER(SEARCH("12",'Procyfloc 1009'!D273)),EDATE(AB2772,12),IF(ISNUMBER(SEARCH("6",'Procyfloc 1009'!D273)),EDATE(AB2772,6),IF(ISNUMBER(SEARCH("3",'Procyfloc 1009'!D273)),EDATE(AB2772,3),DATEVALUE('Procyfloc 1009'!D273))))),""))</f>
        <v/>
      </c>
      <c r="AM2772" t="str">
        <f t="shared" ca="1" si="280"/>
        <v/>
      </c>
    </row>
    <row r="2773" spans="27:39" x14ac:dyDescent="0.3">
      <c r="AA2773" t="str">
        <f>IF(COUNTA('Procyfloc 1009'!A274,'Procyfloc 1009'!B274,'Procyfloc 1009'!C274)&gt;0,"1009","")</f>
        <v/>
      </c>
      <c r="AB2773" t="str">
        <f>IFERROR(IF(ISNUMBER('Procyfloc 1009'!A274),'Procyfloc 1009'!A274,DATEVALUE('Procyfloc 1009'!A274)),"")</f>
        <v/>
      </c>
      <c r="AC2773" t="str">
        <f>IF(AA2773="","",'Procyfloc 1009'!B274)</f>
        <v/>
      </c>
      <c r="AD2773" t="str">
        <f>IF(AA2773="","",IFERROR(1*'Procyfloc 1009'!C274,IFERROR(_xludf.NUMBERVALUE('Procyfloc 1009'!C274,".",","),IFERROR(_xludf.NUMBERVALUE('Procyfloc 1009'!C274,",","."),0))))</f>
        <v/>
      </c>
      <c r="AE2773" t="str">
        <f>IF(AA2773="","",'Procyfloc 1009'!L274)</f>
        <v/>
      </c>
      <c r="AF2773">
        <f t="shared" si="275"/>
        <v>0</v>
      </c>
      <c r="AG2773" t="str">
        <f t="shared" si="276"/>
        <v/>
      </c>
      <c r="AH2773" t="str">
        <f t="shared" si="277"/>
        <v/>
      </c>
      <c r="AI2773">
        <f t="shared" si="278"/>
        <v>0</v>
      </c>
      <c r="AJ2773">
        <f t="shared" si="279"/>
        <v>0</v>
      </c>
      <c r="AK2773">
        <v>0</v>
      </c>
      <c r="AL2773" t="str">
        <f>IF(AA2773="","",IFERROR(IF(ISNUMBER('Procyfloc 1009'!D274),'Procyfloc 1009'!D274,IF(ISNUMBER(SEARCH("12",'Procyfloc 1009'!D274)),EDATE(AB2773,12),IF(ISNUMBER(SEARCH("6",'Procyfloc 1009'!D274)),EDATE(AB2773,6),IF(ISNUMBER(SEARCH("3",'Procyfloc 1009'!D274)),EDATE(AB2773,3),DATEVALUE('Procyfloc 1009'!D274))))),""))</f>
        <v/>
      </c>
      <c r="AM2773" t="str">
        <f t="shared" ca="1" si="280"/>
        <v/>
      </c>
    </row>
    <row r="2774" spans="27:39" x14ac:dyDescent="0.3">
      <c r="AA2774" t="str">
        <f>IF(COUNTA('Procyfloc 1009'!A275,'Procyfloc 1009'!B275,'Procyfloc 1009'!C275)&gt;0,"1009","")</f>
        <v/>
      </c>
      <c r="AB2774" t="str">
        <f>IFERROR(IF(ISNUMBER('Procyfloc 1009'!A275),'Procyfloc 1009'!A275,DATEVALUE('Procyfloc 1009'!A275)),"")</f>
        <v/>
      </c>
      <c r="AC2774" t="str">
        <f>IF(AA2774="","",'Procyfloc 1009'!B275)</f>
        <v/>
      </c>
      <c r="AD2774" t="str">
        <f>IF(AA2774="","",IFERROR(1*'Procyfloc 1009'!C275,IFERROR(_xludf.NUMBERVALUE('Procyfloc 1009'!C275,".",","),IFERROR(_xludf.NUMBERVALUE('Procyfloc 1009'!C275,",","."),0))))</f>
        <v/>
      </c>
      <c r="AE2774" t="str">
        <f>IF(AA2774="","",'Procyfloc 1009'!L275)</f>
        <v/>
      </c>
      <c r="AF2774">
        <f t="shared" si="275"/>
        <v>0</v>
      </c>
      <c r="AG2774" t="str">
        <f t="shared" si="276"/>
        <v/>
      </c>
      <c r="AH2774" t="str">
        <f t="shared" si="277"/>
        <v/>
      </c>
      <c r="AI2774">
        <f t="shared" si="278"/>
        <v>0</v>
      </c>
      <c r="AJ2774">
        <f t="shared" si="279"/>
        <v>0</v>
      </c>
      <c r="AK2774">
        <v>0</v>
      </c>
      <c r="AL2774" t="str">
        <f>IF(AA2774="","",IFERROR(IF(ISNUMBER('Procyfloc 1009'!D275),'Procyfloc 1009'!D275,IF(ISNUMBER(SEARCH("12",'Procyfloc 1009'!D275)),EDATE(AB2774,12),IF(ISNUMBER(SEARCH("6",'Procyfloc 1009'!D275)),EDATE(AB2774,6),IF(ISNUMBER(SEARCH("3",'Procyfloc 1009'!D275)),EDATE(AB2774,3),DATEVALUE('Procyfloc 1009'!D275))))),""))</f>
        <v/>
      </c>
      <c r="AM2774" t="str">
        <f t="shared" ca="1" si="280"/>
        <v/>
      </c>
    </row>
    <row r="2775" spans="27:39" x14ac:dyDescent="0.3">
      <c r="AA2775" t="str">
        <f>IF(COUNTA('Procyfloc 1009'!A276,'Procyfloc 1009'!B276,'Procyfloc 1009'!C276)&gt;0,"1009","")</f>
        <v/>
      </c>
      <c r="AB2775" t="str">
        <f>IFERROR(IF(ISNUMBER('Procyfloc 1009'!A276),'Procyfloc 1009'!A276,DATEVALUE('Procyfloc 1009'!A276)),"")</f>
        <v/>
      </c>
      <c r="AC2775" t="str">
        <f>IF(AA2775="","",'Procyfloc 1009'!B276)</f>
        <v/>
      </c>
      <c r="AD2775" t="str">
        <f>IF(AA2775="","",IFERROR(1*'Procyfloc 1009'!C276,IFERROR(_xludf.NUMBERVALUE('Procyfloc 1009'!C276,".",","),IFERROR(_xludf.NUMBERVALUE('Procyfloc 1009'!C276,",","."),0))))</f>
        <v/>
      </c>
      <c r="AE2775" t="str">
        <f>IF(AA2775="","",'Procyfloc 1009'!L276)</f>
        <v/>
      </c>
      <c r="AF2775">
        <f t="shared" si="275"/>
        <v>0</v>
      </c>
      <c r="AG2775" t="str">
        <f t="shared" si="276"/>
        <v/>
      </c>
      <c r="AH2775" t="str">
        <f t="shared" si="277"/>
        <v/>
      </c>
      <c r="AI2775">
        <f t="shared" si="278"/>
        <v>0</v>
      </c>
      <c r="AJ2775">
        <f t="shared" si="279"/>
        <v>0</v>
      </c>
      <c r="AK2775">
        <v>0</v>
      </c>
      <c r="AL2775" t="str">
        <f>IF(AA2775="","",IFERROR(IF(ISNUMBER('Procyfloc 1009'!D276),'Procyfloc 1009'!D276,IF(ISNUMBER(SEARCH("12",'Procyfloc 1009'!D276)),EDATE(AB2775,12),IF(ISNUMBER(SEARCH("6",'Procyfloc 1009'!D276)),EDATE(AB2775,6),IF(ISNUMBER(SEARCH("3",'Procyfloc 1009'!D276)),EDATE(AB2775,3),DATEVALUE('Procyfloc 1009'!D276))))),""))</f>
        <v/>
      </c>
      <c r="AM2775" t="str">
        <f t="shared" ca="1" si="280"/>
        <v/>
      </c>
    </row>
    <row r="2776" spans="27:39" x14ac:dyDescent="0.3">
      <c r="AA2776" t="str">
        <f>IF(COUNTA('Procyfloc 1009'!A277,'Procyfloc 1009'!B277,'Procyfloc 1009'!C277)&gt;0,"1009","")</f>
        <v/>
      </c>
      <c r="AB2776" t="str">
        <f>IFERROR(IF(ISNUMBER('Procyfloc 1009'!A277),'Procyfloc 1009'!A277,DATEVALUE('Procyfloc 1009'!A277)),"")</f>
        <v/>
      </c>
      <c r="AC2776" t="str">
        <f>IF(AA2776="","",'Procyfloc 1009'!B277)</f>
        <v/>
      </c>
      <c r="AD2776" t="str">
        <f>IF(AA2776="","",IFERROR(1*'Procyfloc 1009'!C277,IFERROR(_xludf.NUMBERVALUE('Procyfloc 1009'!C277,".",","),IFERROR(_xludf.NUMBERVALUE('Procyfloc 1009'!C277,",","."),0))))</f>
        <v/>
      </c>
      <c r="AE2776" t="str">
        <f>IF(AA2776="","",'Procyfloc 1009'!L277)</f>
        <v/>
      </c>
      <c r="AF2776">
        <f t="shared" si="275"/>
        <v>0</v>
      </c>
      <c r="AG2776" t="str">
        <f t="shared" si="276"/>
        <v/>
      </c>
      <c r="AH2776" t="str">
        <f t="shared" si="277"/>
        <v/>
      </c>
      <c r="AI2776">
        <f t="shared" si="278"/>
        <v>0</v>
      </c>
      <c r="AJ2776">
        <f t="shared" si="279"/>
        <v>0</v>
      </c>
      <c r="AK2776">
        <v>0</v>
      </c>
      <c r="AL2776" t="str">
        <f>IF(AA2776="","",IFERROR(IF(ISNUMBER('Procyfloc 1009'!D277),'Procyfloc 1009'!D277,IF(ISNUMBER(SEARCH("12",'Procyfloc 1009'!D277)),EDATE(AB2776,12),IF(ISNUMBER(SEARCH("6",'Procyfloc 1009'!D277)),EDATE(AB2776,6),IF(ISNUMBER(SEARCH("3",'Procyfloc 1009'!D277)),EDATE(AB2776,3),DATEVALUE('Procyfloc 1009'!D277))))),""))</f>
        <v/>
      </c>
      <c r="AM2776" t="str">
        <f t="shared" ca="1" si="280"/>
        <v/>
      </c>
    </row>
    <row r="2777" spans="27:39" x14ac:dyDescent="0.3">
      <c r="AA2777" t="str">
        <f>IF(COUNTA('Procyfloc 1009'!A278,'Procyfloc 1009'!B278,'Procyfloc 1009'!C278)&gt;0,"1009","")</f>
        <v/>
      </c>
      <c r="AB2777" t="str">
        <f>IFERROR(IF(ISNUMBER('Procyfloc 1009'!A278),'Procyfloc 1009'!A278,DATEVALUE('Procyfloc 1009'!A278)),"")</f>
        <v/>
      </c>
      <c r="AC2777" t="str">
        <f>IF(AA2777="","",'Procyfloc 1009'!B278)</f>
        <v/>
      </c>
      <c r="AD2777" t="str">
        <f>IF(AA2777="","",IFERROR(1*'Procyfloc 1009'!C278,IFERROR(_xludf.NUMBERVALUE('Procyfloc 1009'!C278,".",","),IFERROR(_xludf.NUMBERVALUE('Procyfloc 1009'!C278,",","."),0))))</f>
        <v/>
      </c>
      <c r="AE2777" t="str">
        <f>IF(AA2777="","",'Procyfloc 1009'!L278)</f>
        <v/>
      </c>
      <c r="AF2777">
        <f t="shared" si="275"/>
        <v>0</v>
      </c>
      <c r="AG2777" t="str">
        <f t="shared" si="276"/>
        <v/>
      </c>
      <c r="AH2777" t="str">
        <f t="shared" si="277"/>
        <v/>
      </c>
      <c r="AI2777">
        <f t="shared" si="278"/>
        <v>0</v>
      </c>
      <c r="AJ2777">
        <f t="shared" si="279"/>
        <v>0</v>
      </c>
      <c r="AK2777">
        <v>0</v>
      </c>
      <c r="AL2777" t="str">
        <f>IF(AA2777="","",IFERROR(IF(ISNUMBER('Procyfloc 1009'!D278),'Procyfloc 1009'!D278,IF(ISNUMBER(SEARCH("12",'Procyfloc 1009'!D278)),EDATE(AB2777,12),IF(ISNUMBER(SEARCH("6",'Procyfloc 1009'!D278)),EDATE(AB2777,6),IF(ISNUMBER(SEARCH("3",'Procyfloc 1009'!D278)),EDATE(AB2777,3),DATEVALUE('Procyfloc 1009'!D278))))),""))</f>
        <v/>
      </c>
      <c r="AM2777" t="str">
        <f t="shared" ca="1" si="280"/>
        <v/>
      </c>
    </row>
    <row r="2778" spans="27:39" x14ac:dyDescent="0.3">
      <c r="AA2778" t="str">
        <f>IF(COUNTA('Procyfloc 1009'!A279,'Procyfloc 1009'!B279,'Procyfloc 1009'!C279)&gt;0,"1009","")</f>
        <v/>
      </c>
      <c r="AB2778" t="str">
        <f>IFERROR(IF(ISNUMBER('Procyfloc 1009'!A279),'Procyfloc 1009'!A279,DATEVALUE('Procyfloc 1009'!A279)),"")</f>
        <v/>
      </c>
      <c r="AC2778" t="str">
        <f>IF(AA2778="","",'Procyfloc 1009'!B279)</f>
        <v/>
      </c>
      <c r="AD2778" t="str">
        <f>IF(AA2778="","",IFERROR(1*'Procyfloc 1009'!C279,IFERROR(_xludf.NUMBERVALUE('Procyfloc 1009'!C279,".",","),IFERROR(_xludf.NUMBERVALUE('Procyfloc 1009'!C279,",","."),0))))</f>
        <v/>
      </c>
      <c r="AE2778" t="str">
        <f>IF(AA2778="","",'Procyfloc 1009'!L279)</f>
        <v/>
      </c>
      <c r="AF2778">
        <f t="shared" si="275"/>
        <v>0</v>
      </c>
      <c r="AG2778" t="str">
        <f t="shared" si="276"/>
        <v/>
      </c>
      <c r="AH2778" t="str">
        <f t="shared" si="277"/>
        <v/>
      </c>
      <c r="AI2778">
        <f t="shared" si="278"/>
        <v>0</v>
      </c>
      <c r="AJ2778">
        <f t="shared" si="279"/>
        <v>0</v>
      </c>
      <c r="AK2778">
        <v>0</v>
      </c>
      <c r="AL2778" t="str">
        <f>IF(AA2778="","",IFERROR(IF(ISNUMBER('Procyfloc 1009'!D279),'Procyfloc 1009'!D279,IF(ISNUMBER(SEARCH("12",'Procyfloc 1009'!D279)),EDATE(AB2778,12),IF(ISNUMBER(SEARCH("6",'Procyfloc 1009'!D279)),EDATE(AB2778,6),IF(ISNUMBER(SEARCH("3",'Procyfloc 1009'!D279)),EDATE(AB2778,3),DATEVALUE('Procyfloc 1009'!D279))))),""))</f>
        <v/>
      </c>
      <c r="AM2778" t="str">
        <f t="shared" ca="1" si="280"/>
        <v/>
      </c>
    </row>
    <row r="2779" spans="27:39" x14ac:dyDescent="0.3">
      <c r="AA2779" t="str">
        <f>IF(COUNTA('Procyfloc 1009'!A280,'Procyfloc 1009'!B280,'Procyfloc 1009'!C280)&gt;0,"1009","")</f>
        <v/>
      </c>
      <c r="AB2779" t="str">
        <f>IFERROR(IF(ISNUMBER('Procyfloc 1009'!A280),'Procyfloc 1009'!A280,DATEVALUE('Procyfloc 1009'!A280)),"")</f>
        <v/>
      </c>
      <c r="AC2779" t="str">
        <f>IF(AA2779="","",'Procyfloc 1009'!B280)</f>
        <v/>
      </c>
      <c r="AD2779" t="str">
        <f>IF(AA2779="","",IFERROR(1*'Procyfloc 1009'!C280,IFERROR(_xludf.NUMBERVALUE('Procyfloc 1009'!C280,".",","),IFERROR(_xludf.NUMBERVALUE('Procyfloc 1009'!C280,",","."),0))))</f>
        <v/>
      </c>
      <c r="AE2779" t="str">
        <f>IF(AA2779="","",'Procyfloc 1009'!L280)</f>
        <v/>
      </c>
      <c r="AF2779">
        <f t="shared" si="275"/>
        <v>0</v>
      </c>
      <c r="AG2779" t="str">
        <f t="shared" si="276"/>
        <v/>
      </c>
      <c r="AH2779" t="str">
        <f t="shared" si="277"/>
        <v/>
      </c>
      <c r="AI2779">
        <f t="shared" si="278"/>
        <v>0</v>
      </c>
      <c r="AJ2779">
        <f t="shared" si="279"/>
        <v>0</v>
      </c>
      <c r="AK2779">
        <v>0</v>
      </c>
      <c r="AL2779" t="str">
        <f>IF(AA2779="","",IFERROR(IF(ISNUMBER('Procyfloc 1009'!D280),'Procyfloc 1009'!D280,IF(ISNUMBER(SEARCH("12",'Procyfloc 1009'!D280)),EDATE(AB2779,12),IF(ISNUMBER(SEARCH("6",'Procyfloc 1009'!D280)),EDATE(AB2779,6),IF(ISNUMBER(SEARCH("3",'Procyfloc 1009'!D280)),EDATE(AB2779,3),DATEVALUE('Procyfloc 1009'!D280))))),""))</f>
        <v/>
      </c>
      <c r="AM2779" t="str">
        <f t="shared" ca="1" si="280"/>
        <v/>
      </c>
    </row>
    <row r="2780" spans="27:39" x14ac:dyDescent="0.3">
      <c r="AA2780" t="str">
        <f>IF(COUNTA('Procyfloc 1009'!A281,'Procyfloc 1009'!B281,'Procyfloc 1009'!C281)&gt;0,"1009","")</f>
        <v/>
      </c>
      <c r="AB2780" t="str">
        <f>IFERROR(IF(ISNUMBER('Procyfloc 1009'!A281),'Procyfloc 1009'!A281,DATEVALUE('Procyfloc 1009'!A281)),"")</f>
        <v/>
      </c>
      <c r="AC2780" t="str">
        <f>IF(AA2780="","",'Procyfloc 1009'!B281)</f>
        <v/>
      </c>
      <c r="AD2780" t="str">
        <f>IF(AA2780="","",IFERROR(1*'Procyfloc 1009'!C281,IFERROR(_xludf.NUMBERVALUE('Procyfloc 1009'!C281,".",","),IFERROR(_xludf.NUMBERVALUE('Procyfloc 1009'!C281,",","."),0))))</f>
        <v/>
      </c>
      <c r="AE2780" t="str">
        <f>IF(AA2780="","",'Procyfloc 1009'!L281)</f>
        <v/>
      </c>
      <c r="AF2780">
        <f t="shared" si="275"/>
        <v>0</v>
      </c>
      <c r="AG2780" t="str">
        <f t="shared" si="276"/>
        <v/>
      </c>
      <c r="AH2780" t="str">
        <f t="shared" si="277"/>
        <v/>
      </c>
      <c r="AI2780">
        <f t="shared" si="278"/>
        <v>0</v>
      </c>
      <c r="AJ2780">
        <f t="shared" si="279"/>
        <v>0</v>
      </c>
      <c r="AK2780">
        <v>0</v>
      </c>
      <c r="AL2780" t="str">
        <f>IF(AA2780="","",IFERROR(IF(ISNUMBER('Procyfloc 1009'!D281),'Procyfloc 1009'!D281,IF(ISNUMBER(SEARCH("12",'Procyfloc 1009'!D281)),EDATE(AB2780,12),IF(ISNUMBER(SEARCH("6",'Procyfloc 1009'!D281)),EDATE(AB2780,6),IF(ISNUMBER(SEARCH("3",'Procyfloc 1009'!D281)),EDATE(AB2780,3),DATEVALUE('Procyfloc 1009'!D281))))),""))</f>
        <v/>
      </c>
      <c r="AM2780" t="str">
        <f t="shared" ca="1" si="280"/>
        <v/>
      </c>
    </row>
    <row r="2781" spans="27:39" x14ac:dyDescent="0.3">
      <c r="AA2781" t="str">
        <f>IF(COUNTA('Procyfloc 1009'!A282,'Procyfloc 1009'!B282,'Procyfloc 1009'!C282)&gt;0,"1009","")</f>
        <v/>
      </c>
      <c r="AB2781" t="str">
        <f>IFERROR(IF(ISNUMBER('Procyfloc 1009'!A282),'Procyfloc 1009'!A282,DATEVALUE('Procyfloc 1009'!A282)),"")</f>
        <v/>
      </c>
      <c r="AC2781" t="str">
        <f>IF(AA2781="","",'Procyfloc 1009'!B282)</f>
        <v/>
      </c>
      <c r="AD2781" t="str">
        <f>IF(AA2781="","",IFERROR(1*'Procyfloc 1009'!C282,IFERROR(_xludf.NUMBERVALUE('Procyfloc 1009'!C282,".",","),IFERROR(_xludf.NUMBERVALUE('Procyfloc 1009'!C282,",","."),0))))</f>
        <v/>
      </c>
      <c r="AE2781" t="str">
        <f>IF(AA2781="","",'Procyfloc 1009'!L282)</f>
        <v/>
      </c>
      <c r="AF2781">
        <f t="shared" si="275"/>
        <v>0</v>
      </c>
      <c r="AG2781" t="str">
        <f t="shared" si="276"/>
        <v/>
      </c>
      <c r="AH2781" t="str">
        <f t="shared" si="277"/>
        <v/>
      </c>
      <c r="AI2781">
        <f t="shared" si="278"/>
        <v>0</v>
      </c>
      <c r="AJ2781">
        <f t="shared" si="279"/>
        <v>0</v>
      </c>
      <c r="AK2781">
        <v>0</v>
      </c>
      <c r="AL2781" t="str">
        <f>IF(AA2781="","",IFERROR(IF(ISNUMBER('Procyfloc 1009'!D282),'Procyfloc 1009'!D282,IF(ISNUMBER(SEARCH("12",'Procyfloc 1009'!D282)),EDATE(AB2781,12),IF(ISNUMBER(SEARCH("6",'Procyfloc 1009'!D282)),EDATE(AB2781,6),IF(ISNUMBER(SEARCH("3",'Procyfloc 1009'!D282)),EDATE(AB2781,3),DATEVALUE('Procyfloc 1009'!D282))))),""))</f>
        <v/>
      </c>
      <c r="AM2781" t="str">
        <f t="shared" ca="1" si="280"/>
        <v/>
      </c>
    </row>
    <row r="2782" spans="27:39" x14ac:dyDescent="0.3">
      <c r="AA2782" t="str">
        <f>IF(COUNTA('Procyfloc 1009'!A283,'Procyfloc 1009'!B283,'Procyfloc 1009'!C283)&gt;0,"1009","")</f>
        <v/>
      </c>
      <c r="AB2782" t="str">
        <f>IFERROR(IF(ISNUMBER('Procyfloc 1009'!A283),'Procyfloc 1009'!A283,DATEVALUE('Procyfloc 1009'!A283)),"")</f>
        <v/>
      </c>
      <c r="AC2782" t="str">
        <f>IF(AA2782="","",'Procyfloc 1009'!B283)</f>
        <v/>
      </c>
      <c r="AD2782" t="str">
        <f>IF(AA2782="","",IFERROR(1*'Procyfloc 1009'!C283,IFERROR(_xludf.NUMBERVALUE('Procyfloc 1009'!C283,".",","),IFERROR(_xludf.NUMBERVALUE('Procyfloc 1009'!C283,",","."),0))))</f>
        <v/>
      </c>
      <c r="AE2782" t="str">
        <f>IF(AA2782="","",'Procyfloc 1009'!L283)</f>
        <v/>
      </c>
      <c r="AF2782">
        <f t="shared" si="275"/>
        <v>0</v>
      </c>
      <c r="AG2782" t="str">
        <f t="shared" si="276"/>
        <v/>
      </c>
      <c r="AH2782" t="str">
        <f t="shared" si="277"/>
        <v/>
      </c>
      <c r="AI2782">
        <f t="shared" si="278"/>
        <v>0</v>
      </c>
      <c r="AJ2782">
        <f t="shared" si="279"/>
        <v>0</v>
      </c>
      <c r="AK2782">
        <v>0</v>
      </c>
      <c r="AL2782" t="str">
        <f>IF(AA2782="","",IFERROR(IF(ISNUMBER('Procyfloc 1009'!D283),'Procyfloc 1009'!D283,IF(ISNUMBER(SEARCH("12",'Procyfloc 1009'!D283)),EDATE(AB2782,12),IF(ISNUMBER(SEARCH("6",'Procyfloc 1009'!D283)),EDATE(AB2782,6),IF(ISNUMBER(SEARCH("3",'Procyfloc 1009'!D283)),EDATE(AB2782,3),DATEVALUE('Procyfloc 1009'!D283))))),""))</f>
        <v/>
      </c>
      <c r="AM2782" t="str">
        <f t="shared" ca="1" si="280"/>
        <v/>
      </c>
    </row>
    <row r="2783" spans="27:39" x14ac:dyDescent="0.3">
      <c r="AA2783" t="str">
        <f>IF(COUNTA('Procyfloc 1009'!A284,'Procyfloc 1009'!B284,'Procyfloc 1009'!C284)&gt;0,"1009","")</f>
        <v/>
      </c>
      <c r="AB2783" t="str">
        <f>IFERROR(IF(ISNUMBER('Procyfloc 1009'!A284),'Procyfloc 1009'!A284,DATEVALUE('Procyfloc 1009'!A284)),"")</f>
        <v/>
      </c>
      <c r="AC2783" t="str">
        <f>IF(AA2783="","",'Procyfloc 1009'!B284)</f>
        <v/>
      </c>
      <c r="AD2783" t="str">
        <f>IF(AA2783="","",IFERROR(1*'Procyfloc 1009'!C284,IFERROR(_xludf.NUMBERVALUE('Procyfloc 1009'!C284,".",","),IFERROR(_xludf.NUMBERVALUE('Procyfloc 1009'!C284,",","."),0))))</f>
        <v/>
      </c>
      <c r="AE2783" t="str">
        <f>IF(AA2783="","",'Procyfloc 1009'!L284)</f>
        <v/>
      </c>
      <c r="AF2783">
        <f t="shared" si="275"/>
        <v>0</v>
      </c>
      <c r="AG2783" t="str">
        <f t="shared" si="276"/>
        <v/>
      </c>
      <c r="AH2783" t="str">
        <f t="shared" si="277"/>
        <v/>
      </c>
      <c r="AI2783">
        <f t="shared" si="278"/>
        <v>0</v>
      </c>
      <c r="AJ2783">
        <f t="shared" si="279"/>
        <v>0</v>
      </c>
      <c r="AK2783">
        <v>0</v>
      </c>
      <c r="AL2783" t="str">
        <f>IF(AA2783="","",IFERROR(IF(ISNUMBER('Procyfloc 1009'!D284),'Procyfloc 1009'!D284,IF(ISNUMBER(SEARCH("12",'Procyfloc 1009'!D284)),EDATE(AB2783,12),IF(ISNUMBER(SEARCH("6",'Procyfloc 1009'!D284)),EDATE(AB2783,6),IF(ISNUMBER(SEARCH("3",'Procyfloc 1009'!D284)),EDATE(AB2783,3),DATEVALUE('Procyfloc 1009'!D284))))),""))</f>
        <v/>
      </c>
      <c r="AM2783" t="str">
        <f t="shared" ca="1" si="280"/>
        <v/>
      </c>
    </row>
    <row r="2784" spans="27:39" x14ac:dyDescent="0.3">
      <c r="AA2784" t="str">
        <f>IF(COUNTA('Procyfloc 1009'!A285,'Procyfloc 1009'!B285,'Procyfloc 1009'!C285)&gt;0,"1009","")</f>
        <v/>
      </c>
      <c r="AB2784" t="str">
        <f>IFERROR(IF(ISNUMBER('Procyfloc 1009'!A285),'Procyfloc 1009'!A285,DATEVALUE('Procyfloc 1009'!A285)),"")</f>
        <v/>
      </c>
      <c r="AC2784" t="str">
        <f>IF(AA2784="","",'Procyfloc 1009'!B285)</f>
        <v/>
      </c>
      <c r="AD2784" t="str">
        <f>IF(AA2784="","",IFERROR(1*'Procyfloc 1009'!C285,IFERROR(_xludf.NUMBERVALUE('Procyfloc 1009'!C285,".",","),IFERROR(_xludf.NUMBERVALUE('Procyfloc 1009'!C285,",","."),0))))</f>
        <v/>
      </c>
      <c r="AE2784" t="str">
        <f>IF(AA2784="","",'Procyfloc 1009'!L285)</f>
        <v/>
      </c>
      <c r="AF2784">
        <f t="shared" si="275"/>
        <v>0</v>
      </c>
      <c r="AG2784" t="str">
        <f t="shared" si="276"/>
        <v/>
      </c>
      <c r="AH2784" t="str">
        <f t="shared" si="277"/>
        <v/>
      </c>
      <c r="AI2784">
        <f t="shared" si="278"/>
        <v>0</v>
      </c>
      <c r="AJ2784">
        <f t="shared" si="279"/>
        <v>0</v>
      </c>
      <c r="AK2784">
        <v>0</v>
      </c>
      <c r="AL2784" t="str">
        <f>IF(AA2784="","",IFERROR(IF(ISNUMBER('Procyfloc 1009'!D285),'Procyfloc 1009'!D285,IF(ISNUMBER(SEARCH("12",'Procyfloc 1009'!D285)),EDATE(AB2784,12),IF(ISNUMBER(SEARCH("6",'Procyfloc 1009'!D285)),EDATE(AB2784,6),IF(ISNUMBER(SEARCH("3",'Procyfloc 1009'!D285)),EDATE(AB2784,3),DATEVALUE('Procyfloc 1009'!D285))))),""))</f>
        <v/>
      </c>
      <c r="AM2784" t="str">
        <f t="shared" ca="1" si="280"/>
        <v/>
      </c>
    </row>
    <row r="2785" spans="27:39" x14ac:dyDescent="0.3">
      <c r="AA2785" t="str">
        <f>IF(COUNTA('Procyfloc 1009'!A286,'Procyfloc 1009'!B286,'Procyfloc 1009'!C286)&gt;0,"1009","")</f>
        <v/>
      </c>
      <c r="AB2785" t="str">
        <f>IFERROR(IF(ISNUMBER('Procyfloc 1009'!A286),'Procyfloc 1009'!A286,DATEVALUE('Procyfloc 1009'!A286)),"")</f>
        <v/>
      </c>
      <c r="AC2785" t="str">
        <f>IF(AA2785="","",'Procyfloc 1009'!B286)</f>
        <v/>
      </c>
      <c r="AD2785" t="str">
        <f>IF(AA2785="","",IFERROR(1*'Procyfloc 1009'!C286,IFERROR(_xludf.NUMBERVALUE('Procyfloc 1009'!C286,".",","),IFERROR(_xludf.NUMBERVALUE('Procyfloc 1009'!C286,",","."),0))))</f>
        <v/>
      </c>
      <c r="AE2785" t="str">
        <f>IF(AA2785="","",'Procyfloc 1009'!L286)</f>
        <v/>
      </c>
      <c r="AF2785">
        <f t="shared" si="275"/>
        <v>0</v>
      </c>
      <c r="AG2785" t="str">
        <f t="shared" si="276"/>
        <v/>
      </c>
      <c r="AH2785" t="str">
        <f t="shared" si="277"/>
        <v/>
      </c>
      <c r="AI2785">
        <f t="shared" si="278"/>
        <v>0</v>
      </c>
      <c r="AJ2785">
        <f t="shared" si="279"/>
        <v>0</v>
      </c>
      <c r="AK2785">
        <v>0</v>
      </c>
      <c r="AL2785" t="str">
        <f>IF(AA2785="","",IFERROR(IF(ISNUMBER('Procyfloc 1009'!D286),'Procyfloc 1009'!D286,IF(ISNUMBER(SEARCH("12",'Procyfloc 1009'!D286)),EDATE(AB2785,12),IF(ISNUMBER(SEARCH("6",'Procyfloc 1009'!D286)),EDATE(AB2785,6),IF(ISNUMBER(SEARCH("3",'Procyfloc 1009'!D286)),EDATE(AB2785,3),DATEVALUE('Procyfloc 1009'!D286))))),""))</f>
        <v/>
      </c>
      <c r="AM2785" t="str">
        <f t="shared" ca="1" si="280"/>
        <v/>
      </c>
    </row>
    <row r="2786" spans="27:39" x14ac:dyDescent="0.3">
      <c r="AA2786" t="str">
        <f>IF(COUNTA('Procyfloc 1009'!A287,'Procyfloc 1009'!B287,'Procyfloc 1009'!C287)&gt;0,"1009","")</f>
        <v/>
      </c>
      <c r="AB2786" t="str">
        <f>IFERROR(IF(ISNUMBER('Procyfloc 1009'!A287),'Procyfloc 1009'!A287,DATEVALUE('Procyfloc 1009'!A287)),"")</f>
        <v/>
      </c>
      <c r="AC2786" t="str">
        <f>IF(AA2786="","",'Procyfloc 1009'!B287)</f>
        <v/>
      </c>
      <c r="AD2786" t="str">
        <f>IF(AA2786="","",IFERROR(1*'Procyfloc 1009'!C287,IFERROR(_xludf.NUMBERVALUE('Procyfloc 1009'!C287,".",","),IFERROR(_xludf.NUMBERVALUE('Procyfloc 1009'!C287,",","."),0))))</f>
        <v/>
      </c>
      <c r="AE2786" t="str">
        <f>IF(AA2786="","",'Procyfloc 1009'!L287)</f>
        <v/>
      </c>
      <c r="AF2786">
        <f t="shared" si="275"/>
        <v>0</v>
      </c>
      <c r="AG2786" t="str">
        <f t="shared" si="276"/>
        <v/>
      </c>
      <c r="AH2786" t="str">
        <f t="shared" si="277"/>
        <v/>
      </c>
      <c r="AI2786">
        <f t="shared" si="278"/>
        <v>0</v>
      </c>
      <c r="AJ2786">
        <f t="shared" si="279"/>
        <v>0</v>
      </c>
      <c r="AK2786">
        <v>0</v>
      </c>
      <c r="AL2786" t="str">
        <f>IF(AA2786="","",IFERROR(IF(ISNUMBER('Procyfloc 1009'!D287),'Procyfloc 1009'!D287,IF(ISNUMBER(SEARCH("12",'Procyfloc 1009'!D287)),EDATE(AB2786,12),IF(ISNUMBER(SEARCH("6",'Procyfloc 1009'!D287)),EDATE(AB2786,6),IF(ISNUMBER(SEARCH("3",'Procyfloc 1009'!D287)),EDATE(AB2786,3),DATEVALUE('Procyfloc 1009'!D287))))),""))</f>
        <v/>
      </c>
      <c r="AM2786" t="str">
        <f t="shared" ca="1" si="280"/>
        <v/>
      </c>
    </row>
    <row r="2787" spans="27:39" x14ac:dyDescent="0.3">
      <c r="AA2787" t="str">
        <f>IF(COUNTA('Procyfloc 1009'!A288,'Procyfloc 1009'!B288,'Procyfloc 1009'!C288)&gt;0,"1009","")</f>
        <v/>
      </c>
      <c r="AB2787" t="str">
        <f>IFERROR(IF(ISNUMBER('Procyfloc 1009'!A288),'Procyfloc 1009'!A288,DATEVALUE('Procyfloc 1009'!A288)),"")</f>
        <v/>
      </c>
      <c r="AC2787" t="str">
        <f>IF(AA2787="","",'Procyfloc 1009'!B288)</f>
        <v/>
      </c>
      <c r="AD2787" t="str">
        <f>IF(AA2787="","",IFERROR(1*'Procyfloc 1009'!C288,IFERROR(_xludf.NUMBERVALUE('Procyfloc 1009'!C288,".",","),IFERROR(_xludf.NUMBERVALUE('Procyfloc 1009'!C288,",","."),0))))</f>
        <v/>
      </c>
      <c r="AE2787" t="str">
        <f>IF(AA2787="","",'Procyfloc 1009'!L288)</f>
        <v/>
      </c>
      <c r="AF2787">
        <f t="shared" si="275"/>
        <v>0</v>
      </c>
      <c r="AG2787" t="str">
        <f t="shared" si="276"/>
        <v/>
      </c>
      <c r="AH2787" t="str">
        <f t="shared" si="277"/>
        <v/>
      </c>
      <c r="AI2787">
        <f t="shared" si="278"/>
        <v>0</v>
      </c>
      <c r="AJ2787">
        <f t="shared" si="279"/>
        <v>0</v>
      </c>
      <c r="AK2787">
        <v>0</v>
      </c>
      <c r="AL2787" t="str">
        <f>IF(AA2787="","",IFERROR(IF(ISNUMBER('Procyfloc 1009'!D288),'Procyfloc 1009'!D288,IF(ISNUMBER(SEARCH("12",'Procyfloc 1009'!D288)),EDATE(AB2787,12),IF(ISNUMBER(SEARCH("6",'Procyfloc 1009'!D288)),EDATE(AB2787,6),IF(ISNUMBER(SEARCH("3",'Procyfloc 1009'!D288)),EDATE(AB2787,3),DATEVALUE('Procyfloc 1009'!D288))))),""))</f>
        <v/>
      </c>
      <c r="AM2787" t="str">
        <f t="shared" ca="1" si="280"/>
        <v/>
      </c>
    </row>
    <row r="2788" spans="27:39" x14ac:dyDescent="0.3">
      <c r="AA2788" t="str">
        <f>IF(COUNTA('Procyfloc 1009'!A289,'Procyfloc 1009'!B289,'Procyfloc 1009'!C289)&gt;0,"1009","")</f>
        <v/>
      </c>
      <c r="AB2788" t="str">
        <f>IFERROR(IF(ISNUMBER('Procyfloc 1009'!A289),'Procyfloc 1009'!A289,DATEVALUE('Procyfloc 1009'!A289)),"")</f>
        <v/>
      </c>
      <c r="AC2788" t="str">
        <f>IF(AA2788="","",'Procyfloc 1009'!B289)</f>
        <v/>
      </c>
      <c r="AD2788" t="str">
        <f>IF(AA2788="","",IFERROR(1*'Procyfloc 1009'!C289,IFERROR(_xludf.NUMBERVALUE('Procyfloc 1009'!C289,".",","),IFERROR(_xludf.NUMBERVALUE('Procyfloc 1009'!C289,",","."),0))))</f>
        <v/>
      </c>
      <c r="AE2788" t="str">
        <f>IF(AA2788="","",'Procyfloc 1009'!L289)</f>
        <v/>
      </c>
      <c r="AF2788">
        <f t="shared" si="275"/>
        <v>0</v>
      </c>
      <c r="AG2788" t="str">
        <f t="shared" si="276"/>
        <v/>
      </c>
      <c r="AH2788" t="str">
        <f t="shared" si="277"/>
        <v/>
      </c>
      <c r="AI2788">
        <f t="shared" si="278"/>
        <v>0</v>
      </c>
      <c r="AJ2788">
        <f t="shared" si="279"/>
        <v>0</v>
      </c>
      <c r="AK2788">
        <v>0</v>
      </c>
      <c r="AL2788" t="str">
        <f>IF(AA2788="","",IFERROR(IF(ISNUMBER('Procyfloc 1009'!D289),'Procyfloc 1009'!D289,IF(ISNUMBER(SEARCH("12",'Procyfloc 1009'!D289)),EDATE(AB2788,12),IF(ISNUMBER(SEARCH("6",'Procyfloc 1009'!D289)),EDATE(AB2788,6),IF(ISNUMBER(SEARCH("3",'Procyfloc 1009'!D289)),EDATE(AB2788,3),DATEVALUE('Procyfloc 1009'!D289))))),""))</f>
        <v/>
      </c>
      <c r="AM2788" t="str">
        <f t="shared" ca="1" si="280"/>
        <v/>
      </c>
    </row>
    <row r="2789" spans="27:39" x14ac:dyDescent="0.3">
      <c r="AA2789" t="str">
        <f>IF(COUNTA('Procyfloc 1009'!A290,'Procyfloc 1009'!B290,'Procyfloc 1009'!C290)&gt;0,"1009","")</f>
        <v/>
      </c>
      <c r="AB2789" t="str">
        <f>IFERROR(IF(ISNUMBER('Procyfloc 1009'!A290),'Procyfloc 1009'!A290,DATEVALUE('Procyfloc 1009'!A290)),"")</f>
        <v/>
      </c>
      <c r="AC2789" t="str">
        <f>IF(AA2789="","",'Procyfloc 1009'!B290)</f>
        <v/>
      </c>
      <c r="AD2789" t="str">
        <f>IF(AA2789="","",IFERROR(1*'Procyfloc 1009'!C290,IFERROR(_xludf.NUMBERVALUE('Procyfloc 1009'!C290,".",","),IFERROR(_xludf.NUMBERVALUE('Procyfloc 1009'!C290,",","."),0))))</f>
        <v/>
      </c>
      <c r="AE2789" t="str">
        <f>IF(AA2789="","",'Procyfloc 1009'!L290)</f>
        <v/>
      </c>
      <c r="AF2789">
        <f t="shared" si="275"/>
        <v>0</v>
      </c>
      <c r="AG2789" t="str">
        <f t="shared" si="276"/>
        <v/>
      </c>
      <c r="AH2789" t="str">
        <f t="shared" si="277"/>
        <v/>
      </c>
      <c r="AI2789">
        <f t="shared" si="278"/>
        <v>0</v>
      </c>
      <c r="AJ2789">
        <f t="shared" si="279"/>
        <v>0</v>
      </c>
      <c r="AK2789">
        <v>0</v>
      </c>
      <c r="AL2789" t="str">
        <f>IF(AA2789="","",IFERROR(IF(ISNUMBER('Procyfloc 1009'!D290),'Procyfloc 1009'!D290,IF(ISNUMBER(SEARCH("12",'Procyfloc 1009'!D290)),EDATE(AB2789,12),IF(ISNUMBER(SEARCH("6",'Procyfloc 1009'!D290)),EDATE(AB2789,6),IF(ISNUMBER(SEARCH("3",'Procyfloc 1009'!D290)),EDATE(AB2789,3),DATEVALUE('Procyfloc 1009'!D290))))),""))</f>
        <v/>
      </c>
      <c r="AM2789" t="str">
        <f t="shared" ca="1" si="280"/>
        <v/>
      </c>
    </row>
    <row r="2790" spans="27:39" x14ac:dyDescent="0.3">
      <c r="AA2790" t="str">
        <f>IF(COUNTA('Procyfloc 1009'!A291,'Procyfloc 1009'!B291,'Procyfloc 1009'!C291)&gt;0,"1009","")</f>
        <v/>
      </c>
      <c r="AB2790" t="str">
        <f>IFERROR(IF(ISNUMBER('Procyfloc 1009'!A291),'Procyfloc 1009'!A291,DATEVALUE('Procyfloc 1009'!A291)),"")</f>
        <v/>
      </c>
      <c r="AC2790" t="str">
        <f>IF(AA2790="","",'Procyfloc 1009'!B291)</f>
        <v/>
      </c>
      <c r="AD2790" t="str">
        <f>IF(AA2790="","",IFERROR(1*'Procyfloc 1009'!C291,IFERROR(_xludf.NUMBERVALUE('Procyfloc 1009'!C291,".",","),IFERROR(_xludf.NUMBERVALUE('Procyfloc 1009'!C291,",","."),0))))</f>
        <v/>
      </c>
      <c r="AE2790" t="str">
        <f>IF(AA2790="","",'Procyfloc 1009'!L291)</f>
        <v/>
      </c>
      <c r="AF2790">
        <f t="shared" si="275"/>
        <v>0</v>
      </c>
      <c r="AG2790" t="str">
        <f t="shared" si="276"/>
        <v/>
      </c>
      <c r="AH2790" t="str">
        <f t="shared" si="277"/>
        <v/>
      </c>
      <c r="AI2790">
        <f t="shared" si="278"/>
        <v>0</v>
      </c>
      <c r="AJ2790">
        <f t="shared" si="279"/>
        <v>0</v>
      </c>
      <c r="AK2790">
        <v>0</v>
      </c>
      <c r="AL2790" t="str">
        <f>IF(AA2790="","",IFERROR(IF(ISNUMBER('Procyfloc 1009'!D291),'Procyfloc 1009'!D291,IF(ISNUMBER(SEARCH("12",'Procyfloc 1009'!D291)),EDATE(AB2790,12),IF(ISNUMBER(SEARCH("6",'Procyfloc 1009'!D291)),EDATE(AB2790,6),IF(ISNUMBER(SEARCH("3",'Procyfloc 1009'!D291)),EDATE(AB2790,3),DATEVALUE('Procyfloc 1009'!D291))))),""))</f>
        <v/>
      </c>
      <c r="AM2790" t="str">
        <f t="shared" ca="1" si="280"/>
        <v/>
      </c>
    </row>
    <row r="2791" spans="27:39" x14ac:dyDescent="0.3">
      <c r="AA2791" t="str">
        <f>IF(COUNTA('Procyfloc 1009'!A292,'Procyfloc 1009'!B292,'Procyfloc 1009'!C292)&gt;0,"1009","")</f>
        <v/>
      </c>
      <c r="AB2791" t="str">
        <f>IFERROR(IF(ISNUMBER('Procyfloc 1009'!A292),'Procyfloc 1009'!A292,DATEVALUE('Procyfloc 1009'!A292)),"")</f>
        <v/>
      </c>
      <c r="AC2791" t="str">
        <f>IF(AA2791="","",'Procyfloc 1009'!B292)</f>
        <v/>
      </c>
      <c r="AD2791" t="str">
        <f>IF(AA2791="","",IFERROR(1*'Procyfloc 1009'!C292,IFERROR(_xludf.NUMBERVALUE('Procyfloc 1009'!C292,".",","),IFERROR(_xludf.NUMBERVALUE('Procyfloc 1009'!C292,",","."),0))))</f>
        <v/>
      </c>
      <c r="AE2791" t="str">
        <f>IF(AA2791="","",'Procyfloc 1009'!L292)</f>
        <v/>
      </c>
      <c r="AF2791">
        <f t="shared" si="275"/>
        <v>0</v>
      </c>
      <c r="AG2791" t="str">
        <f t="shared" si="276"/>
        <v/>
      </c>
      <c r="AH2791" t="str">
        <f t="shared" si="277"/>
        <v/>
      </c>
      <c r="AI2791">
        <f t="shared" si="278"/>
        <v>0</v>
      </c>
      <c r="AJ2791">
        <f t="shared" si="279"/>
        <v>0</v>
      </c>
      <c r="AK2791">
        <v>0</v>
      </c>
      <c r="AL2791" t="str">
        <f>IF(AA2791="","",IFERROR(IF(ISNUMBER('Procyfloc 1009'!D292),'Procyfloc 1009'!D292,IF(ISNUMBER(SEARCH("12",'Procyfloc 1009'!D292)),EDATE(AB2791,12),IF(ISNUMBER(SEARCH("6",'Procyfloc 1009'!D292)),EDATE(AB2791,6),IF(ISNUMBER(SEARCH("3",'Procyfloc 1009'!D292)),EDATE(AB2791,3),DATEVALUE('Procyfloc 1009'!D292))))),""))</f>
        <v/>
      </c>
      <c r="AM2791" t="str">
        <f t="shared" ca="1" si="280"/>
        <v/>
      </c>
    </row>
    <row r="2792" spans="27:39" x14ac:dyDescent="0.3">
      <c r="AA2792" t="str">
        <f>IF(COUNTA('Procyfloc 1009'!A293,'Procyfloc 1009'!B293,'Procyfloc 1009'!C293)&gt;0,"1009","")</f>
        <v/>
      </c>
      <c r="AB2792" t="str">
        <f>IFERROR(IF(ISNUMBER('Procyfloc 1009'!A293),'Procyfloc 1009'!A293,DATEVALUE('Procyfloc 1009'!A293)),"")</f>
        <v/>
      </c>
      <c r="AC2792" t="str">
        <f>IF(AA2792="","",'Procyfloc 1009'!B293)</f>
        <v/>
      </c>
      <c r="AD2792" t="str">
        <f>IF(AA2792="","",IFERROR(1*'Procyfloc 1009'!C293,IFERROR(_xludf.NUMBERVALUE('Procyfloc 1009'!C293,".",","),IFERROR(_xludf.NUMBERVALUE('Procyfloc 1009'!C293,",","."),0))))</f>
        <v/>
      </c>
      <c r="AE2792" t="str">
        <f>IF(AA2792="","",'Procyfloc 1009'!L293)</f>
        <v/>
      </c>
      <c r="AF2792">
        <f t="shared" si="275"/>
        <v>0</v>
      </c>
      <c r="AG2792" t="str">
        <f t="shared" si="276"/>
        <v/>
      </c>
      <c r="AH2792" t="str">
        <f t="shared" si="277"/>
        <v/>
      </c>
      <c r="AI2792">
        <f t="shared" si="278"/>
        <v>0</v>
      </c>
      <c r="AJ2792">
        <f t="shared" si="279"/>
        <v>0</v>
      </c>
      <c r="AK2792">
        <v>0</v>
      </c>
      <c r="AL2792" t="str">
        <f>IF(AA2792="","",IFERROR(IF(ISNUMBER('Procyfloc 1009'!D293),'Procyfloc 1009'!D293,IF(ISNUMBER(SEARCH("12",'Procyfloc 1009'!D293)),EDATE(AB2792,12),IF(ISNUMBER(SEARCH("6",'Procyfloc 1009'!D293)),EDATE(AB2792,6),IF(ISNUMBER(SEARCH("3",'Procyfloc 1009'!D293)),EDATE(AB2792,3),DATEVALUE('Procyfloc 1009'!D293))))),""))</f>
        <v/>
      </c>
      <c r="AM2792" t="str">
        <f t="shared" ca="1" si="280"/>
        <v/>
      </c>
    </row>
    <row r="2793" spans="27:39" x14ac:dyDescent="0.3">
      <c r="AA2793" t="str">
        <f>IF(COUNTA('Procyfloc 1009'!A294,'Procyfloc 1009'!B294,'Procyfloc 1009'!C294)&gt;0,"1009","")</f>
        <v/>
      </c>
      <c r="AB2793" t="str">
        <f>IFERROR(IF(ISNUMBER('Procyfloc 1009'!A294),'Procyfloc 1009'!A294,DATEVALUE('Procyfloc 1009'!A294)),"")</f>
        <v/>
      </c>
      <c r="AC2793" t="str">
        <f>IF(AA2793="","",'Procyfloc 1009'!B294)</f>
        <v/>
      </c>
      <c r="AD2793" t="str">
        <f>IF(AA2793="","",IFERROR(1*'Procyfloc 1009'!C294,IFERROR(_xludf.NUMBERVALUE('Procyfloc 1009'!C294,".",","),IFERROR(_xludf.NUMBERVALUE('Procyfloc 1009'!C294,",","."),0))))</f>
        <v/>
      </c>
      <c r="AE2793" t="str">
        <f>IF(AA2793="","",'Procyfloc 1009'!L294)</f>
        <v/>
      </c>
      <c r="AF2793">
        <f t="shared" si="275"/>
        <v>0</v>
      </c>
      <c r="AG2793" t="str">
        <f t="shared" si="276"/>
        <v/>
      </c>
      <c r="AH2793" t="str">
        <f t="shared" si="277"/>
        <v/>
      </c>
      <c r="AI2793">
        <f t="shared" si="278"/>
        <v>0</v>
      </c>
      <c r="AJ2793">
        <f t="shared" si="279"/>
        <v>0</v>
      </c>
      <c r="AK2793">
        <v>0</v>
      </c>
      <c r="AL2793" t="str">
        <f>IF(AA2793="","",IFERROR(IF(ISNUMBER('Procyfloc 1009'!D294),'Procyfloc 1009'!D294,IF(ISNUMBER(SEARCH("12",'Procyfloc 1009'!D294)),EDATE(AB2793,12),IF(ISNUMBER(SEARCH("6",'Procyfloc 1009'!D294)),EDATE(AB2793,6),IF(ISNUMBER(SEARCH("3",'Procyfloc 1009'!D294)),EDATE(AB2793,3),DATEVALUE('Procyfloc 1009'!D294))))),""))</f>
        <v/>
      </c>
      <c r="AM2793" t="str">
        <f t="shared" ca="1" si="280"/>
        <v/>
      </c>
    </row>
    <row r="2794" spans="27:39" x14ac:dyDescent="0.3">
      <c r="AA2794" t="str">
        <f>IF(COUNTA('Procyfloc 1009'!A295,'Procyfloc 1009'!B295,'Procyfloc 1009'!C295)&gt;0,"1009","")</f>
        <v/>
      </c>
      <c r="AB2794" t="str">
        <f>IFERROR(IF(ISNUMBER('Procyfloc 1009'!A295),'Procyfloc 1009'!A295,DATEVALUE('Procyfloc 1009'!A295)),"")</f>
        <v/>
      </c>
      <c r="AC2794" t="str">
        <f>IF(AA2794="","",'Procyfloc 1009'!B295)</f>
        <v/>
      </c>
      <c r="AD2794" t="str">
        <f>IF(AA2794="","",IFERROR(1*'Procyfloc 1009'!C295,IFERROR(_xludf.NUMBERVALUE('Procyfloc 1009'!C295,".",","),IFERROR(_xludf.NUMBERVALUE('Procyfloc 1009'!C295,",","."),0))))</f>
        <v/>
      </c>
      <c r="AE2794" t="str">
        <f>IF(AA2794="","",'Procyfloc 1009'!L295)</f>
        <v/>
      </c>
      <c r="AF2794">
        <f t="shared" si="275"/>
        <v>0</v>
      </c>
      <c r="AG2794" t="str">
        <f t="shared" si="276"/>
        <v/>
      </c>
      <c r="AH2794" t="str">
        <f t="shared" si="277"/>
        <v/>
      </c>
      <c r="AI2794">
        <f t="shared" si="278"/>
        <v>0</v>
      </c>
      <c r="AJ2794">
        <f t="shared" si="279"/>
        <v>0</v>
      </c>
      <c r="AK2794">
        <v>0</v>
      </c>
      <c r="AL2794" t="str">
        <f>IF(AA2794="","",IFERROR(IF(ISNUMBER('Procyfloc 1009'!D295),'Procyfloc 1009'!D295,IF(ISNUMBER(SEARCH("12",'Procyfloc 1009'!D295)),EDATE(AB2794,12),IF(ISNUMBER(SEARCH("6",'Procyfloc 1009'!D295)),EDATE(AB2794,6),IF(ISNUMBER(SEARCH("3",'Procyfloc 1009'!D295)),EDATE(AB2794,3),DATEVALUE('Procyfloc 1009'!D295))))),""))</f>
        <v/>
      </c>
      <c r="AM2794" t="str">
        <f t="shared" ca="1" si="280"/>
        <v/>
      </c>
    </row>
    <row r="2795" spans="27:39" x14ac:dyDescent="0.3">
      <c r="AA2795" t="str">
        <f>IF(COUNTA('Procyfloc 1009'!A296,'Procyfloc 1009'!B296,'Procyfloc 1009'!C296)&gt;0,"1009","")</f>
        <v/>
      </c>
      <c r="AB2795" t="str">
        <f>IFERROR(IF(ISNUMBER('Procyfloc 1009'!A296),'Procyfloc 1009'!A296,DATEVALUE('Procyfloc 1009'!A296)),"")</f>
        <v/>
      </c>
      <c r="AC2795" t="str">
        <f>IF(AA2795="","",'Procyfloc 1009'!B296)</f>
        <v/>
      </c>
      <c r="AD2795" t="str">
        <f>IF(AA2795="","",IFERROR(1*'Procyfloc 1009'!C296,IFERROR(_xludf.NUMBERVALUE('Procyfloc 1009'!C296,".",","),IFERROR(_xludf.NUMBERVALUE('Procyfloc 1009'!C296,",","."),0))))</f>
        <v/>
      </c>
      <c r="AE2795" t="str">
        <f>IF(AA2795="","",'Procyfloc 1009'!L296)</f>
        <v/>
      </c>
      <c r="AF2795">
        <f t="shared" si="275"/>
        <v>0</v>
      </c>
      <c r="AG2795" t="str">
        <f t="shared" si="276"/>
        <v/>
      </c>
      <c r="AH2795" t="str">
        <f t="shared" si="277"/>
        <v/>
      </c>
      <c r="AI2795">
        <f t="shared" si="278"/>
        <v>0</v>
      </c>
      <c r="AJ2795">
        <f t="shared" si="279"/>
        <v>0</v>
      </c>
      <c r="AK2795">
        <v>0</v>
      </c>
      <c r="AL2795" t="str">
        <f>IF(AA2795="","",IFERROR(IF(ISNUMBER('Procyfloc 1009'!D296),'Procyfloc 1009'!D296,IF(ISNUMBER(SEARCH("12",'Procyfloc 1009'!D296)),EDATE(AB2795,12),IF(ISNUMBER(SEARCH("6",'Procyfloc 1009'!D296)),EDATE(AB2795,6),IF(ISNUMBER(SEARCH("3",'Procyfloc 1009'!D296)),EDATE(AB2795,3),DATEVALUE('Procyfloc 1009'!D296))))),""))</f>
        <v/>
      </c>
      <c r="AM2795" t="str">
        <f t="shared" ca="1" si="280"/>
        <v/>
      </c>
    </row>
    <row r="2796" spans="27:39" x14ac:dyDescent="0.3">
      <c r="AA2796" t="str">
        <f>IF(COUNTA('Procyfloc 1009'!A297,'Procyfloc 1009'!B297,'Procyfloc 1009'!C297)&gt;0,"1009","")</f>
        <v/>
      </c>
      <c r="AB2796" t="str">
        <f>IFERROR(IF(ISNUMBER('Procyfloc 1009'!A297),'Procyfloc 1009'!A297,DATEVALUE('Procyfloc 1009'!A297)),"")</f>
        <v/>
      </c>
      <c r="AC2796" t="str">
        <f>IF(AA2796="","",'Procyfloc 1009'!B297)</f>
        <v/>
      </c>
      <c r="AD2796" t="str">
        <f>IF(AA2796="","",IFERROR(1*'Procyfloc 1009'!C297,IFERROR(_xludf.NUMBERVALUE('Procyfloc 1009'!C297,".",","),IFERROR(_xludf.NUMBERVALUE('Procyfloc 1009'!C297,",","."),0))))</f>
        <v/>
      </c>
      <c r="AE2796" t="str">
        <f>IF(AA2796="","",'Procyfloc 1009'!L297)</f>
        <v/>
      </c>
      <c r="AF2796">
        <f t="shared" si="275"/>
        <v>0</v>
      </c>
      <c r="AG2796" t="str">
        <f t="shared" si="276"/>
        <v/>
      </c>
      <c r="AH2796" t="str">
        <f t="shared" si="277"/>
        <v/>
      </c>
      <c r="AI2796">
        <f t="shared" si="278"/>
        <v>0</v>
      </c>
      <c r="AJ2796">
        <f t="shared" si="279"/>
        <v>0</v>
      </c>
      <c r="AK2796">
        <v>0</v>
      </c>
      <c r="AL2796" t="str">
        <f>IF(AA2796="","",IFERROR(IF(ISNUMBER('Procyfloc 1009'!D297),'Procyfloc 1009'!D297,IF(ISNUMBER(SEARCH("12",'Procyfloc 1009'!D297)),EDATE(AB2796,12),IF(ISNUMBER(SEARCH("6",'Procyfloc 1009'!D297)),EDATE(AB2796,6),IF(ISNUMBER(SEARCH("3",'Procyfloc 1009'!D297)),EDATE(AB2796,3),DATEVALUE('Procyfloc 1009'!D297))))),""))</f>
        <v/>
      </c>
      <c r="AM2796" t="str">
        <f t="shared" ca="1" si="280"/>
        <v/>
      </c>
    </row>
    <row r="2797" spans="27:39" x14ac:dyDescent="0.3">
      <c r="AA2797" t="str">
        <f>IF(COUNTA('Procyfloc 1009'!A298,'Procyfloc 1009'!B298,'Procyfloc 1009'!C298)&gt;0,"1009","")</f>
        <v/>
      </c>
      <c r="AB2797" t="str">
        <f>IFERROR(IF(ISNUMBER('Procyfloc 1009'!A298),'Procyfloc 1009'!A298,DATEVALUE('Procyfloc 1009'!A298)),"")</f>
        <v/>
      </c>
      <c r="AC2797" t="str">
        <f>IF(AA2797="","",'Procyfloc 1009'!B298)</f>
        <v/>
      </c>
      <c r="AD2797" t="str">
        <f>IF(AA2797="","",IFERROR(1*'Procyfloc 1009'!C298,IFERROR(_xludf.NUMBERVALUE('Procyfloc 1009'!C298,".",","),IFERROR(_xludf.NUMBERVALUE('Procyfloc 1009'!C298,",","."),0))))</f>
        <v/>
      </c>
      <c r="AE2797" t="str">
        <f>IF(AA2797="","",'Procyfloc 1009'!L298)</f>
        <v/>
      </c>
      <c r="AF2797">
        <f t="shared" si="275"/>
        <v>0</v>
      </c>
      <c r="AG2797" t="str">
        <f t="shared" si="276"/>
        <v/>
      </c>
      <c r="AH2797" t="str">
        <f t="shared" si="277"/>
        <v/>
      </c>
      <c r="AI2797">
        <f t="shared" si="278"/>
        <v>0</v>
      </c>
      <c r="AJ2797">
        <f t="shared" si="279"/>
        <v>0</v>
      </c>
      <c r="AK2797">
        <v>0</v>
      </c>
      <c r="AL2797" t="str">
        <f>IF(AA2797="","",IFERROR(IF(ISNUMBER('Procyfloc 1009'!D298),'Procyfloc 1009'!D298,IF(ISNUMBER(SEARCH("12",'Procyfloc 1009'!D298)),EDATE(AB2797,12),IF(ISNUMBER(SEARCH("6",'Procyfloc 1009'!D298)),EDATE(AB2797,6),IF(ISNUMBER(SEARCH("3",'Procyfloc 1009'!D298)),EDATE(AB2797,3),DATEVALUE('Procyfloc 1009'!D298))))),""))</f>
        <v/>
      </c>
      <c r="AM2797" t="str">
        <f t="shared" ca="1" si="280"/>
        <v/>
      </c>
    </row>
    <row r="2798" spans="27:39" x14ac:dyDescent="0.3">
      <c r="AA2798" t="str">
        <f>IF(COUNTA('Procyfloc 1009'!A299,'Procyfloc 1009'!B299,'Procyfloc 1009'!C299)&gt;0,"1009","")</f>
        <v/>
      </c>
      <c r="AB2798" t="str">
        <f>IFERROR(IF(ISNUMBER('Procyfloc 1009'!A299),'Procyfloc 1009'!A299,DATEVALUE('Procyfloc 1009'!A299)),"")</f>
        <v/>
      </c>
      <c r="AC2798" t="str">
        <f>IF(AA2798="","",'Procyfloc 1009'!B299)</f>
        <v/>
      </c>
      <c r="AD2798" t="str">
        <f>IF(AA2798="","",IFERROR(1*'Procyfloc 1009'!C299,IFERROR(_xludf.NUMBERVALUE('Procyfloc 1009'!C299,".",","),IFERROR(_xludf.NUMBERVALUE('Procyfloc 1009'!C299,",","."),0))))</f>
        <v/>
      </c>
      <c r="AE2798" t="str">
        <f>IF(AA2798="","",'Procyfloc 1009'!L299)</f>
        <v/>
      </c>
      <c r="AF2798">
        <f t="shared" si="275"/>
        <v>0</v>
      </c>
      <c r="AG2798" t="str">
        <f t="shared" si="276"/>
        <v/>
      </c>
      <c r="AH2798" t="str">
        <f t="shared" si="277"/>
        <v/>
      </c>
      <c r="AI2798">
        <f t="shared" si="278"/>
        <v>0</v>
      </c>
      <c r="AJ2798">
        <f t="shared" si="279"/>
        <v>0</v>
      </c>
      <c r="AK2798">
        <v>0</v>
      </c>
      <c r="AL2798" t="str">
        <f>IF(AA2798="","",IFERROR(IF(ISNUMBER('Procyfloc 1009'!D299),'Procyfloc 1009'!D299,IF(ISNUMBER(SEARCH("12",'Procyfloc 1009'!D299)),EDATE(AB2798,12),IF(ISNUMBER(SEARCH("6",'Procyfloc 1009'!D299)),EDATE(AB2798,6),IF(ISNUMBER(SEARCH("3",'Procyfloc 1009'!D299)),EDATE(AB2798,3),DATEVALUE('Procyfloc 1009'!D299))))),""))</f>
        <v/>
      </c>
      <c r="AM2798" t="str">
        <f t="shared" ca="1" si="280"/>
        <v/>
      </c>
    </row>
    <row r="2799" spans="27:39" x14ac:dyDescent="0.3">
      <c r="AA2799" t="str">
        <f>IF(COUNTA('Procyfloc 1009'!A300,'Procyfloc 1009'!B300,'Procyfloc 1009'!C300)&gt;0,"1009","")</f>
        <v/>
      </c>
      <c r="AB2799" t="str">
        <f>IFERROR(IF(ISNUMBER('Procyfloc 1009'!A300),'Procyfloc 1009'!A300,DATEVALUE('Procyfloc 1009'!A300)),"")</f>
        <v/>
      </c>
      <c r="AC2799" t="str">
        <f>IF(AA2799="","",'Procyfloc 1009'!B300)</f>
        <v/>
      </c>
      <c r="AD2799" t="str">
        <f>IF(AA2799="","",IFERROR(1*'Procyfloc 1009'!C300,IFERROR(_xludf.NUMBERVALUE('Procyfloc 1009'!C300,".",","),IFERROR(_xludf.NUMBERVALUE('Procyfloc 1009'!C300,",","."),0))))</f>
        <v/>
      </c>
      <c r="AE2799" t="str">
        <f>IF(AA2799="","",'Procyfloc 1009'!L300)</f>
        <v/>
      </c>
      <c r="AF2799">
        <f t="shared" si="275"/>
        <v>0</v>
      </c>
      <c r="AG2799" t="str">
        <f t="shared" si="276"/>
        <v/>
      </c>
      <c r="AH2799" t="str">
        <f t="shared" si="277"/>
        <v/>
      </c>
      <c r="AI2799">
        <f t="shared" si="278"/>
        <v>0</v>
      </c>
      <c r="AJ2799">
        <f t="shared" si="279"/>
        <v>0</v>
      </c>
      <c r="AK2799">
        <v>0</v>
      </c>
      <c r="AL2799" t="str">
        <f>IF(AA2799="","",IFERROR(IF(ISNUMBER('Procyfloc 1009'!D300),'Procyfloc 1009'!D300,IF(ISNUMBER(SEARCH("12",'Procyfloc 1009'!D300)),EDATE(AB2799,12),IF(ISNUMBER(SEARCH("6",'Procyfloc 1009'!D300)),EDATE(AB2799,6),IF(ISNUMBER(SEARCH("3",'Procyfloc 1009'!D300)),EDATE(AB2799,3),DATEVALUE('Procyfloc 1009'!D300))))),""))</f>
        <v/>
      </c>
      <c r="AM2799" t="str">
        <f t="shared" ca="1" si="280"/>
        <v/>
      </c>
    </row>
    <row r="2800" spans="27:39" x14ac:dyDescent="0.3">
      <c r="AA2800" t="str">
        <f>IF(COUNTA('Procyfloc 1009'!A301,'Procyfloc 1009'!B301,'Procyfloc 1009'!C301)&gt;0,"1009","")</f>
        <v/>
      </c>
      <c r="AB2800" t="str">
        <f>IFERROR(IF(ISNUMBER('Procyfloc 1009'!A301),'Procyfloc 1009'!A301,DATEVALUE('Procyfloc 1009'!A301)),"")</f>
        <v/>
      </c>
      <c r="AC2800" t="str">
        <f>IF(AA2800="","",'Procyfloc 1009'!B301)</f>
        <v/>
      </c>
      <c r="AD2800" t="str">
        <f>IF(AA2800="","",IFERROR(1*'Procyfloc 1009'!C301,IFERROR(_xludf.NUMBERVALUE('Procyfloc 1009'!C301,".",","),IFERROR(_xludf.NUMBERVALUE('Procyfloc 1009'!C301,",","."),0))))</f>
        <v/>
      </c>
      <c r="AE2800" t="str">
        <f>IF(AA2800="","",'Procyfloc 1009'!L301)</f>
        <v/>
      </c>
      <c r="AF2800">
        <f t="shared" si="275"/>
        <v>0</v>
      </c>
      <c r="AG2800" t="str">
        <f t="shared" si="276"/>
        <v/>
      </c>
      <c r="AH2800" t="str">
        <f t="shared" si="277"/>
        <v/>
      </c>
      <c r="AI2800">
        <f t="shared" si="278"/>
        <v>0</v>
      </c>
      <c r="AJ2800">
        <f t="shared" si="279"/>
        <v>0</v>
      </c>
      <c r="AK2800">
        <v>0</v>
      </c>
      <c r="AL2800" t="str">
        <f>IF(AA2800="","",IFERROR(IF(ISNUMBER('Procyfloc 1009'!D301),'Procyfloc 1009'!D301,IF(ISNUMBER(SEARCH("12",'Procyfloc 1009'!D301)),EDATE(AB2800,12),IF(ISNUMBER(SEARCH("6",'Procyfloc 1009'!D301)),EDATE(AB2800,6),IF(ISNUMBER(SEARCH("3",'Procyfloc 1009'!D301)),EDATE(AB2800,3),DATEVALUE('Procyfloc 1009'!D301))))),""))</f>
        <v/>
      </c>
      <c r="AM2800" t="str">
        <f t="shared" ca="1" si="280"/>
        <v/>
      </c>
    </row>
    <row r="2801" spans="27:39" x14ac:dyDescent="0.3">
      <c r="AA2801" t="str">
        <f>IF(COUNTA('Procyfloc 1009'!A302,'Procyfloc 1009'!B302,'Procyfloc 1009'!C302)&gt;0,"1009","")</f>
        <v/>
      </c>
      <c r="AB2801" t="str">
        <f>IFERROR(IF(ISNUMBER('Procyfloc 1009'!A302),'Procyfloc 1009'!A302,DATEVALUE('Procyfloc 1009'!A302)),"")</f>
        <v/>
      </c>
      <c r="AC2801" t="str">
        <f>IF(AA2801="","",'Procyfloc 1009'!B302)</f>
        <v/>
      </c>
      <c r="AD2801" t="str">
        <f>IF(AA2801="","",IFERROR(1*'Procyfloc 1009'!C302,IFERROR(_xludf.NUMBERVALUE('Procyfloc 1009'!C302,".",","),IFERROR(_xludf.NUMBERVALUE('Procyfloc 1009'!C302,",","."),0))))</f>
        <v/>
      </c>
      <c r="AE2801" t="str">
        <f>IF(AA2801="","",'Procyfloc 1009'!L302)</f>
        <v/>
      </c>
      <c r="AF2801">
        <f t="shared" si="275"/>
        <v>0</v>
      </c>
      <c r="AG2801" t="str">
        <f t="shared" si="276"/>
        <v/>
      </c>
      <c r="AH2801" t="str">
        <f t="shared" si="277"/>
        <v/>
      </c>
      <c r="AI2801">
        <f t="shared" si="278"/>
        <v>0</v>
      </c>
      <c r="AJ2801">
        <f t="shared" si="279"/>
        <v>0</v>
      </c>
      <c r="AK2801">
        <v>0</v>
      </c>
      <c r="AL2801" t="str">
        <f>IF(AA2801="","",IFERROR(IF(ISNUMBER('Procyfloc 1009'!D302),'Procyfloc 1009'!D302,IF(ISNUMBER(SEARCH("12",'Procyfloc 1009'!D302)),EDATE(AB2801,12),IF(ISNUMBER(SEARCH("6",'Procyfloc 1009'!D302)),EDATE(AB2801,6),IF(ISNUMBER(SEARCH("3",'Procyfloc 1009'!D302)),EDATE(AB2801,3),DATEVALUE('Procyfloc 1009'!D302))))),""))</f>
        <v/>
      </c>
      <c r="AM2801" t="str">
        <f t="shared" ca="1" si="280"/>
        <v/>
      </c>
    </row>
    <row r="2802" spans="27:39" x14ac:dyDescent="0.3">
      <c r="AA2802" t="str">
        <f>IF(COUNTA('Procyfloc 1009'!A303,'Procyfloc 1009'!B303,'Procyfloc 1009'!C303)&gt;0,"1009","")</f>
        <v/>
      </c>
      <c r="AB2802" t="str">
        <f>IFERROR(IF(ISNUMBER('Procyfloc 1009'!A303),'Procyfloc 1009'!A303,DATEVALUE('Procyfloc 1009'!A303)),"")</f>
        <v/>
      </c>
      <c r="AC2802" t="str">
        <f>IF(AA2802="","",'Procyfloc 1009'!B303)</f>
        <v/>
      </c>
      <c r="AD2802" t="str">
        <f>IF(AA2802="","",IFERROR(1*'Procyfloc 1009'!C303,IFERROR(_xludf.NUMBERVALUE('Procyfloc 1009'!C303,".",","),IFERROR(_xludf.NUMBERVALUE('Procyfloc 1009'!C303,",","."),0))))</f>
        <v/>
      </c>
      <c r="AE2802" t="str">
        <f>IF(AA2802="","",'Procyfloc 1009'!L303)</f>
        <v/>
      </c>
      <c r="AF2802">
        <f t="shared" si="275"/>
        <v>0</v>
      </c>
      <c r="AG2802" t="str">
        <f t="shared" si="276"/>
        <v/>
      </c>
      <c r="AH2802" t="str">
        <f t="shared" si="277"/>
        <v/>
      </c>
      <c r="AI2802">
        <f t="shared" si="278"/>
        <v>0</v>
      </c>
      <c r="AJ2802">
        <f t="shared" si="279"/>
        <v>0</v>
      </c>
      <c r="AK2802">
        <v>0</v>
      </c>
      <c r="AL2802" t="str">
        <f>IF(AA2802="","",IFERROR(IF(ISNUMBER('Procyfloc 1009'!D303),'Procyfloc 1009'!D303,IF(ISNUMBER(SEARCH("12",'Procyfloc 1009'!D303)),EDATE(AB2802,12),IF(ISNUMBER(SEARCH("6",'Procyfloc 1009'!D303)),EDATE(AB2802,6),IF(ISNUMBER(SEARCH("3",'Procyfloc 1009'!D303)),EDATE(AB2802,3),DATEVALUE('Procyfloc 1009'!D303))))),""))</f>
        <v/>
      </c>
      <c r="AM2802" t="str">
        <f t="shared" ca="1" si="280"/>
        <v/>
      </c>
    </row>
    <row r="2803" spans="27:39" x14ac:dyDescent="0.3">
      <c r="AA2803" t="str">
        <f>IF(COUNTA('Procyfloc 1009'!A304,'Procyfloc 1009'!B304,'Procyfloc 1009'!C304)&gt;0,"1009","")</f>
        <v/>
      </c>
      <c r="AB2803" t="str">
        <f>IFERROR(IF(ISNUMBER('Procyfloc 1009'!A304),'Procyfloc 1009'!A304,DATEVALUE('Procyfloc 1009'!A304)),"")</f>
        <v/>
      </c>
      <c r="AC2803" t="str">
        <f>IF(AA2803="","",'Procyfloc 1009'!B304)</f>
        <v/>
      </c>
      <c r="AD2803" t="str">
        <f>IF(AA2803="","",IFERROR(1*'Procyfloc 1009'!C304,IFERROR(_xludf.NUMBERVALUE('Procyfloc 1009'!C304,".",","),IFERROR(_xludf.NUMBERVALUE('Procyfloc 1009'!C304,",","."),0))))</f>
        <v/>
      </c>
      <c r="AE2803" t="str">
        <f>IF(AA2803="","",'Procyfloc 1009'!L304)</f>
        <v/>
      </c>
      <c r="AF2803">
        <f t="shared" si="275"/>
        <v>0</v>
      </c>
      <c r="AG2803" t="str">
        <f t="shared" si="276"/>
        <v/>
      </c>
      <c r="AH2803" t="str">
        <f t="shared" si="277"/>
        <v/>
      </c>
      <c r="AI2803">
        <f t="shared" si="278"/>
        <v>0</v>
      </c>
      <c r="AJ2803">
        <f t="shared" si="279"/>
        <v>0</v>
      </c>
      <c r="AK2803">
        <v>0</v>
      </c>
      <c r="AL2803" t="str">
        <f>IF(AA2803="","",IFERROR(IF(ISNUMBER('Procyfloc 1009'!D304),'Procyfloc 1009'!D304,IF(ISNUMBER(SEARCH("12",'Procyfloc 1009'!D304)),EDATE(AB2803,12),IF(ISNUMBER(SEARCH("6",'Procyfloc 1009'!D304)),EDATE(AB2803,6),IF(ISNUMBER(SEARCH("3",'Procyfloc 1009'!D304)),EDATE(AB2803,3),DATEVALUE('Procyfloc 1009'!D304))))),""))</f>
        <v/>
      </c>
      <c r="AM2803" t="str">
        <f t="shared" ca="1" si="280"/>
        <v/>
      </c>
    </row>
    <row r="2804" spans="27:39" x14ac:dyDescent="0.3">
      <c r="AA2804" t="str">
        <f>IF(COUNTA('Procyfloc 1009'!A305,'Procyfloc 1009'!B305,'Procyfloc 1009'!C305)&gt;0,"1009","")</f>
        <v/>
      </c>
      <c r="AB2804" t="str">
        <f>IFERROR(IF(ISNUMBER('Procyfloc 1009'!A305),'Procyfloc 1009'!A305,DATEVALUE('Procyfloc 1009'!A305)),"")</f>
        <v/>
      </c>
      <c r="AC2804" t="str">
        <f>IF(AA2804="","",'Procyfloc 1009'!B305)</f>
        <v/>
      </c>
      <c r="AD2804" t="str">
        <f>IF(AA2804="","",IFERROR(1*'Procyfloc 1009'!C305,IFERROR(_xludf.NUMBERVALUE('Procyfloc 1009'!C305,".",","),IFERROR(_xludf.NUMBERVALUE('Procyfloc 1009'!C305,",","."),0))))</f>
        <v/>
      </c>
      <c r="AE2804" t="str">
        <f>IF(AA2804="","",'Procyfloc 1009'!L305)</f>
        <v/>
      </c>
      <c r="AF2804">
        <f t="shared" si="275"/>
        <v>0</v>
      </c>
      <c r="AG2804" t="str">
        <f t="shared" si="276"/>
        <v/>
      </c>
      <c r="AH2804" t="str">
        <f t="shared" si="277"/>
        <v/>
      </c>
      <c r="AI2804">
        <f t="shared" si="278"/>
        <v>0</v>
      </c>
      <c r="AJ2804">
        <f t="shared" si="279"/>
        <v>0</v>
      </c>
      <c r="AK2804">
        <v>0</v>
      </c>
      <c r="AL2804" t="str">
        <f>IF(AA2804="","",IFERROR(IF(ISNUMBER('Procyfloc 1009'!D305),'Procyfloc 1009'!D305,IF(ISNUMBER(SEARCH("12",'Procyfloc 1009'!D305)),EDATE(AB2804,12),IF(ISNUMBER(SEARCH("6",'Procyfloc 1009'!D305)),EDATE(AB2804,6),IF(ISNUMBER(SEARCH("3",'Procyfloc 1009'!D305)),EDATE(AB2804,3),DATEVALUE('Procyfloc 1009'!D305))))),""))</f>
        <v/>
      </c>
      <c r="AM2804" t="str">
        <f t="shared" ca="1" si="280"/>
        <v/>
      </c>
    </row>
    <row r="2805" spans="27:39" x14ac:dyDescent="0.3">
      <c r="AA2805" t="str">
        <f>IF(COUNTA('Procyfloc 1009'!A306,'Procyfloc 1009'!B306,'Procyfloc 1009'!C306)&gt;0,"1009","")</f>
        <v/>
      </c>
      <c r="AB2805" t="str">
        <f>IFERROR(IF(ISNUMBER('Procyfloc 1009'!A306),'Procyfloc 1009'!A306,DATEVALUE('Procyfloc 1009'!A306)),"")</f>
        <v/>
      </c>
      <c r="AC2805" t="str">
        <f>IF(AA2805="","",'Procyfloc 1009'!B306)</f>
        <v/>
      </c>
      <c r="AD2805" t="str">
        <f>IF(AA2805="","",IFERROR(1*'Procyfloc 1009'!C306,IFERROR(_xludf.NUMBERVALUE('Procyfloc 1009'!C306,".",","),IFERROR(_xludf.NUMBERVALUE('Procyfloc 1009'!C306,",","."),0))))</f>
        <v/>
      </c>
      <c r="AE2805" t="str">
        <f>IF(AA2805="","",'Procyfloc 1009'!L306)</f>
        <v/>
      </c>
      <c r="AF2805">
        <f t="shared" si="275"/>
        <v>0</v>
      </c>
      <c r="AG2805" t="str">
        <f t="shared" si="276"/>
        <v/>
      </c>
      <c r="AH2805" t="str">
        <f t="shared" si="277"/>
        <v/>
      </c>
      <c r="AI2805">
        <f t="shared" si="278"/>
        <v>0</v>
      </c>
      <c r="AJ2805">
        <f t="shared" si="279"/>
        <v>0</v>
      </c>
      <c r="AK2805">
        <v>0</v>
      </c>
      <c r="AL2805" t="str">
        <f>IF(AA2805="","",IFERROR(IF(ISNUMBER('Procyfloc 1009'!D306),'Procyfloc 1009'!D306,IF(ISNUMBER(SEARCH("12",'Procyfloc 1009'!D306)),EDATE(AB2805,12),IF(ISNUMBER(SEARCH("6",'Procyfloc 1009'!D306)),EDATE(AB2805,6),IF(ISNUMBER(SEARCH("3",'Procyfloc 1009'!D306)),EDATE(AB2805,3),DATEVALUE('Procyfloc 1009'!D306))))),""))</f>
        <v/>
      </c>
      <c r="AM2805" t="str">
        <f t="shared" ca="1" si="280"/>
        <v/>
      </c>
    </row>
    <row r="2806" spans="27:39" x14ac:dyDescent="0.3">
      <c r="AA2806" t="str">
        <f>IF(COUNTA('Procyfloc 1009'!A307,'Procyfloc 1009'!B307,'Procyfloc 1009'!C307)&gt;0,"1009","")</f>
        <v/>
      </c>
      <c r="AB2806" t="str">
        <f>IFERROR(IF(ISNUMBER('Procyfloc 1009'!A307),'Procyfloc 1009'!A307,DATEVALUE('Procyfloc 1009'!A307)),"")</f>
        <v/>
      </c>
      <c r="AC2806" t="str">
        <f>IF(AA2806="","",'Procyfloc 1009'!B307)</f>
        <v/>
      </c>
      <c r="AD2806" t="str">
        <f>IF(AA2806="","",IFERROR(1*'Procyfloc 1009'!C307,IFERROR(_xludf.NUMBERVALUE('Procyfloc 1009'!C307,".",","),IFERROR(_xludf.NUMBERVALUE('Procyfloc 1009'!C307,",","."),0))))</f>
        <v/>
      </c>
      <c r="AE2806" t="str">
        <f>IF(AA2806="","",'Procyfloc 1009'!L307)</f>
        <v/>
      </c>
      <c r="AF2806">
        <f t="shared" si="275"/>
        <v>0</v>
      </c>
      <c r="AG2806" t="str">
        <f t="shared" si="276"/>
        <v/>
      </c>
      <c r="AH2806" t="str">
        <f t="shared" si="277"/>
        <v/>
      </c>
      <c r="AI2806">
        <f t="shared" si="278"/>
        <v>0</v>
      </c>
      <c r="AJ2806">
        <f t="shared" si="279"/>
        <v>0</v>
      </c>
      <c r="AK2806">
        <v>0</v>
      </c>
      <c r="AL2806" t="str">
        <f>IF(AA2806="","",IFERROR(IF(ISNUMBER('Procyfloc 1009'!D307),'Procyfloc 1009'!D307,IF(ISNUMBER(SEARCH("12",'Procyfloc 1009'!D307)),EDATE(AB2806,12),IF(ISNUMBER(SEARCH("6",'Procyfloc 1009'!D307)),EDATE(AB2806,6),IF(ISNUMBER(SEARCH("3",'Procyfloc 1009'!D307)),EDATE(AB2806,3),DATEVALUE('Procyfloc 1009'!D307))))),""))</f>
        <v/>
      </c>
      <c r="AM2806" t="str">
        <f t="shared" ca="1" si="280"/>
        <v/>
      </c>
    </row>
    <row r="2807" spans="27:39" x14ac:dyDescent="0.3">
      <c r="AA2807" t="str">
        <f>IF(COUNTA('Procyfloc 1009'!A308,'Procyfloc 1009'!B308,'Procyfloc 1009'!C308)&gt;0,"1009","")</f>
        <v/>
      </c>
      <c r="AB2807" t="str">
        <f>IFERROR(IF(ISNUMBER('Procyfloc 1009'!A308),'Procyfloc 1009'!A308,DATEVALUE('Procyfloc 1009'!A308)),"")</f>
        <v/>
      </c>
      <c r="AC2807" t="str">
        <f>IF(AA2807="","",'Procyfloc 1009'!B308)</f>
        <v/>
      </c>
      <c r="AD2807" t="str">
        <f>IF(AA2807="","",IFERROR(1*'Procyfloc 1009'!C308,IFERROR(_xludf.NUMBERVALUE('Procyfloc 1009'!C308,".",","),IFERROR(_xludf.NUMBERVALUE('Procyfloc 1009'!C308,",","."),0))))</f>
        <v/>
      </c>
      <c r="AE2807" t="str">
        <f>IF(AA2807="","",'Procyfloc 1009'!L308)</f>
        <v/>
      </c>
      <c r="AF2807">
        <f t="shared" si="275"/>
        <v>0</v>
      </c>
      <c r="AG2807" t="str">
        <f t="shared" si="276"/>
        <v/>
      </c>
      <c r="AH2807" t="str">
        <f t="shared" si="277"/>
        <v/>
      </c>
      <c r="AI2807">
        <f t="shared" si="278"/>
        <v>0</v>
      </c>
      <c r="AJ2807">
        <f t="shared" si="279"/>
        <v>0</v>
      </c>
      <c r="AK2807">
        <v>0</v>
      </c>
      <c r="AL2807" t="str">
        <f>IF(AA2807="","",IFERROR(IF(ISNUMBER('Procyfloc 1009'!D308),'Procyfloc 1009'!D308,IF(ISNUMBER(SEARCH("12",'Procyfloc 1009'!D308)),EDATE(AB2807,12),IF(ISNUMBER(SEARCH("6",'Procyfloc 1009'!D308)),EDATE(AB2807,6),IF(ISNUMBER(SEARCH("3",'Procyfloc 1009'!D308)),EDATE(AB2807,3),DATEVALUE('Procyfloc 1009'!D308))))),""))</f>
        <v/>
      </c>
      <c r="AM2807" t="str">
        <f t="shared" ca="1" si="280"/>
        <v/>
      </c>
    </row>
    <row r="2808" spans="27:39" x14ac:dyDescent="0.3">
      <c r="AA2808" t="str">
        <f>IF(COUNTA('Procyfloc 1009'!A309,'Procyfloc 1009'!B309,'Procyfloc 1009'!C309)&gt;0,"1009","")</f>
        <v/>
      </c>
      <c r="AB2808" t="str">
        <f>IFERROR(IF(ISNUMBER('Procyfloc 1009'!A309),'Procyfloc 1009'!A309,DATEVALUE('Procyfloc 1009'!A309)),"")</f>
        <v/>
      </c>
      <c r="AC2808" t="str">
        <f>IF(AA2808="","",'Procyfloc 1009'!B309)</f>
        <v/>
      </c>
      <c r="AD2808" t="str">
        <f>IF(AA2808="","",IFERROR(1*'Procyfloc 1009'!C309,IFERROR(_xludf.NUMBERVALUE('Procyfloc 1009'!C309,".",","),IFERROR(_xludf.NUMBERVALUE('Procyfloc 1009'!C309,",","."),0))))</f>
        <v/>
      </c>
      <c r="AE2808" t="str">
        <f>IF(AA2808="","",'Procyfloc 1009'!L309)</f>
        <v/>
      </c>
      <c r="AF2808">
        <f t="shared" si="275"/>
        <v>0</v>
      </c>
      <c r="AG2808" t="str">
        <f t="shared" si="276"/>
        <v/>
      </c>
      <c r="AH2808" t="str">
        <f t="shared" si="277"/>
        <v/>
      </c>
      <c r="AI2808">
        <f t="shared" si="278"/>
        <v>0</v>
      </c>
      <c r="AJ2808">
        <f t="shared" si="279"/>
        <v>0</v>
      </c>
      <c r="AK2808">
        <v>0</v>
      </c>
      <c r="AL2808" t="str">
        <f>IF(AA2808="","",IFERROR(IF(ISNUMBER('Procyfloc 1009'!D309),'Procyfloc 1009'!D309,IF(ISNUMBER(SEARCH("12",'Procyfloc 1009'!D309)),EDATE(AB2808,12),IF(ISNUMBER(SEARCH("6",'Procyfloc 1009'!D309)),EDATE(AB2808,6),IF(ISNUMBER(SEARCH("3",'Procyfloc 1009'!D309)),EDATE(AB2808,3),DATEVALUE('Procyfloc 1009'!D309))))),""))</f>
        <v/>
      </c>
      <c r="AM2808" t="str">
        <f t="shared" ca="1" si="280"/>
        <v/>
      </c>
    </row>
    <row r="2809" spans="27:39" x14ac:dyDescent="0.3">
      <c r="AA2809" t="str">
        <f>IF(COUNTA('Procyfloc 1009'!A310,'Procyfloc 1009'!B310,'Procyfloc 1009'!C310)&gt;0,"1009","")</f>
        <v/>
      </c>
      <c r="AB2809" t="str">
        <f>IFERROR(IF(ISNUMBER('Procyfloc 1009'!A310),'Procyfloc 1009'!A310,DATEVALUE('Procyfloc 1009'!A310)),"")</f>
        <v/>
      </c>
      <c r="AC2809" t="str">
        <f>IF(AA2809="","",'Procyfloc 1009'!B310)</f>
        <v/>
      </c>
      <c r="AD2809" t="str">
        <f>IF(AA2809="","",IFERROR(1*'Procyfloc 1009'!C310,IFERROR(_xludf.NUMBERVALUE('Procyfloc 1009'!C310,".",","),IFERROR(_xludf.NUMBERVALUE('Procyfloc 1009'!C310,",","."),0))))</f>
        <v/>
      </c>
      <c r="AE2809" t="str">
        <f>IF(AA2809="","",'Procyfloc 1009'!L310)</f>
        <v/>
      </c>
      <c r="AF2809">
        <f t="shared" si="275"/>
        <v>0</v>
      </c>
      <c r="AG2809" t="str">
        <f t="shared" si="276"/>
        <v/>
      </c>
      <c r="AH2809" t="str">
        <f t="shared" si="277"/>
        <v/>
      </c>
      <c r="AI2809">
        <f t="shared" si="278"/>
        <v>0</v>
      </c>
      <c r="AJ2809">
        <f t="shared" si="279"/>
        <v>0</v>
      </c>
      <c r="AK2809">
        <v>0</v>
      </c>
      <c r="AL2809" t="str">
        <f>IF(AA2809="","",IFERROR(IF(ISNUMBER('Procyfloc 1009'!D310),'Procyfloc 1009'!D310,IF(ISNUMBER(SEARCH("12",'Procyfloc 1009'!D310)),EDATE(AB2809,12),IF(ISNUMBER(SEARCH("6",'Procyfloc 1009'!D310)),EDATE(AB2809,6),IF(ISNUMBER(SEARCH("3",'Procyfloc 1009'!D310)),EDATE(AB2809,3),DATEVALUE('Procyfloc 1009'!D310))))),""))</f>
        <v/>
      </c>
      <c r="AM2809" t="str">
        <f t="shared" ca="1" si="280"/>
        <v/>
      </c>
    </row>
    <row r="2810" spans="27:39" x14ac:dyDescent="0.3">
      <c r="AA2810" t="str">
        <f>IF(COUNTA('Procyfloc 1009'!A311,'Procyfloc 1009'!B311,'Procyfloc 1009'!C311)&gt;0,"1009","")</f>
        <v/>
      </c>
      <c r="AB2810" t="str">
        <f>IFERROR(IF(ISNUMBER('Procyfloc 1009'!A311),'Procyfloc 1009'!A311,DATEVALUE('Procyfloc 1009'!A311)),"")</f>
        <v/>
      </c>
      <c r="AC2810" t="str">
        <f>IF(AA2810="","",'Procyfloc 1009'!B311)</f>
        <v/>
      </c>
      <c r="AD2810" t="str">
        <f>IF(AA2810="","",IFERROR(1*'Procyfloc 1009'!C311,IFERROR(_xludf.NUMBERVALUE('Procyfloc 1009'!C311,".",","),IFERROR(_xludf.NUMBERVALUE('Procyfloc 1009'!C311,",","."),0))))</f>
        <v/>
      </c>
      <c r="AE2810" t="str">
        <f>IF(AA2810="","",'Procyfloc 1009'!L311)</f>
        <v/>
      </c>
      <c r="AF2810">
        <f t="shared" si="275"/>
        <v>0</v>
      </c>
      <c r="AG2810" t="str">
        <f t="shared" si="276"/>
        <v/>
      </c>
      <c r="AH2810" t="str">
        <f t="shared" si="277"/>
        <v/>
      </c>
      <c r="AI2810">
        <f t="shared" si="278"/>
        <v>0</v>
      </c>
      <c r="AJ2810">
        <f t="shared" si="279"/>
        <v>0</v>
      </c>
      <c r="AK2810">
        <v>0</v>
      </c>
      <c r="AL2810" t="str">
        <f>IF(AA2810="","",IFERROR(IF(ISNUMBER('Procyfloc 1009'!D311),'Procyfloc 1009'!D311,IF(ISNUMBER(SEARCH("12",'Procyfloc 1009'!D311)),EDATE(AB2810,12),IF(ISNUMBER(SEARCH("6",'Procyfloc 1009'!D311)),EDATE(AB2810,6),IF(ISNUMBER(SEARCH("3",'Procyfloc 1009'!D311)),EDATE(AB2810,3),DATEVALUE('Procyfloc 1009'!D311))))),""))</f>
        <v/>
      </c>
      <c r="AM2810" t="str">
        <f t="shared" ca="1" si="280"/>
        <v/>
      </c>
    </row>
    <row r="2811" spans="27:39" x14ac:dyDescent="0.3">
      <c r="AA2811" t="str">
        <f>IF(COUNTA('Procyfloc 1009'!A312,'Procyfloc 1009'!B312,'Procyfloc 1009'!C312)&gt;0,"1009","")</f>
        <v/>
      </c>
      <c r="AB2811" t="str">
        <f>IFERROR(IF(ISNUMBER('Procyfloc 1009'!A312),'Procyfloc 1009'!A312,DATEVALUE('Procyfloc 1009'!A312)),"")</f>
        <v/>
      </c>
      <c r="AC2811" t="str">
        <f>IF(AA2811="","",'Procyfloc 1009'!B312)</f>
        <v/>
      </c>
      <c r="AD2811" t="str">
        <f>IF(AA2811="","",IFERROR(1*'Procyfloc 1009'!C312,IFERROR(_xludf.NUMBERVALUE('Procyfloc 1009'!C312,".",","),IFERROR(_xludf.NUMBERVALUE('Procyfloc 1009'!C312,",","."),0))))</f>
        <v/>
      </c>
      <c r="AE2811" t="str">
        <f>IF(AA2811="","",'Procyfloc 1009'!L312)</f>
        <v/>
      </c>
      <c r="AF2811">
        <f t="shared" si="275"/>
        <v>0</v>
      </c>
      <c r="AG2811" t="str">
        <f t="shared" si="276"/>
        <v/>
      </c>
      <c r="AH2811" t="str">
        <f t="shared" si="277"/>
        <v/>
      </c>
      <c r="AI2811">
        <f t="shared" si="278"/>
        <v>0</v>
      </c>
      <c r="AJ2811">
        <f t="shared" si="279"/>
        <v>0</v>
      </c>
      <c r="AK2811">
        <v>0</v>
      </c>
      <c r="AL2811" t="str">
        <f>IF(AA2811="","",IFERROR(IF(ISNUMBER('Procyfloc 1009'!D312),'Procyfloc 1009'!D312,IF(ISNUMBER(SEARCH("12",'Procyfloc 1009'!D312)),EDATE(AB2811,12),IF(ISNUMBER(SEARCH("6",'Procyfloc 1009'!D312)),EDATE(AB2811,6),IF(ISNUMBER(SEARCH("3",'Procyfloc 1009'!D312)),EDATE(AB2811,3),DATEVALUE('Procyfloc 1009'!D312))))),""))</f>
        <v/>
      </c>
      <c r="AM2811" t="str">
        <f t="shared" ca="1" si="280"/>
        <v/>
      </c>
    </row>
    <row r="2812" spans="27:39" x14ac:dyDescent="0.3">
      <c r="AA2812" t="str">
        <f>IF(COUNTA('Procyfloc 1009'!A313,'Procyfloc 1009'!B313,'Procyfloc 1009'!C313)&gt;0,"1009","")</f>
        <v/>
      </c>
      <c r="AB2812" t="str">
        <f>IFERROR(IF(ISNUMBER('Procyfloc 1009'!A313),'Procyfloc 1009'!A313,DATEVALUE('Procyfloc 1009'!A313)),"")</f>
        <v/>
      </c>
      <c r="AC2812" t="str">
        <f>IF(AA2812="","",'Procyfloc 1009'!B313)</f>
        <v/>
      </c>
      <c r="AD2812" t="str">
        <f>IF(AA2812="","",IFERROR(1*'Procyfloc 1009'!C313,IFERROR(_xludf.NUMBERVALUE('Procyfloc 1009'!C313,".",","),IFERROR(_xludf.NUMBERVALUE('Procyfloc 1009'!C313,",","."),0))))</f>
        <v/>
      </c>
      <c r="AE2812" t="str">
        <f>IF(AA2812="","",'Procyfloc 1009'!L313)</f>
        <v/>
      </c>
      <c r="AF2812">
        <f t="shared" si="275"/>
        <v>0</v>
      </c>
      <c r="AG2812" t="str">
        <f t="shared" si="276"/>
        <v/>
      </c>
      <c r="AH2812" t="str">
        <f t="shared" si="277"/>
        <v/>
      </c>
      <c r="AI2812">
        <f t="shared" si="278"/>
        <v>0</v>
      </c>
      <c r="AJ2812">
        <f t="shared" si="279"/>
        <v>0</v>
      </c>
      <c r="AK2812">
        <v>0</v>
      </c>
      <c r="AL2812" t="str">
        <f>IF(AA2812="","",IFERROR(IF(ISNUMBER('Procyfloc 1009'!D313),'Procyfloc 1009'!D313,IF(ISNUMBER(SEARCH("12",'Procyfloc 1009'!D313)),EDATE(AB2812,12),IF(ISNUMBER(SEARCH("6",'Procyfloc 1009'!D313)),EDATE(AB2812,6),IF(ISNUMBER(SEARCH("3",'Procyfloc 1009'!D313)),EDATE(AB2812,3),DATEVALUE('Procyfloc 1009'!D313))))),""))</f>
        <v/>
      </c>
      <c r="AM2812" t="str">
        <f t="shared" ca="1" si="280"/>
        <v/>
      </c>
    </row>
    <row r="2813" spans="27:39" x14ac:dyDescent="0.3">
      <c r="AA2813" t="str">
        <f>IF(COUNTA('Procyfloc 1009'!A314,'Procyfloc 1009'!B314,'Procyfloc 1009'!C314)&gt;0,"1009","")</f>
        <v/>
      </c>
      <c r="AB2813" t="str">
        <f>IFERROR(IF(ISNUMBER('Procyfloc 1009'!A314),'Procyfloc 1009'!A314,DATEVALUE('Procyfloc 1009'!A314)),"")</f>
        <v/>
      </c>
      <c r="AC2813" t="str">
        <f>IF(AA2813="","",'Procyfloc 1009'!B314)</f>
        <v/>
      </c>
      <c r="AD2813" t="str">
        <f>IF(AA2813="","",IFERROR(1*'Procyfloc 1009'!C314,IFERROR(_xludf.NUMBERVALUE('Procyfloc 1009'!C314,".",","),IFERROR(_xludf.NUMBERVALUE('Procyfloc 1009'!C314,",","."),0))))</f>
        <v/>
      </c>
      <c r="AE2813" t="str">
        <f>IF(AA2813="","",'Procyfloc 1009'!L314)</f>
        <v/>
      </c>
      <c r="AF2813">
        <f t="shared" si="275"/>
        <v>0</v>
      </c>
      <c r="AG2813" t="str">
        <f t="shared" si="276"/>
        <v/>
      </c>
      <c r="AH2813" t="str">
        <f t="shared" si="277"/>
        <v/>
      </c>
      <c r="AI2813">
        <f t="shared" si="278"/>
        <v>0</v>
      </c>
      <c r="AJ2813">
        <f t="shared" si="279"/>
        <v>0</v>
      </c>
      <c r="AK2813">
        <v>0</v>
      </c>
      <c r="AL2813" t="str">
        <f>IF(AA2813="","",IFERROR(IF(ISNUMBER('Procyfloc 1009'!D314),'Procyfloc 1009'!D314,IF(ISNUMBER(SEARCH("12",'Procyfloc 1009'!D314)),EDATE(AB2813,12),IF(ISNUMBER(SEARCH("6",'Procyfloc 1009'!D314)),EDATE(AB2813,6),IF(ISNUMBER(SEARCH("3",'Procyfloc 1009'!D314)),EDATE(AB2813,3),DATEVALUE('Procyfloc 1009'!D314))))),""))</f>
        <v/>
      </c>
      <c r="AM2813" t="str">
        <f t="shared" ca="1" si="280"/>
        <v/>
      </c>
    </row>
    <row r="2814" spans="27:39" x14ac:dyDescent="0.3">
      <c r="AA2814" t="str">
        <f>IF(COUNTA('Procyfloc 1009'!A315,'Procyfloc 1009'!B315,'Procyfloc 1009'!C315)&gt;0,"1009","")</f>
        <v/>
      </c>
      <c r="AB2814" t="str">
        <f>IFERROR(IF(ISNUMBER('Procyfloc 1009'!A315),'Procyfloc 1009'!A315,DATEVALUE('Procyfloc 1009'!A315)),"")</f>
        <v/>
      </c>
      <c r="AC2814" t="str">
        <f>IF(AA2814="","",'Procyfloc 1009'!B315)</f>
        <v/>
      </c>
      <c r="AD2814" t="str">
        <f>IF(AA2814="","",IFERROR(1*'Procyfloc 1009'!C315,IFERROR(_xludf.NUMBERVALUE('Procyfloc 1009'!C315,".",","),IFERROR(_xludf.NUMBERVALUE('Procyfloc 1009'!C315,",","."),0))))</f>
        <v/>
      </c>
      <c r="AE2814" t="str">
        <f>IF(AA2814="","",'Procyfloc 1009'!L315)</f>
        <v/>
      </c>
      <c r="AF2814">
        <f t="shared" si="275"/>
        <v>0</v>
      </c>
      <c r="AG2814" t="str">
        <f t="shared" si="276"/>
        <v/>
      </c>
      <c r="AH2814" t="str">
        <f t="shared" si="277"/>
        <v/>
      </c>
      <c r="AI2814">
        <f t="shared" si="278"/>
        <v>0</v>
      </c>
      <c r="AJ2814">
        <f t="shared" si="279"/>
        <v>0</v>
      </c>
      <c r="AK2814">
        <v>0</v>
      </c>
      <c r="AL2814" t="str">
        <f>IF(AA2814="","",IFERROR(IF(ISNUMBER('Procyfloc 1009'!D315),'Procyfloc 1009'!D315,IF(ISNUMBER(SEARCH("12",'Procyfloc 1009'!D315)),EDATE(AB2814,12),IF(ISNUMBER(SEARCH("6",'Procyfloc 1009'!D315)),EDATE(AB2814,6),IF(ISNUMBER(SEARCH("3",'Procyfloc 1009'!D315)),EDATE(AB2814,3),DATEVALUE('Procyfloc 1009'!D315))))),""))</f>
        <v/>
      </c>
      <c r="AM2814" t="str">
        <f t="shared" ca="1" si="280"/>
        <v/>
      </c>
    </row>
    <row r="2815" spans="27:39" x14ac:dyDescent="0.3">
      <c r="AA2815" t="str">
        <f>IF(COUNTA('Procyfloc 1009'!A316,'Procyfloc 1009'!B316,'Procyfloc 1009'!C316)&gt;0,"1009","")</f>
        <v/>
      </c>
      <c r="AB2815" t="str">
        <f>IFERROR(IF(ISNUMBER('Procyfloc 1009'!A316),'Procyfloc 1009'!A316,DATEVALUE('Procyfloc 1009'!A316)),"")</f>
        <v/>
      </c>
      <c r="AC2815" t="str">
        <f>IF(AA2815="","",'Procyfloc 1009'!B316)</f>
        <v/>
      </c>
      <c r="AD2815" t="str">
        <f>IF(AA2815="","",IFERROR(1*'Procyfloc 1009'!C316,IFERROR(_xludf.NUMBERVALUE('Procyfloc 1009'!C316,".",","),IFERROR(_xludf.NUMBERVALUE('Procyfloc 1009'!C316,",","."),0))))</f>
        <v/>
      </c>
      <c r="AE2815" t="str">
        <f>IF(AA2815="","",'Procyfloc 1009'!L316)</f>
        <v/>
      </c>
      <c r="AF2815">
        <f t="shared" si="275"/>
        <v>0</v>
      </c>
      <c r="AG2815" t="str">
        <f t="shared" si="276"/>
        <v/>
      </c>
      <c r="AH2815" t="str">
        <f t="shared" si="277"/>
        <v/>
      </c>
      <c r="AI2815">
        <f t="shared" si="278"/>
        <v>0</v>
      </c>
      <c r="AJ2815">
        <f t="shared" si="279"/>
        <v>0</v>
      </c>
      <c r="AK2815">
        <v>0</v>
      </c>
      <c r="AL2815" t="str">
        <f>IF(AA2815="","",IFERROR(IF(ISNUMBER('Procyfloc 1009'!D316),'Procyfloc 1009'!D316,IF(ISNUMBER(SEARCH("12",'Procyfloc 1009'!D316)),EDATE(AB2815,12),IF(ISNUMBER(SEARCH("6",'Procyfloc 1009'!D316)),EDATE(AB2815,6),IF(ISNUMBER(SEARCH("3",'Procyfloc 1009'!D316)),EDATE(AB2815,3),DATEVALUE('Procyfloc 1009'!D316))))),""))</f>
        <v/>
      </c>
      <c r="AM2815" t="str">
        <f t="shared" ca="1" si="280"/>
        <v/>
      </c>
    </row>
    <row r="2816" spans="27:39" x14ac:dyDescent="0.3">
      <c r="AA2816" t="str">
        <f>IF(COUNTA('Procyfloc 1009'!A317,'Procyfloc 1009'!B317,'Procyfloc 1009'!C317)&gt;0,"1009","")</f>
        <v/>
      </c>
      <c r="AB2816" t="str">
        <f>IFERROR(IF(ISNUMBER('Procyfloc 1009'!A317),'Procyfloc 1009'!A317,DATEVALUE('Procyfloc 1009'!A317)),"")</f>
        <v/>
      </c>
      <c r="AC2816" t="str">
        <f>IF(AA2816="","",'Procyfloc 1009'!B317)</f>
        <v/>
      </c>
      <c r="AD2816" t="str">
        <f>IF(AA2816="","",IFERROR(1*'Procyfloc 1009'!C317,IFERROR(_xludf.NUMBERVALUE('Procyfloc 1009'!C317,".",","),IFERROR(_xludf.NUMBERVALUE('Procyfloc 1009'!C317,",","."),0))))</f>
        <v/>
      </c>
      <c r="AE2816" t="str">
        <f>IF(AA2816="","",'Procyfloc 1009'!L317)</f>
        <v/>
      </c>
      <c r="AF2816">
        <f t="shared" si="275"/>
        <v>0</v>
      </c>
      <c r="AG2816" t="str">
        <f t="shared" si="276"/>
        <v/>
      </c>
      <c r="AH2816" t="str">
        <f t="shared" si="277"/>
        <v/>
      </c>
      <c r="AI2816">
        <f t="shared" si="278"/>
        <v>0</v>
      </c>
      <c r="AJ2816">
        <f t="shared" si="279"/>
        <v>0</v>
      </c>
      <c r="AK2816">
        <v>0</v>
      </c>
      <c r="AL2816" t="str">
        <f>IF(AA2816="","",IFERROR(IF(ISNUMBER('Procyfloc 1009'!D317),'Procyfloc 1009'!D317,IF(ISNUMBER(SEARCH("12",'Procyfloc 1009'!D317)),EDATE(AB2816,12),IF(ISNUMBER(SEARCH("6",'Procyfloc 1009'!D317)),EDATE(AB2816,6),IF(ISNUMBER(SEARCH("3",'Procyfloc 1009'!D317)),EDATE(AB2816,3),DATEVALUE('Procyfloc 1009'!D317))))),""))</f>
        <v/>
      </c>
      <c r="AM2816" t="str">
        <f t="shared" ca="1" si="280"/>
        <v/>
      </c>
    </row>
    <row r="2817" spans="27:39" x14ac:dyDescent="0.3">
      <c r="AA2817" t="str">
        <f>IF(COUNTA('Procyfloc 1009'!A318,'Procyfloc 1009'!B318,'Procyfloc 1009'!C318)&gt;0,"1009","")</f>
        <v/>
      </c>
      <c r="AB2817" t="str">
        <f>IFERROR(IF(ISNUMBER('Procyfloc 1009'!A318),'Procyfloc 1009'!A318,DATEVALUE('Procyfloc 1009'!A318)),"")</f>
        <v/>
      </c>
      <c r="AC2817" t="str">
        <f>IF(AA2817="","",'Procyfloc 1009'!B318)</f>
        <v/>
      </c>
      <c r="AD2817" t="str">
        <f>IF(AA2817="","",IFERROR(1*'Procyfloc 1009'!C318,IFERROR(_xludf.NUMBERVALUE('Procyfloc 1009'!C318,".",","),IFERROR(_xludf.NUMBERVALUE('Procyfloc 1009'!C318,",","."),0))))</f>
        <v/>
      </c>
      <c r="AE2817" t="str">
        <f>IF(AA2817="","",'Procyfloc 1009'!L318)</f>
        <v/>
      </c>
      <c r="AF2817">
        <f t="shared" si="275"/>
        <v>0</v>
      </c>
      <c r="AG2817" t="str">
        <f t="shared" si="276"/>
        <v/>
      </c>
      <c r="AH2817" t="str">
        <f t="shared" si="277"/>
        <v/>
      </c>
      <c r="AI2817">
        <f t="shared" si="278"/>
        <v>0</v>
      </c>
      <c r="AJ2817">
        <f t="shared" si="279"/>
        <v>0</v>
      </c>
      <c r="AK2817">
        <v>0</v>
      </c>
      <c r="AL2817" t="str">
        <f>IF(AA2817="","",IFERROR(IF(ISNUMBER('Procyfloc 1009'!D318),'Procyfloc 1009'!D318,IF(ISNUMBER(SEARCH("12",'Procyfloc 1009'!D318)),EDATE(AB2817,12),IF(ISNUMBER(SEARCH("6",'Procyfloc 1009'!D318)),EDATE(AB2817,6),IF(ISNUMBER(SEARCH("3",'Procyfloc 1009'!D318)),EDATE(AB2817,3),DATEVALUE('Procyfloc 1009'!D318))))),""))</f>
        <v/>
      </c>
      <c r="AM2817" t="str">
        <f t="shared" ca="1" si="280"/>
        <v/>
      </c>
    </row>
    <row r="2818" spans="27:39" x14ac:dyDescent="0.3">
      <c r="AA2818" t="str">
        <f>IF(COUNTA('Procyfloc 1009'!A319,'Procyfloc 1009'!B319,'Procyfloc 1009'!C319)&gt;0,"1009","")</f>
        <v/>
      </c>
      <c r="AB2818" t="str">
        <f>IFERROR(IF(ISNUMBER('Procyfloc 1009'!A319),'Procyfloc 1009'!A319,DATEVALUE('Procyfloc 1009'!A319)),"")</f>
        <v/>
      </c>
      <c r="AC2818" t="str">
        <f>IF(AA2818="","",'Procyfloc 1009'!B319)</f>
        <v/>
      </c>
      <c r="AD2818" t="str">
        <f>IF(AA2818="","",IFERROR(1*'Procyfloc 1009'!C319,IFERROR(_xludf.NUMBERVALUE('Procyfloc 1009'!C319,".",","),IFERROR(_xludf.NUMBERVALUE('Procyfloc 1009'!C319,",","."),0))))</f>
        <v/>
      </c>
      <c r="AE2818" t="str">
        <f>IF(AA2818="","",'Procyfloc 1009'!L319)</f>
        <v/>
      </c>
      <c r="AF2818">
        <f t="shared" ref="AF2818:AF2881" si="281">IF(AA2818="",0,--AND(ISNUMBER(SEARCH("aprov",AE2818)),NOT(ISNUMBER(SEARCH("reprov",AE2818)))))</f>
        <v>0</v>
      </c>
      <c r="AG2818" t="str">
        <f t="shared" ref="AG2818:AG2881" si="282">IF(AB2818="","",YEAR(AB2818))</f>
        <v/>
      </c>
      <c r="AH2818" t="str">
        <f t="shared" ref="AH2818:AH2881" si="283">IF(AB2818="","",MONTH(AB2818))</f>
        <v/>
      </c>
      <c r="AI2818">
        <f t="shared" ref="AI2818:AI2881" si="284">IF(AB2818="",0,AB2818+ROW()/1000000)</f>
        <v>0</v>
      </c>
      <c r="AJ2818">
        <f t="shared" ref="AJ2818:AJ2881" si="285">--(AA2818&lt;&gt;"")</f>
        <v>0</v>
      </c>
      <c r="AK2818">
        <v>0</v>
      </c>
      <c r="AL2818" t="str">
        <f>IF(AA2818="","",IFERROR(IF(ISNUMBER('Procyfloc 1009'!D319),'Procyfloc 1009'!D319,IF(ISNUMBER(SEARCH("12",'Procyfloc 1009'!D319)),EDATE(AB2818,12),IF(ISNUMBER(SEARCH("6",'Procyfloc 1009'!D319)),EDATE(AB2818,6),IF(ISNUMBER(SEARCH("3",'Procyfloc 1009'!D319)),EDATE(AB2818,3),DATEVALUE('Procyfloc 1009'!D319))))),""))</f>
        <v/>
      </c>
      <c r="AM2818" t="str">
        <f t="shared" ref="AM2818:AM2881" ca="1" si="286">IF(AND(AJ2818=1,AL2818&lt;&gt;"",AL2818&gt;=TODAY(),AG2818=$W$3),AL2818+ROW()/1000000,"")</f>
        <v/>
      </c>
    </row>
    <row r="2819" spans="27:39" x14ac:dyDescent="0.3">
      <c r="AA2819" t="str">
        <f>IF(COUNTA('Procyfloc 1009'!A320,'Procyfloc 1009'!B320,'Procyfloc 1009'!C320)&gt;0,"1009","")</f>
        <v/>
      </c>
      <c r="AB2819" t="str">
        <f>IFERROR(IF(ISNUMBER('Procyfloc 1009'!A320),'Procyfloc 1009'!A320,DATEVALUE('Procyfloc 1009'!A320)),"")</f>
        <v/>
      </c>
      <c r="AC2819" t="str">
        <f>IF(AA2819="","",'Procyfloc 1009'!B320)</f>
        <v/>
      </c>
      <c r="AD2819" t="str">
        <f>IF(AA2819="","",IFERROR(1*'Procyfloc 1009'!C320,IFERROR(_xludf.NUMBERVALUE('Procyfloc 1009'!C320,".",","),IFERROR(_xludf.NUMBERVALUE('Procyfloc 1009'!C320,",","."),0))))</f>
        <v/>
      </c>
      <c r="AE2819" t="str">
        <f>IF(AA2819="","",'Procyfloc 1009'!L320)</f>
        <v/>
      </c>
      <c r="AF2819">
        <f t="shared" si="281"/>
        <v>0</v>
      </c>
      <c r="AG2819" t="str">
        <f t="shared" si="282"/>
        <v/>
      </c>
      <c r="AH2819" t="str">
        <f t="shared" si="283"/>
        <v/>
      </c>
      <c r="AI2819">
        <f t="shared" si="284"/>
        <v>0</v>
      </c>
      <c r="AJ2819">
        <f t="shared" si="285"/>
        <v>0</v>
      </c>
      <c r="AK2819">
        <v>0</v>
      </c>
      <c r="AL2819" t="str">
        <f>IF(AA2819="","",IFERROR(IF(ISNUMBER('Procyfloc 1009'!D320),'Procyfloc 1009'!D320,IF(ISNUMBER(SEARCH("12",'Procyfloc 1009'!D320)),EDATE(AB2819,12),IF(ISNUMBER(SEARCH("6",'Procyfloc 1009'!D320)),EDATE(AB2819,6),IF(ISNUMBER(SEARCH("3",'Procyfloc 1009'!D320)),EDATE(AB2819,3),DATEVALUE('Procyfloc 1009'!D320))))),""))</f>
        <v/>
      </c>
      <c r="AM2819" t="str">
        <f t="shared" ca="1" si="286"/>
        <v/>
      </c>
    </row>
    <row r="2820" spans="27:39" x14ac:dyDescent="0.3">
      <c r="AA2820" t="str">
        <f>IF(COUNTA('Procyfloc 1009'!A321,'Procyfloc 1009'!B321,'Procyfloc 1009'!C321)&gt;0,"1009","")</f>
        <v/>
      </c>
      <c r="AB2820" t="str">
        <f>IFERROR(IF(ISNUMBER('Procyfloc 1009'!A321),'Procyfloc 1009'!A321,DATEVALUE('Procyfloc 1009'!A321)),"")</f>
        <v/>
      </c>
      <c r="AC2820" t="str">
        <f>IF(AA2820="","",'Procyfloc 1009'!B321)</f>
        <v/>
      </c>
      <c r="AD2820" t="str">
        <f>IF(AA2820="","",IFERROR(1*'Procyfloc 1009'!C321,IFERROR(_xludf.NUMBERVALUE('Procyfloc 1009'!C321,".",","),IFERROR(_xludf.NUMBERVALUE('Procyfloc 1009'!C321,",","."),0))))</f>
        <v/>
      </c>
      <c r="AE2820" t="str">
        <f>IF(AA2820="","",'Procyfloc 1009'!L321)</f>
        <v/>
      </c>
      <c r="AF2820">
        <f t="shared" si="281"/>
        <v>0</v>
      </c>
      <c r="AG2820" t="str">
        <f t="shared" si="282"/>
        <v/>
      </c>
      <c r="AH2820" t="str">
        <f t="shared" si="283"/>
        <v/>
      </c>
      <c r="AI2820">
        <f t="shared" si="284"/>
        <v>0</v>
      </c>
      <c r="AJ2820">
        <f t="shared" si="285"/>
        <v>0</v>
      </c>
      <c r="AK2820">
        <v>0</v>
      </c>
      <c r="AL2820" t="str">
        <f>IF(AA2820="","",IFERROR(IF(ISNUMBER('Procyfloc 1009'!D321),'Procyfloc 1009'!D321,IF(ISNUMBER(SEARCH("12",'Procyfloc 1009'!D321)),EDATE(AB2820,12),IF(ISNUMBER(SEARCH("6",'Procyfloc 1009'!D321)),EDATE(AB2820,6),IF(ISNUMBER(SEARCH("3",'Procyfloc 1009'!D321)),EDATE(AB2820,3),DATEVALUE('Procyfloc 1009'!D321))))),""))</f>
        <v/>
      </c>
      <c r="AM2820" t="str">
        <f t="shared" ca="1" si="286"/>
        <v/>
      </c>
    </row>
    <row r="2821" spans="27:39" x14ac:dyDescent="0.3">
      <c r="AA2821" t="str">
        <f>IF(COUNTA('Procyfloc 1009'!A322,'Procyfloc 1009'!B322,'Procyfloc 1009'!C322)&gt;0,"1009","")</f>
        <v/>
      </c>
      <c r="AB2821" t="str">
        <f>IFERROR(IF(ISNUMBER('Procyfloc 1009'!A322),'Procyfloc 1009'!A322,DATEVALUE('Procyfloc 1009'!A322)),"")</f>
        <v/>
      </c>
      <c r="AC2821" t="str">
        <f>IF(AA2821="","",'Procyfloc 1009'!B322)</f>
        <v/>
      </c>
      <c r="AD2821" t="str">
        <f>IF(AA2821="","",IFERROR(1*'Procyfloc 1009'!C322,IFERROR(_xludf.NUMBERVALUE('Procyfloc 1009'!C322,".",","),IFERROR(_xludf.NUMBERVALUE('Procyfloc 1009'!C322,",","."),0))))</f>
        <v/>
      </c>
      <c r="AE2821" t="str">
        <f>IF(AA2821="","",'Procyfloc 1009'!L322)</f>
        <v/>
      </c>
      <c r="AF2821">
        <f t="shared" si="281"/>
        <v>0</v>
      </c>
      <c r="AG2821" t="str">
        <f t="shared" si="282"/>
        <v/>
      </c>
      <c r="AH2821" t="str">
        <f t="shared" si="283"/>
        <v/>
      </c>
      <c r="AI2821">
        <f t="shared" si="284"/>
        <v>0</v>
      </c>
      <c r="AJ2821">
        <f t="shared" si="285"/>
        <v>0</v>
      </c>
      <c r="AK2821">
        <v>0</v>
      </c>
      <c r="AL2821" t="str">
        <f>IF(AA2821="","",IFERROR(IF(ISNUMBER('Procyfloc 1009'!D322),'Procyfloc 1009'!D322,IF(ISNUMBER(SEARCH("12",'Procyfloc 1009'!D322)),EDATE(AB2821,12),IF(ISNUMBER(SEARCH("6",'Procyfloc 1009'!D322)),EDATE(AB2821,6),IF(ISNUMBER(SEARCH("3",'Procyfloc 1009'!D322)),EDATE(AB2821,3),DATEVALUE('Procyfloc 1009'!D322))))),""))</f>
        <v/>
      </c>
      <c r="AM2821" t="str">
        <f t="shared" ca="1" si="286"/>
        <v/>
      </c>
    </row>
    <row r="2822" spans="27:39" x14ac:dyDescent="0.3">
      <c r="AA2822" t="str">
        <f>IF(COUNTA('Procyfloc 1009'!A323,'Procyfloc 1009'!B323,'Procyfloc 1009'!C323)&gt;0,"1009","")</f>
        <v/>
      </c>
      <c r="AB2822" t="str">
        <f>IFERROR(IF(ISNUMBER('Procyfloc 1009'!A323),'Procyfloc 1009'!A323,DATEVALUE('Procyfloc 1009'!A323)),"")</f>
        <v/>
      </c>
      <c r="AC2822" t="str">
        <f>IF(AA2822="","",'Procyfloc 1009'!B323)</f>
        <v/>
      </c>
      <c r="AD2822" t="str">
        <f>IF(AA2822="","",IFERROR(1*'Procyfloc 1009'!C323,IFERROR(_xludf.NUMBERVALUE('Procyfloc 1009'!C323,".",","),IFERROR(_xludf.NUMBERVALUE('Procyfloc 1009'!C323,",","."),0))))</f>
        <v/>
      </c>
      <c r="AE2822" t="str">
        <f>IF(AA2822="","",'Procyfloc 1009'!L323)</f>
        <v/>
      </c>
      <c r="AF2822">
        <f t="shared" si="281"/>
        <v>0</v>
      </c>
      <c r="AG2822" t="str">
        <f t="shared" si="282"/>
        <v/>
      </c>
      <c r="AH2822" t="str">
        <f t="shared" si="283"/>
        <v/>
      </c>
      <c r="AI2822">
        <f t="shared" si="284"/>
        <v>0</v>
      </c>
      <c r="AJ2822">
        <f t="shared" si="285"/>
        <v>0</v>
      </c>
      <c r="AK2822">
        <v>0</v>
      </c>
      <c r="AL2822" t="str">
        <f>IF(AA2822="","",IFERROR(IF(ISNUMBER('Procyfloc 1009'!D323),'Procyfloc 1009'!D323,IF(ISNUMBER(SEARCH("12",'Procyfloc 1009'!D323)),EDATE(AB2822,12),IF(ISNUMBER(SEARCH("6",'Procyfloc 1009'!D323)),EDATE(AB2822,6),IF(ISNUMBER(SEARCH("3",'Procyfloc 1009'!D323)),EDATE(AB2822,3),DATEVALUE('Procyfloc 1009'!D323))))),""))</f>
        <v/>
      </c>
      <c r="AM2822" t="str">
        <f t="shared" ca="1" si="286"/>
        <v/>
      </c>
    </row>
    <row r="2823" spans="27:39" x14ac:dyDescent="0.3">
      <c r="AA2823" t="str">
        <f>IF(COUNTA('Procyfloc 1009'!A324,'Procyfloc 1009'!B324,'Procyfloc 1009'!C324)&gt;0,"1009","")</f>
        <v/>
      </c>
      <c r="AB2823" t="str">
        <f>IFERROR(IF(ISNUMBER('Procyfloc 1009'!A324),'Procyfloc 1009'!A324,DATEVALUE('Procyfloc 1009'!A324)),"")</f>
        <v/>
      </c>
      <c r="AC2823" t="str">
        <f>IF(AA2823="","",'Procyfloc 1009'!B324)</f>
        <v/>
      </c>
      <c r="AD2823" t="str">
        <f>IF(AA2823="","",IFERROR(1*'Procyfloc 1009'!C324,IFERROR(_xludf.NUMBERVALUE('Procyfloc 1009'!C324,".",","),IFERROR(_xludf.NUMBERVALUE('Procyfloc 1009'!C324,",","."),0))))</f>
        <v/>
      </c>
      <c r="AE2823" t="str">
        <f>IF(AA2823="","",'Procyfloc 1009'!L324)</f>
        <v/>
      </c>
      <c r="AF2823">
        <f t="shared" si="281"/>
        <v>0</v>
      </c>
      <c r="AG2823" t="str">
        <f t="shared" si="282"/>
        <v/>
      </c>
      <c r="AH2823" t="str">
        <f t="shared" si="283"/>
        <v/>
      </c>
      <c r="AI2823">
        <f t="shared" si="284"/>
        <v>0</v>
      </c>
      <c r="AJ2823">
        <f t="shared" si="285"/>
        <v>0</v>
      </c>
      <c r="AK2823">
        <v>0</v>
      </c>
      <c r="AL2823" t="str">
        <f>IF(AA2823="","",IFERROR(IF(ISNUMBER('Procyfloc 1009'!D324),'Procyfloc 1009'!D324,IF(ISNUMBER(SEARCH("12",'Procyfloc 1009'!D324)),EDATE(AB2823,12),IF(ISNUMBER(SEARCH("6",'Procyfloc 1009'!D324)),EDATE(AB2823,6),IF(ISNUMBER(SEARCH("3",'Procyfloc 1009'!D324)),EDATE(AB2823,3),DATEVALUE('Procyfloc 1009'!D324))))),""))</f>
        <v/>
      </c>
      <c r="AM2823" t="str">
        <f t="shared" ca="1" si="286"/>
        <v/>
      </c>
    </row>
    <row r="2824" spans="27:39" x14ac:dyDescent="0.3">
      <c r="AA2824" t="str">
        <f>IF(COUNTA('Procyfloc 1009'!A325,'Procyfloc 1009'!B325,'Procyfloc 1009'!C325)&gt;0,"1009","")</f>
        <v/>
      </c>
      <c r="AB2824" t="str">
        <f>IFERROR(IF(ISNUMBER('Procyfloc 1009'!A325),'Procyfloc 1009'!A325,DATEVALUE('Procyfloc 1009'!A325)),"")</f>
        <v/>
      </c>
      <c r="AC2824" t="str">
        <f>IF(AA2824="","",'Procyfloc 1009'!B325)</f>
        <v/>
      </c>
      <c r="AD2824" t="str">
        <f>IF(AA2824="","",IFERROR(1*'Procyfloc 1009'!C325,IFERROR(_xludf.NUMBERVALUE('Procyfloc 1009'!C325,".",","),IFERROR(_xludf.NUMBERVALUE('Procyfloc 1009'!C325,",","."),0))))</f>
        <v/>
      </c>
      <c r="AE2824" t="str">
        <f>IF(AA2824="","",'Procyfloc 1009'!L325)</f>
        <v/>
      </c>
      <c r="AF2824">
        <f t="shared" si="281"/>
        <v>0</v>
      </c>
      <c r="AG2824" t="str">
        <f t="shared" si="282"/>
        <v/>
      </c>
      <c r="AH2824" t="str">
        <f t="shared" si="283"/>
        <v/>
      </c>
      <c r="AI2824">
        <f t="shared" si="284"/>
        <v>0</v>
      </c>
      <c r="AJ2824">
        <f t="shared" si="285"/>
        <v>0</v>
      </c>
      <c r="AK2824">
        <v>0</v>
      </c>
      <c r="AL2824" t="str">
        <f>IF(AA2824="","",IFERROR(IF(ISNUMBER('Procyfloc 1009'!D325),'Procyfloc 1009'!D325,IF(ISNUMBER(SEARCH("12",'Procyfloc 1009'!D325)),EDATE(AB2824,12),IF(ISNUMBER(SEARCH("6",'Procyfloc 1009'!D325)),EDATE(AB2824,6),IF(ISNUMBER(SEARCH("3",'Procyfloc 1009'!D325)),EDATE(AB2824,3),DATEVALUE('Procyfloc 1009'!D325))))),""))</f>
        <v/>
      </c>
      <c r="AM2824" t="str">
        <f t="shared" ca="1" si="286"/>
        <v/>
      </c>
    </row>
    <row r="2825" spans="27:39" x14ac:dyDescent="0.3">
      <c r="AA2825" t="str">
        <f>IF(COUNTA('Procyfloc 1009'!A326,'Procyfloc 1009'!B326,'Procyfloc 1009'!C326)&gt;0,"1009","")</f>
        <v/>
      </c>
      <c r="AB2825" t="str">
        <f>IFERROR(IF(ISNUMBER('Procyfloc 1009'!A326),'Procyfloc 1009'!A326,DATEVALUE('Procyfloc 1009'!A326)),"")</f>
        <v/>
      </c>
      <c r="AC2825" t="str">
        <f>IF(AA2825="","",'Procyfloc 1009'!B326)</f>
        <v/>
      </c>
      <c r="AD2825" t="str">
        <f>IF(AA2825="","",IFERROR(1*'Procyfloc 1009'!C326,IFERROR(_xludf.NUMBERVALUE('Procyfloc 1009'!C326,".",","),IFERROR(_xludf.NUMBERVALUE('Procyfloc 1009'!C326,",","."),0))))</f>
        <v/>
      </c>
      <c r="AE2825" t="str">
        <f>IF(AA2825="","",'Procyfloc 1009'!L326)</f>
        <v/>
      </c>
      <c r="AF2825">
        <f t="shared" si="281"/>
        <v>0</v>
      </c>
      <c r="AG2825" t="str">
        <f t="shared" si="282"/>
        <v/>
      </c>
      <c r="AH2825" t="str">
        <f t="shared" si="283"/>
        <v/>
      </c>
      <c r="AI2825">
        <f t="shared" si="284"/>
        <v>0</v>
      </c>
      <c r="AJ2825">
        <f t="shared" si="285"/>
        <v>0</v>
      </c>
      <c r="AK2825">
        <v>0</v>
      </c>
      <c r="AL2825" t="str">
        <f>IF(AA2825="","",IFERROR(IF(ISNUMBER('Procyfloc 1009'!D326),'Procyfloc 1009'!D326,IF(ISNUMBER(SEARCH("12",'Procyfloc 1009'!D326)),EDATE(AB2825,12),IF(ISNUMBER(SEARCH("6",'Procyfloc 1009'!D326)),EDATE(AB2825,6),IF(ISNUMBER(SEARCH("3",'Procyfloc 1009'!D326)),EDATE(AB2825,3),DATEVALUE('Procyfloc 1009'!D326))))),""))</f>
        <v/>
      </c>
      <c r="AM2825" t="str">
        <f t="shared" ca="1" si="286"/>
        <v/>
      </c>
    </row>
    <row r="2826" spans="27:39" x14ac:dyDescent="0.3">
      <c r="AA2826" t="str">
        <f>IF(COUNTA('Procyfloc 1009'!A327,'Procyfloc 1009'!B327,'Procyfloc 1009'!C327)&gt;0,"1009","")</f>
        <v/>
      </c>
      <c r="AB2826" t="str">
        <f>IFERROR(IF(ISNUMBER('Procyfloc 1009'!A327),'Procyfloc 1009'!A327,DATEVALUE('Procyfloc 1009'!A327)),"")</f>
        <v/>
      </c>
      <c r="AC2826" t="str">
        <f>IF(AA2826="","",'Procyfloc 1009'!B327)</f>
        <v/>
      </c>
      <c r="AD2826" t="str">
        <f>IF(AA2826="","",IFERROR(1*'Procyfloc 1009'!C327,IFERROR(_xludf.NUMBERVALUE('Procyfloc 1009'!C327,".",","),IFERROR(_xludf.NUMBERVALUE('Procyfloc 1009'!C327,",","."),0))))</f>
        <v/>
      </c>
      <c r="AE2826" t="str">
        <f>IF(AA2826="","",'Procyfloc 1009'!L327)</f>
        <v/>
      </c>
      <c r="AF2826">
        <f t="shared" si="281"/>
        <v>0</v>
      </c>
      <c r="AG2826" t="str">
        <f t="shared" si="282"/>
        <v/>
      </c>
      <c r="AH2826" t="str">
        <f t="shared" si="283"/>
        <v/>
      </c>
      <c r="AI2826">
        <f t="shared" si="284"/>
        <v>0</v>
      </c>
      <c r="AJ2826">
        <f t="shared" si="285"/>
        <v>0</v>
      </c>
      <c r="AK2826">
        <v>0</v>
      </c>
      <c r="AL2826" t="str">
        <f>IF(AA2826="","",IFERROR(IF(ISNUMBER('Procyfloc 1009'!D327),'Procyfloc 1009'!D327,IF(ISNUMBER(SEARCH("12",'Procyfloc 1009'!D327)),EDATE(AB2826,12),IF(ISNUMBER(SEARCH("6",'Procyfloc 1009'!D327)),EDATE(AB2826,6),IF(ISNUMBER(SEARCH("3",'Procyfloc 1009'!D327)),EDATE(AB2826,3),DATEVALUE('Procyfloc 1009'!D327))))),""))</f>
        <v/>
      </c>
      <c r="AM2826" t="str">
        <f t="shared" ca="1" si="286"/>
        <v/>
      </c>
    </row>
    <row r="2827" spans="27:39" x14ac:dyDescent="0.3">
      <c r="AA2827" t="str">
        <f>IF(COUNTA('Procyfloc 1009'!A328,'Procyfloc 1009'!B328,'Procyfloc 1009'!C328)&gt;0,"1009","")</f>
        <v/>
      </c>
      <c r="AB2827" t="str">
        <f>IFERROR(IF(ISNUMBER('Procyfloc 1009'!A328),'Procyfloc 1009'!A328,DATEVALUE('Procyfloc 1009'!A328)),"")</f>
        <v/>
      </c>
      <c r="AC2827" t="str">
        <f>IF(AA2827="","",'Procyfloc 1009'!B328)</f>
        <v/>
      </c>
      <c r="AD2827" t="str">
        <f>IF(AA2827="","",IFERROR(1*'Procyfloc 1009'!C328,IFERROR(_xludf.NUMBERVALUE('Procyfloc 1009'!C328,".",","),IFERROR(_xludf.NUMBERVALUE('Procyfloc 1009'!C328,",","."),0))))</f>
        <v/>
      </c>
      <c r="AE2827" t="str">
        <f>IF(AA2827="","",'Procyfloc 1009'!L328)</f>
        <v/>
      </c>
      <c r="AF2827">
        <f t="shared" si="281"/>
        <v>0</v>
      </c>
      <c r="AG2827" t="str">
        <f t="shared" si="282"/>
        <v/>
      </c>
      <c r="AH2827" t="str">
        <f t="shared" si="283"/>
        <v/>
      </c>
      <c r="AI2827">
        <f t="shared" si="284"/>
        <v>0</v>
      </c>
      <c r="AJ2827">
        <f t="shared" si="285"/>
        <v>0</v>
      </c>
      <c r="AK2827">
        <v>0</v>
      </c>
      <c r="AL2827" t="str">
        <f>IF(AA2827="","",IFERROR(IF(ISNUMBER('Procyfloc 1009'!D328),'Procyfloc 1009'!D328,IF(ISNUMBER(SEARCH("12",'Procyfloc 1009'!D328)),EDATE(AB2827,12),IF(ISNUMBER(SEARCH("6",'Procyfloc 1009'!D328)),EDATE(AB2827,6),IF(ISNUMBER(SEARCH("3",'Procyfloc 1009'!D328)),EDATE(AB2827,3),DATEVALUE('Procyfloc 1009'!D328))))),""))</f>
        <v/>
      </c>
      <c r="AM2827" t="str">
        <f t="shared" ca="1" si="286"/>
        <v/>
      </c>
    </row>
    <row r="2828" spans="27:39" x14ac:dyDescent="0.3">
      <c r="AA2828" t="str">
        <f>IF(COUNTA('Procyfloc 1009'!A329,'Procyfloc 1009'!B329,'Procyfloc 1009'!C329)&gt;0,"1009","")</f>
        <v/>
      </c>
      <c r="AB2828" t="str">
        <f>IFERROR(IF(ISNUMBER('Procyfloc 1009'!A329),'Procyfloc 1009'!A329,DATEVALUE('Procyfloc 1009'!A329)),"")</f>
        <v/>
      </c>
      <c r="AC2828" t="str">
        <f>IF(AA2828="","",'Procyfloc 1009'!B329)</f>
        <v/>
      </c>
      <c r="AD2828" t="str">
        <f>IF(AA2828="","",IFERROR(1*'Procyfloc 1009'!C329,IFERROR(_xludf.NUMBERVALUE('Procyfloc 1009'!C329,".",","),IFERROR(_xludf.NUMBERVALUE('Procyfloc 1009'!C329,",","."),0))))</f>
        <v/>
      </c>
      <c r="AE2828" t="str">
        <f>IF(AA2828="","",'Procyfloc 1009'!L329)</f>
        <v/>
      </c>
      <c r="AF2828">
        <f t="shared" si="281"/>
        <v>0</v>
      </c>
      <c r="AG2828" t="str">
        <f t="shared" si="282"/>
        <v/>
      </c>
      <c r="AH2828" t="str">
        <f t="shared" si="283"/>
        <v/>
      </c>
      <c r="AI2828">
        <f t="shared" si="284"/>
        <v>0</v>
      </c>
      <c r="AJ2828">
        <f t="shared" si="285"/>
        <v>0</v>
      </c>
      <c r="AK2828">
        <v>0</v>
      </c>
      <c r="AL2828" t="str">
        <f>IF(AA2828="","",IFERROR(IF(ISNUMBER('Procyfloc 1009'!D329),'Procyfloc 1009'!D329,IF(ISNUMBER(SEARCH("12",'Procyfloc 1009'!D329)),EDATE(AB2828,12),IF(ISNUMBER(SEARCH("6",'Procyfloc 1009'!D329)),EDATE(AB2828,6),IF(ISNUMBER(SEARCH("3",'Procyfloc 1009'!D329)),EDATE(AB2828,3),DATEVALUE('Procyfloc 1009'!D329))))),""))</f>
        <v/>
      </c>
      <c r="AM2828" t="str">
        <f t="shared" ca="1" si="286"/>
        <v/>
      </c>
    </row>
    <row r="2829" spans="27:39" x14ac:dyDescent="0.3">
      <c r="AA2829" t="str">
        <f>IF(COUNTA('Procyfloc 1009'!A330,'Procyfloc 1009'!B330,'Procyfloc 1009'!C330)&gt;0,"1009","")</f>
        <v/>
      </c>
      <c r="AB2829" t="str">
        <f>IFERROR(IF(ISNUMBER('Procyfloc 1009'!A330),'Procyfloc 1009'!A330,DATEVALUE('Procyfloc 1009'!A330)),"")</f>
        <v/>
      </c>
      <c r="AC2829" t="str">
        <f>IF(AA2829="","",'Procyfloc 1009'!B330)</f>
        <v/>
      </c>
      <c r="AD2829" t="str">
        <f>IF(AA2829="","",IFERROR(1*'Procyfloc 1009'!C330,IFERROR(_xludf.NUMBERVALUE('Procyfloc 1009'!C330,".",","),IFERROR(_xludf.NUMBERVALUE('Procyfloc 1009'!C330,",","."),0))))</f>
        <v/>
      </c>
      <c r="AE2829" t="str">
        <f>IF(AA2829="","",'Procyfloc 1009'!L330)</f>
        <v/>
      </c>
      <c r="AF2829">
        <f t="shared" si="281"/>
        <v>0</v>
      </c>
      <c r="AG2829" t="str">
        <f t="shared" si="282"/>
        <v/>
      </c>
      <c r="AH2829" t="str">
        <f t="shared" si="283"/>
        <v/>
      </c>
      <c r="AI2829">
        <f t="shared" si="284"/>
        <v>0</v>
      </c>
      <c r="AJ2829">
        <f t="shared" si="285"/>
        <v>0</v>
      </c>
      <c r="AK2829">
        <v>0</v>
      </c>
      <c r="AL2829" t="str">
        <f>IF(AA2829="","",IFERROR(IF(ISNUMBER('Procyfloc 1009'!D330),'Procyfloc 1009'!D330,IF(ISNUMBER(SEARCH("12",'Procyfloc 1009'!D330)),EDATE(AB2829,12),IF(ISNUMBER(SEARCH("6",'Procyfloc 1009'!D330)),EDATE(AB2829,6),IF(ISNUMBER(SEARCH("3",'Procyfloc 1009'!D330)),EDATE(AB2829,3),DATEVALUE('Procyfloc 1009'!D330))))),""))</f>
        <v/>
      </c>
      <c r="AM2829" t="str">
        <f t="shared" ca="1" si="286"/>
        <v/>
      </c>
    </row>
    <row r="2830" spans="27:39" x14ac:dyDescent="0.3">
      <c r="AA2830" t="str">
        <f>IF(COUNTA('Procyfloc 1009'!A331,'Procyfloc 1009'!B331,'Procyfloc 1009'!C331)&gt;0,"1009","")</f>
        <v/>
      </c>
      <c r="AB2830" t="str">
        <f>IFERROR(IF(ISNUMBER('Procyfloc 1009'!A331),'Procyfloc 1009'!A331,DATEVALUE('Procyfloc 1009'!A331)),"")</f>
        <v/>
      </c>
      <c r="AC2830" t="str">
        <f>IF(AA2830="","",'Procyfloc 1009'!B331)</f>
        <v/>
      </c>
      <c r="AD2830" t="str">
        <f>IF(AA2830="","",IFERROR(1*'Procyfloc 1009'!C331,IFERROR(_xludf.NUMBERVALUE('Procyfloc 1009'!C331,".",","),IFERROR(_xludf.NUMBERVALUE('Procyfloc 1009'!C331,",","."),0))))</f>
        <v/>
      </c>
      <c r="AE2830" t="str">
        <f>IF(AA2830="","",'Procyfloc 1009'!L331)</f>
        <v/>
      </c>
      <c r="AF2830">
        <f t="shared" si="281"/>
        <v>0</v>
      </c>
      <c r="AG2830" t="str">
        <f t="shared" si="282"/>
        <v/>
      </c>
      <c r="AH2830" t="str">
        <f t="shared" si="283"/>
        <v/>
      </c>
      <c r="AI2830">
        <f t="shared" si="284"/>
        <v>0</v>
      </c>
      <c r="AJ2830">
        <f t="shared" si="285"/>
        <v>0</v>
      </c>
      <c r="AK2830">
        <v>0</v>
      </c>
      <c r="AL2830" t="str">
        <f>IF(AA2830="","",IFERROR(IF(ISNUMBER('Procyfloc 1009'!D331),'Procyfloc 1009'!D331,IF(ISNUMBER(SEARCH("12",'Procyfloc 1009'!D331)),EDATE(AB2830,12),IF(ISNUMBER(SEARCH("6",'Procyfloc 1009'!D331)),EDATE(AB2830,6),IF(ISNUMBER(SEARCH("3",'Procyfloc 1009'!D331)),EDATE(AB2830,3),DATEVALUE('Procyfloc 1009'!D331))))),""))</f>
        <v/>
      </c>
      <c r="AM2830" t="str">
        <f t="shared" ca="1" si="286"/>
        <v/>
      </c>
    </row>
    <row r="2831" spans="27:39" x14ac:dyDescent="0.3">
      <c r="AA2831" t="str">
        <f>IF(COUNTA('Procyfloc 1009'!A332,'Procyfloc 1009'!B332,'Procyfloc 1009'!C332)&gt;0,"1009","")</f>
        <v/>
      </c>
      <c r="AB2831" t="str">
        <f>IFERROR(IF(ISNUMBER('Procyfloc 1009'!A332),'Procyfloc 1009'!A332,DATEVALUE('Procyfloc 1009'!A332)),"")</f>
        <v/>
      </c>
      <c r="AC2831" t="str">
        <f>IF(AA2831="","",'Procyfloc 1009'!B332)</f>
        <v/>
      </c>
      <c r="AD2831" t="str">
        <f>IF(AA2831="","",IFERROR(1*'Procyfloc 1009'!C332,IFERROR(_xludf.NUMBERVALUE('Procyfloc 1009'!C332,".",","),IFERROR(_xludf.NUMBERVALUE('Procyfloc 1009'!C332,",","."),0))))</f>
        <v/>
      </c>
      <c r="AE2831" t="str">
        <f>IF(AA2831="","",'Procyfloc 1009'!L332)</f>
        <v/>
      </c>
      <c r="AF2831">
        <f t="shared" si="281"/>
        <v>0</v>
      </c>
      <c r="AG2831" t="str">
        <f t="shared" si="282"/>
        <v/>
      </c>
      <c r="AH2831" t="str">
        <f t="shared" si="283"/>
        <v/>
      </c>
      <c r="AI2831">
        <f t="shared" si="284"/>
        <v>0</v>
      </c>
      <c r="AJ2831">
        <f t="shared" si="285"/>
        <v>0</v>
      </c>
      <c r="AK2831">
        <v>0</v>
      </c>
      <c r="AL2831" t="str">
        <f>IF(AA2831="","",IFERROR(IF(ISNUMBER('Procyfloc 1009'!D332),'Procyfloc 1009'!D332,IF(ISNUMBER(SEARCH("12",'Procyfloc 1009'!D332)),EDATE(AB2831,12),IF(ISNUMBER(SEARCH("6",'Procyfloc 1009'!D332)),EDATE(AB2831,6),IF(ISNUMBER(SEARCH("3",'Procyfloc 1009'!D332)),EDATE(AB2831,3),DATEVALUE('Procyfloc 1009'!D332))))),""))</f>
        <v/>
      </c>
      <c r="AM2831" t="str">
        <f t="shared" ca="1" si="286"/>
        <v/>
      </c>
    </row>
    <row r="2832" spans="27:39" x14ac:dyDescent="0.3">
      <c r="AA2832" t="str">
        <f>IF(COUNTA('Procyfloc 1009'!A333,'Procyfloc 1009'!B333,'Procyfloc 1009'!C333)&gt;0,"1009","")</f>
        <v/>
      </c>
      <c r="AB2832" t="str">
        <f>IFERROR(IF(ISNUMBER('Procyfloc 1009'!A333),'Procyfloc 1009'!A333,DATEVALUE('Procyfloc 1009'!A333)),"")</f>
        <v/>
      </c>
      <c r="AC2832" t="str">
        <f>IF(AA2832="","",'Procyfloc 1009'!B333)</f>
        <v/>
      </c>
      <c r="AD2832" t="str">
        <f>IF(AA2832="","",IFERROR(1*'Procyfloc 1009'!C333,IFERROR(_xludf.NUMBERVALUE('Procyfloc 1009'!C333,".",","),IFERROR(_xludf.NUMBERVALUE('Procyfloc 1009'!C333,",","."),0))))</f>
        <v/>
      </c>
      <c r="AE2832" t="str">
        <f>IF(AA2832="","",'Procyfloc 1009'!L333)</f>
        <v/>
      </c>
      <c r="AF2832">
        <f t="shared" si="281"/>
        <v>0</v>
      </c>
      <c r="AG2832" t="str">
        <f t="shared" si="282"/>
        <v/>
      </c>
      <c r="AH2832" t="str">
        <f t="shared" si="283"/>
        <v/>
      </c>
      <c r="AI2832">
        <f t="shared" si="284"/>
        <v>0</v>
      </c>
      <c r="AJ2832">
        <f t="shared" si="285"/>
        <v>0</v>
      </c>
      <c r="AK2832">
        <v>0</v>
      </c>
      <c r="AL2832" t="str">
        <f>IF(AA2832="","",IFERROR(IF(ISNUMBER('Procyfloc 1009'!D333),'Procyfloc 1009'!D333,IF(ISNUMBER(SEARCH("12",'Procyfloc 1009'!D333)),EDATE(AB2832,12),IF(ISNUMBER(SEARCH("6",'Procyfloc 1009'!D333)),EDATE(AB2832,6),IF(ISNUMBER(SEARCH("3",'Procyfloc 1009'!D333)),EDATE(AB2832,3),DATEVALUE('Procyfloc 1009'!D333))))),""))</f>
        <v/>
      </c>
      <c r="AM2832" t="str">
        <f t="shared" ca="1" si="286"/>
        <v/>
      </c>
    </row>
    <row r="2833" spans="27:39" x14ac:dyDescent="0.3">
      <c r="AA2833" t="str">
        <f>IF(COUNTA('Procyfloc 1009'!A334,'Procyfloc 1009'!B334,'Procyfloc 1009'!C334)&gt;0,"1009","")</f>
        <v/>
      </c>
      <c r="AB2833" t="str">
        <f>IFERROR(IF(ISNUMBER('Procyfloc 1009'!A334),'Procyfloc 1009'!A334,DATEVALUE('Procyfloc 1009'!A334)),"")</f>
        <v/>
      </c>
      <c r="AC2833" t="str">
        <f>IF(AA2833="","",'Procyfloc 1009'!B334)</f>
        <v/>
      </c>
      <c r="AD2833" t="str">
        <f>IF(AA2833="","",IFERROR(1*'Procyfloc 1009'!C334,IFERROR(_xludf.NUMBERVALUE('Procyfloc 1009'!C334,".",","),IFERROR(_xludf.NUMBERVALUE('Procyfloc 1009'!C334,",","."),0))))</f>
        <v/>
      </c>
      <c r="AE2833" t="str">
        <f>IF(AA2833="","",'Procyfloc 1009'!L334)</f>
        <v/>
      </c>
      <c r="AF2833">
        <f t="shared" si="281"/>
        <v>0</v>
      </c>
      <c r="AG2833" t="str">
        <f t="shared" si="282"/>
        <v/>
      </c>
      <c r="AH2833" t="str">
        <f t="shared" si="283"/>
        <v/>
      </c>
      <c r="AI2833">
        <f t="shared" si="284"/>
        <v>0</v>
      </c>
      <c r="AJ2833">
        <f t="shared" si="285"/>
        <v>0</v>
      </c>
      <c r="AK2833">
        <v>0</v>
      </c>
      <c r="AL2833" t="str">
        <f>IF(AA2833="","",IFERROR(IF(ISNUMBER('Procyfloc 1009'!D334),'Procyfloc 1009'!D334,IF(ISNUMBER(SEARCH("12",'Procyfloc 1009'!D334)),EDATE(AB2833,12),IF(ISNUMBER(SEARCH("6",'Procyfloc 1009'!D334)),EDATE(AB2833,6),IF(ISNUMBER(SEARCH("3",'Procyfloc 1009'!D334)),EDATE(AB2833,3),DATEVALUE('Procyfloc 1009'!D334))))),""))</f>
        <v/>
      </c>
      <c r="AM2833" t="str">
        <f t="shared" ca="1" si="286"/>
        <v/>
      </c>
    </row>
    <row r="2834" spans="27:39" x14ac:dyDescent="0.3">
      <c r="AA2834" t="str">
        <f>IF(COUNTA('Procyfloc 1009'!A335,'Procyfloc 1009'!B335,'Procyfloc 1009'!C335)&gt;0,"1009","")</f>
        <v/>
      </c>
      <c r="AB2834" t="str">
        <f>IFERROR(IF(ISNUMBER('Procyfloc 1009'!A335),'Procyfloc 1009'!A335,DATEVALUE('Procyfloc 1009'!A335)),"")</f>
        <v/>
      </c>
      <c r="AC2834" t="str">
        <f>IF(AA2834="","",'Procyfloc 1009'!B335)</f>
        <v/>
      </c>
      <c r="AD2834" t="str">
        <f>IF(AA2834="","",IFERROR(1*'Procyfloc 1009'!C335,IFERROR(_xludf.NUMBERVALUE('Procyfloc 1009'!C335,".",","),IFERROR(_xludf.NUMBERVALUE('Procyfloc 1009'!C335,",","."),0))))</f>
        <v/>
      </c>
      <c r="AE2834" t="str">
        <f>IF(AA2834="","",'Procyfloc 1009'!L335)</f>
        <v/>
      </c>
      <c r="AF2834">
        <f t="shared" si="281"/>
        <v>0</v>
      </c>
      <c r="AG2834" t="str">
        <f t="shared" si="282"/>
        <v/>
      </c>
      <c r="AH2834" t="str">
        <f t="shared" si="283"/>
        <v/>
      </c>
      <c r="AI2834">
        <f t="shared" si="284"/>
        <v>0</v>
      </c>
      <c r="AJ2834">
        <f t="shared" si="285"/>
        <v>0</v>
      </c>
      <c r="AK2834">
        <v>0</v>
      </c>
      <c r="AL2834" t="str">
        <f>IF(AA2834="","",IFERROR(IF(ISNUMBER('Procyfloc 1009'!D335),'Procyfloc 1009'!D335,IF(ISNUMBER(SEARCH("12",'Procyfloc 1009'!D335)),EDATE(AB2834,12),IF(ISNUMBER(SEARCH("6",'Procyfloc 1009'!D335)),EDATE(AB2834,6),IF(ISNUMBER(SEARCH("3",'Procyfloc 1009'!D335)),EDATE(AB2834,3),DATEVALUE('Procyfloc 1009'!D335))))),""))</f>
        <v/>
      </c>
      <c r="AM2834" t="str">
        <f t="shared" ca="1" si="286"/>
        <v/>
      </c>
    </row>
    <row r="2835" spans="27:39" x14ac:dyDescent="0.3">
      <c r="AA2835" t="str">
        <f>IF(COUNTA('Procyfloc 1009'!A336,'Procyfloc 1009'!B336,'Procyfloc 1009'!C336)&gt;0,"1009","")</f>
        <v/>
      </c>
      <c r="AB2835" t="str">
        <f>IFERROR(IF(ISNUMBER('Procyfloc 1009'!A336),'Procyfloc 1009'!A336,DATEVALUE('Procyfloc 1009'!A336)),"")</f>
        <v/>
      </c>
      <c r="AC2835" t="str">
        <f>IF(AA2835="","",'Procyfloc 1009'!B336)</f>
        <v/>
      </c>
      <c r="AD2835" t="str">
        <f>IF(AA2835="","",IFERROR(1*'Procyfloc 1009'!C336,IFERROR(_xludf.NUMBERVALUE('Procyfloc 1009'!C336,".",","),IFERROR(_xludf.NUMBERVALUE('Procyfloc 1009'!C336,",","."),0))))</f>
        <v/>
      </c>
      <c r="AE2835" t="str">
        <f>IF(AA2835="","",'Procyfloc 1009'!L336)</f>
        <v/>
      </c>
      <c r="AF2835">
        <f t="shared" si="281"/>
        <v>0</v>
      </c>
      <c r="AG2835" t="str">
        <f t="shared" si="282"/>
        <v/>
      </c>
      <c r="AH2835" t="str">
        <f t="shared" si="283"/>
        <v/>
      </c>
      <c r="AI2835">
        <f t="shared" si="284"/>
        <v>0</v>
      </c>
      <c r="AJ2835">
        <f t="shared" si="285"/>
        <v>0</v>
      </c>
      <c r="AK2835">
        <v>0</v>
      </c>
      <c r="AL2835" t="str">
        <f>IF(AA2835="","",IFERROR(IF(ISNUMBER('Procyfloc 1009'!D336),'Procyfloc 1009'!D336,IF(ISNUMBER(SEARCH("12",'Procyfloc 1009'!D336)),EDATE(AB2835,12),IF(ISNUMBER(SEARCH("6",'Procyfloc 1009'!D336)),EDATE(AB2835,6),IF(ISNUMBER(SEARCH("3",'Procyfloc 1009'!D336)),EDATE(AB2835,3),DATEVALUE('Procyfloc 1009'!D336))))),""))</f>
        <v/>
      </c>
      <c r="AM2835" t="str">
        <f t="shared" ca="1" si="286"/>
        <v/>
      </c>
    </row>
    <row r="2836" spans="27:39" x14ac:dyDescent="0.3">
      <c r="AA2836" t="str">
        <f>IF(COUNTA('Procyfloc 1009'!A337,'Procyfloc 1009'!B337,'Procyfloc 1009'!C337)&gt;0,"1009","")</f>
        <v/>
      </c>
      <c r="AB2836" t="str">
        <f>IFERROR(IF(ISNUMBER('Procyfloc 1009'!A337),'Procyfloc 1009'!A337,DATEVALUE('Procyfloc 1009'!A337)),"")</f>
        <v/>
      </c>
      <c r="AC2836" t="str">
        <f>IF(AA2836="","",'Procyfloc 1009'!B337)</f>
        <v/>
      </c>
      <c r="AD2836" t="str">
        <f>IF(AA2836="","",IFERROR(1*'Procyfloc 1009'!C337,IFERROR(_xludf.NUMBERVALUE('Procyfloc 1009'!C337,".",","),IFERROR(_xludf.NUMBERVALUE('Procyfloc 1009'!C337,",","."),0))))</f>
        <v/>
      </c>
      <c r="AE2836" t="str">
        <f>IF(AA2836="","",'Procyfloc 1009'!L337)</f>
        <v/>
      </c>
      <c r="AF2836">
        <f t="shared" si="281"/>
        <v>0</v>
      </c>
      <c r="AG2836" t="str">
        <f t="shared" si="282"/>
        <v/>
      </c>
      <c r="AH2836" t="str">
        <f t="shared" si="283"/>
        <v/>
      </c>
      <c r="AI2836">
        <f t="shared" si="284"/>
        <v>0</v>
      </c>
      <c r="AJ2836">
        <f t="shared" si="285"/>
        <v>0</v>
      </c>
      <c r="AK2836">
        <v>0</v>
      </c>
      <c r="AL2836" t="str">
        <f>IF(AA2836="","",IFERROR(IF(ISNUMBER('Procyfloc 1009'!D337),'Procyfloc 1009'!D337,IF(ISNUMBER(SEARCH("12",'Procyfloc 1009'!D337)),EDATE(AB2836,12),IF(ISNUMBER(SEARCH("6",'Procyfloc 1009'!D337)),EDATE(AB2836,6),IF(ISNUMBER(SEARCH("3",'Procyfloc 1009'!D337)),EDATE(AB2836,3),DATEVALUE('Procyfloc 1009'!D337))))),""))</f>
        <v/>
      </c>
      <c r="AM2836" t="str">
        <f t="shared" ca="1" si="286"/>
        <v/>
      </c>
    </row>
    <row r="2837" spans="27:39" x14ac:dyDescent="0.3">
      <c r="AA2837" t="str">
        <f>IF(COUNTA('Procyfloc 1009'!A338,'Procyfloc 1009'!B338,'Procyfloc 1009'!C338)&gt;0,"1009","")</f>
        <v/>
      </c>
      <c r="AB2837" t="str">
        <f>IFERROR(IF(ISNUMBER('Procyfloc 1009'!A338),'Procyfloc 1009'!A338,DATEVALUE('Procyfloc 1009'!A338)),"")</f>
        <v/>
      </c>
      <c r="AC2837" t="str">
        <f>IF(AA2837="","",'Procyfloc 1009'!B338)</f>
        <v/>
      </c>
      <c r="AD2837" t="str">
        <f>IF(AA2837="","",IFERROR(1*'Procyfloc 1009'!C338,IFERROR(_xludf.NUMBERVALUE('Procyfloc 1009'!C338,".",","),IFERROR(_xludf.NUMBERVALUE('Procyfloc 1009'!C338,",","."),0))))</f>
        <v/>
      </c>
      <c r="AE2837" t="str">
        <f>IF(AA2837="","",'Procyfloc 1009'!L338)</f>
        <v/>
      </c>
      <c r="AF2837">
        <f t="shared" si="281"/>
        <v>0</v>
      </c>
      <c r="AG2837" t="str">
        <f t="shared" si="282"/>
        <v/>
      </c>
      <c r="AH2837" t="str">
        <f t="shared" si="283"/>
        <v/>
      </c>
      <c r="AI2837">
        <f t="shared" si="284"/>
        <v>0</v>
      </c>
      <c r="AJ2837">
        <f t="shared" si="285"/>
        <v>0</v>
      </c>
      <c r="AK2837">
        <v>0</v>
      </c>
      <c r="AL2837" t="str">
        <f>IF(AA2837="","",IFERROR(IF(ISNUMBER('Procyfloc 1009'!D338),'Procyfloc 1009'!D338,IF(ISNUMBER(SEARCH("12",'Procyfloc 1009'!D338)),EDATE(AB2837,12),IF(ISNUMBER(SEARCH("6",'Procyfloc 1009'!D338)),EDATE(AB2837,6),IF(ISNUMBER(SEARCH("3",'Procyfloc 1009'!D338)),EDATE(AB2837,3),DATEVALUE('Procyfloc 1009'!D338))))),""))</f>
        <v/>
      </c>
      <c r="AM2837" t="str">
        <f t="shared" ca="1" si="286"/>
        <v/>
      </c>
    </row>
    <row r="2838" spans="27:39" x14ac:dyDescent="0.3">
      <c r="AA2838" t="str">
        <f>IF(COUNTA('Procyfloc 1009'!A339,'Procyfloc 1009'!B339,'Procyfloc 1009'!C339)&gt;0,"1009","")</f>
        <v/>
      </c>
      <c r="AB2838" t="str">
        <f>IFERROR(IF(ISNUMBER('Procyfloc 1009'!A339),'Procyfloc 1009'!A339,DATEVALUE('Procyfloc 1009'!A339)),"")</f>
        <v/>
      </c>
      <c r="AC2838" t="str">
        <f>IF(AA2838="","",'Procyfloc 1009'!B339)</f>
        <v/>
      </c>
      <c r="AD2838" t="str">
        <f>IF(AA2838="","",IFERROR(1*'Procyfloc 1009'!C339,IFERROR(_xludf.NUMBERVALUE('Procyfloc 1009'!C339,".",","),IFERROR(_xludf.NUMBERVALUE('Procyfloc 1009'!C339,",","."),0))))</f>
        <v/>
      </c>
      <c r="AE2838" t="str">
        <f>IF(AA2838="","",'Procyfloc 1009'!L339)</f>
        <v/>
      </c>
      <c r="AF2838">
        <f t="shared" si="281"/>
        <v>0</v>
      </c>
      <c r="AG2838" t="str">
        <f t="shared" si="282"/>
        <v/>
      </c>
      <c r="AH2838" t="str">
        <f t="shared" si="283"/>
        <v/>
      </c>
      <c r="AI2838">
        <f t="shared" si="284"/>
        <v>0</v>
      </c>
      <c r="AJ2838">
        <f t="shared" si="285"/>
        <v>0</v>
      </c>
      <c r="AK2838">
        <v>0</v>
      </c>
      <c r="AL2838" t="str">
        <f>IF(AA2838="","",IFERROR(IF(ISNUMBER('Procyfloc 1009'!D339),'Procyfloc 1009'!D339,IF(ISNUMBER(SEARCH("12",'Procyfloc 1009'!D339)),EDATE(AB2838,12),IF(ISNUMBER(SEARCH("6",'Procyfloc 1009'!D339)),EDATE(AB2838,6),IF(ISNUMBER(SEARCH("3",'Procyfloc 1009'!D339)),EDATE(AB2838,3),DATEVALUE('Procyfloc 1009'!D339))))),""))</f>
        <v/>
      </c>
      <c r="AM2838" t="str">
        <f t="shared" ca="1" si="286"/>
        <v/>
      </c>
    </row>
    <row r="2839" spans="27:39" x14ac:dyDescent="0.3">
      <c r="AA2839" t="str">
        <f>IF(COUNTA('Procyfloc 1009'!A340,'Procyfloc 1009'!B340,'Procyfloc 1009'!C340)&gt;0,"1009","")</f>
        <v/>
      </c>
      <c r="AB2839" t="str">
        <f>IFERROR(IF(ISNUMBER('Procyfloc 1009'!A340),'Procyfloc 1009'!A340,DATEVALUE('Procyfloc 1009'!A340)),"")</f>
        <v/>
      </c>
      <c r="AC2839" t="str">
        <f>IF(AA2839="","",'Procyfloc 1009'!B340)</f>
        <v/>
      </c>
      <c r="AD2839" t="str">
        <f>IF(AA2839="","",IFERROR(1*'Procyfloc 1009'!C340,IFERROR(_xludf.NUMBERVALUE('Procyfloc 1009'!C340,".",","),IFERROR(_xludf.NUMBERVALUE('Procyfloc 1009'!C340,",","."),0))))</f>
        <v/>
      </c>
      <c r="AE2839" t="str">
        <f>IF(AA2839="","",'Procyfloc 1009'!L340)</f>
        <v/>
      </c>
      <c r="AF2839">
        <f t="shared" si="281"/>
        <v>0</v>
      </c>
      <c r="AG2839" t="str">
        <f t="shared" si="282"/>
        <v/>
      </c>
      <c r="AH2839" t="str">
        <f t="shared" si="283"/>
        <v/>
      </c>
      <c r="AI2839">
        <f t="shared" si="284"/>
        <v>0</v>
      </c>
      <c r="AJ2839">
        <f t="shared" si="285"/>
        <v>0</v>
      </c>
      <c r="AK2839">
        <v>0</v>
      </c>
      <c r="AL2839" t="str">
        <f>IF(AA2839="","",IFERROR(IF(ISNUMBER('Procyfloc 1009'!D340),'Procyfloc 1009'!D340,IF(ISNUMBER(SEARCH("12",'Procyfloc 1009'!D340)),EDATE(AB2839,12),IF(ISNUMBER(SEARCH("6",'Procyfloc 1009'!D340)),EDATE(AB2839,6),IF(ISNUMBER(SEARCH("3",'Procyfloc 1009'!D340)),EDATE(AB2839,3),DATEVALUE('Procyfloc 1009'!D340))))),""))</f>
        <v/>
      </c>
      <c r="AM2839" t="str">
        <f t="shared" ca="1" si="286"/>
        <v/>
      </c>
    </row>
    <row r="2840" spans="27:39" x14ac:dyDescent="0.3">
      <c r="AA2840" t="str">
        <f>IF(COUNTA('Procyfloc 1009'!A341,'Procyfloc 1009'!B341,'Procyfloc 1009'!C341)&gt;0,"1009","")</f>
        <v/>
      </c>
      <c r="AB2840" t="str">
        <f>IFERROR(IF(ISNUMBER('Procyfloc 1009'!A341),'Procyfloc 1009'!A341,DATEVALUE('Procyfloc 1009'!A341)),"")</f>
        <v/>
      </c>
      <c r="AC2840" t="str">
        <f>IF(AA2840="","",'Procyfloc 1009'!B341)</f>
        <v/>
      </c>
      <c r="AD2840" t="str">
        <f>IF(AA2840="","",IFERROR(1*'Procyfloc 1009'!C341,IFERROR(_xludf.NUMBERVALUE('Procyfloc 1009'!C341,".",","),IFERROR(_xludf.NUMBERVALUE('Procyfloc 1009'!C341,",","."),0))))</f>
        <v/>
      </c>
      <c r="AE2840" t="str">
        <f>IF(AA2840="","",'Procyfloc 1009'!L341)</f>
        <v/>
      </c>
      <c r="AF2840">
        <f t="shared" si="281"/>
        <v>0</v>
      </c>
      <c r="AG2840" t="str">
        <f t="shared" si="282"/>
        <v/>
      </c>
      <c r="AH2840" t="str">
        <f t="shared" si="283"/>
        <v/>
      </c>
      <c r="AI2840">
        <f t="shared" si="284"/>
        <v>0</v>
      </c>
      <c r="AJ2840">
        <f t="shared" si="285"/>
        <v>0</v>
      </c>
      <c r="AK2840">
        <v>0</v>
      </c>
      <c r="AL2840" t="str">
        <f>IF(AA2840="","",IFERROR(IF(ISNUMBER('Procyfloc 1009'!D341),'Procyfloc 1009'!D341,IF(ISNUMBER(SEARCH("12",'Procyfloc 1009'!D341)),EDATE(AB2840,12),IF(ISNUMBER(SEARCH("6",'Procyfloc 1009'!D341)),EDATE(AB2840,6),IF(ISNUMBER(SEARCH("3",'Procyfloc 1009'!D341)),EDATE(AB2840,3),DATEVALUE('Procyfloc 1009'!D341))))),""))</f>
        <v/>
      </c>
      <c r="AM2840" t="str">
        <f t="shared" ca="1" si="286"/>
        <v/>
      </c>
    </row>
    <row r="2841" spans="27:39" x14ac:dyDescent="0.3">
      <c r="AA2841" t="str">
        <f>IF(COUNTA('Procyfloc 1009'!A342,'Procyfloc 1009'!B342,'Procyfloc 1009'!C342)&gt;0,"1009","")</f>
        <v/>
      </c>
      <c r="AB2841" t="str">
        <f>IFERROR(IF(ISNUMBER('Procyfloc 1009'!A342),'Procyfloc 1009'!A342,DATEVALUE('Procyfloc 1009'!A342)),"")</f>
        <v/>
      </c>
      <c r="AC2841" t="str">
        <f>IF(AA2841="","",'Procyfloc 1009'!B342)</f>
        <v/>
      </c>
      <c r="AD2841" t="str">
        <f>IF(AA2841="","",IFERROR(1*'Procyfloc 1009'!C342,IFERROR(_xludf.NUMBERVALUE('Procyfloc 1009'!C342,".",","),IFERROR(_xludf.NUMBERVALUE('Procyfloc 1009'!C342,",","."),0))))</f>
        <v/>
      </c>
      <c r="AE2841" t="str">
        <f>IF(AA2841="","",'Procyfloc 1009'!L342)</f>
        <v/>
      </c>
      <c r="AF2841">
        <f t="shared" si="281"/>
        <v>0</v>
      </c>
      <c r="AG2841" t="str">
        <f t="shared" si="282"/>
        <v/>
      </c>
      <c r="AH2841" t="str">
        <f t="shared" si="283"/>
        <v/>
      </c>
      <c r="AI2841">
        <f t="shared" si="284"/>
        <v>0</v>
      </c>
      <c r="AJ2841">
        <f t="shared" si="285"/>
        <v>0</v>
      </c>
      <c r="AK2841">
        <v>0</v>
      </c>
      <c r="AL2841" t="str">
        <f>IF(AA2841="","",IFERROR(IF(ISNUMBER('Procyfloc 1009'!D342),'Procyfloc 1009'!D342,IF(ISNUMBER(SEARCH("12",'Procyfloc 1009'!D342)),EDATE(AB2841,12),IF(ISNUMBER(SEARCH("6",'Procyfloc 1009'!D342)),EDATE(AB2841,6),IF(ISNUMBER(SEARCH("3",'Procyfloc 1009'!D342)),EDATE(AB2841,3),DATEVALUE('Procyfloc 1009'!D342))))),""))</f>
        <v/>
      </c>
      <c r="AM2841" t="str">
        <f t="shared" ca="1" si="286"/>
        <v/>
      </c>
    </row>
    <row r="2842" spans="27:39" x14ac:dyDescent="0.3">
      <c r="AA2842" t="str">
        <f>IF(COUNTA('Procyfloc 1009'!A343,'Procyfloc 1009'!B343,'Procyfloc 1009'!C343)&gt;0,"1009","")</f>
        <v/>
      </c>
      <c r="AB2842" t="str">
        <f>IFERROR(IF(ISNUMBER('Procyfloc 1009'!A343),'Procyfloc 1009'!A343,DATEVALUE('Procyfloc 1009'!A343)),"")</f>
        <v/>
      </c>
      <c r="AC2842" t="str">
        <f>IF(AA2842="","",'Procyfloc 1009'!B343)</f>
        <v/>
      </c>
      <c r="AD2842" t="str">
        <f>IF(AA2842="","",IFERROR(1*'Procyfloc 1009'!C343,IFERROR(_xludf.NUMBERVALUE('Procyfloc 1009'!C343,".",","),IFERROR(_xludf.NUMBERVALUE('Procyfloc 1009'!C343,",","."),0))))</f>
        <v/>
      </c>
      <c r="AE2842" t="str">
        <f>IF(AA2842="","",'Procyfloc 1009'!L343)</f>
        <v/>
      </c>
      <c r="AF2842">
        <f t="shared" si="281"/>
        <v>0</v>
      </c>
      <c r="AG2842" t="str">
        <f t="shared" si="282"/>
        <v/>
      </c>
      <c r="AH2842" t="str">
        <f t="shared" si="283"/>
        <v/>
      </c>
      <c r="AI2842">
        <f t="shared" si="284"/>
        <v>0</v>
      </c>
      <c r="AJ2842">
        <f t="shared" si="285"/>
        <v>0</v>
      </c>
      <c r="AK2842">
        <v>0</v>
      </c>
      <c r="AL2842" t="str">
        <f>IF(AA2842="","",IFERROR(IF(ISNUMBER('Procyfloc 1009'!D343),'Procyfloc 1009'!D343,IF(ISNUMBER(SEARCH("12",'Procyfloc 1009'!D343)),EDATE(AB2842,12),IF(ISNUMBER(SEARCH("6",'Procyfloc 1009'!D343)),EDATE(AB2842,6),IF(ISNUMBER(SEARCH("3",'Procyfloc 1009'!D343)),EDATE(AB2842,3),DATEVALUE('Procyfloc 1009'!D343))))),""))</f>
        <v/>
      </c>
      <c r="AM2842" t="str">
        <f t="shared" ca="1" si="286"/>
        <v/>
      </c>
    </row>
    <row r="2843" spans="27:39" x14ac:dyDescent="0.3">
      <c r="AA2843" t="str">
        <f>IF(COUNTA('Procyfloc 1009'!A344,'Procyfloc 1009'!B344,'Procyfloc 1009'!C344)&gt;0,"1009","")</f>
        <v/>
      </c>
      <c r="AB2843" t="str">
        <f>IFERROR(IF(ISNUMBER('Procyfloc 1009'!A344),'Procyfloc 1009'!A344,DATEVALUE('Procyfloc 1009'!A344)),"")</f>
        <v/>
      </c>
      <c r="AC2843" t="str">
        <f>IF(AA2843="","",'Procyfloc 1009'!B344)</f>
        <v/>
      </c>
      <c r="AD2843" t="str">
        <f>IF(AA2843="","",IFERROR(1*'Procyfloc 1009'!C344,IFERROR(_xludf.NUMBERVALUE('Procyfloc 1009'!C344,".",","),IFERROR(_xludf.NUMBERVALUE('Procyfloc 1009'!C344,",","."),0))))</f>
        <v/>
      </c>
      <c r="AE2843" t="str">
        <f>IF(AA2843="","",'Procyfloc 1009'!L344)</f>
        <v/>
      </c>
      <c r="AF2843">
        <f t="shared" si="281"/>
        <v>0</v>
      </c>
      <c r="AG2843" t="str">
        <f t="shared" si="282"/>
        <v/>
      </c>
      <c r="AH2843" t="str">
        <f t="shared" si="283"/>
        <v/>
      </c>
      <c r="AI2843">
        <f t="shared" si="284"/>
        <v>0</v>
      </c>
      <c r="AJ2843">
        <f t="shared" si="285"/>
        <v>0</v>
      </c>
      <c r="AK2843">
        <v>0</v>
      </c>
      <c r="AL2843" t="str">
        <f>IF(AA2843="","",IFERROR(IF(ISNUMBER('Procyfloc 1009'!D344),'Procyfloc 1009'!D344,IF(ISNUMBER(SEARCH("12",'Procyfloc 1009'!D344)),EDATE(AB2843,12),IF(ISNUMBER(SEARCH("6",'Procyfloc 1009'!D344)),EDATE(AB2843,6),IF(ISNUMBER(SEARCH("3",'Procyfloc 1009'!D344)),EDATE(AB2843,3),DATEVALUE('Procyfloc 1009'!D344))))),""))</f>
        <v/>
      </c>
      <c r="AM2843" t="str">
        <f t="shared" ca="1" si="286"/>
        <v/>
      </c>
    </row>
    <row r="2844" spans="27:39" x14ac:dyDescent="0.3">
      <c r="AA2844" t="str">
        <f>IF(COUNTA('Procyfloc 1009'!A345,'Procyfloc 1009'!B345,'Procyfloc 1009'!C345)&gt;0,"1009","")</f>
        <v/>
      </c>
      <c r="AB2844" t="str">
        <f>IFERROR(IF(ISNUMBER('Procyfloc 1009'!A345),'Procyfloc 1009'!A345,DATEVALUE('Procyfloc 1009'!A345)),"")</f>
        <v/>
      </c>
      <c r="AC2844" t="str">
        <f>IF(AA2844="","",'Procyfloc 1009'!B345)</f>
        <v/>
      </c>
      <c r="AD2844" t="str">
        <f>IF(AA2844="","",IFERROR(1*'Procyfloc 1009'!C345,IFERROR(_xludf.NUMBERVALUE('Procyfloc 1009'!C345,".",","),IFERROR(_xludf.NUMBERVALUE('Procyfloc 1009'!C345,",","."),0))))</f>
        <v/>
      </c>
      <c r="AE2844" t="str">
        <f>IF(AA2844="","",'Procyfloc 1009'!L345)</f>
        <v/>
      </c>
      <c r="AF2844">
        <f t="shared" si="281"/>
        <v>0</v>
      </c>
      <c r="AG2844" t="str">
        <f t="shared" si="282"/>
        <v/>
      </c>
      <c r="AH2844" t="str">
        <f t="shared" si="283"/>
        <v/>
      </c>
      <c r="AI2844">
        <f t="shared" si="284"/>
        <v>0</v>
      </c>
      <c r="AJ2844">
        <f t="shared" si="285"/>
        <v>0</v>
      </c>
      <c r="AK2844">
        <v>0</v>
      </c>
      <c r="AL2844" t="str">
        <f>IF(AA2844="","",IFERROR(IF(ISNUMBER('Procyfloc 1009'!D345),'Procyfloc 1009'!D345,IF(ISNUMBER(SEARCH("12",'Procyfloc 1009'!D345)),EDATE(AB2844,12),IF(ISNUMBER(SEARCH("6",'Procyfloc 1009'!D345)),EDATE(AB2844,6),IF(ISNUMBER(SEARCH("3",'Procyfloc 1009'!D345)),EDATE(AB2844,3),DATEVALUE('Procyfloc 1009'!D345))))),""))</f>
        <v/>
      </c>
      <c r="AM2844" t="str">
        <f t="shared" ca="1" si="286"/>
        <v/>
      </c>
    </row>
    <row r="2845" spans="27:39" x14ac:dyDescent="0.3">
      <c r="AA2845" t="str">
        <f>IF(COUNTA('Procyfloc 1009'!A346,'Procyfloc 1009'!B346,'Procyfloc 1009'!C346)&gt;0,"1009","")</f>
        <v/>
      </c>
      <c r="AB2845" t="str">
        <f>IFERROR(IF(ISNUMBER('Procyfloc 1009'!A346),'Procyfloc 1009'!A346,DATEVALUE('Procyfloc 1009'!A346)),"")</f>
        <v/>
      </c>
      <c r="AC2845" t="str">
        <f>IF(AA2845="","",'Procyfloc 1009'!B346)</f>
        <v/>
      </c>
      <c r="AD2845" t="str">
        <f>IF(AA2845="","",IFERROR(1*'Procyfloc 1009'!C346,IFERROR(_xludf.NUMBERVALUE('Procyfloc 1009'!C346,".",","),IFERROR(_xludf.NUMBERVALUE('Procyfloc 1009'!C346,",","."),0))))</f>
        <v/>
      </c>
      <c r="AE2845" t="str">
        <f>IF(AA2845="","",'Procyfloc 1009'!L346)</f>
        <v/>
      </c>
      <c r="AF2845">
        <f t="shared" si="281"/>
        <v>0</v>
      </c>
      <c r="AG2845" t="str">
        <f t="shared" si="282"/>
        <v/>
      </c>
      <c r="AH2845" t="str">
        <f t="shared" si="283"/>
        <v/>
      </c>
      <c r="AI2845">
        <f t="shared" si="284"/>
        <v>0</v>
      </c>
      <c r="AJ2845">
        <f t="shared" si="285"/>
        <v>0</v>
      </c>
      <c r="AK2845">
        <v>0</v>
      </c>
      <c r="AL2845" t="str">
        <f>IF(AA2845="","",IFERROR(IF(ISNUMBER('Procyfloc 1009'!D346),'Procyfloc 1009'!D346,IF(ISNUMBER(SEARCH("12",'Procyfloc 1009'!D346)),EDATE(AB2845,12),IF(ISNUMBER(SEARCH("6",'Procyfloc 1009'!D346)),EDATE(AB2845,6),IF(ISNUMBER(SEARCH("3",'Procyfloc 1009'!D346)),EDATE(AB2845,3),DATEVALUE('Procyfloc 1009'!D346))))),""))</f>
        <v/>
      </c>
      <c r="AM2845" t="str">
        <f t="shared" ca="1" si="286"/>
        <v/>
      </c>
    </row>
    <row r="2846" spans="27:39" x14ac:dyDescent="0.3">
      <c r="AA2846" t="str">
        <f>IF(COUNTA('Procyfloc 1009'!A347,'Procyfloc 1009'!B347,'Procyfloc 1009'!C347)&gt;0,"1009","")</f>
        <v/>
      </c>
      <c r="AB2846" t="str">
        <f>IFERROR(IF(ISNUMBER('Procyfloc 1009'!A347),'Procyfloc 1009'!A347,DATEVALUE('Procyfloc 1009'!A347)),"")</f>
        <v/>
      </c>
      <c r="AC2846" t="str">
        <f>IF(AA2846="","",'Procyfloc 1009'!B347)</f>
        <v/>
      </c>
      <c r="AD2846" t="str">
        <f>IF(AA2846="","",IFERROR(1*'Procyfloc 1009'!C347,IFERROR(_xludf.NUMBERVALUE('Procyfloc 1009'!C347,".",","),IFERROR(_xludf.NUMBERVALUE('Procyfloc 1009'!C347,",","."),0))))</f>
        <v/>
      </c>
      <c r="AE2846" t="str">
        <f>IF(AA2846="","",'Procyfloc 1009'!L347)</f>
        <v/>
      </c>
      <c r="AF2846">
        <f t="shared" si="281"/>
        <v>0</v>
      </c>
      <c r="AG2846" t="str">
        <f t="shared" si="282"/>
        <v/>
      </c>
      <c r="AH2846" t="str">
        <f t="shared" si="283"/>
        <v/>
      </c>
      <c r="AI2846">
        <f t="shared" si="284"/>
        <v>0</v>
      </c>
      <c r="AJ2846">
        <f t="shared" si="285"/>
        <v>0</v>
      </c>
      <c r="AK2846">
        <v>0</v>
      </c>
      <c r="AL2846" t="str">
        <f>IF(AA2846="","",IFERROR(IF(ISNUMBER('Procyfloc 1009'!D347),'Procyfloc 1009'!D347,IF(ISNUMBER(SEARCH("12",'Procyfloc 1009'!D347)),EDATE(AB2846,12),IF(ISNUMBER(SEARCH("6",'Procyfloc 1009'!D347)),EDATE(AB2846,6),IF(ISNUMBER(SEARCH("3",'Procyfloc 1009'!D347)),EDATE(AB2846,3),DATEVALUE('Procyfloc 1009'!D347))))),""))</f>
        <v/>
      </c>
      <c r="AM2846" t="str">
        <f t="shared" ca="1" si="286"/>
        <v/>
      </c>
    </row>
    <row r="2847" spans="27:39" x14ac:dyDescent="0.3">
      <c r="AA2847" t="str">
        <f>IF(COUNTA('Procyfloc 1009'!A348,'Procyfloc 1009'!B348,'Procyfloc 1009'!C348)&gt;0,"1009","")</f>
        <v/>
      </c>
      <c r="AB2847" t="str">
        <f>IFERROR(IF(ISNUMBER('Procyfloc 1009'!A348),'Procyfloc 1009'!A348,DATEVALUE('Procyfloc 1009'!A348)),"")</f>
        <v/>
      </c>
      <c r="AC2847" t="str">
        <f>IF(AA2847="","",'Procyfloc 1009'!B348)</f>
        <v/>
      </c>
      <c r="AD2847" t="str">
        <f>IF(AA2847="","",IFERROR(1*'Procyfloc 1009'!C348,IFERROR(_xludf.NUMBERVALUE('Procyfloc 1009'!C348,".",","),IFERROR(_xludf.NUMBERVALUE('Procyfloc 1009'!C348,",","."),0))))</f>
        <v/>
      </c>
      <c r="AE2847" t="str">
        <f>IF(AA2847="","",'Procyfloc 1009'!L348)</f>
        <v/>
      </c>
      <c r="AF2847">
        <f t="shared" si="281"/>
        <v>0</v>
      </c>
      <c r="AG2847" t="str">
        <f t="shared" si="282"/>
        <v/>
      </c>
      <c r="AH2847" t="str">
        <f t="shared" si="283"/>
        <v/>
      </c>
      <c r="AI2847">
        <f t="shared" si="284"/>
        <v>0</v>
      </c>
      <c r="AJ2847">
        <f t="shared" si="285"/>
        <v>0</v>
      </c>
      <c r="AK2847">
        <v>0</v>
      </c>
      <c r="AL2847" t="str">
        <f>IF(AA2847="","",IFERROR(IF(ISNUMBER('Procyfloc 1009'!D348),'Procyfloc 1009'!D348,IF(ISNUMBER(SEARCH("12",'Procyfloc 1009'!D348)),EDATE(AB2847,12),IF(ISNUMBER(SEARCH("6",'Procyfloc 1009'!D348)),EDATE(AB2847,6),IF(ISNUMBER(SEARCH("3",'Procyfloc 1009'!D348)),EDATE(AB2847,3),DATEVALUE('Procyfloc 1009'!D348))))),""))</f>
        <v/>
      </c>
      <c r="AM2847" t="str">
        <f t="shared" ca="1" si="286"/>
        <v/>
      </c>
    </row>
    <row r="2848" spans="27:39" x14ac:dyDescent="0.3">
      <c r="AA2848" t="str">
        <f>IF(COUNTA('Procyfloc 1009'!A349,'Procyfloc 1009'!B349,'Procyfloc 1009'!C349)&gt;0,"1009","")</f>
        <v/>
      </c>
      <c r="AB2848" t="str">
        <f>IFERROR(IF(ISNUMBER('Procyfloc 1009'!A349),'Procyfloc 1009'!A349,DATEVALUE('Procyfloc 1009'!A349)),"")</f>
        <v/>
      </c>
      <c r="AC2848" t="str">
        <f>IF(AA2848="","",'Procyfloc 1009'!B349)</f>
        <v/>
      </c>
      <c r="AD2848" t="str">
        <f>IF(AA2848="","",IFERROR(1*'Procyfloc 1009'!C349,IFERROR(_xludf.NUMBERVALUE('Procyfloc 1009'!C349,".",","),IFERROR(_xludf.NUMBERVALUE('Procyfloc 1009'!C349,",","."),0))))</f>
        <v/>
      </c>
      <c r="AE2848" t="str">
        <f>IF(AA2848="","",'Procyfloc 1009'!L349)</f>
        <v/>
      </c>
      <c r="AF2848">
        <f t="shared" si="281"/>
        <v>0</v>
      </c>
      <c r="AG2848" t="str">
        <f t="shared" si="282"/>
        <v/>
      </c>
      <c r="AH2848" t="str">
        <f t="shared" si="283"/>
        <v/>
      </c>
      <c r="AI2848">
        <f t="shared" si="284"/>
        <v>0</v>
      </c>
      <c r="AJ2848">
        <f t="shared" si="285"/>
        <v>0</v>
      </c>
      <c r="AK2848">
        <v>0</v>
      </c>
      <c r="AL2848" t="str">
        <f>IF(AA2848="","",IFERROR(IF(ISNUMBER('Procyfloc 1009'!D349),'Procyfloc 1009'!D349,IF(ISNUMBER(SEARCH("12",'Procyfloc 1009'!D349)),EDATE(AB2848,12),IF(ISNUMBER(SEARCH("6",'Procyfloc 1009'!D349)),EDATE(AB2848,6),IF(ISNUMBER(SEARCH("3",'Procyfloc 1009'!D349)),EDATE(AB2848,3),DATEVALUE('Procyfloc 1009'!D349))))),""))</f>
        <v/>
      </c>
      <c r="AM2848" t="str">
        <f t="shared" ca="1" si="286"/>
        <v/>
      </c>
    </row>
    <row r="2849" spans="27:39" x14ac:dyDescent="0.3">
      <c r="AA2849" t="str">
        <f>IF(COUNTA('Procyfloc 1009'!A350,'Procyfloc 1009'!B350,'Procyfloc 1009'!C350)&gt;0,"1009","")</f>
        <v/>
      </c>
      <c r="AB2849" t="str">
        <f>IFERROR(IF(ISNUMBER('Procyfloc 1009'!A350),'Procyfloc 1009'!A350,DATEVALUE('Procyfloc 1009'!A350)),"")</f>
        <v/>
      </c>
      <c r="AC2849" t="str">
        <f>IF(AA2849="","",'Procyfloc 1009'!B350)</f>
        <v/>
      </c>
      <c r="AD2849" t="str">
        <f>IF(AA2849="","",IFERROR(1*'Procyfloc 1009'!C350,IFERROR(_xludf.NUMBERVALUE('Procyfloc 1009'!C350,".",","),IFERROR(_xludf.NUMBERVALUE('Procyfloc 1009'!C350,",","."),0))))</f>
        <v/>
      </c>
      <c r="AE2849" t="str">
        <f>IF(AA2849="","",'Procyfloc 1009'!L350)</f>
        <v/>
      </c>
      <c r="AF2849">
        <f t="shared" si="281"/>
        <v>0</v>
      </c>
      <c r="AG2849" t="str">
        <f t="shared" si="282"/>
        <v/>
      </c>
      <c r="AH2849" t="str">
        <f t="shared" si="283"/>
        <v/>
      </c>
      <c r="AI2849">
        <f t="shared" si="284"/>
        <v>0</v>
      </c>
      <c r="AJ2849">
        <f t="shared" si="285"/>
        <v>0</v>
      </c>
      <c r="AK2849">
        <v>0</v>
      </c>
      <c r="AL2849" t="str">
        <f>IF(AA2849="","",IFERROR(IF(ISNUMBER('Procyfloc 1009'!D350),'Procyfloc 1009'!D350,IF(ISNUMBER(SEARCH("12",'Procyfloc 1009'!D350)),EDATE(AB2849,12),IF(ISNUMBER(SEARCH("6",'Procyfloc 1009'!D350)),EDATE(AB2849,6),IF(ISNUMBER(SEARCH("3",'Procyfloc 1009'!D350)),EDATE(AB2849,3),DATEVALUE('Procyfloc 1009'!D350))))),""))</f>
        <v/>
      </c>
      <c r="AM2849" t="str">
        <f t="shared" ca="1" si="286"/>
        <v/>
      </c>
    </row>
    <row r="2850" spans="27:39" x14ac:dyDescent="0.3">
      <c r="AA2850" t="str">
        <f>IF(COUNTA('Procyfloc 1009'!A351,'Procyfloc 1009'!B351,'Procyfloc 1009'!C351)&gt;0,"1009","")</f>
        <v/>
      </c>
      <c r="AB2850" t="str">
        <f>IFERROR(IF(ISNUMBER('Procyfloc 1009'!A351),'Procyfloc 1009'!A351,DATEVALUE('Procyfloc 1009'!A351)),"")</f>
        <v/>
      </c>
      <c r="AC2850" t="str">
        <f>IF(AA2850="","",'Procyfloc 1009'!B351)</f>
        <v/>
      </c>
      <c r="AD2850" t="str">
        <f>IF(AA2850="","",IFERROR(1*'Procyfloc 1009'!C351,IFERROR(_xludf.NUMBERVALUE('Procyfloc 1009'!C351,".",","),IFERROR(_xludf.NUMBERVALUE('Procyfloc 1009'!C351,",","."),0))))</f>
        <v/>
      </c>
      <c r="AE2850" t="str">
        <f>IF(AA2850="","",'Procyfloc 1009'!L351)</f>
        <v/>
      </c>
      <c r="AF2850">
        <f t="shared" si="281"/>
        <v>0</v>
      </c>
      <c r="AG2850" t="str">
        <f t="shared" si="282"/>
        <v/>
      </c>
      <c r="AH2850" t="str">
        <f t="shared" si="283"/>
        <v/>
      </c>
      <c r="AI2850">
        <f t="shared" si="284"/>
        <v>0</v>
      </c>
      <c r="AJ2850">
        <f t="shared" si="285"/>
        <v>0</v>
      </c>
      <c r="AK2850">
        <v>0</v>
      </c>
      <c r="AL2850" t="str">
        <f>IF(AA2850="","",IFERROR(IF(ISNUMBER('Procyfloc 1009'!D351),'Procyfloc 1009'!D351,IF(ISNUMBER(SEARCH("12",'Procyfloc 1009'!D351)),EDATE(AB2850,12),IF(ISNUMBER(SEARCH("6",'Procyfloc 1009'!D351)),EDATE(AB2850,6),IF(ISNUMBER(SEARCH("3",'Procyfloc 1009'!D351)),EDATE(AB2850,3),DATEVALUE('Procyfloc 1009'!D351))))),""))</f>
        <v/>
      </c>
      <c r="AM2850" t="str">
        <f t="shared" ca="1" si="286"/>
        <v/>
      </c>
    </row>
    <row r="2851" spans="27:39" x14ac:dyDescent="0.3">
      <c r="AA2851" t="str">
        <f>IF(COUNTA('Procyfloc 1009'!A352,'Procyfloc 1009'!B352,'Procyfloc 1009'!C352)&gt;0,"1009","")</f>
        <v/>
      </c>
      <c r="AB2851" t="str">
        <f>IFERROR(IF(ISNUMBER('Procyfloc 1009'!A352),'Procyfloc 1009'!A352,DATEVALUE('Procyfloc 1009'!A352)),"")</f>
        <v/>
      </c>
      <c r="AC2851" t="str">
        <f>IF(AA2851="","",'Procyfloc 1009'!B352)</f>
        <v/>
      </c>
      <c r="AD2851" t="str">
        <f>IF(AA2851="","",IFERROR(1*'Procyfloc 1009'!C352,IFERROR(_xludf.NUMBERVALUE('Procyfloc 1009'!C352,".",","),IFERROR(_xludf.NUMBERVALUE('Procyfloc 1009'!C352,",","."),0))))</f>
        <v/>
      </c>
      <c r="AE2851" t="str">
        <f>IF(AA2851="","",'Procyfloc 1009'!L352)</f>
        <v/>
      </c>
      <c r="AF2851">
        <f t="shared" si="281"/>
        <v>0</v>
      </c>
      <c r="AG2851" t="str">
        <f t="shared" si="282"/>
        <v/>
      </c>
      <c r="AH2851" t="str">
        <f t="shared" si="283"/>
        <v/>
      </c>
      <c r="AI2851">
        <f t="shared" si="284"/>
        <v>0</v>
      </c>
      <c r="AJ2851">
        <f t="shared" si="285"/>
        <v>0</v>
      </c>
      <c r="AK2851">
        <v>0</v>
      </c>
      <c r="AL2851" t="str">
        <f>IF(AA2851="","",IFERROR(IF(ISNUMBER('Procyfloc 1009'!D352),'Procyfloc 1009'!D352,IF(ISNUMBER(SEARCH("12",'Procyfloc 1009'!D352)),EDATE(AB2851,12),IF(ISNUMBER(SEARCH("6",'Procyfloc 1009'!D352)),EDATE(AB2851,6),IF(ISNUMBER(SEARCH("3",'Procyfloc 1009'!D352)),EDATE(AB2851,3),DATEVALUE('Procyfloc 1009'!D352))))),""))</f>
        <v/>
      </c>
      <c r="AM2851" t="str">
        <f t="shared" ca="1" si="286"/>
        <v/>
      </c>
    </row>
    <row r="2852" spans="27:39" x14ac:dyDescent="0.3">
      <c r="AA2852" t="str">
        <f>IF(COUNTA('Procyfloc 1009'!A353,'Procyfloc 1009'!B353,'Procyfloc 1009'!C353)&gt;0,"1009","")</f>
        <v/>
      </c>
      <c r="AB2852" t="str">
        <f>IFERROR(IF(ISNUMBER('Procyfloc 1009'!A353),'Procyfloc 1009'!A353,DATEVALUE('Procyfloc 1009'!A353)),"")</f>
        <v/>
      </c>
      <c r="AC2852" t="str">
        <f>IF(AA2852="","",'Procyfloc 1009'!B353)</f>
        <v/>
      </c>
      <c r="AD2852" t="str">
        <f>IF(AA2852="","",IFERROR(1*'Procyfloc 1009'!C353,IFERROR(_xludf.NUMBERVALUE('Procyfloc 1009'!C353,".",","),IFERROR(_xludf.NUMBERVALUE('Procyfloc 1009'!C353,",","."),0))))</f>
        <v/>
      </c>
      <c r="AE2852" t="str">
        <f>IF(AA2852="","",'Procyfloc 1009'!L353)</f>
        <v/>
      </c>
      <c r="AF2852">
        <f t="shared" si="281"/>
        <v>0</v>
      </c>
      <c r="AG2852" t="str">
        <f t="shared" si="282"/>
        <v/>
      </c>
      <c r="AH2852" t="str">
        <f t="shared" si="283"/>
        <v/>
      </c>
      <c r="AI2852">
        <f t="shared" si="284"/>
        <v>0</v>
      </c>
      <c r="AJ2852">
        <f t="shared" si="285"/>
        <v>0</v>
      </c>
      <c r="AK2852">
        <v>0</v>
      </c>
      <c r="AL2852" t="str">
        <f>IF(AA2852="","",IFERROR(IF(ISNUMBER('Procyfloc 1009'!D353),'Procyfloc 1009'!D353,IF(ISNUMBER(SEARCH("12",'Procyfloc 1009'!D353)),EDATE(AB2852,12),IF(ISNUMBER(SEARCH("6",'Procyfloc 1009'!D353)),EDATE(AB2852,6),IF(ISNUMBER(SEARCH("3",'Procyfloc 1009'!D353)),EDATE(AB2852,3),DATEVALUE('Procyfloc 1009'!D353))))),""))</f>
        <v/>
      </c>
      <c r="AM2852" t="str">
        <f t="shared" ca="1" si="286"/>
        <v/>
      </c>
    </row>
    <row r="2853" spans="27:39" x14ac:dyDescent="0.3">
      <c r="AA2853" t="str">
        <f>IF(COUNTA('Procyfloc 1009'!A354,'Procyfloc 1009'!B354,'Procyfloc 1009'!C354)&gt;0,"1009","")</f>
        <v/>
      </c>
      <c r="AB2853" t="str">
        <f>IFERROR(IF(ISNUMBER('Procyfloc 1009'!A354),'Procyfloc 1009'!A354,DATEVALUE('Procyfloc 1009'!A354)),"")</f>
        <v/>
      </c>
      <c r="AC2853" t="str">
        <f>IF(AA2853="","",'Procyfloc 1009'!B354)</f>
        <v/>
      </c>
      <c r="AD2853" t="str">
        <f>IF(AA2853="","",IFERROR(1*'Procyfloc 1009'!C354,IFERROR(_xludf.NUMBERVALUE('Procyfloc 1009'!C354,".",","),IFERROR(_xludf.NUMBERVALUE('Procyfloc 1009'!C354,",","."),0))))</f>
        <v/>
      </c>
      <c r="AE2853" t="str">
        <f>IF(AA2853="","",'Procyfloc 1009'!L354)</f>
        <v/>
      </c>
      <c r="AF2853">
        <f t="shared" si="281"/>
        <v>0</v>
      </c>
      <c r="AG2853" t="str">
        <f t="shared" si="282"/>
        <v/>
      </c>
      <c r="AH2853" t="str">
        <f t="shared" si="283"/>
        <v/>
      </c>
      <c r="AI2853">
        <f t="shared" si="284"/>
        <v>0</v>
      </c>
      <c r="AJ2853">
        <f t="shared" si="285"/>
        <v>0</v>
      </c>
      <c r="AK2853">
        <v>0</v>
      </c>
      <c r="AL2853" t="str">
        <f>IF(AA2853="","",IFERROR(IF(ISNUMBER('Procyfloc 1009'!D354),'Procyfloc 1009'!D354,IF(ISNUMBER(SEARCH("12",'Procyfloc 1009'!D354)),EDATE(AB2853,12),IF(ISNUMBER(SEARCH("6",'Procyfloc 1009'!D354)),EDATE(AB2853,6),IF(ISNUMBER(SEARCH("3",'Procyfloc 1009'!D354)),EDATE(AB2853,3),DATEVALUE('Procyfloc 1009'!D354))))),""))</f>
        <v/>
      </c>
      <c r="AM2853" t="str">
        <f t="shared" ca="1" si="286"/>
        <v/>
      </c>
    </row>
    <row r="2854" spans="27:39" x14ac:dyDescent="0.3">
      <c r="AA2854" t="str">
        <f>IF(COUNTA('Procyfloc 1009'!A355,'Procyfloc 1009'!B355,'Procyfloc 1009'!C355)&gt;0,"1009","")</f>
        <v/>
      </c>
      <c r="AB2854" t="str">
        <f>IFERROR(IF(ISNUMBER('Procyfloc 1009'!A355),'Procyfloc 1009'!A355,DATEVALUE('Procyfloc 1009'!A355)),"")</f>
        <v/>
      </c>
      <c r="AC2854" t="str">
        <f>IF(AA2854="","",'Procyfloc 1009'!B355)</f>
        <v/>
      </c>
      <c r="AD2854" t="str">
        <f>IF(AA2854="","",IFERROR(1*'Procyfloc 1009'!C355,IFERROR(_xludf.NUMBERVALUE('Procyfloc 1009'!C355,".",","),IFERROR(_xludf.NUMBERVALUE('Procyfloc 1009'!C355,",","."),0))))</f>
        <v/>
      </c>
      <c r="AE2854" t="str">
        <f>IF(AA2854="","",'Procyfloc 1009'!L355)</f>
        <v/>
      </c>
      <c r="AF2854">
        <f t="shared" si="281"/>
        <v>0</v>
      </c>
      <c r="AG2854" t="str">
        <f t="shared" si="282"/>
        <v/>
      </c>
      <c r="AH2854" t="str">
        <f t="shared" si="283"/>
        <v/>
      </c>
      <c r="AI2854">
        <f t="shared" si="284"/>
        <v>0</v>
      </c>
      <c r="AJ2854">
        <f t="shared" si="285"/>
        <v>0</v>
      </c>
      <c r="AK2854">
        <v>0</v>
      </c>
      <c r="AL2854" t="str">
        <f>IF(AA2854="","",IFERROR(IF(ISNUMBER('Procyfloc 1009'!D355),'Procyfloc 1009'!D355,IF(ISNUMBER(SEARCH("12",'Procyfloc 1009'!D355)),EDATE(AB2854,12),IF(ISNUMBER(SEARCH("6",'Procyfloc 1009'!D355)),EDATE(AB2854,6),IF(ISNUMBER(SEARCH("3",'Procyfloc 1009'!D355)),EDATE(AB2854,3),DATEVALUE('Procyfloc 1009'!D355))))),""))</f>
        <v/>
      </c>
      <c r="AM2854" t="str">
        <f t="shared" ca="1" si="286"/>
        <v/>
      </c>
    </row>
    <row r="2855" spans="27:39" x14ac:dyDescent="0.3">
      <c r="AA2855" t="str">
        <f>IF(COUNTA('Procyfloc 1009'!A356,'Procyfloc 1009'!B356,'Procyfloc 1009'!C356)&gt;0,"1009","")</f>
        <v/>
      </c>
      <c r="AB2855" t="str">
        <f>IFERROR(IF(ISNUMBER('Procyfloc 1009'!A356),'Procyfloc 1009'!A356,DATEVALUE('Procyfloc 1009'!A356)),"")</f>
        <v/>
      </c>
      <c r="AC2855" t="str">
        <f>IF(AA2855="","",'Procyfloc 1009'!B356)</f>
        <v/>
      </c>
      <c r="AD2855" t="str">
        <f>IF(AA2855="","",IFERROR(1*'Procyfloc 1009'!C356,IFERROR(_xludf.NUMBERVALUE('Procyfloc 1009'!C356,".",","),IFERROR(_xludf.NUMBERVALUE('Procyfloc 1009'!C356,",","."),0))))</f>
        <v/>
      </c>
      <c r="AE2855" t="str">
        <f>IF(AA2855="","",'Procyfloc 1009'!L356)</f>
        <v/>
      </c>
      <c r="AF2855">
        <f t="shared" si="281"/>
        <v>0</v>
      </c>
      <c r="AG2855" t="str">
        <f t="shared" si="282"/>
        <v/>
      </c>
      <c r="AH2855" t="str">
        <f t="shared" si="283"/>
        <v/>
      </c>
      <c r="AI2855">
        <f t="shared" si="284"/>
        <v>0</v>
      </c>
      <c r="AJ2855">
        <f t="shared" si="285"/>
        <v>0</v>
      </c>
      <c r="AK2855">
        <v>0</v>
      </c>
      <c r="AL2855" t="str">
        <f>IF(AA2855="","",IFERROR(IF(ISNUMBER('Procyfloc 1009'!D356),'Procyfloc 1009'!D356,IF(ISNUMBER(SEARCH("12",'Procyfloc 1009'!D356)),EDATE(AB2855,12),IF(ISNUMBER(SEARCH("6",'Procyfloc 1009'!D356)),EDATE(AB2855,6),IF(ISNUMBER(SEARCH("3",'Procyfloc 1009'!D356)),EDATE(AB2855,3),DATEVALUE('Procyfloc 1009'!D356))))),""))</f>
        <v/>
      </c>
      <c r="AM2855" t="str">
        <f t="shared" ca="1" si="286"/>
        <v/>
      </c>
    </row>
    <row r="2856" spans="27:39" x14ac:dyDescent="0.3">
      <c r="AA2856" t="str">
        <f>IF(COUNTA('Procyfloc 1009'!A357,'Procyfloc 1009'!B357,'Procyfloc 1009'!C357)&gt;0,"1009","")</f>
        <v/>
      </c>
      <c r="AB2856" t="str">
        <f>IFERROR(IF(ISNUMBER('Procyfloc 1009'!A357),'Procyfloc 1009'!A357,DATEVALUE('Procyfloc 1009'!A357)),"")</f>
        <v/>
      </c>
      <c r="AC2856" t="str">
        <f>IF(AA2856="","",'Procyfloc 1009'!B357)</f>
        <v/>
      </c>
      <c r="AD2856" t="str">
        <f>IF(AA2856="","",IFERROR(1*'Procyfloc 1009'!C357,IFERROR(_xludf.NUMBERVALUE('Procyfloc 1009'!C357,".",","),IFERROR(_xludf.NUMBERVALUE('Procyfloc 1009'!C357,",","."),0))))</f>
        <v/>
      </c>
      <c r="AE2856" t="str">
        <f>IF(AA2856="","",'Procyfloc 1009'!L357)</f>
        <v/>
      </c>
      <c r="AF2856">
        <f t="shared" si="281"/>
        <v>0</v>
      </c>
      <c r="AG2856" t="str">
        <f t="shared" si="282"/>
        <v/>
      </c>
      <c r="AH2856" t="str">
        <f t="shared" si="283"/>
        <v/>
      </c>
      <c r="AI2856">
        <f t="shared" si="284"/>
        <v>0</v>
      </c>
      <c r="AJ2856">
        <f t="shared" si="285"/>
        <v>0</v>
      </c>
      <c r="AK2856">
        <v>0</v>
      </c>
      <c r="AL2856" t="str">
        <f>IF(AA2856="","",IFERROR(IF(ISNUMBER('Procyfloc 1009'!D357),'Procyfloc 1009'!D357,IF(ISNUMBER(SEARCH("12",'Procyfloc 1009'!D357)),EDATE(AB2856,12),IF(ISNUMBER(SEARCH("6",'Procyfloc 1009'!D357)),EDATE(AB2856,6),IF(ISNUMBER(SEARCH("3",'Procyfloc 1009'!D357)),EDATE(AB2856,3),DATEVALUE('Procyfloc 1009'!D357))))),""))</f>
        <v/>
      </c>
      <c r="AM2856" t="str">
        <f t="shared" ca="1" si="286"/>
        <v/>
      </c>
    </row>
    <row r="2857" spans="27:39" x14ac:dyDescent="0.3">
      <c r="AA2857" t="str">
        <f>IF(COUNTA('Procyfloc 1009'!A358,'Procyfloc 1009'!B358,'Procyfloc 1009'!C358)&gt;0,"1009","")</f>
        <v/>
      </c>
      <c r="AB2857" t="str">
        <f>IFERROR(IF(ISNUMBER('Procyfloc 1009'!A358),'Procyfloc 1009'!A358,DATEVALUE('Procyfloc 1009'!A358)),"")</f>
        <v/>
      </c>
      <c r="AC2857" t="str">
        <f>IF(AA2857="","",'Procyfloc 1009'!B358)</f>
        <v/>
      </c>
      <c r="AD2857" t="str">
        <f>IF(AA2857="","",IFERROR(1*'Procyfloc 1009'!C358,IFERROR(_xludf.NUMBERVALUE('Procyfloc 1009'!C358,".",","),IFERROR(_xludf.NUMBERVALUE('Procyfloc 1009'!C358,",","."),0))))</f>
        <v/>
      </c>
      <c r="AE2857" t="str">
        <f>IF(AA2857="","",'Procyfloc 1009'!L358)</f>
        <v/>
      </c>
      <c r="AF2857">
        <f t="shared" si="281"/>
        <v>0</v>
      </c>
      <c r="AG2857" t="str">
        <f t="shared" si="282"/>
        <v/>
      </c>
      <c r="AH2857" t="str">
        <f t="shared" si="283"/>
        <v/>
      </c>
      <c r="AI2857">
        <f t="shared" si="284"/>
        <v>0</v>
      </c>
      <c r="AJ2857">
        <f t="shared" si="285"/>
        <v>0</v>
      </c>
      <c r="AK2857">
        <v>0</v>
      </c>
      <c r="AL2857" t="str">
        <f>IF(AA2857="","",IFERROR(IF(ISNUMBER('Procyfloc 1009'!D358),'Procyfloc 1009'!D358,IF(ISNUMBER(SEARCH("12",'Procyfloc 1009'!D358)),EDATE(AB2857,12),IF(ISNUMBER(SEARCH("6",'Procyfloc 1009'!D358)),EDATE(AB2857,6),IF(ISNUMBER(SEARCH("3",'Procyfloc 1009'!D358)),EDATE(AB2857,3),DATEVALUE('Procyfloc 1009'!D358))))),""))</f>
        <v/>
      </c>
      <c r="AM2857" t="str">
        <f t="shared" ca="1" si="286"/>
        <v/>
      </c>
    </row>
    <row r="2858" spans="27:39" x14ac:dyDescent="0.3">
      <c r="AA2858" t="str">
        <f>IF(COUNTA('Procyfloc 1009'!A359,'Procyfloc 1009'!B359,'Procyfloc 1009'!C359)&gt;0,"1009","")</f>
        <v/>
      </c>
      <c r="AB2858" t="str">
        <f>IFERROR(IF(ISNUMBER('Procyfloc 1009'!A359),'Procyfloc 1009'!A359,DATEVALUE('Procyfloc 1009'!A359)),"")</f>
        <v/>
      </c>
      <c r="AC2858" t="str">
        <f>IF(AA2858="","",'Procyfloc 1009'!B359)</f>
        <v/>
      </c>
      <c r="AD2858" t="str">
        <f>IF(AA2858="","",IFERROR(1*'Procyfloc 1009'!C359,IFERROR(_xludf.NUMBERVALUE('Procyfloc 1009'!C359,".",","),IFERROR(_xludf.NUMBERVALUE('Procyfloc 1009'!C359,",","."),0))))</f>
        <v/>
      </c>
      <c r="AE2858" t="str">
        <f>IF(AA2858="","",'Procyfloc 1009'!L359)</f>
        <v/>
      </c>
      <c r="AF2858">
        <f t="shared" si="281"/>
        <v>0</v>
      </c>
      <c r="AG2858" t="str">
        <f t="shared" si="282"/>
        <v/>
      </c>
      <c r="AH2858" t="str">
        <f t="shared" si="283"/>
        <v/>
      </c>
      <c r="AI2858">
        <f t="shared" si="284"/>
        <v>0</v>
      </c>
      <c r="AJ2858">
        <f t="shared" si="285"/>
        <v>0</v>
      </c>
      <c r="AK2858">
        <v>0</v>
      </c>
      <c r="AL2858" t="str">
        <f>IF(AA2858="","",IFERROR(IF(ISNUMBER('Procyfloc 1009'!D359),'Procyfloc 1009'!D359,IF(ISNUMBER(SEARCH("12",'Procyfloc 1009'!D359)),EDATE(AB2858,12),IF(ISNUMBER(SEARCH("6",'Procyfloc 1009'!D359)),EDATE(AB2858,6),IF(ISNUMBER(SEARCH("3",'Procyfloc 1009'!D359)),EDATE(AB2858,3),DATEVALUE('Procyfloc 1009'!D359))))),""))</f>
        <v/>
      </c>
      <c r="AM2858" t="str">
        <f t="shared" ca="1" si="286"/>
        <v/>
      </c>
    </row>
    <row r="2859" spans="27:39" x14ac:dyDescent="0.3">
      <c r="AA2859" t="str">
        <f>IF(COUNTA('Procyfloc 1009'!A360,'Procyfloc 1009'!B360,'Procyfloc 1009'!C360)&gt;0,"1009","")</f>
        <v/>
      </c>
      <c r="AB2859" t="str">
        <f>IFERROR(IF(ISNUMBER('Procyfloc 1009'!A360),'Procyfloc 1009'!A360,DATEVALUE('Procyfloc 1009'!A360)),"")</f>
        <v/>
      </c>
      <c r="AC2859" t="str">
        <f>IF(AA2859="","",'Procyfloc 1009'!B360)</f>
        <v/>
      </c>
      <c r="AD2859" t="str">
        <f>IF(AA2859="","",IFERROR(1*'Procyfloc 1009'!C360,IFERROR(_xludf.NUMBERVALUE('Procyfloc 1009'!C360,".",","),IFERROR(_xludf.NUMBERVALUE('Procyfloc 1009'!C360,",","."),0))))</f>
        <v/>
      </c>
      <c r="AE2859" t="str">
        <f>IF(AA2859="","",'Procyfloc 1009'!L360)</f>
        <v/>
      </c>
      <c r="AF2859">
        <f t="shared" si="281"/>
        <v>0</v>
      </c>
      <c r="AG2859" t="str">
        <f t="shared" si="282"/>
        <v/>
      </c>
      <c r="AH2859" t="str">
        <f t="shared" si="283"/>
        <v/>
      </c>
      <c r="AI2859">
        <f t="shared" si="284"/>
        <v>0</v>
      </c>
      <c r="AJ2859">
        <f t="shared" si="285"/>
        <v>0</v>
      </c>
      <c r="AK2859">
        <v>0</v>
      </c>
      <c r="AL2859" t="str">
        <f>IF(AA2859="","",IFERROR(IF(ISNUMBER('Procyfloc 1009'!D360),'Procyfloc 1009'!D360,IF(ISNUMBER(SEARCH("12",'Procyfloc 1009'!D360)),EDATE(AB2859,12),IF(ISNUMBER(SEARCH("6",'Procyfloc 1009'!D360)),EDATE(AB2859,6),IF(ISNUMBER(SEARCH("3",'Procyfloc 1009'!D360)),EDATE(AB2859,3),DATEVALUE('Procyfloc 1009'!D360))))),""))</f>
        <v/>
      </c>
      <c r="AM2859" t="str">
        <f t="shared" ca="1" si="286"/>
        <v/>
      </c>
    </row>
    <row r="2860" spans="27:39" x14ac:dyDescent="0.3">
      <c r="AA2860" t="str">
        <f>IF(COUNTA('Procyfloc 1009'!A361,'Procyfloc 1009'!B361,'Procyfloc 1009'!C361)&gt;0,"1009","")</f>
        <v/>
      </c>
      <c r="AB2860" t="str">
        <f>IFERROR(IF(ISNUMBER('Procyfloc 1009'!A361),'Procyfloc 1009'!A361,DATEVALUE('Procyfloc 1009'!A361)),"")</f>
        <v/>
      </c>
      <c r="AC2860" t="str">
        <f>IF(AA2860="","",'Procyfloc 1009'!B361)</f>
        <v/>
      </c>
      <c r="AD2860" t="str">
        <f>IF(AA2860="","",IFERROR(1*'Procyfloc 1009'!C361,IFERROR(_xludf.NUMBERVALUE('Procyfloc 1009'!C361,".",","),IFERROR(_xludf.NUMBERVALUE('Procyfloc 1009'!C361,",","."),0))))</f>
        <v/>
      </c>
      <c r="AE2860" t="str">
        <f>IF(AA2860="","",'Procyfloc 1009'!L361)</f>
        <v/>
      </c>
      <c r="AF2860">
        <f t="shared" si="281"/>
        <v>0</v>
      </c>
      <c r="AG2860" t="str">
        <f t="shared" si="282"/>
        <v/>
      </c>
      <c r="AH2860" t="str">
        <f t="shared" si="283"/>
        <v/>
      </c>
      <c r="AI2860">
        <f t="shared" si="284"/>
        <v>0</v>
      </c>
      <c r="AJ2860">
        <f t="shared" si="285"/>
        <v>0</v>
      </c>
      <c r="AK2860">
        <v>0</v>
      </c>
      <c r="AL2860" t="str">
        <f>IF(AA2860="","",IFERROR(IF(ISNUMBER('Procyfloc 1009'!D361),'Procyfloc 1009'!D361,IF(ISNUMBER(SEARCH("12",'Procyfloc 1009'!D361)),EDATE(AB2860,12),IF(ISNUMBER(SEARCH("6",'Procyfloc 1009'!D361)),EDATE(AB2860,6),IF(ISNUMBER(SEARCH("3",'Procyfloc 1009'!D361)),EDATE(AB2860,3),DATEVALUE('Procyfloc 1009'!D361))))),""))</f>
        <v/>
      </c>
      <c r="AM2860" t="str">
        <f t="shared" ca="1" si="286"/>
        <v/>
      </c>
    </row>
    <row r="2861" spans="27:39" x14ac:dyDescent="0.3">
      <c r="AA2861" t="str">
        <f>IF(COUNTA('Procyfloc 1009'!A362,'Procyfloc 1009'!B362,'Procyfloc 1009'!C362)&gt;0,"1009","")</f>
        <v/>
      </c>
      <c r="AB2861" t="str">
        <f>IFERROR(IF(ISNUMBER('Procyfloc 1009'!A362),'Procyfloc 1009'!A362,DATEVALUE('Procyfloc 1009'!A362)),"")</f>
        <v/>
      </c>
      <c r="AC2861" t="str">
        <f>IF(AA2861="","",'Procyfloc 1009'!B362)</f>
        <v/>
      </c>
      <c r="AD2861" t="str">
        <f>IF(AA2861="","",IFERROR(1*'Procyfloc 1009'!C362,IFERROR(_xludf.NUMBERVALUE('Procyfloc 1009'!C362,".",","),IFERROR(_xludf.NUMBERVALUE('Procyfloc 1009'!C362,",","."),0))))</f>
        <v/>
      </c>
      <c r="AE2861" t="str">
        <f>IF(AA2861="","",'Procyfloc 1009'!L362)</f>
        <v/>
      </c>
      <c r="AF2861">
        <f t="shared" si="281"/>
        <v>0</v>
      </c>
      <c r="AG2861" t="str">
        <f t="shared" si="282"/>
        <v/>
      </c>
      <c r="AH2861" t="str">
        <f t="shared" si="283"/>
        <v/>
      </c>
      <c r="AI2861">
        <f t="shared" si="284"/>
        <v>0</v>
      </c>
      <c r="AJ2861">
        <f t="shared" si="285"/>
        <v>0</v>
      </c>
      <c r="AK2861">
        <v>0</v>
      </c>
      <c r="AL2861" t="str">
        <f>IF(AA2861="","",IFERROR(IF(ISNUMBER('Procyfloc 1009'!D362),'Procyfloc 1009'!D362,IF(ISNUMBER(SEARCH("12",'Procyfloc 1009'!D362)),EDATE(AB2861,12),IF(ISNUMBER(SEARCH("6",'Procyfloc 1009'!D362)),EDATE(AB2861,6),IF(ISNUMBER(SEARCH("3",'Procyfloc 1009'!D362)),EDATE(AB2861,3),DATEVALUE('Procyfloc 1009'!D362))))),""))</f>
        <v/>
      </c>
      <c r="AM2861" t="str">
        <f t="shared" ca="1" si="286"/>
        <v/>
      </c>
    </row>
    <row r="2862" spans="27:39" x14ac:dyDescent="0.3">
      <c r="AA2862" t="str">
        <f>IF(COUNTA('Procyfloc 1009'!A363,'Procyfloc 1009'!B363,'Procyfloc 1009'!C363)&gt;0,"1009","")</f>
        <v/>
      </c>
      <c r="AB2862" t="str">
        <f>IFERROR(IF(ISNUMBER('Procyfloc 1009'!A363),'Procyfloc 1009'!A363,DATEVALUE('Procyfloc 1009'!A363)),"")</f>
        <v/>
      </c>
      <c r="AC2862" t="str">
        <f>IF(AA2862="","",'Procyfloc 1009'!B363)</f>
        <v/>
      </c>
      <c r="AD2862" t="str">
        <f>IF(AA2862="","",IFERROR(1*'Procyfloc 1009'!C363,IFERROR(_xludf.NUMBERVALUE('Procyfloc 1009'!C363,".",","),IFERROR(_xludf.NUMBERVALUE('Procyfloc 1009'!C363,",","."),0))))</f>
        <v/>
      </c>
      <c r="AE2862" t="str">
        <f>IF(AA2862="","",'Procyfloc 1009'!L363)</f>
        <v/>
      </c>
      <c r="AF2862">
        <f t="shared" si="281"/>
        <v>0</v>
      </c>
      <c r="AG2862" t="str">
        <f t="shared" si="282"/>
        <v/>
      </c>
      <c r="AH2862" t="str">
        <f t="shared" si="283"/>
        <v/>
      </c>
      <c r="AI2862">
        <f t="shared" si="284"/>
        <v>0</v>
      </c>
      <c r="AJ2862">
        <f t="shared" si="285"/>
        <v>0</v>
      </c>
      <c r="AK2862">
        <v>0</v>
      </c>
      <c r="AL2862" t="str">
        <f>IF(AA2862="","",IFERROR(IF(ISNUMBER('Procyfloc 1009'!D363),'Procyfloc 1009'!D363,IF(ISNUMBER(SEARCH("12",'Procyfloc 1009'!D363)),EDATE(AB2862,12),IF(ISNUMBER(SEARCH("6",'Procyfloc 1009'!D363)),EDATE(AB2862,6),IF(ISNUMBER(SEARCH("3",'Procyfloc 1009'!D363)),EDATE(AB2862,3),DATEVALUE('Procyfloc 1009'!D363))))),""))</f>
        <v/>
      </c>
      <c r="AM2862" t="str">
        <f t="shared" ca="1" si="286"/>
        <v/>
      </c>
    </row>
    <row r="2863" spans="27:39" x14ac:dyDescent="0.3">
      <c r="AA2863" t="str">
        <f>IF(COUNTA('Procyfloc 1009'!A364,'Procyfloc 1009'!B364,'Procyfloc 1009'!C364)&gt;0,"1009","")</f>
        <v/>
      </c>
      <c r="AB2863" t="str">
        <f>IFERROR(IF(ISNUMBER('Procyfloc 1009'!A364),'Procyfloc 1009'!A364,DATEVALUE('Procyfloc 1009'!A364)),"")</f>
        <v/>
      </c>
      <c r="AC2863" t="str">
        <f>IF(AA2863="","",'Procyfloc 1009'!B364)</f>
        <v/>
      </c>
      <c r="AD2863" t="str">
        <f>IF(AA2863="","",IFERROR(1*'Procyfloc 1009'!C364,IFERROR(_xludf.NUMBERVALUE('Procyfloc 1009'!C364,".",","),IFERROR(_xludf.NUMBERVALUE('Procyfloc 1009'!C364,",","."),0))))</f>
        <v/>
      </c>
      <c r="AE2863" t="str">
        <f>IF(AA2863="","",'Procyfloc 1009'!L364)</f>
        <v/>
      </c>
      <c r="AF2863">
        <f t="shared" si="281"/>
        <v>0</v>
      </c>
      <c r="AG2863" t="str">
        <f t="shared" si="282"/>
        <v/>
      </c>
      <c r="AH2863" t="str">
        <f t="shared" si="283"/>
        <v/>
      </c>
      <c r="AI2863">
        <f t="shared" si="284"/>
        <v>0</v>
      </c>
      <c r="AJ2863">
        <f t="shared" si="285"/>
        <v>0</v>
      </c>
      <c r="AK2863">
        <v>0</v>
      </c>
      <c r="AL2863" t="str">
        <f>IF(AA2863="","",IFERROR(IF(ISNUMBER('Procyfloc 1009'!D364),'Procyfloc 1009'!D364,IF(ISNUMBER(SEARCH("12",'Procyfloc 1009'!D364)),EDATE(AB2863,12),IF(ISNUMBER(SEARCH("6",'Procyfloc 1009'!D364)),EDATE(AB2863,6),IF(ISNUMBER(SEARCH("3",'Procyfloc 1009'!D364)),EDATE(AB2863,3),DATEVALUE('Procyfloc 1009'!D364))))),""))</f>
        <v/>
      </c>
      <c r="AM2863" t="str">
        <f t="shared" ca="1" si="286"/>
        <v/>
      </c>
    </row>
    <row r="2864" spans="27:39" x14ac:dyDescent="0.3">
      <c r="AA2864" t="str">
        <f>IF(COUNTA('Procyfloc 1009'!A365,'Procyfloc 1009'!B365,'Procyfloc 1009'!C365)&gt;0,"1009","")</f>
        <v/>
      </c>
      <c r="AB2864" t="str">
        <f>IFERROR(IF(ISNUMBER('Procyfloc 1009'!A365),'Procyfloc 1009'!A365,DATEVALUE('Procyfloc 1009'!A365)),"")</f>
        <v/>
      </c>
      <c r="AC2864" t="str">
        <f>IF(AA2864="","",'Procyfloc 1009'!B365)</f>
        <v/>
      </c>
      <c r="AD2864" t="str">
        <f>IF(AA2864="","",IFERROR(1*'Procyfloc 1009'!C365,IFERROR(_xludf.NUMBERVALUE('Procyfloc 1009'!C365,".",","),IFERROR(_xludf.NUMBERVALUE('Procyfloc 1009'!C365,",","."),0))))</f>
        <v/>
      </c>
      <c r="AE2864" t="str">
        <f>IF(AA2864="","",'Procyfloc 1009'!L365)</f>
        <v/>
      </c>
      <c r="AF2864">
        <f t="shared" si="281"/>
        <v>0</v>
      </c>
      <c r="AG2864" t="str">
        <f t="shared" si="282"/>
        <v/>
      </c>
      <c r="AH2864" t="str">
        <f t="shared" si="283"/>
        <v/>
      </c>
      <c r="AI2864">
        <f t="shared" si="284"/>
        <v>0</v>
      </c>
      <c r="AJ2864">
        <f t="shared" si="285"/>
        <v>0</v>
      </c>
      <c r="AK2864">
        <v>0</v>
      </c>
      <c r="AL2864" t="str">
        <f>IF(AA2864="","",IFERROR(IF(ISNUMBER('Procyfloc 1009'!D365),'Procyfloc 1009'!D365,IF(ISNUMBER(SEARCH("12",'Procyfloc 1009'!D365)),EDATE(AB2864,12),IF(ISNUMBER(SEARCH("6",'Procyfloc 1009'!D365)),EDATE(AB2864,6),IF(ISNUMBER(SEARCH("3",'Procyfloc 1009'!D365)),EDATE(AB2864,3),DATEVALUE('Procyfloc 1009'!D365))))),""))</f>
        <v/>
      </c>
      <c r="AM2864" t="str">
        <f t="shared" ca="1" si="286"/>
        <v/>
      </c>
    </row>
    <row r="2865" spans="27:39" x14ac:dyDescent="0.3">
      <c r="AA2865" t="str">
        <f>IF(COUNTA('Procyfloc 1009'!A366,'Procyfloc 1009'!B366,'Procyfloc 1009'!C366)&gt;0,"1009","")</f>
        <v/>
      </c>
      <c r="AB2865" t="str">
        <f>IFERROR(IF(ISNUMBER('Procyfloc 1009'!A366),'Procyfloc 1009'!A366,DATEVALUE('Procyfloc 1009'!A366)),"")</f>
        <v/>
      </c>
      <c r="AC2865" t="str">
        <f>IF(AA2865="","",'Procyfloc 1009'!B366)</f>
        <v/>
      </c>
      <c r="AD2865" t="str">
        <f>IF(AA2865="","",IFERROR(1*'Procyfloc 1009'!C366,IFERROR(_xludf.NUMBERVALUE('Procyfloc 1009'!C366,".",","),IFERROR(_xludf.NUMBERVALUE('Procyfloc 1009'!C366,",","."),0))))</f>
        <v/>
      </c>
      <c r="AE2865" t="str">
        <f>IF(AA2865="","",'Procyfloc 1009'!L366)</f>
        <v/>
      </c>
      <c r="AF2865">
        <f t="shared" si="281"/>
        <v>0</v>
      </c>
      <c r="AG2865" t="str">
        <f t="shared" si="282"/>
        <v/>
      </c>
      <c r="AH2865" t="str">
        <f t="shared" si="283"/>
        <v/>
      </c>
      <c r="AI2865">
        <f t="shared" si="284"/>
        <v>0</v>
      </c>
      <c r="AJ2865">
        <f t="shared" si="285"/>
        <v>0</v>
      </c>
      <c r="AK2865">
        <v>0</v>
      </c>
      <c r="AL2865" t="str">
        <f>IF(AA2865="","",IFERROR(IF(ISNUMBER('Procyfloc 1009'!D366),'Procyfloc 1009'!D366,IF(ISNUMBER(SEARCH("12",'Procyfloc 1009'!D366)),EDATE(AB2865,12),IF(ISNUMBER(SEARCH("6",'Procyfloc 1009'!D366)),EDATE(AB2865,6),IF(ISNUMBER(SEARCH("3",'Procyfloc 1009'!D366)),EDATE(AB2865,3),DATEVALUE('Procyfloc 1009'!D366))))),""))</f>
        <v/>
      </c>
      <c r="AM2865" t="str">
        <f t="shared" ca="1" si="286"/>
        <v/>
      </c>
    </row>
    <row r="2866" spans="27:39" x14ac:dyDescent="0.3">
      <c r="AA2866" t="str">
        <f>IF(COUNTA('Procyfloc 1009'!A367,'Procyfloc 1009'!B367,'Procyfloc 1009'!C367)&gt;0,"1009","")</f>
        <v/>
      </c>
      <c r="AB2866" t="str">
        <f>IFERROR(IF(ISNUMBER('Procyfloc 1009'!A367),'Procyfloc 1009'!A367,DATEVALUE('Procyfloc 1009'!A367)),"")</f>
        <v/>
      </c>
      <c r="AC2866" t="str">
        <f>IF(AA2866="","",'Procyfloc 1009'!B367)</f>
        <v/>
      </c>
      <c r="AD2866" t="str">
        <f>IF(AA2866="","",IFERROR(1*'Procyfloc 1009'!C367,IFERROR(_xludf.NUMBERVALUE('Procyfloc 1009'!C367,".",","),IFERROR(_xludf.NUMBERVALUE('Procyfloc 1009'!C367,",","."),0))))</f>
        <v/>
      </c>
      <c r="AE2866" t="str">
        <f>IF(AA2866="","",'Procyfloc 1009'!L367)</f>
        <v/>
      </c>
      <c r="AF2866">
        <f t="shared" si="281"/>
        <v>0</v>
      </c>
      <c r="AG2866" t="str">
        <f t="shared" si="282"/>
        <v/>
      </c>
      <c r="AH2866" t="str">
        <f t="shared" si="283"/>
        <v/>
      </c>
      <c r="AI2866">
        <f t="shared" si="284"/>
        <v>0</v>
      </c>
      <c r="AJ2866">
        <f t="shared" si="285"/>
        <v>0</v>
      </c>
      <c r="AK2866">
        <v>0</v>
      </c>
      <c r="AL2866" t="str">
        <f>IF(AA2866="","",IFERROR(IF(ISNUMBER('Procyfloc 1009'!D367),'Procyfloc 1009'!D367,IF(ISNUMBER(SEARCH("12",'Procyfloc 1009'!D367)),EDATE(AB2866,12),IF(ISNUMBER(SEARCH("6",'Procyfloc 1009'!D367)),EDATE(AB2866,6),IF(ISNUMBER(SEARCH("3",'Procyfloc 1009'!D367)),EDATE(AB2866,3),DATEVALUE('Procyfloc 1009'!D367))))),""))</f>
        <v/>
      </c>
      <c r="AM2866" t="str">
        <f t="shared" ca="1" si="286"/>
        <v/>
      </c>
    </row>
    <row r="2867" spans="27:39" x14ac:dyDescent="0.3">
      <c r="AA2867" t="str">
        <f>IF(COUNTA('Procyfloc 1009'!A368,'Procyfloc 1009'!B368,'Procyfloc 1009'!C368)&gt;0,"1009","")</f>
        <v/>
      </c>
      <c r="AB2867" t="str">
        <f>IFERROR(IF(ISNUMBER('Procyfloc 1009'!A368),'Procyfloc 1009'!A368,DATEVALUE('Procyfloc 1009'!A368)),"")</f>
        <v/>
      </c>
      <c r="AC2867" t="str">
        <f>IF(AA2867="","",'Procyfloc 1009'!B368)</f>
        <v/>
      </c>
      <c r="AD2867" t="str">
        <f>IF(AA2867="","",IFERROR(1*'Procyfloc 1009'!C368,IFERROR(_xludf.NUMBERVALUE('Procyfloc 1009'!C368,".",","),IFERROR(_xludf.NUMBERVALUE('Procyfloc 1009'!C368,",","."),0))))</f>
        <v/>
      </c>
      <c r="AE2867" t="str">
        <f>IF(AA2867="","",'Procyfloc 1009'!L368)</f>
        <v/>
      </c>
      <c r="AF2867">
        <f t="shared" si="281"/>
        <v>0</v>
      </c>
      <c r="AG2867" t="str">
        <f t="shared" si="282"/>
        <v/>
      </c>
      <c r="AH2867" t="str">
        <f t="shared" si="283"/>
        <v/>
      </c>
      <c r="AI2867">
        <f t="shared" si="284"/>
        <v>0</v>
      </c>
      <c r="AJ2867">
        <f t="shared" si="285"/>
        <v>0</v>
      </c>
      <c r="AK2867">
        <v>0</v>
      </c>
      <c r="AL2867" t="str">
        <f>IF(AA2867="","",IFERROR(IF(ISNUMBER('Procyfloc 1009'!D368),'Procyfloc 1009'!D368,IF(ISNUMBER(SEARCH("12",'Procyfloc 1009'!D368)),EDATE(AB2867,12),IF(ISNUMBER(SEARCH("6",'Procyfloc 1009'!D368)),EDATE(AB2867,6),IF(ISNUMBER(SEARCH("3",'Procyfloc 1009'!D368)),EDATE(AB2867,3),DATEVALUE('Procyfloc 1009'!D368))))),""))</f>
        <v/>
      </c>
      <c r="AM2867" t="str">
        <f t="shared" ca="1" si="286"/>
        <v/>
      </c>
    </row>
    <row r="2868" spans="27:39" x14ac:dyDescent="0.3">
      <c r="AA2868" t="str">
        <f>IF(COUNTA('Procyfloc 1009'!A369,'Procyfloc 1009'!B369,'Procyfloc 1009'!C369)&gt;0,"1009","")</f>
        <v/>
      </c>
      <c r="AB2868" t="str">
        <f>IFERROR(IF(ISNUMBER('Procyfloc 1009'!A369),'Procyfloc 1009'!A369,DATEVALUE('Procyfloc 1009'!A369)),"")</f>
        <v/>
      </c>
      <c r="AC2868" t="str">
        <f>IF(AA2868="","",'Procyfloc 1009'!B369)</f>
        <v/>
      </c>
      <c r="AD2868" t="str">
        <f>IF(AA2868="","",IFERROR(1*'Procyfloc 1009'!C369,IFERROR(_xludf.NUMBERVALUE('Procyfloc 1009'!C369,".",","),IFERROR(_xludf.NUMBERVALUE('Procyfloc 1009'!C369,",","."),0))))</f>
        <v/>
      </c>
      <c r="AE2868" t="str">
        <f>IF(AA2868="","",'Procyfloc 1009'!L369)</f>
        <v/>
      </c>
      <c r="AF2868">
        <f t="shared" si="281"/>
        <v>0</v>
      </c>
      <c r="AG2868" t="str">
        <f t="shared" si="282"/>
        <v/>
      </c>
      <c r="AH2868" t="str">
        <f t="shared" si="283"/>
        <v/>
      </c>
      <c r="AI2868">
        <f t="shared" si="284"/>
        <v>0</v>
      </c>
      <c r="AJ2868">
        <f t="shared" si="285"/>
        <v>0</v>
      </c>
      <c r="AK2868">
        <v>0</v>
      </c>
      <c r="AL2868" t="str">
        <f>IF(AA2868="","",IFERROR(IF(ISNUMBER('Procyfloc 1009'!D369),'Procyfloc 1009'!D369,IF(ISNUMBER(SEARCH("12",'Procyfloc 1009'!D369)),EDATE(AB2868,12),IF(ISNUMBER(SEARCH("6",'Procyfloc 1009'!D369)),EDATE(AB2868,6),IF(ISNUMBER(SEARCH("3",'Procyfloc 1009'!D369)),EDATE(AB2868,3),DATEVALUE('Procyfloc 1009'!D369))))),""))</f>
        <v/>
      </c>
      <c r="AM2868" t="str">
        <f t="shared" ca="1" si="286"/>
        <v/>
      </c>
    </row>
    <row r="2869" spans="27:39" x14ac:dyDescent="0.3">
      <c r="AA2869" t="str">
        <f>IF(COUNTA('Procyfloc 1009'!A370,'Procyfloc 1009'!B370,'Procyfloc 1009'!C370)&gt;0,"1009","")</f>
        <v/>
      </c>
      <c r="AB2869" t="str">
        <f>IFERROR(IF(ISNUMBER('Procyfloc 1009'!A370),'Procyfloc 1009'!A370,DATEVALUE('Procyfloc 1009'!A370)),"")</f>
        <v/>
      </c>
      <c r="AC2869" t="str">
        <f>IF(AA2869="","",'Procyfloc 1009'!B370)</f>
        <v/>
      </c>
      <c r="AD2869" t="str">
        <f>IF(AA2869="","",IFERROR(1*'Procyfloc 1009'!C370,IFERROR(_xludf.NUMBERVALUE('Procyfloc 1009'!C370,".",","),IFERROR(_xludf.NUMBERVALUE('Procyfloc 1009'!C370,",","."),0))))</f>
        <v/>
      </c>
      <c r="AE2869" t="str">
        <f>IF(AA2869="","",'Procyfloc 1009'!L370)</f>
        <v/>
      </c>
      <c r="AF2869">
        <f t="shared" si="281"/>
        <v>0</v>
      </c>
      <c r="AG2869" t="str">
        <f t="shared" si="282"/>
        <v/>
      </c>
      <c r="AH2869" t="str">
        <f t="shared" si="283"/>
        <v/>
      </c>
      <c r="AI2869">
        <f t="shared" si="284"/>
        <v>0</v>
      </c>
      <c r="AJ2869">
        <f t="shared" si="285"/>
        <v>0</v>
      </c>
      <c r="AK2869">
        <v>0</v>
      </c>
      <c r="AL2869" t="str">
        <f>IF(AA2869="","",IFERROR(IF(ISNUMBER('Procyfloc 1009'!D370),'Procyfloc 1009'!D370,IF(ISNUMBER(SEARCH("12",'Procyfloc 1009'!D370)),EDATE(AB2869,12),IF(ISNUMBER(SEARCH("6",'Procyfloc 1009'!D370)),EDATE(AB2869,6),IF(ISNUMBER(SEARCH("3",'Procyfloc 1009'!D370)),EDATE(AB2869,3),DATEVALUE('Procyfloc 1009'!D370))))),""))</f>
        <v/>
      </c>
      <c r="AM2869" t="str">
        <f t="shared" ca="1" si="286"/>
        <v/>
      </c>
    </row>
    <row r="2870" spans="27:39" x14ac:dyDescent="0.3">
      <c r="AA2870" t="str">
        <f>IF(COUNTA('Procyfloc 1009'!A371,'Procyfloc 1009'!B371,'Procyfloc 1009'!C371)&gt;0,"1009","")</f>
        <v/>
      </c>
      <c r="AB2870" t="str">
        <f>IFERROR(IF(ISNUMBER('Procyfloc 1009'!A371),'Procyfloc 1009'!A371,DATEVALUE('Procyfloc 1009'!A371)),"")</f>
        <v/>
      </c>
      <c r="AC2870" t="str">
        <f>IF(AA2870="","",'Procyfloc 1009'!B371)</f>
        <v/>
      </c>
      <c r="AD2870" t="str">
        <f>IF(AA2870="","",IFERROR(1*'Procyfloc 1009'!C371,IFERROR(_xludf.NUMBERVALUE('Procyfloc 1009'!C371,".",","),IFERROR(_xludf.NUMBERVALUE('Procyfloc 1009'!C371,",","."),0))))</f>
        <v/>
      </c>
      <c r="AE2870" t="str">
        <f>IF(AA2870="","",'Procyfloc 1009'!L371)</f>
        <v/>
      </c>
      <c r="AF2870">
        <f t="shared" si="281"/>
        <v>0</v>
      </c>
      <c r="AG2870" t="str">
        <f t="shared" si="282"/>
        <v/>
      </c>
      <c r="AH2870" t="str">
        <f t="shared" si="283"/>
        <v/>
      </c>
      <c r="AI2870">
        <f t="shared" si="284"/>
        <v>0</v>
      </c>
      <c r="AJ2870">
        <f t="shared" si="285"/>
        <v>0</v>
      </c>
      <c r="AK2870">
        <v>0</v>
      </c>
      <c r="AL2870" t="str">
        <f>IF(AA2870="","",IFERROR(IF(ISNUMBER('Procyfloc 1009'!D371),'Procyfloc 1009'!D371,IF(ISNUMBER(SEARCH("12",'Procyfloc 1009'!D371)),EDATE(AB2870,12),IF(ISNUMBER(SEARCH("6",'Procyfloc 1009'!D371)),EDATE(AB2870,6),IF(ISNUMBER(SEARCH("3",'Procyfloc 1009'!D371)),EDATE(AB2870,3),DATEVALUE('Procyfloc 1009'!D371))))),""))</f>
        <v/>
      </c>
      <c r="AM2870" t="str">
        <f t="shared" ca="1" si="286"/>
        <v/>
      </c>
    </row>
    <row r="2871" spans="27:39" x14ac:dyDescent="0.3">
      <c r="AA2871" t="str">
        <f>IF(COUNTA('Procyfloc 1009'!A372,'Procyfloc 1009'!B372,'Procyfloc 1009'!C372)&gt;0,"1009","")</f>
        <v/>
      </c>
      <c r="AB2871" t="str">
        <f>IFERROR(IF(ISNUMBER('Procyfloc 1009'!A372),'Procyfloc 1009'!A372,DATEVALUE('Procyfloc 1009'!A372)),"")</f>
        <v/>
      </c>
      <c r="AC2871" t="str">
        <f>IF(AA2871="","",'Procyfloc 1009'!B372)</f>
        <v/>
      </c>
      <c r="AD2871" t="str">
        <f>IF(AA2871="","",IFERROR(1*'Procyfloc 1009'!C372,IFERROR(_xludf.NUMBERVALUE('Procyfloc 1009'!C372,".",","),IFERROR(_xludf.NUMBERVALUE('Procyfloc 1009'!C372,",","."),0))))</f>
        <v/>
      </c>
      <c r="AE2871" t="str">
        <f>IF(AA2871="","",'Procyfloc 1009'!L372)</f>
        <v/>
      </c>
      <c r="AF2871">
        <f t="shared" si="281"/>
        <v>0</v>
      </c>
      <c r="AG2871" t="str">
        <f t="shared" si="282"/>
        <v/>
      </c>
      <c r="AH2871" t="str">
        <f t="shared" si="283"/>
        <v/>
      </c>
      <c r="AI2871">
        <f t="shared" si="284"/>
        <v>0</v>
      </c>
      <c r="AJ2871">
        <f t="shared" si="285"/>
        <v>0</v>
      </c>
      <c r="AK2871">
        <v>0</v>
      </c>
      <c r="AL2871" t="str">
        <f>IF(AA2871="","",IFERROR(IF(ISNUMBER('Procyfloc 1009'!D372),'Procyfloc 1009'!D372,IF(ISNUMBER(SEARCH("12",'Procyfloc 1009'!D372)),EDATE(AB2871,12),IF(ISNUMBER(SEARCH("6",'Procyfloc 1009'!D372)),EDATE(AB2871,6),IF(ISNUMBER(SEARCH("3",'Procyfloc 1009'!D372)),EDATE(AB2871,3),DATEVALUE('Procyfloc 1009'!D372))))),""))</f>
        <v/>
      </c>
      <c r="AM2871" t="str">
        <f t="shared" ca="1" si="286"/>
        <v/>
      </c>
    </row>
    <row r="2872" spans="27:39" x14ac:dyDescent="0.3">
      <c r="AA2872" t="str">
        <f>IF(COUNTA('Procyfloc 1009'!A373,'Procyfloc 1009'!B373,'Procyfloc 1009'!C373)&gt;0,"1009","")</f>
        <v/>
      </c>
      <c r="AB2872" t="str">
        <f>IFERROR(IF(ISNUMBER('Procyfloc 1009'!A373),'Procyfloc 1009'!A373,DATEVALUE('Procyfloc 1009'!A373)),"")</f>
        <v/>
      </c>
      <c r="AC2872" t="str">
        <f>IF(AA2872="","",'Procyfloc 1009'!B373)</f>
        <v/>
      </c>
      <c r="AD2872" t="str">
        <f>IF(AA2872="","",IFERROR(1*'Procyfloc 1009'!C373,IFERROR(_xludf.NUMBERVALUE('Procyfloc 1009'!C373,".",","),IFERROR(_xludf.NUMBERVALUE('Procyfloc 1009'!C373,",","."),0))))</f>
        <v/>
      </c>
      <c r="AE2872" t="str">
        <f>IF(AA2872="","",'Procyfloc 1009'!L373)</f>
        <v/>
      </c>
      <c r="AF2872">
        <f t="shared" si="281"/>
        <v>0</v>
      </c>
      <c r="AG2872" t="str">
        <f t="shared" si="282"/>
        <v/>
      </c>
      <c r="AH2872" t="str">
        <f t="shared" si="283"/>
        <v/>
      </c>
      <c r="AI2872">
        <f t="shared" si="284"/>
        <v>0</v>
      </c>
      <c r="AJ2872">
        <f t="shared" si="285"/>
        <v>0</v>
      </c>
      <c r="AK2872">
        <v>0</v>
      </c>
      <c r="AL2872" t="str">
        <f>IF(AA2872="","",IFERROR(IF(ISNUMBER('Procyfloc 1009'!D373),'Procyfloc 1009'!D373,IF(ISNUMBER(SEARCH("12",'Procyfloc 1009'!D373)),EDATE(AB2872,12),IF(ISNUMBER(SEARCH("6",'Procyfloc 1009'!D373)),EDATE(AB2872,6),IF(ISNUMBER(SEARCH("3",'Procyfloc 1009'!D373)),EDATE(AB2872,3),DATEVALUE('Procyfloc 1009'!D373))))),""))</f>
        <v/>
      </c>
      <c r="AM2872" t="str">
        <f t="shared" ca="1" si="286"/>
        <v/>
      </c>
    </row>
    <row r="2873" spans="27:39" x14ac:dyDescent="0.3">
      <c r="AA2873" t="str">
        <f>IF(COUNTA('Procyfloc 1009'!A374,'Procyfloc 1009'!B374,'Procyfloc 1009'!C374)&gt;0,"1009","")</f>
        <v/>
      </c>
      <c r="AB2873" t="str">
        <f>IFERROR(IF(ISNUMBER('Procyfloc 1009'!A374),'Procyfloc 1009'!A374,DATEVALUE('Procyfloc 1009'!A374)),"")</f>
        <v/>
      </c>
      <c r="AC2873" t="str">
        <f>IF(AA2873="","",'Procyfloc 1009'!B374)</f>
        <v/>
      </c>
      <c r="AD2873" t="str">
        <f>IF(AA2873="","",IFERROR(1*'Procyfloc 1009'!C374,IFERROR(_xludf.NUMBERVALUE('Procyfloc 1009'!C374,".",","),IFERROR(_xludf.NUMBERVALUE('Procyfloc 1009'!C374,",","."),0))))</f>
        <v/>
      </c>
      <c r="AE2873" t="str">
        <f>IF(AA2873="","",'Procyfloc 1009'!L374)</f>
        <v/>
      </c>
      <c r="AF2873">
        <f t="shared" si="281"/>
        <v>0</v>
      </c>
      <c r="AG2873" t="str">
        <f t="shared" si="282"/>
        <v/>
      </c>
      <c r="AH2873" t="str">
        <f t="shared" si="283"/>
        <v/>
      </c>
      <c r="AI2873">
        <f t="shared" si="284"/>
        <v>0</v>
      </c>
      <c r="AJ2873">
        <f t="shared" si="285"/>
        <v>0</v>
      </c>
      <c r="AK2873">
        <v>0</v>
      </c>
      <c r="AL2873" t="str">
        <f>IF(AA2873="","",IFERROR(IF(ISNUMBER('Procyfloc 1009'!D374),'Procyfloc 1009'!D374,IF(ISNUMBER(SEARCH("12",'Procyfloc 1009'!D374)),EDATE(AB2873,12),IF(ISNUMBER(SEARCH("6",'Procyfloc 1009'!D374)),EDATE(AB2873,6),IF(ISNUMBER(SEARCH("3",'Procyfloc 1009'!D374)),EDATE(AB2873,3),DATEVALUE('Procyfloc 1009'!D374))))),""))</f>
        <v/>
      </c>
      <c r="AM2873" t="str">
        <f t="shared" ca="1" si="286"/>
        <v/>
      </c>
    </row>
    <row r="2874" spans="27:39" x14ac:dyDescent="0.3">
      <c r="AA2874" t="str">
        <f>IF(COUNTA('Procyfloc 1009'!A375,'Procyfloc 1009'!B375,'Procyfloc 1009'!C375)&gt;0,"1009","")</f>
        <v/>
      </c>
      <c r="AB2874" t="str">
        <f>IFERROR(IF(ISNUMBER('Procyfloc 1009'!A375),'Procyfloc 1009'!A375,DATEVALUE('Procyfloc 1009'!A375)),"")</f>
        <v/>
      </c>
      <c r="AC2874" t="str">
        <f>IF(AA2874="","",'Procyfloc 1009'!B375)</f>
        <v/>
      </c>
      <c r="AD2874" t="str">
        <f>IF(AA2874="","",IFERROR(1*'Procyfloc 1009'!C375,IFERROR(_xludf.NUMBERVALUE('Procyfloc 1009'!C375,".",","),IFERROR(_xludf.NUMBERVALUE('Procyfloc 1009'!C375,",","."),0))))</f>
        <v/>
      </c>
      <c r="AE2874" t="str">
        <f>IF(AA2874="","",'Procyfloc 1009'!L375)</f>
        <v/>
      </c>
      <c r="AF2874">
        <f t="shared" si="281"/>
        <v>0</v>
      </c>
      <c r="AG2874" t="str">
        <f t="shared" si="282"/>
        <v/>
      </c>
      <c r="AH2874" t="str">
        <f t="shared" si="283"/>
        <v/>
      </c>
      <c r="AI2874">
        <f t="shared" si="284"/>
        <v>0</v>
      </c>
      <c r="AJ2874">
        <f t="shared" si="285"/>
        <v>0</v>
      </c>
      <c r="AK2874">
        <v>0</v>
      </c>
      <c r="AL2874" t="str">
        <f>IF(AA2874="","",IFERROR(IF(ISNUMBER('Procyfloc 1009'!D375),'Procyfloc 1009'!D375,IF(ISNUMBER(SEARCH("12",'Procyfloc 1009'!D375)),EDATE(AB2874,12),IF(ISNUMBER(SEARCH("6",'Procyfloc 1009'!D375)),EDATE(AB2874,6),IF(ISNUMBER(SEARCH("3",'Procyfloc 1009'!D375)),EDATE(AB2874,3),DATEVALUE('Procyfloc 1009'!D375))))),""))</f>
        <v/>
      </c>
      <c r="AM2874" t="str">
        <f t="shared" ca="1" si="286"/>
        <v/>
      </c>
    </row>
    <row r="2875" spans="27:39" x14ac:dyDescent="0.3">
      <c r="AA2875" t="str">
        <f>IF(COUNTA('Procyfloc 1009'!A376,'Procyfloc 1009'!B376,'Procyfloc 1009'!C376)&gt;0,"1009","")</f>
        <v/>
      </c>
      <c r="AB2875" t="str">
        <f>IFERROR(IF(ISNUMBER('Procyfloc 1009'!A376),'Procyfloc 1009'!A376,DATEVALUE('Procyfloc 1009'!A376)),"")</f>
        <v/>
      </c>
      <c r="AC2875" t="str">
        <f>IF(AA2875="","",'Procyfloc 1009'!B376)</f>
        <v/>
      </c>
      <c r="AD2875" t="str">
        <f>IF(AA2875="","",IFERROR(1*'Procyfloc 1009'!C376,IFERROR(_xludf.NUMBERVALUE('Procyfloc 1009'!C376,".",","),IFERROR(_xludf.NUMBERVALUE('Procyfloc 1009'!C376,",","."),0))))</f>
        <v/>
      </c>
      <c r="AE2875" t="str">
        <f>IF(AA2875="","",'Procyfloc 1009'!L376)</f>
        <v/>
      </c>
      <c r="AF2875">
        <f t="shared" si="281"/>
        <v>0</v>
      </c>
      <c r="AG2875" t="str">
        <f t="shared" si="282"/>
        <v/>
      </c>
      <c r="AH2875" t="str">
        <f t="shared" si="283"/>
        <v/>
      </c>
      <c r="AI2875">
        <f t="shared" si="284"/>
        <v>0</v>
      </c>
      <c r="AJ2875">
        <f t="shared" si="285"/>
        <v>0</v>
      </c>
      <c r="AK2875">
        <v>0</v>
      </c>
      <c r="AL2875" t="str">
        <f>IF(AA2875="","",IFERROR(IF(ISNUMBER('Procyfloc 1009'!D376),'Procyfloc 1009'!D376,IF(ISNUMBER(SEARCH("12",'Procyfloc 1009'!D376)),EDATE(AB2875,12),IF(ISNUMBER(SEARCH("6",'Procyfloc 1009'!D376)),EDATE(AB2875,6),IF(ISNUMBER(SEARCH("3",'Procyfloc 1009'!D376)),EDATE(AB2875,3),DATEVALUE('Procyfloc 1009'!D376))))),""))</f>
        <v/>
      </c>
      <c r="AM2875" t="str">
        <f t="shared" ca="1" si="286"/>
        <v/>
      </c>
    </row>
    <row r="2876" spans="27:39" x14ac:dyDescent="0.3">
      <c r="AA2876" t="str">
        <f>IF(COUNTA('Procyfloc 1009'!A377,'Procyfloc 1009'!B377,'Procyfloc 1009'!C377)&gt;0,"1009","")</f>
        <v/>
      </c>
      <c r="AB2876" t="str">
        <f>IFERROR(IF(ISNUMBER('Procyfloc 1009'!A377),'Procyfloc 1009'!A377,DATEVALUE('Procyfloc 1009'!A377)),"")</f>
        <v/>
      </c>
      <c r="AC2876" t="str">
        <f>IF(AA2876="","",'Procyfloc 1009'!B377)</f>
        <v/>
      </c>
      <c r="AD2876" t="str">
        <f>IF(AA2876="","",IFERROR(1*'Procyfloc 1009'!C377,IFERROR(_xludf.NUMBERVALUE('Procyfloc 1009'!C377,".",","),IFERROR(_xludf.NUMBERVALUE('Procyfloc 1009'!C377,",","."),0))))</f>
        <v/>
      </c>
      <c r="AE2876" t="str">
        <f>IF(AA2876="","",'Procyfloc 1009'!L377)</f>
        <v/>
      </c>
      <c r="AF2876">
        <f t="shared" si="281"/>
        <v>0</v>
      </c>
      <c r="AG2876" t="str">
        <f t="shared" si="282"/>
        <v/>
      </c>
      <c r="AH2876" t="str">
        <f t="shared" si="283"/>
        <v/>
      </c>
      <c r="AI2876">
        <f t="shared" si="284"/>
        <v>0</v>
      </c>
      <c r="AJ2876">
        <f t="shared" si="285"/>
        <v>0</v>
      </c>
      <c r="AK2876">
        <v>0</v>
      </c>
      <c r="AL2876" t="str">
        <f>IF(AA2876="","",IFERROR(IF(ISNUMBER('Procyfloc 1009'!D377),'Procyfloc 1009'!D377,IF(ISNUMBER(SEARCH("12",'Procyfloc 1009'!D377)),EDATE(AB2876,12),IF(ISNUMBER(SEARCH("6",'Procyfloc 1009'!D377)),EDATE(AB2876,6),IF(ISNUMBER(SEARCH("3",'Procyfloc 1009'!D377)),EDATE(AB2876,3),DATEVALUE('Procyfloc 1009'!D377))))),""))</f>
        <v/>
      </c>
      <c r="AM2876" t="str">
        <f t="shared" ca="1" si="286"/>
        <v/>
      </c>
    </row>
    <row r="2877" spans="27:39" x14ac:dyDescent="0.3">
      <c r="AA2877" t="str">
        <f>IF(COUNTA('Procyfloc 1009'!A378,'Procyfloc 1009'!B378,'Procyfloc 1009'!C378)&gt;0,"1009","")</f>
        <v/>
      </c>
      <c r="AB2877" t="str">
        <f>IFERROR(IF(ISNUMBER('Procyfloc 1009'!A378),'Procyfloc 1009'!A378,DATEVALUE('Procyfloc 1009'!A378)),"")</f>
        <v/>
      </c>
      <c r="AC2877" t="str">
        <f>IF(AA2877="","",'Procyfloc 1009'!B378)</f>
        <v/>
      </c>
      <c r="AD2877" t="str">
        <f>IF(AA2877="","",IFERROR(1*'Procyfloc 1009'!C378,IFERROR(_xludf.NUMBERVALUE('Procyfloc 1009'!C378,".",","),IFERROR(_xludf.NUMBERVALUE('Procyfloc 1009'!C378,",","."),0))))</f>
        <v/>
      </c>
      <c r="AE2877" t="str">
        <f>IF(AA2877="","",'Procyfloc 1009'!L378)</f>
        <v/>
      </c>
      <c r="AF2877">
        <f t="shared" si="281"/>
        <v>0</v>
      </c>
      <c r="AG2877" t="str">
        <f t="shared" si="282"/>
        <v/>
      </c>
      <c r="AH2877" t="str">
        <f t="shared" si="283"/>
        <v/>
      </c>
      <c r="AI2877">
        <f t="shared" si="284"/>
        <v>0</v>
      </c>
      <c r="AJ2877">
        <f t="shared" si="285"/>
        <v>0</v>
      </c>
      <c r="AK2877">
        <v>0</v>
      </c>
      <c r="AL2877" t="str">
        <f>IF(AA2877="","",IFERROR(IF(ISNUMBER('Procyfloc 1009'!D378),'Procyfloc 1009'!D378,IF(ISNUMBER(SEARCH("12",'Procyfloc 1009'!D378)),EDATE(AB2877,12),IF(ISNUMBER(SEARCH("6",'Procyfloc 1009'!D378)),EDATE(AB2877,6),IF(ISNUMBER(SEARCH("3",'Procyfloc 1009'!D378)),EDATE(AB2877,3),DATEVALUE('Procyfloc 1009'!D378))))),""))</f>
        <v/>
      </c>
      <c r="AM2877" t="str">
        <f t="shared" ca="1" si="286"/>
        <v/>
      </c>
    </row>
    <row r="2878" spans="27:39" x14ac:dyDescent="0.3">
      <c r="AA2878" t="str">
        <f>IF(COUNTA('Procyfloc 1009'!A379,'Procyfloc 1009'!B379,'Procyfloc 1009'!C379)&gt;0,"1009","")</f>
        <v/>
      </c>
      <c r="AB2878" t="str">
        <f>IFERROR(IF(ISNUMBER('Procyfloc 1009'!A379),'Procyfloc 1009'!A379,DATEVALUE('Procyfloc 1009'!A379)),"")</f>
        <v/>
      </c>
      <c r="AC2878" t="str">
        <f>IF(AA2878="","",'Procyfloc 1009'!B379)</f>
        <v/>
      </c>
      <c r="AD2878" t="str">
        <f>IF(AA2878="","",IFERROR(1*'Procyfloc 1009'!C379,IFERROR(_xludf.NUMBERVALUE('Procyfloc 1009'!C379,".",","),IFERROR(_xludf.NUMBERVALUE('Procyfloc 1009'!C379,",","."),0))))</f>
        <v/>
      </c>
      <c r="AE2878" t="str">
        <f>IF(AA2878="","",'Procyfloc 1009'!L379)</f>
        <v/>
      </c>
      <c r="AF2878">
        <f t="shared" si="281"/>
        <v>0</v>
      </c>
      <c r="AG2878" t="str">
        <f t="shared" si="282"/>
        <v/>
      </c>
      <c r="AH2878" t="str">
        <f t="shared" si="283"/>
        <v/>
      </c>
      <c r="AI2878">
        <f t="shared" si="284"/>
        <v>0</v>
      </c>
      <c r="AJ2878">
        <f t="shared" si="285"/>
        <v>0</v>
      </c>
      <c r="AK2878">
        <v>0</v>
      </c>
      <c r="AL2878" t="str">
        <f>IF(AA2878="","",IFERROR(IF(ISNUMBER('Procyfloc 1009'!D379),'Procyfloc 1009'!D379,IF(ISNUMBER(SEARCH("12",'Procyfloc 1009'!D379)),EDATE(AB2878,12),IF(ISNUMBER(SEARCH("6",'Procyfloc 1009'!D379)),EDATE(AB2878,6),IF(ISNUMBER(SEARCH("3",'Procyfloc 1009'!D379)),EDATE(AB2878,3),DATEVALUE('Procyfloc 1009'!D379))))),""))</f>
        <v/>
      </c>
      <c r="AM2878" t="str">
        <f t="shared" ca="1" si="286"/>
        <v/>
      </c>
    </row>
    <row r="2879" spans="27:39" x14ac:dyDescent="0.3">
      <c r="AA2879" t="str">
        <f>IF(COUNTA('Procyfloc 1009'!A380,'Procyfloc 1009'!B380,'Procyfloc 1009'!C380)&gt;0,"1009","")</f>
        <v/>
      </c>
      <c r="AB2879" t="str">
        <f>IFERROR(IF(ISNUMBER('Procyfloc 1009'!A380),'Procyfloc 1009'!A380,DATEVALUE('Procyfloc 1009'!A380)),"")</f>
        <v/>
      </c>
      <c r="AC2879" t="str">
        <f>IF(AA2879="","",'Procyfloc 1009'!B380)</f>
        <v/>
      </c>
      <c r="AD2879" t="str">
        <f>IF(AA2879="","",IFERROR(1*'Procyfloc 1009'!C380,IFERROR(_xludf.NUMBERVALUE('Procyfloc 1009'!C380,".",","),IFERROR(_xludf.NUMBERVALUE('Procyfloc 1009'!C380,",","."),0))))</f>
        <v/>
      </c>
      <c r="AE2879" t="str">
        <f>IF(AA2879="","",'Procyfloc 1009'!L380)</f>
        <v/>
      </c>
      <c r="AF2879">
        <f t="shared" si="281"/>
        <v>0</v>
      </c>
      <c r="AG2879" t="str">
        <f t="shared" si="282"/>
        <v/>
      </c>
      <c r="AH2879" t="str">
        <f t="shared" si="283"/>
        <v/>
      </c>
      <c r="AI2879">
        <f t="shared" si="284"/>
        <v>0</v>
      </c>
      <c r="AJ2879">
        <f t="shared" si="285"/>
        <v>0</v>
      </c>
      <c r="AK2879">
        <v>0</v>
      </c>
      <c r="AL2879" t="str">
        <f>IF(AA2879="","",IFERROR(IF(ISNUMBER('Procyfloc 1009'!D380),'Procyfloc 1009'!D380,IF(ISNUMBER(SEARCH("12",'Procyfloc 1009'!D380)),EDATE(AB2879,12),IF(ISNUMBER(SEARCH("6",'Procyfloc 1009'!D380)),EDATE(AB2879,6),IF(ISNUMBER(SEARCH("3",'Procyfloc 1009'!D380)),EDATE(AB2879,3),DATEVALUE('Procyfloc 1009'!D380))))),""))</f>
        <v/>
      </c>
      <c r="AM2879" t="str">
        <f t="shared" ca="1" si="286"/>
        <v/>
      </c>
    </row>
    <row r="2880" spans="27:39" x14ac:dyDescent="0.3">
      <c r="AA2880" t="str">
        <f>IF(COUNTA('Procyfloc 1009'!A381,'Procyfloc 1009'!B381,'Procyfloc 1009'!C381)&gt;0,"1009","")</f>
        <v/>
      </c>
      <c r="AB2880" t="str">
        <f>IFERROR(IF(ISNUMBER('Procyfloc 1009'!A381),'Procyfloc 1009'!A381,DATEVALUE('Procyfloc 1009'!A381)),"")</f>
        <v/>
      </c>
      <c r="AC2880" t="str">
        <f>IF(AA2880="","",'Procyfloc 1009'!B381)</f>
        <v/>
      </c>
      <c r="AD2880" t="str">
        <f>IF(AA2880="","",IFERROR(1*'Procyfloc 1009'!C381,IFERROR(_xludf.NUMBERVALUE('Procyfloc 1009'!C381,".",","),IFERROR(_xludf.NUMBERVALUE('Procyfloc 1009'!C381,",","."),0))))</f>
        <v/>
      </c>
      <c r="AE2880" t="str">
        <f>IF(AA2880="","",'Procyfloc 1009'!L381)</f>
        <v/>
      </c>
      <c r="AF2880">
        <f t="shared" si="281"/>
        <v>0</v>
      </c>
      <c r="AG2880" t="str">
        <f t="shared" si="282"/>
        <v/>
      </c>
      <c r="AH2880" t="str">
        <f t="shared" si="283"/>
        <v/>
      </c>
      <c r="AI2880">
        <f t="shared" si="284"/>
        <v>0</v>
      </c>
      <c r="AJ2880">
        <f t="shared" si="285"/>
        <v>0</v>
      </c>
      <c r="AK2880">
        <v>0</v>
      </c>
      <c r="AL2880" t="str">
        <f>IF(AA2880="","",IFERROR(IF(ISNUMBER('Procyfloc 1009'!D381),'Procyfloc 1009'!D381,IF(ISNUMBER(SEARCH("12",'Procyfloc 1009'!D381)),EDATE(AB2880,12),IF(ISNUMBER(SEARCH("6",'Procyfloc 1009'!D381)),EDATE(AB2880,6),IF(ISNUMBER(SEARCH("3",'Procyfloc 1009'!D381)),EDATE(AB2880,3),DATEVALUE('Procyfloc 1009'!D381))))),""))</f>
        <v/>
      </c>
      <c r="AM2880" t="str">
        <f t="shared" ca="1" si="286"/>
        <v/>
      </c>
    </row>
    <row r="2881" spans="27:39" x14ac:dyDescent="0.3">
      <c r="AA2881" t="str">
        <f>IF(COUNTA('Procyfloc 1009'!A382,'Procyfloc 1009'!B382,'Procyfloc 1009'!C382)&gt;0,"1009","")</f>
        <v/>
      </c>
      <c r="AB2881" t="str">
        <f>IFERROR(IF(ISNUMBER('Procyfloc 1009'!A382),'Procyfloc 1009'!A382,DATEVALUE('Procyfloc 1009'!A382)),"")</f>
        <v/>
      </c>
      <c r="AC2881" t="str">
        <f>IF(AA2881="","",'Procyfloc 1009'!B382)</f>
        <v/>
      </c>
      <c r="AD2881" t="str">
        <f>IF(AA2881="","",IFERROR(1*'Procyfloc 1009'!C382,IFERROR(_xludf.NUMBERVALUE('Procyfloc 1009'!C382,".",","),IFERROR(_xludf.NUMBERVALUE('Procyfloc 1009'!C382,",","."),0))))</f>
        <v/>
      </c>
      <c r="AE2881" t="str">
        <f>IF(AA2881="","",'Procyfloc 1009'!L382)</f>
        <v/>
      </c>
      <c r="AF2881">
        <f t="shared" si="281"/>
        <v>0</v>
      </c>
      <c r="AG2881" t="str">
        <f t="shared" si="282"/>
        <v/>
      </c>
      <c r="AH2881" t="str">
        <f t="shared" si="283"/>
        <v/>
      </c>
      <c r="AI2881">
        <f t="shared" si="284"/>
        <v>0</v>
      </c>
      <c r="AJ2881">
        <f t="shared" si="285"/>
        <v>0</v>
      </c>
      <c r="AK2881">
        <v>0</v>
      </c>
      <c r="AL2881" t="str">
        <f>IF(AA2881="","",IFERROR(IF(ISNUMBER('Procyfloc 1009'!D382),'Procyfloc 1009'!D382,IF(ISNUMBER(SEARCH("12",'Procyfloc 1009'!D382)),EDATE(AB2881,12),IF(ISNUMBER(SEARCH("6",'Procyfloc 1009'!D382)),EDATE(AB2881,6),IF(ISNUMBER(SEARCH("3",'Procyfloc 1009'!D382)),EDATE(AB2881,3),DATEVALUE('Procyfloc 1009'!D382))))),""))</f>
        <v/>
      </c>
      <c r="AM2881" t="str">
        <f t="shared" ca="1" si="286"/>
        <v/>
      </c>
    </row>
    <row r="2882" spans="27:39" x14ac:dyDescent="0.3">
      <c r="AA2882" t="str">
        <f>IF(COUNTA('Procyfloc 1009'!A383,'Procyfloc 1009'!B383,'Procyfloc 1009'!C383)&gt;0,"1009","")</f>
        <v/>
      </c>
      <c r="AB2882" t="str">
        <f>IFERROR(IF(ISNUMBER('Procyfloc 1009'!A383),'Procyfloc 1009'!A383,DATEVALUE('Procyfloc 1009'!A383)),"")</f>
        <v/>
      </c>
      <c r="AC2882" t="str">
        <f>IF(AA2882="","",'Procyfloc 1009'!B383)</f>
        <v/>
      </c>
      <c r="AD2882" t="str">
        <f>IF(AA2882="","",IFERROR(1*'Procyfloc 1009'!C383,IFERROR(_xludf.NUMBERVALUE('Procyfloc 1009'!C383,".",","),IFERROR(_xludf.NUMBERVALUE('Procyfloc 1009'!C383,",","."),0))))</f>
        <v/>
      </c>
      <c r="AE2882" t="str">
        <f>IF(AA2882="","",'Procyfloc 1009'!L383)</f>
        <v/>
      </c>
      <c r="AF2882">
        <f t="shared" ref="AF2882:AF2945" si="287">IF(AA2882="",0,--AND(ISNUMBER(SEARCH("aprov",AE2882)),NOT(ISNUMBER(SEARCH("reprov",AE2882)))))</f>
        <v>0</v>
      </c>
      <c r="AG2882" t="str">
        <f t="shared" ref="AG2882:AG2945" si="288">IF(AB2882="","",YEAR(AB2882))</f>
        <v/>
      </c>
      <c r="AH2882" t="str">
        <f t="shared" ref="AH2882:AH2945" si="289">IF(AB2882="","",MONTH(AB2882))</f>
        <v/>
      </c>
      <c r="AI2882">
        <f t="shared" ref="AI2882:AI2945" si="290">IF(AB2882="",0,AB2882+ROW()/1000000)</f>
        <v>0</v>
      </c>
      <c r="AJ2882">
        <f t="shared" ref="AJ2882:AJ2945" si="291">--(AA2882&lt;&gt;"")</f>
        <v>0</v>
      </c>
      <c r="AK2882">
        <v>0</v>
      </c>
      <c r="AL2882" t="str">
        <f>IF(AA2882="","",IFERROR(IF(ISNUMBER('Procyfloc 1009'!D383),'Procyfloc 1009'!D383,IF(ISNUMBER(SEARCH("12",'Procyfloc 1009'!D383)),EDATE(AB2882,12),IF(ISNUMBER(SEARCH("6",'Procyfloc 1009'!D383)),EDATE(AB2882,6),IF(ISNUMBER(SEARCH("3",'Procyfloc 1009'!D383)),EDATE(AB2882,3),DATEVALUE('Procyfloc 1009'!D383))))),""))</f>
        <v/>
      </c>
      <c r="AM2882" t="str">
        <f t="shared" ref="AM2882:AM2945" ca="1" si="292">IF(AND(AJ2882=1,AL2882&lt;&gt;"",AL2882&gt;=TODAY(),AG2882=$W$3),AL2882+ROW()/1000000,"")</f>
        <v/>
      </c>
    </row>
    <row r="2883" spans="27:39" x14ac:dyDescent="0.3">
      <c r="AA2883" t="str">
        <f>IF(COUNTA('Procyfloc 1009'!A384,'Procyfloc 1009'!B384,'Procyfloc 1009'!C384)&gt;0,"1009","")</f>
        <v/>
      </c>
      <c r="AB2883" t="str">
        <f>IFERROR(IF(ISNUMBER('Procyfloc 1009'!A384),'Procyfloc 1009'!A384,DATEVALUE('Procyfloc 1009'!A384)),"")</f>
        <v/>
      </c>
      <c r="AC2883" t="str">
        <f>IF(AA2883="","",'Procyfloc 1009'!B384)</f>
        <v/>
      </c>
      <c r="AD2883" t="str">
        <f>IF(AA2883="","",IFERROR(1*'Procyfloc 1009'!C384,IFERROR(_xludf.NUMBERVALUE('Procyfloc 1009'!C384,".",","),IFERROR(_xludf.NUMBERVALUE('Procyfloc 1009'!C384,",","."),0))))</f>
        <v/>
      </c>
      <c r="AE2883" t="str">
        <f>IF(AA2883="","",'Procyfloc 1009'!L384)</f>
        <v/>
      </c>
      <c r="AF2883">
        <f t="shared" si="287"/>
        <v>0</v>
      </c>
      <c r="AG2883" t="str">
        <f t="shared" si="288"/>
        <v/>
      </c>
      <c r="AH2883" t="str">
        <f t="shared" si="289"/>
        <v/>
      </c>
      <c r="AI2883">
        <f t="shared" si="290"/>
        <v>0</v>
      </c>
      <c r="AJ2883">
        <f t="shared" si="291"/>
        <v>0</v>
      </c>
      <c r="AK2883">
        <v>0</v>
      </c>
      <c r="AL2883" t="str">
        <f>IF(AA2883="","",IFERROR(IF(ISNUMBER('Procyfloc 1009'!D384),'Procyfloc 1009'!D384,IF(ISNUMBER(SEARCH("12",'Procyfloc 1009'!D384)),EDATE(AB2883,12),IF(ISNUMBER(SEARCH("6",'Procyfloc 1009'!D384)),EDATE(AB2883,6),IF(ISNUMBER(SEARCH("3",'Procyfloc 1009'!D384)),EDATE(AB2883,3),DATEVALUE('Procyfloc 1009'!D384))))),""))</f>
        <v/>
      </c>
      <c r="AM2883" t="str">
        <f t="shared" ca="1" si="292"/>
        <v/>
      </c>
    </row>
    <row r="2884" spans="27:39" x14ac:dyDescent="0.3">
      <c r="AA2884" t="str">
        <f>IF(COUNTA('Procyfloc 1009'!A385,'Procyfloc 1009'!B385,'Procyfloc 1009'!C385)&gt;0,"1009","")</f>
        <v/>
      </c>
      <c r="AB2884" t="str">
        <f>IFERROR(IF(ISNUMBER('Procyfloc 1009'!A385),'Procyfloc 1009'!A385,DATEVALUE('Procyfloc 1009'!A385)),"")</f>
        <v/>
      </c>
      <c r="AC2884" t="str">
        <f>IF(AA2884="","",'Procyfloc 1009'!B385)</f>
        <v/>
      </c>
      <c r="AD2884" t="str">
        <f>IF(AA2884="","",IFERROR(1*'Procyfloc 1009'!C385,IFERROR(_xludf.NUMBERVALUE('Procyfloc 1009'!C385,".",","),IFERROR(_xludf.NUMBERVALUE('Procyfloc 1009'!C385,",","."),0))))</f>
        <v/>
      </c>
      <c r="AE2884" t="str">
        <f>IF(AA2884="","",'Procyfloc 1009'!L385)</f>
        <v/>
      </c>
      <c r="AF2884">
        <f t="shared" si="287"/>
        <v>0</v>
      </c>
      <c r="AG2884" t="str">
        <f t="shared" si="288"/>
        <v/>
      </c>
      <c r="AH2884" t="str">
        <f t="shared" si="289"/>
        <v/>
      </c>
      <c r="AI2884">
        <f t="shared" si="290"/>
        <v>0</v>
      </c>
      <c r="AJ2884">
        <f t="shared" si="291"/>
        <v>0</v>
      </c>
      <c r="AK2884">
        <v>0</v>
      </c>
      <c r="AL2884" t="str">
        <f>IF(AA2884="","",IFERROR(IF(ISNUMBER('Procyfloc 1009'!D385),'Procyfloc 1009'!D385,IF(ISNUMBER(SEARCH("12",'Procyfloc 1009'!D385)),EDATE(AB2884,12),IF(ISNUMBER(SEARCH("6",'Procyfloc 1009'!D385)),EDATE(AB2884,6),IF(ISNUMBER(SEARCH("3",'Procyfloc 1009'!D385)),EDATE(AB2884,3),DATEVALUE('Procyfloc 1009'!D385))))),""))</f>
        <v/>
      </c>
      <c r="AM2884" t="str">
        <f t="shared" ca="1" si="292"/>
        <v/>
      </c>
    </row>
    <row r="2885" spans="27:39" x14ac:dyDescent="0.3">
      <c r="AA2885" t="str">
        <f>IF(COUNTA('Procyfloc 1009'!A386,'Procyfloc 1009'!B386,'Procyfloc 1009'!C386)&gt;0,"1009","")</f>
        <v/>
      </c>
      <c r="AB2885" t="str">
        <f>IFERROR(IF(ISNUMBER('Procyfloc 1009'!A386),'Procyfloc 1009'!A386,DATEVALUE('Procyfloc 1009'!A386)),"")</f>
        <v/>
      </c>
      <c r="AC2885" t="str">
        <f>IF(AA2885="","",'Procyfloc 1009'!B386)</f>
        <v/>
      </c>
      <c r="AD2885" t="str">
        <f>IF(AA2885="","",IFERROR(1*'Procyfloc 1009'!C386,IFERROR(_xludf.NUMBERVALUE('Procyfloc 1009'!C386,".",","),IFERROR(_xludf.NUMBERVALUE('Procyfloc 1009'!C386,",","."),0))))</f>
        <v/>
      </c>
      <c r="AE2885" t="str">
        <f>IF(AA2885="","",'Procyfloc 1009'!L386)</f>
        <v/>
      </c>
      <c r="AF2885">
        <f t="shared" si="287"/>
        <v>0</v>
      </c>
      <c r="AG2885" t="str">
        <f t="shared" si="288"/>
        <v/>
      </c>
      <c r="AH2885" t="str">
        <f t="shared" si="289"/>
        <v/>
      </c>
      <c r="AI2885">
        <f t="shared" si="290"/>
        <v>0</v>
      </c>
      <c r="AJ2885">
        <f t="shared" si="291"/>
        <v>0</v>
      </c>
      <c r="AK2885">
        <v>0</v>
      </c>
      <c r="AL2885" t="str">
        <f>IF(AA2885="","",IFERROR(IF(ISNUMBER('Procyfloc 1009'!D386),'Procyfloc 1009'!D386,IF(ISNUMBER(SEARCH("12",'Procyfloc 1009'!D386)),EDATE(AB2885,12),IF(ISNUMBER(SEARCH("6",'Procyfloc 1009'!D386)),EDATE(AB2885,6),IF(ISNUMBER(SEARCH("3",'Procyfloc 1009'!D386)),EDATE(AB2885,3),DATEVALUE('Procyfloc 1009'!D386))))),""))</f>
        <v/>
      </c>
      <c r="AM2885" t="str">
        <f t="shared" ca="1" si="292"/>
        <v/>
      </c>
    </row>
    <row r="2886" spans="27:39" x14ac:dyDescent="0.3">
      <c r="AA2886" t="str">
        <f>IF(COUNTA('Procyfloc 1009'!A387,'Procyfloc 1009'!B387,'Procyfloc 1009'!C387)&gt;0,"1009","")</f>
        <v/>
      </c>
      <c r="AB2886" t="str">
        <f>IFERROR(IF(ISNUMBER('Procyfloc 1009'!A387),'Procyfloc 1009'!A387,DATEVALUE('Procyfloc 1009'!A387)),"")</f>
        <v/>
      </c>
      <c r="AC2886" t="str">
        <f>IF(AA2886="","",'Procyfloc 1009'!B387)</f>
        <v/>
      </c>
      <c r="AD2886" t="str">
        <f>IF(AA2886="","",IFERROR(1*'Procyfloc 1009'!C387,IFERROR(_xludf.NUMBERVALUE('Procyfloc 1009'!C387,".",","),IFERROR(_xludf.NUMBERVALUE('Procyfloc 1009'!C387,",","."),0))))</f>
        <v/>
      </c>
      <c r="AE2886" t="str">
        <f>IF(AA2886="","",'Procyfloc 1009'!L387)</f>
        <v/>
      </c>
      <c r="AF2886">
        <f t="shared" si="287"/>
        <v>0</v>
      </c>
      <c r="AG2886" t="str">
        <f t="shared" si="288"/>
        <v/>
      </c>
      <c r="AH2886" t="str">
        <f t="shared" si="289"/>
        <v/>
      </c>
      <c r="AI2886">
        <f t="shared" si="290"/>
        <v>0</v>
      </c>
      <c r="AJ2886">
        <f t="shared" si="291"/>
        <v>0</v>
      </c>
      <c r="AK2886">
        <v>0</v>
      </c>
      <c r="AL2886" t="str">
        <f>IF(AA2886="","",IFERROR(IF(ISNUMBER('Procyfloc 1009'!D387),'Procyfloc 1009'!D387,IF(ISNUMBER(SEARCH("12",'Procyfloc 1009'!D387)),EDATE(AB2886,12),IF(ISNUMBER(SEARCH("6",'Procyfloc 1009'!D387)),EDATE(AB2886,6),IF(ISNUMBER(SEARCH("3",'Procyfloc 1009'!D387)),EDATE(AB2886,3),DATEVALUE('Procyfloc 1009'!D387))))),""))</f>
        <v/>
      </c>
      <c r="AM2886" t="str">
        <f t="shared" ca="1" si="292"/>
        <v/>
      </c>
    </row>
    <row r="2887" spans="27:39" x14ac:dyDescent="0.3">
      <c r="AA2887" t="str">
        <f>IF(COUNTA('Procyfloc 1009'!A388,'Procyfloc 1009'!B388,'Procyfloc 1009'!C388)&gt;0,"1009","")</f>
        <v/>
      </c>
      <c r="AB2887" t="str">
        <f>IFERROR(IF(ISNUMBER('Procyfloc 1009'!A388),'Procyfloc 1009'!A388,DATEVALUE('Procyfloc 1009'!A388)),"")</f>
        <v/>
      </c>
      <c r="AC2887" t="str">
        <f>IF(AA2887="","",'Procyfloc 1009'!B388)</f>
        <v/>
      </c>
      <c r="AD2887" t="str">
        <f>IF(AA2887="","",IFERROR(1*'Procyfloc 1009'!C388,IFERROR(_xludf.NUMBERVALUE('Procyfloc 1009'!C388,".",","),IFERROR(_xludf.NUMBERVALUE('Procyfloc 1009'!C388,",","."),0))))</f>
        <v/>
      </c>
      <c r="AE2887" t="str">
        <f>IF(AA2887="","",'Procyfloc 1009'!L388)</f>
        <v/>
      </c>
      <c r="AF2887">
        <f t="shared" si="287"/>
        <v>0</v>
      </c>
      <c r="AG2887" t="str">
        <f t="shared" si="288"/>
        <v/>
      </c>
      <c r="AH2887" t="str">
        <f t="shared" si="289"/>
        <v/>
      </c>
      <c r="AI2887">
        <f t="shared" si="290"/>
        <v>0</v>
      </c>
      <c r="AJ2887">
        <f t="shared" si="291"/>
        <v>0</v>
      </c>
      <c r="AK2887">
        <v>0</v>
      </c>
      <c r="AL2887" t="str">
        <f>IF(AA2887="","",IFERROR(IF(ISNUMBER('Procyfloc 1009'!D388),'Procyfloc 1009'!D388,IF(ISNUMBER(SEARCH("12",'Procyfloc 1009'!D388)),EDATE(AB2887,12),IF(ISNUMBER(SEARCH("6",'Procyfloc 1009'!D388)),EDATE(AB2887,6),IF(ISNUMBER(SEARCH("3",'Procyfloc 1009'!D388)),EDATE(AB2887,3),DATEVALUE('Procyfloc 1009'!D388))))),""))</f>
        <v/>
      </c>
      <c r="AM2887" t="str">
        <f t="shared" ca="1" si="292"/>
        <v/>
      </c>
    </row>
    <row r="2888" spans="27:39" x14ac:dyDescent="0.3">
      <c r="AA2888" t="str">
        <f>IF(COUNTA('Procyfloc 1009'!A389,'Procyfloc 1009'!B389,'Procyfloc 1009'!C389)&gt;0,"1009","")</f>
        <v/>
      </c>
      <c r="AB2888" t="str">
        <f>IFERROR(IF(ISNUMBER('Procyfloc 1009'!A389),'Procyfloc 1009'!A389,DATEVALUE('Procyfloc 1009'!A389)),"")</f>
        <v/>
      </c>
      <c r="AC2888" t="str">
        <f>IF(AA2888="","",'Procyfloc 1009'!B389)</f>
        <v/>
      </c>
      <c r="AD2888" t="str">
        <f>IF(AA2888="","",IFERROR(1*'Procyfloc 1009'!C389,IFERROR(_xludf.NUMBERVALUE('Procyfloc 1009'!C389,".",","),IFERROR(_xludf.NUMBERVALUE('Procyfloc 1009'!C389,",","."),0))))</f>
        <v/>
      </c>
      <c r="AE2888" t="str">
        <f>IF(AA2888="","",'Procyfloc 1009'!L389)</f>
        <v/>
      </c>
      <c r="AF2888">
        <f t="shared" si="287"/>
        <v>0</v>
      </c>
      <c r="AG2888" t="str">
        <f t="shared" si="288"/>
        <v/>
      </c>
      <c r="AH2888" t="str">
        <f t="shared" si="289"/>
        <v/>
      </c>
      <c r="AI2888">
        <f t="shared" si="290"/>
        <v>0</v>
      </c>
      <c r="AJ2888">
        <f t="shared" si="291"/>
        <v>0</v>
      </c>
      <c r="AK2888">
        <v>0</v>
      </c>
      <c r="AL2888" t="str">
        <f>IF(AA2888="","",IFERROR(IF(ISNUMBER('Procyfloc 1009'!D389),'Procyfloc 1009'!D389,IF(ISNUMBER(SEARCH("12",'Procyfloc 1009'!D389)),EDATE(AB2888,12),IF(ISNUMBER(SEARCH("6",'Procyfloc 1009'!D389)),EDATE(AB2888,6),IF(ISNUMBER(SEARCH("3",'Procyfloc 1009'!D389)),EDATE(AB2888,3),DATEVALUE('Procyfloc 1009'!D389))))),""))</f>
        <v/>
      </c>
      <c r="AM2888" t="str">
        <f t="shared" ca="1" si="292"/>
        <v/>
      </c>
    </row>
    <row r="2889" spans="27:39" x14ac:dyDescent="0.3">
      <c r="AA2889" t="str">
        <f>IF(COUNTA('Procyfloc 1009'!A390,'Procyfloc 1009'!B390,'Procyfloc 1009'!C390)&gt;0,"1009","")</f>
        <v/>
      </c>
      <c r="AB2889" t="str">
        <f>IFERROR(IF(ISNUMBER('Procyfloc 1009'!A390),'Procyfloc 1009'!A390,DATEVALUE('Procyfloc 1009'!A390)),"")</f>
        <v/>
      </c>
      <c r="AC2889" t="str">
        <f>IF(AA2889="","",'Procyfloc 1009'!B390)</f>
        <v/>
      </c>
      <c r="AD2889" t="str">
        <f>IF(AA2889="","",IFERROR(1*'Procyfloc 1009'!C390,IFERROR(_xludf.NUMBERVALUE('Procyfloc 1009'!C390,".",","),IFERROR(_xludf.NUMBERVALUE('Procyfloc 1009'!C390,",","."),0))))</f>
        <v/>
      </c>
      <c r="AE2889" t="str">
        <f>IF(AA2889="","",'Procyfloc 1009'!L390)</f>
        <v/>
      </c>
      <c r="AF2889">
        <f t="shared" si="287"/>
        <v>0</v>
      </c>
      <c r="AG2889" t="str">
        <f t="shared" si="288"/>
        <v/>
      </c>
      <c r="AH2889" t="str">
        <f t="shared" si="289"/>
        <v/>
      </c>
      <c r="AI2889">
        <f t="shared" si="290"/>
        <v>0</v>
      </c>
      <c r="AJ2889">
        <f t="shared" si="291"/>
        <v>0</v>
      </c>
      <c r="AK2889">
        <v>0</v>
      </c>
      <c r="AL2889" t="str">
        <f>IF(AA2889="","",IFERROR(IF(ISNUMBER('Procyfloc 1009'!D390),'Procyfloc 1009'!D390,IF(ISNUMBER(SEARCH("12",'Procyfloc 1009'!D390)),EDATE(AB2889,12),IF(ISNUMBER(SEARCH("6",'Procyfloc 1009'!D390)),EDATE(AB2889,6),IF(ISNUMBER(SEARCH("3",'Procyfloc 1009'!D390)),EDATE(AB2889,3),DATEVALUE('Procyfloc 1009'!D390))))),""))</f>
        <v/>
      </c>
      <c r="AM2889" t="str">
        <f t="shared" ca="1" si="292"/>
        <v/>
      </c>
    </row>
    <row r="2890" spans="27:39" x14ac:dyDescent="0.3">
      <c r="AA2890" t="str">
        <f>IF(COUNTA('Procyfloc 1009'!A391,'Procyfloc 1009'!B391,'Procyfloc 1009'!C391)&gt;0,"1009","")</f>
        <v/>
      </c>
      <c r="AB2890" t="str">
        <f>IFERROR(IF(ISNUMBER('Procyfloc 1009'!A391),'Procyfloc 1009'!A391,DATEVALUE('Procyfloc 1009'!A391)),"")</f>
        <v/>
      </c>
      <c r="AC2890" t="str">
        <f>IF(AA2890="","",'Procyfloc 1009'!B391)</f>
        <v/>
      </c>
      <c r="AD2890" t="str">
        <f>IF(AA2890="","",IFERROR(1*'Procyfloc 1009'!C391,IFERROR(_xludf.NUMBERVALUE('Procyfloc 1009'!C391,".",","),IFERROR(_xludf.NUMBERVALUE('Procyfloc 1009'!C391,",","."),0))))</f>
        <v/>
      </c>
      <c r="AE2890" t="str">
        <f>IF(AA2890="","",'Procyfloc 1009'!L391)</f>
        <v/>
      </c>
      <c r="AF2890">
        <f t="shared" si="287"/>
        <v>0</v>
      </c>
      <c r="AG2890" t="str">
        <f t="shared" si="288"/>
        <v/>
      </c>
      <c r="AH2890" t="str">
        <f t="shared" si="289"/>
        <v/>
      </c>
      <c r="AI2890">
        <f t="shared" si="290"/>
        <v>0</v>
      </c>
      <c r="AJ2890">
        <f t="shared" si="291"/>
        <v>0</v>
      </c>
      <c r="AK2890">
        <v>0</v>
      </c>
      <c r="AL2890" t="str">
        <f>IF(AA2890="","",IFERROR(IF(ISNUMBER('Procyfloc 1009'!D391),'Procyfloc 1009'!D391,IF(ISNUMBER(SEARCH("12",'Procyfloc 1009'!D391)),EDATE(AB2890,12),IF(ISNUMBER(SEARCH("6",'Procyfloc 1009'!D391)),EDATE(AB2890,6),IF(ISNUMBER(SEARCH("3",'Procyfloc 1009'!D391)),EDATE(AB2890,3),DATEVALUE('Procyfloc 1009'!D391))))),""))</f>
        <v/>
      </c>
      <c r="AM2890" t="str">
        <f t="shared" ca="1" si="292"/>
        <v/>
      </c>
    </row>
    <row r="2891" spans="27:39" x14ac:dyDescent="0.3">
      <c r="AA2891" t="str">
        <f>IF(COUNTA('Procyfloc 1009'!A392,'Procyfloc 1009'!B392,'Procyfloc 1009'!C392)&gt;0,"1009","")</f>
        <v/>
      </c>
      <c r="AB2891" t="str">
        <f>IFERROR(IF(ISNUMBER('Procyfloc 1009'!A392),'Procyfloc 1009'!A392,DATEVALUE('Procyfloc 1009'!A392)),"")</f>
        <v/>
      </c>
      <c r="AC2891" t="str">
        <f>IF(AA2891="","",'Procyfloc 1009'!B392)</f>
        <v/>
      </c>
      <c r="AD2891" t="str">
        <f>IF(AA2891="","",IFERROR(1*'Procyfloc 1009'!C392,IFERROR(_xludf.NUMBERVALUE('Procyfloc 1009'!C392,".",","),IFERROR(_xludf.NUMBERVALUE('Procyfloc 1009'!C392,",","."),0))))</f>
        <v/>
      </c>
      <c r="AE2891" t="str">
        <f>IF(AA2891="","",'Procyfloc 1009'!L392)</f>
        <v/>
      </c>
      <c r="AF2891">
        <f t="shared" si="287"/>
        <v>0</v>
      </c>
      <c r="AG2891" t="str">
        <f t="shared" si="288"/>
        <v/>
      </c>
      <c r="AH2891" t="str">
        <f t="shared" si="289"/>
        <v/>
      </c>
      <c r="AI2891">
        <f t="shared" si="290"/>
        <v>0</v>
      </c>
      <c r="AJ2891">
        <f t="shared" si="291"/>
        <v>0</v>
      </c>
      <c r="AK2891">
        <v>0</v>
      </c>
      <c r="AL2891" t="str">
        <f>IF(AA2891="","",IFERROR(IF(ISNUMBER('Procyfloc 1009'!D392),'Procyfloc 1009'!D392,IF(ISNUMBER(SEARCH("12",'Procyfloc 1009'!D392)),EDATE(AB2891,12),IF(ISNUMBER(SEARCH("6",'Procyfloc 1009'!D392)),EDATE(AB2891,6),IF(ISNUMBER(SEARCH("3",'Procyfloc 1009'!D392)),EDATE(AB2891,3),DATEVALUE('Procyfloc 1009'!D392))))),""))</f>
        <v/>
      </c>
      <c r="AM2891" t="str">
        <f t="shared" ca="1" si="292"/>
        <v/>
      </c>
    </row>
    <row r="2892" spans="27:39" x14ac:dyDescent="0.3">
      <c r="AA2892" t="str">
        <f>IF(COUNTA('Procyfloc 1009'!A393,'Procyfloc 1009'!B393,'Procyfloc 1009'!C393)&gt;0,"1009","")</f>
        <v/>
      </c>
      <c r="AB2892" t="str">
        <f>IFERROR(IF(ISNUMBER('Procyfloc 1009'!A393),'Procyfloc 1009'!A393,DATEVALUE('Procyfloc 1009'!A393)),"")</f>
        <v/>
      </c>
      <c r="AC2892" t="str">
        <f>IF(AA2892="","",'Procyfloc 1009'!B393)</f>
        <v/>
      </c>
      <c r="AD2892" t="str">
        <f>IF(AA2892="","",IFERROR(1*'Procyfloc 1009'!C393,IFERROR(_xludf.NUMBERVALUE('Procyfloc 1009'!C393,".",","),IFERROR(_xludf.NUMBERVALUE('Procyfloc 1009'!C393,",","."),0))))</f>
        <v/>
      </c>
      <c r="AE2892" t="str">
        <f>IF(AA2892="","",'Procyfloc 1009'!L393)</f>
        <v/>
      </c>
      <c r="AF2892">
        <f t="shared" si="287"/>
        <v>0</v>
      </c>
      <c r="AG2892" t="str">
        <f t="shared" si="288"/>
        <v/>
      </c>
      <c r="AH2892" t="str">
        <f t="shared" si="289"/>
        <v/>
      </c>
      <c r="AI2892">
        <f t="shared" si="290"/>
        <v>0</v>
      </c>
      <c r="AJ2892">
        <f t="shared" si="291"/>
        <v>0</v>
      </c>
      <c r="AK2892">
        <v>0</v>
      </c>
      <c r="AL2892" t="str">
        <f>IF(AA2892="","",IFERROR(IF(ISNUMBER('Procyfloc 1009'!D393),'Procyfloc 1009'!D393,IF(ISNUMBER(SEARCH("12",'Procyfloc 1009'!D393)),EDATE(AB2892,12),IF(ISNUMBER(SEARCH("6",'Procyfloc 1009'!D393)),EDATE(AB2892,6),IF(ISNUMBER(SEARCH("3",'Procyfloc 1009'!D393)),EDATE(AB2892,3),DATEVALUE('Procyfloc 1009'!D393))))),""))</f>
        <v/>
      </c>
      <c r="AM2892" t="str">
        <f t="shared" ca="1" si="292"/>
        <v/>
      </c>
    </row>
    <row r="2893" spans="27:39" x14ac:dyDescent="0.3">
      <c r="AA2893" t="str">
        <f>IF(COUNTA('Procyfloc 1009'!A394,'Procyfloc 1009'!B394,'Procyfloc 1009'!C394)&gt;0,"1009","")</f>
        <v/>
      </c>
      <c r="AB2893" t="str">
        <f>IFERROR(IF(ISNUMBER('Procyfloc 1009'!A394),'Procyfloc 1009'!A394,DATEVALUE('Procyfloc 1009'!A394)),"")</f>
        <v/>
      </c>
      <c r="AC2893" t="str">
        <f>IF(AA2893="","",'Procyfloc 1009'!B394)</f>
        <v/>
      </c>
      <c r="AD2893" t="str">
        <f>IF(AA2893="","",IFERROR(1*'Procyfloc 1009'!C394,IFERROR(_xludf.NUMBERVALUE('Procyfloc 1009'!C394,".",","),IFERROR(_xludf.NUMBERVALUE('Procyfloc 1009'!C394,",","."),0))))</f>
        <v/>
      </c>
      <c r="AE2893" t="str">
        <f>IF(AA2893="","",'Procyfloc 1009'!L394)</f>
        <v/>
      </c>
      <c r="AF2893">
        <f t="shared" si="287"/>
        <v>0</v>
      </c>
      <c r="AG2893" t="str">
        <f t="shared" si="288"/>
        <v/>
      </c>
      <c r="AH2893" t="str">
        <f t="shared" si="289"/>
        <v/>
      </c>
      <c r="AI2893">
        <f t="shared" si="290"/>
        <v>0</v>
      </c>
      <c r="AJ2893">
        <f t="shared" si="291"/>
        <v>0</v>
      </c>
      <c r="AK2893">
        <v>0</v>
      </c>
      <c r="AL2893" t="str">
        <f>IF(AA2893="","",IFERROR(IF(ISNUMBER('Procyfloc 1009'!D394),'Procyfloc 1009'!D394,IF(ISNUMBER(SEARCH("12",'Procyfloc 1009'!D394)),EDATE(AB2893,12),IF(ISNUMBER(SEARCH("6",'Procyfloc 1009'!D394)),EDATE(AB2893,6),IF(ISNUMBER(SEARCH("3",'Procyfloc 1009'!D394)),EDATE(AB2893,3),DATEVALUE('Procyfloc 1009'!D394))))),""))</f>
        <v/>
      </c>
      <c r="AM2893" t="str">
        <f t="shared" ca="1" si="292"/>
        <v/>
      </c>
    </row>
    <row r="2894" spans="27:39" x14ac:dyDescent="0.3">
      <c r="AA2894" t="str">
        <f>IF(COUNTA('Procyfloc 1009'!A395,'Procyfloc 1009'!B395,'Procyfloc 1009'!C395)&gt;0,"1009","")</f>
        <v/>
      </c>
      <c r="AB2894" t="str">
        <f>IFERROR(IF(ISNUMBER('Procyfloc 1009'!A395),'Procyfloc 1009'!A395,DATEVALUE('Procyfloc 1009'!A395)),"")</f>
        <v/>
      </c>
      <c r="AC2894" t="str">
        <f>IF(AA2894="","",'Procyfloc 1009'!B395)</f>
        <v/>
      </c>
      <c r="AD2894" t="str">
        <f>IF(AA2894="","",IFERROR(1*'Procyfloc 1009'!C395,IFERROR(_xludf.NUMBERVALUE('Procyfloc 1009'!C395,".",","),IFERROR(_xludf.NUMBERVALUE('Procyfloc 1009'!C395,",","."),0))))</f>
        <v/>
      </c>
      <c r="AE2894" t="str">
        <f>IF(AA2894="","",'Procyfloc 1009'!L395)</f>
        <v/>
      </c>
      <c r="AF2894">
        <f t="shared" si="287"/>
        <v>0</v>
      </c>
      <c r="AG2894" t="str">
        <f t="shared" si="288"/>
        <v/>
      </c>
      <c r="AH2894" t="str">
        <f t="shared" si="289"/>
        <v/>
      </c>
      <c r="AI2894">
        <f t="shared" si="290"/>
        <v>0</v>
      </c>
      <c r="AJ2894">
        <f t="shared" si="291"/>
        <v>0</v>
      </c>
      <c r="AK2894">
        <v>0</v>
      </c>
      <c r="AL2894" t="str">
        <f>IF(AA2894="","",IFERROR(IF(ISNUMBER('Procyfloc 1009'!D395),'Procyfloc 1009'!D395,IF(ISNUMBER(SEARCH("12",'Procyfloc 1009'!D395)),EDATE(AB2894,12),IF(ISNUMBER(SEARCH("6",'Procyfloc 1009'!D395)),EDATE(AB2894,6),IF(ISNUMBER(SEARCH("3",'Procyfloc 1009'!D395)),EDATE(AB2894,3),DATEVALUE('Procyfloc 1009'!D395))))),""))</f>
        <v/>
      </c>
      <c r="AM2894" t="str">
        <f t="shared" ca="1" si="292"/>
        <v/>
      </c>
    </row>
    <row r="2895" spans="27:39" x14ac:dyDescent="0.3">
      <c r="AA2895" t="str">
        <f>IF(COUNTA('Procyfloc 1009'!A396,'Procyfloc 1009'!B396,'Procyfloc 1009'!C396)&gt;0,"1009","")</f>
        <v/>
      </c>
      <c r="AB2895" t="str">
        <f>IFERROR(IF(ISNUMBER('Procyfloc 1009'!A396),'Procyfloc 1009'!A396,DATEVALUE('Procyfloc 1009'!A396)),"")</f>
        <v/>
      </c>
      <c r="AC2895" t="str">
        <f>IF(AA2895="","",'Procyfloc 1009'!B396)</f>
        <v/>
      </c>
      <c r="AD2895" t="str">
        <f>IF(AA2895="","",IFERROR(1*'Procyfloc 1009'!C396,IFERROR(_xludf.NUMBERVALUE('Procyfloc 1009'!C396,".",","),IFERROR(_xludf.NUMBERVALUE('Procyfloc 1009'!C396,",","."),0))))</f>
        <v/>
      </c>
      <c r="AE2895" t="str">
        <f>IF(AA2895="","",'Procyfloc 1009'!L396)</f>
        <v/>
      </c>
      <c r="AF2895">
        <f t="shared" si="287"/>
        <v>0</v>
      </c>
      <c r="AG2895" t="str">
        <f t="shared" si="288"/>
        <v/>
      </c>
      <c r="AH2895" t="str">
        <f t="shared" si="289"/>
        <v/>
      </c>
      <c r="AI2895">
        <f t="shared" si="290"/>
        <v>0</v>
      </c>
      <c r="AJ2895">
        <f t="shared" si="291"/>
        <v>0</v>
      </c>
      <c r="AK2895">
        <v>0</v>
      </c>
      <c r="AL2895" t="str">
        <f>IF(AA2895="","",IFERROR(IF(ISNUMBER('Procyfloc 1009'!D396),'Procyfloc 1009'!D396,IF(ISNUMBER(SEARCH("12",'Procyfloc 1009'!D396)),EDATE(AB2895,12),IF(ISNUMBER(SEARCH("6",'Procyfloc 1009'!D396)),EDATE(AB2895,6),IF(ISNUMBER(SEARCH("3",'Procyfloc 1009'!D396)),EDATE(AB2895,3),DATEVALUE('Procyfloc 1009'!D396))))),""))</f>
        <v/>
      </c>
      <c r="AM2895" t="str">
        <f t="shared" ca="1" si="292"/>
        <v/>
      </c>
    </row>
    <row r="2896" spans="27:39" x14ac:dyDescent="0.3">
      <c r="AA2896" t="str">
        <f>IF(COUNTA('Procyfloc 1009'!A397,'Procyfloc 1009'!B397,'Procyfloc 1009'!C397)&gt;0,"1009","")</f>
        <v/>
      </c>
      <c r="AB2896" t="str">
        <f>IFERROR(IF(ISNUMBER('Procyfloc 1009'!A397),'Procyfloc 1009'!A397,DATEVALUE('Procyfloc 1009'!A397)),"")</f>
        <v/>
      </c>
      <c r="AC2896" t="str">
        <f>IF(AA2896="","",'Procyfloc 1009'!B397)</f>
        <v/>
      </c>
      <c r="AD2896" t="str">
        <f>IF(AA2896="","",IFERROR(1*'Procyfloc 1009'!C397,IFERROR(_xludf.NUMBERVALUE('Procyfloc 1009'!C397,".",","),IFERROR(_xludf.NUMBERVALUE('Procyfloc 1009'!C397,",","."),0))))</f>
        <v/>
      </c>
      <c r="AE2896" t="str">
        <f>IF(AA2896="","",'Procyfloc 1009'!L397)</f>
        <v/>
      </c>
      <c r="AF2896">
        <f t="shared" si="287"/>
        <v>0</v>
      </c>
      <c r="AG2896" t="str">
        <f t="shared" si="288"/>
        <v/>
      </c>
      <c r="AH2896" t="str">
        <f t="shared" si="289"/>
        <v/>
      </c>
      <c r="AI2896">
        <f t="shared" si="290"/>
        <v>0</v>
      </c>
      <c r="AJ2896">
        <f t="shared" si="291"/>
        <v>0</v>
      </c>
      <c r="AK2896">
        <v>0</v>
      </c>
      <c r="AL2896" t="str">
        <f>IF(AA2896="","",IFERROR(IF(ISNUMBER('Procyfloc 1009'!D397),'Procyfloc 1009'!D397,IF(ISNUMBER(SEARCH("12",'Procyfloc 1009'!D397)),EDATE(AB2896,12),IF(ISNUMBER(SEARCH("6",'Procyfloc 1009'!D397)),EDATE(AB2896,6),IF(ISNUMBER(SEARCH("3",'Procyfloc 1009'!D397)),EDATE(AB2896,3),DATEVALUE('Procyfloc 1009'!D397))))),""))</f>
        <v/>
      </c>
      <c r="AM2896" t="str">
        <f t="shared" ca="1" si="292"/>
        <v/>
      </c>
    </row>
    <row r="2897" spans="27:39" x14ac:dyDescent="0.3">
      <c r="AA2897" t="str">
        <f>IF(COUNTA('Procyfloc 1009'!A398,'Procyfloc 1009'!B398,'Procyfloc 1009'!C398)&gt;0,"1009","")</f>
        <v/>
      </c>
      <c r="AB2897" t="str">
        <f>IFERROR(IF(ISNUMBER('Procyfloc 1009'!A398),'Procyfloc 1009'!A398,DATEVALUE('Procyfloc 1009'!A398)),"")</f>
        <v/>
      </c>
      <c r="AC2897" t="str">
        <f>IF(AA2897="","",'Procyfloc 1009'!B398)</f>
        <v/>
      </c>
      <c r="AD2897" t="str">
        <f>IF(AA2897="","",IFERROR(1*'Procyfloc 1009'!C398,IFERROR(_xludf.NUMBERVALUE('Procyfloc 1009'!C398,".",","),IFERROR(_xludf.NUMBERVALUE('Procyfloc 1009'!C398,",","."),0))))</f>
        <v/>
      </c>
      <c r="AE2897" t="str">
        <f>IF(AA2897="","",'Procyfloc 1009'!L398)</f>
        <v/>
      </c>
      <c r="AF2897">
        <f t="shared" si="287"/>
        <v>0</v>
      </c>
      <c r="AG2897" t="str">
        <f t="shared" si="288"/>
        <v/>
      </c>
      <c r="AH2897" t="str">
        <f t="shared" si="289"/>
        <v/>
      </c>
      <c r="AI2897">
        <f t="shared" si="290"/>
        <v>0</v>
      </c>
      <c r="AJ2897">
        <f t="shared" si="291"/>
        <v>0</v>
      </c>
      <c r="AK2897">
        <v>0</v>
      </c>
      <c r="AL2897" t="str">
        <f>IF(AA2897="","",IFERROR(IF(ISNUMBER('Procyfloc 1009'!D398),'Procyfloc 1009'!D398,IF(ISNUMBER(SEARCH("12",'Procyfloc 1009'!D398)),EDATE(AB2897,12),IF(ISNUMBER(SEARCH("6",'Procyfloc 1009'!D398)),EDATE(AB2897,6),IF(ISNUMBER(SEARCH("3",'Procyfloc 1009'!D398)),EDATE(AB2897,3),DATEVALUE('Procyfloc 1009'!D398))))),""))</f>
        <v/>
      </c>
      <c r="AM2897" t="str">
        <f t="shared" ca="1" si="292"/>
        <v/>
      </c>
    </row>
    <row r="2898" spans="27:39" x14ac:dyDescent="0.3">
      <c r="AA2898" t="str">
        <f>IF(COUNTA('Procyfloc 1009'!A399,'Procyfloc 1009'!B399,'Procyfloc 1009'!C399)&gt;0,"1009","")</f>
        <v/>
      </c>
      <c r="AB2898" t="str">
        <f>IFERROR(IF(ISNUMBER('Procyfloc 1009'!A399),'Procyfloc 1009'!A399,DATEVALUE('Procyfloc 1009'!A399)),"")</f>
        <v/>
      </c>
      <c r="AC2898" t="str">
        <f>IF(AA2898="","",'Procyfloc 1009'!B399)</f>
        <v/>
      </c>
      <c r="AD2898" t="str">
        <f>IF(AA2898="","",IFERROR(1*'Procyfloc 1009'!C399,IFERROR(_xludf.NUMBERVALUE('Procyfloc 1009'!C399,".",","),IFERROR(_xludf.NUMBERVALUE('Procyfloc 1009'!C399,",","."),0))))</f>
        <v/>
      </c>
      <c r="AE2898" t="str">
        <f>IF(AA2898="","",'Procyfloc 1009'!L399)</f>
        <v/>
      </c>
      <c r="AF2898">
        <f t="shared" si="287"/>
        <v>0</v>
      </c>
      <c r="AG2898" t="str">
        <f t="shared" si="288"/>
        <v/>
      </c>
      <c r="AH2898" t="str">
        <f t="shared" si="289"/>
        <v/>
      </c>
      <c r="AI2898">
        <f t="shared" si="290"/>
        <v>0</v>
      </c>
      <c r="AJ2898">
        <f t="shared" si="291"/>
        <v>0</v>
      </c>
      <c r="AK2898">
        <v>0</v>
      </c>
      <c r="AL2898" t="str">
        <f>IF(AA2898="","",IFERROR(IF(ISNUMBER('Procyfloc 1009'!D399),'Procyfloc 1009'!D399,IF(ISNUMBER(SEARCH("12",'Procyfloc 1009'!D399)),EDATE(AB2898,12),IF(ISNUMBER(SEARCH("6",'Procyfloc 1009'!D399)),EDATE(AB2898,6),IF(ISNUMBER(SEARCH("3",'Procyfloc 1009'!D399)),EDATE(AB2898,3),DATEVALUE('Procyfloc 1009'!D399))))),""))</f>
        <v/>
      </c>
      <c r="AM2898" t="str">
        <f t="shared" ca="1" si="292"/>
        <v/>
      </c>
    </row>
    <row r="2899" spans="27:39" x14ac:dyDescent="0.3">
      <c r="AA2899" t="str">
        <f>IF(COUNTA('Procyfloc 1009'!A400,'Procyfloc 1009'!B400,'Procyfloc 1009'!C400)&gt;0,"1009","")</f>
        <v/>
      </c>
      <c r="AB2899" t="str">
        <f>IFERROR(IF(ISNUMBER('Procyfloc 1009'!A400),'Procyfloc 1009'!A400,DATEVALUE('Procyfloc 1009'!A400)),"")</f>
        <v/>
      </c>
      <c r="AC2899" t="str">
        <f>IF(AA2899="","",'Procyfloc 1009'!B400)</f>
        <v/>
      </c>
      <c r="AD2899" t="str">
        <f>IF(AA2899="","",IFERROR(1*'Procyfloc 1009'!C400,IFERROR(_xludf.NUMBERVALUE('Procyfloc 1009'!C400,".",","),IFERROR(_xludf.NUMBERVALUE('Procyfloc 1009'!C400,",","."),0))))</f>
        <v/>
      </c>
      <c r="AE2899" t="str">
        <f>IF(AA2899="","",'Procyfloc 1009'!L400)</f>
        <v/>
      </c>
      <c r="AF2899">
        <f t="shared" si="287"/>
        <v>0</v>
      </c>
      <c r="AG2899" t="str">
        <f t="shared" si="288"/>
        <v/>
      </c>
      <c r="AH2899" t="str">
        <f t="shared" si="289"/>
        <v/>
      </c>
      <c r="AI2899">
        <f t="shared" si="290"/>
        <v>0</v>
      </c>
      <c r="AJ2899">
        <f t="shared" si="291"/>
        <v>0</v>
      </c>
      <c r="AK2899">
        <v>0</v>
      </c>
      <c r="AL2899" t="str">
        <f>IF(AA2899="","",IFERROR(IF(ISNUMBER('Procyfloc 1009'!D400),'Procyfloc 1009'!D400,IF(ISNUMBER(SEARCH("12",'Procyfloc 1009'!D400)),EDATE(AB2899,12),IF(ISNUMBER(SEARCH("6",'Procyfloc 1009'!D400)),EDATE(AB2899,6),IF(ISNUMBER(SEARCH("3",'Procyfloc 1009'!D400)),EDATE(AB2899,3),DATEVALUE('Procyfloc 1009'!D400))))),""))</f>
        <v/>
      </c>
      <c r="AM2899" t="str">
        <f t="shared" ca="1" si="292"/>
        <v/>
      </c>
    </row>
    <row r="2900" spans="27:39" x14ac:dyDescent="0.3">
      <c r="AA2900" t="str">
        <f>IF(COUNTA('Procyfloc 1009'!A401,'Procyfloc 1009'!B401,'Procyfloc 1009'!C401)&gt;0,"1009","")</f>
        <v/>
      </c>
      <c r="AB2900" t="str">
        <f>IFERROR(IF(ISNUMBER('Procyfloc 1009'!A401),'Procyfloc 1009'!A401,DATEVALUE('Procyfloc 1009'!A401)),"")</f>
        <v/>
      </c>
      <c r="AC2900" t="str">
        <f>IF(AA2900="","",'Procyfloc 1009'!B401)</f>
        <v/>
      </c>
      <c r="AD2900" t="str">
        <f>IF(AA2900="","",IFERROR(1*'Procyfloc 1009'!C401,IFERROR(_xludf.NUMBERVALUE('Procyfloc 1009'!C401,".",","),IFERROR(_xludf.NUMBERVALUE('Procyfloc 1009'!C401,",","."),0))))</f>
        <v/>
      </c>
      <c r="AE2900" t="str">
        <f>IF(AA2900="","",'Procyfloc 1009'!L401)</f>
        <v/>
      </c>
      <c r="AF2900">
        <f t="shared" si="287"/>
        <v>0</v>
      </c>
      <c r="AG2900" t="str">
        <f t="shared" si="288"/>
        <v/>
      </c>
      <c r="AH2900" t="str">
        <f t="shared" si="289"/>
        <v/>
      </c>
      <c r="AI2900">
        <f t="shared" si="290"/>
        <v>0</v>
      </c>
      <c r="AJ2900">
        <f t="shared" si="291"/>
        <v>0</v>
      </c>
      <c r="AK2900">
        <v>0</v>
      </c>
      <c r="AL2900" t="str">
        <f>IF(AA2900="","",IFERROR(IF(ISNUMBER('Procyfloc 1009'!D401),'Procyfloc 1009'!D401,IF(ISNUMBER(SEARCH("12",'Procyfloc 1009'!D401)),EDATE(AB2900,12),IF(ISNUMBER(SEARCH("6",'Procyfloc 1009'!D401)),EDATE(AB2900,6),IF(ISNUMBER(SEARCH("3",'Procyfloc 1009'!D401)),EDATE(AB2900,3),DATEVALUE('Procyfloc 1009'!D401))))),""))</f>
        <v/>
      </c>
      <c r="AM2900" t="str">
        <f t="shared" ca="1" si="292"/>
        <v/>
      </c>
    </row>
    <row r="2901" spans="27:39" x14ac:dyDescent="0.3">
      <c r="AA2901" t="str">
        <f>IF(COUNTA('Procyfloc 1009'!A402,'Procyfloc 1009'!B402,'Procyfloc 1009'!C402)&gt;0,"1009","")</f>
        <v/>
      </c>
      <c r="AB2901" t="str">
        <f>IFERROR(IF(ISNUMBER('Procyfloc 1009'!A402),'Procyfloc 1009'!A402,DATEVALUE('Procyfloc 1009'!A402)),"")</f>
        <v/>
      </c>
      <c r="AC2901" t="str">
        <f>IF(AA2901="","",'Procyfloc 1009'!B402)</f>
        <v/>
      </c>
      <c r="AD2901" t="str">
        <f>IF(AA2901="","",IFERROR(1*'Procyfloc 1009'!C402,IFERROR(_xludf.NUMBERVALUE('Procyfloc 1009'!C402,".",","),IFERROR(_xludf.NUMBERVALUE('Procyfloc 1009'!C402,",","."),0))))</f>
        <v/>
      </c>
      <c r="AE2901" t="str">
        <f>IF(AA2901="","",'Procyfloc 1009'!L402)</f>
        <v/>
      </c>
      <c r="AF2901">
        <f t="shared" si="287"/>
        <v>0</v>
      </c>
      <c r="AG2901" t="str">
        <f t="shared" si="288"/>
        <v/>
      </c>
      <c r="AH2901" t="str">
        <f t="shared" si="289"/>
        <v/>
      </c>
      <c r="AI2901">
        <f t="shared" si="290"/>
        <v>0</v>
      </c>
      <c r="AJ2901">
        <f t="shared" si="291"/>
        <v>0</v>
      </c>
      <c r="AK2901">
        <v>0</v>
      </c>
      <c r="AL2901" t="str">
        <f>IF(AA2901="","",IFERROR(IF(ISNUMBER('Procyfloc 1009'!D402),'Procyfloc 1009'!D402,IF(ISNUMBER(SEARCH("12",'Procyfloc 1009'!D402)),EDATE(AB2901,12),IF(ISNUMBER(SEARCH("6",'Procyfloc 1009'!D402)),EDATE(AB2901,6),IF(ISNUMBER(SEARCH("3",'Procyfloc 1009'!D402)),EDATE(AB2901,3),DATEVALUE('Procyfloc 1009'!D402))))),""))</f>
        <v/>
      </c>
      <c r="AM2901" t="str">
        <f t="shared" ca="1" si="292"/>
        <v/>
      </c>
    </row>
    <row r="2902" spans="27:39" x14ac:dyDescent="0.3">
      <c r="AA2902" t="str">
        <f>IF(COUNTA('Procyfloc 1009'!A403,'Procyfloc 1009'!B403,'Procyfloc 1009'!C403)&gt;0,"1009","")</f>
        <v/>
      </c>
      <c r="AB2902" t="str">
        <f>IFERROR(IF(ISNUMBER('Procyfloc 1009'!A403),'Procyfloc 1009'!A403,DATEVALUE('Procyfloc 1009'!A403)),"")</f>
        <v/>
      </c>
      <c r="AC2902" t="str">
        <f>IF(AA2902="","",'Procyfloc 1009'!B403)</f>
        <v/>
      </c>
      <c r="AD2902" t="str">
        <f>IF(AA2902="","",IFERROR(1*'Procyfloc 1009'!C403,IFERROR(_xludf.NUMBERVALUE('Procyfloc 1009'!C403,".",","),IFERROR(_xludf.NUMBERVALUE('Procyfloc 1009'!C403,",","."),0))))</f>
        <v/>
      </c>
      <c r="AE2902" t="str">
        <f>IF(AA2902="","",'Procyfloc 1009'!L403)</f>
        <v/>
      </c>
      <c r="AF2902">
        <f t="shared" si="287"/>
        <v>0</v>
      </c>
      <c r="AG2902" t="str">
        <f t="shared" si="288"/>
        <v/>
      </c>
      <c r="AH2902" t="str">
        <f t="shared" si="289"/>
        <v/>
      </c>
      <c r="AI2902">
        <f t="shared" si="290"/>
        <v>0</v>
      </c>
      <c r="AJ2902">
        <f t="shared" si="291"/>
        <v>0</v>
      </c>
      <c r="AK2902">
        <v>0</v>
      </c>
      <c r="AL2902" t="str">
        <f>IF(AA2902="","",IFERROR(IF(ISNUMBER('Procyfloc 1009'!D403),'Procyfloc 1009'!D403,IF(ISNUMBER(SEARCH("12",'Procyfloc 1009'!D403)),EDATE(AB2902,12),IF(ISNUMBER(SEARCH("6",'Procyfloc 1009'!D403)),EDATE(AB2902,6),IF(ISNUMBER(SEARCH("3",'Procyfloc 1009'!D403)),EDATE(AB2902,3),DATEVALUE('Procyfloc 1009'!D403))))),""))</f>
        <v/>
      </c>
      <c r="AM2902" t="str">
        <f t="shared" ca="1" si="292"/>
        <v/>
      </c>
    </row>
    <row r="2903" spans="27:39" x14ac:dyDescent="0.3">
      <c r="AA2903" t="str">
        <f>IF(COUNTA('Procyfloc 1009'!A404,'Procyfloc 1009'!B404,'Procyfloc 1009'!C404)&gt;0,"1009","")</f>
        <v/>
      </c>
      <c r="AB2903" t="str">
        <f>IFERROR(IF(ISNUMBER('Procyfloc 1009'!A404),'Procyfloc 1009'!A404,DATEVALUE('Procyfloc 1009'!A404)),"")</f>
        <v/>
      </c>
      <c r="AC2903" t="str">
        <f>IF(AA2903="","",'Procyfloc 1009'!B404)</f>
        <v/>
      </c>
      <c r="AD2903" t="str">
        <f>IF(AA2903="","",IFERROR(1*'Procyfloc 1009'!C404,IFERROR(_xludf.NUMBERVALUE('Procyfloc 1009'!C404,".",","),IFERROR(_xludf.NUMBERVALUE('Procyfloc 1009'!C404,",","."),0))))</f>
        <v/>
      </c>
      <c r="AE2903" t="str">
        <f>IF(AA2903="","",'Procyfloc 1009'!L404)</f>
        <v/>
      </c>
      <c r="AF2903">
        <f t="shared" si="287"/>
        <v>0</v>
      </c>
      <c r="AG2903" t="str">
        <f t="shared" si="288"/>
        <v/>
      </c>
      <c r="AH2903" t="str">
        <f t="shared" si="289"/>
        <v/>
      </c>
      <c r="AI2903">
        <f t="shared" si="290"/>
        <v>0</v>
      </c>
      <c r="AJ2903">
        <f t="shared" si="291"/>
        <v>0</v>
      </c>
      <c r="AK2903">
        <v>0</v>
      </c>
      <c r="AL2903" t="str">
        <f>IF(AA2903="","",IFERROR(IF(ISNUMBER('Procyfloc 1009'!D404),'Procyfloc 1009'!D404,IF(ISNUMBER(SEARCH("12",'Procyfloc 1009'!D404)),EDATE(AB2903,12),IF(ISNUMBER(SEARCH("6",'Procyfloc 1009'!D404)),EDATE(AB2903,6),IF(ISNUMBER(SEARCH("3",'Procyfloc 1009'!D404)),EDATE(AB2903,3),DATEVALUE('Procyfloc 1009'!D404))))),""))</f>
        <v/>
      </c>
      <c r="AM2903" t="str">
        <f t="shared" ca="1" si="292"/>
        <v/>
      </c>
    </row>
    <row r="2904" spans="27:39" x14ac:dyDescent="0.3">
      <c r="AA2904" t="str">
        <f>IF(COUNTA('Procyfloc 1009'!A405,'Procyfloc 1009'!B405,'Procyfloc 1009'!C405)&gt;0,"1009","")</f>
        <v/>
      </c>
      <c r="AB2904" t="str">
        <f>IFERROR(IF(ISNUMBER('Procyfloc 1009'!A405),'Procyfloc 1009'!A405,DATEVALUE('Procyfloc 1009'!A405)),"")</f>
        <v/>
      </c>
      <c r="AC2904" t="str">
        <f>IF(AA2904="","",'Procyfloc 1009'!B405)</f>
        <v/>
      </c>
      <c r="AD2904" t="str">
        <f>IF(AA2904="","",IFERROR(1*'Procyfloc 1009'!C405,IFERROR(_xludf.NUMBERVALUE('Procyfloc 1009'!C405,".",","),IFERROR(_xludf.NUMBERVALUE('Procyfloc 1009'!C405,",","."),0))))</f>
        <v/>
      </c>
      <c r="AE2904" t="str">
        <f>IF(AA2904="","",'Procyfloc 1009'!L405)</f>
        <v/>
      </c>
      <c r="AF2904">
        <f t="shared" si="287"/>
        <v>0</v>
      </c>
      <c r="AG2904" t="str">
        <f t="shared" si="288"/>
        <v/>
      </c>
      <c r="AH2904" t="str">
        <f t="shared" si="289"/>
        <v/>
      </c>
      <c r="AI2904">
        <f t="shared" si="290"/>
        <v>0</v>
      </c>
      <c r="AJ2904">
        <f t="shared" si="291"/>
        <v>0</v>
      </c>
      <c r="AK2904">
        <v>0</v>
      </c>
      <c r="AL2904" t="str">
        <f>IF(AA2904="","",IFERROR(IF(ISNUMBER('Procyfloc 1009'!D405),'Procyfloc 1009'!D405,IF(ISNUMBER(SEARCH("12",'Procyfloc 1009'!D405)),EDATE(AB2904,12),IF(ISNUMBER(SEARCH("6",'Procyfloc 1009'!D405)),EDATE(AB2904,6),IF(ISNUMBER(SEARCH("3",'Procyfloc 1009'!D405)),EDATE(AB2904,3),DATEVALUE('Procyfloc 1009'!D405))))),""))</f>
        <v/>
      </c>
      <c r="AM2904" t="str">
        <f t="shared" ca="1" si="292"/>
        <v/>
      </c>
    </row>
    <row r="2905" spans="27:39" x14ac:dyDescent="0.3">
      <c r="AA2905" t="str">
        <f>IF(COUNTA('Procyfloc 1009'!A406,'Procyfloc 1009'!B406,'Procyfloc 1009'!C406)&gt;0,"1009","")</f>
        <v/>
      </c>
      <c r="AB2905" t="str">
        <f>IFERROR(IF(ISNUMBER('Procyfloc 1009'!A406),'Procyfloc 1009'!A406,DATEVALUE('Procyfloc 1009'!A406)),"")</f>
        <v/>
      </c>
      <c r="AC2905" t="str">
        <f>IF(AA2905="","",'Procyfloc 1009'!B406)</f>
        <v/>
      </c>
      <c r="AD2905" t="str">
        <f>IF(AA2905="","",IFERROR(1*'Procyfloc 1009'!C406,IFERROR(_xludf.NUMBERVALUE('Procyfloc 1009'!C406,".",","),IFERROR(_xludf.NUMBERVALUE('Procyfloc 1009'!C406,",","."),0))))</f>
        <v/>
      </c>
      <c r="AE2905" t="str">
        <f>IF(AA2905="","",'Procyfloc 1009'!L406)</f>
        <v/>
      </c>
      <c r="AF2905">
        <f t="shared" si="287"/>
        <v>0</v>
      </c>
      <c r="AG2905" t="str">
        <f t="shared" si="288"/>
        <v/>
      </c>
      <c r="AH2905" t="str">
        <f t="shared" si="289"/>
        <v/>
      </c>
      <c r="AI2905">
        <f t="shared" si="290"/>
        <v>0</v>
      </c>
      <c r="AJ2905">
        <f t="shared" si="291"/>
        <v>0</v>
      </c>
      <c r="AK2905">
        <v>0</v>
      </c>
      <c r="AL2905" t="str">
        <f>IF(AA2905="","",IFERROR(IF(ISNUMBER('Procyfloc 1009'!D406),'Procyfloc 1009'!D406,IF(ISNUMBER(SEARCH("12",'Procyfloc 1009'!D406)),EDATE(AB2905,12),IF(ISNUMBER(SEARCH("6",'Procyfloc 1009'!D406)),EDATE(AB2905,6),IF(ISNUMBER(SEARCH("3",'Procyfloc 1009'!D406)),EDATE(AB2905,3),DATEVALUE('Procyfloc 1009'!D406))))),""))</f>
        <v/>
      </c>
      <c r="AM2905" t="str">
        <f t="shared" ca="1" si="292"/>
        <v/>
      </c>
    </row>
    <row r="2906" spans="27:39" x14ac:dyDescent="0.3">
      <c r="AA2906" t="str">
        <f>IF(COUNTA('Procyfloc 1009'!A407,'Procyfloc 1009'!B407,'Procyfloc 1009'!C407)&gt;0,"1009","")</f>
        <v/>
      </c>
      <c r="AB2906" t="str">
        <f>IFERROR(IF(ISNUMBER('Procyfloc 1009'!A407),'Procyfloc 1009'!A407,DATEVALUE('Procyfloc 1009'!A407)),"")</f>
        <v/>
      </c>
      <c r="AC2906" t="str">
        <f>IF(AA2906="","",'Procyfloc 1009'!B407)</f>
        <v/>
      </c>
      <c r="AD2906" t="str">
        <f>IF(AA2906="","",IFERROR(1*'Procyfloc 1009'!C407,IFERROR(_xludf.NUMBERVALUE('Procyfloc 1009'!C407,".",","),IFERROR(_xludf.NUMBERVALUE('Procyfloc 1009'!C407,",","."),0))))</f>
        <v/>
      </c>
      <c r="AE2906" t="str">
        <f>IF(AA2906="","",'Procyfloc 1009'!L407)</f>
        <v/>
      </c>
      <c r="AF2906">
        <f t="shared" si="287"/>
        <v>0</v>
      </c>
      <c r="AG2906" t="str">
        <f t="shared" si="288"/>
        <v/>
      </c>
      <c r="AH2906" t="str">
        <f t="shared" si="289"/>
        <v/>
      </c>
      <c r="AI2906">
        <f t="shared" si="290"/>
        <v>0</v>
      </c>
      <c r="AJ2906">
        <f t="shared" si="291"/>
        <v>0</v>
      </c>
      <c r="AK2906">
        <v>0</v>
      </c>
      <c r="AL2906" t="str">
        <f>IF(AA2906="","",IFERROR(IF(ISNUMBER('Procyfloc 1009'!D407),'Procyfloc 1009'!D407,IF(ISNUMBER(SEARCH("12",'Procyfloc 1009'!D407)),EDATE(AB2906,12),IF(ISNUMBER(SEARCH("6",'Procyfloc 1009'!D407)),EDATE(AB2906,6),IF(ISNUMBER(SEARCH("3",'Procyfloc 1009'!D407)),EDATE(AB2906,3),DATEVALUE('Procyfloc 1009'!D407))))),""))</f>
        <v/>
      </c>
      <c r="AM2906" t="str">
        <f t="shared" ca="1" si="292"/>
        <v/>
      </c>
    </row>
    <row r="2907" spans="27:39" x14ac:dyDescent="0.3">
      <c r="AA2907" t="str">
        <f>IF(COUNTA('Procyfloc 1009'!A408,'Procyfloc 1009'!B408,'Procyfloc 1009'!C408)&gt;0,"1009","")</f>
        <v/>
      </c>
      <c r="AB2907" t="str">
        <f>IFERROR(IF(ISNUMBER('Procyfloc 1009'!A408),'Procyfloc 1009'!A408,DATEVALUE('Procyfloc 1009'!A408)),"")</f>
        <v/>
      </c>
      <c r="AC2907" t="str">
        <f>IF(AA2907="","",'Procyfloc 1009'!B408)</f>
        <v/>
      </c>
      <c r="AD2907" t="str">
        <f>IF(AA2907="","",IFERROR(1*'Procyfloc 1009'!C408,IFERROR(_xludf.NUMBERVALUE('Procyfloc 1009'!C408,".",","),IFERROR(_xludf.NUMBERVALUE('Procyfloc 1009'!C408,",","."),0))))</f>
        <v/>
      </c>
      <c r="AE2907" t="str">
        <f>IF(AA2907="","",'Procyfloc 1009'!L408)</f>
        <v/>
      </c>
      <c r="AF2907">
        <f t="shared" si="287"/>
        <v>0</v>
      </c>
      <c r="AG2907" t="str">
        <f t="shared" si="288"/>
        <v/>
      </c>
      <c r="AH2907" t="str">
        <f t="shared" si="289"/>
        <v/>
      </c>
      <c r="AI2907">
        <f t="shared" si="290"/>
        <v>0</v>
      </c>
      <c r="AJ2907">
        <f t="shared" si="291"/>
        <v>0</v>
      </c>
      <c r="AK2907">
        <v>0</v>
      </c>
      <c r="AL2907" t="str">
        <f>IF(AA2907="","",IFERROR(IF(ISNUMBER('Procyfloc 1009'!D408),'Procyfloc 1009'!D408,IF(ISNUMBER(SEARCH("12",'Procyfloc 1009'!D408)),EDATE(AB2907,12),IF(ISNUMBER(SEARCH("6",'Procyfloc 1009'!D408)),EDATE(AB2907,6),IF(ISNUMBER(SEARCH("3",'Procyfloc 1009'!D408)),EDATE(AB2907,3),DATEVALUE('Procyfloc 1009'!D408))))),""))</f>
        <v/>
      </c>
      <c r="AM2907" t="str">
        <f t="shared" ca="1" si="292"/>
        <v/>
      </c>
    </row>
    <row r="2908" spans="27:39" x14ac:dyDescent="0.3">
      <c r="AA2908" t="str">
        <f>IF(COUNTA('Procyfloc 1009'!A409,'Procyfloc 1009'!B409,'Procyfloc 1009'!C409)&gt;0,"1009","")</f>
        <v/>
      </c>
      <c r="AB2908" t="str">
        <f>IFERROR(IF(ISNUMBER('Procyfloc 1009'!A409),'Procyfloc 1009'!A409,DATEVALUE('Procyfloc 1009'!A409)),"")</f>
        <v/>
      </c>
      <c r="AC2908" t="str">
        <f>IF(AA2908="","",'Procyfloc 1009'!B409)</f>
        <v/>
      </c>
      <c r="AD2908" t="str">
        <f>IF(AA2908="","",IFERROR(1*'Procyfloc 1009'!C409,IFERROR(_xludf.NUMBERVALUE('Procyfloc 1009'!C409,".",","),IFERROR(_xludf.NUMBERVALUE('Procyfloc 1009'!C409,",","."),0))))</f>
        <v/>
      </c>
      <c r="AE2908" t="str">
        <f>IF(AA2908="","",'Procyfloc 1009'!L409)</f>
        <v/>
      </c>
      <c r="AF2908">
        <f t="shared" si="287"/>
        <v>0</v>
      </c>
      <c r="AG2908" t="str">
        <f t="shared" si="288"/>
        <v/>
      </c>
      <c r="AH2908" t="str">
        <f t="shared" si="289"/>
        <v/>
      </c>
      <c r="AI2908">
        <f t="shared" si="290"/>
        <v>0</v>
      </c>
      <c r="AJ2908">
        <f t="shared" si="291"/>
        <v>0</v>
      </c>
      <c r="AK2908">
        <v>0</v>
      </c>
      <c r="AL2908" t="str">
        <f>IF(AA2908="","",IFERROR(IF(ISNUMBER('Procyfloc 1009'!D409),'Procyfloc 1009'!D409,IF(ISNUMBER(SEARCH("12",'Procyfloc 1009'!D409)),EDATE(AB2908,12),IF(ISNUMBER(SEARCH("6",'Procyfloc 1009'!D409)),EDATE(AB2908,6),IF(ISNUMBER(SEARCH("3",'Procyfloc 1009'!D409)),EDATE(AB2908,3),DATEVALUE('Procyfloc 1009'!D409))))),""))</f>
        <v/>
      </c>
      <c r="AM2908" t="str">
        <f t="shared" ca="1" si="292"/>
        <v/>
      </c>
    </row>
    <row r="2909" spans="27:39" x14ac:dyDescent="0.3">
      <c r="AA2909" t="str">
        <f>IF(COUNTA('Procyfloc 1009'!A410,'Procyfloc 1009'!B410,'Procyfloc 1009'!C410)&gt;0,"1009","")</f>
        <v/>
      </c>
      <c r="AB2909" t="str">
        <f>IFERROR(IF(ISNUMBER('Procyfloc 1009'!A410),'Procyfloc 1009'!A410,DATEVALUE('Procyfloc 1009'!A410)),"")</f>
        <v/>
      </c>
      <c r="AC2909" t="str">
        <f>IF(AA2909="","",'Procyfloc 1009'!B410)</f>
        <v/>
      </c>
      <c r="AD2909" t="str">
        <f>IF(AA2909="","",IFERROR(1*'Procyfloc 1009'!C410,IFERROR(_xludf.NUMBERVALUE('Procyfloc 1009'!C410,".",","),IFERROR(_xludf.NUMBERVALUE('Procyfloc 1009'!C410,",","."),0))))</f>
        <v/>
      </c>
      <c r="AE2909" t="str">
        <f>IF(AA2909="","",'Procyfloc 1009'!L410)</f>
        <v/>
      </c>
      <c r="AF2909">
        <f t="shared" si="287"/>
        <v>0</v>
      </c>
      <c r="AG2909" t="str">
        <f t="shared" si="288"/>
        <v/>
      </c>
      <c r="AH2909" t="str">
        <f t="shared" si="289"/>
        <v/>
      </c>
      <c r="AI2909">
        <f t="shared" si="290"/>
        <v>0</v>
      </c>
      <c r="AJ2909">
        <f t="shared" si="291"/>
        <v>0</v>
      </c>
      <c r="AK2909">
        <v>0</v>
      </c>
      <c r="AL2909" t="str">
        <f>IF(AA2909="","",IFERROR(IF(ISNUMBER('Procyfloc 1009'!D410),'Procyfloc 1009'!D410,IF(ISNUMBER(SEARCH("12",'Procyfloc 1009'!D410)),EDATE(AB2909,12),IF(ISNUMBER(SEARCH("6",'Procyfloc 1009'!D410)),EDATE(AB2909,6),IF(ISNUMBER(SEARCH("3",'Procyfloc 1009'!D410)),EDATE(AB2909,3),DATEVALUE('Procyfloc 1009'!D410))))),""))</f>
        <v/>
      </c>
      <c r="AM2909" t="str">
        <f t="shared" ca="1" si="292"/>
        <v/>
      </c>
    </row>
    <row r="2910" spans="27:39" x14ac:dyDescent="0.3">
      <c r="AA2910" t="str">
        <f>IF(COUNTA('Procyfloc 1009'!A411,'Procyfloc 1009'!B411,'Procyfloc 1009'!C411)&gt;0,"1009","")</f>
        <v/>
      </c>
      <c r="AB2910" t="str">
        <f>IFERROR(IF(ISNUMBER('Procyfloc 1009'!A411),'Procyfloc 1009'!A411,DATEVALUE('Procyfloc 1009'!A411)),"")</f>
        <v/>
      </c>
      <c r="AC2910" t="str">
        <f>IF(AA2910="","",'Procyfloc 1009'!B411)</f>
        <v/>
      </c>
      <c r="AD2910" t="str">
        <f>IF(AA2910="","",IFERROR(1*'Procyfloc 1009'!C411,IFERROR(_xludf.NUMBERVALUE('Procyfloc 1009'!C411,".",","),IFERROR(_xludf.NUMBERVALUE('Procyfloc 1009'!C411,",","."),0))))</f>
        <v/>
      </c>
      <c r="AE2910" t="str">
        <f>IF(AA2910="","",'Procyfloc 1009'!L411)</f>
        <v/>
      </c>
      <c r="AF2910">
        <f t="shared" si="287"/>
        <v>0</v>
      </c>
      <c r="AG2910" t="str">
        <f t="shared" si="288"/>
        <v/>
      </c>
      <c r="AH2910" t="str">
        <f t="shared" si="289"/>
        <v/>
      </c>
      <c r="AI2910">
        <f t="shared" si="290"/>
        <v>0</v>
      </c>
      <c r="AJ2910">
        <f t="shared" si="291"/>
        <v>0</v>
      </c>
      <c r="AK2910">
        <v>0</v>
      </c>
      <c r="AL2910" t="str">
        <f>IF(AA2910="","",IFERROR(IF(ISNUMBER('Procyfloc 1009'!D411),'Procyfloc 1009'!D411,IF(ISNUMBER(SEARCH("12",'Procyfloc 1009'!D411)),EDATE(AB2910,12),IF(ISNUMBER(SEARCH("6",'Procyfloc 1009'!D411)),EDATE(AB2910,6),IF(ISNUMBER(SEARCH("3",'Procyfloc 1009'!D411)),EDATE(AB2910,3),DATEVALUE('Procyfloc 1009'!D411))))),""))</f>
        <v/>
      </c>
      <c r="AM2910" t="str">
        <f t="shared" ca="1" si="292"/>
        <v/>
      </c>
    </row>
    <row r="2911" spans="27:39" x14ac:dyDescent="0.3">
      <c r="AA2911" t="str">
        <f>IF(COUNTA('Procyfloc 1009'!A412,'Procyfloc 1009'!B412,'Procyfloc 1009'!C412)&gt;0,"1009","")</f>
        <v/>
      </c>
      <c r="AB2911" t="str">
        <f>IFERROR(IF(ISNUMBER('Procyfloc 1009'!A412),'Procyfloc 1009'!A412,DATEVALUE('Procyfloc 1009'!A412)),"")</f>
        <v/>
      </c>
      <c r="AC2911" t="str">
        <f>IF(AA2911="","",'Procyfloc 1009'!B412)</f>
        <v/>
      </c>
      <c r="AD2911" t="str">
        <f>IF(AA2911="","",IFERROR(1*'Procyfloc 1009'!C412,IFERROR(_xludf.NUMBERVALUE('Procyfloc 1009'!C412,".",","),IFERROR(_xludf.NUMBERVALUE('Procyfloc 1009'!C412,",","."),0))))</f>
        <v/>
      </c>
      <c r="AE2911" t="str">
        <f>IF(AA2911="","",'Procyfloc 1009'!L412)</f>
        <v/>
      </c>
      <c r="AF2911">
        <f t="shared" si="287"/>
        <v>0</v>
      </c>
      <c r="AG2911" t="str">
        <f t="shared" si="288"/>
        <v/>
      </c>
      <c r="AH2911" t="str">
        <f t="shared" si="289"/>
        <v/>
      </c>
      <c r="AI2911">
        <f t="shared" si="290"/>
        <v>0</v>
      </c>
      <c r="AJ2911">
        <f t="shared" si="291"/>
        <v>0</v>
      </c>
      <c r="AK2911">
        <v>0</v>
      </c>
      <c r="AL2911" t="str">
        <f>IF(AA2911="","",IFERROR(IF(ISNUMBER('Procyfloc 1009'!D412),'Procyfloc 1009'!D412,IF(ISNUMBER(SEARCH("12",'Procyfloc 1009'!D412)),EDATE(AB2911,12),IF(ISNUMBER(SEARCH("6",'Procyfloc 1009'!D412)),EDATE(AB2911,6),IF(ISNUMBER(SEARCH("3",'Procyfloc 1009'!D412)),EDATE(AB2911,3),DATEVALUE('Procyfloc 1009'!D412))))),""))</f>
        <v/>
      </c>
      <c r="AM2911" t="str">
        <f t="shared" ca="1" si="292"/>
        <v/>
      </c>
    </row>
    <row r="2912" spans="27:39" x14ac:dyDescent="0.3">
      <c r="AA2912" t="str">
        <f>IF(COUNTA('Procyfloc 1009'!A413,'Procyfloc 1009'!B413,'Procyfloc 1009'!C413)&gt;0,"1009","")</f>
        <v/>
      </c>
      <c r="AB2912" t="str">
        <f>IFERROR(IF(ISNUMBER('Procyfloc 1009'!A413),'Procyfloc 1009'!A413,DATEVALUE('Procyfloc 1009'!A413)),"")</f>
        <v/>
      </c>
      <c r="AC2912" t="str">
        <f>IF(AA2912="","",'Procyfloc 1009'!B413)</f>
        <v/>
      </c>
      <c r="AD2912" t="str">
        <f>IF(AA2912="","",IFERROR(1*'Procyfloc 1009'!C413,IFERROR(_xludf.NUMBERVALUE('Procyfloc 1009'!C413,".",","),IFERROR(_xludf.NUMBERVALUE('Procyfloc 1009'!C413,",","."),0))))</f>
        <v/>
      </c>
      <c r="AE2912" t="str">
        <f>IF(AA2912="","",'Procyfloc 1009'!L413)</f>
        <v/>
      </c>
      <c r="AF2912">
        <f t="shared" si="287"/>
        <v>0</v>
      </c>
      <c r="AG2912" t="str">
        <f t="shared" si="288"/>
        <v/>
      </c>
      <c r="AH2912" t="str">
        <f t="shared" si="289"/>
        <v/>
      </c>
      <c r="AI2912">
        <f t="shared" si="290"/>
        <v>0</v>
      </c>
      <c r="AJ2912">
        <f t="shared" si="291"/>
        <v>0</v>
      </c>
      <c r="AK2912">
        <v>0</v>
      </c>
      <c r="AL2912" t="str">
        <f>IF(AA2912="","",IFERROR(IF(ISNUMBER('Procyfloc 1009'!D413),'Procyfloc 1009'!D413,IF(ISNUMBER(SEARCH("12",'Procyfloc 1009'!D413)),EDATE(AB2912,12),IF(ISNUMBER(SEARCH("6",'Procyfloc 1009'!D413)),EDATE(AB2912,6),IF(ISNUMBER(SEARCH("3",'Procyfloc 1009'!D413)),EDATE(AB2912,3),DATEVALUE('Procyfloc 1009'!D413))))),""))</f>
        <v/>
      </c>
      <c r="AM2912" t="str">
        <f t="shared" ca="1" si="292"/>
        <v/>
      </c>
    </row>
    <row r="2913" spans="27:39" x14ac:dyDescent="0.3">
      <c r="AA2913" t="str">
        <f>IF(COUNTA('Procyfloc 1009'!A414,'Procyfloc 1009'!B414,'Procyfloc 1009'!C414)&gt;0,"1009","")</f>
        <v/>
      </c>
      <c r="AB2913" t="str">
        <f>IFERROR(IF(ISNUMBER('Procyfloc 1009'!A414),'Procyfloc 1009'!A414,DATEVALUE('Procyfloc 1009'!A414)),"")</f>
        <v/>
      </c>
      <c r="AC2913" t="str">
        <f>IF(AA2913="","",'Procyfloc 1009'!B414)</f>
        <v/>
      </c>
      <c r="AD2913" t="str">
        <f>IF(AA2913="","",IFERROR(1*'Procyfloc 1009'!C414,IFERROR(_xludf.NUMBERVALUE('Procyfloc 1009'!C414,".",","),IFERROR(_xludf.NUMBERVALUE('Procyfloc 1009'!C414,",","."),0))))</f>
        <v/>
      </c>
      <c r="AE2913" t="str">
        <f>IF(AA2913="","",'Procyfloc 1009'!L414)</f>
        <v/>
      </c>
      <c r="AF2913">
        <f t="shared" si="287"/>
        <v>0</v>
      </c>
      <c r="AG2913" t="str">
        <f t="shared" si="288"/>
        <v/>
      </c>
      <c r="AH2913" t="str">
        <f t="shared" si="289"/>
        <v/>
      </c>
      <c r="AI2913">
        <f t="shared" si="290"/>
        <v>0</v>
      </c>
      <c r="AJ2913">
        <f t="shared" si="291"/>
        <v>0</v>
      </c>
      <c r="AK2913">
        <v>0</v>
      </c>
      <c r="AL2913" t="str">
        <f>IF(AA2913="","",IFERROR(IF(ISNUMBER('Procyfloc 1009'!D414),'Procyfloc 1009'!D414,IF(ISNUMBER(SEARCH("12",'Procyfloc 1009'!D414)),EDATE(AB2913,12),IF(ISNUMBER(SEARCH("6",'Procyfloc 1009'!D414)),EDATE(AB2913,6),IF(ISNUMBER(SEARCH("3",'Procyfloc 1009'!D414)),EDATE(AB2913,3),DATEVALUE('Procyfloc 1009'!D414))))),""))</f>
        <v/>
      </c>
      <c r="AM2913" t="str">
        <f t="shared" ca="1" si="292"/>
        <v/>
      </c>
    </row>
    <row r="2914" spans="27:39" x14ac:dyDescent="0.3">
      <c r="AA2914" t="str">
        <f>IF(COUNTA('Procyfloc 1009'!A415,'Procyfloc 1009'!B415,'Procyfloc 1009'!C415)&gt;0,"1009","")</f>
        <v/>
      </c>
      <c r="AB2914" t="str">
        <f>IFERROR(IF(ISNUMBER('Procyfloc 1009'!A415),'Procyfloc 1009'!A415,DATEVALUE('Procyfloc 1009'!A415)),"")</f>
        <v/>
      </c>
      <c r="AC2914" t="str">
        <f>IF(AA2914="","",'Procyfloc 1009'!B415)</f>
        <v/>
      </c>
      <c r="AD2914" t="str">
        <f>IF(AA2914="","",IFERROR(1*'Procyfloc 1009'!C415,IFERROR(_xludf.NUMBERVALUE('Procyfloc 1009'!C415,".",","),IFERROR(_xludf.NUMBERVALUE('Procyfloc 1009'!C415,",","."),0))))</f>
        <v/>
      </c>
      <c r="AE2914" t="str">
        <f>IF(AA2914="","",'Procyfloc 1009'!L415)</f>
        <v/>
      </c>
      <c r="AF2914">
        <f t="shared" si="287"/>
        <v>0</v>
      </c>
      <c r="AG2914" t="str">
        <f t="shared" si="288"/>
        <v/>
      </c>
      <c r="AH2914" t="str">
        <f t="shared" si="289"/>
        <v/>
      </c>
      <c r="AI2914">
        <f t="shared" si="290"/>
        <v>0</v>
      </c>
      <c r="AJ2914">
        <f t="shared" si="291"/>
        <v>0</v>
      </c>
      <c r="AK2914">
        <v>0</v>
      </c>
      <c r="AL2914" t="str">
        <f>IF(AA2914="","",IFERROR(IF(ISNUMBER('Procyfloc 1009'!D415),'Procyfloc 1009'!D415,IF(ISNUMBER(SEARCH("12",'Procyfloc 1009'!D415)),EDATE(AB2914,12),IF(ISNUMBER(SEARCH("6",'Procyfloc 1009'!D415)),EDATE(AB2914,6),IF(ISNUMBER(SEARCH("3",'Procyfloc 1009'!D415)),EDATE(AB2914,3),DATEVALUE('Procyfloc 1009'!D415))))),""))</f>
        <v/>
      </c>
      <c r="AM2914" t="str">
        <f t="shared" ca="1" si="292"/>
        <v/>
      </c>
    </row>
    <row r="2915" spans="27:39" x14ac:dyDescent="0.3">
      <c r="AA2915" t="str">
        <f>IF(COUNTA('Procyfloc 1009'!A416,'Procyfloc 1009'!B416,'Procyfloc 1009'!C416)&gt;0,"1009","")</f>
        <v/>
      </c>
      <c r="AB2915" t="str">
        <f>IFERROR(IF(ISNUMBER('Procyfloc 1009'!A416),'Procyfloc 1009'!A416,DATEVALUE('Procyfloc 1009'!A416)),"")</f>
        <v/>
      </c>
      <c r="AC2915" t="str">
        <f>IF(AA2915="","",'Procyfloc 1009'!B416)</f>
        <v/>
      </c>
      <c r="AD2915" t="str">
        <f>IF(AA2915="","",IFERROR(1*'Procyfloc 1009'!C416,IFERROR(_xludf.NUMBERVALUE('Procyfloc 1009'!C416,".",","),IFERROR(_xludf.NUMBERVALUE('Procyfloc 1009'!C416,",","."),0))))</f>
        <v/>
      </c>
      <c r="AE2915" t="str">
        <f>IF(AA2915="","",'Procyfloc 1009'!L416)</f>
        <v/>
      </c>
      <c r="AF2915">
        <f t="shared" si="287"/>
        <v>0</v>
      </c>
      <c r="AG2915" t="str">
        <f t="shared" si="288"/>
        <v/>
      </c>
      <c r="AH2915" t="str">
        <f t="shared" si="289"/>
        <v/>
      </c>
      <c r="AI2915">
        <f t="shared" si="290"/>
        <v>0</v>
      </c>
      <c r="AJ2915">
        <f t="shared" si="291"/>
        <v>0</v>
      </c>
      <c r="AK2915">
        <v>0</v>
      </c>
      <c r="AL2915" t="str">
        <f>IF(AA2915="","",IFERROR(IF(ISNUMBER('Procyfloc 1009'!D416),'Procyfloc 1009'!D416,IF(ISNUMBER(SEARCH("12",'Procyfloc 1009'!D416)),EDATE(AB2915,12),IF(ISNUMBER(SEARCH("6",'Procyfloc 1009'!D416)),EDATE(AB2915,6),IF(ISNUMBER(SEARCH("3",'Procyfloc 1009'!D416)),EDATE(AB2915,3),DATEVALUE('Procyfloc 1009'!D416))))),""))</f>
        <v/>
      </c>
      <c r="AM2915" t="str">
        <f t="shared" ca="1" si="292"/>
        <v/>
      </c>
    </row>
    <row r="2916" spans="27:39" x14ac:dyDescent="0.3">
      <c r="AA2916" t="str">
        <f>IF(COUNTA('Procyfloc 1009'!A417,'Procyfloc 1009'!B417,'Procyfloc 1009'!C417)&gt;0,"1009","")</f>
        <v/>
      </c>
      <c r="AB2916" t="str">
        <f>IFERROR(IF(ISNUMBER('Procyfloc 1009'!A417),'Procyfloc 1009'!A417,DATEVALUE('Procyfloc 1009'!A417)),"")</f>
        <v/>
      </c>
      <c r="AC2916" t="str">
        <f>IF(AA2916="","",'Procyfloc 1009'!B417)</f>
        <v/>
      </c>
      <c r="AD2916" t="str">
        <f>IF(AA2916="","",IFERROR(1*'Procyfloc 1009'!C417,IFERROR(_xludf.NUMBERVALUE('Procyfloc 1009'!C417,".",","),IFERROR(_xludf.NUMBERVALUE('Procyfloc 1009'!C417,",","."),0))))</f>
        <v/>
      </c>
      <c r="AE2916" t="str">
        <f>IF(AA2916="","",'Procyfloc 1009'!L417)</f>
        <v/>
      </c>
      <c r="AF2916">
        <f t="shared" si="287"/>
        <v>0</v>
      </c>
      <c r="AG2916" t="str">
        <f t="shared" si="288"/>
        <v/>
      </c>
      <c r="AH2916" t="str">
        <f t="shared" si="289"/>
        <v/>
      </c>
      <c r="AI2916">
        <f t="shared" si="290"/>
        <v>0</v>
      </c>
      <c r="AJ2916">
        <f t="shared" si="291"/>
        <v>0</v>
      </c>
      <c r="AK2916">
        <v>0</v>
      </c>
      <c r="AL2916" t="str">
        <f>IF(AA2916="","",IFERROR(IF(ISNUMBER('Procyfloc 1009'!D417),'Procyfloc 1009'!D417,IF(ISNUMBER(SEARCH("12",'Procyfloc 1009'!D417)),EDATE(AB2916,12),IF(ISNUMBER(SEARCH("6",'Procyfloc 1009'!D417)),EDATE(AB2916,6),IF(ISNUMBER(SEARCH("3",'Procyfloc 1009'!D417)),EDATE(AB2916,3),DATEVALUE('Procyfloc 1009'!D417))))),""))</f>
        <v/>
      </c>
      <c r="AM2916" t="str">
        <f t="shared" ca="1" si="292"/>
        <v/>
      </c>
    </row>
    <row r="2917" spans="27:39" x14ac:dyDescent="0.3">
      <c r="AA2917" t="str">
        <f>IF(COUNTA('Procyfloc 1009'!A418,'Procyfloc 1009'!B418,'Procyfloc 1009'!C418)&gt;0,"1009","")</f>
        <v/>
      </c>
      <c r="AB2917" t="str">
        <f>IFERROR(IF(ISNUMBER('Procyfloc 1009'!A418),'Procyfloc 1009'!A418,DATEVALUE('Procyfloc 1009'!A418)),"")</f>
        <v/>
      </c>
      <c r="AC2917" t="str">
        <f>IF(AA2917="","",'Procyfloc 1009'!B418)</f>
        <v/>
      </c>
      <c r="AD2917" t="str">
        <f>IF(AA2917="","",IFERROR(1*'Procyfloc 1009'!C418,IFERROR(_xludf.NUMBERVALUE('Procyfloc 1009'!C418,".",","),IFERROR(_xludf.NUMBERVALUE('Procyfloc 1009'!C418,",","."),0))))</f>
        <v/>
      </c>
      <c r="AE2917" t="str">
        <f>IF(AA2917="","",'Procyfloc 1009'!L418)</f>
        <v/>
      </c>
      <c r="AF2917">
        <f t="shared" si="287"/>
        <v>0</v>
      </c>
      <c r="AG2917" t="str">
        <f t="shared" si="288"/>
        <v/>
      </c>
      <c r="AH2917" t="str">
        <f t="shared" si="289"/>
        <v/>
      </c>
      <c r="AI2917">
        <f t="shared" si="290"/>
        <v>0</v>
      </c>
      <c r="AJ2917">
        <f t="shared" si="291"/>
        <v>0</v>
      </c>
      <c r="AK2917">
        <v>0</v>
      </c>
      <c r="AL2917" t="str">
        <f>IF(AA2917="","",IFERROR(IF(ISNUMBER('Procyfloc 1009'!D418),'Procyfloc 1009'!D418,IF(ISNUMBER(SEARCH("12",'Procyfloc 1009'!D418)),EDATE(AB2917,12),IF(ISNUMBER(SEARCH("6",'Procyfloc 1009'!D418)),EDATE(AB2917,6),IF(ISNUMBER(SEARCH("3",'Procyfloc 1009'!D418)),EDATE(AB2917,3),DATEVALUE('Procyfloc 1009'!D418))))),""))</f>
        <v/>
      </c>
      <c r="AM2917" t="str">
        <f t="shared" ca="1" si="292"/>
        <v/>
      </c>
    </row>
    <row r="2918" spans="27:39" x14ac:dyDescent="0.3">
      <c r="AA2918" t="str">
        <f>IF(COUNTA('Procyfloc 1009'!A419,'Procyfloc 1009'!B419,'Procyfloc 1009'!C419)&gt;0,"1009","")</f>
        <v/>
      </c>
      <c r="AB2918" t="str">
        <f>IFERROR(IF(ISNUMBER('Procyfloc 1009'!A419),'Procyfloc 1009'!A419,DATEVALUE('Procyfloc 1009'!A419)),"")</f>
        <v/>
      </c>
      <c r="AC2918" t="str">
        <f>IF(AA2918="","",'Procyfloc 1009'!B419)</f>
        <v/>
      </c>
      <c r="AD2918" t="str">
        <f>IF(AA2918="","",IFERROR(1*'Procyfloc 1009'!C419,IFERROR(_xludf.NUMBERVALUE('Procyfloc 1009'!C419,".",","),IFERROR(_xludf.NUMBERVALUE('Procyfloc 1009'!C419,",","."),0))))</f>
        <v/>
      </c>
      <c r="AE2918" t="str">
        <f>IF(AA2918="","",'Procyfloc 1009'!L419)</f>
        <v/>
      </c>
      <c r="AF2918">
        <f t="shared" si="287"/>
        <v>0</v>
      </c>
      <c r="AG2918" t="str">
        <f t="shared" si="288"/>
        <v/>
      </c>
      <c r="AH2918" t="str">
        <f t="shared" si="289"/>
        <v/>
      </c>
      <c r="AI2918">
        <f t="shared" si="290"/>
        <v>0</v>
      </c>
      <c r="AJ2918">
        <f t="shared" si="291"/>
        <v>0</v>
      </c>
      <c r="AK2918">
        <v>0</v>
      </c>
      <c r="AL2918" t="str">
        <f>IF(AA2918="","",IFERROR(IF(ISNUMBER('Procyfloc 1009'!D419),'Procyfloc 1009'!D419,IF(ISNUMBER(SEARCH("12",'Procyfloc 1009'!D419)),EDATE(AB2918,12),IF(ISNUMBER(SEARCH("6",'Procyfloc 1009'!D419)),EDATE(AB2918,6),IF(ISNUMBER(SEARCH("3",'Procyfloc 1009'!D419)),EDATE(AB2918,3),DATEVALUE('Procyfloc 1009'!D419))))),""))</f>
        <v/>
      </c>
      <c r="AM2918" t="str">
        <f t="shared" ca="1" si="292"/>
        <v/>
      </c>
    </row>
    <row r="2919" spans="27:39" x14ac:dyDescent="0.3">
      <c r="AA2919" t="str">
        <f>IF(COUNTA('Procyfloc 1009'!A420,'Procyfloc 1009'!B420,'Procyfloc 1009'!C420)&gt;0,"1009","")</f>
        <v/>
      </c>
      <c r="AB2919" t="str">
        <f>IFERROR(IF(ISNUMBER('Procyfloc 1009'!A420),'Procyfloc 1009'!A420,DATEVALUE('Procyfloc 1009'!A420)),"")</f>
        <v/>
      </c>
      <c r="AC2919" t="str">
        <f>IF(AA2919="","",'Procyfloc 1009'!B420)</f>
        <v/>
      </c>
      <c r="AD2919" t="str">
        <f>IF(AA2919="","",IFERROR(1*'Procyfloc 1009'!C420,IFERROR(_xludf.NUMBERVALUE('Procyfloc 1009'!C420,".",","),IFERROR(_xludf.NUMBERVALUE('Procyfloc 1009'!C420,",","."),0))))</f>
        <v/>
      </c>
      <c r="AE2919" t="str">
        <f>IF(AA2919="","",'Procyfloc 1009'!L420)</f>
        <v/>
      </c>
      <c r="AF2919">
        <f t="shared" si="287"/>
        <v>0</v>
      </c>
      <c r="AG2919" t="str">
        <f t="shared" si="288"/>
        <v/>
      </c>
      <c r="AH2919" t="str">
        <f t="shared" si="289"/>
        <v/>
      </c>
      <c r="AI2919">
        <f t="shared" si="290"/>
        <v>0</v>
      </c>
      <c r="AJ2919">
        <f t="shared" si="291"/>
        <v>0</v>
      </c>
      <c r="AK2919">
        <v>0</v>
      </c>
      <c r="AL2919" t="str">
        <f>IF(AA2919="","",IFERROR(IF(ISNUMBER('Procyfloc 1009'!D420),'Procyfloc 1009'!D420,IF(ISNUMBER(SEARCH("12",'Procyfloc 1009'!D420)),EDATE(AB2919,12),IF(ISNUMBER(SEARCH("6",'Procyfloc 1009'!D420)),EDATE(AB2919,6),IF(ISNUMBER(SEARCH("3",'Procyfloc 1009'!D420)),EDATE(AB2919,3),DATEVALUE('Procyfloc 1009'!D420))))),""))</f>
        <v/>
      </c>
      <c r="AM2919" t="str">
        <f t="shared" ca="1" si="292"/>
        <v/>
      </c>
    </row>
    <row r="2920" spans="27:39" x14ac:dyDescent="0.3">
      <c r="AA2920" t="str">
        <f>IF(COUNTA('Procyfloc 1009'!A421,'Procyfloc 1009'!B421,'Procyfloc 1009'!C421)&gt;0,"1009","")</f>
        <v/>
      </c>
      <c r="AB2920" t="str">
        <f>IFERROR(IF(ISNUMBER('Procyfloc 1009'!A421),'Procyfloc 1009'!A421,DATEVALUE('Procyfloc 1009'!A421)),"")</f>
        <v/>
      </c>
      <c r="AC2920" t="str">
        <f>IF(AA2920="","",'Procyfloc 1009'!B421)</f>
        <v/>
      </c>
      <c r="AD2920" t="str">
        <f>IF(AA2920="","",IFERROR(1*'Procyfloc 1009'!C421,IFERROR(_xludf.NUMBERVALUE('Procyfloc 1009'!C421,".",","),IFERROR(_xludf.NUMBERVALUE('Procyfloc 1009'!C421,",","."),0))))</f>
        <v/>
      </c>
      <c r="AE2920" t="str">
        <f>IF(AA2920="","",'Procyfloc 1009'!L421)</f>
        <v/>
      </c>
      <c r="AF2920">
        <f t="shared" si="287"/>
        <v>0</v>
      </c>
      <c r="AG2920" t="str">
        <f t="shared" si="288"/>
        <v/>
      </c>
      <c r="AH2920" t="str">
        <f t="shared" si="289"/>
        <v/>
      </c>
      <c r="AI2920">
        <f t="shared" si="290"/>
        <v>0</v>
      </c>
      <c r="AJ2920">
        <f t="shared" si="291"/>
        <v>0</v>
      </c>
      <c r="AK2920">
        <v>0</v>
      </c>
      <c r="AL2920" t="str">
        <f>IF(AA2920="","",IFERROR(IF(ISNUMBER('Procyfloc 1009'!D421),'Procyfloc 1009'!D421,IF(ISNUMBER(SEARCH("12",'Procyfloc 1009'!D421)),EDATE(AB2920,12),IF(ISNUMBER(SEARCH("6",'Procyfloc 1009'!D421)),EDATE(AB2920,6),IF(ISNUMBER(SEARCH("3",'Procyfloc 1009'!D421)),EDATE(AB2920,3),DATEVALUE('Procyfloc 1009'!D421))))),""))</f>
        <v/>
      </c>
      <c r="AM2920" t="str">
        <f t="shared" ca="1" si="292"/>
        <v/>
      </c>
    </row>
    <row r="2921" spans="27:39" x14ac:dyDescent="0.3">
      <c r="AA2921" t="str">
        <f>IF(COUNTA('Procyfloc 1009'!A422,'Procyfloc 1009'!B422,'Procyfloc 1009'!C422)&gt;0,"1009","")</f>
        <v/>
      </c>
      <c r="AB2921" t="str">
        <f>IFERROR(IF(ISNUMBER('Procyfloc 1009'!A422),'Procyfloc 1009'!A422,DATEVALUE('Procyfloc 1009'!A422)),"")</f>
        <v/>
      </c>
      <c r="AC2921" t="str">
        <f>IF(AA2921="","",'Procyfloc 1009'!B422)</f>
        <v/>
      </c>
      <c r="AD2921" t="str">
        <f>IF(AA2921="","",IFERROR(1*'Procyfloc 1009'!C422,IFERROR(_xludf.NUMBERVALUE('Procyfloc 1009'!C422,".",","),IFERROR(_xludf.NUMBERVALUE('Procyfloc 1009'!C422,",","."),0))))</f>
        <v/>
      </c>
      <c r="AE2921" t="str">
        <f>IF(AA2921="","",'Procyfloc 1009'!L422)</f>
        <v/>
      </c>
      <c r="AF2921">
        <f t="shared" si="287"/>
        <v>0</v>
      </c>
      <c r="AG2921" t="str">
        <f t="shared" si="288"/>
        <v/>
      </c>
      <c r="AH2921" t="str">
        <f t="shared" si="289"/>
        <v/>
      </c>
      <c r="AI2921">
        <f t="shared" si="290"/>
        <v>0</v>
      </c>
      <c r="AJ2921">
        <f t="shared" si="291"/>
        <v>0</v>
      </c>
      <c r="AK2921">
        <v>0</v>
      </c>
      <c r="AL2921" t="str">
        <f>IF(AA2921="","",IFERROR(IF(ISNUMBER('Procyfloc 1009'!D422),'Procyfloc 1009'!D422,IF(ISNUMBER(SEARCH("12",'Procyfloc 1009'!D422)),EDATE(AB2921,12),IF(ISNUMBER(SEARCH("6",'Procyfloc 1009'!D422)),EDATE(AB2921,6),IF(ISNUMBER(SEARCH("3",'Procyfloc 1009'!D422)),EDATE(AB2921,3),DATEVALUE('Procyfloc 1009'!D422))))),""))</f>
        <v/>
      </c>
      <c r="AM2921" t="str">
        <f t="shared" ca="1" si="292"/>
        <v/>
      </c>
    </row>
    <row r="2922" spans="27:39" x14ac:dyDescent="0.3">
      <c r="AA2922" t="str">
        <f>IF(COUNTA('Procyfloc 1009'!A423,'Procyfloc 1009'!B423,'Procyfloc 1009'!C423)&gt;0,"1009","")</f>
        <v/>
      </c>
      <c r="AB2922" t="str">
        <f>IFERROR(IF(ISNUMBER('Procyfloc 1009'!A423),'Procyfloc 1009'!A423,DATEVALUE('Procyfloc 1009'!A423)),"")</f>
        <v/>
      </c>
      <c r="AC2922" t="str">
        <f>IF(AA2922="","",'Procyfloc 1009'!B423)</f>
        <v/>
      </c>
      <c r="AD2922" t="str">
        <f>IF(AA2922="","",IFERROR(1*'Procyfloc 1009'!C423,IFERROR(_xludf.NUMBERVALUE('Procyfloc 1009'!C423,".",","),IFERROR(_xludf.NUMBERVALUE('Procyfloc 1009'!C423,",","."),0))))</f>
        <v/>
      </c>
      <c r="AE2922" t="str">
        <f>IF(AA2922="","",'Procyfloc 1009'!L423)</f>
        <v/>
      </c>
      <c r="AF2922">
        <f t="shared" si="287"/>
        <v>0</v>
      </c>
      <c r="AG2922" t="str">
        <f t="shared" si="288"/>
        <v/>
      </c>
      <c r="AH2922" t="str">
        <f t="shared" si="289"/>
        <v/>
      </c>
      <c r="AI2922">
        <f t="shared" si="290"/>
        <v>0</v>
      </c>
      <c r="AJ2922">
        <f t="shared" si="291"/>
        <v>0</v>
      </c>
      <c r="AK2922">
        <v>0</v>
      </c>
      <c r="AL2922" t="str">
        <f>IF(AA2922="","",IFERROR(IF(ISNUMBER('Procyfloc 1009'!D423),'Procyfloc 1009'!D423,IF(ISNUMBER(SEARCH("12",'Procyfloc 1009'!D423)),EDATE(AB2922,12),IF(ISNUMBER(SEARCH("6",'Procyfloc 1009'!D423)),EDATE(AB2922,6),IF(ISNUMBER(SEARCH("3",'Procyfloc 1009'!D423)),EDATE(AB2922,3),DATEVALUE('Procyfloc 1009'!D423))))),""))</f>
        <v/>
      </c>
      <c r="AM2922" t="str">
        <f t="shared" ca="1" si="292"/>
        <v/>
      </c>
    </row>
    <row r="2923" spans="27:39" x14ac:dyDescent="0.3">
      <c r="AA2923" t="str">
        <f>IF(COUNTA('Procyfloc 1009'!A424,'Procyfloc 1009'!B424,'Procyfloc 1009'!C424)&gt;0,"1009","")</f>
        <v/>
      </c>
      <c r="AB2923" t="str">
        <f>IFERROR(IF(ISNUMBER('Procyfloc 1009'!A424),'Procyfloc 1009'!A424,DATEVALUE('Procyfloc 1009'!A424)),"")</f>
        <v/>
      </c>
      <c r="AC2923" t="str">
        <f>IF(AA2923="","",'Procyfloc 1009'!B424)</f>
        <v/>
      </c>
      <c r="AD2923" t="str">
        <f>IF(AA2923="","",IFERROR(1*'Procyfloc 1009'!C424,IFERROR(_xludf.NUMBERVALUE('Procyfloc 1009'!C424,".",","),IFERROR(_xludf.NUMBERVALUE('Procyfloc 1009'!C424,",","."),0))))</f>
        <v/>
      </c>
      <c r="AE2923" t="str">
        <f>IF(AA2923="","",'Procyfloc 1009'!L424)</f>
        <v/>
      </c>
      <c r="AF2923">
        <f t="shared" si="287"/>
        <v>0</v>
      </c>
      <c r="AG2923" t="str">
        <f t="shared" si="288"/>
        <v/>
      </c>
      <c r="AH2923" t="str">
        <f t="shared" si="289"/>
        <v/>
      </c>
      <c r="AI2923">
        <f t="shared" si="290"/>
        <v>0</v>
      </c>
      <c r="AJ2923">
        <f t="shared" si="291"/>
        <v>0</v>
      </c>
      <c r="AK2923">
        <v>0</v>
      </c>
      <c r="AL2923" t="str">
        <f>IF(AA2923="","",IFERROR(IF(ISNUMBER('Procyfloc 1009'!D424),'Procyfloc 1009'!D424,IF(ISNUMBER(SEARCH("12",'Procyfloc 1009'!D424)),EDATE(AB2923,12),IF(ISNUMBER(SEARCH("6",'Procyfloc 1009'!D424)),EDATE(AB2923,6),IF(ISNUMBER(SEARCH("3",'Procyfloc 1009'!D424)),EDATE(AB2923,3),DATEVALUE('Procyfloc 1009'!D424))))),""))</f>
        <v/>
      </c>
      <c r="AM2923" t="str">
        <f t="shared" ca="1" si="292"/>
        <v/>
      </c>
    </row>
    <row r="2924" spans="27:39" x14ac:dyDescent="0.3">
      <c r="AA2924" t="str">
        <f>IF(COUNTA('Procyfloc 1009'!A425,'Procyfloc 1009'!B425,'Procyfloc 1009'!C425)&gt;0,"1009","")</f>
        <v/>
      </c>
      <c r="AB2924" t="str">
        <f>IFERROR(IF(ISNUMBER('Procyfloc 1009'!A425),'Procyfloc 1009'!A425,DATEVALUE('Procyfloc 1009'!A425)),"")</f>
        <v/>
      </c>
      <c r="AC2924" t="str">
        <f>IF(AA2924="","",'Procyfloc 1009'!B425)</f>
        <v/>
      </c>
      <c r="AD2924" t="str">
        <f>IF(AA2924="","",IFERROR(1*'Procyfloc 1009'!C425,IFERROR(_xludf.NUMBERVALUE('Procyfloc 1009'!C425,".",","),IFERROR(_xludf.NUMBERVALUE('Procyfloc 1009'!C425,",","."),0))))</f>
        <v/>
      </c>
      <c r="AE2924" t="str">
        <f>IF(AA2924="","",'Procyfloc 1009'!L425)</f>
        <v/>
      </c>
      <c r="AF2924">
        <f t="shared" si="287"/>
        <v>0</v>
      </c>
      <c r="AG2924" t="str">
        <f t="shared" si="288"/>
        <v/>
      </c>
      <c r="AH2924" t="str">
        <f t="shared" si="289"/>
        <v/>
      </c>
      <c r="AI2924">
        <f t="shared" si="290"/>
        <v>0</v>
      </c>
      <c r="AJ2924">
        <f t="shared" si="291"/>
        <v>0</v>
      </c>
      <c r="AK2924">
        <v>0</v>
      </c>
      <c r="AL2924" t="str">
        <f>IF(AA2924="","",IFERROR(IF(ISNUMBER('Procyfloc 1009'!D425),'Procyfloc 1009'!D425,IF(ISNUMBER(SEARCH("12",'Procyfloc 1009'!D425)),EDATE(AB2924,12),IF(ISNUMBER(SEARCH("6",'Procyfloc 1009'!D425)),EDATE(AB2924,6),IF(ISNUMBER(SEARCH("3",'Procyfloc 1009'!D425)),EDATE(AB2924,3),DATEVALUE('Procyfloc 1009'!D425))))),""))</f>
        <v/>
      </c>
      <c r="AM2924" t="str">
        <f t="shared" ca="1" si="292"/>
        <v/>
      </c>
    </row>
    <row r="2925" spans="27:39" x14ac:dyDescent="0.3">
      <c r="AA2925" t="str">
        <f>IF(COUNTA('Procyfloc 1009'!A426,'Procyfloc 1009'!B426,'Procyfloc 1009'!C426)&gt;0,"1009","")</f>
        <v/>
      </c>
      <c r="AB2925" t="str">
        <f>IFERROR(IF(ISNUMBER('Procyfloc 1009'!A426),'Procyfloc 1009'!A426,DATEVALUE('Procyfloc 1009'!A426)),"")</f>
        <v/>
      </c>
      <c r="AC2925" t="str">
        <f>IF(AA2925="","",'Procyfloc 1009'!B426)</f>
        <v/>
      </c>
      <c r="AD2925" t="str">
        <f>IF(AA2925="","",IFERROR(1*'Procyfloc 1009'!C426,IFERROR(_xludf.NUMBERVALUE('Procyfloc 1009'!C426,".",","),IFERROR(_xludf.NUMBERVALUE('Procyfloc 1009'!C426,",","."),0))))</f>
        <v/>
      </c>
      <c r="AE2925" t="str">
        <f>IF(AA2925="","",'Procyfloc 1009'!L426)</f>
        <v/>
      </c>
      <c r="AF2925">
        <f t="shared" si="287"/>
        <v>0</v>
      </c>
      <c r="AG2925" t="str">
        <f t="shared" si="288"/>
        <v/>
      </c>
      <c r="AH2925" t="str">
        <f t="shared" si="289"/>
        <v/>
      </c>
      <c r="AI2925">
        <f t="shared" si="290"/>
        <v>0</v>
      </c>
      <c r="AJ2925">
        <f t="shared" si="291"/>
        <v>0</v>
      </c>
      <c r="AK2925">
        <v>0</v>
      </c>
      <c r="AL2925" t="str">
        <f>IF(AA2925="","",IFERROR(IF(ISNUMBER('Procyfloc 1009'!D426),'Procyfloc 1009'!D426,IF(ISNUMBER(SEARCH("12",'Procyfloc 1009'!D426)),EDATE(AB2925,12),IF(ISNUMBER(SEARCH("6",'Procyfloc 1009'!D426)),EDATE(AB2925,6),IF(ISNUMBER(SEARCH("3",'Procyfloc 1009'!D426)),EDATE(AB2925,3),DATEVALUE('Procyfloc 1009'!D426))))),""))</f>
        <v/>
      </c>
      <c r="AM2925" t="str">
        <f t="shared" ca="1" si="292"/>
        <v/>
      </c>
    </row>
    <row r="2926" spans="27:39" x14ac:dyDescent="0.3">
      <c r="AA2926" t="str">
        <f>IF(COUNTA('Procyfloc 1009'!A427,'Procyfloc 1009'!B427,'Procyfloc 1009'!C427)&gt;0,"1009","")</f>
        <v/>
      </c>
      <c r="AB2926" t="str">
        <f>IFERROR(IF(ISNUMBER('Procyfloc 1009'!A427),'Procyfloc 1009'!A427,DATEVALUE('Procyfloc 1009'!A427)),"")</f>
        <v/>
      </c>
      <c r="AC2926" t="str">
        <f>IF(AA2926="","",'Procyfloc 1009'!B427)</f>
        <v/>
      </c>
      <c r="AD2926" t="str">
        <f>IF(AA2926="","",IFERROR(1*'Procyfloc 1009'!C427,IFERROR(_xludf.NUMBERVALUE('Procyfloc 1009'!C427,".",","),IFERROR(_xludf.NUMBERVALUE('Procyfloc 1009'!C427,",","."),0))))</f>
        <v/>
      </c>
      <c r="AE2926" t="str">
        <f>IF(AA2926="","",'Procyfloc 1009'!L427)</f>
        <v/>
      </c>
      <c r="AF2926">
        <f t="shared" si="287"/>
        <v>0</v>
      </c>
      <c r="AG2926" t="str">
        <f t="shared" si="288"/>
        <v/>
      </c>
      <c r="AH2926" t="str">
        <f t="shared" si="289"/>
        <v/>
      </c>
      <c r="AI2926">
        <f t="shared" si="290"/>
        <v>0</v>
      </c>
      <c r="AJ2926">
        <f t="shared" si="291"/>
        <v>0</v>
      </c>
      <c r="AK2926">
        <v>0</v>
      </c>
      <c r="AL2926" t="str">
        <f>IF(AA2926="","",IFERROR(IF(ISNUMBER('Procyfloc 1009'!D427),'Procyfloc 1009'!D427,IF(ISNUMBER(SEARCH("12",'Procyfloc 1009'!D427)),EDATE(AB2926,12),IF(ISNUMBER(SEARCH("6",'Procyfloc 1009'!D427)),EDATE(AB2926,6),IF(ISNUMBER(SEARCH("3",'Procyfloc 1009'!D427)),EDATE(AB2926,3),DATEVALUE('Procyfloc 1009'!D427))))),""))</f>
        <v/>
      </c>
      <c r="AM2926" t="str">
        <f t="shared" ca="1" si="292"/>
        <v/>
      </c>
    </row>
    <row r="2927" spans="27:39" x14ac:dyDescent="0.3">
      <c r="AA2927" t="str">
        <f>IF(COUNTA('Procyfloc 1009'!A428,'Procyfloc 1009'!B428,'Procyfloc 1009'!C428)&gt;0,"1009","")</f>
        <v/>
      </c>
      <c r="AB2927" t="str">
        <f>IFERROR(IF(ISNUMBER('Procyfloc 1009'!A428),'Procyfloc 1009'!A428,DATEVALUE('Procyfloc 1009'!A428)),"")</f>
        <v/>
      </c>
      <c r="AC2927" t="str">
        <f>IF(AA2927="","",'Procyfloc 1009'!B428)</f>
        <v/>
      </c>
      <c r="AD2927" t="str">
        <f>IF(AA2927="","",IFERROR(1*'Procyfloc 1009'!C428,IFERROR(_xludf.NUMBERVALUE('Procyfloc 1009'!C428,".",","),IFERROR(_xludf.NUMBERVALUE('Procyfloc 1009'!C428,",","."),0))))</f>
        <v/>
      </c>
      <c r="AE2927" t="str">
        <f>IF(AA2927="","",'Procyfloc 1009'!L428)</f>
        <v/>
      </c>
      <c r="AF2927">
        <f t="shared" si="287"/>
        <v>0</v>
      </c>
      <c r="AG2927" t="str">
        <f t="shared" si="288"/>
        <v/>
      </c>
      <c r="AH2927" t="str">
        <f t="shared" si="289"/>
        <v/>
      </c>
      <c r="AI2927">
        <f t="shared" si="290"/>
        <v>0</v>
      </c>
      <c r="AJ2927">
        <f t="shared" si="291"/>
        <v>0</v>
      </c>
      <c r="AK2927">
        <v>0</v>
      </c>
      <c r="AL2927" t="str">
        <f>IF(AA2927="","",IFERROR(IF(ISNUMBER('Procyfloc 1009'!D428),'Procyfloc 1009'!D428,IF(ISNUMBER(SEARCH("12",'Procyfloc 1009'!D428)),EDATE(AB2927,12),IF(ISNUMBER(SEARCH("6",'Procyfloc 1009'!D428)),EDATE(AB2927,6),IF(ISNUMBER(SEARCH("3",'Procyfloc 1009'!D428)),EDATE(AB2927,3),DATEVALUE('Procyfloc 1009'!D428))))),""))</f>
        <v/>
      </c>
      <c r="AM2927" t="str">
        <f t="shared" ca="1" si="292"/>
        <v/>
      </c>
    </row>
    <row r="2928" spans="27:39" x14ac:dyDescent="0.3">
      <c r="AA2928" t="str">
        <f>IF(COUNTA('Procyfloc 1009'!A429,'Procyfloc 1009'!B429,'Procyfloc 1009'!C429)&gt;0,"1009","")</f>
        <v/>
      </c>
      <c r="AB2928" t="str">
        <f>IFERROR(IF(ISNUMBER('Procyfloc 1009'!A429),'Procyfloc 1009'!A429,DATEVALUE('Procyfloc 1009'!A429)),"")</f>
        <v/>
      </c>
      <c r="AC2928" t="str">
        <f>IF(AA2928="","",'Procyfloc 1009'!B429)</f>
        <v/>
      </c>
      <c r="AD2928" t="str">
        <f>IF(AA2928="","",IFERROR(1*'Procyfloc 1009'!C429,IFERROR(_xludf.NUMBERVALUE('Procyfloc 1009'!C429,".",","),IFERROR(_xludf.NUMBERVALUE('Procyfloc 1009'!C429,",","."),0))))</f>
        <v/>
      </c>
      <c r="AE2928" t="str">
        <f>IF(AA2928="","",'Procyfloc 1009'!L429)</f>
        <v/>
      </c>
      <c r="AF2928">
        <f t="shared" si="287"/>
        <v>0</v>
      </c>
      <c r="AG2928" t="str">
        <f t="shared" si="288"/>
        <v/>
      </c>
      <c r="AH2928" t="str">
        <f t="shared" si="289"/>
        <v/>
      </c>
      <c r="AI2928">
        <f t="shared" si="290"/>
        <v>0</v>
      </c>
      <c r="AJ2928">
        <f t="shared" si="291"/>
        <v>0</v>
      </c>
      <c r="AK2928">
        <v>0</v>
      </c>
      <c r="AL2928" t="str">
        <f>IF(AA2928="","",IFERROR(IF(ISNUMBER('Procyfloc 1009'!D429),'Procyfloc 1009'!D429,IF(ISNUMBER(SEARCH("12",'Procyfloc 1009'!D429)),EDATE(AB2928,12),IF(ISNUMBER(SEARCH("6",'Procyfloc 1009'!D429)),EDATE(AB2928,6),IF(ISNUMBER(SEARCH("3",'Procyfloc 1009'!D429)),EDATE(AB2928,3),DATEVALUE('Procyfloc 1009'!D429))))),""))</f>
        <v/>
      </c>
      <c r="AM2928" t="str">
        <f t="shared" ca="1" si="292"/>
        <v/>
      </c>
    </row>
    <row r="2929" spans="27:39" x14ac:dyDescent="0.3">
      <c r="AA2929" t="str">
        <f>IF(COUNTA('Procyfloc 1009'!A430,'Procyfloc 1009'!B430,'Procyfloc 1009'!C430)&gt;0,"1009","")</f>
        <v/>
      </c>
      <c r="AB2929" t="str">
        <f>IFERROR(IF(ISNUMBER('Procyfloc 1009'!A430),'Procyfloc 1009'!A430,DATEVALUE('Procyfloc 1009'!A430)),"")</f>
        <v/>
      </c>
      <c r="AC2929" t="str">
        <f>IF(AA2929="","",'Procyfloc 1009'!B430)</f>
        <v/>
      </c>
      <c r="AD2929" t="str">
        <f>IF(AA2929="","",IFERROR(1*'Procyfloc 1009'!C430,IFERROR(_xludf.NUMBERVALUE('Procyfloc 1009'!C430,".",","),IFERROR(_xludf.NUMBERVALUE('Procyfloc 1009'!C430,",","."),0))))</f>
        <v/>
      </c>
      <c r="AE2929" t="str">
        <f>IF(AA2929="","",'Procyfloc 1009'!L430)</f>
        <v/>
      </c>
      <c r="AF2929">
        <f t="shared" si="287"/>
        <v>0</v>
      </c>
      <c r="AG2929" t="str">
        <f t="shared" si="288"/>
        <v/>
      </c>
      <c r="AH2929" t="str">
        <f t="shared" si="289"/>
        <v/>
      </c>
      <c r="AI2929">
        <f t="shared" si="290"/>
        <v>0</v>
      </c>
      <c r="AJ2929">
        <f t="shared" si="291"/>
        <v>0</v>
      </c>
      <c r="AK2929">
        <v>0</v>
      </c>
      <c r="AL2929" t="str">
        <f>IF(AA2929="","",IFERROR(IF(ISNUMBER('Procyfloc 1009'!D430),'Procyfloc 1009'!D430,IF(ISNUMBER(SEARCH("12",'Procyfloc 1009'!D430)),EDATE(AB2929,12),IF(ISNUMBER(SEARCH("6",'Procyfloc 1009'!D430)),EDATE(AB2929,6),IF(ISNUMBER(SEARCH("3",'Procyfloc 1009'!D430)),EDATE(AB2929,3),DATEVALUE('Procyfloc 1009'!D430))))),""))</f>
        <v/>
      </c>
      <c r="AM2929" t="str">
        <f t="shared" ca="1" si="292"/>
        <v/>
      </c>
    </row>
    <row r="2930" spans="27:39" x14ac:dyDescent="0.3">
      <c r="AA2930" t="str">
        <f>IF(COUNTA('Procyfloc 1009'!A431,'Procyfloc 1009'!B431,'Procyfloc 1009'!C431)&gt;0,"1009","")</f>
        <v/>
      </c>
      <c r="AB2930" t="str">
        <f>IFERROR(IF(ISNUMBER('Procyfloc 1009'!A431),'Procyfloc 1009'!A431,DATEVALUE('Procyfloc 1009'!A431)),"")</f>
        <v/>
      </c>
      <c r="AC2930" t="str">
        <f>IF(AA2930="","",'Procyfloc 1009'!B431)</f>
        <v/>
      </c>
      <c r="AD2930" t="str">
        <f>IF(AA2930="","",IFERROR(1*'Procyfloc 1009'!C431,IFERROR(_xludf.NUMBERVALUE('Procyfloc 1009'!C431,".",","),IFERROR(_xludf.NUMBERVALUE('Procyfloc 1009'!C431,",","."),0))))</f>
        <v/>
      </c>
      <c r="AE2930" t="str">
        <f>IF(AA2930="","",'Procyfloc 1009'!L431)</f>
        <v/>
      </c>
      <c r="AF2930">
        <f t="shared" si="287"/>
        <v>0</v>
      </c>
      <c r="AG2930" t="str">
        <f t="shared" si="288"/>
        <v/>
      </c>
      <c r="AH2930" t="str">
        <f t="shared" si="289"/>
        <v/>
      </c>
      <c r="AI2930">
        <f t="shared" si="290"/>
        <v>0</v>
      </c>
      <c r="AJ2930">
        <f t="shared" si="291"/>
        <v>0</v>
      </c>
      <c r="AK2930">
        <v>0</v>
      </c>
      <c r="AL2930" t="str">
        <f>IF(AA2930="","",IFERROR(IF(ISNUMBER('Procyfloc 1009'!D431),'Procyfloc 1009'!D431,IF(ISNUMBER(SEARCH("12",'Procyfloc 1009'!D431)),EDATE(AB2930,12),IF(ISNUMBER(SEARCH("6",'Procyfloc 1009'!D431)),EDATE(AB2930,6),IF(ISNUMBER(SEARCH("3",'Procyfloc 1009'!D431)),EDATE(AB2930,3),DATEVALUE('Procyfloc 1009'!D431))))),""))</f>
        <v/>
      </c>
      <c r="AM2930" t="str">
        <f t="shared" ca="1" si="292"/>
        <v/>
      </c>
    </row>
    <row r="2931" spans="27:39" x14ac:dyDescent="0.3">
      <c r="AA2931" t="str">
        <f>IF(COUNTA('Procyfloc 1009'!A432,'Procyfloc 1009'!B432,'Procyfloc 1009'!C432)&gt;0,"1009","")</f>
        <v/>
      </c>
      <c r="AB2931" t="str">
        <f>IFERROR(IF(ISNUMBER('Procyfloc 1009'!A432),'Procyfloc 1009'!A432,DATEVALUE('Procyfloc 1009'!A432)),"")</f>
        <v/>
      </c>
      <c r="AC2931" t="str">
        <f>IF(AA2931="","",'Procyfloc 1009'!B432)</f>
        <v/>
      </c>
      <c r="AD2931" t="str">
        <f>IF(AA2931="","",IFERROR(1*'Procyfloc 1009'!C432,IFERROR(_xludf.NUMBERVALUE('Procyfloc 1009'!C432,".",","),IFERROR(_xludf.NUMBERVALUE('Procyfloc 1009'!C432,",","."),0))))</f>
        <v/>
      </c>
      <c r="AE2931" t="str">
        <f>IF(AA2931="","",'Procyfloc 1009'!L432)</f>
        <v/>
      </c>
      <c r="AF2931">
        <f t="shared" si="287"/>
        <v>0</v>
      </c>
      <c r="AG2931" t="str">
        <f t="shared" si="288"/>
        <v/>
      </c>
      <c r="AH2931" t="str">
        <f t="shared" si="289"/>
        <v/>
      </c>
      <c r="AI2931">
        <f t="shared" si="290"/>
        <v>0</v>
      </c>
      <c r="AJ2931">
        <f t="shared" si="291"/>
        <v>0</v>
      </c>
      <c r="AK2931">
        <v>0</v>
      </c>
      <c r="AL2931" t="str">
        <f>IF(AA2931="","",IFERROR(IF(ISNUMBER('Procyfloc 1009'!D432),'Procyfloc 1009'!D432,IF(ISNUMBER(SEARCH("12",'Procyfloc 1009'!D432)),EDATE(AB2931,12),IF(ISNUMBER(SEARCH("6",'Procyfloc 1009'!D432)),EDATE(AB2931,6),IF(ISNUMBER(SEARCH("3",'Procyfloc 1009'!D432)),EDATE(AB2931,3),DATEVALUE('Procyfloc 1009'!D432))))),""))</f>
        <v/>
      </c>
      <c r="AM2931" t="str">
        <f t="shared" ca="1" si="292"/>
        <v/>
      </c>
    </row>
    <row r="2932" spans="27:39" x14ac:dyDescent="0.3">
      <c r="AA2932" t="str">
        <f>IF(COUNTA('Procyfloc 1009'!A433,'Procyfloc 1009'!B433,'Procyfloc 1009'!C433)&gt;0,"1009","")</f>
        <v/>
      </c>
      <c r="AB2932" t="str">
        <f>IFERROR(IF(ISNUMBER('Procyfloc 1009'!A433),'Procyfloc 1009'!A433,DATEVALUE('Procyfloc 1009'!A433)),"")</f>
        <v/>
      </c>
      <c r="AC2932" t="str">
        <f>IF(AA2932="","",'Procyfloc 1009'!B433)</f>
        <v/>
      </c>
      <c r="AD2932" t="str">
        <f>IF(AA2932="","",IFERROR(1*'Procyfloc 1009'!C433,IFERROR(_xludf.NUMBERVALUE('Procyfloc 1009'!C433,".",","),IFERROR(_xludf.NUMBERVALUE('Procyfloc 1009'!C433,",","."),0))))</f>
        <v/>
      </c>
      <c r="AE2932" t="str">
        <f>IF(AA2932="","",'Procyfloc 1009'!L433)</f>
        <v/>
      </c>
      <c r="AF2932">
        <f t="shared" si="287"/>
        <v>0</v>
      </c>
      <c r="AG2932" t="str">
        <f t="shared" si="288"/>
        <v/>
      </c>
      <c r="AH2932" t="str">
        <f t="shared" si="289"/>
        <v/>
      </c>
      <c r="AI2932">
        <f t="shared" si="290"/>
        <v>0</v>
      </c>
      <c r="AJ2932">
        <f t="shared" si="291"/>
        <v>0</v>
      </c>
      <c r="AK2932">
        <v>0</v>
      </c>
      <c r="AL2932" t="str">
        <f>IF(AA2932="","",IFERROR(IF(ISNUMBER('Procyfloc 1009'!D433),'Procyfloc 1009'!D433,IF(ISNUMBER(SEARCH("12",'Procyfloc 1009'!D433)),EDATE(AB2932,12),IF(ISNUMBER(SEARCH("6",'Procyfloc 1009'!D433)),EDATE(AB2932,6),IF(ISNUMBER(SEARCH("3",'Procyfloc 1009'!D433)),EDATE(AB2932,3),DATEVALUE('Procyfloc 1009'!D433))))),""))</f>
        <v/>
      </c>
      <c r="AM2932" t="str">
        <f t="shared" ca="1" si="292"/>
        <v/>
      </c>
    </row>
    <row r="2933" spans="27:39" x14ac:dyDescent="0.3">
      <c r="AA2933" t="str">
        <f>IF(COUNTA('Procyfloc 1009'!A434,'Procyfloc 1009'!B434,'Procyfloc 1009'!C434)&gt;0,"1009","")</f>
        <v/>
      </c>
      <c r="AB2933" t="str">
        <f>IFERROR(IF(ISNUMBER('Procyfloc 1009'!A434),'Procyfloc 1009'!A434,DATEVALUE('Procyfloc 1009'!A434)),"")</f>
        <v/>
      </c>
      <c r="AC2933" t="str">
        <f>IF(AA2933="","",'Procyfloc 1009'!B434)</f>
        <v/>
      </c>
      <c r="AD2933" t="str">
        <f>IF(AA2933="","",IFERROR(1*'Procyfloc 1009'!C434,IFERROR(_xludf.NUMBERVALUE('Procyfloc 1009'!C434,".",","),IFERROR(_xludf.NUMBERVALUE('Procyfloc 1009'!C434,",","."),0))))</f>
        <v/>
      </c>
      <c r="AE2933" t="str">
        <f>IF(AA2933="","",'Procyfloc 1009'!L434)</f>
        <v/>
      </c>
      <c r="AF2933">
        <f t="shared" si="287"/>
        <v>0</v>
      </c>
      <c r="AG2933" t="str">
        <f t="shared" si="288"/>
        <v/>
      </c>
      <c r="AH2933" t="str">
        <f t="shared" si="289"/>
        <v/>
      </c>
      <c r="AI2933">
        <f t="shared" si="290"/>
        <v>0</v>
      </c>
      <c r="AJ2933">
        <f t="shared" si="291"/>
        <v>0</v>
      </c>
      <c r="AK2933">
        <v>0</v>
      </c>
      <c r="AL2933" t="str">
        <f>IF(AA2933="","",IFERROR(IF(ISNUMBER('Procyfloc 1009'!D434),'Procyfloc 1009'!D434,IF(ISNUMBER(SEARCH("12",'Procyfloc 1009'!D434)),EDATE(AB2933,12),IF(ISNUMBER(SEARCH("6",'Procyfloc 1009'!D434)),EDATE(AB2933,6),IF(ISNUMBER(SEARCH("3",'Procyfloc 1009'!D434)),EDATE(AB2933,3),DATEVALUE('Procyfloc 1009'!D434))))),""))</f>
        <v/>
      </c>
      <c r="AM2933" t="str">
        <f t="shared" ca="1" si="292"/>
        <v/>
      </c>
    </row>
    <row r="2934" spans="27:39" x14ac:dyDescent="0.3">
      <c r="AA2934" t="str">
        <f>IF(COUNTA('Procyfloc 1009'!A435,'Procyfloc 1009'!B435,'Procyfloc 1009'!C435)&gt;0,"1009","")</f>
        <v/>
      </c>
      <c r="AB2934" t="str">
        <f>IFERROR(IF(ISNUMBER('Procyfloc 1009'!A435),'Procyfloc 1009'!A435,DATEVALUE('Procyfloc 1009'!A435)),"")</f>
        <v/>
      </c>
      <c r="AC2934" t="str">
        <f>IF(AA2934="","",'Procyfloc 1009'!B435)</f>
        <v/>
      </c>
      <c r="AD2934" t="str">
        <f>IF(AA2934="","",IFERROR(1*'Procyfloc 1009'!C435,IFERROR(_xludf.NUMBERVALUE('Procyfloc 1009'!C435,".",","),IFERROR(_xludf.NUMBERVALUE('Procyfloc 1009'!C435,",","."),0))))</f>
        <v/>
      </c>
      <c r="AE2934" t="str">
        <f>IF(AA2934="","",'Procyfloc 1009'!L435)</f>
        <v/>
      </c>
      <c r="AF2934">
        <f t="shared" si="287"/>
        <v>0</v>
      </c>
      <c r="AG2934" t="str">
        <f t="shared" si="288"/>
        <v/>
      </c>
      <c r="AH2934" t="str">
        <f t="shared" si="289"/>
        <v/>
      </c>
      <c r="AI2934">
        <f t="shared" si="290"/>
        <v>0</v>
      </c>
      <c r="AJ2934">
        <f t="shared" si="291"/>
        <v>0</v>
      </c>
      <c r="AK2934">
        <v>0</v>
      </c>
      <c r="AL2934" t="str">
        <f>IF(AA2934="","",IFERROR(IF(ISNUMBER('Procyfloc 1009'!D435),'Procyfloc 1009'!D435,IF(ISNUMBER(SEARCH("12",'Procyfloc 1009'!D435)),EDATE(AB2934,12),IF(ISNUMBER(SEARCH("6",'Procyfloc 1009'!D435)),EDATE(AB2934,6),IF(ISNUMBER(SEARCH("3",'Procyfloc 1009'!D435)),EDATE(AB2934,3),DATEVALUE('Procyfloc 1009'!D435))))),""))</f>
        <v/>
      </c>
      <c r="AM2934" t="str">
        <f t="shared" ca="1" si="292"/>
        <v/>
      </c>
    </row>
    <row r="2935" spans="27:39" x14ac:dyDescent="0.3">
      <c r="AA2935" t="str">
        <f>IF(COUNTA('Procyfloc 1009'!A436,'Procyfloc 1009'!B436,'Procyfloc 1009'!C436)&gt;0,"1009","")</f>
        <v/>
      </c>
      <c r="AB2935" t="str">
        <f>IFERROR(IF(ISNUMBER('Procyfloc 1009'!A436),'Procyfloc 1009'!A436,DATEVALUE('Procyfloc 1009'!A436)),"")</f>
        <v/>
      </c>
      <c r="AC2935" t="str">
        <f>IF(AA2935="","",'Procyfloc 1009'!B436)</f>
        <v/>
      </c>
      <c r="AD2935" t="str">
        <f>IF(AA2935="","",IFERROR(1*'Procyfloc 1009'!C436,IFERROR(_xludf.NUMBERVALUE('Procyfloc 1009'!C436,".",","),IFERROR(_xludf.NUMBERVALUE('Procyfloc 1009'!C436,",","."),0))))</f>
        <v/>
      </c>
      <c r="AE2935" t="str">
        <f>IF(AA2935="","",'Procyfloc 1009'!L436)</f>
        <v/>
      </c>
      <c r="AF2935">
        <f t="shared" si="287"/>
        <v>0</v>
      </c>
      <c r="AG2935" t="str">
        <f t="shared" si="288"/>
        <v/>
      </c>
      <c r="AH2935" t="str">
        <f t="shared" si="289"/>
        <v/>
      </c>
      <c r="AI2935">
        <f t="shared" si="290"/>
        <v>0</v>
      </c>
      <c r="AJ2935">
        <f t="shared" si="291"/>
        <v>0</v>
      </c>
      <c r="AK2935">
        <v>0</v>
      </c>
      <c r="AL2935" t="str">
        <f>IF(AA2935="","",IFERROR(IF(ISNUMBER('Procyfloc 1009'!D436),'Procyfloc 1009'!D436,IF(ISNUMBER(SEARCH("12",'Procyfloc 1009'!D436)),EDATE(AB2935,12),IF(ISNUMBER(SEARCH("6",'Procyfloc 1009'!D436)),EDATE(AB2935,6),IF(ISNUMBER(SEARCH("3",'Procyfloc 1009'!D436)),EDATE(AB2935,3),DATEVALUE('Procyfloc 1009'!D436))))),""))</f>
        <v/>
      </c>
      <c r="AM2935" t="str">
        <f t="shared" ca="1" si="292"/>
        <v/>
      </c>
    </row>
    <row r="2936" spans="27:39" x14ac:dyDescent="0.3">
      <c r="AA2936" t="str">
        <f>IF(COUNTA('Procyfloc 1009'!A437,'Procyfloc 1009'!B437,'Procyfloc 1009'!C437)&gt;0,"1009","")</f>
        <v/>
      </c>
      <c r="AB2936" t="str">
        <f>IFERROR(IF(ISNUMBER('Procyfloc 1009'!A437),'Procyfloc 1009'!A437,DATEVALUE('Procyfloc 1009'!A437)),"")</f>
        <v/>
      </c>
      <c r="AC2936" t="str">
        <f>IF(AA2936="","",'Procyfloc 1009'!B437)</f>
        <v/>
      </c>
      <c r="AD2936" t="str">
        <f>IF(AA2936="","",IFERROR(1*'Procyfloc 1009'!C437,IFERROR(_xludf.NUMBERVALUE('Procyfloc 1009'!C437,".",","),IFERROR(_xludf.NUMBERVALUE('Procyfloc 1009'!C437,",","."),0))))</f>
        <v/>
      </c>
      <c r="AE2936" t="str">
        <f>IF(AA2936="","",'Procyfloc 1009'!L437)</f>
        <v/>
      </c>
      <c r="AF2936">
        <f t="shared" si="287"/>
        <v>0</v>
      </c>
      <c r="AG2936" t="str">
        <f t="shared" si="288"/>
        <v/>
      </c>
      <c r="AH2936" t="str">
        <f t="shared" si="289"/>
        <v/>
      </c>
      <c r="AI2936">
        <f t="shared" si="290"/>
        <v>0</v>
      </c>
      <c r="AJ2936">
        <f t="shared" si="291"/>
        <v>0</v>
      </c>
      <c r="AK2936">
        <v>0</v>
      </c>
      <c r="AL2936" t="str">
        <f>IF(AA2936="","",IFERROR(IF(ISNUMBER('Procyfloc 1009'!D437),'Procyfloc 1009'!D437,IF(ISNUMBER(SEARCH("12",'Procyfloc 1009'!D437)),EDATE(AB2936,12),IF(ISNUMBER(SEARCH("6",'Procyfloc 1009'!D437)),EDATE(AB2936,6),IF(ISNUMBER(SEARCH("3",'Procyfloc 1009'!D437)),EDATE(AB2936,3),DATEVALUE('Procyfloc 1009'!D437))))),""))</f>
        <v/>
      </c>
      <c r="AM2936" t="str">
        <f t="shared" ca="1" si="292"/>
        <v/>
      </c>
    </row>
    <row r="2937" spans="27:39" x14ac:dyDescent="0.3">
      <c r="AA2937" t="str">
        <f>IF(COUNTA('Procyfloc 1009'!A438,'Procyfloc 1009'!B438,'Procyfloc 1009'!C438)&gt;0,"1009","")</f>
        <v/>
      </c>
      <c r="AB2937" t="str">
        <f>IFERROR(IF(ISNUMBER('Procyfloc 1009'!A438),'Procyfloc 1009'!A438,DATEVALUE('Procyfloc 1009'!A438)),"")</f>
        <v/>
      </c>
      <c r="AC2937" t="str">
        <f>IF(AA2937="","",'Procyfloc 1009'!B438)</f>
        <v/>
      </c>
      <c r="AD2937" t="str">
        <f>IF(AA2937="","",IFERROR(1*'Procyfloc 1009'!C438,IFERROR(_xludf.NUMBERVALUE('Procyfloc 1009'!C438,".",","),IFERROR(_xludf.NUMBERVALUE('Procyfloc 1009'!C438,",","."),0))))</f>
        <v/>
      </c>
      <c r="AE2937" t="str">
        <f>IF(AA2937="","",'Procyfloc 1009'!L438)</f>
        <v/>
      </c>
      <c r="AF2937">
        <f t="shared" si="287"/>
        <v>0</v>
      </c>
      <c r="AG2937" t="str">
        <f t="shared" si="288"/>
        <v/>
      </c>
      <c r="AH2937" t="str">
        <f t="shared" si="289"/>
        <v/>
      </c>
      <c r="AI2937">
        <f t="shared" si="290"/>
        <v>0</v>
      </c>
      <c r="AJ2937">
        <f t="shared" si="291"/>
        <v>0</v>
      </c>
      <c r="AK2937">
        <v>0</v>
      </c>
      <c r="AL2937" t="str">
        <f>IF(AA2937="","",IFERROR(IF(ISNUMBER('Procyfloc 1009'!D438),'Procyfloc 1009'!D438,IF(ISNUMBER(SEARCH("12",'Procyfloc 1009'!D438)),EDATE(AB2937,12),IF(ISNUMBER(SEARCH("6",'Procyfloc 1009'!D438)),EDATE(AB2937,6),IF(ISNUMBER(SEARCH("3",'Procyfloc 1009'!D438)),EDATE(AB2937,3),DATEVALUE('Procyfloc 1009'!D438))))),""))</f>
        <v/>
      </c>
      <c r="AM2937" t="str">
        <f t="shared" ca="1" si="292"/>
        <v/>
      </c>
    </row>
    <row r="2938" spans="27:39" x14ac:dyDescent="0.3">
      <c r="AA2938" t="str">
        <f>IF(COUNTA('Procyfloc 1009'!A439,'Procyfloc 1009'!B439,'Procyfloc 1009'!C439)&gt;0,"1009","")</f>
        <v/>
      </c>
      <c r="AB2938" t="str">
        <f>IFERROR(IF(ISNUMBER('Procyfloc 1009'!A439),'Procyfloc 1009'!A439,DATEVALUE('Procyfloc 1009'!A439)),"")</f>
        <v/>
      </c>
      <c r="AC2938" t="str">
        <f>IF(AA2938="","",'Procyfloc 1009'!B439)</f>
        <v/>
      </c>
      <c r="AD2938" t="str">
        <f>IF(AA2938="","",IFERROR(1*'Procyfloc 1009'!C439,IFERROR(_xludf.NUMBERVALUE('Procyfloc 1009'!C439,".",","),IFERROR(_xludf.NUMBERVALUE('Procyfloc 1009'!C439,",","."),0))))</f>
        <v/>
      </c>
      <c r="AE2938" t="str">
        <f>IF(AA2938="","",'Procyfloc 1009'!L439)</f>
        <v/>
      </c>
      <c r="AF2938">
        <f t="shared" si="287"/>
        <v>0</v>
      </c>
      <c r="AG2938" t="str">
        <f t="shared" si="288"/>
        <v/>
      </c>
      <c r="AH2938" t="str">
        <f t="shared" si="289"/>
        <v/>
      </c>
      <c r="AI2938">
        <f t="shared" si="290"/>
        <v>0</v>
      </c>
      <c r="AJ2938">
        <f t="shared" si="291"/>
        <v>0</v>
      </c>
      <c r="AK2938">
        <v>0</v>
      </c>
      <c r="AL2938" t="str">
        <f>IF(AA2938="","",IFERROR(IF(ISNUMBER('Procyfloc 1009'!D439),'Procyfloc 1009'!D439,IF(ISNUMBER(SEARCH("12",'Procyfloc 1009'!D439)),EDATE(AB2938,12),IF(ISNUMBER(SEARCH("6",'Procyfloc 1009'!D439)),EDATE(AB2938,6),IF(ISNUMBER(SEARCH("3",'Procyfloc 1009'!D439)),EDATE(AB2938,3),DATEVALUE('Procyfloc 1009'!D439))))),""))</f>
        <v/>
      </c>
      <c r="AM2938" t="str">
        <f t="shared" ca="1" si="292"/>
        <v/>
      </c>
    </row>
    <row r="2939" spans="27:39" x14ac:dyDescent="0.3">
      <c r="AA2939" t="str">
        <f>IF(COUNTA('Procyfloc 1009'!A440,'Procyfloc 1009'!B440,'Procyfloc 1009'!C440)&gt;0,"1009","")</f>
        <v/>
      </c>
      <c r="AB2939" t="str">
        <f>IFERROR(IF(ISNUMBER('Procyfloc 1009'!A440),'Procyfloc 1009'!A440,DATEVALUE('Procyfloc 1009'!A440)),"")</f>
        <v/>
      </c>
      <c r="AC2939" t="str">
        <f>IF(AA2939="","",'Procyfloc 1009'!B440)</f>
        <v/>
      </c>
      <c r="AD2939" t="str">
        <f>IF(AA2939="","",IFERROR(1*'Procyfloc 1009'!C440,IFERROR(_xludf.NUMBERVALUE('Procyfloc 1009'!C440,".",","),IFERROR(_xludf.NUMBERVALUE('Procyfloc 1009'!C440,",","."),0))))</f>
        <v/>
      </c>
      <c r="AE2939" t="str">
        <f>IF(AA2939="","",'Procyfloc 1009'!L440)</f>
        <v/>
      </c>
      <c r="AF2939">
        <f t="shared" si="287"/>
        <v>0</v>
      </c>
      <c r="AG2939" t="str">
        <f t="shared" si="288"/>
        <v/>
      </c>
      <c r="AH2939" t="str">
        <f t="shared" si="289"/>
        <v/>
      </c>
      <c r="AI2939">
        <f t="shared" si="290"/>
        <v>0</v>
      </c>
      <c r="AJ2939">
        <f t="shared" si="291"/>
        <v>0</v>
      </c>
      <c r="AK2939">
        <v>0</v>
      </c>
      <c r="AL2939" t="str">
        <f>IF(AA2939="","",IFERROR(IF(ISNUMBER('Procyfloc 1009'!D440),'Procyfloc 1009'!D440,IF(ISNUMBER(SEARCH("12",'Procyfloc 1009'!D440)),EDATE(AB2939,12),IF(ISNUMBER(SEARCH("6",'Procyfloc 1009'!D440)),EDATE(AB2939,6),IF(ISNUMBER(SEARCH("3",'Procyfloc 1009'!D440)),EDATE(AB2939,3),DATEVALUE('Procyfloc 1009'!D440))))),""))</f>
        <v/>
      </c>
      <c r="AM2939" t="str">
        <f t="shared" ca="1" si="292"/>
        <v/>
      </c>
    </row>
    <row r="2940" spans="27:39" x14ac:dyDescent="0.3">
      <c r="AA2940" t="str">
        <f>IF(COUNTA('Procyfloc 1009'!A441,'Procyfloc 1009'!B441,'Procyfloc 1009'!C441)&gt;0,"1009","")</f>
        <v/>
      </c>
      <c r="AB2940" t="str">
        <f>IFERROR(IF(ISNUMBER('Procyfloc 1009'!A441),'Procyfloc 1009'!A441,DATEVALUE('Procyfloc 1009'!A441)),"")</f>
        <v/>
      </c>
      <c r="AC2940" t="str">
        <f>IF(AA2940="","",'Procyfloc 1009'!B441)</f>
        <v/>
      </c>
      <c r="AD2940" t="str">
        <f>IF(AA2940="","",IFERROR(1*'Procyfloc 1009'!C441,IFERROR(_xludf.NUMBERVALUE('Procyfloc 1009'!C441,".",","),IFERROR(_xludf.NUMBERVALUE('Procyfloc 1009'!C441,",","."),0))))</f>
        <v/>
      </c>
      <c r="AE2940" t="str">
        <f>IF(AA2940="","",'Procyfloc 1009'!L441)</f>
        <v/>
      </c>
      <c r="AF2940">
        <f t="shared" si="287"/>
        <v>0</v>
      </c>
      <c r="AG2940" t="str">
        <f t="shared" si="288"/>
        <v/>
      </c>
      <c r="AH2940" t="str">
        <f t="shared" si="289"/>
        <v/>
      </c>
      <c r="AI2940">
        <f t="shared" si="290"/>
        <v>0</v>
      </c>
      <c r="AJ2940">
        <f t="shared" si="291"/>
        <v>0</v>
      </c>
      <c r="AK2940">
        <v>0</v>
      </c>
      <c r="AL2940" t="str">
        <f>IF(AA2940="","",IFERROR(IF(ISNUMBER('Procyfloc 1009'!D441),'Procyfloc 1009'!D441,IF(ISNUMBER(SEARCH("12",'Procyfloc 1009'!D441)),EDATE(AB2940,12),IF(ISNUMBER(SEARCH("6",'Procyfloc 1009'!D441)),EDATE(AB2940,6),IF(ISNUMBER(SEARCH("3",'Procyfloc 1009'!D441)),EDATE(AB2940,3),DATEVALUE('Procyfloc 1009'!D441))))),""))</f>
        <v/>
      </c>
      <c r="AM2940" t="str">
        <f t="shared" ca="1" si="292"/>
        <v/>
      </c>
    </row>
    <row r="2941" spans="27:39" x14ac:dyDescent="0.3">
      <c r="AA2941" t="str">
        <f>IF(COUNTA('Procyfloc 1009'!A442,'Procyfloc 1009'!B442,'Procyfloc 1009'!C442)&gt;0,"1009","")</f>
        <v/>
      </c>
      <c r="AB2941" t="str">
        <f>IFERROR(IF(ISNUMBER('Procyfloc 1009'!A442),'Procyfloc 1009'!A442,DATEVALUE('Procyfloc 1009'!A442)),"")</f>
        <v/>
      </c>
      <c r="AC2941" t="str">
        <f>IF(AA2941="","",'Procyfloc 1009'!B442)</f>
        <v/>
      </c>
      <c r="AD2941" t="str">
        <f>IF(AA2941="","",IFERROR(1*'Procyfloc 1009'!C442,IFERROR(_xludf.NUMBERVALUE('Procyfloc 1009'!C442,".",","),IFERROR(_xludf.NUMBERVALUE('Procyfloc 1009'!C442,",","."),0))))</f>
        <v/>
      </c>
      <c r="AE2941" t="str">
        <f>IF(AA2941="","",'Procyfloc 1009'!L442)</f>
        <v/>
      </c>
      <c r="AF2941">
        <f t="shared" si="287"/>
        <v>0</v>
      </c>
      <c r="AG2941" t="str">
        <f t="shared" si="288"/>
        <v/>
      </c>
      <c r="AH2941" t="str">
        <f t="shared" si="289"/>
        <v/>
      </c>
      <c r="AI2941">
        <f t="shared" si="290"/>
        <v>0</v>
      </c>
      <c r="AJ2941">
        <f t="shared" si="291"/>
        <v>0</v>
      </c>
      <c r="AK2941">
        <v>0</v>
      </c>
      <c r="AL2941" t="str">
        <f>IF(AA2941="","",IFERROR(IF(ISNUMBER('Procyfloc 1009'!D442),'Procyfloc 1009'!D442,IF(ISNUMBER(SEARCH("12",'Procyfloc 1009'!D442)),EDATE(AB2941,12),IF(ISNUMBER(SEARCH("6",'Procyfloc 1009'!D442)),EDATE(AB2941,6),IF(ISNUMBER(SEARCH("3",'Procyfloc 1009'!D442)),EDATE(AB2941,3),DATEVALUE('Procyfloc 1009'!D442))))),""))</f>
        <v/>
      </c>
      <c r="AM2941" t="str">
        <f t="shared" ca="1" si="292"/>
        <v/>
      </c>
    </row>
    <row r="2942" spans="27:39" x14ac:dyDescent="0.3">
      <c r="AA2942" t="str">
        <f>IF(COUNTA('Procyfloc 1009'!A443,'Procyfloc 1009'!B443,'Procyfloc 1009'!C443)&gt;0,"1009","")</f>
        <v/>
      </c>
      <c r="AB2942" t="str">
        <f>IFERROR(IF(ISNUMBER('Procyfloc 1009'!A443),'Procyfloc 1009'!A443,DATEVALUE('Procyfloc 1009'!A443)),"")</f>
        <v/>
      </c>
      <c r="AC2942" t="str">
        <f>IF(AA2942="","",'Procyfloc 1009'!B443)</f>
        <v/>
      </c>
      <c r="AD2942" t="str">
        <f>IF(AA2942="","",IFERROR(1*'Procyfloc 1009'!C443,IFERROR(_xludf.NUMBERVALUE('Procyfloc 1009'!C443,".",","),IFERROR(_xludf.NUMBERVALUE('Procyfloc 1009'!C443,",","."),0))))</f>
        <v/>
      </c>
      <c r="AE2942" t="str">
        <f>IF(AA2942="","",'Procyfloc 1009'!L443)</f>
        <v/>
      </c>
      <c r="AF2942">
        <f t="shared" si="287"/>
        <v>0</v>
      </c>
      <c r="AG2942" t="str">
        <f t="shared" si="288"/>
        <v/>
      </c>
      <c r="AH2942" t="str">
        <f t="shared" si="289"/>
        <v/>
      </c>
      <c r="AI2942">
        <f t="shared" si="290"/>
        <v>0</v>
      </c>
      <c r="AJ2942">
        <f t="shared" si="291"/>
        <v>0</v>
      </c>
      <c r="AK2942">
        <v>0</v>
      </c>
      <c r="AL2942" t="str">
        <f>IF(AA2942="","",IFERROR(IF(ISNUMBER('Procyfloc 1009'!D443),'Procyfloc 1009'!D443,IF(ISNUMBER(SEARCH("12",'Procyfloc 1009'!D443)),EDATE(AB2942,12),IF(ISNUMBER(SEARCH("6",'Procyfloc 1009'!D443)),EDATE(AB2942,6),IF(ISNUMBER(SEARCH("3",'Procyfloc 1009'!D443)),EDATE(AB2942,3),DATEVALUE('Procyfloc 1009'!D443))))),""))</f>
        <v/>
      </c>
      <c r="AM2942" t="str">
        <f t="shared" ca="1" si="292"/>
        <v/>
      </c>
    </row>
    <row r="2943" spans="27:39" x14ac:dyDescent="0.3">
      <c r="AA2943" t="str">
        <f>IF(COUNTA('Procyfloc 1009'!A444,'Procyfloc 1009'!B444,'Procyfloc 1009'!C444)&gt;0,"1009","")</f>
        <v/>
      </c>
      <c r="AB2943" t="str">
        <f>IFERROR(IF(ISNUMBER('Procyfloc 1009'!A444),'Procyfloc 1009'!A444,DATEVALUE('Procyfloc 1009'!A444)),"")</f>
        <v/>
      </c>
      <c r="AC2943" t="str">
        <f>IF(AA2943="","",'Procyfloc 1009'!B444)</f>
        <v/>
      </c>
      <c r="AD2943" t="str">
        <f>IF(AA2943="","",IFERROR(1*'Procyfloc 1009'!C444,IFERROR(_xludf.NUMBERVALUE('Procyfloc 1009'!C444,".",","),IFERROR(_xludf.NUMBERVALUE('Procyfloc 1009'!C444,",","."),0))))</f>
        <v/>
      </c>
      <c r="AE2943" t="str">
        <f>IF(AA2943="","",'Procyfloc 1009'!L444)</f>
        <v/>
      </c>
      <c r="AF2943">
        <f t="shared" si="287"/>
        <v>0</v>
      </c>
      <c r="AG2943" t="str">
        <f t="shared" si="288"/>
        <v/>
      </c>
      <c r="AH2943" t="str">
        <f t="shared" si="289"/>
        <v/>
      </c>
      <c r="AI2943">
        <f t="shared" si="290"/>
        <v>0</v>
      </c>
      <c r="AJ2943">
        <f t="shared" si="291"/>
        <v>0</v>
      </c>
      <c r="AK2943">
        <v>0</v>
      </c>
      <c r="AL2943" t="str">
        <f>IF(AA2943="","",IFERROR(IF(ISNUMBER('Procyfloc 1009'!D444),'Procyfloc 1009'!D444,IF(ISNUMBER(SEARCH("12",'Procyfloc 1009'!D444)),EDATE(AB2943,12),IF(ISNUMBER(SEARCH("6",'Procyfloc 1009'!D444)),EDATE(AB2943,6),IF(ISNUMBER(SEARCH("3",'Procyfloc 1009'!D444)),EDATE(AB2943,3),DATEVALUE('Procyfloc 1009'!D444))))),""))</f>
        <v/>
      </c>
      <c r="AM2943" t="str">
        <f t="shared" ca="1" si="292"/>
        <v/>
      </c>
    </row>
    <row r="2944" spans="27:39" x14ac:dyDescent="0.3">
      <c r="AA2944" t="str">
        <f>IF(COUNTA('Procyfloc 1009'!A445,'Procyfloc 1009'!B445,'Procyfloc 1009'!C445)&gt;0,"1009","")</f>
        <v/>
      </c>
      <c r="AB2944" t="str">
        <f>IFERROR(IF(ISNUMBER('Procyfloc 1009'!A445),'Procyfloc 1009'!A445,DATEVALUE('Procyfloc 1009'!A445)),"")</f>
        <v/>
      </c>
      <c r="AC2944" t="str">
        <f>IF(AA2944="","",'Procyfloc 1009'!B445)</f>
        <v/>
      </c>
      <c r="AD2944" t="str">
        <f>IF(AA2944="","",IFERROR(1*'Procyfloc 1009'!C445,IFERROR(_xludf.NUMBERVALUE('Procyfloc 1009'!C445,".",","),IFERROR(_xludf.NUMBERVALUE('Procyfloc 1009'!C445,",","."),0))))</f>
        <v/>
      </c>
      <c r="AE2944" t="str">
        <f>IF(AA2944="","",'Procyfloc 1009'!L445)</f>
        <v/>
      </c>
      <c r="AF2944">
        <f t="shared" si="287"/>
        <v>0</v>
      </c>
      <c r="AG2944" t="str">
        <f t="shared" si="288"/>
        <v/>
      </c>
      <c r="AH2944" t="str">
        <f t="shared" si="289"/>
        <v/>
      </c>
      <c r="AI2944">
        <f t="shared" si="290"/>
        <v>0</v>
      </c>
      <c r="AJ2944">
        <f t="shared" si="291"/>
        <v>0</v>
      </c>
      <c r="AK2944">
        <v>0</v>
      </c>
      <c r="AL2944" t="str">
        <f>IF(AA2944="","",IFERROR(IF(ISNUMBER('Procyfloc 1009'!D445),'Procyfloc 1009'!D445,IF(ISNUMBER(SEARCH("12",'Procyfloc 1009'!D445)),EDATE(AB2944,12),IF(ISNUMBER(SEARCH("6",'Procyfloc 1009'!D445)),EDATE(AB2944,6),IF(ISNUMBER(SEARCH("3",'Procyfloc 1009'!D445)),EDATE(AB2944,3),DATEVALUE('Procyfloc 1009'!D445))))),""))</f>
        <v/>
      </c>
      <c r="AM2944" t="str">
        <f t="shared" ca="1" si="292"/>
        <v/>
      </c>
    </row>
    <row r="2945" spans="27:39" x14ac:dyDescent="0.3">
      <c r="AA2945" t="str">
        <f>IF(COUNTA('Procyfloc 1009'!A446,'Procyfloc 1009'!B446,'Procyfloc 1009'!C446)&gt;0,"1009","")</f>
        <v/>
      </c>
      <c r="AB2945" t="str">
        <f>IFERROR(IF(ISNUMBER('Procyfloc 1009'!A446),'Procyfloc 1009'!A446,DATEVALUE('Procyfloc 1009'!A446)),"")</f>
        <v/>
      </c>
      <c r="AC2945" t="str">
        <f>IF(AA2945="","",'Procyfloc 1009'!B446)</f>
        <v/>
      </c>
      <c r="AD2945" t="str">
        <f>IF(AA2945="","",IFERROR(1*'Procyfloc 1009'!C446,IFERROR(_xludf.NUMBERVALUE('Procyfloc 1009'!C446,".",","),IFERROR(_xludf.NUMBERVALUE('Procyfloc 1009'!C446,",","."),0))))</f>
        <v/>
      </c>
      <c r="AE2945" t="str">
        <f>IF(AA2945="","",'Procyfloc 1009'!L446)</f>
        <v/>
      </c>
      <c r="AF2945">
        <f t="shared" si="287"/>
        <v>0</v>
      </c>
      <c r="AG2945" t="str">
        <f t="shared" si="288"/>
        <v/>
      </c>
      <c r="AH2945" t="str">
        <f t="shared" si="289"/>
        <v/>
      </c>
      <c r="AI2945">
        <f t="shared" si="290"/>
        <v>0</v>
      </c>
      <c r="AJ2945">
        <f t="shared" si="291"/>
        <v>0</v>
      </c>
      <c r="AK2945">
        <v>0</v>
      </c>
      <c r="AL2945" t="str">
        <f>IF(AA2945="","",IFERROR(IF(ISNUMBER('Procyfloc 1009'!D446),'Procyfloc 1009'!D446,IF(ISNUMBER(SEARCH("12",'Procyfloc 1009'!D446)),EDATE(AB2945,12),IF(ISNUMBER(SEARCH("6",'Procyfloc 1009'!D446)),EDATE(AB2945,6),IF(ISNUMBER(SEARCH("3",'Procyfloc 1009'!D446)),EDATE(AB2945,3),DATEVALUE('Procyfloc 1009'!D446))))),""))</f>
        <v/>
      </c>
      <c r="AM2945" t="str">
        <f t="shared" ca="1" si="292"/>
        <v/>
      </c>
    </row>
    <row r="2946" spans="27:39" x14ac:dyDescent="0.3">
      <c r="AA2946" t="str">
        <f>IF(COUNTA('Procyfloc 1009'!A447,'Procyfloc 1009'!B447,'Procyfloc 1009'!C447)&gt;0,"1009","")</f>
        <v/>
      </c>
      <c r="AB2946" t="str">
        <f>IFERROR(IF(ISNUMBER('Procyfloc 1009'!A447),'Procyfloc 1009'!A447,DATEVALUE('Procyfloc 1009'!A447)),"")</f>
        <v/>
      </c>
      <c r="AC2946" t="str">
        <f>IF(AA2946="","",'Procyfloc 1009'!B447)</f>
        <v/>
      </c>
      <c r="AD2946" t="str">
        <f>IF(AA2946="","",IFERROR(1*'Procyfloc 1009'!C447,IFERROR(_xludf.NUMBERVALUE('Procyfloc 1009'!C447,".",","),IFERROR(_xludf.NUMBERVALUE('Procyfloc 1009'!C447,",","."),0))))</f>
        <v/>
      </c>
      <c r="AE2946" t="str">
        <f>IF(AA2946="","",'Procyfloc 1009'!L447)</f>
        <v/>
      </c>
      <c r="AF2946">
        <f t="shared" ref="AF2946:AF3009" si="293">IF(AA2946="",0,--AND(ISNUMBER(SEARCH("aprov",AE2946)),NOT(ISNUMBER(SEARCH("reprov",AE2946)))))</f>
        <v>0</v>
      </c>
      <c r="AG2946" t="str">
        <f t="shared" ref="AG2946:AG3009" si="294">IF(AB2946="","",YEAR(AB2946))</f>
        <v/>
      </c>
      <c r="AH2946" t="str">
        <f t="shared" ref="AH2946:AH3009" si="295">IF(AB2946="","",MONTH(AB2946))</f>
        <v/>
      </c>
      <c r="AI2946">
        <f t="shared" ref="AI2946:AI3009" si="296">IF(AB2946="",0,AB2946+ROW()/1000000)</f>
        <v>0</v>
      </c>
      <c r="AJ2946">
        <f t="shared" ref="AJ2946:AJ3009" si="297">--(AA2946&lt;&gt;"")</f>
        <v>0</v>
      </c>
      <c r="AK2946">
        <v>0</v>
      </c>
      <c r="AL2946" t="str">
        <f>IF(AA2946="","",IFERROR(IF(ISNUMBER('Procyfloc 1009'!D447),'Procyfloc 1009'!D447,IF(ISNUMBER(SEARCH("12",'Procyfloc 1009'!D447)),EDATE(AB2946,12),IF(ISNUMBER(SEARCH("6",'Procyfloc 1009'!D447)),EDATE(AB2946,6),IF(ISNUMBER(SEARCH("3",'Procyfloc 1009'!D447)),EDATE(AB2946,3),DATEVALUE('Procyfloc 1009'!D447))))),""))</f>
        <v/>
      </c>
      <c r="AM2946" t="str">
        <f t="shared" ref="AM2946:AM3009" ca="1" si="298">IF(AND(AJ2946=1,AL2946&lt;&gt;"",AL2946&gt;=TODAY(),AG2946=$W$3),AL2946+ROW()/1000000,"")</f>
        <v/>
      </c>
    </row>
    <row r="2947" spans="27:39" x14ac:dyDescent="0.3">
      <c r="AA2947" t="str">
        <f>IF(COUNTA('Procyfloc 1009'!A448,'Procyfloc 1009'!B448,'Procyfloc 1009'!C448)&gt;0,"1009","")</f>
        <v/>
      </c>
      <c r="AB2947" t="str">
        <f>IFERROR(IF(ISNUMBER('Procyfloc 1009'!A448),'Procyfloc 1009'!A448,DATEVALUE('Procyfloc 1009'!A448)),"")</f>
        <v/>
      </c>
      <c r="AC2947" t="str">
        <f>IF(AA2947="","",'Procyfloc 1009'!B448)</f>
        <v/>
      </c>
      <c r="AD2947" t="str">
        <f>IF(AA2947="","",IFERROR(1*'Procyfloc 1009'!C448,IFERROR(_xludf.NUMBERVALUE('Procyfloc 1009'!C448,".",","),IFERROR(_xludf.NUMBERVALUE('Procyfloc 1009'!C448,",","."),0))))</f>
        <v/>
      </c>
      <c r="AE2947" t="str">
        <f>IF(AA2947="","",'Procyfloc 1009'!L448)</f>
        <v/>
      </c>
      <c r="AF2947">
        <f t="shared" si="293"/>
        <v>0</v>
      </c>
      <c r="AG2947" t="str">
        <f t="shared" si="294"/>
        <v/>
      </c>
      <c r="AH2947" t="str">
        <f t="shared" si="295"/>
        <v/>
      </c>
      <c r="AI2947">
        <f t="shared" si="296"/>
        <v>0</v>
      </c>
      <c r="AJ2947">
        <f t="shared" si="297"/>
        <v>0</v>
      </c>
      <c r="AK2947">
        <v>0</v>
      </c>
      <c r="AL2947" t="str">
        <f>IF(AA2947="","",IFERROR(IF(ISNUMBER('Procyfloc 1009'!D448),'Procyfloc 1009'!D448,IF(ISNUMBER(SEARCH("12",'Procyfloc 1009'!D448)),EDATE(AB2947,12),IF(ISNUMBER(SEARCH("6",'Procyfloc 1009'!D448)),EDATE(AB2947,6),IF(ISNUMBER(SEARCH("3",'Procyfloc 1009'!D448)),EDATE(AB2947,3),DATEVALUE('Procyfloc 1009'!D448))))),""))</f>
        <v/>
      </c>
      <c r="AM2947" t="str">
        <f t="shared" ca="1" si="298"/>
        <v/>
      </c>
    </row>
    <row r="2948" spans="27:39" x14ac:dyDescent="0.3">
      <c r="AA2948" t="str">
        <f>IF(COUNTA('Procyfloc 1009'!A449,'Procyfloc 1009'!B449,'Procyfloc 1009'!C449)&gt;0,"1009","")</f>
        <v/>
      </c>
      <c r="AB2948" t="str">
        <f>IFERROR(IF(ISNUMBER('Procyfloc 1009'!A449),'Procyfloc 1009'!A449,DATEVALUE('Procyfloc 1009'!A449)),"")</f>
        <v/>
      </c>
      <c r="AC2948" t="str">
        <f>IF(AA2948="","",'Procyfloc 1009'!B449)</f>
        <v/>
      </c>
      <c r="AD2948" t="str">
        <f>IF(AA2948="","",IFERROR(1*'Procyfloc 1009'!C449,IFERROR(_xludf.NUMBERVALUE('Procyfloc 1009'!C449,".",","),IFERROR(_xludf.NUMBERVALUE('Procyfloc 1009'!C449,",","."),0))))</f>
        <v/>
      </c>
      <c r="AE2948" t="str">
        <f>IF(AA2948="","",'Procyfloc 1009'!L449)</f>
        <v/>
      </c>
      <c r="AF2948">
        <f t="shared" si="293"/>
        <v>0</v>
      </c>
      <c r="AG2948" t="str">
        <f t="shared" si="294"/>
        <v/>
      </c>
      <c r="AH2948" t="str">
        <f t="shared" si="295"/>
        <v/>
      </c>
      <c r="AI2948">
        <f t="shared" si="296"/>
        <v>0</v>
      </c>
      <c r="AJ2948">
        <f t="shared" si="297"/>
        <v>0</v>
      </c>
      <c r="AK2948">
        <v>0</v>
      </c>
      <c r="AL2948" t="str">
        <f>IF(AA2948="","",IFERROR(IF(ISNUMBER('Procyfloc 1009'!D449),'Procyfloc 1009'!D449,IF(ISNUMBER(SEARCH("12",'Procyfloc 1009'!D449)),EDATE(AB2948,12),IF(ISNUMBER(SEARCH("6",'Procyfloc 1009'!D449)),EDATE(AB2948,6),IF(ISNUMBER(SEARCH("3",'Procyfloc 1009'!D449)),EDATE(AB2948,3),DATEVALUE('Procyfloc 1009'!D449))))),""))</f>
        <v/>
      </c>
      <c r="AM2948" t="str">
        <f t="shared" ca="1" si="298"/>
        <v/>
      </c>
    </row>
    <row r="2949" spans="27:39" x14ac:dyDescent="0.3">
      <c r="AA2949" t="str">
        <f>IF(COUNTA('Procyfloc 1009'!A450,'Procyfloc 1009'!B450,'Procyfloc 1009'!C450)&gt;0,"1009","")</f>
        <v/>
      </c>
      <c r="AB2949" t="str">
        <f>IFERROR(IF(ISNUMBER('Procyfloc 1009'!A450),'Procyfloc 1009'!A450,DATEVALUE('Procyfloc 1009'!A450)),"")</f>
        <v/>
      </c>
      <c r="AC2949" t="str">
        <f>IF(AA2949="","",'Procyfloc 1009'!B450)</f>
        <v/>
      </c>
      <c r="AD2949" t="str">
        <f>IF(AA2949="","",IFERROR(1*'Procyfloc 1009'!C450,IFERROR(_xludf.NUMBERVALUE('Procyfloc 1009'!C450,".",","),IFERROR(_xludf.NUMBERVALUE('Procyfloc 1009'!C450,",","."),0))))</f>
        <v/>
      </c>
      <c r="AE2949" t="str">
        <f>IF(AA2949="","",'Procyfloc 1009'!L450)</f>
        <v/>
      </c>
      <c r="AF2949">
        <f t="shared" si="293"/>
        <v>0</v>
      </c>
      <c r="AG2949" t="str">
        <f t="shared" si="294"/>
        <v/>
      </c>
      <c r="AH2949" t="str">
        <f t="shared" si="295"/>
        <v/>
      </c>
      <c r="AI2949">
        <f t="shared" si="296"/>
        <v>0</v>
      </c>
      <c r="AJ2949">
        <f t="shared" si="297"/>
        <v>0</v>
      </c>
      <c r="AK2949">
        <v>0</v>
      </c>
      <c r="AL2949" t="str">
        <f>IF(AA2949="","",IFERROR(IF(ISNUMBER('Procyfloc 1009'!D450),'Procyfloc 1009'!D450,IF(ISNUMBER(SEARCH("12",'Procyfloc 1009'!D450)),EDATE(AB2949,12),IF(ISNUMBER(SEARCH("6",'Procyfloc 1009'!D450)),EDATE(AB2949,6),IF(ISNUMBER(SEARCH("3",'Procyfloc 1009'!D450)),EDATE(AB2949,3),DATEVALUE('Procyfloc 1009'!D450))))),""))</f>
        <v/>
      </c>
      <c r="AM2949" t="str">
        <f t="shared" ca="1" si="298"/>
        <v/>
      </c>
    </row>
    <row r="2950" spans="27:39" x14ac:dyDescent="0.3">
      <c r="AA2950" t="str">
        <f>IF(COUNTA('Procyfloc 1009'!A451,'Procyfloc 1009'!B451,'Procyfloc 1009'!C451)&gt;0,"1009","")</f>
        <v/>
      </c>
      <c r="AB2950" t="str">
        <f>IFERROR(IF(ISNUMBER('Procyfloc 1009'!A451),'Procyfloc 1009'!A451,DATEVALUE('Procyfloc 1009'!A451)),"")</f>
        <v/>
      </c>
      <c r="AC2950" t="str">
        <f>IF(AA2950="","",'Procyfloc 1009'!B451)</f>
        <v/>
      </c>
      <c r="AD2950" t="str">
        <f>IF(AA2950="","",IFERROR(1*'Procyfloc 1009'!C451,IFERROR(_xludf.NUMBERVALUE('Procyfloc 1009'!C451,".",","),IFERROR(_xludf.NUMBERVALUE('Procyfloc 1009'!C451,",","."),0))))</f>
        <v/>
      </c>
      <c r="AE2950" t="str">
        <f>IF(AA2950="","",'Procyfloc 1009'!L451)</f>
        <v/>
      </c>
      <c r="AF2950">
        <f t="shared" si="293"/>
        <v>0</v>
      </c>
      <c r="AG2950" t="str">
        <f t="shared" si="294"/>
        <v/>
      </c>
      <c r="AH2950" t="str">
        <f t="shared" si="295"/>
        <v/>
      </c>
      <c r="AI2950">
        <f t="shared" si="296"/>
        <v>0</v>
      </c>
      <c r="AJ2950">
        <f t="shared" si="297"/>
        <v>0</v>
      </c>
      <c r="AK2950">
        <v>0</v>
      </c>
      <c r="AL2950" t="str">
        <f>IF(AA2950="","",IFERROR(IF(ISNUMBER('Procyfloc 1009'!D451),'Procyfloc 1009'!D451,IF(ISNUMBER(SEARCH("12",'Procyfloc 1009'!D451)),EDATE(AB2950,12),IF(ISNUMBER(SEARCH("6",'Procyfloc 1009'!D451)),EDATE(AB2950,6),IF(ISNUMBER(SEARCH("3",'Procyfloc 1009'!D451)),EDATE(AB2950,3),DATEVALUE('Procyfloc 1009'!D451))))),""))</f>
        <v/>
      </c>
      <c r="AM2950" t="str">
        <f t="shared" ca="1" si="298"/>
        <v/>
      </c>
    </row>
    <row r="2951" spans="27:39" x14ac:dyDescent="0.3">
      <c r="AA2951" t="str">
        <f>IF(COUNTA('Procyfloc 1009'!A452,'Procyfloc 1009'!B452,'Procyfloc 1009'!C452)&gt;0,"1009","")</f>
        <v/>
      </c>
      <c r="AB2951" t="str">
        <f>IFERROR(IF(ISNUMBER('Procyfloc 1009'!A452),'Procyfloc 1009'!A452,DATEVALUE('Procyfloc 1009'!A452)),"")</f>
        <v/>
      </c>
      <c r="AC2951" t="str">
        <f>IF(AA2951="","",'Procyfloc 1009'!B452)</f>
        <v/>
      </c>
      <c r="AD2951" t="str">
        <f>IF(AA2951="","",IFERROR(1*'Procyfloc 1009'!C452,IFERROR(_xludf.NUMBERVALUE('Procyfloc 1009'!C452,".",","),IFERROR(_xludf.NUMBERVALUE('Procyfloc 1009'!C452,",","."),0))))</f>
        <v/>
      </c>
      <c r="AE2951" t="str">
        <f>IF(AA2951="","",'Procyfloc 1009'!L452)</f>
        <v/>
      </c>
      <c r="AF2951">
        <f t="shared" si="293"/>
        <v>0</v>
      </c>
      <c r="AG2951" t="str">
        <f t="shared" si="294"/>
        <v/>
      </c>
      <c r="AH2951" t="str">
        <f t="shared" si="295"/>
        <v/>
      </c>
      <c r="AI2951">
        <f t="shared" si="296"/>
        <v>0</v>
      </c>
      <c r="AJ2951">
        <f t="shared" si="297"/>
        <v>0</v>
      </c>
      <c r="AK2951">
        <v>0</v>
      </c>
      <c r="AL2951" t="str">
        <f>IF(AA2951="","",IFERROR(IF(ISNUMBER('Procyfloc 1009'!D452),'Procyfloc 1009'!D452,IF(ISNUMBER(SEARCH("12",'Procyfloc 1009'!D452)),EDATE(AB2951,12),IF(ISNUMBER(SEARCH("6",'Procyfloc 1009'!D452)),EDATE(AB2951,6),IF(ISNUMBER(SEARCH("3",'Procyfloc 1009'!D452)),EDATE(AB2951,3),DATEVALUE('Procyfloc 1009'!D452))))),""))</f>
        <v/>
      </c>
      <c r="AM2951" t="str">
        <f t="shared" ca="1" si="298"/>
        <v/>
      </c>
    </row>
    <row r="2952" spans="27:39" x14ac:dyDescent="0.3">
      <c r="AA2952" t="str">
        <f>IF(COUNTA('Procyfloc 1009'!A453,'Procyfloc 1009'!B453,'Procyfloc 1009'!C453)&gt;0,"1009","")</f>
        <v/>
      </c>
      <c r="AB2952" t="str">
        <f>IFERROR(IF(ISNUMBER('Procyfloc 1009'!A453),'Procyfloc 1009'!A453,DATEVALUE('Procyfloc 1009'!A453)),"")</f>
        <v/>
      </c>
      <c r="AC2952" t="str">
        <f>IF(AA2952="","",'Procyfloc 1009'!B453)</f>
        <v/>
      </c>
      <c r="AD2952" t="str">
        <f>IF(AA2952="","",IFERROR(1*'Procyfloc 1009'!C453,IFERROR(_xludf.NUMBERVALUE('Procyfloc 1009'!C453,".",","),IFERROR(_xludf.NUMBERVALUE('Procyfloc 1009'!C453,",","."),0))))</f>
        <v/>
      </c>
      <c r="AE2952" t="str">
        <f>IF(AA2952="","",'Procyfloc 1009'!L453)</f>
        <v/>
      </c>
      <c r="AF2952">
        <f t="shared" si="293"/>
        <v>0</v>
      </c>
      <c r="AG2952" t="str">
        <f t="shared" si="294"/>
        <v/>
      </c>
      <c r="AH2952" t="str">
        <f t="shared" si="295"/>
        <v/>
      </c>
      <c r="AI2952">
        <f t="shared" si="296"/>
        <v>0</v>
      </c>
      <c r="AJ2952">
        <f t="shared" si="297"/>
        <v>0</v>
      </c>
      <c r="AK2952">
        <v>0</v>
      </c>
      <c r="AL2952" t="str">
        <f>IF(AA2952="","",IFERROR(IF(ISNUMBER('Procyfloc 1009'!D453),'Procyfloc 1009'!D453,IF(ISNUMBER(SEARCH("12",'Procyfloc 1009'!D453)),EDATE(AB2952,12),IF(ISNUMBER(SEARCH("6",'Procyfloc 1009'!D453)),EDATE(AB2952,6),IF(ISNUMBER(SEARCH("3",'Procyfloc 1009'!D453)),EDATE(AB2952,3),DATEVALUE('Procyfloc 1009'!D453))))),""))</f>
        <v/>
      </c>
      <c r="AM2952" t="str">
        <f t="shared" ca="1" si="298"/>
        <v/>
      </c>
    </row>
    <row r="2953" spans="27:39" x14ac:dyDescent="0.3">
      <c r="AA2953" t="str">
        <f>IF(COUNTA('Procyfloc 1009'!A454,'Procyfloc 1009'!B454,'Procyfloc 1009'!C454)&gt;0,"1009","")</f>
        <v/>
      </c>
      <c r="AB2953" t="str">
        <f>IFERROR(IF(ISNUMBER('Procyfloc 1009'!A454),'Procyfloc 1009'!A454,DATEVALUE('Procyfloc 1009'!A454)),"")</f>
        <v/>
      </c>
      <c r="AC2953" t="str">
        <f>IF(AA2953="","",'Procyfloc 1009'!B454)</f>
        <v/>
      </c>
      <c r="AD2953" t="str">
        <f>IF(AA2953="","",IFERROR(1*'Procyfloc 1009'!C454,IFERROR(_xludf.NUMBERVALUE('Procyfloc 1009'!C454,".",","),IFERROR(_xludf.NUMBERVALUE('Procyfloc 1009'!C454,",","."),0))))</f>
        <v/>
      </c>
      <c r="AE2953" t="str">
        <f>IF(AA2953="","",'Procyfloc 1009'!L454)</f>
        <v/>
      </c>
      <c r="AF2953">
        <f t="shared" si="293"/>
        <v>0</v>
      </c>
      <c r="AG2953" t="str">
        <f t="shared" si="294"/>
        <v/>
      </c>
      <c r="AH2953" t="str">
        <f t="shared" si="295"/>
        <v/>
      </c>
      <c r="AI2953">
        <f t="shared" si="296"/>
        <v>0</v>
      </c>
      <c r="AJ2953">
        <f t="shared" si="297"/>
        <v>0</v>
      </c>
      <c r="AK2953">
        <v>0</v>
      </c>
      <c r="AL2953" t="str">
        <f>IF(AA2953="","",IFERROR(IF(ISNUMBER('Procyfloc 1009'!D454),'Procyfloc 1009'!D454,IF(ISNUMBER(SEARCH("12",'Procyfloc 1009'!D454)),EDATE(AB2953,12),IF(ISNUMBER(SEARCH("6",'Procyfloc 1009'!D454)),EDATE(AB2953,6),IF(ISNUMBER(SEARCH("3",'Procyfloc 1009'!D454)),EDATE(AB2953,3),DATEVALUE('Procyfloc 1009'!D454))))),""))</f>
        <v/>
      </c>
      <c r="AM2953" t="str">
        <f t="shared" ca="1" si="298"/>
        <v/>
      </c>
    </row>
    <row r="2954" spans="27:39" x14ac:dyDescent="0.3">
      <c r="AA2954" t="str">
        <f>IF(COUNTA('Procyfloc 1009'!A455,'Procyfloc 1009'!B455,'Procyfloc 1009'!C455)&gt;0,"1009","")</f>
        <v/>
      </c>
      <c r="AB2954" t="str">
        <f>IFERROR(IF(ISNUMBER('Procyfloc 1009'!A455),'Procyfloc 1009'!A455,DATEVALUE('Procyfloc 1009'!A455)),"")</f>
        <v/>
      </c>
      <c r="AC2954" t="str">
        <f>IF(AA2954="","",'Procyfloc 1009'!B455)</f>
        <v/>
      </c>
      <c r="AD2954" t="str">
        <f>IF(AA2954="","",IFERROR(1*'Procyfloc 1009'!C455,IFERROR(_xludf.NUMBERVALUE('Procyfloc 1009'!C455,".",","),IFERROR(_xludf.NUMBERVALUE('Procyfloc 1009'!C455,",","."),0))))</f>
        <v/>
      </c>
      <c r="AE2954" t="str">
        <f>IF(AA2954="","",'Procyfloc 1009'!L455)</f>
        <v/>
      </c>
      <c r="AF2954">
        <f t="shared" si="293"/>
        <v>0</v>
      </c>
      <c r="AG2954" t="str">
        <f t="shared" si="294"/>
        <v/>
      </c>
      <c r="AH2954" t="str">
        <f t="shared" si="295"/>
        <v/>
      </c>
      <c r="AI2954">
        <f t="shared" si="296"/>
        <v>0</v>
      </c>
      <c r="AJ2954">
        <f t="shared" si="297"/>
        <v>0</v>
      </c>
      <c r="AK2954">
        <v>0</v>
      </c>
      <c r="AL2954" t="str">
        <f>IF(AA2954="","",IFERROR(IF(ISNUMBER('Procyfloc 1009'!D455),'Procyfloc 1009'!D455,IF(ISNUMBER(SEARCH("12",'Procyfloc 1009'!D455)),EDATE(AB2954,12),IF(ISNUMBER(SEARCH("6",'Procyfloc 1009'!D455)),EDATE(AB2954,6),IF(ISNUMBER(SEARCH("3",'Procyfloc 1009'!D455)),EDATE(AB2954,3),DATEVALUE('Procyfloc 1009'!D455))))),""))</f>
        <v/>
      </c>
      <c r="AM2954" t="str">
        <f t="shared" ca="1" si="298"/>
        <v/>
      </c>
    </row>
    <row r="2955" spans="27:39" x14ac:dyDescent="0.3">
      <c r="AA2955" t="str">
        <f>IF(COUNTA('Procyfloc 1009'!A456,'Procyfloc 1009'!B456,'Procyfloc 1009'!C456)&gt;0,"1009","")</f>
        <v/>
      </c>
      <c r="AB2955" t="str">
        <f>IFERROR(IF(ISNUMBER('Procyfloc 1009'!A456),'Procyfloc 1009'!A456,DATEVALUE('Procyfloc 1009'!A456)),"")</f>
        <v/>
      </c>
      <c r="AC2955" t="str">
        <f>IF(AA2955="","",'Procyfloc 1009'!B456)</f>
        <v/>
      </c>
      <c r="AD2955" t="str">
        <f>IF(AA2955="","",IFERROR(1*'Procyfloc 1009'!C456,IFERROR(_xludf.NUMBERVALUE('Procyfloc 1009'!C456,".",","),IFERROR(_xludf.NUMBERVALUE('Procyfloc 1009'!C456,",","."),0))))</f>
        <v/>
      </c>
      <c r="AE2955" t="str">
        <f>IF(AA2955="","",'Procyfloc 1009'!L456)</f>
        <v/>
      </c>
      <c r="AF2955">
        <f t="shared" si="293"/>
        <v>0</v>
      </c>
      <c r="AG2955" t="str">
        <f t="shared" si="294"/>
        <v/>
      </c>
      <c r="AH2955" t="str">
        <f t="shared" si="295"/>
        <v/>
      </c>
      <c r="AI2955">
        <f t="shared" si="296"/>
        <v>0</v>
      </c>
      <c r="AJ2955">
        <f t="shared" si="297"/>
        <v>0</v>
      </c>
      <c r="AK2955">
        <v>0</v>
      </c>
      <c r="AL2955" t="str">
        <f>IF(AA2955="","",IFERROR(IF(ISNUMBER('Procyfloc 1009'!D456),'Procyfloc 1009'!D456,IF(ISNUMBER(SEARCH("12",'Procyfloc 1009'!D456)),EDATE(AB2955,12),IF(ISNUMBER(SEARCH("6",'Procyfloc 1009'!D456)),EDATE(AB2955,6),IF(ISNUMBER(SEARCH("3",'Procyfloc 1009'!D456)),EDATE(AB2955,3),DATEVALUE('Procyfloc 1009'!D456))))),""))</f>
        <v/>
      </c>
      <c r="AM2955" t="str">
        <f t="shared" ca="1" si="298"/>
        <v/>
      </c>
    </row>
    <row r="2956" spans="27:39" x14ac:dyDescent="0.3">
      <c r="AA2956" t="str">
        <f>IF(COUNTA('Procyfloc 1009'!A457,'Procyfloc 1009'!B457,'Procyfloc 1009'!C457)&gt;0,"1009","")</f>
        <v/>
      </c>
      <c r="AB2956" t="str">
        <f>IFERROR(IF(ISNUMBER('Procyfloc 1009'!A457),'Procyfloc 1009'!A457,DATEVALUE('Procyfloc 1009'!A457)),"")</f>
        <v/>
      </c>
      <c r="AC2956" t="str">
        <f>IF(AA2956="","",'Procyfloc 1009'!B457)</f>
        <v/>
      </c>
      <c r="AD2956" t="str">
        <f>IF(AA2956="","",IFERROR(1*'Procyfloc 1009'!C457,IFERROR(_xludf.NUMBERVALUE('Procyfloc 1009'!C457,".",","),IFERROR(_xludf.NUMBERVALUE('Procyfloc 1009'!C457,",","."),0))))</f>
        <v/>
      </c>
      <c r="AE2956" t="str">
        <f>IF(AA2956="","",'Procyfloc 1009'!L457)</f>
        <v/>
      </c>
      <c r="AF2956">
        <f t="shared" si="293"/>
        <v>0</v>
      </c>
      <c r="AG2956" t="str">
        <f t="shared" si="294"/>
        <v/>
      </c>
      <c r="AH2956" t="str">
        <f t="shared" si="295"/>
        <v/>
      </c>
      <c r="AI2956">
        <f t="shared" si="296"/>
        <v>0</v>
      </c>
      <c r="AJ2956">
        <f t="shared" si="297"/>
        <v>0</v>
      </c>
      <c r="AK2956">
        <v>0</v>
      </c>
      <c r="AL2956" t="str">
        <f>IF(AA2956="","",IFERROR(IF(ISNUMBER('Procyfloc 1009'!D457),'Procyfloc 1009'!D457,IF(ISNUMBER(SEARCH("12",'Procyfloc 1009'!D457)),EDATE(AB2956,12),IF(ISNUMBER(SEARCH("6",'Procyfloc 1009'!D457)),EDATE(AB2956,6),IF(ISNUMBER(SEARCH("3",'Procyfloc 1009'!D457)),EDATE(AB2956,3),DATEVALUE('Procyfloc 1009'!D457))))),""))</f>
        <v/>
      </c>
      <c r="AM2956" t="str">
        <f t="shared" ca="1" si="298"/>
        <v/>
      </c>
    </row>
    <row r="2957" spans="27:39" x14ac:dyDescent="0.3">
      <c r="AA2957" t="str">
        <f>IF(COUNTA('Procyfloc 1009'!A458,'Procyfloc 1009'!B458,'Procyfloc 1009'!C458)&gt;0,"1009","")</f>
        <v/>
      </c>
      <c r="AB2957" t="str">
        <f>IFERROR(IF(ISNUMBER('Procyfloc 1009'!A458),'Procyfloc 1009'!A458,DATEVALUE('Procyfloc 1009'!A458)),"")</f>
        <v/>
      </c>
      <c r="AC2957" t="str">
        <f>IF(AA2957="","",'Procyfloc 1009'!B458)</f>
        <v/>
      </c>
      <c r="AD2957" t="str">
        <f>IF(AA2957="","",IFERROR(1*'Procyfloc 1009'!C458,IFERROR(_xludf.NUMBERVALUE('Procyfloc 1009'!C458,".",","),IFERROR(_xludf.NUMBERVALUE('Procyfloc 1009'!C458,",","."),0))))</f>
        <v/>
      </c>
      <c r="AE2957" t="str">
        <f>IF(AA2957="","",'Procyfloc 1009'!L458)</f>
        <v/>
      </c>
      <c r="AF2957">
        <f t="shared" si="293"/>
        <v>0</v>
      </c>
      <c r="AG2957" t="str">
        <f t="shared" si="294"/>
        <v/>
      </c>
      <c r="AH2957" t="str">
        <f t="shared" si="295"/>
        <v/>
      </c>
      <c r="AI2957">
        <f t="shared" si="296"/>
        <v>0</v>
      </c>
      <c r="AJ2957">
        <f t="shared" si="297"/>
        <v>0</v>
      </c>
      <c r="AK2957">
        <v>0</v>
      </c>
      <c r="AL2957" t="str">
        <f>IF(AA2957="","",IFERROR(IF(ISNUMBER('Procyfloc 1009'!D458),'Procyfloc 1009'!D458,IF(ISNUMBER(SEARCH("12",'Procyfloc 1009'!D458)),EDATE(AB2957,12),IF(ISNUMBER(SEARCH("6",'Procyfloc 1009'!D458)),EDATE(AB2957,6),IF(ISNUMBER(SEARCH("3",'Procyfloc 1009'!D458)),EDATE(AB2957,3),DATEVALUE('Procyfloc 1009'!D458))))),""))</f>
        <v/>
      </c>
      <c r="AM2957" t="str">
        <f t="shared" ca="1" si="298"/>
        <v/>
      </c>
    </row>
    <row r="2958" spans="27:39" x14ac:dyDescent="0.3">
      <c r="AA2958" t="str">
        <f>IF(COUNTA('Procyfloc 1009'!A459,'Procyfloc 1009'!B459,'Procyfloc 1009'!C459)&gt;0,"1009","")</f>
        <v/>
      </c>
      <c r="AB2958" t="str">
        <f>IFERROR(IF(ISNUMBER('Procyfloc 1009'!A459),'Procyfloc 1009'!A459,DATEVALUE('Procyfloc 1009'!A459)),"")</f>
        <v/>
      </c>
      <c r="AC2958" t="str">
        <f>IF(AA2958="","",'Procyfloc 1009'!B459)</f>
        <v/>
      </c>
      <c r="AD2958" t="str">
        <f>IF(AA2958="","",IFERROR(1*'Procyfloc 1009'!C459,IFERROR(_xludf.NUMBERVALUE('Procyfloc 1009'!C459,".",","),IFERROR(_xludf.NUMBERVALUE('Procyfloc 1009'!C459,",","."),0))))</f>
        <v/>
      </c>
      <c r="AE2958" t="str">
        <f>IF(AA2958="","",'Procyfloc 1009'!L459)</f>
        <v/>
      </c>
      <c r="AF2958">
        <f t="shared" si="293"/>
        <v>0</v>
      </c>
      <c r="AG2958" t="str">
        <f t="shared" si="294"/>
        <v/>
      </c>
      <c r="AH2958" t="str">
        <f t="shared" si="295"/>
        <v/>
      </c>
      <c r="AI2958">
        <f t="shared" si="296"/>
        <v>0</v>
      </c>
      <c r="AJ2958">
        <f t="shared" si="297"/>
        <v>0</v>
      </c>
      <c r="AK2958">
        <v>0</v>
      </c>
      <c r="AL2958" t="str">
        <f>IF(AA2958="","",IFERROR(IF(ISNUMBER('Procyfloc 1009'!D459),'Procyfloc 1009'!D459,IF(ISNUMBER(SEARCH("12",'Procyfloc 1009'!D459)),EDATE(AB2958,12),IF(ISNUMBER(SEARCH("6",'Procyfloc 1009'!D459)),EDATE(AB2958,6),IF(ISNUMBER(SEARCH("3",'Procyfloc 1009'!D459)),EDATE(AB2958,3),DATEVALUE('Procyfloc 1009'!D459))))),""))</f>
        <v/>
      </c>
      <c r="AM2958" t="str">
        <f t="shared" ca="1" si="298"/>
        <v/>
      </c>
    </row>
    <row r="2959" spans="27:39" x14ac:dyDescent="0.3">
      <c r="AA2959" t="str">
        <f>IF(COUNTA('Procyfloc 1009'!A460,'Procyfloc 1009'!B460,'Procyfloc 1009'!C460)&gt;0,"1009","")</f>
        <v/>
      </c>
      <c r="AB2959" t="str">
        <f>IFERROR(IF(ISNUMBER('Procyfloc 1009'!A460),'Procyfloc 1009'!A460,DATEVALUE('Procyfloc 1009'!A460)),"")</f>
        <v/>
      </c>
      <c r="AC2959" t="str">
        <f>IF(AA2959="","",'Procyfloc 1009'!B460)</f>
        <v/>
      </c>
      <c r="AD2959" t="str">
        <f>IF(AA2959="","",IFERROR(1*'Procyfloc 1009'!C460,IFERROR(_xludf.NUMBERVALUE('Procyfloc 1009'!C460,".",","),IFERROR(_xludf.NUMBERVALUE('Procyfloc 1009'!C460,",","."),0))))</f>
        <v/>
      </c>
      <c r="AE2959" t="str">
        <f>IF(AA2959="","",'Procyfloc 1009'!L460)</f>
        <v/>
      </c>
      <c r="AF2959">
        <f t="shared" si="293"/>
        <v>0</v>
      </c>
      <c r="AG2959" t="str">
        <f t="shared" si="294"/>
        <v/>
      </c>
      <c r="AH2959" t="str">
        <f t="shared" si="295"/>
        <v/>
      </c>
      <c r="AI2959">
        <f t="shared" si="296"/>
        <v>0</v>
      </c>
      <c r="AJ2959">
        <f t="shared" si="297"/>
        <v>0</v>
      </c>
      <c r="AK2959">
        <v>0</v>
      </c>
      <c r="AL2959" t="str">
        <f>IF(AA2959="","",IFERROR(IF(ISNUMBER('Procyfloc 1009'!D460),'Procyfloc 1009'!D460,IF(ISNUMBER(SEARCH("12",'Procyfloc 1009'!D460)),EDATE(AB2959,12),IF(ISNUMBER(SEARCH("6",'Procyfloc 1009'!D460)),EDATE(AB2959,6),IF(ISNUMBER(SEARCH("3",'Procyfloc 1009'!D460)),EDATE(AB2959,3),DATEVALUE('Procyfloc 1009'!D460))))),""))</f>
        <v/>
      </c>
      <c r="AM2959" t="str">
        <f t="shared" ca="1" si="298"/>
        <v/>
      </c>
    </row>
    <row r="2960" spans="27:39" x14ac:dyDescent="0.3">
      <c r="AA2960" t="str">
        <f>IF(COUNTA('Procyfloc 1009'!A461,'Procyfloc 1009'!B461,'Procyfloc 1009'!C461)&gt;0,"1009","")</f>
        <v/>
      </c>
      <c r="AB2960" t="str">
        <f>IFERROR(IF(ISNUMBER('Procyfloc 1009'!A461),'Procyfloc 1009'!A461,DATEVALUE('Procyfloc 1009'!A461)),"")</f>
        <v/>
      </c>
      <c r="AC2960" t="str">
        <f>IF(AA2960="","",'Procyfloc 1009'!B461)</f>
        <v/>
      </c>
      <c r="AD2960" t="str">
        <f>IF(AA2960="","",IFERROR(1*'Procyfloc 1009'!C461,IFERROR(_xludf.NUMBERVALUE('Procyfloc 1009'!C461,".",","),IFERROR(_xludf.NUMBERVALUE('Procyfloc 1009'!C461,",","."),0))))</f>
        <v/>
      </c>
      <c r="AE2960" t="str">
        <f>IF(AA2960="","",'Procyfloc 1009'!L461)</f>
        <v/>
      </c>
      <c r="AF2960">
        <f t="shared" si="293"/>
        <v>0</v>
      </c>
      <c r="AG2960" t="str">
        <f t="shared" si="294"/>
        <v/>
      </c>
      <c r="AH2960" t="str">
        <f t="shared" si="295"/>
        <v/>
      </c>
      <c r="AI2960">
        <f t="shared" si="296"/>
        <v>0</v>
      </c>
      <c r="AJ2960">
        <f t="shared" si="297"/>
        <v>0</v>
      </c>
      <c r="AK2960">
        <v>0</v>
      </c>
      <c r="AL2960" t="str">
        <f>IF(AA2960="","",IFERROR(IF(ISNUMBER('Procyfloc 1009'!D461),'Procyfloc 1009'!D461,IF(ISNUMBER(SEARCH("12",'Procyfloc 1009'!D461)),EDATE(AB2960,12),IF(ISNUMBER(SEARCH("6",'Procyfloc 1009'!D461)),EDATE(AB2960,6),IF(ISNUMBER(SEARCH("3",'Procyfloc 1009'!D461)),EDATE(AB2960,3),DATEVALUE('Procyfloc 1009'!D461))))),""))</f>
        <v/>
      </c>
      <c r="AM2960" t="str">
        <f t="shared" ca="1" si="298"/>
        <v/>
      </c>
    </row>
    <row r="2961" spans="27:39" x14ac:dyDescent="0.3">
      <c r="AA2961" t="str">
        <f>IF(COUNTA('Procyfloc 1009'!A462,'Procyfloc 1009'!B462,'Procyfloc 1009'!C462)&gt;0,"1009","")</f>
        <v/>
      </c>
      <c r="AB2961" t="str">
        <f>IFERROR(IF(ISNUMBER('Procyfloc 1009'!A462),'Procyfloc 1009'!A462,DATEVALUE('Procyfloc 1009'!A462)),"")</f>
        <v/>
      </c>
      <c r="AC2961" t="str">
        <f>IF(AA2961="","",'Procyfloc 1009'!B462)</f>
        <v/>
      </c>
      <c r="AD2961" t="str">
        <f>IF(AA2961="","",IFERROR(1*'Procyfloc 1009'!C462,IFERROR(_xludf.NUMBERVALUE('Procyfloc 1009'!C462,".",","),IFERROR(_xludf.NUMBERVALUE('Procyfloc 1009'!C462,",","."),0))))</f>
        <v/>
      </c>
      <c r="AE2961" t="str">
        <f>IF(AA2961="","",'Procyfloc 1009'!L462)</f>
        <v/>
      </c>
      <c r="AF2961">
        <f t="shared" si="293"/>
        <v>0</v>
      </c>
      <c r="AG2961" t="str">
        <f t="shared" si="294"/>
        <v/>
      </c>
      <c r="AH2961" t="str">
        <f t="shared" si="295"/>
        <v/>
      </c>
      <c r="AI2961">
        <f t="shared" si="296"/>
        <v>0</v>
      </c>
      <c r="AJ2961">
        <f t="shared" si="297"/>
        <v>0</v>
      </c>
      <c r="AK2961">
        <v>0</v>
      </c>
      <c r="AL2961" t="str">
        <f>IF(AA2961="","",IFERROR(IF(ISNUMBER('Procyfloc 1009'!D462),'Procyfloc 1009'!D462,IF(ISNUMBER(SEARCH("12",'Procyfloc 1009'!D462)),EDATE(AB2961,12),IF(ISNUMBER(SEARCH("6",'Procyfloc 1009'!D462)),EDATE(AB2961,6),IF(ISNUMBER(SEARCH("3",'Procyfloc 1009'!D462)),EDATE(AB2961,3),DATEVALUE('Procyfloc 1009'!D462))))),""))</f>
        <v/>
      </c>
      <c r="AM2961" t="str">
        <f t="shared" ca="1" si="298"/>
        <v/>
      </c>
    </row>
    <row r="2962" spans="27:39" x14ac:dyDescent="0.3">
      <c r="AA2962" t="str">
        <f>IF(COUNTA('Procyfloc 1009'!A463,'Procyfloc 1009'!B463,'Procyfloc 1009'!C463)&gt;0,"1009","")</f>
        <v/>
      </c>
      <c r="AB2962" t="str">
        <f>IFERROR(IF(ISNUMBER('Procyfloc 1009'!A463),'Procyfloc 1009'!A463,DATEVALUE('Procyfloc 1009'!A463)),"")</f>
        <v/>
      </c>
      <c r="AC2962" t="str">
        <f>IF(AA2962="","",'Procyfloc 1009'!B463)</f>
        <v/>
      </c>
      <c r="AD2962" t="str">
        <f>IF(AA2962="","",IFERROR(1*'Procyfloc 1009'!C463,IFERROR(_xludf.NUMBERVALUE('Procyfloc 1009'!C463,".",","),IFERROR(_xludf.NUMBERVALUE('Procyfloc 1009'!C463,",","."),0))))</f>
        <v/>
      </c>
      <c r="AE2962" t="str">
        <f>IF(AA2962="","",'Procyfloc 1009'!L463)</f>
        <v/>
      </c>
      <c r="AF2962">
        <f t="shared" si="293"/>
        <v>0</v>
      </c>
      <c r="AG2962" t="str">
        <f t="shared" si="294"/>
        <v/>
      </c>
      <c r="AH2962" t="str">
        <f t="shared" si="295"/>
        <v/>
      </c>
      <c r="AI2962">
        <f t="shared" si="296"/>
        <v>0</v>
      </c>
      <c r="AJ2962">
        <f t="shared" si="297"/>
        <v>0</v>
      </c>
      <c r="AK2962">
        <v>0</v>
      </c>
      <c r="AL2962" t="str">
        <f>IF(AA2962="","",IFERROR(IF(ISNUMBER('Procyfloc 1009'!D463),'Procyfloc 1009'!D463,IF(ISNUMBER(SEARCH("12",'Procyfloc 1009'!D463)),EDATE(AB2962,12),IF(ISNUMBER(SEARCH("6",'Procyfloc 1009'!D463)),EDATE(AB2962,6),IF(ISNUMBER(SEARCH("3",'Procyfloc 1009'!D463)),EDATE(AB2962,3),DATEVALUE('Procyfloc 1009'!D463))))),""))</f>
        <v/>
      </c>
      <c r="AM2962" t="str">
        <f t="shared" ca="1" si="298"/>
        <v/>
      </c>
    </row>
    <row r="2963" spans="27:39" x14ac:dyDescent="0.3">
      <c r="AA2963" t="str">
        <f>IF(COUNTA('Procyfloc 1009'!A464,'Procyfloc 1009'!B464,'Procyfloc 1009'!C464)&gt;0,"1009","")</f>
        <v/>
      </c>
      <c r="AB2963" t="str">
        <f>IFERROR(IF(ISNUMBER('Procyfloc 1009'!A464),'Procyfloc 1009'!A464,DATEVALUE('Procyfloc 1009'!A464)),"")</f>
        <v/>
      </c>
      <c r="AC2963" t="str">
        <f>IF(AA2963="","",'Procyfloc 1009'!B464)</f>
        <v/>
      </c>
      <c r="AD2963" t="str">
        <f>IF(AA2963="","",IFERROR(1*'Procyfloc 1009'!C464,IFERROR(_xludf.NUMBERVALUE('Procyfloc 1009'!C464,".",","),IFERROR(_xludf.NUMBERVALUE('Procyfloc 1009'!C464,",","."),0))))</f>
        <v/>
      </c>
      <c r="AE2963" t="str">
        <f>IF(AA2963="","",'Procyfloc 1009'!L464)</f>
        <v/>
      </c>
      <c r="AF2963">
        <f t="shared" si="293"/>
        <v>0</v>
      </c>
      <c r="AG2963" t="str">
        <f t="shared" si="294"/>
        <v/>
      </c>
      <c r="AH2963" t="str">
        <f t="shared" si="295"/>
        <v/>
      </c>
      <c r="AI2963">
        <f t="shared" si="296"/>
        <v>0</v>
      </c>
      <c r="AJ2963">
        <f t="shared" si="297"/>
        <v>0</v>
      </c>
      <c r="AK2963">
        <v>0</v>
      </c>
      <c r="AL2963" t="str">
        <f>IF(AA2963="","",IFERROR(IF(ISNUMBER('Procyfloc 1009'!D464),'Procyfloc 1009'!D464,IF(ISNUMBER(SEARCH("12",'Procyfloc 1009'!D464)),EDATE(AB2963,12),IF(ISNUMBER(SEARCH("6",'Procyfloc 1009'!D464)),EDATE(AB2963,6),IF(ISNUMBER(SEARCH("3",'Procyfloc 1009'!D464)),EDATE(AB2963,3),DATEVALUE('Procyfloc 1009'!D464))))),""))</f>
        <v/>
      </c>
      <c r="AM2963" t="str">
        <f t="shared" ca="1" si="298"/>
        <v/>
      </c>
    </row>
    <row r="2964" spans="27:39" x14ac:dyDescent="0.3">
      <c r="AA2964" t="str">
        <f>IF(COUNTA('Procyfloc 1009'!A465,'Procyfloc 1009'!B465,'Procyfloc 1009'!C465)&gt;0,"1009","")</f>
        <v/>
      </c>
      <c r="AB2964" t="str">
        <f>IFERROR(IF(ISNUMBER('Procyfloc 1009'!A465),'Procyfloc 1009'!A465,DATEVALUE('Procyfloc 1009'!A465)),"")</f>
        <v/>
      </c>
      <c r="AC2964" t="str">
        <f>IF(AA2964="","",'Procyfloc 1009'!B465)</f>
        <v/>
      </c>
      <c r="AD2964" t="str">
        <f>IF(AA2964="","",IFERROR(1*'Procyfloc 1009'!C465,IFERROR(_xludf.NUMBERVALUE('Procyfloc 1009'!C465,".",","),IFERROR(_xludf.NUMBERVALUE('Procyfloc 1009'!C465,",","."),0))))</f>
        <v/>
      </c>
      <c r="AE2964" t="str">
        <f>IF(AA2964="","",'Procyfloc 1009'!L465)</f>
        <v/>
      </c>
      <c r="AF2964">
        <f t="shared" si="293"/>
        <v>0</v>
      </c>
      <c r="AG2964" t="str">
        <f t="shared" si="294"/>
        <v/>
      </c>
      <c r="AH2964" t="str">
        <f t="shared" si="295"/>
        <v/>
      </c>
      <c r="AI2964">
        <f t="shared" si="296"/>
        <v>0</v>
      </c>
      <c r="AJ2964">
        <f t="shared" si="297"/>
        <v>0</v>
      </c>
      <c r="AK2964">
        <v>0</v>
      </c>
      <c r="AL2964" t="str">
        <f>IF(AA2964="","",IFERROR(IF(ISNUMBER('Procyfloc 1009'!D465),'Procyfloc 1009'!D465,IF(ISNUMBER(SEARCH("12",'Procyfloc 1009'!D465)),EDATE(AB2964,12),IF(ISNUMBER(SEARCH("6",'Procyfloc 1009'!D465)),EDATE(AB2964,6),IF(ISNUMBER(SEARCH("3",'Procyfloc 1009'!D465)),EDATE(AB2964,3),DATEVALUE('Procyfloc 1009'!D465))))),""))</f>
        <v/>
      </c>
      <c r="AM2964" t="str">
        <f t="shared" ca="1" si="298"/>
        <v/>
      </c>
    </row>
    <row r="2965" spans="27:39" x14ac:dyDescent="0.3">
      <c r="AA2965" t="str">
        <f>IF(COUNTA('Procyfloc 1009'!A466,'Procyfloc 1009'!B466,'Procyfloc 1009'!C466)&gt;0,"1009","")</f>
        <v/>
      </c>
      <c r="AB2965" t="str">
        <f>IFERROR(IF(ISNUMBER('Procyfloc 1009'!A466),'Procyfloc 1009'!A466,DATEVALUE('Procyfloc 1009'!A466)),"")</f>
        <v/>
      </c>
      <c r="AC2965" t="str">
        <f>IF(AA2965="","",'Procyfloc 1009'!B466)</f>
        <v/>
      </c>
      <c r="AD2965" t="str">
        <f>IF(AA2965="","",IFERROR(1*'Procyfloc 1009'!C466,IFERROR(_xludf.NUMBERVALUE('Procyfloc 1009'!C466,".",","),IFERROR(_xludf.NUMBERVALUE('Procyfloc 1009'!C466,",","."),0))))</f>
        <v/>
      </c>
      <c r="AE2965" t="str">
        <f>IF(AA2965="","",'Procyfloc 1009'!L466)</f>
        <v/>
      </c>
      <c r="AF2965">
        <f t="shared" si="293"/>
        <v>0</v>
      </c>
      <c r="AG2965" t="str">
        <f t="shared" si="294"/>
        <v/>
      </c>
      <c r="AH2965" t="str">
        <f t="shared" si="295"/>
        <v/>
      </c>
      <c r="AI2965">
        <f t="shared" si="296"/>
        <v>0</v>
      </c>
      <c r="AJ2965">
        <f t="shared" si="297"/>
        <v>0</v>
      </c>
      <c r="AK2965">
        <v>0</v>
      </c>
      <c r="AL2965" t="str">
        <f>IF(AA2965="","",IFERROR(IF(ISNUMBER('Procyfloc 1009'!D466),'Procyfloc 1009'!D466,IF(ISNUMBER(SEARCH("12",'Procyfloc 1009'!D466)),EDATE(AB2965,12),IF(ISNUMBER(SEARCH("6",'Procyfloc 1009'!D466)),EDATE(AB2965,6),IF(ISNUMBER(SEARCH("3",'Procyfloc 1009'!D466)),EDATE(AB2965,3),DATEVALUE('Procyfloc 1009'!D466))))),""))</f>
        <v/>
      </c>
      <c r="AM2965" t="str">
        <f t="shared" ca="1" si="298"/>
        <v/>
      </c>
    </row>
    <row r="2966" spans="27:39" x14ac:dyDescent="0.3">
      <c r="AA2966" t="str">
        <f>IF(COUNTA('Procyfloc 1009'!A467,'Procyfloc 1009'!B467,'Procyfloc 1009'!C467)&gt;0,"1009","")</f>
        <v/>
      </c>
      <c r="AB2966" t="str">
        <f>IFERROR(IF(ISNUMBER('Procyfloc 1009'!A467),'Procyfloc 1009'!A467,DATEVALUE('Procyfloc 1009'!A467)),"")</f>
        <v/>
      </c>
      <c r="AC2966" t="str">
        <f>IF(AA2966="","",'Procyfloc 1009'!B467)</f>
        <v/>
      </c>
      <c r="AD2966" t="str">
        <f>IF(AA2966="","",IFERROR(1*'Procyfloc 1009'!C467,IFERROR(_xludf.NUMBERVALUE('Procyfloc 1009'!C467,".",","),IFERROR(_xludf.NUMBERVALUE('Procyfloc 1009'!C467,",","."),0))))</f>
        <v/>
      </c>
      <c r="AE2966" t="str">
        <f>IF(AA2966="","",'Procyfloc 1009'!L467)</f>
        <v/>
      </c>
      <c r="AF2966">
        <f t="shared" si="293"/>
        <v>0</v>
      </c>
      <c r="AG2966" t="str">
        <f t="shared" si="294"/>
        <v/>
      </c>
      <c r="AH2966" t="str">
        <f t="shared" si="295"/>
        <v/>
      </c>
      <c r="AI2966">
        <f t="shared" si="296"/>
        <v>0</v>
      </c>
      <c r="AJ2966">
        <f t="shared" si="297"/>
        <v>0</v>
      </c>
      <c r="AK2966">
        <v>0</v>
      </c>
      <c r="AL2966" t="str">
        <f>IF(AA2966="","",IFERROR(IF(ISNUMBER('Procyfloc 1009'!D467),'Procyfloc 1009'!D467,IF(ISNUMBER(SEARCH("12",'Procyfloc 1009'!D467)),EDATE(AB2966,12),IF(ISNUMBER(SEARCH("6",'Procyfloc 1009'!D467)),EDATE(AB2966,6),IF(ISNUMBER(SEARCH("3",'Procyfloc 1009'!D467)),EDATE(AB2966,3),DATEVALUE('Procyfloc 1009'!D467))))),""))</f>
        <v/>
      </c>
      <c r="AM2966" t="str">
        <f t="shared" ca="1" si="298"/>
        <v/>
      </c>
    </row>
    <row r="2967" spans="27:39" x14ac:dyDescent="0.3">
      <c r="AA2967" t="str">
        <f>IF(COUNTA('Procyfloc 1009'!A468,'Procyfloc 1009'!B468,'Procyfloc 1009'!C468)&gt;0,"1009","")</f>
        <v/>
      </c>
      <c r="AB2967" t="str">
        <f>IFERROR(IF(ISNUMBER('Procyfloc 1009'!A468),'Procyfloc 1009'!A468,DATEVALUE('Procyfloc 1009'!A468)),"")</f>
        <v/>
      </c>
      <c r="AC2967" t="str">
        <f>IF(AA2967="","",'Procyfloc 1009'!B468)</f>
        <v/>
      </c>
      <c r="AD2967" t="str">
        <f>IF(AA2967="","",IFERROR(1*'Procyfloc 1009'!C468,IFERROR(_xludf.NUMBERVALUE('Procyfloc 1009'!C468,".",","),IFERROR(_xludf.NUMBERVALUE('Procyfloc 1009'!C468,",","."),0))))</f>
        <v/>
      </c>
      <c r="AE2967" t="str">
        <f>IF(AA2967="","",'Procyfloc 1009'!L468)</f>
        <v/>
      </c>
      <c r="AF2967">
        <f t="shared" si="293"/>
        <v>0</v>
      </c>
      <c r="AG2967" t="str">
        <f t="shared" si="294"/>
        <v/>
      </c>
      <c r="AH2967" t="str">
        <f t="shared" si="295"/>
        <v/>
      </c>
      <c r="AI2967">
        <f t="shared" si="296"/>
        <v>0</v>
      </c>
      <c r="AJ2967">
        <f t="shared" si="297"/>
        <v>0</v>
      </c>
      <c r="AK2967">
        <v>0</v>
      </c>
      <c r="AL2967" t="str">
        <f>IF(AA2967="","",IFERROR(IF(ISNUMBER('Procyfloc 1009'!D468),'Procyfloc 1009'!D468,IF(ISNUMBER(SEARCH("12",'Procyfloc 1009'!D468)),EDATE(AB2967,12),IF(ISNUMBER(SEARCH("6",'Procyfloc 1009'!D468)),EDATE(AB2967,6),IF(ISNUMBER(SEARCH("3",'Procyfloc 1009'!D468)),EDATE(AB2967,3),DATEVALUE('Procyfloc 1009'!D468))))),""))</f>
        <v/>
      </c>
      <c r="AM2967" t="str">
        <f t="shared" ca="1" si="298"/>
        <v/>
      </c>
    </row>
    <row r="2968" spans="27:39" x14ac:dyDescent="0.3">
      <c r="AA2968" t="str">
        <f>IF(COUNTA('Procyfloc 1009'!A469,'Procyfloc 1009'!B469,'Procyfloc 1009'!C469)&gt;0,"1009","")</f>
        <v/>
      </c>
      <c r="AB2968" t="str">
        <f>IFERROR(IF(ISNUMBER('Procyfloc 1009'!A469),'Procyfloc 1009'!A469,DATEVALUE('Procyfloc 1009'!A469)),"")</f>
        <v/>
      </c>
      <c r="AC2968" t="str">
        <f>IF(AA2968="","",'Procyfloc 1009'!B469)</f>
        <v/>
      </c>
      <c r="AD2968" t="str">
        <f>IF(AA2968="","",IFERROR(1*'Procyfloc 1009'!C469,IFERROR(_xludf.NUMBERVALUE('Procyfloc 1009'!C469,".",","),IFERROR(_xludf.NUMBERVALUE('Procyfloc 1009'!C469,",","."),0))))</f>
        <v/>
      </c>
      <c r="AE2968" t="str">
        <f>IF(AA2968="","",'Procyfloc 1009'!L469)</f>
        <v/>
      </c>
      <c r="AF2968">
        <f t="shared" si="293"/>
        <v>0</v>
      </c>
      <c r="AG2968" t="str">
        <f t="shared" si="294"/>
        <v/>
      </c>
      <c r="AH2968" t="str">
        <f t="shared" si="295"/>
        <v/>
      </c>
      <c r="AI2968">
        <f t="shared" si="296"/>
        <v>0</v>
      </c>
      <c r="AJ2968">
        <f t="shared" si="297"/>
        <v>0</v>
      </c>
      <c r="AK2968">
        <v>0</v>
      </c>
      <c r="AL2968" t="str">
        <f>IF(AA2968="","",IFERROR(IF(ISNUMBER('Procyfloc 1009'!D469),'Procyfloc 1009'!D469,IF(ISNUMBER(SEARCH("12",'Procyfloc 1009'!D469)),EDATE(AB2968,12),IF(ISNUMBER(SEARCH("6",'Procyfloc 1009'!D469)),EDATE(AB2968,6),IF(ISNUMBER(SEARCH("3",'Procyfloc 1009'!D469)),EDATE(AB2968,3),DATEVALUE('Procyfloc 1009'!D469))))),""))</f>
        <v/>
      </c>
      <c r="AM2968" t="str">
        <f t="shared" ca="1" si="298"/>
        <v/>
      </c>
    </row>
    <row r="2969" spans="27:39" x14ac:dyDescent="0.3">
      <c r="AA2969" t="str">
        <f>IF(COUNTA('Procyfloc 1009'!A470,'Procyfloc 1009'!B470,'Procyfloc 1009'!C470)&gt;0,"1009","")</f>
        <v/>
      </c>
      <c r="AB2969" t="str">
        <f>IFERROR(IF(ISNUMBER('Procyfloc 1009'!A470),'Procyfloc 1009'!A470,DATEVALUE('Procyfloc 1009'!A470)),"")</f>
        <v/>
      </c>
      <c r="AC2969" t="str">
        <f>IF(AA2969="","",'Procyfloc 1009'!B470)</f>
        <v/>
      </c>
      <c r="AD2969" t="str">
        <f>IF(AA2969="","",IFERROR(1*'Procyfloc 1009'!C470,IFERROR(_xludf.NUMBERVALUE('Procyfloc 1009'!C470,".",","),IFERROR(_xludf.NUMBERVALUE('Procyfloc 1009'!C470,",","."),0))))</f>
        <v/>
      </c>
      <c r="AE2969" t="str">
        <f>IF(AA2969="","",'Procyfloc 1009'!L470)</f>
        <v/>
      </c>
      <c r="AF2969">
        <f t="shared" si="293"/>
        <v>0</v>
      </c>
      <c r="AG2969" t="str">
        <f t="shared" si="294"/>
        <v/>
      </c>
      <c r="AH2969" t="str">
        <f t="shared" si="295"/>
        <v/>
      </c>
      <c r="AI2969">
        <f t="shared" si="296"/>
        <v>0</v>
      </c>
      <c r="AJ2969">
        <f t="shared" si="297"/>
        <v>0</v>
      </c>
      <c r="AK2969">
        <v>0</v>
      </c>
      <c r="AL2969" t="str">
        <f>IF(AA2969="","",IFERROR(IF(ISNUMBER('Procyfloc 1009'!D470),'Procyfloc 1009'!D470,IF(ISNUMBER(SEARCH("12",'Procyfloc 1009'!D470)),EDATE(AB2969,12),IF(ISNUMBER(SEARCH("6",'Procyfloc 1009'!D470)),EDATE(AB2969,6),IF(ISNUMBER(SEARCH("3",'Procyfloc 1009'!D470)),EDATE(AB2969,3),DATEVALUE('Procyfloc 1009'!D470))))),""))</f>
        <v/>
      </c>
      <c r="AM2969" t="str">
        <f t="shared" ca="1" si="298"/>
        <v/>
      </c>
    </row>
    <row r="2970" spans="27:39" x14ac:dyDescent="0.3">
      <c r="AA2970" t="str">
        <f>IF(COUNTA('Procyfloc 1009'!A471,'Procyfloc 1009'!B471,'Procyfloc 1009'!C471)&gt;0,"1009","")</f>
        <v/>
      </c>
      <c r="AB2970" t="str">
        <f>IFERROR(IF(ISNUMBER('Procyfloc 1009'!A471),'Procyfloc 1009'!A471,DATEVALUE('Procyfloc 1009'!A471)),"")</f>
        <v/>
      </c>
      <c r="AC2970" t="str">
        <f>IF(AA2970="","",'Procyfloc 1009'!B471)</f>
        <v/>
      </c>
      <c r="AD2970" t="str">
        <f>IF(AA2970="","",IFERROR(1*'Procyfloc 1009'!C471,IFERROR(_xludf.NUMBERVALUE('Procyfloc 1009'!C471,".",","),IFERROR(_xludf.NUMBERVALUE('Procyfloc 1009'!C471,",","."),0))))</f>
        <v/>
      </c>
      <c r="AE2970" t="str">
        <f>IF(AA2970="","",'Procyfloc 1009'!L471)</f>
        <v/>
      </c>
      <c r="AF2970">
        <f t="shared" si="293"/>
        <v>0</v>
      </c>
      <c r="AG2970" t="str">
        <f t="shared" si="294"/>
        <v/>
      </c>
      <c r="AH2970" t="str">
        <f t="shared" si="295"/>
        <v/>
      </c>
      <c r="AI2970">
        <f t="shared" si="296"/>
        <v>0</v>
      </c>
      <c r="AJ2970">
        <f t="shared" si="297"/>
        <v>0</v>
      </c>
      <c r="AK2970">
        <v>0</v>
      </c>
      <c r="AL2970" t="str">
        <f>IF(AA2970="","",IFERROR(IF(ISNUMBER('Procyfloc 1009'!D471),'Procyfloc 1009'!D471,IF(ISNUMBER(SEARCH("12",'Procyfloc 1009'!D471)),EDATE(AB2970,12),IF(ISNUMBER(SEARCH("6",'Procyfloc 1009'!D471)),EDATE(AB2970,6),IF(ISNUMBER(SEARCH("3",'Procyfloc 1009'!D471)),EDATE(AB2970,3),DATEVALUE('Procyfloc 1009'!D471))))),""))</f>
        <v/>
      </c>
      <c r="AM2970" t="str">
        <f t="shared" ca="1" si="298"/>
        <v/>
      </c>
    </row>
    <row r="2971" spans="27:39" x14ac:dyDescent="0.3">
      <c r="AA2971" t="str">
        <f>IF(COUNTA('Procyfloc 1009'!A472,'Procyfloc 1009'!B472,'Procyfloc 1009'!C472)&gt;0,"1009","")</f>
        <v/>
      </c>
      <c r="AB2971" t="str">
        <f>IFERROR(IF(ISNUMBER('Procyfloc 1009'!A472),'Procyfloc 1009'!A472,DATEVALUE('Procyfloc 1009'!A472)),"")</f>
        <v/>
      </c>
      <c r="AC2971" t="str">
        <f>IF(AA2971="","",'Procyfloc 1009'!B472)</f>
        <v/>
      </c>
      <c r="AD2971" t="str">
        <f>IF(AA2971="","",IFERROR(1*'Procyfloc 1009'!C472,IFERROR(_xludf.NUMBERVALUE('Procyfloc 1009'!C472,".",","),IFERROR(_xludf.NUMBERVALUE('Procyfloc 1009'!C472,",","."),0))))</f>
        <v/>
      </c>
      <c r="AE2971" t="str">
        <f>IF(AA2971="","",'Procyfloc 1009'!L472)</f>
        <v/>
      </c>
      <c r="AF2971">
        <f t="shared" si="293"/>
        <v>0</v>
      </c>
      <c r="AG2971" t="str">
        <f t="shared" si="294"/>
        <v/>
      </c>
      <c r="AH2971" t="str">
        <f t="shared" si="295"/>
        <v/>
      </c>
      <c r="AI2971">
        <f t="shared" si="296"/>
        <v>0</v>
      </c>
      <c r="AJ2971">
        <f t="shared" si="297"/>
        <v>0</v>
      </c>
      <c r="AK2971">
        <v>0</v>
      </c>
      <c r="AL2971" t="str">
        <f>IF(AA2971="","",IFERROR(IF(ISNUMBER('Procyfloc 1009'!D472),'Procyfloc 1009'!D472,IF(ISNUMBER(SEARCH("12",'Procyfloc 1009'!D472)),EDATE(AB2971,12),IF(ISNUMBER(SEARCH("6",'Procyfloc 1009'!D472)),EDATE(AB2971,6),IF(ISNUMBER(SEARCH("3",'Procyfloc 1009'!D472)),EDATE(AB2971,3),DATEVALUE('Procyfloc 1009'!D472))))),""))</f>
        <v/>
      </c>
      <c r="AM2971" t="str">
        <f t="shared" ca="1" si="298"/>
        <v/>
      </c>
    </row>
    <row r="2972" spans="27:39" x14ac:dyDescent="0.3">
      <c r="AA2972" t="str">
        <f>IF(COUNTA('Procyfloc 1009'!A473,'Procyfloc 1009'!B473,'Procyfloc 1009'!C473)&gt;0,"1009","")</f>
        <v/>
      </c>
      <c r="AB2972" t="str">
        <f>IFERROR(IF(ISNUMBER('Procyfloc 1009'!A473),'Procyfloc 1009'!A473,DATEVALUE('Procyfloc 1009'!A473)),"")</f>
        <v/>
      </c>
      <c r="AC2972" t="str">
        <f>IF(AA2972="","",'Procyfloc 1009'!B473)</f>
        <v/>
      </c>
      <c r="AD2972" t="str">
        <f>IF(AA2972="","",IFERROR(1*'Procyfloc 1009'!C473,IFERROR(_xludf.NUMBERVALUE('Procyfloc 1009'!C473,".",","),IFERROR(_xludf.NUMBERVALUE('Procyfloc 1009'!C473,",","."),0))))</f>
        <v/>
      </c>
      <c r="AE2972" t="str">
        <f>IF(AA2972="","",'Procyfloc 1009'!L473)</f>
        <v/>
      </c>
      <c r="AF2972">
        <f t="shared" si="293"/>
        <v>0</v>
      </c>
      <c r="AG2972" t="str">
        <f t="shared" si="294"/>
        <v/>
      </c>
      <c r="AH2972" t="str">
        <f t="shared" si="295"/>
        <v/>
      </c>
      <c r="AI2972">
        <f t="shared" si="296"/>
        <v>0</v>
      </c>
      <c r="AJ2972">
        <f t="shared" si="297"/>
        <v>0</v>
      </c>
      <c r="AK2972">
        <v>0</v>
      </c>
      <c r="AL2972" t="str">
        <f>IF(AA2972="","",IFERROR(IF(ISNUMBER('Procyfloc 1009'!D473),'Procyfloc 1009'!D473,IF(ISNUMBER(SEARCH("12",'Procyfloc 1009'!D473)),EDATE(AB2972,12),IF(ISNUMBER(SEARCH("6",'Procyfloc 1009'!D473)),EDATE(AB2972,6),IF(ISNUMBER(SEARCH("3",'Procyfloc 1009'!D473)),EDATE(AB2972,3),DATEVALUE('Procyfloc 1009'!D473))))),""))</f>
        <v/>
      </c>
      <c r="AM2972" t="str">
        <f t="shared" ca="1" si="298"/>
        <v/>
      </c>
    </row>
    <row r="2973" spans="27:39" x14ac:dyDescent="0.3">
      <c r="AA2973" t="str">
        <f>IF(COUNTA('Procyfloc 1009'!A474,'Procyfloc 1009'!B474,'Procyfloc 1009'!C474)&gt;0,"1009","")</f>
        <v/>
      </c>
      <c r="AB2973" t="str">
        <f>IFERROR(IF(ISNUMBER('Procyfloc 1009'!A474),'Procyfloc 1009'!A474,DATEVALUE('Procyfloc 1009'!A474)),"")</f>
        <v/>
      </c>
      <c r="AC2973" t="str">
        <f>IF(AA2973="","",'Procyfloc 1009'!B474)</f>
        <v/>
      </c>
      <c r="AD2973" t="str">
        <f>IF(AA2973="","",IFERROR(1*'Procyfloc 1009'!C474,IFERROR(_xludf.NUMBERVALUE('Procyfloc 1009'!C474,".",","),IFERROR(_xludf.NUMBERVALUE('Procyfloc 1009'!C474,",","."),0))))</f>
        <v/>
      </c>
      <c r="AE2973" t="str">
        <f>IF(AA2973="","",'Procyfloc 1009'!L474)</f>
        <v/>
      </c>
      <c r="AF2973">
        <f t="shared" si="293"/>
        <v>0</v>
      </c>
      <c r="AG2973" t="str">
        <f t="shared" si="294"/>
        <v/>
      </c>
      <c r="AH2973" t="str">
        <f t="shared" si="295"/>
        <v/>
      </c>
      <c r="AI2973">
        <f t="shared" si="296"/>
        <v>0</v>
      </c>
      <c r="AJ2973">
        <f t="shared" si="297"/>
        <v>0</v>
      </c>
      <c r="AK2973">
        <v>0</v>
      </c>
      <c r="AL2973" t="str">
        <f>IF(AA2973="","",IFERROR(IF(ISNUMBER('Procyfloc 1009'!D474),'Procyfloc 1009'!D474,IF(ISNUMBER(SEARCH("12",'Procyfloc 1009'!D474)),EDATE(AB2973,12),IF(ISNUMBER(SEARCH("6",'Procyfloc 1009'!D474)),EDATE(AB2973,6),IF(ISNUMBER(SEARCH("3",'Procyfloc 1009'!D474)),EDATE(AB2973,3),DATEVALUE('Procyfloc 1009'!D474))))),""))</f>
        <v/>
      </c>
      <c r="AM2973" t="str">
        <f t="shared" ca="1" si="298"/>
        <v/>
      </c>
    </row>
    <row r="2974" spans="27:39" x14ac:dyDescent="0.3">
      <c r="AA2974" t="str">
        <f>IF(COUNTA('Procyfloc 1009'!A475,'Procyfloc 1009'!B475,'Procyfloc 1009'!C475)&gt;0,"1009","")</f>
        <v/>
      </c>
      <c r="AB2974" t="str">
        <f>IFERROR(IF(ISNUMBER('Procyfloc 1009'!A475),'Procyfloc 1009'!A475,DATEVALUE('Procyfloc 1009'!A475)),"")</f>
        <v/>
      </c>
      <c r="AC2974" t="str">
        <f>IF(AA2974="","",'Procyfloc 1009'!B475)</f>
        <v/>
      </c>
      <c r="AD2974" t="str">
        <f>IF(AA2974="","",IFERROR(1*'Procyfloc 1009'!C475,IFERROR(_xludf.NUMBERVALUE('Procyfloc 1009'!C475,".",","),IFERROR(_xludf.NUMBERVALUE('Procyfloc 1009'!C475,",","."),0))))</f>
        <v/>
      </c>
      <c r="AE2974" t="str">
        <f>IF(AA2974="","",'Procyfloc 1009'!L475)</f>
        <v/>
      </c>
      <c r="AF2974">
        <f t="shared" si="293"/>
        <v>0</v>
      </c>
      <c r="AG2974" t="str">
        <f t="shared" si="294"/>
        <v/>
      </c>
      <c r="AH2974" t="str">
        <f t="shared" si="295"/>
        <v/>
      </c>
      <c r="AI2974">
        <f t="shared" si="296"/>
        <v>0</v>
      </c>
      <c r="AJ2974">
        <f t="shared" si="297"/>
        <v>0</v>
      </c>
      <c r="AK2974">
        <v>0</v>
      </c>
      <c r="AL2974" t="str">
        <f>IF(AA2974="","",IFERROR(IF(ISNUMBER('Procyfloc 1009'!D475),'Procyfloc 1009'!D475,IF(ISNUMBER(SEARCH("12",'Procyfloc 1009'!D475)),EDATE(AB2974,12),IF(ISNUMBER(SEARCH("6",'Procyfloc 1009'!D475)),EDATE(AB2974,6),IF(ISNUMBER(SEARCH("3",'Procyfloc 1009'!D475)),EDATE(AB2974,3),DATEVALUE('Procyfloc 1009'!D475))))),""))</f>
        <v/>
      </c>
      <c r="AM2974" t="str">
        <f t="shared" ca="1" si="298"/>
        <v/>
      </c>
    </row>
    <row r="2975" spans="27:39" x14ac:dyDescent="0.3">
      <c r="AA2975" t="str">
        <f>IF(COUNTA('Procyfloc 1009'!A476,'Procyfloc 1009'!B476,'Procyfloc 1009'!C476)&gt;0,"1009","")</f>
        <v/>
      </c>
      <c r="AB2975" t="str">
        <f>IFERROR(IF(ISNUMBER('Procyfloc 1009'!A476),'Procyfloc 1009'!A476,DATEVALUE('Procyfloc 1009'!A476)),"")</f>
        <v/>
      </c>
      <c r="AC2975" t="str">
        <f>IF(AA2975="","",'Procyfloc 1009'!B476)</f>
        <v/>
      </c>
      <c r="AD2975" t="str">
        <f>IF(AA2975="","",IFERROR(1*'Procyfloc 1009'!C476,IFERROR(_xludf.NUMBERVALUE('Procyfloc 1009'!C476,".",","),IFERROR(_xludf.NUMBERVALUE('Procyfloc 1009'!C476,",","."),0))))</f>
        <v/>
      </c>
      <c r="AE2975" t="str">
        <f>IF(AA2975="","",'Procyfloc 1009'!L476)</f>
        <v/>
      </c>
      <c r="AF2975">
        <f t="shared" si="293"/>
        <v>0</v>
      </c>
      <c r="AG2975" t="str">
        <f t="shared" si="294"/>
        <v/>
      </c>
      <c r="AH2975" t="str">
        <f t="shared" si="295"/>
        <v/>
      </c>
      <c r="AI2975">
        <f t="shared" si="296"/>
        <v>0</v>
      </c>
      <c r="AJ2975">
        <f t="shared" si="297"/>
        <v>0</v>
      </c>
      <c r="AK2975">
        <v>0</v>
      </c>
      <c r="AL2975" t="str">
        <f>IF(AA2975="","",IFERROR(IF(ISNUMBER('Procyfloc 1009'!D476),'Procyfloc 1009'!D476,IF(ISNUMBER(SEARCH("12",'Procyfloc 1009'!D476)),EDATE(AB2975,12),IF(ISNUMBER(SEARCH("6",'Procyfloc 1009'!D476)),EDATE(AB2975,6),IF(ISNUMBER(SEARCH("3",'Procyfloc 1009'!D476)),EDATE(AB2975,3),DATEVALUE('Procyfloc 1009'!D476))))),""))</f>
        <v/>
      </c>
      <c r="AM2975" t="str">
        <f t="shared" ca="1" si="298"/>
        <v/>
      </c>
    </row>
    <row r="2976" spans="27:39" x14ac:dyDescent="0.3">
      <c r="AA2976" t="str">
        <f>IF(COUNTA('Procyfloc 1009'!A477,'Procyfloc 1009'!B477,'Procyfloc 1009'!C477)&gt;0,"1009","")</f>
        <v/>
      </c>
      <c r="AB2976" t="str">
        <f>IFERROR(IF(ISNUMBER('Procyfloc 1009'!A477),'Procyfloc 1009'!A477,DATEVALUE('Procyfloc 1009'!A477)),"")</f>
        <v/>
      </c>
      <c r="AC2976" t="str">
        <f>IF(AA2976="","",'Procyfloc 1009'!B477)</f>
        <v/>
      </c>
      <c r="AD2976" t="str">
        <f>IF(AA2976="","",IFERROR(1*'Procyfloc 1009'!C477,IFERROR(_xludf.NUMBERVALUE('Procyfloc 1009'!C477,".",","),IFERROR(_xludf.NUMBERVALUE('Procyfloc 1009'!C477,",","."),0))))</f>
        <v/>
      </c>
      <c r="AE2976" t="str">
        <f>IF(AA2976="","",'Procyfloc 1009'!L477)</f>
        <v/>
      </c>
      <c r="AF2976">
        <f t="shared" si="293"/>
        <v>0</v>
      </c>
      <c r="AG2976" t="str">
        <f t="shared" si="294"/>
        <v/>
      </c>
      <c r="AH2976" t="str">
        <f t="shared" si="295"/>
        <v/>
      </c>
      <c r="AI2976">
        <f t="shared" si="296"/>
        <v>0</v>
      </c>
      <c r="AJ2976">
        <f t="shared" si="297"/>
        <v>0</v>
      </c>
      <c r="AK2976">
        <v>0</v>
      </c>
      <c r="AL2976" t="str">
        <f>IF(AA2976="","",IFERROR(IF(ISNUMBER('Procyfloc 1009'!D477),'Procyfloc 1009'!D477,IF(ISNUMBER(SEARCH("12",'Procyfloc 1009'!D477)),EDATE(AB2976,12),IF(ISNUMBER(SEARCH("6",'Procyfloc 1009'!D477)),EDATE(AB2976,6),IF(ISNUMBER(SEARCH("3",'Procyfloc 1009'!D477)),EDATE(AB2976,3),DATEVALUE('Procyfloc 1009'!D477))))),""))</f>
        <v/>
      </c>
      <c r="AM2976" t="str">
        <f t="shared" ca="1" si="298"/>
        <v/>
      </c>
    </row>
    <row r="2977" spans="27:39" x14ac:dyDescent="0.3">
      <c r="AA2977" t="str">
        <f>IF(COUNTA('Procyfloc 1009'!A478,'Procyfloc 1009'!B478,'Procyfloc 1009'!C478)&gt;0,"1009","")</f>
        <v/>
      </c>
      <c r="AB2977" t="str">
        <f>IFERROR(IF(ISNUMBER('Procyfloc 1009'!A478),'Procyfloc 1009'!A478,DATEVALUE('Procyfloc 1009'!A478)),"")</f>
        <v/>
      </c>
      <c r="AC2977" t="str">
        <f>IF(AA2977="","",'Procyfloc 1009'!B478)</f>
        <v/>
      </c>
      <c r="AD2977" t="str">
        <f>IF(AA2977="","",IFERROR(1*'Procyfloc 1009'!C478,IFERROR(_xludf.NUMBERVALUE('Procyfloc 1009'!C478,".",","),IFERROR(_xludf.NUMBERVALUE('Procyfloc 1009'!C478,",","."),0))))</f>
        <v/>
      </c>
      <c r="AE2977" t="str">
        <f>IF(AA2977="","",'Procyfloc 1009'!L478)</f>
        <v/>
      </c>
      <c r="AF2977">
        <f t="shared" si="293"/>
        <v>0</v>
      </c>
      <c r="AG2977" t="str">
        <f t="shared" si="294"/>
        <v/>
      </c>
      <c r="AH2977" t="str">
        <f t="shared" si="295"/>
        <v/>
      </c>
      <c r="AI2977">
        <f t="shared" si="296"/>
        <v>0</v>
      </c>
      <c r="AJ2977">
        <f t="shared" si="297"/>
        <v>0</v>
      </c>
      <c r="AK2977">
        <v>0</v>
      </c>
      <c r="AL2977" t="str">
        <f>IF(AA2977="","",IFERROR(IF(ISNUMBER('Procyfloc 1009'!D478),'Procyfloc 1009'!D478,IF(ISNUMBER(SEARCH("12",'Procyfloc 1009'!D478)),EDATE(AB2977,12),IF(ISNUMBER(SEARCH("6",'Procyfloc 1009'!D478)),EDATE(AB2977,6),IF(ISNUMBER(SEARCH("3",'Procyfloc 1009'!D478)),EDATE(AB2977,3),DATEVALUE('Procyfloc 1009'!D478))))),""))</f>
        <v/>
      </c>
      <c r="AM2977" t="str">
        <f t="shared" ca="1" si="298"/>
        <v/>
      </c>
    </row>
    <row r="2978" spans="27:39" x14ac:dyDescent="0.3">
      <c r="AA2978" t="str">
        <f>IF(COUNTA('Procyfloc 1009'!A479,'Procyfloc 1009'!B479,'Procyfloc 1009'!C479)&gt;0,"1009","")</f>
        <v/>
      </c>
      <c r="AB2978" t="str">
        <f>IFERROR(IF(ISNUMBER('Procyfloc 1009'!A479),'Procyfloc 1009'!A479,DATEVALUE('Procyfloc 1009'!A479)),"")</f>
        <v/>
      </c>
      <c r="AC2978" t="str">
        <f>IF(AA2978="","",'Procyfloc 1009'!B479)</f>
        <v/>
      </c>
      <c r="AD2978" t="str">
        <f>IF(AA2978="","",IFERROR(1*'Procyfloc 1009'!C479,IFERROR(_xludf.NUMBERVALUE('Procyfloc 1009'!C479,".",","),IFERROR(_xludf.NUMBERVALUE('Procyfloc 1009'!C479,",","."),0))))</f>
        <v/>
      </c>
      <c r="AE2978" t="str">
        <f>IF(AA2978="","",'Procyfloc 1009'!L479)</f>
        <v/>
      </c>
      <c r="AF2978">
        <f t="shared" si="293"/>
        <v>0</v>
      </c>
      <c r="AG2978" t="str">
        <f t="shared" si="294"/>
        <v/>
      </c>
      <c r="AH2978" t="str">
        <f t="shared" si="295"/>
        <v/>
      </c>
      <c r="AI2978">
        <f t="shared" si="296"/>
        <v>0</v>
      </c>
      <c r="AJ2978">
        <f t="shared" si="297"/>
        <v>0</v>
      </c>
      <c r="AK2978">
        <v>0</v>
      </c>
      <c r="AL2978" t="str">
        <f>IF(AA2978="","",IFERROR(IF(ISNUMBER('Procyfloc 1009'!D479),'Procyfloc 1009'!D479,IF(ISNUMBER(SEARCH("12",'Procyfloc 1009'!D479)),EDATE(AB2978,12),IF(ISNUMBER(SEARCH("6",'Procyfloc 1009'!D479)),EDATE(AB2978,6),IF(ISNUMBER(SEARCH("3",'Procyfloc 1009'!D479)),EDATE(AB2978,3),DATEVALUE('Procyfloc 1009'!D479))))),""))</f>
        <v/>
      </c>
      <c r="AM2978" t="str">
        <f t="shared" ca="1" si="298"/>
        <v/>
      </c>
    </row>
    <row r="2979" spans="27:39" x14ac:dyDescent="0.3">
      <c r="AA2979" t="str">
        <f>IF(COUNTA('Procyfloc 1009'!A480,'Procyfloc 1009'!B480,'Procyfloc 1009'!C480)&gt;0,"1009","")</f>
        <v/>
      </c>
      <c r="AB2979" t="str">
        <f>IFERROR(IF(ISNUMBER('Procyfloc 1009'!A480),'Procyfloc 1009'!A480,DATEVALUE('Procyfloc 1009'!A480)),"")</f>
        <v/>
      </c>
      <c r="AC2979" t="str">
        <f>IF(AA2979="","",'Procyfloc 1009'!B480)</f>
        <v/>
      </c>
      <c r="AD2979" t="str">
        <f>IF(AA2979="","",IFERROR(1*'Procyfloc 1009'!C480,IFERROR(_xludf.NUMBERVALUE('Procyfloc 1009'!C480,".",","),IFERROR(_xludf.NUMBERVALUE('Procyfloc 1009'!C480,",","."),0))))</f>
        <v/>
      </c>
      <c r="AE2979" t="str">
        <f>IF(AA2979="","",'Procyfloc 1009'!L480)</f>
        <v/>
      </c>
      <c r="AF2979">
        <f t="shared" si="293"/>
        <v>0</v>
      </c>
      <c r="AG2979" t="str">
        <f t="shared" si="294"/>
        <v/>
      </c>
      <c r="AH2979" t="str">
        <f t="shared" si="295"/>
        <v/>
      </c>
      <c r="AI2979">
        <f t="shared" si="296"/>
        <v>0</v>
      </c>
      <c r="AJ2979">
        <f t="shared" si="297"/>
        <v>0</v>
      </c>
      <c r="AK2979">
        <v>0</v>
      </c>
      <c r="AL2979" t="str">
        <f>IF(AA2979="","",IFERROR(IF(ISNUMBER('Procyfloc 1009'!D480),'Procyfloc 1009'!D480,IF(ISNUMBER(SEARCH("12",'Procyfloc 1009'!D480)),EDATE(AB2979,12),IF(ISNUMBER(SEARCH("6",'Procyfloc 1009'!D480)),EDATE(AB2979,6),IF(ISNUMBER(SEARCH("3",'Procyfloc 1009'!D480)),EDATE(AB2979,3),DATEVALUE('Procyfloc 1009'!D480))))),""))</f>
        <v/>
      </c>
      <c r="AM2979" t="str">
        <f t="shared" ca="1" si="298"/>
        <v/>
      </c>
    </row>
    <row r="2980" spans="27:39" x14ac:dyDescent="0.3">
      <c r="AA2980" t="str">
        <f>IF(COUNTA('Procyfloc 1009'!A481,'Procyfloc 1009'!B481,'Procyfloc 1009'!C481)&gt;0,"1009","")</f>
        <v/>
      </c>
      <c r="AB2980" t="str">
        <f>IFERROR(IF(ISNUMBER('Procyfloc 1009'!A481),'Procyfloc 1009'!A481,DATEVALUE('Procyfloc 1009'!A481)),"")</f>
        <v/>
      </c>
      <c r="AC2980" t="str">
        <f>IF(AA2980="","",'Procyfloc 1009'!B481)</f>
        <v/>
      </c>
      <c r="AD2980" t="str">
        <f>IF(AA2980="","",IFERROR(1*'Procyfloc 1009'!C481,IFERROR(_xludf.NUMBERVALUE('Procyfloc 1009'!C481,".",","),IFERROR(_xludf.NUMBERVALUE('Procyfloc 1009'!C481,",","."),0))))</f>
        <v/>
      </c>
      <c r="AE2980" t="str">
        <f>IF(AA2980="","",'Procyfloc 1009'!L481)</f>
        <v/>
      </c>
      <c r="AF2980">
        <f t="shared" si="293"/>
        <v>0</v>
      </c>
      <c r="AG2980" t="str">
        <f t="shared" si="294"/>
        <v/>
      </c>
      <c r="AH2980" t="str">
        <f t="shared" si="295"/>
        <v/>
      </c>
      <c r="AI2980">
        <f t="shared" si="296"/>
        <v>0</v>
      </c>
      <c r="AJ2980">
        <f t="shared" si="297"/>
        <v>0</v>
      </c>
      <c r="AK2980">
        <v>0</v>
      </c>
      <c r="AL2980" t="str">
        <f>IF(AA2980="","",IFERROR(IF(ISNUMBER('Procyfloc 1009'!D481),'Procyfloc 1009'!D481,IF(ISNUMBER(SEARCH("12",'Procyfloc 1009'!D481)),EDATE(AB2980,12),IF(ISNUMBER(SEARCH("6",'Procyfloc 1009'!D481)),EDATE(AB2980,6),IF(ISNUMBER(SEARCH("3",'Procyfloc 1009'!D481)),EDATE(AB2980,3),DATEVALUE('Procyfloc 1009'!D481))))),""))</f>
        <v/>
      </c>
      <c r="AM2980" t="str">
        <f t="shared" ca="1" si="298"/>
        <v/>
      </c>
    </row>
    <row r="2981" spans="27:39" x14ac:dyDescent="0.3">
      <c r="AA2981" t="str">
        <f>IF(COUNTA('Procyfloc 1009'!A482,'Procyfloc 1009'!B482,'Procyfloc 1009'!C482)&gt;0,"1009","")</f>
        <v/>
      </c>
      <c r="AB2981" t="str">
        <f>IFERROR(IF(ISNUMBER('Procyfloc 1009'!A482),'Procyfloc 1009'!A482,DATEVALUE('Procyfloc 1009'!A482)),"")</f>
        <v/>
      </c>
      <c r="AC2981" t="str">
        <f>IF(AA2981="","",'Procyfloc 1009'!B482)</f>
        <v/>
      </c>
      <c r="AD2981" t="str">
        <f>IF(AA2981="","",IFERROR(1*'Procyfloc 1009'!C482,IFERROR(_xludf.NUMBERVALUE('Procyfloc 1009'!C482,".",","),IFERROR(_xludf.NUMBERVALUE('Procyfloc 1009'!C482,",","."),0))))</f>
        <v/>
      </c>
      <c r="AE2981" t="str">
        <f>IF(AA2981="","",'Procyfloc 1009'!L482)</f>
        <v/>
      </c>
      <c r="AF2981">
        <f t="shared" si="293"/>
        <v>0</v>
      </c>
      <c r="AG2981" t="str">
        <f t="shared" si="294"/>
        <v/>
      </c>
      <c r="AH2981" t="str">
        <f t="shared" si="295"/>
        <v/>
      </c>
      <c r="AI2981">
        <f t="shared" si="296"/>
        <v>0</v>
      </c>
      <c r="AJ2981">
        <f t="shared" si="297"/>
        <v>0</v>
      </c>
      <c r="AK2981">
        <v>0</v>
      </c>
      <c r="AL2981" t="str">
        <f>IF(AA2981="","",IFERROR(IF(ISNUMBER('Procyfloc 1009'!D482),'Procyfloc 1009'!D482,IF(ISNUMBER(SEARCH("12",'Procyfloc 1009'!D482)),EDATE(AB2981,12),IF(ISNUMBER(SEARCH("6",'Procyfloc 1009'!D482)),EDATE(AB2981,6),IF(ISNUMBER(SEARCH("3",'Procyfloc 1009'!D482)),EDATE(AB2981,3),DATEVALUE('Procyfloc 1009'!D482))))),""))</f>
        <v/>
      </c>
      <c r="AM2981" t="str">
        <f t="shared" ca="1" si="298"/>
        <v/>
      </c>
    </row>
    <row r="2982" spans="27:39" x14ac:dyDescent="0.3">
      <c r="AA2982" t="str">
        <f>IF(COUNTA('Procyfloc 1009'!A483,'Procyfloc 1009'!B483,'Procyfloc 1009'!C483)&gt;0,"1009","")</f>
        <v/>
      </c>
      <c r="AB2982" t="str">
        <f>IFERROR(IF(ISNUMBER('Procyfloc 1009'!A483),'Procyfloc 1009'!A483,DATEVALUE('Procyfloc 1009'!A483)),"")</f>
        <v/>
      </c>
      <c r="AC2982" t="str">
        <f>IF(AA2982="","",'Procyfloc 1009'!B483)</f>
        <v/>
      </c>
      <c r="AD2982" t="str">
        <f>IF(AA2982="","",IFERROR(1*'Procyfloc 1009'!C483,IFERROR(_xludf.NUMBERVALUE('Procyfloc 1009'!C483,".",","),IFERROR(_xludf.NUMBERVALUE('Procyfloc 1009'!C483,",","."),0))))</f>
        <v/>
      </c>
      <c r="AE2982" t="str">
        <f>IF(AA2982="","",'Procyfloc 1009'!L483)</f>
        <v/>
      </c>
      <c r="AF2982">
        <f t="shared" si="293"/>
        <v>0</v>
      </c>
      <c r="AG2982" t="str">
        <f t="shared" si="294"/>
        <v/>
      </c>
      <c r="AH2982" t="str">
        <f t="shared" si="295"/>
        <v/>
      </c>
      <c r="AI2982">
        <f t="shared" si="296"/>
        <v>0</v>
      </c>
      <c r="AJ2982">
        <f t="shared" si="297"/>
        <v>0</v>
      </c>
      <c r="AK2982">
        <v>0</v>
      </c>
      <c r="AL2982" t="str">
        <f>IF(AA2982="","",IFERROR(IF(ISNUMBER('Procyfloc 1009'!D483),'Procyfloc 1009'!D483,IF(ISNUMBER(SEARCH("12",'Procyfloc 1009'!D483)),EDATE(AB2982,12),IF(ISNUMBER(SEARCH("6",'Procyfloc 1009'!D483)),EDATE(AB2982,6),IF(ISNUMBER(SEARCH("3",'Procyfloc 1009'!D483)),EDATE(AB2982,3),DATEVALUE('Procyfloc 1009'!D483))))),""))</f>
        <v/>
      </c>
      <c r="AM2982" t="str">
        <f t="shared" ca="1" si="298"/>
        <v/>
      </c>
    </row>
    <row r="2983" spans="27:39" x14ac:dyDescent="0.3">
      <c r="AA2983" t="str">
        <f>IF(COUNTA('Procyfloc 1009'!A484,'Procyfloc 1009'!B484,'Procyfloc 1009'!C484)&gt;0,"1009","")</f>
        <v/>
      </c>
      <c r="AB2983" t="str">
        <f>IFERROR(IF(ISNUMBER('Procyfloc 1009'!A484),'Procyfloc 1009'!A484,DATEVALUE('Procyfloc 1009'!A484)),"")</f>
        <v/>
      </c>
      <c r="AC2983" t="str">
        <f>IF(AA2983="","",'Procyfloc 1009'!B484)</f>
        <v/>
      </c>
      <c r="AD2983" t="str">
        <f>IF(AA2983="","",IFERROR(1*'Procyfloc 1009'!C484,IFERROR(_xludf.NUMBERVALUE('Procyfloc 1009'!C484,".",","),IFERROR(_xludf.NUMBERVALUE('Procyfloc 1009'!C484,",","."),0))))</f>
        <v/>
      </c>
      <c r="AE2983" t="str">
        <f>IF(AA2983="","",'Procyfloc 1009'!L484)</f>
        <v/>
      </c>
      <c r="AF2983">
        <f t="shared" si="293"/>
        <v>0</v>
      </c>
      <c r="AG2983" t="str">
        <f t="shared" si="294"/>
        <v/>
      </c>
      <c r="AH2983" t="str">
        <f t="shared" si="295"/>
        <v/>
      </c>
      <c r="AI2983">
        <f t="shared" si="296"/>
        <v>0</v>
      </c>
      <c r="AJ2983">
        <f t="shared" si="297"/>
        <v>0</v>
      </c>
      <c r="AK2983">
        <v>0</v>
      </c>
      <c r="AL2983" t="str">
        <f>IF(AA2983="","",IFERROR(IF(ISNUMBER('Procyfloc 1009'!D484),'Procyfloc 1009'!D484,IF(ISNUMBER(SEARCH("12",'Procyfloc 1009'!D484)),EDATE(AB2983,12),IF(ISNUMBER(SEARCH("6",'Procyfloc 1009'!D484)),EDATE(AB2983,6),IF(ISNUMBER(SEARCH("3",'Procyfloc 1009'!D484)),EDATE(AB2983,3),DATEVALUE('Procyfloc 1009'!D484))))),""))</f>
        <v/>
      </c>
      <c r="AM2983" t="str">
        <f t="shared" ca="1" si="298"/>
        <v/>
      </c>
    </row>
    <row r="2984" spans="27:39" x14ac:dyDescent="0.3">
      <c r="AA2984" t="str">
        <f>IF(COUNTA('Procyfloc 1009'!A485,'Procyfloc 1009'!B485,'Procyfloc 1009'!C485)&gt;0,"1009","")</f>
        <v/>
      </c>
      <c r="AB2984" t="str">
        <f>IFERROR(IF(ISNUMBER('Procyfloc 1009'!A485),'Procyfloc 1009'!A485,DATEVALUE('Procyfloc 1009'!A485)),"")</f>
        <v/>
      </c>
      <c r="AC2984" t="str">
        <f>IF(AA2984="","",'Procyfloc 1009'!B485)</f>
        <v/>
      </c>
      <c r="AD2984" t="str">
        <f>IF(AA2984="","",IFERROR(1*'Procyfloc 1009'!C485,IFERROR(_xludf.NUMBERVALUE('Procyfloc 1009'!C485,".",","),IFERROR(_xludf.NUMBERVALUE('Procyfloc 1009'!C485,",","."),0))))</f>
        <v/>
      </c>
      <c r="AE2984" t="str">
        <f>IF(AA2984="","",'Procyfloc 1009'!L485)</f>
        <v/>
      </c>
      <c r="AF2984">
        <f t="shared" si="293"/>
        <v>0</v>
      </c>
      <c r="AG2984" t="str">
        <f t="shared" si="294"/>
        <v/>
      </c>
      <c r="AH2984" t="str">
        <f t="shared" si="295"/>
        <v/>
      </c>
      <c r="AI2984">
        <f t="shared" si="296"/>
        <v>0</v>
      </c>
      <c r="AJ2984">
        <f t="shared" si="297"/>
        <v>0</v>
      </c>
      <c r="AK2984">
        <v>0</v>
      </c>
      <c r="AL2984" t="str">
        <f>IF(AA2984="","",IFERROR(IF(ISNUMBER('Procyfloc 1009'!D485),'Procyfloc 1009'!D485,IF(ISNUMBER(SEARCH("12",'Procyfloc 1009'!D485)),EDATE(AB2984,12),IF(ISNUMBER(SEARCH("6",'Procyfloc 1009'!D485)),EDATE(AB2984,6),IF(ISNUMBER(SEARCH("3",'Procyfloc 1009'!D485)),EDATE(AB2984,3),DATEVALUE('Procyfloc 1009'!D485))))),""))</f>
        <v/>
      </c>
      <c r="AM2984" t="str">
        <f t="shared" ca="1" si="298"/>
        <v/>
      </c>
    </row>
    <row r="2985" spans="27:39" x14ac:dyDescent="0.3">
      <c r="AA2985" t="str">
        <f>IF(COUNTA('Procyfloc 1009'!A486,'Procyfloc 1009'!B486,'Procyfloc 1009'!C486)&gt;0,"1009","")</f>
        <v/>
      </c>
      <c r="AB2985" t="str">
        <f>IFERROR(IF(ISNUMBER('Procyfloc 1009'!A486),'Procyfloc 1009'!A486,DATEVALUE('Procyfloc 1009'!A486)),"")</f>
        <v/>
      </c>
      <c r="AC2985" t="str">
        <f>IF(AA2985="","",'Procyfloc 1009'!B486)</f>
        <v/>
      </c>
      <c r="AD2985" t="str">
        <f>IF(AA2985="","",IFERROR(1*'Procyfloc 1009'!C486,IFERROR(_xludf.NUMBERVALUE('Procyfloc 1009'!C486,".",","),IFERROR(_xludf.NUMBERVALUE('Procyfloc 1009'!C486,",","."),0))))</f>
        <v/>
      </c>
      <c r="AE2985" t="str">
        <f>IF(AA2985="","",'Procyfloc 1009'!L486)</f>
        <v/>
      </c>
      <c r="AF2985">
        <f t="shared" si="293"/>
        <v>0</v>
      </c>
      <c r="AG2985" t="str">
        <f t="shared" si="294"/>
        <v/>
      </c>
      <c r="AH2985" t="str">
        <f t="shared" si="295"/>
        <v/>
      </c>
      <c r="AI2985">
        <f t="shared" si="296"/>
        <v>0</v>
      </c>
      <c r="AJ2985">
        <f t="shared" si="297"/>
        <v>0</v>
      </c>
      <c r="AK2985">
        <v>0</v>
      </c>
      <c r="AL2985" t="str">
        <f>IF(AA2985="","",IFERROR(IF(ISNUMBER('Procyfloc 1009'!D486),'Procyfloc 1009'!D486,IF(ISNUMBER(SEARCH("12",'Procyfloc 1009'!D486)),EDATE(AB2985,12),IF(ISNUMBER(SEARCH("6",'Procyfloc 1009'!D486)),EDATE(AB2985,6),IF(ISNUMBER(SEARCH("3",'Procyfloc 1009'!D486)),EDATE(AB2985,3),DATEVALUE('Procyfloc 1009'!D486))))),""))</f>
        <v/>
      </c>
      <c r="AM2985" t="str">
        <f t="shared" ca="1" si="298"/>
        <v/>
      </c>
    </row>
    <row r="2986" spans="27:39" x14ac:dyDescent="0.3">
      <c r="AA2986" t="str">
        <f>IF(COUNTA('Procyfloc 1009'!A487,'Procyfloc 1009'!B487,'Procyfloc 1009'!C487)&gt;0,"1009","")</f>
        <v/>
      </c>
      <c r="AB2986" t="str">
        <f>IFERROR(IF(ISNUMBER('Procyfloc 1009'!A487),'Procyfloc 1009'!A487,DATEVALUE('Procyfloc 1009'!A487)),"")</f>
        <v/>
      </c>
      <c r="AC2986" t="str">
        <f>IF(AA2986="","",'Procyfloc 1009'!B487)</f>
        <v/>
      </c>
      <c r="AD2986" t="str">
        <f>IF(AA2986="","",IFERROR(1*'Procyfloc 1009'!C487,IFERROR(_xludf.NUMBERVALUE('Procyfloc 1009'!C487,".",","),IFERROR(_xludf.NUMBERVALUE('Procyfloc 1009'!C487,",","."),0))))</f>
        <v/>
      </c>
      <c r="AE2986" t="str">
        <f>IF(AA2986="","",'Procyfloc 1009'!L487)</f>
        <v/>
      </c>
      <c r="AF2986">
        <f t="shared" si="293"/>
        <v>0</v>
      </c>
      <c r="AG2986" t="str">
        <f t="shared" si="294"/>
        <v/>
      </c>
      <c r="AH2986" t="str">
        <f t="shared" si="295"/>
        <v/>
      </c>
      <c r="AI2986">
        <f t="shared" si="296"/>
        <v>0</v>
      </c>
      <c r="AJ2986">
        <f t="shared" si="297"/>
        <v>0</v>
      </c>
      <c r="AK2986">
        <v>0</v>
      </c>
      <c r="AL2986" t="str">
        <f>IF(AA2986="","",IFERROR(IF(ISNUMBER('Procyfloc 1009'!D487),'Procyfloc 1009'!D487,IF(ISNUMBER(SEARCH("12",'Procyfloc 1009'!D487)),EDATE(AB2986,12),IF(ISNUMBER(SEARCH("6",'Procyfloc 1009'!D487)),EDATE(AB2986,6),IF(ISNUMBER(SEARCH("3",'Procyfloc 1009'!D487)),EDATE(AB2986,3),DATEVALUE('Procyfloc 1009'!D487))))),""))</f>
        <v/>
      </c>
      <c r="AM2986" t="str">
        <f t="shared" ca="1" si="298"/>
        <v/>
      </c>
    </row>
    <row r="2987" spans="27:39" x14ac:dyDescent="0.3">
      <c r="AA2987" t="str">
        <f>IF(COUNTA('Procyfloc 1009'!A488,'Procyfloc 1009'!B488,'Procyfloc 1009'!C488)&gt;0,"1009","")</f>
        <v/>
      </c>
      <c r="AB2987" t="str">
        <f>IFERROR(IF(ISNUMBER('Procyfloc 1009'!A488),'Procyfloc 1009'!A488,DATEVALUE('Procyfloc 1009'!A488)),"")</f>
        <v/>
      </c>
      <c r="AC2987" t="str">
        <f>IF(AA2987="","",'Procyfloc 1009'!B488)</f>
        <v/>
      </c>
      <c r="AD2987" t="str">
        <f>IF(AA2987="","",IFERROR(1*'Procyfloc 1009'!C488,IFERROR(_xludf.NUMBERVALUE('Procyfloc 1009'!C488,".",","),IFERROR(_xludf.NUMBERVALUE('Procyfloc 1009'!C488,",","."),0))))</f>
        <v/>
      </c>
      <c r="AE2987" t="str">
        <f>IF(AA2987="","",'Procyfloc 1009'!L488)</f>
        <v/>
      </c>
      <c r="AF2987">
        <f t="shared" si="293"/>
        <v>0</v>
      </c>
      <c r="AG2987" t="str">
        <f t="shared" si="294"/>
        <v/>
      </c>
      <c r="AH2987" t="str">
        <f t="shared" si="295"/>
        <v/>
      </c>
      <c r="AI2987">
        <f t="shared" si="296"/>
        <v>0</v>
      </c>
      <c r="AJ2987">
        <f t="shared" si="297"/>
        <v>0</v>
      </c>
      <c r="AK2987">
        <v>0</v>
      </c>
      <c r="AL2987" t="str">
        <f>IF(AA2987="","",IFERROR(IF(ISNUMBER('Procyfloc 1009'!D488),'Procyfloc 1009'!D488,IF(ISNUMBER(SEARCH("12",'Procyfloc 1009'!D488)),EDATE(AB2987,12),IF(ISNUMBER(SEARCH("6",'Procyfloc 1009'!D488)),EDATE(AB2987,6),IF(ISNUMBER(SEARCH("3",'Procyfloc 1009'!D488)),EDATE(AB2987,3),DATEVALUE('Procyfloc 1009'!D488))))),""))</f>
        <v/>
      </c>
      <c r="AM2987" t="str">
        <f t="shared" ca="1" si="298"/>
        <v/>
      </c>
    </row>
    <row r="2988" spans="27:39" x14ac:dyDescent="0.3">
      <c r="AA2988" t="str">
        <f>IF(COUNTA('Procyfloc 1009'!A489,'Procyfloc 1009'!B489,'Procyfloc 1009'!C489)&gt;0,"1009","")</f>
        <v/>
      </c>
      <c r="AB2988" t="str">
        <f>IFERROR(IF(ISNUMBER('Procyfloc 1009'!A489),'Procyfloc 1009'!A489,DATEVALUE('Procyfloc 1009'!A489)),"")</f>
        <v/>
      </c>
      <c r="AC2988" t="str">
        <f>IF(AA2988="","",'Procyfloc 1009'!B489)</f>
        <v/>
      </c>
      <c r="AD2988" t="str">
        <f>IF(AA2988="","",IFERROR(1*'Procyfloc 1009'!C489,IFERROR(_xludf.NUMBERVALUE('Procyfloc 1009'!C489,".",","),IFERROR(_xludf.NUMBERVALUE('Procyfloc 1009'!C489,",","."),0))))</f>
        <v/>
      </c>
      <c r="AE2988" t="str">
        <f>IF(AA2988="","",'Procyfloc 1009'!L489)</f>
        <v/>
      </c>
      <c r="AF2988">
        <f t="shared" si="293"/>
        <v>0</v>
      </c>
      <c r="AG2988" t="str">
        <f t="shared" si="294"/>
        <v/>
      </c>
      <c r="AH2988" t="str">
        <f t="shared" si="295"/>
        <v/>
      </c>
      <c r="AI2988">
        <f t="shared" si="296"/>
        <v>0</v>
      </c>
      <c r="AJ2988">
        <f t="shared" si="297"/>
        <v>0</v>
      </c>
      <c r="AK2988">
        <v>0</v>
      </c>
      <c r="AL2988" t="str">
        <f>IF(AA2988="","",IFERROR(IF(ISNUMBER('Procyfloc 1009'!D489),'Procyfloc 1009'!D489,IF(ISNUMBER(SEARCH("12",'Procyfloc 1009'!D489)),EDATE(AB2988,12),IF(ISNUMBER(SEARCH("6",'Procyfloc 1009'!D489)),EDATE(AB2988,6),IF(ISNUMBER(SEARCH("3",'Procyfloc 1009'!D489)),EDATE(AB2988,3),DATEVALUE('Procyfloc 1009'!D489))))),""))</f>
        <v/>
      </c>
      <c r="AM2988" t="str">
        <f t="shared" ca="1" si="298"/>
        <v/>
      </c>
    </row>
    <row r="2989" spans="27:39" x14ac:dyDescent="0.3">
      <c r="AA2989" t="str">
        <f>IF(COUNTA('Procyfloc 1009'!A490,'Procyfloc 1009'!B490,'Procyfloc 1009'!C490)&gt;0,"1009","")</f>
        <v/>
      </c>
      <c r="AB2989" t="str">
        <f>IFERROR(IF(ISNUMBER('Procyfloc 1009'!A490),'Procyfloc 1009'!A490,DATEVALUE('Procyfloc 1009'!A490)),"")</f>
        <v/>
      </c>
      <c r="AC2989" t="str">
        <f>IF(AA2989="","",'Procyfloc 1009'!B490)</f>
        <v/>
      </c>
      <c r="AD2989" t="str">
        <f>IF(AA2989="","",IFERROR(1*'Procyfloc 1009'!C490,IFERROR(_xludf.NUMBERVALUE('Procyfloc 1009'!C490,".",","),IFERROR(_xludf.NUMBERVALUE('Procyfloc 1009'!C490,",","."),0))))</f>
        <v/>
      </c>
      <c r="AE2989" t="str">
        <f>IF(AA2989="","",'Procyfloc 1009'!L490)</f>
        <v/>
      </c>
      <c r="AF2989">
        <f t="shared" si="293"/>
        <v>0</v>
      </c>
      <c r="AG2989" t="str">
        <f t="shared" si="294"/>
        <v/>
      </c>
      <c r="AH2989" t="str">
        <f t="shared" si="295"/>
        <v/>
      </c>
      <c r="AI2989">
        <f t="shared" si="296"/>
        <v>0</v>
      </c>
      <c r="AJ2989">
        <f t="shared" si="297"/>
        <v>0</v>
      </c>
      <c r="AK2989">
        <v>0</v>
      </c>
      <c r="AL2989" t="str">
        <f>IF(AA2989="","",IFERROR(IF(ISNUMBER('Procyfloc 1009'!D490),'Procyfloc 1009'!D490,IF(ISNUMBER(SEARCH("12",'Procyfloc 1009'!D490)),EDATE(AB2989,12),IF(ISNUMBER(SEARCH("6",'Procyfloc 1009'!D490)),EDATE(AB2989,6),IF(ISNUMBER(SEARCH("3",'Procyfloc 1009'!D490)),EDATE(AB2989,3),DATEVALUE('Procyfloc 1009'!D490))))),""))</f>
        <v/>
      </c>
      <c r="AM2989" t="str">
        <f t="shared" ca="1" si="298"/>
        <v/>
      </c>
    </row>
    <row r="2990" spans="27:39" x14ac:dyDescent="0.3">
      <c r="AA2990" t="str">
        <f>IF(COUNTA('Procyfloc 1009'!A491,'Procyfloc 1009'!B491,'Procyfloc 1009'!C491)&gt;0,"1009","")</f>
        <v/>
      </c>
      <c r="AB2990" t="str">
        <f>IFERROR(IF(ISNUMBER('Procyfloc 1009'!A491),'Procyfloc 1009'!A491,DATEVALUE('Procyfloc 1009'!A491)),"")</f>
        <v/>
      </c>
      <c r="AC2990" t="str">
        <f>IF(AA2990="","",'Procyfloc 1009'!B491)</f>
        <v/>
      </c>
      <c r="AD2990" t="str">
        <f>IF(AA2990="","",IFERROR(1*'Procyfloc 1009'!C491,IFERROR(_xludf.NUMBERVALUE('Procyfloc 1009'!C491,".",","),IFERROR(_xludf.NUMBERVALUE('Procyfloc 1009'!C491,",","."),0))))</f>
        <v/>
      </c>
      <c r="AE2990" t="str">
        <f>IF(AA2990="","",'Procyfloc 1009'!L491)</f>
        <v/>
      </c>
      <c r="AF2990">
        <f t="shared" si="293"/>
        <v>0</v>
      </c>
      <c r="AG2990" t="str">
        <f t="shared" si="294"/>
        <v/>
      </c>
      <c r="AH2990" t="str">
        <f t="shared" si="295"/>
        <v/>
      </c>
      <c r="AI2990">
        <f t="shared" si="296"/>
        <v>0</v>
      </c>
      <c r="AJ2990">
        <f t="shared" si="297"/>
        <v>0</v>
      </c>
      <c r="AK2990">
        <v>0</v>
      </c>
      <c r="AL2990" t="str">
        <f>IF(AA2990="","",IFERROR(IF(ISNUMBER('Procyfloc 1009'!D491),'Procyfloc 1009'!D491,IF(ISNUMBER(SEARCH("12",'Procyfloc 1009'!D491)),EDATE(AB2990,12),IF(ISNUMBER(SEARCH("6",'Procyfloc 1009'!D491)),EDATE(AB2990,6),IF(ISNUMBER(SEARCH("3",'Procyfloc 1009'!D491)),EDATE(AB2990,3),DATEVALUE('Procyfloc 1009'!D491))))),""))</f>
        <v/>
      </c>
      <c r="AM2990" t="str">
        <f t="shared" ca="1" si="298"/>
        <v/>
      </c>
    </row>
    <row r="2991" spans="27:39" x14ac:dyDescent="0.3">
      <c r="AA2991" t="str">
        <f>IF(COUNTA('Procyfloc 1009'!A492,'Procyfloc 1009'!B492,'Procyfloc 1009'!C492)&gt;0,"1009","")</f>
        <v/>
      </c>
      <c r="AB2991" t="str">
        <f>IFERROR(IF(ISNUMBER('Procyfloc 1009'!A492),'Procyfloc 1009'!A492,DATEVALUE('Procyfloc 1009'!A492)),"")</f>
        <v/>
      </c>
      <c r="AC2991" t="str">
        <f>IF(AA2991="","",'Procyfloc 1009'!B492)</f>
        <v/>
      </c>
      <c r="AD2991" t="str">
        <f>IF(AA2991="","",IFERROR(1*'Procyfloc 1009'!C492,IFERROR(_xludf.NUMBERVALUE('Procyfloc 1009'!C492,".",","),IFERROR(_xludf.NUMBERVALUE('Procyfloc 1009'!C492,",","."),0))))</f>
        <v/>
      </c>
      <c r="AE2991" t="str">
        <f>IF(AA2991="","",'Procyfloc 1009'!L492)</f>
        <v/>
      </c>
      <c r="AF2991">
        <f t="shared" si="293"/>
        <v>0</v>
      </c>
      <c r="AG2991" t="str">
        <f t="shared" si="294"/>
        <v/>
      </c>
      <c r="AH2991" t="str">
        <f t="shared" si="295"/>
        <v/>
      </c>
      <c r="AI2991">
        <f t="shared" si="296"/>
        <v>0</v>
      </c>
      <c r="AJ2991">
        <f t="shared" si="297"/>
        <v>0</v>
      </c>
      <c r="AK2991">
        <v>0</v>
      </c>
      <c r="AL2991" t="str">
        <f>IF(AA2991="","",IFERROR(IF(ISNUMBER('Procyfloc 1009'!D492),'Procyfloc 1009'!D492,IF(ISNUMBER(SEARCH("12",'Procyfloc 1009'!D492)),EDATE(AB2991,12),IF(ISNUMBER(SEARCH("6",'Procyfloc 1009'!D492)),EDATE(AB2991,6),IF(ISNUMBER(SEARCH("3",'Procyfloc 1009'!D492)),EDATE(AB2991,3),DATEVALUE('Procyfloc 1009'!D492))))),""))</f>
        <v/>
      </c>
      <c r="AM2991" t="str">
        <f t="shared" ca="1" si="298"/>
        <v/>
      </c>
    </row>
    <row r="2992" spans="27:39" x14ac:dyDescent="0.3">
      <c r="AA2992" t="str">
        <f>IF(COUNTA('Procyfloc 1009'!A493,'Procyfloc 1009'!B493,'Procyfloc 1009'!C493)&gt;0,"1009","")</f>
        <v/>
      </c>
      <c r="AB2992" t="str">
        <f>IFERROR(IF(ISNUMBER('Procyfloc 1009'!A493),'Procyfloc 1009'!A493,DATEVALUE('Procyfloc 1009'!A493)),"")</f>
        <v/>
      </c>
      <c r="AC2992" t="str">
        <f>IF(AA2992="","",'Procyfloc 1009'!B493)</f>
        <v/>
      </c>
      <c r="AD2992" t="str">
        <f>IF(AA2992="","",IFERROR(1*'Procyfloc 1009'!C493,IFERROR(_xludf.NUMBERVALUE('Procyfloc 1009'!C493,".",","),IFERROR(_xludf.NUMBERVALUE('Procyfloc 1009'!C493,",","."),0))))</f>
        <v/>
      </c>
      <c r="AE2992" t="str">
        <f>IF(AA2992="","",'Procyfloc 1009'!L493)</f>
        <v/>
      </c>
      <c r="AF2992">
        <f t="shared" si="293"/>
        <v>0</v>
      </c>
      <c r="AG2992" t="str">
        <f t="shared" si="294"/>
        <v/>
      </c>
      <c r="AH2992" t="str">
        <f t="shared" si="295"/>
        <v/>
      </c>
      <c r="AI2992">
        <f t="shared" si="296"/>
        <v>0</v>
      </c>
      <c r="AJ2992">
        <f t="shared" si="297"/>
        <v>0</v>
      </c>
      <c r="AK2992">
        <v>0</v>
      </c>
      <c r="AL2992" t="str">
        <f>IF(AA2992="","",IFERROR(IF(ISNUMBER('Procyfloc 1009'!D493),'Procyfloc 1009'!D493,IF(ISNUMBER(SEARCH("12",'Procyfloc 1009'!D493)),EDATE(AB2992,12),IF(ISNUMBER(SEARCH("6",'Procyfloc 1009'!D493)),EDATE(AB2992,6),IF(ISNUMBER(SEARCH("3",'Procyfloc 1009'!D493)),EDATE(AB2992,3),DATEVALUE('Procyfloc 1009'!D493))))),""))</f>
        <v/>
      </c>
      <c r="AM2992" t="str">
        <f t="shared" ca="1" si="298"/>
        <v/>
      </c>
    </row>
    <row r="2993" spans="27:39" x14ac:dyDescent="0.3">
      <c r="AA2993" t="str">
        <f>IF(COUNTA('Procyfloc 1009'!A494,'Procyfloc 1009'!B494,'Procyfloc 1009'!C494)&gt;0,"1009","")</f>
        <v/>
      </c>
      <c r="AB2993" t="str">
        <f>IFERROR(IF(ISNUMBER('Procyfloc 1009'!A494),'Procyfloc 1009'!A494,DATEVALUE('Procyfloc 1009'!A494)),"")</f>
        <v/>
      </c>
      <c r="AC2993" t="str">
        <f>IF(AA2993="","",'Procyfloc 1009'!B494)</f>
        <v/>
      </c>
      <c r="AD2993" t="str">
        <f>IF(AA2993="","",IFERROR(1*'Procyfloc 1009'!C494,IFERROR(_xludf.NUMBERVALUE('Procyfloc 1009'!C494,".",","),IFERROR(_xludf.NUMBERVALUE('Procyfloc 1009'!C494,",","."),0))))</f>
        <v/>
      </c>
      <c r="AE2993" t="str">
        <f>IF(AA2993="","",'Procyfloc 1009'!L494)</f>
        <v/>
      </c>
      <c r="AF2993">
        <f t="shared" si="293"/>
        <v>0</v>
      </c>
      <c r="AG2993" t="str">
        <f t="shared" si="294"/>
        <v/>
      </c>
      <c r="AH2993" t="str">
        <f t="shared" si="295"/>
        <v/>
      </c>
      <c r="AI2993">
        <f t="shared" si="296"/>
        <v>0</v>
      </c>
      <c r="AJ2993">
        <f t="shared" si="297"/>
        <v>0</v>
      </c>
      <c r="AK2993">
        <v>0</v>
      </c>
      <c r="AL2993" t="str">
        <f>IF(AA2993="","",IFERROR(IF(ISNUMBER('Procyfloc 1009'!D494),'Procyfloc 1009'!D494,IF(ISNUMBER(SEARCH("12",'Procyfloc 1009'!D494)),EDATE(AB2993,12),IF(ISNUMBER(SEARCH("6",'Procyfloc 1009'!D494)),EDATE(AB2993,6),IF(ISNUMBER(SEARCH("3",'Procyfloc 1009'!D494)),EDATE(AB2993,3),DATEVALUE('Procyfloc 1009'!D494))))),""))</f>
        <v/>
      </c>
      <c r="AM2993" t="str">
        <f t="shared" ca="1" si="298"/>
        <v/>
      </c>
    </row>
    <row r="2994" spans="27:39" x14ac:dyDescent="0.3">
      <c r="AA2994" t="str">
        <f>IF(COUNTA('Procyfloc 1009'!A495,'Procyfloc 1009'!B495,'Procyfloc 1009'!C495)&gt;0,"1009","")</f>
        <v/>
      </c>
      <c r="AB2994" t="str">
        <f>IFERROR(IF(ISNUMBER('Procyfloc 1009'!A495),'Procyfloc 1009'!A495,DATEVALUE('Procyfloc 1009'!A495)),"")</f>
        <v/>
      </c>
      <c r="AC2994" t="str">
        <f>IF(AA2994="","",'Procyfloc 1009'!B495)</f>
        <v/>
      </c>
      <c r="AD2994" t="str">
        <f>IF(AA2994="","",IFERROR(1*'Procyfloc 1009'!C495,IFERROR(_xludf.NUMBERVALUE('Procyfloc 1009'!C495,".",","),IFERROR(_xludf.NUMBERVALUE('Procyfloc 1009'!C495,",","."),0))))</f>
        <v/>
      </c>
      <c r="AE2994" t="str">
        <f>IF(AA2994="","",'Procyfloc 1009'!L495)</f>
        <v/>
      </c>
      <c r="AF2994">
        <f t="shared" si="293"/>
        <v>0</v>
      </c>
      <c r="AG2994" t="str">
        <f t="shared" si="294"/>
        <v/>
      </c>
      <c r="AH2994" t="str">
        <f t="shared" si="295"/>
        <v/>
      </c>
      <c r="AI2994">
        <f t="shared" si="296"/>
        <v>0</v>
      </c>
      <c r="AJ2994">
        <f t="shared" si="297"/>
        <v>0</v>
      </c>
      <c r="AK2994">
        <v>0</v>
      </c>
      <c r="AL2994" t="str">
        <f>IF(AA2994="","",IFERROR(IF(ISNUMBER('Procyfloc 1009'!D495),'Procyfloc 1009'!D495,IF(ISNUMBER(SEARCH("12",'Procyfloc 1009'!D495)),EDATE(AB2994,12),IF(ISNUMBER(SEARCH("6",'Procyfloc 1009'!D495)),EDATE(AB2994,6),IF(ISNUMBER(SEARCH("3",'Procyfloc 1009'!D495)),EDATE(AB2994,3),DATEVALUE('Procyfloc 1009'!D495))))),""))</f>
        <v/>
      </c>
      <c r="AM2994" t="str">
        <f t="shared" ca="1" si="298"/>
        <v/>
      </c>
    </row>
    <row r="2995" spans="27:39" x14ac:dyDescent="0.3">
      <c r="AA2995" t="str">
        <f>IF(COUNTA('Procyfloc 1009'!A496,'Procyfloc 1009'!B496,'Procyfloc 1009'!C496)&gt;0,"1009","")</f>
        <v/>
      </c>
      <c r="AB2995" t="str">
        <f>IFERROR(IF(ISNUMBER('Procyfloc 1009'!A496),'Procyfloc 1009'!A496,DATEVALUE('Procyfloc 1009'!A496)),"")</f>
        <v/>
      </c>
      <c r="AC2995" t="str">
        <f>IF(AA2995="","",'Procyfloc 1009'!B496)</f>
        <v/>
      </c>
      <c r="AD2995" t="str">
        <f>IF(AA2995="","",IFERROR(1*'Procyfloc 1009'!C496,IFERROR(_xludf.NUMBERVALUE('Procyfloc 1009'!C496,".",","),IFERROR(_xludf.NUMBERVALUE('Procyfloc 1009'!C496,",","."),0))))</f>
        <v/>
      </c>
      <c r="AE2995" t="str">
        <f>IF(AA2995="","",'Procyfloc 1009'!L496)</f>
        <v/>
      </c>
      <c r="AF2995">
        <f t="shared" si="293"/>
        <v>0</v>
      </c>
      <c r="AG2995" t="str">
        <f t="shared" si="294"/>
        <v/>
      </c>
      <c r="AH2995" t="str">
        <f t="shared" si="295"/>
        <v/>
      </c>
      <c r="AI2995">
        <f t="shared" si="296"/>
        <v>0</v>
      </c>
      <c r="AJ2995">
        <f t="shared" si="297"/>
        <v>0</v>
      </c>
      <c r="AK2995">
        <v>0</v>
      </c>
      <c r="AL2995" t="str">
        <f>IF(AA2995="","",IFERROR(IF(ISNUMBER('Procyfloc 1009'!D496),'Procyfloc 1009'!D496,IF(ISNUMBER(SEARCH("12",'Procyfloc 1009'!D496)),EDATE(AB2995,12),IF(ISNUMBER(SEARCH("6",'Procyfloc 1009'!D496)),EDATE(AB2995,6),IF(ISNUMBER(SEARCH("3",'Procyfloc 1009'!D496)),EDATE(AB2995,3),DATEVALUE('Procyfloc 1009'!D496))))),""))</f>
        <v/>
      </c>
      <c r="AM2995" t="str">
        <f t="shared" ca="1" si="298"/>
        <v/>
      </c>
    </row>
    <row r="2996" spans="27:39" x14ac:dyDescent="0.3">
      <c r="AA2996" t="str">
        <f>IF(COUNTA('Procyfloc 1009'!A497,'Procyfloc 1009'!B497,'Procyfloc 1009'!C497)&gt;0,"1009","")</f>
        <v/>
      </c>
      <c r="AB2996" t="str">
        <f>IFERROR(IF(ISNUMBER('Procyfloc 1009'!A497),'Procyfloc 1009'!A497,DATEVALUE('Procyfloc 1009'!A497)),"")</f>
        <v/>
      </c>
      <c r="AC2996" t="str">
        <f>IF(AA2996="","",'Procyfloc 1009'!B497)</f>
        <v/>
      </c>
      <c r="AD2996" t="str">
        <f>IF(AA2996="","",IFERROR(1*'Procyfloc 1009'!C497,IFERROR(_xludf.NUMBERVALUE('Procyfloc 1009'!C497,".",","),IFERROR(_xludf.NUMBERVALUE('Procyfloc 1009'!C497,",","."),0))))</f>
        <v/>
      </c>
      <c r="AE2996" t="str">
        <f>IF(AA2996="","",'Procyfloc 1009'!L497)</f>
        <v/>
      </c>
      <c r="AF2996">
        <f t="shared" si="293"/>
        <v>0</v>
      </c>
      <c r="AG2996" t="str">
        <f t="shared" si="294"/>
        <v/>
      </c>
      <c r="AH2996" t="str">
        <f t="shared" si="295"/>
        <v/>
      </c>
      <c r="AI2996">
        <f t="shared" si="296"/>
        <v>0</v>
      </c>
      <c r="AJ2996">
        <f t="shared" si="297"/>
        <v>0</v>
      </c>
      <c r="AK2996">
        <v>0</v>
      </c>
      <c r="AL2996" t="str">
        <f>IF(AA2996="","",IFERROR(IF(ISNUMBER('Procyfloc 1009'!D497),'Procyfloc 1009'!D497,IF(ISNUMBER(SEARCH("12",'Procyfloc 1009'!D497)),EDATE(AB2996,12),IF(ISNUMBER(SEARCH("6",'Procyfloc 1009'!D497)),EDATE(AB2996,6),IF(ISNUMBER(SEARCH("3",'Procyfloc 1009'!D497)),EDATE(AB2996,3),DATEVALUE('Procyfloc 1009'!D497))))),""))</f>
        <v/>
      </c>
      <c r="AM2996" t="str">
        <f t="shared" ca="1" si="298"/>
        <v/>
      </c>
    </row>
    <row r="2997" spans="27:39" x14ac:dyDescent="0.3">
      <c r="AA2997" t="str">
        <f>IF(COUNTA('Procyfloc 1009'!A498,'Procyfloc 1009'!B498,'Procyfloc 1009'!C498)&gt;0,"1009","")</f>
        <v/>
      </c>
      <c r="AB2997" t="str">
        <f>IFERROR(IF(ISNUMBER('Procyfloc 1009'!A498),'Procyfloc 1009'!A498,DATEVALUE('Procyfloc 1009'!A498)),"")</f>
        <v/>
      </c>
      <c r="AC2997" t="str">
        <f>IF(AA2997="","",'Procyfloc 1009'!B498)</f>
        <v/>
      </c>
      <c r="AD2997" t="str">
        <f>IF(AA2997="","",IFERROR(1*'Procyfloc 1009'!C498,IFERROR(_xludf.NUMBERVALUE('Procyfloc 1009'!C498,".",","),IFERROR(_xludf.NUMBERVALUE('Procyfloc 1009'!C498,",","."),0))))</f>
        <v/>
      </c>
      <c r="AE2997" t="str">
        <f>IF(AA2997="","",'Procyfloc 1009'!L498)</f>
        <v/>
      </c>
      <c r="AF2997">
        <f t="shared" si="293"/>
        <v>0</v>
      </c>
      <c r="AG2997" t="str">
        <f t="shared" si="294"/>
        <v/>
      </c>
      <c r="AH2997" t="str">
        <f t="shared" si="295"/>
        <v/>
      </c>
      <c r="AI2997">
        <f t="shared" si="296"/>
        <v>0</v>
      </c>
      <c r="AJ2997">
        <f t="shared" si="297"/>
        <v>0</v>
      </c>
      <c r="AK2997">
        <v>0</v>
      </c>
      <c r="AL2997" t="str">
        <f>IF(AA2997="","",IFERROR(IF(ISNUMBER('Procyfloc 1009'!D498),'Procyfloc 1009'!D498,IF(ISNUMBER(SEARCH("12",'Procyfloc 1009'!D498)),EDATE(AB2997,12),IF(ISNUMBER(SEARCH("6",'Procyfloc 1009'!D498)),EDATE(AB2997,6),IF(ISNUMBER(SEARCH("3",'Procyfloc 1009'!D498)),EDATE(AB2997,3),DATEVALUE('Procyfloc 1009'!D498))))),""))</f>
        <v/>
      </c>
      <c r="AM2997" t="str">
        <f t="shared" ca="1" si="298"/>
        <v/>
      </c>
    </row>
    <row r="2998" spans="27:39" x14ac:dyDescent="0.3">
      <c r="AA2998" t="str">
        <f>IF(COUNTA('Procyfloc 1009'!A499,'Procyfloc 1009'!B499,'Procyfloc 1009'!C499)&gt;0,"1009","")</f>
        <v/>
      </c>
      <c r="AB2998" t="str">
        <f>IFERROR(IF(ISNUMBER('Procyfloc 1009'!A499),'Procyfloc 1009'!A499,DATEVALUE('Procyfloc 1009'!A499)),"")</f>
        <v/>
      </c>
      <c r="AC2998" t="str">
        <f>IF(AA2998="","",'Procyfloc 1009'!B499)</f>
        <v/>
      </c>
      <c r="AD2998" t="str">
        <f>IF(AA2998="","",IFERROR(1*'Procyfloc 1009'!C499,IFERROR(_xludf.NUMBERVALUE('Procyfloc 1009'!C499,".",","),IFERROR(_xludf.NUMBERVALUE('Procyfloc 1009'!C499,",","."),0))))</f>
        <v/>
      </c>
      <c r="AE2998" t="str">
        <f>IF(AA2998="","",'Procyfloc 1009'!L499)</f>
        <v/>
      </c>
      <c r="AF2998">
        <f t="shared" si="293"/>
        <v>0</v>
      </c>
      <c r="AG2998" t="str">
        <f t="shared" si="294"/>
        <v/>
      </c>
      <c r="AH2998" t="str">
        <f t="shared" si="295"/>
        <v/>
      </c>
      <c r="AI2998">
        <f t="shared" si="296"/>
        <v>0</v>
      </c>
      <c r="AJ2998">
        <f t="shared" si="297"/>
        <v>0</v>
      </c>
      <c r="AK2998">
        <v>0</v>
      </c>
      <c r="AL2998" t="str">
        <f>IF(AA2998="","",IFERROR(IF(ISNUMBER('Procyfloc 1009'!D499),'Procyfloc 1009'!D499,IF(ISNUMBER(SEARCH("12",'Procyfloc 1009'!D499)),EDATE(AB2998,12),IF(ISNUMBER(SEARCH("6",'Procyfloc 1009'!D499)),EDATE(AB2998,6),IF(ISNUMBER(SEARCH("3",'Procyfloc 1009'!D499)),EDATE(AB2998,3),DATEVALUE('Procyfloc 1009'!D499))))),""))</f>
        <v/>
      </c>
      <c r="AM2998" t="str">
        <f t="shared" ca="1" si="298"/>
        <v/>
      </c>
    </row>
    <row r="2999" spans="27:39" x14ac:dyDescent="0.3">
      <c r="AA2999" t="str">
        <f>IF(COUNTA('Procyfloc 1009'!A500,'Procyfloc 1009'!B500,'Procyfloc 1009'!C500)&gt;0,"1009","")</f>
        <v/>
      </c>
      <c r="AB2999" t="str">
        <f>IFERROR(IF(ISNUMBER('Procyfloc 1009'!A500),'Procyfloc 1009'!A500,DATEVALUE('Procyfloc 1009'!A500)),"")</f>
        <v/>
      </c>
      <c r="AC2999" t="str">
        <f>IF(AA2999="","",'Procyfloc 1009'!B500)</f>
        <v/>
      </c>
      <c r="AD2999" t="str">
        <f>IF(AA2999="","",IFERROR(1*'Procyfloc 1009'!C500,IFERROR(_xludf.NUMBERVALUE('Procyfloc 1009'!C500,".",","),IFERROR(_xludf.NUMBERVALUE('Procyfloc 1009'!C500,",","."),0))))</f>
        <v/>
      </c>
      <c r="AE2999" t="str">
        <f>IF(AA2999="","",'Procyfloc 1009'!L500)</f>
        <v/>
      </c>
      <c r="AF2999">
        <f t="shared" si="293"/>
        <v>0</v>
      </c>
      <c r="AG2999" t="str">
        <f t="shared" si="294"/>
        <v/>
      </c>
      <c r="AH2999" t="str">
        <f t="shared" si="295"/>
        <v/>
      </c>
      <c r="AI2999">
        <f t="shared" si="296"/>
        <v>0</v>
      </c>
      <c r="AJ2999">
        <f t="shared" si="297"/>
        <v>0</v>
      </c>
      <c r="AK2999">
        <v>0</v>
      </c>
      <c r="AL2999" t="str">
        <f>IF(AA2999="","",IFERROR(IF(ISNUMBER('Procyfloc 1009'!D500),'Procyfloc 1009'!D500,IF(ISNUMBER(SEARCH("12",'Procyfloc 1009'!D500)),EDATE(AB2999,12),IF(ISNUMBER(SEARCH("6",'Procyfloc 1009'!D500)),EDATE(AB2999,6),IF(ISNUMBER(SEARCH("3",'Procyfloc 1009'!D500)),EDATE(AB2999,3),DATEVALUE('Procyfloc 1009'!D500))))),""))</f>
        <v/>
      </c>
      <c r="AM2999" t="str">
        <f t="shared" ca="1" si="298"/>
        <v/>
      </c>
    </row>
    <row r="3000" spans="27:39" x14ac:dyDescent="0.3">
      <c r="AA3000" t="str">
        <f>IF(COUNTA('Procyfloc 1009'!A501,'Procyfloc 1009'!B501,'Procyfloc 1009'!C501)&gt;0,"1009","")</f>
        <v/>
      </c>
      <c r="AB3000" t="str">
        <f>IFERROR(IF(ISNUMBER('Procyfloc 1009'!A501),'Procyfloc 1009'!A501,DATEVALUE('Procyfloc 1009'!A501)),"")</f>
        <v/>
      </c>
      <c r="AC3000" t="str">
        <f>IF(AA3000="","",'Procyfloc 1009'!B501)</f>
        <v/>
      </c>
      <c r="AD3000" t="str">
        <f>IF(AA3000="","",IFERROR(1*'Procyfloc 1009'!C501,IFERROR(_xludf.NUMBERVALUE('Procyfloc 1009'!C501,".",","),IFERROR(_xludf.NUMBERVALUE('Procyfloc 1009'!C501,",","."),0))))</f>
        <v/>
      </c>
      <c r="AE3000" t="str">
        <f>IF(AA3000="","",'Procyfloc 1009'!L501)</f>
        <v/>
      </c>
      <c r="AF3000">
        <f t="shared" si="293"/>
        <v>0</v>
      </c>
      <c r="AG3000" t="str">
        <f t="shared" si="294"/>
        <v/>
      </c>
      <c r="AH3000" t="str">
        <f t="shared" si="295"/>
        <v/>
      </c>
      <c r="AI3000">
        <f t="shared" si="296"/>
        <v>0</v>
      </c>
      <c r="AJ3000">
        <f t="shared" si="297"/>
        <v>0</v>
      </c>
      <c r="AK3000">
        <v>0</v>
      </c>
      <c r="AL3000" t="str">
        <f>IF(AA3000="","",IFERROR(IF(ISNUMBER('Procyfloc 1009'!D501),'Procyfloc 1009'!D501,IF(ISNUMBER(SEARCH("12",'Procyfloc 1009'!D501)),EDATE(AB3000,12),IF(ISNUMBER(SEARCH("6",'Procyfloc 1009'!D501)),EDATE(AB3000,6),IF(ISNUMBER(SEARCH("3",'Procyfloc 1009'!D501)),EDATE(AB3000,3),DATEVALUE('Procyfloc 1009'!D501))))),""))</f>
        <v/>
      </c>
      <c r="AM3000" t="str">
        <f t="shared" ca="1" si="298"/>
        <v/>
      </c>
    </row>
    <row r="3001" spans="27:39" x14ac:dyDescent="0.3">
      <c r="AA3001" t="str">
        <f>IF(COUNTA('Procyfloc 1009'!A502,'Procyfloc 1009'!B502,'Procyfloc 1009'!C502)&gt;0,"1009","")</f>
        <v/>
      </c>
      <c r="AB3001" t="str">
        <f>IFERROR(IF(ISNUMBER('Procyfloc 1009'!A502),'Procyfloc 1009'!A502,DATEVALUE('Procyfloc 1009'!A502)),"")</f>
        <v/>
      </c>
      <c r="AC3001" t="str">
        <f>IF(AA3001="","",'Procyfloc 1009'!B502)</f>
        <v/>
      </c>
      <c r="AD3001" t="str">
        <f>IF(AA3001="","",IFERROR(1*'Procyfloc 1009'!C502,IFERROR(_xludf.NUMBERVALUE('Procyfloc 1009'!C502,".",","),IFERROR(_xludf.NUMBERVALUE('Procyfloc 1009'!C502,",","."),0))))</f>
        <v/>
      </c>
      <c r="AE3001" t="str">
        <f>IF(AA3001="","",'Procyfloc 1009'!L502)</f>
        <v/>
      </c>
      <c r="AF3001">
        <f t="shared" si="293"/>
        <v>0</v>
      </c>
      <c r="AG3001" t="str">
        <f t="shared" si="294"/>
        <v/>
      </c>
      <c r="AH3001" t="str">
        <f t="shared" si="295"/>
        <v/>
      </c>
      <c r="AI3001">
        <f t="shared" si="296"/>
        <v>0</v>
      </c>
      <c r="AJ3001">
        <f t="shared" si="297"/>
        <v>0</v>
      </c>
      <c r="AK3001">
        <v>0</v>
      </c>
      <c r="AL3001" t="str">
        <f>IF(AA3001="","",IFERROR(IF(ISNUMBER('Procyfloc 1009'!D502),'Procyfloc 1009'!D502,IF(ISNUMBER(SEARCH("12",'Procyfloc 1009'!D502)),EDATE(AB3001,12),IF(ISNUMBER(SEARCH("6",'Procyfloc 1009'!D502)),EDATE(AB3001,6),IF(ISNUMBER(SEARCH("3",'Procyfloc 1009'!D502)),EDATE(AB3001,3),DATEVALUE('Procyfloc 1009'!D502))))),""))</f>
        <v/>
      </c>
      <c r="AM3001" t="str">
        <f t="shared" ca="1" si="298"/>
        <v/>
      </c>
    </row>
    <row r="3002" spans="27:39" x14ac:dyDescent="0.3">
      <c r="AA3002" t="str">
        <f>IF(COUNTA('Procyfloc 4800'!A3,'Procyfloc 4800'!B3,'Procyfloc 4800'!C3)&gt;0,"4800","")</f>
        <v/>
      </c>
      <c r="AB3002" t="str">
        <f>IFERROR(IF(ISNUMBER('Procyfloc 4800'!A3),'Procyfloc 4800'!A3,DATEVALUE('Procyfloc 4800'!A3)),"")</f>
        <v/>
      </c>
      <c r="AC3002" t="str">
        <f>IF(AA3002="","",'Procyfloc 4800'!B3)</f>
        <v/>
      </c>
      <c r="AD3002" t="str">
        <f>IF(AA3002="","",IFERROR(1*'Procyfloc 4800'!C3,IFERROR(_xludf.NUMBERVALUE('Procyfloc 4800'!C3,".",","),IFERROR(_xludf.NUMBERVALUE('Procyfloc 4800'!C3,",","."),0))))</f>
        <v/>
      </c>
      <c r="AE3002" t="str">
        <f>IF(AA3002="","",'Procyfloc 4800'!J3)</f>
        <v/>
      </c>
      <c r="AF3002">
        <f t="shared" si="293"/>
        <v>0</v>
      </c>
      <c r="AG3002" t="str">
        <f t="shared" si="294"/>
        <v/>
      </c>
      <c r="AH3002" t="str">
        <f t="shared" si="295"/>
        <v/>
      </c>
      <c r="AI3002">
        <f t="shared" si="296"/>
        <v>0</v>
      </c>
      <c r="AJ3002">
        <f t="shared" si="297"/>
        <v>0</v>
      </c>
      <c r="AK3002">
        <v>0</v>
      </c>
      <c r="AL3002" t="str">
        <f>IF(AA3002="","",IFERROR(IF(ISNUMBER('Procyfloc 4800'!D3),'Procyfloc 4800'!D3,IF(ISNUMBER(SEARCH("12",'Procyfloc 4800'!D3)),EDATE(AB3002,12),IF(ISNUMBER(SEARCH("6",'Procyfloc 4800'!D3)),EDATE(AB3002,6),IF(ISNUMBER(SEARCH("3",'Procyfloc 4800'!D3)),EDATE(AB3002,3),DATEVALUE('Procyfloc 4800'!D3))))),""))</f>
        <v/>
      </c>
      <c r="AM3002" t="str">
        <f t="shared" ca="1" si="298"/>
        <v/>
      </c>
    </row>
    <row r="3003" spans="27:39" x14ac:dyDescent="0.3">
      <c r="AA3003" t="str">
        <f>IF(COUNTA('Procyfloc 4800'!A4,'Procyfloc 4800'!B4,'Procyfloc 4800'!C4)&gt;0,"4800","")</f>
        <v/>
      </c>
      <c r="AB3003" t="str">
        <f>IFERROR(IF(ISNUMBER('Procyfloc 4800'!A4),'Procyfloc 4800'!A4,DATEVALUE('Procyfloc 4800'!A4)),"")</f>
        <v/>
      </c>
      <c r="AC3003" t="str">
        <f>IF(AA3003="","",'Procyfloc 4800'!B4)</f>
        <v/>
      </c>
      <c r="AD3003" t="str">
        <f>IF(AA3003="","",IFERROR(1*'Procyfloc 4800'!C4,IFERROR(_xludf.NUMBERVALUE('Procyfloc 4800'!C4,".",","),IFERROR(_xludf.NUMBERVALUE('Procyfloc 4800'!C4,",","."),0))))</f>
        <v/>
      </c>
      <c r="AE3003" t="str">
        <f>IF(AA3003="","",'Procyfloc 4800'!J4)</f>
        <v/>
      </c>
      <c r="AF3003">
        <f t="shared" si="293"/>
        <v>0</v>
      </c>
      <c r="AG3003" t="str">
        <f t="shared" si="294"/>
        <v/>
      </c>
      <c r="AH3003" t="str">
        <f t="shared" si="295"/>
        <v/>
      </c>
      <c r="AI3003">
        <f t="shared" si="296"/>
        <v>0</v>
      </c>
      <c r="AJ3003">
        <f t="shared" si="297"/>
        <v>0</v>
      </c>
      <c r="AK3003">
        <v>0</v>
      </c>
      <c r="AL3003" t="str">
        <f>IF(AA3003="","",IFERROR(IF(ISNUMBER('Procyfloc 4800'!D4),'Procyfloc 4800'!D4,IF(ISNUMBER(SEARCH("12",'Procyfloc 4800'!D4)),EDATE(AB3003,12),IF(ISNUMBER(SEARCH("6",'Procyfloc 4800'!D4)),EDATE(AB3003,6),IF(ISNUMBER(SEARCH("3",'Procyfloc 4800'!D4)),EDATE(AB3003,3),DATEVALUE('Procyfloc 4800'!D4))))),""))</f>
        <v/>
      </c>
      <c r="AM3003" t="str">
        <f t="shared" ca="1" si="298"/>
        <v/>
      </c>
    </row>
    <row r="3004" spans="27:39" x14ac:dyDescent="0.3">
      <c r="AA3004" t="str">
        <f>IF(COUNTA('Procyfloc 4800'!A5,'Procyfloc 4800'!B5,'Procyfloc 4800'!C5)&gt;0,"4800","")</f>
        <v/>
      </c>
      <c r="AB3004" t="str">
        <f>IFERROR(IF(ISNUMBER('Procyfloc 4800'!A5),'Procyfloc 4800'!A5,DATEVALUE('Procyfloc 4800'!A5)),"")</f>
        <v/>
      </c>
      <c r="AC3004" t="str">
        <f>IF(AA3004="","",'Procyfloc 4800'!B5)</f>
        <v/>
      </c>
      <c r="AD3004" t="str">
        <f>IF(AA3004="","",IFERROR(1*'Procyfloc 4800'!C5,IFERROR(_xludf.NUMBERVALUE('Procyfloc 4800'!C5,".",","),IFERROR(_xludf.NUMBERVALUE('Procyfloc 4800'!C5,",","."),0))))</f>
        <v/>
      </c>
      <c r="AE3004" t="str">
        <f>IF(AA3004="","",'Procyfloc 4800'!J5)</f>
        <v/>
      </c>
      <c r="AF3004">
        <f t="shared" si="293"/>
        <v>0</v>
      </c>
      <c r="AG3004" t="str">
        <f t="shared" si="294"/>
        <v/>
      </c>
      <c r="AH3004" t="str">
        <f t="shared" si="295"/>
        <v/>
      </c>
      <c r="AI3004">
        <f t="shared" si="296"/>
        <v>0</v>
      </c>
      <c r="AJ3004">
        <f t="shared" si="297"/>
        <v>0</v>
      </c>
      <c r="AK3004">
        <v>0</v>
      </c>
      <c r="AL3004" t="str">
        <f>IF(AA3004="","",IFERROR(IF(ISNUMBER('Procyfloc 4800'!D5),'Procyfloc 4800'!D5,IF(ISNUMBER(SEARCH("12",'Procyfloc 4800'!D5)),EDATE(AB3004,12),IF(ISNUMBER(SEARCH("6",'Procyfloc 4800'!D5)),EDATE(AB3004,6),IF(ISNUMBER(SEARCH("3",'Procyfloc 4800'!D5)),EDATE(AB3004,3),DATEVALUE('Procyfloc 4800'!D5))))),""))</f>
        <v/>
      </c>
      <c r="AM3004" t="str">
        <f t="shared" ca="1" si="298"/>
        <v/>
      </c>
    </row>
    <row r="3005" spans="27:39" x14ac:dyDescent="0.3">
      <c r="AA3005" t="str">
        <f>IF(COUNTA('Procyfloc 4800'!A6,'Procyfloc 4800'!B6,'Procyfloc 4800'!C6)&gt;0,"4800","")</f>
        <v/>
      </c>
      <c r="AB3005" t="str">
        <f>IFERROR(IF(ISNUMBER('Procyfloc 4800'!A6),'Procyfloc 4800'!A6,DATEVALUE('Procyfloc 4800'!A6)),"")</f>
        <v/>
      </c>
      <c r="AC3005" t="str">
        <f>IF(AA3005="","",'Procyfloc 4800'!B6)</f>
        <v/>
      </c>
      <c r="AD3005" t="str">
        <f>IF(AA3005="","",IFERROR(1*'Procyfloc 4800'!C6,IFERROR(_xludf.NUMBERVALUE('Procyfloc 4800'!C6,".",","),IFERROR(_xludf.NUMBERVALUE('Procyfloc 4800'!C6,",","."),0))))</f>
        <v/>
      </c>
      <c r="AE3005" t="str">
        <f>IF(AA3005="","",'Procyfloc 4800'!J6)</f>
        <v/>
      </c>
      <c r="AF3005">
        <f t="shared" si="293"/>
        <v>0</v>
      </c>
      <c r="AG3005" t="str">
        <f t="shared" si="294"/>
        <v/>
      </c>
      <c r="AH3005" t="str">
        <f t="shared" si="295"/>
        <v/>
      </c>
      <c r="AI3005">
        <f t="shared" si="296"/>
        <v>0</v>
      </c>
      <c r="AJ3005">
        <f t="shared" si="297"/>
        <v>0</v>
      </c>
      <c r="AK3005">
        <v>0</v>
      </c>
      <c r="AL3005" t="str">
        <f>IF(AA3005="","",IFERROR(IF(ISNUMBER('Procyfloc 4800'!D6),'Procyfloc 4800'!D6,IF(ISNUMBER(SEARCH("12",'Procyfloc 4800'!D6)),EDATE(AB3005,12),IF(ISNUMBER(SEARCH("6",'Procyfloc 4800'!D6)),EDATE(AB3005,6),IF(ISNUMBER(SEARCH("3",'Procyfloc 4800'!D6)),EDATE(AB3005,3),DATEVALUE('Procyfloc 4800'!D6))))),""))</f>
        <v/>
      </c>
      <c r="AM3005" t="str">
        <f t="shared" ca="1" si="298"/>
        <v/>
      </c>
    </row>
    <row r="3006" spans="27:39" x14ac:dyDescent="0.3">
      <c r="AA3006" t="str">
        <f>IF(COUNTA('Procyfloc 4800'!A7,'Procyfloc 4800'!B7,'Procyfloc 4800'!C7)&gt;0,"4800","")</f>
        <v/>
      </c>
      <c r="AB3006" t="str">
        <f>IFERROR(IF(ISNUMBER('Procyfloc 4800'!A7),'Procyfloc 4800'!A7,DATEVALUE('Procyfloc 4800'!A7)),"")</f>
        <v/>
      </c>
      <c r="AC3006" t="str">
        <f>IF(AA3006="","",'Procyfloc 4800'!B7)</f>
        <v/>
      </c>
      <c r="AD3006" t="str">
        <f>IF(AA3006="","",IFERROR(1*'Procyfloc 4800'!C7,IFERROR(_xludf.NUMBERVALUE('Procyfloc 4800'!C7,".",","),IFERROR(_xludf.NUMBERVALUE('Procyfloc 4800'!C7,",","."),0))))</f>
        <v/>
      </c>
      <c r="AE3006" t="str">
        <f>IF(AA3006="","",'Procyfloc 4800'!J7)</f>
        <v/>
      </c>
      <c r="AF3006">
        <f t="shared" si="293"/>
        <v>0</v>
      </c>
      <c r="AG3006" t="str">
        <f t="shared" si="294"/>
        <v/>
      </c>
      <c r="AH3006" t="str">
        <f t="shared" si="295"/>
        <v/>
      </c>
      <c r="AI3006">
        <f t="shared" si="296"/>
        <v>0</v>
      </c>
      <c r="AJ3006">
        <f t="shared" si="297"/>
        <v>0</v>
      </c>
      <c r="AK3006">
        <v>0</v>
      </c>
      <c r="AL3006" t="str">
        <f>IF(AA3006="","",IFERROR(IF(ISNUMBER('Procyfloc 4800'!D7),'Procyfloc 4800'!D7,IF(ISNUMBER(SEARCH("12",'Procyfloc 4800'!D7)),EDATE(AB3006,12),IF(ISNUMBER(SEARCH("6",'Procyfloc 4800'!D7)),EDATE(AB3006,6),IF(ISNUMBER(SEARCH("3",'Procyfloc 4800'!D7)),EDATE(AB3006,3),DATEVALUE('Procyfloc 4800'!D7))))),""))</f>
        <v/>
      </c>
      <c r="AM3006" t="str">
        <f t="shared" ca="1" si="298"/>
        <v/>
      </c>
    </row>
    <row r="3007" spans="27:39" x14ac:dyDescent="0.3">
      <c r="AA3007" t="str">
        <f>IF(COUNTA('Procyfloc 4800'!A8,'Procyfloc 4800'!B8,'Procyfloc 4800'!C8)&gt;0,"4800","")</f>
        <v/>
      </c>
      <c r="AB3007" t="str">
        <f>IFERROR(IF(ISNUMBER('Procyfloc 4800'!A8),'Procyfloc 4800'!A8,DATEVALUE('Procyfloc 4800'!A8)),"")</f>
        <v/>
      </c>
      <c r="AC3007" t="str">
        <f>IF(AA3007="","",'Procyfloc 4800'!B8)</f>
        <v/>
      </c>
      <c r="AD3007" t="str">
        <f>IF(AA3007="","",IFERROR(1*'Procyfloc 4800'!C8,IFERROR(_xludf.NUMBERVALUE('Procyfloc 4800'!C8,".",","),IFERROR(_xludf.NUMBERVALUE('Procyfloc 4800'!C8,",","."),0))))</f>
        <v/>
      </c>
      <c r="AE3007" t="str">
        <f>IF(AA3007="","",'Procyfloc 4800'!J8)</f>
        <v/>
      </c>
      <c r="AF3007">
        <f t="shared" si="293"/>
        <v>0</v>
      </c>
      <c r="AG3007" t="str">
        <f t="shared" si="294"/>
        <v/>
      </c>
      <c r="AH3007" t="str">
        <f t="shared" si="295"/>
        <v/>
      </c>
      <c r="AI3007">
        <f t="shared" si="296"/>
        <v>0</v>
      </c>
      <c r="AJ3007">
        <f t="shared" si="297"/>
        <v>0</v>
      </c>
      <c r="AK3007">
        <v>0</v>
      </c>
      <c r="AL3007" t="str">
        <f>IF(AA3007="","",IFERROR(IF(ISNUMBER('Procyfloc 4800'!D8),'Procyfloc 4800'!D8,IF(ISNUMBER(SEARCH("12",'Procyfloc 4800'!D8)),EDATE(AB3007,12),IF(ISNUMBER(SEARCH("6",'Procyfloc 4800'!D8)),EDATE(AB3007,6),IF(ISNUMBER(SEARCH("3",'Procyfloc 4800'!D8)),EDATE(AB3007,3),DATEVALUE('Procyfloc 4800'!D8))))),""))</f>
        <v/>
      </c>
      <c r="AM3007" t="str">
        <f t="shared" ca="1" si="298"/>
        <v/>
      </c>
    </row>
    <row r="3008" spans="27:39" x14ac:dyDescent="0.3">
      <c r="AA3008" t="str">
        <f>IF(COUNTA('Procyfloc 4800'!A9,'Procyfloc 4800'!B9,'Procyfloc 4800'!C9)&gt;0,"4800","")</f>
        <v/>
      </c>
      <c r="AB3008" t="str">
        <f>IFERROR(IF(ISNUMBER('Procyfloc 4800'!A9),'Procyfloc 4800'!A9,DATEVALUE('Procyfloc 4800'!A9)),"")</f>
        <v/>
      </c>
      <c r="AC3008" t="str">
        <f>IF(AA3008="","",'Procyfloc 4800'!B9)</f>
        <v/>
      </c>
      <c r="AD3008" t="str">
        <f>IF(AA3008="","",IFERROR(1*'Procyfloc 4800'!C9,IFERROR(_xludf.NUMBERVALUE('Procyfloc 4800'!C9,".",","),IFERROR(_xludf.NUMBERVALUE('Procyfloc 4800'!C9,",","."),0))))</f>
        <v/>
      </c>
      <c r="AE3008" t="str">
        <f>IF(AA3008="","",'Procyfloc 4800'!J9)</f>
        <v/>
      </c>
      <c r="AF3008">
        <f t="shared" si="293"/>
        <v>0</v>
      </c>
      <c r="AG3008" t="str">
        <f t="shared" si="294"/>
        <v/>
      </c>
      <c r="AH3008" t="str">
        <f t="shared" si="295"/>
        <v/>
      </c>
      <c r="AI3008">
        <f t="shared" si="296"/>
        <v>0</v>
      </c>
      <c r="AJ3008">
        <f t="shared" si="297"/>
        <v>0</v>
      </c>
      <c r="AK3008">
        <v>0</v>
      </c>
      <c r="AL3008" t="str">
        <f>IF(AA3008="","",IFERROR(IF(ISNUMBER('Procyfloc 4800'!D9),'Procyfloc 4800'!D9,IF(ISNUMBER(SEARCH("12",'Procyfloc 4800'!D9)),EDATE(AB3008,12),IF(ISNUMBER(SEARCH("6",'Procyfloc 4800'!D9)),EDATE(AB3008,6),IF(ISNUMBER(SEARCH("3",'Procyfloc 4800'!D9)),EDATE(AB3008,3),DATEVALUE('Procyfloc 4800'!D9))))),""))</f>
        <v/>
      </c>
      <c r="AM3008" t="str">
        <f t="shared" ca="1" si="298"/>
        <v/>
      </c>
    </row>
    <row r="3009" spans="27:39" x14ac:dyDescent="0.3">
      <c r="AA3009" t="str">
        <f>IF(COUNTA('Procyfloc 4800'!A10,'Procyfloc 4800'!B10,'Procyfloc 4800'!C10)&gt;0,"4800","")</f>
        <v/>
      </c>
      <c r="AB3009" t="str">
        <f>IFERROR(IF(ISNUMBER('Procyfloc 4800'!A10),'Procyfloc 4800'!A10,DATEVALUE('Procyfloc 4800'!A10)),"")</f>
        <v/>
      </c>
      <c r="AC3009" t="str">
        <f>IF(AA3009="","",'Procyfloc 4800'!B10)</f>
        <v/>
      </c>
      <c r="AD3009" t="str">
        <f>IF(AA3009="","",IFERROR(1*'Procyfloc 4800'!C10,IFERROR(_xludf.NUMBERVALUE('Procyfloc 4800'!C10,".",","),IFERROR(_xludf.NUMBERVALUE('Procyfloc 4800'!C10,",","."),0))))</f>
        <v/>
      </c>
      <c r="AE3009" t="str">
        <f>IF(AA3009="","",'Procyfloc 4800'!J10)</f>
        <v/>
      </c>
      <c r="AF3009">
        <f t="shared" si="293"/>
        <v>0</v>
      </c>
      <c r="AG3009" t="str">
        <f t="shared" si="294"/>
        <v/>
      </c>
      <c r="AH3009" t="str">
        <f t="shared" si="295"/>
        <v/>
      </c>
      <c r="AI3009">
        <f t="shared" si="296"/>
        <v>0</v>
      </c>
      <c r="AJ3009">
        <f t="shared" si="297"/>
        <v>0</v>
      </c>
      <c r="AK3009">
        <v>0</v>
      </c>
      <c r="AL3009" t="str">
        <f>IF(AA3009="","",IFERROR(IF(ISNUMBER('Procyfloc 4800'!D10),'Procyfloc 4800'!D10,IF(ISNUMBER(SEARCH("12",'Procyfloc 4800'!D10)),EDATE(AB3009,12),IF(ISNUMBER(SEARCH("6",'Procyfloc 4800'!D10)),EDATE(AB3009,6),IF(ISNUMBER(SEARCH("3",'Procyfloc 4800'!D10)),EDATE(AB3009,3),DATEVALUE('Procyfloc 4800'!D10))))),""))</f>
        <v/>
      </c>
      <c r="AM3009" t="str">
        <f t="shared" ca="1" si="298"/>
        <v/>
      </c>
    </row>
    <row r="3010" spans="27:39" x14ac:dyDescent="0.3">
      <c r="AA3010" t="str">
        <f>IF(COUNTA('Procyfloc 4800'!A11,'Procyfloc 4800'!B11,'Procyfloc 4800'!C11)&gt;0,"4800","")</f>
        <v/>
      </c>
      <c r="AB3010" t="str">
        <f>IFERROR(IF(ISNUMBER('Procyfloc 4800'!A11),'Procyfloc 4800'!A11,DATEVALUE('Procyfloc 4800'!A11)),"")</f>
        <v/>
      </c>
      <c r="AC3010" t="str">
        <f>IF(AA3010="","",'Procyfloc 4800'!B11)</f>
        <v/>
      </c>
      <c r="AD3010" t="str">
        <f>IF(AA3010="","",IFERROR(1*'Procyfloc 4800'!C11,IFERROR(_xludf.NUMBERVALUE('Procyfloc 4800'!C11,".",","),IFERROR(_xludf.NUMBERVALUE('Procyfloc 4800'!C11,",","."),0))))</f>
        <v/>
      </c>
      <c r="AE3010" t="str">
        <f>IF(AA3010="","",'Procyfloc 4800'!J11)</f>
        <v/>
      </c>
      <c r="AF3010">
        <f t="shared" ref="AF3010:AF3073" si="299">IF(AA3010="",0,--AND(ISNUMBER(SEARCH("aprov",AE3010)),NOT(ISNUMBER(SEARCH("reprov",AE3010)))))</f>
        <v>0</v>
      </c>
      <c r="AG3010" t="str">
        <f t="shared" ref="AG3010:AG3073" si="300">IF(AB3010="","",YEAR(AB3010))</f>
        <v/>
      </c>
      <c r="AH3010" t="str">
        <f t="shared" ref="AH3010:AH3073" si="301">IF(AB3010="","",MONTH(AB3010))</f>
        <v/>
      </c>
      <c r="AI3010">
        <f t="shared" ref="AI3010:AI3073" si="302">IF(AB3010="",0,AB3010+ROW()/1000000)</f>
        <v>0</v>
      </c>
      <c r="AJ3010">
        <f t="shared" ref="AJ3010:AJ3073" si="303">--(AA3010&lt;&gt;"")</f>
        <v>0</v>
      </c>
      <c r="AK3010">
        <v>0</v>
      </c>
      <c r="AL3010" t="str">
        <f>IF(AA3010="","",IFERROR(IF(ISNUMBER('Procyfloc 4800'!D11),'Procyfloc 4800'!D11,IF(ISNUMBER(SEARCH("12",'Procyfloc 4800'!D11)),EDATE(AB3010,12),IF(ISNUMBER(SEARCH("6",'Procyfloc 4800'!D11)),EDATE(AB3010,6),IF(ISNUMBER(SEARCH("3",'Procyfloc 4800'!D11)),EDATE(AB3010,3),DATEVALUE('Procyfloc 4800'!D11))))),""))</f>
        <v/>
      </c>
      <c r="AM3010" t="str">
        <f t="shared" ref="AM3010:AM3073" ca="1" si="304">IF(AND(AJ3010=1,AL3010&lt;&gt;"",AL3010&gt;=TODAY(),AG3010=$W$3),AL3010+ROW()/1000000,"")</f>
        <v/>
      </c>
    </row>
    <row r="3011" spans="27:39" x14ac:dyDescent="0.3">
      <c r="AA3011" t="str">
        <f>IF(COUNTA('Procyfloc 4800'!A12,'Procyfloc 4800'!B12,'Procyfloc 4800'!C12)&gt;0,"4800","")</f>
        <v/>
      </c>
      <c r="AB3011" t="str">
        <f>IFERROR(IF(ISNUMBER('Procyfloc 4800'!A12),'Procyfloc 4800'!A12,DATEVALUE('Procyfloc 4800'!A12)),"")</f>
        <v/>
      </c>
      <c r="AC3011" t="str">
        <f>IF(AA3011="","",'Procyfloc 4800'!B12)</f>
        <v/>
      </c>
      <c r="AD3011" t="str">
        <f>IF(AA3011="","",IFERROR(1*'Procyfloc 4800'!C12,IFERROR(_xludf.NUMBERVALUE('Procyfloc 4800'!C12,".",","),IFERROR(_xludf.NUMBERVALUE('Procyfloc 4800'!C12,",","."),0))))</f>
        <v/>
      </c>
      <c r="AE3011" t="str">
        <f>IF(AA3011="","",'Procyfloc 4800'!J12)</f>
        <v/>
      </c>
      <c r="AF3011">
        <f t="shared" si="299"/>
        <v>0</v>
      </c>
      <c r="AG3011" t="str">
        <f t="shared" si="300"/>
        <v/>
      </c>
      <c r="AH3011" t="str">
        <f t="shared" si="301"/>
        <v/>
      </c>
      <c r="AI3011">
        <f t="shared" si="302"/>
        <v>0</v>
      </c>
      <c r="AJ3011">
        <f t="shared" si="303"/>
        <v>0</v>
      </c>
      <c r="AK3011">
        <v>0</v>
      </c>
      <c r="AL3011" t="str">
        <f>IF(AA3011="","",IFERROR(IF(ISNUMBER('Procyfloc 4800'!D12),'Procyfloc 4800'!D12,IF(ISNUMBER(SEARCH("12",'Procyfloc 4800'!D12)),EDATE(AB3011,12),IF(ISNUMBER(SEARCH("6",'Procyfloc 4800'!D12)),EDATE(AB3011,6),IF(ISNUMBER(SEARCH("3",'Procyfloc 4800'!D12)),EDATE(AB3011,3),DATEVALUE('Procyfloc 4800'!D12))))),""))</f>
        <v/>
      </c>
      <c r="AM3011" t="str">
        <f t="shared" ca="1" si="304"/>
        <v/>
      </c>
    </row>
    <row r="3012" spans="27:39" x14ac:dyDescent="0.3">
      <c r="AA3012" t="str">
        <f>IF(COUNTA('Procyfloc 4800'!A13,'Procyfloc 4800'!B13,'Procyfloc 4800'!C13)&gt;0,"4800","")</f>
        <v/>
      </c>
      <c r="AB3012" t="str">
        <f>IFERROR(IF(ISNUMBER('Procyfloc 4800'!A13),'Procyfloc 4800'!A13,DATEVALUE('Procyfloc 4800'!A13)),"")</f>
        <v/>
      </c>
      <c r="AC3012" t="str">
        <f>IF(AA3012="","",'Procyfloc 4800'!B13)</f>
        <v/>
      </c>
      <c r="AD3012" t="str">
        <f>IF(AA3012="","",IFERROR(1*'Procyfloc 4800'!C13,IFERROR(_xludf.NUMBERVALUE('Procyfloc 4800'!C13,".",","),IFERROR(_xludf.NUMBERVALUE('Procyfloc 4800'!C13,",","."),0))))</f>
        <v/>
      </c>
      <c r="AE3012" t="str">
        <f>IF(AA3012="","",'Procyfloc 4800'!J13)</f>
        <v/>
      </c>
      <c r="AF3012">
        <f t="shared" si="299"/>
        <v>0</v>
      </c>
      <c r="AG3012" t="str">
        <f t="shared" si="300"/>
        <v/>
      </c>
      <c r="AH3012" t="str">
        <f t="shared" si="301"/>
        <v/>
      </c>
      <c r="AI3012">
        <f t="shared" si="302"/>
        <v>0</v>
      </c>
      <c r="AJ3012">
        <f t="shared" si="303"/>
        <v>0</v>
      </c>
      <c r="AK3012">
        <v>0</v>
      </c>
      <c r="AL3012" t="str">
        <f>IF(AA3012="","",IFERROR(IF(ISNUMBER('Procyfloc 4800'!D13),'Procyfloc 4800'!D13,IF(ISNUMBER(SEARCH("12",'Procyfloc 4800'!D13)),EDATE(AB3012,12),IF(ISNUMBER(SEARCH("6",'Procyfloc 4800'!D13)),EDATE(AB3012,6),IF(ISNUMBER(SEARCH("3",'Procyfloc 4800'!D13)),EDATE(AB3012,3),DATEVALUE('Procyfloc 4800'!D13))))),""))</f>
        <v/>
      </c>
      <c r="AM3012" t="str">
        <f t="shared" ca="1" si="304"/>
        <v/>
      </c>
    </row>
    <row r="3013" spans="27:39" x14ac:dyDescent="0.3">
      <c r="AA3013" t="str">
        <f>IF(COUNTA('Procyfloc 4800'!A14,'Procyfloc 4800'!B14,'Procyfloc 4800'!C14)&gt;0,"4800","")</f>
        <v/>
      </c>
      <c r="AB3013" t="str">
        <f>IFERROR(IF(ISNUMBER('Procyfloc 4800'!A14),'Procyfloc 4800'!A14,DATEVALUE('Procyfloc 4800'!A14)),"")</f>
        <v/>
      </c>
      <c r="AC3013" t="str">
        <f>IF(AA3013="","",'Procyfloc 4800'!B14)</f>
        <v/>
      </c>
      <c r="AD3013" t="str">
        <f>IF(AA3013="","",IFERROR(1*'Procyfloc 4800'!C14,IFERROR(_xludf.NUMBERVALUE('Procyfloc 4800'!C14,".",","),IFERROR(_xludf.NUMBERVALUE('Procyfloc 4800'!C14,",","."),0))))</f>
        <v/>
      </c>
      <c r="AE3013" t="str">
        <f>IF(AA3013="","",'Procyfloc 4800'!J14)</f>
        <v/>
      </c>
      <c r="AF3013">
        <f t="shared" si="299"/>
        <v>0</v>
      </c>
      <c r="AG3013" t="str">
        <f t="shared" si="300"/>
        <v/>
      </c>
      <c r="AH3013" t="str">
        <f t="shared" si="301"/>
        <v/>
      </c>
      <c r="AI3013">
        <f t="shared" si="302"/>
        <v>0</v>
      </c>
      <c r="AJ3013">
        <f t="shared" si="303"/>
        <v>0</v>
      </c>
      <c r="AK3013">
        <v>0</v>
      </c>
      <c r="AL3013" t="str">
        <f>IF(AA3013="","",IFERROR(IF(ISNUMBER('Procyfloc 4800'!D14),'Procyfloc 4800'!D14,IF(ISNUMBER(SEARCH("12",'Procyfloc 4800'!D14)),EDATE(AB3013,12),IF(ISNUMBER(SEARCH("6",'Procyfloc 4800'!D14)),EDATE(AB3013,6),IF(ISNUMBER(SEARCH("3",'Procyfloc 4800'!D14)),EDATE(AB3013,3),DATEVALUE('Procyfloc 4800'!D14))))),""))</f>
        <v/>
      </c>
      <c r="AM3013" t="str">
        <f t="shared" ca="1" si="304"/>
        <v/>
      </c>
    </row>
    <row r="3014" spans="27:39" x14ac:dyDescent="0.3">
      <c r="AA3014" t="str">
        <f>IF(COUNTA('Procyfloc 4800'!A15,'Procyfloc 4800'!B15,'Procyfloc 4800'!C15)&gt;0,"4800","")</f>
        <v/>
      </c>
      <c r="AB3014" t="str">
        <f>IFERROR(IF(ISNUMBER('Procyfloc 4800'!A15),'Procyfloc 4800'!A15,DATEVALUE('Procyfloc 4800'!A15)),"")</f>
        <v/>
      </c>
      <c r="AC3014" t="str">
        <f>IF(AA3014="","",'Procyfloc 4800'!B15)</f>
        <v/>
      </c>
      <c r="AD3014" t="str">
        <f>IF(AA3014="","",IFERROR(1*'Procyfloc 4800'!C15,IFERROR(_xludf.NUMBERVALUE('Procyfloc 4800'!C15,".",","),IFERROR(_xludf.NUMBERVALUE('Procyfloc 4800'!C15,",","."),0))))</f>
        <v/>
      </c>
      <c r="AE3014" t="str">
        <f>IF(AA3014="","",'Procyfloc 4800'!J15)</f>
        <v/>
      </c>
      <c r="AF3014">
        <f t="shared" si="299"/>
        <v>0</v>
      </c>
      <c r="AG3014" t="str">
        <f t="shared" si="300"/>
        <v/>
      </c>
      <c r="AH3014" t="str">
        <f t="shared" si="301"/>
        <v/>
      </c>
      <c r="AI3014">
        <f t="shared" si="302"/>
        <v>0</v>
      </c>
      <c r="AJ3014">
        <f t="shared" si="303"/>
        <v>0</v>
      </c>
      <c r="AK3014">
        <v>0</v>
      </c>
      <c r="AL3014" t="str">
        <f>IF(AA3014="","",IFERROR(IF(ISNUMBER('Procyfloc 4800'!D15),'Procyfloc 4800'!D15,IF(ISNUMBER(SEARCH("12",'Procyfloc 4800'!D15)),EDATE(AB3014,12),IF(ISNUMBER(SEARCH("6",'Procyfloc 4800'!D15)),EDATE(AB3014,6),IF(ISNUMBER(SEARCH("3",'Procyfloc 4800'!D15)),EDATE(AB3014,3),DATEVALUE('Procyfloc 4800'!D15))))),""))</f>
        <v/>
      </c>
      <c r="AM3014" t="str">
        <f t="shared" ca="1" si="304"/>
        <v/>
      </c>
    </row>
    <row r="3015" spans="27:39" x14ac:dyDescent="0.3">
      <c r="AA3015" t="str">
        <f>IF(COUNTA('Procyfloc 4800'!A16,'Procyfloc 4800'!B16,'Procyfloc 4800'!C16)&gt;0,"4800","")</f>
        <v/>
      </c>
      <c r="AB3015" t="str">
        <f>IFERROR(IF(ISNUMBER('Procyfloc 4800'!A16),'Procyfloc 4800'!A16,DATEVALUE('Procyfloc 4800'!A16)),"")</f>
        <v/>
      </c>
      <c r="AC3015" t="str">
        <f>IF(AA3015="","",'Procyfloc 4800'!B16)</f>
        <v/>
      </c>
      <c r="AD3015" t="str">
        <f>IF(AA3015="","",IFERROR(1*'Procyfloc 4800'!C16,IFERROR(_xludf.NUMBERVALUE('Procyfloc 4800'!C16,".",","),IFERROR(_xludf.NUMBERVALUE('Procyfloc 4800'!C16,",","."),0))))</f>
        <v/>
      </c>
      <c r="AE3015" t="str">
        <f>IF(AA3015="","",'Procyfloc 4800'!J16)</f>
        <v/>
      </c>
      <c r="AF3015">
        <f t="shared" si="299"/>
        <v>0</v>
      </c>
      <c r="AG3015" t="str">
        <f t="shared" si="300"/>
        <v/>
      </c>
      <c r="AH3015" t="str">
        <f t="shared" si="301"/>
        <v/>
      </c>
      <c r="AI3015">
        <f t="shared" si="302"/>
        <v>0</v>
      </c>
      <c r="AJ3015">
        <f t="shared" si="303"/>
        <v>0</v>
      </c>
      <c r="AK3015">
        <v>0</v>
      </c>
      <c r="AL3015" t="str">
        <f>IF(AA3015="","",IFERROR(IF(ISNUMBER('Procyfloc 4800'!D16),'Procyfloc 4800'!D16,IF(ISNUMBER(SEARCH("12",'Procyfloc 4800'!D16)),EDATE(AB3015,12),IF(ISNUMBER(SEARCH("6",'Procyfloc 4800'!D16)),EDATE(AB3015,6),IF(ISNUMBER(SEARCH("3",'Procyfloc 4800'!D16)),EDATE(AB3015,3),DATEVALUE('Procyfloc 4800'!D16))))),""))</f>
        <v/>
      </c>
      <c r="AM3015" t="str">
        <f t="shared" ca="1" si="304"/>
        <v/>
      </c>
    </row>
    <row r="3016" spans="27:39" x14ac:dyDescent="0.3">
      <c r="AA3016" t="str">
        <f>IF(COUNTA('Procyfloc 4800'!A17,'Procyfloc 4800'!B17,'Procyfloc 4800'!C17)&gt;0,"4800","")</f>
        <v/>
      </c>
      <c r="AB3016" t="str">
        <f>IFERROR(IF(ISNUMBER('Procyfloc 4800'!A17),'Procyfloc 4800'!A17,DATEVALUE('Procyfloc 4800'!A17)),"")</f>
        <v/>
      </c>
      <c r="AC3016" t="str">
        <f>IF(AA3016="","",'Procyfloc 4800'!B17)</f>
        <v/>
      </c>
      <c r="AD3016" t="str">
        <f>IF(AA3016="","",IFERROR(1*'Procyfloc 4800'!C17,IFERROR(_xludf.NUMBERVALUE('Procyfloc 4800'!C17,".",","),IFERROR(_xludf.NUMBERVALUE('Procyfloc 4800'!C17,",","."),0))))</f>
        <v/>
      </c>
      <c r="AE3016" t="str">
        <f>IF(AA3016="","",'Procyfloc 4800'!J17)</f>
        <v/>
      </c>
      <c r="AF3016">
        <f t="shared" si="299"/>
        <v>0</v>
      </c>
      <c r="AG3016" t="str">
        <f t="shared" si="300"/>
        <v/>
      </c>
      <c r="AH3016" t="str">
        <f t="shared" si="301"/>
        <v/>
      </c>
      <c r="AI3016">
        <f t="shared" si="302"/>
        <v>0</v>
      </c>
      <c r="AJ3016">
        <f t="shared" si="303"/>
        <v>0</v>
      </c>
      <c r="AK3016">
        <v>0</v>
      </c>
      <c r="AL3016" t="str">
        <f>IF(AA3016="","",IFERROR(IF(ISNUMBER('Procyfloc 4800'!D17),'Procyfloc 4800'!D17,IF(ISNUMBER(SEARCH("12",'Procyfloc 4800'!D17)),EDATE(AB3016,12),IF(ISNUMBER(SEARCH("6",'Procyfloc 4800'!D17)),EDATE(AB3016,6),IF(ISNUMBER(SEARCH("3",'Procyfloc 4800'!D17)),EDATE(AB3016,3),DATEVALUE('Procyfloc 4800'!D17))))),""))</f>
        <v/>
      </c>
      <c r="AM3016" t="str">
        <f t="shared" ca="1" si="304"/>
        <v/>
      </c>
    </row>
    <row r="3017" spans="27:39" x14ac:dyDescent="0.3">
      <c r="AA3017" t="str">
        <f>IF(COUNTA('Procyfloc 4800'!A18,'Procyfloc 4800'!B18,'Procyfloc 4800'!C18)&gt;0,"4800","")</f>
        <v/>
      </c>
      <c r="AB3017" t="str">
        <f>IFERROR(IF(ISNUMBER('Procyfloc 4800'!A18),'Procyfloc 4800'!A18,DATEVALUE('Procyfloc 4800'!A18)),"")</f>
        <v/>
      </c>
      <c r="AC3017" t="str">
        <f>IF(AA3017="","",'Procyfloc 4800'!B18)</f>
        <v/>
      </c>
      <c r="AD3017" t="str">
        <f>IF(AA3017="","",IFERROR(1*'Procyfloc 4800'!C18,IFERROR(_xludf.NUMBERVALUE('Procyfloc 4800'!C18,".",","),IFERROR(_xludf.NUMBERVALUE('Procyfloc 4800'!C18,",","."),0))))</f>
        <v/>
      </c>
      <c r="AE3017" t="str">
        <f>IF(AA3017="","",'Procyfloc 4800'!J18)</f>
        <v/>
      </c>
      <c r="AF3017">
        <f t="shared" si="299"/>
        <v>0</v>
      </c>
      <c r="AG3017" t="str">
        <f t="shared" si="300"/>
        <v/>
      </c>
      <c r="AH3017" t="str">
        <f t="shared" si="301"/>
        <v/>
      </c>
      <c r="AI3017">
        <f t="shared" si="302"/>
        <v>0</v>
      </c>
      <c r="AJ3017">
        <f t="shared" si="303"/>
        <v>0</v>
      </c>
      <c r="AK3017">
        <v>0</v>
      </c>
      <c r="AL3017" t="str">
        <f>IF(AA3017="","",IFERROR(IF(ISNUMBER('Procyfloc 4800'!D18),'Procyfloc 4800'!D18,IF(ISNUMBER(SEARCH("12",'Procyfloc 4800'!D18)),EDATE(AB3017,12),IF(ISNUMBER(SEARCH("6",'Procyfloc 4800'!D18)),EDATE(AB3017,6),IF(ISNUMBER(SEARCH("3",'Procyfloc 4800'!D18)),EDATE(AB3017,3),DATEVALUE('Procyfloc 4800'!D18))))),""))</f>
        <v/>
      </c>
      <c r="AM3017" t="str">
        <f t="shared" ca="1" si="304"/>
        <v/>
      </c>
    </row>
    <row r="3018" spans="27:39" x14ac:dyDescent="0.3">
      <c r="AA3018" t="str">
        <f>IF(COUNTA('Procyfloc 4800'!A19,'Procyfloc 4800'!B19,'Procyfloc 4800'!C19)&gt;0,"4800","")</f>
        <v/>
      </c>
      <c r="AB3018" t="str">
        <f>IFERROR(IF(ISNUMBER('Procyfloc 4800'!A19),'Procyfloc 4800'!A19,DATEVALUE('Procyfloc 4800'!A19)),"")</f>
        <v/>
      </c>
      <c r="AC3018" t="str">
        <f>IF(AA3018="","",'Procyfloc 4800'!B19)</f>
        <v/>
      </c>
      <c r="AD3018" t="str">
        <f>IF(AA3018="","",IFERROR(1*'Procyfloc 4800'!C19,IFERROR(_xludf.NUMBERVALUE('Procyfloc 4800'!C19,".",","),IFERROR(_xludf.NUMBERVALUE('Procyfloc 4800'!C19,",","."),0))))</f>
        <v/>
      </c>
      <c r="AE3018" t="str">
        <f>IF(AA3018="","",'Procyfloc 4800'!J19)</f>
        <v/>
      </c>
      <c r="AF3018">
        <f t="shared" si="299"/>
        <v>0</v>
      </c>
      <c r="AG3018" t="str">
        <f t="shared" si="300"/>
        <v/>
      </c>
      <c r="AH3018" t="str">
        <f t="shared" si="301"/>
        <v/>
      </c>
      <c r="AI3018">
        <f t="shared" si="302"/>
        <v>0</v>
      </c>
      <c r="AJ3018">
        <f t="shared" si="303"/>
        <v>0</v>
      </c>
      <c r="AK3018">
        <v>0</v>
      </c>
      <c r="AL3018" t="str">
        <f>IF(AA3018="","",IFERROR(IF(ISNUMBER('Procyfloc 4800'!D19),'Procyfloc 4800'!D19,IF(ISNUMBER(SEARCH("12",'Procyfloc 4800'!D19)),EDATE(AB3018,12),IF(ISNUMBER(SEARCH("6",'Procyfloc 4800'!D19)),EDATE(AB3018,6),IF(ISNUMBER(SEARCH("3",'Procyfloc 4800'!D19)),EDATE(AB3018,3),DATEVALUE('Procyfloc 4800'!D19))))),""))</f>
        <v/>
      </c>
      <c r="AM3018" t="str">
        <f t="shared" ca="1" si="304"/>
        <v/>
      </c>
    </row>
    <row r="3019" spans="27:39" x14ac:dyDescent="0.3">
      <c r="AA3019" t="str">
        <f>IF(COUNTA('Procyfloc 4800'!A20,'Procyfloc 4800'!B20,'Procyfloc 4800'!C20)&gt;0,"4800","")</f>
        <v/>
      </c>
      <c r="AB3019" t="str">
        <f>IFERROR(IF(ISNUMBER('Procyfloc 4800'!A20),'Procyfloc 4800'!A20,DATEVALUE('Procyfloc 4800'!A20)),"")</f>
        <v/>
      </c>
      <c r="AC3019" t="str">
        <f>IF(AA3019="","",'Procyfloc 4800'!B20)</f>
        <v/>
      </c>
      <c r="AD3019" t="str">
        <f>IF(AA3019="","",IFERROR(1*'Procyfloc 4800'!C20,IFERROR(_xludf.NUMBERVALUE('Procyfloc 4800'!C20,".",","),IFERROR(_xludf.NUMBERVALUE('Procyfloc 4800'!C20,",","."),0))))</f>
        <v/>
      </c>
      <c r="AE3019" t="str">
        <f>IF(AA3019="","",'Procyfloc 4800'!J20)</f>
        <v/>
      </c>
      <c r="AF3019">
        <f t="shared" si="299"/>
        <v>0</v>
      </c>
      <c r="AG3019" t="str">
        <f t="shared" si="300"/>
        <v/>
      </c>
      <c r="AH3019" t="str">
        <f t="shared" si="301"/>
        <v/>
      </c>
      <c r="AI3019">
        <f t="shared" si="302"/>
        <v>0</v>
      </c>
      <c r="AJ3019">
        <f t="shared" si="303"/>
        <v>0</v>
      </c>
      <c r="AK3019">
        <v>0</v>
      </c>
      <c r="AL3019" t="str">
        <f>IF(AA3019="","",IFERROR(IF(ISNUMBER('Procyfloc 4800'!D20),'Procyfloc 4800'!D20,IF(ISNUMBER(SEARCH("12",'Procyfloc 4800'!D20)),EDATE(AB3019,12),IF(ISNUMBER(SEARCH("6",'Procyfloc 4800'!D20)),EDATE(AB3019,6),IF(ISNUMBER(SEARCH("3",'Procyfloc 4800'!D20)),EDATE(AB3019,3),DATEVALUE('Procyfloc 4800'!D20))))),""))</f>
        <v/>
      </c>
      <c r="AM3019" t="str">
        <f t="shared" ca="1" si="304"/>
        <v/>
      </c>
    </row>
    <row r="3020" spans="27:39" x14ac:dyDescent="0.3">
      <c r="AA3020" t="str">
        <f>IF(COUNTA('Procyfloc 4800'!A21,'Procyfloc 4800'!B21,'Procyfloc 4800'!C21)&gt;0,"4800","")</f>
        <v/>
      </c>
      <c r="AB3020" t="str">
        <f>IFERROR(IF(ISNUMBER('Procyfloc 4800'!A21),'Procyfloc 4800'!A21,DATEVALUE('Procyfloc 4800'!A21)),"")</f>
        <v/>
      </c>
      <c r="AC3020" t="str">
        <f>IF(AA3020="","",'Procyfloc 4800'!B21)</f>
        <v/>
      </c>
      <c r="AD3020" t="str">
        <f>IF(AA3020="","",IFERROR(1*'Procyfloc 4800'!C21,IFERROR(_xludf.NUMBERVALUE('Procyfloc 4800'!C21,".",","),IFERROR(_xludf.NUMBERVALUE('Procyfloc 4800'!C21,",","."),0))))</f>
        <v/>
      </c>
      <c r="AE3020" t="str">
        <f>IF(AA3020="","",'Procyfloc 4800'!J21)</f>
        <v/>
      </c>
      <c r="AF3020">
        <f t="shared" si="299"/>
        <v>0</v>
      </c>
      <c r="AG3020" t="str">
        <f t="shared" si="300"/>
        <v/>
      </c>
      <c r="AH3020" t="str">
        <f t="shared" si="301"/>
        <v/>
      </c>
      <c r="AI3020">
        <f t="shared" si="302"/>
        <v>0</v>
      </c>
      <c r="AJ3020">
        <f t="shared" si="303"/>
        <v>0</v>
      </c>
      <c r="AK3020">
        <v>0</v>
      </c>
      <c r="AL3020" t="str">
        <f>IF(AA3020="","",IFERROR(IF(ISNUMBER('Procyfloc 4800'!D21),'Procyfloc 4800'!D21,IF(ISNUMBER(SEARCH("12",'Procyfloc 4800'!D21)),EDATE(AB3020,12),IF(ISNUMBER(SEARCH("6",'Procyfloc 4800'!D21)),EDATE(AB3020,6),IF(ISNUMBER(SEARCH("3",'Procyfloc 4800'!D21)),EDATE(AB3020,3),DATEVALUE('Procyfloc 4800'!D21))))),""))</f>
        <v/>
      </c>
      <c r="AM3020" t="str">
        <f t="shared" ca="1" si="304"/>
        <v/>
      </c>
    </row>
    <row r="3021" spans="27:39" x14ac:dyDescent="0.3">
      <c r="AA3021" t="str">
        <f>IF(COUNTA('Procyfloc 4800'!A22,'Procyfloc 4800'!B22,'Procyfloc 4800'!C22)&gt;0,"4800","")</f>
        <v/>
      </c>
      <c r="AB3021" t="str">
        <f>IFERROR(IF(ISNUMBER('Procyfloc 4800'!A22),'Procyfloc 4800'!A22,DATEVALUE('Procyfloc 4800'!A22)),"")</f>
        <v/>
      </c>
      <c r="AC3021" t="str">
        <f>IF(AA3021="","",'Procyfloc 4800'!B22)</f>
        <v/>
      </c>
      <c r="AD3021" t="str">
        <f>IF(AA3021="","",IFERROR(1*'Procyfloc 4800'!C22,IFERROR(_xludf.NUMBERVALUE('Procyfloc 4800'!C22,".",","),IFERROR(_xludf.NUMBERVALUE('Procyfloc 4800'!C22,",","."),0))))</f>
        <v/>
      </c>
      <c r="AE3021" t="str">
        <f>IF(AA3021="","",'Procyfloc 4800'!J22)</f>
        <v/>
      </c>
      <c r="AF3021">
        <f t="shared" si="299"/>
        <v>0</v>
      </c>
      <c r="AG3021" t="str">
        <f t="shared" si="300"/>
        <v/>
      </c>
      <c r="AH3021" t="str">
        <f t="shared" si="301"/>
        <v/>
      </c>
      <c r="AI3021">
        <f t="shared" si="302"/>
        <v>0</v>
      </c>
      <c r="AJ3021">
        <f t="shared" si="303"/>
        <v>0</v>
      </c>
      <c r="AK3021">
        <v>0</v>
      </c>
      <c r="AL3021" t="str">
        <f>IF(AA3021="","",IFERROR(IF(ISNUMBER('Procyfloc 4800'!D22),'Procyfloc 4800'!D22,IF(ISNUMBER(SEARCH("12",'Procyfloc 4800'!D22)),EDATE(AB3021,12),IF(ISNUMBER(SEARCH("6",'Procyfloc 4800'!D22)),EDATE(AB3021,6),IF(ISNUMBER(SEARCH("3",'Procyfloc 4800'!D22)),EDATE(AB3021,3),DATEVALUE('Procyfloc 4800'!D22))))),""))</f>
        <v/>
      </c>
      <c r="AM3021" t="str">
        <f t="shared" ca="1" si="304"/>
        <v/>
      </c>
    </row>
    <row r="3022" spans="27:39" x14ac:dyDescent="0.3">
      <c r="AA3022" t="str">
        <f>IF(COUNTA('Procyfloc 4800'!A23,'Procyfloc 4800'!B23,'Procyfloc 4800'!C23)&gt;0,"4800","")</f>
        <v/>
      </c>
      <c r="AB3022" t="str">
        <f>IFERROR(IF(ISNUMBER('Procyfloc 4800'!A23),'Procyfloc 4800'!A23,DATEVALUE('Procyfloc 4800'!A23)),"")</f>
        <v/>
      </c>
      <c r="AC3022" t="str">
        <f>IF(AA3022="","",'Procyfloc 4800'!B23)</f>
        <v/>
      </c>
      <c r="AD3022" t="str">
        <f>IF(AA3022="","",IFERROR(1*'Procyfloc 4800'!C23,IFERROR(_xludf.NUMBERVALUE('Procyfloc 4800'!C23,".",","),IFERROR(_xludf.NUMBERVALUE('Procyfloc 4800'!C23,",","."),0))))</f>
        <v/>
      </c>
      <c r="AE3022" t="str">
        <f>IF(AA3022="","",'Procyfloc 4800'!J23)</f>
        <v/>
      </c>
      <c r="AF3022">
        <f t="shared" si="299"/>
        <v>0</v>
      </c>
      <c r="AG3022" t="str">
        <f t="shared" si="300"/>
        <v/>
      </c>
      <c r="AH3022" t="str">
        <f t="shared" si="301"/>
        <v/>
      </c>
      <c r="AI3022">
        <f t="shared" si="302"/>
        <v>0</v>
      </c>
      <c r="AJ3022">
        <f t="shared" si="303"/>
        <v>0</v>
      </c>
      <c r="AK3022">
        <v>0</v>
      </c>
      <c r="AL3022" t="str">
        <f>IF(AA3022="","",IFERROR(IF(ISNUMBER('Procyfloc 4800'!D23),'Procyfloc 4800'!D23,IF(ISNUMBER(SEARCH("12",'Procyfloc 4800'!D23)),EDATE(AB3022,12),IF(ISNUMBER(SEARCH("6",'Procyfloc 4800'!D23)),EDATE(AB3022,6),IF(ISNUMBER(SEARCH("3",'Procyfloc 4800'!D23)),EDATE(AB3022,3),DATEVALUE('Procyfloc 4800'!D23))))),""))</f>
        <v/>
      </c>
      <c r="AM3022" t="str">
        <f t="shared" ca="1" si="304"/>
        <v/>
      </c>
    </row>
    <row r="3023" spans="27:39" x14ac:dyDescent="0.3">
      <c r="AA3023" t="str">
        <f>IF(COUNTA('Procyfloc 4800'!A24,'Procyfloc 4800'!B24,'Procyfloc 4800'!C24)&gt;0,"4800","")</f>
        <v/>
      </c>
      <c r="AB3023" t="str">
        <f>IFERROR(IF(ISNUMBER('Procyfloc 4800'!A24),'Procyfloc 4800'!A24,DATEVALUE('Procyfloc 4800'!A24)),"")</f>
        <v/>
      </c>
      <c r="AC3023" t="str">
        <f>IF(AA3023="","",'Procyfloc 4800'!B24)</f>
        <v/>
      </c>
      <c r="AD3023" t="str">
        <f>IF(AA3023="","",IFERROR(1*'Procyfloc 4800'!C24,IFERROR(_xludf.NUMBERVALUE('Procyfloc 4800'!C24,".",","),IFERROR(_xludf.NUMBERVALUE('Procyfloc 4800'!C24,",","."),0))))</f>
        <v/>
      </c>
      <c r="AE3023" t="str">
        <f>IF(AA3023="","",'Procyfloc 4800'!J24)</f>
        <v/>
      </c>
      <c r="AF3023">
        <f t="shared" si="299"/>
        <v>0</v>
      </c>
      <c r="AG3023" t="str">
        <f t="shared" si="300"/>
        <v/>
      </c>
      <c r="AH3023" t="str">
        <f t="shared" si="301"/>
        <v/>
      </c>
      <c r="AI3023">
        <f t="shared" si="302"/>
        <v>0</v>
      </c>
      <c r="AJ3023">
        <f t="shared" si="303"/>
        <v>0</v>
      </c>
      <c r="AK3023">
        <v>0</v>
      </c>
      <c r="AL3023" t="str">
        <f>IF(AA3023="","",IFERROR(IF(ISNUMBER('Procyfloc 4800'!D24),'Procyfloc 4800'!D24,IF(ISNUMBER(SEARCH("12",'Procyfloc 4800'!D24)),EDATE(AB3023,12),IF(ISNUMBER(SEARCH("6",'Procyfloc 4800'!D24)),EDATE(AB3023,6),IF(ISNUMBER(SEARCH("3",'Procyfloc 4800'!D24)),EDATE(AB3023,3),DATEVALUE('Procyfloc 4800'!D24))))),""))</f>
        <v/>
      </c>
      <c r="AM3023" t="str">
        <f t="shared" ca="1" si="304"/>
        <v/>
      </c>
    </row>
    <row r="3024" spans="27:39" x14ac:dyDescent="0.3">
      <c r="AA3024" t="str">
        <f>IF(COUNTA('Procyfloc 4800'!A25,'Procyfloc 4800'!B25,'Procyfloc 4800'!C25)&gt;0,"4800","")</f>
        <v/>
      </c>
      <c r="AB3024" t="str">
        <f>IFERROR(IF(ISNUMBER('Procyfloc 4800'!A25),'Procyfloc 4800'!A25,DATEVALUE('Procyfloc 4800'!A25)),"")</f>
        <v/>
      </c>
      <c r="AC3024" t="str">
        <f>IF(AA3024="","",'Procyfloc 4800'!B25)</f>
        <v/>
      </c>
      <c r="AD3024" t="str">
        <f>IF(AA3024="","",IFERROR(1*'Procyfloc 4800'!C25,IFERROR(_xludf.NUMBERVALUE('Procyfloc 4800'!C25,".",","),IFERROR(_xludf.NUMBERVALUE('Procyfloc 4800'!C25,",","."),0))))</f>
        <v/>
      </c>
      <c r="AE3024" t="str">
        <f>IF(AA3024="","",'Procyfloc 4800'!J25)</f>
        <v/>
      </c>
      <c r="AF3024">
        <f t="shared" si="299"/>
        <v>0</v>
      </c>
      <c r="AG3024" t="str">
        <f t="shared" si="300"/>
        <v/>
      </c>
      <c r="AH3024" t="str">
        <f t="shared" si="301"/>
        <v/>
      </c>
      <c r="AI3024">
        <f t="shared" si="302"/>
        <v>0</v>
      </c>
      <c r="AJ3024">
        <f t="shared" si="303"/>
        <v>0</v>
      </c>
      <c r="AK3024">
        <v>0</v>
      </c>
      <c r="AL3024" t="str">
        <f>IF(AA3024="","",IFERROR(IF(ISNUMBER('Procyfloc 4800'!D25),'Procyfloc 4800'!D25,IF(ISNUMBER(SEARCH("12",'Procyfloc 4800'!D25)),EDATE(AB3024,12),IF(ISNUMBER(SEARCH("6",'Procyfloc 4800'!D25)),EDATE(AB3024,6),IF(ISNUMBER(SEARCH("3",'Procyfloc 4800'!D25)),EDATE(AB3024,3),DATEVALUE('Procyfloc 4800'!D25))))),""))</f>
        <v/>
      </c>
      <c r="AM3024" t="str">
        <f t="shared" ca="1" si="304"/>
        <v/>
      </c>
    </row>
    <row r="3025" spans="27:39" x14ac:dyDescent="0.3">
      <c r="AA3025" t="str">
        <f>IF(COUNTA('Procyfloc 4800'!A26,'Procyfloc 4800'!B26,'Procyfloc 4800'!C26)&gt;0,"4800","")</f>
        <v/>
      </c>
      <c r="AB3025" t="str">
        <f>IFERROR(IF(ISNUMBER('Procyfloc 4800'!A26),'Procyfloc 4800'!A26,DATEVALUE('Procyfloc 4800'!A26)),"")</f>
        <v/>
      </c>
      <c r="AC3025" t="str">
        <f>IF(AA3025="","",'Procyfloc 4800'!B26)</f>
        <v/>
      </c>
      <c r="AD3025" t="str">
        <f>IF(AA3025="","",IFERROR(1*'Procyfloc 4800'!C26,IFERROR(_xludf.NUMBERVALUE('Procyfloc 4800'!C26,".",","),IFERROR(_xludf.NUMBERVALUE('Procyfloc 4800'!C26,",","."),0))))</f>
        <v/>
      </c>
      <c r="AE3025" t="str">
        <f>IF(AA3025="","",'Procyfloc 4800'!J26)</f>
        <v/>
      </c>
      <c r="AF3025">
        <f t="shared" si="299"/>
        <v>0</v>
      </c>
      <c r="AG3025" t="str">
        <f t="shared" si="300"/>
        <v/>
      </c>
      <c r="AH3025" t="str">
        <f t="shared" si="301"/>
        <v/>
      </c>
      <c r="AI3025">
        <f t="shared" si="302"/>
        <v>0</v>
      </c>
      <c r="AJ3025">
        <f t="shared" si="303"/>
        <v>0</v>
      </c>
      <c r="AK3025">
        <v>0</v>
      </c>
      <c r="AL3025" t="str">
        <f>IF(AA3025="","",IFERROR(IF(ISNUMBER('Procyfloc 4800'!D26),'Procyfloc 4800'!D26,IF(ISNUMBER(SEARCH("12",'Procyfloc 4800'!D26)),EDATE(AB3025,12),IF(ISNUMBER(SEARCH("6",'Procyfloc 4800'!D26)),EDATE(AB3025,6),IF(ISNUMBER(SEARCH("3",'Procyfloc 4800'!D26)),EDATE(AB3025,3),DATEVALUE('Procyfloc 4800'!D26))))),""))</f>
        <v/>
      </c>
      <c r="AM3025" t="str">
        <f t="shared" ca="1" si="304"/>
        <v/>
      </c>
    </row>
    <row r="3026" spans="27:39" x14ac:dyDescent="0.3">
      <c r="AA3026" t="str">
        <f>IF(COUNTA('Procyfloc 4800'!A27,'Procyfloc 4800'!B27,'Procyfloc 4800'!C27)&gt;0,"4800","")</f>
        <v/>
      </c>
      <c r="AB3026" t="str">
        <f>IFERROR(IF(ISNUMBER('Procyfloc 4800'!A27),'Procyfloc 4800'!A27,DATEVALUE('Procyfloc 4800'!A27)),"")</f>
        <v/>
      </c>
      <c r="AC3026" t="str">
        <f>IF(AA3026="","",'Procyfloc 4800'!B27)</f>
        <v/>
      </c>
      <c r="AD3026" t="str">
        <f>IF(AA3026="","",IFERROR(1*'Procyfloc 4800'!C27,IFERROR(_xludf.NUMBERVALUE('Procyfloc 4800'!C27,".",","),IFERROR(_xludf.NUMBERVALUE('Procyfloc 4800'!C27,",","."),0))))</f>
        <v/>
      </c>
      <c r="AE3026" t="str">
        <f>IF(AA3026="","",'Procyfloc 4800'!J27)</f>
        <v/>
      </c>
      <c r="AF3026">
        <f t="shared" si="299"/>
        <v>0</v>
      </c>
      <c r="AG3026" t="str">
        <f t="shared" si="300"/>
        <v/>
      </c>
      <c r="AH3026" t="str">
        <f t="shared" si="301"/>
        <v/>
      </c>
      <c r="AI3026">
        <f t="shared" si="302"/>
        <v>0</v>
      </c>
      <c r="AJ3026">
        <f t="shared" si="303"/>
        <v>0</v>
      </c>
      <c r="AK3026">
        <v>0</v>
      </c>
      <c r="AL3026" t="str">
        <f>IF(AA3026="","",IFERROR(IF(ISNUMBER('Procyfloc 4800'!D27),'Procyfloc 4800'!D27,IF(ISNUMBER(SEARCH("12",'Procyfloc 4800'!D27)),EDATE(AB3026,12),IF(ISNUMBER(SEARCH("6",'Procyfloc 4800'!D27)),EDATE(AB3026,6),IF(ISNUMBER(SEARCH("3",'Procyfloc 4800'!D27)),EDATE(AB3026,3),DATEVALUE('Procyfloc 4800'!D27))))),""))</f>
        <v/>
      </c>
      <c r="AM3026" t="str">
        <f t="shared" ca="1" si="304"/>
        <v/>
      </c>
    </row>
    <row r="3027" spans="27:39" x14ac:dyDescent="0.3">
      <c r="AA3027" t="str">
        <f>IF(COUNTA('Procyfloc 4800'!A28,'Procyfloc 4800'!B28,'Procyfloc 4800'!C28)&gt;0,"4800","")</f>
        <v/>
      </c>
      <c r="AB3027" t="str">
        <f>IFERROR(IF(ISNUMBER('Procyfloc 4800'!A28),'Procyfloc 4800'!A28,DATEVALUE('Procyfloc 4800'!A28)),"")</f>
        <v/>
      </c>
      <c r="AC3027" t="str">
        <f>IF(AA3027="","",'Procyfloc 4800'!B28)</f>
        <v/>
      </c>
      <c r="AD3027" t="str">
        <f>IF(AA3027="","",IFERROR(1*'Procyfloc 4800'!C28,IFERROR(_xludf.NUMBERVALUE('Procyfloc 4800'!C28,".",","),IFERROR(_xludf.NUMBERVALUE('Procyfloc 4800'!C28,",","."),0))))</f>
        <v/>
      </c>
      <c r="AE3027" t="str">
        <f>IF(AA3027="","",'Procyfloc 4800'!J28)</f>
        <v/>
      </c>
      <c r="AF3027">
        <f t="shared" si="299"/>
        <v>0</v>
      </c>
      <c r="AG3027" t="str">
        <f t="shared" si="300"/>
        <v/>
      </c>
      <c r="AH3027" t="str">
        <f t="shared" si="301"/>
        <v/>
      </c>
      <c r="AI3027">
        <f t="shared" si="302"/>
        <v>0</v>
      </c>
      <c r="AJ3027">
        <f t="shared" si="303"/>
        <v>0</v>
      </c>
      <c r="AK3027">
        <v>0</v>
      </c>
      <c r="AL3027" t="str">
        <f>IF(AA3027="","",IFERROR(IF(ISNUMBER('Procyfloc 4800'!D28),'Procyfloc 4800'!D28,IF(ISNUMBER(SEARCH("12",'Procyfloc 4800'!D28)),EDATE(AB3027,12),IF(ISNUMBER(SEARCH("6",'Procyfloc 4800'!D28)),EDATE(AB3027,6),IF(ISNUMBER(SEARCH("3",'Procyfloc 4800'!D28)),EDATE(AB3027,3),DATEVALUE('Procyfloc 4800'!D28))))),""))</f>
        <v/>
      </c>
      <c r="AM3027" t="str">
        <f t="shared" ca="1" si="304"/>
        <v/>
      </c>
    </row>
    <row r="3028" spans="27:39" x14ac:dyDescent="0.3">
      <c r="AA3028" t="str">
        <f>IF(COUNTA('Procyfloc 4800'!A29,'Procyfloc 4800'!B29,'Procyfloc 4800'!C29)&gt;0,"4800","")</f>
        <v/>
      </c>
      <c r="AB3028" t="str">
        <f>IFERROR(IF(ISNUMBER('Procyfloc 4800'!A29),'Procyfloc 4800'!A29,DATEVALUE('Procyfloc 4800'!A29)),"")</f>
        <v/>
      </c>
      <c r="AC3028" t="str">
        <f>IF(AA3028="","",'Procyfloc 4800'!B29)</f>
        <v/>
      </c>
      <c r="AD3028" t="str">
        <f>IF(AA3028="","",IFERROR(1*'Procyfloc 4800'!C29,IFERROR(_xludf.NUMBERVALUE('Procyfloc 4800'!C29,".",","),IFERROR(_xludf.NUMBERVALUE('Procyfloc 4800'!C29,",","."),0))))</f>
        <v/>
      </c>
      <c r="AE3028" t="str">
        <f>IF(AA3028="","",'Procyfloc 4800'!J29)</f>
        <v/>
      </c>
      <c r="AF3028">
        <f t="shared" si="299"/>
        <v>0</v>
      </c>
      <c r="AG3028" t="str">
        <f t="shared" si="300"/>
        <v/>
      </c>
      <c r="AH3028" t="str">
        <f t="shared" si="301"/>
        <v/>
      </c>
      <c r="AI3028">
        <f t="shared" si="302"/>
        <v>0</v>
      </c>
      <c r="AJ3028">
        <f t="shared" si="303"/>
        <v>0</v>
      </c>
      <c r="AK3028">
        <v>0</v>
      </c>
      <c r="AL3028" t="str">
        <f>IF(AA3028="","",IFERROR(IF(ISNUMBER('Procyfloc 4800'!D29),'Procyfloc 4800'!D29,IF(ISNUMBER(SEARCH("12",'Procyfloc 4800'!D29)),EDATE(AB3028,12),IF(ISNUMBER(SEARCH("6",'Procyfloc 4800'!D29)),EDATE(AB3028,6),IF(ISNUMBER(SEARCH("3",'Procyfloc 4800'!D29)),EDATE(AB3028,3),DATEVALUE('Procyfloc 4800'!D29))))),""))</f>
        <v/>
      </c>
      <c r="AM3028" t="str">
        <f t="shared" ca="1" si="304"/>
        <v/>
      </c>
    </row>
    <row r="3029" spans="27:39" x14ac:dyDescent="0.3">
      <c r="AA3029" t="str">
        <f>IF(COUNTA('Procyfloc 4800'!A30,'Procyfloc 4800'!B30,'Procyfloc 4800'!C30)&gt;0,"4800","")</f>
        <v/>
      </c>
      <c r="AB3029" t="str">
        <f>IFERROR(IF(ISNUMBER('Procyfloc 4800'!A30),'Procyfloc 4800'!A30,DATEVALUE('Procyfloc 4800'!A30)),"")</f>
        <v/>
      </c>
      <c r="AC3029" t="str">
        <f>IF(AA3029="","",'Procyfloc 4800'!B30)</f>
        <v/>
      </c>
      <c r="AD3029" t="str">
        <f>IF(AA3029="","",IFERROR(1*'Procyfloc 4800'!C30,IFERROR(_xludf.NUMBERVALUE('Procyfloc 4800'!C30,".",","),IFERROR(_xludf.NUMBERVALUE('Procyfloc 4800'!C30,",","."),0))))</f>
        <v/>
      </c>
      <c r="AE3029" t="str">
        <f>IF(AA3029="","",'Procyfloc 4800'!J30)</f>
        <v/>
      </c>
      <c r="AF3029">
        <f t="shared" si="299"/>
        <v>0</v>
      </c>
      <c r="AG3029" t="str">
        <f t="shared" si="300"/>
        <v/>
      </c>
      <c r="AH3029" t="str">
        <f t="shared" si="301"/>
        <v/>
      </c>
      <c r="AI3029">
        <f t="shared" si="302"/>
        <v>0</v>
      </c>
      <c r="AJ3029">
        <f t="shared" si="303"/>
        <v>0</v>
      </c>
      <c r="AK3029">
        <v>0</v>
      </c>
      <c r="AL3029" t="str">
        <f>IF(AA3029="","",IFERROR(IF(ISNUMBER('Procyfloc 4800'!D30),'Procyfloc 4800'!D30,IF(ISNUMBER(SEARCH("12",'Procyfloc 4800'!D30)),EDATE(AB3029,12),IF(ISNUMBER(SEARCH("6",'Procyfloc 4800'!D30)),EDATE(AB3029,6),IF(ISNUMBER(SEARCH("3",'Procyfloc 4800'!D30)),EDATE(AB3029,3),DATEVALUE('Procyfloc 4800'!D30))))),""))</f>
        <v/>
      </c>
      <c r="AM3029" t="str">
        <f t="shared" ca="1" si="304"/>
        <v/>
      </c>
    </row>
    <row r="3030" spans="27:39" x14ac:dyDescent="0.3">
      <c r="AA3030" t="str">
        <f>IF(COUNTA('Procyfloc 4800'!A31,'Procyfloc 4800'!B31,'Procyfloc 4800'!C31)&gt;0,"4800","")</f>
        <v/>
      </c>
      <c r="AB3030" t="str">
        <f>IFERROR(IF(ISNUMBER('Procyfloc 4800'!A31),'Procyfloc 4800'!A31,DATEVALUE('Procyfloc 4800'!A31)),"")</f>
        <v/>
      </c>
      <c r="AC3030" t="str">
        <f>IF(AA3030="","",'Procyfloc 4800'!B31)</f>
        <v/>
      </c>
      <c r="AD3030" t="str">
        <f>IF(AA3030="","",IFERROR(1*'Procyfloc 4800'!C31,IFERROR(_xludf.NUMBERVALUE('Procyfloc 4800'!C31,".",","),IFERROR(_xludf.NUMBERVALUE('Procyfloc 4800'!C31,",","."),0))))</f>
        <v/>
      </c>
      <c r="AE3030" t="str">
        <f>IF(AA3030="","",'Procyfloc 4800'!J31)</f>
        <v/>
      </c>
      <c r="AF3030">
        <f t="shared" si="299"/>
        <v>0</v>
      </c>
      <c r="AG3030" t="str">
        <f t="shared" si="300"/>
        <v/>
      </c>
      <c r="AH3030" t="str">
        <f t="shared" si="301"/>
        <v/>
      </c>
      <c r="AI3030">
        <f t="shared" si="302"/>
        <v>0</v>
      </c>
      <c r="AJ3030">
        <f t="shared" si="303"/>
        <v>0</v>
      </c>
      <c r="AK3030">
        <v>0</v>
      </c>
      <c r="AL3030" t="str">
        <f>IF(AA3030="","",IFERROR(IF(ISNUMBER('Procyfloc 4800'!D31),'Procyfloc 4800'!D31,IF(ISNUMBER(SEARCH("12",'Procyfloc 4800'!D31)),EDATE(AB3030,12),IF(ISNUMBER(SEARCH("6",'Procyfloc 4800'!D31)),EDATE(AB3030,6),IF(ISNUMBER(SEARCH("3",'Procyfloc 4800'!D31)),EDATE(AB3030,3),DATEVALUE('Procyfloc 4800'!D31))))),""))</f>
        <v/>
      </c>
      <c r="AM3030" t="str">
        <f t="shared" ca="1" si="304"/>
        <v/>
      </c>
    </row>
    <row r="3031" spans="27:39" x14ac:dyDescent="0.3">
      <c r="AA3031" t="str">
        <f>IF(COUNTA('Procyfloc 4800'!A32,'Procyfloc 4800'!B32,'Procyfloc 4800'!C32)&gt;0,"4800","")</f>
        <v/>
      </c>
      <c r="AB3031" t="str">
        <f>IFERROR(IF(ISNUMBER('Procyfloc 4800'!A32),'Procyfloc 4800'!A32,DATEVALUE('Procyfloc 4800'!A32)),"")</f>
        <v/>
      </c>
      <c r="AC3031" t="str">
        <f>IF(AA3031="","",'Procyfloc 4800'!B32)</f>
        <v/>
      </c>
      <c r="AD3031" t="str">
        <f>IF(AA3031="","",IFERROR(1*'Procyfloc 4800'!C32,IFERROR(_xludf.NUMBERVALUE('Procyfloc 4800'!C32,".",","),IFERROR(_xludf.NUMBERVALUE('Procyfloc 4800'!C32,",","."),0))))</f>
        <v/>
      </c>
      <c r="AE3031" t="str">
        <f>IF(AA3031="","",'Procyfloc 4800'!J32)</f>
        <v/>
      </c>
      <c r="AF3031">
        <f t="shared" si="299"/>
        <v>0</v>
      </c>
      <c r="AG3031" t="str">
        <f t="shared" si="300"/>
        <v/>
      </c>
      <c r="AH3031" t="str">
        <f t="shared" si="301"/>
        <v/>
      </c>
      <c r="AI3031">
        <f t="shared" si="302"/>
        <v>0</v>
      </c>
      <c r="AJ3031">
        <f t="shared" si="303"/>
        <v>0</v>
      </c>
      <c r="AK3031">
        <v>0</v>
      </c>
      <c r="AL3031" t="str">
        <f>IF(AA3031="","",IFERROR(IF(ISNUMBER('Procyfloc 4800'!D32),'Procyfloc 4800'!D32,IF(ISNUMBER(SEARCH("12",'Procyfloc 4800'!D32)),EDATE(AB3031,12),IF(ISNUMBER(SEARCH("6",'Procyfloc 4800'!D32)),EDATE(AB3031,6),IF(ISNUMBER(SEARCH("3",'Procyfloc 4800'!D32)),EDATE(AB3031,3),DATEVALUE('Procyfloc 4800'!D32))))),""))</f>
        <v/>
      </c>
      <c r="AM3031" t="str">
        <f t="shared" ca="1" si="304"/>
        <v/>
      </c>
    </row>
    <row r="3032" spans="27:39" x14ac:dyDescent="0.3">
      <c r="AA3032" t="str">
        <f>IF(COUNTA('Procyfloc 4800'!A33,'Procyfloc 4800'!B33,'Procyfloc 4800'!C33)&gt;0,"4800","")</f>
        <v/>
      </c>
      <c r="AB3032" t="str">
        <f>IFERROR(IF(ISNUMBER('Procyfloc 4800'!A33),'Procyfloc 4800'!A33,DATEVALUE('Procyfloc 4800'!A33)),"")</f>
        <v/>
      </c>
      <c r="AC3032" t="str">
        <f>IF(AA3032="","",'Procyfloc 4800'!B33)</f>
        <v/>
      </c>
      <c r="AD3032" t="str">
        <f>IF(AA3032="","",IFERROR(1*'Procyfloc 4800'!C33,IFERROR(_xludf.NUMBERVALUE('Procyfloc 4800'!C33,".",","),IFERROR(_xludf.NUMBERVALUE('Procyfloc 4800'!C33,",","."),0))))</f>
        <v/>
      </c>
      <c r="AE3032" t="str">
        <f>IF(AA3032="","",'Procyfloc 4800'!J33)</f>
        <v/>
      </c>
      <c r="AF3032">
        <f t="shared" si="299"/>
        <v>0</v>
      </c>
      <c r="AG3032" t="str">
        <f t="shared" si="300"/>
        <v/>
      </c>
      <c r="AH3032" t="str">
        <f t="shared" si="301"/>
        <v/>
      </c>
      <c r="AI3032">
        <f t="shared" si="302"/>
        <v>0</v>
      </c>
      <c r="AJ3032">
        <f t="shared" si="303"/>
        <v>0</v>
      </c>
      <c r="AK3032">
        <v>0</v>
      </c>
      <c r="AL3032" t="str">
        <f>IF(AA3032="","",IFERROR(IF(ISNUMBER('Procyfloc 4800'!D33),'Procyfloc 4800'!D33,IF(ISNUMBER(SEARCH("12",'Procyfloc 4800'!D33)),EDATE(AB3032,12),IF(ISNUMBER(SEARCH("6",'Procyfloc 4800'!D33)),EDATE(AB3032,6),IF(ISNUMBER(SEARCH("3",'Procyfloc 4800'!D33)),EDATE(AB3032,3),DATEVALUE('Procyfloc 4800'!D33))))),""))</f>
        <v/>
      </c>
      <c r="AM3032" t="str">
        <f t="shared" ca="1" si="304"/>
        <v/>
      </c>
    </row>
    <row r="3033" spans="27:39" x14ac:dyDescent="0.3">
      <c r="AA3033" t="str">
        <f>IF(COUNTA('Procyfloc 4800'!A34,'Procyfloc 4800'!B34,'Procyfloc 4800'!C34)&gt;0,"4800","")</f>
        <v/>
      </c>
      <c r="AB3033" t="str">
        <f>IFERROR(IF(ISNUMBER('Procyfloc 4800'!A34),'Procyfloc 4800'!A34,DATEVALUE('Procyfloc 4800'!A34)),"")</f>
        <v/>
      </c>
      <c r="AC3033" t="str">
        <f>IF(AA3033="","",'Procyfloc 4800'!B34)</f>
        <v/>
      </c>
      <c r="AD3033" t="str">
        <f>IF(AA3033="","",IFERROR(1*'Procyfloc 4800'!C34,IFERROR(_xludf.NUMBERVALUE('Procyfloc 4800'!C34,".",","),IFERROR(_xludf.NUMBERVALUE('Procyfloc 4800'!C34,",","."),0))))</f>
        <v/>
      </c>
      <c r="AE3033" t="str">
        <f>IF(AA3033="","",'Procyfloc 4800'!J34)</f>
        <v/>
      </c>
      <c r="AF3033">
        <f t="shared" si="299"/>
        <v>0</v>
      </c>
      <c r="AG3033" t="str">
        <f t="shared" si="300"/>
        <v/>
      </c>
      <c r="AH3033" t="str">
        <f t="shared" si="301"/>
        <v/>
      </c>
      <c r="AI3033">
        <f t="shared" si="302"/>
        <v>0</v>
      </c>
      <c r="AJ3033">
        <f t="shared" si="303"/>
        <v>0</v>
      </c>
      <c r="AK3033">
        <v>0</v>
      </c>
      <c r="AL3033" t="str">
        <f>IF(AA3033="","",IFERROR(IF(ISNUMBER('Procyfloc 4800'!D34),'Procyfloc 4800'!D34,IF(ISNUMBER(SEARCH("12",'Procyfloc 4800'!D34)),EDATE(AB3033,12),IF(ISNUMBER(SEARCH("6",'Procyfloc 4800'!D34)),EDATE(AB3033,6),IF(ISNUMBER(SEARCH("3",'Procyfloc 4800'!D34)),EDATE(AB3033,3),DATEVALUE('Procyfloc 4800'!D34))))),""))</f>
        <v/>
      </c>
      <c r="AM3033" t="str">
        <f t="shared" ca="1" si="304"/>
        <v/>
      </c>
    </row>
    <row r="3034" spans="27:39" x14ac:dyDescent="0.3">
      <c r="AA3034" t="str">
        <f>IF(COUNTA('Procyfloc 4800'!A35,'Procyfloc 4800'!B35,'Procyfloc 4800'!C35)&gt;0,"4800","")</f>
        <v/>
      </c>
      <c r="AB3034" t="str">
        <f>IFERROR(IF(ISNUMBER('Procyfloc 4800'!A35),'Procyfloc 4800'!A35,DATEVALUE('Procyfloc 4800'!A35)),"")</f>
        <v/>
      </c>
      <c r="AC3034" t="str">
        <f>IF(AA3034="","",'Procyfloc 4800'!B35)</f>
        <v/>
      </c>
      <c r="AD3034" t="str">
        <f>IF(AA3034="","",IFERROR(1*'Procyfloc 4800'!C35,IFERROR(_xludf.NUMBERVALUE('Procyfloc 4800'!C35,".",","),IFERROR(_xludf.NUMBERVALUE('Procyfloc 4800'!C35,",","."),0))))</f>
        <v/>
      </c>
      <c r="AE3034" t="str">
        <f>IF(AA3034="","",'Procyfloc 4800'!J35)</f>
        <v/>
      </c>
      <c r="AF3034">
        <f t="shared" si="299"/>
        <v>0</v>
      </c>
      <c r="AG3034" t="str">
        <f t="shared" si="300"/>
        <v/>
      </c>
      <c r="AH3034" t="str">
        <f t="shared" si="301"/>
        <v/>
      </c>
      <c r="AI3034">
        <f t="shared" si="302"/>
        <v>0</v>
      </c>
      <c r="AJ3034">
        <f t="shared" si="303"/>
        <v>0</v>
      </c>
      <c r="AK3034">
        <v>0</v>
      </c>
      <c r="AL3034" t="str">
        <f>IF(AA3034="","",IFERROR(IF(ISNUMBER('Procyfloc 4800'!D35),'Procyfloc 4800'!D35,IF(ISNUMBER(SEARCH("12",'Procyfloc 4800'!D35)),EDATE(AB3034,12),IF(ISNUMBER(SEARCH("6",'Procyfloc 4800'!D35)),EDATE(AB3034,6),IF(ISNUMBER(SEARCH("3",'Procyfloc 4800'!D35)),EDATE(AB3034,3),DATEVALUE('Procyfloc 4800'!D35))))),""))</f>
        <v/>
      </c>
      <c r="AM3034" t="str">
        <f t="shared" ca="1" si="304"/>
        <v/>
      </c>
    </row>
    <row r="3035" spans="27:39" x14ac:dyDescent="0.3">
      <c r="AA3035" t="str">
        <f>IF(COUNTA('Procyfloc 4800'!A36,'Procyfloc 4800'!B36,'Procyfloc 4800'!C36)&gt;0,"4800","")</f>
        <v/>
      </c>
      <c r="AB3035" t="str">
        <f>IFERROR(IF(ISNUMBER('Procyfloc 4800'!A36),'Procyfloc 4800'!A36,DATEVALUE('Procyfloc 4800'!A36)),"")</f>
        <v/>
      </c>
      <c r="AC3035" t="str">
        <f>IF(AA3035="","",'Procyfloc 4800'!B36)</f>
        <v/>
      </c>
      <c r="AD3035" t="str">
        <f>IF(AA3035="","",IFERROR(1*'Procyfloc 4800'!C36,IFERROR(_xludf.NUMBERVALUE('Procyfloc 4800'!C36,".",","),IFERROR(_xludf.NUMBERVALUE('Procyfloc 4800'!C36,",","."),0))))</f>
        <v/>
      </c>
      <c r="AE3035" t="str">
        <f>IF(AA3035="","",'Procyfloc 4800'!J36)</f>
        <v/>
      </c>
      <c r="AF3035">
        <f t="shared" si="299"/>
        <v>0</v>
      </c>
      <c r="AG3035" t="str">
        <f t="shared" si="300"/>
        <v/>
      </c>
      <c r="AH3035" t="str">
        <f t="shared" si="301"/>
        <v/>
      </c>
      <c r="AI3035">
        <f t="shared" si="302"/>
        <v>0</v>
      </c>
      <c r="AJ3035">
        <f t="shared" si="303"/>
        <v>0</v>
      </c>
      <c r="AK3035">
        <v>0</v>
      </c>
      <c r="AL3035" t="str">
        <f>IF(AA3035="","",IFERROR(IF(ISNUMBER('Procyfloc 4800'!D36),'Procyfloc 4800'!D36,IF(ISNUMBER(SEARCH("12",'Procyfloc 4800'!D36)),EDATE(AB3035,12),IF(ISNUMBER(SEARCH("6",'Procyfloc 4800'!D36)),EDATE(AB3035,6),IF(ISNUMBER(SEARCH("3",'Procyfloc 4800'!D36)),EDATE(AB3035,3),DATEVALUE('Procyfloc 4800'!D36))))),""))</f>
        <v/>
      </c>
      <c r="AM3035" t="str">
        <f t="shared" ca="1" si="304"/>
        <v/>
      </c>
    </row>
    <row r="3036" spans="27:39" x14ac:dyDescent="0.3">
      <c r="AA3036" t="str">
        <f>IF(COUNTA('Procyfloc 4800'!A37,'Procyfloc 4800'!B37,'Procyfloc 4800'!C37)&gt;0,"4800","")</f>
        <v/>
      </c>
      <c r="AB3036" t="str">
        <f>IFERROR(IF(ISNUMBER('Procyfloc 4800'!A37),'Procyfloc 4800'!A37,DATEVALUE('Procyfloc 4800'!A37)),"")</f>
        <v/>
      </c>
      <c r="AC3036" t="str">
        <f>IF(AA3036="","",'Procyfloc 4800'!B37)</f>
        <v/>
      </c>
      <c r="AD3036" t="str">
        <f>IF(AA3036="","",IFERROR(1*'Procyfloc 4800'!C37,IFERROR(_xludf.NUMBERVALUE('Procyfloc 4800'!C37,".",","),IFERROR(_xludf.NUMBERVALUE('Procyfloc 4800'!C37,",","."),0))))</f>
        <v/>
      </c>
      <c r="AE3036" t="str">
        <f>IF(AA3036="","",'Procyfloc 4800'!J37)</f>
        <v/>
      </c>
      <c r="AF3036">
        <f t="shared" si="299"/>
        <v>0</v>
      </c>
      <c r="AG3036" t="str">
        <f t="shared" si="300"/>
        <v/>
      </c>
      <c r="AH3036" t="str">
        <f t="shared" si="301"/>
        <v/>
      </c>
      <c r="AI3036">
        <f t="shared" si="302"/>
        <v>0</v>
      </c>
      <c r="AJ3036">
        <f t="shared" si="303"/>
        <v>0</v>
      </c>
      <c r="AK3036">
        <v>0</v>
      </c>
      <c r="AL3036" t="str">
        <f>IF(AA3036="","",IFERROR(IF(ISNUMBER('Procyfloc 4800'!D37),'Procyfloc 4800'!D37,IF(ISNUMBER(SEARCH("12",'Procyfloc 4800'!D37)),EDATE(AB3036,12),IF(ISNUMBER(SEARCH("6",'Procyfloc 4800'!D37)),EDATE(AB3036,6),IF(ISNUMBER(SEARCH("3",'Procyfloc 4800'!D37)),EDATE(AB3036,3),DATEVALUE('Procyfloc 4800'!D37))))),""))</f>
        <v/>
      </c>
      <c r="AM3036" t="str">
        <f t="shared" ca="1" si="304"/>
        <v/>
      </c>
    </row>
    <row r="3037" spans="27:39" x14ac:dyDescent="0.3">
      <c r="AA3037" t="str">
        <f>IF(COUNTA('Procyfloc 4800'!A38,'Procyfloc 4800'!B38,'Procyfloc 4800'!C38)&gt;0,"4800","")</f>
        <v/>
      </c>
      <c r="AB3037" t="str">
        <f>IFERROR(IF(ISNUMBER('Procyfloc 4800'!A38),'Procyfloc 4800'!A38,DATEVALUE('Procyfloc 4800'!A38)),"")</f>
        <v/>
      </c>
      <c r="AC3037" t="str">
        <f>IF(AA3037="","",'Procyfloc 4800'!B38)</f>
        <v/>
      </c>
      <c r="AD3037" t="str">
        <f>IF(AA3037="","",IFERROR(1*'Procyfloc 4800'!C38,IFERROR(_xludf.NUMBERVALUE('Procyfloc 4800'!C38,".",","),IFERROR(_xludf.NUMBERVALUE('Procyfloc 4800'!C38,",","."),0))))</f>
        <v/>
      </c>
      <c r="AE3037" t="str">
        <f>IF(AA3037="","",'Procyfloc 4800'!J38)</f>
        <v/>
      </c>
      <c r="AF3037">
        <f t="shared" si="299"/>
        <v>0</v>
      </c>
      <c r="AG3037" t="str">
        <f t="shared" si="300"/>
        <v/>
      </c>
      <c r="AH3037" t="str">
        <f t="shared" si="301"/>
        <v/>
      </c>
      <c r="AI3037">
        <f t="shared" si="302"/>
        <v>0</v>
      </c>
      <c r="AJ3037">
        <f t="shared" si="303"/>
        <v>0</v>
      </c>
      <c r="AK3037">
        <v>0</v>
      </c>
      <c r="AL3037" t="str">
        <f>IF(AA3037="","",IFERROR(IF(ISNUMBER('Procyfloc 4800'!D38),'Procyfloc 4800'!D38,IF(ISNUMBER(SEARCH("12",'Procyfloc 4800'!D38)),EDATE(AB3037,12),IF(ISNUMBER(SEARCH("6",'Procyfloc 4800'!D38)),EDATE(AB3037,6),IF(ISNUMBER(SEARCH("3",'Procyfloc 4800'!D38)),EDATE(AB3037,3),DATEVALUE('Procyfloc 4800'!D38))))),""))</f>
        <v/>
      </c>
      <c r="AM3037" t="str">
        <f t="shared" ca="1" si="304"/>
        <v/>
      </c>
    </row>
    <row r="3038" spans="27:39" x14ac:dyDescent="0.3">
      <c r="AA3038" t="str">
        <f>IF(COUNTA('Procyfloc 4800'!A39,'Procyfloc 4800'!B39,'Procyfloc 4800'!C39)&gt;0,"4800","")</f>
        <v/>
      </c>
      <c r="AB3038" t="str">
        <f>IFERROR(IF(ISNUMBER('Procyfloc 4800'!A39),'Procyfloc 4800'!A39,DATEVALUE('Procyfloc 4800'!A39)),"")</f>
        <v/>
      </c>
      <c r="AC3038" t="str">
        <f>IF(AA3038="","",'Procyfloc 4800'!B39)</f>
        <v/>
      </c>
      <c r="AD3038" t="str">
        <f>IF(AA3038="","",IFERROR(1*'Procyfloc 4800'!C39,IFERROR(_xludf.NUMBERVALUE('Procyfloc 4800'!C39,".",","),IFERROR(_xludf.NUMBERVALUE('Procyfloc 4800'!C39,",","."),0))))</f>
        <v/>
      </c>
      <c r="AE3038" t="str">
        <f>IF(AA3038="","",'Procyfloc 4800'!J39)</f>
        <v/>
      </c>
      <c r="AF3038">
        <f t="shared" si="299"/>
        <v>0</v>
      </c>
      <c r="AG3038" t="str">
        <f t="shared" si="300"/>
        <v/>
      </c>
      <c r="AH3038" t="str">
        <f t="shared" si="301"/>
        <v/>
      </c>
      <c r="AI3038">
        <f t="shared" si="302"/>
        <v>0</v>
      </c>
      <c r="AJ3038">
        <f t="shared" si="303"/>
        <v>0</v>
      </c>
      <c r="AK3038">
        <v>0</v>
      </c>
      <c r="AL3038" t="str">
        <f>IF(AA3038="","",IFERROR(IF(ISNUMBER('Procyfloc 4800'!D39),'Procyfloc 4800'!D39,IF(ISNUMBER(SEARCH("12",'Procyfloc 4800'!D39)),EDATE(AB3038,12),IF(ISNUMBER(SEARCH("6",'Procyfloc 4800'!D39)),EDATE(AB3038,6),IF(ISNUMBER(SEARCH("3",'Procyfloc 4800'!D39)),EDATE(AB3038,3),DATEVALUE('Procyfloc 4800'!D39))))),""))</f>
        <v/>
      </c>
      <c r="AM3038" t="str">
        <f t="shared" ca="1" si="304"/>
        <v/>
      </c>
    </row>
    <row r="3039" spans="27:39" x14ac:dyDescent="0.3">
      <c r="AA3039" t="str">
        <f>IF(COUNTA('Procyfloc 4800'!A40,'Procyfloc 4800'!B40,'Procyfloc 4800'!C40)&gt;0,"4800","")</f>
        <v/>
      </c>
      <c r="AB3039" t="str">
        <f>IFERROR(IF(ISNUMBER('Procyfloc 4800'!A40),'Procyfloc 4800'!A40,DATEVALUE('Procyfloc 4800'!A40)),"")</f>
        <v/>
      </c>
      <c r="AC3039" t="str">
        <f>IF(AA3039="","",'Procyfloc 4800'!B40)</f>
        <v/>
      </c>
      <c r="AD3039" t="str">
        <f>IF(AA3039="","",IFERROR(1*'Procyfloc 4800'!C40,IFERROR(_xludf.NUMBERVALUE('Procyfloc 4800'!C40,".",","),IFERROR(_xludf.NUMBERVALUE('Procyfloc 4800'!C40,",","."),0))))</f>
        <v/>
      </c>
      <c r="AE3039" t="str">
        <f>IF(AA3039="","",'Procyfloc 4800'!J40)</f>
        <v/>
      </c>
      <c r="AF3039">
        <f t="shared" si="299"/>
        <v>0</v>
      </c>
      <c r="AG3039" t="str">
        <f t="shared" si="300"/>
        <v/>
      </c>
      <c r="AH3039" t="str">
        <f t="shared" si="301"/>
        <v/>
      </c>
      <c r="AI3039">
        <f t="shared" si="302"/>
        <v>0</v>
      </c>
      <c r="AJ3039">
        <f t="shared" si="303"/>
        <v>0</v>
      </c>
      <c r="AK3039">
        <v>0</v>
      </c>
      <c r="AL3039" t="str">
        <f>IF(AA3039="","",IFERROR(IF(ISNUMBER('Procyfloc 4800'!D40),'Procyfloc 4800'!D40,IF(ISNUMBER(SEARCH("12",'Procyfloc 4800'!D40)),EDATE(AB3039,12),IF(ISNUMBER(SEARCH("6",'Procyfloc 4800'!D40)),EDATE(AB3039,6),IF(ISNUMBER(SEARCH("3",'Procyfloc 4800'!D40)),EDATE(AB3039,3),DATEVALUE('Procyfloc 4800'!D40))))),""))</f>
        <v/>
      </c>
      <c r="AM3039" t="str">
        <f t="shared" ca="1" si="304"/>
        <v/>
      </c>
    </row>
    <row r="3040" spans="27:39" x14ac:dyDescent="0.3">
      <c r="AA3040" t="str">
        <f>IF(COUNTA('Procyfloc 4800'!A41,'Procyfloc 4800'!B41,'Procyfloc 4800'!C41)&gt;0,"4800","")</f>
        <v/>
      </c>
      <c r="AB3040" t="str">
        <f>IFERROR(IF(ISNUMBER('Procyfloc 4800'!A41),'Procyfloc 4800'!A41,DATEVALUE('Procyfloc 4800'!A41)),"")</f>
        <v/>
      </c>
      <c r="AC3040" t="str">
        <f>IF(AA3040="","",'Procyfloc 4800'!B41)</f>
        <v/>
      </c>
      <c r="AD3040" t="str">
        <f>IF(AA3040="","",IFERROR(1*'Procyfloc 4800'!C41,IFERROR(_xludf.NUMBERVALUE('Procyfloc 4800'!C41,".",","),IFERROR(_xludf.NUMBERVALUE('Procyfloc 4800'!C41,",","."),0))))</f>
        <v/>
      </c>
      <c r="AE3040" t="str">
        <f>IF(AA3040="","",'Procyfloc 4800'!J41)</f>
        <v/>
      </c>
      <c r="AF3040">
        <f t="shared" si="299"/>
        <v>0</v>
      </c>
      <c r="AG3040" t="str">
        <f t="shared" si="300"/>
        <v/>
      </c>
      <c r="AH3040" t="str">
        <f t="shared" si="301"/>
        <v/>
      </c>
      <c r="AI3040">
        <f t="shared" si="302"/>
        <v>0</v>
      </c>
      <c r="AJ3040">
        <f t="shared" si="303"/>
        <v>0</v>
      </c>
      <c r="AK3040">
        <v>0</v>
      </c>
      <c r="AL3040" t="str">
        <f>IF(AA3040="","",IFERROR(IF(ISNUMBER('Procyfloc 4800'!D41),'Procyfloc 4800'!D41,IF(ISNUMBER(SEARCH("12",'Procyfloc 4800'!D41)),EDATE(AB3040,12),IF(ISNUMBER(SEARCH("6",'Procyfloc 4800'!D41)),EDATE(AB3040,6),IF(ISNUMBER(SEARCH("3",'Procyfloc 4800'!D41)),EDATE(AB3040,3),DATEVALUE('Procyfloc 4800'!D41))))),""))</f>
        <v/>
      </c>
      <c r="AM3040" t="str">
        <f t="shared" ca="1" si="304"/>
        <v/>
      </c>
    </row>
    <row r="3041" spans="27:39" x14ac:dyDescent="0.3">
      <c r="AA3041" t="str">
        <f>IF(COUNTA('Procyfloc 4800'!A42,'Procyfloc 4800'!B42,'Procyfloc 4800'!C42)&gt;0,"4800","")</f>
        <v/>
      </c>
      <c r="AB3041" t="str">
        <f>IFERROR(IF(ISNUMBER('Procyfloc 4800'!A42),'Procyfloc 4800'!A42,DATEVALUE('Procyfloc 4800'!A42)),"")</f>
        <v/>
      </c>
      <c r="AC3041" t="str">
        <f>IF(AA3041="","",'Procyfloc 4800'!B42)</f>
        <v/>
      </c>
      <c r="AD3041" t="str">
        <f>IF(AA3041="","",IFERROR(1*'Procyfloc 4800'!C42,IFERROR(_xludf.NUMBERVALUE('Procyfloc 4800'!C42,".",","),IFERROR(_xludf.NUMBERVALUE('Procyfloc 4800'!C42,",","."),0))))</f>
        <v/>
      </c>
      <c r="AE3041" t="str">
        <f>IF(AA3041="","",'Procyfloc 4800'!J42)</f>
        <v/>
      </c>
      <c r="AF3041">
        <f t="shared" si="299"/>
        <v>0</v>
      </c>
      <c r="AG3041" t="str">
        <f t="shared" si="300"/>
        <v/>
      </c>
      <c r="AH3041" t="str">
        <f t="shared" si="301"/>
        <v/>
      </c>
      <c r="AI3041">
        <f t="shared" si="302"/>
        <v>0</v>
      </c>
      <c r="AJ3041">
        <f t="shared" si="303"/>
        <v>0</v>
      </c>
      <c r="AK3041">
        <v>0</v>
      </c>
      <c r="AL3041" t="str">
        <f>IF(AA3041="","",IFERROR(IF(ISNUMBER('Procyfloc 4800'!D42),'Procyfloc 4800'!D42,IF(ISNUMBER(SEARCH("12",'Procyfloc 4800'!D42)),EDATE(AB3041,12),IF(ISNUMBER(SEARCH("6",'Procyfloc 4800'!D42)),EDATE(AB3041,6),IF(ISNUMBER(SEARCH("3",'Procyfloc 4800'!D42)),EDATE(AB3041,3),DATEVALUE('Procyfloc 4800'!D42))))),""))</f>
        <v/>
      </c>
      <c r="AM3041" t="str">
        <f t="shared" ca="1" si="304"/>
        <v/>
      </c>
    </row>
    <row r="3042" spans="27:39" x14ac:dyDescent="0.3">
      <c r="AA3042" t="str">
        <f>IF(COUNTA('Procyfloc 4800'!A43,'Procyfloc 4800'!B43,'Procyfloc 4800'!C43)&gt;0,"4800","")</f>
        <v/>
      </c>
      <c r="AB3042" t="str">
        <f>IFERROR(IF(ISNUMBER('Procyfloc 4800'!A43),'Procyfloc 4800'!A43,DATEVALUE('Procyfloc 4800'!A43)),"")</f>
        <v/>
      </c>
      <c r="AC3042" t="str">
        <f>IF(AA3042="","",'Procyfloc 4800'!B43)</f>
        <v/>
      </c>
      <c r="AD3042" t="str">
        <f>IF(AA3042="","",IFERROR(1*'Procyfloc 4800'!C43,IFERROR(_xludf.NUMBERVALUE('Procyfloc 4800'!C43,".",","),IFERROR(_xludf.NUMBERVALUE('Procyfloc 4800'!C43,",","."),0))))</f>
        <v/>
      </c>
      <c r="AE3042" t="str">
        <f>IF(AA3042="","",'Procyfloc 4800'!J43)</f>
        <v/>
      </c>
      <c r="AF3042">
        <f t="shared" si="299"/>
        <v>0</v>
      </c>
      <c r="AG3042" t="str">
        <f t="shared" si="300"/>
        <v/>
      </c>
      <c r="AH3042" t="str">
        <f t="shared" si="301"/>
        <v/>
      </c>
      <c r="AI3042">
        <f t="shared" si="302"/>
        <v>0</v>
      </c>
      <c r="AJ3042">
        <f t="shared" si="303"/>
        <v>0</v>
      </c>
      <c r="AK3042">
        <v>0</v>
      </c>
      <c r="AL3042" t="str">
        <f>IF(AA3042="","",IFERROR(IF(ISNUMBER('Procyfloc 4800'!D43),'Procyfloc 4800'!D43,IF(ISNUMBER(SEARCH("12",'Procyfloc 4800'!D43)),EDATE(AB3042,12),IF(ISNUMBER(SEARCH("6",'Procyfloc 4800'!D43)),EDATE(AB3042,6),IF(ISNUMBER(SEARCH("3",'Procyfloc 4800'!D43)),EDATE(AB3042,3),DATEVALUE('Procyfloc 4800'!D43))))),""))</f>
        <v/>
      </c>
      <c r="AM3042" t="str">
        <f t="shared" ca="1" si="304"/>
        <v/>
      </c>
    </row>
    <row r="3043" spans="27:39" x14ac:dyDescent="0.3">
      <c r="AA3043" t="str">
        <f>IF(COUNTA('Procyfloc 4800'!A44,'Procyfloc 4800'!B44,'Procyfloc 4800'!C44)&gt;0,"4800","")</f>
        <v/>
      </c>
      <c r="AB3043" t="str">
        <f>IFERROR(IF(ISNUMBER('Procyfloc 4800'!A44),'Procyfloc 4800'!A44,DATEVALUE('Procyfloc 4800'!A44)),"")</f>
        <v/>
      </c>
      <c r="AC3043" t="str">
        <f>IF(AA3043="","",'Procyfloc 4800'!B44)</f>
        <v/>
      </c>
      <c r="AD3043" t="str">
        <f>IF(AA3043="","",IFERROR(1*'Procyfloc 4800'!C44,IFERROR(_xludf.NUMBERVALUE('Procyfloc 4800'!C44,".",","),IFERROR(_xludf.NUMBERVALUE('Procyfloc 4800'!C44,",","."),0))))</f>
        <v/>
      </c>
      <c r="AE3043" t="str">
        <f>IF(AA3043="","",'Procyfloc 4800'!J44)</f>
        <v/>
      </c>
      <c r="AF3043">
        <f t="shared" si="299"/>
        <v>0</v>
      </c>
      <c r="AG3043" t="str">
        <f t="shared" si="300"/>
        <v/>
      </c>
      <c r="AH3043" t="str">
        <f t="shared" si="301"/>
        <v/>
      </c>
      <c r="AI3043">
        <f t="shared" si="302"/>
        <v>0</v>
      </c>
      <c r="AJ3043">
        <f t="shared" si="303"/>
        <v>0</v>
      </c>
      <c r="AK3043">
        <v>0</v>
      </c>
      <c r="AL3043" t="str">
        <f>IF(AA3043="","",IFERROR(IF(ISNUMBER('Procyfloc 4800'!D44),'Procyfloc 4800'!D44,IF(ISNUMBER(SEARCH("12",'Procyfloc 4800'!D44)),EDATE(AB3043,12),IF(ISNUMBER(SEARCH("6",'Procyfloc 4800'!D44)),EDATE(AB3043,6),IF(ISNUMBER(SEARCH("3",'Procyfloc 4800'!D44)),EDATE(AB3043,3),DATEVALUE('Procyfloc 4800'!D44))))),""))</f>
        <v/>
      </c>
      <c r="AM3043" t="str">
        <f t="shared" ca="1" si="304"/>
        <v/>
      </c>
    </row>
    <row r="3044" spans="27:39" x14ac:dyDescent="0.3">
      <c r="AA3044" t="str">
        <f>IF(COUNTA('Procyfloc 4800'!A45,'Procyfloc 4800'!B45,'Procyfloc 4800'!C45)&gt;0,"4800","")</f>
        <v/>
      </c>
      <c r="AB3044" t="str">
        <f>IFERROR(IF(ISNUMBER('Procyfloc 4800'!A45),'Procyfloc 4800'!A45,DATEVALUE('Procyfloc 4800'!A45)),"")</f>
        <v/>
      </c>
      <c r="AC3044" t="str">
        <f>IF(AA3044="","",'Procyfloc 4800'!B45)</f>
        <v/>
      </c>
      <c r="AD3044" t="str">
        <f>IF(AA3044="","",IFERROR(1*'Procyfloc 4800'!C45,IFERROR(_xludf.NUMBERVALUE('Procyfloc 4800'!C45,".",","),IFERROR(_xludf.NUMBERVALUE('Procyfloc 4800'!C45,",","."),0))))</f>
        <v/>
      </c>
      <c r="AE3044" t="str">
        <f>IF(AA3044="","",'Procyfloc 4800'!J45)</f>
        <v/>
      </c>
      <c r="AF3044">
        <f t="shared" si="299"/>
        <v>0</v>
      </c>
      <c r="AG3044" t="str">
        <f t="shared" si="300"/>
        <v/>
      </c>
      <c r="AH3044" t="str">
        <f t="shared" si="301"/>
        <v/>
      </c>
      <c r="AI3044">
        <f t="shared" si="302"/>
        <v>0</v>
      </c>
      <c r="AJ3044">
        <f t="shared" si="303"/>
        <v>0</v>
      </c>
      <c r="AK3044">
        <v>0</v>
      </c>
      <c r="AL3044" t="str">
        <f>IF(AA3044="","",IFERROR(IF(ISNUMBER('Procyfloc 4800'!D45),'Procyfloc 4800'!D45,IF(ISNUMBER(SEARCH("12",'Procyfloc 4800'!D45)),EDATE(AB3044,12),IF(ISNUMBER(SEARCH("6",'Procyfloc 4800'!D45)),EDATE(AB3044,6),IF(ISNUMBER(SEARCH("3",'Procyfloc 4800'!D45)),EDATE(AB3044,3),DATEVALUE('Procyfloc 4800'!D45))))),""))</f>
        <v/>
      </c>
      <c r="AM3044" t="str">
        <f t="shared" ca="1" si="304"/>
        <v/>
      </c>
    </row>
    <row r="3045" spans="27:39" x14ac:dyDescent="0.3">
      <c r="AA3045" t="str">
        <f>IF(COUNTA('Procyfloc 4800'!A46,'Procyfloc 4800'!B46,'Procyfloc 4800'!C46)&gt;0,"4800","")</f>
        <v/>
      </c>
      <c r="AB3045" t="str">
        <f>IFERROR(IF(ISNUMBER('Procyfloc 4800'!A46),'Procyfloc 4800'!A46,DATEVALUE('Procyfloc 4800'!A46)),"")</f>
        <v/>
      </c>
      <c r="AC3045" t="str">
        <f>IF(AA3045="","",'Procyfloc 4800'!B46)</f>
        <v/>
      </c>
      <c r="AD3045" t="str">
        <f>IF(AA3045="","",IFERROR(1*'Procyfloc 4800'!C46,IFERROR(_xludf.NUMBERVALUE('Procyfloc 4800'!C46,".",","),IFERROR(_xludf.NUMBERVALUE('Procyfloc 4800'!C46,",","."),0))))</f>
        <v/>
      </c>
      <c r="AE3045" t="str">
        <f>IF(AA3045="","",'Procyfloc 4800'!J46)</f>
        <v/>
      </c>
      <c r="AF3045">
        <f t="shared" si="299"/>
        <v>0</v>
      </c>
      <c r="AG3045" t="str">
        <f t="shared" si="300"/>
        <v/>
      </c>
      <c r="AH3045" t="str">
        <f t="shared" si="301"/>
        <v/>
      </c>
      <c r="AI3045">
        <f t="shared" si="302"/>
        <v>0</v>
      </c>
      <c r="AJ3045">
        <f t="shared" si="303"/>
        <v>0</v>
      </c>
      <c r="AK3045">
        <v>0</v>
      </c>
      <c r="AL3045" t="str">
        <f>IF(AA3045="","",IFERROR(IF(ISNUMBER('Procyfloc 4800'!D46),'Procyfloc 4800'!D46,IF(ISNUMBER(SEARCH("12",'Procyfloc 4800'!D46)),EDATE(AB3045,12),IF(ISNUMBER(SEARCH("6",'Procyfloc 4800'!D46)),EDATE(AB3045,6),IF(ISNUMBER(SEARCH("3",'Procyfloc 4800'!D46)),EDATE(AB3045,3),DATEVALUE('Procyfloc 4800'!D46))))),""))</f>
        <v/>
      </c>
      <c r="AM3045" t="str">
        <f t="shared" ca="1" si="304"/>
        <v/>
      </c>
    </row>
    <row r="3046" spans="27:39" x14ac:dyDescent="0.3">
      <c r="AA3046" t="str">
        <f>IF(COUNTA('Procyfloc 4800'!A47,'Procyfloc 4800'!B47,'Procyfloc 4800'!C47)&gt;0,"4800","")</f>
        <v/>
      </c>
      <c r="AB3046" t="str">
        <f>IFERROR(IF(ISNUMBER('Procyfloc 4800'!A47),'Procyfloc 4800'!A47,DATEVALUE('Procyfloc 4800'!A47)),"")</f>
        <v/>
      </c>
      <c r="AC3046" t="str">
        <f>IF(AA3046="","",'Procyfloc 4800'!B47)</f>
        <v/>
      </c>
      <c r="AD3046" t="str">
        <f>IF(AA3046="","",IFERROR(1*'Procyfloc 4800'!C47,IFERROR(_xludf.NUMBERVALUE('Procyfloc 4800'!C47,".",","),IFERROR(_xludf.NUMBERVALUE('Procyfloc 4800'!C47,",","."),0))))</f>
        <v/>
      </c>
      <c r="AE3046" t="str">
        <f>IF(AA3046="","",'Procyfloc 4800'!J47)</f>
        <v/>
      </c>
      <c r="AF3046">
        <f t="shared" si="299"/>
        <v>0</v>
      </c>
      <c r="AG3046" t="str">
        <f t="shared" si="300"/>
        <v/>
      </c>
      <c r="AH3046" t="str">
        <f t="shared" si="301"/>
        <v/>
      </c>
      <c r="AI3046">
        <f t="shared" si="302"/>
        <v>0</v>
      </c>
      <c r="AJ3046">
        <f t="shared" si="303"/>
        <v>0</v>
      </c>
      <c r="AK3046">
        <v>0</v>
      </c>
      <c r="AL3046" t="str">
        <f>IF(AA3046="","",IFERROR(IF(ISNUMBER('Procyfloc 4800'!D47),'Procyfloc 4800'!D47,IF(ISNUMBER(SEARCH("12",'Procyfloc 4800'!D47)),EDATE(AB3046,12),IF(ISNUMBER(SEARCH("6",'Procyfloc 4800'!D47)),EDATE(AB3046,6),IF(ISNUMBER(SEARCH("3",'Procyfloc 4800'!D47)),EDATE(AB3046,3),DATEVALUE('Procyfloc 4800'!D47))))),""))</f>
        <v/>
      </c>
      <c r="AM3046" t="str">
        <f t="shared" ca="1" si="304"/>
        <v/>
      </c>
    </row>
    <row r="3047" spans="27:39" x14ac:dyDescent="0.3">
      <c r="AA3047" t="str">
        <f>IF(COUNTA('Procyfloc 4800'!A48,'Procyfloc 4800'!B48,'Procyfloc 4800'!C48)&gt;0,"4800","")</f>
        <v/>
      </c>
      <c r="AB3047" t="str">
        <f>IFERROR(IF(ISNUMBER('Procyfloc 4800'!A48),'Procyfloc 4800'!A48,DATEVALUE('Procyfloc 4800'!A48)),"")</f>
        <v/>
      </c>
      <c r="AC3047" t="str">
        <f>IF(AA3047="","",'Procyfloc 4800'!B48)</f>
        <v/>
      </c>
      <c r="AD3047" t="str">
        <f>IF(AA3047="","",IFERROR(1*'Procyfloc 4800'!C48,IFERROR(_xludf.NUMBERVALUE('Procyfloc 4800'!C48,".",","),IFERROR(_xludf.NUMBERVALUE('Procyfloc 4800'!C48,",","."),0))))</f>
        <v/>
      </c>
      <c r="AE3047" t="str">
        <f>IF(AA3047="","",'Procyfloc 4800'!J48)</f>
        <v/>
      </c>
      <c r="AF3047">
        <f t="shared" si="299"/>
        <v>0</v>
      </c>
      <c r="AG3047" t="str">
        <f t="shared" si="300"/>
        <v/>
      </c>
      <c r="AH3047" t="str">
        <f t="shared" si="301"/>
        <v/>
      </c>
      <c r="AI3047">
        <f t="shared" si="302"/>
        <v>0</v>
      </c>
      <c r="AJ3047">
        <f t="shared" si="303"/>
        <v>0</v>
      </c>
      <c r="AK3047">
        <v>0</v>
      </c>
      <c r="AL3047" t="str">
        <f>IF(AA3047="","",IFERROR(IF(ISNUMBER('Procyfloc 4800'!D48),'Procyfloc 4800'!D48,IF(ISNUMBER(SEARCH("12",'Procyfloc 4800'!D48)),EDATE(AB3047,12),IF(ISNUMBER(SEARCH("6",'Procyfloc 4800'!D48)),EDATE(AB3047,6),IF(ISNUMBER(SEARCH("3",'Procyfloc 4800'!D48)),EDATE(AB3047,3),DATEVALUE('Procyfloc 4800'!D48))))),""))</f>
        <v/>
      </c>
      <c r="AM3047" t="str">
        <f t="shared" ca="1" si="304"/>
        <v/>
      </c>
    </row>
    <row r="3048" spans="27:39" x14ac:dyDescent="0.3">
      <c r="AA3048" t="str">
        <f>IF(COUNTA('Procyfloc 4800'!A49,'Procyfloc 4800'!B49,'Procyfloc 4800'!C49)&gt;0,"4800","")</f>
        <v/>
      </c>
      <c r="AB3048" t="str">
        <f>IFERROR(IF(ISNUMBER('Procyfloc 4800'!A49),'Procyfloc 4800'!A49,DATEVALUE('Procyfloc 4800'!A49)),"")</f>
        <v/>
      </c>
      <c r="AC3048" t="str">
        <f>IF(AA3048="","",'Procyfloc 4800'!B49)</f>
        <v/>
      </c>
      <c r="AD3048" t="str">
        <f>IF(AA3048="","",IFERROR(1*'Procyfloc 4800'!C49,IFERROR(_xludf.NUMBERVALUE('Procyfloc 4800'!C49,".",","),IFERROR(_xludf.NUMBERVALUE('Procyfloc 4800'!C49,",","."),0))))</f>
        <v/>
      </c>
      <c r="AE3048" t="str">
        <f>IF(AA3048="","",'Procyfloc 4800'!J49)</f>
        <v/>
      </c>
      <c r="AF3048">
        <f t="shared" si="299"/>
        <v>0</v>
      </c>
      <c r="AG3048" t="str">
        <f t="shared" si="300"/>
        <v/>
      </c>
      <c r="AH3048" t="str">
        <f t="shared" si="301"/>
        <v/>
      </c>
      <c r="AI3048">
        <f t="shared" si="302"/>
        <v>0</v>
      </c>
      <c r="AJ3048">
        <f t="shared" si="303"/>
        <v>0</v>
      </c>
      <c r="AK3048">
        <v>0</v>
      </c>
      <c r="AL3048" t="str">
        <f>IF(AA3048="","",IFERROR(IF(ISNUMBER('Procyfloc 4800'!D49),'Procyfloc 4800'!D49,IF(ISNUMBER(SEARCH("12",'Procyfloc 4800'!D49)),EDATE(AB3048,12),IF(ISNUMBER(SEARCH("6",'Procyfloc 4800'!D49)),EDATE(AB3048,6),IF(ISNUMBER(SEARCH("3",'Procyfloc 4800'!D49)),EDATE(AB3048,3),DATEVALUE('Procyfloc 4800'!D49))))),""))</f>
        <v/>
      </c>
      <c r="AM3048" t="str">
        <f t="shared" ca="1" si="304"/>
        <v/>
      </c>
    </row>
    <row r="3049" spans="27:39" x14ac:dyDescent="0.3">
      <c r="AA3049" t="str">
        <f>IF(COUNTA('Procyfloc 4800'!A50,'Procyfloc 4800'!B50,'Procyfloc 4800'!C50)&gt;0,"4800","")</f>
        <v/>
      </c>
      <c r="AB3049" t="str">
        <f>IFERROR(IF(ISNUMBER('Procyfloc 4800'!A50),'Procyfloc 4800'!A50,DATEVALUE('Procyfloc 4800'!A50)),"")</f>
        <v/>
      </c>
      <c r="AC3049" t="str">
        <f>IF(AA3049="","",'Procyfloc 4800'!B50)</f>
        <v/>
      </c>
      <c r="AD3049" t="str">
        <f>IF(AA3049="","",IFERROR(1*'Procyfloc 4800'!C50,IFERROR(_xludf.NUMBERVALUE('Procyfloc 4800'!C50,".",","),IFERROR(_xludf.NUMBERVALUE('Procyfloc 4800'!C50,",","."),0))))</f>
        <v/>
      </c>
      <c r="AE3049" t="str">
        <f>IF(AA3049="","",'Procyfloc 4800'!J50)</f>
        <v/>
      </c>
      <c r="AF3049">
        <f t="shared" si="299"/>
        <v>0</v>
      </c>
      <c r="AG3049" t="str">
        <f t="shared" si="300"/>
        <v/>
      </c>
      <c r="AH3049" t="str">
        <f t="shared" si="301"/>
        <v/>
      </c>
      <c r="AI3049">
        <f t="shared" si="302"/>
        <v>0</v>
      </c>
      <c r="AJ3049">
        <f t="shared" si="303"/>
        <v>0</v>
      </c>
      <c r="AK3049">
        <v>0</v>
      </c>
      <c r="AL3049" t="str">
        <f>IF(AA3049="","",IFERROR(IF(ISNUMBER('Procyfloc 4800'!D50),'Procyfloc 4800'!D50,IF(ISNUMBER(SEARCH("12",'Procyfloc 4800'!D50)),EDATE(AB3049,12),IF(ISNUMBER(SEARCH("6",'Procyfloc 4800'!D50)),EDATE(AB3049,6),IF(ISNUMBER(SEARCH("3",'Procyfloc 4800'!D50)),EDATE(AB3049,3),DATEVALUE('Procyfloc 4800'!D50))))),""))</f>
        <v/>
      </c>
      <c r="AM3049" t="str">
        <f t="shared" ca="1" si="304"/>
        <v/>
      </c>
    </row>
    <row r="3050" spans="27:39" x14ac:dyDescent="0.3">
      <c r="AA3050" t="str">
        <f>IF(COUNTA('Procyfloc 4800'!A51,'Procyfloc 4800'!B51,'Procyfloc 4800'!C51)&gt;0,"4800","")</f>
        <v/>
      </c>
      <c r="AB3050" t="str">
        <f>IFERROR(IF(ISNUMBER('Procyfloc 4800'!A51),'Procyfloc 4800'!A51,DATEVALUE('Procyfloc 4800'!A51)),"")</f>
        <v/>
      </c>
      <c r="AC3050" t="str">
        <f>IF(AA3050="","",'Procyfloc 4800'!B51)</f>
        <v/>
      </c>
      <c r="AD3050" t="str">
        <f>IF(AA3050="","",IFERROR(1*'Procyfloc 4800'!C51,IFERROR(_xludf.NUMBERVALUE('Procyfloc 4800'!C51,".",","),IFERROR(_xludf.NUMBERVALUE('Procyfloc 4800'!C51,",","."),0))))</f>
        <v/>
      </c>
      <c r="AE3050" t="str">
        <f>IF(AA3050="","",'Procyfloc 4800'!J51)</f>
        <v/>
      </c>
      <c r="AF3050">
        <f t="shared" si="299"/>
        <v>0</v>
      </c>
      <c r="AG3050" t="str">
        <f t="shared" si="300"/>
        <v/>
      </c>
      <c r="AH3050" t="str">
        <f t="shared" si="301"/>
        <v/>
      </c>
      <c r="AI3050">
        <f t="shared" si="302"/>
        <v>0</v>
      </c>
      <c r="AJ3050">
        <f t="shared" si="303"/>
        <v>0</v>
      </c>
      <c r="AK3050">
        <v>0</v>
      </c>
      <c r="AL3050" t="str">
        <f>IF(AA3050="","",IFERROR(IF(ISNUMBER('Procyfloc 4800'!D51),'Procyfloc 4800'!D51,IF(ISNUMBER(SEARCH("12",'Procyfloc 4800'!D51)),EDATE(AB3050,12),IF(ISNUMBER(SEARCH("6",'Procyfloc 4800'!D51)),EDATE(AB3050,6),IF(ISNUMBER(SEARCH("3",'Procyfloc 4800'!D51)),EDATE(AB3050,3),DATEVALUE('Procyfloc 4800'!D51))))),""))</f>
        <v/>
      </c>
      <c r="AM3050" t="str">
        <f t="shared" ca="1" si="304"/>
        <v/>
      </c>
    </row>
    <row r="3051" spans="27:39" x14ac:dyDescent="0.3">
      <c r="AA3051" t="str">
        <f>IF(COUNTA('Procyfloc 4800'!A52,'Procyfloc 4800'!B52,'Procyfloc 4800'!C52)&gt;0,"4800","")</f>
        <v/>
      </c>
      <c r="AB3051" t="str">
        <f>IFERROR(IF(ISNUMBER('Procyfloc 4800'!A52),'Procyfloc 4800'!A52,DATEVALUE('Procyfloc 4800'!A52)),"")</f>
        <v/>
      </c>
      <c r="AC3051" t="str">
        <f>IF(AA3051="","",'Procyfloc 4800'!B52)</f>
        <v/>
      </c>
      <c r="AD3051" t="str">
        <f>IF(AA3051="","",IFERROR(1*'Procyfloc 4800'!C52,IFERROR(_xludf.NUMBERVALUE('Procyfloc 4800'!C52,".",","),IFERROR(_xludf.NUMBERVALUE('Procyfloc 4800'!C52,",","."),0))))</f>
        <v/>
      </c>
      <c r="AE3051" t="str">
        <f>IF(AA3051="","",'Procyfloc 4800'!J52)</f>
        <v/>
      </c>
      <c r="AF3051">
        <f t="shared" si="299"/>
        <v>0</v>
      </c>
      <c r="AG3051" t="str">
        <f t="shared" si="300"/>
        <v/>
      </c>
      <c r="AH3051" t="str">
        <f t="shared" si="301"/>
        <v/>
      </c>
      <c r="AI3051">
        <f t="shared" si="302"/>
        <v>0</v>
      </c>
      <c r="AJ3051">
        <f t="shared" si="303"/>
        <v>0</v>
      </c>
      <c r="AK3051">
        <v>0</v>
      </c>
      <c r="AL3051" t="str">
        <f>IF(AA3051="","",IFERROR(IF(ISNUMBER('Procyfloc 4800'!D52),'Procyfloc 4800'!D52,IF(ISNUMBER(SEARCH("12",'Procyfloc 4800'!D52)),EDATE(AB3051,12),IF(ISNUMBER(SEARCH("6",'Procyfloc 4800'!D52)),EDATE(AB3051,6),IF(ISNUMBER(SEARCH("3",'Procyfloc 4800'!D52)),EDATE(AB3051,3),DATEVALUE('Procyfloc 4800'!D52))))),""))</f>
        <v/>
      </c>
      <c r="AM3051" t="str">
        <f t="shared" ca="1" si="304"/>
        <v/>
      </c>
    </row>
    <row r="3052" spans="27:39" x14ac:dyDescent="0.3">
      <c r="AA3052" t="str">
        <f>IF(COUNTA('Procyfloc 4800'!A53,'Procyfloc 4800'!B53,'Procyfloc 4800'!C53)&gt;0,"4800","")</f>
        <v/>
      </c>
      <c r="AB3052" t="str">
        <f>IFERROR(IF(ISNUMBER('Procyfloc 4800'!A53),'Procyfloc 4800'!A53,DATEVALUE('Procyfloc 4800'!A53)),"")</f>
        <v/>
      </c>
      <c r="AC3052" t="str">
        <f>IF(AA3052="","",'Procyfloc 4800'!B53)</f>
        <v/>
      </c>
      <c r="AD3052" t="str">
        <f>IF(AA3052="","",IFERROR(1*'Procyfloc 4800'!C53,IFERROR(_xludf.NUMBERVALUE('Procyfloc 4800'!C53,".",","),IFERROR(_xludf.NUMBERVALUE('Procyfloc 4800'!C53,",","."),0))))</f>
        <v/>
      </c>
      <c r="AE3052" t="str">
        <f>IF(AA3052="","",'Procyfloc 4800'!J53)</f>
        <v/>
      </c>
      <c r="AF3052">
        <f t="shared" si="299"/>
        <v>0</v>
      </c>
      <c r="AG3052" t="str">
        <f t="shared" si="300"/>
        <v/>
      </c>
      <c r="AH3052" t="str">
        <f t="shared" si="301"/>
        <v/>
      </c>
      <c r="AI3052">
        <f t="shared" si="302"/>
        <v>0</v>
      </c>
      <c r="AJ3052">
        <f t="shared" si="303"/>
        <v>0</v>
      </c>
      <c r="AK3052">
        <v>0</v>
      </c>
      <c r="AL3052" t="str">
        <f>IF(AA3052="","",IFERROR(IF(ISNUMBER('Procyfloc 4800'!D53),'Procyfloc 4800'!D53,IF(ISNUMBER(SEARCH("12",'Procyfloc 4800'!D53)),EDATE(AB3052,12),IF(ISNUMBER(SEARCH("6",'Procyfloc 4800'!D53)),EDATE(AB3052,6),IF(ISNUMBER(SEARCH("3",'Procyfloc 4800'!D53)),EDATE(AB3052,3),DATEVALUE('Procyfloc 4800'!D53))))),""))</f>
        <v/>
      </c>
      <c r="AM3052" t="str">
        <f t="shared" ca="1" si="304"/>
        <v/>
      </c>
    </row>
    <row r="3053" spans="27:39" x14ac:dyDescent="0.3">
      <c r="AA3053" t="str">
        <f>IF(COUNTA('Procyfloc 4800'!A54,'Procyfloc 4800'!B54,'Procyfloc 4800'!C54)&gt;0,"4800","")</f>
        <v/>
      </c>
      <c r="AB3053" t="str">
        <f>IFERROR(IF(ISNUMBER('Procyfloc 4800'!A54),'Procyfloc 4800'!A54,DATEVALUE('Procyfloc 4800'!A54)),"")</f>
        <v/>
      </c>
      <c r="AC3053" t="str">
        <f>IF(AA3053="","",'Procyfloc 4800'!B54)</f>
        <v/>
      </c>
      <c r="AD3053" t="str">
        <f>IF(AA3053="","",IFERROR(1*'Procyfloc 4800'!C54,IFERROR(_xludf.NUMBERVALUE('Procyfloc 4800'!C54,".",","),IFERROR(_xludf.NUMBERVALUE('Procyfloc 4800'!C54,",","."),0))))</f>
        <v/>
      </c>
      <c r="AE3053" t="str">
        <f>IF(AA3053="","",'Procyfloc 4800'!J54)</f>
        <v/>
      </c>
      <c r="AF3053">
        <f t="shared" si="299"/>
        <v>0</v>
      </c>
      <c r="AG3053" t="str">
        <f t="shared" si="300"/>
        <v/>
      </c>
      <c r="AH3053" t="str">
        <f t="shared" si="301"/>
        <v/>
      </c>
      <c r="AI3053">
        <f t="shared" si="302"/>
        <v>0</v>
      </c>
      <c r="AJ3053">
        <f t="shared" si="303"/>
        <v>0</v>
      </c>
      <c r="AK3053">
        <v>0</v>
      </c>
      <c r="AL3053" t="str">
        <f>IF(AA3053="","",IFERROR(IF(ISNUMBER('Procyfloc 4800'!D54),'Procyfloc 4800'!D54,IF(ISNUMBER(SEARCH("12",'Procyfloc 4800'!D54)),EDATE(AB3053,12),IF(ISNUMBER(SEARCH("6",'Procyfloc 4800'!D54)),EDATE(AB3053,6),IF(ISNUMBER(SEARCH("3",'Procyfloc 4800'!D54)),EDATE(AB3053,3),DATEVALUE('Procyfloc 4800'!D54))))),""))</f>
        <v/>
      </c>
      <c r="AM3053" t="str">
        <f t="shared" ca="1" si="304"/>
        <v/>
      </c>
    </row>
    <row r="3054" spans="27:39" x14ac:dyDescent="0.3">
      <c r="AA3054" t="str">
        <f>IF(COUNTA('Procyfloc 4800'!A55,'Procyfloc 4800'!B55,'Procyfloc 4800'!C55)&gt;0,"4800","")</f>
        <v/>
      </c>
      <c r="AB3054" t="str">
        <f>IFERROR(IF(ISNUMBER('Procyfloc 4800'!A55),'Procyfloc 4800'!A55,DATEVALUE('Procyfloc 4800'!A55)),"")</f>
        <v/>
      </c>
      <c r="AC3054" t="str">
        <f>IF(AA3054="","",'Procyfloc 4800'!B55)</f>
        <v/>
      </c>
      <c r="AD3054" t="str">
        <f>IF(AA3054="","",IFERROR(1*'Procyfloc 4800'!C55,IFERROR(_xludf.NUMBERVALUE('Procyfloc 4800'!C55,".",","),IFERROR(_xludf.NUMBERVALUE('Procyfloc 4800'!C55,",","."),0))))</f>
        <v/>
      </c>
      <c r="AE3054" t="str">
        <f>IF(AA3054="","",'Procyfloc 4800'!J55)</f>
        <v/>
      </c>
      <c r="AF3054">
        <f t="shared" si="299"/>
        <v>0</v>
      </c>
      <c r="AG3054" t="str">
        <f t="shared" si="300"/>
        <v/>
      </c>
      <c r="AH3054" t="str">
        <f t="shared" si="301"/>
        <v/>
      </c>
      <c r="AI3054">
        <f t="shared" si="302"/>
        <v>0</v>
      </c>
      <c r="AJ3054">
        <f t="shared" si="303"/>
        <v>0</v>
      </c>
      <c r="AK3054">
        <v>0</v>
      </c>
      <c r="AL3054" t="str">
        <f>IF(AA3054="","",IFERROR(IF(ISNUMBER('Procyfloc 4800'!D55),'Procyfloc 4800'!D55,IF(ISNUMBER(SEARCH("12",'Procyfloc 4800'!D55)),EDATE(AB3054,12),IF(ISNUMBER(SEARCH("6",'Procyfloc 4800'!D55)),EDATE(AB3054,6),IF(ISNUMBER(SEARCH("3",'Procyfloc 4800'!D55)),EDATE(AB3054,3),DATEVALUE('Procyfloc 4800'!D55))))),""))</f>
        <v/>
      </c>
      <c r="AM3054" t="str">
        <f t="shared" ca="1" si="304"/>
        <v/>
      </c>
    </row>
    <row r="3055" spans="27:39" x14ac:dyDescent="0.3">
      <c r="AA3055" t="str">
        <f>IF(COUNTA('Procyfloc 4800'!A56,'Procyfloc 4800'!B56,'Procyfloc 4800'!C56)&gt;0,"4800","")</f>
        <v/>
      </c>
      <c r="AB3055" t="str">
        <f>IFERROR(IF(ISNUMBER('Procyfloc 4800'!A56),'Procyfloc 4800'!A56,DATEVALUE('Procyfloc 4800'!A56)),"")</f>
        <v/>
      </c>
      <c r="AC3055" t="str">
        <f>IF(AA3055="","",'Procyfloc 4800'!B56)</f>
        <v/>
      </c>
      <c r="AD3055" t="str">
        <f>IF(AA3055="","",IFERROR(1*'Procyfloc 4800'!C56,IFERROR(_xludf.NUMBERVALUE('Procyfloc 4800'!C56,".",","),IFERROR(_xludf.NUMBERVALUE('Procyfloc 4800'!C56,",","."),0))))</f>
        <v/>
      </c>
      <c r="AE3055" t="str">
        <f>IF(AA3055="","",'Procyfloc 4800'!J56)</f>
        <v/>
      </c>
      <c r="AF3055">
        <f t="shared" si="299"/>
        <v>0</v>
      </c>
      <c r="AG3055" t="str">
        <f t="shared" si="300"/>
        <v/>
      </c>
      <c r="AH3055" t="str">
        <f t="shared" si="301"/>
        <v/>
      </c>
      <c r="AI3055">
        <f t="shared" si="302"/>
        <v>0</v>
      </c>
      <c r="AJ3055">
        <f t="shared" si="303"/>
        <v>0</v>
      </c>
      <c r="AK3055">
        <v>0</v>
      </c>
      <c r="AL3055" t="str">
        <f>IF(AA3055="","",IFERROR(IF(ISNUMBER('Procyfloc 4800'!D56),'Procyfloc 4800'!D56,IF(ISNUMBER(SEARCH("12",'Procyfloc 4800'!D56)),EDATE(AB3055,12),IF(ISNUMBER(SEARCH("6",'Procyfloc 4800'!D56)),EDATE(AB3055,6),IF(ISNUMBER(SEARCH("3",'Procyfloc 4800'!D56)),EDATE(AB3055,3),DATEVALUE('Procyfloc 4800'!D56))))),""))</f>
        <v/>
      </c>
      <c r="AM3055" t="str">
        <f t="shared" ca="1" si="304"/>
        <v/>
      </c>
    </row>
    <row r="3056" spans="27:39" x14ac:dyDescent="0.3">
      <c r="AA3056" t="str">
        <f>IF(COUNTA('Procyfloc 4800'!A57,'Procyfloc 4800'!B57,'Procyfloc 4800'!C57)&gt;0,"4800","")</f>
        <v/>
      </c>
      <c r="AB3056" t="str">
        <f>IFERROR(IF(ISNUMBER('Procyfloc 4800'!A57),'Procyfloc 4800'!A57,DATEVALUE('Procyfloc 4800'!A57)),"")</f>
        <v/>
      </c>
      <c r="AC3056" t="str">
        <f>IF(AA3056="","",'Procyfloc 4800'!B57)</f>
        <v/>
      </c>
      <c r="AD3056" t="str">
        <f>IF(AA3056="","",IFERROR(1*'Procyfloc 4800'!C57,IFERROR(_xludf.NUMBERVALUE('Procyfloc 4800'!C57,".",","),IFERROR(_xludf.NUMBERVALUE('Procyfloc 4800'!C57,",","."),0))))</f>
        <v/>
      </c>
      <c r="AE3056" t="str">
        <f>IF(AA3056="","",'Procyfloc 4800'!J57)</f>
        <v/>
      </c>
      <c r="AF3056">
        <f t="shared" si="299"/>
        <v>0</v>
      </c>
      <c r="AG3056" t="str">
        <f t="shared" si="300"/>
        <v/>
      </c>
      <c r="AH3056" t="str">
        <f t="shared" si="301"/>
        <v/>
      </c>
      <c r="AI3056">
        <f t="shared" si="302"/>
        <v>0</v>
      </c>
      <c r="AJ3056">
        <f t="shared" si="303"/>
        <v>0</v>
      </c>
      <c r="AK3056">
        <v>0</v>
      </c>
      <c r="AL3056" t="str">
        <f>IF(AA3056="","",IFERROR(IF(ISNUMBER('Procyfloc 4800'!D57),'Procyfloc 4800'!D57,IF(ISNUMBER(SEARCH("12",'Procyfloc 4800'!D57)),EDATE(AB3056,12),IF(ISNUMBER(SEARCH("6",'Procyfloc 4800'!D57)),EDATE(AB3056,6),IF(ISNUMBER(SEARCH("3",'Procyfloc 4800'!D57)),EDATE(AB3056,3),DATEVALUE('Procyfloc 4800'!D57))))),""))</f>
        <v/>
      </c>
      <c r="AM3056" t="str">
        <f t="shared" ca="1" si="304"/>
        <v/>
      </c>
    </row>
    <row r="3057" spans="27:39" x14ac:dyDescent="0.3">
      <c r="AA3057" t="str">
        <f>IF(COUNTA('Procyfloc 4800'!A58,'Procyfloc 4800'!B58,'Procyfloc 4800'!C58)&gt;0,"4800","")</f>
        <v/>
      </c>
      <c r="AB3057" t="str">
        <f>IFERROR(IF(ISNUMBER('Procyfloc 4800'!A58),'Procyfloc 4800'!A58,DATEVALUE('Procyfloc 4800'!A58)),"")</f>
        <v/>
      </c>
      <c r="AC3057" t="str">
        <f>IF(AA3057="","",'Procyfloc 4800'!B58)</f>
        <v/>
      </c>
      <c r="AD3057" t="str">
        <f>IF(AA3057="","",IFERROR(1*'Procyfloc 4800'!C58,IFERROR(_xludf.NUMBERVALUE('Procyfloc 4800'!C58,".",","),IFERROR(_xludf.NUMBERVALUE('Procyfloc 4800'!C58,",","."),0))))</f>
        <v/>
      </c>
      <c r="AE3057" t="str">
        <f>IF(AA3057="","",'Procyfloc 4800'!J58)</f>
        <v/>
      </c>
      <c r="AF3057">
        <f t="shared" si="299"/>
        <v>0</v>
      </c>
      <c r="AG3057" t="str">
        <f t="shared" si="300"/>
        <v/>
      </c>
      <c r="AH3057" t="str">
        <f t="shared" si="301"/>
        <v/>
      </c>
      <c r="AI3057">
        <f t="shared" si="302"/>
        <v>0</v>
      </c>
      <c r="AJ3057">
        <f t="shared" si="303"/>
        <v>0</v>
      </c>
      <c r="AK3057">
        <v>0</v>
      </c>
      <c r="AL3057" t="str">
        <f>IF(AA3057="","",IFERROR(IF(ISNUMBER('Procyfloc 4800'!D58),'Procyfloc 4800'!D58,IF(ISNUMBER(SEARCH("12",'Procyfloc 4800'!D58)),EDATE(AB3057,12),IF(ISNUMBER(SEARCH("6",'Procyfloc 4800'!D58)),EDATE(AB3057,6),IF(ISNUMBER(SEARCH("3",'Procyfloc 4800'!D58)),EDATE(AB3057,3),DATEVALUE('Procyfloc 4800'!D58))))),""))</f>
        <v/>
      </c>
      <c r="AM3057" t="str">
        <f t="shared" ca="1" si="304"/>
        <v/>
      </c>
    </row>
    <row r="3058" spans="27:39" x14ac:dyDescent="0.3">
      <c r="AA3058" t="str">
        <f>IF(COUNTA('Procyfloc 4800'!A59,'Procyfloc 4800'!B59,'Procyfloc 4800'!C59)&gt;0,"4800","")</f>
        <v/>
      </c>
      <c r="AB3058" t="str">
        <f>IFERROR(IF(ISNUMBER('Procyfloc 4800'!A59),'Procyfloc 4800'!A59,DATEVALUE('Procyfloc 4800'!A59)),"")</f>
        <v/>
      </c>
      <c r="AC3058" t="str">
        <f>IF(AA3058="","",'Procyfloc 4800'!B59)</f>
        <v/>
      </c>
      <c r="AD3058" t="str">
        <f>IF(AA3058="","",IFERROR(1*'Procyfloc 4800'!C59,IFERROR(_xludf.NUMBERVALUE('Procyfloc 4800'!C59,".",","),IFERROR(_xludf.NUMBERVALUE('Procyfloc 4800'!C59,",","."),0))))</f>
        <v/>
      </c>
      <c r="AE3058" t="str">
        <f>IF(AA3058="","",'Procyfloc 4800'!J59)</f>
        <v/>
      </c>
      <c r="AF3058">
        <f t="shared" si="299"/>
        <v>0</v>
      </c>
      <c r="AG3058" t="str">
        <f t="shared" si="300"/>
        <v/>
      </c>
      <c r="AH3058" t="str">
        <f t="shared" si="301"/>
        <v/>
      </c>
      <c r="AI3058">
        <f t="shared" si="302"/>
        <v>0</v>
      </c>
      <c r="AJ3058">
        <f t="shared" si="303"/>
        <v>0</v>
      </c>
      <c r="AK3058">
        <v>0</v>
      </c>
      <c r="AL3058" t="str">
        <f>IF(AA3058="","",IFERROR(IF(ISNUMBER('Procyfloc 4800'!D59),'Procyfloc 4800'!D59,IF(ISNUMBER(SEARCH("12",'Procyfloc 4800'!D59)),EDATE(AB3058,12),IF(ISNUMBER(SEARCH("6",'Procyfloc 4800'!D59)),EDATE(AB3058,6),IF(ISNUMBER(SEARCH("3",'Procyfloc 4800'!D59)),EDATE(AB3058,3),DATEVALUE('Procyfloc 4800'!D59))))),""))</f>
        <v/>
      </c>
      <c r="AM3058" t="str">
        <f t="shared" ca="1" si="304"/>
        <v/>
      </c>
    </row>
    <row r="3059" spans="27:39" x14ac:dyDescent="0.3">
      <c r="AA3059" t="str">
        <f>IF(COUNTA('Procyfloc 4800'!A60,'Procyfloc 4800'!B60,'Procyfloc 4800'!C60)&gt;0,"4800","")</f>
        <v/>
      </c>
      <c r="AB3059" t="str">
        <f>IFERROR(IF(ISNUMBER('Procyfloc 4800'!A60),'Procyfloc 4800'!A60,DATEVALUE('Procyfloc 4800'!A60)),"")</f>
        <v/>
      </c>
      <c r="AC3059" t="str">
        <f>IF(AA3059="","",'Procyfloc 4800'!B60)</f>
        <v/>
      </c>
      <c r="AD3059" t="str">
        <f>IF(AA3059="","",IFERROR(1*'Procyfloc 4800'!C60,IFERROR(_xludf.NUMBERVALUE('Procyfloc 4800'!C60,".",","),IFERROR(_xludf.NUMBERVALUE('Procyfloc 4800'!C60,",","."),0))))</f>
        <v/>
      </c>
      <c r="AE3059" t="str">
        <f>IF(AA3059="","",'Procyfloc 4800'!J60)</f>
        <v/>
      </c>
      <c r="AF3059">
        <f t="shared" si="299"/>
        <v>0</v>
      </c>
      <c r="AG3059" t="str">
        <f t="shared" si="300"/>
        <v/>
      </c>
      <c r="AH3059" t="str">
        <f t="shared" si="301"/>
        <v/>
      </c>
      <c r="AI3059">
        <f t="shared" si="302"/>
        <v>0</v>
      </c>
      <c r="AJ3059">
        <f t="shared" si="303"/>
        <v>0</v>
      </c>
      <c r="AK3059">
        <v>0</v>
      </c>
      <c r="AL3059" t="str">
        <f>IF(AA3059="","",IFERROR(IF(ISNUMBER('Procyfloc 4800'!D60),'Procyfloc 4800'!D60,IF(ISNUMBER(SEARCH("12",'Procyfloc 4800'!D60)),EDATE(AB3059,12),IF(ISNUMBER(SEARCH("6",'Procyfloc 4800'!D60)),EDATE(AB3059,6),IF(ISNUMBER(SEARCH("3",'Procyfloc 4800'!D60)),EDATE(AB3059,3),DATEVALUE('Procyfloc 4800'!D60))))),""))</f>
        <v/>
      </c>
      <c r="AM3059" t="str">
        <f t="shared" ca="1" si="304"/>
        <v/>
      </c>
    </row>
    <row r="3060" spans="27:39" x14ac:dyDescent="0.3">
      <c r="AA3060" t="str">
        <f>IF(COUNTA('Procyfloc 4800'!A61,'Procyfloc 4800'!B61,'Procyfloc 4800'!C61)&gt;0,"4800","")</f>
        <v/>
      </c>
      <c r="AB3060" t="str">
        <f>IFERROR(IF(ISNUMBER('Procyfloc 4800'!A61),'Procyfloc 4800'!A61,DATEVALUE('Procyfloc 4800'!A61)),"")</f>
        <v/>
      </c>
      <c r="AC3060" t="str">
        <f>IF(AA3060="","",'Procyfloc 4800'!B61)</f>
        <v/>
      </c>
      <c r="AD3060" t="str">
        <f>IF(AA3060="","",IFERROR(1*'Procyfloc 4800'!C61,IFERROR(_xludf.NUMBERVALUE('Procyfloc 4800'!C61,".",","),IFERROR(_xludf.NUMBERVALUE('Procyfloc 4800'!C61,",","."),0))))</f>
        <v/>
      </c>
      <c r="AE3060" t="str">
        <f>IF(AA3060="","",'Procyfloc 4800'!J61)</f>
        <v/>
      </c>
      <c r="AF3060">
        <f t="shared" si="299"/>
        <v>0</v>
      </c>
      <c r="AG3060" t="str">
        <f t="shared" si="300"/>
        <v/>
      </c>
      <c r="AH3060" t="str">
        <f t="shared" si="301"/>
        <v/>
      </c>
      <c r="AI3060">
        <f t="shared" si="302"/>
        <v>0</v>
      </c>
      <c r="AJ3060">
        <f t="shared" si="303"/>
        <v>0</v>
      </c>
      <c r="AK3060">
        <v>0</v>
      </c>
      <c r="AL3060" t="str">
        <f>IF(AA3060="","",IFERROR(IF(ISNUMBER('Procyfloc 4800'!D61),'Procyfloc 4800'!D61,IF(ISNUMBER(SEARCH("12",'Procyfloc 4800'!D61)),EDATE(AB3060,12),IF(ISNUMBER(SEARCH("6",'Procyfloc 4800'!D61)),EDATE(AB3060,6),IF(ISNUMBER(SEARCH("3",'Procyfloc 4800'!D61)),EDATE(AB3060,3),DATEVALUE('Procyfloc 4800'!D61))))),""))</f>
        <v/>
      </c>
      <c r="AM3060" t="str">
        <f t="shared" ca="1" si="304"/>
        <v/>
      </c>
    </row>
    <row r="3061" spans="27:39" x14ac:dyDescent="0.3">
      <c r="AA3061" t="str">
        <f>IF(COUNTA('Procyfloc 4800'!A62,'Procyfloc 4800'!B62,'Procyfloc 4800'!C62)&gt;0,"4800","")</f>
        <v/>
      </c>
      <c r="AB3061" t="str">
        <f>IFERROR(IF(ISNUMBER('Procyfloc 4800'!A62),'Procyfloc 4800'!A62,DATEVALUE('Procyfloc 4800'!A62)),"")</f>
        <v/>
      </c>
      <c r="AC3061" t="str">
        <f>IF(AA3061="","",'Procyfloc 4800'!B62)</f>
        <v/>
      </c>
      <c r="AD3061" t="str">
        <f>IF(AA3061="","",IFERROR(1*'Procyfloc 4800'!C62,IFERROR(_xludf.NUMBERVALUE('Procyfloc 4800'!C62,".",","),IFERROR(_xludf.NUMBERVALUE('Procyfloc 4800'!C62,",","."),0))))</f>
        <v/>
      </c>
      <c r="AE3061" t="str">
        <f>IF(AA3061="","",'Procyfloc 4800'!J62)</f>
        <v/>
      </c>
      <c r="AF3061">
        <f t="shared" si="299"/>
        <v>0</v>
      </c>
      <c r="AG3061" t="str">
        <f t="shared" si="300"/>
        <v/>
      </c>
      <c r="AH3061" t="str">
        <f t="shared" si="301"/>
        <v/>
      </c>
      <c r="AI3061">
        <f t="shared" si="302"/>
        <v>0</v>
      </c>
      <c r="AJ3061">
        <f t="shared" si="303"/>
        <v>0</v>
      </c>
      <c r="AK3061">
        <v>0</v>
      </c>
      <c r="AL3061" t="str">
        <f>IF(AA3061="","",IFERROR(IF(ISNUMBER('Procyfloc 4800'!D62),'Procyfloc 4800'!D62,IF(ISNUMBER(SEARCH("12",'Procyfloc 4800'!D62)),EDATE(AB3061,12),IF(ISNUMBER(SEARCH("6",'Procyfloc 4800'!D62)),EDATE(AB3061,6),IF(ISNUMBER(SEARCH("3",'Procyfloc 4800'!D62)),EDATE(AB3061,3),DATEVALUE('Procyfloc 4800'!D62))))),""))</f>
        <v/>
      </c>
      <c r="AM3061" t="str">
        <f t="shared" ca="1" si="304"/>
        <v/>
      </c>
    </row>
    <row r="3062" spans="27:39" x14ac:dyDescent="0.3">
      <c r="AA3062" t="str">
        <f>IF(COUNTA('Procyfloc 4800'!A63,'Procyfloc 4800'!B63,'Procyfloc 4800'!C63)&gt;0,"4800","")</f>
        <v/>
      </c>
      <c r="AB3062" t="str">
        <f>IFERROR(IF(ISNUMBER('Procyfloc 4800'!A63),'Procyfloc 4800'!A63,DATEVALUE('Procyfloc 4800'!A63)),"")</f>
        <v/>
      </c>
      <c r="AC3062" t="str">
        <f>IF(AA3062="","",'Procyfloc 4800'!B63)</f>
        <v/>
      </c>
      <c r="AD3062" t="str">
        <f>IF(AA3062="","",IFERROR(1*'Procyfloc 4800'!C63,IFERROR(_xludf.NUMBERVALUE('Procyfloc 4800'!C63,".",","),IFERROR(_xludf.NUMBERVALUE('Procyfloc 4800'!C63,",","."),0))))</f>
        <v/>
      </c>
      <c r="AE3062" t="str">
        <f>IF(AA3062="","",'Procyfloc 4800'!J63)</f>
        <v/>
      </c>
      <c r="AF3062">
        <f t="shared" si="299"/>
        <v>0</v>
      </c>
      <c r="AG3062" t="str">
        <f t="shared" si="300"/>
        <v/>
      </c>
      <c r="AH3062" t="str">
        <f t="shared" si="301"/>
        <v/>
      </c>
      <c r="AI3062">
        <f t="shared" si="302"/>
        <v>0</v>
      </c>
      <c r="AJ3062">
        <f t="shared" si="303"/>
        <v>0</v>
      </c>
      <c r="AK3062">
        <v>0</v>
      </c>
      <c r="AL3062" t="str">
        <f>IF(AA3062="","",IFERROR(IF(ISNUMBER('Procyfloc 4800'!D63),'Procyfloc 4800'!D63,IF(ISNUMBER(SEARCH("12",'Procyfloc 4800'!D63)),EDATE(AB3062,12),IF(ISNUMBER(SEARCH("6",'Procyfloc 4800'!D63)),EDATE(AB3062,6),IF(ISNUMBER(SEARCH("3",'Procyfloc 4800'!D63)),EDATE(AB3062,3),DATEVALUE('Procyfloc 4800'!D63))))),""))</f>
        <v/>
      </c>
      <c r="AM3062" t="str">
        <f t="shared" ca="1" si="304"/>
        <v/>
      </c>
    </row>
    <row r="3063" spans="27:39" x14ac:dyDescent="0.3">
      <c r="AA3063" t="str">
        <f>IF(COUNTA('Procyfloc 4800'!A64,'Procyfloc 4800'!B64,'Procyfloc 4800'!C64)&gt;0,"4800","")</f>
        <v/>
      </c>
      <c r="AB3063" t="str">
        <f>IFERROR(IF(ISNUMBER('Procyfloc 4800'!A64),'Procyfloc 4800'!A64,DATEVALUE('Procyfloc 4800'!A64)),"")</f>
        <v/>
      </c>
      <c r="AC3063" t="str">
        <f>IF(AA3063="","",'Procyfloc 4800'!B64)</f>
        <v/>
      </c>
      <c r="AD3063" t="str">
        <f>IF(AA3063="","",IFERROR(1*'Procyfloc 4800'!C64,IFERROR(_xludf.NUMBERVALUE('Procyfloc 4800'!C64,".",","),IFERROR(_xludf.NUMBERVALUE('Procyfloc 4800'!C64,",","."),0))))</f>
        <v/>
      </c>
      <c r="AE3063" t="str">
        <f>IF(AA3063="","",'Procyfloc 4800'!J64)</f>
        <v/>
      </c>
      <c r="AF3063">
        <f t="shared" si="299"/>
        <v>0</v>
      </c>
      <c r="AG3063" t="str">
        <f t="shared" si="300"/>
        <v/>
      </c>
      <c r="AH3063" t="str">
        <f t="shared" si="301"/>
        <v/>
      </c>
      <c r="AI3063">
        <f t="shared" si="302"/>
        <v>0</v>
      </c>
      <c r="AJ3063">
        <f t="shared" si="303"/>
        <v>0</v>
      </c>
      <c r="AK3063">
        <v>0</v>
      </c>
      <c r="AL3063" t="str">
        <f>IF(AA3063="","",IFERROR(IF(ISNUMBER('Procyfloc 4800'!D64),'Procyfloc 4800'!D64,IF(ISNUMBER(SEARCH("12",'Procyfloc 4800'!D64)),EDATE(AB3063,12),IF(ISNUMBER(SEARCH("6",'Procyfloc 4800'!D64)),EDATE(AB3063,6),IF(ISNUMBER(SEARCH("3",'Procyfloc 4800'!D64)),EDATE(AB3063,3),DATEVALUE('Procyfloc 4800'!D64))))),""))</f>
        <v/>
      </c>
      <c r="AM3063" t="str">
        <f t="shared" ca="1" si="304"/>
        <v/>
      </c>
    </row>
    <row r="3064" spans="27:39" x14ac:dyDescent="0.3">
      <c r="AA3064" t="str">
        <f>IF(COUNTA('Procyfloc 4800'!A65,'Procyfloc 4800'!B65,'Procyfloc 4800'!C65)&gt;0,"4800","")</f>
        <v/>
      </c>
      <c r="AB3064" t="str">
        <f>IFERROR(IF(ISNUMBER('Procyfloc 4800'!A65),'Procyfloc 4800'!A65,DATEVALUE('Procyfloc 4800'!A65)),"")</f>
        <v/>
      </c>
      <c r="AC3064" t="str">
        <f>IF(AA3064="","",'Procyfloc 4800'!B65)</f>
        <v/>
      </c>
      <c r="AD3064" t="str">
        <f>IF(AA3064="","",IFERROR(1*'Procyfloc 4800'!C65,IFERROR(_xludf.NUMBERVALUE('Procyfloc 4800'!C65,".",","),IFERROR(_xludf.NUMBERVALUE('Procyfloc 4800'!C65,",","."),0))))</f>
        <v/>
      </c>
      <c r="AE3064" t="str">
        <f>IF(AA3064="","",'Procyfloc 4800'!J65)</f>
        <v/>
      </c>
      <c r="AF3064">
        <f t="shared" si="299"/>
        <v>0</v>
      </c>
      <c r="AG3064" t="str">
        <f t="shared" si="300"/>
        <v/>
      </c>
      <c r="AH3064" t="str">
        <f t="shared" si="301"/>
        <v/>
      </c>
      <c r="AI3064">
        <f t="shared" si="302"/>
        <v>0</v>
      </c>
      <c r="AJ3064">
        <f t="shared" si="303"/>
        <v>0</v>
      </c>
      <c r="AK3064">
        <v>0</v>
      </c>
      <c r="AL3064" t="str">
        <f>IF(AA3064="","",IFERROR(IF(ISNUMBER('Procyfloc 4800'!D65),'Procyfloc 4800'!D65,IF(ISNUMBER(SEARCH("12",'Procyfloc 4800'!D65)),EDATE(AB3064,12),IF(ISNUMBER(SEARCH("6",'Procyfloc 4800'!D65)),EDATE(AB3064,6),IF(ISNUMBER(SEARCH("3",'Procyfloc 4800'!D65)),EDATE(AB3064,3),DATEVALUE('Procyfloc 4800'!D65))))),""))</f>
        <v/>
      </c>
      <c r="AM3064" t="str">
        <f t="shared" ca="1" si="304"/>
        <v/>
      </c>
    </row>
    <row r="3065" spans="27:39" x14ac:dyDescent="0.3">
      <c r="AA3065" t="str">
        <f>IF(COUNTA('Procyfloc 4800'!A66,'Procyfloc 4800'!B66,'Procyfloc 4800'!C66)&gt;0,"4800","")</f>
        <v/>
      </c>
      <c r="AB3065" t="str">
        <f>IFERROR(IF(ISNUMBER('Procyfloc 4800'!A66),'Procyfloc 4800'!A66,DATEVALUE('Procyfloc 4800'!A66)),"")</f>
        <v/>
      </c>
      <c r="AC3065" t="str">
        <f>IF(AA3065="","",'Procyfloc 4800'!B66)</f>
        <v/>
      </c>
      <c r="AD3065" t="str">
        <f>IF(AA3065="","",IFERROR(1*'Procyfloc 4800'!C66,IFERROR(_xludf.NUMBERVALUE('Procyfloc 4800'!C66,".",","),IFERROR(_xludf.NUMBERVALUE('Procyfloc 4800'!C66,",","."),0))))</f>
        <v/>
      </c>
      <c r="AE3065" t="str">
        <f>IF(AA3065="","",'Procyfloc 4800'!J66)</f>
        <v/>
      </c>
      <c r="AF3065">
        <f t="shared" si="299"/>
        <v>0</v>
      </c>
      <c r="AG3065" t="str">
        <f t="shared" si="300"/>
        <v/>
      </c>
      <c r="AH3065" t="str">
        <f t="shared" si="301"/>
        <v/>
      </c>
      <c r="AI3065">
        <f t="shared" si="302"/>
        <v>0</v>
      </c>
      <c r="AJ3065">
        <f t="shared" si="303"/>
        <v>0</v>
      </c>
      <c r="AK3065">
        <v>0</v>
      </c>
      <c r="AL3065" t="str">
        <f>IF(AA3065="","",IFERROR(IF(ISNUMBER('Procyfloc 4800'!D66),'Procyfloc 4800'!D66,IF(ISNUMBER(SEARCH("12",'Procyfloc 4800'!D66)),EDATE(AB3065,12),IF(ISNUMBER(SEARCH("6",'Procyfloc 4800'!D66)),EDATE(AB3065,6),IF(ISNUMBER(SEARCH("3",'Procyfloc 4800'!D66)),EDATE(AB3065,3),DATEVALUE('Procyfloc 4800'!D66))))),""))</f>
        <v/>
      </c>
      <c r="AM3065" t="str">
        <f t="shared" ca="1" si="304"/>
        <v/>
      </c>
    </row>
    <row r="3066" spans="27:39" x14ac:dyDescent="0.3">
      <c r="AA3066" t="str">
        <f>IF(COUNTA('Procyfloc 4800'!A67,'Procyfloc 4800'!B67,'Procyfloc 4800'!C67)&gt;0,"4800","")</f>
        <v/>
      </c>
      <c r="AB3066" t="str">
        <f>IFERROR(IF(ISNUMBER('Procyfloc 4800'!A67),'Procyfloc 4800'!A67,DATEVALUE('Procyfloc 4800'!A67)),"")</f>
        <v/>
      </c>
      <c r="AC3066" t="str">
        <f>IF(AA3066="","",'Procyfloc 4800'!B67)</f>
        <v/>
      </c>
      <c r="AD3066" t="str">
        <f>IF(AA3066="","",IFERROR(1*'Procyfloc 4800'!C67,IFERROR(_xludf.NUMBERVALUE('Procyfloc 4800'!C67,".",","),IFERROR(_xludf.NUMBERVALUE('Procyfloc 4800'!C67,",","."),0))))</f>
        <v/>
      </c>
      <c r="AE3066" t="str">
        <f>IF(AA3066="","",'Procyfloc 4800'!J67)</f>
        <v/>
      </c>
      <c r="AF3066">
        <f t="shared" si="299"/>
        <v>0</v>
      </c>
      <c r="AG3066" t="str">
        <f t="shared" si="300"/>
        <v/>
      </c>
      <c r="AH3066" t="str">
        <f t="shared" si="301"/>
        <v/>
      </c>
      <c r="AI3066">
        <f t="shared" si="302"/>
        <v>0</v>
      </c>
      <c r="AJ3066">
        <f t="shared" si="303"/>
        <v>0</v>
      </c>
      <c r="AK3066">
        <v>0</v>
      </c>
      <c r="AL3066" t="str">
        <f>IF(AA3066="","",IFERROR(IF(ISNUMBER('Procyfloc 4800'!D67),'Procyfloc 4800'!D67,IF(ISNUMBER(SEARCH("12",'Procyfloc 4800'!D67)),EDATE(AB3066,12),IF(ISNUMBER(SEARCH("6",'Procyfloc 4800'!D67)),EDATE(AB3066,6),IF(ISNUMBER(SEARCH("3",'Procyfloc 4800'!D67)),EDATE(AB3066,3),DATEVALUE('Procyfloc 4800'!D67))))),""))</f>
        <v/>
      </c>
      <c r="AM3066" t="str">
        <f t="shared" ca="1" si="304"/>
        <v/>
      </c>
    </row>
    <row r="3067" spans="27:39" x14ac:dyDescent="0.3">
      <c r="AA3067" t="str">
        <f>IF(COUNTA('Procyfloc 4800'!A68,'Procyfloc 4800'!B68,'Procyfloc 4800'!C68)&gt;0,"4800","")</f>
        <v/>
      </c>
      <c r="AB3067" t="str">
        <f>IFERROR(IF(ISNUMBER('Procyfloc 4800'!A68),'Procyfloc 4800'!A68,DATEVALUE('Procyfloc 4800'!A68)),"")</f>
        <v/>
      </c>
      <c r="AC3067" t="str">
        <f>IF(AA3067="","",'Procyfloc 4800'!B68)</f>
        <v/>
      </c>
      <c r="AD3067" t="str">
        <f>IF(AA3067="","",IFERROR(1*'Procyfloc 4800'!C68,IFERROR(_xludf.NUMBERVALUE('Procyfloc 4800'!C68,".",","),IFERROR(_xludf.NUMBERVALUE('Procyfloc 4800'!C68,",","."),0))))</f>
        <v/>
      </c>
      <c r="AE3067" t="str">
        <f>IF(AA3067="","",'Procyfloc 4800'!J68)</f>
        <v/>
      </c>
      <c r="AF3067">
        <f t="shared" si="299"/>
        <v>0</v>
      </c>
      <c r="AG3067" t="str">
        <f t="shared" si="300"/>
        <v/>
      </c>
      <c r="AH3067" t="str">
        <f t="shared" si="301"/>
        <v/>
      </c>
      <c r="AI3067">
        <f t="shared" si="302"/>
        <v>0</v>
      </c>
      <c r="AJ3067">
        <f t="shared" si="303"/>
        <v>0</v>
      </c>
      <c r="AK3067">
        <v>0</v>
      </c>
      <c r="AL3067" t="str">
        <f>IF(AA3067="","",IFERROR(IF(ISNUMBER('Procyfloc 4800'!D68),'Procyfloc 4800'!D68,IF(ISNUMBER(SEARCH("12",'Procyfloc 4800'!D68)),EDATE(AB3067,12),IF(ISNUMBER(SEARCH("6",'Procyfloc 4800'!D68)),EDATE(AB3067,6),IF(ISNUMBER(SEARCH("3",'Procyfloc 4800'!D68)),EDATE(AB3067,3),DATEVALUE('Procyfloc 4800'!D68))))),""))</f>
        <v/>
      </c>
      <c r="AM3067" t="str">
        <f t="shared" ca="1" si="304"/>
        <v/>
      </c>
    </row>
    <row r="3068" spans="27:39" x14ac:dyDescent="0.3">
      <c r="AA3068" t="str">
        <f>IF(COUNTA('Procyfloc 4800'!A69,'Procyfloc 4800'!B69,'Procyfloc 4800'!C69)&gt;0,"4800","")</f>
        <v/>
      </c>
      <c r="AB3068" t="str">
        <f>IFERROR(IF(ISNUMBER('Procyfloc 4800'!A69),'Procyfloc 4800'!A69,DATEVALUE('Procyfloc 4800'!A69)),"")</f>
        <v/>
      </c>
      <c r="AC3068" t="str">
        <f>IF(AA3068="","",'Procyfloc 4800'!B69)</f>
        <v/>
      </c>
      <c r="AD3068" t="str">
        <f>IF(AA3068="","",IFERROR(1*'Procyfloc 4800'!C69,IFERROR(_xludf.NUMBERVALUE('Procyfloc 4800'!C69,".",","),IFERROR(_xludf.NUMBERVALUE('Procyfloc 4800'!C69,",","."),0))))</f>
        <v/>
      </c>
      <c r="AE3068" t="str">
        <f>IF(AA3068="","",'Procyfloc 4800'!J69)</f>
        <v/>
      </c>
      <c r="AF3068">
        <f t="shared" si="299"/>
        <v>0</v>
      </c>
      <c r="AG3068" t="str">
        <f t="shared" si="300"/>
        <v/>
      </c>
      <c r="AH3068" t="str">
        <f t="shared" si="301"/>
        <v/>
      </c>
      <c r="AI3068">
        <f t="shared" si="302"/>
        <v>0</v>
      </c>
      <c r="AJ3068">
        <f t="shared" si="303"/>
        <v>0</v>
      </c>
      <c r="AK3068">
        <v>0</v>
      </c>
      <c r="AL3068" t="str">
        <f>IF(AA3068="","",IFERROR(IF(ISNUMBER('Procyfloc 4800'!D69),'Procyfloc 4800'!D69,IF(ISNUMBER(SEARCH("12",'Procyfloc 4800'!D69)),EDATE(AB3068,12),IF(ISNUMBER(SEARCH("6",'Procyfloc 4800'!D69)),EDATE(AB3068,6),IF(ISNUMBER(SEARCH("3",'Procyfloc 4800'!D69)),EDATE(AB3068,3),DATEVALUE('Procyfloc 4800'!D69))))),""))</f>
        <v/>
      </c>
      <c r="AM3068" t="str">
        <f t="shared" ca="1" si="304"/>
        <v/>
      </c>
    </row>
    <row r="3069" spans="27:39" x14ac:dyDescent="0.3">
      <c r="AA3069" t="str">
        <f>IF(COUNTA('Procyfloc 4800'!A70,'Procyfloc 4800'!B70,'Procyfloc 4800'!C70)&gt;0,"4800","")</f>
        <v/>
      </c>
      <c r="AB3069" t="str">
        <f>IFERROR(IF(ISNUMBER('Procyfloc 4800'!A70),'Procyfloc 4800'!A70,DATEVALUE('Procyfloc 4800'!A70)),"")</f>
        <v/>
      </c>
      <c r="AC3069" t="str">
        <f>IF(AA3069="","",'Procyfloc 4800'!B70)</f>
        <v/>
      </c>
      <c r="AD3069" t="str">
        <f>IF(AA3069="","",IFERROR(1*'Procyfloc 4800'!C70,IFERROR(_xludf.NUMBERVALUE('Procyfloc 4800'!C70,".",","),IFERROR(_xludf.NUMBERVALUE('Procyfloc 4800'!C70,",","."),0))))</f>
        <v/>
      </c>
      <c r="AE3069" t="str">
        <f>IF(AA3069="","",'Procyfloc 4800'!J70)</f>
        <v/>
      </c>
      <c r="AF3069">
        <f t="shared" si="299"/>
        <v>0</v>
      </c>
      <c r="AG3069" t="str">
        <f t="shared" si="300"/>
        <v/>
      </c>
      <c r="AH3069" t="str">
        <f t="shared" si="301"/>
        <v/>
      </c>
      <c r="AI3069">
        <f t="shared" si="302"/>
        <v>0</v>
      </c>
      <c r="AJ3069">
        <f t="shared" si="303"/>
        <v>0</v>
      </c>
      <c r="AK3069">
        <v>0</v>
      </c>
      <c r="AL3069" t="str">
        <f>IF(AA3069="","",IFERROR(IF(ISNUMBER('Procyfloc 4800'!D70),'Procyfloc 4800'!D70,IF(ISNUMBER(SEARCH("12",'Procyfloc 4800'!D70)),EDATE(AB3069,12),IF(ISNUMBER(SEARCH("6",'Procyfloc 4800'!D70)),EDATE(AB3069,6),IF(ISNUMBER(SEARCH("3",'Procyfloc 4800'!D70)),EDATE(AB3069,3),DATEVALUE('Procyfloc 4800'!D70))))),""))</f>
        <v/>
      </c>
      <c r="AM3069" t="str">
        <f t="shared" ca="1" si="304"/>
        <v/>
      </c>
    </row>
    <row r="3070" spans="27:39" x14ac:dyDescent="0.3">
      <c r="AA3070" t="str">
        <f>IF(COUNTA('Procyfloc 4800'!A71,'Procyfloc 4800'!B71,'Procyfloc 4800'!C71)&gt;0,"4800","")</f>
        <v/>
      </c>
      <c r="AB3070" t="str">
        <f>IFERROR(IF(ISNUMBER('Procyfloc 4800'!A71),'Procyfloc 4800'!A71,DATEVALUE('Procyfloc 4800'!A71)),"")</f>
        <v/>
      </c>
      <c r="AC3070" t="str">
        <f>IF(AA3070="","",'Procyfloc 4800'!B71)</f>
        <v/>
      </c>
      <c r="AD3070" t="str">
        <f>IF(AA3070="","",IFERROR(1*'Procyfloc 4800'!C71,IFERROR(_xludf.NUMBERVALUE('Procyfloc 4800'!C71,".",","),IFERROR(_xludf.NUMBERVALUE('Procyfloc 4800'!C71,",","."),0))))</f>
        <v/>
      </c>
      <c r="AE3070" t="str">
        <f>IF(AA3070="","",'Procyfloc 4800'!J71)</f>
        <v/>
      </c>
      <c r="AF3070">
        <f t="shared" si="299"/>
        <v>0</v>
      </c>
      <c r="AG3070" t="str">
        <f t="shared" si="300"/>
        <v/>
      </c>
      <c r="AH3070" t="str">
        <f t="shared" si="301"/>
        <v/>
      </c>
      <c r="AI3070">
        <f t="shared" si="302"/>
        <v>0</v>
      </c>
      <c r="AJ3070">
        <f t="shared" si="303"/>
        <v>0</v>
      </c>
      <c r="AK3070">
        <v>0</v>
      </c>
      <c r="AL3070" t="str">
        <f>IF(AA3070="","",IFERROR(IF(ISNUMBER('Procyfloc 4800'!D71),'Procyfloc 4800'!D71,IF(ISNUMBER(SEARCH("12",'Procyfloc 4800'!D71)),EDATE(AB3070,12),IF(ISNUMBER(SEARCH("6",'Procyfloc 4800'!D71)),EDATE(AB3070,6),IF(ISNUMBER(SEARCH("3",'Procyfloc 4800'!D71)),EDATE(AB3070,3),DATEVALUE('Procyfloc 4800'!D71))))),""))</f>
        <v/>
      </c>
      <c r="AM3070" t="str">
        <f t="shared" ca="1" si="304"/>
        <v/>
      </c>
    </row>
    <row r="3071" spans="27:39" x14ac:dyDescent="0.3">
      <c r="AA3071" t="str">
        <f>IF(COUNTA('Procyfloc 4800'!A72,'Procyfloc 4800'!B72,'Procyfloc 4800'!C72)&gt;0,"4800","")</f>
        <v/>
      </c>
      <c r="AB3071" t="str">
        <f>IFERROR(IF(ISNUMBER('Procyfloc 4800'!A72),'Procyfloc 4800'!A72,DATEVALUE('Procyfloc 4800'!A72)),"")</f>
        <v/>
      </c>
      <c r="AC3071" t="str">
        <f>IF(AA3071="","",'Procyfloc 4800'!B72)</f>
        <v/>
      </c>
      <c r="AD3071" t="str">
        <f>IF(AA3071="","",IFERROR(1*'Procyfloc 4800'!C72,IFERROR(_xludf.NUMBERVALUE('Procyfloc 4800'!C72,".",","),IFERROR(_xludf.NUMBERVALUE('Procyfloc 4800'!C72,",","."),0))))</f>
        <v/>
      </c>
      <c r="AE3071" t="str">
        <f>IF(AA3071="","",'Procyfloc 4800'!J72)</f>
        <v/>
      </c>
      <c r="AF3071">
        <f t="shared" si="299"/>
        <v>0</v>
      </c>
      <c r="AG3071" t="str">
        <f t="shared" si="300"/>
        <v/>
      </c>
      <c r="AH3071" t="str">
        <f t="shared" si="301"/>
        <v/>
      </c>
      <c r="AI3071">
        <f t="shared" si="302"/>
        <v>0</v>
      </c>
      <c r="AJ3071">
        <f t="shared" si="303"/>
        <v>0</v>
      </c>
      <c r="AK3071">
        <v>0</v>
      </c>
      <c r="AL3071" t="str">
        <f>IF(AA3071="","",IFERROR(IF(ISNUMBER('Procyfloc 4800'!D72),'Procyfloc 4800'!D72,IF(ISNUMBER(SEARCH("12",'Procyfloc 4800'!D72)),EDATE(AB3071,12),IF(ISNUMBER(SEARCH("6",'Procyfloc 4800'!D72)),EDATE(AB3071,6),IF(ISNUMBER(SEARCH("3",'Procyfloc 4800'!D72)),EDATE(AB3071,3),DATEVALUE('Procyfloc 4800'!D72))))),""))</f>
        <v/>
      </c>
      <c r="AM3071" t="str">
        <f t="shared" ca="1" si="304"/>
        <v/>
      </c>
    </row>
    <row r="3072" spans="27:39" x14ac:dyDescent="0.3">
      <c r="AA3072" t="str">
        <f>IF(COUNTA('Procyfloc 4800'!A73,'Procyfloc 4800'!B73,'Procyfloc 4800'!C73)&gt;0,"4800","")</f>
        <v/>
      </c>
      <c r="AB3072" t="str">
        <f>IFERROR(IF(ISNUMBER('Procyfloc 4800'!A73),'Procyfloc 4800'!A73,DATEVALUE('Procyfloc 4800'!A73)),"")</f>
        <v/>
      </c>
      <c r="AC3072" t="str">
        <f>IF(AA3072="","",'Procyfloc 4800'!B73)</f>
        <v/>
      </c>
      <c r="AD3072" t="str">
        <f>IF(AA3072="","",IFERROR(1*'Procyfloc 4800'!C73,IFERROR(_xludf.NUMBERVALUE('Procyfloc 4800'!C73,".",","),IFERROR(_xludf.NUMBERVALUE('Procyfloc 4800'!C73,",","."),0))))</f>
        <v/>
      </c>
      <c r="AE3072" t="str">
        <f>IF(AA3072="","",'Procyfloc 4800'!J73)</f>
        <v/>
      </c>
      <c r="AF3072">
        <f t="shared" si="299"/>
        <v>0</v>
      </c>
      <c r="AG3072" t="str">
        <f t="shared" si="300"/>
        <v/>
      </c>
      <c r="AH3072" t="str">
        <f t="shared" si="301"/>
        <v/>
      </c>
      <c r="AI3072">
        <f t="shared" si="302"/>
        <v>0</v>
      </c>
      <c r="AJ3072">
        <f t="shared" si="303"/>
        <v>0</v>
      </c>
      <c r="AK3072">
        <v>0</v>
      </c>
      <c r="AL3072" t="str">
        <f>IF(AA3072="","",IFERROR(IF(ISNUMBER('Procyfloc 4800'!D73),'Procyfloc 4800'!D73,IF(ISNUMBER(SEARCH("12",'Procyfloc 4800'!D73)),EDATE(AB3072,12),IF(ISNUMBER(SEARCH("6",'Procyfloc 4800'!D73)),EDATE(AB3072,6),IF(ISNUMBER(SEARCH("3",'Procyfloc 4800'!D73)),EDATE(AB3072,3),DATEVALUE('Procyfloc 4800'!D73))))),""))</f>
        <v/>
      </c>
      <c r="AM3072" t="str">
        <f t="shared" ca="1" si="304"/>
        <v/>
      </c>
    </row>
    <row r="3073" spans="27:39" x14ac:dyDescent="0.3">
      <c r="AA3073" t="str">
        <f>IF(COUNTA('Procyfloc 4800'!A74,'Procyfloc 4800'!B74,'Procyfloc 4800'!C74)&gt;0,"4800","")</f>
        <v/>
      </c>
      <c r="AB3073" t="str">
        <f>IFERROR(IF(ISNUMBER('Procyfloc 4800'!A74),'Procyfloc 4800'!A74,DATEVALUE('Procyfloc 4800'!A74)),"")</f>
        <v/>
      </c>
      <c r="AC3073" t="str">
        <f>IF(AA3073="","",'Procyfloc 4800'!B74)</f>
        <v/>
      </c>
      <c r="AD3073" t="str">
        <f>IF(AA3073="","",IFERROR(1*'Procyfloc 4800'!C74,IFERROR(_xludf.NUMBERVALUE('Procyfloc 4800'!C74,".",","),IFERROR(_xludf.NUMBERVALUE('Procyfloc 4800'!C74,",","."),0))))</f>
        <v/>
      </c>
      <c r="AE3073" t="str">
        <f>IF(AA3073="","",'Procyfloc 4800'!J74)</f>
        <v/>
      </c>
      <c r="AF3073">
        <f t="shared" si="299"/>
        <v>0</v>
      </c>
      <c r="AG3073" t="str">
        <f t="shared" si="300"/>
        <v/>
      </c>
      <c r="AH3073" t="str">
        <f t="shared" si="301"/>
        <v/>
      </c>
      <c r="AI3073">
        <f t="shared" si="302"/>
        <v>0</v>
      </c>
      <c r="AJ3073">
        <f t="shared" si="303"/>
        <v>0</v>
      </c>
      <c r="AK3073">
        <v>0</v>
      </c>
      <c r="AL3073" t="str">
        <f>IF(AA3073="","",IFERROR(IF(ISNUMBER('Procyfloc 4800'!D74),'Procyfloc 4800'!D74,IF(ISNUMBER(SEARCH("12",'Procyfloc 4800'!D74)),EDATE(AB3073,12),IF(ISNUMBER(SEARCH("6",'Procyfloc 4800'!D74)),EDATE(AB3073,6),IF(ISNUMBER(SEARCH("3",'Procyfloc 4800'!D74)),EDATE(AB3073,3),DATEVALUE('Procyfloc 4800'!D74))))),""))</f>
        <v/>
      </c>
      <c r="AM3073" t="str">
        <f t="shared" ca="1" si="304"/>
        <v/>
      </c>
    </row>
    <row r="3074" spans="27:39" x14ac:dyDescent="0.3">
      <c r="AA3074" t="str">
        <f>IF(COUNTA('Procyfloc 4800'!A75,'Procyfloc 4800'!B75,'Procyfloc 4800'!C75)&gt;0,"4800","")</f>
        <v/>
      </c>
      <c r="AB3074" t="str">
        <f>IFERROR(IF(ISNUMBER('Procyfloc 4800'!A75),'Procyfloc 4800'!A75,DATEVALUE('Procyfloc 4800'!A75)),"")</f>
        <v/>
      </c>
      <c r="AC3074" t="str">
        <f>IF(AA3074="","",'Procyfloc 4800'!B75)</f>
        <v/>
      </c>
      <c r="AD3074" t="str">
        <f>IF(AA3074="","",IFERROR(1*'Procyfloc 4800'!C75,IFERROR(_xludf.NUMBERVALUE('Procyfloc 4800'!C75,".",","),IFERROR(_xludf.NUMBERVALUE('Procyfloc 4800'!C75,",","."),0))))</f>
        <v/>
      </c>
      <c r="AE3074" t="str">
        <f>IF(AA3074="","",'Procyfloc 4800'!J75)</f>
        <v/>
      </c>
      <c r="AF3074">
        <f t="shared" ref="AF3074:AF3137" si="305">IF(AA3074="",0,--AND(ISNUMBER(SEARCH("aprov",AE3074)),NOT(ISNUMBER(SEARCH("reprov",AE3074)))))</f>
        <v>0</v>
      </c>
      <c r="AG3074" t="str">
        <f t="shared" ref="AG3074:AG3137" si="306">IF(AB3074="","",YEAR(AB3074))</f>
        <v/>
      </c>
      <c r="AH3074" t="str">
        <f t="shared" ref="AH3074:AH3137" si="307">IF(AB3074="","",MONTH(AB3074))</f>
        <v/>
      </c>
      <c r="AI3074">
        <f t="shared" ref="AI3074:AI3137" si="308">IF(AB3074="",0,AB3074+ROW()/1000000)</f>
        <v>0</v>
      </c>
      <c r="AJ3074">
        <f t="shared" ref="AJ3074:AJ3137" si="309">--(AA3074&lt;&gt;"")</f>
        <v>0</v>
      </c>
      <c r="AK3074">
        <v>0</v>
      </c>
      <c r="AL3074" t="str">
        <f>IF(AA3074="","",IFERROR(IF(ISNUMBER('Procyfloc 4800'!D75),'Procyfloc 4800'!D75,IF(ISNUMBER(SEARCH("12",'Procyfloc 4800'!D75)),EDATE(AB3074,12),IF(ISNUMBER(SEARCH("6",'Procyfloc 4800'!D75)),EDATE(AB3074,6),IF(ISNUMBER(SEARCH("3",'Procyfloc 4800'!D75)),EDATE(AB3074,3),DATEVALUE('Procyfloc 4800'!D75))))),""))</f>
        <v/>
      </c>
      <c r="AM3074" t="str">
        <f t="shared" ref="AM3074:AM3137" ca="1" si="310">IF(AND(AJ3074=1,AL3074&lt;&gt;"",AL3074&gt;=TODAY(),AG3074=$W$3),AL3074+ROW()/1000000,"")</f>
        <v/>
      </c>
    </row>
    <row r="3075" spans="27:39" x14ac:dyDescent="0.3">
      <c r="AA3075" t="str">
        <f>IF(COUNTA('Procyfloc 4800'!A76,'Procyfloc 4800'!B76,'Procyfloc 4800'!C76)&gt;0,"4800","")</f>
        <v/>
      </c>
      <c r="AB3075" t="str">
        <f>IFERROR(IF(ISNUMBER('Procyfloc 4800'!A76),'Procyfloc 4800'!A76,DATEVALUE('Procyfloc 4800'!A76)),"")</f>
        <v/>
      </c>
      <c r="AC3075" t="str">
        <f>IF(AA3075="","",'Procyfloc 4800'!B76)</f>
        <v/>
      </c>
      <c r="AD3075" t="str">
        <f>IF(AA3075="","",IFERROR(1*'Procyfloc 4800'!C76,IFERROR(_xludf.NUMBERVALUE('Procyfloc 4800'!C76,".",","),IFERROR(_xludf.NUMBERVALUE('Procyfloc 4800'!C76,",","."),0))))</f>
        <v/>
      </c>
      <c r="AE3075" t="str">
        <f>IF(AA3075="","",'Procyfloc 4800'!J76)</f>
        <v/>
      </c>
      <c r="AF3075">
        <f t="shared" si="305"/>
        <v>0</v>
      </c>
      <c r="AG3075" t="str">
        <f t="shared" si="306"/>
        <v/>
      </c>
      <c r="AH3075" t="str">
        <f t="shared" si="307"/>
        <v/>
      </c>
      <c r="AI3075">
        <f t="shared" si="308"/>
        <v>0</v>
      </c>
      <c r="AJ3075">
        <f t="shared" si="309"/>
        <v>0</v>
      </c>
      <c r="AK3075">
        <v>0</v>
      </c>
      <c r="AL3075" t="str">
        <f>IF(AA3075="","",IFERROR(IF(ISNUMBER('Procyfloc 4800'!D76),'Procyfloc 4800'!D76,IF(ISNUMBER(SEARCH("12",'Procyfloc 4800'!D76)),EDATE(AB3075,12),IF(ISNUMBER(SEARCH("6",'Procyfloc 4800'!D76)),EDATE(AB3075,6),IF(ISNUMBER(SEARCH("3",'Procyfloc 4800'!D76)),EDATE(AB3075,3),DATEVALUE('Procyfloc 4800'!D76))))),""))</f>
        <v/>
      </c>
      <c r="AM3075" t="str">
        <f t="shared" ca="1" si="310"/>
        <v/>
      </c>
    </row>
    <row r="3076" spans="27:39" x14ac:dyDescent="0.3">
      <c r="AA3076" t="str">
        <f>IF(COUNTA('Procyfloc 4800'!A77,'Procyfloc 4800'!B77,'Procyfloc 4800'!C77)&gt;0,"4800","")</f>
        <v/>
      </c>
      <c r="AB3076" t="str">
        <f>IFERROR(IF(ISNUMBER('Procyfloc 4800'!A77),'Procyfloc 4800'!A77,DATEVALUE('Procyfloc 4800'!A77)),"")</f>
        <v/>
      </c>
      <c r="AC3076" t="str">
        <f>IF(AA3076="","",'Procyfloc 4800'!B77)</f>
        <v/>
      </c>
      <c r="AD3076" t="str">
        <f>IF(AA3076="","",IFERROR(1*'Procyfloc 4800'!C77,IFERROR(_xludf.NUMBERVALUE('Procyfloc 4800'!C77,".",","),IFERROR(_xludf.NUMBERVALUE('Procyfloc 4800'!C77,",","."),0))))</f>
        <v/>
      </c>
      <c r="AE3076" t="str">
        <f>IF(AA3076="","",'Procyfloc 4800'!J77)</f>
        <v/>
      </c>
      <c r="AF3076">
        <f t="shared" si="305"/>
        <v>0</v>
      </c>
      <c r="AG3076" t="str">
        <f t="shared" si="306"/>
        <v/>
      </c>
      <c r="AH3076" t="str">
        <f t="shared" si="307"/>
        <v/>
      </c>
      <c r="AI3076">
        <f t="shared" si="308"/>
        <v>0</v>
      </c>
      <c r="AJ3076">
        <f t="shared" si="309"/>
        <v>0</v>
      </c>
      <c r="AK3076">
        <v>0</v>
      </c>
      <c r="AL3076" t="str">
        <f>IF(AA3076="","",IFERROR(IF(ISNUMBER('Procyfloc 4800'!D77),'Procyfloc 4800'!D77,IF(ISNUMBER(SEARCH("12",'Procyfloc 4800'!D77)),EDATE(AB3076,12),IF(ISNUMBER(SEARCH("6",'Procyfloc 4800'!D77)),EDATE(AB3076,6),IF(ISNUMBER(SEARCH("3",'Procyfloc 4800'!D77)),EDATE(AB3076,3),DATEVALUE('Procyfloc 4800'!D77))))),""))</f>
        <v/>
      </c>
      <c r="AM3076" t="str">
        <f t="shared" ca="1" si="310"/>
        <v/>
      </c>
    </row>
    <row r="3077" spans="27:39" x14ac:dyDescent="0.3">
      <c r="AA3077" t="str">
        <f>IF(COUNTA('Procyfloc 4800'!A78,'Procyfloc 4800'!B78,'Procyfloc 4800'!C78)&gt;0,"4800","")</f>
        <v/>
      </c>
      <c r="AB3077" t="str">
        <f>IFERROR(IF(ISNUMBER('Procyfloc 4800'!A78),'Procyfloc 4800'!A78,DATEVALUE('Procyfloc 4800'!A78)),"")</f>
        <v/>
      </c>
      <c r="AC3077" t="str">
        <f>IF(AA3077="","",'Procyfloc 4800'!B78)</f>
        <v/>
      </c>
      <c r="AD3077" t="str">
        <f>IF(AA3077="","",IFERROR(1*'Procyfloc 4800'!C78,IFERROR(_xludf.NUMBERVALUE('Procyfloc 4800'!C78,".",","),IFERROR(_xludf.NUMBERVALUE('Procyfloc 4800'!C78,",","."),0))))</f>
        <v/>
      </c>
      <c r="AE3077" t="str">
        <f>IF(AA3077="","",'Procyfloc 4800'!J78)</f>
        <v/>
      </c>
      <c r="AF3077">
        <f t="shared" si="305"/>
        <v>0</v>
      </c>
      <c r="AG3077" t="str">
        <f t="shared" si="306"/>
        <v/>
      </c>
      <c r="AH3077" t="str">
        <f t="shared" si="307"/>
        <v/>
      </c>
      <c r="AI3077">
        <f t="shared" si="308"/>
        <v>0</v>
      </c>
      <c r="AJ3077">
        <f t="shared" si="309"/>
        <v>0</v>
      </c>
      <c r="AK3077">
        <v>0</v>
      </c>
      <c r="AL3077" t="str">
        <f>IF(AA3077="","",IFERROR(IF(ISNUMBER('Procyfloc 4800'!D78),'Procyfloc 4800'!D78,IF(ISNUMBER(SEARCH("12",'Procyfloc 4800'!D78)),EDATE(AB3077,12),IF(ISNUMBER(SEARCH("6",'Procyfloc 4800'!D78)),EDATE(AB3077,6),IF(ISNUMBER(SEARCH("3",'Procyfloc 4800'!D78)),EDATE(AB3077,3),DATEVALUE('Procyfloc 4800'!D78))))),""))</f>
        <v/>
      </c>
      <c r="AM3077" t="str">
        <f t="shared" ca="1" si="310"/>
        <v/>
      </c>
    </row>
    <row r="3078" spans="27:39" x14ac:dyDescent="0.3">
      <c r="AA3078" t="str">
        <f>IF(COUNTA('Procyfloc 4800'!A79,'Procyfloc 4800'!B79,'Procyfloc 4800'!C79)&gt;0,"4800","")</f>
        <v/>
      </c>
      <c r="AB3078" t="str">
        <f>IFERROR(IF(ISNUMBER('Procyfloc 4800'!A79),'Procyfloc 4800'!A79,DATEVALUE('Procyfloc 4800'!A79)),"")</f>
        <v/>
      </c>
      <c r="AC3078" t="str">
        <f>IF(AA3078="","",'Procyfloc 4800'!B79)</f>
        <v/>
      </c>
      <c r="AD3078" t="str">
        <f>IF(AA3078="","",IFERROR(1*'Procyfloc 4800'!C79,IFERROR(_xludf.NUMBERVALUE('Procyfloc 4800'!C79,".",","),IFERROR(_xludf.NUMBERVALUE('Procyfloc 4800'!C79,",","."),0))))</f>
        <v/>
      </c>
      <c r="AE3078" t="str">
        <f>IF(AA3078="","",'Procyfloc 4800'!J79)</f>
        <v/>
      </c>
      <c r="AF3078">
        <f t="shared" si="305"/>
        <v>0</v>
      </c>
      <c r="AG3078" t="str">
        <f t="shared" si="306"/>
        <v/>
      </c>
      <c r="AH3078" t="str">
        <f t="shared" si="307"/>
        <v/>
      </c>
      <c r="AI3078">
        <f t="shared" si="308"/>
        <v>0</v>
      </c>
      <c r="AJ3078">
        <f t="shared" si="309"/>
        <v>0</v>
      </c>
      <c r="AK3078">
        <v>0</v>
      </c>
      <c r="AL3078" t="str">
        <f>IF(AA3078="","",IFERROR(IF(ISNUMBER('Procyfloc 4800'!D79),'Procyfloc 4800'!D79,IF(ISNUMBER(SEARCH("12",'Procyfloc 4800'!D79)),EDATE(AB3078,12),IF(ISNUMBER(SEARCH("6",'Procyfloc 4800'!D79)),EDATE(AB3078,6),IF(ISNUMBER(SEARCH("3",'Procyfloc 4800'!D79)),EDATE(AB3078,3),DATEVALUE('Procyfloc 4800'!D79))))),""))</f>
        <v/>
      </c>
      <c r="AM3078" t="str">
        <f t="shared" ca="1" si="310"/>
        <v/>
      </c>
    </row>
    <row r="3079" spans="27:39" x14ac:dyDescent="0.3">
      <c r="AA3079" t="str">
        <f>IF(COUNTA('Procyfloc 4800'!A80,'Procyfloc 4800'!B80,'Procyfloc 4800'!C80)&gt;0,"4800","")</f>
        <v/>
      </c>
      <c r="AB3079" t="str">
        <f>IFERROR(IF(ISNUMBER('Procyfloc 4800'!A80),'Procyfloc 4800'!A80,DATEVALUE('Procyfloc 4800'!A80)),"")</f>
        <v/>
      </c>
      <c r="AC3079" t="str">
        <f>IF(AA3079="","",'Procyfloc 4800'!B80)</f>
        <v/>
      </c>
      <c r="AD3079" t="str">
        <f>IF(AA3079="","",IFERROR(1*'Procyfloc 4800'!C80,IFERROR(_xludf.NUMBERVALUE('Procyfloc 4800'!C80,".",","),IFERROR(_xludf.NUMBERVALUE('Procyfloc 4800'!C80,",","."),0))))</f>
        <v/>
      </c>
      <c r="AE3079" t="str">
        <f>IF(AA3079="","",'Procyfloc 4800'!J80)</f>
        <v/>
      </c>
      <c r="AF3079">
        <f t="shared" si="305"/>
        <v>0</v>
      </c>
      <c r="AG3079" t="str">
        <f t="shared" si="306"/>
        <v/>
      </c>
      <c r="AH3079" t="str">
        <f t="shared" si="307"/>
        <v/>
      </c>
      <c r="AI3079">
        <f t="shared" si="308"/>
        <v>0</v>
      </c>
      <c r="AJ3079">
        <f t="shared" si="309"/>
        <v>0</v>
      </c>
      <c r="AK3079">
        <v>0</v>
      </c>
      <c r="AL3079" t="str">
        <f>IF(AA3079="","",IFERROR(IF(ISNUMBER('Procyfloc 4800'!D80),'Procyfloc 4800'!D80,IF(ISNUMBER(SEARCH("12",'Procyfloc 4800'!D80)),EDATE(AB3079,12),IF(ISNUMBER(SEARCH("6",'Procyfloc 4800'!D80)),EDATE(AB3079,6),IF(ISNUMBER(SEARCH("3",'Procyfloc 4800'!D80)),EDATE(AB3079,3),DATEVALUE('Procyfloc 4800'!D80))))),""))</f>
        <v/>
      </c>
      <c r="AM3079" t="str">
        <f t="shared" ca="1" si="310"/>
        <v/>
      </c>
    </row>
    <row r="3080" spans="27:39" x14ac:dyDescent="0.3">
      <c r="AA3080" t="str">
        <f>IF(COUNTA('Procyfloc 4800'!A81,'Procyfloc 4800'!B81,'Procyfloc 4800'!C81)&gt;0,"4800","")</f>
        <v/>
      </c>
      <c r="AB3080" t="str">
        <f>IFERROR(IF(ISNUMBER('Procyfloc 4800'!A81),'Procyfloc 4800'!A81,DATEVALUE('Procyfloc 4800'!A81)),"")</f>
        <v/>
      </c>
      <c r="AC3080" t="str">
        <f>IF(AA3080="","",'Procyfloc 4800'!B81)</f>
        <v/>
      </c>
      <c r="AD3080" t="str">
        <f>IF(AA3080="","",IFERROR(1*'Procyfloc 4800'!C81,IFERROR(_xludf.NUMBERVALUE('Procyfloc 4800'!C81,".",","),IFERROR(_xludf.NUMBERVALUE('Procyfloc 4800'!C81,",","."),0))))</f>
        <v/>
      </c>
      <c r="AE3080" t="str">
        <f>IF(AA3080="","",'Procyfloc 4800'!J81)</f>
        <v/>
      </c>
      <c r="AF3080">
        <f t="shared" si="305"/>
        <v>0</v>
      </c>
      <c r="AG3080" t="str">
        <f t="shared" si="306"/>
        <v/>
      </c>
      <c r="AH3080" t="str">
        <f t="shared" si="307"/>
        <v/>
      </c>
      <c r="AI3080">
        <f t="shared" si="308"/>
        <v>0</v>
      </c>
      <c r="AJ3080">
        <f t="shared" si="309"/>
        <v>0</v>
      </c>
      <c r="AK3080">
        <v>0</v>
      </c>
      <c r="AL3080" t="str">
        <f>IF(AA3080="","",IFERROR(IF(ISNUMBER('Procyfloc 4800'!D81),'Procyfloc 4800'!D81,IF(ISNUMBER(SEARCH("12",'Procyfloc 4800'!D81)),EDATE(AB3080,12),IF(ISNUMBER(SEARCH("6",'Procyfloc 4800'!D81)),EDATE(AB3080,6),IF(ISNUMBER(SEARCH("3",'Procyfloc 4800'!D81)),EDATE(AB3080,3),DATEVALUE('Procyfloc 4800'!D81))))),""))</f>
        <v/>
      </c>
      <c r="AM3080" t="str">
        <f t="shared" ca="1" si="310"/>
        <v/>
      </c>
    </row>
    <row r="3081" spans="27:39" x14ac:dyDescent="0.3">
      <c r="AA3081" t="str">
        <f>IF(COUNTA('Procyfloc 4800'!A82,'Procyfloc 4800'!B82,'Procyfloc 4800'!C82)&gt;0,"4800","")</f>
        <v/>
      </c>
      <c r="AB3081" t="str">
        <f>IFERROR(IF(ISNUMBER('Procyfloc 4800'!A82),'Procyfloc 4800'!A82,DATEVALUE('Procyfloc 4800'!A82)),"")</f>
        <v/>
      </c>
      <c r="AC3081" t="str">
        <f>IF(AA3081="","",'Procyfloc 4800'!B82)</f>
        <v/>
      </c>
      <c r="AD3081" t="str">
        <f>IF(AA3081="","",IFERROR(1*'Procyfloc 4800'!C82,IFERROR(_xludf.NUMBERVALUE('Procyfloc 4800'!C82,".",","),IFERROR(_xludf.NUMBERVALUE('Procyfloc 4800'!C82,",","."),0))))</f>
        <v/>
      </c>
      <c r="AE3081" t="str">
        <f>IF(AA3081="","",'Procyfloc 4800'!J82)</f>
        <v/>
      </c>
      <c r="AF3081">
        <f t="shared" si="305"/>
        <v>0</v>
      </c>
      <c r="AG3081" t="str">
        <f t="shared" si="306"/>
        <v/>
      </c>
      <c r="AH3081" t="str">
        <f t="shared" si="307"/>
        <v/>
      </c>
      <c r="AI3081">
        <f t="shared" si="308"/>
        <v>0</v>
      </c>
      <c r="AJ3081">
        <f t="shared" si="309"/>
        <v>0</v>
      </c>
      <c r="AK3081">
        <v>0</v>
      </c>
      <c r="AL3081" t="str">
        <f>IF(AA3081="","",IFERROR(IF(ISNUMBER('Procyfloc 4800'!D82),'Procyfloc 4800'!D82,IF(ISNUMBER(SEARCH("12",'Procyfloc 4800'!D82)),EDATE(AB3081,12),IF(ISNUMBER(SEARCH("6",'Procyfloc 4800'!D82)),EDATE(AB3081,6),IF(ISNUMBER(SEARCH("3",'Procyfloc 4800'!D82)),EDATE(AB3081,3),DATEVALUE('Procyfloc 4800'!D82))))),""))</f>
        <v/>
      </c>
      <c r="AM3081" t="str">
        <f t="shared" ca="1" si="310"/>
        <v/>
      </c>
    </row>
    <row r="3082" spans="27:39" x14ac:dyDescent="0.3">
      <c r="AA3082" t="str">
        <f>IF(COUNTA('Procyfloc 4800'!A83,'Procyfloc 4800'!B83,'Procyfloc 4800'!C83)&gt;0,"4800","")</f>
        <v/>
      </c>
      <c r="AB3082" t="str">
        <f>IFERROR(IF(ISNUMBER('Procyfloc 4800'!A83),'Procyfloc 4800'!A83,DATEVALUE('Procyfloc 4800'!A83)),"")</f>
        <v/>
      </c>
      <c r="AC3082" t="str">
        <f>IF(AA3082="","",'Procyfloc 4800'!B83)</f>
        <v/>
      </c>
      <c r="AD3082" t="str">
        <f>IF(AA3082="","",IFERROR(1*'Procyfloc 4800'!C83,IFERROR(_xludf.NUMBERVALUE('Procyfloc 4800'!C83,".",","),IFERROR(_xludf.NUMBERVALUE('Procyfloc 4800'!C83,",","."),0))))</f>
        <v/>
      </c>
      <c r="AE3082" t="str">
        <f>IF(AA3082="","",'Procyfloc 4800'!J83)</f>
        <v/>
      </c>
      <c r="AF3082">
        <f t="shared" si="305"/>
        <v>0</v>
      </c>
      <c r="AG3082" t="str">
        <f t="shared" si="306"/>
        <v/>
      </c>
      <c r="AH3082" t="str">
        <f t="shared" si="307"/>
        <v/>
      </c>
      <c r="AI3082">
        <f t="shared" si="308"/>
        <v>0</v>
      </c>
      <c r="AJ3082">
        <f t="shared" si="309"/>
        <v>0</v>
      </c>
      <c r="AK3082">
        <v>0</v>
      </c>
      <c r="AL3082" t="str">
        <f>IF(AA3082="","",IFERROR(IF(ISNUMBER('Procyfloc 4800'!D83),'Procyfloc 4800'!D83,IF(ISNUMBER(SEARCH("12",'Procyfloc 4800'!D83)),EDATE(AB3082,12),IF(ISNUMBER(SEARCH("6",'Procyfloc 4800'!D83)),EDATE(AB3082,6),IF(ISNUMBER(SEARCH("3",'Procyfloc 4800'!D83)),EDATE(AB3082,3),DATEVALUE('Procyfloc 4800'!D83))))),""))</f>
        <v/>
      </c>
      <c r="AM3082" t="str">
        <f t="shared" ca="1" si="310"/>
        <v/>
      </c>
    </row>
    <row r="3083" spans="27:39" x14ac:dyDescent="0.3">
      <c r="AA3083" t="str">
        <f>IF(COUNTA('Procyfloc 4800'!A84,'Procyfloc 4800'!B84,'Procyfloc 4800'!C84)&gt;0,"4800","")</f>
        <v/>
      </c>
      <c r="AB3083" t="str">
        <f>IFERROR(IF(ISNUMBER('Procyfloc 4800'!A84),'Procyfloc 4800'!A84,DATEVALUE('Procyfloc 4800'!A84)),"")</f>
        <v/>
      </c>
      <c r="AC3083" t="str">
        <f>IF(AA3083="","",'Procyfloc 4800'!B84)</f>
        <v/>
      </c>
      <c r="AD3083" t="str">
        <f>IF(AA3083="","",IFERROR(1*'Procyfloc 4800'!C84,IFERROR(_xludf.NUMBERVALUE('Procyfloc 4800'!C84,".",","),IFERROR(_xludf.NUMBERVALUE('Procyfloc 4800'!C84,",","."),0))))</f>
        <v/>
      </c>
      <c r="AE3083" t="str">
        <f>IF(AA3083="","",'Procyfloc 4800'!J84)</f>
        <v/>
      </c>
      <c r="AF3083">
        <f t="shared" si="305"/>
        <v>0</v>
      </c>
      <c r="AG3083" t="str">
        <f t="shared" si="306"/>
        <v/>
      </c>
      <c r="AH3083" t="str">
        <f t="shared" si="307"/>
        <v/>
      </c>
      <c r="AI3083">
        <f t="shared" si="308"/>
        <v>0</v>
      </c>
      <c r="AJ3083">
        <f t="shared" si="309"/>
        <v>0</v>
      </c>
      <c r="AK3083">
        <v>0</v>
      </c>
      <c r="AL3083" t="str">
        <f>IF(AA3083="","",IFERROR(IF(ISNUMBER('Procyfloc 4800'!D84),'Procyfloc 4800'!D84,IF(ISNUMBER(SEARCH("12",'Procyfloc 4800'!D84)),EDATE(AB3083,12),IF(ISNUMBER(SEARCH("6",'Procyfloc 4800'!D84)),EDATE(AB3083,6),IF(ISNUMBER(SEARCH("3",'Procyfloc 4800'!D84)),EDATE(AB3083,3),DATEVALUE('Procyfloc 4800'!D84))))),""))</f>
        <v/>
      </c>
      <c r="AM3083" t="str">
        <f t="shared" ca="1" si="310"/>
        <v/>
      </c>
    </row>
    <row r="3084" spans="27:39" x14ac:dyDescent="0.3">
      <c r="AA3084" t="str">
        <f>IF(COUNTA('Procyfloc 4800'!A85,'Procyfloc 4800'!B85,'Procyfloc 4800'!C85)&gt;0,"4800","")</f>
        <v/>
      </c>
      <c r="AB3084" t="str">
        <f>IFERROR(IF(ISNUMBER('Procyfloc 4800'!A85),'Procyfloc 4800'!A85,DATEVALUE('Procyfloc 4800'!A85)),"")</f>
        <v/>
      </c>
      <c r="AC3084" t="str">
        <f>IF(AA3084="","",'Procyfloc 4800'!B85)</f>
        <v/>
      </c>
      <c r="AD3084" t="str">
        <f>IF(AA3084="","",IFERROR(1*'Procyfloc 4800'!C85,IFERROR(_xludf.NUMBERVALUE('Procyfloc 4800'!C85,".",","),IFERROR(_xludf.NUMBERVALUE('Procyfloc 4800'!C85,",","."),0))))</f>
        <v/>
      </c>
      <c r="AE3084" t="str">
        <f>IF(AA3084="","",'Procyfloc 4800'!J85)</f>
        <v/>
      </c>
      <c r="AF3084">
        <f t="shared" si="305"/>
        <v>0</v>
      </c>
      <c r="AG3084" t="str">
        <f t="shared" si="306"/>
        <v/>
      </c>
      <c r="AH3084" t="str">
        <f t="shared" si="307"/>
        <v/>
      </c>
      <c r="AI3084">
        <f t="shared" si="308"/>
        <v>0</v>
      </c>
      <c r="AJ3084">
        <f t="shared" si="309"/>
        <v>0</v>
      </c>
      <c r="AK3084">
        <v>0</v>
      </c>
      <c r="AL3084" t="str">
        <f>IF(AA3084="","",IFERROR(IF(ISNUMBER('Procyfloc 4800'!D85),'Procyfloc 4800'!D85,IF(ISNUMBER(SEARCH("12",'Procyfloc 4800'!D85)),EDATE(AB3084,12),IF(ISNUMBER(SEARCH("6",'Procyfloc 4800'!D85)),EDATE(AB3084,6),IF(ISNUMBER(SEARCH("3",'Procyfloc 4800'!D85)),EDATE(AB3084,3),DATEVALUE('Procyfloc 4800'!D85))))),""))</f>
        <v/>
      </c>
      <c r="AM3084" t="str">
        <f t="shared" ca="1" si="310"/>
        <v/>
      </c>
    </row>
    <row r="3085" spans="27:39" x14ac:dyDescent="0.3">
      <c r="AA3085" t="str">
        <f>IF(COUNTA('Procyfloc 4800'!A86,'Procyfloc 4800'!B86,'Procyfloc 4800'!C86)&gt;0,"4800","")</f>
        <v/>
      </c>
      <c r="AB3085" t="str">
        <f>IFERROR(IF(ISNUMBER('Procyfloc 4800'!A86),'Procyfloc 4800'!A86,DATEVALUE('Procyfloc 4800'!A86)),"")</f>
        <v/>
      </c>
      <c r="AC3085" t="str">
        <f>IF(AA3085="","",'Procyfloc 4800'!B86)</f>
        <v/>
      </c>
      <c r="AD3085" t="str">
        <f>IF(AA3085="","",IFERROR(1*'Procyfloc 4800'!C86,IFERROR(_xludf.NUMBERVALUE('Procyfloc 4800'!C86,".",","),IFERROR(_xludf.NUMBERVALUE('Procyfloc 4800'!C86,",","."),0))))</f>
        <v/>
      </c>
      <c r="AE3085" t="str">
        <f>IF(AA3085="","",'Procyfloc 4800'!J86)</f>
        <v/>
      </c>
      <c r="AF3085">
        <f t="shared" si="305"/>
        <v>0</v>
      </c>
      <c r="AG3085" t="str">
        <f t="shared" si="306"/>
        <v/>
      </c>
      <c r="AH3085" t="str">
        <f t="shared" si="307"/>
        <v/>
      </c>
      <c r="AI3085">
        <f t="shared" si="308"/>
        <v>0</v>
      </c>
      <c r="AJ3085">
        <f t="shared" si="309"/>
        <v>0</v>
      </c>
      <c r="AK3085">
        <v>0</v>
      </c>
      <c r="AL3085" t="str">
        <f>IF(AA3085="","",IFERROR(IF(ISNUMBER('Procyfloc 4800'!D86),'Procyfloc 4800'!D86,IF(ISNUMBER(SEARCH("12",'Procyfloc 4800'!D86)),EDATE(AB3085,12),IF(ISNUMBER(SEARCH("6",'Procyfloc 4800'!D86)),EDATE(AB3085,6),IF(ISNUMBER(SEARCH("3",'Procyfloc 4800'!D86)),EDATE(AB3085,3),DATEVALUE('Procyfloc 4800'!D86))))),""))</f>
        <v/>
      </c>
      <c r="AM3085" t="str">
        <f t="shared" ca="1" si="310"/>
        <v/>
      </c>
    </row>
    <row r="3086" spans="27:39" x14ac:dyDescent="0.3">
      <c r="AA3086" t="str">
        <f>IF(COUNTA('Procyfloc 4800'!A87,'Procyfloc 4800'!B87,'Procyfloc 4800'!C87)&gt;0,"4800","")</f>
        <v/>
      </c>
      <c r="AB3086" t="str">
        <f>IFERROR(IF(ISNUMBER('Procyfloc 4800'!A87),'Procyfloc 4800'!A87,DATEVALUE('Procyfloc 4800'!A87)),"")</f>
        <v/>
      </c>
      <c r="AC3086" t="str">
        <f>IF(AA3086="","",'Procyfloc 4800'!B87)</f>
        <v/>
      </c>
      <c r="AD3086" t="str">
        <f>IF(AA3086="","",IFERROR(1*'Procyfloc 4800'!C87,IFERROR(_xludf.NUMBERVALUE('Procyfloc 4800'!C87,".",","),IFERROR(_xludf.NUMBERVALUE('Procyfloc 4800'!C87,",","."),0))))</f>
        <v/>
      </c>
      <c r="AE3086" t="str">
        <f>IF(AA3086="","",'Procyfloc 4800'!J87)</f>
        <v/>
      </c>
      <c r="AF3086">
        <f t="shared" si="305"/>
        <v>0</v>
      </c>
      <c r="AG3086" t="str">
        <f t="shared" si="306"/>
        <v/>
      </c>
      <c r="AH3086" t="str">
        <f t="shared" si="307"/>
        <v/>
      </c>
      <c r="AI3086">
        <f t="shared" si="308"/>
        <v>0</v>
      </c>
      <c r="AJ3086">
        <f t="shared" si="309"/>
        <v>0</v>
      </c>
      <c r="AK3086">
        <v>0</v>
      </c>
      <c r="AL3086" t="str">
        <f>IF(AA3086="","",IFERROR(IF(ISNUMBER('Procyfloc 4800'!D87),'Procyfloc 4800'!D87,IF(ISNUMBER(SEARCH("12",'Procyfloc 4800'!D87)),EDATE(AB3086,12),IF(ISNUMBER(SEARCH("6",'Procyfloc 4800'!D87)),EDATE(AB3086,6),IF(ISNUMBER(SEARCH("3",'Procyfloc 4800'!D87)),EDATE(AB3086,3),DATEVALUE('Procyfloc 4800'!D87))))),""))</f>
        <v/>
      </c>
      <c r="AM3086" t="str">
        <f t="shared" ca="1" si="310"/>
        <v/>
      </c>
    </row>
    <row r="3087" spans="27:39" x14ac:dyDescent="0.3">
      <c r="AA3087" t="str">
        <f>IF(COUNTA('Procyfloc 4800'!A88,'Procyfloc 4800'!B88,'Procyfloc 4800'!C88)&gt;0,"4800","")</f>
        <v/>
      </c>
      <c r="AB3087" t="str">
        <f>IFERROR(IF(ISNUMBER('Procyfloc 4800'!A88),'Procyfloc 4800'!A88,DATEVALUE('Procyfloc 4800'!A88)),"")</f>
        <v/>
      </c>
      <c r="AC3087" t="str">
        <f>IF(AA3087="","",'Procyfloc 4800'!B88)</f>
        <v/>
      </c>
      <c r="AD3087" t="str">
        <f>IF(AA3087="","",IFERROR(1*'Procyfloc 4800'!C88,IFERROR(_xludf.NUMBERVALUE('Procyfloc 4800'!C88,".",","),IFERROR(_xludf.NUMBERVALUE('Procyfloc 4800'!C88,",","."),0))))</f>
        <v/>
      </c>
      <c r="AE3087" t="str">
        <f>IF(AA3087="","",'Procyfloc 4800'!J88)</f>
        <v/>
      </c>
      <c r="AF3087">
        <f t="shared" si="305"/>
        <v>0</v>
      </c>
      <c r="AG3087" t="str">
        <f t="shared" si="306"/>
        <v/>
      </c>
      <c r="AH3087" t="str">
        <f t="shared" si="307"/>
        <v/>
      </c>
      <c r="AI3087">
        <f t="shared" si="308"/>
        <v>0</v>
      </c>
      <c r="AJ3087">
        <f t="shared" si="309"/>
        <v>0</v>
      </c>
      <c r="AK3087">
        <v>0</v>
      </c>
      <c r="AL3087" t="str">
        <f>IF(AA3087="","",IFERROR(IF(ISNUMBER('Procyfloc 4800'!D88),'Procyfloc 4800'!D88,IF(ISNUMBER(SEARCH("12",'Procyfloc 4800'!D88)),EDATE(AB3087,12),IF(ISNUMBER(SEARCH("6",'Procyfloc 4800'!D88)),EDATE(AB3087,6),IF(ISNUMBER(SEARCH("3",'Procyfloc 4800'!D88)),EDATE(AB3087,3),DATEVALUE('Procyfloc 4800'!D88))))),""))</f>
        <v/>
      </c>
      <c r="AM3087" t="str">
        <f t="shared" ca="1" si="310"/>
        <v/>
      </c>
    </row>
    <row r="3088" spans="27:39" x14ac:dyDescent="0.3">
      <c r="AA3088" t="str">
        <f>IF(COUNTA('Procyfloc 4800'!A89,'Procyfloc 4800'!B89,'Procyfloc 4800'!C89)&gt;0,"4800","")</f>
        <v/>
      </c>
      <c r="AB3088" t="str">
        <f>IFERROR(IF(ISNUMBER('Procyfloc 4800'!A89),'Procyfloc 4800'!A89,DATEVALUE('Procyfloc 4800'!A89)),"")</f>
        <v/>
      </c>
      <c r="AC3088" t="str">
        <f>IF(AA3088="","",'Procyfloc 4800'!B89)</f>
        <v/>
      </c>
      <c r="AD3088" t="str">
        <f>IF(AA3088="","",IFERROR(1*'Procyfloc 4800'!C89,IFERROR(_xludf.NUMBERVALUE('Procyfloc 4800'!C89,".",","),IFERROR(_xludf.NUMBERVALUE('Procyfloc 4800'!C89,",","."),0))))</f>
        <v/>
      </c>
      <c r="AE3088" t="str">
        <f>IF(AA3088="","",'Procyfloc 4800'!J89)</f>
        <v/>
      </c>
      <c r="AF3088">
        <f t="shared" si="305"/>
        <v>0</v>
      </c>
      <c r="AG3088" t="str">
        <f t="shared" si="306"/>
        <v/>
      </c>
      <c r="AH3088" t="str">
        <f t="shared" si="307"/>
        <v/>
      </c>
      <c r="AI3088">
        <f t="shared" si="308"/>
        <v>0</v>
      </c>
      <c r="AJ3088">
        <f t="shared" si="309"/>
        <v>0</v>
      </c>
      <c r="AK3088">
        <v>0</v>
      </c>
      <c r="AL3088" t="str">
        <f>IF(AA3088="","",IFERROR(IF(ISNUMBER('Procyfloc 4800'!D89),'Procyfloc 4800'!D89,IF(ISNUMBER(SEARCH("12",'Procyfloc 4800'!D89)),EDATE(AB3088,12),IF(ISNUMBER(SEARCH("6",'Procyfloc 4800'!D89)),EDATE(AB3088,6),IF(ISNUMBER(SEARCH("3",'Procyfloc 4800'!D89)),EDATE(AB3088,3),DATEVALUE('Procyfloc 4800'!D89))))),""))</f>
        <v/>
      </c>
      <c r="AM3088" t="str">
        <f t="shared" ca="1" si="310"/>
        <v/>
      </c>
    </row>
    <row r="3089" spans="27:39" x14ac:dyDescent="0.3">
      <c r="AA3089" t="str">
        <f>IF(COUNTA('Procyfloc 4800'!A90,'Procyfloc 4800'!B90,'Procyfloc 4800'!C90)&gt;0,"4800","")</f>
        <v/>
      </c>
      <c r="AB3089" t="str">
        <f>IFERROR(IF(ISNUMBER('Procyfloc 4800'!A90),'Procyfloc 4800'!A90,DATEVALUE('Procyfloc 4800'!A90)),"")</f>
        <v/>
      </c>
      <c r="AC3089" t="str">
        <f>IF(AA3089="","",'Procyfloc 4800'!B90)</f>
        <v/>
      </c>
      <c r="AD3089" t="str">
        <f>IF(AA3089="","",IFERROR(1*'Procyfloc 4800'!C90,IFERROR(_xludf.NUMBERVALUE('Procyfloc 4800'!C90,".",","),IFERROR(_xludf.NUMBERVALUE('Procyfloc 4800'!C90,",","."),0))))</f>
        <v/>
      </c>
      <c r="AE3089" t="str">
        <f>IF(AA3089="","",'Procyfloc 4800'!J90)</f>
        <v/>
      </c>
      <c r="AF3089">
        <f t="shared" si="305"/>
        <v>0</v>
      </c>
      <c r="AG3089" t="str">
        <f t="shared" si="306"/>
        <v/>
      </c>
      <c r="AH3089" t="str">
        <f t="shared" si="307"/>
        <v/>
      </c>
      <c r="AI3089">
        <f t="shared" si="308"/>
        <v>0</v>
      </c>
      <c r="AJ3089">
        <f t="shared" si="309"/>
        <v>0</v>
      </c>
      <c r="AK3089">
        <v>0</v>
      </c>
      <c r="AL3089" t="str">
        <f>IF(AA3089="","",IFERROR(IF(ISNUMBER('Procyfloc 4800'!D90),'Procyfloc 4800'!D90,IF(ISNUMBER(SEARCH("12",'Procyfloc 4800'!D90)),EDATE(AB3089,12),IF(ISNUMBER(SEARCH("6",'Procyfloc 4800'!D90)),EDATE(AB3089,6),IF(ISNUMBER(SEARCH("3",'Procyfloc 4800'!D90)),EDATE(AB3089,3),DATEVALUE('Procyfloc 4800'!D90))))),""))</f>
        <v/>
      </c>
      <c r="AM3089" t="str">
        <f t="shared" ca="1" si="310"/>
        <v/>
      </c>
    </row>
    <row r="3090" spans="27:39" x14ac:dyDescent="0.3">
      <c r="AA3090" t="str">
        <f>IF(COUNTA('Procyfloc 4800'!A91,'Procyfloc 4800'!B91,'Procyfloc 4800'!C91)&gt;0,"4800","")</f>
        <v/>
      </c>
      <c r="AB3090" t="str">
        <f>IFERROR(IF(ISNUMBER('Procyfloc 4800'!A91),'Procyfloc 4800'!A91,DATEVALUE('Procyfloc 4800'!A91)),"")</f>
        <v/>
      </c>
      <c r="AC3090" t="str">
        <f>IF(AA3090="","",'Procyfloc 4800'!B91)</f>
        <v/>
      </c>
      <c r="AD3090" t="str">
        <f>IF(AA3090="","",IFERROR(1*'Procyfloc 4800'!C91,IFERROR(_xludf.NUMBERVALUE('Procyfloc 4800'!C91,".",","),IFERROR(_xludf.NUMBERVALUE('Procyfloc 4800'!C91,",","."),0))))</f>
        <v/>
      </c>
      <c r="AE3090" t="str">
        <f>IF(AA3090="","",'Procyfloc 4800'!J91)</f>
        <v/>
      </c>
      <c r="AF3090">
        <f t="shared" si="305"/>
        <v>0</v>
      </c>
      <c r="AG3090" t="str">
        <f t="shared" si="306"/>
        <v/>
      </c>
      <c r="AH3090" t="str">
        <f t="shared" si="307"/>
        <v/>
      </c>
      <c r="AI3090">
        <f t="shared" si="308"/>
        <v>0</v>
      </c>
      <c r="AJ3090">
        <f t="shared" si="309"/>
        <v>0</v>
      </c>
      <c r="AK3090">
        <v>0</v>
      </c>
      <c r="AL3090" t="str">
        <f>IF(AA3090="","",IFERROR(IF(ISNUMBER('Procyfloc 4800'!D91),'Procyfloc 4800'!D91,IF(ISNUMBER(SEARCH("12",'Procyfloc 4800'!D91)),EDATE(AB3090,12),IF(ISNUMBER(SEARCH("6",'Procyfloc 4800'!D91)),EDATE(AB3090,6),IF(ISNUMBER(SEARCH("3",'Procyfloc 4800'!D91)),EDATE(AB3090,3),DATEVALUE('Procyfloc 4800'!D91))))),""))</f>
        <v/>
      </c>
      <c r="AM3090" t="str">
        <f t="shared" ca="1" si="310"/>
        <v/>
      </c>
    </row>
    <row r="3091" spans="27:39" x14ac:dyDescent="0.3">
      <c r="AA3091" t="str">
        <f>IF(COUNTA('Procyfloc 4800'!A92,'Procyfloc 4800'!B92,'Procyfloc 4800'!C92)&gt;0,"4800","")</f>
        <v/>
      </c>
      <c r="AB3091" t="str">
        <f>IFERROR(IF(ISNUMBER('Procyfloc 4800'!A92),'Procyfloc 4800'!A92,DATEVALUE('Procyfloc 4800'!A92)),"")</f>
        <v/>
      </c>
      <c r="AC3091" t="str">
        <f>IF(AA3091="","",'Procyfloc 4800'!B92)</f>
        <v/>
      </c>
      <c r="AD3091" t="str">
        <f>IF(AA3091="","",IFERROR(1*'Procyfloc 4800'!C92,IFERROR(_xludf.NUMBERVALUE('Procyfloc 4800'!C92,".",","),IFERROR(_xludf.NUMBERVALUE('Procyfloc 4800'!C92,",","."),0))))</f>
        <v/>
      </c>
      <c r="AE3091" t="str">
        <f>IF(AA3091="","",'Procyfloc 4800'!J92)</f>
        <v/>
      </c>
      <c r="AF3091">
        <f t="shared" si="305"/>
        <v>0</v>
      </c>
      <c r="AG3091" t="str">
        <f t="shared" si="306"/>
        <v/>
      </c>
      <c r="AH3091" t="str">
        <f t="shared" si="307"/>
        <v/>
      </c>
      <c r="AI3091">
        <f t="shared" si="308"/>
        <v>0</v>
      </c>
      <c r="AJ3091">
        <f t="shared" si="309"/>
        <v>0</v>
      </c>
      <c r="AK3091">
        <v>0</v>
      </c>
      <c r="AL3091" t="str">
        <f>IF(AA3091="","",IFERROR(IF(ISNUMBER('Procyfloc 4800'!D92),'Procyfloc 4800'!D92,IF(ISNUMBER(SEARCH("12",'Procyfloc 4800'!D92)),EDATE(AB3091,12),IF(ISNUMBER(SEARCH("6",'Procyfloc 4800'!D92)),EDATE(AB3091,6),IF(ISNUMBER(SEARCH("3",'Procyfloc 4800'!D92)),EDATE(AB3091,3),DATEVALUE('Procyfloc 4800'!D92))))),""))</f>
        <v/>
      </c>
      <c r="AM3091" t="str">
        <f t="shared" ca="1" si="310"/>
        <v/>
      </c>
    </row>
    <row r="3092" spans="27:39" x14ac:dyDescent="0.3">
      <c r="AA3092" t="str">
        <f>IF(COUNTA('Procyfloc 4800'!A93,'Procyfloc 4800'!B93,'Procyfloc 4800'!C93)&gt;0,"4800","")</f>
        <v/>
      </c>
      <c r="AB3092" t="str">
        <f>IFERROR(IF(ISNUMBER('Procyfloc 4800'!A93),'Procyfloc 4800'!A93,DATEVALUE('Procyfloc 4800'!A93)),"")</f>
        <v/>
      </c>
      <c r="AC3092" t="str">
        <f>IF(AA3092="","",'Procyfloc 4800'!B93)</f>
        <v/>
      </c>
      <c r="AD3092" t="str">
        <f>IF(AA3092="","",IFERROR(1*'Procyfloc 4800'!C93,IFERROR(_xludf.NUMBERVALUE('Procyfloc 4800'!C93,".",","),IFERROR(_xludf.NUMBERVALUE('Procyfloc 4800'!C93,",","."),0))))</f>
        <v/>
      </c>
      <c r="AE3092" t="str">
        <f>IF(AA3092="","",'Procyfloc 4800'!J93)</f>
        <v/>
      </c>
      <c r="AF3092">
        <f t="shared" si="305"/>
        <v>0</v>
      </c>
      <c r="AG3092" t="str">
        <f t="shared" si="306"/>
        <v/>
      </c>
      <c r="AH3092" t="str">
        <f t="shared" si="307"/>
        <v/>
      </c>
      <c r="AI3092">
        <f t="shared" si="308"/>
        <v>0</v>
      </c>
      <c r="AJ3092">
        <f t="shared" si="309"/>
        <v>0</v>
      </c>
      <c r="AK3092">
        <v>0</v>
      </c>
      <c r="AL3092" t="str">
        <f>IF(AA3092="","",IFERROR(IF(ISNUMBER('Procyfloc 4800'!D93),'Procyfloc 4800'!D93,IF(ISNUMBER(SEARCH("12",'Procyfloc 4800'!D93)),EDATE(AB3092,12),IF(ISNUMBER(SEARCH("6",'Procyfloc 4800'!D93)),EDATE(AB3092,6),IF(ISNUMBER(SEARCH("3",'Procyfloc 4800'!D93)),EDATE(AB3092,3),DATEVALUE('Procyfloc 4800'!D93))))),""))</f>
        <v/>
      </c>
      <c r="AM3092" t="str">
        <f t="shared" ca="1" si="310"/>
        <v/>
      </c>
    </row>
    <row r="3093" spans="27:39" x14ac:dyDescent="0.3">
      <c r="AA3093" t="str">
        <f>IF(COUNTA('Procyfloc 4800'!A94,'Procyfloc 4800'!B94,'Procyfloc 4800'!C94)&gt;0,"4800","")</f>
        <v/>
      </c>
      <c r="AB3093" t="str">
        <f>IFERROR(IF(ISNUMBER('Procyfloc 4800'!A94),'Procyfloc 4800'!A94,DATEVALUE('Procyfloc 4800'!A94)),"")</f>
        <v/>
      </c>
      <c r="AC3093" t="str">
        <f>IF(AA3093="","",'Procyfloc 4800'!B94)</f>
        <v/>
      </c>
      <c r="AD3093" t="str">
        <f>IF(AA3093="","",IFERROR(1*'Procyfloc 4800'!C94,IFERROR(_xludf.NUMBERVALUE('Procyfloc 4800'!C94,".",","),IFERROR(_xludf.NUMBERVALUE('Procyfloc 4800'!C94,",","."),0))))</f>
        <v/>
      </c>
      <c r="AE3093" t="str">
        <f>IF(AA3093="","",'Procyfloc 4800'!J94)</f>
        <v/>
      </c>
      <c r="AF3093">
        <f t="shared" si="305"/>
        <v>0</v>
      </c>
      <c r="AG3093" t="str">
        <f t="shared" si="306"/>
        <v/>
      </c>
      <c r="AH3093" t="str">
        <f t="shared" si="307"/>
        <v/>
      </c>
      <c r="AI3093">
        <f t="shared" si="308"/>
        <v>0</v>
      </c>
      <c r="AJ3093">
        <f t="shared" si="309"/>
        <v>0</v>
      </c>
      <c r="AK3093">
        <v>0</v>
      </c>
      <c r="AL3093" t="str">
        <f>IF(AA3093="","",IFERROR(IF(ISNUMBER('Procyfloc 4800'!D94),'Procyfloc 4800'!D94,IF(ISNUMBER(SEARCH("12",'Procyfloc 4800'!D94)),EDATE(AB3093,12),IF(ISNUMBER(SEARCH("6",'Procyfloc 4800'!D94)),EDATE(AB3093,6),IF(ISNUMBER(SEARCH("3",'Procyfloc 4800'!D94)),EDATE(AB3093,3),DATEVALUE('Procyfloc 4800'!D94))))),""))</f>
        <v/>
      </c>
      <c r="AM3093" t="str">
        <f t="shared" ca="1" si="310"/>
        <v/>
      </c>
    </row>
    <row r="3094" spans="27:39" x14ac:dyDescent="0.3">
      <c r="AA3094" t="str">
        <f>IF(COUNTA('Procyfloc 4800'!A95,'Procyfloc 4800'!B95,'Procyfloc 4800'!C95)&gt;0,"4800","")</f>
        <v/>
      </c>
      <c r="AB3094" t="str">
        <f>IFERROR(IF(ISNUMBER('Procyfloc 4800'!A95),'Procyfloc 4800'!A95,DATEVALUE('Procyfloc 4800'!A95)),"")</f>
        <v/>
      </c>
      <c r="AC3094" t="str">
        <f>IF(AA3094="","",'Procyfloc 4800'!B95)</f>
        <v/>
      </c>
      <c r="AD3094" t="str">
        <f>IF(AA3094="","",IFERROR(1*'Procyfloc 4800'!C95,IFERROR(_xludf.NUMBERVALUE('Procyfloc 4800'!C95,".",","),IFERROR(_xludf.NUMBERVALUE('Procyfloc 4800'!C95,",","."),0))))</f>
        <v/>
      </c>
      <c r="AE3094" t="str">
        <f>IF(AA3094="","",'Procyfloc 4800'!J95)</f>
        <v/>
      </c>
      <c r="AF3094">
        <f t="shared" si="305"/>
        <v>0</v>
      </c>
      <c r="AG3094" t="str">
        <f t="shared" si="306"/>
        <v/>
      </c>
      <c r="AH3094" t="str">
        <f t="shared" si="307"/>
        <v/>
      </c>
      <c r="AI3094">
        <f t="shared" si="308"/>
        <v>0</v>
      </c>
      <c r="AJ3094">
        <f t="shared" si="309"/>
        <v>0</v>
      </c>
      <c r="AK3094">
        <v>0</v>
      </c>
      <c r="AL3094" t="str">
        <f>IF(AA3094="","",IFERROR(IF(ISNUMBER('Procyfloc 4800'!D95),'Procyfloc 4800'!D95,IF(ISNUMBER(SEARCH("12",'Procyfloc 4800'!D95)),EDATE(AB3094,12),IF(ISNUMBER(SEARCH("6",'Procyfloc 4800'!D95)),EDATE(AB3094,6),IF(ISNUMBER(SEARCH("3",'Procyfloc 4800'!D95)),EDATE(AB3094,3),DATEVALUE('Procyfloc 4800'!D95))))),""))</f>
        <v/>
      </c>
      <c r="AM3094" t="str">
        <f t="shared" ca="1" si="310"/>
        <v/>
      </c>
    </row>
    <row r="3095" spans="27:39" x14ac:dyDescent="0.3">
      <c r="AA3095" t="str">
        <f>IF(COUNTA('Procyfloc 4800'!A96,'Procyfloc 4800'!B96,'Procyfloc 4800'!C96)&gt;0,"4800","")</f>
        <v/>
      </c>
      <c r="AB3095" t="str">
        <f>IFERROR(IF(ISNUMBER('Procyfloc 4800'!A96),'Procyfloc 4800'!A96,DATEVALUE('Procyfloc 4800'!A96)),"")</f>
        <v/>
      </c>
      <c r="AC3095" t="str">
        <f>IF(AA3095="","",'Procyfloc 4800'!B96)</f>
        <v/>
      </c>
      <c r="AD3095" t="str">
        <f>IF(AA3095="","",IFERROR(1*'Procyfloc 4800'!C96,IFERROR(_xludf.NUMBERVALUE('Procyfloc 4800'!C96,".",","),IFERROR(_xludf.NUMBERVALUE('Procyfloc 4800'!C96,",","."),0))))</f>
        <v/>
      </c>
      <c r="AE3095" t="str">
        <f>IF(AA3095="","",'Procyfloc 4800'!J96)</f>
        <v/>
      </c>
      <c r="AF3095">
        <f t="shared" si="305"/>
        <v>0</v>
      </c>
      <c r="AG3095" t="str">
        <f t="shared" si="306"/>
        <v/>
      </c>
      <c r="AH3095" t="str">
        <f t="shared" si="307"/>
        <v/>
      </c>
      <c r="AI3095">
        <f t="shared" si="308"/>
        <v>0</v>
      </c>
      <c r="AJ3095">
        <f t="shared" si="309"/>
        <v>0</v>
      </c>
      <c r="AK3095">
        <v>0</v>
      </c>
      <c r="AL3095" t="str">
        <f>IF(AA3095="","",IFERROR(IF(ISNUMBER('Procyfloc 4800'!D96),'Procyfloc 4800'!D96,IF(ISNUMBER(SEARCH("12",'Procyfloc 4800'!D96)),EDATE(AB3095,12),IF(ISNUMBER(SEARCH("6",'Procyfloc 4800'!D96)),EDATE(AB3095,6),IF(ISNUMBER(SEARCH("3",'Procyfloc 4800'!D96)),EDATE(AB3095,3),DATEVALUE('Procyfloc 4800'!D96))))),""))</f>
        <v/>
      </c>
      <c r="AM3095" t="str">
        <f t="shared" ca="1" si="310"/>
        <v/>
      </c>
    </row>
    <row r="3096" spans="27:39" x14ac:dyDescent="0.3">
      <c r="AA3096" t="str">
        <f>IF(COUNTA('Procyfloc 4800'!A97,'Procyfloc 4800'!B97,'Procyfloc 4800'!C97)&gt;0,"4800","")</f>
        <v/>
      </c>
      <c r="AB3096" t="str">
        <f>IFERROR(IF(ISNUMBER('Procyfloc 4800'!A97),'Procyfloc 4800'!A97,DATEVALUE('Procyfloc 4800'!A97)),"")</f>
        <v/>
      </c>
      <c r="AC3096" t="str">
        <f>IF(AA3096="","",'Procyfloc 4800'!B97)</f>
        <v/>
      </c>
      <c r="AD3096" t="str">
        <f>IF(AA3096="","",IFERROR(1*'Procyfloc 4800'!C97,IFERROR(_xludf.NUMBERVALUE('Procyfloc 4800'!C97,".",","),IFERROR(_xludf.NUMBERVALUE('Procyfloc 4800'!C97,",","."),0))))</f>
        <v/>
      </c>
      <c r="AE3096" t="str">
        <f>IF(AA3096="","",'Procyfloc 4800'!J97)</f>
        <v/>
      </c>
      <c r="AF3096">
        <f t="shared" si="305"/>
        <v>0</v>
      </c>
      <c r="AG3096" t="str">
        <f t="shared" si="306"/>
        <v/>
      </c>
      <c r="AH3096" t="str">
        <f t="shared" si="307"/>
        <v/>
      </c>
      <c r="AI3096">
        <f t="shared" si="308"/>
        <v>0</v>
      </c>
      <c r="AJ3096">
        <f t="shared" si="309"/>
        <v>0</v>
      </c>
      <c r="AK3096">
        <v>0</v>
      </c>
      <c r="AL3096" t="str">
        <f>IF(AA3096="","",IFERROR(IF(ISNUMBER('Procyfloc 4800'!D97),'Procyfloc 4800'!D97,IF(ISNUMBER(SEARCH("12",'Procyfloc 4800'!D97)),EDATE(AB3096,12),IF(ISNUMBER(SEARCH("6",'Procyfloc 4800'!D97)),EDATE(AB3096,6),IF(ISNUMBER(SEARCH("3",'Procyfloc 4800'!D97)),EDATE(AB3096,3),DATEVALUE('Procyfloc 4800'!D97))))),""))</f>
        <v/>
      </c>
      <c r="AM3096" t="str">
        <f t="shared" ca="1" si="310"/>
        <v/>
      </c>
    </row>
    <row r="3097" spans="27:39" x14ac:dyDescent="0.3">
      <c r="AA3097" t="str">
        <f>IF(COUNTA('Procyfloc 4800'!A98,'Procyfloc 4800'!B98,'Procyfloc 4800'!C98)&gt;0,"4800","")</f>
        <v/>
      </c>
      <c r="AB3097" t="str">
        <f>IFERROR(IF(ISNUMBER('Procyfloc 4800'!A98),'Procyfloc 4800'!A98,DATEVALUE('Procyfloc 4800'!A98)),"")</f>
        <v/>
      </c>
      <c r="AC3097" t="str">
        <f>IF(AA3097="","",'Procyfloc 4800'!B98)</f>
        <v/>
      </c>
      <c r="AD3097" t="str">
        <f>IF(AA3097="","",IFERROR(1*'Procyfloc 4800'!C98,IFERROR(_xludf.NUMBERVALUE('Procyfloc 4800'!C98,".",","),IFERROR(_xludf.NUMBERVALUE('Procyfloc 4800'!C98,",","."),0))))</f>
        <v/>
      </c>
      <c r="AE3097" t="str">
        <f>IF(AA3097="","",'Procyfloc 4800'!J98)</f>
        <v/>
      </c>
      <c r="AF3097">
        <f t="shared" si="305"/>
        <v>0</v>
      </c>
      <c r="AG3097" t="str">
        <f t="shared" si="306"/>
        <v/>
      </c>
      <c r="AH3097" t="str">
        <f t="shared" si="307"/>
        <v/>
      </c>
      <c r="AI3097">
        <f t="shared" si="308"/>
        <v>0</v>
      </c>
      <c r="AJ3097">
        <f t="shared" si="309"/>
        <v>0</v>
      </c>
      <c r="AK3097">
        <v>0</v>
      </c>
      <c r="AL3097" t="str">
        <f>IF(AA3097="","",IFERROR(IF(ISNUMBER('Procyfloc 4800'!D98),'Procyfloc 4800'!D98,IF(ISNUMBER(SEARCH("12",'Procyfloc 4800'!D98)),EDATE(AB3097,12),IF(ISNUMBER(SEARCH("6",'Procyfloc 4800'!D98)),EDATE(AB3097,6),IF(ISNUMBER(SEARCH("3",'Procyfloc 4800'!D98)),EDATE(AB3097,3),DATEVALUE('Procyfloc 4800'!D98))))),""))</f>
        <v/>
      </c>
      <c r="AM3097" t="str">
        <f t="shared" ca="1" si="310"/>
        <v/>
      </c>
    </row>
    <row r="3098" spans="27:39" x14ac:dyDescent="0.3">
      <c r="AA3098" t="str">
        <f>IF(COUNTA('Procyfloc 4800'!A99,'Procyfloc 4800'!B99,'Procyfloc 4800'!C99)&gt;0,"4800","")</f>
        <v/>
      </c>
      <c r="AB3098" t="str">
        <f>IFERROR(IF(ISNUMBER('Procyfloc 4800'!A99),'Procyfloc 4800'!A99,DATEVALUE('Procyfloc 4800'!A99)),"")</f>
        <v/>
      </c>
      <c r="AC3098" t="str">
        <f>IF(AA3098="","",'Procyfloc 4800'!B99)</f>
        <v/>
      </c>
      <c r="AD3098" t="str">
        <f>IF(AA3098="","",IFERROR(1*'Procyfloc 4800'!C99,IFERROR(_xludf.NUMBERVALUE('Procyfloc 4800'!C99,".",","),IFERROR(_xludf.NUMBERVALUE('Procyfloc 4800'!C99,",","."),0))))</f>
        <v/>
      </c>
      <c r="AE3098" t="str">
        <f>IF(AA3098="","",'Procyfloc 4800'!J99)</f>
        <v/>
      </c>
      <c r="AF3098">
        <f t="shared" si="305"/>
        <v>0</v>
      </c>
      <c r="AG3098" t="str">
        <f t="shared" si="306"/>
        <v/>
      </c>
      <c r="AH3098" t="str">
        <f t="shared" si="307"/>
        <v/>
      </c>
      <c r="AI3098">
        <f t="shared" si="308"/>
        <v>0</v>
      </c>
      <c r="AJ3098">
        <f t="shared" si="309"/>
        <v>0</v>
      </c>
      <c r="AK3098">
        <v>0</v>
      </c>
      <c r="AL3098" t="str">
        <f>IF(AA3098="","",IFERROR(IF(ISNUMBER('Procyfloc 4800'!D99),'Procyfloc 4800'!D99,IF(ISNUMBER(SEARCH("12",'Procyfloc 4800'!D99)),EDATE(AB3098,12),IF(ISNUMBER(SEARCH("6",'Procyfloc 4800'!D99)),EDATE(AB3098,6),IF(ISNUMBER(SEARCH("3",'Procyfloc 4800'!D99)),EDATE(AB3098,3),DATEVALUE('Procyfloc 4800'!D99))))),""))</f>
        <v/>
      </c>
      <c r="AM3098" t="str">
        <f t="shared" ca="1" si="310"/>
        <v/>
      </c>
    </row>
    <row r="3099" spans="27:39" x14ac:dyDescent="0.3">
      <c r="AA3099" t="str">
        <f>IF(COUNTA('Procyfloc 4800'!A100,'Procyfloc 4800'!B100,'Procyfloc 4800'!C100)&gt;0,"4800","")</f>
        <v/>
      </c>
      <c r="AB3099" t="str">
        <f>IFERROR(IF(ISNUMBER('Procyfloc 4800'!A100),'Procyfloc 4800'!A100,DATEVALUE('Procyfloc 4800'!A100)),"")</f>
        <v/>
      </c>
      <c r="AC3099" t="str">
        <f>IF(AA3099="","",'Procyfloc 4800'!B100)</f>
        <v/>
      </c>
      <c r="AD3099" t="str">
        <f>IF(AA3099="","",IFERROR(1*'Procyfloc 4800'!C100,IFERROR(_xludf.NUMBERVALUE('Procyfloc 4800'!C100,".",","),IFERROR(_xludf.NUMBERVALUE('Procyfloc 4800'!C100,",","."),0))))</f>
        <v/>
      </c>
      <c r="AE3099" t="str">
        <f>IF(AA3099="","",'Procyfloc 4800'!J100)</f>
        <v/>
      </c>
      <c r="AF3099">
        <f t="shared" si="305"/>
        <v>0</v>
      </c>
      <c r="AG3099" t="str">
        <f t="shared" si="306"/>
        <v/>
      </c>
      <c r="AH3099" t="str">
        <f t="shared" si="307"/>
        <v/>
      </c>
      <c r="AI3099">
        <f t="shared" si="308"/>
        <v>0</v>
      </c>
      <c r="AJ3099">
        <f t="shared" si="309"/>
        <v>0</v>
      </c>
      <c r="AK3099">
        <v>0</v>
      </c>
      <c r="AL3099" t="str">
        <f>IF(AA3099="","",IFERROR(IF(ISNUMBER('Procyfloc 4800'!D100),'Procyfloc 4800'!D100,IF(ISNUMBER(SEARCH("12",'Procyfloc 4800'!D100)),EDATE(AB3099,12),IF(ISNUMBER(SEARCH("6",'Procyfloc 4800'!D100)),EDATE(AB3099,6),IF(ISNUMBER(SEARCH("3",'Procyfloc 4800'!D100)),EDATE(AB3099,3),DATEVALUE('Procyfloc 4800'!D100))))),""))</f>
        <v/>
      </c>
      <c r="AM3099" t="str">
        <f t="shared" ca="1" si="310"/>
        <v/>
      </c>
    </row>
    <row r="3100" spans="27:39" x14ac:dyDescent="0.3">
      <c r="AA3100" t="str">
        <f>IF(COUNTA('Procyfloc 4800'!A101,'Procyfloc 4800'!B101,'Procyfloc 4800'!C101)&gt;0,"4800","")</f>
        <v/>
      </c>
      <c r="AB3100" t="str">
        <f>IFERROR(IF(ISNUMBER('Procyfloc 4800'!A101),'Procyfloc 4800'!A101,DATEVALUE('Procyfloc 4800'!A101)),"")</f>
        <v/>
      </c>
      <c r="AC3100" t="str">
        <f>IF(AA3100="","",'Procyfloc 4800'!B101)</f>
        <v/>
      </c>
      <c r="AD3100" t="str">
        <f>IF(AA3100="","",IFERROR(1*'Procyfloc 4800'!C101,IFERROR(_xludf.NUMBERVALUE('Procyfloc 4800'!C101,".",","),IFERROR(_xludf.NUMBERVALUE('Procyfloc 4800'!C101,",","."),0))))</f>
        <v/>
      </c>
      <c r="AE3100" t="str">
        <f>IF(AA3100="","",'Procyfloc 4800'!J101)</f>
        <v/>
      </c>
      <c r="AF3100">
        <f t="shared" si="305"/>
        <v>0</v>
      </c>
      <c r="AG3100" t="str">
        <f t="shared" si="306"/>
        <v/>
      </c>
      <c r="AH3100" t="str">
        <f t="shared" si="307"/>
        <v/>
      </c>
      <c r="AI3100">
        <f t="shared" si="308"/>
        <v>0</v>
      </c>
      <c r="AJ3100">
        <f t="shared" si="309"/>
        <v>0</v>
      </c>
      <c r="AK3100">
        <v>0</v>
      </c>
      <c r="AL3100" t="str">
        <f>IF(AA3100="","",IFERROR(IF(ISNUMBER('Procyfloc 4800'!D101),'Procyfloc 4800'!D101,IF(ISNUMBER(SEARCH("12",'Procyfloc 4800'!D101)),EDATE(AB3100,12),IF(ISNUMBER(SEARCH("6",'Procyfloc 4800'!D101)),EDATE(AB3100,6),IF(ISNUMBER(SEARCH("3",'Procyfloc 4800'!D101)),EDATE(AB3100,3),DATEVALUE('Procyfloc 4800'!D101))))),""))</f>
        <v/>
      </c>
      <c r="AM3100" t="str">
        <f t="shared" ca="1" si="310"/>
        <v/>
      </c>
    </row>
    <row r="3101" spans="27:39" x14ac:dyDescent="0.3">
      <c r="AA3101" t="str">
        <f>IF(COUNTA('Procyfloc 4800'!A102,'Procyfloc 4800'!B102,'Procyfloc 4800'!C102)&gt;0,"4800","")</f>
        <v/>
      </c>
      <c r="AB3101" t="str">
        <f>IFERROR(IF(ISNUMBER('Procyfloc 4800'!A102),'Procyfloc 4800'!A102,DATEVALUE('Procyfloc 4800'!A102)),"")</f>
        <v/>
      </c>
      <c r="AC3101" t="str">
        <f>IF(AA3101="","",'Procyfloc 4800'!B102)</f>
        <v/>
      </c>
      <c r="AD3101" t="str">
        <f>IF(AA3101="","",IFERROR(1*'Procyfloc 4800'!C102,IFERROR(_xludf.NUMBERVALUE('Procyfloc 4800'!C102,".",","),IFERROR(_xludf.NUMBERVALUE('Procyfloc 4800'!C102,",","."),0))))</f>
        <v/>
      </c>
      <c r="AE3101" t="str">
        <f>IF(AA3101="","",'Procyfloc 4800'!J102)</f>
        <v/>
      </c>
      <c r="AF3101">
        <f t="shared" si="305"/>
        <v>0</v>
      </c>
      <c r="AG3101" t="str">
        <f t="shared" si="306"/>
        <v/>
      </c>
      <c r="AH3101" t="str">
        <f t="shared" si="307"/>
        <v/>
      </c>
      <c r="AI3101">
        <f t="shared" si="308"/>
        <v>0</v>
      </c>
      <c r="AJ3101">
        <f t="shared" si="309"/>
        <v>0</v>
      </c>
      <c r="AK3101">
        <v>0</v>
      </c>
      <c r="AL3101" t="str">
        <f>IF(AA3101="","",IFERROR(IF(ISNUMBER('Procyfloc 4800'!D102),'Procyfloc 4800'!D102,IF(ISNUMBER(SEARCH("12",'Procyfloc 4800'!D102)),EDATE(AB3101,12),IF(ISNUMBER(SEARCH("6",'Procyfloc 4800'!D102)),EDATE(AB3101,6),IF(ISNUMBER(SEARCH("3",'Procyfloc 4800'!D102)),EDATE(AB3101,3),DATEVALUE('Procyfloc 4800'!D102))))),""))</f>
        <v/>
      </c>
      <c r="AM3101" t="str">
        <f t="shared" ca="1" si="310"/>
        <v/>
      </c>
    </row>
    <row r="3102" spans="27:39" x14ac:dyDescent="0.3">
      <c r="AA3102" t="str">
        <f>IF(COUNTA('Procyfloc 4800'!A103,'Procyfloc 4800'!B103,'Procyfloc 4800'!C103)&gt;0,"4800","")</f>
        <v/>
      </c>
      <c r="AB3102" t="str">
        <f>IFERROR(IF(ISNUMBER('Procyfloc 4800'!A103),'Procyfloc 4800'!A103,DATEVALUE('Procyfloc 4800'!A103)),"")</f>
        <v/>
      </c>
      <c r="AC3102" t="str">
        <f>IF(AA3102="","",'Procyfloc 4800'!B103)</f>
        <v/>
      </c>
      <c r="AD3102" t="str">
        <f>IF(AA3102="","",IFERROR(1*'Procyfloc 4800'!C103,IFERROR(_xludf.NUMBERVALUE('Procyfloc 4800'!C103,".",","),IFERROR(_xludf.NUMBERVALUE('Procyfloc 4800'!C103,",","."),0))))</f>
        <v/>
      </c>
      <c r="AE3102" t="str">
        <f>IF(AA3102="","",'Procyfloc 4800'!J103)</f>
        <v/>
      </c>
      <c r="AF3102">
        <f t="shared" si="305"/>
        <v>0</v>
      </c>
      <c r="AG3102" t="str">
        <f t="shared" si="306"/>
        <v/>
      </c>
      <c r="AH3102" t="str">
        <f t="shared" si="307"/>
        <v/>
      </c>
      <c r="AI3102">
        <f t="shared" si="308"/>
        <v>0</v>
      </c>
      <c r="AJ3102">
        <f t="shared" si="309"/>
        <v>0</v>
      </c>
      <c r="AK3102">
        <v>0</v>
      </c>
      <c r="AL3102" t="str">
        <f>IF(AA3102="","",IFERROR(IF(ISNUMBER('Procyfloc 4800'!D103),'Procyfloc 4800'!D103,IF(ISNUMBER(SEARCH("12",'Procyfloc 4800'!D103)),EDATE(AB3102,12),IF(ISNUMBER(SEARCH("6",'Procyfloc 4800'!D103)),EDATE(AB3102,6),IF(ISNUMBER(SEARCH("3",'Procyfloc 4800'!D103)),EDATE(AB3102,3),DATEVALUE('Procyfloc 4800'!D103))))),""))</f>
        <v/>
      </c>
      <c r="AM3102" t="str">
        <f t="shared" ca="1" si="310"/>
        <v/>
      </c>
    </row>
    <row r="3103" spans="27:39" x14ac:dyDescent="0.3">
      <c r="AA3103" t="str">
        <f>IF(COUNTA('Procyfloc 4800'!A104,'Procyfloc 4800'!B104,'Procyfloc 4800'!C104)&gt;0,"4800","")</f>
        <v/>
      </c>
      <c r="AB3103" t="str">
        <f>IFERROR(IF(ISNUMBER('Procyfloc 4800'!A104),'Procyfloc 4800'!A104,DATEVALUE('Procyfloc 4800'!A104)),"")</f>
        <v/>
      </c>
      <c r="AC3103" t="str">
        <f>IF(AA3103="","",'Procyfloc 4800'!B104)</f>
        <v/>
      </c>
      <c r="AD3103" t="str">
        <f>IF(AA3103="","",IFERROR(1*'Procyfloc 4800'!C104,IFERROR(_xludf.NUMBERVALUE('Procyfloc 4800'!C104,".",","),IFERROR(_xludf.NUMBERVALUE('Procyfloc 4800'!C104,",","."),0))))</f>
        <v/>
      </c>
      <c r="AE3103" t="str">
        <f>IF(AA3103="","",'Procyfloc 4800'!J104)</f>
        <v/>
      </c>
      <c r="AF3103">
        <f t="shared" si="305"/>
        <v>0</v>
      </c>
      <c r="AG3103" t="str">
        <f t="shared" si="306"/>
        <v/>
      </c>
      <c r="AH3103" t="str">
        <f t="shared" si="307"/>
        <v/>
      </c>
      <c r="AI3103">
        <f t="shared" si="308"/>
        <v>0</v>
      </c>
      <c r="AJ3103">
        <f t="shared" si="309"/>
        <v>0</v>
      </c>
      <c r="AK3103">
        <v>0</v>
      </c>
      <c r="AL3103" t="str">
        <f>IF(AA3103="","",IFERROR(IF(ISNUMBER('Procyfloc 4800'!D104),'Procyfloc 4800'!D104,IF(ISNUMBER(SEARCH("12",'Procyfloc 4800'!D104)),EDATE(AB3103,12),IF(ISNUMBER(SEARCH("6",'Procyfloc 4800'!D104)),EDATE(AB3103,6),IF(ISNUMBER(SEARCH("3",'Procyfloc 4800'!D104)),EDATE(AB3103,3),DATEVALUE('Procyfloc 4800'!D104))))),""))</f>
        <v/>
      </c>
      <c r="AM3103" t="str">
        <f t="shared" ca="1" si="310"/>
        <v/>
      </c>
    </row>
    <row r="3104" spans="27:39" x14ac:dyDescent="0.3">
      <c r="AA3104" t="str">
        <f>IF(COUNTA('Procyfloc 4800'!A105,'Procyfloc 4800'!B105,'Procyfloc 4800'!C105)&gt;0,"4800","")</f>
        <v/>
      </c>
      <c r="AB3104" t="str">
        <f>IFERROR(IF(ISNUMBER('Procyfloc 4800'!A105),'Procyfloc 4800'!A105,DATEVALUE('Procyfloc 4800'!A105)),"")</f>
        <v/>
      </c>
      <c r="AC3104" t="str">
        <f>IF(AA3104="","",'Procyfloc 4800'!B105)</f>
        <v/>
      </c>
      <c r="AD3104" t="str">
        <f>IF(AA3104="","",IFERROR(1*'Procyfloc 4800'!C105,IFERROR(_xludf.NUMBERVALUE('Procyfloc 4800'!C105,".",","),IFERROR(_xludf.NUMBERVALUE('Procyfloc 4800'!C105,",","."),0))))</f>
        <v/>
      </c>
      <c r="AE3104" t="str">
        <f>IF(AA3104="","",'Procyfloc 4800'!J105)</f>
        <v/>
      </c>
      <c r="AF3104">
        <f t="shared" si="305"/>
        <v>0</v>
      </c>
      <c r="AG3104" t="str">
        <f t="shared" si="306"/>
        <v/>
      </c>
      <c r="AH3104" t="str">
        <f t="shared" si="307"/>
        <v/>
      </c>
      <c r="AI3104">
        <f t="shared" si="308"/>
        <v>0</v>
      </c>
      <c r="AJ3104">
        <f t="shared" si="309"/>
        <v>0</v>
      </c>
      <c r="AK3104">
        <v>0</v>
      </c>
      <c r="AL3104" t="str">
        <f>IF(AA3104="","",IFERROR(IF(ISNUMBER('Procyfloc 4800'!D105),'Procyfloc 4800'!D105,IF(ISNUMBER(SEARCH("12",'Procyfloc 4800'!D105)),EDATE(AB3104,12),IF(ISNUMBER(SEARCH("6",'Procyfloc 4800'!D105)),EDATE(AB3104,6),IF(ISNUMBER(SEARCH("3",'Procyfloc 4800'!D105)),EDATE(AB3104,3),DATEVALUE('Procyfloc 4800'!D105))))),""))</f>
        <v/>
      </c>
      <c r="AM3104" t="str">
        <f t="shared" ca="1" si="310"/>
        <v/>
      </c>
    </row>
    <row r="3105" spans="27:39" x14ac:dyDescent="0.3">
      <c r="AA3105" t="str">
        <f>IF(COUNTA('Procyfloc 4800'!A106,'Procyfloc 4800'!B106,'Procyfloc 4800'!C106)&gt;0,"4800","")</f>
        <v/>
      </c>
      <c r="AB3105" t="str">
        <f>IFERROR(IF(ISNUMBER('Procyfloc 4800'!A106),'Procyfloc 4800'!A106,DATEVALUE('Procyfloc 4800'!A106)),"")</f>
        <v/>
      </c>
      <c r="AC3105" t="str">
        <f>IF(AA3105="","",'Procyfloc 4800'!B106)</f>
        <v/>
      </c>
      <c r="AD3105" t="str">
        <f>IF(AA3105="","",IFERROR(1*'Procyfloc 4800'!C106,IFERROR(_xludf.NUMBERVALUE('Procyfloc 4800'!C106,".",","),IFERROR(_xludf.NUMBERVALUE('Procyfloc 4800'!C106,",","."),0))))</f>
        <v/>
      </c>
      <c r="AE3105" t="str">
        <f>IF(AA3105="","",'Procyfloc 4800'!J106)</f>
        <v/>
      </c>
      <c r="AF3105">
        <f t="shared" si="305"/>
        <v>0</v>
      </c>
      <c r="AG3105" t="str">
        <f t="shared" si="306"/>
        <v/>
      </c>
      <c r="AH3105" t="str">
        <f t="shared" si="307"/>
        <v/>
      </c>
      <c r="AI3105">
        <f t="shared" si="308"/>
        <v>0</v>
      </c>
      <c r="AJ3105">
        <f t="shared" si="309"/>
        <v>0</v>
      </c>
      <c r="AK3105">
        <v>0</v>
      </c>
      <c r="AL3105" t="str">
        <f>IF(AA3105="","",IFERROR(IF(ISNUMBER('Procyfloc 4800'!D106),'Procyfloc 4800'!D106,IF(ISNUMBER(SEARCH("12",'Procyfloc 4800'!D106)),EDATE(AB3105,12),IF(ISNUMBER(SEARCH("6",'Procyfloc 4800'!D106)),EDATE(AB3105,6),IF(ISNUMBER(SEARCH("3",'Procyfloc 4800'!D106)),EDATE(AB3105,3),DATEVALUE('Procyfloc 4800'!D106))))),""))</f>
        <v/>
      </c>
      <c r="AM3105" t="str">
        <f t="shared" ca="1" si="310"/>
        <v/>
      </c>
    </row>
    <row r="3106" spans="27:39" x14ac:dyDescent="0.3">
      <c r="AA3106" t="str">
        <f>IF(COUNTA('Procyfloc 4800'!A107,'Procyfloc 4800'!B107,'Procyfloc 4800'!C107)&gt;0,"4800","")</f>
        <v/>
      </c>
      <c r="AB3106" t="str">
        <f>IFERROR(IF(ISNUMBER('Procyfloc 4800'!A107),'Procyfloc 4800'!A107,DATEVALUE('Procyfloc 4800'!A107)),"")</f>
        <v/>
      </c>
      <c r="AC3106" t="str">
        <f>IF(AA3106="","",'Procyfloc 4800'!B107)</f>
        <v/>
      </c>
      <c r="AD3106" t="str">
        <f>IF(AA3106="","",IFERROR(1*'Procyfloc 4800'!C107,IFERROR(_xludf.NUMBERVALUE('Procyfloc 4800'!C107,".",","),IFERROR(_xludf.NUMBERVALUE('Procyfloc 4800'!C107,",","."),0))))</f>
        <v/>
      </c>
      <c r="AE3106" t="str">
        <f>IF(AA3106="","",'Procyfloc 4800'!J107)</f>
        <v/>
      </c>
      <c r="AF3106">
        <f t="shared" si="305"/>
        <v>0</v>
      </c>
      <c r="AG3106" t="str">
        <f t="shared" si="306"/>
        <v/>
      </c>
      <c r="AH3106" t="str">
        <f t="shared" si="307"/>
        <v/>
      </c>
      <c r="AI3106">
        <f t="shared" si="308"/>
        <v>0</v>
      </c>
      <c r="AJ3106">
        <f t="shared" si="309"/>
        <v>0</v>
      </c>
      <c r="AK3106">
        <v>0</v>
      </c>
      <c r="AL3106" t="str">
        <f>IF(AA3106="","",IFERROR(IF(ISNUMBER('Procyfloc 4800'!D107),'Procyfloc 4800'!D107,IF(ISNUMBER(SEARCH("12",'Procyfloc 4800'!D107)),EDATE(AB3106,12),IF(ISNUMBER(SEARCH("6",'Procyfloc 4800'!D107)),EDATE(AB3106,6),IF(ISNUMBER(SEARCH("3",'Procyfloc 4800'!D107)),EDATE(AB3106,3),DATEVALUE('Procyfloc 4800'!D107))))),""))</f>
        <v/>
      </c>
      <c r="AM3106" t="str">
        <f t="shared" ca="1" si="310"/>
        <v/>
      </c>
    </row>
    <row r="3107" spans="27:39" x14ac:dyDescent="0.3">
      <c r="AA3107" t="str">
        <f>IF(COUNTA('Procyfloc 4800'!A108,'Procyfloc 4800'!B108,'Procyfloc 4800'!C108)&gt;0,"4800","")</f>
        <v/>
      </c>
      <c r="AB3107" t="str">
        <f>IFERROR(IF(ISNUMBER('Procyfloc 4800'!A108),'Procyfloc 4800'!A108,DATEVALUE('Procyfloc 4800'!A108)),"")</f>
        <v/>
      </c>
      <c r="AC3107" t="str">
        <f>IF(AA3107="","",'Procyfloc 4800'!B108)</f>
        <v/>
      </c>
      <c r="AD3107" t="str">
        <f>IF(AA3107="","",IFERROR(1*'Procyfloc 4800'!C108,IFERROR(_xludf.NUMBERVALUE('Procyfloc 4800'!C108,".",","),IFERROR(_xludf.NUMBERVALUE('Procyfloc 4800'!C108,",","."),0))))</f>
        <v/>
      </c>
      <c r="AE3107" t="str">
        <f>IF(AA3107="","",'Procyfloc 4800'!J108)</f>
        <v/>
      </c>
      <c r="AF3107">
        <f t="shared" si="305"/>
        <v>0</v>
      </c>
      <c r="AG3107" t="str">
        <f t="shared" si="306"/>
        <v/>
      </c>
      <c r="AH3107" t="str">
        <f t="shared" si="307"/>
        <v/>
      </c>
      <c r="AI3107">
        <f t="shared" si="308"/>
        <v>0</v>
      </c>
      <c r="AJ3107">
        <f t="shared" si="309"/>
        <v>0</v>
      </c>
      <c r="AK3107">
        <v>0</v>
      </c>
      <c r="AL3107" t="str">
        <f>IF(AA3107="","",IFERROR(IF(ISNUMBER('Procyfloc 4800'!D108),'Procyfloc 4800'!D108,IF(ISNUMBER(SEARCH("12",'Procyfloc 4800'!D108)),EDATE(AB3107,12),IF(ISNUMBER(SEARCH("6",'Procyfloc 4800'!D108)),EDATE(AB3107,6),IF(ISNUMBER(SEARCH("3",'Procyfloc 4800'!D108)),EDATE(AB3107,3),DATEVALUE('Procyfloc 4800'!D108))))),""))</f>
        <v/>
      </c>
      <c r="AM3107" t="str">
        <f t="shared" ca="1" si="310"/>
        <v/>
      </c>
    </row>
    <row r="3108" spans="27:39" x14ac:dyDescent="0.3">
      <c r="AA3108" t="str">
        <f>IF(COUNTA('Procyfloc 4800'!A109,'Procyfloc 4800'!B109,'Procyfloc 4800'!C109)&gt;0,"4800","")</f>
        <v/>
      </c>
      <c r="AB3108" t="str">
        <f>IFERROR(IF(ISNUMBER('Procyfloc 4800'!A109),'Procyfloc 4800'!A109,DATEVALUE('Procyfloc 4800'!A109)),"")</f>
        <v/>
      </c>
      <c r="AC3108" t="str">
        <f>IF(AA3108="","",'Procyfloc 4800'!B109)</f>
        <v/>
      </c>
      <c r="AD3108" t="str">
        <f>IF(AA3108="","",IFERROR(1*'Procyfloc 4800'!C109,IFERROR(_xludf.NUMBERVALUE('Procyfloc 4800'!C109,".",","),IFERROR(_xludf.NUMBERVALUE('Procyfloc 4800'!C109,",","."),0))))</f>
        <v/>
      </c>
      <c r="AE3108" t="str">
        <f>IF(AA3108="","",'Procyfloc 4800'!J109)</f>
        <v/>
      </c>
      <c r="AF3108">
        <f t="shared" si="305"/>
        <v>0</v>
      </c>
      <c r="AG3108" t="str">
        <f t="shared" si="306"/>
        <v/>
      </c>
      <c r="AH3108" t="str">
        <f t="shared" si="307"/>
        <v/>
      </c>
      <c r="AI3108">
        <f t="shared" si="308"/>
        <v>0</v>
      </c>
      <c r="AJ3108">
        <f t="shared" si="309"/>
        <v>0</v>
      </c>
      <c r="AK3108">
        <v>0</v>
      </c>
      <c r="AL3108" t="str">
        <f>IF(AA3108="","",IFERROR(IF(ISNUMBER('Procyfloc 4800'!D109),'Procyfloc 4800'!D109,IF(ISNUMBER(SEARCH("12",'Procyfloc 4800'!D109)),EDATE(AB3108,12),IF(ISNUMBER(SEARCH("6",'Procyfloc 4800'!D109)),EDATE(AB3108,6),IF(ISNUMBER(SEARCH("3",'Procyfloc 4800'!D109)),EDATE(AB3108,3),DATEVALUE('Procyfloc 4800'!D109))))),""))</f>
        <v/>
      </c>
      <c r="AM3108" t="str">
        <f t="shared" ca="1" si="310"/>
        <v/>
      </c>
    </row>
    <row r="3109" spans="27:39" x14ac:dyDescent="0.3">
      <c r="AA3109" t="str">
        <f>IF(COUNTA('Procyfloc 4800'!A110,'Procyfloc 4800'!B110,'Procyfloc 4800'!C110)&gt;0,"4800","")</f>
        <v/>
      </c>
      <c r="AB3109" t="str">
        <f>IFERROR(IF(ISNUMBER('Procyfloc 4800'!A110),'Procyfloc 4800'!A110,DATEVALUE('Procyfloc 4800'!A110)),"")</f>
        <v/>
      </c>
      <c r="AC3109" t="str">
        <f>IF(AA3109="","",'Procyfloc 4800'!B110)</f>
        <v/>
      </c>
      <c r="AD3109" t="str">
        <f>IF(AA3109="","",IFERROR(1*'Procyfloc 4800'!C110,IFERROR(_xludf.NUMBERVALUE('Procyfloc 4800'!C110,".",","),IFERROR(_xludf.NUMBERVALUE('Procyfloc 4800'!C110,",","."),0))))</f>
        <v/>
      </c>
      <c r="AE3109" t="str">
        <f>IF(AA3109="","",'Procyfloc 4800'!J110)</f>
        <v/>
      </c>
      <c r="AF3109">
        <f t="shared" si="305"/>
        <v>0</v>
      </c>
      <c r="AG3109" t="str">
        <f t="shared" si="306"/>
        <v/>
      </c>
      <c r="AH3109" t="str">
        <f t="shared" si="307"/>
        <v/>
      </c>
      <c r="AI3109">
        <f t="shared" si="308"/>
        <v>0</v>
      </c>
      <c r="AJ3109">
        <f t="shared" si="309"/>
        <v>0</v>
      </c>
      <c r="AK3109">
        <v>0</v>
      </c>
      <c r="AL3109" t="str">
        <f>IF(AA3109="","",IFERROR(IF(ISNUMBER('Procyfloc 4800'!D110),'Procyfloc 4800'!D110,IF(ISNUMBER(SEARCH("12",'Procyfloc 4800'!D110)),EDATE(AB3109,12),IF(ISNUMBER(SEARCH("6",'Procyfloc 4800'!D110)),EDATE(AB3109,6),IF(ISNUMBER(SEARCH("3",'Procyfloc 4800'!D110)),EDATE(AB3109,3),DATEVALUE('Procyfloc 4800'!D110))))),""))</f>
        <v/>
      </c>
      <c r="AM3109" t="str">
        <f t="shared" ca="1" si="310"/>
        <v/>
      </c>
    </row>
    <row r="3110" spans="27:39" x14ac:dyDescent="0.3">
      <c r="AA3110" t="str">
        <f>IF(COUNTA('Procyfloc 4800'!A111,'Procyfloc 4800'!B111,'Procyfloc 4800'!C111)&gt;0,"4800","")</f>
        <v/>
      </c>
      <c r="AB3110" t="str">
        <f>IFERROR(IF(ISNUMBER('Procyfloc 4800'!A111),'Procyfloc 4800'!A111,DATEVALUE('Procyfloc 4800'!A111)),"")</f>
        <v/>
      </c>
      <c r="AC3110" t="str">
        <f>IF(AA3110="","",'Procyfloc 4800'!B111)</f>
        <v/>
      </c>
      <c r="AD3110" t="str">
        <f>IF(AA3110="","",IFERROR(1*'Procyfloc 4800'!C111,IFERROR(_xludf.NUMBERVALUE('Procyfloc 4800'!C111,".",","),IFERROR(_xludf.NUMBERVALUE('Procyfloc 4800'!C111,",","."),0))))</f>
        <v/>
      </c>
      <c r="AE3110" t="str">
        <f>IF(AA3110="","",'Procyfloc 4800'!J111)</f>
        <v/>
      </c>
      <c r="AF3110">
        <f t="shared" si="305"/>
        <v>0</v>
      </c>
      <c r="AG3110" t="str">
        <f t="shared" si="306"/>
        <v/>
      </c>
      <c r="AH3110" t="str">
        <f t="shared" si="307"/>
        <v/>
      </c>
      <c r="AI3110">
        <f t="shared" si="308"/>
        <v>0</v>
      </c>
      <c r="AJ3110">
        <f t="shared" si="309"/>
        <v>0</v>
      </c>
      <c r="AK3110">
        <v>0</v>
      </c>
      <c r="AL3110" t="str">
        <f>IF(AA3110="","",IFERROR(IF(ISNUMBER('Procyfloc 4800'!D111),'Procyfloc 4800'!D111,IF(ISNUMBER(SEARCH("12",'Procyfloc 4800'!D111)),EDATE(AB3110,12),IF(ISNUMBER(SEARCH("6",'Procyfloc 4800'!D111)),EDATE(AB3110,6),IF(ISNUMBER(SEARCH("3",'Procyfloc 4800'!D111)),EDATE(AB3110,3),DATEVALUE('Procyfloc 4800'!D111))))),""))</f>
        <v/>
      </c>
      <c r="AM3110" t="str">
        <f t="shared" ca="1" si="310"/>
        <v/>
      </c>
    </row>
    <row r="3111" spans="27:39" x14ac:dyDescent="0.3">
      <c r="AA3111" t="str">
        <f>IF(COUNTA('Procyfloc 4800'!A112,'Procyfloc 4800'!B112,'Procyfloc 4800'!C112)&gt;0,"4800","")</f>
        <v/>
      </c>
      <c r="AB3111" t="str">
        <f>IFERROR(IF(ISNUMBER('Procyfloc 4800'!A112),'Procyfloc 4800'!A112,DATEVALUE('Procyfloc 4800'!A112)),"")</f>
        <v/>
      </c>
      <c r="AC3111" t="str">
        <f>IF(AA3111="","",'Procyfloc 4800'!B112)</f>
        <v/>
      </c>
      <c r="AD3111" t="str">
        <f>IF(AA3111="","",IFERROR(1*'Procyfloc 4800'!C112,IFERROR(_xludf.NUMBERVALUE('Procyfloc 4800'!C112,".",","),IFERROR(_xludf.NUMBERVALUE('Procyfloc 4800'!C112,",","."),0))))</f>
        <v/>
      </c>
      <c r="AE3111" t="str">
        <f>IF(AA3111="","",'Procyfloc 4800'!J112)</f>
        <v/>
      </c>
      <c r="AF3111">
        <f t="shared" si="305"/>
        <v>0</v>
      </c>
      <c r="AG3111" t="str">
        <f t="shared" si="306"/>
        <v/>
      </c>
      <c r="AH3111" t="str">
        <f t="shared" si="307"/>
        <v/>
      </c>
      <c r="AI3111">
        <f t="shared" si="308"/>
        <v>0</v>
      </c>
      <c r="AJ3111">
        <f t="shared" si="309"/>
        <v>0</v>
      </c>
      <c r="AK3111">
        <v>0</v>
      </c>
      <c r="AL3111" t="str">
        <f>IF(AA3111="","",IFERROR(IF(ISNUMBER('Procyfloc 4800'!D112),'Procyfloc 4800'!D112,IF(ISNUMBER(SEARCH("12",'Procyfloc 4800'!D112)),EDATE(AB3111,12),IF(ISNUMBER(SEARCH("6",'Procyfloc 4800'!D112)),EDATE(AB3111,6),IF(ISNUMBER(SEARCH("3",'Procyfloc 4800'!D112)),EDATE(AB3111,3),DATEVALUE('Procyfloc 4800'!D112))))),""))</f>
        <v/>
      </c>
      <c r="AM3111" t="str">
        <f t="shared" ca="1" si="310"/>
        <v/>
      </c>
    </row>
    <row r="3112" spans="27:39" x14ac:dyDescent="0.3">
      <c r="AA3112" t="str">
        <f>IF(COUNTA('Procyfloc 4800'!A113,'Procyfloc 4800'!B113,'Procyfloc 4800'!C113)&gt;0,"4800","")</f>
        <v/>
      </c>
      <c r="AB3112" t="str">
        <f>IFERROR(IF(ISNUMBER('Procyfloc 4800'!A113),'Procyfloc 4800'!A113,DATEVALUE('Procyfloc 4800'!A113)),"")</f>
        <v/>
      </c>
      <c r="AC3112" t="str">
        <f>IF(AA3112="","",'Procyfloc 4800'!B113)</f>
        <v/>
      </c>
      <c r="AD3112" t="str">
        <f>IF(AA3112="","",IFERROR(1*'Procyfloc 4800'!C113,IFERROR(_xludf.NUMBERVALUE('Procyfloc 4800'!C113,".",","),IFERROR(_xludf.NUMBERVALUE('Procyfloc 4800'!C113,",","."),0))))</f>
        <v/>
      </c>
      <c r="AE3112" t="str">
        <f>IF(AA3112="","",'Procyfloc 4800'!J113)</f>
        <v/>
      </c>
      <c r="AF3112">
        <f t="shared" si="305"/>
        <v>0</v>
      </c>
      <c r="AG3112" t="str">
        <f t="shared" si="306"/>
        <v/>
      </c>
      <c r="AH3112" t="str">
        <f t="shared" si="307"/>
        <v/>
      </c>
      <c r="AI3112">
        <f t="shared" si="308"/>
        <v>0</v>
      </c>
      <c r="AJ3112">
        <f t="shared" si="309"/>
        <v>0</v>
      </c>
      <c r="AK3112">
        <v>0</v>
      </c>
      <c r="AL3112" t="str">
        <f>IF(AA3112="","",IFERROR(IF(ISNUMBER('Procyfloc 4800'!D113),'Procyfloc 4800'!D113,IF(ISNUMBER(SEARCH("12",'Procyfloc 4800'!D113)),EDATE(AB3112,12),IF(ISNUMBER(SEARCH("6",'Procyfloc 4800'!D113)),EDATE(AB3112,6),IF(ISNUMBER(SEARCH("3",'Procyfloc 4800'!D113)),EDATE(AB3112,3),DATEVALUE('Procyfloc 4800'!D113))))),""))</f>
        <v/>
      </c>
      <c r="AM3112" t="str">
        <f t="shared" ca="1" si="310"/>
        <v/>
      </c>
    </row>
    <row r="3113" spans="27:39" x14ac:dyDescent="0.3">
      <c r="AA3113" t="str">
        <f>IF(COUNTA('Procyfloc 4800'!A114,'Procyfloc 4800'!B114,'Procyfloc 4800'!C114)&gt;0,"4800","")</f>
        <v/>
      </c>
      <c r="AB3113" t="str">
        <f>IFERROR(IF(ISNUMBER('Procyfloc 4800'!A114),'Procyfloc 4800'!A114,DATEVALUE('Procyfloc 4800'!A114)),"")</f>
        <v/>
      </c>
      <c r="AC3113" t="str">
        <f>IF(AA3113="","",'Procyfloc 4800'!B114)</f>
        <v/>
      </c>
      <c r="AD3113" t="str">
        <f>IF(AA3113="","",IFERROR(1*'Procyfloc 4800'!C114,IFERROR(_xludf.NUMBERVALUE('Procyfloc 4800'!C114,".",","),IFERROR(_xludf.NUMBERVALUE('Procyfloc 4800'!C114,",","."),0))))</f>
        <v/>
      </c>
      <c r="AE3113" t="str">
        <f>IF(AA3113="","",'Procyfloc 4800'!J114)</f>
        <v/>
      </c>
      <c r="AF3113">
        <f t="shared" si="305"/>
        <v>0</v>
      </c>
      <c r="AG3113" t="str">
        <f t="shared" si="306"/>
        <v/>
      </c>
      <c r="AH3113" t="str">
        <f t="shared" si="307"/>
        <v/>
      </c>
      <c r="AI3113">
        <f t="shared" si="308"/>
        <v>0</v>
      </c>
      <c r="AJ3113">
        <f t="shared" si="309"/>
        <v>0</v>
      </c>
      <c r="AK3113">
        <v>0</v>
      </c>
      <c r="AL3113" t="str">
        <f>IF(AA3113="","",IFERROR(IF(ISNUMBER('Procyfloc 4800'!D114),'Procyfloc 4800'!D114,IF(ISNUMBER(SEARCH("12",'Procyfloc 4800'!D114)),EDATE(AB3113,12),IF(ISNUMBER(SEARCH("6",'Procyfloc 4800'!D114)),EDATE(AB3113,6),IF(ISNUMBER(SEARCH("3",'Procyfloc 4800'!D114)),EDATE(AB3113,3),DATEVALUE('Procyfloc 4800'!D114))))),""))</f>
        <v/>
      </c>
      <c r="AM3113" t="str">
        <f t="shared" ca="1" si="310"/>
        <v/>
      </c>
    </row>
    <row r="3114" spans="27:39" x14ac:dyDescent="0.3">
      <c r="AA3114" t="str">
        <f>IF(COUNTA('Procyfloc 4800'!A115,'Procyfloc 4800'!B115,'Procyfloc 4800'!C115)&gt;0,"4800","")</f>
        <v/>
      </c>
      <c r="AB3114" t="str">
        <f>IFERROR(IF(ISNUMBER('Procyfloc 4800'!A115),'Procyfloc 4800'!A115,DATEVALUE('Procyfloc 4800'!A115)),"")</f>
        <v/>
      </c>
      <c r="AC3114" t="str">
        <f>IF(AA3114="","",'Procyfloc 4800'!B115)</f>
        <v/>
      </c>
      <c r="AD3114" t="str">
        <f>IF(AA3114="","",IFERROR(1*'Procyfloc 4800'!C115,IFERROR(_xludf.NUMBERVALUE('Procyfloc 4800'!C115,".",","),IFERROR(_xludf.NUMBERVALUE('Procyfloc 4800'!C115,",","."),0))))</f>
        <v/>
      </c>
      <c r="AE3114" t="str">
        <f>IF(AA3114="","",'Procyfloc 4800'!J115)</f>
        <v/>
      </c>
      <c r="AF3114">
        <f t="shared" si="305"/>
        <v>0</v>
      </c>
      <c r="AG3114" t="str">
        <f t="shared" si="306"/>
        <v/>
      </c>
      <c r="AH3114" t="str">
        <f t="shared" si="307"/>
        <v/>
      </c>
      <c r="AI3114">
        <f t="shared" si="308"/>
        <v>0</v>
      </c>
      <c r="AJ3114">
        <f t="shared" si="309"/>
        <v>0</v>
      </c>
      <c r="AK3114">
        <v>0</v>
      </c>
      <c r="AL3114" t="str">
        <f>IF(AA3114="","",IFERROR(IF(ISNUMBER('Procyfloc 4800'!D115),'Procyfloc 4800'!D115,IF(ISNUMBER(SEARCH("12",'Procyfloc 4800'!D115)),EDATE(AB3114,12),IF(ISNUMBER(SEARCH("6",'Procyfloc 4800'!D115)),EDATE(AB3114,6),IF(ISNUMBER(SEARCH("3",'Procyfloc 4800'!D115)),EDATE(AB3114,3),DATEVALUE('Procyfloc 4800'!D115))))),""))</f>
        <v/>
      </c>
      <c r="AM3114" t="str">
        <f t="shared" ca="1" si="310"/>
        <v/>
      </c>
    </row>
    <row r="3115" spans="27:39" x14ac:dyDescent="0.3">
      <c r="AA3115" t="str">
        <f>IF(COUNTA('Procyfloc 4800'!A116,'Procyfloc 4800'!B116,'Procyfloc 4800'!C116)&gt;0,"4800","")</f>
        <v/>
      </c>
      <c r="AB3115" t="str">
        <f>IFERROR(IF(ISNUMBER('Procyfloc 4800'!A116),'Procyfloc 4800'!A116,DATEVALUE('Procyfloc 4800'!A116)),"")</f>
        <v/>
      </c>
      <c r="AC3115" t="str">
        <f>IF(AA3115="","",'Procyfloc 4800'!B116)</f>
        <v/>
      </c>
      <c r="AD3115" t="str">
        <f>IF(AA3115="","",IFERROR(1*'Procyfloc 4800'!C116,IFERROR(_xludf.NUMBERVALUE('Procyfloc 4800'!C116,".",","),IFERROR(_xludf.NUMBERVALUE('Procyfloc 4800'!C116,",","."),0))))</f>
        <v/>
      </c>
      <c r="AE3115" t="str">
        <f>IF(AA3115="","",'Procyfloc 4800'!J116)</f>
        <v/>
      </c>
      <c r="AF3115">
        <f t="shared" si="305"/>
        <v>0</v>
      </c>
      <c r="AG3115" t="str">
        <f t="shared" si="306"/>
        <v/>
      </c>
      <c r="AH3115" t="str">
        <f t="shared" si="307"/>
        <v/>
      </c>
      <c r="AI3115">
        <f t="shared" si="308"/>
        <v>0</v>
      </c>
      <c r="AJ3115">
        <f t="shared" si="309"/>
        <v>0</v>
      </c>
      <c r="AK3115">
        <v>0</v>
      </c>
      <c r="AL3115" t="str">
        <f>IF(AA3115="","",IFERROR(IF(ISNUMBER('Procyfloc 4800'!D116),'Procyfloc 4800'!D116,IF(ISNUMBER(SEARCH("12",'Procyfloc 4800'!D116)),EDATE(AB3115,12),IF(ISNUMBER(SEARCH("6",'Procyfloc 4800'!D116)),EDATE(AB3115,6),IF(ISNUMBER(SEARCH("3",'Procyfloc 4800'!D116)),EDATE(AB3115,3),DATEVALUE('Procyfloc 4800'!D116))))),""))</f>
        <v/>
      </c>
      <c r="AM3115" t="str">
        <f t="shared" ca="1" si="310"/>
        <v/>
      </c>
    </row>
    <row r="3116" spans="27:39" x14ac:dyDescent="0.3">
      <c r="AA3116" t="str">
        <f>IF(COUNTA('Procyfloc 4800'!A117,'Procyfloc 4800'!B117,'Procyfloc 4800'!C117)&gt;0,"4800","")</f>
        <v/>
      </c>
      <c r="AB3116" t="str">
        <f>IFERROR(IF(ISNUMBER('Procyfloc 4800'!A117),'Procyfloc 4800'!A117,DATEVALUE('Procyfloc 4800'!A117)),"")</f>
        <v/>
      </c>
      <c r="AC3116" t="str">
        <f>IF(AA3116="","",'Procyfloc 4800'!B117)</f>
        <v/>
      </c>
      <c r="AD3116" t="str">
        <f>IF(AA3116="","",IFERROR(1*'Procyfloc 4800'!C117,IFERROR(_xludf.NUMBERVALUE('Procyfloc 4800'!C117,".",","),IFERROR(_xludf.NUMBERVALUE('Procyfloc 4800'!C117,",","."),0))))</f>
        <v/>
      </c>
      <c r="AE3116" t="str">
        <f>IF(AA3116="","",'Procyfloc 4800'!J117)</f>
        <v/>
      </c>
      <c r="AF3116">
        <f t="shared" si="305"/>
        <v>0</v>
      </c>
      <c r="AG3116" t="str">
        <f t="shared" si="306"/>
        <v/>
      </c>
      <c r="AH3116" t="str">
        <f t="shared" si="307"/>
        <v/>
      </c>
      <c r="AI3116">
        <f t="shared" si="308"/>
        <v>0</v>
      </c>
      <c r="AJ3116">
        <f t="shared" si="309"/>
        <v>0</v>
      </c>
      <c r="AK3116">
        <v>0</v>
      </c>
      <c r="AL3116" t="str">
        <f>IF(AA3116="","",IFERROR(IF(ISNUMBER('Procyfloc 4800'!D117),'Procyfloc 4800'!D117,IF(ISNUMBER(SEARCH("12",'Procyfloc 4800'!D117)),EDATE(AB3116,12),IF(ISNUMBER(SEARCH("6",'Procyfloc 4800'!D117)),EDATE(AB3116,6),IF(ISNUMBER(SEARCH("3",'Procyfloc 4800'!D117)),EDATE(AB3116,3),DATEVALUE('Procyfloc 4800'!D117))))),""))</f>
        <v/>
      </c>
      <c r="AM3116" t="str">
        <f t="shared" ca="1" si="310"/>
        <v/>
      </c>
    </row>
    <row r="3117" spans="27:39" x14ac:dyDescent="0.3">
      <c r="AA3117" t="str">
        <f>IF(COUNTA('Procyfloc 4800'!A118,'Procyfloc 4800'!B118,'Procyfloc 4800'!C118)&gt;0,"4800","")</f>
        <v/>
      </c>
      <c r="AB3117" t="str">
        <f>IFERROR(IF(ISNUMBER('Procyfloc 4800'!A118),'Procyfloc 4800'!A118,DATEVALUE('Procyfloc 4800'!A118)),"")</f>
        <v/>
      </c>
      <c r="AC3117" t="str">
        <f>IF(AA3117="","",'Procyfloc 4800'!B118)</f>
        <v/>
      </c>
      <c r="AD3117" t="str">
        <f>IF(AA3117="","",IFERROR(1*'Procyfloc 4800'!C118,IFERROR(_xludf.NUMBERVALUE('Procyfloc 4800'!C118,".",","),IFERROR(_xludf.NUMBERVALUE('Procyfloc 4800'!C118,",","."),0))))</f>
        <v/>
      </c>
      <c r="AE3117" t="str">
        <f>IF(AA3117="","",'Procyfloc 4800'!J118)</f>
        <v/>
      </c>
      <c r="AF3117">
        <f t="shared" si="305"/>
        <v>0</v>
      </c>
      <c r="AG3117" t="str">
        <f t="shared" si="306"/>
        <v/>
      </c>
      <c r="AH3117" t="str">
        <f t="shared" si="307"/>
        <v/>
      </c>
      <c r="AI3117">
        <f t="shared" si="308"/>
        <v>0</v>
      </c>
      <c r="AJ3117">
        <f t="shared" si="309"/>
        <v>0</v>
      </c>
      <c r="AK3117">
        <v>0</v>
      </c>
      <c r="AL3117" t="str">
        <f>IF(AA3117="","",IFERROR(IF(ISNUMBER('Procyfloc 4800'!D118),'Procyfloc 4800'!D118,IF(ISNUMBER(SEARCH("12",'Procyfloc 4800'!D118)),EDATE(AB3117,12),IF(ISNUMBER(SEARCH("6",'Procyfloc 4800'!D118)),EDATE(AB3117,6),IF(ISNUMBER(SEARCH("3",'Procyfloc 4800'!D118)),EDATE(AB3117,3),DATEVALUE('Procyfloc 4800'!D118))))),""))</f>
        <v/>
      </c>
      <c r="AM3117" t="str">
        <f t="shared" ca="1" si="310"/>
        <v/>
      </c>
    </row>
    <row r="3118" spans="27:39" x14ac:dyDescent="0.3">
      <c r="AA3118" t="str">
        <f>IF(COUNTA('Procyfloc 4800'!A119,'Procyfloc 4800'!B119,'Procyfloc 4800'!C119)&gt;0,"4800","")</f>
        <v/>
      </c>
      <c r="AB3118" t="str">
        <f>IFERROR(IF(ISNUMBER('Procyfloc 4800'!A119),'Procyfloc 4800'!A119,DATEVALUE('Procyfloc 4800'!A119)),"")</f>
        <v/>
      </c>
      <c r="AC3118" t="str">
        <f>IF(AA3118="","",'Procyfloc 4800'!B119)</f>
        <v/>
      </c>
      <c r="AD3118" t="str">
        <f>IF(AA3118="","",IFERROR(1*'Procyfloc 4800'!C119,IFERROR(_xludf.NUMBERVALUE('Procyfloc 4800'!C119,".",","),IFERROR(_xludf.NUMBERVALUE('Procyfloc 4800'!C119,",","."),0))))</f>
        <v/>
      </c>
      <c r="AE3118" t="str">
        <f>IF(AA3118="","",'Procyfloc 4800'!J119)</f>
        <v/>
      </c>
      <c r="AF3118">
        <f t="shared" si="305"/>
        <v>0</v>
      </c>
      <c r="AG3118" t="str">
        <f t="shared" si="306"/>
        <v/>
      </c>
      <c r="AH3118" t="str">
        <f t="shared" si="307"/>
        <v/>
      </c>
      <c r="AI3118">
        <f t="shared" si="308"/>
        <v>0</v>
      </c>
      <c r="AJ3118">
        <f t="shared" si="309"/>
        <v>0</v>
      </c>
      <c r="AK3118">
        <v>0</v>
      </c>
      <c r="AL3118" t="str">
        <f>IF(AA3118="","",IFERROR(IF(ISNUMBER('Procyfloc 4800'!D119),'Procyfloc 4800'!D119,IF(ISNUMBER(SEARCH("12",'Procyfloc 4800'!D119)),EDATE(AB3118,12),IF(ISNUMBER(SEARCH("6",'Procyfloc 4800'!D119)),EDATE(AB3118,6),IF(ISNUMBER(SEARCH("3",'Procyfloc 4800'!D119)),EDATE(AB3118,3),DATEVALUE('Procyfloc 4800'!D119))))),""))</f>
        <v/>
      </c>
      <c r="AM3118" t="str">
        <f t="shared" ca="1" si="310"/>
        <v/>
      </c>
    </row>
    <row r="3119" spans="27:39" x14ac:dyDescent="0.3">
      <c r="AA3119" t="str">
        <f>IF(COUNTA('Procyfloc 4800'!A120,'Procyfloc 4800'!B120,'Procyfloc 4800'!C120)&gt;0,"4800","")</f>
        <v/>
      </c>
      <c r="AB3119" t="str">
        <f>IFERROR(IF(ISNUMBER('Procyfloc 4800'!A120),'Procyfloc 4800'!A120,DATEVALUE('Procyfloc 4800'!A120)),"")</f>
        <v/>
      </c>
      <c r="AC3119" t="str">
        <f>IF(AA3119="","",'Procyfloc 4800'!B120)</f>
        <v/>
      </c>
      <c r="AD3119" t="str">
        <f>IF(AA3119="","",IFERROR(1*'Procyfloc 4800'!C120,IFERROR(_xludf.NUMBERVALUE('Procyfloc 4800'!C120,".",","),IFERROR(_xludf.NUMBERVALUE('Procyfloc 4800'!C120,",","."),0))))</f>
        <v/>
      </c>
      <c r="AE3119" t="str">
        <f>IF(AA3119="","",'Procyfloc 4800'!J120)</f>
        <v/>
      </c>
      <c r="AF3119">
        <f t="shared" si="305"/>
        <v>0</v>
      </c>
      <c r="AG3119" t="str">
        <f t="shared" si="306"/>
        <v/>
      </c>
      <c r="AH3119" t="str">
        <f t="shared" si="307"/>
        <v/>
      </c>
      <c r="AI3119">
        <f t="shared" si="308"/>
        <v>0</v>
      </c>
      <c r="AJ3119">
        <f t="shared" si="309"/>
        <v>0</v>
      </c>
      <c r="AK3119">
        <v>0</v>
      </c>
      <c r="AL3119" t="str">
        <f>IF(AA3119="","",IFERROR(IF(ISNUMBER('Procyfloc 4800'!D120),'Procyfloc 4800'!D120,IF(ISNUMBER(SEARCH("12",'Procyfloc 4800'!D120)),EDATE(AB3119,12),IF(ISNUMBER(SEARCH("6",'Procyfloc 4800'!D120)),EDATE(AB3119,6),IF(ISNUMBER(SEARCH("3",'Procyfloc 4800'!D120)),EDATE(AB3119,3),DATEVALUE('Procyfloc 4800'!D120))))),""))</f>
        <v/>
      </c>
      <c r="AM3119" t="str">
        <f t="shared" ca="1" si="310"/>
        <v/>
      </c>
    </row>
    <row r="3120" spans="27:39" x14ac:dyDescent="0.3">
      <c r="AA3120" t="str">
        <f>IF(COUNTA('Procyfloc 4800'!A121,'Procyfloc 4800'!B121,'Procyfloc 4800'!C121)&gt;0,"4800","")</f>
        <v/>
      </c>
      <c r="AB3120" t="str">
        <f>IFERROR(IF(ISNUMBER('Procyfloc 4800'!A121),'Procyfloc 4800'!A121,DATEVALUE('Procyfloc 4800'!A121)),"")</f>
        <v/>
      </c>
      <c r="AC3120" t="str">
        <f>IF(AA3120="","",'Procyfloc 4800'!B121)</f>
        <v/>
      </c>
      <c r="AD3120" t="str">
        <f>IF(AA3120="","",IFERROR(1*'Procyfloc 4800'!C121,IFERROR(_xludf.NUMBERVALUE('Procyfloc 4800'!C121,".",","),IFERROR(_xludf.NUMBERVALUE('Procyfloc 4800'!C121,",","."),0))))</f>
        <v/>
      </c>
      <c r="AE3120" t="str">
        <f>IF(AA3120="","",'Procyfloc 4800'!J121)</f>
        <v/>
      </c>
      <c r="AF3120">
        <f t="shared" si="305"/>
        <v>0</v>
      </c>
      <c r="AG3120" t="str">
        <f t="shared" si="306"/>
        <v/>
      </c>
      <c r="AH3120" t="str">
        <f t="shared" si="307"/>
        <v/>
      </c>
      <c r="AI3120">
        <f t="shared" si="308"/>
        <v>0</v>
      </c>
      <c r="AJ3120">
        <f t="shared" si="309"/>
        <v>0</v>
      </c>
      <c r="AK3120">
        <v>0</v>
      </c>
      <c r="AL3120" t="str">
        <f>IF(AA3120="","",IFERROR(IF(ISNUMBER('Procyfloc 4800'!D121),'Procyfloc 4800'!D121,IF(ISNUMBER(SEARCH("12",'Procyfloc 4800'!D121)),EDATE(AB3120,12),IF(ISNUMBER(SEARCH("6",'Procyfloc 4800'!D121)),EDATE(AB3120,6),IF(ISNUMBER(SEARCH("3",'Procyfloc 4800'!D121)),EDATE(AB3120,3),DATEVALUE('Procyfloc 4800'!D121))))),""))</f>
        <v/>
      </c>
      <c r="AM3120" t="str">
        <f t="shared" ca="1" si="310"/>
        <v/>
      </c>
    </row>
    <row r="3121" spans="27:39" x14ac:dyDescent="0.3">
      <c r="AA3121" t="str">
        <f>IF(COUNTA('Procyfloc 4800'!A122,'Procyfloc 4800'!B122,'Procyfloc 4800'!C122)&gt;0,"4800","")</f>
        <v/>
      </c>
      <c r="AB3121" t="str">
        <f>IFERROR(IF(ISNUMBER('Procyfloc 4800'!A122),'Procyfloc 4800'!A122,DATEVALUE('Procyfloc 4800'!A122)),"")</f>
        <v/>
      </c>
      <c r="AC3121" t="str">
        <f>IF(AA3121="","",'Procyfloc 4800'!B122)</f>
        <v/>
      </c>
      <c r="AD3121" t="str">
        <f>IF(AA3121="","",IFERROR(1*'Procyfloc 4800'!C122,IFERROR(_xludf.NUMBERVALUE('Procyfloc 4800'!C122,".",","),IFERROR(_xludf.NUMBERVALUE('Procyfloc 4800'!C122,",","."),0))))</f>
        <v/>
      </c>
      <c r="AE3121" t="str">
        <f>IF(AA3121="","",'Procyfloc 4800'!J122)</f>
        <v/>
      </c>
      <c r="AF3121">
        <f t="shared" si="305"/>
        <v>0</v>
      </c>
      <c r="AG3121" t="str">
        <f t="shared" si="306"/>
        <v/>
      </c>
      <c r="AH3121" t="str">
        <f t="shared" si="307"/>
        <v/>
      </c>
      <c r="AI3121">
        <f t="shared" si="308"/>
        <v>0</v>
      </c>
      <c r="AJ3121">
        <f t="shared" si="309"/>
        <v>0</v>
      </c>
      <c r="AK3121">
        <v>0</v>
      </c>
      <c r="AL3121" t="str">
        <f>IF(AA3121="","",IFERROR(IF(ISNUMBER('Procyfloc 4800'!D122),'Procyfloc 4800'!D122,IF(ISNUMBER(SEARCH("12",'Procyfloc 4800'!D122)),EDATE(AB3121,12),IF(ISNUMBER(SEARCH("6",'Procyfloc 4800'!D122)),EDATE(AB3121,6),IF(ISNUMBER(SEARCH("3",'Procyfloc 4800'!D122)),EDATE(AB3121,3),DATEVALUE('Procyfloc 4800'!D122))))),""))</f>
        <v/>
      </c>
      <c r="AM3121" t="str">
        <f t="shared" ca="1" si="310"/>
        <v/>
      </c>
    </row>
    <row r="3122" spans="27:39" x14ac:dyDescent="0.3">
      <c r="AA3122" t="str">
        <f>IF(COUNTA('Procyfloc 4800'!A123,'Procyfloc 4800'!B123,'Procyfloc 4800'!C123)&gt;0,"4800","")</f>
        <v/>
      </c>
      <c r="AB3122" t="str">
        <f>IFERROR(IF(ISNUMBER('Procyfloc 4800'!A123),'Procyfloc 4800'!A123,DATEVALUE('Procyfloc 4800'!A123)),"")</f>
        <v/>
      </c>
      <c r="AC3122" t="str">
        <f>IF(AA3122="","",'Procyfloc 4800'!B123)</f>
        <v/>
      </c>
      <c r="AD3122" t="str">
        <f>IF(AA3122="","",IFERROR(1*'Procyfloc 4800'!C123,IFERROR(_xludf.NUMBERVALUE('Procyfloc 4800'!C123,".",","),IFERROR(_xludf.NUMBERVALUE('Procyfloc 4800'!C123,",","."),0))))</f>
        <v/>
      </c>
      <c r="AE3122" t="str">
        <f>IF(AA3122="","",'Procyfloc 4800'!J123)</f>
        <v/>
      </c>
      <c r="AF3122">
        <f t="shared" si="305"/>
        <v>0</v>
      </c>
      <c r="AG3122" t="str">
        <f t="shared" si="306"/>
        <v/>
      </c>
      <c r="AH3122" t="str">
        <f t="shared" si="307"/>
        <v/>
      </c>
      <c r="AI3122">
        <f t="shared" si="308"/>
        <v>0</v>
      </c>
      <c r="AJ3122">
        <f t="shared" si="309"/>
        <v>0</v>
      </c>
      <c r="AK3122">
        <v>0</v>
      </c>
      <c r="AL3122" t="str">
        <f>IF(AA3122="","",IFERROR(IF(ISNUMBER('Procyfloc 4800'!D123),'Procyfloc 4800'!D123,IF(ISNUMBER(SEARCH("12",'Procyfloc 4800'!D123)),EDATE(AB3122,12),IF(ISNUMBER(SEARCH("6",'Procyfloc 4800'!D123)),EDATE(AB3122,6),IF(ISNUMBER(SEARCH("3",'Procyfloc 4800'!D123)),EDATE(AB3122,3),DATEVALUE('Procyfloc 4800'!D123))))),""))</f>
        <v/>
      </c>
      <c r="AM3122" t="str">
        <f t="shared" ca="1" si="310"/>
        <v/>
      </c>
    </row>
    <row r="3123" spans="27:39" x14ac:dyDescent="0.3">
      <c r="AA3123" t="str">
        <f>IF(COUNTA('Procyfloc 4800'!A124,'Procyfloc 4800'!B124,'Procyfloc 4800'!C124)&gt;0,"4800","")</f>
        <v/>
      </c>
      <c r="AB3123" t="str">
        <f>IFERROR(IF(ISNUMBER('Procyfloc 4800'!A124),'Procyfloc 4800'!A124,DATEVALUE('Procyfloc 4800'!A124)),"")</f>
        <v/>
      </c>
      <c r="AC3123" t="str">
        <f>IF(AA3123="","",'Procyfloc 4800'!B124)</f>
        <v/>
      </c>
      <c r="AD3123" t="str">
        <f>IF(AA3123="","",IFERROR(1*'Procyfloc 4800'!C124,IFERROR(_xludf.NUMBERVALUE('Procyfloc 4800'!C124,".",","),IFERROR(_xludf.NUMBERVALUE('Procyfloc 4800'!C124,",","."),0))))</f>
        <v/>
      </c>
      <c r="AE3123" t="str">
        <f>IF(AA3123="","",'Procyfloc 4800'!J124)</f>
        <v/>
      </c>
      <c r="AF3123">
        <f t="shared" si="305"/>
        <v>0</v>
      </c>
      <c r="AG3123" t="str">
        <f t="shared" si="306"/>
        <v/>
      </c>
      <c r="AH3123" t="str">
        <f t="shared" si="307"/>
        <v/>
      </c>
      <c r="AI3123">
        <f t="shared" si="308"/>
        <v>0</v>
      </c>
      <c r="AJ3123">
        <f t="shared" si="309"/>
        <v>0</v>
      </c>
      <c r="AK3123">
        <v>0</v>
      </c>
      <c r="AL3123" t="str">
        <f>IF(AA3123="","",IFERROR(IF(ISNUMBER('Procyfloc 4800'!D124),'Procyfloc 4800'!D124,IF(ISNUMBER(SEARCH("12",'Procyfloc 4800'!D124)),EDATE(AB3123,12),IF(ISNUMBER(SEARCH("6",'Procyfloc 4800'!D124)),EDATE(AB3123,6),IF(ISNUMBER(SEARCH("3",'Procyfloc 4800'!D124)),EDATE(AB3123,3),DATEVALUE('Procyfloc 4800'!D124))))),""))</f>
        <v/>
      </c>
      <c r="AM3123" t="str">
        <f t="shared" ca="1" si="310"/>
        <v/>
      </c>
    </row>
    <row r="3124" spans="27:39" x14ac:dyDescent="0.3">
      <c r="AA3124" t="str">
        <f>IF(COUNTA('Procyfloc 4800'!A125,'Procyfloc 4800'!B125,'Procyfloc 4800'!C125)&gt;0,"4800","")</f>
        <v/>
      </c>
      <c r="AB3124" t="str">
        <f>IFERROR(IF(ISNUMBER('Procyfloc 4800'!A125),'Procyfloc 4800'!A125,DATEVALUE('Procyfloc 4800'!A125)),"")</f>
        <v/>
      </c>
      <c r="AC3124" t="str">
        <f>IF(AA3124="","",'Procyfloc 4800'!B125)</f>
        <v/>
      </c>
      <c r="AD3124" t="str">
        <f>IF(AA3124="","",IFERROR(1*'Procyfloc 4800'!C125,IFERROR(_xludf.NUMBERVALUE('Procyfloc 4800'!C125,".",","),IFERROR(_xludf.NUMBERVALUE('Procyfloc 4800'!C125,",","."),0))))</f>
        <v/>
      </c>
      <c r="AE3124" t="str">
        <f>IF(AA3124="","",'Procyfloc 4800'!J125)</f>
        <v/>
      </c>
      <c r="AF3124">
        <f t="shared" si="305"/>
        <v>0</v>
      </c>
      <c r="AG3124" t="str">
        <f t="shared" si="306"/>
        <v/>
      </c>
      <c r="AH3124" t="str">
        <f t="shared" si="307"/>
        <v/>
      </c>
      <c r="AI3124">
        <f t="shared" si="308"/>
        <v>0</v>
      </c>
      <c r="AJ3124">
        <f t="shared" si="309"/>
        <v>0</v>
      </c>
      <c r="AK3124">
        <v>0</v>
      </c>
      <c r="AL3124" t="str">
        <f>IF(AA3124="","",IFERROR(IF(ISNUMBER('Procyfloc 4800'!D125),'Procyfloc 4800'!D125,IF(ISNUMBER(SEARCH("12",'Procyfloc 4800'!D125)),EDATE(AB3124,12),IF(ISNUMBER(SEARCH("6",'Procyfloc 4800'!D125)),EDATE(AB3124,6),IF(ISNUMBER(SEARCH("3",'Procyfloc 4800'!D125)),EDATE(AB3124,3),DATEVALUE('Procyfloc 4800'!D125))))),""))</f>
        <v/>
      </c>
      <c r="AM3124" t="str">
        <f t="shared" ca="1" si="310"/>
        <v/>
      </c>
    </row>
    <row r="3125" spans="27:39" x14ac:dyDescent="0.3">
      <c r="AA3125" t="str">
        <f>IF(COUNTA('Procyfloc 4800'!A126,'Procyfloc 4800'!B126,'Procyfloc 4800'!C126)&gt;0,"4800","")</f>
        <v/>
      </c>
      <c r="AB3125" t="str">
        <f>IFERROR(IF(ISNUMBER('Procyfloc 4800'!A126),'Procyfloc 4800'!A126,DATEVALUE('Procyfloc 4800'!A126)),"")</f>
        <v/>
      </c>
      <c r="AC3125" t="str">
        <f>IF(AA3125="","",'Procyfloc 4800'!B126)</f>
        <v/>
      </c>
      <c r="AD3125" t="str">
        <f>IF(AA3125="","",IFERROR(1*'Procyfloc 4800'!C126,IFERROR(_xludf.NUMBERVALUE('Procyfloc 4800'!C126,".",","),IFERROR(_xludf.NUMBERVALUE('Procyfloc 4800'!C126,",","."),0))))</f>
        <v/>
      </c>
      <c r="AE3125" t="str">
        <f>IF(AA3125="","",'Procyfloc 4800'!J126)</f>
        <v/>
      </c>
      <c r="AF3125">
        <f t="shared" si="305"/>
        <v>0</v>
      </c>
      <c r="AG3125" t="str">
        <f t="shared" si="306"/>
        <v/>
      </c>
      <c r="AH3125" t="str">
        <f t="shared" si="307"/>
        <v/>
      </c>
      <c r="AI3125">
        <f t="shared" si="308"/>
        <v>0</v>
      </c>
      <c r="AJ3125">
        <f t="shared" si="309"/>
        <v>0</v>
      </c>
      <c r="AK3125">
        <v>0</v>
      </c>
      <c r="AL3125" t="str">
        <f>IF(AA3125="","",IFERROR(IF(ISNUMBER('Procyfloc 4800'!D126),'Procyfloc 4800'!D126,IF(ISNUMBER(SEARCH("12",'Procyfloc 4800'!D126)),EDATE(AB3125,12),IF(ISNUMBER(SEARCH("6",'Procyfloc 4800'!D126)),EDATE(AB3125,6),IF(ISNUMBER(SEARCH("3",'Procyfloc 4800'!D126)),EDATE(AB3125,3),DATEVALUE('Procyfloc 4800'!D126))))),""))</f>
        <v/>
      </c>
      <c r="AM3125" t="str">
        <f t="shared" ca="1" si="310"/>
        <v/>
      </c>
    </row>
    <row r="3126" spans="27:39" x14ac:dyDescent="0.3">
      <c r="AA3126" t="str">
        <f>IF(COUNTA('Procyfloc 4800'!A127,'Procyfloc 4800'!B127,'Procyfloc 4800'!C127)&gt;0,"4800","")</f>
        <v/>
      </c>
      <c r="AB3126" t="str">
        <f>IFERROR(IF(ISNUMBER('Procyfloc 4800'!A127),'Procyfloc 4800'!A127,DATEVALUE('Procyfloc 4800'!A127)),"")</f>
        <v/>
      </c>
      <c r="AC3126" t="str">
        <f>IF(AA3126="","",'Procyfloc 4800'!B127)</f>
        <v/>
      </c>
      <c r="AD3126" t="str">
        <f>IF(AA3126="","",IFERROR(1*'Procyfloc 4800'!C127,IFERROR(_xludf.NUMBERVALUE('Procyfloc 4800'!C127,".",","),IFERROR(_xludf.NUMBERVALUE('Procyfloc 4800'!C127,",","."),0))))</f>
        <v/>
      </c>
      <c r="AE3126" t="str">
        <f>IF(AA3126="","",'Procyfloc 4800'!J127)</f>
        <v/>
      </c>
      <c r="AF3126">
        <f t="shared" si="305"/>
        <v>0</v>
      </c>
      <c r="AG3126" t="str">
        <f t="shared" si="306"/>
        <v/>
      </c>
      <c r="AH3126" t="str">
        <f t="shared" si="307"/>
        <v/>
      </c>
      <c r="AI3126">
        <f t="shared" si="308"/>
        <v>0</v>
      </c>
      <c r="AJ3126">
        <f t="shared" si="309"/>
        <v>0</v>
      </c>
      <c r="AK3126">
        <v>0</v>
      </c>
      <c r="AL3126" t="str">
        <f>IF(AA3126="","",IFERROR(IF(ISNUMBER('Procyfloc 4800'!D127),'Procyfloc 4800'!D127,IF(ISNUMBER(SEARCH("12",'Procyfloc 4800'!D127)),EDATE(AB3126,12),IF(ISNUMBER(SEARCH("6",'Procyfloc 4800'!D127)),EDATE(AB3126,6),IF(ISNUMBER(SEARCH("3",'Procyfloc 4800'!D127)),EDATE(AB3126,3),DATEVALUE('Procyfloc 4800'!D127))))),""))</f>
        <v/>
      </c>
      <c r="AM3126" t="str">
        <f t="shared" ca="1" si="310"/>
        <v/>
      </c>
    </row>
    <row r="3127" spans="27:39" x14ac:dyDescent="0.3">
      <c r="AA3127" t="str">
        <f>IF(COUNTA('Procyfloc 4800'!A128,'Procyfloc 4800'!B128,'Procyfloc 4800'!C128)&gt;0,"4800","")</f>
        <v/>
      </c>
      <c r="AB3127" t="str">
        <f>IFERROR(IF(ISNUMBER('Procyfloc 4800'!A128),'Procyfloc 4800'!A128,DATEVALUE('Procyfloc 4800'!A128)),"")</f>
        <v/>
      </c>
      <c r="AC3127" t="str">
        <f>IF(AA3127="","",'Procyfloc 4800'!B128)</f>
        <v/>
      </c>
      <c r="AD3127" t="str">
        <f>IF(AA3127="","",IFERROR(1*'Procyfloc 4800'!C128,IFERROR(_xludf.NUMBERVALUE('Procyfloc 4800'!C128,".",","),IFERROR(_xludf.NUMBERVALUE('Procyfloc 4800'!C128,",","."),0))))</f>
        <v/>
      </c>
      <c r="AE3127" t="str">
        <f>IF(AA3127="","",'Procyfloc 4800'!J128)</f>
        <v/>
      </c>
      <c r="AF3127">
        <f t="shared" si="305"/>
        <v>0</v>
      </c>
      <c r="AG3127" t="str">
        <f t="shared" si="306"/>
        <v/>
      </c>
      <c r="AH3127" t="str">
        <f t="shared" si="307"/>
        <v/>
      </c>
      <c r="AI3127">
        <f t="shared" si="308"/>
        <v>0</v>
      </c>
      <c r="AJ3127">
        <f t="shared" si="309"/>
        <v>0</v>
      </c>
      <c r="AK3127">
        <v>0</v>
      </c>
      <c r="AL3127" t="str">
        <f>IF(AA3127="","",IFERROR(IF(ISNUMBER('Procyfloc 4800'!D128),'Procyfloc 4800'!D128,IF(ISNUMBER(SEARCH("12",'Procyfloc 4800'!D128)),EDATE(AB3127,12),IF(ISNUMBER(SEARCH("6",'Procyfloc 4800'!D128)),EDATE(AB3127,6),IF(ISNUMBER(SEARCH("3",'Procyfloc 4800'!D128)),EDATE(AB3127,3),DATEVALUE('Procyfloc 4800'!D128))))),""))</f>
        <v/>
      </c>
      <c r="AM3127" t="str">
        <f t="shared" ca="1" si="310"/>
        <v/>
      </c>
    </row>
    <row r="3128" spans="27:39" x14ac:dyDescent="0.3">
      <c r="AA3128" t="str">
        <f>IF(COUNTA('Procyfloc 4800'!A129,'Procyfloc 4800'!B129,'Procyfloc 4800'!C129)&gt;0,"4800","")</f>
        <v/>
      </c>
      <c r="AB3128" t="str">
        <f>IFERROR(IF(ISNUMBER('Procyfloc 4800'!A129),'Procyfloc 4800'!A129,DATEVALUE('Procyfloc 4800'!A129)),"")</f>
        <v/>
      </c>
      <c r="AC3128" t="str">
        <f>IF(AA3128="","",'Procyfloc 4800'!B129)</f>
        <v/>
      </c>
      <c r="AD3128" t="str">
        <f>IF(AA3128="","",IFERROR(1*'Procyfloc 4800'!C129,IFERROR(_xludf.NUMBERVALUE('Procyfloc 4800'!C129,".",","),IFERROR(_xludf.NUMBERVALUE('Procyfloc 4800'!C129,",","."),0))))</f>
        <v/>
      </c>
      <c r="AE3128" t="str">
        <f>IF(AA3128="","",'Procyfloc 4800'!J129)</f>
        <v/>
      </c>
      <c r="AF3128">
        <f t="shared" si="305"/>
        <v>0</v>
      </c>
      <c r="AG3128" t="str">
        <f t="shared" si="306"/>
        <v/>
      </c>
      <c r="AH3128" t="str">
        <f t="shared" si="307"/>
        <v/>
      </c>
      <c r="AI3128">
        <f t="shared" si="308"/>
        <v>0</v>
      </c>
      <c r="AJ3128">
        <f t="shared" si="309"/>
        <v>0</v>
      </c>
      <c r="AK3128">
        <v>0</v>
      </c>
      <c r="AL3128" t="str">
        <f>IF(AA3128="","",IFERROR(IF(ISNUMBER('Procyfloc 4800'!D129),'Procyfloc 4800'!D129,IF(ISNUMBER(SEARCH("12",'Procyfloc 4800'!D129)),EDATE(AB3128,12),IF(ISNUMBER(SEARCH("6",'Procyfloc 4800'!D129)),EDATE(AB3128,6),IF(ISNUMBER(SEARCH("3",'Procyfloc 4800'!D129)),EDATE(AB3128,3),DATEVALUE('Procyfloc 4800'!D129))))),""))</f>
        <v/>
      </c>
      <c r="AM3128" t="str">
        <f t="shared" ca="1" si="310"/>
        <v/>
      </c>
    </row>
    <row r="3129" spans="27:39" x14ac:dyDescent="0.3">
      <c r="AA3129" t="str">
        <f>IF(COUNTA('Procyfloc 4800'!A130,'Procyfloc 4800'!B130,'Procyfloc 4800'!C130)&gt;0,"4800","")</f>
        <v/>
      </c>
      <c r="AB3129" t="str">
        <f>IFERROR(IF(ISNUMBER('Procyfloc 4800'!A130),'Procyfloc 4800'!A130,DATEVALUE('Procyfloc 4800'!A130)),"")</f>
        <v/>
      </c>
      <c r="AC3129" t="str">
        <f>IF(AA3129="","",'Procyfloc 4800'!B130)</f>
        <v/>
      </c>
      <c r="AD3129" t="str">
        <f>IF(AA3129="","",IFERROR(1*'Procyfloc 4800'!C130,IFERROR(_xludf.NUMBERVALUE('Procyfloc 4800'!C130,".",","),IFERROR(_xludf.NUMBERVALUE('Procyfloc 4800'!C130,",","."),0))))</f>
        <v/>
      </c>
      <c r="AE3129" t="str">
        <f>IF(AA3129="","",'Procyfloc 4800'!J130)</f>
        <v/>
      </c>
      <c r="AF3129">
        <f t="shared" si="305"/>
        <v>0</v>
      </c>
      <c r="AG3129" t="str">
        <f t="shared" si="306"/>
        <v/>
      </c>
      <c r="AH3129" t="str">
        <f t="shared" si="307"/>
        <v/>
      </c>
      <c r="AI3129">
        <f t="shared" si="308"/>
        <v>0</v>
      </c>
      <c r="AJ3129">
        <f t="shared" si="309"/>
        <v>0</v>
      </c>
      <c r="AK3129">
        <v>0</v>
      </c>
      <c r="AL3129" t="str">
        <f>IF(AA3129="","",IFERROR(IF(ISNUMBER('Procyfloc 4800'!D130),'Procyfloc 4800'!D130,IF(ISNUMBER(SEARCH("12",'Procyfloc 4800'!D130)),EDATE(AB3129,12),IF(ISNUMBER(SEARCH("6",'Procyfloc 4800'!D130)),EDATE(AB3129,6),IF(ISNUMBER(SEARCH("3",'Procyfloc 4800'!D130)),EDATE(AB3129,3),DATEVALUE('Procyfloc 4800'!D130))))),""))</f>
        <v/>
      </c>
      <c r="AM3129" t="str">
        <f t="shared" ca="1" si="310"/>
        <v/>
      </c>
    </row>
    <row r="3130" spans="27:39" x14ac:dyDescent="0.3">
      <c r="AA3130" t="str">
        <f>IF(COUNTA('Procyfloc 4800'!A131,'Procyfloc 4800'!B131,'Procyfloc 4800'!C131)&gt;0,"4800","")</f>
        <v/>
      </c>
      <c r="AB3130" t="str">
        <f>IFERROR(IF(ISNUMBER('Procyfloc 4800'!A131),'Procyfloc 4800'!A131,DATEVALUE('Procyfloc 4800'!A131)),"")</f>
        <v/>
      </c>
      <c r="AC3130" t="str">
        <f>IF(AA3130="","",'Procyfloc 4800'!B131)</f>
        <v/>
      </c>
      <c r="AD3130" t="str">
        <f>IF(AA3130="","",IFERROR(1*'Procyfloc 4800'!C131,IFERROR(_xludf.NUMBERVALUE('Procyfloc 4800'!C131,".",","),IFERROR(_xludf.NUMBERVALUE('Procyfloc 4800'!C131,",","."),0))))</f>
        <v/>
      </c>
      <c r="AE3130" t="str">
        <f>IF(AA3130="","",'Procyfloc 4800'!J131)</f>
        <v/>
      </c>
      <c r="AF3130">
        <f t="shared" si="305"/>
        <v>0</v>
      </c>
      <c r="AG3130" t="str">
        <f t="shared" si="306"/>
        <v/>
      </c>
      <c r="AH3130" t="str">
        <f t="shared" si="307"/>
        <v/>
      </c>
      <c r="AI3130">
        <f t="shared" si="308"/>
        <v>0</v>
      </c>
      <c r="AJ3130">
        <f t="shared" si="309"/>
        <v>0</v>
      </c>
      <c r="AK3130">
        <v>0</v>
      </c>
      <c r="AL3130" t="str">
        <f>IF(AA3130="","",IFERROR(IF(ISNUMBER('Procyfloc 4800'!D131),'Procyfloc 4800'!D131,IF(ISNUMBER(SEARCH("12",'Procyfloc 4800'!D131)),EDATE(AB3130,12),IF(ISNUMBER(SEARCH("6",'Procyfloc 4800'!D131)),EDATE(AB3130,6),IF(ISNUMBER(SEARCH("3",'Procyfloc 4800'!D131)),EDATE(AB3130,3),DATEVALUE('Procyfloc 4800'!D131))))),""))</f>
        <v/>
      </c>
      <c r="AM3130" t="str">
        <f t="shared" ca="1" si="310"/>
        <v/>
      </c>
    </row>
    <row r="3131" spans="27:39" x14ac:dyDescent="0.3">
      <c r="AA3131" t="str">
        <f>IF(COUNTA('Procyfloc 4800'!A132,'Procyfloc 4800'!B132,'Procyfloc 4800'!C132)&gt;0,"4800","")</f>
        <v/>
      </c>
      <c r="AB3131" t="str">
        <f>IFERROR(IF(ISNUMBER('Procyfloc 4800'!A132),'Procyfloc 4800'!A132,DATEVALUE('Procyfloc 4800'!A132)),"")</f>
        <v/>
      </c>
      <c r="AC3131" t="str">
        <f>IF(AA3131="","",'Procyfloc 4800'!B132)</f>
        <v/>
      </c>
      <c r="AD3131" t="str">
        <f>IF(AA3131="","",IFERROR(1*'Procyfloc 4800'!C132,IFERROR(_xludf.NUMBERVALUE('Procyfloc 4800'!C132,".",","),IFERROR(_xludf.NUMBERVALUE('Procyfloc 4800'!C132,",","."),0))))</f>
        <v/>
      </c>
      <c r="AE3131" t="str">
        <f>IF(AA3131="","",'Procyfloc 4800'!J132)</f>
        <v/>
      </c>
      <c r="AF3131">
        <f t="shared" si="305"/>
        <v>0</v>
      </c>
      <c r="AG3131" t="str">
        <f t="shared" si="306"/>
        <v/>
      </c>
      <c r="AH3131" t="str">
        <f t="shared" si="307"/>
        <v/>
      </c>
      <c r="AI3131">
        <f t="shared" si="308"/>
        <v>0</v>
      </c>
      <c r="AJ3131">
        <f t="shared" si="309"/>
        <v>0</v>
      </c>
      <c r="AK3131">
        <v>0</v>
      </c>
      <c r="AL3131" t="str">
        <f>IF(AA3131="","",IFERROR(IF(ISNUMBER('Procyfloc 4800'!D132),'Procyfloc 4800'!D132,IF(ISNUMBER(SEARCH("12",'Procyfloc 4800'!D132)),EDATE(AB3131,12),IF(ISNUMBER(SEARCH("6",'Procyfloc 4800'!D132)),EDATE(AB3131,6),IF(ISNUMBER(SEARCH("3",'Procyfloc 4800'!D132)),EDATE(AB3131,3),DATEVALUE('Procyfloc 4800'!D132))))),""))</f>
        <v/>
      </c>
      <c r="AM3131" t="str">
        <f t="shared" ca="1" si="310"/>
        <v/>
      </c>
    </row>
    <row r="3132" spans="27:39" x14ac:dyDescent="0.3">
      <c r="AA3132" t="str">
        <f>IF(COUNTA('Procyfloc 4800'!A133,'Procyfloc 4800'!B133,'Procyfloc 4800'!C133)&gt;0,"4800","")</f>
        <v/>
      </c>
      <c r="AB3132" t="str">
        <f>IFERROR(IF(ISNUMBER('Procyfloc 4800'!A133),'Procyfloc 4800'!A133,DATEVALUE('Procyfloc 4800'!A133)),"")</f>
        <v/>
      </c>
      <c r="AC3132" t="str">
        <f>IF(AA3132="","",'Procyfloc 4800'!B133)</f>
        <v/>
      </c>
      <c r="AD3132" t="str">
        <f>IF(AA3132="","",IFERROR(1*'Procyfloc 4800'!C133,IFERROR(_xludf.NUMBERVALUE('Procyfloc 4800'!C133,".",","),IFERROR(_xludf.NUMBERVALUE('Procyfloc 4800'!C133,",","."),0))))</f>
        <v/>
      </c>
      <c r="AE3132" t="str">
        <f>IF(AA3132="","",'Procyfloc 4800'!J133)</f>
        <v/>
      </c>
      <c r="AF3132">
        <f t="shared" si="305"/>
        <v>0</v>
      </c>
      <c r="AG3132" t="str">
        <f t="shared" si="306"/>
        <v/>
      </c>
      <c r="AH3132" t="str">
        <f t="shared" si="307"/>
        <v/>
      </c>
      <c r="AI3132">
        <f t="shared" si="308"/>
        <v>0</v>
      </c>
      <c r="AJ3132">
        <f t="shared" si="309"/>
        <v>0</v>
      </c>
      <c r="AK3132">
        <v>0</v>
      </c>
      <c r="AL3132" t="str">
        <f>IF(AA3132="","",IFERROR(IF(ISNUMBER('Procyfloc 4800'!D133),'Procyfloc 4800'!D133,IF(ISNUMBER(SEARCH("12",'Procyfloc 4800'!D133)),EDATE(AB3132,12),IF(ISNUMBER(SEARCH("6",'Procyfloc 4800'!D133)),EDATE(AB3132,6),IF(ISNUMBER(SEARCH("3",'Procyfloc 4800'!D133)),EDATE(AB3132,3),DATEVALUE('Procyfloc 4800'!D133))))),""))</f>
        <v/>
      </c>
      <c r="AM3132" t="str">
        <f t="shared" ca="1" si="310"/>
        <v/>
      </c>
    </row>
    <row r="3133" spans="27:39" x14ac:dyDescent="0.3">
      <c r="AA3133" t="str">
        <f>IF(COUNTA('Procyfloc 4800'!A134,'Procyfloc 4800'!B134,'Procyfloc 4800'!C134)&gt;0,"4800","")</f>
        <v/>
      </c>
      <c r="AB3133" t="str">
        <f>IFERROR(IF(ISNUMBER('Procyfloc 4800'!A134),'Procyfloc 4800'!A134,DATEVALUE('Procyfloc 4800'!A134)),"")</f>
        <v/>
      </c>
      <c r="AC3133" t="str">
        <f>IF(AA3133="","",'Procyfloc 4800'!B134)</f>
        <v/>
      </c>
      <c r="AD3133" t="str">
        <f>IF(AA3133="","",IFERROR(1*'Procyfloc 4800'!C134,IFERROR(_xludf.NUMBERVALUE('Procyfloc 4800'!C134,".",","),IFERROR(_xludf.NUMBERVALUE('Procyfloc 4800'!C134,",","."),0))))</f>
        <v/>
      </c>
      <c r="AE3133" t="str">
        <f>IF(AA3133="","",'Procyfloc 4800'!J134)</f>
        <v/>
      </c>
      <c r="AF3133">
        <f t="shared" si="305"/>
        <v>0</v>
      </c>
      <c r="AG3133" t="str">
        <f t="shared" si="306"/>
        <v/>
      </c>
      <c r="AH3133" t="str">
        <f t="shared" si="307"/>
        <v/>
      </c>
      <c r="AI3133">
        <f t="shared" si="308"/>
        <v>0</v>
      </c>
      <c r="AJ3133">
        <f t="shared" si="309"/>
        <v>0</v>
      </c>
      <c r="AK3133">
        <v>0</v>
      </c>
      <c r="AL3133" t="str">
        <f>IF(AA3133="","",IFERROR(IF(ISNUMBER('Procyfloc 4800'!D134),'Procyfloc 4800'!D134,IF(ISNUMBER(SEARCH("12",'Procyfloc 4800'!D134)),EDATE(AB3133,12),IF(ISNUMBER(SEARCH("6",'Procyfloc 4800'!D134)),EDATE(AB3133,6),IF(ISNUMBER(SEARCH("3",'Procyfloc 4800'!D134)),EDATE(AB3133,3),DATEVALUE('Procyfloc 4800'!D134))))),""))</f>
        <v/>
      </c>
      <c r="AM3133" t="str">
        <f t="shared" ca="1" si="310"/>
        <v/>
      </c>
    </row>
    <row r="3134" spans="27:39" x14ac:dyDescent="0.3">
      <c r="AA3134" t="str">
        <f>IF(COUNTA('Procyfloc 4800'!A135,'Procyfloc 4800'!B135,'Procyfloc 4800'!C135)&gt;0,"4800","")</f>
        <v/>
      </c>
      <c r="AB3134" t="str">
        <f>IFERROR(IF(ISNUMBER('Procyfloc 4800'!A135),'Procyfloc 4800'!A135,DATEVALUE('Procyfloc 4800'!A135)),"")</f>
        <v/>
      </c>
      <c r="AC3134" t="str">
        <f>IF(AA3134="","",'Procyfloc 4800'!B135)</f>
        <v/>
      </c>
      <c r="AD3134" t="str">
        <f>IF(AA3134="","",IFERROR(1*'Procyfloc 4800'!C135,IFERROR(_xludf.NUMBERVALUE('Procyfloc 4800'!C135,".",","),IFERROR(_xludf.NUMBERVALUE('Procyfloc 4800'!C135,",","."),0))))</f>
        <v/>
      </c>
      <c r="AE3134" t="str">
        <f>IF(AA3134="","",'Procyfloc 4800'!J135)</f>
        <v/>
      </c>
      <c r="AF3134">
        <f t="shared" si="305"/>
        <v>0</v>
      </c>
      <c r="AG3134" t="str">
        <f t="shared" si="306"/>
        <v/>
      </c>
      <c r="AH3134" t="str">
        <f t="shared" si="307"/>
        <v/>
      </c>
      <c r="AI3134">
        <f t="shared" si="308"/>
        <v>0</v>
      </c>
      <c r="AJ3134">
        <f t="shared" si="309"/>
        <v>0</v>
      </c>
      <c r="AK3134">
        <v>0</v>
      </c>
      <c r="AL3134" t="str">
        <f>IF(AA3134="","",IFERROR(IF(ISNUMBER('Procyfloc 4800'!D135),'Procyfloc 4800'!D135,IF(ISNUMBER(SEARCH("12",'Procyfloc 4800'!D135)),EDATE(AB3134,12),IF(ISNUMBER(SEARCH("6",'Procyfloc 4800'!D135)),EDATE(AB3134,6),IF(ISNUMBER(SEARCH("3",'Procyfloc 4800'!D135)),EDATE(AB3134,3),DATEVALUE('Procyfloc 4800'!D135))))),""))</f>
        <v/>
      </c>
      <c r="AM3134" t="str">
        <f t="shared" ca="1" si="310"/>
        <v/>
      </c>
    </row>
    <row r="3135" spans="27:39" x14ac:dyDescent="0.3">
      <c r="AA3135" t="str">
        <f>IF(COUNTA('Procyfloc 4800'!A136,'Procyfloc 4800'!B136,'Procyfloc 4800'!C136)&gt;0,"4800","")</f>
        <v/>
      </c>
      <c r="AB3135" t="str">
        <f>IFERROR(IF(ISNUMBER('Procyfloc 4800'!A136),'Procyfloc 4800'!A136,DATEVALUE('Procyfloc 4800'!A136)),"")</f>
        <v/>
      </c>
      <c r="AC3135" t="str">
        <f>IF(AA3135="","",'Procyfloc 4800'!B136)</f>
        <v/>
      </c>
      <c r="AD3135" t="str">
        <f>IF(AA3135="","",IFERROR(1*'Procyfloc 4800'!C136,IFERROR(_xludf.NUMBERVALUE('Procyfloc 4800'!C136,".",","),IFERROR(_xludf.NUMBERVALUE('Procyfloc 4800'!C136,",","."),0))))</f>
        <v/>
      </c>
      <c r="AE3135" t="str">
        <f>IF(AA3135="","",'Procyfloc 4800'!J136)</f>
        <v/>
      </c>
      <c r="AF3135">
        <f t="shared" si="305"/>
        <v>0</v>
      </c>
      <c r="AG3135" t="str">
        <f t="shared" si="306"/>
        <v/>
      </c>
      <c r="AH3135" t="str">
        <f t="shared" si="307"/>
        <v/>
      </c>
      <c r="AI3135">
        <f t="shared" si="308"/>
        <v>0</v>
      </c>
      <c r="AJ3135">
        <f t="shared" si="309"/>
        <v>0</v>
      </c>
      <c r="AK3135">
        <v>0</v>
      </c>
      <c r="AL3135" t="str">
        <f>IF(AA3135="","",IFERROR(IF(ISNUMBER('Procyfloc 4800'!D136),'Procyfloc 4800'!D136,IF(ISNUMBER(SEARCH("12",'Procyfloc 4800'!D136)),EDATE(AB3135,12),IF(ISNUMBER(SEARCH("6",'Procyfloc 4800'!D136)),EDATE(AB3135,6),IF(ISNUMBER(SEARCH("3",'Procyfloc 4800'!D136)),EDATE(AB3135,3),DATEVALUE('Procyfloc 4800'!D136))))),""))</f>
        <v/>
      </c>
      <c r="AM3135" t="str">
        <f t="shared" ca="1" si="310"/>
        <v/>
      </c>
    </row>
    <row r="3136" spans="27:39" x14ac:dyDescent="0.3">
      <c r="AA3136" t="str">
        <f>IF(COUNTA('Procyfloc 4800'!A137,'Procyfloc 4800'!B137,'Procyfloc 4800'!C137)&gt;0,"4800","")</f>
        <v/>
      </c>
      <c r="AB3136" t="str">
        <f>IFERROR(IF(ISNUMBER('Procyfloc 4800'!A137),'Procyfloc 4800'!A137,DATEVALUE('Procyfloc 4800'!A137)),"")</f>
        <v/>
      </c>
      <c r="AC3136" t="str">
        <f>IF(AA3136="","",'Procyfloc 4800'!B137)</f>
        <v/>
      </c>
      <c r="AD3136" t="str">
        <f>IF(AA3136="","",IFERROR(1*'Procyfloc 4800'!C137,IFERROR(_xludf.NUMBERVALUE('Procyfloc 4800'!C137,".",","),IFERROR(_xludf.NUMBERVALUE('Procyfloc 4800'!C137,",","."),0))))</f>
        <v/>
      </c>
      <c r="AE3136" t="str">
        <f>IF(AA3136="","",'Procyfloc 4800'!J137)</f>
        <v/>
      </c>
      <c r="AF3136">
        <f t="shared" si="305"/>
        <v>0</v>
      </c>
      <c r="AG3136" t="str">
        <f t="shared" si="306"/>
        <v/>
      </c>
      <c r="AH3136" t="str">
        <f t="shared" si="307"/>
        <v/>
      </c>
      <c r="AI3136">
        <f t="shared" si="308"/>
        <v>0</v>
      </c>
      <c r="AJ3136">
        <f t="shared" si="309"/>
        <v>0</v>
      </c>
      <c r="AK3136">
        <v>0</v>
      </c>
      <c r="AL3136" t="str">
        <f>IF(AA3136="","",IFERROR(IF(ISNUMBER('Procyfloc 4800'!D137),'Procyfloc 4800'!D137,IF(ISNUMBER(SEARCH("12",'Procyfloc 4800'!D137)),EDATE(AB3136,12),IF(ISNUMBER(SEARCH("6",'Procyfloc 4800'!D137)),EDATE(AB3136,6),IF(ISNUMBER(SEARCH("3",'Procyfloc 4800'!D137)),EDATE(AB3136,3),DATEVALUE('Procyfloc 4800'!D137))))),""))</f>
        <v/>
      </c>
      <c r="AM3136" t="str">
        <f t="shared" ca="1" si="310"/>
        <v/>
      </c>
    </row>
    <row r="3137" spans="27:39" x14ac:dyDescent="0.3">
      <c r="AA3137" t="str">
        <f>IF(COUNTA('Procyfloc 4800'!A138,'Procyfloc 4800'!B138,'Procyfloc 4800'!C138)&gt;0,"4800","")</f>
        <v/>
      </c>
      <c r="AB3137" t="str">
        <f>IFERROR(IF(ISNUMBER('Procyfloc 4800'!A138),'Procyfloc 4800'!A138,DATEVALUE('Procyfloc 4800'!A138)),"")</f>
        <v/>
      </c>
      <c r="AC3137" t="str">
        <f>IF(AA3137="","",'Procyfloc 4800'!B138)</f>
        <v/>
      </c>
      <c r="AD3137" t="str">
        <f>IF(AA3137="","",IFERROR(1*'Procyfloc 4800'!C138,IFERROR(_xludf.NUMBERVALUE('Procyfloc 4800'!C138,".",","),IFERROR(_xludf.NUMBERVALUE('Procyfloc 4800'!C138,",","."),0))))</f>
        <v/>
      </c>
      <c r="AE3137" t="str">
        <f>IF(AA3137="","",'Procyfloc 4800'!J138)</f>
        <v/>
      </c>
      <c r="AF3137">
        <f t="shared" si="305"/>
        <v>0</v>
      </c>
      <c r="AG3137" t="str">
        <f t="shared" si="306"/>
        <v/>
      </c>
      <c r="AH3137" t="str">
        <f t="shared" si="307"/>
        <v/>
      </c>
      <c r="AI3137">
        <f t="shared" si="308"/>
        <v>0</v>
      </c>
      <c r="AJ3137">
        <f t="shared" si="309"/>
        <v>0</v>
      </c>
      <c r="AK3137">
        <v>0</v>
      </c>
      <c r="AL3137" t="str">
        <f>IF(AA3137="","",IFERROR(IF(ISNUMBER('Procyfloc 4800'!D138),'Procyfloc 4800'!D138,IF(ISNUMBER(SEARCH("12",'Procyfloc 4800'!D138)),EDATE(AB3137,12),IF(ISNUMBER(SEARCH("6",'Procyfloc 4800'!D138)),EDATE(AB3137,6),IF(ISNUMBER(SEARCH("3",'Procyfloc 4800'!D138)),EDATE(AB3137,3),DATEVALUE('Procyfloc 4800'!D138))))),""))</f>
        <v/>
      </c>
      <c r="AM3137" t="str">
        <f t="shared" ca="1" si="310"/>
        <v/>
      </c>
    </row>
    <row r="3138" spans="27:39" x14ac:dyDescent="0.3">
      <c r="AA3138" t="str">
        <f>IF(COUNTA('Procyfloc 4800'!A139,'Procyfloc 4800'!B139,'Procyfloc 4800'!C139)&gt;0,"4800","")</f>
        <v/>
      </c>
      <c r="AB3138" t="str">
        <f>IFERROR(IF(ISNUMBER('Procyfloc 4800'!A139),'Procyfloc 4800'!A139,DATEVALUE('Procyfloc 4800'!A139)),"")</f>
        <v/>
      </c>
      <c r="AC3138" t="str">
        <f>IF(AA3138="","",'Procyfloc 4800'!B139)</f>
        <v/>
      </c>
      <c r="AD3138" t="str">
        <f>IF(AA3138="","",IFERROR(1*'Procyfloc 4800'!C139,IFERROR(_xludf.NUMBERVALUE('Procyfloc 4800'!C139,".",","),IFERROR(_xludf.NUMBERVALUE('Procyfloc 4800'!C139,",","."),0))))</f>
        <v/>
      </c>
      <c r="AE3138" t="str">
        <f>IF(AA3138="","",'Procyfloc 4800'!J139)</f>
        <v/>
      </c>
      <c r="AF3138">
        <f t="shared" ref="AF3138:AF3201" si="311">IF(AA3138="",0,--AND(ISNUMBER(SEARCH("aprov",AE3138)),NOT(ISNUMBER(SEARCH("reprov",AE3138)))))</f>
        <v>0</v>
      </c>
      <c r="AG3138" t="str">
        <f t="shared" ref="AG3138:AG3201" si="312">IF(AB3138="","",YEAR(AB3138))</f>
        <v/>
      </c>
      <c r="AH3138" t="str">
        <f t="shared" ref="AH3138:AH3201" si="313">IF(AB3138="","",MONTH(AB3138))</f>
        <v/>
      </c>
      <c r="AI3138">
        <f t="shared" ref="AI3138:AI3201" si="314">IF(AB3138="",0,AB3138+ROW()/1000000)</f>
        <v>0</v>
      </c>
      <c r="AJ3138">
        <f t="shared" ref="AJ3138:AJ3201" si="315">--(AA3138&lt;&gt;"")</f>
        <v>0</v>
      </c>
      <c r="AK3138">
        <v>0</v>
      </c>
      <c r="AL3138" t="str">
        <f>IF(AA3138="","",IFERROR(IF(ISNUMBER('Procyfloc 4800'!D139),'Procyfloc 4800'!D139,IF(ISNUMBER(SEARCH("12",'Procyfloc 4800'!D139)),EDATE(AB3138,12),IF(ISNUMBER(SEARCH("6",'Procyfloc 4800'!D139)),EDATE(AB3138,6),IF(ISNUMBER(SEARCH("3",'Procyfloc 4800'!D139)),EDATE(AB3138,3),DATEVALUE('Procyfloc 4800'!D139))))),""))</f>
        <v/>
      </c>
      <c r="AM3138" t="str">
        <f t="shared" ref="AM3138:AM3201" ca="1" si="316">IF(AND(AJ3138=1,AL3138&lt;&gt;"",AL3138&gt;=TODAY(),AG3138=$W$3),AL3138+ROW()/1000000,"")</f>
        <v/>
      </c>
    </row>
    <row r="3139" spans="27:39" x14ac:dyDescent="0.3">
      <c r="AA3139" t="str">
        <f>IF(COUNTA('Procyfloc 4800'!A140,'Procyfloc 4800'!B140,'Procyfloc 4800'!C140)&gt;0,"4800","")</f>
        <v/>
      </c>
      <c r="AB3139" t="str">
        <f>IFERROR(IF(ISNUMBER('Procyfloc 4800'!A140),'Procyfloc 4800'!A140,DATEVALUE('Procyfloc 4800'!A140)),"")</f>
        <v/>
      </c>
      <c r="AC3139" t="str">
        <f>IF(AA3139="","",'Procyfloc 4800'!B140)</f>
        <v/>
      </c>
      <c r="AD3139" t="str">
        <f>IF(AA3139="","",IFERROR(1*'Procyfloc 4800'!C140,IFERROR(_xludf.NUMBERVALUE('Procyfloc 4800'!C140,".",","),IFERROR(_xludf.NUMBERVALUE('Procyfloc 4800'!C140,",","."),0))))</f>
        <v/>
      </c>
      <c r="AE3139" t="str">
        <f>IF(AA3139="","",'Procyfloc 4800'!J140)</f>
        <v/>
      </c>
      <c r="AF3139">
        <f t="shared" si="311"/>
        <v>0</v>
      </c>
      <c r="AG3139" t="str">
        <f t="shared" si="312"/>
        <v/>
      </c>
      <c r="AH3139" t="str">
        <f t="shared" si="313"/>
        <v/>
      </c>
      <c r="AI3139">
        <f t="shared" si="314"/>
        <v>0</v>
      </c>
      <c r="AJ3139">
        <f t="shared" si="315"/>
        <v>0</v>
      </c>
      <c r="AK3139">
        <v>0</v>
      </c>
      <c r="AL3139" t="str">
        <f>IF(AA3139="","",IFERROR(IF(ISNUMBER('Procyfloc 4800'!D140),'Procyfloc 4800'!D140,IF(ISNUMBER(SEARCH("12",'Procyfloc 4800'!D140)),EDATE(AB3139,12),IF(ISNUMBER(SEARCH("6",'Procyfloc 4800'!D140)),EDATE(AB3139,6),IF(ISNUMBER(SEARCH("3",'Procyfloc 4800'!D140)),EDATE(AB3139,3),DATEVALUE('Procyfloc 4800'!D140))))),""))</f>
        <v/>
      </c>
      <c r="AM3139" t="str">
        <f t="shared" ca="1" si="316"/>
        <v/>
      </c>
    </row>
    <row r="3140" spans="27:39" x14ac:dyDescent="0.3">
      <c r="AA3140" t="str">
        <f>IF(COUNTA('Procyfloc 4800'!A141,'Procyfloc 4800'!B141,'Procyfloc 4800'!C141)&gt;0,"4800","")</f>
        <v/>
      </c>
      <c r="AB3140" t="str">
        <f>IFERROR(IF(ISNUMBER('Procyfloc 4800'!A141),'Procyfloc 4800'!A141,DATEVALUE('Procyfloc 4800'!A141)),"")</f>
        <v/>
      </c>
      <c r="AC3140" t="str">
        <f>IF(AA3140="","",'Procyfloc 4800'!B141)</f>
        <v/>
      </c>
      <c r="AD3140" t="str">
        <f>IF(AA3140="","",IFERROR(1*'Procyfloc 4800'!C141,IFERROR(_xludf.NUMBERVALUE('Procyfloc 4800'!C141,".",","),IFERROR(_xludf.NUMBERVALUE('Procyfloc 4800'!C141,",","."),0))))</f>
        <v/>
      </c>
      <c r="AE3140" t="str">
        <f>IF(AA3140="","",'Procyfloc 4800'!J141)</f>
        <v/>
      </c>
      <c r="AF3140">
        <f t="shared" si="311"/>
        <v>0</v>
      </c>
      <c r="AG3140" t="str">
        <f t="shared" si="312"/>
        <v/>
      </c>
      <c r="AH3140" t="str">
        <f t="shared" si="313"/>
        <v/>
      </c>
      <c r="AI3140">
        <f t="shared" si="314"/>
        <v>0</v>
      </c>
      <c r="AJ3140">
        <f t="shared" si="315"/>
        <v>0</v>
      </c>
      <c r="AK3140">
        <v>0</v>
      </c>
      <c r="AL3140" t="str">
        <f>IF(AA3140="","",IFERROR(IF(ISNUMBER('Procyfloc 4800'!D141),'Procyfloc 4800'!D141,IF(ISNUMBER(SEARCH("12",'Procyfloc 4800'!D141)),EDATE(AB3140,12),IF(ISNUMBER(SEARCH("6",'Procyfloc 4800'!D141)),EDATE(AB3140,6),IF(ISNUMBER(SEARCH("3",'Procyfloc 4800'!D141)),EDATE(AB3140,3),DATEVALUE('Procyfloc 4800'!D141))))),""))</f>
        <v/>
      </c>
      <c r="AM3140" t="str">
        <f t="shared" ca="1" si="316"/>
        <v/>
      </c>
    </row>
    <row r="3141" spans="27:39" x14ac:dyDescent="0.3">
      <c r="AA3141" t="str">
        <f>IF(COUNTA('Procyfloc 4800'!A142,'Procyfloc 4800'!B142,'Procyfloc 4800'!C142)&gt;0,"4800","")</f>
        <v/>
      </c>
      <c r="AB3141" t="str">
        <f>IFERROR(IF(ISNUMBER('Procyfloc 4800'!A142),'Procyfloc 4800'!A142,DATEVALUE('Procyfloc 4800'!A142)),"")</f>
        <v/>
      </c>
      <c r="AC3141" t="str">
        <f>IF(AA3141="","",'Procyfloc 4800'!B142)</f>
        <v/>
      </c>
      <c r="AD3141" t="str">
        <f>IF(AA3141="","",IFERROR(1*'Procyfloc 4800'!C142,IFERROR(_xludf.NUMBERVALUE('Procyfloc 4800'!C142,".",","),IFERROR(_xludf.NUMBERVALUE('Procyfloc 4800'!C142,",","."),0))))</f>
        <v/>
      </c>
      <c r="AE3141" t="str">
        <f>IF(AA3141="","",'Procyfloc 4800'!J142)</f>
        <v/>
      </c>
      <c r="AF3141">
        <f t="shared" si="311"/>
        <v>0</v>
      </c>
      <c r="AG3141" t="str">
        <f t="shared" si="312"/>
        <v/>
      </c>
      <c r="AH3141" t="str">
        <f t="shared" si="313"/>
        <v/>
      </c>
      <c r="AI3141">
        <f t="shared" si="314"/>
        <v>0</v>
      </c>
      <c r="AJ3141">
        <f t="shared" si="315"/>
        <v>0</v>
      </c>
      <c r="AK3141">
        <v>0</v>
      </c>
      <c r="AL3141" t="str">
        <f>IF(AA3141="","",IFERROR(IF(ISNUMBER('Procyfloc 4800'!D142),'Procyfloc 4800'!D142,IF(ISNUMBER(SEARCH("12",'Procyfloc 4800'!D142)),EDATE(AB3141,12),IF(ISNUMBER(SEARCH("6",'Procyfloc 4800'!D142)),EDATE(AB3141,6),IF(ISNUMBER(SEARCH("3",'Procyfloc 4800'!D142)),EDATE(AB3141,3),DATEVALUE('Procyfloc 4800'!D142))))),""))</f>
        <v/>
      </c>
      <c r="AM3141" t="str">
        <f t="shared" ca="1" si="316"/>
        <v/>
      </c>
    </row>
    <row r="3142" spans="27:39" x14ac:dyDescent="0.3">
      <c r="AA3142" t="str">
        <f>IF(COUNTA('Procyfloc 4800'!A143,'Procyfloc 4800'!B143,'Procyfloc 4800'!C143)&gt;0,"4800","")</f>
        <v/>
      </c>
      <c r="AB3142" t="str">
        <f>IFERROR(IF(ISNUMBER('Procyfloc 4800'!A143),'Procyfloc 4800'!A143,DATEVALUE('Procyfloc 4800'!A143)),"")</f>
        <v/>
      </c>
      <c r="AC3142" t="str">
        <f>IF(AA3142="","",'Procyfloc 4800'!B143)</f>
        <v/>
      </c>
      <c r="AD3142" t="str">
        <f>IF(AA3142="","",IFERROR(1*'Procyfloc 4800'!C143,IFERROR(_xludf.NUMBERVALUE('Procyfloc 4800'!C143,".",","),IFERROR(_xludf.NUMBERVALUE('Procyfloc 4800'!C143,",","."),0))))</f>
        <v/>
      </c>
      <c r="AE3142" t="str">
        <f>IF(AA3142="","",'Procyfloc 4800'!J143)</f>
        <v/>
      </c>
      <c r="AF3142">
        <f t="shared" si="311"/>
        <v>0</v>
      </c>
      <c r="AG3142" t="str">
        <f t="shared" si="312"/>
        <v/>
      </c>
      <c r="AH3142" t="str">
        <f t="shared" si="313"/>
        <v/>
      </c>
      <c r="AI3142">
        <f t="shared" si="314"/>
        <v>0</v>
      </c>
      <c r="AJ3142">
        <f t="shared" si="315"/>
        <v>0</v>
      </c>
      <c r="AK3142">
        <v>0</v>
      </c>
      <c r="AL3142" t="str">
        <f>IF(AA3142="","",IFERROR(IF(ISNUMBER('Procyfloc 4800'!D143),'Procyfloc 4800'!D143,IF(ISNUMBER(SEARCH("12",'Procyfloc 4800'!D143)),EDATE(AB3142,12),IF(ISNUMBER(SEARCH("6",'Procyfloc 4800'!D143)),EDATE(AB3142,6),IF(ISNUMBER(SEARCH("3",'Procyfloc 4800'!D143)),EDATE(AB3142,3),DATEVALUE('Procyfloc 4800'!D143))))),""))</f>
        <v/>
      </c>
      <c r="AM3142" t="str">
        <f t="shared" ca="1" si="316"/>
        <v/>
      </c>
    </row>
    <row r="3143" spans="27:39" x14ac:dyDescent="0.3">
      <c r="AA3143" t="str">
        <f>IF(COUNTA('Procyfloc 4800'!A144,'Procyfloc 4800'!B144,'Procyfloc 4800'!C144)&gt;0,"4800","")</f>
        <v/>
      </c>
      <c r="AB3143" t="str">
        <f>IFERROR(IF(ISNUMBER('Procyfloc 4800'!A144),'Procyfloc 4800'!A144,DATEVALUE('Procyfloc 4800'!A144)),"")</f>
        <v/>
      </c>
      <c r="AC3143" t="str">
        <f>IF(AA3143="","",'Procyfloc 4800'!B144)</f>
        <v/>
      </c>
      <c r="AD3143" t="str">
        <f>IF(AA3143="","",IFERROR(1*'Procyfloc 4800'!C144,IFERROR(_xludf.NUMBERVALUE('Procyfloc 4800'!C144,".",","),IFERROR(_xludf.NUMBERVALUE('Procyfloc 4800'!C144,",","."),0))))</f>
        <v/>
      </c>
      <c r="AE3143" t="str">
        <f>IF(AA3143="","",'Procyfloc 4800'!J144)</f>
        <v/>
      </c>
      <c r="AF3143">
        <f t="shared" si="311"/>
        <v>0</v>
      </c>
      <c r="AG3143" t="str">
        <f t="shared" si="312"/>
        <v/>
      </c>
      <c r="AH3143" t="str">
        <f t="shared" si="313"/>
        <v/>
      </c>
      <c r="AI3143">
        <f t="shared" si="314"/>
        <v>0</v>
      </c>
      <c r="AJ3143">
        <f t="shared" si="315"/>
        <v>0</v>
      </c>
      <c r="AK3143">
        <v>0</v>
      </c>
      <c r="AL3143" t="str">
        <f>IF(AA3143="","",IFERROR(IF(ISNUMBER('Procyfloc 4800'!D144),'Procyfloc 4800'!D144,IF(ISNUMBER(SEARCH("12",'Procyfloc 4800'!D144)),EDATE(AB3143,12),IF(ISNUMBER(SEARCH("6",'Procyfloc 4800'!D144)),EDATE(AB3143,6),IF(ISNUMBER(SEARCH("3",'Procyfloc 4800'!D144)),EDATE(AB3143,3),DATEVALUE('Procyfloc 4800'!D144))))),""))</f>
        <v/>
      </c>
      <c r="AM3143" t="str">
        <f t="shared" ca="1" si="316"/>
        <v/>
      </c>
    </row>
    <row r="3144" spans="27:39" x14ac:dyDescent="0.3">
      <c r="AA3144" t="str">
        <f>IF(COUNTA('Procyfloc 4800'!A145,'Procyfloc 4800'!B145,'Procyfloc 4800'!C145)&gt;0,"4800","")</f>
        <v/>
      </c>
      <c r="AB3144" t="str">
        <f>IFERROR(IF(ISNUMBER('Procyfloc 4800'!A145),'Procyfloc 4800'!A145,DATEVALUE('Procyfloc 4800'!A145)),"")</f>
        <v/>
      </c>
      <c r="AC3144" t="str">
        <f>IF(AA3144="","",'Procyfloc 4800'!B145)</f>
        <v/>
      </c>
      <c r="AD3144" t="str">
        <f>IF(AA3144="","",IFERROR(1*'Procyfloc 4800'!C145,IFERROR(_xludf.NUMBERVALUE('Procyfloc 4800'!C145,".",","),IFERROR(_xludf.NUMBERVALUE('Procyfloc 4800'!C145,",","."),0))))</f>
        <v/>
      </c>
      <c r="AE3144" t="str">
        <f>IF(AA3144="","",'Procyfloc 4800'!J145)</f>
        <v/>
      </c>
      <c r="AF3144">
        <f t="shared" si="311"/>
        <v>0</v>
      </c>
      <c r="AG3144" t="str">
        <f t="shared" si="312"/>
        <v/>
      </c>
      <c r="AH3144" t="str">
        <f t="shared" si="313"/>
        <v/>
      </c>
      <c r="AI3144">
        <f t="shared" si="314"/>
        <v>0</v>
      </c>
      <c r="AJ3144">
        <f t="shared" si="315"/>
        <v>0</v>
      </c>
      <c r="AK3144">
        <v>0</v>
      </c>
      <c r="AL3144" t="str">
        <f>IF(AA3144="","",IFERROR(IF(ISNUMBER('Procyfloc 4800'!D145),'Procyfloc 4800'!D145,IF(ISNUMBER(SEARCH("12",'Procyfloc 4800'!D145)),EDATE(AB3144,12),IF(ISNUMBER(SEARCH("6",'Procyfloc 4800'!D145)),EDATE(AB3144,6),IF(ISNUMBER(SEARCH("3",'Procyfloc 4800'!D145)),EDATE(AB3144,3),DATEVALUE('Procyfloc 4800'!D145))))),""))</f>
        <v/>
      </c>
      <c r="AM3144" t="str">
        <f t="shared" ca="1" si="316"/>
        <v/>
      </c>
    </row>
    <row r="3145" spans="27:39" x14ac:dyDescent="0.3">
      <c r="AA3145" t="str">
        <f>IF(COUNTA('Procyfloc 4800'!A146,'Procyfloc 4800'!B146,'Procyfloc 4800'!C146)&gt;0,"4800","")</f>
        <v/>
      </c>
      <c r="AB3145" t="str">
        <f>IFERROR(IF(ISNUMBER('Procyfloc 4800'!A146),'Procyfloc 4800'!A146,DATEVALUE('Procyfloc 4800'!A146)),"")</f>
        <v/>
      </c>
      <c r="AC3145" t="str">
        <f>IF(AA3145="","",'Procyfloc 4800'!B146)</f>
        <v/>
      </c>
      <c r="AD3145" t="str">
        <f>IF(AA3145="","",IFERROR(1*'Procyfloc 4800'!C146,IFERROR(_xludf.NUMBERVALUE('Procyfloc 4800'!C146,".",","),IFERROR(_xludf.NUMBERVALUE('Procyfloc 4800'!C146,",","."),0))))</f>
        <v/>
      </c>
      <c r="AE3145" t="str">
        <f>IF(AA3145="","",'Procyfloc 4800'!J146)</f>
        <v/>
      </c>
      <c r="AF3145">
        <f t="shared" si="311"/>
        <v>0</v>
      </c>
      <c r="AG3145" t="str">
        <f t="shared" si="312"/>
        <v/>
      </c>
      <c r="AH3145" t="str">
        <f t="shared" si="313"/>
        <v/>
      </c>
      <c r="AI3145">
        <f t="shared" si="314"/>
        <v>0</v>
      </c>
      <c r="AJ3145">
        <f t="shared" si="315"/>
        <v>0</v>
      </c>
      <c r="AK3145">
        <v>0</v>
      </c>
      <c r="AL3145" t="str">
        <f>IF(AA3145="","",IFERROR(IF(ISNUMBER('Procyfloc 4800'!D146),'Procyfloc 4800'!D146,IF(ISNUMBER(SEARCH("12",'Procyfloc 4800'!D146)),EDATE(AB3145,12),IF(ISNUMBER(SEARCH("6",'Procyfloc 4800'!D146)),EDATE(AB3145,6),IF(ISNUMBER(SEARCH("3",'Procyfloc 4800'!D146)),EDATE(AB3145,3),DATEVALUE('Procyfloc 4800'!D146))))),""))</f>
        <v/>
      </c>
      <c r="AM3145" t="str">
        <f t="shared" ca="1" si="316"/>
        <v/>
      </c>
    </row>
    <row r="3146" spans="27:39" x14ac:dyDescent="0.3">
      <c r="AA3146" t="str">
        <f>IF(COUNTA('Procyfloc 4800'!A147,'Procyfloc 4800'!B147,'Procyfloc 4800'!C147)&gt;0,"4800","")</f>
        <v/>
      </c>
      <c r="AB3146" t="str">
        <f>IFERROR(IF(ISNUMBER('Procyfloc 4800'!A147),'Procyfloc 4800'!A147,DATEVALUE('Procyfloc 4800'!A147)),"")</f>
        <v/>
      </c>
      <c r="AC3146" t="str">
        <f>IF(AA3146="","",'Procyfloc 4800'!B147)</f>
        <v/>
      </c>
      <c r="AD3146" t="str">
        <f>IF(AA3146="","",IFERROR(1*'Procyfloc 4800'!C147,IFERROR(_xludf.NUMBERVALUE('Procyfloc 4800'!C147,".",","),IFERROR(_xludf.NUMBERVALUE('Procyfloc 4800'!C147,",","."),0))))</f>
        <v/>
      </c>
      <c r="AE3146" t="str">
        <f>IF(AA3146="","",'Procyfloc 4800'!J147)</f>
        <v/>
      </c>
      <c r="AF3146">
        <f t="shared" si="311"/>
        <v>0</v>
      </c>
      <c r="AG3146" t="str">
        <f t="shared" si="312"/>
        <v/>
      </c>
      <c r="AH3146" t="str">
        <f t="shared" si="313"/>
        <v/>
      </c>
      <c r="AI3146">
        <f t="shared" si="314"/>
        <v>0</v>
      </c>
      <c r="AJ3146">
        <f t="shared" si="315"/>
        <v>0</v>
      </c>
      <c r="AK3146">
        <v>0</v>
      </c>
      <c r="AL3146" t="str">
        <f>IF(AA3146="","",IFERROR(IF(ISNUMBER('Procyfloc 4800'!D147),'Procyfloc 4800'!D147,IF(ISNUMBER(SEARCH("12",'Procyfloc 4800'!D147)),EDATE(AB3146,12),IF(ISNUMBER(SEARCH("6",'Procyfloc 4800'!D147)),EDATE(AB3146,6),IF(ISNUMBER(SEARCH("3",'Procyfloc 4800'!D147)),EDATE(AB3146,3),DATEVALUE('Procyfloc 4800'!D147))))),""))</f>
        <v/>
      </c>
      <c r="AM3146" t="str">
        <f t="shared" ca="1" si="316"/>
        <v/>
      </c>
    </row>
    <row r="3147" spans="27:39" x14ac:dyDescent="0.3">
      <c r="AA3147" t="str">
        <f>IF(COUNTA('Procyfloc 4800'!A148,'Procyfloc 4800'!B148,'Procyfloc 4800'!C148)&gt;0,"4800","")</f>
        <v/>
      </c>
      <c r="AB3147" t="str">
        <f>IFERROR(IF(ISNUMBER('Procyfloc 4800'!A148),'Procyfloc 4800'!A148,DATEVALUE('Procyfloc 4800'!A148)),"")</f>
        <v/>
      </c>
      <c r="AC3147" t="str">
        <f>IF(AA3147="","",'Procyfloc 4800'!B148)</f>
        <v/>
      </c>
      <c r="AD3147" t="str">
        <f>IF(AA3147="","",IFERROR(1*'Procyfloc 4800'!C148,IFERROR(_xludf.NUMBERVALUE('Procyfloc 4800'!C148,".",","),IFERROR(_xludf.NUMBERVALUE('Procyfloc 4800'!C148,",","."),0))))</f>
        <v/>
      </c>
      <c r="AE3147" t="str">
        <f>IF(AA3147="","",'Procyfloc 4800'!J148)</f>
        <v/>
      </c>
      <c r="AF3147">
        <f t="shared" si="311"/>
        <v>0</v>
      </c>
      <c r="AG3147" t="str">
        <f t="shared" si="312"/>
        <v/>
      </c>
      <c r="AH3147" t="str">
        <f t="shared" si="313"/>
        <v/>
      </c>
      <c r="AI3147">
        <f t="shared" si="314"/>
        <v>0</v>
      </c>
      <c r="AJ3147">
        <f t="shared" si="315"/>
        <v>0</v>
      </c>
      <c r="AK3147">
        <v>0</v>
      </c>
      <c r="AL3147" t="str">
        <f>IF(AA3147="","",IFERROR(IF(ISNUMBER('Procyfloc 4800'!D148),'Procyfloc 4800'!D148,IF(ISNUMBER(SEARCH("12",'Procyfloc 4800'!D148)),EDATE(AB3147,12),IF(ISNUMBER(SEARCH("6",'Procyfloc 4800'!D148)),EDATE(AB3147,6),IF(ISNUMBER(SEARCH("3",'Procyfloc 4800'!D148)),EDATE(AB3147,3),DATEVALUE('Procyfloc 4800'!D148))))),""))</f>
        <v/>
      </c>
      <c r="AM3147" t="str">
        <f t="shared" ca="1" si="316"/>
        <v/>
      </c>
    </row>
    <row r="3148" spans="27:39" x14ac:dyDescent="0.3">
      <c r="AA3148" t="str">
        <f>IF(COUNTA('Procyfloc 4800'!A149,'Procyfloc 4800'!B149,'Procyfloc 4800'!C149)&gt;0,"4800","")</f>
        <v/>
      </c>
      <c r="AB3148" t="str">
        <f>IFERROR(IF(ISNUMBER('Procyfloc 4800'!A149),'Procyfloc 4800'!A149,DATEVALUE('Procyfloc 4800'!A149)),"")</f>
        <v/>
      </c>
      <c r="AC3148" t="str">
        <f>IF(AA3148="","",'Procyfloc 4800'!B149)</f>
        <v/>
      </c>
      <c r="AD3148" t="str">
        <f>IF(AA3148="","",IFERROR(1*'Procyfloc 4800'!C149,IFERROR(_xludf.NUMBERVALUE('Procyfloc 4800'!C149,".",","),IFERROR(_xludf.NUMBERVALUE('Procyfloc 4800'!C149,",","."),0))))</f>
        <v/>
      </c>
      <c r="AE3148" t="str">
        <f>IF(AA3148="","",'Procyfloc 4800'!J149)</f>
        <v/>
      </c>
      <c r="AF3148">
        <f t="shared" si="311"/>
        <v>0</v>
      </c>
      <c r="AG3148" t="str">
        <f t="shared" si="312"/>
        <v/>
      </c>
      <c r="AH3148" t="str">
        <f t="shared" si="313"/>
        <v/>
      </c>
      <c r="AI3148">
        <f t="shared" si="314"/>
        <v>0</v>
      </c>
      <c r="AJ3148">
        <f t="shared" si="315"/>
        <v>0</v>
      </c>
      <c r="AK3148">
        <v>0</v>
      </c>
      <c r="AL3148" t="str">
        <f>IF(AA3148="","",IFERROR(IF(ISNUMBER('Procyfloc 4800'!D149),'Procyfloc 4800'!D149,IF(ISNUMBER(SEARCH("12",'Procyfloc 4800'!D149)),EDATE(AB3148,12),IF(ISNUMBER(SEARCH("6",'Procyfloc 4800'!D149)),EDATE(AB3148,6),IF(ISNUMBER(SEARCH("3",'Procyfloc 4800'!D149)),EDATE(AB3148,3),DATEVALUE('Procyfloc 4800'!D149))))),""))</f>
        <v/>
      </c>
      <c r="AM3148" t="str">
        <f t="shared" ca="1" si="316"/>
        <v/>
      </c>
    </row>
    <row r="3149" spans="27:39" x14ac:dyDescent="0.3">
      <c r="AA3149" t="str">
        <f>IF(COUNTA('Procyfloc 4800'!A150,'Procyfloc 4800'!B150,'Procyfloc 4800'!C150)&gt;0,"4800","")</f>
        <v/>
      </c>
      <c r="AB3149" t="str">
        <f>IFERROR(IF(ISNUMBER('Procyfloc 4800'!A150),'Procyfloc 4800'!A150,DATEVALUE('Procyfloc 4800'!A150)),"")</f>
        <v/>
      </c>
      <c r="AC3149" t="str">
        <f>IF(AA3149="","",'Procyfloc 4800'!B150)</f>
        <v/>
      </c>
      <c r="AD3149" t="str">
        <f>IF(AA3149="","",IFERROR(1*'Procyfloc 4800'!C150,IFERROR(_xludf.NUMBERVALUE('Procyfloc 4800'!C150,".",","),IFERROR(_xludf.NUMBERVALUE('Procyfloc 4800'!C150,",","."),0))))</f>
        <v/>
      </c>
      <c r="AE3149" t="str">
        <f>IF(AA3149="","",'Procyfloc 4800'!J150)</f>
        <v/>
      </c>
      <c r="AF3149">
        <f t="shared" si="311"/>
        <v>0</v>
      </c>
      <c r="AG3149" t="str">
        <f t="shared" si="312"/>
        <v/>
      </c>
      <c r="AH3149" t="str">
        <f t="shared" si="313"/>
        <v/>
      </c>
      <c r="AI3149">
        <f t="shared" si="314"/>
        <v>0</v>
      </c>
      <c r="AJ3149">
        <f t="shared" si="315"/>
        <v>0</v>
      </c>
      <c r="AK3149">
        <v>0</v>
      </c>
      <c r="AL3149" t="str">
        <f>IF(AA3149="","",IFERROR(IF(ISNUMBER('Procyfloc 4800'!D150),'Procyfloc 4800'!D150,IF(ISNUMBER(SEARCH("12",'Procyfloc 4800'!D150)),EDATE(AB3149,12),IF(ISNUMBER(SEARCH("6",'Procyfloc 4800'!D150)),EDATE(AB3149,6),IF(ISNUMBER(SEARCH("3",'Procyfloc 4800'!D150)),EDATE(AB3149,3),DATEVALUE('Procyfloc 4800'!D150))))),""))</f>
        <v/>
      </c>
      <c r="AM3149" t="str">
        <f t="shared" ca="1" si="316"/>
        <v/>
      </c>
    </row>
    <row r="3150" spans="27:39" x14ac:dyDescent="0.3">
      <c r="AA3150" t="str">
        <f>IF(COUNTA('Procyfloc 4800'!A151,'Procyfloc 4800'!B151,'Procyfloc 4800'!C151)&gt;0,"4800","")</f>
        <v/>
      </c>
      <c r="AB3150" t="str">
        <f>IFERROR(IF(ISNUMBER('Procyfloc 4800'!A151),'Procyfloc 4800'!A151,DATEVALUE('Procyfloc 4800'!A151)),"")</f>
        <v/>
      </c>
      <c r="AC3150" t="str">
        <f>IF(AA3150="","",'Procyfloc 4800'!B151)</f>
        <v/>
      </c>
      <c r="AD3150" t="str">
        <f>IF(AA3150="","",IFERROR(1*'Procyfloc 4800'!C151,IFERROR(_xludf.NUMBERVALUE('Procyfloc 4800'!C151,".",","),IFERROR(_xludf.NUMBERVALUE('Procyfloc 4800'!C151,",","."),0))))</f>
        <v/>
      </c>
      <c r="AE3150" t="str">
        <f>IF(AA3150="","",'Procyfloc 4800'!J151)</f>
        <v/>
      </c>
      <c r="AF3150">
        <f t="shared" si="311"/>
        <v>0</v>
      </c>
      <c r="AG3150" t="str">
        <f t="shared" si="312"/>
        <v/>
      </c>
      <c r="AH3150" t="str">
        <f t="shared" si="313"/>
        <v/>
      </c>
      <c r="AI3150">
        <f t="shared" si="314"/>
        <v>0</v>
      </c>
      <c r="AJ3150">
        <f t="shared" si="315"/>
        <v>0</v>
      </c>
      <c r="AK3150">
        <v>0</v>
      </c>
      <c r="AL3150" t="str">
        <f>IF(AA3150="","",IFERROR(IF(ISNUMBER('Procyfloc 4800'!D151),'Procyfloc 4800'!D151,IF(ISNUMBER(SEARCH("12",'Procyfloc 4800'!D151)),EDATE(AB3150,12),IF(ISNUMBER(SEARCH("6",'Procyfloc 4800'!D151)),EDATE(AB3150,6),IF(ISNUMBER(SEARCH("3",'Procyfloc 4800'!D151)),EDATE(AB3150,3),DATEVALUE('Procyfloc 4800'!D151))))),""))</f>
        <v/>
      </c>
      <c r="AM3150" t="str">
        <f t="shared" ca="1" si="316"/>
        <v/>
      </c>
    </row>
    <row r="3151" spans="27:39" x14ac:dyDescent="0.3">
      <c r="AA3151" t="str">
        <f>IF(COUNTA('Procyfloc 4800'!A152,'Procyfloc 4800'!B152,'Procyfloc 4800'!C152)&gt;0,"4800","")</f>
        <v/>
      </c>
      <c r="AB3151" t="str">
        <f>IFERROR(IF(ISNUMBER('Procyfloc 4800'!A152),'Procyfloc 4800'!A152,DATEVALUE('Procyfloc 4800'!A152)),"")</f>
        <v/>
      </c>
      <c r="AC3151" t="str">
        <f>IF(AA3151="","",'Procyfloc 4800'!B152)</f>
        <v/>
      </c>
      <c r="AD3151" t="str">
        <f>IF(AA3151="","",IFERROR(1*'Procyfloc 4800'!C152,IFERROR(_xludf.NUMBERVALUE('Procyfloc 4800'!C152,".",","),IFERROR(_xludf.NUMBERVALUE('Procyfloc 4800'!C152,",","."),0))))</f>
        <v/>
      </c>
      <c r="AE3151" t="str">
        <f>IF(AA3151="","",'Procyfloc 4800'!J152)</f>
        <v/>
      </c>
      <c r="AF3151">
        <f t="shared" si="311"/>
        <v>0</v>
      </c>
      <c r="AG3151" t="str">
        <f t="shared" si="312"/>
        <v/>
      </c>
      <c r="AH3151" t="str">
        <f t="shared" si="313"/>
        <v/>
      </c>
      <c r="AI3151">
        <f t="shared" si="314"/>
        <v>0</v>
      </c>
      <c r="AJ3151">
        <f t="shared" si="315"/>
        <v>0</v>
      </c>
      <c r="AK3151">
        <v>0</v>
      </c>
      <c r="AL3151" t="str">
        <f>IF(AA3151="","",IFERROR(IF(ISNUMBER('Procyfloc 4800'!D152),'Procyfloc 4800'!D152,IF(ISNUMBER(SEARCH("12",'Procyfloc 4800'!D152)),EDATE(AB3151,12),IF(ISNUMBER(SEARCH("6",'Procyfloc 4800'!D152)),EDATE(AB3151,6),IF(ISNUMBER(SEARCH("3",'Procyfloc 4800'!D152)),EDATE(AB3151,3),DATEVALUE('Procyfloc 4800'!D152))))),""))</f>
        <v/>
      </c>
      <c r="AM3151" t="str">
        <f t="shared" ca="1" si="316"/>
        <v/>
      </c>
    </row>
    <row r="3152" spans="27:39" x14ac:dyDescent="0.3">
      <c r="AA3152" t="str">
        <f>IF(COUNTA('Procyfloc 4800'!A153,'Procyfloc 4800'!B153,'Procyfloc 4800'!C153)&gt;0,"4800","")</f>
        <v/>
      </c>
      <c r="AB3152" t="str">
        <f>IFERROR(IF(ISNUMBER('Procyfloc 4800'!A153),'Procyfloc 4800'!A153,DATEVALUE('Procyfloc 4800'!A153)),"")</f>
        <v/>
      </c>
      <c r="AC3152" t="str">
        <f>IF(AA3152="","",'Procyfloc 4800'!B153)</f>
        <v/>
      </c>
      <c r="AD3152" t="str">
        <f>IF(AA3152="","",IFERROR(1*'Procyfloc 4800'!C153,IFERROR(_xludf.NUMBERVALUE('Procyfloc 4800'!C153,".",","),IFERROR(_xludf.NUMBERVALUE('Procyfloc 4800'!C153,",","."),0))))</f>
        <v/>
      </c>
      <c r="AE3152" t="str">
        <f>IF(AA3152="","",'Procyfloc 4800'!J153)</f>
        <v/>
      </c>
      <c r="AF3152">
        <f t="shared" si="311"/>
        <v>0</v>
      </c>
      <c r="AG3152" t="str">
        <f t="shared" si="312"/>
        <v/>
      </c>
      <c r="AH3152" t="str">
        <f t="shared" si="313"/>
        <v/>
      </c>
      <c r="AI3152">
        <f t="shared" si="314"/>
        <v>0</v>
      </c>
      <c r="AJ3152">
        <f t="shared" si="315"/>
        <v>0</v>
      </c>
      <c r="AK3152">
        <v>0</v>
      </c>
      <c r="AL3152" t="str">
        <f>IF(AA3152="","",IFERROR(IF(ISNUMBER('Procyfloc 4800'!D153),'Procyfloc 4800'!D153,IF(ISNUMBER(SEARCH("12",'Procyfloc 4800'!D153)),EDATE(AB3152,12),IF(ISNUMBER(SEARCH("6",'Procyfloc 4800'!D153)),EDATE(AB3152,6),IF(ISNUMBER(SEARCH("3",'Procyfloc 4800'!D153)),EDATE(AB3152,3),DATEVALUE('Procyfloc 4800'!D153))))),""))</f>
        <v/>
      </c>
      <c r="AM3152" t="str">
        <f t="shared" ca="1" si="316"/>
        <v/>
      </c>
    </row>
    <row r="3153" spans="27:39" x14ac:dyDescent="0.3">
      <c r="AA3153" t="str">
        <f>IF(COUNTA('Procyfloc 4800'!A154,'Procyfloc 4800'!B154,'Procyfloc 4800'!C154)&gt;0,"4800","")</f>
        <v/>
      </c>
      <c r="AB3153" t="str">
        <f>IFERROR(IF(ISNUMBER('Procyfloc 4800'!A154),'Procyfloc 4800'!A154,DATEVALUE('Procyfloc 4800'!A154)),"")</f>
        <v/>
      </c>
      <c r="AC3153" t="str">
        <f>IF(AA3153="","",'Procyfloc 4800'!B154)</f>
        <v/>
      </c>
      <c r="AD3153" t="str">
        <f>IF(AA3153="","",IFERROR(1*'Procyfloc 4800'!C154,IFERROR(_xludf.NUMBERVALUE('Procyfloc 4800'!C154,".",","),IFERROR(_xludf.NUMBERVALUE('Procyfloc 4800'!C154,",","."),0))))</f>
        <v/>
      </c>
      <c r="AE3153" t="str">
        <f>IF(AA3153="","",'Procyfloc 4800'!J154)</f>
        <v/>
      </c>
      <c r="AF3153">
        <f t="shared" si="311"/>
        <v>0</v>
      </c>
      <c r="AG3153" t="str">
        <f t="shared" si="312"/>
        <v/>
      </c>
      <c r="AH3153" t="str">
        <f t="shared" si="313"/>
        <v/>
      </c>
      <c r="AI3153">
        <f t="shared" si="314"/>
        <v>0</v>
      </c>
      <c r="AJ3153">
        <f t="shared" si="315"/>
        <v>0</v>
      </c>
      <c r="AK3153">
        <v>0</v>
      </c>
      <c r="AL3153" t="str">
        <f>IF(AA3153="","",IFERROR(IF(ISNUMBER('Procyfloc 4800'!D154),'Procyfloc 4800'!D154,IF(ISNUMBER(SEARCH("12",'Procyfloc 4800'!D154)),EDATE(AB3153,12),IF(ISNUMBER(SEARCH("6",'Procyfloc 4800'!D154)),EDATE(AB3153,6),IF(ISNUMBER(SEARCH("3",'Procyfloc 4800'!D154)),EDATE(AB3153,3),DATEVALUE('Procyfloc 4800'!D154))))),""))</f>
        <v/>
      </c>
      <c r="AM3153" t="str">
        <f t="shared" ca="1" si="316"/>
        <v/>
      </c>
    </row>
    <row r="3154" spans="27:39" x14ac:dyDescent="0.3">
      <c r="AA3154" t="str">
        <f>IF(COUNTA('Procyfloc 4800'!A155,'Procyfloc 4800'!B155,'Procyfloc 4800'!C155)&gt;0,"4800","")</f>
        <v/>
      </c>
      <c r="AB3154" t="str">
        <f>IFERROR(IF(ISNUMBER('Procyfloc 4800'!A155),'Procyfloc 4800'!A155,DATEVALUE('Procyfloc 4800'!A155)),"")</f>
        <v/>
      </c>
      <c r="AC3154" t="str">
        <f>IF(AA3154="","",'Procyfloc 4800'!B155)</f>
        <v/>
      </c>
      <c r="AD3154" t="str">
        <f>IF(AA3154="","",IFERROR(1*'Procyfloc 4800'!C155,IFERROR(_xludf.NUMBERVALUE('Procyfloc 4800'!C155,".",","),IFERROR(_xludf.NUMBERVALUE('Procyfloc 4800'!C155,",","."),0))))</f>
        <v/>
      </c>
      <c r="AE3154" t="str">
        <f>IF(AA3154="","",'Procyfloc 4800'!J155)</f>
        <v/>
      </c>
      <c r="AF3154">
        <f t="shared" si="311"/>
        <v>0</v>
      </c>
      <c r="AG3154" t="str">
        <f t="shared" si="312"/>
        <v/>
      </c>
      <c r="AH3154" t="str">
        <f t="shared" si="313"/>
        <v/>
      </c>
      <c r="AI3154">
        <f t="shared" si="314"/>
        <v>0</v>
      </c>
      <c r="AJ3154">
        <f t="shared" si="315"/>
        <v>0</v>
      </c>
      <c r="AK3154">
        <v>0</v>
      </c>
      <c r="AL3154" t="str">
        <f>IF(AA3154="","",IFERROR(IF(ISNUMBER('Procyfloc 4800'!D155),'Procyfloc 4800'!D155,IF(ISNUMBER(SEARCH("12",'Procyfloc 4800'!D155)),EDATE(AB3154,12),IF(ISNUMBER(SEARCH("6",'Procyfloc 4800'!D155)),EDATE(AB3154,6),IF(ISNUMBER(SEARCH("3",'Procyfloc 4800'!D155)),EDATE(AB3154,3),DATEVALUE('Procyfloc 4800'!D155))))),""))</f>
        <v/>
      </c>
      <c r="AM3154" t="str">
        <f t="shared" ca="1" si="316"/>
        <v/>
      </c>
    </row>
    <row r="3155" spans="27:39" x14ac:dyDescent="0.3">
      <c r="AA3155" t="str">
        <f>IF(COUNTA('Procyfloc 4800'!A156,'Procyfloc 4800'!B156,'Procyfloc 4800'!C156)&gt;0,"4800","")</f>
        <v/>
      </c>
      <c r="AB3155" t="str">
        <f>IFERROR(IF(ISNUMBER('Procyfloc 4800'!A156),'Procyfloc 4800'!A156,DATEVALUE('Procyfloc 4800'!A156)),"")</f>
        <v/>
      </c>
      <c r="AC3155" t="str">
        <f>IF(AA3155="","",'Procyfloc 4800'!B156)</f>
        <v/>
      </c>
      <c r="AD3155" t="str">
        <f>IF(AA3155="","",IFERROR(1*'Procyfloc 4800'!C156,IFERROR(_xludf.NUMBERVALUE('Procyfloc 4800'!C156,".",","),IFERROR(_xludf.NUMBERVALUE('Procyfloc 4800'!C156,",","."),0))))</f>
        <v/>
      </c>
      <c r="AE3155" t="str">
        <f>IF(AA3155="","",'Procyfloc 4800'!J156)</f>
        <v/>
      </c>
      <c r="AF3155">
        <f t="shared" si="311"/>
        <v>0</v>
      </c>
      <c r="AG3155" t="str">
        <f t="shared" si="312"/>
        <v/>
      </c>
      <c r="AH3155" t="str">
        <f t="shared" si="313"/>
        <v/>
      </c>
      <c r="AI3155">
        <f t="shared" si="314"/>
        <v>0</v>
      </c>
      <c r="AJ3155">
        <f t="shared" si="315"/>
        <v>0</v>
      </c>
      <c r="AK3155">
        <v>0</v>
      </c>
      <c r="AL3155" t="str">
        <f>IF(AA3155="","",IFERROR(IF(ISNUMBER('Procyfloc 4800'!D156),'Procyfloc 4800'!D156,IF(ISNUMBER(SEARCH("12",'Procyfloc 4800'!D156)),EDATE(AB3155,12),IF(ISNUMBER(SEARCH("6",'Procyfloc 4800'!D156)),EDATE(AB3155,6),IF(ISNUMBER(SEARCH("3",'Procyfloc 4800'!D156)),EDATE(AB3155,3),DATEVALUE('Procyfloc 4800'!D156))))),""))</f>
        <v/>
      </c>
      <c r="AM3155" t="str">
        <f t="shared" ca="1" si="316"/>
        <v/>
      </c>
    </row>
    <row r="3156" spans="27:39" x14ac:dyDescent="0.3">
      <c r="AA3156" t="str">
        <f>IF(COUNTA('Procyfloc 4800'!A157,'Procyfloc 4800'!B157,'Procyfloc 4800'!C157)&gt;0,"4800","")</f>
        <v/>
      </c>
      <c r="AB3156" t="str">
        <f>IFERROR(IF(ISNUMBER('Procyfloc 4800'!A157),'Procyfloc 4800'!A157,DATEVALUE('Procyfloc 4800'!A157)),"")</f>
        <v/>
      </c>
      <c r="AC3156" t="str">
        <f>IF(AA3156="","",'Procyfloc 4800'!B157)</f>
        <v/>
      </c>
      <c r="AD3156" t="str">
        <f>IF(AA3156="","",IFERROR(1*'Procyfloc 4800'!C157,IFERROR(_xludf.NUMBERVALUE('Procyfloc 4800'!C157,".",","),IFERROR(_xludf.NUMBERVALUE('Procyfloc 4800'!C157,",","."),0))))</f>
        <v/>
      </c>
      <c r="AE3156" t="str">
        <f>IF(AA3156="","",'Procyfloc 4800'!J157)</f>
        <v/>
      </c>
      <c r="AF3156">
        <f t="shared" si="311"/>
        <v>0</v>
      </c>
      <c r="AG3156" t="str">
        <f t="shared" si="312"/>
        <v/>
      </c>
      <c r="AH3156" t="str">
        <f t="shared" si="313"/>
        <v/>
      </c>
      <c r="AI3156">
        <f t="shared" si="314"/>
        <v>0</v>
      </c>
      <c r="AJ3156">
        <f t="shared" si="315"/>
        <v>0</v>
      </c>
      <c r="AK3156">
        <v>0</v>
      </c>
      <c r="AL3156" t="str">
        <f>IF(AA3156="","",IFERROR(IF(ISNUMBER('Procyfloc 4800'!D157),'Procyfloc 4800'!D157,IF(ISNUMBER(SEARCH("12",'Procyfloc 4800'!D157)),EDATE(AB3156,12),IF(ISNUMBER(SEARCH("6",'Procyfloc 4800'!D157)),EDATE(AB3156,6),IF(ISNUMBER(SEARCH("3",'Procyfloc 4800'!D157)),EDATE(AB3156,3),DATEVALUE('Procyfloc 4800'!D157))))),""))</f>
        <v/>
      </c>
      <c r="AM3156" t="str">
        <f t="shared" ca="1" si="316"/>
        <v/>
      </c>
    </row>
    <row r="3157" spans="27:39" x14ac:dyDescent="0.3">
      <c r="AA3157" t="str">
        <f>IF(COUNTA('Procyfloc 4800'!A158,'Procyfloc 4800'!B158,'Procyfloc 4800'!C158)&gt;0,"4800","")</f>
        <v/>
      </c>
      <c r="AB3157" t="str">
        <f>IFERROR(IF(ISNUMBER('Procyfloc 4800'!A158),'Procyfloc 4800'!A158,DATEVALUE('Procyfloc 4800'!A158)),"")</f>
        <v/>
      </c>
      <c r="AC3157" t="str">
        <f>IF(AA3157="","",'Procyfloc 4800'!B158)</f>
        <v/>
      </c>
      <c r="AD3157" t="str">
        <f>IF(AA3157="","",IFERROR(1*'Procyfloc 4800'!C158,IFERROR(_xludf.NUMBERVALUE('Procyfloc 4800'!C158,".",","),IFERROR(_xludf.NUMBERVALUE('Procyfloc 4800'!C158,",","."),0))))</f>
        <v/>
      </c>
      <c r="AE3157" t="str">
        <f>IF(AA3157="","",'Procyfloc 4800'!J158)</f>
        <v/>
      </c>
      <c r="AF3157">
        <f t="shared" si="311"/>
        <v>0</v>
      </c>
      <c r="AG3157" t="str">
        <f t="shared" si="312"/>
        <v/>
      </c>
      <c r="AH3157" t="str">
        <f t="shared" si="313"/>
        <v/>
      </c>
      <c r="AI3157">
        <f t="shared" si="314"/>
        <v>0</v>
      </c>
      <c r="AJ3157">
        <f t="shared" si="315"/>
        <v>0</v>
      </c>
      <c r="AK3157">
        <v>0</v>
      </c>
      <c r="AL3157" t="str">
        <f>IF(AA3157="","",IFERROR(IF(ISNUMBER('Procyfloc 4800'!D158),'Procyfloc 4800'!D158,IF(ISNUMBER(SEARCH("12",'Procyfloc 4800'!D158)),EDATE(AB3157,12),IF(ISNUMBER(SEARCH("6",'Procyfloc 4800'!D158)),EDATE(AB3157,6),IF(ISNUMBER(SEARCH("3",'Procyfloc 4800'!D158)),EDATE(AB3157,3),DATEVALUE('Procyfloc 4800'!D158))))),""))</f>
        <v/>
      </c>
      <c r="AM3157" t="str">
        <f t="shared" ca="1" si="316"/>
        <v/>
      </c>
    </row>
    <row r="3158" spans="27:39" x14ac:dyDescent="0.3">
      <c r="AA3158" t="str">
        <f>IF(COUNTA('Procyfloc 4800'!A159,'Procyfloc 4800'!B159,'Procyfloc 4800'!C159)&gt;0,"4800","")</f>
        <v/>
      </c>
      <c r="AB3158" t="str">
        <f>IFERROR(IF(ISNUMBER('Procyfloc 4800'!A159),'Procyfloc 4800'!A159,DATEVALUE('Procyfloc 4800'!A159)),"")</f>
        <v/>
      </c>
      <c r="AC3158" t="str">
        <f>IF(AA3158="","",'Procyfloc 4800'!B159)</f>
        <v/>
      </c>
      <c r="AD3158" t="str">
        <f>IF(AA3158="","",IFERROR(1*'Procyfloc 4800'!C159,IFERROR(_xludf.NUMBERVALUE('Procyfloc 4800'!C159,".",","),IFERROR(_xludf.NUMBERVALUE('Procyfloc 4800'!C159,",","."),0))))</f>
        <v/>
      </c>
      <c r="AE3158" t="str">
        <f>IF(AA3158="","",'Procyfloc 4800'!J159)</f>
        <v/>
      </c>
      <c r="AF3158">
        <f t="shared" si="311"/>
        <v>0</v>
      </c>
      <c r="AG3158" t="str">
        <f t="shared" si="312"/>
        <v/>
      </c>
      <c r="AH3158" t="str">
        <f t="shared" si="313"/>
        <v/>
      </c>
      <c r="AI3158">
        <f t="shared" si="314"/>
        <v>0</v>
      </c>
      <c r="AJ3158">
        <f t="shared" si="315"/>
        <v>0</v>
      </c>
      <c r="AK3158">
        <v>0</v>
      </c>
      <c r="AL3158" t="str">
        <f>IF(AA3158="","",IFERROR(IF(ISNUMBER('Procyfloc 4800'!D159),'Procyfloc 4800'!D159,IF(ISNUMBER(SEARCH("12",'Procyfloc 4800'!D159)),EDATE(AB3158,12),IF(ISNUMBER(SEARCH("6",'Procyfloc 4800'!D159)),EDATE(AB3158,6),IF(ISNUMBER(SEARCH("3",'Procyfloc 4800'!D159)),EDATE(AB3158,3),DATEVALUE('Procyfloc 4800'!D159))))),""))</f>
        <v/>
      </c>
      <c r="AM3158" t="str">
        <f t="shared" ca="1" si="316"/>
        <v/>
      </c>
    </row>
    <row r="3159" spans="27:39" x14ac:dyDescent="0.3">
      <c r="AA3159" t="str">
        <f>IF(COUNTA('Procyfloc 4800'!A160,'Procyfloc 4800'!B160,'Procyfloc 4800'!C160)&gt;0,"4800","")</f>
        <v/>
      </c>
      <c r="AB3159" t="str">
        <f>IFERROR(IF(ISNUMBER('Procyfloc 4800'!A160),'Procyfloc 4800'!A160,DATEVALUE('Procyfloc 4800'!A160)),"")</f>
        <v/>
      </c>
      <c r="AC3159" t="str">
        <f>IF(AA3159="","",'Procyfloc 4800'!B160)</f>
        <v/>
      </c>
      <c r="AD3159" t="str">
        <f>IF(AA3159="","",IFERROR(1*'Procyfloc 4800'!C160,IFERROR(_xludf.NUMBERVALUE('Procyfloc 4800'!C160,".",","),IFERROR(_xludf.NUMBERVALUE('Procyfloc 4800'!C160,",","."),0))))</f>
        <v/>
      </c>
      <c r="AE3159" t="str">
        <f>IF(AA3159="","",'Procyfloc 4800'!J160)</f>
        <v/>
      </c>
      <c r="AF3159">
        <f t="shared" si="311"/>
        <v>0</v>
      </c>
      <c r="AG3159" t="str">
        <f t="shared" si="312"/>
        <v/>
      </c>
      <c r="AH3159" t="str">
        <f t="shared" si="313"/>
        <v/>
      </c>
      <c r="AI3159">
        <f t="shared" si="314"/>
        <v>0</v>
      </c>
      <c r="AJ3159">
        <f t="shared" si="315"/>
        <v>0</v>
      </c>
      <c r="AK3159">
        <v>0</v>
      </c>
      <c r="AL3159" t="str">
        <f>IF(AA3159="","",IFERROR(IF(ISNUMBER('Procyfloc 4800'!D160),'Procyfloc 4800'!D160,IF(ISNUMBER(SEARCH("12",'Procyfloc 4800'!D160)),EDATE(AB3159,12),IF(ISNUMBER(SEARCH("6",'Procyfloc 4800'!D160)),EDATE(AB3159,6),IF(ISNUMBER(SEARCH("3",'Procyfloc 4800'!D160)),EDATE(AB3159,3),DATEVALUE('Procyfloc 4800'!D160))))),""))</f>
        <v/>
      </c>
      <c r="AM3159" t="str">
        <f t="shared" ca="1" si="316"/>
        <v/>
      </c>
    </row>
    <row r="3160" spans="27:39" x14ac:dyDescent="0.3">
      <c r="AA3160" t="str">
        <f>IF(COUNTA('Procyfloc 4800'!A161,'Procyfloc 4800'!B161,'Procyfloc 4800'!C161)&gt;0,"4800","")</f>
        <v/>
      </c>
      <c r="AB3160" t="str">
        <f>IFERROR(IF(ISNUMBER('Procyfloc 4800'!A161),'Procyfloc 4800'!A161,DATEVALUE('Procyfloc 4800'!A161)),"")</f>
        <v/>
      </c>
      <c r="AC3160" t="str">
        <f>IF(AA3160="","",'Procyfloc 4800'!B161)</f>
        <v/>
      </c>
      <c r="AD3160" t="str">
        <f>IF(AA3160="","",IFERROR(1*'Procyfloc 4800'!C161,IFERROR(_xludf.NUMBERVALUE('Procyfloc 4800'!C161,".",","),IFERROR(_xludf.NUMBERVALUE('Procyfloc 4800'!C161,",","."),0))))</f>
        <v/>
      </c>
      <c r="AE3160" t="str">
        <f>IF(AA3160="","",'Procyfloc 4800'!J161)</f>
        <v/>
      </c>
      <c r="AF3160">
        <f t="shared" si="311"/>
        <v>0</v>
      </c>
      <c r="AG3160" t="str">
        <f t="shared" si="312"/>
        <v/>
      </c>
      <c r="AH3160" t="str">
        <f t="shared" si="313"/>
        <v/>
      </c>
      <c r="AI3160">
        <f t="shared" si="314"/>
        <v>0</v>
      </c>
      <c r="AJ3160">
        <f t="shared" si="315"/>
        <v>0</v>
      </c>
      <c r="AK3160">
        <v>0</v>
      </c>
      <c r="AL3160" t="str">
        <f>IF(AA3160="","",IFERROR(IF(ISNUMBER('Procyfloc 4800'!D161),'Procyfloc 4800'!D161,IF(ISNUMBER(SEARCH("12",'Procyfloc 4800'!D161)),EDATE(AB3160,12),IF(ISNUMBER(SEARCH("6",'Procyfloc 4800'!D161)),EDATE(AB3160,6),IF(ISNUMBER(SEARCH("3",'Procyfloc 4800'!D161)),EDATE(AB3160,3),DATEVALUE('Procyfloc 4800'!D161))))),""))</f>
        <v/>
      </c>
      <c r="AM3160" t="str">
        <f t="shared" ca="1" si="316"/>
        <v/>
      </c>
    </row>
    <row r="3161" spans="27:39" x14ac:dyDescent="0.3">
      <c r="AA3161" t="str">
        <f>IF(COUNTA('Procyfloc 4800'!A162,'Procyfloc 4800'!B162,'Procyfloc 4800'!C162)&gt;0,"4800","")</f>
        <v/>
      </c>
      <c r="AB3161" t="str">
        <f>IFERROR(IF(ISNUMBER('Procyfloc 4800'!A162),'Procyfloc 4800'!A162,DATEVALUE('Procyfloc 4800'!A162)),"")</f>
        <v/>
      </c>
      <c r="AC3161" t="str">
        <f>IF(AA3161="","",'Procyfloc 4800'!B162)</f>
        <v/>
      </c>
      <c r="AD3161" t="str">
        <f>IF(AA3161="","",IFERROR(1*'Procyfloc 4800'!C162,IFERROR(_xludf.NUMBERVALUE('Procyfloc 4800'!C162,".",","),IFERROR(_xludf.NUMBERVALUE('Procyfloc 4800'!C162,",","."),0))))</f>
        <v/>
      </c>
      <c r="AE3161" t="str">
        <f>IF(AA3161="","",'Procyfloc 4800'!J162)</f>
        <v/>
      </c>
      <c r="AF3161">
        <f t="shared" si="311"/>
        <v>0</v>
      </c>
      <c r="AG3161" t="str">
        <f t="shared" si="312"/>
        <v/>
      </c>
      <c r="AH3161" t="str">
        <f t="shared" si="313"/>
        <v/>
      </c>
      <c r="AI3161">
        <f t="shared" si="314"/>
        <v>0</v>
      </c>
      <c r="AJ3161">
        <f t="shared" si="315"/>
        <v>0</v>
      </c>
      <c r="AK3161">
        <v>0</v>
      </c>
      <c r="AL3161" t="str">
        <f>IF(AA3161="","",IFERROR(IF(ISNUMBER('Procyfloc 4800'!D162),'Procyfloc 4800'!D162,IF(ISNUMBER(SEARCH("12",'Procyfloc 4800'!D162)),EDATE(AB3161,12),IF(ISNUMBER(SEARCH("6",'Procyfloc 4800'!D162)),EDATE(AB3161,6),IF(ISNUMBER(SEARCH("3",'Procyfloc 4800'!D162)),EDATE(AB3161,3),DATEVALUE('Procyfloc 4800'!D162))))),""))</f>
        <v/>
      </c>
      <c r="AM3161" t="str">
        <f t="shared" ca="1" si="316"/>
        <v/>
      </c>
    </row>
    <row r="3162" spans="27:39" x14ac:dyDescent="0.3">
      <c r="AA3162" t="str">
        <f>IF(COUNTA('Procyfloc 4800'!A163,'Procyfloc 4800'!B163,'Procyfloc 4800'!C163)&gt;0,"4800","")</f>
        <v/>
      </c>
      <c r="AB3162" t="str">
        <f>IFERROR(IF(ISNUMBER('Procyfloc 4800'!A163),'Procyfloc 4800'!A163,DATEVALUE('Procyfloc 4800'!A163)),"")</f>
        <v/>
      </c>
      <c r="AC3162" t="str">
        <f>IF(AA3162="","",'Procyfloc 4800'!B163)</f>
        <v/>
      </c>
      <c r="AD3162" t="str">
        <f>IF(AA3162="","",IFERROR(1*'Procyfloc 4800'!C163,IFERROR(_xludf.NUMBERVALUE('Procyfloc 4800'!C163,".",","),IFERROR(_xludf.NUMBERVALUE('Procyfloc 4800'!C163,",","."),0))))</f>
        <v/>
      </c>
      <c r="AE3162" t="str">
        <f>IF(AA3162="","",'Procyfloc 4800'!J163)</f>
        <v/>
      </c>
      <c r="AF3162">
        <f t="shared" si="311"/>
        <v>0</v>
      </c>
      <c r="AG3162" t="str">
        <f t="shared" si="312"/>
        <v/>
      </c>
      <c r="AH3162" t="str">
        <f t="shared" si="313"/>
        <v/>
      </c>
      <c r="AI3162">
        <f t="shared" si="314"/>
        <v>0</v>
      </c>
      <c r="AJ3162">
        <f t="shared" si="315"/>
        <v>0</v>
      </c>
      <c r="AK3162">
        <v>0</v>
      </c>
      <c r="AL3162" t="str">
        <f>IF(AA3162="","",IFERROR(IF(ISNUMBER('Procyfloc 4800'!D163),'Procyfloc 4800'!D163,IF(ISNUMBER(SEARCH("12",'Procyfloc 4800'!D163)),EDATE(AB3162,12),IF(ISNUMBER(SEARCH("6",'Procyfloc 4800'!D163)),EDATE(AB3162,6),IF(ISNUMBER(SEARCH("3",'Procyfloc 4800'!D163)),EDATE(AB3162,3),DATEVALUE('Procyfloc 4800'!D163))))),""))</f>
        <v/>
      </c>
      <c r="AM3162" t="str">
        <f t="shared" ca="1" si="316"/>
        <v/>
      </c>
    </row>
    <row r="3163" spans="27:39" x14ac:dyDescent="0.3">
      <c r="AA3163" t="str">
        <f>IF(COUNTA('Procyfloc 4800'!A164,'Procyfloc 4800'!B164,'Procyfloc 4800'!C164)&gt;0,"4800","")</f>
        <v/>
      </c>
      <c r="AB3163" t="str">
        <f>IFERROR(IF(ISNUMBER('Procyfloc 4800'!A164),'Procyfloc 4800'!A164,DATEVALUE('Procyfloc 4800'!A164)),"")</f>
        <v/>
      </c>
      <c r="AC3163" t="str">
        <f>IF(AA3163="","",'Procyfloc 4800'!B164)</f>
        <v/>
      </c>
      <c r="AD3163" t="str">
        <f>IF(AA3163="","",IFERROR(1*'Procyfloc 4800'!C164,IFERROR(_xludf.NUMBERVALUE('Procyfloc 4800'!C164,".",","),IFERROR(_xludf.NUMBERVALUE('Procyfloc 4800'!C164,",","."),0))))</f>
        <v/>
      </c>
      <c r="AE3163" t="str">
        <f>IF(AA3163="","",'Procyfloc 4800'!J164)</f>
        <v/>
      </c>
      <c r="AF3163">
        <f t="shared" si="311"/>
        <v>0</v>
      </c>
      <c r="AG3163" t="str">
        <f t="shared" si="312"/>
        <v/>
      </c>
      <c r="AH3163" t="str">
        <f t="shared" si="313"/>
        <v/>
      </c>
      <c r="AI3163">
        <f t="shared" si="314"/>
        <v>0</v>
      </c>
      <c r="AJ3163">
        <f t="shared" si="315"/>
        <v>0</v>
      </c>
      <c r="AK3163">
        <v>0</v>
      </c>
      <c r="AL3163" t="str">
        <f>IF(AA3163="","",IFERROR(IF(ISNUMBER('Procyfloc 4800'!D164),'Procyfloc 4800'!D164,IF(ISNUMBER(SEARCH("12",'Procyfloc 4800'!D164)),EDATE(AB3163,12),IF(ISNUMBER(SEARCH("6",'Procyfloc 4800'!D164)),EDATE(AB3163,6),IF(ISNUMBER(SEARCH("3",'Procyfloc 4800'!D164)),EDATE(AB3163,3),DATEVALUE('Procyfloc 4800'!D164))))),""))</f>
        <v/>
      </c>
      <c r="AM3163" t="str">
        <f t="shared" ca="1" si="316"/>
        <v/>
      </c>
    </row>
    <row r="3164" spans="27:39" x14ac:dyDescent="0.3">
      <c r="AA3164" t="str">
        <f>IF(COUNTA('Procyfloc 4800'!A165,'Procyfloc 4800'!B165,'Procyfloc 4800'!C165)&gt;0,"4800","")</f>
        <v/>
      </c>
      <c r="AB3164" t="str">
        <f>IFERROR(IF(ISNUMBER('Procyfloc 4800'!A165),'Procyfloc 4800'!A165,DATEVALUE('Procyfloc 4800'!A165)),"")</f>
        <v/>
      </c>
      <c r="AC3164" t="str">
        <f>IF(AA3164="","",'Procyfloc 4800'!B165)</f>
        <v/>
      </c>
      <c r="AD3164" t="str">
        <f>IF(AA3164="","",IFERROR(1*'Procyfloc 4800'!C165,IFERROR(_xludf.NUMBERVALUE('Procyfloc 4800'!C165,".",","),IFERROR(_xludf.NUMBERVALUE('Procyfloc 4800'!C165,",","."),0))))</f>
        <v/>
      </c>
      <c r="AE3164" t="str">
        <f>IF(AA3164="","",'Procyfloc 4800'!J165)</f>
        <v/>
      </c>
      <c r="AF3164">
        <f t="shared" si="311"/>
        <v>0</v>
      </c>
      <c r="AG3164" t="str">
        <f t="shared" si="312"/>
        <v/>
      </c>
      <c r="AH3164" t="str">
        <f t="shared" si="313"/>
        <v/>
      </c>
      <c r="AI3164">
        <f t="shared" si="314"/>
        <v>0</v>
      </c>
      <c r="AJ3164">
        <f t="shared" si="315"/>
        <v>0</v>
      </c>
      <c r="AK3164">
        <v>0</v>
      </c>
      <c r="AL3164" t="str">
        <f>IF(AA3164="","",IFERROR(IF(ISNUMBER('Procyfloc 4800'!D165),'Procyfloc 4800'!D165,IF(ISNUMBER(SEARCH("12",'Procyfloc 4800'!D165)),EDATE(AB3164,12),IF(ISNUMBER(SEARCH("6",'Procyfloc 4800'!D165)),EDATE(AB3164,6),IF(ISNUMBER(SEARCH("3",'Procyfloc 4800'!D165)),EDATE(AB3164,3),DATEVALUE('Procyfloc 4800'!D165))))),""))</f>
        <v/>
      </c>
      <c r="AM3164" t="str">
        <f t="shared" ca="1" si="316"/>
        <v/>
      </c>
    </row>
    <row r="3165" spans="27:39" x14ac:dyDescent="0.3">
      <c r="AA3165" t="str">
        <f>IF(COUNTA('Procyfloc 4800'!A166,'Procyfloc 4800'!B166,'Procyfloc 4800'!C166)&gt;0,"4800","")</f>
        <v/>
      </c>
      <c r="AB3165" t="str">
        <f>IFERROR(IF(ISNUMBER('Procyfloc 4800'!A166),'Procyfloc 4800'!A166,DATEVALUE('Procyfloc 4800'!A166)),"")</f>
        <v/>
      </c>
      <c r="AC3165" t="str">
        <f>IF(AA3165="","",'Procyfloc 4800'!B166)</f>
        <v/>
      </c>
      <c r="AD3165" t="str">
        <f>IF(AA3165="","",IFERROR(1*'Procyfloc 4800'!C166,IFERROR(_xludf.NUMBERVALUE('Procyfloc 4800'!C166,".",","),IFERROR(_xludf.NUMBERVALUE('Procyfloc 4800'!C166,",","."),0))))</f>
        <v/>
      </c>
      <c r="AE3165" t="str">
        <f>IF(AA3165="","",'Procyfloc 4800'!J166)</f>
        <v/>
      </c>
      <c r="AF3165">
        <f t="shared" si="311"/>
        <v>0</v>
      </c>
      <c r="AG3165" t="str">
        <f t="shared" si="312"/>
        <v/>
      </c>
      <c r="AH3165" t="str">
        <f t="shared" si="313"/>
        <v/>
      </c>
      <c r="AI3165">
        <f t="shared" si="314"/>
        <v>0</v>
      </c>
      <c r="AJ3165">
        <f t="shared" si="315"/>
        <v>0</v>
      </c>
      <c r="AK3165">
        <v>0</v>
      </c>
      <c r="AL3165" t="str">
        <f>IF(AA3165="","",IFERROR(IF(ISNUMBER('Procyfloc 4800'!D166),'Procyfloc 4800'!D166,IF(ISNUMBER(SEARCH("12",'Procyfloc 4800'!D166)),EDATE(AB3165,12),IF(ISNUMBER(SEARCH("6",'Procyfloc 4800'!D166)),EDATE(AB3165,6),IF(ISNUMBER(SEARCH("3",'Procyfloc 4800'!D166)),EDATE(AB3165,3),DATEVALUE('Procyfloc 4800'!D166))))),""))</f>
        <v/>
      </c>
      <c r="AM3165" t="str">
        <f t="shared" ca="1" si="316"/>
        <v/>
      </c>
    </row>
    <row r="3166" spans="27:39" x14ac:dyDescent="0.3">
      <c r="AA3166" t="str">
        <f>IF(COUNTA('Procyfloc 4800'!A167,'Procyfloc 4800'!B167,'Procyfloc 4800'!C167)&gt;0,"4800","")</f>
        <v/>
      </c>
      <c r="AB3166" t="str">
        <f>IFERROR(IF(ISNUMBER('Procyfloc 4800'!A167),'Procyfloc 4800'!A167,DATEVALUE('Procyfloc 4800'!A167)),"")</f>
        <v/>
      </c>
      <c r="AC3166" t="str">
        <f>IF(AA3166="","",'Procyfloc 4800'!B167)</f>
        <v/>
      </c>
      <c r="AD3166" t="str">
        <f>IF(AA3166="","",IFERROR(1*'Procyfloc 4800'!C167,IFERROR(_xludf.NUMBERVALUE('Procyfloc 4800'!C167,".",","),IFERROR(_xludf.NUMBERVALUE('Procyfloc 4800'!C167,",","."),0))))</f>
        <v/>
      </c>
      <c r="AE3166" t="str">
        <f>IF(AA3166="","",'Procyfloc 4800'!J167)</f>
        <v/>
      </c>
      <c r="AF3166">
        <f t="shared" si="311"/>
        <v>0</v>
      </c>
      <c r="AG3166" t="str">
        <f t="shared" si="312"/>
        <v/>
      </c>
      <c r="AH3166" t="str">
        <f t="shared" si="313"/>
        <v/>
      </c>
      <c r="AI3166">
        <f t="shared" si="314"/>
        <v>0</v>
      </c>
      <c r="AJ3166">
        <f t="shared" si="315"/>
        <v>0</v>
      </c>
      <c r="AK3166">
        <v>0</v>
      </c>
      <c r="AL3166" t="str">
        <f>IF(AA3166="","",IFERROR(IF(ISNUMBER('Procyfloc 4800'!D167),'Procyfloc 4800'!D167,IF(ISNUMBER(SEARCH("12",'Procyfloc 4800'!D167)),EDATE(AB3166,12),IF(ISNUMBER(SEARCH("6",'Procyfloc 4800'!D167)),EDATE(AB3166,6),IF(ISNUMBER(SEARCH("3",'Procyfloc 4800'!D167)),EDATE(AB3166,3),DATEVALUE('Procyfloc 4800'!D167))))),""))</f>
        <v/>
      </c>
      <c r="AM3166" t="str">
        <f t="shared" ca="1" si="316"/>
        <v/>
      </c>
    </row>
    <row r="3167" spans="27:39" x14ac:dyDescent="0.3">
      <c r="AA3167" t="str">
        <f>IF(COUNTA('Procyfloc 4800'!A168,'Procyfloc 4800'!B168,'Procyfloc 4800'!C168)&gt;0,"4800","")</f>
        <v/>
      </c>
      <c r="AB3167" t="str">
        <f>IFERROR(IF(ISNUMBER('Procyfloc 4800'!A168),'Procyfloc 4800'!A168,DATEVALUE('Procyfloc 4800'!A168)),"")</f>
        <v/>
      </c>
      <c r="AC3167" t="str">
        <f>IF(AA3167="","",'Procyfloc 4800'!B168)</f>
        <v/>
      </c>
      <c r="AD3167" t="str">
        <f>IF(AA3167="","",IFERROR(1*'Procyfloc 4800'!C168,IFERROR(_xludf.NUMBERVALUE('Procyfloc 4800'!C168,".",","),IFERROR(_xludf.NUMBERVALUE('Procyfloc 4800'!C168,",","."),0))))</f>
        <v/>
      </c>
      <c r="AE3167" t="str">
        <f>IF(AA3167="","",'Procyfloc 4800'!J168)</f>
        <v/>
      </c>
      <c r="AF3167">
        <f t="shared" si="311"/>
        <v>0</v>
      </c>
      <c r="AG3167" t="str">
        <f t="shared" si="312"/>
        <v/>
      </c>
      <c r="AH3167" t="str">
        <f t="shared" si="313"/>
        <v/>
      </c>
      <c r="AI3167">
        <f t="shared" si="314"/>
        <v>0</v>
      </c>
      <c r="AJ3167">
        <f t="shared" si="315"/>
        <v>0</v>
      </c>
      <c r="AK3167">
        <v>0</v>
      </c>
      <c r="AL3167" t="str">
        <f>IF(AA3167="","",IFERROR(IF(ISNUMBER('Procyfloc 4800'!D168),'Procyfloc 4800'!D168,IF(ISNUMBER(SEARCH("12",'Procyfloc 4800'!D168)),EDATE(AB3167,12),IF(ISNUMBER(SEARCH("6",'Procyfloc 4800'!D168)),EDATE(AB3167,6),IF(ISNUMBER(SEARCH("3",'Procyfloc 4800'!D168)),EDATE(AB3167,3),DATEVALUE('Procyfloc 4800'!D168))))),""))</f>
        <v/>
      </c>
      <c r="AM3167" t="str">
        <f t="shared" ca="1" si="316"/>
        <v/>
      </c>
    </row>
    <row r="3168" spans="27:39" x14ac:dyDescent="0.3">
      <c r="AA3168" t="str">
        <f>IF(COUNTA('Procyfloc 4800'!A169,'Procyfloc 4800'!B169,'Procyfloc 4800'!C169)&gt;0,"4800","")</f>
        <v/>
      </c>
      <c r="AB3168" t="str">
        <f>IFERROR(IF(ISNUMBER('Procyfloc 4800'!A169),'Procyfloc 4800'!A169,DATEVALUE('Procyfloc 4800'!A169)),"")</f>
        <v/>
      </c>
      <c r="AC3168" t="str">
        <f>IF(AA3168="","",'Procyfloc 4800'!B169)</f>
        <v/>
      </c>
      <c r="AD3168" t="str">
        <f>IF(AA3168="","",IFERROR(1*'Procyfloc 4800'!C169,IFERROR(_xludf.NUMBERVALUE('Procyfloc 4800'!C169,".",","),IFERROR(_xludf.NUMBERVALUE('Procyfloc 4800'!C169,",","."),0))))</f>
        <v/>
      </c>
      <c r="AE3168" t="str">
        <f>IF(AA3168="","",'Procyfloc 4800'!J169)</f>
        <v/>
      </c>
      <c r="AF3168">
        <f t="shared" si="311"/>
        <v>0</v>
      </c>
      <c r="AG3168" t="str">
        <f t="shared" si="312"/>
        <v/>
      </c>
      <c r="AH3168" t="str">
        <f t="shared" si="313"/>
        <v/>
      </c>
      <c r="AI3168">
        <f t="shared" si="314"/>
        <v>0</v>
      </c>
      <c r="AJ3168">
        <f t="shared" si="315"/>
        <v>0</v>
      </c>
      <c r="AK3168">
        <v>0</v>
      </c>
      <c r="AL3168" t="str">
        <f>IF(AA3168="","",IFERROR(IF(ISNUMBER('Procyfloc 4800'!D169),'Procyfloc 4800'!D169,IF(ISNUMBER(SEARCH("12",'Procyfloc 4800'!D169)),EDATE(AB3168,12),IF(ISNUMBER(SEARCH("6",'Procyfloc 4800'!D169)),EDATE(AB3168,6),IF(ISNUMBER(SEARCH("3",'Procyfloc 4800'!D169)),EDATE(AB3168,3),DATEVALUE('Procyfloc 4800'!D169))))),""))</f>
        <v/>
      </c>
      <c r="AM3168" t="str">
        <f t="shared" ca="1" si="316"/>
        <v/>
      </c>
    </row>
    <row r="3169" spans="27:39" x14ac:dyDescent="0.3">
      <c r="AA3169" t="str">
        <f>IF(COUNTA('Procyfloc 4800'!A170,'Procyfloc 4800'!B170,'Procyfloc 4800'!C170)&gt;0,"4800","")</f>
        <v/>
      </c>
      <c r="AB3169" t="str">
        <f>IFERROR(IF(ISNUMBER('Procyfloc 4800'!A170),'Procyfloc 4800'!A170,DATEVALUE('Procyfloc 4800'!A170)),"")</f>
        <v/>
      </c>
      <c r="AC3169" t="str">
        <f>IF(AA3169="","",'Procyfloc 4800'!B170)</f>
        <v/>
      </c>
      <c r="AD3169" t="str">
        <f>IF(AA3169="","",IFERROR(1*'Procyfloc 4800'!C170,IFERROR(_xludf.NUMBERVALUE('Procyfloc 4800'!C170,".",","),IFERROR(_xludf.NUMBERVALUE('Procyfloc 4800'!C170,",","."),0))))</f>
        <v/>
      </c>
      <c r="AE3169" t="str">
        <f>IF(AA3169="","",'Procyfloc 4800'!J170)</f>
        <v/>
      </c>
      <c r="AF3169">
        <f t="shared" si="311"/>
        <v>0</v>
      </c>
      <c r="AG3169" t="str">
        <f t="shared" si="312"/>
        <v/>
      </c>
      <c r="AH3169" t="str">
        <f t="shared" si="313"/>
        <v/>
      </c>
      <c r="AI3169">
        <f t="shared" si="314"/>
        <v>0</v>
      </c>
      <c r="AJ3169">
        <f t="shared" si="315"/>
        <v>0</v>
      </c>
      <c r="AK3169">
        <v>0</v>
      </c>
      <c r="AL3169" t="str">
        <f>IF(AA3169="","",IFERROR(IF(ISNUMBER('Procyfloc 4800'!D170),'Procyfloc 4800'!D170,IF(ISNUMBER(SEARCH("12",'Procyfloc 4800'!D170)),EDATE(AB3169,12),IF(ISNUMBER(SEARCH("6",'Procyfloc 4800'!D170)),EDATE(AB3169,6),IF(ISNUMBER(SEARCH("3",'Procyfloc 4800'!D170)),EDATE(AB3169,3),DATEVALUE('Procyfloc 4800'!D170))))),""))</f>
        <v/>
      </c>
      <c r="AM3169" t="str">
        <f t="shared" ca="1" si="316"/>
        <v/>
      </c>
    </row>
    <row r="3170" spans="27:39" x14ac:dyDescent="0.3">
      <c r="AA3170" t="str">
        <f>IF(COUNTA('Procyfloc 4800'!A171,'Procyfloc 4800'!B171,'Procyfloc 4800'!C171)&gt;0,"4800","")</f>
        <v/>
      </c>
      <c r="AB3170" t="str">
        <f>IFERROR(IF(ISNUMBER('Procyfloc 4800'!A171),'Procyfloc 4800'!A171,DATEVALUE('Procyfloc 4800'!A171)),"")</f>
        <v/>
      </c>
      <c r="AC3170" t="str">
        <f>IF(AA3170="","",'Procyfloc 4800'!B171)</f>
        <v/>
      </c>
      <c r="AD3170" t="str">
        <f>IF(AA3170="","",IFERROR(1*'Procyfloc 4800'!C171,IFERROR(_xludf.NUMBERVALUE('Procyfloc 4800'!C171,".",","),IFERROR(_xludf.NUMBERVALUE('Procyfloc 4800'!C171,",","."),0))))</f>
        <v/>
      </c>
      <c r="AE3170" t="str">
        <f>IF(AA3170="","",'Procyfloc 4800'!J171)</f>
        <v/>
      </c>
      <c r="AF3170">
        <f t="shared" si="311"/>
        <v>0</v>
      </c>
      <c r="AG3170" t="str">
        <f t="shared" si="312"/>
        <v/>
      </c>
      <c r="AH3170" t="str">
        <f t="shared" si="313"/>
        <v/>
      </c>
      <c r="AI3170">
        <f t="shared" si="314"/>
        <v>0</v>
      </c>
      <c r="AJ3170">
        <f t="shared" si="315"/>
        <v>0</v>
      </c>
      <c r="AK3170">
        <v>0</v>
      </c>
      <c r="AL3170" t="str">
        <f>IF(AA3170="","",IFERROR(IF(ISNUMBER('Procyfloc 4800'!D171),'Procyfloc 4800'!D171,IF(ISNUMBER(SEARCH("12",'Procyfloc 4800'!D171)),EDATE(AB3170,12),IF(ISNUMBER(SEARCH("6",'Procyfloc 4800'!D171)),EDATE(AB3170,6),IF(ISNUMBER(SEARCH("3",'Procyfloc 4800'!D171)),EDATE(AB3170,3),DATEVALUE('Procyfloc 4800'!D171))))),""))</f>
        <v/>
      </c>
      <c r="AM3170" t="str">
        <f t="shared" ca="1" si="316"/>
        <v/>
      </c>
    </row>
    <row r="3171" spans="27:39" x14ac:dyDescent="0.3">
      <c r="AA3171" t="str">
        <f>IF(COUNTA('Procyfloc 4800'!A172,'Procyfloc 4800'!B172,'Procyfloc 4800'!C172)&gt;0,"4800","")</f>
        <v/>
      </c>
      <c r="AB3171" t="str">
        <f>IFERROR(IF(ISNUMBER('Procyfloc 4800'!A172),'Procyfloc 4800'!A172,DATEVALUE('Procyfloc 4800'!A172)),"")</f>
        <v/>
      </c>
      <c r="AC3171" t="str">
        <f>IF(AA3171="","",'Procyfloc 4800'!B172)</f>
        <v/>
      </c>
      <c r="AD3171" t="str">
        <f>IF(AA3171="","",IFERROR(1*'Procyfloc 4800'!C172,IFERROR(_xludf.NUMBERVALUE('Procyfloc 4800'!C172,".",","),IFERROR(_xludf.NUMBERVALUE('Procyfloc 4800'!C172,",","."),0))))</f>
        <v/>
      </c>
      <c r="AE3171" t="str">
        <f>IF(AA3171="","",'Procyfloc 4800'!J172)</f>
        <v/>
      </c>
      <c r="AF3171">
        <f t="shared" si="311"/>
        <v>0</v>
      </c>
      <c r="AG3171" t="str">
        <f t="shared" si="312"/>
        <v/>
      </c>
      <c r="AH3171" t="str">
        <f t="shared" si="313"/>
        <v/>
      </c>
      <c r="AI3171">
        <f t="shared" si="314"/>
        <v>0</v>
      </c>
      <c r="AJ3171">
        <f t="shared" si="315"/>
        <v>0</v>
      </c>
      <c r="AK3171">
        <v>0</v>
      </c>
      <c r="AL3171" t="str">
        <f>IF(AA3171="","",IFERROR(IF(ISNUMBER('Procyfloc 4800'!D172),'Procyfloc 4800'!D172,IF(ISNUMBER(SEARCH("12",'Procyfloc 4800'!D172)),EDATE(AB3171,12),IF(ISNUMBER(SEARCH("6",'Procyfloc 4800'!D172)),EDATE(AB3171,6),IF(ISNUMBER(SEARCH("3",'Procyfloc 4800'!D172)),EDATE(AB3171,3),DATEVALUE('Procyfloc 4800'!D172))))),""))</f>
        <v/>
      </c>
      <c r="AM3171" t="str">
        <f t="shared" ca="1" si="316"/>
        <v/>
      </c>
    </row>
    <row r="3172" spans="27:39" x14ac:dyDescent="0.3">
      <c r="AA3172" t="str">
        <f>IF(COUNTA('Procyfloc 4800'!A173,'Procyfloc 4800'!B173,'Procyfloc 4800'!C173)&gt;0,"4800","")</f>
        <v/>
      </c>
      <c r="AB3172" t="str">
        <f>IFERROR(IF(ISNUMBER('Procyfloc 4800'!A173),'Procyfloc 4800'!A173,DATEVALUE('Procyfloc 4800'!A173)),"")</f>
        <v/>
      </c>
      <c r="AC3172" t="str">
        <f>IF(AA3172="","",'Procyfloc 4800'!B173)</f>
        <v/>
      </c>
      <c r="AD3172" t="str">
        <f>IF(AA3172="","",IFERROR(1*'Procyfloc 4800'!C173,IFERROR(_xludf.NUMBERVALUE('Procyfloc 4800'!C173,".",","),IFERROR(_xludf.NUMBERVALUE('Procyfloc 4800'!C173,",","."),0))))</f>
        <v/>
      </c>
      <c r="AE3172" t="str">
        <f>IF(AA3172="","",'Procyfloc 4800'!J173)</f>
        <v/>
      </c>
      <c r="AF3172">
        <f t="shared" si="311"/>
        <v>0</v>
      </c>
      <c r="AG3172" t="str">
        <f t="shared" si="312"/>
        <v/>
      </c>
      <c r="AH3172" t="str">
        <f t="shared" si="313"/>
        <v/>
      </c>
      <c r="AI3172">
        <f t="shared" si="314"/>
        <v>0</v>
      </c>
      <c r="AJ3172">
        <f t="shared" si="315"/>
        <v>0</v>
      </c>
      <c r="AK3172">
        <v>0</v>
      </c>
      <c r="AL3172" t="str">
        <f>IF(AA3172="","",IFERROR(IF(ISNUMBER('Procyfloc 4800'!D173),'Procyfloc 4800'!D173,IF(ISNUMBER(SEARCH("12",'Procyfloc 4800'!D173)),EDATE(AB3172,12),IF(ISNUMBER(SEARCH("6",'Procyfloc 4800'!D173)),EDATE(AB3172,6),IF(ISNUMBER(SEARCH("3",'Procyfloc 4800'!D173)),EDATE(AB3172,3),DATEVALUE('Procyfloc 4800'!D173))))),""))</f>
        <v/>
      </c>
      <c r="AM3172" t="str">
        <f t="shared" ca="1" si="316"/>
        <v/>
      </c>
    </row>
    <row r="3173" spans="27:39" x14ac:dyDescent="0.3">
      <c r="AA3173" t="str">
        <f>IF(COUNTA('Procyfloc 4800'!A174,'Procyfloc 4800'!B174,'Procyfloc 4800'!C174)&gt;0,"4800","")</f>
        <v/>
      </c>
      <c r="AB3173" t="str">
        <f>IFERROR(IF(ISNUMBER('Procyfloc 4800'!A174),'Procyfloc 4800'!A174,DATEVALUE('Procyfloc 4800'!A174)),"")</f>
        <v/>
      </c>
      <c r="AC3173" t="str">
        <f>IF(AA3173="","",'Procyfloc 4800'!B174)</f>
        <v/>
      </c>
      <c r="AD3173" t="str">
        <f>IF(AA3173="","",IFERROR(1*'Procyfloc 4800'!C174,IFERROR(_xludf.NUMBERVALUE('Procyfloc 4800'!C174,".",","),IFERROR(_xludf.NUMBERVALUE('Procyfloc 4800'!C174,",","."),0))))</f>
        <v/>
      </c>
      <c r="AE3173" t="str">
        <f>IF(AA3173="","",'Procyfloc 4800'!J174)</f>
        <v/>
      </c>
      <c r="AF3173">
        <f t="shared" si="311"/>
        <v>0</v>
      </c>
      <c r="AG3173" t="str">
        <f t="shared" si="312"/>
        <v/>
      </c>
      <c r="AH3173" t="str">
        <f t="shared" si="313"/>
        <v/>
      </c>
      <c r="AI3173">
        <f t="shared" si="314"/>
        <v>0</v>
      </c>
      <c r="AJ3173">
        <f t="shared" si="315"/>
        <v>0</v>
      </c>
      <c r="AK3173">
        <v>0</v>
      </c>
      <c r="AL3173" t="str">
        <f>IF(AA3173="","",IFERROR(IF(ISNUMBER('Procyfloc 4800'!D174),'Procyfloc 4800'!D174,IF(ISNUMBER(SEARCH("12",'Procyfloc 4800'!D174)),EDATE(AB3173,12),IF(ISNUMBER(SEARCH("6",'Procyfloc 4800'!D174)),EDATE(AB3173,6),IF(ISNUMBER(SEARCH("3",'Procyfloc 4800'!D174)),EDATE(AB3173,3),DATEVALUE('Procyfloc 4800'!D174))))),""))</f>
        <v/>
      </c>
      <c r="AM3173" t="str">
        <f t="shared" ca="1" si="316"/>
        <v/>
      </c>
    </row>
    <row r="3174" spans="27:39" x14ac:dyDescent="0.3">
      <c r="AA3174" t="str">
        <f>IF(COUNTA('Procyfloc 4800'!A175,'Procyfloc 4800'!B175,'Procyfloc 4800'!C175)&gt;0,"4800","")</f>
        <v/>
      </c>
      <c r="AB3174" t="str">
        <f>IFERROR(IF(ISNUMBER('Procyfloc 4800'!A175),'Procyfloc 4800'!A175,DATEVALUE('Procyfloc 4800'!A175)),"")</f>
        <v/>
      </c>
      <c r="AC3174" t="str">
        <f>IF(AA3174="","",'Procyfloc 4800'!B175)</f>
        <v/>
      </c>
      <c r="AD3174" t="str">
        <f>IF(AA3174="","",IFERROR(1*'Procyfloc 4800'!C175,IFERROR(_xludf.NUMBERVALUE('Procyfloc 4800'!C175,".",","),IFERROR(_xludf.NUMBERVALUE('Procyfloc 4800'!C175,",","."),0))))</f>
        <v/>
      </c>
      <c r="AE3174" t="str">
        <f>IF(AA3174="","",'Procyfloc 4800'!J175)</f>
        <v/>
      </c>
      <c r="AF3174">
        <f t="shared" si="311"/>
        <v>0</v>
      </c>
      <c r="AG3174" t="str">
        <f t="shared" si="312"/>
        <v/>
      </c>
      <c r="AH3174" t="str">
        <f t="shared" si="313"/>
        <v/>
      </c>
      <c r="AI3174">
        <f t="shared" si="314"/>
        <v>0</v>
      </c>
      <c r="AJ3174">
        <f t="shared" si="315"/>
        <v>0</v>
      </c>
      <c r="AK3174">
        <v>0</v>
      </c>
      <c r="AL3174" t="str">
        <f>IF(AA3174="","",IFERROR(IF(ISNUMBER('Procyfloc 4800'!D175),'Procyfloc 4800'!D175,IF(ISNUMBER(SEARCH("12",'Procyfloc 4800'!D175)),EDATE(AB3174,12),IF(ISNUMBER(SEARCH("6",'Procyfloc 4800'!D175)),EDATE(AB3174,6),IF(ISNUMBER(SEARCH("3",'Procyfloc 4800'!D175)),EDATE(AB3174,3),DATEVALUE('Procyfloc 4800'!D175))))),""))</f>
        <v/>
      </c>
      <c r="AM3174" t="str">
        <f t="shared" ca="1" si="316"/>
        <v/>
      </c>
    </row>
    <row r="3175" spans="27:39" x14ac:dyDescent="0.3">
      <c r="AA3175" t="str">
        <f>IF(COUNTA('Procyfloc 4800'!A176,'Procyfloc 4800'!B176,'Procyfloc 4800'!C176)&gt;0,"4800","")</f>
        <v/>
      </c>
      <c r="AB3175" t="str">
        <f>IFERROR(IF(ISNUMBER('Procyfloc 4800'!A176),'Procyfloc 4800'!A176,DATEVALUE('Procyfloc 4800'!A176)),"")</f>
        <v/>
      </c>
      <c r="AC3175" t="str">
        <f>IF(AA3175="","",'Procyfloc 4800'!B176)</f>
        <v/>
      </c>
      <c r="AD3175" t="str">
        <f>IF(AA3175="","",IFERROR(1*'Procyfloc 4800'!C176,IFERROR(_xludf.NUMBERVALUE('Procyfloc 4800'!C176,".",","),IFERROR(_xludf.NUMBERVALUE('Procyfloc 4800'!C176,",","."),0))))</f>
        <v/>
      </c>
      <c r="AE3175" t="str">
        <f>IF(AA3175="","",'Procyfloc 4800'!J176)</f>
        <v/>
      </c>
      <c r="AF3175">
        <f t="shared" si="311"/>
        <v>0</v>
      </c>
      <c r="AG3175" t="str">
        <f t="shared" si="312"/>
        <v/>
      </c>
      <c r="AH3175" t="str">
        <f t="shared" si="313"/>
        <v/>
      </c>
      <c r="AI3175">
        <f t="shared" si="314"/>
        <v>0</v>
      </c>
      <c r="AJ3175">
        <f t="shared" si="315"/>
        <v>0</v>
      </c>
      <c r="AK3175">
        <v>0</v>
      </c>
      <c r="AL3175" t="str">
        <f>IF(AA3175="","",IFERROR(IF(ISNUMBER('Procyfloc 4800'!D176),'Procyfloc 4800'!D176,IF(ISNUMBER(SEARCH("12",'Procyfloc 4800'!D176)),EDATE(AB3175,12),IF(ISNUMBER(SEARCH("6",'Procyfloc 4800'!D176)),EDATE(AB3175,6),IF(ISNUMBER(SEARCH("3",'Procyfloc 4800'!D176)),EDATE(AB3175,3),DATEVALUE('Procyfloc 4800'!D176))))),""))</f>
        <v/>
      </c>
      <c r="AM3175" t="str">
        <f t="shared" ca="1" si="316"/>
        <v/>
      </c>
    </row>
    <row r="3176" spans="27:39" x14ac:dyDescent="0.3">
      <c r="AA3176" t="str">
        <f>IF(COUNTA('Procyfloc 4800'!A177,'Procyfloc 4800'!B177,'Procyfloc 4800'!C177)&gt;0,"4800","")</f>
        <v/>
      </c>
      <c r="AB3176" t="str">
        <f>IFERROR(IF(ISNUMBER('Procyfloc 4800'!A177),'Procyfloc 4800'!A177,DATEVALUE('Procyfloc 4800'!A177)),"")</f>
        <v/>
      </c>
      <c r="AC3176" t="str">
        <f>IF(AA3176="","",'Procyfloc 4800'!B177)</f>
        <v/>
      </c>
      <c r="AD3176" t="str">
        <f>IF(AA3176="","",IFERROR(1*'Procyfloc 4800'!C177,IFERROR(_xludf.NUMBERVALUE('Procyfloc 4800'!C177,".",","),IFERROR(_xludf.NUMBERVALUE('Procyfloc 4800'!C177,",","."),0))))</f>
        <v/>
      </c>
      <c r="AE3176" t="str">
        <f>IF(AA3176="","",'Procyfloc 4800'!J177)</f>
        <v/>
      </c>
      <c r="AF3176">
        <f t="shared" si="311"/>
        <v>0</v>
      </c>
      <c r="AG3176" t="str">
        <f t="shared" si="312"/>
        <v/>
      </c>
      <c r="AH3176" t="str">
        <f t="shared" si="313"/>
        <v/>
      </c>
      <c r="AI3176">
        <f t="shared" si="314"/>
        <v>0</v>
      </c>
      <c r="AJ3176">
        <f t="shared" si="315"/>
        <v>0</v>
      </c>
      <c r="AK3176">
        <v>0</v>
      </c>
      <c r="AL3176" t="str">
        <f>IF(AA3176="","",IFERROR(IF(ISNUMBER('Procyfloc 4800'!D177),'Procyfloc 4800'!D177,IF(ISNUMBER(SEARCH("12",'Procyfloc 4800'!D177)),EDATE(AB3176,12),IF(ISNUMBER(SEARCH("6",'Procyfloc 4800'!D177)),EDATE(AB3176,6),IF(ISNUMBER(SEARCH("3",'Procyfloc 4800'!D177)),EDATE(AB3176,3),DATEVALUE('Procyfloc 4800'!D177))))),""))</f>
        <v/>
      </c>
      <c r="AM3176" t="str">
        <f t="shared" ca="1" si="316"/>
        <v/>
      </c>
    </row>
    <row r="3177" spans="27:39" x14ac:dyDescent="0.3">
      <c r="AA3177" t="str">
        <f>IF(COUNTA('Procyfloc 4800'!A178,'Procyfloc 4800'!B178,'Procyfloc 4800'!C178)&gt;0,"4800","")</f>
        <v/>
      </c>
      <c r="AB3177" t="str">
        <f>IFERROR(IF(ISNUMBER('Procyfloc 4800'!A178),'Procyfloc 4800'!A178,DATEVALUE('Procyfloc 4800'!A178)),"")</f>
        <v/>
      </c>
      <c r="AC3177" t="str">
        <f>IF(AA3177="","",'Procyfloc 4800'!B178)</f>
        <v/>
      </c>
      <c r="AD3177" t="str">
        <f>IF(AA3177="","",IFERROR(1*'Procyfloc 4800'!C178,IFERROR(_xludf.NUMBERVALUE('Procyfloc 4800'!C178,".",","),IFERROR(_xludf.NUMBERVALUE('Procyfloc 4800'!C178,",","."),0))))</f>
        <v/>
      </c>
      <c r="AE3177" t="str">
        <f>IF(AA3177="","",'Procyfloc 4800'!J178)</f>
        <v/>
      </c>
      <c r="AF3177">
        <f t="shared" si="311"/>
        <v>0</v>
      </c>
      <c r="AG3177" t="str">
        <f t="shared" si="312"/>
        <v/>
      </c>
      <c r="AH3177" t="str">
        <f t="shared" si="313"/>
        <v/>
      </c>
      <c r="AI3177">
        <f t="shared" si="314"/>
        <v>0</v>
      </c>
      <c r="AJ3177">
        <f t="shared" si="315"/>
        <v>0</v>
      </c>
      <c r="AK3177">
        <v>0</v>
      </c>
      <c r="AL3177" t="str">
        <f>IF(AA3177="","",IFERROR(IF(ISNUMBER('Procyfloc 4800'!D178),'Procyfloc 4800'!D178,IF(ISNUMBER(SEARCH("12",'Procyfloc 4800'!D178)),EDATE(AB3177,12),IF(ISNUMBER(SEARCH("6",'Procyfloc 4800'!D178)),EDATE(AB3177,6),IF(ISNUMBER(SEARCH("3",'Procyfloc 4800'!D178)),EDATE(AB3177,3),DATEVALUE('Procyfloc 4800'!D178))))),""))</f>
        <v/>
      </c>
      <c r="AM3177" t="str">
        <f t="shared" ca="1" si="316"/>
        <v/>
      </c>
    </row>
    <row r="3178" spans="27:39" x14ac:dyDescent="0.3">
      <c r="AA3178" t="str">
        <f>IF(COUNTA('Procyfloc 4800'!A179,'Procyfloc 4800'!B179,'Procyfloc 4800'!C179)&gt;0,"4800","")</f>
        <v/>
      </c>
      <c r="AB3178" t="str">
        <f>IFERROR(IF(ISNUMBER('Procyfloc 4800'!A179),'Procyfloc 4800'!A179,DATEVALUE('Procyfloc 4800'!A179)),"")</f>
        <v/>
      </c>
      <c r="AC3178" t="str">
        <f>IF(AA3178="","",'Procyfloc 4800'!B179)</f>
        <v/>
      </c>
      <c r="AD3178" t="str">
        <f>IF(AA3178="","",IFERROR(1*'Procyfloc 4800'!C179,IFERROR(_xludf.NUMBERVALUE('Procyfloc 4800'!C179,".",","),IFERROR(_xludf.NUMBERVALUE('Procyfloc 4800'!C179,",","."),0))))</f>
        <v/>
      </c>
      <c r="AE3178" t="str">
        <f>IF(AA3178="","",'Procyfloc 4800'!J179)</f>
        <v/>
      </c>
      <c r="AF3178">
        <f t="shared" si="311"/>
        <v>0</v>
      </c>
      <c r="AG3178" t="str">
        <f t="shared" si="312"/>
        <v/>
      </c>
      <c r="AH3178" t="str">
        <f t="shared" si="313"/>
        <v/>
      </c>
      <c r="AI3178">
        <f t="shared" si="314"/>
        <v>0</v>
      </c>
      <c r="AJ3178">
        <f t="shared" si="315"/>
        <v>0</v>
      </c>
      <c r="AK3178">
        <v>0</v>
      </c>
      <c r="AL3178" t="str">
        <f>IF(AA3178="","",IFERROR(IF(ISNUMBER('Procyfloc 4800'!D179),'Procyfloc 4800'!D179,IF(ISNUMBER(SEARCH("12",'Procyfloc 4800'!D179)),EDATE(AB3178,12),IF(ISNUMBER(SEARCH("6",'Procyfloc 4800'!D179)),EDATE(AB3178,6),IF(ISNUMBER(SEARCH("3",'Procyfloc 4800'!D179)),EDATE(AB3178,3),DATEVALUE('Procyfloc 4800'!D179))))),""))</f>
        <v/>
      </c>
      <c r="AM3178" t="str">
        <f t="shared" ca="1" si="316"/>
        <v/>
      </c>
    </row>
    <row r="3179" spans="27:39" x14ac:dyDescent="0.3">
      <c r="AA3179" t="str">
        <f>IF(COUNTA('Procyfloc 4800'!A180,'Procyfloc 4800'!B180,'Procyfloc 4800'!C180)&gt;0,"4800","")</f>
        <v/>
      </c>
      <c r="AB3179" t="str">
        <f>IFERROR(IF(ISNUMBER('Procyfloc 4800'!A180),'Procyfloc 4800'!A180,DATEVALUE('Procyfloc 4800'!A180)),"")</f>
        <v/>
      </c>
      <c r="AC3179" t="str">
        <f>IF(AA3179="","",'Procyfloc 4800'!B180)</f>
        <v/>
      </c>
      <c r="AD3179" t="str">
        <f>IF(AA3179="","",IFERROR(1*'Procyfloc 4800'!C180,IFERROR(_xludf.NUMBERVALUE('Procyfloc 4800'!C180,".",","),IFERROR(_xludf.NUMBERVALUE('Procyfloc 4800'!C180,",","."),0))))</f>
        <v/>
      </c>
      <c r="AE3179" t="str">
        <f>IF(AA3179="","",'Procyfloc 4800'!J180)</f>
        <v/>
      </c>
      <c r="AF3179">
        <f t="shared" si="311"/>
        <v>0</v>
      </c>
      <c r="AG3179" t="str">
        <f t="shared" si="312"/>
        <v/>
      </c>
      <c r="AH3179" t="str">
        <f t="shared" si="313"/>
        <v/>
      </c>
      <c r="AI3179">
        <f t="shared" si="314"/>
        <v>0</v>
      </c>
      <c r="AJ3179">
        <f t="shared" si="315"/>
        <v>0</v>
      </c>
      <c r="AK3179">
        <v>0</v>
      </c>
      <c r="AL3179" t="str">
        <f>IF(AA3179="","",IFERROR(IF(ISNUMBER('Procyfloc 4800'!D180),'Procyfloc 4800'!D180,IF(ISNUMBER(SEARCH("12",'Procyfloc 4800'!D180)),EDATE(AB3179,12),IF(ISNUMBER(SEARCH("6",'Procyfloc 4800'!D180)),EDATE(AB3179,6),IF(ISNUMBER(SEARCH("3",'Procyfloc 4800'!D180)),EDATE(AB3179,3),DATEVALUE('Procyfloc 4800'!D180))))),""))</f>
        <v/>
      </c>
      <c r="AM3179" t="str">
        <f t="shared" ca="1" si="316"/>
        <v/>
      </c>
    </row>
    <row r="3180" spans="27:39" x14ac:dyDescent="0.3">
      <c r="AA3180" t="str">
        <f>IF(COUNTA('Procyfloc 4800'!A181,'Procyfloc 4800'!B181,'Procyfloc 4800'!C181)&gt;0,"4800","")</f>
        <v/>
      </c>
      <c r="AB3180" t="str">
        <f>IFERROR(IF(ISNUMBER('Procyfloc 4800'!A181),'Procyfloc 4800'!A181,DATEVALUE('Procyfloc 4800'!A181)),"")</f>
        <v/>
      </c>
      <c r="AC3180" t="str">
        <f>IF(AA3180="","",'Procyfloc 4800'!B181)</f>
        <v/>
      </c>
      <c r="AD3180" t="str">
        <f>IF(AA3180="","",IFERROR(1*'Procyfloc 4800'!C181,IFERROR(_xludf.NUMBERVALUE('Procyfloc 4800'!C181,".",","),IFERROR(_xludf.NUMBERVALUE('Procyfloc 4800'!C181,",","."),0))))</f>
        <v/>
      </c>
      <c r="AE3180" t="str">
        <f>IF(AA3180="","",'Procyfloc 4800'!J181)</f>
        <v/>
      </c>
      <c r="AF3180">
        <f t="shared" si="311"/>
        <v>0</v>
      </c>
      <c r="AG3180" t="str">
        <f t="shared" si="312"/>
        <v/>
      </c>
      <c r="AH3180" t="str">
        <f t="shared" si="313"/>
        <v/>
      </c>
      <c r="AI3180">
        <f t="shared" si="314"/>
        <v>0</v>
      </c>
      <c r="AJ3180">
        <f t="shared" si="315"/>
        <v>0</v>
      </c>
      <c r="AK3180">
        <v>0</v>
      </c>
      <c r="AL3180" t="str">
        <f>IF(AA3180="","",IFERROR(IF(ISNUMBER('Procyfloc 4800'!D181),'Procyfloc 4800'!D181,IF(ISNUMBER(SEARCH("12",'Procyfloc 4800'!D181)),EDATE(AB3180,12),IF(ISNUMBER(SEARCH("6",'Procyfloc 4800'!D181)),EDATE(AB3180,6),IF(ISNUMBER(SEARCH("3",'Procyfloc 4800'!D181)),EDATE(AB3180,3),DATEVALUE('Procyfloc 4800'!D181))))),""))</f>
        <v/>
      </c>
      <c r="AM3180" t="str">
        <f t="shared" ca="1" si="316"/>
        <v/>
      </c>
    </row>
    <row r="3181" spans="27:39" x14ac:dyDescent="0.3">
      <c r="AA3181" t="str">
        <f>IF(COUNTA('Procyfloc 4800'!A182,'Procyfloc 4800'!B182,'Procyfloc 4800'!C182)&gt;0,"4800","")</f>
        <v/>
      </c>
      <c r="AB3181" t="str">
        <f>IFERROR(IF(ISNUMBER('Procyfloc 4800'!A182),'Procyfloc 4800'!A182,DATEVALUE('Procyfloc 4800'!A182)),"")</f>
        <v/>
      </c>
      <c r="AC3181" t="str">
        <f>IF(AA3181="","",'Procyfloc 4800'!B182)</f>
        <v/>
      </c>
      <c r="AD3181" t="str">
        <f>IF(AA3181="","",IFERROR(1*'Procyfloc 4800'!C182,IFERROR(_xludf.NUMBERVALUE('Procyfloc 4800'!C182,".",","),IFERROR(_xludf.NUMBERVALUE('Procyfloc 4800'!C182,",","."),0))))</f>
        <v/>
      </c>
      <c r="AE3181" t="str">
        <f>IF(AA3181="","",'Procyfloc 4800'!J182)</f>
        <v/>
      </c>
      <c r="AF3181">
        <f t="shared" si="311"/>
        <v>0</v>
      </c>
      <c r="AG3181" t="str">
        <f t="shared" si="312"/>
        <v/>
      </c>
      <c r="AH3181" t="str">
        <f t="shared" si="313"/>
        <v/>
      </c>
      <c r="AI3181">
        <f t="shared" si="314"/>
        <v>0</v>
      </c>
      <c r="AJ3181">
        <f t="shared" si="315"/>
        <v>0</v>
      </c>
      <c r="AK3181">
        <v>0</v>
      </c>
      <c r="AL3181" t="str">
        <f>IF(AA3181="","",IFERROR(IF(ISNUMBER('Procyfloc 4800'!D182),'Procyfloc 4800'!D182,IF(ISNUMBER(SEARCH("12",'Procyfloc 4800'!D182)),EDATE(AB3181,12),IF(ISNUMBER(SEARCH("6",'Procyfloc 4800'!D182)),EDATE(AB3181,6),IF(ISNUMBER(SEARCH("3",'Procyfloc 4800'!D182)),EDATE(AB3181,3),DATEVALUE('Procyfloc 4800'!D182))))),""))</f>
        <v/>
      </c>
      <c r="AM3181" t="str">
        <f t="shared" ca="1" si="316"/>
        <v/>
      </c>
    </row>
    <row r="3182" spans="27:39" x14ac:dyDescent="0.3">
      <c r="AA3182" t="str">
        <f>IF(COUNTA('Procyfloc 4800'!A183,'Procyfloc 4800'!B183,'Procyfloc 4800'!C183)&gt;0,"4800","")</f>
        <v/>
      </c>
      <c r="AB3182" t="str">
        <f>IFERROR(IF(ISNUMBER('Procyfloc 4800'!A183),'Procyfloc 4800'!A183,DATEVALUE('Procyfloc 4800'!A183)),"")</f>
        <v/>
      </c>
      <c r="AC3182" t="str">
        <f>IF(AA3182="","",'Procyfloc 4800'!B183)</f>
        <v/>
      </c>
      <c r="AD3182" t="str">
        <f>IF(AA3182="","",IFERROR(1*'Procyfloc 4800'!C183,IFERROR(_xludf.NUMBERVALUE('Procyfloc 4800'!C183,".",","),IFERROR(_xludf.NUMBERVALUE('Procyfloc 4800'!C183,",","."),0))))</f>
        <v/>
      </c>
      <c r="AE3182" t="str">
        <f>IF(AA3182="","",'Procyfloc 4800'!J183)</f>
        <v/>
      </c>
      <c r="AF3182">
        <f t="shared" si="311"/>
        <v>0</v>
      </c>
      <c r="AG3182" t="str">
        <f t="shared" si="312"/>
        <v/>
      </c>
      <c r="AH3182" t="str">
        <f t="shared" si="313"/>
        <v/>
      </c>
      <c r="AI3182">
        <f t="shared" si="314"/>
        <v>0</v>
      </c>
      <c r="AJ3182">
        <f t="shared" si="315"/>
        <v>0</v>
      </c>
      <c r="AK3182">
        <v>0</v>
      </c>
      <c r="AL3182" t="str">
        <f>IF(AA3182="","",IFERROR(IF(ISNUMBER('Procyfloc 4800'!D183),'Procyfloc 4800'!D183,IF(ISNUMBER(SEARCH("12",'Procyfloc 4800'!D183)),EDATE(AB3182,12),IF(ISNUMBER(SEARCH("6",'Procyfloc 4800'!D183)),EDATE(AB3182,6),IF(ISNUMBER(SEARCH("3",'Procyfloc 4800'!D183)),EDATE(AB3182,3),DATEVALUE('Procyfloc 4800'!D183))))),""))</f>
        <v/>
      </c>
      <c r="AM3182" t="str">
        <f t="shared" ca="1" si="316"/>
        <v/>
      </c>
    </row>
    <row r="3183" spans="27:39" x14ac:dyDescent="0.3">
      <c r="AA3183" t="str">
        <f>IF(COUNTA('Procyfloc 4800'!A184,'Procyfloc 4800'!B184,'Procyfloc 4800'!C184)&gt;0,"4800","")</f>
        <v/>
      </c>
      <c r="AB3183" t="str">
        <f>IFERROR(IF(ISNUMBER('Procyfloc 4800'!A184),'Procyfloc 4800'!A184,DATEVALUE('Procyfloc 4800'!A184)),"")</f>
        <v/>
      </c>
      <c r="AC3183" t="str">
        <f>IF(AA3183="","",'Procyfloc 4800'!B184)</f>
        <v/>
      </c>
      <c r="AD3183" t="str">
        <f>IF(AA3183="","",IFERROR(1*'Procyfloc 4800'!C184,IFERROR(_xludf.NUMBERVALUE('Procyfloc 4800'!C184,".",","),IFERROR(_xludf.NUMBERVALUE('Procyfloc 4800'!C184,",","."),0))))</f>
        <v/>
      </c>
      <c r="AE3183" t="str">
        <f>IF(AA3183="","",'Procyfloc 4800'!J184)</f>
        <v/>
      </c>
      <c r="AF3183">
        <f t="shared" si="311"/>
        <v>0</v>
      </c>
      <c r="AG3183" t="str">
        <f t="shared" si="312"/>
        <v/>
      </c>
      <c r="AH3183" t="str">
        <f t="shared" si="313"/>
        <v/>
      </c>
      <c r="AI3183">
        <f t="shared" si="314"/>
        <v>0</v>
      </c>
      <c r="AJ3183">
        <f t="shared" si="315"/>
        <v>0</v>
      </c>
      <c r="AK3183">
        <v>0</v>
      </c>
      <c r="AL3183" t="str">
        <f>IF(AA3183="","",IFERROR(IF(ISNUMBER('Procyfloc 4800'!D184),'Procyfloc 4800'!D184,IF(ISNUMBER(SEARCH("12",'Procyfloc 4800'!D184)),EDATE(AB3183,12),IF(ISNUMBER(SEARCH("6",'Procyfloc 4800'!D184)),EDATE(AB3183,6),IF(ISNUMBER(SEARCH("3",'Procyfloc 4800'!D184)),EDATE(AB3183,3),DATEVALUE('Procyfloc 4800'!D184))))),""))</f>
        <v/>
      </c>
      <c r="AM3183" t="str">
        <f t="shared" ca="1" si="316"/>
        <v/>
      </c>
    </row>
    <row r="3184" spans="27:39" x14ac:dyDescent="0.3">
      <c r="AA3184" t="str">
        <f>IF(COUNTA('Procyfloc 4800'!A185,'Procyfloc 4800'!B185,'Procyfloc 4800'!C185)&gt;0,"4800","")</f>
        <v/>
      </c>
      <c r="AB3184" t="str">
        <f>IFERROR(IF(ISNUMBER('Procyfloc 4800'!A185),'Procyfloc 4800'!A185,DATEVALUE('Procyfloc 4800'!A185)),"")</f>
        <v/>
      </c>
      <c r="AC3184" t="str">
        <f>IF(AA3184="","",'Procyfloc 4800'!B185)</f>
        <v/>
      </c>
      <c r="AD3184" t="str">
        <f>IF(AA3184="","",IFERROR(1*'Procyfloc 4800'!C185,IFERROR(_xludf.NUMBERVALUE('Procyfloc 4800'!C185,".",","),IFERROR(_xludf.NUMBERVALUE('Procyfloc 4800'!C185,",","."),0))))</f>
        <v/>
      </c>
      <c r="AE3184" t="str">
        <f>IF(AA3184="","",'Procyfloc 4800'!J185)</f>
        <v/>
      </c>
      <c r="AF3184">
        <f t="shared" si="311"/>
        <v>0</v>
      </c>
      <c r="AG3184" t="str">
        <f t="shared" si="312"/>
        <v/>
      </c>
      <c r="AH3184" t="str">
        <f t="shared" si="313"/>
        <v/>
      </c>
      <c r="AI3184">
        <f t="shared" si="314"/>
        <v>0</v>
      </c>
      <c r="AJ3184">
        <f t="shared" si="315"/>
        <v>0</v>
      </c>
      <c r="AK3184">
        <v>0</v>
      </c>
      <c r="AL3184" t="str">
        <f>IF(AA3184="","",IFERROR(IF(ISNUMBER('Procyfloc 4800'!D185),'Procyfloc 4800'!D185,IF(ISNUMBER(SEARCH("12",'Procyfloc 4800'!D185)),EDATE(AB3184,12),IF(ISNUMBER(SEARCH("6",'Procyfloc 4800'!D185)),EDATE(AB3184,6),IF(ISNUMBER(SEARCH("3",'Procyfloc 4800'!D185)),EDATE(AB3184,3),DATEVALUE('Procyfloc 4800'!D185))))),""))</f>
        <v/>
      </c>
      <c r="AM3184" t="str">
        <f t="shared" ca="1" si="316"/>
        <v/>
      </c>
    </row>
    <row r="3185" spans="27:39" x14ac:dyDescent="0.3">
      <c r="AA3185" t="str">
        <f>IF(COUNTA('Procyfloc 4800'!A186,'Procyfloc 4800'!B186,'Procyfloc 4800'!C186)&gt;0,"4800","")</f>
        <v/>
      </c>
      <c r="AB3185" t="str">
        <f>IFERROR(IF(ISNUMBER('Procyfloc 4800'!A186),'Procyfloc 4800'!A186,DATEVALUE('Procyfloc 4800'!A186)),"")</f>
        <v/>
      </c>
      <c r="AC3185" t="str">
        <f>IF(AA3185="","",'Procyfloc 4800'!B186)</f>
        <v/>
      </c>
      <c r="AD3185" t="str">
        <f>IF(AA3185="","",IFERROR(1*'Procyfloc 4800'!C186,IFERROR(_xludf.NUMBERVALUE('Procyfloc 4800'!C186,".",","),IFERROR(_xludf.NUMBERVALUE('Procyfloc 4800'!C186,",","."),0))))</f>
        <v/>
      </c>
      <c r="AE3185" t="str">
        <f>IF(AA3185="","",'Procyfloc 4800'!J186)</f>
        <v/>
      </c>
      <c r="AF3185">
        <f t="shared" si="311"/>
        <v>0</v>
      </c>
      <c r="AG3185" t="str">
        <f t="shared" si="312"/>
        <v/>
      </c>
      <c r="AH3185" t="str">
        <f t="shared" si="313"/>
        <v/>
      </c>
      <c r="AI3185">
        <f t="shared" si="314"/>
        <v>0</v>
      </c>
      <c r="AJ3185">
        <f t="shared" si="315"/>
        <v>0</v>
      </c>
      <c r="AK3185">
        <v>0</v>
      </c>
      <c r="AL3185" t="str">
        <f>IF(AA3185="","",IFERROR(IF(ISNUMBER('Procyfloc 4800'!D186),'Procyfloc 4800'!D186,IF(ISNUMBER(SEARCH("12",'Procyfloc 4800'!D186)),EDATE(AB3185,12),IF(ISNUMBER(SEARCH("6",'Procyfloc 4800'!D186)),EDATE(AB3185,6),IF(ISNUMBER(SEARCH("3",'Procyfloc 4800'!D186)),EDATE(AB3185,3),DATEVALUE('Procyfloc 4800'!D186))))),""))</f>
        <v/>
      </c>
      <c r="AM3185" t="str">
        <f t="shared" ca="1" si="316"/>
        <v/>
      </c>
    </row>
    <row r="3186" spans="27:39" x14ac:dyDescent="0.3">
      <c r="AA3186" t="str">
        <f>IF(COUNTA('Procyfloc 4800'!A187,'Procyfloc 4800'!B187,'Procyfloc 4800'!C187)&gt;0,"4800","")</f>
        <v/>
      </c>
      <c r="AB3186" t="str">
        <f>IFERROR(IF(ISNUMBER('Procyfloc 4800'!A187),'Procyfloc 4800'!A187,DATEVALUE('Procyfloc 4800'!A187)),"")</f>
        <v/>
      </c>
      <c r="AC3186" t="str">
        <f>IF(AA3186="","",'Procyfloc 4800'!B187)</f>
        <v/>
      </c>
      <c r="AD3186" t="str">
        <f>IF(AA3186="","",IFERROR(1*'Procyfloc 4800'!C187,IFERROR(_xludf.NUMBERVALUE('Procyfloc 4800'!C187,".",","),IFERROR(_xludf.NUMBERVALUE('Procyfloc 4800'!C187,",","."),0))))</f>
        <v/>
      </c>
      <c r="AE3186" t="str">
        <f>IF(AA3186="","",'Procyfloc 4800'!J187)</f>
        <v/>
      </c>
      <c r="AF3186">
        <f t="shared" si="311"/>
        <v>0</v>
      </c>
      <c r="AG3186" t="str">
        <f t="shared" si="312"/>
        <v/>
      </c>
      <c r="AH3186" t="str">
        <f t="shared" si="313"/>
        <v/>
      </c>
      <c r="AI3186">
        <f t="shared" si="314"/>
        <v>0</v>
      </c>
      <c r="AJ3186">
        <f t="shared" si="315"/>
        <v>0</v>
      </c>
      <c r="AK3186">
        <v>0</v>
      </c>
      <c r="AL3186" t="str">
        <f>IF(AA3186="","",IFERROR(IF(ISNUMBER('Procyfloc 4800'!D187),'Procyfloc 4800'!D187,IF(ISNUMBER(SEARCH("12",'Procyfloc 4800'!D187)),EDATE(AB3186,12),IF(ISNUMBER(SEARCH("6",'Procyfloc 4800'!D187)),EDATE(AB3186,6),IF(ISNUMBER(SEARCH("3",'Procyfloc 4800'!D187)),EDATE(AB3186,3),DATEVALUE('Procyfloc 4800'!D187))))),""))</f>
        <v/>
      </c>
      <c r="AM3186" t="str">
        <f t="shared" ca="1" si="316"/>
        <v/>
      </c>
    </row>
    <row r="3187" spans="27:39" x14ac:dyDescent="0.3">
      <c r="AA3187" t="str">
        <f>IF(COUNTA('Procyfloc 4800'!A188,'Procyfloc 4800'!B188,'Procyfloc 4800'!C188)&gt;0,"4800","")</f>
        <v/>
      </c>
      <c r="AB3187" t="str">
        <f>IFERROR(IF(ISNUMBER('Procyfloc 4800'!A188),'Procyfloc 4800'!A188,DATEVALUE('Procyfloc 4800'!A188)),"")</f>
        <v/>
      </c>
      <c r="AC3187" t="str">
        <f>IF(AA3187="","",'Procyfloc 4800'!B188)</f>
        <v/>
      </c>
      <c r="AD3187" t="str">
        <f>IF(AA3187="","",IFERROR(1*'Procyfloc 4800'!C188,IFERROR(_xludf.NUMBERVALUE('Procyfloc 4800'!C188,".",","),IFERROR(_xludf.NUMBERVALUE('Procyfloc 4800'!C188,",","."),0))))</f>
        <v/>
      </c>
      <c r="AE3187" t="str">
        <f>IF(AA3187="","",'Procyfloc 4800'!J188)</f>
        <v/>
      </c>
      <c r="AF3187">
        <f t="shared" si="311"/>
        <v>0</v>
      </c>
      <c r="AG3187" t="str">
        <f t="shared" si="312"/>
        <v/>
      </c>
      <c r="AH3187" t="str">
        <f t="shared" si="313"/>
        <v/>
      </c>
      <c r="AI3187">
        <f t="shared" si="314"/>
        <v>0</v>
      </c>
      <c r="AJ3187">
        <f t="shared" si="315"/>
        <v>0</v>
      </c>
      <c r="AK3187">
        <v>0</v>
      </c>
      <c r="AL3187" t="str">
        <f>IF(AA3187="","",IFERROR(IF(ISNUMBER('Procyfloc 4800'!D188),'Procyfloc 4800'!D188,IF(ISNUMBER(SEARCH("12",'Procyfloc 4800'!D188)),EDATE(AB3187,12),IF(ISNUMBER(SEARCH("6",'Procyfloc 4800'!D188)),EDATE(AB3187,6),IF(ISNUMBER(SEARCH("3",'Procyfloc 4800'!D188)),EDATE(AB3187,3),DATEVALUE('Procyfloc 4800'!D188))))),""))</f>
        <v/>
      </c>
      <c r="AM3187" t="str">
        <f t="shared" ca="1" si="316"/>
        <v/>
      </c>
    </row>
    <row r="3188" spans="27:39" x14ac:dyDescent="0.3">
      <c r="AA3188" t="str">
        <f>IF(COUNTA('Procyfloc 4800'!A189,'Procyfloc 4800'!B189,'Procyfloc 4800'!C189)&gt;0,"4800","")</f>
        <v/>
      </c>
      <c r="AB3188" t="str">
        <f>IFERROR(IF(ISNUMBER('Procyfloc 4800'!A189),'Procyfloc 4800'!A189,DATEVALUE('Procyfloc 4800'!A189)),"")</f>
        <v/>
      </c>
      <c r="AC3188" t="str">
        <f>IF(AA3188="","",'Procyfloc 4800'!B189)</f>
        <v/>
      </c>
      <c r="AD3188" t="str">
        <f>IF(AA3188="","",IFERROR(1*'Procyfloc 4800'!C189,IFERROR(_xludf.NUMBERVALUE('Procyfloc 4800'!C189,".",","),IFERROR(_xludf.NUMBERVALUE('Procyfloc 4800'!C189,",","."),0))))</f>
        <v/>
      </c>
      <c r="AE3188" t="str">
        <f>IF(AA3188="","",'Procyfloc 4800'!J189)</f>
        <v/>
      </c>
      <c r="AF3188">
        <f t="shared" si="311"/>
        <v>0</v>
      </c>
      <c r="AG3188" t="str">
        <f t="shared" si="312"/>
        <v/>
      </c>
      <c r="AH3188" t="str">
        <f t="shared" si="313"/>
        <v/>
      </c>
      <c r="AI3188">
        <f t="shared" si="314"/>
        <v>0</v>
      </c>
      <c r="AJ3188">
        <f t="shared" si="315"/>
        <v>0</v>
      </c>
      <c r="AK3188">
        <v>0</v>
      </c>
      <c r="AL3188" t="str">
        <f>IF(AA3188="","",IFERROR(IF(ISNUMBER('Procyfloc 4800'!D189),'Procyfloc 4800'!D189,IF(ISNUMBER(SEARCH("12",'Procyfloc 4800'!D189)),EDATE(AB3188,12),IF(ISNUMBER(SEARCH("6",'Procyfloc 4800'!D189)),EDATE(AB3188,6),IF(ISNUMBER(SEARCH("3",'Procyfloc 4800'!D189)),EDATE(AB3188,3),DATEVALUE('Procyfloc 4800'!D189))))),""))</f>
        <v/>
      </c>
      <c r="AM3188" t="str">
        <f t="shared" ca="1" si="316"/>
        <v/>
      </c>
    </row>
    <row r="3189" spans="27:39" x14ac:dyDescent="0.3">
      <c r="AA3189" t="str">
        <f>IF(COUNTA('Procyfloc 4800'!A190,'Procyfloc 4800'!B190,'Procyfloc 4800'!C190)&gt;0,"4800","")</f>
        <v/>
      </c>
      <c r="AB3189" t="str">
        <f>IFERROR(IF(ISNUMBER('Procyfloc 4800'!A190),'Procyfloc 4800'!A190,DATEVALUE('Procyfloc 4800'!A190)),"")</f>
        <v/>
      </c>
      <c r="AC3189" t="str">
        <f>IF(AA3189="","",'Procyfloc 4800'!B190)</f>
        <v/>
      </c>
      <c r="AD3189" t="str">
        <f>IF(AA3189="","",IFERROR(1*'Procyfloc 4800'!C190,IFERROR(_xludf.NUMBERVALUE('Procyfloc 4800'!C190,".",","),IFERROR(_xludf.NUMBERVALUE('Procyfloc 4800'!C190,",","."),0))))</f>
        <v/>
      </c>
      <c r="AE3189" t="str">
        <f>IF(AA3189="","",'Procyfloc 4800'!J190)</f>
        <v/>
      </c>
      <c r="AF3189">
        <f t="shared" si="311"/>
        <v>0</v>
      </c>
      <c r="AG3189" t="str">
        <f t="shared" si="312"/>
        <v/>
      </c>
      <c r="AH3189" t="str">
        <f t="shared" si="313"/>
        <v/>
      </c>
      <c r="AI3189">
        <f t="shared" si="314"/>
        <v>0</v>
      </c>
      <c r="AJ3189">
        <f t="shared" si="315"/>
        <v>0</v>
      </c>
      <c r="AK3189">
        <v>0</v>
      </c>
      <c r="AL3189" t="str">
        <f>IF(AA3189="","",IFERROR(IF(ISNUMBER('Procyfloc 4800'!D190),'Procyfloc 4800'!D190,IF(ISNUMBER(SEARCH("12",'Procyfloc 4800'!D190)),EDATE(AB3189,12),IF(ISNUMBER(SEARCH("6",'Procyfloc 4800'!D190)),EDATE(AB3189,6),IF(ISNUMBER(SEARCH("3",'Procyfloc 4800'!D190)),EDATE(AB3189,3),DATEVALUE('Procyfloc 4800'!D190))))),""))</f>
        <v/>
      </c>
      <c r="AM3189" t="str">
        <f t="shared" ca="1" si="316"/>
        <v/>
      </c>
    </row>
    <row r="3190" spans="27:39" x14ac:dyDescent="0.3">
      <c r="AA3190" t="str">
        <f>IF(COUNTA('Procyfloc 4800'!A191,'Procyfloc 4800'!B191,'Procyfloc 4800'!C191)&gt;0,"4800","")</f>
        <v/>
      </c>
      <c r="AB3190" t="str">
        <f>IFERROR(IF(ISNUMBER('Procyfloc 4800'!A191),'Procyfloc 4800'!A191,DATEVALUE('Procyfloc 4800'!A191)),"")</f>
        <v/>
      </c>
      <c r="AC3190" t="str">
        <f>IF(AA3190="","",'Procyfloc 4800'!B191)</f>
        <v/>
      </c>
      <c r="AD3190" t="str">
        <f>IF(AA3190="","",IFERROR(1*'Procyfloc 4800'!C191,IFERROR(_xludf.NUMBERVALUE('Procyfloc 4800'!C191,".",","),IFERROR(_xludf.NUMBERVALUE('Procyfloc 4800'!C191,",","."),0))))</f>
        <v/>
      </c>
      <c r="AE3190" t="str">
        <f>IF(AA3190="","",'Procyfloc 4800'!J191)</f>
        <v/>
      </c>
      <c r="AF3190">
        <f t="shared" si="311"/>
        <v>0</v>
      </c>
      <c r="AG3190" t="str">
        <f t="shared" si="312"/>
        <v/>
      </c>
      <c r="AH3190" t="str">
        <f t="shared" si="313"/>
        <v/>
      </c>
      <c r="AI3190">
        <f t="shared" si="314"/>
        <v>0</v>
      </c>
      <c r="AJ3190">
        <f t="shared" si="315"/>
        <v>0</v>
      </c>
      <c r="AK3190">
        <v>0</v>
      </c>
      <c r="AL3190" t="str">
        <f>IF(AA3190="","",IFERROR(IF(ISNUMBER('Procyfloc 4800'!D191),'Procyfloc 4800'!D191,IF(ISNUMBER(SEARCH("12",'Procyfloc 4800'!D191)),EDATE(AB3190,12),IF(ISNUMBER(SEARCH("6",'Procyfloc 4800'!D191)),EDATE(AB3190,6),IF(ISNUMBER(SEARCH("3",'Procyfloc 4800'!D191)),EDATE(AB3190,3),DATEVALUE('Procyfloc 4800'!D191))))),""))</f>
        <v/>
      </c>
      <c r="AM3190" t="str">
        <f t="shared" ca="1" si="316"/>
        <v/>
      </c>
    </row>
    <row r="3191" spans="27:39" x14ac:dyDescent="0.3">
      <c r="AA3191" t="str">
        <f>IF(COUNTA('Procyfloc 4800'!A192,'Procyfloc 4800'!B192,'Procyfloc 4800'!C192)&gt;0,"4800","")</f>
        <v/>
      </c>
      <c r="AB3191" t="str">
        <f>IFERROR(IF(ISNUMBER('Procyfloc 4800'!A192),'Procyfloc 4800'!A192,DATEVALUE('Procyfloc 4800'!A192)),"")</f>
        <v/>
      </c>
      <c r="AC3191" t="str">
        <f>IF(AA3191="","",'Procyfloc 4800'!B192)</f>
        <v/>
      </c>
      <c r="AD3191" t="str">
        <f>IF(AA3191="","",IFERROR(1*'Procyfloc 4800'!C192,IFERROR(_xludf.NUMBERVALUE('Procyfloc 4800'!C192,".",","),IFERROR(_xludf.NUMBERVALUE('Procyfloc 4800'!C192,",","."),0))))</f>
        <v/>
      </c>
      <c r="AE3191" t="str">
        <f>IF(AA3191="","",'Procyfloc 4800'!J192)</f>
        <v/>
      </c>
      <c r="AF3191">
        <f t="shared" si="311"/>
        <v>0</v>
      </c>
      <c r="AG3191" t="str">
        <f t="shared" si="312"/>
        <v/>
      </c>
      <c r="AH3191" t="str">
        <f t="shared" si="313"/>
        <v/>
      </c>
      <c r="AI3191">
        <f t="shared" si="314"/>
        <v>0</v>
      </c>
      <c r="AJ3191">
        <f t="shared" si="315"/>
        <v>0</v>
      </c>
      <c r="AK3191">
        <v>0</v>
      </c>
      <c r="AL3191" t="str">
        <f>IF(AA3191="","",IFERROR(IF(ISNUMBER('Procyfloc 4800'!D192),'Procyfloc 4800'!D192,IF(ISNUMBER(SEARCH("12",'Procyfloc 4800'!D192)),EDATE(AB3191,12),IF(ISNUMBER(SEARCH("6",'Procyfloc 4800'!D192)),EDATE(AB3191,6),IF(ISNUMBER(SEARCH("3",'Procyfloc 4800'!D192)),EDATE(AB3191,3),DATEVALUE('Procyfloc 4800'!D192))))),""))</f>
        <v/>
      </c>
      <c r="AM3191" t="str">
        <f t="shared" ca="1" si="316"/>
        <v/>
      </c>
    </row>
    <row r="3192" spans="27:39" x14ac:dyDescent="0.3">
      <c r="AA3192" t="str">
        <f>IF(COUNTA('Procyfloc 4800'!A193,'Procyfloc 4800'!B193,'Procyfloc 4800'!C193)&gt;0,"4800","")</f>
        <v/>
      </c>
      <c r="AB3192" t="str">
        <f>IFERROR(IF(ISNUMBER('Procyfloc 4800'!A193),'Procyfloc 4800'!A193,DATEVALUE('Procyfloc 4800'!A193)),"")</f>
        <v/>
      </c>
      <c r="AC3192" t="str">
        <f>IF(AA3192="","",'Procyfloc 4800'!B193)</f>
        <v/>
      </c>
      <c r="AD3192" t="str">
        <f>IF(AA3192="","",IFERROR(1*'Procyfloc 4800'!C193,IFERROR(_xludf.NUMBERVALUE('Procyfloc 4800'!C193,".",","),IFERROR(_xludf.NUMBERVALUE('Procyfloc 4800'!C193,",","."),0))))</f>
        <v/>
      </c>
      <c r="AE3192" t="str">
        <f>IF(AA3192="","",'Procyfloc 4800'!J193)</f>
        <v/>
      </c>
      <c r="AF3192">
        <f t="shared" si="311"/>
        <v>0</v>
      </c>
      <c r="AG3192" t="str">
        <f t="shared" si="312"/>
        <v/>
      </c>
      <c r="AH3192" t="str">
        <f t="shared" si="313"/>
        <v/>
      </c>
      <c r="AI3192">
        <f t="shared" si="314"/>
        <v>0</v>
      </c>
      <c r="AJ3192">
        <f t="shared" si="315"/>
        <v>0</v>
      </c>
      <c r="AK3192">
        <v>0</v>
      </c>
      <c r="AL3192" t="str">
        <f>IF(AA3192="","",IFERROR(IF(ISNUMBER('Procyfloc 4800'!D193),'Procyfloc 4800'!D193,IF(ISNUMBER(SEARCH("12",'Procyfloc 4800'!D193)),EDATE(AB3192,12),IF(ISNUMBER(SEARCH("6",'Procyfloc 4800'!D193)),EDATE(AB3192,6),IF(ISNUMBER(SEARCH("3",'Procyfloc 4800'!D193)),EDATE(AB3192,3),DATEVALUE('Procyfloc 4800'!D193))))),""))</f>
        <v/>
      </c>
      <c r="AM3192" t="str">
        <f t="shared" ca="1" si="316"/>
        <v/>
      </c>
    </row>
    <row r="3193" spans="27:39" x14ac:dyDescent="0.3">
      <c r="AA3193" t="str">
        <f>IF(COUNTA('Procyfloc 4800'!A194,'Procyfloc 4800'!B194,'Procyfloc 4800'!C194)&gt;0,"4800","")</f>
        <v/>
      </c>
      <c r="AB3193" t="str">
        <f>IFERROR(IF(ISNUMBER('Procyfloc 4800'!A194),'Procyfloc 4800'!A194,DATEVALUE('Procyfloc 4800'!A194)),"")</f>
        <v/>
      </c>
      <c r="AC3193" t="str">
        <f>IF(AA3193="","",'Procyfloc 4800'!B194)</f>
        <v/>
      </c>
      <c r="AD3193" t="str">
        <f>IF(AA3193="","",IFERROR(1*'Procyfloc 4800'!C194,IFERROR(_xludf.NUMBERVALUE('Procyfloc 4800'!C194,".",","),IFERROR(_xludf.NUMBERVALUE('Procyfloc 4800'!C194,",","."),0))))</f>
        <v/>
      </c>
      <c r="AE3193" t="str">
        <f>IF(AA3193="","",'Procyfloc 4800'!J194)</f>
        <v/>
      </c>
      <c r="AF3193">
        <f t="shared" si="311"/>
        <v>0</v>
      </c>
      <c r="AG3193" t="str">
        <f t="shared" si="312"/>
        <v/>
      </c>
      <c r="AH3193" t="str">
        <f t="shared" si="313"/>
        <v/>
      </c>
      <c r="AI3193">
        <f t="shared" si="314"/>
        <v>0</v>
      </c>
      <c r="AJ3193">
        <f t="shared" si="315"/>
        <v>0</v>
      </c>
      <c r="AK3193">
        <v>0</v>
      </c>
      <c r="AL3193" t="str">
        <f>IF(AA3193="","",IFERROR(IF(ISNUMBER('Procyfloc 4800'!D194),'Procyfloc 4800'!D194,IF(ISNUMBER(SEARCH("12",'Procyfloc 4800'!D194)),EDATE(AB3193,12),IF(ISNUMBER(SEARCH("6",'Procyfloc 4800'!D194)),EDATE(AB3193,6),IF(ISNUMBER(SEARCH("3",'Procyfloc 4800'!D194)),EDATE(AB3193,3),DATEVALUE('Procyfloc 4800'!D194))))),""))</f>
        <v/>
      </c>
      <c r="AM3193" t="str">
        <f t="shared" ca="1" si="316"/>
        <v/>
      </c>
    </row>
    <row r="3194" spans="27:39" x14ac:dyDescent="0.3">
      <c r="AA3194" t="str">
        <f>IF(COUNTA('Procyfloc 4800'!A195,'Procyfloc 4800'!B195,'Procyfloc 4800'!C195)&gt;0,"4800","")</f>
        <v/>
      </c>
      <c r="AB3194" t="str">
        <f>IFERROR(IF(ISNUMBER('Procyfloc 4800'!A195),'Procyfloc 4800'!A195,DATEVALUE('Procyfloc 4800'!A195)),"")</f>
        <v/>
      </c>
      <c r="AC3194" t="str">
        <f>IF(AA3194="","",'Procyfloc 4800'!B195)</f>
        <v/>
      </c>
      <c r="AD3194" t="str">
        <f>IF(AA3194="","",IFERROR(1*'Procyfloc 4800'!C195,IFERROR(_xludf.NUMBERVALUE('Procyfloc 4800'!C195,".",","),IFERROR(_xludf.NUMBERVALUE('Procyfloc 4800'!C195,",","."),0))))</f>
        <v/>
      </c>
      <c r="AE3194" t="str">
        <f>IF(AA3194="","",'Procyfloc 4800'!J195)</f>
        <v/>
      </c>
      <c r="AF3194">
        <f t="shared" si="311"/>
        <v>0</v>
      </c>
      <c r="AG3194" t="str">
        <f t="shared" si="312"/>
        <v/>
      </c>
      <c r="AH3194" t="str">
        <f t="shared" si="313"/>
        <v/>
      </c>
      <c r="AI3194">
        <f t="shared" si="314"/>
        <v>0</v>
      </c>
      <c r="AJ3194">
        <f t="shared" si="315"/>
        <v>0</v>
      </c>
      <c r="AK3194">
        <v>0</v>
      </c>
      <c r="AL3194" t="str">
        <f>IF(AA3194="","",IFERROR(IF(ISNUMBER('Procyfloc 4800'!D195),'Procyfloc 4800'!D195,IF(ISNUMBER(SEARCH("12",'Procyfloc 4800'!D195)),EDATE(AB3194,12),IF(ISNUMBER(SEARCH("6",'Procyfloc 4800'!D195)),EDATE(AB3194,6),IF(ISNUMBER(SEARCH("3",'Procyfloc 4800'!D195)),EDATE(AB3194,3),DATEVALUE('Procyfloc 4800'!D195))))),""))</f>
        <v/>
      </c>
      <c r="AM3194" t="str">
        <f t="shared" ca="1" si="316"/>
        <v/>
      </c>
    </row>
    <row r="3195" spans="27:39" x14ac:dyDescent="0.3">
      <c r="AA3195" t="str">
        <f>IF(COUNTA('Procyfloc 4800'!A196,'Procyfloc 4800'!B196,'Procyfloc 4800'!C196)&gt;0,"4800","")</f>
        <v/>
      </c>
      <c r="AB3195" t="str">
        <f>IFERROR(IF(ISNUMBER('Procyfloc 4800'!A196),'Procyfloc 4800'!A196,DATEVALUE('Procyfloc 4800'!A196)),"")</f>
        <v/>
      </c>
      <c r="AC3195" t="str">
        <f>IF(AA3195="","",'Procyfloc 4800'!B196)</f>
        <v/>
      </c>
      <c r="AD3195" t="str">
        <f>IF(AA3195="","",IFERROR(1*'Procyfloc 4800'!C196,IFERROR(_xludf.NUMBERVALUE('Procyfloc 4800'!C196,".",","),IFERROR(_xludf.NUMBERVALUE('Procyfloc 4800'!C196,",","."),0))))</f>
        <v/>
      </c>
      <c r="AE3195" t="str">
        <f>IF(AA3195="","",'Procyfloc 4800'!J196)</f>
        <v/>
      </c>
      <c r="AF3195">
        <f t="shared" si="311"/>
        <v>0</v>
      </c>
      <c r="AG3195" t="str">
        <f t="shared" si="312"/>
        <v/>
      </c>
      <c r="AH3195" t="str">
        <f t="shared" si="313"/>
        <v/>
      </c>
      <c r="AI3195">
        <f t="shared" si="314"/>
        <v>0</v>
      </c>
      <c r="AJ3195">
        <f t="shared" si="315"/>
        <v>0</v>
      </c>
      <c r="AK3195">
        <v>0</v>
      </c>
      <c r="AL3195" t="str">
        <f>IF(AA3195="","",IFERROR(IF(ISNUMBER('Procyfloc 4800'!D196),'Procyfloc 4800'!D196,IF(ISNUMBER(SEARCH("12",'Procyfloc 4800'!D196)),EDATE(AB3195,12),IF(ISNUMBER(SEARCH("6",'Procyfloc 4800'!D196)),EDATE(AB3195,6),IF(ISNUMBER(SEARCH("3",'Procyfloc 4800'!D196)),EDATE(AB3195,3),DATEVALUE('Procyfloc 4800'!D196))))),""))</f>
        <v/>
      </c>
      <c r="AM3195" t="str">
        <f t="shared" ca="1" si="316"/>
        <v/>
      </c>
    </row>
    <row r="3196" spans="27:39" x14ac:dyDescent="0.3">
      <c r="AA3196" t="str">
        <f>IF(COUNTA('Procyfloc 4800'!A197,'Procyfloc 4800'!B197,'Procyfloc 4800'!C197)&gt;0,"4800","")</f>
        <v/>
      </c>
      <c r="AB3196" t="str">
        <f>IFERROR(IF(ISNUMBER('Procyfloc 4800'!A197),'Procyfloc 4800'!A197,DATEVALUE('Procyfloc 4800'!A197)),"")</f>
        <v/>
      </c>
      <c r="AC3196" t="str">
        <f>IF(AA3196="","",'Procyfloc 4800'!B197)</f>
        <v/>
      </c>
      <c r="AD3196" t="str">
        <f>IF(AA3196="","",IFERROR(1*'Procyfloc 4800'!C197,IFERROR(_xludf.NUMBERVALUE('Procyfloc 4800'!C197,".",","),IFERROR(_xludf.NUMBERVALUE('Procyfloc 4800'!C197,",","."),0))))</f>
        <v/>
      </c>
      <c r="AE3196" t="str">
        <f>IF(AA3196="","",'Procyfloc 4800'!J197)</f>
        <v/>
      </c>
      <c r="AF3196">
        <f t="shared" si="311"/>
        <v>0</v>
      </c>
      <c r="AG3196" t="str">
        <f t="shared" si="312"/>
        <v/>
      </c>
      <c r="AH3196" t="str">
        <f t="shared" si="313"/>
        <v/>
      </c>
      <c r="AI3196">
        <f t="shared" si="314"/>
        <v>0</v>
      </c>
      <c r="AJ3196">
        <f t="shared" si="315"/>
        <v>0</v>
      </c>
      <c r="AK3196">
        <v>0</v>
      </c>
      <c r="AL3196" t="str">
        <f>IF(AA3196="","",IFERROR(IF(ISNUMBER('Procyfloc 4800'!D197),'Procyfloc 4800'!D197,IF(ISNUMBER(SEARCH("12",'Procyfloc 4800'!D197)),EDATE(AB3196,12),IF(ISNUMBER(SEARCH("6",'Procyfloc 4800'!D197)),EDATE(AB3196,6),IF(ISNUMBER(SEARCH("3",'Procyfloc 4800'!D197)),EDATE(AB3196,3),DATEVALUE('Procyfloc 4800'!D197))))),""))</f>
        <v/>
      </c>
      <c r="AM3196" t="str">
        <f t="shared" ca="1" si="316"/>
        <v/>
      </c>
    </row>
    <row r="3197" spans="27:39" x14ac:dyDescent="0.3">
      <c r="AA3197" t="str">
        <f>IF(COUNTA('Procyfloc 4800'!A198,'Procyfloc 4800'!B198,'Procyfloc 4800'!C198)&gt;0,"4800","")</f>
        <v/>
      </c>
      <c r="AB3197" t="str">
        <f>IFERROR(IF(ISNUMBER('Procyfloc 4800'!A198),'Procyfloc 4800'!A198,DATEVALUE('Procyfloc 4800'!A198)),"")</f>
        <v/>
      </c>
      <c r="AC3197" t="str">
        <f>IF(AA3197="","",'Procyfloc 4800'!B198)</f>
        <v/>
      </c>
      <c r="AD3197" t="str">
        <f>IF(AA3197="","",IFERROR(1*'Procyfloc 4800'!C198,IFERROR(_xludf.NUMBERVALUE('Procyfloc 4800'!C198,".",","),IFERROR(_xludf.NUMBERVALUE('Procyfloc 4800'!C198,",","."),0))))</f>
        <v/>
      </c>
      <c r="AE3197" t="str">
        <f>IF(AA3197="","",'Procyfloc 4800'!J198)</f>
        <v/>
      </c>
      <c r="AF3197">
        <f t="shared" si="311"/>
        <v>0</v>
      </c>
      <c r="AG3197" t="str">
        <f t="shared" si="312"/>
        <v/>
      </c>
      <c r="AH3197" t="str">
        <f t="shared" si="313"/>
        <v/>
      </c>
      <c r="AI3197">
        <f t="shared" si="314"/>
        <v>0</v>
      </c>
      <c r="AJ3197">
        <f t="shared" si="315"/>
        <v>0</v>
      </c>
      <c r="AK3197">
        <v>0</v>
      </c>
      <c r="AL3197" t="str">
        <f>IF(AA3197="","",IFERROR(IF(ISNUMBER('Procyfloc 4800'!D198),'Procyfloc 4800'!D198,IF(ISNUMBER(SEARCH("12",'Procyfloc 4800'!D198)),EDATE(AB3197,12),IF(ISNUMBER(SEARCH("6",'Procyfloc 4800'!D198)),EDATE(AB3197,6),IF(ISNUMBER(SEARCH("3",'Procyfloc 4800'!D198)),EDATE(AB3197,3),DATEVALUE('Procyfloc 4800'!D198))))),""))</f>
        <v/>
      </c>
      <c r="AM3197" t="str">
        <f t="shared" ca="1" si="316"/>
        <v/>
      </c>
    </row>
    <row r="3198" spans="27:39" x14ac:dyDescent="0.3">
      <c r="AA3198" t="str">
        <f>IF(COUNTA('Procyfloc 4800'!A199,'Procyfloc 4800'!B199,'Procyfloc 4800'!C199)&gt;0,"4800","")</f>
        <v/>
      </c>
      <c r="AB3198" t="str">
        <f>IFERROR(IF(ISNUMBER('Procyfloc 4800'!A199),'Procyfloc 4800'!A199,DATEVALUE('Procyfloc 4800'!A199)),"")</f>
        <v/>
      </c>
      <c r="AC3198" t="str">
        <f>IF(AA3198="","",'Procyfloc 4800'!B199)</f>
        <v/>
      </c>
      <c r="AD3198" t="str">
        <f>IF(AA3198="","",IFERROR(1*'Procyfloc 4800'!C199,IFERROR(_xludf.NUMBERVALUE('Procyfloc 4800'!C199,".",","),IFERROR(_xludf.NUMBERVALUE('Procyfloc 4800'!C199,",","."),0))))</f>
        <v/>
      </c>
      <c r="AE3198" t="str">
        <f>IF(AA3198="","",'Procyfloc 4800'!J199)</f>
        <v/>
      </c>
      <c r="AF3198">
        <f t="shared" si="311"/>
        <v>0</v>
      </c>
      <c r="AG3198" t="str">
        <f t="shared" si="312"/>
        <v/>
      </c>
      <c r="AH3198" t="str">
        <f t="shared" si="313"/>
        <v/>
      </c>
      <c r="AI3198">
        <f t="shared" si="314"/>
        <v>0</v>
      </c>
      <c r="AJ3198">
        <f t="shared" si="315"/>
        <v>0</v>
      </c>
      <c r="AK3198">
        <v>0</v>
      </c>
      <c r="AL3198" t="str">
        <f>IF(AA3198="","",IFERROR(IF(ISNUMBER('Procyfloc 4800'!D199),'Procyfloc 4800'!D199,IF(ISNUMBER(SEARCH("12",'Procyfloc 4800'!D199)),EDATE(AB3198,12),IF(ISNUMBER(SEARCH("6",'Procyfloc 4800'!D199)),EDATE(AB3198,6),IF(ISNUMBER(SEARCH("3",'Procyfloc 4800'!D199)),EDATE(AB3198,3),DATEVALUE('Procyfloc 4800'!D199))))),""))</f>
        <v/>
      </c>
      <c r="AM3198" t="str">
        <f t="shared" ca="1" si="316"/>
        <v/>
      </c>
    </row>
    <row r="3199" spans="27:39" x14ac:dyDescent="0.3">
      <c r="AA3199" t="str">
        <f>IF(COUNTA('Procyfloc 4800'!A200,'Procyfloc 4800'!B200,'Procyfloc 4800'!C200)&gt;0,"4800","")</f>
        <v/>
      </c>
      <c r="AB3199" t="str">
        <f>IFERROR(IF(ISNUMBER('Procyfloc 4800'!A200),'Procyfloc 4800'!A200,DATEVALUE('Procyfloc 4800'!A200)),"")</f>
        <v/>
      </c>
      <c r="AC3199" t="str">
        <f>IF(AA3199="","",'Procyfloc 4800'!B200)</f>
        <v/>
      </c>
      <c r="AD3199" t="str">
        <f>IF(AA3199="","",IFERROR(1*'Procyfloc 4800'!C200,IFERROR(_xludf.NUMBERVALUE('Procyfloc 4800'!C200,".",","),IFERROR(_xludf.NUMBERVALUE('Procyfloc 4800'!C200,",","."),0))))</f>
        <v/>
      </c>
      <c r="AE3199" t="str">
        <f>IF(AA3199="","",'Procyfloc 4800'!J200)</f>
        <v/>
      </c>
      <c r="AF3199">
        <f t="shared" si="311"/>
        <v>0</v>
      </c>
      <c r="AG3199" t="str">
        <f t="shared" si="312"/>
        <v/>
      </c>
      <c r="AH3199" t="str">
        <f t="shared" si="313"/>
        <v/>
      </c>
      <c r="AI3199">
        <f t="shared" si="314"/>
        <v>0</v>
      </c>
      <c r="AJ3199">
        <f t="shared" si="315"/>
        <v>0</v>
      </c>
      <c r="AK3199">
        <v>0</v>
      </c>
      <c r="AL3199" t="str">
        <f>IF(AA3199="","",IFERROR(IF(ISNUMBER('Procyfloc 4800'!D200),'Procyfloc 4800'!D200,IF(ISNUMBER(SEARCH("12",'Procyfloc 4800'!D200)),EDATE(AB3199,12),IF(ISNUMBER(SEARCH("6",'Procyfloc 4800'!D200)),EDATE(AB3199,6),IF(ISNUMBER(SEARCH("3",'Procyfloc 4800'!D200)),EDATE(AB3199,3),DATEVALUE('Procyfloc 4800'!D200))))),""))</f>
        <v/>
      </c>
      <c r="AM3199" t="str">
        <f t="shared" ca="1" si="316"/>
        <v/>
      </c>
    </row>
    <row r="3200" spans="27:39" x14ac:dyDescent="0.3">
      <c r="AA3200" t="str">
        <f>IF(COUNTA('Procyfloc 4800'!A201,'Procyfloc 4800'!B201,'Procyfloc 4800'!C201)&gt;0,"4800","")</f>
        <v/>
      </c>
      <c r="AB3200" t="str">
        <f>IFERROR(IF(ISNUMBER('Procyfloc 4800'!A201),'Procyfloc 4800'!A201,DATEVALUE('Procyfloc 4800'!A201)),"")</f>
        <v/>
      </c>
      <c r="AC3200" t="str">
        <f>IF(AA3200="","",'Procyfloc 4800'!B201)</f>
        <v/>
      </c>
      <c r="AD3200" t="str">
        <f>IF(AA3200="","",IFERROR(1*'Procyfloc 4800'!C201,IFERROR(_xludf.NUMBERVALUE('Procyfloc 4800'!C201,".",","),IFERROR(_xludf.NUMBERVALUE('Procyfloc 4800'!C201,",","."),0))))</f>
        <v/>
      </c>
      <c r="AE3200" t="str">
        <f>IF(AA3200="","",'Procyfloc 4800'!J201)</f>
        <v/>
      </c>
      <c r="AF3200">
        <f t="shared" si="311"/>
        <v>0</v>
      </c>
      <c r="AG3200" t="str">
        <f t="shared" si="312"/>
        <v/>
      </c>
      <c r="AH3200" t="str">
        <f t="shared" si="313"/>
        <v/>
      </c>
      <c r="AI3200">
        <f t="shared" si="314"/>
        <v>0</v>
      </c>
      <c r="AJ3200">
        <f t="shared" si="315"/>
        <v>0</v>
      </c>
      <c r="AK3200">
        <v>0</v>
      </c>
      <c r="AL3200" t="str">
        <f>IF(AA3200="","",IFERROR(IF(ISNUMBER('Procyfloc 4800'!D201),'Procyfloc 4800'!D201,IF(ISNUMBER(SEARCH("12",'Procyfloc 4800'!D201)),EDATE(AB3200,12),IF(ISNUMBER(SEARCH("6",'Procyfloc 4800'!D201)),EDATE(AB3200,6),IF(ISNUMBER(SEARCH("3",'Procyfloc 4800'!D201)),EDATE(AB3200,3),DATEVALUE('Procyfloc 4800'!D201))))),""))</f>
        <v/>
      </c>
      <c r="AM3200" t="str">
        <f t="shared" ca="1" si="316"/>
        <v/>
      </c>
    </row>
    <row r="3201" spans="27:39" x14ac:dyDescent="0.3">
      <c r="AA3201" t="str">
        <f>IF(COUNTA('Procyfloc 4800'!A202,'Procyfloc 4800'!B202,'Procyfloc 4800'!C202)&gt;0,"4800","")</f>
        <v/>
      </c>
      <c r="AB3201" t="str">
        <f>IFERROR(IF(ISNUMBER('Procyfloc 4800'!A202),'Procyfloc 4800'!A202,DATEVALUE('Procyfloc 4800'!A202)),"")</f>
        <v/>
      </c>
      <c r="AC3201" t="str">
        <f>IF(AA3201="","",'Procyfloc 4800'!B202)</f>
        <v/>
      </c>
      <c r="AD3201" t="str">
        <f>IF(AA3201="","",IFERROR(1*'Procyfloc 4800'!C202,IFERROR(_xludf.NUMBERVALUE('Procyfloc 4800'!C202,".",","),IFERROR(_xludf.NUMBERVALUE('Procyfloc 4800'!C202,",","."),0))))</f>
        <v/>
      </c>
      <c r="AE3201" t="str">
        <f>IF(AA3201="","",'Procyfloc 4800'!J202)</f>
        <v/>
      </c>
      <c r="AF3201">
        <f t="shared" si="311"/>
        <v>0</v>
      </c>
      <c r="AG3201" t="str">
        <f t="shared" si="312"/>
        <v/>
      </c>
      <c r="AH3201" t="str">
        <f t="shared" si="313"/>
        <v/>
      </c>
      <c r="AI3201">
        <f t="shared" si="314"/>
        <v>0</v>
      </c>
      <c r="AJ3201">
        <f t="shared" si="315"/>
        <v>0</v>
      </c>
      <c r="AK3201">
        <v>0</v>
      </c>
      <c r="AL3201" t="str">
        <f>IF(AA3201="","",IFERROR(IF(ISNUMBER('Procyfloc 4800'!D202),'Procyfloc 4800'!D202,IF(ISNUMBER(SEARCH("12",'Procyfloc 4800'!D202)),EDATE(AB3201,12),IF(ISNUMBER(SEARCH("6",'Procyfloc 4800'!D202)),EDATE(AB3201,6),IF(ISNUMBER(SEARCH("3",'Procyfloc 4800'!D202)),EDATE(AB3201,3),DATEVALUE('Procyfloc 4800'!D202))))),""))</f>
        <v/>
      </c>
      <c r="AM3201" t="str">
        <f t="shared" ca="1" si="316"/>
        <v/>
      </c>
    </row>
    <row r="3202" spans="27:39" x14ac:dyDescent="0.3">
      <c r="AA3202" t="str">
        <f>IF(COUNTA('Procyfloc 4800'!A203,'Procyfloc 4800'!B203,'Procyfloc 4800'!C203)&gt;0,"4800","")</f>
        <v/>
      </c>
      <c r="AB3202" t="str">
        <f>IFERROR(IF(ISNUMBER('Procyfloc 4800'!A203),'Procyfloc 4800'!A203,DATEVALUE('Procyfloc 4800'!A203)),"")</f>
        <v/>
      </c>
      <c r="AC3202" t="str">
        <f>IF(AA3202="","",'Procyfloc 4800'!B203)</f>
        <v/>
      </c>
      <c r="AD3202" t="str">
        <f>IF(AA3202="","",IFERROR(1*'Procyfloc 4800'!C203,IFERROR(_xludf.NUMBERVALUE('Procyfloc 4800'!C203,".",","),IFERROR(_xludf.NUMBERVALUE('Procyfloc 4800'!C203,",","."),0))))</f>
        <v/>
      </c>
      <c r="AE3202" t="str">
        <f>IF(AA3202="","",'Procyfloc 4800'!J203)</f>
        <v/>
      </c>
      <c r="AF3202">
        <f t="shared" ref="AF3202:AF3265" si="317">IF(AA3202="",0,--AND(ISNUMBER(SEARCH("aprov",AE3202)),NOT(ISNUMBER(SEARCH("reprov",AE3202)))))</f>
        <v>0</v>
      </c>
      <c r="AG3202" t="str">
        <f t="shared" ref="AG3202:AG3265" si="318">IF(AB3202="","",YEAR(AB3202))</f>
        <v/>
      </c>
      <c r="AH3202" t="str">
        <f t="shared" ref="AH3202:AH3265" si="319">IF(AB3202="","",MONTH(AB3202))</f>
        <v/>
      </c>
      <c r="AI3202">
        <f t="shared" ref="AI3202:AI3265" si="320">IF(AB3202="",0,AB3202+ROW()/1000000)</f>
        <v>0</v>
      </c>
      <c r="AJ3202">
        <f t="shared" ref="AJ3202:AJ3265" si="321">--(AA3202&lt;&gt;"")</f>
        <v>0</v>
      </c>
      <c r="AK3202">
        <v>0</v>
      </c>
      <c r="AL3202" t="str">
        <f>IF(AA3202="","",IFERROR(IF(ISNUMBER('Procyfloc 4800'!D203),'Procyfloc 4800'!D203,IF(ISNUMBER(SEARCH("12",'Procyfloc 4800'!D203)),EDATE(AB3202,12),IF(ISNUMBER(SEARCH("6",'Procyfloc 4800'!D203)),EDATE(AB3202,6),IF(ISNUMBER(SEARCH("3",'Procyfloc 4800'!D203)),EDATE(AB3202,3),DATEVALUE('Procyfloc 4800'!D203))))),""))</f>
        <v/>
      </c>
      <c r="AM3202" t="str">
        <f t="shared" ref="AM3202:AM3265" ca="1" si="322">IF(AND(AJ3202=1,AL3202&lt;&gt;"",AL3202&gt;=TODAY(),AG3202=$W$3),AL3202+ROW()/1000000,"")</f>
        <v/>
      </c>
    </row>
    <row r="3203" spans="27:39" x14ac:dyDescent="0.3">
      <c r="AA3203" t="str">
        <f>IF(COUNTA('Procyfloc 4800'!A204,'Procyfloc 4800'!B204,'Procyfloc 4800'!C204)&gt;0,"4800","")</f>
        <v/>
      </c>
      <c r="AB3203" t="str">
        <f>IFERROR(IF(ISNUMBER('Procyfloc 4800'!A204),'Procyfloc 4800'!A204,DATEVALUE('Procyfloc 4800'!A204)),"")</f>
        <v/>
      </c>
      <c r="AC3203" t="str">
        <f>IF(AA3203="","",'Procyfloc 4800'!B204)</f>
        <v/>
      </c>
      <c r="AD3203" t="str">
        <f>IF(AA3203="","",IFERROR(1*'Procyfloc 4800'!C204,IFERROR(_xludf.NUMBERVALUE('Procyfloc 4800'!C204,".",","),IFERROR(_xludf.NUMBERVALUE('Procyfloc 4800'!C204,",","."),0))))</f>
        <v/>
      </c>
      <c r="AE3203" t="str">
        <f>IF(AA3203="","",'Procyfloc 4800'!J204)</f>
        <v/>
      </c>
      <c r="AF3203">
        <f t="shared" si="317"/>
        <v>0</v>
      </c>
      <c r="AG3203" t="str">
        <f t="shared" si="318"/>
        <v/>
      </c>
      <c r="AH3203" t="str">
        <f t="shared" si="319"/>
        <v/>
      </c>
      <c r="AI3203">
        <f t="shared" si="320"/>
        <v>0</v>
      </c>
      <c r="AJ3203">
        <f t="shared" si="321"/>
        <v>0</v>
      </c>
      <c r="AK3203">
        <v>0</v>
      </c>
      <c r="AL3203" t="str">
        <f>IF(AA3203="","",IFERROR(IF(ISNUMBER('Procyfloc 4800'!D204),'Procyfloc 4800'!D204,IF(ISNUMBER(SEARCH("12",'Procyfloc 4800'!D204)),EDATE(AB3203,12),IF(ISNUMBER(SEARCH("6",'Procyfloc 4800'!D204)),EDATE(AB3203,6),IF(ISNUMBER(SEARCH("3",'Procyfloc 4800'!D204)),EDATE(AB3203,3),DATEVALUE('Procyfloc 4800'!D204))))),""))</f>
        <v/>
      </c>
      <c r="AM3203" t="str">
        <f t="shared" ca="1" si="322"/>
        <v/>
      </c>
    </row>
    <row r="3204" spans="27:39" x14ac:dyDescent="0.3">
      <c r="AA3204" t="str">
        <f>IF(COUNTA('Procyfloc 4800'!A205,'Procyfloc 4800'!B205,'Procyfloc 4800'!C205)&gt;0,"4800","")</f>
        <v/>
      </c>
      <c r="AB3204" t="str">
        <f>IFERROR(IF(ISNUMBER('Procyfloc 4800'!A205),'Procyfloc 4800'!A205,DATEVALUE('Procyfloc 4800'!A205)),"")</f>
        <v/>
      </c>
      <c r="AC3204" t="str">
        <f>IF(AA3204="","",'Procyfloc 4800'!B205)</f>
        <v/>
      </c>
      <c r="AD3204" t="str">
        <f>IF(AA3204="","",IFERROR(1*'Procyfloc 4800'!C205,IFERROR(_xludf.NUMBERVALUE('Procyfloc 4800'!C205,".",","),IFERROR(_xludf.NUMBERVALUE('Procyfloc 4800'!C205,",","."),0))))</f>
        <v/>
      </c>
      <c r="AE3204" t="str">
        <f>IF(AA3204="","",'Procyfloc 4800'!J205)</f>
        <v/>
      </c>
      <c r="AF3204">
        <f t="shared" si="317"/>
        <v>0</v>
      </c>
      <c r="AG3204" t="str">
        <f t="shared" si="318"/>
        <v/>
      </c>
      <c r="AH3204" t="str">
        <f t="shared" si="319"/>
        <v/>
      </c>
      <c r="AI3204">
        <f t="shared" si="320"/>
        <v>0</v>
      </c>
      <c r="AJ3204">
        <f t="shared" si="321"/>
        <v>0</v>
      </c>
      <c r="AK3204">
        <v>0</v>
      </c>
      <c r="AL3204" t="str">
        <f>IF(AA3204="","",IFERROR(IF(ISNUMBER('Procyfloc 4800'!D205),'Procyfloc 4800'!D205,IF(ISNUMBER(SEARCH("12",'Procyfloc 4800'!D205)),EDATE(AB3204,12),IF(ISNUMBER(SEARCH("6",'Procyfloc 4800'!D205)),EDATE(AB3204,6),IF(ISNUMBER(SEARCH("3",'Procyfloc 4800'!D205)),EDATE(AB3204,3),DATEVALUE('Procyfloc 4800'!D205))))),""))</f>
        <v/>
      </c>
      <c r="AM3204" t="str">
        <f t="shared" ca="1" si="322"/>
        <v/>
      </c>
    </row>
    <row r="3205" spans="27:39" x14ac:dyDescent="0.3">
      <c r="AA3205" t="str">
        <f>IF(COUNTA('Procyfloc 4800'!A206,'Procyfloc 4800'!B206,'Procyfloc 4800'!C206)&gt;0,"4800","")</f>
        <v/>
      </c>
      <c r="AB3205" t="str">
        <f>IFERROR(IF(ISNUMBER('Procyfloc 4800'!A206),'Procyfloc 4800'!A206,DATEVALUE('Procyfloc 4800'!A206)),"")</f>
        <v/>
      </c>
      <c r="AC3205" t="str">
        <f>IF(AA3205="","",'Procyfloc 4800'!B206)</f>
        <v/>
      </c>
      <c r="AD3205" t="str">
        <f>IF(AA3205="","",IFERROR(1*'Procyfloc 4800'!C206,IFERROR(_xludf.NUMBERVALUE('Procyfloc 4800'!C206,".",","),IFERROR(_xludf.NUMBERVALUE('Procyfloc 4800'!C206,",","."),0))))</f>
        <v/>
      </c>
      <c r="AE3205" t="str">
        <f>IF(AA3205="","",'Procyfloc 4800'!J206)</f>
        <v/>
      </c>
      <c r="AF3205">
        <f t="shared" si="317"/>
        <v>0</v>
      </c>
      <c r="AG3205" t="str">
        <f t="shared" si="318"/>
        <v/>
      </c>
      <c r="AH3205" t="str">
        <f t="shared" si="319"/>
        <v/>
      </c>
      <c r="AI3205">
        <f t="shared" si="320"/>
        <v>0</v>
      </c>
      <c r="AJ3205">
        <f t="shared" si="321"/>
        <v>0</v>
      </c>
      <c r="AK3205">
        <v>0</v>
      </c>
      <c r="AL3205" t="str">
        <f>IF(AA3205="","",IFERROR(IF(ISNUMBER('Procyfloc 4800'!D206),'Procyfloc 4800'!D206,IF(ISNUMBER(SEARCH("12",'Procyfloc 4800'!D206)),EDATE(AB3205,12),IF(ISNUMBER(SEARCH("6",'Procyfloc 4800'!D206)),EDATE(AB3205,6),IF(ISNUMBER(SEARCH("3",'Procyfloc 4800'!D206)),EDATE(AB3205,3),DATEVALUE('Procyfloc 4800'!D206))))),""))</f>
        <v/>
      </c>
      <c r="AM3205" t="str">
        <f t="shared" ca="1" si="322"/>
        <v/>
      </c>
    </row>
    <row r="3206" spans="27:39" x14ac:dyDescent="0.3">
      <c r="AA3206" t="str">
        <f>IF(COUNTA('Procyfloc 4800'!A207,'Procyfloc 4800'!B207,'Procyfloc 4800'!C207)&gt;0,"4800","")</f>
        <v/>
      </c>
      <c r="AB3206" t="str">
        <f>IFERROR(IF(ISNUMBER('Procyfloc 4800'!A207),'Procyfloc 4800'!A207,DATEVALUE('Procyfloc 4800'!A207)),"")</f>
        <v/>
      </c>
      <c r="AC3206" t="str">
        <f>IF(AA3206="","",'Procyfloc 4800'!B207)</f>
        <v/>
      </c>
      <c r="AD3206" t="str">
        <f>IF(AA3206="","",IFERROR(1*'Procyfloc 4800'!C207,IFERROR(_xludf.NUMBERVALUE('Procyfloc 4800'!C207,".",","),IFERROR(_xludf.NUMBERVALUE('Procyfloc 4800'!C207,",","."),0))))</f>
        <v/>
      </c>
      <c r="AE3206" t="str">
        <f>IF(AA3206="","",'Procyfloc 4800'!J207)</f>
        <v/>
      </c>
      <c r="AF3206">
        <f t="shared" si="317"/>
        <v>0</v>
      </c>
      <c r="AG3206" t="str">
        <f t="shared" si="318"/>
        <v/>
      </c>
      <c r="AH3206" t="str">
        <f t="shared" si="319"/>
        <v/>
      </c>
      <c r="AI3206">
        <f t="shared" si="320"/>
        <v>0</v>
      </c>
      <c r="AJ3206">
        <f t="shared" si="321"/>
        <v>0</v>
      </c>
      <c r="AK3206">
        <v>0</v>
      </c>
      <c r="AL3206" t="str">
        <f>IF(AA3206="","",IFERROR(IF(ISNUMBER('Procyfloc 4800'!D207),'Procyfloc 4800'!D207,IF(ISNUMBER(SEARCH("12",'Procyfloc 4800'!D207)),EDATE(AB3206,12),IF(ISNUMBER(SEARCH("6",'Procyfloc 4800'!D207)),EDATE(AB3206,6),IF(ISNUMBER(SEARCH("3",'Procyfloc 4800'!D207)),EDATE(AB3206,3),DATEVALUE('Procyfloc 4800'!D207))))),""))</f>
        <v/>
      </c>
      <c r="AM3206" t="str">
        <f t="shared" ca="1" si="322"/>
        <v/>
      </c>
    </row>
    <row r="3207" spans="27:39" x14ac:dyDescent="0.3">
      <c r="AA3207" t="str">
        <f>IF(COUNTA('Procyfloc 4800'!A208,'Procyfloc 4800'!B208,'Procyfloc 4800'!C208)&gt;0,"4800","")</f>
        <v/>
      </c>
      <c r="AB3207" t="str">
        <f>IFERROR(IF(ISNUMBER('Procyfloc 4800'!A208),'Procyfloc 4800'!A208,DATEVALUE('Procyfloc 4800'!A208)),"")</f>
        <v/>
      </c>
      <c r="AC3207" t="str">
        <f>IF(AA3207="","",'Procyfloc 4800'!B208)</f>
        <v/>
      </c>
      <c r="AD3207" t="str">
        <f>IF(AA3207="","",IFERROR(1*'Procyfloc 4800'!C208,IFERROR(_xludf.NUMBERVALUE('Procyfloc 4800'!C208,".",","),IFERROR(_xludf.NUMBERVALUE('Procyfloc 4800'!C208,",","."),0))))</f>
        <v/>
      </c>
      <c r="AE3207" t="str">
        <f>IF(AA3207="","",'Procyfloc 4800'!J208)</f>
        <v/>
      </c>
      <c r="AF3207">
        <f t="shared" si="317"/>
        <v>0</v>
      </c>
      <c r="AG3207" t="str">
        <f t="shared" si="318"/>
        <v/>
      </c>
      <c r="AH3207" t="str">
        <f t="shared" si="319"/>
        <v/>
      </c>
      <c r="AI3207">
        <f t="shared" si="320"/>
        <v>0</v>
      </c>
      <c r="AJ3207">
        <f t="shared" si="321"/>
        <v>0</v>
      </c>
      <c r="AK3207">
        <v>0</v>
      </c>
      <c r="AL3207" t="str">
        <f>IF(AA3207="","",IFERROR(IF(ISNUMBER('Procyfloc 4800'!D208),'Procyfloc 4800'!D208,IF(ISNUMBER(SEARCH("12",'Procyfloc 4800'!D208)),EDATE(AB3207,12),IF(ISNUMBER(SEARCH("6",'Procyfloc 4800'!D208)),EDATE(AB3207,6),IF(ISNUMBER(SEARCH("3",'Procyfloc 4800'!D208)),EDATE(AB3207,3),DATEVALUE('Procyfloc 4800'!D208))))),""))</f>
        <v/>
      </c>
      <c r="AM3207" t="str">
        <f t="shared" ca="1" si="322"/>
        <v/>
      </c>
    </row>
    <row r="3208" spans="27:39" x14ac:dyDescent="0.3">
      <c r="AA3208" t="str">
        <f>IF(COUNTA('Procyfloc 4800'!A209,'Procyfloc 4800'!B209,'Procyfloc 4800'!C209)&gt;0,"4800","")</f>
        <v/>
      </c>
      <c r="AB3208" t="str">
        <f>IFERROR(IF(ISNUMBER('Procyfloc 4800'!A209),'Procyfloc 4800'!A209,DATEVALUE('Procyfloc 4800'!A209)),"")</f>
        <v/>
      </c>
      <c r="AC3208" t="str">
        <f>IF(AA3208="","",'Procyfloc 4800'!B209)</f>
        <v/>
      </c>
      <c r="AD3208" t="str">
        <f>IF(AA3208="","",IFERROR(1*'Procyfloc 4800'!C209,IFERROR(_xludf.NUMBERVALUE('Procyfloc 4800'!C209,".",","),IFERROR(_xludf.NUMBERVALUE('Procyfloc 4800'!C209,",","."),0))))</f>
        <v/>
      </c>
      <c r="AE3208" t="str">
        <f>IF(AA3208="","",'Procyfloc 4800'!J209)</f>
        <v/>
      </c>
      <c r="AF3208">
        <f t="shared" si="317"/>
        <v>0</v>
      </c>
      <c r="AG3208" t="str">
        <f t="shared" si="318"/>
        <v/>
      </c>
      <c r="AH3208" t="str">
        <f t="shared" si="319"/>
        <v/>
      </c>
      <c r="AI3208">
        <f t="shared" si="320"/>
        <v>0</v>
      </c>
      <c r="AJ3208">
        <f t="shared" si="321"/>
        <v>0</v>
      </c>
      <c r="AK3208">
        <v>0</v>
      </c>
      <c r="AL3208" t="str">
        <f>IF(AA3208="","",IFERROR(IF(ISNUMBER('Procyfloc 4800'!D209),'Procyfloc 4800'!D209,IF(ISNUMBER(SEARCH("12",'Procyfloc 4800'!D209)),EDATE(AB3208,12),IF(ISNUMBER(SEARCH("6",'Procyfloc 4800'!D209)),EDATE(AB3208,6),IF(ISNUMBER(SEARCH("3",'Procyfloc 4800'!D209)),EDATE(AB3208,3),DATEVALUE('Procyfloc 4800'!D209))))),""))</f>
        <v/>
      </c>
      <c r="AM3208" t="str">
        <f t="shared" ca="1" si="322"/>
        <v/>
      </c>
    </row>
    <row r="3209" spans="27:39" x14ac:dyDescent="0.3">
      <c r="AA3209" t="str">
        <f>IF(COUNTA('Procyfloc 4800'!A210,'Procyfloc 4800'!B210,'Procyfloc 4800'!C210)&gt;0,"4800","")</f>
        <v/>
      </c>
      <c r="AB3209" t="str">
        <f>IFERROR(IF(ISNUMBER('Procyfloc 4800'!A210),'Procyfloc 4800'!A210,DATEVALUE('Procyfloc 4800'!A210)),"")</f>
        <v/>
      </c>
      <c r="AC3209" t="str">
        <f>IF(AA3209="","",'Procyfloc 4800'!B210)</f>
        <v/>
      </c>
      <c r="AD3209" t="str">
        <f>IF(AA3209="","",IFERROR(1*'Procyfloc 4800'!C210,IFERROR(_xludf.NUMBERVALUE('Procyfloc 4800'!C210,".",","),IFERROR(_xludf.NUMBERVALUE('Procyfloc 4800'!C210,",","."),0))))</f>
        <v/>
      </c>
      <c r="AE3209" t="str">
        <f>IF(AA3209="","",'Procyfloc 4800'!J210)</f>
        <v/>
      </c>
      <c r="AF3209">
        <f t="shared" si="317"/>
        <v>0</v>
      </c>
      <c r="AG3209" t="str">
        <f t="shared" si="318"/>
        <v/>
      </c>
      <c r="AH3209" t="str">
        <f t="shared" si="319"/>
        <v/>
      </c>
      <c r="AI3209">
        <f t="shared" si="320"/>
        <v>0</v>
      </c>
      <c r="AJ3209">
        <f t="shared" si="321"/>
        <v>0</v>
      </c>
      <c r="AK3209">
        <v>0</v>
      </c>
      <c r="AL3209" t="str">
        <f>IF(AA3209="","",IFERROR(IF(ISNUMBER('Procyfloc 4800'!D210),'Procyfloc 4800'!D210,IF(ISNUMBER(SEARCH("12",'Procyfloc 4800'!D210)),EDATE(AB3209,12),IF(ISNUMBER(SEARCH("6",'Procyfloc 4800'!D210)),EDATE(AB3209,6),IF(ISNUMBER(SEARCH("3",'Procyfloc 4800'!D210)),EDATE(AB3209,3),DATEVALUE('Procyfloc 4800'!D210))))),""))</f>
        <v/>
      </c>
      <c r="AM3209" t="str">
        <f t="shared" ca="1" si="322"/>
        <v/>
      </c>
    </row>
    <row r="3210" spans="27:39" x14ac:dyDescent="0.3">
      <c r="AA3210" t="str">
        <f>IF(COUNTA('Procyfloc 4800'!A211,'Procyfloc 4800'!B211,'Procyfloc 4800'!C211)&gt;0,"4800","")</f>
        <v/>
      </c>
      <c r="AB3210" t="str">
        <f>IFERROR(IF(ISNUMBER('Procyfloc 4800'!A211),'Procyfloc 4800'!A211,DATEVALUE('Procyfloc 4800'!A211)),"")</f>
        <v/>
      </c>
      <c r="AC3210" t="str">
        <f>IF(AA3210="","",'Procyfloc 4800'!B211)</f>
        <v/>
      </c>
      <c r="AD3210" t="str">
        <f>IF(AA3210="","",IFERROR(1*'Procyfloc 4800'!C211,IFERROR(_xludf.NUMBERVALUE('Procyfloc 4800'!C211,".",","),IFERROR(_xludf.NUMBERVALUE('Procyfloc 4800'!C211,",","."),0))))</f>
        <v/>
      </c>
      <c r="AE3210" t="str">
        <f>IF(AA3210="","",'Procyfloc 4800'!J211)</f>
        <v/>
      </c>
      <c r="AF3210">
        <f t="shared" si="317"/>
        <v>0</v>
      </c>
      <c r="AG3210" t="str">
        <f t="shared" si="318"/>
        <v/>
      </c>
      <c r="AH3210" t="str">
        <f t="shared" si="319"/>
        <v/>
      </c>
      <c r="AI3210">
        <f t="shared" si="320"/>
        <v>0</v>
      </c>
      <c r="AJ3210">
        <f t="shared" si="321"/>
        <v>0</v>
      </c>
      <c r="AK3210">
        <v>0</v>
      </c>
      <c r="AL3210" t="str">
        <f>IF(AA3210="","",IFERROR(IF(ISNUMBER('Procyfloc 4800'!D211),'Procyfloc 4800'!D211,IF(ISNUMBER(SEARCH("12",'Procyfloc 4800'!D211)),EDATE(AB3210,12),IF(ISNUMBER(SEARCH("6",'Procyfloc 4800'!D211)),EDATE(AB3210,6),IF(ISNUMBER(SEARCH("3",'Procyfloc 4800'!D211)),EDATE(AB3210,3),DATEVALUE('Procyfloc 4800'!D211))))),""))</f>
        <v/>
      </c>
      <c r="AM3210" t="str">
        <f t="shared" ca="1" si="322"/>
        <v/>
      </c>
    </row>
    <row r="3211" spans="27:39" x14ac:dyDescent="0.3">
      <c r="AA3211" t="str">
        <f>IF(COUNTA('Procyfloc 4800'!A212,'Procyfloc 4800'!B212,'Procyfloc 4800'!C212)&gt;0,"4800","")</f>
        <v/>
      </c>
      <c r="AB3211" t="str">
        <f>IFERROR(IF(ISNUMBER('Procyfloc 4800'!A212),'Procyfloc 4800'!A212,DATEVALUE('Procyfloc 4800'!A212)),"")</f>
        <v/>
      </c>
      <c r="AC3211" t="str">
        <f>IF(AA3211="","",'Procyfloc 4800'!B212)</f>
        <v/>
      </c>
      <c r="AD3211" t="str">
        <f>IF(AA3211="","",IFERROR(1*'Procyfloc 4800'!C212,IFERROR(_xludf.NUMBERVALUE('Procyfloc 4800'!C212,".",","),IFERROR(_xludf.NUMBERVALUE('Procyfloc 4800'!C212,",","."),0))))</f>
        <v/>
      </c>
      <c r="AE3211" t="str">
        <f>IF(AA3211="","",'Procyfloc 4800'!J212)</f>
        <v/>
      </c>
      <c r="AF3211">
        <f t="shared" si="317"/>
        <v>0</v>
      </c>
      <c r="AG3211" t="str">
        <f t="shared" si="318"/>
        <v/>
      </c>
      <c r="AH3211" t="str">
        <f t="shared" si="319"/>
        <v/>
      </c>
      <c r="AI3211">
        <f t="shared" si="320"/>
        <v>0</v>
      </c>
      <c r="AJ3211">
        <f t="shared" si="321"/>
        <v>0</v>
      </c>
      <c r="AK3211">
        <v>0</v>
      </c>
      <c r="AL3211" t="str">
        <f>IF(AA3211="","",IFERROR(IF(ISNUMBER('Procyfloc 4800'!D212),'Procyfloc 4800'!D212,IF(ISNUMBER(SEARCH("12",'Procyfloc 4800'!D212)),EDATE(AB3211,12),IF(ISNUMBER(SEARCH("6",'Procyfloc 4800'!D212)),EDATE(AB3211,6),IF(ISNUMBER(SEARCH("3",'Procyfloc 4800'!D212)),EDATE(AB3211,3),DATEVALUE('Procyfloc 4800'!D212))))),""))</f>
        <v/>
      </c>
      <c r="AM3211" t="str">
        <f t="shared" ca="1" si="322"/>
        <v/>
      </c>
    </row>
    <row r="3212" spans="27:39" x14ac:dyDescent="0.3">
      <c r="AA3212" t="str">
        <f>IF(COUNTA('Procyfloc 4800'!A213,'Procyfloc 4800'!B213,'Procyfloc 4800'!C213)&gt;0,"4800","")</f>
        <v/>
      </c>
      <c r="AB3212" t="str">
        <f>IFERROR(IF(ISNUMBER('Procyfloc 4800'!A213),'Procyfloc 4800'!A213,DATEVALUE('Procyfloc 4800'!A213)),"")</f>
        <v/>
      </c>
      <c r="AC3212" t="str">
        <f>IF(AA3212="","",'Procyfloc 4800'!B213)</f>
        <v/>
      </c>
      <c r="AD3212" t="str">
        <f>IF(AA3212="","",IFERROR(1*'Procyfloc 4800'!C213,IFERROR(_xludf.NUMBERVALUE('Procyfloc 4800'!C213,".",","),IFERROR(_xludf.NUMBERVALUE('Procyfloc 4800'!C213,",","."),0))))</f>
        <v/>
      </c>
      <c r="AE3212" t="str">
        <f>IF(AA3212="","",'Procyfloc 4800'!J213)</f>
        <v/>
      </c>
      <c r="AF3212">
        <f t="shared" si="317"/>
        <v>0</v>
      </c>
      <c r="AG3212" t="str">
        <f t="shared" si="318"/>
        <v/>
      </c>
      <c r="AH3212" t="str">
        <f t="shared" si="319"/>
        <v/>
      </c>
      <c r="AI3212">
        <f t="shared" si="320"/>
        <v>0</v>
      </c>
      <c r="AJ3212">
        <f t="shared" si="321"/>
        <v>0</v>
      </c>
      <c r="AK3212">
        <v>0</v>
      </c>
      <c r="AL3212" t="str">
        <f>IF(AA3212="","",IFERROR(IF(ISNUMBER('Procyfloc 4800'!D213),'Procyfloc 4800'!D213,IF(ISNUMBER(SEARCH("12",'Procyfloc 4800'!D213)),EDATE(AB3212,12),IF(ISNUMBER(SEARCH("6",'Procyfloc 4800'!D213)),EDATE(AB3212,6),IF(ISNUMBER(SEARCH("3",'Procyfloc 4800'!D213)),EDATE(AB3212,3),DATEVALUE('Procyfloc 4800'!D213))))),""))</f>
        <v/>
      </c>
      <c r="AM3212" t="str">
        <f t="shared" ca="1" si="322"/>
        <v/>
      </c>
    </row>
    <row r="3213" spans="27:39" x14ac:dyDescent="0.3">
      <c r="AA3213" t="str">
        <f>IF(COUNTA('Procyfloc 4800'!A214,'Procyfloc 4800'!B214,'Procyfloc 4800'!C214)&gt;0,"4800","")</f>
        <v/>
      </c>
      <c r="AB3213" t="str">
        <f>IFERROR(IF(ISNUMBER('Procyfloc 4800'!A214),'Procyfloc 4800'!A214,DATEVALUE('Procyfloc 4800'!A214)),"")</f>
        <v/>
      </c>
      <c r="AC3213" t="str">
        <f>IF(AA3213="","",'Procyfloc 4800'!B214)</f>
        <v/>
      </c>
      <c r="AD3213" t="str">
        <f>IF(AA3213="","",IFERROR(1*'Procyfloc 4800'!C214,IFERROR(_xludf.NUMBERVALUE('Procyfloc 4800'!C214,".",","),IFERROR(_xludf.NUMBERVALUE('Procyfloc 4800'!C214,",","."),0))))</f>
        <v/>
      </c>
      <c r="AE3213" t="str">
        <f>IF(AA3213="","",'Procyfloc 4800'!J214)</f>
        <v/>
      </c>
      <c r="AF3213">
        <f t="shared" si="317"/>
        <v>0</v>
      </c>
      <c r="AG3213" t="str">
        <f t="shared" si="318"/>
        <v/>
      </c>
      <c r="AH3213" t="str">
        <f t="shared" si="319"/>
        <v/>
      </c>
      <c r="AI3213">
        <f t="shared" si="320"/>
        <v>0</v>
      </c>
      <c r="AJ3213">
        <f t="shared" si="321"/>
        <v>0</v>
      </c>
      <c r="AK3213">
        <v>0</v>
      </c>
      <c r="AL3213" t="str">
        <f>IF(AA3213="","",IFERROR(IF(ISNUMBER('Procyfloc 4800'!D214),'Procyfloc 4800'!D214,IF(ISNUMBER(SEARCH("12",'Procyfloc 4800'!D214)),EDATE(AB3213,12),IF(ISNUMBER(SEARCH("6",'Procyfloc 4800'!D214)),EDATE(AB3213,6),IF(ISNUMBER(SEARCH("3",'Procyfloc 4800'!D214)),EDATE(AB3213,3),DATEVALUE('Procyfloc 4800'!D214))))),""))</f>
        <v/>
      </c>
      <c r="AM3213" t="str">
        <f t="shared" ca="1" si="322"/>
        <v/>
      </c>
    </row>
    <row r="3214" spans="27:39" x14ac:dyDescent="0.3">
      <c r="AA3214" t="str">
        <f>IF(COUNTA('Procyfloc 4800'!A215,'Procyfloc 4800'!B215,'Procyfloc 4800'!C215)&gt;0,"4800","")</f>
        <v/>
      </c>
      <c r="AB3214" t="str">
        <f>IFERROR(IF(ISNUMBER('Procyfloc 4800'!A215),'Procyfloc 4800'!A215,DATEVALUE('Procyfloc 4800'!A215)),"")</f>
        <v/>
      </c>
      <c r="AC3214" t="str">
        <f>IF(AA3214="","",'Procyfloc 4800'!B215)</f>
        <v/>
      </c>
      <c r="AD3214" t="str">
        <f>IF(AA3214="","",IFERROR(1*'Procyfloc 4800'!C215,IFERROR(_xludf.NUMBERVALUE('Procyfloc 4800'!C215,".",","),IFERROR(_xludf.NUMBERVALUE('Procyfloc 4800'!C215,",","."),0))))</f>
        <v/>
      </c>
      <c r="AE3214" t="str">
        <f>IF(AA3214="","",'Procyfloc 4800'!J215)</f>
        <v/>
      </c>
      <c r="AF3214">
        <f t="shared" si="317"/>
        <v>0</v>
      </c>
      <c r="AG3214" t="str">
        <f t="shared" si="318"/>
        <v/>
      </c>
      <c r="AH3214" t="str">
        <f t="shared" si="319"/>
        <v/>
      </c>
      <c r="AI3214">
        <f t="shared" si="320"/>
        <v>0</v>
      </c>
      <c r="AJ3214">
        <f t="shared" si="321"/>
        <v>0</v>
      </c>
      <c r="AK3214">
        <v>0</v>
      </c>
      <c r="AL3214" t="str">
        <f>IF(AA3214="","",IFERROR(IF(ISNUMBER('Procyfloc 4800'!D215),'Procyfloc 4800'!D215,IF(ISNUMBER(SEARCH("12",'Procyfloc 4800'!D215)),EDATE(AB3214,12),IF(ISNUMBER(SEARCH("6",'Procyfloc 4800'!D215)),EDATE(AB3214,6),IF(ISNUMBER(SEARCH("3",'Procyfloc 4800'!D215)),EDATE(AB3214,3),DATEVALUE('Procyfloc 4800'!D215))))),""))</f>
        <v/>
      </c>
      <c r="AM3214" t="str">
        <f t="shared" ca="1" si="322"/>
        <v/>
      </c>
    </row>
    <row r="3215" spans="27:39" x14ac:dyDescent="0.3">
      <c r="AA3215" t="str">
        <f>IF(COUNTA('Procyfloc 4800'!A216,'Procyfloc 4800'!B216,'Procyfloc 4800'!C216)&gt;0,"4800","")</f>
        <v/>
      </c>
      <c r="AB3215" t="str">
        <f>IFERROR(IF(ISNUMBER('Procyfloc 4800'!A216),'Procyfloc 4800'!A216,DATEVALUE('Procyfloc 4800'!A216)),"")</f>
        <v/>
      </c>
      <c r="AC3215" t="str">
        <f>IF(AA3215="","",'Procyfloc 4800'!B216)</f>
        <v/>
      </c>
      <c r="AD3215" t="str">
        <f>IF(AA3215="","",IFERROR(1*'Procyfloc 4800'!C216,IFERROR(_xludf.NUMBERVALUE('Procyfloc 4800'!C216,".",","),IFERROR(_xludf.NUMBERVALUE('Procyfloc 4800'!C216,",","."),0))))</f>
        <v/>
      </c>
      <c r="AE3215" t="str">
        <f>IF(AA3215="","",'Procyfloc 4800'!J216)</f>
        <v/>
      </c>
      <c r="AF3215">
        <f t="shared" si="317"/>
        <v>0</v>
      </c>
      <c r="AG3215" t="str">
        <f t="shared" si="318"/>
        <v/>
      </c>
      <c r="AH3215" t="str">
        <f t="shared" si="319"/>
        <v/>
      </c>
      <c r="AI3215">
        <f t="shared" si="320"/>
        <v>0</v>
      </c>
      <c r="AJ3215">
        <f t="shared" si="321"/>
        <v>0</v>
      </c>
      <c r="AK3215">
        <v>0</v>
      </c>
      <c r="AL3215" t="str">
        <f>IF(AA3215="","",IFERROR(IF(ISNUMBER('Procyfloc 4800'!D216),'Procyfloc 4800'!D216,IF(ISNUMBER(SEARCH("12",'Procyfloc 4800'!D216)),EDATE(AB3215,12),IF(ISNUMBER(SEARCH("6",'Procyfloc 4800'!D216)),EDATE(AB3215,6),IF(ISNUMBER(SEARCH("3",'Procyfloc 4800'!D216)),EDATE(AB3215,3),DATEVALUE('Procyfloc 4800'!D216))))),""))</f>
        <v/>
      </c>
      <c r="AM3215" t="str">
        <f t="shared" ca="1" si="322"/>
        <v/>
      </c>
    </row>
    <row r="3216" spans="27:39" x14ac:dyDescent="0.3">
      <c r="AA3216" t="str">
        <f>IF(COUNTA('Procyfloc 4800'!A217,'Procyfloc 4800'!B217,'Procyfloc 4800'!C217)&gt;0,"4800","")</f>
        <v/>
      </c>
      <c r="AB3216" t="str">
        <f>IFERROR(IF(ISNUMBER('Procyfloc 4800'!A217),'Procyfloc 4800'!A217,DATEVALUE('Procyfloc 4800'!A217)),"")</f>
        <v/>
      </c>
      <c r="AC3216" t="str">
        <f>IF(AA3216="","",'Procyfloc 4800'!B217)</f>
        <v/>
      </c>
      <c r="AD3216" t="str">
        <f>IF(AA3216="","",IFERROR(1*'Procyfloc 4800'!C217,IFERROR(_xludf.NUMBERVALUE('Procyfloc 4800'!C217,".",","),IFERROR(_xludf.NUMBERVALUE('Procyfloc 4800'!C217,",","."),0))))</f>
        <v/>
      </c>
      <c r="AE3216" t="str">
        <f>IF(AA3216="","",'Procyfloc 4800'!J217)</f>
        <v/>
      </c>
      <c r="AF3216">
        <f t="shared" si="317"/>
        <v>0</v>
      </c>
      <c r="AG3216" t="str">
        <f t="shared" si="318"/>
        <v/>
      </c>
      <c r="AH3216" t="str">
        <f t="shared" si="319"/>
        <v/>
      </c>
      <c r="AI3216">
        <f t="shared" si="320"/>
        <v>0</v>
      </c>
      <c r="AJ3216">
        <f t="shared" si="321"/>
        <v>0</v>
      </c>
      <c r="AK3216">
        <v>0</v>
      </c>
      <c r="AL3216" t="str">
        <f>IF(AA3216="","",IFERROR(IF(ISNUMBER('Procyfloc 4800'!D217),'Procyfloc 4800'!D217,IF(ISNUMBER(SEARCH("12",'Procyfloc 4800'!D217)),EDATE(AB3216,12),IF(ISNUMBER(SEARCH("6",'Procyfloc 4800'!D217)),EDATE(AB3216,6),IF(ISNUMBER(SEARCH("3",'Procyfloc 4800'!D217)),EDATE(AB3216,3),DATEVALUE('Procyfloc 4800'!D217))))),""))</f>
        <v/>
      </c>
      <c r="AM3216" t="str">
        <f t="shared" ca="1" si="322"/>
        <v/>
      </c>
    </row>
    <row r="3217" spans="27:39" x14ac:dyDescent="0.3">
      <c r="AA3217" t="str">
        <f>IF(COUNTA('Procyfloc 4800'!A218,'Procyfloc 4800'!B218,'Procyfloc 4800'!C218)&gt;0,"4800","")</f>
        <v/>
      </c>
      <c r="AB3217" t="str">
        <f>IFERROR(IF(ISNUMBER('Procyfloc 4800'!A218),'Procyfloc 4800'!A218,DATEVALUE('Procyfloc 4800'!A218)),"")</f>
        <v/>
      </c>
      <c r="AC3217" t="str">
        <f>IF(AA3217="","",'Procyfloc 4800'!B218)</f>
        <v/>
      </c>
      <c r="AD3217" t="str">
        <f>IF(AA3217="","",IFERROR(1*'Procyfloc 4800'!C218,IFERROR(_xludf.NUMBERVALUE('Procyfloc 4800'!C218,".",","),IFERROR(_xludf.NUMBERVALUE('Procyfloc 4800'!C218,",","."),0))))</f>
        <v/>
      </c>
      <c r="AE3217" t="str">
        <f>IF(AA3217="","",'Procyfloc 4800'!J218)</f>
        <v/>
      </c>
      <c r="AF3217">
        <f t="shared" si="317"/>
        <v>0</v>
      </c>
      <c r="AG3217" t="str">
        <f t="shared" si="318"/>
        <v/>
      </c>
      <c r="AH3217" t="str">
        <f t="shared" si="319"/>
        <v/>
      </c>
      <c r="AI3217">
        <f t="shared" si="320"/>
        <v>0</v>
      </c>
      <c r="AJ3217">
        <f t="shared" si="321"/>
        <v>0</v>
      </c>
      <c r="AK3217">
        <v>0</v>
      </c>
      <c r="AL3217" t="str">
        <f>IF(AA3217="","",IFERROR(IF(ISNUMBER('Procyfloc 4800'!D218),'Procyfloc 4800'!D218,IF(ISNUMBER(SEARCH("12",'Procyfloc 4800'!D218)),EDATE(AB3217,12),IF(ISNUMBER(SEARCH("6",'Procyfloc 4800'!D218)),EDATE(AB3217,6),IF(ISNUMBER(SEARCH("3",'Procyfloc 4800'!D218)),EDATE(AB3217,3),DATEVALUE('Procyfloc 4800'!D218))))),""))</f>
        <v/>
      </c>
      <c r="AM3217" t="str">
        <f t="shared" ca="1" si="322"/>
        <v/>
      </c>
    </row>
    <row r="3218" spans="27:39" x14ac:dyDescent="0.3">
      <c r="AA3218" t="str">
        <f>IF(COUNTA('Procyfloc 4800'!A219,'Procyfloc 4800'!B219,'Procyfloc 4800'!C219)&gt;0,"4800","")</f>
        <v/>
      </c>
      <c r="AB3218" t="str">
        <f>IFERROR(IF(ISNUMBER('Procyfloc 4800'!A219),'Procyfloc 4800'!A219,DATEVALUE('Procyfloc 4800'!A219)),"")</f>
        <v/>
      </c>
      <c r="AC3218" t="str">
        <f>IF(AA3218="","",'Procyfloc 4800'!B219)</f>
        <v/>
      </c>
      <c r="AD3218" t="str">
        <f>IF(AA3218="","",IFERROR(1*'Procyfloc 4800'!C219,IFERROR(_xludf.NUMBERVALUE('Procyfloc 4800'!C219,".",","),IFERROR(_xludf.NUMBERVALUE('Procyfloc 4800'!C219,",","."),0))))</f>
        <v/>
      </c>
      <c r="AE3218" t="str">
        <f>IF(AA3218="","",'Procyfloc 4800'!J219)</f>
        <v/>
      </c>
      <c r="AF3218">
        <f t="shared" si="317"/>
        <v>0</v>
      </c>
      <c r="AG3218" t="str">
        <f t="shared" si="318"/>
        <v/>
      </c>
      <c r="AH3218" t="str">
        <f t="shared" si="319"/>
        <v/>
      </c>
      <c r="AI3218">
        <f t="shared" si="320"/>
        <v>0</v>
      </c>
      <c r="AJ3218">
        <f t="shared" si="321"/>
        <v>0</v>
      </c>
      <c r="AK3218">
        <v>0</v>
      </c>
      <c r="AL3218" t="str">
        <f>IF(AA3218="","",IFERROR(IF(ISNUMBER('Procyfloc 4800'!D219),'Procyfloc 4800'!D219,IF(ISNUMBER(SEARCH("12",'Procyfloc 4800'!D219)),EDATE(AB3218,12),IF(ISNUMBER(SEARCH("6",'Procyfloc 4800'!D219)),EDATE(AB3218,6),IF(ISNUMBER(SEARCH("3",'Procyfloc 4800'!D219)),EDATE(AB3218,3),DATEVALUE('Procyfloc 4800'!D219))))),""))</f>
        <v/>
      </c>
      <c r="AM3218" t="str">
        <f t="shared" ca="1" si="322"/>
        <v/>
      </c>
    </row>
    <row r="3219" spans="27:39" x14ac:dyDescent="0.3">
      <c r="AA3219" t="str">
        <f>IF(COUNTA('Procyfloc 4800'!A220,'Procyfloc 4800'!B220,'Procyfloc 4800'!C220)&gt;0,"4800","")</f>
        <v/>
      </c>
      <c r="AB3219" t="str">
        <f>IFERROR(IF(ISNUMBER('Procyfloc 4800'!A220),'Procyfloc 4800'!A220,DATEVALUE('Procyfloc 4800'!A220)),"")</f>
        <v/>
      </c>
      <c r="AC3219" t="str">
        <f>IF(AA3219="","",'Procyfloc 4800'!B220)</f>
        <v/>
      </c>
      <c r="AD3219" t="str">
        <f>IF(AA3219="","",IFERROR(1*'Procyfloc 4800'!C220,IFERROR(_xludf.NUMBERVALUE('Procyfloc 4800'!C220,".",","),IFERROR(_xludf.NUMBERVALUE('Procyfloc 4800'!C220,",","."),0))))</f>
        <v/>
      </c>
      <c r="AE3219" t="str">
        <f>IF(AA3219="","",'Procyfloc 4800'!J220)</f>
        <v/>
      </c>
      <c r="AF3219">
        <f t="shared" si="317"/>
        <v>0</v>
      </c>
      <c r="AG3219" t="str">
        <f t="shared" si="318"/>
        <v/>
      </c>
      <c r="AH3219" t="str">
        <f t="shared" si="319"/>
        <v/>
      </c>
      <c r="AI3219">
        <f t="shared" si="320"/>
        <v>0</v>
      </c>
      <c r="AJ3219">
        <f t="shared" si="321"/>
        <v>0</v>
      </c>
      <c r="AK3219">
        <v>0</v>
      </c>
      <c r="AL3219" t="str">
        <f>IF(AA3219="","",IFERROR(IF(ISNUMBER('Procyfloc 4800'!D220),'Procyfloc 4800'!D220,IF(ISNUMBER(SEARCH("12",'Procyfloc 4800'!D220)),EDATE(AB3219,12),IF(ISNUMBER(SEARCH("6",'Procyfloc 4800'!D220)),EDATE(AB3219,6),IF(ISNUMBER(SEARCH("3",'Procyfloc 4800'!D220)),EDATE(AB3219,3),DATEVALUE('Procyfloc 4800'!D220))))),""))</f>
        <v/>
      </c>
      <c r="AM3219" t="str">
        <f t="shared" ca="1" si="322"/>
        <v/>
      </c>
    </row>
    <row r="3220" spans="27:39" x14ac:dyDescent="0.3">
      <c r="AA3220" t="str">
        <f>IF(COUNTA('Procyfloc 4800'!A221,'Procyfloc 4800'!B221,'Procyfloc 4800'!C221)&gt;0,"4800","")</f>
        <v/>
      </c>
      <c r="AB3220" t="str">
        <f>IFERROR(IF(ISNUMBER('Procyfloc 4800'!A221),'Procyfloc 4800'!A221,DATEVALUE('Procyfloc 4800'!A221)),"")</f>
        <v/>
      </c>
      <c r="AC3220" t="str">
        <f>IF(AA3220="","",'Procyfloc 4800'!B221)</f>
        <v/>
      </c>
      <c r="AD3220" t="str">
        <f>IF(AA3220="","",IFERROR(1*'Procyfloc 4800'!C221,IFERROR(_xludf.NUMBERVALUE('Procyfloc 4800'!C221,".",","),IFERROR(_xludf.NUMBERVALUE('Procyfloc 4800'!C221,",","."),0))))</f>
        <v/>
      </c>
      <c r="AE3220" t="str">
        <f>IF(AA3220="","",'Procyfloc 4800'!J221)</f>
        <v/>
      </c>
      <c r="AF3220">
        <f t="shared" si="317"/>
        <v>0</v>
      </c>
      <c r="AG3220" t="str">
        <f t="shared" si="318"/>
        <v/>
      </c>
      <c r="AH3220" t="str">
        <f t="shared" si="319"/>
        <v/>
      </c>
      <c r="AI3220">
        <f t="shared" si="320"/>
        <v>0</v>
      </c>
      <c r="AJ3220">
        <f t="shared" si="321"/>
        <v>0</v>
      </c>
      <c r="AK3220">
        <v>0</v>
      </c>
      <c r="AL3220" t="str">
        <f>IF(AA3220="","",IFERROR(IF(ISNUMBER('Procyfloc 4800'!D221),'Procyfloc 4800'!D221,IF(ISNUMBER(SEARCH("12",'Procyfloc 4800'!D221)),EDATE(AB3220,12),IF(ISNUMBER(SEARCH("6",'Procyfloc 4800'!D221)),EDATE(AB3220,6),IF(ISNUMBER(SEARCH("3",'Procyfloc 4800'!D221)),EDATE(AB3220,3),DATEVALUE('Procyfloc 4800'!D221))))),""))</f>
        <v/>
      </c>
      <c r="AM3220" t="str">
        <f t="shared" ca="1" si="322"/>
        <v/>
      </c>
    </row>
    <row r="3221" spans="27:39" x14ac:dyDescent="0.3">
      <c r="AA3221" t="str">
        <f>IF(COUNTA('Procyfloc 4800'!A222,'Procyfloc 4800'!B222,'Procyfloc 4800'!C222)&gt;0,"4800","")</f>
        <v/>
      </c>
      <c r="AB3221" t="str">
        <f>IFERROR(IF(ISNUMBER('Procyfloc 4800'!A222),'Procyfloc 4800'!A222,DATEVALUE('Procyfloc 4800'!A222)),"")</f>
        <v/>
      </c>
      <c r="AC3221" t="str">
        <f>IF(AA3221="","",'Procyfloc 4800'!B222)</f>
        <v/>
      </c>
      <c r="AD3221" t="str">
        <f>IF(AA3221="","",IFERROR(1*'Procyfloc 4800'!C222,IFERROR(_xludf.NUMBERVALUE('Procyfloc 4800'!C222,".",","),IFERROR(_xludf.NUMBERVALUE('Procyfloc 4800'!C222,",","."),0))))</f>
        <v/>
      </c>
      <c r="AE3221" t="str">
        <f>IF(AA3221="","",'Procyfloc 4800'!J222)</f>
        <v/>
      </c>
      <c r="AF3221">
        <f t="shared" si="317"/>
        <v>0</v>
      </c>
      <c r="AG3221" t="str">
        <f t="shared" si="318"/>
        <v/>
      </c>
      <c r="AH3221" t="str">
        <f t="shared" si="319"/>
        <v/>
      </c>
      <c r="AI3221">
        <f t="shared" si="320"/>
        <v>0</v>
      </c>
      <c r="AJ3221">
        <f t="shared" si="321"/>
        <v>0</v>
      </c>
      <c r="AK3221">
        <v>0</v>
      </c>
      <c r="AL3221" t="str">
        <f>IF(AA3221="","",IFERROR(IF(ISNUMBER('Procyfloc 4800'!D222),'Procyfloc 4800'!D222,IF(ISNUMBER(SEARCH("12",'Procyfloc 4800'!D222)),EDATE(AB3221,12),IF(ISNUMBER(SEARCH("6",'Procyfloc 4800'!D222)),EDATE(AB3221,6),IF(ISNUMBER(SEARCH("3",'Procyfloc 4800'!D222)),EDATE(AB3221,3),DATEVALUE('Procyfloc 4800'!D222))))),""))</f>
        <v/>
      </c>
      <c r="AM3221" t="str">
        <f t="shared" ca="1" si="322"/>
        <v/>
      </c>
    </row>
    <row r="3222" spans="27:39" x14ac:dyDescent="0.3">
      <c r="AA3222" t="str">
        <f>IF(COUNTA('Procyfloc 4800'!A223,'Procyfloc 4800'!B223,'Procyfloc 4800'!C223)&gt;0,"4800","")</f>
        <v/>
      </c>
      <c r="AB3222" t="str">
        <f>IFERROR(IF(ISNUMBER('Procyfloc 4800'!A223),'Procyfloc 4800'!A223,DATEVALUE('Procyfloc 4800'!A223)),"")</f>
        <v/>
      </c>
      <c r="AC3222" t="str">
        <f>IF(AA3222="","",'Procyfloc 4800'!B223)</f>
        <v/>
      </c>
      <c r="AD3222" t="str">
        <f>IF(AA3222="","",IFERROR(1*'Procyfloc 4800'!C223,IFERROR(_xludf.NUMBERVALUE('Procyfloc 4800'!C223,".",","),IFERROR(_xludf.NUMBERVALUE('Procyfloc 4800'!C223,",","."),0))))</f>
        <v/>
      </c>
      <c r="AE3222" t="str">
        <f>IF(AA3222="","",'Procyfloc 4800'!J223)</f>
        <v/>
      </c>
      <c r="AF3222">
        <f t="shared" si="317"/>
        <v>0</v>
      </c>
      <c r="AG3222" t="str">
        <f t="shared" si="318"/>
        <v/>
      </c>
      <c r="AH3222" t="str">
        <f t="shared" si="319"/>
        <v/>
      </c>
      <c r="AI3222">
        <f t="shared" si="320"/>
        <v>0</v>
      </c>
      <c r="AJ3222">
        <f t="shared" si="321"/>
        <v>0</v>
      </c>
      <c r="AK3222">
        <v>0</v>
      </c>
      <c r="AL3222" t="str">
        <f>IF(AA3222="","",IFERROR(IF(ISNUMBER('Procyfloc 4800'!D223),'Procyfloc 4800'!D223,IF(ISNUMBER(SEARCH("12",'Procyfloc 4800'!D223)),EDATE(AB3222,12),IF(ISNUMBER(SEARCH("6",'Procyfloc 4800'!D223)),EDATE(AB3222,6),IF(ISNUMBER(SEARCH("3",'Procyfloc 4800'!D223)),EDATE(AB3222,3),DATEVALUE('Procyfloc 4800'!D223))))),""))</f>
        <v/>
      </c>
      <c r="AM3222" t="str">
        <f t="shared" ca="1" si="322"/>
        <v/>
      </c>
    </row>
    <row r="3223" spans="27:39" x14ac:dyDescent="0.3">
      <c r="AA3223" t="str">
        <f>IF(COUNTA('Procyfloc 4800'!A224,'Procyfloc 4800'!B224,'Procyfloc 4800'!C224)&gt;0,"4800","")</f>
        <v/>
      </c>
      <c r="AB3223" t="str">
        <f>IFERROR(IF(ISNUMBER('Procyfloc 4800'!A224),'Procyfloc 4800'!A224,DATEVALUE('Procyfloc 4800'!A224)),"")</f>
        <v/>
      </c>
      <c r="AC3223" t="str">
        <f>IF(AA3223="","",'Procyfloc 4800'!B224)</f>
        <v/>
      </c>
      <c r="AD3223" t="str">
        <f>IF(AA3223="","",IFERROR(1*'Procyfloc 4800'!C224,IFERROR(_xludf.NUMBERVALUE('Procyfloc 4800'!C224,".",","),IFERROR(_xludf.NUMBERVALUE('Procyfloc 4800'!C224,",","."),0))))</f>
        <v/>
      </c>
      <c r="AE3223" t="str">
        <f>IF(AA3223="","",'Procyfloc 4800'!J224)</f>
        <v/>
      </c>
      <c r="AF3223">
        <f t="shared" si="317"/>
        <v>0</v>
      </c>
      <c r="AG3223" t="str">
        <f t="shared" si="318"/>
        <v/>
      </c>
      <c r="AH3223" t="str">
        <f t="shared" si="319"/>
        <v/>
      </c>
      <c r="AI3223">
        <f t="shared" si="320"/>
        <v>0</v>
      </c>
      <c r="AJ3223">
        <f t="shared" si="321"/>
        <v>0</v>
      </c>
      <c r="AK3223">
        <v>0</v>
      </c>
      <c r="AL3223" t="str">
        <f>IF(AA3223="","",IFERROR(IF(ISNUMBER('Procyfloc 4800'!D224),'Procyfloc 4800'!D224,IF(ISNUMBER(SEARCH("12",'Procyfloc 4800'!D224)),EDATE(AB3223,12),IF(ISNUMBER(SEARCH("6",'Procyfloc 4800'!D224)),EDATE(AB3223,6),IF(ISNUMBER(SEARCH("3",'Procyfloc 4800'!D224)),EDATE(AB3223,3),DATEVALUE('Procyfloc 4800'!D224))))),""))</f>
        <v/>
      </c>
      <c r="AM3223" t="str">
        <f t="shared" ca="1" si="322"/>
        <v/>
      </c>
    </row>
    <row r="3224" spans="27:39" x14ac:dyDescent="0.3">
      <c r="AA3224" t="str">
        <f>IF(COUNTA('Procyfloc 4800'!A225,'Procyfloc 4800'!B225,'Procyfloc 4800'!C225)&gt;0,"4800","")</f>
        <v/>
      </c>
      <c r="AB3224" t="str">
        <f>IFERROR(IF(ISNUMBER('Procyfloc 4800'!A225),'Procyfloc 4800'!A225,DATEVALUE('Procyfloc 4800'!A225)),"")</f>
        <v/>
      </c>
      <c r="AC3224" t="str">
        <f>IF(AA3224="","",'Procyfloc 4800'!B225)</f>
        <v/>
      </c>
      <c r="AD3224" t="str">
        <f>IF(AA3224="","",IFERROR(1*'Procyfloc 4800'!C225,IFERROR(_xludf.NUMBERVALUE('Procyfloc 4800'!C225,".",","),IFERROR(_xludf.NUMBERVALUE('Procyfloc 4800'!C225,",","."),0))))</f>
        <v/>
      </c>
      <c r="AE3224" t="str">
        <f>IF(AA3224="","",'Procyfloc 4800'!J225)</f>
        <v/>
      </c>
      <c r="AF3224">
        <f t="shared" si="317"/>
        <v>0</v>
      </c>
      <c r="AG3224" t="str">
        <f t="shared" si="318"/>
        <v/>
      </c>
      <c r="AH3224" t="str">
        <f t="shared" si="319"/>
        <v/>
      </c>
      <c r="AI3224">
        <f t="shared" si="320"/>
        <v>0</v>
      </c>
      <c r="AJ3224">
        <f t="shared" si="321"/>
        <v>0</v>
      </c>
      <c r="AK3224">
        <v>0</v>
      </c>
      <c r="AL3224" t="str">
        <f>IF(AA3224="","",IFERROR(IF(ISNUMBER('Procyfloc 4800'!D225),'Procyfloc 4800'!D225,IF(ISNUMBER(SEARCH("12",'Procyfloc 4800'!D225)),EDATE(AB3224,12),IF(ISNUMBER(SEARCH("6",'Procyfloc 4800'!D225)),EDATE(AB3224,6),IF(ISNUMBER(SEARCH("3",'Procyfloc 4800'!D225)),EDATE(AB3224,3),DATEVALUE('Procyfloc 4800'!D225))))),""))</f>
        <v/>
      </c>
      <c r="AM3224" t="str">
        <f t="shared" ca="1" si="322"/>
        <v/>
      </c>
    </row>
    <row r="3225" spans="27:39" x14ac:dyDescent="0.3">
      <c r="AA3225" t="str">
        <f>IF(COUNTA('Procyfloc 4800'!A226,'Procyfloc 4800'!B226,'Procyfloc 4800'!C226)&gt;0,"4800","")</f>
        <v/>
      </c>
      <c r="AB3225" t="str">
        <f>IFERROR(IF(ISNUMBER('Procyfloc 4800'!A226),'Procyfloc 4800'!A226,DATEVALUE('Procyfloc 4800'!A226)),"")</f>
        <v/>
      </c>
      <c r="AC3225" t="str">
        <f>IF(AA3225="","",'Procyfloc 4800'!B226)</f>
        <v/>
      </c>
      <c r="AD3225" t="str">
        <f>IF(AA3225="","",IFERROR(1*'Procyfloc 4800'!C226,IFERROR(_xludf.NUMBERVALUE('Procyfloc 4800'!C226,".",","),IFERROR(_xludf.NUMBERVALUE('Procyfloc 4800'!C226,",","."),0))))</f>
        <v/>
      </c>
      <c r="AE3225" t="str">
        <f>IF(AA3225="","",'Procyfloc 4800'!J226)</f>
        <v/>
      </c>
      <c r="AF3225">
        <f t="shared" si="317"/>
        <v>0</v>
      </c>
      <c r="AG3225" t="str">
        <f t="shared" si="318"/>
        <v/>
      </c>
      <c r="AH3225" t="str">
        <f t="shared" si="319"/>
        <v/>
      </c>
      <c r="AI3225">
        <f t="shared" si="320"/>
        <v>0</v>
      </c>
      <c r="AJ3225">
        <f t="shared" si="321"/>
        <v>0</v>
      </c>
      <c r="AK3225">
        <v>0</v>
      </c>
      <c r="AL3225" t="str">
        <f>IF(AA3225="","",IFERROR(IF(ISNUMBER('Procyfloc 4800'!D226),'Procyfloc 4800'!D226,IF(ISNUMBER(SEARCH("12",'Procyfloc 4800'!D226)),EDATE(AB3225,12),IF(ISNUMBER(SEARCH("6",'Procyfloc 4800'!D226)),EDATE(AB3225,6),IF(ISNUMBER(SEARCH("3",'Procyfloc 4800'!D226)),EDATE(AB3225,3),DATEVALUE('Procyfloc 4800'!D226))))),""))</f>
        <v/>
      </c>
      <c r="AM3225" t="str">
        <f t="shared" ca="1" si="322"/>
        <v/>
      </c>
    </row>
    <row r="3226" spans="27:39" x14ac:dyDescent="0.3">
      <c r="AA3226" t="str">
        <f>IF(COUNTA('Procyfloc 4800'!A227,'Procyfloc 4800'!B227,'Procyfloc 4800'!C227)&gt;0,"4800","")</f>
        <v/>
      </c>
      <c r="AB3226" t="str">
        <f>IFERROR(IF(ISNUMBER('Procyfloc 4800'!A227),'Procyfloc 4800'!A227,DATEVALUE('Procyfloc 4800'!A227)),"")</f>
        <v/>
      </c>
      <c r="AC3226" t="str">
        <f>IF(AA3226="","",'Procyfloc 4800'!B227)</f>
        <v/>
      </c>
      <c r="AD3226" t="str">
        <f>IF(AA3226="","",IFERROR(1*'Procyfloc 4800'!C227,IFERROR(_xludf.NUMBERVALUE('Procyfloc 4800'!C227,".",","),IFERROR(_xludf.NUMBERVALUE('Procyfloc 4800'!C227,",","."),0))))</f>
        <v/>
      </c>
      <c r="AE3226" t="str">
        <f>IF(AA3226="","",'Procyfloc 4800'!J227)</f>
        <v/>
      </c>
      <c r="AF3226">
        <f t="shared" si="317"/>
        <v>0</v>
      </c>
      <c r="AG3226" t="str">
        <f t="shared" si="318"/>
        <v/>
      </c>
      <c r="AH3226" t="str">
        <f t="shared" si="319"/>
        <v/>
      </c>
      <c r="AI3226">
        <f t="shared" si="320"/>
        <v>0</v>
      </c>
      <c r="AJ3226">
        <f t="shared" si="321"/>
        <v>0</v>
      </c>
      <c r="AK3226">
        <v>0</v>
      </c>
      <c r="AL3226" t="str">
        <f>IF(AA3226="","",IFERROR(IF(ISNUMBER('Procyfloc 4800'!D227),'Procyfloc 4800'!D227,IF(ISNUMBER(SEARCH("12",'Procyfloc 4800'!D227)),EDATE(AB3226,12),IF(ISNUMBER(SEARCH("6",'Procyfloc 4800'!D227)),EDATE(AB3226,6),IF(ISNUMBER(SEARCH("3",'Procyfloc 4800'!D227)),EDATE(AB3226,3),DATEVALUE('Procyfloc 4800'!D227))))),""))</f>
        <v/>
      </c>
      <c r="AM3226" t="str">
        <f t="shared" ca="1" si="322"/>
        <v/>
      </c>
    </row>
    <row r="3227" spans="27:39" x14ac:dyDescent="0.3">
      <c r="AA3227" t="str">
        <f>IF(COUNTA('Procyfloc 4800'!A228,'Procyfloc 4800'!B228,'Procyfloc 4800'!C228)&gt;0,"4800","")</f>
        <v/>
      </c>
      <c r="AB3227" t="str">
        <f>IFERROR(IF(ISNUMBER('Procyfloc 4800'!A228),'Procyfloc 4800'!A228,DATEVALUE('Procyfloc 4800'!A228)),"")</f>
        <v/>
      </c>
      <c r="AC3227" t="str">
        <f>IF(AA3227="","",'Procyfloc 4800'!B228)</f>
        <v/>
      </c>
      <c r="AD3227" t="str">
        <f>IF(AA3227="","",IFERROR(1*'Procyfloc 4800'!C228,IFERROR(_xludf.NUMBERVALUE('Procyfloc 4800'!C228,".",","),IFERROR(_xludf.NUMBERVALUE('Procyfloc 4800'!C228,",","."),0))))</f>
        <v/>
      </c>
      <c r="AE3227" t="str">
        <f>IF(AA3227="","",'Procyfloc 4800'!J228)</f>
        <v/>
      </c>
      <c r="AF3227">
        <f t="shared" si="317"/>
        <v>0</v>
      </c>
      <c r="AG3227" t="str">
        <f t="shared" si="318"/>
        <v/>
      </c>
      <c r="AH3227" t="str">
        <f t="shared" si="319"/>
        <v/>
      </c>
      <c r="AI3227">
        <f t="shared" si="320"/>
        <v>0</v>
      </c>
      <c r="AJ3227">
        <f t="shared" si="321"/>
        <v>0</v>
      </c>
      <c r="AK3227">
        <v>0</v>
      </c>
      <c r="AL3227" t="str">
        <f>IF(AA3227="","",IFERROR(IF(ISNUMBER('Procyfloc 4800'!D228),'Procyfloc 4800'!D228,IF(ISNUMBER(SEARCH("12",'Procyfloc 4800'!D228)),EDATE(AB3227,12),IF(ISNUMBER(SEARCH("6",'Procyfloc 4800'!D228)),EDATE(AB3227,6),IF(ISNUMBER(SEARCH("3",'Procyfloc 4800'!D228)),EDATE(AB3227,3),DATEVALUE('Procyfloc 4800'!D228))))),""))</f>
        <v/>
      </c>
      <c r="AM3227" t="str">
        <f t="shared" ca="1" si="322"/>
        <v/>
      </c>
    </row>
    <row r="3228" spans="27:39" x14ac:dyDescent="0.3">
      <c r="AA3228" t="str">
        <f>IF(COUNTA('Procyfloc 4800'!A229,'Procyfloc 4800'!B229,'Procyfloc 4800'!C229)&gt;0,"4800","")</f>
        <v/>
      </c>
      <c r="AB3228" t="str">
        <f>IFERROR(IF(ISNUMBER('Procyfloc 4800'!A229),'Procyfloc 4800'!A229,DATEVALUE('Procyfloc 4800'!A229)),"")</f>
        <v/>
      </c>
      <c r="AC3228" t="str">
        <f>IF(AA3228="","",'Procyfloc 4800'!B229)</f>
        <v/>
      </c>
      <c r="AD3228" t="str">
        <f>IF(AA3228="","",IFERROR(1*'Procyfloc 4800'!C229,IFERROR(_xludf.NUMBERVALUE('Procyfloc 4800'!C229,".",","),IFERROR(_xludf.NUMBERVALUE('Procyfloc 4800'!C229,",","."),0))))</f>
        <v/>
      </c>
      <c r="AE3228" t="str">
        <f>IF(AA3228="","",'Procyfloc 4800'!J229)</f>
        <v/>
      </c>
      <c r="AF3228">
        <f t="shared" si="317"/>
        <v>0</v>
      </c>
      <c r="AG3228" t="str">
        <f t="shared" si="318"/>
        <v/>
      </c>
      <c r="AH3228" t="str">
        <f t="shared" si="319"/>
        <v/>
      </c>
      <c r="AI3228">
        <f t="shared" si="320"/>
        <v>0</v>
      </c>
      <c r="AJ3228">
        <f t="shared" si="321"/>
        <v>0</v>
      </c>
      <c r="AK3228">
        <v>0</v>
      </c>
      <c r="AL3228" t="str">
        <f>IF(AA3228="","",IFERROR(IF(ISNUMBER('Procyfloc 4800'!D229),'Procyfloc 4800'!D229,IF(ISNUMBER(SEARCH("12",'Procyfloc 4800'!D229)),EDATE(AB3228,12),IF(ISNUMBER(SEARCH("6",'Procyfloc 4800'!D229)),EDATE(AB3228,6),IF(ISNUMBER(SEARCH("3",'Procyfloc 4800'!D229)),EDATE(AB3228,3),DATEVALUE('Procyfloc 4800'!D229))))),""))</f>
        <v/>
      </c>
      <c r="AM3228" t="str">
        <f t="shared" ca="1" si="322"/>
        <v/>
      </c>
    </row>
    <row r="3229" spans="27:39" x14ac:dyDescent="0.3">
      <c r="AA3229" t="str">
        <f>IF(COUNTA('Procyfloc 4800'!A230,'Procyfloc 4800'!B230,'Procyfloc 4800'!C230)&gt;0,"4800","")</f>
        <v/>
      </c>
      <c r="AB3229" t="str">
        <f>IFERROR(IF(ISNUMBER('Procyfloc 4800'!A230),'Procyfloc 4800'!A230,DATEVALUE('Procyfloc 4800'!A230)),"")</f>
        <v/>
      </c>
      <c r="AC3229" t="str">
        <f>IF(AA3229="","",'Procyfloc 4800'!B230)</f>
        <v/>
      </c>
      <c r="AD3229" t="str">
        <f>IF(AA3229="","",IFERROR(1*'Procyfloc 4800'!C230,IFERROR(_xludf.NUMBERVALUE('Procyfloc 4800'!C230,".",","),IFERROR(_xludf.NUMBERVALUE('Procyfloc 4800'!C230,",","."),0))))</f>
        <v/>
      </c>
      <c r="AE3229" t="str">
        <f>IF(AA3229="","",'Procyfloc 4800'!J230)</f>
        <v/>
      </c>
      <c r="AF3229">
        <f t="shared" si="317"/>
        <v>0</v>
      </c>
      <c r="AG3229" t="str">
        <f t="shared" si="318"/>
        <v/>
      </c>
      <c r="AH3229" t="str">
        <f t="shared" si="319"/>
        <v/>
      </c>
      <c r="AI3229">
        <f t="shared" si="320"/>
        <v>0</v>
      </c>
      <c r="AJ3229">
        <f t="shared" si="321"/>
        <v>0</v>
      </c>
      <c r="AK3229">
        <v>0</v>
      </c>
      <c r="AL3229" t="str">
        <f>IF(AA3229="","",IFERROR(IF(ISNUMBER('Procyfloc 4800'!D230),'Procyfloc 4800'!D230,IF(ISNUMBER(SEARCH("12",'Procyfloc 4800'!D230)),EDATE(AB3229,12),IF(ISNUMBER(SEARCH("6",'Procyfloc 4800'!D230)),EDATE(AB3229,6),IF(ISNUMBER(SEARCH("3",'Procyfloc 4800'!D230)),EDATE(AB3229,3),DATEVALUE('Procyfloc 4800'!D230))))),""))</f>
        <v/>
      </c>
      <c r="AM3229" t="str">
        <f t="shared" ca="1" si="322"/>
        <v/>
      </c>
    </row>
    <row r="3230" spans="27:39" x14ac:dyDescent="0.3">
      <c r="AA3230" t="str">
        <f>IF(COUNTA('Procyfloc 4800'!A231,'Procyfloc 4800'!B231,'Procyfloc 4800'!C231)&gt;0,"4800","")</f>
        <v/>
      </c>
      <c r="AB3230" t="str">
        <f>IFERROR(IF(ISNUMBER('Procyfloc 4800'!A231),'Procyfloc 4800'!A231,DATEVALUE('Procyfloc 4800'!A231)),"")</f>
        <v/>
      </c>
      <c r="AC3230" t="str">
        <f>IF(AA3230="","",'Procyfloc 4800'!B231)</f>
        <v/>
      </c>
      <c r="AD3230" t="str">
        <f>IF(AA3230="","",IFERROR(1*'Procyfloc 4800'!C231,IFERROR(_xludf.NUMBERVALUE('Procyfloc 4800'!C231,".",","),IFERROR(_xludf.NUMBERVALUE('Procyfloc 4800'!C231,",","."),0))))</f>
        <v/>
      </c>
      <c r="AE3230" t="str">
        <f>IF(AA3230="","",'Procyfloc 4800'!J231)</f>
        <v/>
      </c>
      <c r="AF3230">
        <f t="shared" si="317"/>
        <v>0</v>
      </c>
      <c r="AG3230" t="str">
        <f t="shared" si="318"/>
        <v/>
      </c>
      <c r="AH3230" t="str">
        <f t="shared" si="319"/>
        <v/>
      </c>
      <c r="AI3230">
        <f t="shared" si="320"/>
        <v>0</v>
      </c>
      <c r="AJ3230">
        <f t="shared" si="321"/>
        <v>0</v>
      </c>
      <c r="AK3230">
        <v>0</v>
      </c>
      <c r="AL3230" t="str">
        <f>IF(AA3230="","",IFERROR(IF(ISNUMBER('Procyfloc 4800'!D231),'Procyfloc 4800'!D231,IF(ISNUMBER(SEARCH("12",'Procyfloc 4800'!D231)),EDATE(AB3230,12),IF(ISNUMBER(SEARCH("6",'Procyfloc 4800'!D231)),EDATE(AB3230,6),IF(ISNUMBER(SEARCH("3",'Procyfloc 4800'!D231)),EDATE(AB3230,3),DATEVALUE('Procyfloc 4800'!D231))))),""))</f>
        <v/>
      </c>
      <c r="AM3230" t="str">
        <f t="shared" ca="1" si="322"/>
        <v/>
      </c>
    </row>
    <row r="3231" spans="27:39" x14ac:dyDescent="0.3">
      <c r="AA3231" t="str">
        <f>IF(COUNTA('Procyfloc 4800'!A232,'Procyfloc 4800'!B232,'Procyfloc 4800'!C232)&gt;0,"4800","")</f>
        <v/>
      </c>
      <c r="AB3231" t="str">
        <f>IFERROR(IF(ISNUMBER('Procyfloc 4800'!A232),'Procyfloc 4800'!A232,DATEVALUE('Procyfloc 4800'!A232)),"")</f>
        <v/>
      </c>
      <c r="AC3231" t="str">
        <f>IF(AA3231="","",'Procyfloc 4800'!B232)</f>
        <v/>
      </c>
      <c r="AD3231" t="str">
        <f>IF(AA3231="","",IFERROR(1*'Procyfloc 4800'!C232,IFERROR(_xludf.NUMBERVALUE('Procyfloc 4800'!C232,".",","),IFERROR(_xludf.NUMBERVALUE('Procyfloc 4800'!C232,",","."),0))))</f>
        <v/>
      </c>
      <c r="AE3231" t="str">
        <f>IF(AA3231="","",'Procyfloc 4800'!J232)</f>
        <v/>
      </c>
      <c r="AF3231">
        <f t="shared" si="317"/>
        <v>0</v>
      </c>
      <c r="AG3231" t="str">
        <f t="shared" si="318"/>
        <v/>
      </c>
      <c r="AH3231" t="str">
        <f t="shared" si="319"/>
        <v/>
      </c>
      <c r="AI3231">
        <f t="shared" si="320"/>
        <v>0</v>
      </c>
      <c r="AJ3231">
        <f t="shared" si="321"/>
        <v>0</v>
      </c>
      <c r="AK3231">
        <v>0</v>
      </c>
      <c r="AL3231" t="str">
        <f>IF(AA3231="","",IFERROR(IF(ISNUMBER('Procyfloc 4800'!D232),'Procyfloc 4800'!D232,IF(ISNUMBER(SEARCH("12",'Procyfloc 4800'!D232)),EDATE(AB3231,12),IF(ISNUMBER(SEARCH("6",'Procyfloc 4800'!D232)),EDATE(AB3231,6),IF(ISNUMBER(SEARCH("3",'Procyfloc 4800'!D232)),EDATE(AB3231,3),DATEVALUE('Procyfloc 4800'!D232))))),""))</f>
        <v/>
      </c>
      <c r="AM3231" t="str">
        <f t="shared" ca="1" si="322"/>
        <v/>
      </c>
    </row>
    <row r="3232" spans="27:39" x14ac:dyDescent="0.3">
      <c r="AA3232" t="str">
        <f>IF(COUNTA('Procyfloc 4800'!A233,'Procyfloc 4800'!B233,'Procyfloc 4800'!C233)&gt;0,"4800","")</f>
        <v/>
      </c>
      <c r="AB3232" t="str">
        <f>IFERROR(IF(ISNUMBER('Procyfloc 4800'!A233),'Procyfloc 4800'!A233,DATEVALUE('Procyfloc 4800'!A233)),"")</f>
        <v/>
      </c>
      <c r="AC3232" t="str">
        <f>IF(AA3232="","",'Procyfloc 4800'!B233)</f>
        <v/>
      </c>
      <c r="AD3232" t="str">
        <f>IF(AA3232="","",IFERROR(1*'Procyfloc 4800'!C233,IFERROR(_xludf.NUMBERVALUE('Procyfloc 4800'!C233,".",","),IFERROR(_xludf.NUMBERVALUE('Procyfloc 4800'!C233,",","."),0))))</f>
        <v/>
      </c>
      <c r="AE3232" t="str">
        <f>IF(AA3232="","",'Procyfloc 4800'!J233)</f>
        <v/>
      </c>
      <c r="AF3232">
        <f t="shared" si="317"/>
        <v>0</v>
      </c>
      <c r="AG3232" t="str">
        <f t="shared" si="318"/>
        <v/>
      </c>
      <c r="AH3232" t="str">
        <f t="shared" si="319"/>
        <v/>
      </c>
      <c r="AI3232">
        <f t="shared" si="320"/>
        <v>0</v>
      </c>
      <c r="AJ3232">
        <f t="shared" si="321"/>
        <v>0</v>
      </c>
      <c r="AK3232">
        <v>0</v>
      </c>
      <c r="AL3232" t="str">
        <f>IF(AA3232="","",IFERROR(IF(ISNUMBER('Procyfloc 4800'!D233),'Procyfloc 4800'!D233,IF(ISNUMBER(SEARCH("12",'Procyfloc 4800'!D233)),EDATE(AB3232,12),IF(ISNUMBER(SEARCH("6",'Procyfloc 4800'!D233)),EDATE(AB3232,6),IF(ISNUMBER(SEARCH("3",'Procyfloc 4800'!D233)),EDATE(AB3232,3),DATEVALUE('Procyfloc 4800'!D233))))),""))</f>
        <v/>
      </c>
      <c r="AM3232" t="str">
        <f t="shared" ca="1" si="322"/>
        <v/>
      </c>
    </row>
    <row r="3233" spans="27:39" x14ac:dyDescent="0.3">
      <c r="AA3233" t="str">
        <f>IF(COUNTA('Procyfloc 4800'!A234,'Procyfloc 4800'!B234,'Procyfloc 4800'!C234)&gt;0,"4800","")</f>
        <v/>
      </c>
      <c r="AB3233" t="str">
        <f>IFERROR(IF(ISNUMBER('Procyfloc 4800'!A234),'Procyfloc 4800'!A234,DATEVALUE('Procyfloc 4800'!A234)),"")</f>
        <v/>
      </c>
      <c r="AC3233" t="str">
        <f>IF(AA3233="","",'Procyfloc 4800'!B234)</f>
        <v/>
      </c>
      <c r="AD3233" t="str">
        <f>IF(AA3233="","",IFERROR(1*'Procyfloc 4800'!C234,IFERROR(_xludf.NUMBERVALUE('Procyfloc 4800'!C234,".",","),IFERROR(_xludf.NUMBERVALUE('Procyfloc 4800'!C234,",","."),0))))</f>
        <v/>
      </c>
      <c r="AE3233" t="str">
        <f>IF(AA3233="","",'Procyfloc 4800'!J234)</f>
        <v/>
      </c>
      <c r="AF3233">
        <f t="shared" si="317"/>
        <v>0</v>
      </c>
      <c r="AG3233" t="str">
        <f t="shared" si="318"/>
        <v/>
      </c>
      <c r="AH3233" t="str">
        <f t="shared" si="319"/>
        <v/>
      </c>
      <c r="AI3233">
        <f t="shared" si="320"/>
        <v>0</v>
      </c>
      <c r="AJ3233">
        <f t="shared" si="321"/>
        <v>0</v>
      </c>
      <c r="AK3233">
        <v>0</v>
      </c>
      <c r="AL3233" t="str">
        <f>IF(AA3233="","",IFERROR(IF(ISNUMBER('Procyfloc 4800'!D234),'Procyfloc 4800'!D234,IF(ISNUMBER(SEARCH("12",'Procyfloc 4800'!D234)),EDATE(AB3233,12),IF(ISNUMBER(SEARCH("6",'Procyfloc 4800'!D234)),EDATE(AB3233,6),IF(ISNUMBER(SEARCH("3",'Procyfloc 4800'!D234)),EDATE(AB3233,3),DATEVALUE('Procyfloc 4800'!D234))))),""))</f>
        <v/>
      </c>
      <c r="AM3233" t="str">
        <f t="shared" ca="1" si="322"/>
        <v/>
      </c>
    </row>
    <row r="3234" spans="27:39" x14ac:dyDescent="0.3">
      <c r="AA3234" t="str">
        <f>IF(COUNTA('Procyfloc 4800'!A235,'Procyfloc 4800'!B235,'Procyfloc 4800'!C235)&gt;0,"4800","")</f>
        <v/>
      </c>
      <c r="AB3234" t="str">
        <f>IFERROR(IF(ISNUMBER('Procyfloc 4800'!A235),'Procyfloc 4800'!A235,DATEVALUE('Procyfloc 4800'!A235)),"")</f>
        <v/>
      </c>
      <c r="AC3234" t="str">
        <f>IF(AA3234="","",'Procyfloc 4800'!B235)</f>
        <v/>
      </c>
      <c r="AD3234" t="str">
        <f>IF(AA3234="","",IFERROR(1*'Procyfloc 4800'!C235,IFERROR(_xludf.NUMBERVALUE('Procyfloc 4800'!C235,".",","),IFERROR(_xludf.NUMBERVALUE('Procyfloc 4800'!C235,",","."),0))))</f>
        <v/>
      </c>
      <c r="AE3234" t="str">
        <f>IF(AA3234="","",'Procyfloc 4800'!J235)</f>
        <v/>
      </c>
      <c r="AF3234">
        <f t="shared" si="317"/>
        <v>0</v>
      </c>
      <c r="AG3234" t="str">
        <f t="shared" si="318"/>
        <v/>
      </c>
      <c r="AH3234" t="str">
        <f t="shared" si="319"/>
        <v/>
      </c>
      <c r="AI3234">
        <f t="shared" si="320"/>
        <v>0</v>
      </c>
      <c r="AJ3234">
        <f t="shared" si="321"/>
        <v>0</v>
      </c>
      <c r="AK3234">
        <v>0</v>
      </c>
      <c r="AL3234" t="str">
        <f>IF(AA3234="","",IFERROR(IF(ISNUMBER('Procyfloc 4800'!D235),'Procyfloc 4800'!D235,IF(ISNUMBER(SEARCH("12",'Procyfloc 4800'!D235)),EDATE(AB3234,12),IF(ISNUMBER(SEARCH("6",'Procyfloc 4800'!D235)),EDATE(AB3234,6),IF(ISNUMBER(SEARCH("3",'Procyfloc 4800'!D235)),EDATE(AB3234,3),DATEVALUE('Procyfloc 4800'!D235))))),""))</f>
        <v/>
      </c>
      <c r="AM3234" t="str">
        <f t="shared" ca="1" si="322"/>
        <v/>
      </c>
    </row>
    <row r="3235" spans="27:39" x14ac:dyDescent="0.3">
      <c r="AA3235" t="str">
        <f>IF(COUNTA('Procyfloc 4800'!A236,'Procyfloc 4800'!B236,'Procyfloc 4800'!C236)&gt;0,"4800","")</f>
        <v/>
      </c>
      <c r="AB3235" t="str">
        <f>IFERROR(IF(ISNUMBER('Procyfloc 4800'!A236),'Procyfloc 4800'!A236,DATEVALUE('Procyfloc 4800'!A236)),"")</f>
        <v/>
      </c>
      <c r="AC3235" t="str">
        <f>IF(AA3235="","",'Procyfloc 4800'!B236)</f>
        <v/>
      </c>
      <c r="AD3235" t="str">
        <f>IF(AA3235="","",IFERROR(1*'Procyfloc 4800'!C236,IFERROR(_xludf.NUMBERVALUE('Procyfloc 4800'!C236,".",","),IFERROR(_xludf.NUMBERVALUE('Procyfloc 4800'!C236,",","."),0))))</f>
        <v/>
      </c>
      <c r="AE3235" t="str">
        <f>IF(AA3235="","",'Procyfloc 4800'!J236)</f>
        <v/>
      </c>
      <c r="AF3235">
        <f t="shared" si="317"/>
        <v>0</v>
      </c>
      <c r="AG3235" t="str">
        <f t="shared" si="318"/>
        <v/>
      </c>
      <c r="AH3235" t="str">
        <f t="shared" si="319"/>
        <v/>
      </c>
      <c r="AI3235">
        <f t="shared" si="320"/>
        <v>0</v>
      </c>
      <c r="AJ3235">
        <f t="shared" si="321"/>
        <v>0</v>
      </c>
      <c r="AK3235">
        <v>0</v>
      </c>
      <c r="AL3235" t="str">
        <f>IF(AA3235="","",IFERROR(IF(ISNUMBER('Procyfloc 4800'!D236),'Procyfloc 4800'!D236,IF(ISNUMBER(SEARCH("12",'Procyfloc 4800'!D236)),EDATE(AB3235,12),IF(ISNUMBER(SEARCH("6",'Procyfloc 4800'!D236)),EDATE(AB3235,6),IF(ISNUMBER(SEARCH("3",'Procyfloc 4800'!D236)),EDATE(AB3235,3),DATEVALUE('Procyfloc 4800'!D236))))),""))</f>
        <v/>
      </c>
      <c r="AM3235" t="str">
        <f t="shared" ca="1" si="322"/>
        <v/>
      </c>
    </row>
    <row r="3236" spans="27:39" x14ac:dyDescent="0.3">
      <c r="AA3236" t="str">
        <f>IF(COUNTA('Procyfloc 4800'!A237,'Procyfloc 4800'!B237,'Procyfloc 4800'!C237)&gt;0,"4800","")</f>
        <v/>
      </c>
      <c r="AB3236" t="str">
        <f>IFERROR(IF(ISNUMBER('Procyfloc 4800'!A237),'Procyfloc 4800'!A237,DATEVALUE('Procyfloc 4800'!A237)),"")</f>
        <v/>
      </c>
      <c r="AC3236" t="str">
        <f>IF(AA3236="","",'Procyfloc 4800'!B237)</f>
        <v/>
      </c>
      <c r="AD3236" t="str">
        <f>IF(AA3236="","",IFERROR(1*'Procyfloc 4800'!C237,IFERROR(_xludf.NUMBERVALUE('Procyfloc 4800'!C237,".",","),IFERROR(_xludf.NUMBERVALUE('Procyfloc 4800'!C237,",","."),0))))</f>
        <v/>
      </c>
      <c r="AE3236" t="str">
        <f>IF(AA3236="","",'Procyfloc 4800'!J237)</f>
        <v/>
      </c>
      <c r="AF3236">
        <f t="shared" si="317"/>
        <v>0</v>
      </c>
      <c r="AG3236" t="str">
        <f t="shared" si="318"/>
        <v/>
      </c>
      <c r="AH3236" t="str">
        <f t="shared" si="319"/>
        <v/>
      </c>
      <c r="AI3236">
        <f t="shared" si="320"/>
        <v>0</v>
      </c>
      <c r="AJ3236">
        <f t="shared" si="321"/>
        <v>0</v>
      </c>
      <c r="AK3236">
        <v>0</v>
      </c>
      <c r="AL3236" t="str">
        <f>IF(AA3236="","",IFERROR(IF(ISNUMBER('Procyfloc 4800'!D237),'Procyfloc 4800'!D237,IF(ISNUMBER(SEARCH("12",'Procyfloc 4800'!D237)),EDATE(AB3236,12),IF(ISNUMBER(SEARCH("6",'Procyfloc 4800'!D237)),EDATE(AB3236,6),IF(ISNUMBER(SEARCH("3",'Procyfloc 4800'!D237)),EDATE(AB3236,3),DATEVALUE('Procyfloc 4800'!D237))))),""))</f>
        <v/>
      </c>
      <c r="AM3236" t="str">
        <f t="shared" ca="1" si="322"/>
        <v/>
      </c>
    </row>
    <row r="3237" spans="27:39" x14ac:dyDescent="0.3">
      <c r="AA3237" t="str">
        <f>IF(COUNTA('Procyfloc 4800'!A238,'Procyfloc 4800'!B238,'Procyfloc 4800'!C238)&gt;0,"4800","")</f>
        <v/>
      </c>
      <c r="AB3237" t="str">
        <f>IFERROR(IF(ISNUMBER('Procyfloc 4800'!A238),'Procyfloc 4800'!A238,DATEVALUE('Procyfloc 4800'!A238)),"")</f>
        <v/>
      </c>
      <c r="AC3237" t="str">
        <f>IF(AA3237="","",'Procyfloc 4800'!B238)</f>
        <v/>
      </c>
      <c r="AD3237" t="str">
        <f>IF(AA3237="","",IFERROR(1*'Procyfloc 4800'!C238,IFERROR(_xludf.NUMBERVALUE('Procyfloc 4800'!C238,".",","),IFERROR(_xludf.NUMBERVALUE('Procyfloc 4800'!C238,",","."),0))))</f>
        <v/>
      </c>
      <c r="AE3237" t="str">
        <f>IF(AA3237="","",'Procyfloc 4800'!J238)</f>
        <v/>
      </c>
      <c r="AF3237">
        <f t="shared" si="317"/>
        <v>0</v>
      </c>
      <c r="AG3237" t="str">
        <f t="shared" si="318"/>
        <v/>
      </c>
      <c r="AH3237" t="str">
        <f t="shared" si="319"/>
        <v/>
      </c>
      <c r="AI3237">
        <f t="shared" si="320"/>
        <v>0</v>
      </c>
      <c r="AJ3237">
        <f t="shared" si="321"/>
        <v>0</v>
      </c>
      <c r="AK3237">
        <v>0</v>
      </c>
      <c r="AL3237" t="str">
        <f>IF(AA3237="","",IFERROR(IF(ISNUMBER('Procyfloc 4800'!D238),'Procyfloc 4800'!D238,IF(ISNUMBER(SEARCH("12",'Procyfloc 4800'!D238)),EDATE(AB3237,12),IF(ISNUMBER(SEARCH("6",'Procyfloc 4800'!D238)),EDATE(AB3237,6),IF(ISNUMBER(SEARCH("3",'Procyfloc 4800'!D238)),EDATE(AB3237,3),DATEVALUE('Procyfloc 4800'!D238))))),""))</f>
        <v/>
      </c>
      <c r="AM3237" t="str">
        <f t="shared" ca="1" si="322"/>
        <v/>
      </c>
    </row>
    <row r="3238" spans="27:39" x14ac:dyDescent="0.3">
      <c r="AA3238" t="str">
        <f>IF(COUNTA('Procyfloc 4800'!A239,'Procyfloc 4800'!B239,'Procyfloc 4800'!C239)&gt;0,"4800","")</f>
        <v/>
      </c>
      <c r="AB3238" t="str">
        <f>IFERROR(IF(ISNUMBER('Procyfloc 4800'!A239),'Procyfloc 4800'!A239,DATEVALUE('Procyfloc 4800'!A239)),"")</f>
        <v/>
      </c>
      <c r="AC3238" t="str">
        <f>IF(AA3238="","",'Procyfloc 4800'!B239)</f>
        <v/>
      </c>
      <c r="AD3238" t="str">
        <f>IF(AA3238="","",IFERROR(1*'Procyfloc 4800'!C239,IFERROR(_xludf.NUMBERVALUE('Procyfloc 4800'!C239,".",","),IFERROR(_xludf.NUMBERVALUE('Procyfloc 4800'!C239,",","."),0))))</f>
        <v/>
      </c>
      <c r="AE3238" t="str">
        <f>IF(AA3238="","",'Procyfloc 4800'!J239)</f>
        <v/>
      </c>
      <c r="AF3238">
        <f t="shared" si="317"/>
        <v>0</v>
      </c>
      <c r="AG3238" t="str">
        <f t="shared" si="318"/>
        <v/>
      </c>
      <c r="AH3238" t="str">
        <f t="shared" si="319"/>
        <v/>
      </c>
      <c r="AI3238">
        <f t="shared" si="320"/>
        <v>0</v>
      </c>
      <c r="AJ3238">
        <f t="shared" si="321"/>
        <v>0</v>
      </c>
      <c r="AK3238">
        <v>0</v>
      </c>
      <c r="AL3238" t="str">
        <f>IF(AA3238="","",IFERROR(IF(ISNUMBER('Procyfloc 4800'!D239),'Procyfloc 4800'!D239,IF(ISNUMBER(SEARCH("12",'Procyfloc 4800'!D239)),EDATE(AB3238,12),IF(ISNUMBER(SEARCH("6",'Procyfloc 4800'!D239)),EDATE(AB3238,6),IF(ISNUMBER(SEARCH("3",'Procyfloc 4800'!D239)),EDATE(AB3238,3),DATEVALUE('Procyfloc 4800'!D239))))),""))</f>
        <v/>
      </c>
      <c r="AM3238" t="str">
        <f t="shared" ca="1" si="322"/>
        <v/>
      </c>
    </row>
    <row r="3239" spans="27:39" x14ac:dyDescent="0.3">
      <c r="AA3239" t="str">
        <f>IF(COUNTA('Procyfloc 4800'!A240,'Procyfloc 4800'!B240,'Procyfloc 4800'!C240)&gt;0,"4800","")</f>
        <v/>
      </c>
      <c r="AB3239" t="str">
        <f>IFERROR(IF(ISNUMBER('Procyfloc 4800'!A240),'Procyfloc 4800'!A240,DATEVALUE('Procyfloc 4800'!A240)),"")</f>
        <v/>
      </c>
      <c r="AC3239" t="str">
        <f>IF(AA3239="","",'Procyfloc 4800'!B240)</f>
        <v/>
      </c>
      <c r="AD3239" t="str">
        <f>IF(AA3239="","",IFERROR(1*'Procyfloc 4800'!C240,IFERROR(_xludf.NUMBERVALUE('Procyfloc 4800'!C240,".",","),IFERROR(_xludf.NUMBERVALUE('Procyfloc 4800'!C240,",","."),0))))</f>
        <v/>
      </c>
      <c r="AE3239" t="str">
        <f>IF(AA3239="","",'Procyfloc 4800'!J240)</f>
        <v/>
      </c>
      <c r="AF3239">
        <f t="shared" si="317"/>
        <v>0</v>
      </c>
      <c r="AG3239" t="str">
        <f t="shared" si="318"/>
        <v/>
      </c>
      <c r="AH3239" t="str">
        <f t="shared" si="319"/>
        <v/>
      </c>
      <c r="AI3239">
        <f t="shared" si="320"/>
        <v>0</v>
      </c>
      <c r="AJ3239">
        <f t="shared" si="321"/>
        <v>0</v>
      </c>
      <c r="AK3239">
        <v>0</v>
      </c>
      <c r="AL3239" t="str">
        <f>IF(AA3239="","",IFERROR(IF(ISNUMBER('Procyfloc 4800'!D240),'Procyfloc 4800'!D240,IF(ISNUMBER(SEARCH("12",'Procyfloc 4800'!D240)),EDATE(AB3239,12),IF(ISNUMBER(SEARCH("6",'Procyfloc 4800'!D240)),EDATE(AB3239,6),IF(ISNUMBER(SEARCH("3",'Procyfloc 4800'!D240)),EDATE(AB3239,3),DATEVALUE('Procyfloc 4800'!D240))))),""))</f>
        <v/>
      </c>
      <c r="AM3239" t="str">
        <f t="shared" ca="1" si="322"/>
        <v/>
      </c>
    </row>
    <row r="3240" spans="27:39" x14ac:dyDescent="0.3">
      <c r="AA3240" t="str">
        <f>IF(COUNTA('Procyfloc 4800'!A241,'Procyfloc 4800'!B241,'Procyfloc 4800'!C241)&gt;0,"4800","")</f>
        <v/>
      </c>
      <c r="AB3240" t="str">
        <f>IFERROR(IF(ISNUMBER('Procyfloc 4800'!A241),'Procyfloc 4800'!A241,DATEVALUE('Procyfloc 4800'!A241)),"")</f>
        <v/>
      </c>
      <c r="AC3240" t="str">
        <f>IF(AA3240="","",'Procyfloc 4800'!B241)</f>
        <v/>
      </c>
      <c r="AD3240" t="str">
        <f>IF(AA3240="","",IFERROR(1*'Procyfloc 4800'!C241,IFERROR(_xludf.NUMBERVALUE('Procyfloc 4800'!C241,".",","),IFERROR(_xludf.NUMBERVALUE('Procyfloc 4800'!C241,",","."),0))))</f>
        <v/>
      </c>
      <c r="AE3240" t="str">
        <f>IF(AA3240="","",'Procyfloc 4800'!J241)</f>
        <v/>
      </c>
      <c r="AF3240">
        <f t="shared" si="317"/>
        <v>0</v>
      </c>
      <c r="AG3240" t="str">
        <f t="shared" si="318"/>
        <v/>
      </c>
      <c r="AH3240" t="str">
        <f t="shared" si="319"/>
        <v/>
      </c>
      <c r="AI3240">
        <f t="shared" si="320"/>
        <v>0</v>
      </c>
      <c r="AJ3240">
        <f t="shared" si="321"/>
        <v>0</v>
      </c>
      <c r="AK3240">
        <v>0</v>
      </c>
      <c r="AL3240" t="str">
        <f>IF(AA3240="","",IFERROR(IF(ISNUMBER('Procyfloc 4800'!D241),'Procyfloc 4800'!D241,IF(ISNUMBER(SEARCH("12",'Procyfloc 4800'!D241)),EDATE(AB3240,12),IF(ISNUMBER(SEARCH("6",'Procyfloc 4800'!D241)),EDATE(AB3240,6),IF(ISNUMBER(SEARCH("3",'Procyfloc 4800'!D241)),EDATE(AB3240,3),DATEVALUE('Procyfloc 4800'!D241))))),""))</f>
        <v/>
      </c>
      <c r="AM3240" t="str">
        <f t="shared" ca="1" si="322"/>
        <v/>
      </c>
    </row>
    <row r="3241" spans="27:39" x14ac:dyDescent="0.3">
      <c r="AA3241" t="str">
        <f>IF(COUNTA('Procyfloc 4800'!A242,'Procyfloc 4800'!B242,'Procyfloc 4800'!C242)&gt;0,"4800","")</f>
        <v/>
      </c>
      <c r="AB3241" t="str">
        <f>IFERROR(IF(ISNUMBER('Procyfloc 4800'!A242),'Procyfloc 4800'!A242,DATEVALUE('Procyfloc 4800'!A242)),"")</f>
        <v/>
      </c>
      <c r="AC3241" t="str">
        <f>IF(AA3241="","",'Procyfloc 4800'!B242)</f>
        <v/>
      </c>
      <c r="AD3241" t="str">
        <f>IF(AA3241="","",IFERROR(1*'Procyfloc 4800'!C242,IFERROR(_xludf.NUMBERVALUE('Procyfloc 4800'!C242,".",","),IFERROR(_xludf.NUMBERVALUE('Procyfloc 4800'!C242,",","."),0))))</f>
        <v/>
      </c>
      <c r="AE3241" t="str">
        <f>IF(AA3241="","",'Procyfloc 4800'!J242)</f>
        <v/>
      </c>
      <c r="AF3241">
        <f t="shared" si="317"/>
        <v>0</v>
      </c>
      <c r="AG3241" t="str">
        <f t="shared" si="318"/>
        <v/>
      </c>
      <c r="AH3241" t="str">
        <f t="shared" si="319"/>
        <v/>
      </c>
      <c r="AI3241">
        <f t="shared" si="320"/>
        <v>0</v>
      </c>
      <c r="AJ3241">
        <f t="shared" si="321"/>
        <v>0</v>
      </c>
      <c r="AK3241">
        <v>0</v>
      </c>
      <c r="AL3241" t="str">
        <f>IF(AA3241="","",IFERROR(IF(ISNUMBER('Procyfloc 4800'!D242),'Procyfloc 4800'!D242,IF(ISNUMBER(SEARCH("12",'Procyfloc 4800'!D242)),EDATE(AB3241,12),IF(ISNUMBER(SEARCH("6",'Procyfloc 4800'!D242)),EDATE(AB3241,6),IF(ISNUMBER(SEARCH("3",'Procyfloc 4800'!D242)),EDATE(AB3241,3),DATEVALUE('Procyfloc 4800'!D242))))),""))</f>
        <v/>
      </c>
      <c r="AM3241" t="str">
        <f t="shared" ca="1" si="322"/>
        <v/>
      </c>
    </row>
    <row r="3242" spans="27:39" x14ac:dyDescent="0.3">
      <c r="AA3242" t="str">
        <f>IF(COUNTA('Procyfloc 4800'!A243,'Procyfloc 4800'!B243,'Procyfloc 4800'!C243)&gt;0,"4800","")</f>
        <v/>
      </c>
      <c r="AB3242" t="str">
        <f>IFERROR(IF(ISNUMBER('Procyfloc 4800'!A243),'Procyfloc 4800'!A243,DATEVALUE('Procyfloc 4800'!A243)),"")</f>
        <v/>
      </c>
      <c r="AC3242" t="str">
        <f>IF(AA3242="","",'Procyfloc 4800'!B243)</f>
        <v/>
      </c>
      <c r="AD3242" t="str">
        <f>IF(AA3242="","",IFERROR(1*'Procyfloc 4800'!C243,IFERROR(_xludf.NUMBERVALUE('Procyfloc 4800'!C243,".",","),IFERROR(_xludf.NUMBERVALUE('Procyfloc 4800'!C243,",","."),0))))</f>
        <v/>
      </c>
      <c r="AE3242" t="str">
        <f>IF(AA3242="","",'Procyfloc 4800'!J243)</f>
        <v/>
      </c>
      <c r="AF3242">
        <f t="shared" si="317"/>
        <v>0</v>
      </c>
      <c r="AG3242" t="str">
        <f t="shared" si="318"/>
        <v/>
      </c>
      <c r="AH3242" t="str">
        <f t="shared" si="319"/>
        <v/>
      </c>
      <c r="AI3242">
        <f t="shared" si="320"/>
        <v>0</v>
      </c>
      <c r="AJ3242">
        <f t="shared" si="321"/>
        <v>0</v>
      </c>
      <c r="AK3242">
        <v>0</v>
      </c>
      <c r="AL3242" t="str">
        <f>IF(AA3242="","",IFERROR(IF(ISNUMBER('Procyfloc 4800'!D243),'Procyfloc 4800'!D243,IF(ISNUMBER(SEARCH("12",'Procyfloc 4800'!D243)),EDATE(AB3242,12),IF(ISNUMBER(SEARCH("6",'Procyfloc 4800'!D243)),EDATE(AB3242,6),IF(ISNUMBER(SEARCH("3",'Procyfloc 4800'!D243)),EDATE(AB3242,3),DATEVALUE('Procyfloc 4800'!D243))))),""))</f>
        <v/>
      </c>
      <c r="AM3242" t="str">
        <f t="shared" ca="1" si="322"/>
        <v/>
      </c>
    </row>
    <row r="3243" spans="27:39" x14ac:dyDescent="0.3">
      <c r="AA3243" t="str">
        <f>IF(COUNTA('Procyfloc 4800'!A244,'Procyfloc 4800'!B244,'Procyfloc 4800'!C244)&gt;0,"4800","")</f>
        <v/>
      </c>
      <c r="AB3243" t="str">
        <f>IFERROR(IF(ISNUMBER('Procyfloc 4800'!A244),'Procyfloc 4800'!A244,DATEVALUE('Procyfloc 4800'!A244)),"")</f>
        <v/>
      </c>
      <c r="AC3243" t="str">
        <f>IF(AA3243="","",'Procyfloc 4800'!B244)</f>
        <v/>
      </c>
      <c r="AD3243" t="str">
        <f>IF(AA3243="","",IFERROR(1*'Procyfloc 4800'!C244,IFERROR(_xludf.NUMBERVALUE('Procyfloc 4800'!C244,".",","),IFERROR(_xludf.NUMBERVALUE('Procyfloc 4800'!C244,",","."),0))))</f>
        <v/>
      </c>
      <c r="AE3243" t="str">
        <f>IF(AA3243="","",'Procyfloc 4800'!J244)</f>
        <v/>
      </c>
      <c r="AF3243">
        <f t="shared" si="317"/>
        <v>0</v>
      </c>
      <c r="AG3243" t="str">
        <f t="shared" si="318"/>
        <v/>
      </c>
      <c r="AH3243" t="str">
        <f t="shared" si="319"/>
        <v/>
      </c>
      <c r="AI3243">
        <f t="shared" si="320"/>
        <v>0</v>
      </c>
      <c r="AJ3243">
        <f t="shared" si="321"/>
        <v>0</v>
      </c>
      <c r="AK3243">
        <v>0</v>
      </c>
      <c r="AL3243" t="str">
        <f>IF(AA3243="","",IFERROR(IF(ISNUMBER('Procyfloc 4800'!D244),'Procyfloc 4800'!D244,IF(ISNUMBER(SEARCH("12",'Procyfloc 4800'!D244)),EDATE(AB3243,12),IF(ISNUMBER(SEARCH("6",'Procyfloc 4800'!D244)),EDATE(AB3243,6),IF(ISNUMBER(SEARCH("3",'Procyfloc 4800'!D244)),EDATE(AB3243,3),DATEVALUE('Procyfloc 4800'!D244))))),""))</f>
        <v/>
      </c>
      <c r="AM3243" t="str">
        <f t="shared" ca="1" si="322"/>
        <v/>
      </c>
    </row>
    <row r="3244" spans="27:39" x14ac:dyDescent="0.3">
      <c r="AA3244" t="str">
        <f>IF(COUNTA('Procyfloc 4800'!A245,'Procyfloc 4800'!B245,'Procyfloc 4800'!C245)&gt;0,"4800","")</f>
        <v/>
      </c>
      <c r="AB3244" t="str">
        <f>IFERROR(IF(ISNUMBER('Procyfloc 4800'!A245),'Procyfloc 4800'!A245,DATEVALUE('Procyfloc 4800'!A245)),"")</f>
        <v/>
      </c>
      <c r="AC3244" t="str">
        <f>IF(AA3244="","",'Procyfloc 4800'!B245)</f>
        <v/>
      </c>
      <c r="AD3244" t="str">
        <f>IF(AA3244="","",IFERROR(1*'Procyfloc 4800'!C245,IFERROR(_xludf.NUMBERVALUE('Procyfloc 4800'!C245,".",","),IFERROR(_xludf.NUMBERVALUE('Procyfloc 4800'!C245,",","."),0))))</f>
        <v/>
      </c>
      <c r="AE3244" t="str">
        <f>IF(AA3244="","",'Procyfloc 4800'!J245)</f>
        <v/>
      </c>
      <c r="AF3244">
        <f t="shared" si="317"/>
        <v>0</v>
      </c>
      <c r="AG3244" t="str">
        <f t="shared" si="318"/>
        <v/>
      </c>
      <c r="AH3244" t="str">
        <f t="shared" si="319"/>
        <v/>
      </c>
      <c r="AI3244">
        <f t="shared" si="320"/>
        <v>0</v>
      </c>
      <c r="AJ3244">
        <f t="shared" si="321"/>
        <v>0</v>
      </c>
      <c r="AK3244">
        <v>0</v>
      </c>
      <c r="AL3244" t="str">
        <f>IF(AA3244="","",IFERROR(IF(ISNUMBER('Procyfloc 4800'!D245),'Procyfloc 4800'!D245,IF(ISNUMBER(SEARCH("12",'Procyfloc 4800'!D245)),EDATE(AB3244,12),IF(ISNUMBER(SEARCH("6",'Procyfloc 4800'!D245)),EDATE(AB3244,6),IF(ISNUMBER(SEARCH("3",'Procyfloc 4800'!D245)),EDATE(AB3244,3),DATEVALUE('Procyfloc 4800'!D245))))),""))</f>
        <v/>
      </c>
      <c r="AM3244" t="str">
        <f t="shared" ca="1" si="322"/>
        <v/>
      </c>
    </row>
    <row r="3245" spans="27:39" x14ac:dyDescent="0.3">
      <c r="AA3245" t="str">
        <f>IF(COUNTA('Procyfloc 4800'!A246,'Procyfloc 4800'!B246,'Procyfloc 4800'!C246)&gt;0,"4800","")</f>
        <v/>
      </c>
      <c r="AB3245" t="str">
        <f>IFERROR(IF(ISNUMBER('Procyfloc 4800'!A246),'Procyfloc 4800'!A246,DATEVALUE('Procyfloc 4800'!A246)),"")</f>
        <v/>
      </c>
      <c r="AC3245" t="str">
        <f>IF(AA3245="","",'Procyfloc 4800'!B246)</f>
        <v/>
      </c>
      <c r="AD3245" t="str">
        <f>IF(AA3245="","",IFERROR(1*'Procyfloc 4800'!C246,IFERROR(_xludf.NUMBERVALUE('Procyfloc 4800'!C246,".",","),IFERROR(_xludf.NUMBERVALUE('Procyfloc 4800'!C246,",","."),0))))</f>
        <v/>
      </c>
      <c r="AE3245" t="str">
        <f>IF(AA3245="","",'Procyfloc 4800'!J246)</f>
        <v/>
      </c>
      <c r="AF3245">
        <f t="shared" si="317"/>
        <v>0</v>
      </c>
      <c r="AG3245" t="str">
        <f t="shared" si="318"/>
        <v/>
      </c>
      <c r="AH3245" t="str">
        <f t="shared" si="319"/>
        <v/>
      </c>
      <c r="AI3245">
        <f t="shared" si="320"/>
        <v>0</v>
      </c>
      <c r="AJ3245">
        <f t="shared" si="321"/>
        <v>0</v>
      </c>
      <c r="AK3245">
        <v>0</v>
      </c>
      <c r="AL3245" t="str">
        <f>IF(AA3245="","",IFERROR(IF(ISNUMBER('Procyfloc 4800'!D246),'Procyfloc 4800'!D246,IF(ISNUMBER(SEARCH("12",'Procyfloc 4800'!D246)),EDATE(AB3245,12),IF(ISNUMBER(SEARCH("6",'Procyfloc 4800'!D246)),EDATE(AB3245,6),IF(ISNUMBER(SEARCH("3",'Procyfloc 4800'!D246)),EDATE(AB3245,3),DATEVALUE('Procyfloc 4800'!D246))))),""))</f>
        <v/>
      </c>
      <c r="AM3245" t="str">
        <f t="shared" ca="1" si="322"/>
        <v/>
      </c>
    </row>
    <row r="3246" spans="27:39" x14ac:dyDescent="0.3">
      <c r="AA3246" t="str">
        <f>IF(COUNTA('Procyfloc 4800'!A247,'Procyfloc 4800'!B247,'Procyfloc 4800'!C247)&gt;0,"4800","")</f>
        <v/>
      </c>
      <c r="AB3246" t="str">
        <f>IFERROR(IF(ISNUMBER('Procyfloc 4800'!A247),'Procyfloc 4800'!A247,DATEVALUE('Procyfloc 4800'!A247)),"")</f>
        <v/>
      </c>
      <c r="AC3246" t="str">
        <f>IF(AA3246="","",'Procyfloc 4800'!B247)</f>
        <v/>
      </c>
      <c r="AD3246" t="str">
        <f>IF(AA3246="","",IFERROR(1*'Procyfloc 4800'!C247,IFERROR(_xludf.NUMBERVALUE('Procyfloc 4800'!C247,".",","),IFERROR(_xludf.NUMBERVALUE('Procyfloc 4800'!C247,",","."),0))))</f>
        <v/>
      </c>
      <c r="AE3246" t="str">
        <f>IF(AA3246="","",'Procyfloc 4800'!J247)</f>
        <v/>
      </c>
      <c r="AF3246">
        <f t="shared" si="317"/>
        <v>0</v>
      </c>
      <c r="AG3246" t="str">
        <f t="shared" si="318"/>
        <v/>
      </c>
      <c r="AH3246" t="str">
        <f t="shared" si="319"/>
        <v/>
      </c>
      <c r="AI3246">
        <f t="shared" si="320"/>
        <v>0</v>
      </c>
      <c r="AJ3246">
        <f t="shared" si="321"/>
        <v>0</v>
      </c>
      <c r="AK3246">
        <v>0</v>
      </c>
      <c r="AL3246" t="str">
        <f>IF(AA3246="","",IFERROR(IF(ISNUMBER('Procyfloc 4800'!D247),'Procyfloc 4800'!D247,IF(ISNUMBER(SEARCH("12",'Procyfloc 4800'!D247)),EDATE(AB3246,12),IF(ISNUMBER(SEARCH("6",'Procyfloc 4800'!D247)),EDATE(AB3246,6),IF(ISNUMBER(SEARCH("3",'Procyfloc 4800'!D247)),EDATE(AB3246,3),DATEVALUE('Procyfloc 4800'!D247))))),""))</f>
        <v/>
      </c>
      <c r="AM3246" t="str">
        <f t="shared" ca="1" si="322"/>
        <v/>
      </c>
    </row>
    <row r="3247" spans="27:39" x14ac:dyDescent="0.3">
      <c r="AA3247" t="str">
        <f>IF(COUNTA('Procyfloc 4800'!A248,'Procyfloc 4800'!B248,'Procyfloc 4800'!C248)&gt;0,"4800","")</f>
        <v/>
      </c>
      <c r="AB3247" t="str">
        <f>IFERROR(IF(ISNUMBER('Procyfloc 4800'!A248),'Procyfloc 4800'!A248,DATEVALUE('Procyfloc 4800'!A248)),"")</f>
        <v/>
      </c>
      <c r="AC3247" t="str">
        <f>IF(AA3247="","",'Procyfloc 4800'!B248)</f>
        <v/>
      </c>
      <c r="AD3247" t="str">
        <f>IF(AA3247="","",IFERROR(1*'Procyfloc 4800'!C248,IFERROR(_xludf.NUMBERVALUE('Procyfloc 4800'!C248,".",","),IFERROR(_xludf.NUMBERVALUE('Procyfloc 4800'!C248,",","."),0))))</f>
        <v/>
      </c>
      <c r="AE3247" t="str">
        <f>IF(AA3247="","",'Procyfloc 4800'!J248)</f>
        <v/>
      </c>
      <c r="AF3247">
        <f t="shared" si="317"/>
        <v>0</v>
      </c>
      <c r="AG3247" t="str">
        <f t="shared" si="318"/>
        <v/>
      </c>
      <c r="AH3247" t="str">
        <f t="shared" si="319"/>
        <v/>
      </c>
      <c r="AI3247">
        <f t="shared" si="320"/>
        <v>0</v>
      </c>
      <c r="AJ3247">
        <f t="shared" si="321"/>
        <v>0</v>
      </c>
      <c r="AK3247">
        <v>0</v>
      </c>
      <c r="AL3247" t="str">
        <f>IF(AA3247="","",IFERROR(IF(ISNUMBER('Procyfloc 4800'!D248),'Procyfloc 4800'!D248,IF(ISNUMBER(SEARCH("12",'Procyfloc 4800'!D248)),EDATE(AB3247,12),IF(ISNUMBER(SEARCH("6",'Procyfloc 4800'!D248)),EDATE(AB3247,6),IF(ISNUMBER(SEARCH("3",'Procyfloc 4800'!D248)),EDATE(AB3247,3),DATEVALUE('Procyfloc 4800'!D248))))),""))</f>
        <v/>
      </c>
      <c r="AM3247" t="str">
        <f t="shared" ca="1" si="322"/>
        <v/>
      </c>
    </row>
    <row r="3248" spans="27:39" x14ac:dyDescent="0.3">
      <c r="AA3248" t="str">
        <f>IF(COUNTA('Procyfloc 4800'!A249,'Procyfloc 4800'!B249,'Procyfloc 4800'!C249)&gt;0,"4800","")</f>
        <v/>
      </c>
      <c r="AB3248" t="str">
        <f>IFERROR(IF(ISNUMBER('Procyfloc 4800'!A249),'Procyfloc 4800'!A249,DATEVALUE('Procyfloc 4800'!A249)),"")</f>
        <v/>
      </c>
      <c r="AC3248" t="str">
        <f>IF(AA3248="","",'Procyfloc 4800'!B249)</f>
        <v/>
      </c>
      <c r="AD3248" t="str">
        <f>IF(AA3248="","",IFERROR(1*'Procyfloc 4800'!C249,IFERROR(_xludf.NUMBERVALUE('Procyfloc 4800'!C249,".",","),IFERROR(_xludf.NUMBERVALUE('Procyfloc 4800'!C249,",","."),0))))</f>
        <v/>
      </c>
      <c r="AE3248" t="str">
        <f>IF(AA3248="","",'Procyfloc 4800'!J249)</f>
        <v/>
      </c>
      <c r="AF3248">
        <f t="shared" si="317"/>
        <v>0</v>
      </c>
      <c r="AG3248" t="str">
        <f t="shared" si="318"/>
        <v/>
      </c>
      <c r="AH3248" t="str">
        <f t="shared" si="319"/>
        <v/>
      </c>
      <c r="AI3248">
        <f t="shared" si="320"/>
        <v>0</v>
      </c>
      <c r="AJ3248">
        <f t="shared" si="321"/>
        <v>0</v>
      </c>
      <c r="AK3248">
        <v>0</v>
      </c>
      <c r="AL3248" t="str">
        <f>IF(AA3248="","",IFERROR(IF(ISNUMBER('Procyfloc 4800'!D249),'Procyfloc 4800'!D249,IF(ISNUMBER(SEARCH("12",'Procyfloc 4800'!D249)),EDATE(AB3248,12),IF(ISNUMBER(SEARCH("6",'Procyfloc 4800'!D249)),EDATE(AB3248,6),IF(ISNUMBER(SEARCH("3",'Procyfloc 4800'!D249)),EDATE(AB3248,3),DATEVALUE('Procyfloc 4800'!D249))))),""))</f>
        <v/>
      </c>
      <c r="AM3248" t="str">
        <f t="shared" ca="1" si="322"/>
        <v/>
      </c>
    </row>
    <row r="3249" spans="27:39" x14ac:dyDescent="0.3">
      <c r="AA3249" t="str">
        <f>IF(COUNTA('Procyfloc 4800'!A250,'Procyfloc 4800'!B250,'Procyfloc 4800'!C250)&gt;0,"4800","")</f>
        <v/>
      </c>
      <c r="AB3249" t="str">
        <f>IFERROR(IF(ISNUMBER('Procyfloc 4800'!A250),'Procyfloc 4800'!A250,DATEVALUE('Procyfloc 4800'!A250)),"")</f>
        <v/>
      </c>
      <c r="AC3249" t="str">
        <f>IF(AA3249="","",'Procyfloc 4800'!B250)</f>
        <v/>
      </c>
      <c r="AD3249" t="str">
        <f>IF(AA3249="","",IFERROR(1*'Procyfloc 4800'!C250,IFERROR(_xludf.NUMBERVALUE('Procyfloc 4800'!C250,".",","),IFERROR(_xludf.NUMBERVALUE('Procyfloc 4800'!C250,",","."),0))))</f>
        <v/>
      </c>
      <c r="AE3249" t="str">
        <f>IF(AA3249="","",'Procyfloc 4800'!J250)</f>
        <v/>
      </c>
      <c r="AF3249">
        <f t="shared" si="317"/>
        <v>0</v>
      </c>
      <c r="AG3249" t="str">
        <f t="shared" si="318"/>
        <v/>
      </c>
      <c r="AH3249" t="str">
        <f t="shared" si="319"/>
        <v/>
      </c>
      <c r="AI3249">
        <f t="shared" si="320"/>
        <v>0</v>
      </c>
      <c r="AJ3249">
        <f t="shared" si="321"/>
        <v>0</v>
      </c>
      <c r="AK3249">
        <v>0</v>
      </c>
      <c r="AL3249" t="str">
        <f>IF(AA3249="","",IFERROR(IF(ISNUMBER('Procyfloc 4800'!D250),'Procyfloc 4800'!D250,IF(ISNUMBER(SEARCH("12",'Procyfloc 4800'!D250)),EDATE(AB3249,12),IF(ISNUMBER(SEARCH("6",'Procyfloc 4800'!D250)),EDATE(AB3249,6),IF(ISNUMBER(SEARCH("3",'Procyfloc 4800'!D250)),EDATE(AB3249,3),DATEVALUE('Procyfloc 4800'!D250))))),""))</f>
        <v/>
      </c>
      <c r="AM3249" t="str">
        <f t="shared" ca="1" si="322"/>
        <v/>
      </c>
    </row>
    <row r="3250" spans="27:39" x14ac:dyDescent="0.3">
      <c r="AA3250" t="str">
        <f>IF(COUNTA('Procyfloc 4800'!A251,'Procyfloc 4800'!B251,'Procyfloc 4800'!C251)&gt;0,"4800","")</f>
        <v/>
      </c>
      <c r="AB3250" t="str">
        <f>IFERROR(IF(ISNUMBER('Procyfloc 4800'!A251),'Procyfloc 4800'!A251,DATEVALUE('Procyfloc 4800'!A251)),"")</f>
        <v/>
      </c>
      <c r="AC3250" t="str">
        <f>IF(AA3250="","",'Procyfloc 4800'!B251)</f>
        <v/>
      </c>
      <c r="AD3250" t="str">
        <f>IF(AA3250="","",IFERROR(1*'Procyfloc 4800'!C251,IFERROR(_xludf.NUMBERVALUE('Procyfloc 4800'!C251,".",","),IFERROR(_xludf.NUMBERVALUE('Procyfloc 4800'!C251,",","."),0))))</f>
        <v/>
      </c>
      <c r="AE3250" t="str">
        <f>IF(AA3250="","",'Procyfloc 4800'!J251)</f>
        <v/>
      </c>
      <c r="AF3250">
        <f t="shared" si="317"/>
        <v>0</v>
      </c>
      <c r="AG3250" t="str">
        <f t="shared" si="318"/>
        <v/>
      </c>
      <c r="AH3250" t="str">
        <f t="shared" si="319"/>
        <v/>
      </c>
      <c r="AI3250">
        <f t="shared" si="320"/>
        <v>0</v>
      </c>
      <c r="AJ3250">
        <f t="shared" si="321"/>
        <v>0</v>
      </c>
      <c r="AK3250">
        <v>0</v>
      </c>
      <c r="AL3250" t="str">
        <f>IF(AA3250="","",IFERROR(IF(ISNUMBER('Procyfloc 4800'!D251),'Procyfloc 4800'!D251,IF(ISNUMBER(SEARCH("12",'Procyfloc 4800'!D251)),EDATE(AB3250,12),IF(ISNUMBER(SEARCH("6",'Procyfloc 4800'!D251)),EDATE(AB3250,6),IF(ISNUMBER(SEARCH("3",'Procyfloc 4800'!D251)),EDATE(AB3250,3),DATEVALUE('Procyfloc 4800'!D251))))),""))</f>
        <v/>
      </c>
      <c r="AM3250" t="str">
        <f t="shared" ca="1" si="322"/>
        <v/>
      </c>
    </row>
    <row r="3251" spans="27:39" x14ac:dyDescent="0.3">
      <c r="AA3251" t="str">
        <f>IF(COUNTA('Procyfloc 4800'!A252,'Procyfloc 4800'!B252,'Procyfloc 4800'!C252)&gt;0,"4800","")</f>
        <v/>
      </c>
      <c r="AB3251" t="str">
        <f>IFERROR(IF(ISNUMBER('Procyfloc 4800'!A252),'Procyfloc 4800'!A252,DATEVALUE('Procyfloc 4800'!A252)),"")</f>
        <v/>
      </c>
      <c r="AC3251" t="str">
        <f>IF(AA3251="","",'Procyfloc 4800'!B252)</f>
        <v/>
      </c>
      <c r="AD3251" t="str">
        <f>IF(AA3251="","",IFERROR(1*'Procyfloc 4800'!C252,IFERROR(_xludf.NUMBERVALUE('Procyfloc 4800'!C252,".",","),IFERROR(_xludf.NUMBERVALUE('Procyfloc 4800'!C252,",","."),0))))</f>
        <v/>
      </c>
      <c r="AE3251" t="str">
        <f>IF(AA3251="","",'Procyfloc 4800'!J252)</f>
        <v/>
      </c>
      <c r="AF3251">
        <f t="shared" si="317"/>
        <v>0</v>
      </c>
      <c r="AG3251" t="str">
        <f t="shared" si="318"/>
        <v/>
      </c>
      <c r="AH3251" t="str">
        <f t="shared" si="319"/>
        <v/>
      </c>
      <c r="AI3251">
        <f t="shared" si="320"/>
        <v>0</v>
      </c>
      <c r="AJ3251">
        <f t="shared" si="321"/>
        <v>0</v>
      </c>
      <c r="AK3251">
        <v>0</v>
      </c>
      <c r="AL3251" t="str">
        <f>IF(AA3251="","",IFERROR(IF(ISNUMBER('Procyfloc 4800'!D252),'Procyfloc 4800'!D252,IF(ISNUMBER(SEARCH("12",'Procyfloc 4800'!D252)),EDATE(AB3251,12),IF(ISNUMBER(SEARCH("6",'Procyfloc 4800'!D252)),EDATE(AB3251,6),IF(ISNUMBER(SEARCH("3",'Procyfloc 4800'!D252)),EDATE(AB3251,3),DATEVALUE('Procyfloc 4800'!D252))))),""))</f>
        <v/>
      </c>
      <c r="AM3251" t="str">
        <f t="shared" ca="1" si="322"/>
        <v/>
      </c>
    </row>
    <row r="3252" spans="27:39" x14ac:dyDescent="0.3">
      <c r="AA3252" t="str">
        <f>IF(COUNTA('Procyfloc 4800'!A253,'Procyfloc 4800'!B253,'Procyfloc 4800'!C253)&gt;0,"4800","")</f>
        <v/>
      </c>
      <c r="AB3252" t="str">
        <f>IFERROR(IF(ISNUMBER('Procyfloc 4800'!A253),'Procyfloc 4800'!A253,DATEVALUE('Procyfloc 4800'!A253)),"")</f>
        <v/>
      </c>
      <c r="AC3252" t="str">
        <f>IF(AA3252="","",'Procyfloc 4800'!B253)</f>
        <v/>
      </c>
      <c r="AD3252" t="str">
        <f>IF(AA3252="","",IFERROR(1*'Procyfloc 4800'!C253,IFERROR(_xludf.NUMBERVALUE('Procyfloc 4800'!C253,".",","),IFERROR(_xludf.NUMBERVALUE('Procyfloc 4800'!C253,",","."),0))))</f>
        <v/>
      </c>
      <c r="AE3252" t="str">
        <f>IF(AA3252="","",'Procyfloc 4800'!J253)</f>
        <v/>
      </c>
      <c r="AF3252">
        <f t="shared" si="317"/>
        <v>0</v>
      </c>
      <c r="AG3252" t="str">
        <f t="shared" si="318"/>
        <v/>
      </c>
      <c r="AH3252" t="str">
        <f t="shared" si="319"/>
        <v/>
      </c>
      <c r="AI3252">
        <f t="shared" si="320"/>
        <v>0</v>
      </c>
      <c r="AJ3252">
        <f t="shared" si="321"/>
        <v>0</v>
      </c>
      <c r="AK3252">
        <v>0</v>
      </c>
      <c r="AL3252" t="str">
        <f>IF(AA3252="","",IFERROR(IF(ISNUMBER('Procyfloc 4800'!D253),'Procyfloc 4800'!D253,IF(ISNUMBER(SEARCH("12",'Procyfloc 4800'!D253)),EDATE(AB3252,12),IF(ISNUMBER(SEARCH("6",'Procyfloc 4800'!D253)),EDATE(AB3252,6),IF(ISNUMBER(SEARCH("3",'Procyfloc 4800'!D253)),EDATE(AB3252,3),DATEVALUE('Procyfloc 4800'!D253))))),""))</f>
        <v/>
      </c>
      <c r="AM3252" t="str">
        <f t="shared" ca="1" si="322"/>
        <v/>
      </c>
    </row>
    <row r="3253" spans="27:39" x14ac:dyDescent="0.3">
      <c r="AA3253" t="str">
        <f>IF(COUNTA('Procyfloc 4800'!A254,'Procyfloc 4800'!B254,'Procyfloc 4800'!C254)&gt;0,"4800","")</f>
        <v/>
      </c>
      <c r="AB3253" t="str">
        <f>IFERROR(IF(ISNUMBER('Procyfloc 4800'!A254),'Procyfloc 4800'!A254,DATEVALUE('Procyfloc 4800'!A254)),"")</f>
        <v/>
      </c>
      <c r="AC3253" t="str">
        <f>IF(AA3253="","",'Procyfloc 4800'!B254)</f>
        <v/>
      </c>
      <c r="AD3253" t="str">
        <f>IF(AA3253="","",IFERROR(1*'Procyfloc 4800'!C254,IFERROR(_xludf.NUMBERVALUE('Procyfloc 4800'!C254,".",","),IFERROR(_xludf.NUMBERVALUE('Procyfloc 4800'!C254,",","."),0))))</f>
        <v/>
      </c>
      <c r="AE3253" t="str">
        <f>IF(AA3253="","",'Procyfloc 4800'!J254)</f>
        <v/>
      </c>
      <c r="AF3253">
        <f t="shared" si="317"/>
        <v>0</v>
      </c>
      <c r="AG3253" t="str">
        <f t="shared" si="318"/>
        <v/>
      </c>
      <c r="AH3253" t="str">
        <f t="shared" si="319"/>
        <v/>
      </c>
      <c r="AI3253">
        <f t="shared" si="320"/>
        <v>0</v>
      </c>
      <c r="AJ3253">
        <f t="shared" si="321"/>
        <v>0</v>
      </c>
      <c r="AK3253">
        <v>0</v>
      </c>
      <c r="AL3253" t="str">
        <f>IF(AA3253="","",IFERROR(IF(ISNUMBER('Procyfloc 4800'!D254),'Procyfloc 4800'!D254,IF(ISNUMBER(SEARCH("12",'Procyfloc 4800'!D254)),EDATE(AB3253,12),IF(ISNUMBER(SEARCH("6",'Procyfloc 4800'!D254)),EDATE(AB3253,6),IF(ISNUMBER(SEARCH("3",'Procyfloc 4800'!D254)),EDATE(AB3253,3),DATEVALUE('Procyfloc 4800'!D254))))),""))</f>
        <v/>
      </c>
      <c r="AM3253" t="str">
        <f t="shared" ca="1" si="322"/>
        <v/>
      </c>
    </row>
    <row r="3254" spans="27:39" x14ac:dyDescent="0.3">
      <c r="AA3254" t="str">
        <f>IF(COUNTA('Procyfloc 4800'!A255,'Procyfloc 4800'!B255,'Procyfloc 4800'!C255)&gt;0,"4800","")</f>
        <v/>
      </c>
      <c r="AB3254" t="str">
        <f>IFERROR(IF(ISNUMBER('Procyfloc 4800'!A255),'Procyfloc 4800'!A255,DATEVALUE('Procyfloc 4800'!A255)),"")</f>
        <v/>
      </c>
      <c r="AC3254" t="str">
        <f>IF(AA3254="","",'Procyfloc 4800'!B255)</f>
        <v/>
      </c>
      <c r="AD3254" t="str">
        <f>IF(AA3254="","",IFERROR(1*'Procyfloc 4800'!C255,IFERROR(_xludf.NUMBERVALUE('Procyfloc 4800'!C255,".",","),IFERROR(_xludf.NUMBERVALUE('Procyfloc 4800'!C255,",","."),0))))</f>
        <v/>
      </c>
      <c r="AE3254" t="str">
        <f>IF(AA3254="","",'Procyfloc 4800'!J255)</f>
        <v/>
      </c>
      <c r="AF3254">
        <f t="shared" si="317"/>
        <v>0</v>
      </c>
      <c r="AG3254" t="str">
        <f t="shared" si="318"/>
        <v/>
      </c>
      <c r="AH3254" t="str">
        <f t="shared" si="319"/>
        <v/>
      </c>
      <c r="AI3254">
        <f t="shared" si="320"/>
        <v>0</v>
      </c>
      <c r="AJ3254">
        <f t="shared" si="321"/>
        <v>0</v>
      </c>
      <c r="AK3254">
        <v>0</v>
      </c>
      <c r="AL3254" t="str">
        <f>IF(AA3254="","",IFERROR(IF(ISNUMBER('Procyfloc 4800'!D255),'Procyfloc 4800'!D255,IF(ISNUMBER(SEARCH("12",'Procyfloc 4800'!D255)),EDATE(AB3254,12),IF(ISNUMBER(SEARCH("6",'Procyfloc 4800'!D255)),EDATE(AB3254,6),IF(ISNUMBER(SEARCH("3",'Procyfloc 4800'!D255)),EDATE(AB3254,3),DATEVALUE('Procyfloc 4800'!D255))))),""))</f>
        <v/>
      </c>
      <c r="AM3254" t="str">
        <f t="shared" ca="1" si="322"/>
        <v/>
      </c>
    </row>
    <row r="3255" spans="27:39" x14ac:dyDescent="0.3">
      <c r="AA3255" t="str">
        <f>IF(COUNTA('Procyfloc 4800'!A256,'Procyfloc 4800'!B256,'Procyfloc 4800'!C256)&gt;0,"4800","")</f>
        <v/>
      </c>
      <c r="AB3255" t="str">
        <f>IFERROR(IF(ISNUMBER('Procyfloc 4800'!A256),'Procyfloc 4800'!A256,DATEVALUE('Procyfloc 4800'!A256)),"")</f>
        <v/>
      </c>
      <c r="AC3255" t="str">
        <f>IF(AA3255="","",'Procyfloc 4800'!B256)</f>
        <v/>
      </c>
      <c r="AD3255" t="str">
        <f>IF(AA3255="","",IFERROR(1*'Procyfloc 4800'!C256,IFERROR(_xludf.NUMBERVALUE('Procyfloc 4800'!C256,".",","),IFERROR(_xludf.NUMBERVALUE('Procyfloc 4800'!C256,",","."),0))))</f>
        <v/>
      </c>
      <c r="AE3255" t="str">
        <f>IF(AA3255="","",'Procyfloc 4800'!J256)</f>
        <v/>
      </c>
      <c r="AF3255">
        <f t="shared" si="317"/>
        <v>0</v>
      </c>
      <c r="AG3255" t="str">
        <f t="shared" si="318"/>
        <v/>
      </c>
      <c r="AH3255" t="str">
        <f t="shared" si="319"/>
        <v/>
      </c>
      <c r="AI3255">
        <f t="shared" si="320"/>
        <v>0</v>
      </c>
      <c r="AJ3255">
        <f t="shared" si="321"/>
        <v>0</v>
      </c>
      <c r="AK3255">
        <v>0</v>
      </c>
      <c r="AL3255" t="str">
        <f>IF(AA3255="","",IFERROR(IF(ISNUMBER('Procyfloc 4800'!D256),'Procyfloc 4800'!D256,IF(ISNUMBER(SEARCH("12",'Procyfloc 4800'!D256)),EDATE(AB3255,12),IF(ISNUMBER(SEARCH("6",'Procyfloc 4800'!D256)),EDATE(AB3255,6),IF(ISNUMBER(SEARCH("3",'Procyfloc 4800'!D256)),EDATE(AB3255,3),DATEVALUE('Procyfloc 4800'!D256))))),""))</f>
        <v/>
      </c>
      <c r="AM3255" t="str">
        <f t="shared" ca="1" si="322"/>
        <v/>
      </c>
    </row>
    <row r="3256" spans="27:39" x14ac:dyDescent="0.3">
      <c r="AA3256" t="str">
        <f>IF(COUNTA('Procyfloc 4800'!A257,'Procyfloc 4800'!B257,'Procyfloc 4800'!C257)&gt;0,"4800","")</f>
        <v/>
      </c>
      <c r="AB3256" t="str">
        <f>IFERROR(IF(ISNUMBER('Procyfloc 4800'!A257),'Procyfloc 4800'!A257,DATEVALUE('Procyfloc 4800'!A257)),"")</f>
        <v/>
      </c>
      <c r="AC3256" t="str">
        <f>IF(AA3256="","",'Procyfloc 4800'!B257)</f>
        <v/>
      </c>
      <c r="AD3256" t="str">
        <f>IF(AA3256="","",IFERROR(1*'Procyfloc 4800'!C257,IFERROR(_xludf.NUMBERVALUE('Procyfloc 4800'!C257,".",","),IFERROR(_xludf.NUMBERVALUE('Procyfloc 4800'!C257,",","."),0))))</f>
        <v/>
      </c>
      <c r="AE3256" t="str">
        <f>IF(AA3256="","",'Procyfloc 4800'!J257)</f>
        <v/>
      </c>
      <c r="AF3256">
        <f t="shared" si="317"/>
        <v>0</v>
      </c>
      <c r="AG3256" t="str">
        <f t="shared" si="318"/>
        <v/>
      </c>
      <c r="AH3256" t="str">
        <f t="shared" si="319"/>
        <v/>
      </c>
      <c r="AI3256">
        <f t="shared" si="320"/>
        <v>0</v>
      </c>
      <c r="AJ3256">
        <f t="shared" si="321"/>
        <v>0</v>
      </c>
      <c r="AK3256">
        <v>0</v>
      </c>
      <c r="AL3256" t="str">
        <f>IF(AA3256="","",IFERROR(IF(ISNUMBER('Procyfloc 4800'!D257),'Procyfloc 4800'!D257,IF(ISNUMBER(SEARCH("12",'Procyfloc 4800'!D257)),EDATE(AB3256,12),IF(ISNUMBER(SEARCH("6",'Procyfloc 4800'!D257)),EDATE(AB3256,6),IF(ISNUMBER(SEARCH("3",'Procyfloc 4800'!D257)),EDATE(AB3256,3),DATEVALUE('Procyfloc 4800'!D257))))),""))</f>
        <v/>
      </c>
      <c r="AM3256" t="str">
        <f t="shared" ca="1" si="322"/>
        <v/>
      </c>
    </row>
    <row r="3257" spans="27:39" x14ac:dyDescent="0.3">
      <c r="AA3257" t="str">
        <f>IF(COUNTA('Procyfloc 4800'!A258,'Procyfloc 4800'!B258,'Procyfloc 4800'!C258)&gt;0,"4800","")</f>
        <v/>
      </c>
      <c r="AB3257" t="str">
        <f>IFERROR(IF(ISNUMBER('Procyfloc 4800'!A258),'Procyfloc 4800'!A258,DATEVALUE('Procyfloc 4800'!A258)),"")</f>
        <v/>
      </c>
      <c r="AC3257" t="str">
        <f>IF(AA3257="","",'Procyfloc 4800'!B258)</f>
        <v/>
      </c>
      <c r="AD3257" t="str">
        <f>IF(AA3257="","",IFERROR(1*'Procyfloc 4800'!C258,IFERROR(_xludf.NUMBERVALUE('Procyfloc 4800'!C258,".",","),IFERROR(_xludf.NUMBERVALUE('Procyfloc 4800'!C258,",","."),0))))</f>
        <v/>
      </c>
      <c r="AE3257" t="str">
        <f>IF(AA3257="","",'Procyfloc 4800'!J258)</f>
        <v/>
      </c>
      <c r="AF3257">
        <f t="shared" si="317"/>
        <v>0</v>
      </c>
      <c r="AG3257" t="str">
        <f t="shared" si="318"/>
        <v/>
      </c>
      <c r="AH3257" t="str">
        <f t="shared" si="319"/>
        <v/>
      </c>
      <c r="AI3257">
        <f t="shared" si="320"/>
        <v>0</v>
      </c>
      <c r="AJ3257">
        <f t="shared" si="321"/>
        <v>0</v>
      </c>
      <c r="AK3257">
        <v>0</v>
      </c>
      <c r="AL3257" t="str">
        <f>IF(AA3257="","",IFERROR(IF(ISNUMBER('Procyfloc 4800'!D258),'Procyfloc 4800'!D258,IF(ISNUMBER(SEARCH("12",'Procyfloc 4800'!D258)),EDATE(AB3257,12),IF(ISNUMBER(SEARCH("6",'Procyfloc 4800'!D258)),EDATE(AB3257,6),IF(ISNUMBER(SEARCH("3",'Procyfloc 4800'!D258)),EDATE(AB3257,3),DATEVALUE('Procyfloc 4800'!D258))))),""))</f>
        <v/>
      </c>
      <c r="AM3257" t="str">
        <f t="shared" ca="1" si="322"/>
        <v/>
      </c>
    </row>
    <row r="3258" spans="27:39" x14ac:dyDescent="0.3">
      <c r="AA3258" t="str">
        <f>IF(COUNTA('Procyfloc 4800'!A259,'Procyfloc 4800'!B259,'Procyfloc 4800'!C259)&gt;0,"4800","")</f>
        <v/>
      </c>
      <c r="AB3258" t="str">
        <f>IFERROR(IF(ISNUMBER('Procyfloc 4800'!A259),'Procyfloc 4800'!A259,DATEVALUE('Procyfloc 4800'!A259)),"")</f>
        <v/>
      </c>
      <c r="AC3258" t="str">
        <f>IF(AA3258="","",'Procyfloc 4800'!B259)</f>
        <v/>
      </c>
      <c r="AD3258" t="str">
        <f>IF(AA3258="","",IFERROR(1*'Procyfloc 4800'!C259,IFERROR(_xludf.NUMBERVALUE('Procyfloc 4800'!C259,".",","),IFERROR(_xludf.NUMBERVALUE('Procyfloc 4800'!C259,",","."),0))))</f>
        <v/>
      </c>
      <c r="AE3258" t="str">
        <f>IF(AA3258="","",'Procyfloc 4800'!J259)</f>
        <v/>
      </c>
      <c r="AF3258">
        <f t="shared" si="317"/>
        <v>0</v>
      </c>
      <c r="AG3258" t="str">
        <f t="shared" si="318"/>
        <v/>
      </c>
      <c r="AH3258" t="str">
        <f t="shared" si="319"/>
        <v/>
      </c>
      <c r="AI3258">
        <f t="shared" si="320"/>
        <v>0</v>
      </c>
      <c r="AJ3258">
        <f t="shared" si="321"/>
        <v>0</v>
      </c>
      <c r="AK3258">
        <v>0</v>
      </c>
      <c r="AL3258" t="str">
        <f>IF(AA3258="","",IFERROR(IF(ISNUMBER('Procyfloc 4800'!D259),'Procyfloc 4800'!D259,IF(ISNUMBER(SEARCH("12",'Procyfloc 4800'!D259)),EDATE(AB3258,12),IF(ISNUMBER(SEARCH("6",'Procyfloc 4800'!D259)),EDATE(AB3258,6),IF(ISNUMBER(SEARCH("3",'Procyfloc 4800'!D259)),EDATE(AB3258,3),DATEVALUE('Procyfloc 4800'!D259))))),""))</f>
        <v/>
      </c>
      <c r="AM3258" t="str">
        <f t="shared" ca="1" si="322"/>
        <v/>
      </c>
    </row>
    <row r="3259" spans="27:39" x14ac:dyDescent="0.3">
      <c r="AA3259" t="str">
        <f>IF(COUNTA('Procyfloc 4800'!A260,'Procyfloc 4800'!B260,'Procyfloc 4800'!C260)&gt;0,"4800","")</f>
        <v/>
      </c>
      <c r="AB3259" t="str">
        <f>IFERROR(IF(ISNUMBER('Procyfloc 4800'!A260),'Procyfloc 4800'!A260,DATEVALUE('Procyfloc 4800'!A260)),"")</f>
        <v/>
      </c>
      <c r="AC3259" t="str">
        <f>IF(AA3259="","",'Procyfloc 4800'!B260)</f>
        <v/>
      </c>
      <c r="AD3259" t="str">
        <f>IF(AA3259="","",IFERROR(1*'Procyfloc 4800'!C260,IFERROR(_xludf.NUMBERVALUE('Procyfloc 4800'!C260,".",","),IFERROR(_xludf.NUMBERVALUE('Procyfloc 4800'!C260,",","."),0))))</f>
        <v/>
      </c>
      <c r="AE3259" t="str">
        <f>IF(AA3259="","",'Procyfloc 4800'!J260)</f>
        <v/>
      </c>
      <c r="AF3259">
        <f t="shared" si="317"/>
        <v>0</v>
      </c>
      <c r="AG3259" t="str">
        <f t="shared" si="318"/>
        <v/>
      </c>
      <c r="AH3259" t="str">
        <f t="shared" si="319"/>
        <v/>
      </c>
      <c r="AI3259">
        <f t="shared" si="320"/>
        <v>0</v>
      </c>
      <c r="AJ3259">
        <f t="shared" si="321"/>
        <v>0</v>
      </c>
      <c r="AK3259">
        <v>0</v>
      </c>
      <c r="AL3259" t="str">
        <f>IF(AA3259="","",IFERROR(IF(ISNUMBER('Procyfloc 4800'!D260),'Procyfloc 4800'!D260,IF(ISNUMBER(SEARCH("12",'Procyfloc 4800'!D260)),EDATE(AB3259,12),IF(ISNUMBER(SEARCH("6",'Procyfloc 4800'!D260)),EDATE(AB3259,6),IF(ISNUMBER(SEARCH("3",'Procyfloc 4800'!D260)),EDATE(AB3259,3),DATEVALUE('Procyfloc 4800'!D260))))),""))</f>
        <v/>
      </c>
      <c r="AM3259" t="str">
        <f t="shared" ca="1" si="322"/>
        <v/>
      </c>
    </row>
    <row r="3260" spans="27:39" x14ac:dyDescent="0.3">
      <c r="AA3260" t="str">
        <f>IF(COUNTA('Procyfloc 4800'!A261,'Procyfloc 4800'!B261,'Procyfloc 4800'!C261)&gt;0,"4800","")</f>
        <v/>
      </c>
      <c r="AB3260" t="str">
        <f>IFERROR(IF(ISNUMBER('Procyfloc 4800'!A261),'Procyfloc 4800'!A261,DATEVALUE('Procyfloc 4800'!A261)),"")</f>
        <v/>
      </c>
      <c r="AC3260" t="str">
        <f>IF(AA3260="","",'Procyfloc 4800'!B261)</f>
        <v/>
      </c>
      <c r="AD3260" t="str">
        <f>IF(AA3260="","",IFERROR(1*'Procyfloc 4800'!C261,IFERROR(_xludf.NUMBERVALUE('Procyfloc 4800'!C261,".",","),IFERROR(_xludf.NUMBERVALUE('Procyfloc 4800'!C261,",","."),0))))</f>
        <v/>
      </c>
      <c r="AE3260" t="str">
        <f>IF(AA3260="","",'Procyfloc 4800'!J261)</f>
        <v/>
      </c>
      <c r="AF3260">
        <f t="shared" si="317"/>
        <v>0</v>
      </c>
      <c r="AG3260" t="str">
        <f t="shared" si="318"/>
        <v/>
      </c>
      <c r="AH3260" t="str">
        <f t="shared" si="319"/>
        <v/>
      </c>
      <c r="AI3260">
        <f t="shared" si="320"/>
        <v>0</v>
      </c>
      <c r="AJ3260">
        <f t="shared" si="321"/>
        <v>0</v>
      </c>
      <c r="AK3260">
        <v>0</v>
      </c>
      <c r="AL3260" t="str">
        <f>IF(AA3260="","",IFERROR(IF(ISNUMBER('Procyfloc 4800'!D261),'Procyfloc 4800'!D261,IF(ISNUMBER(SEARCH("12",'Procyfloc 4800'!D261)),EDATE(AB3260,12),IF(ISNUMBER(SEARCH("6",'Procyfloc 4800'!D261)),EDATE(AB3260,6),IF(ISNUMBER(SEARCH("3",'Procyfloc 4800'!D261)),EDATE(AB3260,3),DATEVALUE('Procyfloc 4800'!D261))))),""))</f>
        <v/>
      </c>
      <c r="AM3260" t="str">
        <f t="shared" ca="1" si="322"/>
        <v/>
      </c>
    </row>
    <row r="3261" spans="27:39" x14ac:dyDescent="0.3">
      <c r="AA3261" t="str">
        <f>IF(COUNTA('Procyfloc 4800'!A262,'Procyfloc 4800'!B262,'Procyfloc 4800'!C262)&gt;0,"4800","")</f>
        <v/>
      </c>
      <c r="AB3261" t="str">
        <f>IFERROR(IF(ISNUMBER('Procyfloc 4800'!A262),'Procyfloc 4800'!A262,DATEVALUE('Procyfloc 4800'!A262)),"")</f>
        <v/>
      </c>
      <c r="AC3261" t="str">
        <f>IF(AA3261="","",'Procyfloc 4800'!B262)</f>
        <v/>
      </c>
      <c r="AD3261" t="str">
        <f>IF(AA3261="","",IFERROR(1*'Procyfloc 4800'!C262,IFERROR(_xludf.NUMBERVALUE('Procyfloc 4800'!C262,".",","),IFERROR(_xludf.NUMBERVALUE('Procyfloc 4800'!C262,",","."),0))))</f>
        <v/>
      </c>
      <c r="AE3261" t="str">
        <f>IF(AA3261="","",'Procyfloc 4800'!J262)</f>
        <v/>
      </c>
      <c r="AF3261">
        <f t="shared" si="317"/>
        <v>0</v>
      </c>
      <c r="AG3261" t="str">
        <f t="shared" si="318"/>
        <v/>
      </c>
      <c r="AH3261" t="str">
        <f t="shared" si="319"/>
        <v/>
      </c>
      <c r="AI3261">
        <f t="shared" si="320"/>
        <v>0</v>
      </c>
      <c r="AJ3261">
        <f t="shared" si="321"/>
        <v>0</v>
      </c>
      <c r="AK3261">
        <v>0</v>
      </c>
      <c r="AL3261" t="str">
        <f>IF(AA3261="","",IFERROR(IF(ISNUMBER('Procyfloc 4800'!D262),'Procyfloc 4800'!D262,IF(ISNUMBER(SEARCH("12",'Procyfloc 4800'!D262)),EDATE(AB3261,12),IF(ISNUMBER(SEARCH("6",'Procyfloc 4800'!D262)),EDATE(AB3261,6),IF(ISNUMBER(SEARCH("3",'Procyfloc 4800'!D262)),EDATE(AB3261,3),DATEVALUE('Procyfloc 4800'!D262))))),""))</f>
        <v/>
      </c>
      <c r="AM3261" t="str">
        <f t="shared" ca="1" si="322"/>
        <v/>
      </c>
    </row>
    <row r="3262" spans="27:39" x14ac:dyDescent="0.3">
      <c r="AA3262" t="str">
        <f>IF(COUNTA('Procyfloc 4800'!A263,'Procyfloc 4800'!B263,'Procyfloc 4800'!C263)&gt;0,"4800","")</f>
        <v/>
      </c>
      <c r="AB3262" t="str">
        <f>IFERROR(IF(ISNUMBER('Procyfloc 4800'!A263),'Procyfloc 4800'!A263,DATEVALUE('Procyfloc 4800'!A263)),"")</f>
        <v/>
      </c>
      <c r="AC3262" t="str">
        <f>IF(AA3262="","",'Procyfloc 4800'!B263)</f>
        <v/>
      </c>
      <c r="AD3262" t="str">
        <f>IF(AA3262="","",IFERROR(1*'Procyfloc 4800'!C263,IFERROR(_xludf.NUMBERVALUE('Procyfloc 4800'!C263,".",","),IFERROR(_xludf.NUMBERVALUE('Procyfloc 4800'!C263,",","."),0))))</f>
        <v/>
      </c>
      <c r="AE3262" t="str">
        <f>IF(AA3262="","",'Procyfloc 4800'!J263)</f>
        <v/>
      </c>
      <c r="AF3262">
        <f t="shared" si="317"/>
        <v>0</v>
      </c>
      <c r="AG3262" t="str">
        <f t="shared" si="318"/>
        <v/>
      </c>
      <c r="AH3262" t="str">
        <f t="shared" si="319"/>
        <v/>
      </c>
      <c r="AI3262">
        <f t="shared" si="320"/>
        <v>0</v>
      </c>
      <c r="AJ3262">
        <f t="shared" si="321"/>
        <v>0</v>
      </c>
      <c r="AK3262">
        <v>0</v>
      </c>
      <c r="AL3262" t="str">
        <f>IF(AA3262="","",IFERROR(IF(ISNUMBER('Procyfloc 4800'!D263),'Procyfloc 4800'!D263,IF(ISNUMBER(SEARCH("12",'Procyfloc 4800'!D263)),EDATE(AB3262,12),IF(ISNUMBER(SEARCH("6",'Procyfloc 4800'!D263)),EDATE(AB3262,6),IF(ISNUMBER(SEARCH("3",'Procyfloc 4800'!D263)),EDATE(AB3262,3),DATEVALUE('Procyfloc 4800'!D263))))),""))</f>
        <v/>
      </c>
      <c r="AM3262" t="str">
        <f t="shared" ca="1" si="322"/>
        <v/>
      </c>
    </row>
    <row r="3263" spans="27:39" x14ac:dyDescent="0.3">
      <c r="AA3263" t="str">
        <f>IF(COUNTA('Procyfloc 4800'!A264,'Procyfloc 4800'!B264,'Procyfloc 4800'!C264)&gt;0,"4800","")</f>
        <v/>
      </c>
      <c r="AB3263" t="str">
        <f>IFERROR(IF(ISNUMBER('Procyfloc 4800'!A264),'Procyfloc 4800'!A264,DATEVALUE('Procyfloc 4800'!A264)),"")</f>
        <v/>
      </c>
      <c r="AC3263" t="str">
        <f>IF(AA3263="","",'Procyfloc 4800'!B264)</f>
        <v/>
      </c>
      <c r="AD3263" t="str">
        <f>IF(AA3263="","",IFERROR(1*'Procyfloc 4800'!C264,IFERROR(_xludf.NUMBERVALUE('Procyfloc 4800'!C264,".",","),IFERROR(_xludf.NUMBERVALUE('Procyfloc 4800'!C264,",","."),0))))</f>
        <v/>
      </c>
      <c r="AE3263" t="str">
        <f>IF(AA3263="","",'Procyfloc 4800'!J264)</f>
        <v/>
      </c>
      <c r="AF3263">
        <f t="shared" si="317"/>
        <v>0</v>
      </c>
      <c r="AG3263" t="str">
        <f t="shared" si="318"/>
        <v/>
      </c>
      <c r="AH3263" t="str">
        <f t="shared" si="319"/>
        <v/>
      </c>
      <c r="AI3263">
        <f t="shared" si="320"/>
        <v>0</v>
      </c>
      <c r="AJ3263">
        <f t="shared" si="321"/>
        <v>0</v>
      </c>
      <c r="AK3263">
        <v>0</v>
      </c>
      <c r="AL3263" t="str">
        <f>IF(AA3263="","",IFERROR(IF(ISNUMBER('Procyfloc 4800'!D264),'Procyfloc 4800'!D264,IF(ISNUMBER(SEARCH("12",'Procyfloc 4800'!D264)),EDATE(AB3263,12),IF(ISNUMBER(SEARCH("6",'Procyfloc 4800'!D264)),EDATE(AB3263,6),IF(ISNUMBER(SEARCH("3",'Procyfloc 4800'!D264)),EDATE(AB3263,3),DATEVALUE('Procyfloc 4800'!D264))))),""))</f>
        <v/>
      </c>
      <c r="AM3263" t="str">
        <f t="shared" ca="1" si="322"/>
        <v/>
      </c>
    </row>
    <row r="3264" spans="27:39" x14ac:dyDescent="0.3">
      <c r="AA3264" t="str">
        <f>IF(COUNTA('Procyfloc 4800'!A265,'Procyfloc 4800'!B265,'Procyfloc 4800'!C265)&gt;0,"4800","")</f>
        <v/>
      </c>
      <c r="AB3264" t="str">
        <f>IFERROR(IF(ISNUMBER('Procyfloc 4800'!A265),'Procyfloc 4800'!A265,DATEVALUE('Procyfloc 4800'!A265)),"")</f>
        <v/>
      </c>
      <c r="AC3264" t="str">
        <f>IF(AA3264="","",'Procyfloc 4800'!B265)</f>
        <v/>
      </c>
      <c r="AD3264" t="str">
        <f>IF(AA3264="","",IFERROR(1*'Procyfloc 4800'!C265,IFERROR(_xludf.NUMBERVALUE('Procyfloc 4800'!C265,".",","),IFERROR(_xludf.NUMBERVALUE('Procyfloc 4800'!C265,",","."),0))))</f>
        <v/>
      </c>
      <c r="AE3264" t="str">
        <f>IF(AA3264="","",'Procyfloc 4800'!J265)</f>
        <v/>
      </c>
      <c r="AF3264">
        <f t="shared" si="317"/>
        <v>0</v>
      </c>
      <c r="AG3264" t="str">
        <f t="shared" si="318"/>
        <v/>
      </c>
      <c r="AH3264" t="str">
        <f t="shared" si="319"/>
        <v/>
      </c>
      <c r="AI3264">
        <f t="shared" si="320"/>
        <v>0</v>
      </c>
      <c r="AJ3264">
        <f t="shared" si="321"/>
        <v>0</v>
      </c>
      <c r="AK3264">
        <v>0</v>
      </c>
      <c r="AL3264" t="str">
        <f>IF(AA3264="","",IFERROR(IF(ISNUMBER('Procyfloc 4800'!D265),'Procyfloc 4800'!D265,IF(ISNUMBER(SEARCH("12",'Procyfloc 4800'!D265)),EDATE(AB3264,12),IF(ISNUMBER(SEARCH("6",'Procyfloc 4800'!D265)),EDATE(AB3264,6),IF(ISNUMBER(SEARCH("3",'Procyfloc 4800'!D265)),EDATE(AB3264,3),DATEVALUE('Procyfloc 4800'!D265))))),""))</f>
        <v/>
      </c>
      <c r="AM3264" t="str">
        <f t="shared" ca="1" si="322"/>
        <v/>
      </c>
    </row>
    <row r="3265" spans="27:39" x14ac:dyDescent="0.3">
      <c r="AA3265" t="str">
        <f>IF(COUNTA('Procyfloc 4800'!A266,'Procyfloc 4800'!B266,'Procyfloc 4800'!C266)&gt;0,"4800","")</f>
        <v/>
      </c>
      <c r="AB3265" t="str">
        <f>IFERROR(IF(ISNUMBER('Procyfloc 4800'!A266),'Procyfloc 4800'!A266,DATEVALUE('Procyfloc 4800'!A266)),"")</f>
        <v/>
      </c>
      <c r="AC3265" t="str">
        <f>IF(AA3265="","",'Procyfloc 4800'!B266)</f>
        <v/>
      </c>
      <c r="AD3265" t="str">
        <f>IF(AA3265="","",IFERROR(1*'Procyfloc 4800'!C266,IFERROR(_xludf.NUMBERVALUE('Procyfloc 4800'!C266,".",","),IFERROR(_xludf.NUMBERVALUE('Procyfloc 4800'!C266,",","."),0))))</f>
        <v/>
      </c>
      <c r="AE3265" t="str">
        <f>IF(AA3265="","",'Procyfloc 4800'!J266)</f>
        <v/>
      </c>
      <c r="AF3265">
        <f t="shared" si="317"/>
        <v>0</v>
      </c>
      <c r="AG3265" t="str">
        <f t="shared" si="318"/>
        <v/>
      </c>
      <c r="AH3265" t="str">
        <f t="shared" si="319"/>
        <v/>
      </c>
      <c r="AI3265">
        <f t="shared" si="320"/>
        <v>0</v>
      </c>
      <c r="AJ3265">
        <f t="shared" si="321"/>
        <v>0</v>
      </c>
      <c r="AK3265">
        <v>0</v>
      </c>
      <c r="AL3265" t="str">
        <f>IF(AA3265="","",IFERROR(IF(ISNUMBER('Procyfloc 4800'!D266),'Procyfloc 4800'!D266,IF(ISNUMBER(SEARCH("12",'Procyfloc 4800'!D266)),EDATE(AB3265,12),IF(ISNUMBER(SEARCH("6",'Procyfloc 4800'!D266)),EDATE(AB3265,6),IF(ISNUMBER(SEARCH("3",'Procyfloc 4800'!D266)),EDATE(AB3265,3),DATEVALUE('Procyfloc 4800'!D266))))),""))</f>
        <v/>
      </c>
      <c r="AM3265" t="str">
        <f t="shared" ca="1" si="322"/>
        <v/>
      </c>
    </row>
    <row r="3266" spans="27:39" x14ac:dyDescent="0.3">
      <c r="AA3266" t="str">
        <f>IF(COUNTA('Procyfloc 4800'!A267,'Procyfloc 4800'!B267,'Procyfloc 4800'!C267)&gt;0,"4800","")</f>
        <v/>
      </c>
      <c r="AB3266" t="str">
        <f>IFERROR(IF(ISNUMBER('Procyfloc 4800'!A267),'Procyfloc 4800'!A267,DATEVALUE('Procyfloc 4800'!A267)),"")</f>
        <v/>
      </c>
      <c r="AC3266" t="str">
        <f>IF(AA3266="","",'Procyfloc 4800'!B267)</f>
        <v/>
      </c>
      <c r="AD3266" t="str">
        <f>IF(AA3266="","",IFERROR(1*'Procyfloc 4800'!C267,IFERROR(_xludf.NUMBERVALUE('Procyfloc 4800'!C267,".",","),IFERROR(_xludf.NUMBERVALUE('Procyfloc 4800'!C267,",","."),0))))</f>
        <v/>
      </c>
      <c r="AE3266" t="str">
        <f>IF(AA3266="","",'Procyfloc 4800'!J267)</f>
        <v/>
      </c>
      <c r="AF3266">
        <f t="shared" ref="AF3266:AF3329" si="323">IF(AA3266="",0,--AND(ISNUMBER(SEARCH("aprov",AE3266)),NOT(ISNUMBER(SEARCH("reprov",AE3266)))))</f>
        <v>0</v>
      </c>
      <c r="AG3266" t="str">
        <f t="shared" ref="AG3266:AG3329" si="324">IF(AB3266="","",YEAR(AB3266))</f>
        <v/>
      </c>
      <c r="AH3266" t="str">
        <f t="shared" ref="AH3266:AH3329" si="325">IF(AB3266="","",MONTH(AB3266))</f>
        <v/>
      </c>
      <c r="AI3266">
        <f t="shared" ref="AI3266:AI3329" si="326">IF(AB3266="",0,AB3266+ROW()/1000000)</f>
        <v>0</v>
      </c>
      <c r="AJ3266">
        <f t="shared" ref="AJ3266:AJ3329" si="327">--(AA3266&lt;&gt;"")</f>
        <v>0</v>
      </c>
      <c r="AK3266">
        <v>0</v>
      </c>
      <c r="AL3266" t="str">
        <f>IF(AA3266="","",IFERROR(IF(ISNUMBER('Procyfloc 4800'!D267),'Procyfloc 4800'!D267,IF(ISNUMBER(SEARCH("12",'Procyfloc 4800'!D267)),EDATE(AB3266,12),IF(ISNUMBER(SEARCH("6",'Procyfloc 4800'!D267)),EDATE(AB3266,6),IF(ISNUMBER(SEARCH("3",'Procyfloc 4800'!D267)),EDATE(AB3266,3),DATEVALUE('Procyfloc 4800'!D267))))),""))</f>
        <v/>
      </c>
      <c r="AM3266" t="str">
        <f t="shared" ref="AM3266:AM3329" ca="1" si="328">IF(AND(AJ3266=1,AL3266&lt;&gt;"",AL3266&gt;=TODAY(),AG3266=$W$3),AL3266+ROW()/1000000,"")</f>
        <v/>
      </c>
    </row>
    <row r="3267" spans="27:39" x14ac:dyDescent="0.3">
      <c r="AA3267" t="str">
        <f>IF(COUNTA('Procyfloc 4800'!A268,'Procyfloc 4800'!B268,'Procyfloc 4800'!C268)&gt;0,"4800","")</f>
        <v/>
      </c>
      <c r="AB3267" t="str">
        <f>IFERROR(IF(ISNUMBER('Procyfloc 4800'!A268),'Procyfloc 4800'!A268,DATEVALUE('Procyfloc 4800'!A268)),"")</f>
        <v/>
      </c>
      <c r="AC3267" t="str">
        <f>IF(AA3267="","",'Procyfloc 4800'!B268)</f>
        <v/>
      </c>
      <c r="AD3267" t="str">
        <f>IF(AA3267="","",IFERROR(1*'Procyfloc 4800'!C268,IFERROR(_xludf.NUMBERVALUE('Procyfloc 4800'!C268,".",","),IFERROR(_xludf.NUMBERVALUE('Procyfloc 4800'!C268,",","."),0))))</f>
        <v/>
      </c>
      <c r="AE3267" t="str">
        <f>IF(AA3267="","",'Procyfloc 4800'!J268)</f>
        <v/>
      </c>
      <c r="AF3267">
        <f t="shared" si="323"/>
        <v>0</v>
      </c>
      <c r="AG3267" t="str">
        <f t="shared" si="324"/>
        <v/>
      </c>
      <c r="AH3267" t="str">
        <f t="shared" si="325"/>
        <v/>
      </c>
      <c r="AI3267">
        <f t="shared" si="326"/>
        <v>0</v>
      </c>
      <c r="AJ3267">
        <f t="shared" si="327"/>
        <v>0</v>
      </c>
      <c r="AK3267">
        <v>0</v>
      </c>
      <c r="AL3267" t="str">
        <f>IF(AA3267="","",IFERROR(IF(ISNUMBER('Procyfloc 4800'!D268),'Procyfloc 4800'!D268,IF(ISNUMBER(SEARCH("12",'Procyfloc 4800'!D268)),EDATE(AB3267,12),IF(ISNUMBER(SEARCH("6",'Procyfloc 4800'!D268)),EDATE(AB3267,6),IF(ISNUMBER(SEARCH("3",'Procyfloc 4800'!D268)),EDATE(AB3267,3),DATEVALUE('Procyfloc 4800'!D268))))),""))</f>
        <v/>
      </c>
      <c r="AM3267" t="str">
        <f t="shared" ca="1" si="328"/>
        <v/>
      </c>
    </row>
    <row r="3268" spans="27:39" x14ac:dyDescent="0.3">
      <c r="AA3268" t="str">
        <f>IF(COUNTA('Procyfloc 4800'!A269,'Procyfloc 4800'!B269,'Procyfloc 4800'!C269)&gt;0,"4800","")</f>
        <v/>
      </c>
      <c r="AB3268" t="str">
        <f>IFERROR(IF(ISNUMBER('Procyfloc 4800'!A269),'Procyfloc 4800'!A269,DATEVALUE('Procyfloc 4800'!A269)),"")</f>
        <v/>
      </c>
      <c r="AC3268" t="str">
        <f>IF(AA3268="","",'Procyfloc 4800'!B269)</f>
        <v/>
      </c>
      <c r="AD3268" t="str">
        <f>IF(AA3268="","",IFERROR(1*'Procyfloc 4800'!C269,IFERROR(_xludf.NUMBERVALUE('Procyfloc 4800'!C269,".",","),IFERROR(_xludf.NUMBERVALUE('Procyfloc 4800'!C269,",","."),0))))</f>
        <v/>
      </c>
      <c r="AE3268" t="str">
        <f>IF(AA3268="","",'Procyfloc 4800'!J269)</f>
        <v/>
      </c>
      <c r="AF3268">
        <f t="shared" si="323"/>
        <v>0</v>
      </c>
      <c r="AG3268" t="str">
        <f t="shared" si="324"/>
        <v/>
      </c>
      <c r="AH3268" t="str">
        <f t="shared" si="325"/>
        <v/>
      </c>
      <c r="AI3268">
        <f t="shared" si="326"/>
        <v>0</v>
      </c>
      <c r="AJ3268">
        <f t="shared" si="327"/>
        <v>0</v>
      </c>
      <c r="AK3268">
        <v>0</v>
      </c>
      <c r="AL3268" t="str">
        <f>IF(AA3268="","",IFERROR(IF(ISNUMBER('Procyfloc 4800'!D269),'Procyfloc 4800'!D269,IF(ISNUMBER(SEARCH("12",'Procyfloc 4800'!D269)),EDATE(AB3268,12),IF(ISNUMBER(SEARCH("6",'Procyfloc 4800'!D269)),EDATE(AB3268,6),IF(ISNUMBER(SEARCH("3",'Procyfloc 4800'!D269)),EDATE(AB3268,3),DATEVALUE('Procyfloc 4800'!D269))))),""))</f>
        <v/>
      </c>
      <c r="AM3268" t="str">
        <f t="shared" ca="1" si="328"/>
        <v/>
      </c>
    </row>
    <row r="3269" spans="27:39" x14ac:dyDescent="0.3">
      <c r="AA3269" t="str">
        <f>IF(COUNTA('Procyfloc 4800'!A270,'Procyfloc 4800'!B270,'Procyfloc 4800'!C270)&gt;0,"4800","")</f>
        <v/>
      </c>
      <c r="AB3269" t="str">
        <f>IFERROR(IF(ISNUMBER('Procyfloc 4800'!A270),'Procyfloc 4800'!A270,DATEVALUE('Procyfloc 4800'!A270)),"")</f>
        <v/>
      </c>
      <c r="AC3269" t="str">
        <f>IF(AA3269="","",'Procyfloc 4800'!B270)</f>
        <v/>
      </c>
      <c r="AD3269" t="str">
        <f>IF(AA3269="","",IFERROR(1*'Procyfloc 4800'!C270,IFERROR(_xludf.NUMBERVALUE('Procyfloc 4800'!C270,".",","),IFERROR(_xludf.NUMBERVALUE('Procyfloc 4800'!C270,",","."),0))))</f>
        <v/>
      </c>
      <c r="AE3269" t="str">
        <f>IF(AA3269="","",'Procyfloc 4800'!J270)</f>
        <v/>
      </c>
      <c r="AF3269">
        <f t="shared" si="323"/>
        <v>0</v>
      </c>
      <c r="AG3269" t="str">
        <f t="shared" si="324"/>
        <v/>
      </c>
      <c r="AH3269" t="str">
        <f t="shared" si="325"/>
        <v/>
      </c>
      <c r="AI3269">
        <f t="shared" si="326"/>
        <v>0</v>
      </c>
      <c r="AJ3269">
        <f t="shared" si="327"/>
        <v>0</v>
      </c>
      <c r="AK3269">
        <v>0</v>
      </c>
      <c r="AL3269" t="str">
        <f>IF(AA3269="","",IFERROR(IF(ISNUMBER('Procyfloc 4800'!D270),'Procyfloc 4800'!D270,IF(ISNUMBER(SEARCH("12",'Procyfloc 4800'!D270)),EDATE(AB3269,12),IF(ISNUMBER(SEARCH("6",'Procyfloc 4800'!D270)),EDATE(AB3269,6),IF(ISNUMBER(SEARCH("3",'Procyfloc 4800'!D270)),EDATE(AB3269,3),DATEVALUE('Procyfloc 4800'!D270))))),""))</f>
        <v/>
      </c>
      <c r="AM3269" t="str">
        <f t="shared" ca="1" si="328"/>
        <v/>
      </c>
    </row>
    <row r="3270" spans="27:39" x14ac:dyDescent="0.3">
      <c r="AA3270" t="str">
        <f>IF(COUNTA('Procyfloc 4800'!A271,'Procyfloc 4800'!B271,'Procyfloc 4800'!C271)&gt;0,"4800","")</f>
        <v/>
      </c>
      <c r="AB3270" t="str">
        <f>IFERROR(IF(ISNUMBER('Procyfloc 4800'!A271),'Procyfloc 4800'!A271,DATEVALUE('Procyfloc 4800'!A271)),"")</f>
        <v/>
      </c>
      <c r="AC3270" t="str">
        <f>IF(AA3270="","",'Procyfloc 4800'!B271)</f>
        <v/>
      </c>
      <c r="AD3270" t="str">
        <f>IF(AA3270="","",IFERROR(1*'Procyfloc 4800'!C271,IFERROR(_xludf.NUMBERVALUE('Procyfloc 4800'!C271,".",","),IFERROR(_xludf.NUMBERVALUE('Procyfloc 4800'!C271,",","."),0))))</f>
        <v/>
      </c>
      <c r="AE3270" t="str">
        <f>IF(AA3270="","",'Procyfloc 4800'!J271)</f>
        <v/>
      </c>
      <c r="AF3270">
        <f t="shared" si="323"/>
        <v>0</v>
      </c>
      <c r="AG3270" t="str">
        <f t="shared" si="324"/>
        <v/>
      </c>
      <c r="AH3270" t="str">
        <f t="shared" si="325"/>
        <v/>
      </c>
      <c r="AI3270">
        <f t="shared" si="326"/>
        <v>0</v>
      </c>
      <c r="AJ3270">
        <f t="shared" si="327"/>
        <v>0</v>
      </c>
      <c r="AK3270">
        <v>0</v>
      </c>
      <c r="AL3270" t="str">
        <f>IF(AA3270="","",IFERROR(IF(ISNUMBER('Procyfloc 4800'!D271),'Procyfloc 4800'!D271,IF(ISNUMBER(SEARCH("12",'Procyfloc 4800'!D271)),EDATE(AB3270,12),IF(ISNUMBER(SEARCH("6",'Procyfloc 4800'!D271)),EDATE(AB3270,6),IF(ISNUMBER(SEARCH("3",'Procyfloc 4800'!D271)),EDATE(AB3270,3),DATEVALUE('Procyfloc 4800'!D271))))),""))</f>
        <v/>
      </c>
      <c r="AM3270" t="str">
        <f t="shared" ca="1" si="328"/>
        <v/>
      </c>
    </row>
    <row r="3271" spans="27:39" x14ac:dyDescent="0.3">
      <c r="AA3271" t="str">
        <f>IF(COUNTA('Procyfloc 4800'!A272,'Procyfloc 4800'!B272,'Procyfloc 4800'!C272)&gt;0,"4800","")</f>
        <v/>
      </c>
      <c r="AB3271" t="str">
        <f>IFERROR(IF(ISNUMBER('Procyfloc 4800'!A272),'Procyfloc 4800'!A272,DATEVALUE('Procyfloc 4800'!A272)),"")</f>
        <v/>
      </c>
      <c r="AC3271" t="str">
        <f>IF(AA3271="","",'Procyfloc 4800'!B272)</f>
        <v/>
      </c>
      <c r="AD3271" t="str">
        <f>IF(AA3271="","",IFERROR(1*'Procyfloc 4800'!C272,IFERROR(_xludf.NUMBERVALUE('Procyfloc 4800'!C272,".",","),IFERROR(_xludf.NUMBERVALUE('Procyfloc 4800'!C272,",","."),0))))</f>
        <v/>
      </c>
      <c r="AE3271" t="str">
        <f>IF(AA3271="","",'Procyfloc 4800'!J272)</f>
        <v/>
      </c>
      <c r="AF3271">
        <f t="shared" si="323"/>
        <v>0</v>
      </c>
      <c r="AG3271" t="str">
        <f t="shared" si="324"/>
        <v/>
      </c>
      <c r="AH3271" t="str">
        <f t="shared" si="325"/>
        <v/>
      </c>
      <c r="AI3271">
        <f t="shared" si="326"/>
        <v>0</v>
      </c>
      <c r="AJ3271">
        <f t="shared" si="327"/>
        <v>0</v>
      </c>
      <c r="AK3271">
        <v>0</v>
      </c>
      <c r="AL3271" t="str">
        <f>IF(AA3271="","",IFERROR(IF(ISNUMBER('Procyfloc 4800'!D272),'Procyfloc 4800'!D272,IF(ISNUMBER(SEARCH("12",'Procyfloc 4800'!D272)),EDATE(AB3271,12),IF(ISNUMBER(SEARCH("6",'Procyfloc 4800'!D272)),EDATE(AB3271,6),IF(ISNUMBER(SEARCH("3",'Procyfloc 4800'!D272)),EDATE(AB3271,3),DATEVALUE('Procyfloc 4800'!D272))))),""))</f>
        <v/>
      </c>
      <c r="AM3271" t="str">
        <f t="shared" ca="1" si="328"/>
        <v/>
      </c>
    </row>
    <row r="3272" spans="27:39" x14ac:dyDescent="0.3">
      <c r="AA3272" t="str">
        <f>IF(COUNTA('Procyfloc 4800'!A273,'Procyfloc 4800'!B273,'Procyfloc 4800'!C273)&gt;0,"4800","")</f>
        <v/>
      </c>
      <c r="AB3272" t="str">
        <f>IFERROR(IF(ISNUMBER('Procyfloc 4800'!A273),'Procyfloc 4800'!A273,DATEVALUE('Procyfloc 4800'!A273)),"")</f>
        <v/>
      </c>
      <c r="AC3272" t="str">
        <f>IF(AA3272="","",'Procyfloc 4800'!B273)</f>
        <v/>
      </c>
      <c r="AD3272" t="str">
        <f>IF(AA3272="","",IFERROR(1*'Procyfloc 4800'!C273,IFERROR(_xludf.NUMBERVALUE('Procyfloc 4800'!C273,".",","),IFERROR(_xludf.NUMBERVALUE('Procyfloc 4800'!C273,",","."),0))))</f>
        <v/>
      </c>
      <c r="AE3272" t="str">
        <f>IF(AA3272="","",'Procyfloc 4800'!J273)</f>
        <v/>
      </c>
      <c r="AF3272">
        <f t="shared" si="323"/>
        <v>0</v>
      </c>
      <c r="AG3272" t="str">
        <f t="shared" si="324"/>
        <v/>
      </c>
      <c r="AH3272" t="str">
        <f t="shared" si="325"/>
        <v/>
      </c>
      <c r="AI3272">
        <f t="shared" si="326"/>
        <v>0</v>
      </c>
      <c r="AJ3272">
        <f t="shared" si="327"/>
        <v>0</v>
      </c>
      <c r="AK3272">
        <v>0</v>
      </c>
      <c r="AL3272" t="str">
        <f>IF(AA3272="","",IFERROR(IF(ISNUMBER('Procyfloc 4800'!D273),'Procyfloc 4800'!D273,IF(ISNUMBER(SEARCH("12",'Procyfloc 4800'!D273)),EDATE(AB3272,12),IF(ISNUMBER(SEARCH("6",'Procyfloc 4800'!D273)),EDATE(AB3272,6),IF(ISNUMBER(SEARCH("3",'Procyfloc 4800'!D273)),EDATE(AB3272,3),DATEVALUE('Procyfloc 4800'!D273))))),""))</f>
        <v/>
      </c>
      <c r="AM3272" t="str">
        <f t="shared" ca="1" si="328"/>
        <v/>
      </c>
    </row>
    <row r="3273" spans="27:39" x14ac:dyDescent="0.3">
      <c r="AA3273" t="str">
        <f>IF(COUNTA('Procyfloc 4800'!A274,'Procyfloc 4800'!B274,'Procyfloc 4800'!C274)&gt;0,"4800","")</f>
        <v/>
      </c>
      <c r="AB3273" t="str">
        <f>IFERROR(IF(ISNUMBER('Procyfloc 4800'!A274),'Procyfloc 4800'!A274,DATEVALUE('Procyfloc 4800'!A274)),"")</f>
        <v/>
      </c>
      <c r="AC3273" t="str">
        <f>IF(AA3273="","",'Procyfloc 4800'!B274)</f>
        <v/>
      </c>
      <c r="AD3273" t="str">
        <f>IF(AA3273="","",IFERROR(1*'Procyfloc 4800'!C274,IFERROR(_xludf.NUMBERVALUE('Procyfloc 4800'!C274,".",","),IFERROR(_xludf.NUMBERVALUE('Procyfloc 4800'!C274,",","."),0))))</f>
        <v/>
      </c>
      <c r="AE3273" t="str">
        <f>IF(AA3273="","",'Procyfloc 4800'!J274)</f>
        <v/>
      </c>
      <c r="AF3273">
        <f t="shared" si="323"/>
        <v>0</v>
      </c>
      <c r="AG3273" t="str">
        <f t="shared" si="324"/>
        <v/>
      </c>
      <c r="AH3273" t="str">
        <f t="shared" si="325"/>
        <v/>
      </c>
      <c r="AI3273">
        <f t="shared" si="326"/>
        <v>0</v>
      </c>
      <c r="AJ3273">
        <f t="shared" si="327"/>
        <v>0</v>
      </c>
      <c r="AK3273">
        <v>0</v>
      </c>
      <c r="AL3273" t="str">
        <f>IF(AA3273="","",IFERROR(IF(ISNUMBER('Procyfloc 4800'!D274),'Procyfloc 4800'!D274,IF(ISNUMBER(SEARCH("12",'Procyfloc 4800'!D274)),EDATE(AB3273,12),IF(ISNUMBER(SEARCH("6",'Procyfloc 4800'!D274)),EDATE(AB3273,6),IF(ISNUMBER(SEARCH("3",'Procyfloc 4800'!D274)),EDATE(AB3273,3),DATEVALUE('Procyfloc 4800'!D274))))),""))</f>
        <v/>
      </c>
      <c r="AM3273" t="str">
        <f t="shared" ca="1" si="328"/>
        <v/>
      </c>
    </row>
    <row r="3274" spans="27:39" x14ac:dyDescent="0.3">
      <c r="AA3274" t="str">
        <f>IF(COUNTA('Procyfloc 4800'!A275,'Procyfloc 4800'!B275,'Procyfloc 4800'!C275)&gt;0,"4800","")</f>
        <v/>
      </c>
      <c r="AB3274" t="str">
        <f>IFERROR(IF(ISNUMBER('Procyfloc 4800'!A275),'Procyfloc 4800'!A275,DATEVALUE('Procyfloc 4800'!A275)),"")</f>
        <v/>
      </c>
      <c r="AC3274" t="str">
        <f>IF(AA3274="","",'Procyfloc 4800'!B275)</f>
        <v/>
      </c>
      <c r="AD3274" t="str">
        <f>IF(AA3274="","",IFERROR(1*'Procyfloc 4800'!C275,IFERROR(_xludf.NUMBERVALUE('Procyfloc 4800'!C275,".",","),IFERROR(_xludf.NUMBERVALUE('Procyfloc 4800'!C275,",","."),0))))</f>
        <v/>
      </c>
      <c r="AE3274" t="str">
        <f>IF(AA3274="","",'Procyfloc 4800'!J275)</f>
        <v/>
      </c>
      <c r="AF3274">
        <f t="shared" si="323"/>
        <v>0</v>
      </c>
      <c r="AG3274" t="str">
        <f t="shared" si="324"/>
        <v/>
      </c>
      <c r="AH3274" t="str">
        <f t="shared" si="325"/>
        <v/>
      </c>
      <c r="AI3274">
        <f t="shared" si="326"/>
        <v>0</v>
      </c>
      <c r="AJ3274">
        <f t="shared" si="327"/>
        <v>0</v>
      </c>
      <c r="AK3274">
        <v>0</v>
      </c>
      <c r="AL3274" t="str">
        <f>IF(AA3274="","",IFERROR(IF(ISNUMBER('Procyfloc 4800'!D275),'Procyfloc 4800'!D275,IF(ISNUMBER(SEARCH("12",'Procyfloc 4800'!D275)),EDATE(AB3274,12),IF(ISNUMBER(SEARCH("6",'Procyfloc 4800'!D275)),EDATE(AB3274,6),IF(ISNUMBER(SEARCH("3",'Procyfloc 4800'!D275)),EDATE(AB3274,3),DATEVALUE('Procyfloc 4800'!D275))))),""))</f>
        <v/>
      </c>
      <c r="AM3274" t="str">
        <f t="shared" ca="1" si="328"/>
        <v/>
      </c>
    </row>
    <row r="3275" spans="27:39" x14ac:dyDescent="0.3">
      <c r="AA3275" t="str">
        <f>IF(COUNTA('Procyfloc 4800'!A276,'Procyfloc 4800'!B276,'Procyfloc 4800'!C276)&gt;0,"4800","")</f>
        <v/>
      </c>
      <c r="AB3275" t="str">
        <f>IFERROR(IF(ISNUMBER('Procyfloc 4800'!A276),'Procyfloc 4800'!A276,DATEVALUE('Procyfloc 4800'!A276)),"")</f>
        <v/>
      </c>
      <c r="AC3275" t="str">
        <f>IF(AA3275="","",'Procyfloc 4800'!B276)</f>
        <v/>
      </c>
      <c r="AD3275" t="str">
        <f>IF(AA3275="","",IFERROR(1*'Procyfloc 4800'!C276,IFERROR(_xludf.NUMBERVALUE('Procyfloc 4800'!C276,".",","),IFERROR(_xludf.NUMBERVALUE('Procyfloc 4800'!C276,",","."),0))))</f>
        <v/>
      </c>
      <c r="AE3275" t="str">
        <f>IF(AA3275="","",'Procyfloc 4800'!J276)</f>
        <v/>
      </c>
      <c r="AF3275">
        <f t="shared" si="323"/>
        <v>0</v>
      </c>
      <c r="AG3275" t="str">
        <f t="shared" si="324"/>
        <v/>
      </c>
      <c r="AH3275" t="str">
        <f t="shared" si="325"/>
        <v/>
      </c>
      <c r="AI3275">
        <f t="shared" si="326"/>
        <v>0</v>
      </c>
      <c r="AJ3275">
        <f t="shared" si="327"/>
        <v>0</v>
      </c>
      <c r="AK3275">
        <v>0</v>
      </c>
      <c r="AL3275" t="str">
        <f>IF(AA3275="","",IFERROR(IF(ISNUMBER('Procyfloc 4800'!D276),'Procyfloc 4800'!D276,IF(ISNUMBER(SEARCH("12",'Procyfloc 4800'!D276)),EDATE(AB3275,12),IF(ISNUMBER(SEARCH("6",'Procyfloc 4800'!D276)),EDATE(AB3275,6),IF(ISNUMBER(SEARCH("3",'Procyfloc 4800'!D276)),EDATE(AB3275,3),DATEVALUE('Procyfloc 4800'!D276))))),""))</f>
        <v/>
      </c>
      <c r="AM3275" t="str">
        <f t="shared" ca="1" si="328"/>
        <v/>
      </c>
    </row>
    <row r="3276" spans="27:39" x14ac:dyDescent="0.3">
      <c r="AA3276" t="str">
        <f>IF(COUNTA('Procyfloc 4800'!A277,'Procyfloc 4800'!B277,'Procyfloc 4800'!C277)&gt;0,"4800","")</f>
        <v/>
      </c>
      <c r="AB3276" t="str">
        <f>IFERROR(IF(ISNUMBER('Procyfloc 4800'!A277),'Procyfloc 4800'!A277,DATEVALUE('Procyfloc 4800'!A277)),"")</f>
        <v/>
      </c>
      <c r="AC3276" t="str">
        <f>IF(AA3276="","",'Procyfloc 4800'!B277)</f>
        <v/>
      </c>
      <c r="AD3276" t="str">
        <f>IF(AA3276="","",IFERROR(1*'Procyfloc 4800'!C277,IFERROR(_xludf.NUMBERVALUE('Procyfloc 4800'!C277,".",","),IFERROR(_xludf.NUMBERVALUE('Procyfloc 4800'!C277,",","."),0))))</f>
        <v/>
      </c>
      <c r="AE3276" t="str">
        <f>IF(AA3276="","",'Procyfloc 4800'!J277)</f>
        <v/>
      </c>
      <c r="AF3276">
        <f t="shared" si="323"/>
        <v>0</v>
      </c>
      <c r="AG3276" t="str">
        <f t="shared" si="324"/>
        <v/>
      </c>
      <c r="AH3276" t="str">
        <f t="shared" si="325"/>
        <v/>
      </c>
      <c r="AI3276">
        <f t="shared" si="326"/>
        <v>0</v>
      </c>
      <c r="AJ3276">
        <f t="shared" si="327"/>
        <v>0</v>
      </c>
      <c r="AK3276">
        <v>0</v>
      </c>
      <c r="AL3276" t="str">
        <f>IF(AA3276="","",IFERROR(IF(ISNUMBER('Procyfloc 4800'!D277),'Procyfloc 4800'!D277,IF(ISNUMBER(SEARCH("12",'Procyfloc 4800'!D277)),EDATE(AB3276,12),IF(ISNUMBER(SEARCH("6",'Procyfloc 4800'!D277)),EDATE(AB3276,6),IF(ISNUMBER(SEARCH("3",'Procyfloc 4800'!D277)),EDATE(AB3276,3),DATEVALUE('Procyfloc 4800'!D277))))),""))</f>
        <v/>
      </c>
      <c r="AM3276" t="str">
        <f t="shared" ca="1" si="328"/>
        <v/>
      </c>
    </row>
    <row r="3277" spans="27:39" x14ac:dyDescent="0.3">
      <c r="AA3277" t="str">
        <f>IF(COUNTA('Procyfloc 4800'!A278,'Procyfloc 4800'!B278,'Procyfloc 4800'!C278)&gt;0,"4800","")</f>
        <v/>
      </c>
      <c r="AB3277" t="str">
        <f>IFERROR(IF(ISNUMBER('Procyfloc 4800'!A278),'Procyfloc 4800'!A278,DATEVALUE('Procyfloc 4800'!A278)),"")</f>
        <v/>
      </c>
      <c r="AC3277" t="str">
        <f>IF(AA3277="","",'Procyfloc 4800'!B278)</f>
        <v/>
      </c>
      <c r="AD3277" t="str">
        <f>IF(AA3277="","",IFERROR(1*'Procyfloc 4800'!C278,IFERROR(_xludf.NUMBERVALUE('Procyfloc 4800'!C278,".",","),IFERROR(_xludf.NUMBERVALUE('Procyfloc 4800'!C278,",","."),0))))</f>
        <v/>
      </c>
      <c r="AE3277" t="str">
        <f>IF(AA3277="","",'Procyfloc 4800'!J278)</f>
        <v/>
      </c>
      <c r="AF3277">
        <f t="shared" si="323"/>
        <v>0</v>
      </c>
      <c r="AG3277" t="str">
        <f t="shared" si="324"/>
        <v/>
      </c>
      <c r="AH3277" t="str">
        <f t="shared" si="325"/>
        <v/>
      </c>
      <c r="AI3277">
        <f t="shared" si="326"/>
        <v>0</v>
      </c>
      <c r="AJ3277">
        <f t="shared" si="327"/>
        <v>0</v>
      </c>
      <c r="AK3277">
        <v>0</v>
      </c>
      <c r="AL3277" t="str">
        <f>IF(AA3277="","",IFERROR(IF(ISNUMBER('Procyfloc 4800'!D278),'Procyfloc 4800'!D278,IF(ISNUMBER(SEARCH("12",'Procyfloc 4800'!D278)),EDATE(AB3277,12),IF(ISNUMBER(SEARCH("6",'Procyfloc 4800'!D278)),EDATE(AB3277,6),IF(ISNUMBER(SEARCH("3",'Procyfloc 4800'!D278)),EDATE(AB3277,3),DATEVALUE('Procyfloc 4800'!D278))))),""))</f>
        <v/>
      </c>
      <c r="AM3277" t="str">
        <f t="shared" ca="1" si="328"/>
        <v/>
      </c>
    </row>
    <row r="3278" spans="27:39" x14ac:dyDescent="0.3">
      <c r="AA3278" t="str">
        <f>IF(COUNTA('Procyfloc 4800'!A279,'Procyfloc 4800'!B279,'Procyfloc 4800'!C279)&gt;0,"4800","")</f>
        <v/>
      </c>
      <c r="AB3278" t="str">
        <f>IFERROR(IF(ISNUMBER('Procyfloc 4800'!A279),'Procyfloc 4800'!A279,DATEVALUE('Procyfloc 4800'!A279)),"")</f>
        <v/>
      </c>
      <c r="AC3278" t="str">
        <f>IF(AA3278="","",'Procyfloc 4800'!B279)</f>
        <v/>
      </c>
      <c r="AD3278" t="str">
        <f>IF(AA3278="","",IFERROR(1*'Procyfloc 4800'!C279,IFERROR(_xludf.NUMBERVALUE('Procyfloc 4800'!C279,".",","),IFERROR(_xludf.NUMBERVALUE('Procyfloc 4800'!C279,",","."),0))))</f>
        <v/>
      </c>
      <c r="AE3278" t="str">
        <f>IF(AA3278="","",'Procyfloc 4800'!J279)</f>
        <v/>
      </c>
      <c r="AF3278">
        <f t="shared" si="323"/>
        <v>0</v>
      </c>
      <c r="AG3278" t="str">
        <f t="shared" si="324"/>
        <v/>
      </c>
      <c r="AH3278" t="str">
        <f t="shared" si="325"/>
        <v/>
      </c>
      <c r="AI3278">
        <f t="shared" si="326"/>
        <v>0</v>
      </c>
      <c r="AJ3278">
        <f t="shared" si="327"/>
        <v>0</v>
      </c>
      <c r="AK3278">
        <v>0</v>
      </c>
      <c r="AL3278" t="str">
        <f>IF(AA3278="","",IFERROR(IF(ISNUMBER('Procyfloc 4800'!D279),'Procyfloc 4800'!D279,IF(ISNUMBER(SEARCH("12",'Procyfloc 4800'!D279)),EDATE(AB3278,12),IF(ISNUMBER(SEARCH("6",'Procyfloc 4800'!D279)),EDATE(AB3278,6),IF(ISNUMBER(SEARCH("3",'Procyfloc 4800'!D279)),EDATE(AB3278,3),DATEVALUE('Procyfloc 4800'!D279))))),""))</f>
        <v/>
      </c>
      <c r="AM3278" t="str">
        <f t="shared" ca="1" si="328"/>
        <v/>
      </c>
    </row>
    <row r="3279" spans="27:39" x14ac:dyDescent="0.3">
      <c r="AA3279" t="str">
        <f>IF(COUNTA('Procyfloc 4800'!A280,'Procyfloc 4800'!B280,'Procyfloc 4800'!C280)&gt;0,"4800","")</f>
        <v/>
      </c>
      <c r="AB3279" t="str">
        <f>IFERROR(IF(ISNUMBER('Procyfloc 4800'!A280),'Procyfloc 4800'!A280,DATEVALUE('Procyfloc 4800'!A280)),"")</f>
        <v/>
      </c>
      <c r="AC3279" t="str">
        <f>IF(AA3279="","",'Procyfloc 4800'!B280)</f>
        <v/>
      </c>
      <c r="AD3279" t="str">
        <f>IF(AA3279="","",IFERROR(1*'Procyfloc 4800'!C280,IFERROR(_xludf.NUMBERVALUE('Procyfloc 4800'!C280,".",","),IFERROR(_xludf.NUMBERVALUE('Procyfloc 4800'!C280,",","."),0))))</f>
        <v/>
      </c>
      <c r="AE3279" t="str">
        <f>IF(AA3279="","",'Procyfloc 4800'!J280)</f>
        <v/>
      </c>
      <c r="AF3279">
        <f t="shared" si="323"/>
        <v>0</v>
      </c>
      <c r="AG3279" t="str">
        <f t="shared" si="324"/>
        <v/>
      </c>
      <c r="AH3279" t="str">
        <f t="shared" si="325"/>
        <v/>
      </c>
      <c r="AI3279">
        <f t="shared" si="326"/>
        <v>0</v>
      </c>
      <c r="AJ3279">
        <f t="shared" si="327"/>
        <v>0</v>
      </c>
      <c r="AK3279">
        <v>0</v>
      </c>
      <c r="AL3279" t="str">
        <f>IF(AA3279="","",IFERROR(IF(ISNUMBER('Procyfloc 4800'!D280),'Procyfloc 4800'!D280,IF(ISNUMBER(SEARCH("12",'Procyfloc 4800'!D280)),EDATE(AB3279,12),IF(ISNUMBER(SEARCH("6",'Procyfloc 4800'!D280)),EDATE(AB3279,6),IF(ISNUMBER(SEARCH("3",'Procyfloc 4800'!D280)),EDATE(AB3279,3),DATEVALUE('Procyfloc 4800'!D280))))),""))</f>
        <v/>
      </c>
      <c r="AM3279" t="str">
        <f t="shared" ca="1" si="328"/>
        <v/>
      </c>
    </row>
    <row r="3280" spans="27:39" x14ac:dyDescent="0.3">
      <c r="AA3280" t="str">
        <f>IF(COUNTA('Procyfloc 4800'!A281,'Procyfloc 4800'!B281,'Procyfloc 4800'!C281)&gt;0,"4800","")</f>
        <v/>
      </c>
      <c r="AB3280" t="str">
        <f>IFERROR(IF(ISNUMBER('Procyfloc 4800'!A281),'Procyfloc 4800'!A281,DATEVALUE('Procyfloc 4800'!A281)),"")</f>
        <v/>
      </c>
      <c r="AC3280" t="str">
        <f>IF(AA3280="","",'Procyfloc 4800'!B281)</f>
        <v/>
      </c>
      <c r="AD3280" t="str">
        <f>IF(AA3280="","",IFERROR(1*'Procyfloc 4800'!C281,IFERROR(_xludf.NUMBERVALUE('Procyfloc 4800'!C281,".",","),IFERROR(_xludf.NUMBERVALUE('Procyfloc 4800'!C281,",","."),0))))</f>
        <v/>
      </c>
      <c r="AE3280" t="str">
        <f>IF(AA3280="","",'Procyfloc 4800'!J281)</f>
        <v/>
      </c>
      <c r="AF3280">
        <f t="shared" si="323"/>
        <v>0</v>
      </c>
      <c r="AG3280" t="str">
        <f t="shared" si="324"/>
        <v/>
      </c>
      <c r="AH3280" t="str">
        <f t="shared" si="325"/>
        <v/>
      </c>
      <c r="AI3280">
        <f t="shared" si="326"/>
        <v>0</v>
      </c>
      <c r="AJ3280">
        <f t="shared" si="327"/>
        <v>0</v>
      </c>
      <c r="AK3280">
        <v>0</v>
      </c>
      <c r="AL3280" t="str">
        <f>IF(AA3280="","",IFERROR(IF(ISNUMBER('Procyfloc 4800'!D281),'Procyfloc 4800'!D281,IF(ISNUMBER(SEARCH("12",'Procyfloc 4800'!D281)),EDATE(AB3280,12),IF(ISNUMBER(SEARCH("6",'Procyfloc 4800'!D281)),EDATE(AB3280,6),IF(ISNUMBER(SEARCH("3",'Procyfloc 4800'!D281)),EDATE(AB3280,3),DATEVALUE('Procyfloc 4800'!D281))))),""))</f>
        <v/>
      </c>
      <c r="AM3280" t="str">
        <f t="shared" ca="1" si="328"/>
        <v/>
      </c>
    </row>
    <row r="3281" spans="27:39" x14ac:dyDescent="0.3">
      <c r="AA3281" t="str">
        <f>IF(COUNTA('Procyfloc 4800'!A282,'Procyfloc 4800'!B282,'Procyfloc 4800'!C282)&gt;0,"4800","")</f>
        <v/>
      </c>
      <c r="AB3281" t="str">
        <f>IFERROR(IF(ISNUMBER('Procyfloc 4800'!A282),'Procyfloc 4800'!A282,DATEVALUE('Procyfloc 4800'!A282)),"")</f>
        <v/>
      </c>
      <c r="AC3281" t="str">
        <f>IF(AA3281="","",'Procyfloc 4800'!B282)</f>
        <v/>
      </c>
      <c r="AD3281" t="str">
        <f>IF(AA3281="","",IFERROR(1*'Procyfloc 4800'!C282,IFERROR(_xludf.NUMBERVALUE('Procyfloc 4800'!C282,".",","),IFERROR(_xludf.NUMBERVALUE('Procyfloc 4800'!C282,",","."),0))))</f>
        <v/>
      </c>
      <c r="AE3281" t="str">
        <f>IF(AA3281="","",'Procyfloc 4800'!J282)</f>
        <v/>
      </c>
      <c r="AF3281">
        <f t="shared" si="323"/>
        <v>0</v>
      </c>
      <c r="AG3281" t="str">
        <f t="shared" si="324"/>
        <v/>
      </c>
      <c r="AH3281" t="str">
        <f t="shared" si="325"/>
        <v/>
      </c>
      <c r="AI3281">
        <f t="shared" si="326"/>
        <v>0</v>
      </c>
      <c r="AJ3281">
        <f t="shared" si="327"/>
        <v>0</v>
      </c>
      <c r="AK3281">
        <v>0</v>
      </c>
      <c r="AL3281" t="str">
        <f>IF(AA3281="","",IFERROR(IF(ISNUMBER('Procyfloc 4800'!D282),'Procyfloc 4800'!D282,IF(ISNUMBER(SEARCH("12",'Procyfloc 4800'!D282)),EDATE(AB3281,12),IF(ISNUMBER(SEARCH("6",'Procyfloc 4800'!D282)),EDATE(AB3281,6),IF(ISNUMBER(SEARCH("3",'Procyfloc 4800'!D282)),EDATE(AB3281,3),DATEVALUE('Procyfloc 4800'!D282))))),""))</f>
        <v/>
      </c>
      <c r="AM3281" t="str">
        <f t="shared" ca="1" si="328"/>
        <v/>
      </c>
    </row>
    <row r="3282" spans="27:39" x14ac:dyDescent="0.3">
      <c r="AA3282" t="str">
        <f>IF(COUNTA('Procyfloc 4800'!A283,'Procyfloc 4800'!B283,'Procyfloc 4800'!C283)&gt;0,"4800","")</f>
        <v/>
      </c>
      <c r="AB3282" t="str">
        <f>IFERROR(IF(ISNUMBER('Procyfloc 4800'!A283),'Procyfloc 4800'!A283,DATEVALUE('Procyfloc 4800'!A283)),"")</f>
        <v/>
      </c>
      <c r="AC3282" t="str">
        <f>IF(AA3282="","",'Procyfloc 4800'!B283)</f>
        <v/>
      </c>
      <c r="AD3282" t="str">
        <f>IF(AA3282="","",IFERROR(1*'Procyfloc 4800'!C283,IFERROR(_xludf.NUMBERVALUE('Procyfloc 4800'!C283,".",","),IFERROR(_xludf.NUMBERVALUE('Procyfloc 4800'!C283,",","."),0))))</f>
        <v/>
      </c>
      <c r="AE3282" t="str">
        <f>IF(AA3282="","",'Procyfloc 4800'!J283)</f>
        <v/>
      </c>
      <c r="AF3282">
        <f t="shared" si="323"/>
        <v>0</v>
      </c>
      <c r="AG3282" t="str">
        <f t="shared" si="324"/>
        <v/>
      </c>
      <c r="AH3282" t="str">
        <f t="shared" si="325"/>
        <v/>
      </c>
      <c r="AI3282">
        <f t="shared" si="326"/>
        <v>0</v>
      </c>
      <c r="AJ3282">
        <f t="shared" si="327"/>
        <v>0</v>
      </c>
      <c r="AK3282">
        <v>0</v>
      </c>
      <c r="AL3282" t="str">
        <f>IF(AA3282="","",IFERROR(IF(ISNUMBER('Procyfloc 4800'!D283),'Procyfloc 4800'!D283,IF(ISNUMBER(SEARCH("12",'Procyfloc 4800'!D283)),EDATE(AB3282,12),IF(ISNUMBER(SEARCH("6",'Procyfloc 4800'!D283)),EDATE(AB3282,6),IF(ISNUMBER(SEARCH("3",'Procyfloc 4800'!D283)),EDATE(AB3282,3),DATEVALUE('Procyfloc 4800'!D283))))),""))</f>
        <v/>
      </c>
      <c r="AM3282" t="str">
        <f t="shared" ca="1" si="328"/>
        <v/>
      </c>
    </row>
    <row r="3283" spans="27:39" x14ac:dyDescent="0.3">
      <c r="AA3283" t="str">
        <f>IF(COUNTA('Procyfloc 4800'!A284,'Procyfloc 4800'!B284,'Procyfloc 4800'!C284)&gt;0,"4800","")</f>
        <v/>
      </c>
      <c r="AB3283" t="str">
        <f>IFERROR(IF(ISNUMBER('Procyfloc 4800'!A284),'Procyfloc 4800'!A284,DATEVALUE('Procyfloc 4800'!A284)),"")</f>
        <v/>
      </c>
      <c r="AC3283" t="str">
        <f>IF(AA3283="","",'Procyfloc 4800'!B284)</f>
        <v/>
      </c>
      <c r="AD3283" t="str">
        <f>IF(AA3283="","",IFERROR(1*'Procyfloc 4800'!C284,IFERROR(_xludf.NUMBERVALUE('Procyfloc 4800'!C284,".",","),IFERROR(_xludf.NUMBERVALUE('Procyfloc 4800'!C284,",","."),0))))</f>
        <v/>
      </c>
      <c r="AE3283" t="str">
        <f>IF(AA3283="","",'Procyfloc 4800'!J284)</f>
        <v/>
      </c>
      <c r="AF3283">
        <f t="shared" si="323"/>
        <v>0</v>
      </c>
      <c r="AG3283" t="str">
        <f t="shared" si="324"/>
        <v/>
      </c>
      <c r="AH3283" t="str">
        <f t="shared" si="325"/>
        <v/>
      </c>
      <c r="AI3283">
        <f t="shared" si="326"/>
        <v>0</v>
      </c>
      <c r="AJ3283">
        <f t="shared" si="327"/>
        <v>0</v>
      </c>
      <c r="AK3283">
        <v>0</v>
      </c>
      <c r="AL3283" t="str">
        <f>IF(AA3283="","",IFERROR(IF(ISNUMBER('Procyfloc 4800'!D284),'Procyfloc 4800'!D284,IF(ISNUMBER(SEARCH("12",'Procyfloc 4800'!D284)),EDATE(AB3283,12),IF(ISNUMBER(SEARCH("6",'Procyfloc 4800'!D284)),EDATE(AB3283,6),IF(ISNUMBER(SEARCH("3",'Procyfloc 4800'!D284)),EDATE(AB3283,3),DATEVALUE('Procyfloc 4800'!D284))))),""))</f>
        <v/>
      </c>
      <c r="AM3283" t="str">
        <f t="shared" ca="1" si="328"/>
        <v/>
      </c>
    </row>
    <row r="3284" spans="27:39" x14ac:dyDescent="0.3">
      <c r="AA3284" t="str">
        <f>IF(COUNTA('Procyfloc 4800'!A285,'Procyfloc 4800'!B285,'Procyfloc 4800'!C285)&gt;0,"4800","")</f>
        <v/>
      </c>
      <c r="AB3284" t="str">
        <f>IFERROR(IF(ISNUMBER('Procyfloc 4800'!A285),'Procyfloc 4800'!A285,DATEVALUE('Procyfloc 4800'!A285)),"")</f>
        <v/>
      </c>
      <c r="AC3284" t="str">
        <f>IF(AA3284="","",'Procyfloc 4800'!B285)</f>
        <v/>
      </c>
      <c r="AD3284" t="str">
        <f>IF(AA3284="","",IFERROR(1*'Procyfloc 4800'!C285,IFERROR(_xludf.NUMBERVALUE('Procyfloc 4800'!C285,".",","),IFERROR(_xludf.NUMBERVALUE('Procyfloc 4800'!C285,",","."),0))))</f>
        <v/>
      </c>
      <c r="AE3284" t="str">
        <f>IF(AA3284="","",'Procyfloc 4800'!J285)</f>
        <v/>
      </c>
      <c r="AF3284">
        <f t="shared" si="323"/>
        <v>0</v>
      </c>
      <c r="AG3284" t="str">
        <f t="shared" si="324"/>
        <v/>
      </c>
      <c r="AH3284" t="str">
        <f t="shared" si="325"/>
        <v/>
      </c>
      <c r="AI3284">
        <f t="shared" si="326"/>
        <v>0</v>
      </c>
      <c r="AJ3284">
        <f t="shared" si="327"/>
        <v>0</v>
      </c>
      <c r="AK3284">
        <v>0</v>
      </c>
      <c r="AL3284" t="str">
        <f>IF(AA3284="","",IFERROR(IF(ISNUMBER('Procyfloc 4800'!D285),'Procyfloc 4800'!D285,IF(ISNUMBER(SEARCH("12",'Procyfloc 4800'!D285)),EDATE(AB3284,12),IF(ISNUMBER(SEARCH("6",'Procyfloc 4800'!D285)),EDATE(AB3284,6),IF(ISNUMBER(SEARCH("3",'Procyfloc 4800'!D285)),EDATE(AB3284,3),DATEVALUE('Procyfloc 4800'!D285))))),""))</f>
        <v/>
      </c>
      <c r="AM3284" t="str">
        <f t="shared" ca="1" si="328"/>
        <v/>
      </c>
    </row>
    <row r="3285" spans="27:39" x14ac:dyDescent="0.3">
      <c r="AA3285" t="str">
        <f>IF(COUNTA('Procyfloc 4800'!A286,'Procyfloc 4800'!B286,'Procyfloc 4800'!C286)&gt;0,"4800","")</f>
        <v/>
      </c>
      <c r="AB3285" t="str">
        <f>IFERROR(IF(ISNUMBER('Procyfloc 4800'!A286),'Procyfloc 4800'!A286,DATEVALUE('Procyfloc 4800'!A286)),"")</f>
        <v/>
      </c>
      <c r="AC3285" t="str">
        <f>IF(AA3285="","",'Procyfloc 4800'!B286)</f>
        <v/>
      </c>
      <c r="AD3285" t="str">
        <f>IF(AA3285="","",IFERROR(1*'Procyfloc 4800'!C286,IFERROR(_xludf.NUMBERVALUE('Procyfloc 4800'!C286,".",","),IFERROR(_xludf.NUMBERVALUE('Procyfloc 4800'!C286,",","."),0))))</f>
        <v/>
      </c>
      <c r="AE3285" t="str">
        <f>IF(AA3285="","",'Procyfloc 4800'!J286)</f>
        <v/>
      </c>
      <c r="AF3285">
        <f t="shared" si="323"/>
        <v>0</v>
      </c>
      <c r="AG3285" t="str">
        <f t="shared" si="324"/>
        <v/>
      </c>
      <c r="AH3285" t="str">
        <f t="shared" si="325"/>
        <v/>
      </c>
      <c r="AI3285">
        <f t="shared" si="326"/>
        <v>0</v>
      </c>
      <c r="AJ3285">
        <f t="shared" si="327"/>
        <v>0</v>
      </c>
      <c r="AK3285">
        <v>0</v>
      </c>
      <c r="AL3285" t="str">
        <f>IF(AA3285="","",IFERROR(IF(ISNUMBER('Procyfloc 4800'!D286),'Procyfloc 4800'!D286,IF(ISNUMBER(SEARCH("12",'Procyfloc 4800'!D286)),EDATE(AB3285,12),IF(ISNUMBER(SEARCH("6",'Procyfloc 4800'!D286)),EDATE(AB3285,6),IF(ISNUMBER(SEARCH("3",'Procyfloc 4800'!D286)),EDATE(AB3285,3),DATEVALUE('Procyfloc 4800'!D286))))),""))</f>
        <v/>
      </c>
      <c r="AM3285" t="str">
        <f t="shared" ca="1" si="328"/>
        <v/>
      </c>
    </row>
    <row r="3286" spans="27:39" x14ac:dyDescent="0.3">
      <c r="AA3286" t="str">
        <f>IF(COUNTA('Procyfloc 4800'!A287,'Procyfloc 4800'!B287,'Procyfloc 4800'!C287)&gt;0,"4800","")</f>
        <v/>
      </c>
      <c r="AB3286" t="str">
        <f>IFERROR(IF(ISNUMBER('Procyfloc 4800'!A287),'Procyfloc 4800'!A287,DATEVALUE('Procyfloc 4800'!A287)),"")</f>
        <v/>
      </c>
      <c r="AC3286" t="str">
        <f>IF(AA3286="","",'Procyfloc 4800'!B287)</f>
        <v/>
      </c>
      <c r="AD3286" t="str">
        <f>IF(AA3286="","",IFERROR(1*'Procyfloc 4800'!C287,IFERROR(_xludf.NUMBERVALUE('Procyfloc 4800'!C287,".",","),IFERROR(_xludf.NUMBERVALUE('Procyfloc 4800'!C287,",","."),0))))</f>
        <v/>
      </c>
      <c r="AE3286" t="str">
        <f>IF(AA3286="","",'Procyfloc 4800'!J287)</f>
        <v/>
      </c>
      <c r="AF3286">
        <f t="shared" si="323"/>
        <v>0</v>
      </c>
      <c r="AG3286" t="str">
        <f t="shared" si="324"/>
        <v/>
      </c>
      <c r="AH3286" t="str">
        <f t="shared" si="325"/>
        <v/>
      </c>
      <c r="AI3286">
        <f t="shared" si="326"/>
        <v>0</v>
      </c>
      <c r="AJ3286">
        <f t="shared" si="327"/>
        <v>0</v>
      </c>
      <c r="AK3286">
        <v>0</v>
      </c>
      <c r="AL3286" t="str">
        <f>IF(AA3286="","",IFERROR(IF(ISNUMBER('Procyfloc 4800'!D287),'Procyfloc 4800'!D287,IF(ISNUMBER(SEARCH("12",'Procyfloc 4800'!D287)),EDATE(AB3286,12),IF(ISNUMBER(SEARCH("6",'Procyfloc 4800'!D287)),EDATE(AB3286,6),IF(ISNUMBER(SEARCH("3",'Procyfloc 4800'!D287)),EDATE(AB3286,3),DATEVALUE('Procyfloc 4800'!D287))))),""))</f>
        <v/>
      </c>
      <c r="AM3286" t="str">
        <f t="shared" ca="1" si="328"/>
        <v/>
      </c>
    </row>
    <row r="3287" spans="27:39" x14ac:dyDescent="0.3">
      <c r="AA3287" t="str">
        <f>IF(COUNTA('Procyfloc 4800'!A288,'Procyfloc 4800'!B288,'Procyfloc 4800'!C288)&gt;0,"4800","")</f>
        <v/>
      </c>
      <c r="AB3287" t="str">
        <f>IFERROR(IF(ISNUMBER('Procyfloc 4800'!A288),'Procyfloc 4800'!A288,DATEVALUE('Procyfloc 4800'!A288)),"")</f>
        <v/>
      </c>
      <c r="AC3287" t="str">
        <f>IF(AA3287="","",'Procyfloc 4800'!B288)</f>
        <v/>
      </c>
      <c r="AD3287" t="str">
        <f>IF(AA3287="","",IFERROR(1*'Procyfloc 4800'!C288,IFERROR(_xludf.NUMBERVALUE('Procyfloc 4800'!C288,".",","),IFERROR(_xludf.NUMBERVALUE('Procyfloc 4800'!C288,",","."),0))))</f>
        <v/>
      </c>
      <c r="AE3287" t="str">
        <f>IF(AA3287="","",'Procyfloc 4800'!J288)</f>
        <v/>
      </c>
      <c r="AF3287">
        <f t="shared" si="323"/>
        <v>0</v>
      </c>
      <c r="AG3287" t="str">
        <f t="shared" si="324"/>
        <v/>
      </c>
      <c r="AH3287" t="str">
        <f t="shared" si="325"/>
        <v/>
      </c>
      <c r="AI3287">
        <f t="shared" si="326"/>
        <v>0</v>
      </c>
      <c r="AJ3287">
        <f t="shared" si="327"/>
        <v>0</v>
      </c>
      <c r="AK3287">
        <v>0</v>
      </c>
      <c r="AL3287" t="str">
        <f>IF(AA3287="","",IFERROR(IF(ISNUMBER('Procyfloc 4800'!D288),'Procyfloc 4800'!D288,IF(ISNUMBER(SEARCH("12",'Procyfloc 4800'!D288)),EDATE(AB3287,12),IF(ISNUMBER(SEARCH("6",'Procyfloc 4800'!D288)),EDATE(AB3287,6),IF(ISNUMBER(SEARCH("3",'Procyfloc 4800'!D288)),EDATE(AB3287,3),DATEVALUE('Procyfloc 4800'!D288))))),""))</f>
        <v/>
      </c>
      <c r="AM3287" t="str">
        <f t="shared" ca="1" si="328"/>
        <v/>
      </c>
    </row>
    <row r="3288" spans="27:39" x14ac:dyDescent="0.3">
      <c r="AA3288" t="str">
        <f>IF(COUNTA('Procyfloc 4800'!A289,'Procyfloc 4800'!B289,'Procyfloc 4800'!C289)&gt;0,"4800","")</f>
        <v/>
      </c>
      <c r="AB3288" t="str">
        <f>IFERROR(IF(ISNUMBER('Procyfloc 4800'!A289),'Procyfloc 4800'!A289,DATEVALUE('Procyfloc 4800'!A289)),"")</f>
        <v/>
      </c>
      <c r="AC3288" t="str">
        <f>IF(AA3288="","",'Procyfloc 4800'!B289)</f>
        <v/>
      </c>
      <c r="AD3288" t="str">
        <f>IF(AA3288="","",IFERROR(1*'Procyfloc 4800'!C289,IFERROR(_xludf.NUMBERVALUE('Procyfloc 4800'!C289,".",","),IFERROR(_xludf.NUMBERVALUE('Procyfloc 4800'!C289,",","."),0))))</f>
        <v/>
      </c>
      <c r="AE3288" t="str">
        <f>IF(AA3288="","",'Procyfloc 4800'!J289)</f>
        <v/>
      </c>
      <c r="AF3288">
        <f t="shared" si="323"/>
        <v>0</v>
      </c>
      <c r="AG3288" t="str">
        <f t="shared" si="324"/>
        <v/>
      </c>
      <c r="AH3288" t="str">
        <f t="shared" si="325"/>
        <v/>
      </c>
      <c r="AI3288">
        <f t="shared" si="326"/>
        <v>0</v>
      </c>
      <c r="AJ3288">
        <f t="shared" si="327"/>
        <v>0</v>
      </c>
      <c r="AK3288">
        <v>0</v>
      </c>
      <c r="AL3288" t="str">
        <f>IF(AA3288="","",IFERROR(IF(ISNUMBER('Procyfloc 4800'!D289),'Procyfloc 4800'!D289,IF(ISNUMBER(SEARCH("12",'Procyfloc 4800'!D289)),EDATE(AB3288,12),IF(ISNUMBER(SEARCH("6",'Procyfloc 4800'!D289)),EDATE(AB3288,6),IF(ISNUMBER(SEARCH("3",'Procyfloc 4800'!D289)),EDATE(AB3288,3),DATEVALUE('Procyfloc 4800'!D289))))),""))</f>
        <v/>
      </c>
      <c r="AM3288" t="str">
        <f t="shared" ca="1" si="328"/>
        <v/>
      </c>
    </row>
    <row r="3289" spans="27:39" x14ac:dyDescent="0.3">
      <c r="AA3289" t="str">
        <f>IF(COUNTA('Procyfloc 4800'!A290,'Procyfloc 4800'!B290,'Procyfloc 4800'!C290)&gt;0,"4800","")</f>
        <v/>
      </c>
      <c r="AB3289" t="str">
        <f>IFERROR(IF(ISNUMBER('Procyfloc 4800'!A290),'Procyfloc 4800'!A290,DATEVALUE('Procyfloc 4800'!A290)),"")</f>
        <v/>
      </c>
      <c r="AC3289" t="str">
        <f>IF(AA3289="","",'Procyfloc 4800'!B290)</f>
        <v/>
      </c>
      <c r="AD3289" t="str">
        <f>IF(AA3289="","",IFERROR(1*'Procyfloc 4800'!C290,IFERROR(_xludf.NUMBERVALUE('Procyfloc 4800'!C290,".",","),IFERROR(_xludf.NUMBERVALUE('Procyfloc 4800'!C290,",","."),0))))</f>
        <v/>
      </c>
      <c r="AE3289" t="str">
        <f>IF(AA3289="","",'Procyfloc 4800'!J290)</f>
        <v/>
      </c>
      <c r="AF3289">
        <f t="shared" si="323"/>
        <v>0</v>
      </c>
      <c r="AG3289" t="str">
        <f t="shared" si="324"/>
        <v/>
      </c>
      <c r="AH3289" t="str">
        <f t="shared" si="325"/>
        <v/>
      </c>
      <c r="AI3289">
        <f t="shared" si="326"/>
        <v>0</v>
      </c>
      <c r="AJ3289">
        <f t="shared" si="327"/>
        <v>0</v>
      </c>
      <c r="AK3289">
        <v>0</v>
      </c>
      <c r="AL3289" t="str">
        <f>IF(AA3289="","",IFERROR(IF(ISNUMBER('Procyfloc 4800'!D290),'Procyfloc 4800'!D290,IF(ISNUMBER(SEARCH("12",'Procyfloc 4800'!D290)),EDATE(AB3289,12),IF(ISNUMBER(SEARCH("6",'Procyfloc 4800'!D290)),EDATE(AB3289,6),IF(ISNUMBER(SEARCH("3",'Procyfloc 4800'!D290)),EDATE(AB3289,3),DATEVALUE('Procyfloc 4800'!D290))))),""))</f>
        <v/>
      </c>
      <c r="AM3289" t="str">
        <f t="shared" ca="1" si="328"/>
        <v/>
      </c>
    </row>
    <row r="3290" spans="27:39" x14ac:dyDescent="0.3">
      <c r="AA3290" t="str">
        <f>IF(COUNTA('Procyfloc 4800'!A291,'Procyfloc 4800'!B291,'Procyfloc 4800'!C291)&gt;0,"4800","")</f>
        <v/>
      </c>
      <c r="AB3290" t="str">
        <f>IFERROR(IF(ISNUMBER('Procyfloc 4800'!A291),'Procyfloc 4800'!A291,DATEVALUE('Procyfloc 4800'!A291)),"")</f>
        <v/>
      </c>
      <c r="AC3290" t="str">
        <f>IF(AA3290="","",'Procyfloc 4800'!B291)</f>
        <v/>
      </c>
      <c r="AD3290" t="str">
        <f>IF(AA3290="","",IFERROR(1*'Procyfloc 4800'!C291,IFERROR(_xludf.NUMBERVALUE('Procyfloc 4800'!C291,".",","),IFERROR(_xludf.NUMBERVALUE('Procyfloc 4800'!C291,",","."),0))))</f>
        <v/>
      </c>
      <c r="AE3290" t="str">
        <f>IF(AA3290="","",'Procyfloc 4800'!J291)</f>
        <v/>
      </c>
      <c r="AF3290">
        <f t="shared" si="323"/>
        <v>0</v>
      </c>
      <c r="AG3290" t="str">
        <f t="shared" si="324"/>
        <v/>
      </c>
      <c r="AH3290" t="str">
        <f t="shared" si="325"/>
        <v/>
      </c>
      <c r="AI3290">
        <f t="shared" si="326"/>
        <v>0</v>
      </c>
      <c r="AJ3290">
        <f t="shared" si="327"/>
        <v>0</v>
      </c>
      <c r="AK3290">
        <v>0</v>
      </c>
      <c r="AL3290" t="str">
        <f>IF(AA3290="","",IFERROR(IF(ISNUMBER('Procyfloc 4800'!D291),'Procyfloc 4800'!D291,IF(ISNUMBER(SEARCH("12",'Procyfloc 4800'!D291)),EDATE(AB3290,12),IF(ISNUMBER(SEARCH("6",'Procyfloc 4800'!D291)),EDATE(AB3290,6),IF(ISNUMBER(SEARCH("3",'Procyfloc 4800'!D291)),EDATE(AB3290,3),DATEVALUE('Procyfloc 4800'!D291))))),""))</f>
        <v/>
      </c>
      <c r="AM3290" t="str">
        <f t="shared" ca="1" si="328"/>
        <v/>
      </c>
    </row>
    <row r="3291" spans="27:39" x14ac:dyDescent="0.3">
      <c r="AA3291" t="str">
        <f>IF(COUNTA('Procyfloc 4800'!A292,'Procyfloc 4800'!B292,'Procyfloc 4800'!C292)&gt;0,"4800","")</f>
        <v/>
      </c>
      <c r="AB3291" t="str">
        <f>IFERROR(IF(ISNUMBER('Procyfloc 4800'!A292),'Procyfloc 4800'!A292,DATEVALUE('Procyfloc 4800'!A292)),"")</f>
        <v/>
      </c>
      <c r="AC3291" t="str">
        <f>IF(AA3291="","",'Procyfloc 4800'!B292)</f>
        <v/>
      </c>
      <c r="AD3291" t="str">
        <f>IF(AA3291="","",IFERROR(1*'Procyfloc 4800'!C292,IFERROR(_xludf.NUMBERVALUE('Procyfloc 4800'!C292,".",","),IFERROR(_xludf.NUMBERVALUE('Procyfloc 4800'!C292,",","."),0))))</f>
        <v/>
      </c>
      <c r="AE3291" t="str">
        <f>IF(AA3291="","",'Procyfloc 4800'!J292)</f>
        <v/>
      </c>
      <c r="AF3291">
        <f t="shared" si="323"/>
        <v>0</v>
      </c>
      <c r="AG3291" t="str">
        <f t="shared" si="324"/>
        <v/>
      </c>
      <c r="AH3291" t="str">
        <f t="shared" si="325"/>
        <v/>
      </c>
      <c r="AI3291">
        <f t="shared" si="326"/>
        <v>0</v>
      </c>
      <c r="AJ3291">
        <f t="shared" si="327"/>
        <v>0</v>
      </c>
      <c r="AK3291">
        <v>0</v>
      </c>
      <c r="AL3291" t="str">
        <f>IF(AA3291="","",IFERROR(IF(ISNUMBER('Procyfloc 4800'!D292),'Procyfloc 4800'!D292,IF(ISNUMBER(SEARCH("12",'Procyfloc 4800'!D292)),EDATE(AB3291,12),IF(ISNUMBER(SEARCH("6",'Procyfloc 4800'!D292)),EDATE(AB3291,6),IF(ISNUMBER(SEARCH("3",'Procyfloc 4800'!D292)),EDATE(AB3291,3),DATEVALUE('Procyfloc 4800'!D292))))),""))</f>
        <v/>
      </c>
      <c r="AM3291" t="str">
        <f t="shared" ca="1" si="328"/>
        <v/>
      </c>
    </row>
    <row r="3292" spans="27:39" x14ac:dyDescent="0.3">
      <c r="AA3292" t="str">
        <f>IF(COUNTA('Procyfloc 4800'!A293,'Procyfloc 4800'!B293,'Procyfloc 4800'!C293)&gt;0,"4800","")</f>
        <v/>
      </c>
      <c r="AB3292" t="str">
        <f>IFERROR(IF(ISNUMBER('Procyfloc 4800'!A293),'Procyfloc 4800'!A293,DATEVALUE('Procyfloc 4800'!A293)),"")</f>
        <v/>
      </c>
      <c r="AC3292" t="str">
        <f>IF(AA3292="","",'Procyfloc 4800'!B293)</f>
        <v/>
      </c>
      <c r="AD3292" t="str">
        <f>IF(AA3292="","",IFERROR(1*'Procyfloc 4800'!C293,IFERROR(_xludf.NUMBERVALUE('Procyfloc 4800'!C293,".",","),IFERROR(_xludf.NUMBERVALUE('Procyfloc 4800'!C293,",","."),0))))</f>
        <v/>
      </c>
      <c r="AE3292" t="str">
        <f>IF(AA3292="","",'Procyfloc 4800'!J293)</f>
        <v/>
      </c>
      <c r="AF3292">
        <f t="shared" si="323"/>
        <v>0</v>
      </c>
      <c r="AG3292" t="str">
        <f t="shared" si="324"/>
        <v/>
      </c>
      <c r="AH3292" t="str">
        <f t="shared" si="325"/>
        <v/>
      </c>
      <c r="AI3292">
        <f t="shared" si="326"/>
        <v>0</v>
      </c>
      <c r="AJ3292">
        <f t="shared" si="327"/>
        <v>0</v>
      </c>
      <c r="AK3292">
        <v>0</v>
      </c>
      <c r="AL3292" t="str">
        <f>IF(AA3292="","",IFERROR(IF(ISNUMBER('Procyfloc 4800'!D293),'Procyfloc 4800'!D293,IF(ISNUMBER(SEARCH("12",'Procyfloc 4800'!D293)),EDATE(AB3292,12),IF(ISNUMBER(SEARCH("6",'Procyfloc 4800'!D293)),EDATE(AB3292,6),IF(ISNUMBER(SEARCH("3",'Procyfloc 4800'!D293)),EDATE(AB3292,3),DATEVALUE('Procyfloc 4800'!D293))))),""))</f>
        <v/>
      </c>
      <c r="AM3292" t="str">
        <f t="shared" ca="1" si="328"/>
        <v/>
      </c>
    </row>
    <row r="3293" spans="27:39" x14ac:dyDescent="0.3">
      <c r="AA3293" t="str">
        <f>IF(COUNTA('Procyfloc 4800'!A294,'Procyfloc 4800'!B294,'Procyfloc 4800'!C294)&gt;0,"4800","")</f>
        <v/>
      </c>
      <c r="AB3293" t="str">
        <f>IFERROR(IF(ISNUMBER('Procyfloc 4800'!A294),'Procyfloc 4800'!A294,DATEVALUE('Procyfloc 4800'!A294)),"")</f>
        <v/>
      </c>
      <c r="AC3293" t="str">
        <f>IF(AA3293="","",'Procyfloc 4800'!B294)</f>
        <v/>
      </c>
      <c r="AD3293" t="str">
        <f>IF(AA3293="","",IFERROR(1*'Procyfloc 4800'!C294,IFERROR(_xludf.NUMBERVALUE('Procyfloc 4800'!C294,".",","),IFERROR(_xludf.NUMBERVALUE('Procyfloc 4800'!C294,",","."),0))))</f>
        <v/>
      </c>
      <c r="AE3293" t="str">
        <f>IF(AA3293="","",'Procyfloc 4800'!J294)</f>
        <v/>
      </c>
      <c r="AF3293">
        <f t="shared" si="323"/>
        <v>0</v>
      </c>
      <c r="AG3293" t="str">
        <f t="shared" si="324"/>
        <v/>
      </c>
      <c r="AH3293" t="str">
        <f t="shared" si="325"/>
        <v/>
      </c>
      <c r="AI3293">
        <f t="shared" si="326"/>
        <v>0</v>
      </c>
      <c r="AJ3293">
        <f t="shared" si="327"/>
        <v>0</v>
      </c>
      <c r="AK3293">
        <v>0</v>
      </c>
      <c r="AL3293" t="str">
        <f>IF(AA3293="","",IFERROR(IF(ISNUMBER('Procyfloc 4800'!D294),'Procyfloc 4800'!D294,IF(ISNUMBER(SEARCH("12",'Procyfloc 4800'!D294)),EDATE(AB3293,12),IF(ISNUMBER(SEARCH("6",'Procyfloc 4800'!D294)),EDATE(AB3293,6),IF(ISNUMBER(SEARCH("3",'Procyfloc 4800'!D294)),EDATE(AB3293,3),DATEVALUE('Procyfloc 4800'!D294))))),""))</f>
        <v/>
      </c>
      <c r="AM3293" t="str">
        <f t="shared" ca="1" si="328"/>
        <v/>
      </c>
    </row>
    <row r="3294" spans="27:39" x14ac:dyDescent="0.3">
      <c r="AA3294" t="str">
        <f>IF(COUNTA('Procyfloc 4800'!A295,'Procyfloc 4800'!B295,'Procyfloc 4800'!C295)&gt;0,"4800","")</f>
        <v/>
      </c>
      <c r="AB3294" t="str">
        <f>IFERROR(IF(ISNUMBER('Procyfloc 4800'!A295),'Procyfloc 4800'!A295,DATEVALUE('Procyfloc 4800'!A295)),"")</f>
        <v/>
      </c>
      <c r="AC3294" t="str">
        <f>IF(AA3294="","",'Procyfloc 4800'!B295)</f>
        <v/>
      </c>
      <c r="AD3294" t="str">
        <f>IF(AA3294="","",IFERROR(1*'Procyfloc 4800'!C295,IFERROR(_xludf.NUMBERVALUE('Procyfloc 4800'!C295,".",","),IFERROR(_xludf.NUMBERVALUE('Procyfloc 4800'!C295,",","."),0))))</f>
        <v/>
      </c>
      <c r="AE3294" t="str">
        <f>IF(AA3294="","",'Procyfloc 4800'!J295)</f>
        <v/>
      </c>
      <c r="AF3294">
        <f t="shared" si="323"/>
        <v>0</v>
      </c>
      <c r="AG3294" t="str">
        <f t="shared" si="324"/>
        <v/>
      </c>
      <c r="AH3294" t="str">
        <f t="shared" si="325"/>
        <v/>
      </c>
      <c r="AI3294">
        <f t="shared" si="326"/>
        <v>0</v>
      </c>
      <c r="AJ3294">
        <f t="shared" si="327"/>
        <v>0</v>
      </c>
      <c r="AK3294">
        <v>0</v>
      </c>
      <c r="AL3294" t="str">
        <f>IF(AA3294="","",IFERROR(IF(ISNUMBER('Procyfloc 4800'!D295),'Procyfloc 4800'!D295,IF(ISNUMBER(SEARCH("12",'Procyfloc 4800'!D295)),EDATE(AB3294,12),IF(ISNUMBER(SEARCH("6",'Procyfloc 4800'!D295)),EDATE(AB3294,6),IF(ISNUMBER(SEARCH("3",'Procyfloc 4800'!D295)),EDATE(AB3294,3),DATEVALUE('Procyfloc 4800'!D295))))),""))</f>
        <v/>
      </c>
      <c r="AM3294" t="str">
        <f t="shared" ca="1" si="328"/>
        <v/>
      </c>
    </row>
    <row r="3295" spans="27:39" x14ac:dyDescent="0.3">
      <c r="AA3295" t="str">
        <f>IF(COUNTA('Procyfloc 4800'!A296,'Procyfloc 4800'!B296,'Procyfloc 4800'!C296)&gt;0,"4800","")</f>
        <v/>
      </c>
      <c r="AB3295" t="str">
        <f>IFERROR(IF(ISNUMBER('Procyfloc 4800'!A296),'Procyfloc 4800'!A296,DATEVALUE('Procyfloc 4800'!A296)),"")</f>
        <v/>
      </c>
      <c r="AC3295" t="str">
        <f>IF(AA3295="","",'Procyfloc 4800'!B296)</f>
        <v/>
      </c>
      <c r="AD3295" t="str">
        <f>IF(AA3295="","",IFERROR(1*'Procyfloc 4800'!C296,IFERROR(_xludf.NUMBERVALUE('Procyfloc 4800'!C296,".",","),IFERROR(_xludf.NUMBERVALUE('Procyfloc 4800'!C296,",","."),0))))</f>
        <v/>
      </c>
      <c r="AE3295" t="str">
        <f>IF(AA3295="","",'Procyfloc 4800'!J296)</f>
        <v/>
      </c>
      <c r="AF3295">
        <f t="shared" si="323"/>
        <v>0</v>
      </c>
      <c r="AG3295" t="str">
        <f t="shared" si="324"/>
        <v/>
      </c>
      <c r="AH3295" t="str">
        <f t="shared" si="325"/>
        <v/>
      </c>
      <c r="AI3295">
        <f t="shared" si="326"/>
        <v>0</v>
      </c>
      <c r="AJ3295">
        <f t="shared" si="327"/>
        <v>0</v>
      </c>
      <c r="AK3295">
        <v>0</v>
      </c>
      <c r="AL3295" t="str">
        <f>IF(AA3295="","",IFERROR(IF(ISNUMBER('Procyfloc 4800'!D296),'Procyfloc 4800'!D296,IF(ISNUMBER(SEARCH("12",'Procyfloc 4800'!D296)),EDATE(AB3295,12),IF(ISNUMBER(SEARCH("6",'Procyfloc 4800'!D296)),EDATE(AB3295,6),IF(ISNUMBER(SEARCH("3",'Procyfloc 4800'!D296)),EDATE(AB3295,3),DATEVALUE('Procyfloc 4800'!D296))))),""))</f>
        <v/>
      </c>
      <c r="AM3295" t="str">
        <f t="shared" ca="1" si="328"/>
        <v/>
      </c>
    </row>
    <row r="3296" spans="27:39" x14ac:dyDescent="0.3">
      <c r="AA3296" t="str">
        <f>IF(COUNTA('Procyfloc 4800'!A297,'Procyfloc 4800'!B297,'Procyfloc 4800'!C297)&gt;0,"4800","")</f>
        <v/>
      </c>
      <c r="AB3296" t="str">
        <f>IFERROR(IF(ISNUMBER('Procyfloc 4800'!A297),'Procyfloc 4800'!A297,DATEVALUE('Procyfloc 4800'!A297)),"")</f>
        <v/>
      </c>
      <c r="AC3296" t="str">
        <f>IF(AA3296="","",'Procyfloc 4800'!B297)</f>
        <v/>
      </c>
      <c r="AD3296" t="str">
        <f>IF(AA3296="","",IFERROR(1*'Procyfloc 4800'!C297,IFERROR(_xludf.NUMBERVALUE('Procyfloc 4800'!C297,".",","),IFERROR(_xludf.NUMBERVALUE('Procyfloc 4800'!C297,",","."),0))))</f>
        <v/>
      </c>
      <c r="AE3296" t="str">
        <f>IF(AA3296="","",'Procyfloc 4800'!J297)</f>
        <v/>
      </c>
      <c r="AF3296">
        <f t="shared" si="323"/>
        <v>0</v>
      </c>
      <c r="AG3296" t="str">
        <f t="shared" si="324"/>
        <v/>
      </c>
      <c r="AH3296" t="str">
        <f t="shared" si="325"/>
        <v/>
      </c>
      <c r="AI3296">
        <f t="shared" si="326"/>
        <v>0</v>
      </c>
      <c r="AJ3296">
        <f t="shared" si="327"/>
        <v>0</v>
      </c>
      <c r="AK3296">
        <v>0</v>
      </c>
      <c r="AL3296" t="str">
        <f>IF(AA3296="","",IFERROR(IF(ISNUMBER('Procyfloc 4800'!D297),'Procyfloc 4800'!D297,IF(ISNUMBER(SEARCH("12",'Procyfloc 4800'!D297)),EDATE(AB3296,12),IF(ISNUMBER(SEARCH("6",'Procyfloc 4800'!D297)),EDATE(AB3296,6),IF(ISNUMBER(SEARCH("3",'Procyfloc 4800'!D297)),EDATE(AB3296,3),DATEVALUE('Procyfloc 4800'!D297))))),""))</f>
        <v/>
      </c>
      <c r="AM3296" t="str">
        <f t="shared" ca="1" si="328"/>
        <v/>
      </c>
    </row>
    <row r="3297" spans="27:39" x14ac:dyDescent="0.3">
      <c r="AA3297" t="str">
        <f>IF(COUNTA('Procyfloc 4800'!A298,'Procyfloc 4800'!B298,'Procyfloc 4800'!C298)&gt;0,"4800","")</f>
        <v/>
      </c>
      <c r="AB3297" t="str">
        <f>IFERROR(IF(ISNUMBER('Procyfloc 4800'!A298),'Procyfloc 4800'!A298,DATEVALUE('Procyfloc 4800'!A298)),"")</f>
        <v/>
      </c>
      <c r="AC3297" t="str">
        <f>IF(AA3297="","",'Procyfloc 4800'!B298)</f>
        <v/>
      </c>
      <c r="AD3297" t="str">
        <f>IF(AA3297="","",IFERROR(1*'Procyfloc 4800'!C298,IFERROR(_xludf.NUMBERVALUE('Procyfloc 4800'!C298,".",","),IFERROR(_xludf.NUMBERVALUE('Procyfloc 4800'!C298,",","."),0))))</f>
        <v/>
      </c>
      <c r="AE3297" t="str">
        <f>IF(AA3297="","",'Procyfloc 4800'!J298)</f>
        <v/>
      </c>
      <c r="AF3297">
        <f t="shared" si="323"/>
        <v>0</v>
      </c>
      <c r="AG3297" t="str">
        <f t="shared" si="324"/>
        <v/>
      </c>
      <c r="AH3297" t="str">
        <f t="shared" si="325"/>
        <v/>
      </c>
      <c r="AI3297">
        <f t="shared" si="326"/>
        <v>0</v>
      </c>
      <c r="AJ3297">
        <f t="shared" si="327"/>
        <v>0</v>
      </c>
      <c r="AK3297">
        <v>0</v>
      </c>
      <c r="AL3297" t="str">
        <f>IF(AA3297="","",IFERROR(IF(ISNUMBER('Procyfloc 4800'!D298),'Procyfloc 4800'!D298,IF(ISNUMBER(SEARCH("12",'Procyfloc 4800'!D298)),EDATE(AB3297,12),IF(ISNUMBER(SEARCH("6",'Procyfloc 4800'!D298)),EDATE(AB3297,6),IF(ISNUMBER(SEARCH("3",'Procyfloc 4800'!D298)),EDATE(AB3297,3),DATEVALUE('Procyfloc 4800'!D298))))),""))</f>
        <v/>
      </c>
      <c r="AM3297" t="str">
        <f t="shared" ca="1" si="328"/>
        <v/>
      </c>
    </row>
    <row r="3298" spans="27:39" x14ac:dyDescent="0.3">
      <c r="AA3298" t="str">
        <f>IF(COUNTA('Procyfloc 4800'!A299,'Procyfloc 4800'!B299,'Procyfloc 4800'!C299)&gt;0,"4800","")</f>
        <v/>
      </c>
      <c r="AB3298" t="str">
        <f>IFERROR(IF(ISNUMBER('Procyfloc 4800'!A299),'Procyfloc 4800'!A299,DATEVALUE('Procyfloc 4800'!A299)),"")</f>
        <v/>
      </c>
      <c r="AC3298" t="str">
        <f>IF(AA3298="","",'Procyfloc 4800'!B299)</f>
        <v/>
      </c>
      <c r="AD3298" t="str">
        <f>IF(AA3298="","",IFERROR(1*'Procyfloc 4800'!C299,IFERROR(_xludf.NUMBERVALUE('Procyfloc 4800'!C299,".",","),IFERROR(_xludf.NUMBERVALUE('Procyfloc 4800'!C299,",","."),0))))</f>
        <v/>
      </c>
      <c r="AE3298" t="str">
        <f>IF(AA3298="","",'Procyfloc 4800'!J299)</f>
        <v/>
      </c>
      <c r="AF3298">
        <f t="shared" si="323"/>
        <v>0</v>
      </c>
      <c r="AG3298" t="str">
        <f t="shared" si="324"/>
        <v/>
      </c>
      <c r="AH3298" t="str">
        <f t="shared" si="325"/>
        <v/>
      </c>
      <c r="AI3298">
        <f t="shared" si="326"/>
        <v>0</v>
      </c>
      <c r="AJ3298">
        <f t="shared" si="327"/>
        <v>0</v>
      </c>
      <c r="AK3298">
        <v>0</v>
      </c>
      <c r="AL3298" t="str">
        <f>IF(AA3298="","",IFERROR(IF(ISNUMBER('Procyfloc 4800'!D299),'Procyfloc 4800'!D299,IF(ISNUMBER(SEARCH("12",'Procyfloc 4800'!D299)),EDATE(AB3298,12),IF(ISNUMBER(SEARCH("6",'Procyfloc 4800'!D299)),EDATE(AB3298,6),IF(ISNUMBER(SEARCH("3",'Procyfloc 4800'!D299)),EDATE(AB3298,3),DATEVALUE('Procyfloc 4800'!D299))))),""))</f>
        <v/>
      </c>
      <c r="AM3298" t="str">
        <f t="shared" ca="1" si="328"/>
        <v/>
      </c>
    </row>
    <row r="3299" spans="27:39" x14ac:dyDescent="0.3">
      <c r="AA3299" t="str">
        <f>IF(COUNTA('Procyfloc 4800'!A300,'Procyfloc 4800'!B300,'Procyfloc 4800'!C300)&gt;0,"4800","")</f>
        <v/>
      </c>
      <c r="AB3299" t="str">
        <f>IFERROR(IF(ISNUMBER('Procyfloc 4800'!A300),'Procyfloc 4800'!A300,DATEVALUE('Procyfloc 4800'!A300)),"")</f>
        <v/>
      </c>
      <c r="AC3299" t="str">
        <f>IF(AA3299="","",'Procyfloc 4800'!B300)</f>
        <v/>
      </c>
      <c r="AD3299" t="str">
        <f>IF(AA3299="","",IFERROR(1*'Procyfloc 4800'!C300,IFERROR(_xludf.NUMBERVALUE('Procyfloc 4800'!C300,".",","),IFERROR(_xludf.NUMBERVALUE('Procyfloc 4800'!C300,",","."),0))))</f>
        <v/>
      </c>
      <c r="AE3299" t="str">
        <f>IF(AA3299="","",'Procyfloc 4800'!J300)</f>
        <v/>
      </c>
      <c r="AF3299">
        <f t="shared" si="323"/>
        <v>0</v>
      </c>
      <c r="AG3299" t="str">
        <f t="shared" si="324"/>
        <v/>
      </c>
      <c r="AH3299" t="str">
        <f t="shared" si="325"/>
        <v/>
      </c>
      <c r="AI3299">
        <f t="shared" si="326"/>
        <v>0</v>
      </c>
      <c r="AJ3299">
        <f t="shared" si="327"/>
        <v>0</v>
      </c>
      <c r="AK3299">
        <v>0</v>
      </c>
      <c r="AL3299" t="str">
        <f>IF(AA3299="","",IFERROR(IF(ISNUMBER('Procyfloc 4800'!D300),'Procyfloc 4800'!D300,IF(ISNUMBER(SEARCH("12",'Procyfloc 4800'!D300)),EDATE(AB3299,12),IF(ISNUMBER(SEARCH("6",'Procyfloc 4800'!D300)),EDATE(AB3299,6),IF(ISNUMBER(SEARCH("3",'Procyfloc 4800'!D300)),EDATE(AB3299,3),DATEVALUE('Procyfloc 4800'!D300))))),""))</f>
        <v/>
      </c>
      <c r="AM3299" t="str">
        <f t="shared" ca="1" si="328"/>
        <v/>
      </c>
    </row>
    <row r="3300" spans="27:39" x14ac:dyDescent="0.3">
      <c r="AA3300" t="str">
        <f>IF(COUNTA('Procyfloc 4800'!A301,'Procyfloc 4800'!B301,'Procyfloc 4800'!C301)&gt;0,"4800","")</f>
        <v/>
      </c>
      <c r="AB3300" t="str">
        <f>IFERROR(IF(ISNUMBER('Procyfloc 4800'!A301),'Procyfloc 4800'!A301,DATEVALUE('Procyfloc 4800'!A301)),"")</f>
        <v/>
      </c>
      <c r="AC3300" t="str">
        <f>IF(AA3300="","",'Procyfloc 4800'!B301)</f>
        <v/>
      </c>
      <c r="AD3300" t="str">
        <f>IF(AA3300="","",IFERROR(1*'Procyfloc 4800'!C301,IFERROR(_xludf.NUMBERVALUE('Procyfloc 4800'!C301,".",","),IFERROR(_xludf.NUMBERVALUE('Procyfloc 4800'!C301,",","."),0))))</f>
        <v/>
      </c>
      <c r="AE3300" t="str">
        <f>IF(AA3300="","",'Procyfloc 4800'!J301)</f>
        <v/>
      </c>
      <c r="AF3300">
        <f t="shared" si="323"/>
        <v>0</v>
      </c>
      <c r="AG3300" t="str">
        <f t="shared" si="324"/>
        <v/>
      </c>
      <c r="AH3300" t="str">
        <f t="shared" si="325"/>
        <v/>
      </c>
      <c r="AI3300">
        <f t="shared" si="326"/>
        <v>0</v>
      </c>
      <c r="AJ3300">
        <f t="shared" si="327"/>
        <v>0</v>
      </c>
      <c r="AK3300">
        <v>0</v>
      </c>
      <c r="AL3300" t="str">
        <f>IF(AA3300="","",IFERROR(IF(ISNUMBER('Procyfloc 4800'!D301),'Procyfloc 4800'!D301,IF(ISNUMBER(SEARCH("12",'Procyfloc 4800'!D301)),EDATE(AB3300,12),IF(ISNUMBER(SEARCH("6",'Procyfloc 4800'!D301)),EDATE(AB3300,6),IF(ISNUMBER(SEARCH("3",'Procyfloc 4800'!D301)),EDATE(AB3300,3),DATEVALUE('Procyfloc 4800'!D301))))),""))</f>
        <v/>
      </c>
      <c r="AM3300" t="str">
        <f t="shared" ca="1" si="328"/>
        <v/>
      </c>
    </row>
    <row r="3301" spans="27:39" x14ac:dyDescent="0.3">
      <c r="AA3301" t="str">
        <f>IF(COUNTA('Procyfloc 4800'!A302,'Procyfloc 4800'!B302,'Procyfloc 4800'!C302)&gt;0,"4800","")</f>
        <v/>
      </c>
      <c r="AB3301" t="str">
        <f>IFERROR(IF(ISNUMBER('Procyfloc 4800'!A302),'Procyfloc 4800'!A302,DATEVALUE('Procyfloc 4800'!A302)),"")</f>
        <v/>
      </c>
      <c r="AC3301" t="str">
        <f>IF(AA3301="","",'Procyfloc 4800'!B302)</f>
        <v/>
      </c>
      <c r="AD3301" t="str">
        <f>IF(AA3301="","",IFERROR(1*'Procyfloc 4800'!C302,IFERROR(_xludf.NUMBERVALUE('Procyfloc 4800'!C302,".",","),IFERROR(_xludf.NUMBERVALUE('Procyfloc 4800'!C302,",","."),0))))</f>
        <v/>
      </c>
      <c r="AE3301" t="str">
        <f>IF(AA3301="","",'Procyfloc 4800'!J302)</f>
        <v/>
      </c>
      <c r="AF3301">
        <f t="shared" si="323"/>
        <v>0</v>
      </c>
      <c r="AG3301" t="str">
        <f t="shared" si="324"/>
        <v/>
      </c>
      <c r="AH3301" t="str">
        <f t="shared" si="325"/>
        <v/>
      </c>
      <c r="AI3301">
        <f t="shared" si="326"/>
        <v>0</v>
      </c>
      <c r="AJ3301">
        <f t="shared" si="327"/>
        <v>0</v>
      </c>
      <c r="AK3301">
        <v>0</v>
      </c>
      <c r="AL3301" t="str">
        <f>IF(AA3301="","",IFERROR(IF(ISNUMBER('Procyfloc 4800'!D302),'Procyfloc 4800'!D302,IF(ISNUMBER(SEARCH("12",'Procyfloc 4800'!D302)),EDATE(AB3301,12),IF(ISNUMBER(SEARCH("6",'Procyfloc 4800'!D302)),EDATE(AB3301,6),IF(ISNUMBER(SEARCH("3",'Procyfloc 4800'!D302)),EDATE(AB3301,3),DATEVALUE('Procyfloc 4800'!D302))))),""))</f>
        <v/>
      </c>
      <c r="AM3301" t="str">
        <f t="shared" ca="1" si="328"/>
        <v/>
      </c>
    </row>
    <row r="3302" spans="27:39" x14ac:dyDescent="0.3">
      <c r="AA3302" t="str">
        <f>IF(COUNTA('Procyfloc 4800'!A303,'Procyfloc 4800'!B303,'Procyfloc 4800'!C303)&gt;0,"4800","")</f>
        <v/>
      </c>
      <c r="AB3302" t="str">
        <f>IFERROR(IF(ISNUMBER('Procyfloc 4800'!A303),'Procyfloc 4800'!A303,DATEVALUE('Procyfloc 4800'!A303)),"")</f>
        <v/>
      </c>
      <c r="AC3302" t="str">
        <f>IF(AA3302="","",'Procyfloc 4800'!B303)</f>
        <v/>
      </c>
      <c r="AD3302" t="str">
        <f>IF(AA3302="","",IFERROR(1*'Procyfloc 4800'!C303,IFERROR(_xludf.NUMBERVALUE('Procyfloc 4800'!C303,".",","),IFERROR(_xludf.NUMBERVALUE('Procyfloc 4800'!C303,",","."),0))))</f>
        <v/>
      </c>
      <c r="AE3302" t="str">
        <f>IF(AA3302="","",'Procyfloc 4800'!J303)</f>
        <v/>
      </c>
      <c r="AF3302">
        <f t="shared" si="323"/>
        <v>0</v>
      </c>
      <c r="AG3302" t="str">
        <f t="shared" si="324"/>
        <v/>
      </c>
      <c r="AH3302" t="str">
        <f t="shared" si="325"/>
        <v/>
      </c>
      <c r="AI3302">
        <f t="shared" si="326"/>
        <v>0</v>
      </c>
      <c r="AJ3302">
        <f t="shared" si="327"/>
        <v>0</v>
      </c>
      <c r="AK3302">
        <v>0</v>
      </c>
      <c r="AL3302" t="str">
        <f>IF(AA3302="","",IFERROR(IF(ISNUMBER('Procyfloc 4800'!D303),'Procyfloc 4800'!D303,IF(ISNUMBER(SEARCH("12",'Procyfloc 4800'!D303)),EDATE(AB3302,12),IF(ISNUMBER(SEARCH("6",'Procyfloc 4800'!D303)),EDATE(AB3302,6),IF(ISNUMBER(SEARCH("3",'Procyfloc 4800'!D303)),EDATE(AB3302,3),DATEVALUE('Procyfloc 4800'!D303))))),""))</f>
        <v/>
      </c>
      <c r="AM3302" t="str">
        <f t="shared" ca="1" si="328"/>
        <v/>
      </c>
    </row>
    <row r="3303" spans="27:39" x14ac:dyDescent="0.3">
      <c r="AA3303" t="str">
        <f>IF(COUNTA('Procyfloc 4800'!A304,'Procyfloc 4800'!B304,'Procyfloc 4800'!C304)&gt;0,"4800","")</f>
        <v/>
      </c>
      <c r="AB3303" t="str">
        <f>IFERROR(IF(ISNUMBER('Procyfloc 4800'!A304),'Procyfloc 4800'!A304,DATEVALUE('Procyfloc 4800'!A304)),"")</f>
        <v/>
      </c>
      <c r="AC3303" t="str">
        <f>IF(AA3303="","",'Procyfloc 4800'!B304)</f>
        <v/>
      </c>
      <c r="AD3303" t="str">
        <f>IF(AA3303="","",IFERROR(1*'Procyfloc 4800'!C304,IFERROR(_xludf.NUMBERVALUE('Procyfloc 4800'!C304,".",","),IFERROR(_xludf.NUMBERVALUE('Procyfloc 4800'!C304,",","."),0))))</f>
        <v/>
      </c>
      <c r="AE3303" t="str">
        <f>IF(AA3303="","",'Procyfloc 4800'!J304)</f>
        <v/>
      </c>
      <c r="AF3303">
        <f t="shared" si="323"/>
        <v>0</v>
      </c>
      <c r="AG3303" t="str">
        <f t="shared" si="324"/>
        <v/>
      </c>
      <c r="AH3303" t="str">
        <f t="shared" si="325"/>
        <v/>
      </c>
      <c r="AI3303">
        <f t="shared" si="326"/>
        <v>0</v>
      </c>
      <c r="AJ3303">
        <f t="shared" si="327"/>
        <v>0</v>
      </c>
      <c r="AK3303">
        <v>0</v>
      </c>
      <c r="AL3303" t="str">
        <f>IF(AA3303="","",IFERROR(IF(ISNUMBER('Procyfloc 4800'!D304),'Procyfloc 4800'!D304,IF(ISNUMBER(SEARCH("12",'Procyfloc 4800'!D304)),EDATE(AB3303,12),IF(ISNUMBER(SEARCH("6",'Procyfloc 4800'!D304)),EDATE(AB3303,6),IF(ISNUMBER(SEARCH("3",'Procyfloc 4800'!D304)),EDATE(AB3303,3),DATEVALUE('Procyfloc 4800'!D304))))),""))</f>
        <v/>
      </c>
      <c r="AM3303" t="str">
        <f t="shared" ca="1" si="328"/>
        <v/>
      </c>
    </row>
    <row r="3304" spans="27:39" x14ac:dyDescent="0.3">
      <c r="AA3304" t="str">
        <f>IF(COUNTA('Procyfloc 4800'!A305,'Procyfloc 4800'!B305,'Procyfloc 4800'!C305)&gt;0,"4800","")</f>
        <v/>
      </c>
      <c r="AB3304" t="str">
        <f>IFERROR(IF(ISNUMBER('Procyfloc 4800'!A305),'Procyfloc 4800'!A305,DATEVALUE('Procyfloc 4800'!A305)),"")</f>
        <v/>
      </c>
      <c r="AC3304" t="str">
        <f>IF(AA3304="","",'Procyfloc 4800'!B305)</f>
        <v/>
      </c>
      <c r="AD3304" t="str">
        <f>IF(AA3304="","",IFERROR(1*'Procyfloc 4800'!C305,IFERROR(_xludf.NUMBERVALUE('Procyfloc 4800'!C305,".",","),IFERROR(_xludf.NUMBERVALUE('Procyfloc 4800'!C305,",","."),0))))</f>
        <v/>
      </c>
      <c r="AE3304" t="str">
        <f>IF(AA3304="","",'Procyfloc 4800'!J305)</f>
        <v/>
      </c>
      <c r="AF3304">
        <f t="shared" si="323"/>
        <v>0</v>
      </c>
      <c r="AG3304" t="str">
        <f t="shared" si="324"/>
        <v/>
      </c>
      <c r="AH3304" t="str">
        <f t="shared" si="325"/>
        <v/>
      </c>
      <c r="AI3304">
        <f t="shared" si="326"/>
        <v>0</v>
      </c>
      <c r="AJ3304">
        <f t="shared" si="327"/>
        <v>0</v>
      </c>
      <c r="AK3304">
        <v>0</v>
      </c>
      <c r="AL3304" t="str">
        <f>IF(AA3304="","",IFERROR(IF(ISNUMBER('Procyfloc 4800'!D305),'Procyfloc 4800'!D305,IF(ISNUMBER(SEARCH("12",'Procyfloc 4800'!D305)),EDATE(AB3304,12),IF(ISNUMBER(SEARCH("6",'Procyfloc 4800'!D305)),EDATE(AB3304,6),IF(ISNUMBER(SEARCH("3",'Procyfloc 4800'!D305)),EDATE(AB3304,3),DATEVALUE('Procyfloc 4800'!D305))))),""))</f>
        <v/>
      </c>
      <c r="AM3304" t="str">
        <f t="shared" ca="1" si="328"/>
        <v/>
      </c>
    </row>
    <row r="3305" spans="27:39" x14ac:dyDescent="0.3">
      <c r="AA3305" t="str">
        <f>IF(COUNTA('Procyfloc 4800'!A306,'Procyfloc 4800'!B306,'Procyfloc 4800'!C306)&gt;0,"4800","")</f>
        <v/>
      </c>
      <c r="AB3305" t="str">
        <f>IFERROR(IF(ISNUMBER('Procyfloc 4800'!A306),'Procyfloc 4800'!A306,DATEVALUE('Procyfloc 4800'!A306)),"")</f>
        <v/>
      </c>
      <c r="AC3305" t="str">
        <f>IF(AA3305="","",'Procyfloc 4800'!B306)</f>
        <v/>
      </c>
      <c r="AD3305" t="str">
        <f>IF(AA3305="","",IFERROR(1*'Procyfloc 4800'!C306,IFERROR(_xludf.NUMBERVALUE('Procyfloc 4800'!C306,".",","),IFERROR(_xludf.NUMBERVALUE('Procyfloc 4800'!C306,",","."),0))))</f>
        <v/>
      </c>
      <c r="AE3305" t="str">
        <f>IF(AA3305="","",'Procyfloc 4800'!J306)</f>
        <v/>
      </c>
      <c r="AF3305">
        <f t="shared" si="323"/>
        <v>0</v>
      </c>
      <c r="AG3305" t="str">
        <f t="shared" si="324"/>
        <v/>
      </c>
      <c r="AH3305" t="str">
        <f t="shared" si="325"/>
        <v/>
      </c>
      <c r="AI3305">
        <f t="shared" si="326"/>
        <v>0</v>
      </c>
      <c r="AJ3305">
        <f t="shared" si="327"/>
        <v>0</v>
      </c>
      <c r="AK3305">
        <v>0</v>
      </c>
      <c r="AL3305" t="str">
        <f>IF(AA3305="","",IFERROR(IF(ISNUMBER('Procyfloc 4800'!D306),'Procyfloc 4800'!D306,IF(ISNUMBER(SEARCH("12",'Procyfloc 4800'!D306)),EDATE(AB3305,12),IF(ISNUMBER(SEARCH("6",'Procyfloc 4800'!D306)),EDATE(AB3305,6),IF(ISNUMBER(SEARCH("3",'Procyfloc 4800'!D306)),EDATE(AB3305,3),DATEVALUE('Procyfloc 4800'!D306))))),""))</f>
        <v/>
      </c>
      <c r="AM3305" t="str">
        <f t="shared" ca="1" si="328"/>
        <v/>
      </c>
    </row>
    <row r="3306" spans="27:39" x14ac:dyDescent="0.3">
      <c r="AA3306" t="str">
        <f>IF(COUNTA('Procyfloc 4800'!A307,'Procyfloc 4800'!B307,'Procyfloc 4800'!C307)&gt;0,"4800","")</f>
        <v/>
      </c>
      <c r="AB3306" t="str">
        <f>IFERROR(IF(ISNUMBER('Procyfloc 4800'!A307),'Procyfloc 4800'!A307,DATEVALUE('Procyfloc 4800'!A307)),"")</f>
        <v/>
      </c>
      <c r="AC3306" t="str">
        <f>IF(AA3306="","",'Procyfloc 4800'!B307)</f>
        <v/>
      </c>
      <c r="AD3306" t="str">
        <f>IF(AA3306="","",IFERROR(1*'Procyfloc 4800'!C307,IFERROR(_xludf.NUMBERVALUE('Procyfloc 4800'!C307,".",","),IFERROR(_xludf.NUMBERVALUE('Procyfloc 4800'!C307,",","."),0))))</f>
        <v/>
      </c>
      <c r="AE3306" t="str">
        <f>IF(AA3306="","",'Procyfloc 4800'!J307)</f>
        <v/>
      </c>
      <c r="AF3306">
        <f t="shared" si="323"/>
        <v>0</v>
      </c>
      <c r="AG3306" t="str">
        <f t="shared" si="324"/>
        <v/>
      </c>
      <c r="AH3306" t="str">
        <f t="shared" si="325"/>
        <v/>
      </c>
      <c r="AI3306">
        <f t="shared" si="326"/>
        <v>0</v>
      </c>
      <c r="AJ3306">
        <f t="shared" si="327"/>
        <v>0</v>
      </c>
      <c r="AK3306">
        <v>0</v>
      </c>
      <c r="AL3306" t="str">
        <f>IF(AA3306="","",IFERROR(IF(ISNUMBER('Procyfloc 4800'!D307),'Procyfloc 4800'!D307,IF(ISNUMBER(SEARCH("12",'Procyfloc 4800'!D307)),EDATE(AB3306,12),IF(ISNUMBER(SEARCH("6",'Procyfloc 4800'!D307)),EDATE(AB3306,6),IF(ISNUMBER(SEARCH("3",'Procyfloc 4800'!D307)),EDATE(AB3306,3),DATEVALUE('Procyfloc 4800'!D307))))),""))</f>
        <v/>
      </c>
      <c r="AM3306" t="str">
        <f t="shared" ca="1" si="328"/>
        <v/>
      </c>
    </row>
    <row r="3307" spans="27:39" x14ac:dyDescent="0.3">
      <c r="AA3307" t="str">
        <f>IF(COUNTA('Procyfloc 4800'!A308,'Procyfloc 4800'!B308,'Procyfloc 4800'!C308)&gt;0,"4800","")</f>
        <v/>
      </c>
      <c r="AB3307" t="str">
        <f>IFERROR(IF(ISNUMBER('Procyfloc 4800'!A308),'Procyfloc 4800'!A308,DATEVALUE('Procyfloc 4800'!A308)),"")</f>
        <v/>
      </c>
      <c r="AC3307" t="str">
        <f>IF(AA3307="","",'Procyfloc 4800'!B308)</f>
        <v/>
      </c>
      <c r="AD3307" t="str">
        <f>IF(AA3307="","",IFERROR(1*'Procyfloc 4800'!C308,IFERROR(_xludf.NUMBERVALUE('Procyfloc 4800'!C308,".",","),IFERROR(_xludf.NUMBERVALUE('Procyfloc 4800'!C308,",","."),0))))</f>
        <v/>
      </c>
      <c r="AE3307" t="str">
        <f>IF(AA3307="","",'Procyfloc 4800'!J308)</f>
        <v/>
      </c>
      <c r="AF3307">
        <f t="shared" si="323"/>
        <v>0</v>
      </c>
      <c r="AG3307" t="str">
        <f t="shared" si="324"/>
        <v/>
      </c>
      <c r="AH3307" t="str">
        <f t="shared" si="325"/>
        <v/>
      </c>
      <c r="AI3307">
        <f t="shared" si="326"/>
        <v>0</v>
      </c>
      <c r="AJ3307">
        <f t="shared" si="327"/>
        <v>0</v>
      </c>
      <c r="AK3307">
        <v>0</v>
      </c>
      <c r="AL3307" t="str">
        <f>IF(AA3307="","",IFERROR(IF(ISNUMBER('Procyfloc 4800'!D308),'Procyfloc 4800'!D308,IF(ISNUMBER(SEARCH("12",'Procyfloc 4800'!D308)),EDATE(AB3307,12),IF(ISNUMBER(SEARCH("6",'Procyfloc 4800'!D308)),EDATE(AB3307,6),IF(ISNUMBER(SEARCH("3",'Procyfloc 4800'!D308)),EDATE(AB3307,3),DATEVALUE('Procyfloc 4800'!D308))))),""))</f>
        <v/>
      </c>
      <c r="AM3307" t="str">
        <f t="shared" ca="1" si="328"/>
        <v/>
      </c>
    </row>
    <row r="3308" spans="27:39" x14ac:dyDescent="0.3">
      <c r="AA3308" t="str">
        <f>IF(COUNTA('Procyfloc 4800'!A309,'Procyfloc 4800'!B309,'Procyfloc 4800'!C309)&gt;0,"4800","")</f>
        <v/>
      </c>
      <c r="AB3308" t="str">
        <f>IFERROR(IF(ISNUMBER('Procyfloc 4800'!A309),'Procyfloc 4800'!A309,DATEVALUE('Procyfloc 4800'!A309)),"")</f>
        <v/>
      </c>
      <c r="AC3308" t="str">
        <f>IF(AA3308="","",'Procyfloc 4800'!B309)</f>
        <v/>
      </c>
      <c r="AD3308" t="str">
        <f>IF(AA3308="","",IFERROR(1*'Procyfloc 4800'!C309,IFERROR(_xludf.NUMBERVALUE('Procyfloc 4800'!C309,".",","),IFERROR(_xludf.NUMBERVALUE('Procyfloc 4800'!C309,",","."),0))))</f>
        <v/>
      </c>
      <c r="AE3308" t="str">
        <f>IF(AA3308="","",'Procyfloc 4800'!J309)</f>
        <v/>
      </c>
      <c r="AF3308">
        <f t="shared" si="323"/>
        <v>0</v>
      </c>
      <c r="AG3308" t="str">
        <f t="shared" si="324"/>
        <v/>
      </c>
      <c r="AH3308" t="str">
        <f t="shared" si="325"/>
        <v/>
      </c>
      <c r="AI3308">
        <f t="shared" si="326"/>
        <v>0</v>
      </c>
      <c r="AJ3308">
        <f t="shared" si="327"/>
        <v>0</v>
      </c>
      <c r="AK3308">
        <v>0</v>
      </c>
      <c r="AL3308" t="str">
        <f>IF(AA3308="","",IFERROR(IF(ISNUMBER('Procyfloc 4800'!D309),'Procyfloc 4800'!D309,IF(ISNUMBER(SEARCH("12",'Procyfloc 4800'!D309)),EDATE(AB3308,12),IF(ISNUMBER(SEARCH("6",'Procyfloc 4800'!D309)),EDATE(AB3308,6),IF(ISNUMBER(SEARCH("3",'Procyfloc 4800'!D309)),EDATE(AB3308,3),DATEVALUE('Procyfloc 4800'!D309))))),""))</f>
        <v/>
      </c>
      <c r="AM3308" t="str">
        <f t="shared" ca="1" si="328"/>
        <v/>
      </c>
    </row>
    <row r="3309" spans="27:39" x14ac:dyDescent="0.3">
      <c r="AA3309" t="str">
        <f>IF(COUNTA('Procyfloc 4800'!A310,'Procyfloc 4800'!B310,'Procyfloc 4800'!C310)&gt;0,"4800","")</f>
        <v/>
      </c>
      <c r="AB3309" t="str">
        <f>IFERROR(IF(ISNUMBER('Procyfloc 4800'!A310),'Procyfloc 4800'!A310,DATEVALUE('Procyfloc 4800'!A310)),"")</f>
        <v/>
      </c>
      <c r="AC3309" t="str">
        <f>IF(AA3309="","",'Procyfloc 4800'!B310)</f>
        <v/>
      </c>
      <c r="AD3309" t="str">
        <f>IF(AA3309="","",IFERROR(1*'Procyfloc 4800'!C310,IFERROR(_xludf.NUMBERVALUE('Procyfloc 4800'!C310,".",","),IFERROR(_xludf.NUMBERVALUE('Procyfloc 4800'!C310,",","."),0))))</f>
        <v/>
      </c>
      <c r="AE3309" t="str">
        <f>IF(AA3309="","",'Procyfloc 4800'!J310)</f>
        <v/>
      </c>
      <c r="AF3309">
        <f t="shared" si="323"/>
        <v>0</v>
      </c>
      <c r="AG3309" t="str">
        <f t="shared" si="324"/>
        <v/>
      </c>
      <c r="AH3309" t="str">
        <f t="shared" si="325"/>
        <v/>
      </c>
      <c r="AI3309">
        <f t="shared" si="326"/>
        <v>0</v>
      </c>
      <c r="AJ3309">
        <f t="shared" si="327"/>
        <v>0</v>
      </c>
      <c r="AK3309">
        <v>0</v>
      </c>
      <c r="AL3309" t="str">
        <f>IF(AA3309="","",IFERROR(IF(ISNUMBER('Procyfloc 4800'!D310),'Procyfloc 4800'!D310,IF(ISNUMBER(SEARCH("12",'Procyfloc 4800'!D310)),EDATE(AB3309,12),IF(ISNUMBER(SEARCH("6",'Procyfloc 4800'!D310)),EDATE(AB3309,6),IF(ISNUMBER(SEARCH("3",'Procyfloc 4800'!D310)),EDATE(AB3309,3),DATEVALUE('Procyfloc 4800'!D310))))),""))</f>
        <v/>
      </c>
      <c r="AM3309" t="str">
        <f t="shared" ca="1" si="328"/>
        <v/>
      </c>
    </row>
    <row r="3310" spans="27:39" x14ac:dyDescent="0.3">
      <c r="AA3310" t="str">
        <f>IF(COUNTA('Procyfloc 4800'!A311,'Procyfloc 4800'!B311,'Procyfloc 4800'!C311)&gt;0,"4800","")</f>
        <v/>
      </c>
      <c r="AB3310" t="str">
        <f>IFERROR(IF(ISNUMBER('Procyfloc 4800'!A311),'Procyfloc 4800'!A311,DATEVALUE('Procyfloc 4800'!A311)),"")</f>
        <v/>
      </c>
      <c r="AC3310" t="str">
        <f>IF(AA3310="","",'Procyfloc 4800'!B311)</f>
        <v/>
      </c>
      <c r="AD3310" t="str">
        <f>IF(AA3310="","",IFERROR(1*'Procyfloc 4800'!C311,IFERROR(_xludf.NUMBERVALUE('Procyfloc 4800'!C311,".",","),IFERROR(_xludf.NUMBERVALUE('Procyfloc 4800'!C311,",","."),0))))</f>
        <v/>
      </c>
      <c r="AE3310" t="str">
        <f>IF(AA3310="","",'Procyfloc 4800'!J311)</f>
        <v/>
      </c>
      <c r="AF3310">
        <f t="shared" si="323"/>
        <v>0</v>
      </c>
      <c r="AG3310" t="str">
        <f t="shared" si="324"/>
        <v/>
      </c>
      <c r="AH3310" t="str">
        <f t="shared" si="325"/>
        <v/>
      </c>
      <c r="AI3310">
        <f t="shared" si="326"/>
        <v>0</v>
      </c>
      <c r="AJ3310">
        <f t="shared" si="327"/>
        <v>0</v>
      </c>
      <c r="AK3310">
        <v>0</v>
      </c>
      <c r="AL3310" t="str">
        <f>IF(AA3310="","",IFERROR(IF(ISNUMBER('Procyfloc 4800'!D311),'Procyfloc 4800'!D311,IF(ISNUMBER(SEARCH("12",'Procyfloc 4800'!D311)),EDATE(AB3310,12),IF(ISNUMBER(SEARCH("6",'Procyfloc 4800'!D311)),EDATE(AB3310,6),IF(ISNUMBER(SEARCH("3",'Procyfloc 4800'!D311)),EDATE(AB3310,3),DATEVALUE('Procyfloc 4800'!D311))))),""))</f>
        <v/>
      </c>
      <c r="AM3310" t="str">
        <f t="shared" ca="1" si="328"/>
        <v/>
      </c>
    </row>
    <row r="3311" spans="27:39" x14ac:dyDescent="0.3">
      <c r="AA3311" t="str">
        <f>IF(COUNTA('Procyfloc 4800'!A312,'Procyfloc 4800'!B312,'Procyfloc 4800'!C312)&gt;0,"4800","")</f>
        <v/>
      </c>
      <c r="AB3311" t="str">
        <f>IFERROR(IF(ISNUMBER('Procyfloc 4800'!A312),'Procyfloc 4800'!A312,DATEVALUE('Procyfloc 4800'!A312)),"")</f>
        <v/>
      </c>
      <c r="AC3311" t="str">
        <f>IF(AA3311="","",'Procyfloc 4800'!B312)</f>
        <v/>
      </c>
      <c r="AD3311" t="str">
        <f>IF(AA3311="","",IFERROR(1*'Procyfloc 4800'!C312,IFERROR(_xludf.NUMBERVALUE('Procyfloc 4800'!C312,".",","),IFERROR(_xludf.NUMBERVALUE('Procyfloc 4800'!C312,",","."),0))))</f>
        <v/>
      </c>
      <c r="AE3311" t="str">
        <f>IF(AA3311="","",'Procyfloc 4800'!J312)</f>
        <v/>
      </c>
      <c r="AF3311">
        <f t="shared" si="323"/>
        <v>0</v>
      </c>
      <c r="AG3311" t="str">
        <f t="shared" si="324"/>
        <v/>
      </c>
      <c r="AH3311" t="str">
        <f t="shared" si="325"/>
        <v/>
      </c>
      <c r="AI3311">
        <f t="shared" si="326"/>
        <v>0</v>
      </c>
      <c r="AJ3311">
        <f t="shared" si="327"/>
        <v>0</v>
      </c>
      <c r="AK3311">
        <v>0</v>
      </c>
      <c r="AL3311" t="str">
        <f>IF(AA3311="","",IFERROR(IF(ISNUMBER('Procyfloc 4800'!D312),'Procyfloc 4800'!D312,IF(ISNUMBER(SEARCH("12",'Procyfloc 4800'!D312)),EDATE(AB3311,12),IF(ISNUMBER(SEARCH("6",'Procyfloc 4800'!D312)),EDATE(AB3311,6),IF(ISNUMBER(SEARCH("3",'Procyfloc 4800'!D312)),EDATE(AB3311,3),DATEVALUE('Procyfloc 4800'!D312))))),""))</f>
        <v/>
      </c>
      <c r="AM3311" t="str">
        <f t="shared" ca="1" si="328"/>
        <v/>
      </c>
    </row>
    <row r="3312" spans="27:39" x14ac:dyDescent="0.3">
      <c r="AA3312" t="str">
        <f>IF(COUNTA('Procyfloc 4800'!A313,'Procyfloc 4800'!B313,'Procyfloc 4800'!C313)&gt;0,"4800","")</f>
        <v/>
      </c>
      <c r="AB3312" t="str">
        <f>IFERROR(IF(ISNUMBER('Procyfloc 4800'!A313),'Procyfloc 4800'!A313,DATEVALUE('Procyfloc 4800'!A313)),"")</f>
        <v/>
      </c>
      <c r="AC3312" t="str">
        <f>IF(AA3312="","",'Procyfloc 4800'!B313)</f>
        <v/>
      </c>
      <c r="AD3312" t="str">
        <f>IF(AA3312="","",IFERROR(1*'Procyfloc 4800'!C313,IFERROR(_xludf.NUMBERVALUE('Procyfloc 4800'!C313,".",","),IFERROR(_xludf.NUMBERVALUE('Procyfloc 4800'!C313,",","."),0))))</f>
        <v/>
      </c>
      <c r="AE3312" t="str">
        <f>IF(AA3312="","",'Procyfloc 4800'!J313)</f>
        <v/>
      </c>
      <c r="AF3312">
        <f t="shared" si="323"/>
        <v>0</v>
      </c>
      <c r="AG3312" t="str">
        <f t="shared" si="324"/>
        <v/>
      </c>
      <c r="AH3312" t="str">
        <f t="shared" si="325"/>
        <v/>
      </c>
      <c r="AI3312">
        <f t="shared" si="326"/>
        <v>0</v>
      </c>
      <c r="AJ3312">
        <f t="shared" si="327"/>
        <v>0</v>
      </c>
      <c r="AK3312">
        <v>0</v>
      </c>
      <c r="AL3312" t="str">
        <f>IF(AA3312="","",IFERROR(IF(ISNUMBER('Procyfloc 4800'!D313),'Procyfloc 4800'!D313,IF(ISNUMBER(SEARCH("12",'Procyfloc 4800'!D313)),EDATE(AB3312,12),IF(ISNUMBER(SEARCH("6",'Procyfloc 4800'!D313)),EDATE(AB3312,6),IF(ISNUMBER(SEARCH("3",'Procyfloc 4800'!D313)),EDATE(AB3312,3),DATEVALUE('Procyfloc 4800'!D313))))),""))</f>
        <v/>
      </c>
      <c r="AM3312" t="str">
        <f t="shared" ca="1" si="328"/>
        <v/>
      </c>
    </row>
    <row r="3313" spans="27:39" x14ac:dyDescent="0.3">
      <c r="AA3313" t="str">
        <f>IF(COUNTA('Procyfloc 4800'!A314,'Procyfloc 4800'!B314,'Procyfloc 4800'!C314)&gt;0,"4800","")</f>
        <v/>
      </c>
      <c r="AB3313" t="str">
        <f>IFERROR(IF(ISNUMBER('Procyfloc 4800'!A314),'Procyfloc 4800'!A314,DATEVALUE('Procyfloc 4800'!A314)),"")</f>
        <v/>
      </c>
      <c r="AC3313" t="str">
        <f>IF(AA3313="","",'Procyfloc 4800'!B314)</f>
        <v/>
      </c>
      <c r="AD3313" t="str">
        <f>IF(AA3313="","",IFERROR(1*'Procyfloc 4800'!C314,IFERROR(_xludf.NUMBERVALUE('Procyfloc 4800'!C314,".",","),IFERROR(_xludf.NUMBERVALUE('Procyfloc 4800'!C314,",","."),0))))</f>
        <v/>
      </c>
      <c r="AE3313" t="str">
        <f>IF(AA3313="","",'Procyfloc 4800'!J314)</f>
        <v/>
      </c>
      <c r="AF3313">
        <f t="shared" si="323"/>
        <v>0</v>
      </c>
      <c r="AG3313" t="str">
        <f t="shared" si="324"/>
        <v/>
      </c>
      <c r="AH3313" t="str">
        <f t="shared" si="325"/>
        <v/>
      </c>
      <c r="AI3313">
        <f t="shared" si="326"/>
        <v>0</v>
      </c>
      <c r="AJ3313">
        <f t="shared" si="327"/>
        <v>0</v>
      </c>
      <c r="AK3313">
        <v>0</v>
      </c>
      <c r="AL3313" t="str">
        <f>IF(AA3313="","",IFERROR(IF(ISNUMBER('Procyfloc 4800'!D314),'Procyfloc 4800'!D314,IF(ISNUMBER(SEARCH("12",'Procyfloc 4800'!D314)),EDATE(AB3313,12),IF(ISNUMBER(SEARCH("6",'Procyfloc 4800'!D314)),EDATE(AB3313,6),IF(ISNUMBER(SEARCH("3",'Procyfloc 4800'!D314)),EDATE(AB3313,3),DATEVALUE('Procyfloc 4800'!D314))))),""))</f>
        <v/>
      </c>
      <c r="AM3313" t="str">
        <f t="shared" ca="1" si="328"/>
        <v/>
      </c>
    </row>
    <row r="3314" spans="27:39" x14ac:dyDescent="0.3">
      <c r="AA3314" t="str">
        <f>IF(COUNTA('Procyfloc 4800'!A315,'Procyfloc 4800'!B315,'Procyfloc 4800'!C315)&gt;0,"4800","")</f>
        <v/>
      </c>
      <c r="AB3314" t="str">
        <f>IFERROR(IF(ISNUMBER('Procyfloc 4800'!A315),'Procyfloc 4800'!A315,DATEVALUE('Procyfloc 4800'!A315)),"")</f>
        <v/>
      </c>
      <c r="AC3314" t="str">
        <f>IF(AA3314="","",'Procyfloc 4800'!B315)</f>
        <v/>
      </c>
      <c r="AD3314" t="str">
        <f>IF(AA3314="","",IFERROR(1*'Procyfloc 4800'!C315,IFERROR(_xludf.NUMBERVALUE('Procyfloc 4800'!C315,".",","),IFERROR(_xludf.NUMBERVALUE('Procyfloc 4800'!C315,",","."),0))))</f>
        <v/>
      </c>
      <c r="AE3314" t="str">
        <f>IF(AA3314="","",'Procyfloc 4800'!J315)</f>
        <v/>
      </c>
      <c r="AF3314">
        <f t="shared" si="323"/>
        <v>0</v>
      </c>
      <c r="AG3314" t="str">
        <f t="shared" si="324"/>
        <v/>
      </c>
      <c r="AH3314" t="str">
        <f t="shared" si="325"/>
        <v/>
      </c>
      <c r="AI3314">
        <f t="shared" si="326"/>
        <v>0</v>
      </c>
      <c r="AJ3314">
        <f t="shared" si="327"/>
        <v>0</v>
      </c>
      <c r="AK3314">
        <v>0</v>
      </c>
      <c r="AL3314" t="str">
        <f>IF(AA3314="","",IFERROR(IF(ISNUMBER('Procyfloc 4800'!D315),'Procyfloc 4800'!D315,IF(ISNUMBER(SEARCH("12",'Procyfloc 4800'!D315)),EDATE(AB3314,12),IF(ISNUMBER(SEARCH("6",'Procyfloc 4800'!D315)),EDATE(AB3314,6),IF(ISNUMBER(SEARCH("3",'Procyfloc 4800'!D315)),EDATE(AB3314,3),DATEVALUE('Procyfloc 4800'!D315))))),""))</f>
        <v/>
      </c>
      <c r="AM3314" t="str">
        <f t="shared" ca="1" si="328"/>
        <v/>
      </c>
    </row>
    <row r="3315" spans="27:39" x14ac:dyDescent="0.3">
      <c r="AA3315" t="str">
        <f>IF(COUNTA('Procyfloc 4800'!A316,'Procyfloc 4800'!B316,'Procyfloc 4800'!C316)&gt;0,"4800","")</f>
        <v/>
      </c>
      <c r="AB3315" t="str">
        <f>IFERROR(IF(ISNUMBER('Procyfloc 4800'!A316),'Procyfloc 4800'!A316,DATEVALUE('Procyfloc 4800'!A316)),"")</f>
        <v/>
      </c>
      <c r="AC3315" t="str">
        <f>IF(AA3315="","",'Procyfloc 4800'!B316)</f>
        <v/>
      </c>
      <c r="AD3315" t="str">
        <f>IF(AA3315="","",IFERROR(1*'Procyfloc 4800'!C316,IFERROR(_xludf.NUMBERVALUE('Procyfloc 4800'!C316,".",","),IFERROR(_xludf.NUMBERVALUE('Procyfloc 4800'!C316,",","."),0))))</f>
        <v/>
      </c>
      <c r="AE3315" t="str">
        <f>IF(AA3315="","",'Procyfloc 4800'!J316)</f>
        <v/>
      </c>
      <c r="AF3315">
        <f t="shared" si="323"/>
        <v>0</v>
      </c>
      <c r="AG3315" t="str">
        <f t="shared" si="324"/>
        <v/>
      </c>
      <c r="AH3315" t="str">
        <f t="shared" si="325"/>
        <v/>
      </c>
      <c r="AI3315">
        <f t="shared" si="326"/>
        <v>0</v>
      </c>
      <c r="AJ3315">
        <f t="shared" si="327"/>
        <v>0</v>
      </c>
      <c r="AK3315">
        <v>0</v>
      </c>
      <c r="AL3315" t="str">
        <f>IF(AA3315="","",IFERROR(IF(ISNUMBER('Procyfloc 4800'!D316),'Procyfloc 4800'!D316,IF(ISNUMBER(SEARCH("12",'Procyfloc 4800'!D316)),EDATE(AB3315,12),IF(ISNUMBER(SEARCH("6",'Procyfloc 4800'!D316)),EDATE(AB3315,6),IF(ISNUMBER(SEARCH("3",'Procyfloc 4800'!D316)),EDATE(AB3315,3),DATEVALUE('Procyfloc 4800'!D316))))),""))</f>
        <v/>
      </c>
      <c r="AM3315" t="str">
        <f t="shared" ca="1" si="328"/>
        <v/>
      </c>
    </row>
    <row r="3316" spans="27:39" x14ac:dyDescent="0.3">
      <c r="AA3316" t="str">
        <f>IF(COUNTA('Procyfloc 4800'!A317,'Procyfloc 4800'!B317,'Procyfloc 4800'!C317)&gt;0,"4800","")</f>
        <v/>
      </c>
      <c r="AB3316" t="str">
        <f>IFERROR(IF(ISNUMBER('Procyfloc 4800'!A317),'Procyfloc 4800'!A317,DATEVALUE('Procyfloc 4800'!A317)),"")</f>
        <v/>
      </c>
      <c r="AC3316" t="str">
        <f>IF(AA3316="","",'Procyfloc 4800'!B317)</f>
        <v/>
      </c>
      <c r="AD3316" t="str">
        <f>IF(AA3316="","",IFERROR(1*'Procyfloc 4800'!C317,IFERROR(_xludf.NUMBERVALUE('Procyfloc 4800'!C317,".",","),IFERROR(_xludf.NUMBERVALUE('Procyfloc 4800'!C317,",","."),0))))</f>
        <v/>
      </c>
      <c r="AE3316" t="str">
        <f>IF(AA3316="","",'Procyfloc 4800'!J317)</f>
        <v/>
      </c>
      <c r="AF3316">
        <f t="shared" si="323"/>
        <v>0</v>
      </c>
      <c r="AG3316" t="str">
        <f t="shared" si="324"/>
        <v/>
      </c>
      <c r="AH3316" t="str">
        <f t="shared" si="325"/>
        <v/>
      </c>
      <c r="AI3316">
        <f t="shared" si="326"/>
        <v>0</v>
      </c>
      <c r="AJ3316">
        <f t="shared" si="327"/>
        <v>0</v>
      </c>
      <c r="AK3316">
        <v>0</v>
      </c>
      <c r="AL3316" t="str">
        <f>IF(AA3316="","",IFERROR(IF(ISNUMBER('Procyfloc 4800'!D317),'Procyfloc 4800'!D317,IF(ISNUMBER(SEARCH("12",'Procyfloc 4800'!D317)),EDATE(AB3316,12),IF(ISNUMBER(SEARCH("6",'Procyfloc 4800'!D317)),EDATE(AB3316,6),IF(ISNUMBER(SEARCH("3",'Procyfloc 4800'!D317)),EDATE(AB3316,3),DATEVALUE('Procyfloc 4800'!D317))))),""))</f>
        <v/>
      </c>
      <c r="AM3316" t="str">
        <f t="shared" ca="1" si="328"/>
        <v/>
      </c>
    </row>
    <row r="3317" spans="27:39" x14ac:dyDescent="0.3">
      <c r="AA3317" t="str">
        <f>IF(COUNTA('Procyfloc 4800'!A318,'Procyfloc 4800'!B318,'Procyfloc 4800'!C318)&gt;0,"4800","")</f>
        <v/>
      </c>
      <c r="AB3317" t="str">
        <f>IFERROR(IF(ISNUMBER('Procyfloc 4800'!A318),'Procyfloc 4800'!A318,DATEVALUE('Procyfloc 4800'!A318)),"")</f>
        <v/>
      </c>
      <c r="AC3317" t="str">
        <f>IF(AA3317="","",'Procyfloc 4800'!B318)</f>
        <v/>
      </c>
      <c r="AD3317" t="str">
        <f>IF(AA3317="","",IFERROR(1*'Procyfloc 4800'!C318,IFERROR(_xludf.NUMBERVALUE('Procyfloc 4800'!C318,".",","),IFERROR(_xludf.NUMBERVALUE('Procyfloc 4800'!C318,",","."),0))))</f>
        <v/>
      </c>
      <c r="AE3317" t="str">
        <f>IF(AA3317="","",'Procyfloc 4800'!J318)</f>
        <v/>
      </c>
      <c r="AF3317">
        <f t="shared" si="323"/>
        <v>0</v>
      </c>
      <c r="AG3317" t="str">
        <f t="shared" si="324"/>
        <v/>
      </c>
      <c r="AH3317" t="str">
        <f t="shared" si="325"/>
        <v/>
      </c>
      <c r="AI3317">
        <f t="shared" si="326"/>
        <v>0</v>
      </c>
      <c r="AJ3317">
        <f t="shared" si="327"/>
        <v>0</v>
      </c>
      <c r="AK3317">
        <v>0</v>
      </c>
      <c r="AL3317" t="str">
        <f>IF(AA3317="","",IFERROR(IF(ISNUMBER('Procyfloc 4800'!D318),'Procyfloc 4800'!D318,IF(ISNUMBER(SEARCH("12",'Procyfloc 4800'!D318)),EDATE(AB3317,12),IF(ISNUMBER(SEARCH("6",'Procyfloc 4800'!D318)),EDATE(AB3317,6),IF(ISNUMBER(SEARCH("3",'Procyfloc 4800'!D318)),EDATE(AB3317,3),DATEVALUE('Procyfloc 4800'!D318))))),""))</f>
        <v/>
      </c>
      <c r="AM3317" t="str">
        <f t="shared" ca="1" si="328"/>
        <v/>
      </c>
    </row>
    <row r="3318" spans="27:39" x14ac:dyDescent="0.3">
      <c r="AA3318" t="str">
        <f>IF(COUNTA('Procyfloc 4800'!A319,'Procyfloc 4800'!B319,'Procyfloc 4800'!C319)&gt;0,"4800","")</f>
        <v/>
      </c>
      <c r="AB3318" t="str">
        <f>IFERROR(IF(ISNUMBER('Procyfloc 4800'!A319),'Procyfloc 4800'!A319,DATEVALUE('Procyfloc 4800'!A319)),"")</f>
        <v/>
      </c>
      <c r="AC3318" t="str">
        <f>IF(AA3318="","",'Procyfloc 4800'!B319)</f>
        <v/>
      </c>
      <c r="AD3318" t="str">
        <f>IF(AA3318="","",IFERROR(1*'Procyfloc 4800'!C319,IFERROR(_xludf.NUMBERVALUE('Procyfloc 4800'!C319,".",","),IFERROR(_xludf.NUMBERVALUE('Procyfloc 4800'!C319,",","."),0))))</f>
        <v/>
      </c>
      <c r="AE3318" t="str">
        <f>IF(AA3318="","",'Procyfloc 4800'!J319)</f>
        <v/>
      </c>
      <c r="AF3318">
        <f t="shared" si="323"/>
        <v>0</v>
      </c>
      <c r="AG3318" t="str">
        <f t="shared" si="324"/>
        <v/>
      </c>
      <c r="AH3318" t="str">
        <f t="shared" si="325"/>
        <v/>
      </c>
      <c r="AI3318">
        <f t="shared" si="326"/>
        <v>0</v>
      </c>
      <c r="AJ3318">
        <f t="shared" si="327"/>
        <v>0</v>
      </c>
      <c r="AK3318">
        <v>0</v>
      </c>
      <c r="AL3318" t="str">
        <f>IF(AA3318="","",IFERROR(IF(ISNUMBER('Procyfloc 4800'!D319),'Procyfloc 4800'!D319,IF(ISNUMBER(SEARCH("12",'Procyfloc 4800'!D319)),EDATE(AB3318,12),IF(ISNUMBER(SEARCH("6",'Procyfloc 4800'!D319)),EDATE(AB3318,6),IF(ISNUMBER(SEARCH("3",'Procyfloc 4800'!D319)),EDATE(AB3318,3),DATEVALUE('Procyfloc 4800'!D319))))),""))</f>
        <v/>
      </c>
      <c r="AM3318" t="str">
        <f t="shared" ca="1" si="328"/>
        <v/>
      </c>
    </row>
    <row r="3319" spans="27:39" x14ac:dyDescent="0.3">
      <c r="AA3319" t="str">
        <f>IF(COUNTA('Procyfloc 4800'!A320,'Procyfloc 4800'!B320,'Procyfloc 4800'!C320)&gt;0,"4800","")</f>
        <v/>
      </c>
      <c r="AB3319" t="str">
        <f>IFERROR(IF(ISNUMBER('Procyfloc 4800'!A320),'Procyfloc 4800'!A320,DATEVALUE('Procyfloc 4800'!A320)),"")</f>
        <v/>
      </c>
      <c r="AC3319" t="str">
        <f>IF(AA3319="","",'Procyfloc 4800'!B320)</f>
        <v/>
      </c>
      <c r="AD3319" t="str">
        <f>IF(AA3319="","",IFERROR(1*'Procyfloc 4800'!C320,IFERROR(_xludf.NUMBERVALUE('Procyfloc 4800'!C320,".",","),IFERROR(_xludf.NUMBERVALUE('Procyfloc 4800'!C320,",","."),0))))</f>
        <v/>
      </c>
      <c r="AE3319" t="str">
        <f>IF(AA3319="","",'Procyfloc 4800'!J320)</f>
        <v/>
      </c>
      <c r="AF3319">
        <f t="shared" si="323"/>
        <v>0</v>
      </c>
      <c r="AG3319" t="str">
        <f t="shared" si="324"/>
        <v/>
      </c>
      <c r="AH3319" t="str">
        <f t="shared" si="325"/>
        <v/>
      </c>
      <c r="AI3319">
        <f t="shared" si="326"/>
        <v>0</v>
      </c>
      <c r="AJ3319">
        <f t="shared" si="327"/>
        <v>0</v>
      </c>
      <c r="AK3319">
        <v>0</v>
      </c>
      <c r="AL3319" t="str">
        <f>IF(AA3319="","",IFERROR(IF(ISNUMBER('Procyfloc 4800'!D320),'Procyfloc 4800'!D320,IF(ISNUMBER(SEARCH("12",'Procyfloc 4800'!D320)),EDATE(AB3319,12),IF(ISNUMBER(SEARCH("6",'Procyfloc 4800'!D320)),EDATE(AB3319,6),IF(ISNUMBER(SEARCH("3",'Procyfloc 4800'!D320)),EDATE(AB3319,3),DATEVALUE('Procyfloc 4800'!D320))))),""))</f>
        <v/>
      </c>
      <c r="AM3319" t="str">
        <f t="shared" ca="1" si="328"/>
        <v/>
      </c>
    </row>
    <row r="3320" spans="27:39" x14ac:dyDescent="0.3">
      <c r="AA3320" t="str">
        <f>IF(COUNTA('Procyfloc 4800'!A321,'Procyfloc 4800'!B321,'Procyfloc 4800'!C321)&gt;0,"4800","")</f>
        <v/>
      </c>
      <c r="AB3320" t="str">
        <f>IFERROR(IF(ISNUMBER('Procyfloc 4800'!A321),'Procyfloc 4800'!A321,DATEVALUE('Procyfloc 4800'!A321)),"")</f>
        <v/>
      </c>
      <c r="AC3320" t="str">
        <f>IF(AA3320="","",'Procyfloc 4800'!B321)</f>
        <v/>
      </c>
      <c r="AD3320" t="str">
        <f>IF(AA3320="","",IFERROR(1*'Procyfloc 4800'!C321,IFERROR(_xludf.NUMBERVALUE('Procyfloc 4800'!C321,".",","),IFERROR(_xludf.NUMBERVALUE('Procyfloc 4800'!C321,",","."),0))))</f>
        <v/>
      </c>
      <c r="AE3320" t="str">
        <f>IF(AA3320="","",'Procyfloc 4800'!J321)</f>
        <v/>
      </c>
      <c r="AF3320">
        <f t="shared" si="323"/>
        <v>0</v>
      </c>
      <c r="AG3320" t="str">
        <f t="shared" si="324"/>
        <v/>
      </c>
      <c r="AH3320" t="str">
        <f t="shared" si="325"/>
        <v/>
      </c>
      <c r="AI3320">
        <f t="shared" si="326"/>
        <v>0</v>
      </c>
      <c r="AJ3320">
        <f t="shared" si="327"/>
        <v>0</v>
      </c>
      <c r="AK3320">
        <v>0</v>
      </c>
      <c r="AL3320" t="str">
        <f>IF(AA3320="","",IFERROR(IF(ISNUMBER('Procyfloc 4800'!D321),'Procyfloc 4800'!D321,IF(ISNUMBER(SEARCH("12",'Procyfloc 4800'!D321)),EDATE(AB3320,12),IF(ISNUMBER(SEARCH("6",'Procyfloc 4800'!D321)),EDATE(AB3320,6),IF(ISNUMBER(SEARCH("3",'Procyfloc 4800'!D321)),EDATE(AB3320,3),DATEVALUE('Procyfloc 4800'!D321))))),""))</f>
        <v/>
      </c>
      <c r="AM3320" t="str">
        <f t="shared" ca="1" si="328"/>
        <v/>
      </c>
    </row>
    <row r="3321" spans="27:39" x14ac:dyDescent="0.3">
      <c r="AA3321" t="str">
        <f>IF(COUNTA('Procyfloc 4800'!A322,'Procyfloc 4800'!B322,'Procyfloc 4800'!C322)&gt;0,"4800","")</f>
        <v/>
      </c>
      <c r="AB3321" t="str">
        <f>IFERROR(IF(ISNUMBER('Procyfloc 4800'!A322),'Procyfloc 4800'!A322,DATEVALUE('Procyfloc 4800'!A322)),"")</f>
        <v/>
      </c>
      <c r="AC3321" t="str">
        <f>IF(AA3321="","",'Procyfloc 4800'!B322)</f>
        <v/>
      </c>
      <c r="AD3321" t="str">
        <f>IF(AA3321="","",IFERROR(1*'Procyfloc 4800'!C322,IFERROR(_xludf.NUMBERVALUE('Procyfloc 4800'!C322,".",","),IFERROR(_xludf.NUMBERVALUE('Procyfloc 4800'!C322,",","."),0))))</f>
        <v/>
      </c>
      <c r="AE3321" t="str">
        <f>IF(AA3321="","",'Procyfloc 4800'!J322)</f>
        <v/>
      </c>
      <c r="AF3321">
        <f t="shared" si="323"/>
        <v>0</v>
      </c>
      <c r="AG3321" t="str">
        <f t="shared" si="324"/>
        <v/>
      </c>
      <c r="AH3321" t="str">
        <f t="shared" si="325"/>
        <v/>
      </c>
      <c r="AI3321">
        <f t="shared" si="326"/>
        <v>0</v>
      </c>
      <c r="AJ3321">
        <f t="shared" si="327"/>
        <v>0</v>
      </c>
      <c r="AK3321">
        <v>0</v>
      </c>
      <c r="AL3321" t="str">
        <f>IF(AA3321="","",IFERROR(IF(ISNUMBER('Procyfloc 4800'!D322),'Procyfloc 4800'!D322,IF(ISNUMBER(SEARCH("12",'Procyfloc 4800'!D322)),EDATE(AB3321,12),IF(ISNUMBER(SEARCH("6",'Procyfloc 4800'!D322)),EDATE(AB3321,6),IF(ISNUMBER(SEARCH("3",'Procyfloc 4800'!D322)),EDATE(AB3321,3),DATEVALUE('Procyfloc 4800'!D322))))),""))</f>
        <v/>
      </c>
      <c r="AM3321" t="str">
        <f t="shared" ca="1" si="328"/>
        <v/>
      </c>
    </row>
    <row r="3322" spans="27:39" x14ac:dyDescent="0.3">
      <c r="AA3322" t="str">
        <f>IF(COUNTA('Procyfloc 4800'!A323,'Procyfloc 4800'!B323,'Procyfloc 4800'!C323)&gt;0,"4800","")</f>
        <v/>
      </c>
      <c r="AB3322" t="str">
        <f>IFERROR(IF(ISNUMBER('Procyfloc 4800'!A323),'Procyfloc 4800'!A323,DATEVALUE('Procyfloc 4800'!A323)),"")</f>
        <v/>
      </c>
      <c r="AC3322" t="str">
        <f>IF(AA3322="","",'Procyfloc 4800'!B323)</f>
        <v/>
      </c>
      <c r="AD3322" t="str">
        <f>IF(AA3322="","",IFERROR(1*'Procyfloc 4800'!C323,IFERROR(_xludf.NUMBERVALUE('Procyfloc 4800'!C323,".",","),IFERROR(_xludf.NUMBERVALUE('Procyfloc 4800'!C323,",","."),0))))</f>
        <v/>
      </c>
      <c r="AE3322" t="str">
        <f>IF(AA3322="","",'Procyfloc 4800'!J323)</f>
        <v/>
      </c>
      <c r="AF3322">
        <f t="shared" si="323"/>
        <v>0</v>
      </c>
      <c r="AG3322" t="str">
        <f t="shared" si="324"/>
        <v/>
      </c>
      <c r="AH3322" t="str">
        <f t="shared" si="325"/>
        <v/>
      </c>
      <c r="AI3322">
        <f t="shared" si="326"/>
        <v>0</v>
      </c>
      <c r="AJ3322">
        <f t="shared" si="327"/>
        <v>0</v>
      </c>
      <c r="AK3322">
        <v>0</v>
      </c>
      <c r="AL3322" t="str">
        <f>IF(AA3322="","",IFERROR(IF(ISNUMBER('Procyfloc 4800'!D323),'Procyfloc 4800'!D323,IF(ISNUMBER(SEARCH("12",'Procyfloc 4800'!D323)),EDATE(AB3322,12),IF(ISNUMBER(SEARCH("6",'Procyfloc 4800'!D323)),EDATE(AB3322,6),IF(ISNUMBER(SEARCH("3",'Procyfloc 4800'!D323)),EDATE(AB3322,3),DATEVALUE('Procyfloc 4800'!D323))))),""))</f>
        <v/>
      </c>
      <c r="AM3322" t="str">
        <f t="shared" ca="1" si="328"/>
        <v/>
      </c>
    </row>
    <row r="3323" spans="27:39" x14ac:dyDescent="0.3">
      <c r="AA3323" t="str">
        <f>IF(COUNTA('Procyfloc 4800'!A324,'Procyfloc 4800'!B324,'Procyfloc 4800'!C324)&gt;0,"4800","")</f>
        <v/>
      </c>
      <c r="AB3323" t="str">
        <f>IFERROR(IF(ISNUMBER('Procyfloc 4800'!A324),'Procyfloc 4800'!A324,DATEVALUE('Procyfloc 4800'!A324)),"")</f>
        <v/>
      </c>
      <c r="AC3323" t="str">
        <f>IF(AA3323="","",'Procyfloc 4800'!B324)</f>
        <v/>
      </c>
      <c r="AD3323" t="str">
        <f>IF(AA3323="","",IFERROR(1*'Procyfloc 4800'!C324,IFERROR(_xludf.NUMBERVALUE('Procyfloc 4800'!C324,".",","),IFERROR(_xludf.NUMBERVALUE('Procyfloc 4800'!C324,",","."),0))))</f>
        <v/>
      </c>
      <c r="AE3323" t="str">
        <f>IF(AA3323="","",'Procyfloc 4800'!J324)</f>
        <v/>
      </c>
      <c r="AF3323">
        <f t="shared" si="323"/>
        <v>0</v>
      </c>
      <c r="AG3323" t="str">
        <f t="shared" si="324"/>
        <v/>
      </c>
      <c r="AH3323" t="str">
        <f t="shared" si="325"/>
        <v/>
      </c>
      <c r="AI3323">
        <f t="shared" si="326"/>
        <v>0</v>
      </c>
      <c r="AJ3323">
        <f t="shared" si="327"/>
        <v>0</v>
      </c>
      <c r="AK3323">
        <v>0</v>
      </c>
      <c r="AL3323" t="str">
        <f>IF(AA3323="","",IFERROR(IF(ISNUMBER('Procyfloc 4800'!D324),'Procyfloc 4800'!D324,IF(ISNUMBER(SEARCH("12",'Procyfloc 4800'!D324)),EDATE(AB3323,12),IF(ISNUMBER(SEARCH("6",'Procyfloc 4800'!D324)),EDATE(AB3323,6),IF(ISNUMBER(SEARCH("3",'Procyfloc 4800'!D324)),EDATE(AB3323,3),DATEVALUE('Procyfloc 4800'!D324))))),""))</f>
        <v/>
      </c>
      <c r="AM3323" t="str">
        <f t="shared" ca="1" si="328"/>
        <v/>
      </c>
    </row>
    <row r="3324" spans="27:39" x14ac:dyDescent="0.3">
      <c r="AA3324" t="str">
        <f>IF(COUNTA('Procyfloc 4800'!A325,'Procyfloc 4800'!B325,'Procyfloc 4800'!C325)&gt;0,"4800","")</f>
        <v/>
      </c>
      <c r="AB3324" t="str">
        <f>IFERROR(IF(ISNUMBER('Procyfloc 4800'!A325),'Procyfloc 4800'!A325,DATEVALUE('Procyfloc 4800'!A325)),"")</f>
        <v/>
      </c>
      <c r="AC3324" t="str">
        <f>IF(AA3324="","",'Procyfloc 4800'!B325)</f>
        <v/>
      </c>
      <c r="AD3324" t="str">
        <f>IF(AA3324="","",IFERROR(1*'Procyfloc 4800'!C325,IFERROR(_xludf.NUMBERVALUE('Procyfloc 4800'!C325,".",","),IFERROR(_xludf.NUMBERVALUE('Procyfloc 4800'!C325,",","."),0))))</f>
        <v/>
      </c>
      <c r="AE3324" t="str">
        <f>IF(AA3324="","",'Procyfloc 4800'!J325)</f>
        <v/>
      </c>
      <c r="AF3324">
        <f t="shared" si="323"/>
        <v>0</v>
      </c>
      <c r="AG3324" t="str">
        <f t="shared" si="324"/>
        <v/>
      </c>
      <c r="AH3324" t="str">
        <f t="shared" si="325"/>
        <v/>
      </c>
      <c r="AI3324">
        <f t="shared" si="326"/>
        <v>0</v>
      </c>
      <c r="AJ3324">
        <f t="shared" si="327"/>
        <v>0</v>
      </c>
      <c r="AK3324">
        <v>0</v>
      </c>
      <c r="AL3324" t="str">
        <f>IF(AA3324="","",IFERROR(IF(ISNUMBER('Procyfloc 4800'!D325),'Procyfloc 4800'!D325,IF(ISNUMBER(SEARCH("12",'Procyfloc 4800'!D325)),EDATE(AB3324,12),IF(ISNUMBER(SEARCH("6",'Procyfloc 4800'!D325)),EDATE(AB3324,6),IF(ISNUMBER(SEARCH("3",'Procyfloc 4800'!D325)),EDATE(AB3324,3),DATEVALUE('Procyfloc 4800'!D325))))),""))</f>
        <v/>
      </c>
      <c r="AM3324" t="str">
        <f t="shared" ca="1" si="328"/>
        <v/>
      </c>
    </row>
    <row r="3325" spans="27:39" x14ac:dyDescent="0.3">
      <c r="AA3325" t="str">
        <f>IF(COUNTA('Procyfloc 4800'!A326,'Procyfloc 4800'!B326,'Procyfloc 4800'!C326)&gt;0,"4800","")</f>
        <v/>
      </c>
      <c r="AB3325" t="str">
        <f>IFERROR(IF(ISNUMBER('Procyfloc 4800'!A326),'Procyfloc 4800'!A326,DATEVALUE('Procyfloc 4800'!A326)),"")</f>
        <v/>
      </c>
      <c r="AC3325" t="str">
        <f>IF(AA3325="","",'Procyfloc 4800'!B326)</f>
        <v/>
      </c>
      <c r="AD3325" t="str">
        <f>IF(AA3325="","",IFERROR(1*'Procyfloc 4800'!C326,IFERROR(_xludf.NUMBERVALUE('Procyfloc 4800'!C326,".",","),IFERROR(_xludf.NUMBERVALUE('Procyfloc 4800'!C326,",","."),0))))</f>
        <v/>
      </c>
      <c r="AE3325" t="str">
        <f>IF(AA3325="","",'Procyfloc 4800'!J326)</f>
        <v/>
      </c>
      <c r="AF3325">
        <f t="shared" si="323"/>
        <v>0</v>
      </c>
      <c r="AG3325" t="str">
        <f t="shared" si="324"/>
        <v/>
      </c>
      <c r="AH3325" t="str">
        <f t="shared" si="325"/>
        <v/>
      </c>
      <c r="AI3325">
        <f t="shared" si="326"/>
        <v>0</v>
      </c>
      <c r="AJ3325">
        <f t="shared" si="327"/>
        <v>0</v>
      </c>
      <c r="AK3325">
        <v>0</v>
      </c>
      <c r="AL3325" t="str">
        <f>IF(AA3325="","",IFERROR(IF(ISNUMBER('Procyfloc 4800'!D326),'Procyfloc 4800'!D326,IF(ISNUMBER(SEARCH("12",'Procyfloc 4800'!D326)),EDATE(AB3325,12),IF(ISNUMBER(SEARCH("6",'Procyfloc 4800'!D326)),EDATE(AB3325,6),IF(ISNUMBER(SEARCH("3",'Procyfloc 4800'!D326)),EDATE(AB3325,3),DATEVALUE('Procyfloc 4800'!D326))))),""))</f>
        <v/>
      </c>
      <c r="AM3325" t="str">
        <f t="shared" ca="1" si="328"/>
        <v/>
      </c>
    </row>
    <row r="3326" spans="27:39" x14ac:dyDescent="0.3">
      <c r="AA3326" t="str">
        <f>IF(COUNTA('Procyfloc 4800'!A327,'Procyfloc 4800'!B327,'Procyfloc 4800'!C327)&gt;0,"4800","")</f>
        <v/>
      </c>
      <c r="AB3326" t="str">
        <f>IFERROR(IF(ISNUMBER('Procyfloc 4800'!A327),'Procyfloc 4800'!A327,DATEVALUE('Procyfloc 4800'!A327)),"")</f>
        <v/>
      </c>
      <c r="AC3326" t="str">
        <f>IF(AA3326="","",'Procyfloc 4800'!B327)</f>
        <v/>
      </c>
      <c r="AD3326" t="str">
        <f>IF(AA3326="","",IFERROR(1*'Procyfloc 4800'!C327,IFERROR(_xludf.NUMBERVALUE('Procyfloc 4800'!C327,".",","),IFERROR(_xludf.NUMBERVALUE('Procyfloc 4800'!C327,",","."),0))))</f>
        <v/>
      </c>
      <c r="AE3326" t="str">
        <f>IF(AA3326="","",'Procyfloc 4800'!J327)</f>
        <v/>
      </c>
      <c r="AF3326">
        <f t="shared" si="323"/>
        <v>0</v>
      </c>
      <c r="AG3326" t="str">
        <f t="shared" si="324"/>
        <v/>
      </c>
      <c r="AH3326" t="str">
        <f t="shared" si="325"/>
        <v/>
      </c>
      <c r="AI3326">
        <f t="shared" si="326"/>
        <v>0</v>
      </c>
      <c r="AJ3326">
        <f t="shared" si="327"/>
        <v>0</v>
      </c>
      <c r="AK3326">
        <v>0</v>
      </c>
      <c r="AL3326" t="str">
        <f>IF(AA3326="","",IFERROR(IF(ISNUMBER('Procyfloc 4800'!D327),'Procyfloc 4800'!D327,IF(ISNUMBER(SEARCH("12",'Procyfloc 4800'!D327)),EDATE(AB3326,12),IF(ISNUMBER(SEARCH("6",'Procyfloc 4800'!D327)),EDATE(AB3326,6),IF(ISNUMBER(SEARCH("3",'Procyfloc 4800'!D327)),EDATE(AB3326,3),DATEVALUE('Procyfloc 4800'!D327))))),""))</f>
        <v/>
      </c>
      <c r="AM3326" t="str">
        <f t="shared" ca="1" si="328"/>
        <v/>
      </c>
    </row>
    <row r="3327" spans="27:39" x14ac:dyDescent="0.3">
      <c r="AA3327" t="str">
        <f>IF(COUNTA('Procyfloc 4800'!A328,'Procyfloc 4800'!B328,'Procyfloc 4800'!C328)&gt;0,"4800","")</f>
        <v/>
      </c>
      <c r="AB3327" t="str">
        <f>IFERROR(IF(ISNUMBER('Procyfloc 4800'!A328),'Procyfloc 4800'!A328,DATEVALUE('Procyfloc 4800'!A328)),"")</f>
        <v/>
      </c>
      <c r="AC3327" t="str">
        <f>IF(AA3327="","",'Procyfloc 4800'!B328)</f>
        <v/>
      </c>
      <c r="AD3327" t="str">
        <f>IF(AA3327="","",IFERROR(1*'Procyfloc 4800'!C328,IFERROR(_xludf.NUMBERVALUE('Procyfloc 4800'!C328,".",","),IFERROR(_xludf.NUMBERVALUE('Procyfloc 4800'!C328,",","."),0))))</f>
        <v/>
      </c>
      <c r="AE3327" t="str">
        <f>IF(AA3327="","",'Procyfloc 4800'!J328)</f>
        <v/>
      </c>
      <c r="AF3327">
        <f t="shared" si="323"/>
        <v>0</v>
      </c>
      <c r="AG3327" t="str">
        <f t="shared" si="324"/>
        <v/>
      </c>
      <c r="AH3327" t="str">
        <f t="shared" si="325"/>
        <v/>
      </c>
      <c r="AI3327">
        <f t="shared" si="326"/>
        <v>0</v>
      </c>
      <c r="AJ3327">
        <f t="shared" si="327"/>
        <v>0</v>
      </c>
      <c r="AK3327">
        <v>0</v>
      </c>
      <c r="AL3327" t="str">
        <f>IF(AA3327="","",IFERROR(IF(ISNUMBER('Procyfloc 4800'!D328),'Procyfloc 4800'!D328,IF(ISNUMBER(SEARCH("12",'Procyfloc 4800'!D328)),EDATE(AB3327,12),IF(ISNUMBER(SEARCH("6",'Procyfloc 4800'!D328)),EDATE(AB3327,6),IF(ISNUMBER(SEARCH("3",'Procyfloc 4800'!D328)),EDATE(AB3327,3),DATEVALUE('Procyfloc 4800'!D328))))),""))</f>
        <v/>
      </c>
      <c r="AM3327" t="str">
        <f t="shared" ca="1" si="328"/>
        <v/>
      </c>
    </row>
    <row r="3328" spans="27:39" x14ac:dyDescent="0.3">
      <c r="AA3328" t="str">
        <f>IF(COUNTA('Procyfloc 4800'!A329,'Procyfloc 4800'!B329,'Procyfloc 4800'!C329)&gt;0,"4800","")</f>
        <v/>
      </c>
      <c r="AB3328" t="str">
        <f>IFERROR(IF(ISNUMBER('Procyfloc 4800'!A329),'Procyfloc 4800'!A329,DATEVALUE('Procyfloc 4800'!A329)),"")</f>
        <v/>
      </c>
      <c r="AC3328" t="str">
        <f>IF(AA3328="","",'Procyfloc 4800'!B329)</f>
        <v/>
      </c>
      <c r="AD3328" t="str">
        <f>IF(AA3328="","",IFERROR(1*'Procyfloc 4800'!C329,IFERROR(_xludf.NUMBERVALUE('Procyfloc 4800'!C329,".",","),IFERROR(_xludf.NUMBERVALUE('Procyfloc 4800'!C329,",","."),0))))</f>
        <v/>
      </c>
      <c r="AE3328" t="str">
        <f>IF(AA3328="","",'Procyfloc 4800'!J329)</f>
        <v/>
      </c>
      <c r="AF3328">
        <f t="shared" si="323"/>
        <v>0</v>
      </c>
      <c r="AG3328" t="str">
        <f t="shared" si="324"/>
        <v/>
      </c>
      <c r="AH3328" t="str">
        <f t="shared" si="325"/>
        <v/>
      </c>
      <c r="AI3328">
        <f t="shared" si="326"/>
        <v>0</v>
      </c>
      <c r="AJ3328">
        <f t="shared" si="327"/>
        <v>0</v>
      </c>
      <c r="AK3328">
        <v>0</v>
      </c>
      <c r="AL3328" t="str">
        <f>IF(AA3328="","",IFERROR(IF(ISNUMBER('Procyfloc 4800'!D329),'Procyfloc 4800'!D329,IF(ISNUMBER(SEARCH("12",'Procyfloc 4800'!D329)),EDATE(AB3328,12),IF(ISNUMBER(SEARCH("6",'Procyfloc 4800'!D329)),EDATE(AB3328,6),IF(ISNUMBER(SEARCH("3",'Procyfloc 4800'!D329)),EDATE(AB3328,3),DATEVALUE('Procyfloc 4800'!D329))))),""))</f>
        <v/>
      </c>
      <c r="AM3328" t="str">
        <f t="shared" ca="1" si="328"/>
        <v/>
      </c>
    </row>
    <row r="3329" spans="27:39" x14ac:dyDescent="0.3">
      <c r="AA3329" t="str">
        <f>IF(COUNTA('Procyfloc 4800'!A330,'Procyfloc 4800'!B330,'Procyfloc 4800'!C330)&gt;0,"4800","")</f>
        <v/>
      </c>
      <c r="AB3329" t="str">
        <f>IFERROR(IF(ISNUMBER('Procyfloc 4800'!A330),'Procyfloc 4800'!A330,DATEVALUE('Procyfloc 4800'!A330)),"")</f>
        <v/>
      </c>
      <c r="AC3329" t="str">
        <f>IF(AA3329="","",'Procyfloc 4800'!B330)</f>
        <v/>
      </c>
      <c r="AD3329" t="str">
        <f>IF(AA3329="","",IFERROR(1*'Procyfloc 4800'!C330,IFERROR(_xludf.NUMBERVALUE('Procyfloc 4800'!C330,".",","),IFERROR(_xludf.NUMBERVALUE('Procyfloc 4800'!C330,",","."),0))))</f>
        <v/>
      </c>
      <c r="AE3329" t="str">
        <f>IF(AA3329="","",'Procyfloc 4800'!J330)</f>
        <v/>
      </c>
      <c r="AF3329">
        <f t="shared" si="323"/>
        <v>0</v>
      </c>
      <c r="AG3329" t="str">
        <f t="shared" si="324"/>
        <v/>
      </c>
      <c r="AH3329" t="str">
        <f t="shared" si="325"/>
        <v/>
      </c>
      <c r="AI3329">
        <f t="shared" si="326"/>
        <v>0</v>
      </c>
      <c r="AJ3329">
        <f t="shared" si="327"/>
        <v>0</v>
      </c>
      <c r="AK3329">
        <v>0</v>
      </c>
      <c r="AL3329" t="str">
        <f>IF(AA3329="","",IFERROR(IF(ISNUMBER('Procyfloc 4800'!D330),'Procyfloc 4800'!D330,IF(ISNUMBER(SEARCH("12",'Procyfloc 4800'!D330)),EDATE(AB3329,12),IF(ISNUMBER(SEARCH("6",'Procyfloc 4800'!D330)),EDATE(AB3329,6),IF(ISNUMBER(SEARCH("3",'Procyfloc 4800'!D330)),EDATE(AB3329,3),DATEVALUE('Procyfloc 4800'!D330))))),""))</f>
        <v/>
      </c>
      <c r="AM3329" t="str">
        <f t="shared" ca="1" si="328"/>
        <v/>
      </c>
    </row>
    <row r="3330" spans="27:39" x14ac:dyDescent="0.3">
      <c r="AA3330" t="str">
        <f>IF(COUNTA('Procyfloc 4800'!A331,'Procyfloc 4800'!B331,'Procyfloc 4800'!C331)&gt;0,"4800","")</f>
        <v/>
      </c>
      <c r="AB3330" t="str">
        <f>IFERROR(IF(ISNUMBER('Procyfloc 4800'!A331),'Procyfloc 4800'!A331,DATEVALUE('Procyfloc 4800'!A331)),"")</f>
        <v/>
      </c>
      <c r="AC3330" t="str">
        <f>IF(AA3330="","",'Procyfloc 4800'!B331)</f>
        <v/>
      </c>
      <c r="AD3330" t="str">
        <f>IF(AA3330="","",IFERROR(1*'Procyfloc 4800'!C331,IFERROR(_xludf.NUMBERVALUE('Procyfloc 4800'!C331,".",","),IFERROR(_xludf.NUMBERVALUE('Procyfloc 4800'!C331,",","."),0))))</f>
        <v/>
      </c>
      <c r="AE3330" t="str">
        <f>IF(AA3330="","",'Procyfloc 4800'!J331)</f>
        <v/>
      </c>
      <c r="AF3330">
        <f t="shared" ref="AF3330:AF3393" si="329">IF(AA3330="",0,--AND(ISNUMBER(SEARCH("aprov",AE3330)),NOT(ISNUMBER(SEARCH("reprov",AE3330)))))</f>
        <v>0</v>
      </c>
      <c r="AG3330" t="str">
        <f t="shared" ref="AG3330:AG3393" si="330">IF(AB3330="","",YEAR(AB3330))</f>
        <v/>
      </c>
      <c r="AH3330" t="str">
        <f t="shared" ref="AH3330:AH3393" si="331">IF(AB3330="","",MONTH(AB3330))</f>
        <v/>
      </c>
      <c r="AI3330">
        <f t="shared" ref="AI3330:AI3393" si="332">IF(AB3330="",0,AB3330+ROW()/1000000)</f>
        <v>0</v>
      </c>
      <c r="AJ3330">
        <f t="shared" ref="AJ3330:AJ3393" si="333">--(AA3330&lt;&gt;"")</f>
        <v>0</v>
      </c>
      <c r="AK3330">
        <v>0</v>
      </c>
      <c r="AL3330" t="str">
        <f>IF(AA3330="","",IFERROR(IF(ISNUMBER('Procyfloc 4800'!D331),'Procyfloc 4800'!D331,IF(ISNUMBER(SEARCH("12",'Procyfloc 4800'!D331)),EDATE(AB3330,12),IF(ISNUMBER(SEARCH("6",'Procyfloc 4800'!D331)),EDATE(AB3330,6),IF(ISNUMBER(SEARCH("3",'Procyfloc 4800'!D331)),EDATE(AB3330,3),DATEVALUE('Procyfloc 4800'!D331))))),""))</f>
        <v/>
      </c>
      <c r="AM3330" t="str">
        <f t="shared" ref="AM3330:AM3393" ca="1" si="334">IF(AND(AJ3330=1,AL3330&lt;&gt;"",AL3330&gt;=TODAY(),AG3330=$W$3),AL3330+ROW()/1000000,"")</f>
        <v/>
      </c>
    </row>
    <row r="3331" spans="27:39" x14ac:dyDescent="0.3">
      <c r="AA3331" t="str">
        <f>IF(COUNTA('Procyfloc 4800'!A332,'Procyfloc 4800'!B332,'Procyfloc 4800'!C332)&gt;0,"4800","")</f>
        <v/>
      </c>
      <c r="AB3331" t="str">
        <f>IFERROR(IF(ISNUMBER('Procyfloc 4800'!A332),'Procyfloc 4800'!A332,DATEVALUE('Procyfloc 4800'!A332)),"")</f>
        <v/>
      </c>
      <c r="AC3331" t="str">
        <f>IF(AA3331="","",'Procyfloc 4800'!B332)</f>
        <v/>
      </c>
      <c r="AD3331" t="str">
        <f>IF(AA3331="","",IFERROR(1*'Procyfloc 4800'!C332,IFERROR(_xludf.NUMBERVALUE('Procyfloc 4800'!C332,".",","),IFERROR(_xludf.NUMBERVALUE('Procyfloc 4800'!C332,",","."),0))))</f>
        <v/>
      </c>
      <c r="AE3331" t="str">
        <f>IF(AA3331="","",'Procyfloc 4800'!J332)</f>
        <v/>
      </c>
      <c r="AF3331">
        <f t="shared" si="329"/>
        <v>0</v>
      </c>
      <c r="AG3331" t="str">
        <f t="shared" si="330"/>
        <v/>
      </c>
      <c r="AH3331" t="str">
        <f t="shared" si="331"/>
        <v/>
      </c>
      <c r="AI3331">
        <f t="shared" si="332"/>
        <v>0</v>
      </c>
      <c r="AJ3331">
        <f t="shared" si="333"/>
        <v>0</v>
      </c>
      <c r="AK3331">
        <v>0</v>
      </c>
      <c r="AL3331" t="str">
        <f>IF(AA3331="","",IFERROR(IF(ISNUMBER('Procyfloc 4800'!D332),'Procyfloc 4800'!D332,IF(ISNUMBER(SEARCH("12",'Procyfloc 4800'!D332)),EDATE(AB3331,12),IF(ISNUMBER(SEARCH("6",'Procyfloc 4800'!D332)),EDATE(AB3331,6),IF(ISNUMBER(SEARCH("3",'Procyfloc 4800'!D332)),EDATE(AB3331,3),DATEVALUE('Procyfloc 4800'!D332))))),""))</f>
        <v/>
      </c>
      <c r="AM3331" t="str">
        <f t="shared" ca="1" si="334"/>
        <v/>
      </c>
    </row>
    <row r="3332" spans="27:39" x14ac:dyDescent="0.3">
      <c r="AA3332" t="str">
        <f>IF(COUNTA('Procyfloc 4800'!A333,'Procyfloc 4800'!B333,'Procyfloc 4800'!C333)&gt;0,"4800","")</f>
        <v/>
      </c>
      <c r="AB3332" t="str">
        <f>IFERROR(IF(ISNUMBER('Procyfloc 4800'!A333),'Procyfloc 4800'!A333,DATEVALUE('Procyfloc 4800'!A333)),"")</f>
        <v/>
      </c>
      <c r="AC3332" t="str">
        <f>IF(AA3332="","",'Procyfloc 4800'!B333)</f>
        <v/>
      </c>
      <c r="AD3332" t="str">
        <f>IF(AA3332="","",IFERROR(1*'Procyfloc 4800'!C333,IFERROR(_xludf.NUMBERVALUE('Procyfloc 4800'!C333,".",","),IFERROR(_xludf.NUMBERVALUE('Procyfloc 4800'!C333,",","."),0))))</f>
        <v/>
      </c>
      <c r="AE3332" t="str">
        <f>IF(AA3332="","",'Procyfloc 4800'!J333)</f>
        <v/>
      </c>
      <c r="AF3332">
        <f t="shared" si="329"/>
        <v>0</v>
      </c>
      <c r="AG3332" t="str">
        <f t="shared" si="330"/>
        <v/>
      </c>
      <c r="AH3332" t="str">
        <f t="shared" si="331"/>
        <v/>
      </c>
      <c r="AI3332">
        <f t="shared" si="332"/>
        <v>0</v>
      </c>
      <c r="AJ3332">
        <f t="shared" si="333"/>
        <v>0</v>
      </c>
      <c r="AK3332">
        <v>0</v>
      </c>
      <c r="AL3332" t="str">
        <f>IF(AA3332="","",IFERROR(IF(ISNUMBER('Procyfloc 4800'!D333),'Procyfloc 4800'!D333,IF(ISNUMBER(SEARCH("12",'Procyfloc 4800'!D333)),EDATE(AB3332,12),IF(ISNUMBER(SEARCH("6",'Procyfloc 4800'!D333)),EDATE(AB3332,6),IF(ISNUMBER(SEARCH("3",'Procyfloc 4800'!D333)),EDATE(AB3332,3),DATEVALUE('Procyfloc 4800'!D333))))),""))</f>
        <v/>
      </c>
      <c r="AM3332" t="str">
        <f t="shared" ca="1" si="334"/>
        <v/>
      </c>
    </row>
    <row r="3333" spans="27:39" x14ac:dyDescent="0.3">
      <c r="AA3333" t="str">
        <f>IF(COUNTA('Procyfloc 4800'!A334,'Procyfloc 4800'!B334,'Procyfloc 4800'!C334)&gt;0,"4800","")</f>
        <v/>
      </c>
      <c r="AB3333" t="str">
        <f>IFERROR(IF(ISNUMBER('Procyfloc 4800'!A334),'Procyfloc 4800'!A334,DATEVALUE('Procyfloc 4800'!A334)),"")</f>
        <v/>
      </c>
      <c r="AC3333" t="str">
        <f>IF(AA3333="","",'Procyfloc 4800'!B334)</f>
        <v/>
      </c>
      <c r="AD3333" t="str">
        <f>IF(AA3333="","",IFERROR(1*'Procyfloc 4800'!C334,IFERROR(_xludf.NUMBERVALUE('Procyfloc 4800'!C334,".",","),IFERROR(_xludf.NUMBERVALUE('Procyfloc 4800'!C334,",","."),0))))</f>
        <v/>
      </c>
      <c r="AE3333" t="str">
        <f>IF(AA3333="","",'Procyfloc 4800'!J334)</f>
        <v/>
      </c>
      <c r="AF3333">
        <f t="shared" si="329"/>
        <v>0</v>
      </c>
      <c r="AG3333" t="str">
        <f t="shared" si="330"/>
        <v/>
      </c>
      <c r="AH3333" t="str">
        <f t="shared" si="331"/>
        <v/>
      </c>
      <c r="AI3333">
        <f t="shared" si="332"/>
        <v>0</v>
      </c>
      <c r="AJ3333">
        <f t="shared" si="333"/>
        <v>0</v>
      </c>
      <c r="AK3333">
        <v>0</v>
      </c>
      <c r="AL3333" t="str">
        <f>IF(AA3333="","",IFERROR(IF(ISNUMBER('Procyfloc 4800'!D334),'Procyfloc 4800'!D334,IF(ISNUMBER(SEARCH("12",'Procyfloc 4800'!D334)),EDATE(AB3333,12),IF(ISNUMBER(SEARCH("6",'Procyfloc 4800'!D334)),EDATE(AB3333,6),IF(ISNUMBER(SEARCH("3",'Procyfloc 4800'!D334)),EDATE(AB3333,3),DATEVALUE('Procyfloc 4800'!D334))))),""))</f>
        <v/>
      </c>
      <c r="AM3333" t="str">
        <f t="shared" ca="1" si="334"/>
        <v/>
      </c>
    </row>
    <row r="3334" spans="27:39" x14ac:dyDescent="0.3">
      <c r="AA3334" t="str">
        <f>IF(COUNTA('Procyfloc 4800'!A335,'Procyfloc 4800'!B335,'Procyfloc 4800'!C335)&gt;0,"4800","")</f>
        <v/>
      </c>
      <c r="AB3334" t="str">
        <f>IFERROR(IF(ISNUMBER('Procyfloc 4800'!A335),'Procyfloc 4800'!A335,DATEVALUE('Procyfloc 4800'!A335)),"")</f>
        <v/>
      </c>
      <c r="AC3334" t="str">
        <f>IF(AA3334="","",'Procyfloc 4800'!B335)</f>
        <v/>
      </c>
      <c r="AD3334" t="str">
        <f>IF(AA3334="","",IFERROR(1*'Procyfloc 4800'!C335,IFERROR(_xludf.NUMBERVALUE('Procyfloc 4800'!C335,".",","),IFERROR(_xludf.NUMBERVALUE('Procyfloc 4800'!C335,",","."),0))))</f>
        <v/>
      </c>
      <c r="AE3334" t="str">
        <f>IF(AA3334="","",'Procyfloc 4800'!J335)</f>
        <v/>
      </c>
      <c r="AF3334">
        <f t="shared" si="329"/>
        <v>0</v>
      </c>
      <c r="AG3334" t="str">
        <f t="shared" si="330"/>
        <v/>
      </c>
      <c r="AH3334" t="str">
        <f t="shared" si="331"/>
        <v/>
      </c>
      <c r="AI3334">
        <f t="shared" si="332"/>
        <v>0</v>
      </c>
      <c r="AJ3334">
        <f t="shared" si="333"/>
        <v>0</v>
      </c>
      <c r="AK3334">
        <v>0</v>
      </c>
      <c r="AL3334" t="str">
        <f>IF(AA3334="","",IFERROR(IF(ISNUMBER('Procyfloc 4800'!D335),'Procyfloc 4800'!D335,IF(ISNUMBER(SEARCH("12",'Procyfloc 4800'!D335)),EDATE(AB3334,12),IF(ISNUMBER(SEARCH("6",'Procyfloc 4800'!D335)),EDATE(AB3334,6),IF(ISNUMBER(SEARCH("3",'Procyfloc 4800'!D335)),EDATE(AB3334,3),DATEVALUE('Procyfloc 4800'!D335))))),""))</f>
        <v/>
      </c>
      <c r="AM3334" t="str">
        <f t="shared" ca="1" si="334"/>
        <v/>
      </c>
    </row>
    <row r="3335" spans="27:39" x14ac:dyDescent="0.3">
      <c r="AA3335" t="str">
        <f>IF(COUNTA('Procyfloc 4800'!A336,'Procyfloc 4800'!B336,'Procyfloc 4800'!C336)&gt;0,"4800","")</f>
        <v/>
      </c>
      <c r="AB3335" t="str">
        <f>IFERROR(IF(ISNUMBER('Procyfloc 4800'!A336),'Procyfloc 4800'!A336,DATEVALUE('Procyfloc 4800'!A336)),"")</f>
        <v/>
      </c>
      <c r="AC3335" t="str">
        <f>IF(AA3335="","",'Procyfloc 4800'!B336)</f>
        <v/>
      </c>
      <c r="AD3335" t="str">
        <f>IF(AA3335="","",IFERROR(1*'Procyfloc 4800'!C336,IFERROR(_xludf.NUMBERVALUE('Procyfloc 4800'!C336,".",","),IFERROR(_xludf.NUMBERVALUE('Procyfloc 4800'!C336,",","."),0))))</f>
        <v/>
      </c>
      <c r="AE3335" t="str">
        <f>IF(AA3335="","",'Procyfloc 4800'!J336)</f>
        <v/>
      </c>
      <c r="AF3335">
        <f t="shared" si="329"/>
        <v>0</v>
      </c>
      <c r="AG3335" t="str">
        <f t="shared" si="330"/>
        <v/>
      </c>
      <c r="AH3335" t="str">
        <f t="shared" si="331"/>
        <v/>
      </c>
      <c r="AI3335">
        <f t="shared" si="332"/>
        <v>0</v>
      </c>
      <c r="AJ3335">
        <f t="shared" si="333"/>
        <v>0</v>
      </c>
      <c r="AK3335">
        <v>0</v>
      </c>
      <c r="AL3335" t="str">
        <f>IF(AA3335="","",IFERROR(IF(ISNUMBER('Procyfloc 4800'!D336),'Procyfloc 4800'!D336,IF(ISNUMBER(SEARCH("12",'Procyfloc 4800'!D336)),EDATE(AB3335,12),IF(ISNUMBER(SEARCH("6",'Procyfloc 4800'!D336)),EDATE(AB3335,6),IF(ISNUMBER(SEARCH("3",'Procyfloc 4800'!D336)),EDATE(AB3335,3),DATEVALUE('Procyfloc 4800'!D336))))),""))</f>
        <v/>
      </c>
      <c r="AM3335" t="str">
        <f t="shared" ca="1" si="334"/>
        <v/>
      </c>
    </row>
    <row r="3336" spans="27:39" x14ac:dyDescent="0.3">
      <c r="AA3336" t="str">
        <f>IF(COUNTA('Procyfloc 4800'!A337,'Procyfloc 4800'!B337,'Procyfloc 4800'!C337)&gt;0,"4800","")</f>
        <v/>
      </c>
      <c r="AB3336" t="str">
        <f>IFERROR(IF(ISNUMBER('Procyfloc 4800'!A337),'Procyfloc 4800'!A337,DATEVALUE('Procyfloc 4800'!A337)),"")</f>
        <v/>
      </c>
      <c r="AC3336" t="str">
        <f>IF(AA3336="","",'Procyfloc 4800'!B337)</f>
        <v/>
      </c>
      <c r="AD3336" t="str">
        <f>IF(AA3336="","",IFERROR(1*'Procyfloc 4800'!C337,IFERROR(_xludf.NUMBERVALUE('Procyfloc 4800'!C337,".",","),IFERROR(_xludf.NUMBERVALUE('Procyfloc 4800'!C337,",","."),0))))</f>
        <v/>
      </c>
      <c r="AE3336" t="str">
        <f>IF(AA3336="","",'Procyfloc 4800'!J337)</f>
        <v/>
      </c>
      <c r="AF3336">
        <f t="shared" si="329"/>
        <v>0</v>
      </c>
      <c r="AG3336" t="str">
        <f t="shared" si="330"/>
        <v/>
      </c>
      <c r="AH3336" t="str">
        <f t="shared" si="331"/>
        <v/>
      </c>
      <c r="AI3336">
        <f t="shared" si="332"/>
        <v>0</v>
      </c>
      <c r="AJ3336">
        <f t="shared" si="333"/>
        <v>0</v>
      </c>
      <c r="AK3336">
        <v>0</v>
      </c>
      <c r="AL3336" t="str">
        <f>IF(AA3336="","",IFERROR(IF(ISNUMBER('Procyfloc 4800'!D337),'Procyfloc 4800'!D337,IF(ISNUMBER(SEARCH("12",'Procyfloc 4800'!D337)),EDATE(AB3336,12),IF(ISNUMBER(SEARCH("6",'Procyfloc 4800'!D337)),EDATE(AB3336,6),IF(ISNUMBER(SEARCH("3",'Procyfloc 4800'!D337)),EDATE(AB3336,3),DATEVALUE('Procyfloc 4800'!D337))))),""))</f>
        <v/>
      </c>
      <c r="AM3336" t="str">
        <f t="shared" ca="1" si="334"/>
        <v/>
      </c>
    </row>
    <row r="3337" spans="27:39" x14ac:dyDescent="0.3">
      <c r="AA3337" t="str">
        <f>IF(COUNTA('Procyfloc 4800'!A338,'Procyfloc 4800'!B338,'Procyfloc 4800'!C338)&gt;0,"4800","")</f>
        <v/>
      </c>
      <c r="AB3337" t="str">
        <f>IFERROR(IF(ISNUMBER('Procyfloc 4800'!A338),'Procyfloc 4800'!A338,DATEVALUE('Procyfloc 4800'!A338)),"")</f>
        <v/>
      </c>
      <c r="AC3337" t="str">
        <f>IF(AA3337="","",'Procyfloc 4800'!B338)</f>
        <v/>
      </c>
      <c r="AD3337" t="str">
        <f>IF(AA3337="","",IFERROR(1*'Procyfloc 4800'!C338,IFERROR(_xludf.NUMBERVALUE('Procyfloc 4800'!C338,".",","),IFERROR(_xludf.NUMBERVALUE('Procyfloc 4800'!C338,",","."),0))))</f>
        <v/>
      </c>
      <c r="AE3337" t="str">
        <f>IF(AA3337="","",'Procyfloc 4800'!J338)</f>
        <v/>
      </c>
      <c r="AF3337">
        <f t="shared" si="329"/>
        <v>0</v>
      </c>
      <c r="AG3337" t="str">
        <f t="shared" si="330"/>
        <v/>
      </c>
      <c r="AH3337" t="str">
        <f t="shared" si="331"/>
        <v/>
      </c>
      <c r="AI3337">
        <f t="shared" si="332"/>
        <v>0</v>
      </c>
      <c r="AJ3337">
        <f t="shared" si="333"/>
        <v>0</v>
      </c>
      <c r="AK3337">
        <v>0</v>
      </c>
      <c r="AL3337" t="str">
        <f>IF(AA3337="","",IFERROR(IF(ISNUMBER('Procyfloc 4800'!D338),'Procyfloc 4800'!D338,IF(ISNUMBER(SEARCH("12",'Procyfloc 4800'!D338)),EDATE(AB3337,12),IF(ISNUMBER(SEARCH("6",'Procyfloc 4800'!D338)),EDATE(AB3337,6),IF(ISNUMBER(SEARCH("3",'Procyfloc 4800'!D338)),EDATE(AB3337,3),DATEVALUE('Procyfloc 4800'!D338))))),""))</f>
        <v/>
      </c>
      <c r="AM3337" t="str">
        <f t="shared" ca="1" si="334"/>
        <v/>
      </c>
    </row>
    <row r="3338" spans="27:39" x14ac:dyDescent="0.3">
      <c r="AA3338" t="str">
        <f>IF(COUNTA('Procyfloc 4800'!A339,'Procyfloc 4800'!B339,'Procyfloc 4800'!C339)&gt;0,"4800","")</f>
        <v/>
      </c>
      <c r="AB3338" t="str">
        <f>IFERROR(IF(ISNUMBER('Procyfloc 4800'!A339),'Procyfloc 4800'!A339,DATEVALUE('Procyfloc 4800'!A339)),"")</f>
        <v/>
      </c>
      <c r="AC3338" t="str">
        <f>IF(AA3338="","",'Procyfloc 4800'!B339)</f>
        <v/>
      </c>
      <c r="AD3338" t="str">
        <f>IF(AA3338="","",IFERROR(1*'Procyfloc 4800'!C339,IFERROR(_xludf.NUMBERVALUE('Procyfloc 4800'!C339,".",","),IFERROR(_xludf.NUMBERVALUE('Procyfloc 4800'!C339,",","."),0))))</f>
        <v/>
      </c>
      <c r="AE3338" t="str">
        <f>IF(AA3338="","",'Procyfloc 4800'!J339)</f>
        <v/>
      </c>
      <c r="AF3338">
        <f t="shared" si="329"/>
        <v>0</v>
      </c>
      <c r="AG3338" t="str">
        <f t="shared" si="330"/>
        <v/>
      </c>
      <c r="AH3338" t="str">
        <f t="shared" si="331"/>
        <v/>
      </c>
      <c r="AI3338">
        <f t="shared" si="332"/>
        <v>0</v>
      </c>
      <c r="AJ3338">
        <f t="shared" si="333"/>
        <v>0</v>
      </c>
      <c r="AK3338">
        <v>0</v>
      </c>
      <c r="AL3338" t="str">
        <f>IF(AA3338="","",IFERROR(IF(ISNUMBER('Procyfloc 4800'!D339),'Procyfloc 4800'!D339,IF(ISNUMBER(SEARCH("12",'Procyfloc 4800'!D339)),EDATE(AB3338,12),IF(ISNUMBER(SEARCH("6",'Procyfloc 4800'!D339)),EDATE(AB3338,6),IF(ISNUMBER(SEARCH("3",'Procyfloc 4800'!D339)),EDATE(AB3338,3),DATEVALUE('Procyfloc 4800'!D339))))),""))</f>
        <v/>
      </c>
      <c r="AM3338" t="str">
        <f t="shared" ca="1" si="334"/>
        <v/>
      </c>
    </row>
    <row r="3339" spans="27:39" x14ac:dyDescent="0.3">
      <c r="AA3339" t="str">
        <f>IF(COUNTA('Procyfloc 4800'!A340,'Procyfloc 4800'!B340,'Procyfloc 4800'!C340)&gt;0,"4800","")</f>
        <v/>
      </c>
      <c r="AB3339" t="str">
        <f>IFERROR(IF(ISNUMBER('Procyfloc 4800'!A340),'Procyfloc 4800'!A340,DATEVALUE('Procyfloc 4800'!A340)),"")</f>
        <v/>
      </c>
      <c r="AC3339" t="str">
        <f>IF(AA3339="","",'Procyfloc 4800'!B340)</f>
        <v/>
      </c>
      <c r="AD3339" t="str">
        <f>IF(AA3339="","",IFERROR(1*'Procyfloc 4800'!C340,IFERROR(_xludf.NUMBERVALUE('Procyfloc 4800'!C340,".",","),IFERROR(_xludf.NUMBERVALUE('Procyfloc 4800'!C340,",","."),0))))</f>
        <v/>
      </c>
      <c r="AE3339" t="str">
        <f>IF(AA3339="","",'Procyfloc 4800'!J340)</f>
        <v/>
      </c>
      <c r="AF3339">
        <f t="shared" si="329"/>
        <v>0</v>
      </c>
      <c r="AG3339" t="str">
        <f t="shared" si="330"/>
        <v/>
      </c>
      <c r="AH3339" t="str">
        <f t="shared" si="331"/>
        <v/>
      </c>
      <c r="AI3339">
        <f t="shared" si="332"/>
        <v>0</v>
      </c>
      <c r="AJ3339">
        <f t="shared" si="333"/>
        <v>0</v>
      </c>
      <c r="AK3339">
        <v>0</v>
      </c>
      <c r="AL3339" t="str">
        <f>IF(AA3339="","",IFERROR(IF(ISNUMBER('Procyfloc 4800'!D340),'Procyfloc 4800'!D340,IF(ISNUMBER(SEARCH("12",'Procyfloc 4800'!D340)),EDATE(AB3339,12),IF(ISNUMBER(SEARCH("6",'Procyfloc 4800'!D340)),EDATE(AB3339,6),IF(ISNUMBER(SEARCH("3",'Procyfloc 4800'!D340)),EDATE(AB3339,3),DATEVALUE('Procyfloc 4800'!D340))))),""))</f>
        <v/>
      </c>
      <c r="AM3339" t="str">
        <f t="shared" ca="1" si="334"/>
        <v/>
      </c>
    </row>
    <row r="3340" spans="27:39" x14ac:dyDescent="0.3">
      <c r="AA3340" t="str">
        <f>IF(COUNTA('Procyfloc 4800'!A341,'Procyfloc 4800'!B341,'Procyfloc 4800'!C341)&gt;0,"4800","")</f>
        <v/>
      </c>
      <c r="AB3340" t="str">
        <f>IFERROR(IF(ISNUMBER('Procyfloc 4800'!A341),'Procyfloc 4800'!A341,DATEVALUE('Procyfloc 4800'!A341)),"")</f>
        <v/>
      </c>
      <c r="AC3340" t="str">
        <f>IF(AA3340="","",'Procyfloc 4800'!B341)</f>
        <v/>
      </c>
      <c r="AD3340" t="str">
        <f>IF(AA3340="","",IFERROR(1*'Procyfloc 4800'!C341,IFERROR(_xludf.NUMBERVALUE('Procyfloc 4800'!C341,".",","),IFERROR(_xludf.NUMBERVALUE('Procyfloc 4800'!C341,",","."),0))))</f>
        <v/>
      </c>
      <c r="AE3340" t="str">
        <f>IF(AA3340="","",'Procyfloc 4800'!J341)</f>
        <v/>
      </c>
      <c r="AF3340">
        <f t="shared" si="329"/>
        <v>0</v>
      </c>
      <c r="AG3340" t="str">
        <f t="shared" si="330"/>
        <v/>
      </c>
      <c r="AH3340" t="str">
        <f t="shared" si="331"/>
        <v/>
      </c>
      <c r="AI3340">
        <f t="shared" si="332"/>
        <v>0</v>
      </c>
      <c r="AJ3340">
        <f t="shared" si="333"/>
        <v>0</v>
      </c>
      <c r="AK3340">
        <v>0</v>
      </c>
      <c r="AL3340" t="str">
        <f>IF(AA3340="","",IFERROR(IF(ISNUMBER('Procyfloc 4800'!D341),'Procyfloc 4800'!D341,IF(ISNUMBER(SEARCH("12",'Procyfloc 4800'!D341)),EDATE(AB3340,12),IF(ISNUMBER(SEARCH("6",'Procyfloc 4800'!D341)),EDATE(AB3340,6),IF(ISNUMBER(SEARCH("3",'Procyfloc 4800'!D341)),EDATE(AB3340,3),DATEVALUE('Procyfloc 4800'!D341))))),""))</f>
        <v/>
      </c>
      <c r="AM3340" t="str">
        <f t="shared" ca="1" si="334"/>
        <v/>
      </c>
    </row>
    <row r="3341" spans="27:39" x14ac:dyDescent="0.3">
      <c r="AA3341" t="str">
        <f>IF(COUNTA('Procyfloc 4800'!A342,'Procyfloc 4800'!B342,'Procyfloc 4800'!C342)&gt;0,"4800","")</f>
        <v/>
      </c>
      <c r="AB3341" t="str">
        <f>IFERROR(IF(ISNUMBER('Procyfloc 4800'!A342),'Procyfloc 4800'!A342,DATEVALUE('Procyfloc 4800'!A342)),"")</f>
        <v/>
      </c>
      <c r="AC3341" t="str">
        <f>IF(AA3341="","",'Procyfloc 4800'!B342)</f>
        <v/>
      </c>
      <c r="AD3341" t="str">
        <f>IF(AA3341="","",IFERROR(1*'Procyfloc 4800'!C342,IFERROR(_xludf.NUMBERVALUE('Procyfloc 4800'!C342,".",","),IFERROR(_xludf.NUMBERVALUE('Procyfloc 4800'!C342,",","."),0))))</f>
        <v/>
      </c>
      <c r="AE3341" t="str">
        <f>IF(AA3341="","",'Procyfloc 4800'!J342)</f>
        <v/>
      </c>
      <c r="AF3341">
        <f t="shared" si="329"/>
        <v>0</v>
      </c>
      <c r="AG3341" t="str">
        <f t="shared" si="330"/>
        <v/>
      </c>
      <c r="AH3341" t="str">
        <f t="shared" si="331"/>
        <v/>
      </c>
      <c r="AI3341">
        <f t="shared" si="332"/>
        <v>0</v>
      </c>
      <c r="AJ3341">
        <f t="shared" si="333"/>
        <v>0</v>
      </c>
      <c r="AK3341">
        <v>0</v>
      </c>
      <c r="AL3341" t="str">
        <f>IF(AA3341="","",IFERROR(IF(ISNUMBER('Procyfloc 4800'!D342),'Procyfloc 4800'!D342,IF(ISNUMBER(SEARCH("12",'Procyfloc 4800'!D342)),EDATE(AB3341,12),IF(ISNUMBER(SEARCH("6",'Procyfloc 4800'!D342)),EDATE(AB3341,6),IF(ISNUMBER(SEARCH("3",'Procyfloc 4800'!D342)),EDATE(AB3341,3),DATEVALUE('Procyfloc 4800'!D342))))),""))</f>
        <v/>
      </c>
      <c r="AM3341" t="str">
        <f t="shared" ca="1" si="334"/>
        <v/>
      </c>
    </row>
    <row r="3342" spans="27:39" x14ac:dyDescent="0.3">
      <c r="AA3342" t="str">
        <f>IF(COUNTA('Procyfloc 4800'!A343,'Procyfloc 4800'!B343,'Procyfloc 4800'!C343)&gt;0,"4800","")</f>
        <v/>
      </c>
      <c r="AB3342" t="str">
        <f>IFERROR(IF(ISNUMBER('Procyfloc 4800'!A343),'Procyfloc 4800'!A343,DATEVALUE('Procyfloc 4800'!A343)),"")</f>
        <v/>
      </c>
      <c r="AC3342" t="str">
        <f>IF(AA3342="","",'Procyfloc 4800'!B343)</f>
        <v/>
      </c>
      <c r="AD3342" t="str">
        <f>IF(AA3342="","",IFERROR(1*'Procyfloc 4800'!C343,IFERROR(_xludf.NUMBERVALUE('Procyfloc 4800'!C343,".",","),IFERROR(_xludf.NUMBERVALUE('Procyfloc 4800'!C343,",","."),0))))</f>
        <v/>
      </c>
      <c r="AE3342" t="str">
        <f>IF(AA3342="","",'Procyfloc 4800'!J343)</f>
        <v/>
      </c>
      <c r="AF3342">
        <f t="shared" si="329"/>
        <v>0</v>
      </c>
      <c r="AG3342" t="str">
        <f t="shared" si="330"/>
        <v/>
      </c>
      <c r="AH3342" t="str">
        <f t="shared" si="331"/>
        <v/>
      </c>
      <c r="AI3342">
        <f t="shared" si="332"/>
        <v>0</v>
      </c>
      <c r="AJ3342">
        <f t="shared" si="333"/>
        <v>0</v>
      </c>
      <c r="AK3342">
        <v>0</v>
      </c>
      <c r="AL3342" t="str">
        <f>IF(AA3342="","",IFERROR(IF(ISNUMBER('Procyfloc 4800'!D343),'Procyfloc 4800'!D343,IF(ISNUMBER(SEARCH("12",'Procyfloc 4800'!D343)),EDATE(AB3342,12),IF(ISNUMBER(SEARCH("6",'Procyfloc 4800'!D343)),EDATE(AB3342,6),IF(ISNUMBER(SEARCH("3",'Procyfloc 4800'!D343)),EDATE(AB3342,3),DATEVALUE('Procyfloc 4800'!D343))))),""))</f>
        <v/>
      </c>
      <c r="AM3342" t="str">
        <f t="shared" ca="1" si="334"/>
        <v/>
      </c>
    </row>
    <row r="3343" spans="27:39" x14ac:dyDescent="0.3">
      <c r="AA3343" t="str">
        <f>IF(COUNTA('Procyfloc 4800'!A344,'Procyfloc 4800'!B344,'Procyfloc 4800'!C344)&gt;0,"4800","")</f>
        <v/>
      </c>
      <c r="AB3343" t="str">
        <f>IFERROR(IF(ISNUMBER('Procyfloc 4800'!A344),'Procyfloc 4800'!A344,DATEVALUE('Procyfloc 4800'!A344)),"")</f>
        <v/>
      </c>
      <c r="AC3343" t="str">
        <f>IF(AA3343="","",'Procyfloc 4800'!B344)</f>
        <v/>
      </c>
      <c r="AD3343" t="str">
        <f>IF(AA3343="","",IFERROR(1*'Procyfloc 4800'!C344,IFERROR(_xludf.NUMBERVALUE('Procyfloc 4800'!C344,".",","),IFERROR(_xludf.NUMBERVALUE('Procyfloc 4800'!C344,",","."),0))))</f>
        <v/>
      </c>
      <c r="AE3343" t="str">
        <f>IF(AA3343="","",'Procyfloc 4800'!J344)</f>
        <v/>
      </c>
      <c r="AF3343">
        <f t="shared" si="329"/>
        <v>0</v>
      </c>
      <c r="AG3343" t="str">
        <f t="shared" si="330"/>
        <v/>
      </c>
      <c r="AH3343" t="str">
        <f t="shared" si="331"/>
        <v/>
      </c>
      <c r="AI3343">
        <f t="shared" si="332"/>
        <v>0</v>
      </c>
      <c r="AJ3343">
        <f t="shared" si="333"/>
        <v>0</v>
      </c>
      <c r="AK3343">
        <v>0</v>
      </c>
      <c r="AL3343" t="str">
        <f>IF(AA3343="","",IFERROR(IF(ISNUMBER('Procyfloc 4800'!D344),'Procyfloc 4800'!D344,IF(ISNUMBER(SEARCH("12",'Procyfloc 4800'!D344)),EDATE(AB3343,12),IF(ISNUMBER(SEARCH("6",'Procyfloc 4800'!D344)),EDATE(AB3343,6),IF(ISNUMBER(SEARCH("3",'Procyfloc 4800'!D344)),EDATE(AB3343,3),DATEVALUE('Procyfloc 4800'!D344))))),""))</f>
        <v/>
      </c>
      <c r="AM3343" t="str">
        <f t="shared" ca="1" si="334"/>
        <v/>
      </c>
    </row>
    <row r="3344" spans="27:39" x14ac:dyDescent="0.3">
      <c r="AA3344" t="str">
        <f>IF(COUNTA('Procyfloc 4800'!A345,'Procyfloc 4800'!B345,'Procyfloc 4800'!C345)&gt;0,"4800","")</f>
        <v/>
      </c>
      <c r="AB3344" t="str">
        <f>IFERROR(IF(ISNUMBER('Procyfloc 4800'!A345),'Procyfloc 4800'!A345,DATEVALUE('Procyfloc 4800'!A345)),"")</f>
        <v/>
      </c>
      <c r="AC3344" t="str">
        <f>IF(AA3344="","",'Procyfloc 4800'!B345)</f>
        <v/>
      </c>
      <c r="AD3344" t="str">
        <f>IF(AA3344="","",IFERROR(1*'Procyfloc 4800'!C345,IFERROR(_xludf.NUMBERVALUE('Procyfloc 4800'!C345,".",","),IFERROR(_xludf.NUMBERVALUE('Procyfloc 4800'!C345,",","."),0))))</f>
        <v/>
      </c>
      <c r="AE3344" t="str">
        <f>IF(AA3344="","",'Procyfloc 4800'!J345)</f>
        <v/>
      </c>
      <c r="AF3344">
        <f t="shared" si="329"/>
        <v>0</v>
      </c>
      <c r="AG3344" t="str">
        <f t="shared" si="330"/>
        <v/>
      </c>
      <c r="AH3344" t="str">
        <f t="shared" si="331"/>
        <v/>
      </c>
      <c r="AI3344">
        <f t="shared" si="332"/>
        <v>0</v>
      </c>
      <c r="AJ3344">
        <f t="shared" si="333"/>
        <v>0</v>
      </c>
      <c r="AK3344">
        <v>0</v>
      </c>
      <c r="AL3344" t="str">
        <f>IF(AA3344="","",IFERROR(IF(ISNUMBER('Procyfloc 4800'!D345),'Procyfloc 4800'!D345,IF(ISNUMBER(SEARCH("12",'Procyfloc 4800'!D345)),EDATE(AB3344,12),IF(ISNUMBER(SEARCH("6",'Procyfloc 4800'!D345)),EDATE(AB3344,6),IF(ISNUMBER(SEARCH("3",'Procyfloc 4800'!D345)),EDATE(AB3344,3),DATEVALUE('Procyfloc 4800'!D345))))),""))</f>
        <v/>
      </c>
      <c r="AM3344" t="str">
        <f t="shared" ca="1" si="334"/>
        <v/>
      </c>
    </row>
    <row r="3345" spans="27:39" x14ac:dyDescent="0.3">
      <c r="AA3345" t="str">
        <f>IF(COUNTA('Procyfloc 4800'!A346,'Procyfloc 4800'!B346,'Procyfloc 4800'!C346)&gt;0,"4800","")</f>
        <v/>
      </c>
      <c r="AB3345" t="str">
        <f>IFERROR(IF(ISNUMBER('Procyfloc 4800'!A346),'Procyfloc 4800'!A346,DATEVALUE('Procyfloc 4800'!A346)),"")</f>
        <v/>
      </c>
      <c r="AC3345" t="str">
        <f>IF(AA3345="","",'Procyfloc 4800'!B346)</f>
        <v/>
      </c>
      <c r="AD3345" t="str">
        <f>IF(AA3345="","",IFERROR(1*'Procyfloc 4800'!C346,IFERROR(_xludf.NUMBERVALUE('Procyfloc 4800'!C346,".",","),IFERROR(_xludf.NUMBERVALUE('Procyfloc 4800'!C346,",","."),0))))</f>
        <v/>
      </c>
      <c r="AE3345" t="str">
        <f>IF(AA3345="","",'Procyfloc 4800'!J346)</f>
        <v/>
      </c>
      <c r="AF3345">
        <f t="shared" si="329"/>
        <v>0</v>
      </c>
      <c r="AG3345" t="str">
        <f t="shared" si="330"/>
        <v/>
      </c>
      <c r="AH3345" t="str">
        <f t="shared" si="331"/>
        <v/>
      </c>
      <c r="AI3345">
        <f t="shared" si="332"/>
        <v>0</v>
      </c>
      <c r="AJ3345">
        <f t="shared" si="333"/>
        <v>0</v>
      </c>
      <c r="AK3345">
        <v>0</v>
      </c>
      <c r="AL3345" t="str">
        <f>IF(AA3345="","",IFERROR(IF(ISNUMBER('Procyfloc 4800'!D346),'Procyfloc 4800'!D346,IF(ISNUMBER(SEARCH("12",'Procyfloc 4800'!D346)),EDATE(AB3345,12),IF(ISNUMBER(SEARCH("6",'Procyfloc 4800'!D346)),EDATE(AB3345,6),IF(ISNUMBER(SEARCH("3",'Procyfloc 4800'!D346)),EDATE(AB3345,3),DATEVALUE('Procyfloc 4800'!D346))))),""))</f>
        <v/>
      </c>
      <c r="AM3345" t="str">
        <f t="shared" ca="1" si="334"/>
        <v/>
      </c>
    </row>
    <row r="3346" spans="27:39" x14ac:dyDescent="0.3">
      <c r="AA3346" t="str">
        <f>IF(COUNTA('Procyfloc 4800'!A347,'Procyfloc 4800'!B347,'Procyfloc 4800'!C347)&gt;0,"4800","")</f>
        <v/>
      </c>
      <c r="AB3346" t="str">
        <f>IFERROR(IF(ISNUMBER('Procyfloc 4800'!A347),'Procyfloc 4800'!A347,DATEVALUE('Procyfloc 4800'!A347)),"")</f>
        <v/>
      </c>
      <c r="AC3346" t="str">
        <f>IF(AA3346="","",'Procyfloc 4800'!B347)</f>
        <v/>
      </c>
      <c r="AD3346" t="str">
        <f>IF(AA3346="","",IFERROR(1*'Procyfloc 4800'!C347,IFERROR(_xludf.NUMBERVALUE('Procyfloc 4800'!C347,".",","),IFERROR(_xludf.NUMBERVALUE('Procyfloc 4800'!C347,",","."),0))))</f>
        <v/>
      </c>
      <c r="AE3346" t="str">
        <f>IF(AA3346="","",'Procyfloc 4800'!J347)</f>
        <v/>
      </c>
      <c r="AF3346">
        <f t="shared" si="329"/>
        <v>0</v>
      </c>
      <c r="AG3346" t="str">
        <f t="shared" si="330"/>
        <v/>
      </c>
      <c r="AH3346" t="str">
        <f t="shared" si="331"/>
        <v/>
      </c>
      <c r="AI3346">
        <f t="shared" si="332"/>
        <v>0</v>
      </c>
      <c r="AJ3346">
        <f t="shared" si="333"/>
        <v>0</v>
      </c>
      <c r="AK3346">
        <v>0</v>
      </c>
      <c r="AL3346" t="str">
        <f>IF(AA3346="","",IFERROR(IF(ISNUMBER('Procyfloc 4800'!D347),'Procyfloc 4800'!D347,IF(ISNUMBER(SEARCH("12",'Procyfloc 4800'!D347)),EDATE(AB3346,12),IF(ISNUMBER(SEARCH("6",'Procyfloc 4800'!D347)),EDATE(AB3346,6),IF(ISNUMBER(SEARCH("3",'Procyfloc 4800'!D347)),EDATE(AB3346,3),DATEVALUE('Procyfloc 4800'!D347))))),""))</f>
        <v/>
      </c>
      <c r="AM3346" t="str">
        <f t="shared" ca="1" si="334"/>
        <v/>
      </c>
    </row>
    <row r="3347" spans="27:39" x14ac:dyDescent="0.3">
      <c r="AA3347" t="str">
        <f>IF(COUNTA('Procyfloc 4800'!A348,'Procyfloc 4800'!B348,'Procyfloc 4800'!C348)&gt;0,"4800","")</f>
        <v/>
      </c>
      <c r="AB3347" t="str">
        <f>IFERROR(IF(ISNUMBER('Procyfloc 4800'!A348),'Procyfloc 4800'!A348,DATEVALUE('Procyfloc 4800'!A348)),"")</f>
        <v/>
      </c>
      <c r="AC3347" t="str">
        <f>IF(AA3347="","",'Procyfloc 4800'!B348)</f>
        <v/>
      </c>
      <c r="AD3347" t="str">
        <f>IF(AA3347="","",IFERROR(1*'Procyfloc 4800'!C348,IFERROR(_xludf.NUMBERVALUE('Procyfloc 4800'!C348,".",","),IFERROR(_xludf.NUMBERVALUE('Procyfloc 4800'!C348,",","."),0))))</f>
        <v/>
      </c>
      <c r="AE3347" t="str">
        <f>IF(AA3347="","",'Procyfloc 4800'!J348)</f>
        <v/>
      </c>
      <c r="AF3347">
        <f t="shared" si="329"/>
        <v>0</v>
      </c>
      <c r="AG3347" t="str">
        <f t="shared" si="330"/>
        <v/>
      </c>
      <c r="AH3347" t="str">
        <f t="shared" si="331"/>
        <v/>
      </c>
      <c r="AI3347">
        <f t="shared" si="332"/>
        <v>0</v>
      </c>
      <c r="AJ3347">
        <f t="shared" si="333"/>
        <v>0</v>
      </c>
      <c r="AK3347">
        <v>0</v>
      </c>
      <c r="AL3347" t="str">
        <f>IF(AA3347="","",IFERROR(IF(ISNUMBER('Procyfloc 4800'!D348),'Procyfloc 4800'!D348,IF(ISNUMBER(SEARCH("12",'Procyfloc 4800'!D348)),EDATE(AB3347,12),IF(ISNUMBER(SEARCH("6",'Procyfloc 4800'!D348)),EDATE(AB3347,6),IF(ISNUMBER(SEARCH("3",'Procyfloc 4800'!D348)),EDATE(AB3347,3),DATEVALUE('Procyfloc 4800'!D348))))),""))</f>
        <v/>
      </c>
      <c r="AM3347" t="str">
        <f t="shared" ca="1" si="334"/>
        <v/>
      </c>
    </row>
    <row r="3348" spans="27:39" x14ac:dyDescent="0.3">
      <c r="AA3348" t="str">
        <f>IF(COUNTA('Procyfloc 4800'!A349,'Procyfloc 4800'!B349,'Procyfloc 4800'!C349)&gt;0,"4800","")</f>
        <v/>
      </c>
      <c r="AB3348" t="str">
        <f>IFERROR(IF(ISNUMBER('Procyfloc 4800'!A349),'Procyfloc 4800'!A349,DATEVALUE('Procyfloc 4800'!A349)),"")</f>
        <v/>
      </c>
      <c r="AC3348" t="str">
        <f>IF(AA3348="","",'Procyfloc 4800'!B349)</f>
        <v/>
      </c>
      <c r="AD3348" t="str">
        <f>IF(AA3348="","",IFERROR(1*'Procyfloc 4800'!C349,IFERROR(_xludf.NUMBERVALUE('Procyfloc 4800'!C349,".",","),IFERROR(_xludf.NUMBERVALUE('Procyfloc 4800'!C349,",","."),0))))</f>
        <v/>
      </c>
      <c r="AE3348" t="str">
        <f>IF(AA3348="","",'Procyfloc 4800'!J349)</f>
        <v/>
      </c>
      <c r="AF3348">
        <f t="shared" si="329"/>
        <v>0</v>
      </c>
      <c r="AG3348" t="str">
        <f t="shared" si="330"/>
        <v/>
      </c>
      <c r="AH3348" t="str">
        <f t="shared" si="331"/>
        <v/>
      </c>
      <c r="AI3348">
        <f t="shared" si="332"/>
        <v>0</v>
      </c>
      <c r="AJ3348">
        <f t="shared" si="333"/>
        <v>0</v>
      </c>
      <c r="AK3348">
        <v>0</v>
      </c>
      <c r="AL3348" t="str">
        <f>IF(AA3348="","",IFERROR(IF(ISNUMBER('Procyfloc 4800'!D349),'Procyfloc 4800'!D349,IF(ISNUMBER(SEARCH("12",'Procyfloc 4800'!D349)),EDATE(AB3348,12),IF(ISNUMBER(SEARCH("6",'Procyfloc 4800'!D349)),EDATE(AB3348,6),IF(ISNUMBER(SEARCH("3",'Procyfloc 4800'!D349)),EDATE(AB3348,3),DATEVALUE('Procyfloc 4800'!D349))))),""))</f>
        <v/>
      </c>
      <c r="AM3348" t="str">
        <f t="shared" ca="1" si="334"/>
        <v/>
      </c>
    </row>
    <row r="3349" spans="27:39" x14ac:dyDescent="0.3">
      <c r="AA3349" t="str">
        <f>IF(COUNTA('Procyfloc 4800'!A350,'Procyfloc 4800'!B350,'Procyfloc 4800'!C350)&gt;0,"4800","")</f>
        <v/>
      </c>
      <c r="AB3349" t="str">
        <f>IFERROR(IF(ISNUMBER('Procyfloc 4800'!A350),'Procyfloc 4800'!A350,DATEVALUE('Procyfloc 4800'!A350)),"")</f>
        <v/>
      </c>
      <c r="AC3349" t="str">
        <f>IF(AA3349="","",'Procyfloc 4800'!B350)</f>
        <v/>
      </c>
      <c r="AD3349" t="str">
        <f>IF(AA3349="","",IFERROR(1*'Procyfloc 4800'!C350,IFERROR(_xludf.NUMBERVALUE('Procyfloc 4800'!C350,".",","),IFERROR(_xludf.NUMBERVALUE('Procyfloc 4800'!C350,",","."),0))))</f>
        <v/>
      </c>
      <c r="AE3349" t="str">
        <f>IF(AA3349="","",'Procyfloc 4800'!J350)</f>
        <v/>
      </c>
      <c r="AF3349">
        <f t="shared" si="329"/>
        <v>0</v>
      </c>
      <c r="AG3349" t="str">
        <f t="shared" si="330"/>
        <v/>
      </c>
      <c r="AH3349" t="str">
        <f t="shared" si="331"/>
        <v/>
      </c>
      <c r="AI3349">
        <f t="shared" si="332"/>
        <v>0</v>
      </c>
      <c r="AJ3349">
        <f t="shared" si="333"/>
        <v>0</v>
      </c>
      <c r="AK3349">
        <v>0</v>
      </c>
      <c r="AL3349" t="str">
        <f>IF(AA3349="","",IFERROR(IF(ISNUMBER('Procyfloc 4800'!D350),'Procyfloc 4800'!D350,IF(ISNUMBER(SEARCH("12",'Procyfloc 4800'!D350)),EDATE(AB3349,12),IF(ISNUMBER(SEARCH("6",'Procyfloc 4800'!D350)),EDATE(AB3349,6),IF(ISNUMBER(SEARCH("3",'Procyfloc 4800'!D350)),EDATE(AB3349,3),DATEVALUE('Procyfloc 4800'!D350))))),""))</f>
        <v/>
      </c>
      <c r="AM3349" t="str">
        <f t="shared" ca="1" si="334"/>
        <v/>
      </c>
    </row>
    <row r="3350" spans="27:39" x14ac:dyDescent="0.3">
      <c r="AA3350" t="str">
        <f>IF(COUNTA('Procyfloc 4800'!A351,'Procyfloc 4800'!B351,'Procyfloc 4800'!C351)&gt;0,"4800","")</f>
        <v/>
      </c>
      <c r="AB3350" t="str">
        <f>IFERROR(IF(ISNUMBER('Procyfloc 4800'!A351),'Procyfloc 4800'!A351,DATEVALUE('Procyfloc 4800'!A351)),"")</f>
        <v/>
      </c>
      <c r="AC3350" t="str">
        <f>IF(AA3350="","",'Procyfloc 4800'!B351)</f>
        <v/>
      </c>
      <c r="AD3350" t="str">
        <f>IF(AA3350="","",IFERROR(1*'Procyfloc 4800'!C351,IFERROR(_xludf.NUMBERVALUE('Procyfloc 4800'!C351,".",","),IFERROR(_xludf.NUMBERVALUE('Procyfloc 4800'!C351,",","."),0))))</f>
        <v/>
      </c>
      <c r="AE3350" t="str">
        <f>IF(AA3350="","",'Procyfloc 4800'!J351)</f>
        <v/>
      </c>
      <c r="AF3350">
        <f t="shared" si="329"/>
        <v>0</v>
      </c>
      <c r="AG3350" t="str">
        <f t="shared" si="330"/>
        <v/>
      </c>
      <c r="AH3350" t="str">
        <f t="shared" si="331"/>
        <v/>
      </c>
      <c r="AI3350">
        <f t="shared" si="332"/>
        <v>0</v>
      </c>
      <c r="AJ3350">
        <f t="shared" si="333"/>
        <v>0</v>
      </c>
      <c r="AK3350">
        <v>0</v>
      </c>
      <c r="AL3350" t="str">
        <f>IF(AA3350="","",IFERROR(IF(ISNUMBER('Procyfloc 4800'!D351),'Procyfloc 4800'!D351,IF(ISNUMBER(SEARCH("12",'Procyfloc 4800'!D351)),EDATE(AB3350,12),IF(ISNUMBER(SEARCH("6",'Procyfloc 4800'!D351)),EDATE(AB3350,6),IF(ISNUMBER(SEARCH("3",'Procyfloc 4800'!D351)),EDATE(AB3350,3),DATEVALUE('Procyfloc 4800'!D351))))),""))</f>
        <v/>
      </c>
      <c r="AM3350" t="str">
        <f t="shared" ca="1" si="334"/>
        <v/>
      </c>
    </row>
    <row r="3351" spans="27:39" x14ac:dyDescent="0.3">
      <c r="AA3351" t="str">
        <f>IF(COUNTA('Procyfloc 4800'!A352,'Procyfloc 4800'!B352,'Procyfloc 4800'!C352)&gt;0,"4800","")</f>
        <v/>
      </c>
      <c r="AB3351" t="str">
        <f>IFERROR(IF(ISNUMBER('Procyfloc 4800'!A352),'Procyfloc 4800'!A352,DATEVALUE('Procyfloc 4800'!A352)),"")</f>
        <v/>
      </c>
      <c r="AC3351" t="str">
        <f>IF(AA3351="","",'Procyfloc 4800'!B352)</f>
        <v/>
      </c>
      <c r="AD3351" t="str">
        <f>IF(AA3351="","",IFERROR(1*'Procyfloc 4800'!C352,IFERROR(_xludf.NUMBERVALUE('Procyfloc 4800'!C352,".",","),IFERROR(_xludf.NUMBERVALUE('Procyfloc 4800'!C352,",","."),0))))</f>
        <v/>
      </c>
      <c r="AE3351" t="str">
        <f>IF(AA3351="","",'Procyfloc 4800'!J352)</f>
        <v/>
      </c>
      <c r="AF3351">
        <f t="shared" si="329"/>
        <v>0</v>
      </c>
      <c r="AG3351" t="str">
        <f t="shared" si="330"/>
        <v/>
      </c>
      <c r="AH3351" t="str">
        <f t="shared" si="331"/>
        <v/>
      </c>
      <c r="AI3351">
        <f t="shared" si="332"/>
        <v>0</v>
      </c>
      <c r="AJ3351">
        <f t="shared" si="333"/>
        <v>0</v>
      </c>
      <c r="AK3351">
        <v>0</v>
      </c>
      <c r="AL3351" t="str">
        <f>IF(AA3351="","",IFERROR(IF(ISNUMBER('Procyfloc 4800'!D352),'Procyfloc 4800'!D352,IF(ISNUMBER(SEARCH("12",'Procyfloc 4800'!D352)),EDATE(AB3351,12),IF(ISNUMBER(SEARCH("6",'Procyfloc 4800'!D352)),EDATE(AB3351,6),IF(ISNUMBER(SEARCH("3",'Procyfloc 4800'!D352)),EDATE(AB3351,3),DATEVALUE('Procyfloc 4800'!D352))))),""))</f>
        <v/>
      </c>
      <c r="AM3351" t="str">
        <f t="shared" ca="1" si="334"/>
        <v/>
      </c>
    </row>
    <row r="3352" spans="27:39" x14ac:dyDescent="0.3">
      <c r="AA3352" t="str">
        <f>IF(COUNTA('Procyfloc 4800'!A353,'Procyfloc 4800'!B353,'Procyfloc 4800'!C353)&gt;0,"4800","")</f>
        <v/>
      </c>
      <c r="AB3352" t="str">
        <f>IFERROR(IF(ISNUMBER('Procyfloc 4800'!A353),'Procyfloc 4800'!A353,DATEVALUE('Procyfloc 4800'!A353)),"")</f>
        <v/>
      </c>
      <c r="AC3352" t="str">
        <f>IF(AA3352="","",'Procyfloc 4800'!B353)</f>
        <v/>
      </c>
      <c r="AD3352" t="str">
        <f>IF(AA3352="","",IFERROR(1*'Procyfloc 4800'!C353,IFERROR(_xludf.NUMBERVALUE('Procyfloc 4800'!C353,".",","),IFERROR(_xludf.NUMBERVALUE('Procyfloc 4800'!C353,",","."),0))))</f>
        <v/>
      </c>
      <c r="AE3352" t="str">
        <f>IF(AA3352="","",'Procyfloc 4800'!J353)</f>
        <v/>
      </c>
      <c r="AF3352">
        <f t="shared" si="329"/>
        <v>0</v>
      </c>
      <c r="AG3352" t="str">
        <f t="shared" si="330"/>
        <v/>
      </c>
      <c r="AH3352" t="str">
        <f t="shared" si="331"/>
        <v/>
      </c>
      <c r="AI3352">
        <f t="shared" si="332"/>
        <v>0</v>
      </c>
      <c r="AJ3352">
        <f t="shared" si="333"/>
        <v>0</v>
      </c>
      <c r="AK3352">
        <v>0</v>
      </c>
      <c r="AL3352" t="str">
        <f>IF(AA3352="","",IFERROR(IF(ISNUMBER('Procyfloc 4800'!D353),'Procyfloc 4800'!D353,IF(ISNUMBER(SEARCH("12",'Procyfloc 4800'!D353)),EDATE(AB3352,12),IF(ISNUMBER(SEARCH("6",'Procyfloc 4800'!D353)),EDATE(AB3352,6),IF(ISNUMBER(SEARCH("3",'Procyfloc 4800'!D353)),EDATE(AB3352,3),DATEVALUE('Procyfloc 4800'!D353))))),""))</f>
        <v/>
      </c>
      <c r="AM3352" t="str">
        <f t="shared" ca="1" si="334"/>
        <v/>
      </c>
    </row>
    <row r="3353" spans="27:39" x14ac:dyDescent="0.3">
      <c r="AA3353" t="str">
        <f>IF(COUNTA('Procyfloc 4800'!A354,'Procyfloc 4800'!B354,'Procyfloc 4800'!C354)&gt;0,"4800","")</f>
        <v/>
      </c>
      <c r="AB3353" t="str">
        <f>IFERROR(IF(ISNUMBER('Procyfloc 4800'!A354),'Procyfloc 4800'!A354,DATEVALUE('Procyfloc 4800'!A354)),"")</f>
        <v/>
      </c>
      <c r="AC3353" t="str">
        <f>IF(AA3353="","",'Procyfloc 4800'!B354)</f>
        <v/>
      </c>
      <c r="AD3353" t="str">
        <f>IF(AA3353="","",IFERROR(1*'Procyfloc 4800'!C354,IFERROR(_xludf.NUMBERVALUE('Procyfloc 4800'!C354,".",","),IFERROR(_xludf.NUMBERVALUE('Procyfloc 4800'!C354,",","."),0))))</f>
        <v/>
      </c>
      <c r="AE3353" t="str">
        <f>IF(AA3353="","",'Procyfloc 4800'!J354)</f>
        <v/>
      </c>
      <c r="AF3353">
        <f t="shared" si="329"/>
        <v>0</v>
      </c>
      <c r="AG3353" t="str">
        <f t="shared" si="330"/>
        <v/>
      </c>
      <c r="AH3353" t="str">
        <f t="shared" si="331"/>
        <v/>
      </c>
      <c r="AI3353">
        <f t="shared" si="332"/>
        <v>0</v>
      </c>
      <c r="AJ3353">
        <f t="shared" si="333"/>
        <v>0</v>
      </c>
      <c r="AK3353">
        <v>0</v>
      </c>
      <c r="AL3353" t="str">
        <f>IF(AA3353="","",IFERROR(IF(ISNUMBER('Procyfloc 4800'!D354),'Procyfloc 4800'!D354,IF(ISNUMBER(SEARCH("12",'Procyfloc 4800'!D354)),EDATE(AB3353,12),IF(ISNUMBER(SEARCH("6",'Procyfloc 4800'!D354)),EDATE(AB3353,6),IF(ISNUMBER(SEARCH("3",'Procyfloc 4800'!D354)),EDATE(AB3353,3),DATEVALUE('Procyfloc 4800'!D354))))),""))</f>
        <v/>
      </c>
      <c r="AM3353" t="str">
        <f t="shared" ca="1" si="334"/>
        <v/>
      </c>
    </row>
    <row r="3354" spans="27:39" x14ac:dyDescent="0.3">
      <c r="AA3354" t="str">
        <f>IF(COUNTA('Procyfloc 4800'!A355,'Procyfloc 4800'!B355,'Procyfloc 4800'!C355)&gt;0,"4800","")</f>
        <v/>
      </c>
      <c r="AB3354" t="str">
        <f>IFERROR(IF(ISNUMBER('Procyfloc 4800'!A355),'Procyfloc 4800'!A355,DATEVALUE('Procyfloc 4800'!A355)),"")</f>
        <v/>
      </c>
      <c r="AC3354" t="str">
        <f>IF(AA3354="","",'Procyfloc 4800'!B355)</f>
        <v/>
      </c>
      <c r="AD3354" t="str">
        <f>IF(AA3354="","",IFERROR(1*'Procyfloc 4800'!C355,IFERROR(_xludf.NUMBERVALUE('Procyfloc 4800'!C355,".",","),IFERROR(_xludf.NUMBERVALUE('Procyfloc 4800'!C355,",","."),0))))</f>
        <v/>
      </c>
      <c r="AE3354" t="str">
        <f>IF(AA3354="","",'Procyfloc 4800'!J355)</f>
        <v/>
      </c>
      <c r="AF3354">
        <f t="shared" si="329"/>
        <v>0</v>
      </c>
      <c r="AG3354" t="str">
        <f t="shared" si="330"/>
        <v/>
      </c>
      <c r="AH3354" t="str">
        <f t="shared" si="331"/>
        <v/>
      </c>
      <c r="AI3354">
        <f t="shared" si="332"/>
        <v>0</v>
      </c>
      <c r="AJ3354">
        <f t="shared" si="333"/>
        <v>0</v>
      </c>
      <c r="AK3354">
        <v>0</v>
      </c>
      <c r="AL3354" t="str">
        <f>IF(AA3354="","",IFERROR(IF(ISNUMBER('Procyfloc 4800'!D355),'Procyfloc 4800'!D355,IF(ISNUMBER(SEARCH("12",'Procyfloc 4800'!D355)),EDATE(AB3354,12),IF(ISNUMBER(SEARCH("6",'Procyfloc 4800'!D355)),EDATE(AB3354,6),IF(ISNUMBER(SEARCH("3",'Procyfloc 4800'!D355)),EDATE(AB3354,3),DATEVALUE('Procyfloc 4800'!D355))))),""))</f>
        <v/>
      </c>
      <c r="AM3354" t="str">
        <f t="shared" ca="1" si="334"/>
        <v/>
      </c>
    </row>
    <row r="3355" spans="27:39" x14ac:dyDescent="0.3">
      <c r="AA3355" t="str">
        <f>IF(COUNTA('Procyfloc 4800'!A356,'Procyfloc 4800'!B356,'Procyfloc 4800'!C356)&gt;0,"4800","")</f>
        <v/>
      </c>
      <c r="AB3355" t="str">
        <f>IFERROR(IF(ISNUMBER('Procyfloc 4800'!A356),'Procyfloc 4800'!A356,DATEVALUE('Procyfloc 4800'!A356)),"")</f>
        <v/>
      </c>
      <c r="AC3355" t="str">
        <f>IF(AA3355="","",'Procyfloc 4800'!B356)</f>
        <v/>
      </c>
      <c r="AD3355" t="str">
        <f>IF(AA3355="","",IFERROR(1*'Procyfloc 4800'!C356,IFERROR(_xludf.NUMBERVALUE('Procyfloc 4800'!C356,".",","),IFERROR(_xludf.NUMBERVALUE('Procyfloc 4800'!C356,",","."),0))))</f>
        <v/>
      </c>
      <c r="AE3355" t="str">
        <f>IF(AA3355="","",'Procyfloc 4800'!J356)</f>
        <v/>
      </c>
      <c r="AF3355">
        <f t="shared" si="329"/>
        <v>0</v>
      </c>
      <c r="AG3355" t="str">
        <f t="shared" si="330"/>
        <v/>
      </c>
      <c r="AH3355" t="str">
        <f t="shared" si="331"/>
        <v/>
      </c>
      <c r="AI3355">
        <f t="shared" si="332"/>
        <v>0</v>
      </c>
      <c r="AJ3355">
        <f t="shared" si="333"/>
        <v>0</v>
      </c>
      <c r="AK3355">
        <v>0</v>
      </c>
      <c r="AL3355" t="str">
        <f>IF(AA3355="","",IFERROR(IF(ISNUMBER('Procyfloc 4800'!D356),'Procyfloc 4800'!D356,IF(ISNUMBER(SEARCH("12",'Procyfloc 4800'!D356)),EDATE(AB3355,12),IF(ISNUMBER(SEARCH("6",'Procyfloc 4800'!D356)),EDATE(AB3355,6),IF(ISNUMBER(SEARCH("3",'Procyfloc 4800'!D356)),EDATE(AB3355,3),DATEVALUE('Procyfloc 4800'!D356))))),""))</f>
        <v/>
      </c>
      <c r="AM3355" t="str">
        <f t="shared" ca="1" si="334"/>
        <v/>
      </c>
    </row>
    <row r="3356" spans="27:39" x14ac:dyDescent="0.3">
      <c r="AA3356" t="str">
        <f>IF(COUNTA('Procyfloc 4800'!A357,'Procyfloc 4800'!B357,'Procyfloc 4800'!C357)&gt;0,"4800","")</f>
        <v/>
      </c>
      <c r="AB3356" t="str">
        <f>IFERROR(IF(ISNUMBER('Procyfloc 4800'!A357),'Procyfloc 4800'!A357,DATEVALUE('Procyfloc 4800'!A357)),"")</f>
        <v/>
      </c>
      <c r="AC3356" t="str">
        <f>IF(AA3356="","",'Procyfloc 4800'!B357)</f>
        <v/>
      </c>
      <c r="AD3356" t="str">
        <f>IF(AA3356="","",IFERROR(1*'Procyfloc 4800'!C357,IFERROR(_xludf.NUMBERVALUE('Procyfloc 4800'!C357,".",","),IFERROR(_xludf.NUMBERVALUE('Procyfloc 4800'!C357,",","."),0))))</f>
        <v/>
      </c>
      <c r="AE3356" t="str">
        <f>IF(AA3356="","",'Procyfloc 4800'!J357)</f>
        <v/>
      </c>
      <c r="AF3356">
        <f t="shared" si="329"/>
        <v>0</v>
      </c>
      <c r="AG3356" t="str">
        <f t="shared" si="330"/>
        <v/>
      </c>
      <c r="AH3356" t="str">
        <f t="shared" si="331"/>
        <v/>
      </c>
      <c r="AI3356">
        <f t="shared" si="332"/>
        <v>0</v>
      </c>
      <c r="AJ3356">
        <f t="shared" si="333"/>
        <v>0</v>
      </c>
      <c r="AK3356">
        <v>0</v>
      </c>
      <c r="AL3356" t="str">
        <f>IF(AA3356="","",IFERROR(IF(ISNUMBER('Procyfloc 4800'!D357),'Procyfloc 4800'!D357,IF(ISNUMBER(SEARCH("12",'Procyfloc 4800'!D357)),EDATE(AB3356,12),IF(ISNUMBER(SEARCH("6",'Procyfloc 4800'!D357)),EDATE(AB3356,6),IF(ISNUMBER(SEARCH("3",'Procyfloc 4800'!D357)),EDATE(AB3356,3),DATEVALUE('Procyfloc 4800'!D357))))),""))</f>
        <v/>
      </c>
      <c r="AM3356" t="str">
        <f t="shared" ca="1" si="334"/>
        <v/>
      </c>
    </row>
    <row r="3357" spans="27:39" x14ac:dyDescent="0.3">
      <c r="AA3357" t="str">
        <f>IF(COUNTA('Procyfloc 4800'!A358,'Procyfloc 4800'!B358,'Procyfloc 4800'!C358)&gt;0,"4800","")</f>
        <v/>
      </c>
      <c r="AB3357" t="str">
        <f>IFERROR(IF(ISNUMBER('Procyfloc 4800'!A358),'Procyfloc 4800'!A358,DATEVALUE('Procyfloc 4800'!A358)),"")</f>
        <v/>
      </c>
      <c r="AC3357" t="str">
        <f>IF(AA3357="","",'Procyfloc 4800'!B358)</f>
        <v/>
      </c>
      <c r="AD3357" t="str">
        <f>IF(AA3357="","",IFERROR(1*'Procyfloc 4800'!C358,IFERROR(_xludf.NUMBERVALUE('Procyfloc 4800'!C358,".",","),IFERROR(_xludf.NUMBERVALUE('Procyfloc 4800'!C358,",","."),0))))</f>
        <v/>
      </c>
      <c r="AE3357" t="str">
        <f>IF(AA3357="","",'Procyfloc 4800'!J358)</f>
        <v/>
      </c>
      <c r="AF3357">
        <f t="shared" si="329"/>
        <v>0</v>
      </c>
      <c r="AG3357" t="str">
        <f t="shared" si="330"/>
        <v/>
      </c>
      <c r="AH3357" t="str">
        <f t="shared" si="331"/>
        <v/>
      </c>
      <c r="AI3357">
        <f t="shared" si="332"/>
        <v>0</v>
      </c>
      <c r="AJ3357">
        <f t="shared" si="333"/>
        <v>0</v>
      </c>
      <c r="AK3357">
        <v>0</v>
      </c>
      <c r="AL3357" t="str">
        <f>IF(AA3357="","",IFERROR(IF(ISNUMBER('Procyfloc 4800'!D358),'Procyfloc 4800'!D358,IF(ISNUMBER(SEARCH("12",'Procyfloc 4800'!D358)),EDATE(AB3357,12),IF(ISNUMBER(SEARCH("6",'Procyfloc 4800'!D358)),EDATE(AB3357,6),IF(ISNUMBER(SEARCH("3",'Procyfloc 4800'!D358)),EDATE(AB3357,3),DATEVALUE('Procyfloc 4800'!D358))))),""))</f>
        <v/>
      </c>
      <c r="AM3357" t="str">
        <f t="shared" ca="1" si="334"/>
        <v/>
      </c>
    </row>
    <row r="3358" spans="27:39" x14ac:dyDescent="0.3">
      <c r="AA3358" t="str">
        <f>IF(COUNTA('Procyfloc 4800'!A359,'Procyfloc 4800'!B359,'Procyfloc 4800'!C359)&gt;0,"4800","")</f>
        <v/>
      </c>
      <c r="AB3358" t="str">
        <f>IFERROR(IF(ISNUMBER('Procyfloc 4800'!A359),'Procyfloc 4800'!A359,DATEVALUE('Procyfloc 4800'!A359)),"")</f>
        <v/>
      </c>
      <c r="AC3358" t="str">
        <f>IF(AA3358="","",'Procyfloc 4800'!B359)</f>
        <v/>
      </c>
      <c r="AD3358" t="str">
        <f>IF(AA3358="","",IFERROR(1*'Procyfloc 4800'!C359,IFERROR(_xludf.NUMBERVALUE('Procyfloc 4800'!C359,".",","),IFERROR(_xludf.NUMBERVALUE('Procyfloc 4800'!C359,",","."),0))))</f>
        <v/>
      </c>
      <c r="AE3358" t="str">
        <f>IF(AA3358="","",'Procyfloc 4800'!J359)</f>
        <v/>
      </c>
      <c r="AF3358">
        <f t="shared" si="329"/>
        <v>0</v>
      </c>
      <c r="AG3358" t="str">
        <f t="shared" si="330"/>
        <v/>
      </c>
      <c r="AH3358" t="str">
        <f t="shared" si="331"/>
        <v/>
      </c>
      <c r="AI3358">
        <f t="shared" si="332"/>
        <v>0</v>
      </c>
      <c r="AJ3358">
        <f t="shared" si="333"/>
        <v>0</v>
      </c>
      <c r="AK3358">
        <v>0</v>
      </c>
      <c r="AL3358" t="str">
        <f>IF(AA3358="","",IFERROR(IF(ISNUMBER('Procyfloc 4800'!D359),'Procyfloc 4800'!D359,IF(ISNUMBER(SEARCH("12",'Procyfloc 4800'!D359)),EDATE(AB3358,12),IF(ISNUMBER(SEARCH("6",'Procyfloc 4800'!D359)),EDATE(AB3358,6),IF(ISNUMBER(SEARCH("3",'Procyfloc 4800'!D359)),EDATE(AB3358,3),DATEVALUE('Procyfloc 4800'!D359))))),""))</f>
        <v/>
      </c>
      <c r="AM3358" t="str">
        <f t="shared" ca="1" si="334"/>
        <v/>
      </c>
    </row>
    <row r="3359" spans="27:39" x14ac:dyDescent="0.3">
      <c r="AA3359" t="str">
        <f>IF(COUNTA('Procyfloc 4800'!A360,'Procyfloc 4800'!B360,'Procyfloc 4800'!C360)&gt;0,"4800","")</f>
        <v/>
      </c>
      <c r="AB3359" t="str">
        <f>IFERROR(IF(ISNUMBER('Procyfloc 4800'!A360),'Procyfloc 4800'!A360,DATEVALUE('Procyfloc 4800'!A360)),"")</f>
        <v/>
      </c>
      <c r="AC3359" t="str">
        <f>IF(AA3359="","",'Procyfloc 4800'!B360)</f>
        <v/>
      </c>
      <c r="AD3359" t="str">
        <f>IF(AA3359="","",IFERROR(1*'Procyfloc 4800'!C360,IFERROR(_xludf.NUMBERVALUE('Procyfloc 4800'!C360,".",","),IFERROR(_xludf.NUMBERVALUE('Procyfloc 4800'!C360,",","."),0))))</f>
        <v/>
      </c>
      <c r="AE3359" t="str">
        <f>IF(AA3359="","",'Procyfloc 4800'!J360)</f>
        <v/>
      </c>
      <c r="AF3359">
        <f t="shared" si="329"/>
        <v>0</v>
      </c>
      <c r="AG3359" t="str">
        <f t="shared" si="330"/>
        <v/>
      </c>
      <c r="AH3359" t="str">
        <f t="shared" si="331"/>
        <v/>
      </c>
      <c r="AI3359">
        <f t="shared" si="332"/>
        <v>0</v>
      </c>
      <c r="AJ3359">
        <f t="shared" si="333"/>
        <v>0</v>
      </c>
      <c r="AK3359">
        <v>0</v>
      </c>
      <c r="AL3359" t="str">
        <f>IF(AA3359="","",IFERROR(IF(ISNUMBER('Procyfloc 4800'!D360),'Procyfloc 4800'!D360,IF(ISNUMBER(SEARCH("12",'Procyfloc 4800'!D360)),EDATE(AB3359,12),IF(ISNUMBER(SEARCH("6",'Procyfloc 4800'!D360)),EDATE(AB3359,6),IF(ISNUMBER(SEARCH("3",'Procyfloc 4800'!D360)),EDATE(AB3359,3),DATEVALUE('Procyfloc 4800'!D360))))),""))</f>
        <v/>
      </c>
      <c r="AM3359" t="str">
        <f t="shared" ca="1" si="334"/>
        <v/>
      </c>
    </row>
    <row r="3360" spans="27:39" x14ac:dyDescent="0.3">
      <c r="AA3360" t="str">
        <f>IF(COUNTA('Procyfloc 4800'!A361,'Procyfloc 4800'!B361,'Procyfloc 4800'!C361)&gt;0,"4800","")</f>
        <v/>
      </c>
      <c r="AB3360" t="str">
        <f>IFERROR(IF(ISNUMBER('Procyfloc 4800'!A361),'Procyfloc 4800'!A361,DATEVALUE('Procyfloc 4800'!A361)),"")</f>
        <v/>
      </c>
      <c r="AC3360" t="str">
        <f>IF(AA3360="","",'Procyfloc 4800'!B361)</f>
        <v/>
      </c>
      <c r="AD3360" t="str">
        <f>IF(AA3360="","",IFERROR(1*'Procyfloc 4800'!C361,IFERROR(_xludf.NUMBERVALUE('Procyfloc 4800'!C361,".",","),IFERROR(_xludf.NUMBERVALUE('Procyfloc 4800'!C361,",","."),0))))</f>
        <v/>
      </c>
      <c r="AE3360" t="str">
        <f>IF(AA3360="","",'Procyfloc 4800'!J361)</f>
        <v/>
      </c>
      <c r="AF3360">
        <f t="shared" si="329"/>
        <v>0</v>
      </c>
      <c r="AG3360" t="str">
        <f t="shared" si="330"/>
        <v/>
      </c>
      <c r="AH3360" t="str">
        <f t="shared" si="331"/>
        <v/>
      </c>
      <c r="AI3360">
        <f t="shared" si="332"/>
        <v>0</v>
      </c>
      <c r="AJ3360">
        <f t="shared" si="333"/>
        <v>0</v>
      </c>
      <c r="AK3360">
        <v>0</v>
      </c>
      <c r="AL3360" t="str">
        <f>IF(AA3360="","",IFERROR(IF(ISNUMBER('Procyfloc 4800'!D361),'Procyfloc 4800'!D361,IF(ISNUMBER(SEARCH("12",'Procyfloc 4800'!D361)),EDATE(AB3360,12),IF(ISNUMBER(SEARCH("6",'Procyfloc 4800'!D361)),EDATE(AB3360,6),IF(ISNUMBER(SEARCH("3",'Procyfloc 4800'!D361)),EDATE(AB3360,3),DATEVALUE('Procyfloc 4800'!D361))))),""))</f>
        <v/>
      </c>
      <c r="AM3360" t="str">
        <f t="shared" ca="1" si="334"/>
        <v/>
      </c>
    </row>
    <row r="3361" spans="27:39" x14ac:dyDescent="0.3">
      <c r="AA3361" t="str">
        <f>IF(COUNTA('Procyfloc 4800'!A362,'Procyfloc 4800'!B362,'Procyfloc 4800'!C362)&gt;0,"4800","")</f>
        <v/>
      </c>
      <c r="AB3361" t="str">
        <f>IFERROR(IF(ISNUMBER('Procyfloc 4800'!A362),'Procyfloc 4800'!A362,DATEVALUE('Procyfloc 4800'!A362)),"")</f>
        <v/>
      </c>
      <c r="AC3361" t="str">
        <f>IF(AA3361="","",'Procyfloc 4800'!B362)</f>
        <v/>
      </c>
      <c r="AD3361" t="str">
        <f>IF(AA3361="","",IFERROR(1*'Procyfloc 4800'!C362,IFERROR(_xludf.NUMBERVALUE('Procyfloc 4800'!C362,".",","),IFERROR(_xludf.NUMBERVALUE('Procyfloc 4800'!C362,",","."),0))))</f>
        <v/>
      </c>
      <c r="AE3361" t="str">
        <f>IF(AA3361="","",'Procyfloc 4800'!J362)</f>
        <v/>
      </c>
      <c r="AF3361">
        <f t="shared" si="329"/>
        <v>0</v>
      </c>
      <c r="AG3361" t="str">
        <f t="shared" si="330"/>
        <v/>
      </c>
      <c r="AH3361" t="str">
        <f t="shared" si="331"/>
        <v/>
      </c>
      <c r="AI3361">
        <f t="shared" si="332"/>
        <v>0</v>
      </c>
      <c r="AJ3361">
        <f t="shared" si="333"/>
        <v>0</v>
      </c>
      <c r="AK3361">
        <v>0</v>
      </c>
      <c r="AL3361" t="str">
        <f>IF(AA3361="","",IFERROR(IF(ISNUMBER('Procyfloc 4800'!D362),'Procyfloc 4800'!D362,IF(ISNUMBER(SEARCH("12",'Procyfloc 4800'!D362)),EDATE(AB3361,12),IF(ISNUMBER(SEARCH("6",'Procyfloc 4800'!D362)),EDATE(AB3361,6),IF(ISNUMBER(SEARCH("3",'Procyfloc 4800'!D362)),EDATE(AB3361,3),DATEVALUE('Procyfloc 4800'!D362))))),""))</f>
        <v/>
      </c>
      <c r="AM3361" t="str">
        <f t="shared" ca="1" si="334"/>
        <v/>
      </c>
    </row>
    <row r="3362" spans="27:39" x14ac:dyDescent="0.3">
      <c r="AA3362" t="str">
        <f>IF(COUNTA('Procyfloc 4800'!A363,'Procyfloc 4800'!B363,'Procyfloc 4800'!C363)&gt;0,"4800","")</f>
        <v/>
      </c>
      <c r="AB3362" t="str">
        <f>IFERROR(IF(ISNUMBER('Procyfloc 4800'!A363),'Procyfloc 4800'!A363,DATEVALUE('Procyfloc 4800'!A363)),"")</f>
        <v/>
      </c>
      <c r="AC3362" t="str">
        <f>IF(AA3362="","",'Procyfloc 4800'!B363)</f>
        <v/>
      </c>
      <c r="AD3362" t="str">
        <f>IF(AA3362="","",IFERROR(1*'Procyfloc 4800'!C363,IFERROR(_xludf.NUMBERVALUE('Procyfloc 4800'!C363,".",","),IFERROR(_xludf.NUMBERVALUE('Procyfloc 4800'!C363,",","."),0))))</f>
        <v/>
      </c>
      <c r="AE3362" t="str">
        <f>IF(AA3362="","",'Procyfloc 4800'!J363)</f>
        <v/>
      </c>
      <c r="AF3362">
        <f t="shared" si="329"/>
        <v>0</v>
      </c>
      <c r="AG3362" t="str">
        <f t="shared" si="330"/>
        <v/>
      </c>
      <c r="AH3362" t="str">
        <f t="shared" si="331"/>
        <v/>
      </c>
      <c r="AI3362">
        <f t="shared" si="332"/>
        <v>0</v>
      </c>
      <c r="AJ3362">
        <f t="shared" si="333"/>
        <v>0</v>
      </c>
      <c r="AK3362">
        <v>0</v>
      </c>
      <c r="AL3362" t="str">
        <f>IF(AA3362="","",IFERROR(IF(ISNUMBER('Procyfloc 4800'!D363),'Procyfloc 4800'!D363,IF(ISNUMBER(SEARCH("12",'Procyfloc 4800'!D363)),EDATE(AB3362,12),IF(ISNUMBER(SEARCH("6",'Procyfloc 4800'!D363)),EDATE(AB3362,6),IF(ISNUMBER(SEARCH("3",'Procyfloc 4800'!D363)),EDATE(AB3362,3),DATEVALUE('Procyfloc 4800'!D363))))),""))</f>
        <v/>
      </c>
      <c r="AM3362" t="str">
        <f t="shared" ca="1" si="334"/>
        <v/>
      </c>
    </row>
    <row r="3363" spans="27:39" x14ac:dyDescent="0.3">
      <c r="AA3363" t="str">
        <f>IF(COUNTA('Procyfloc 4800'!A364,'Procyfloc 4800'!B364,'Procyfloc 4800'!C364)&gt;0,"4800","")</f>
        <v/>
      </c>
      <c r="AB3363" t="str">
        <f>IFERROR(IF(ISNUMBER('Procyfloc 4800'!A364),'Procyfloc 4800'!A364,DATEVALUE('Procyfloc 4800'!A364)),"")</f>
        <v/>
      </c>
      <c r="AC3363" t="str">
        <f>IF(AA3363="","",'Procyfloc 4800'!B364)</f>
        <v/>
      </c>
      <c r="AD3363" t="str">
        <f>IF(AA3363="","",IFERROR(1*'Procyfloc 4800'!C364,IFERROR(_xludf.NUMBERVALUE('Procyfloc 4800'!C364,".",","),IFERROR(_xludf.NUMBERVALUE('Procyfloc 4800'!C364,",","."),0))))</f>
        <v/>
      </c>
      <c r="AE3363" t="str">
        <f>IF(AA3363="","",'Procyfloc 4800'!J364)</f>
        <v/>
      </c>
      <c r="AF3363">
        <f t="shared" si="329"/>
        <v>0</v>
      </c>
      <c r="AG3363" t="str">
        <f t="shared" si="330"/>
        <v/>
      </c>
      <c r="AH3363" t="str">
        <f t="shared" si="331"/>
        <v/>
      </c>
      <c r="AI3363">
        <f t="shared" si="332"/>
        <v>0</v>
      </c>
      <c r="AJ3363">
        <f t="shared" si="333"/>
        <v>0</v>
      </c>
      <c r="AK3363">
        <v>0</v>
      </c>
      <c r="AL3363" t="str">
        <f>IF(AA3363="","",IFERROR(IF(ISNUMBER('Procyfloc 4800'!D364),'Procyfloc 4800'!D364,IF(ISNUMBER(SEARCH("12",'Procyfloc 4800'!D364)),EDATE(AB3363,12),IF(ISNUMBER(SEARCH("6",'Procyfloc 4800'!D364)),EDATE(AB3363,6),IF(ISNUMBER(SEARCH("3",'Procyfloc 4800'!D364)),EDATE(AB3363,3),DATEVALUE('Procyfloc 4800'!D364))))),""))</f>
        <v/>
      </c>
      <c r="AM3363" t="str">
        <f t="shared" ca="1" si="334"/>
        <v/>
      </c>
    </row>
    <row r="3364" spans="27:39" x14ac:dyDescent="0.3">
      <c r="AA3364" t="str">
        <f>IF(COUNTA('Procyfloc 4800'!A365,'Procyfloc 4800'!B365,'Procyfloc 4800'!C365)&gt;0,"4800","")</f>
        <v/>
      </c>
      <c r="AB3364" t="str">
        <f>IFERROR(IF(ISNUMBER('Procyfloc 4800'!A365),'Procyfloc 4800'!A365,DATEVALUE('Procyfloc 4800'!A365)),"")</f>
        <v/>
      </c>
      <c r="AC3364" t="str">
        <f>IF(AA3364="","",'Procyfloc 4800'!B365)</f>
        <v/>
      </c>
      <c r="AD3364" t="str">
        <f>IF(AA3364="","",IFERROR(1*'Procyfloc 4800'!C365,IFERROR(_xludf.NUMBERVALUE('Procyfloc 4800'!C365,".",","),IFERROR(_xludf.NUMBERVALUE('Procyfloc 4800'!C365,",","."),0))))</f>
        <v/>
      </c>
      <c r="AE3364" t="str">
        <f>IF(AA3364="","",'Procyfloc 4800'!J365)</f>
        <v/>
      </c>
      <c r="AF3364">
        <f t="shared" si="329"/>
        <v>0</v>
      </c>
      <c r="AG3364" t="str">
        <f t="shared" si="330"/>
        <v/>
      </c>
      <c r="AH3364" t="str">
        <f t="shared" si="331"/>
        <v/>
      </c>
      <c r="AI3364">
        <f t="shared" si="332"/>
        <v>0</v>
      </c>
      <c r="AJ3364">
        <f t="shared" si="333"/>
        <v>0</v>
      </c>
      <c r="AK3364">
        <v>0</v>
      </c>
      <c r="AL3364" t="str">
        <f>IF(AA3364="","",IFERROR(IF(ISNUMBER('Procyfloc 4800'!D365),'Procyfloc 4800'!D365,IF(ISNUMBER(SEARCH("12",'Procyfloc 4800'!D365)),EDATE(AB3364,12),IF(ISNUMBER(SEARCH("6",'Procyfloc 4800'!D365)),EDATE(AB3364,6),IF(ISNUMBER(SEARCH("3",'Procyfloc 4800'!D365)),EDATE(AB3364,3),DATEVALUE('Procyfloc 4800'!D365))))),""))</f>
        <v/>
      </c>
      <c r="AM3364" t="str">
        <f t="shared" ca="1" si="334"/>
        <v/>
      </c>
    </row>
    <row r="3365" spans="27:39" x14ac:dyDescent="0.3">
      <c r="AA3365" t="str">
        <f>IF(COUNTA('Procyfloc 4800'!A366,'Procyfloc 4800'!B366,'Procyfloc 4800'!C366)&gt;0,"4800","")</f>
        <v/>
      </c>
      <c r="AB3365" t="str">
        <f>IFERROR(IF(ISNUMBER('Procyfloc 4800'!A366),'Procyfloc 4800'!A366,DATEVALUE('Procyfloc 4800'!A366)),"")</f>
        <v/>
      </c>
      <c r="AC3365" t="str">
        <f>IF(AA3365="","",'Procyfloc 4800'!B366)</f>
        <v/>
      </c>
      <c r="AD3365" t="str">
        <f>IF(AA3365="","",IFERROR(1*'Procyfloc 4800'!C366,IFERROR(_xludf.NUMBERVALUE('Procyfloc 4800'!C366,".",","),IFERROR(_xludf.NUMBERVALUE('Procyfloc 4800'!C366,",","."),0))))</f>
        <v/>
      </c>
      <c r="AE3365" t="str">
        <f>IF(AA3365="","",'Procyfloc 4800'!J366)</f>
        <v/>
      </c>
      <c r="AF3365">
        <f t="shared" si="329"/>
        <v>0</v>
      </c>
      <c r="AG3365" t="str">
        <f t="shared" si="330"/>
        <v/>
      </c>
      <c r="AH3365" t="str">
        <f t="shared" si="331"/>
        <v/>
      </c>
      <c r="AI3365">
        <f t="shared" si="332"/>
        <v>0</v>
      </c>
      <c r="AJ3365">
        <f t="shared" si="333"/>
        <v>0</v>
      </c>
      <c r="AK3365">
        <v>0</v>
      </c>
      <c r="AL3365" t="str">
        <f>IF(AA3365="","",IFERROR(IF(ISNUMBER('Procyfloc 4800'!D366),'Procyfloc 4800'!D366,IF(ISNUMBER(SEARCH("12",'Procyfloc 4800'!D366)),EDATE(AB3365,12),IF(ISNUMBER(SEARCH("6",'Procyfloc 4800'!D366)),EDATE(AB3365,6),IF(ISNUMBER(SEARCH("3",'Procyfloc 4800'!D366)),EDATE(AB3365,3),DATEVALUE('Procyfloc 4800'!D366))))),""))</f>
        <v/>
      </c>
      <c r="AM3365" t="str">
        <f t="shared" ca="1" si="334"/>
        <v/>
      </c>
    </row>
    <row r="3366" spans="27:39" x14ac:dyDescent="0.3">
      <c r="AA3366" t="str">
        <f>IF(COUNTA('Procyfloc 4800'!A367,'Procyfloc 4800'!B367,'Procyfloc 4800'!C367)&gt;0,"4800","")</f>
        <v/>
      </c>
      <c r="AB3366" t="str">
        <f>IFERROR(IF(ISNUMBER('Procyfloc 4800'!A367),'Procyfloc 4800'!A367,DATEVALUE('Procyfloc 4800'!A367)),"")</f>
        <v/>
      </c>
      <c r="AC3366" t="str">
        <f>IF(AA3366="","",'Procyfloc 4800'!B367)</f>
        <v/>
      </c>
      <c r="AD3366" t="str">
        <f>IF(AA3366="","",IFERROR(1*'Procyfloc 4800'!C367,IFERROR(_xludf.NUMBERVALUE('Procyfloc 4800'!C367,".",","),IFERROR(_xludf.NUMBERVALUE('Procyfloc 4800'!C367,",","."),0))))</f>
        <v/>
      </c>
      <c r="AE3366" t="str">
        <f>IF(AA3366="","",'Procyfloc 4800'!J367)</f>
        <v/>
      </c>
      <c r="AF3366">
        <f t="shared" si="329"/>
        <v>0</v>
      </c>
      <c r="AG3366" t="str">
        <f t="shared" si="330"/>
        <v/>
      </c>
      <c r="AH3366" t="str">
        <f t="shared" si="331"/>
        <v/>
      </c>
      <c r="AI3366">
        <f t="shared" si="332"/>
        <v>0</v>
      </c>
      <c r="AJ3366">
        <f t="shared" si="333"/>
        <v>0</v>
      </c>
      <c r="AK3366">
        <v>0</v>
      </c>
      <c r="AL3366" t="str">
        <f>IF(AA3366="","",IFERROR(IF(ISNUMBER('Procyfloc 4800'!D367),'Procyfloc 4800'!D367,IF(ISNUMBER(SEARCH("12",'Procyfloc 4800'!D367)),EDATE(AB3366,12),IF(ISNUMBER(SEARCH("6",'Procyfloc 4800'!D367)),EDATE(AB3366,6),IF(ISNUMBER(SEARCH("3",'Procyfloc 4800'!D367)),EDATE(AB3366,3),DATEVALUE('Procyfloc 4800'!D367))))),""))</f>
        <v/>
      </c>
      <c r="AM3366" t="str">
        <f t="shared" ca="1" si="334"/>
        <v/>
      </c>
    </row>
    <row r="3367" spans="27:39" x14ac:dyDescent="0.3">
      <c r="AA3367" t="str">
        <f>IF(COUNTA('Procyfloc 4800'!A368,'Procyfloc 4800'!B368,'Procyfloc 4800'!C368)&gt;0,"4800","")</f>
        <v/>
      </c>
      <c r="AB3367" t="str">
        <f>IFERROR(IF(ISNUMBER('Procyfloc 4800'!A368),'Procyfloc 4800'!A368,DATEVALUE('Procyfloc 4800'!A368)),"")</f>
        <v/>
      </c>
      <c r="AC3367" t="str">
        <f>IF(AA3367="","",'Procyfloc 4800'!B368)</f>
        <v/>
      </c>
      <c r="AD3367" t="str">
        <f>IF(AA3367="","",IFERROR(1*'Procyfloc 4800'!C368,IFERROR(_xludf.NUMBERVALUE('Procyfloc 4800'!C368,".",","),IFERROR(_xludf.NUMBERVALUE('Procyfloc 4800'!C368,",","."),0))))</f>
        <v/>
      </c>
      <c r="AE3367" t="str">
        <f>IF(AA3367="","",'Procyfloc 4800'!J368)</f>
        <v/>
      </c>
      <c r="AF3367">
        <f t="shared" si="329"/>
        <v>0</v>
      </c>
      <c r="AG3367" t="str">
        <f t="shared" si="330"/>
        <v/>
      </c>
      <c r="AH3367" t="str">
        <f t="shared" si="331"/>
        <v/>
      </c>
      <c r="AI3367">
        <f t="shared" si="332"/>
        <v>0</v>
      </c>
      <c r="AJ3367">
        <f t="shared" si="333"/>
        <v>0</v>
      </c>
      <c r="AK3367">
        <v>0</v>
      </c>
      <c r="AL3367" t="str">
        <f>IF(AA3367="","",IFERROR(IF(ISNUMBER('Procyfloc 4800'!D368),'Procyfloc 4800'!D368,IF(ISNUMBER(SEARCH("12",'Procyfloc 4800'!D368)),EDATE(AB3367,12),IF(ISNUMBER(SEARCH("6",'Procyfloc 4800'!D368)),EDATE(AB3367,6),IF(ISNUMBER(SEARCH("3",'Procyfloc 4800'!D368)),EDATE(AB3367,3),DATEVALUE('Procyfloc 4800'!D368))))),""))</f>
        <v/>
      </c>
      <c r="AM3367" t="str">
        <f t="shared" ca="1" si="334"/>
        <v/>
      </c>
    </row>
    <row r="3368" spans="27:39" x14ac:dyDescent="0.3">
      <c r="AA3368" t="str">
        <f>IF(COUNTA('Procyfloc 4800'!A369,'Procyfloc 4800'!B369,'Procyfloc 4800'!C369)&gt;0,"4800","")</f>
        <v/>
      </c>
      <c r="AB3368" t="str">
        <f>IFERROR(IF(ISNUMBER('Procyfloc 4800'!A369),'Procyfloc 4800'!A369,DATEVALUE('Procyfloc 4800'!A369)),"")</f>
        <v/>
      </c>
      <c r="AC3368" t="str">
        <f>IF(AA3368="","",'Procyfloc 4800'!B369)</f>
        <v/>
      </c>
      <c r="AD3368" t="str">
        <f>IF(AA3368="","",IFERROR(1*'Procyfloc 4800'!C369,IFERROR(_xludf.NUMBERVALUE('Procyfloc 4800'!C369,".",","),IFERROR(_xludf.NUMBERVALUE('Procyfloc 4800'!C369,",","."),0))))</f>
        <v/>
      </c>
      <c r="AE3368" t="str">
        <f>IF(AA3368="","",'Procyfloc 4800'!J369)</f>
        <v/>
      </c>
      <c r="AF3368">
        <f t="shared" si="329"/>
        <v>0</v>
      </c>
      <c r="AG3368" t="str">
        <f t="shared" si="330"/>
        <v/>
      </c>
      <c r="AH3368" t="str">
        <f t="shared" si="331"/>
        <v/>
      </c>
      <c r="AI3368">
        <f t="shared" si="332"/>
        <v>0</v>
      </c>
      <c r="AJ3368">
        <f t="shared" si="333"/>
        <v>0</v>
      </c>
      <c r="AK3368">
        <v>0</v>
      </c>
      <c r="AL3368" t="str">
        <f>IF(AA3368="","",IFERROR(IF(ISNUMBER('Procyfloc 4800'!D369),'Procyfloc 4800'!D369,IF(ISNUMBER(SEARCH("12",'Procyfloc 4800'!D369)),EDATE(AB3368,12),IF(ISNUMBER(SEARCH("6",'Procyfloc 4800'!D369)),EDATE(AB3368,6),IF(ISNUMBER(SEARCH("3",'Procyfloc 4800'!D369)),EDATE(AB3368,3),DATEVALUE('Procyfloc 4800'!D369))))),""))</f>
        <v/>
      </c>
      <c r="AM3368" t="str">
        <f t="shared" ca="1" si="334"/>
        <v/>
      </c>
    </row>
    <row r="3369" spans="27:39" x14ac:dyDescent="0.3">
      <c r="AA3369" t="str">
        <f>IF(COUNTA('Procyfloc 4800'!A370,'Procyfloc 4800'!B370,'Procyfloc 4800'!C370)&gt;0,"4800","")</f>
        <v/>
      </c>
      <c r="AB3369" t="str">
        <f>IFERROR(IF(ISNUMBER('Procyfloc 4800'!A370),'Procyfloc 4800'!A370,DATEVALUE('Procyfloc 4800'!A370)),"")</f>
        <v/>
      </c>
      <c r="AC3369" t="str">
        <f>IF(AA3369="","",'Procyfloc 4800'!B370)</f>
        <v/>
      </c>
      <c r="AD3369" t="str">
        <f>IF(AA3369="","",IFERROR(1*'Procyfloc 4800'!C370,IFERROR(_xludf.NUMBERVALUE('Procyfloc 4800'!C370,".",","),IFERROR(_xludf.NUMBERVALUE('Procyfloc 4800'!C370,",","."),0))))</f>
        <v/>
      </c>
      <c r="AE3369" t="str">
        <f>IF(AA3369="","",'Procyfloc 4800'!J370)</f>
        <v/>
      </c>
      <c r="AF3369">
        <f t="shared" si="329"/>
        <v>0</v>
      </c>
      <c r="AG3369" t="str">
        <f t="shared" si="330"/>
        <v/>
      </c>
      <c r="AH3369" t="str">
        <f t="shared" si="331"/>
        <v/>
      </c>
      <c r="AI3369">
        <f t="shared" si="332"/>
        <v>0</v>
      </c>
      <c r="AJ3369">
        <f t="shared" si="333"/>
        <v>0</v>
      </c>
      <c r="AK3369">
        <v>0</v>
      </c>
      <c r="AL3369" t="str">
        <f>IF(AA3369="","",IFERROR(IF(ISNUMBER('Procyfloc 4800'!D370),'Procyfloc 4800'!D370,IF(ISNUMBER(SEARCH("12",'Procyfloc 4800'!D370)),EDATE(AB3369,12),IF(ISNUMBER(SEARCH("6",'Procyfloc 4800'!D370)),EDATE(AB3369,6),IF(ISNUMBER(SEARCH("3",'Procyfloc 4800'!D370)),EDATE(AB3369,3),DATEVALUE('Procyfloc 4800'!D370))))),""))</f>
        <v/>
      </c>
      <c r="AM3369" t="str">
        <f t="shared" ca="1" si="334"/>
        <v/>
      </c>
    </row>
    <row r="3370" spans="27:39" x14ac:dyDescent="0.3">
      <c r="AA3370" t="str">
        <f>IF(COUNTA('Procyfloc 4800'!A371,'Procyfloc 4800'!B371,'Procyfloc 4800'!C371)&gt;0,"4800","")</f>
        <v/>
      </c>
      <c r="AB3370" t="str">
        <f>IFERROR(IF(ISNUMBER('Procyfloc 4800'!A371),'Procyfloc 4800'!A371,DATEVALUE('Procyfloc 4800'!A371)),"")</f>
        <v/>
      </c>
      <c r="AC3370" t="str">
        <f>IF(AA3370="","",'Procyfloc 4800'!B371)</f>
        <v/>
      </c>
      <c r="AD3370" t="str">
        <f>IF(AA3370="","",IFERROR(1*'Procyfloc 4800'!C371,IFERROR(_xludf.NUMBERVALUE('Procyfloc 4800'!C371,".",","),IFERROR(_xludf.NUMBERVALUE('Procyfloc 4800'!C371,",","."),0))))</f>
        <v/>
      </c>
      <c r="AE3370" t="str">
        <f>IF(AA3370="","",'Procyfloc 4800'!J371)</f>
        <v/>
      </c>
      <c r="AF3370">
        <f t="shared" si="329"/>
        <v>0</v>
      </c>
      <c r="AG3370" t="str">
        <f t="shared" si="330"/>
        <v/>
      </c>
      <c r="AH3370" t="str">
        <f t="shared" si="331"/>
        <v/>
      </c>
      <c r="AI3370">
        <f t="shared" si="332"/>
        <v>0</v>
      </c>
      <c r="AJ3370">
        <f t="shared" si="333"/>
        <v>0</v>
      </c>
      <c r="AK3370">
        <v>0</v>
      </c>
      <c r="AL3370" t="str">
        <f>IF(AA3370="","",IFERROR(IF(ISNUMBER('Procyfloc 4800'!D371),'Procyfloc 4800'!D371,IF(ISNUMBER(SEARCH("12",'Procyfloc 4800'!D371)),EDATE(AB3370,12),IF(ISNUMBER(SEARCH("6",'Procyfloc 4800'!D371)),EDATE(AB3370,6),IF(ISNUMBER(SEARCH("3",'Procyfloc 4800'!D371)),EDATE(AB3370,3),DATEVALUE('Procyfloc 4800'!D371))))),""))</f>
        <v/>
      </c>
      <c r="AM3370" t="str">
        <f t="shared" ca="1" si="334"/>
        <v/>
      </c>
    </row>
    <row r="3371" spans="27:39" x14ac:dyDescent="0.3">
      <c r="AA3371" t="str">
        <f>IF(COUNTA('Procyfloc 4800'!A372,'Procyfloc 4800'!B372,'Procyfloc 4800'!C372)&gt;0,"4800","")</f>
        <v/>
      </c>
      <c r="AB3371" t="str">
        <f>IFERROR(IF(ISNUMBER('Procyfloc 4800'!A372),'Procyfloc 4800'!A372,DATEVALUE('Procyfloc 4800'!A372)),"")</f>
        <v/>
      </c>
      <c r="AC3371" t="str">
        <f>IF(AA3371="","",'Procyfloc 4800'!B372)</f>
        <v/>
      </c>
      <c r="AD3371" t="str">
        <f>IF(AA3371="","",IFERROR(1*'Procyfloc 4800'!C372,IFERROR(_xludf.NUMBERVALUE('Procyfloc 4800'!C372,".",","),IFERROR(_xludf.NUMBERVALUE('Procyfloc 4800'!C372,",","."),0))))</f>
        <v/>
      </c>
      <c r="AE3371" t="str">
        <f>IF(AA3371="","",'Procyfloc 4800'!J372)</f>
        <v/>
      </c>
      <c r="AF3371">
        <f t="shared" si="329"/>
        <v>0</v>
      </c>
      <c r="AG3371" t="str">
        <f t="shared" si="330"/>
        <v/>
      </c>
      <c r="AH3371" t="str">
        <f t="shared" si="331"/>
        <v/>
      </c>
      <c r="AI3371">
        <f t="shared" si="332"/>
        <v>0</v>
      </c>
      <c r="AJ3371">
        <f t="shared" si="333"/>
        <v>0</v>
      </c>
      <c r="AK3371">
        <v>0</v>
      </c>
      <c r="AL3371" t="str">
        <f>IF(AA3371="","",IFERROR(IF(ISNUMBER('Procyfloc 4800'!D372),'Procyfloc 4800'!D372,IF(ISNUMBER(SEARCH("12",'Procyfloc 4800'!D372)),EDATE(AB3371,12),IF(ISNUMBER(SEARCH("6",'Procyfloc 4800'!D372)),EDATE(AB3371,6),IF(ISNUMBER(SEARCH("3",'Procyfloc 4800'!D372)),EDATE(AB3371,3),DATEVALUE('Procyfloc 4800'!D372))))),""))</f>
        <v/>
      </c>
      <c r="AM3371" t="str">
        <f t="shared" ca="1" si="334"/>
        <v/>
      </c>
    </row>
    <row r="3372" spans="27:39" x14ac:dyDescent="0.3">
      <c r="AA3372" t="str">
        <f>IF(COUNTA('Procyfloc 4800'!A373,'Procyfloc 4800'!B373,'Procyfloc 4800'!C373)&gt;0,"4800","")</f>
        <v/>
      </c>
      <c r="AB3372" t="str">
        <f>IFERROR(IF(ISNUMBER('Procyfloc 4800'!A373),'Procyfloc 4800'!A373,DATEVALUE('Procyfloc 4800'!A373)),"")</f>
        <v/>
      </c>
      <c r="AC3372" t="str">
        <f>IF(AA3372="","",'Procyfloc 4800'!B373)</f>
        <v/>
      </c>
      <c r="AD3372" t="str">
        <f>IF(AA3372="","",IFERROR(1*'Procyfloc 4800'!C373,IFERROR(_xludf.NUMBERVALUE('Procyfloc 4800'!C373,".",","),IFERROR(_xludf.NUMBERVALUE('Procyfloc 4800'!C373,",","."),0))))</f>
        <v/>
      </c>
      <c r="AE3372" t="str">
        <f>IF(AA3372="","",'Procyfloc 4800'!J373)</f>
        <v/>
      </c>
      <c r="AF3372">
        <f t="shared" si="329"/>
        <v>0</v>
      </c>
      <c r="AG3372" t="str">
        <f t="shared" si="330"/>
        <v/>
      </c>
      <c r="AH3372" t="str">
        <f t="shared" si="331"/>
        <v/>
      </c>
      <c r="AI3372">
        <f t="shared" si="332"/>
        <v>0</v>
      </c>
      <c r="AJ3372">
        <f t="shared" si="333"/>
        <v>0</v>
      </c>
      <c r="AK3372">
        <v>0</v>
      </c>
      <c r="AL3372" t="str">
        <f>IF(AA3372="","",IFERROR(IF(ISNUMBER('Procyfloc 4800'!D373),'Procyfloc 4800'!D373,IF(ISNUMBER(SEARCH("12",'Procyfloc 4800'!D373)),EDATE(AB3372,12),IF(ISNUMBER(SEARCH("6",'Procyfloc 4800'!D373)),EDATE(AB3372,6),IF(ISNUMBER(SEARCH("3",'Procyfloc 4800'!D373)),EDATE(AB3372,3),DATEVALUE('Procyfloc 4800'!D373))))),""))</f>
        <v/>
      </c>
      <c r="AM3372" t="str">
        <f t="shared" ca="1" si="334"/>
        <v/>
      </c>
    </row>
    <row r="3373" spans="27:39" x14ac:dyDescent="0.3">
      <c r="AA3373" t="str">
        <f>IF(COUNTA('Procyfloc 4800'!A374,'Procyfloc 4800'!B374,'Procyfloc 4800'!C374)&gt;0,"4800","")</f>
        <v/>
      </c>
      <c r="AB3373" t="str">
        <f>IFERROR(IF(ISNUMBER('Procyfloc 4800'!A374),'Procyfloc 4800'!A374,DATEVALUE('Procyfloc 4800'!A374)),"")</f>
        <v/>
      </c>
      <c r="AC3373" t="str">
        <f>IF(AA3373="","",'Procyfloc 4800'!B374)</f>
        <v/>
      </c>
      <c r="AD3373" t="str">
        <f>IF(AA3373="","",IFERROR(1*'Procyfloc 4800'!C374,IFERROR(_xludf.NUMBERVALUE('Procyfloc 4800'!C374,".",","),IFERROR(_xludf.NUMBERVALUE('Procyfloc 4800'!C374,",","."),0))))</f>
        <v/>
      </c>
      <c r="AE3373" t="str">
        <f>IF(AA3373="","",'Procyfloc 4800'!J374)</f>
        <v/>
      </c>
      <c r="AF3373">
        <f t="shared" si="329"/>
        <v>0</v>
      </c>
      <c r="AG3373" t="str">
        <f t="shared" si="330"/>
        <v/>
      </c>
      <c r="AH3373" t="str">
        <f t="shared" si="331"/>
        <v/>
      </c>
      <c r="AI3373">
        <f t="shared" si="332"/>
        <v>0</v>
      </c>
      <c r="AJ3373">
        <f t="shared" si="333"/>
        <v>0</v>
      </c>
      <c r="AK3373">
        <v>0</v>
      </c>
      <c r="AL3373" t="str">
        <f>IF(AA3373="","",IFERROR(IF(ISNUMBER('Procyfloc 4800'!D374),'Procyfloc 4800'!D374,IF(ISNUMBER(SEARCH("12",'Procyfloc 4800'!D374)),EDATE(AB3373,12),IF(ISNUMBER(SEARCH("6",'Procyfloc 4800'!D374)),EDATE(AB3373,6),IF(ISNUMBER(SEARCH("3",'Procyfloc 4800'!D374)),EDATE(AB3373,3),DATEVALUE('Procyfloc 4800'!D374))))),""))</f>
        <v/>
      </c>
      <c r="AM3373" t="str">
        <f t="shared" ca="1" si="334"/>
        <v/>
      </c>
    </row>
    <row r="3374" spans="27:39" x14ac:dyDescent="0.3">
      <c r="AA3374" t="str">
        <f>IF(COUNTA('Procyfloc 4800'!A375,'Procyfloc 4800'!B375,'Procyfloc 4800'!C375)&gt;0,"4800","")</f>
        <v/>
      </c>
      <c r="AB3374" t="str">
        <f>IFERROR(IF(ISNUMBER('Procyfloc 4800'!A375),'Procyfloc 4800'!A375,DATEVALUE('Procyfloc 4800'!A375)),"")</f>
        <v/>
      </c>
      <c r="AC3374" t="str">
        <f>IF(AA3374="","",'Procyfloc 4800'!B375)</f>
        <v/>
      </c>
      <c r="AD3374" t="str">
        <f>IF(AA3374="","",IFERROR(1*'Procyfloc 4800'!C375,IFERROR(_xludf.NUMBERVALUE('Procyfloc 4800'!C375,".",","),IFERROR(_xludf.NUMBERVALUE('Procyfloc 4800'!C375,",","."),0))))</f>
        <v/>
      </c>
      <c r="AE3374" t="str">
        <f>IF(AA3374="","",'Procyfloc 4800'!J375)</f>
        <v/>
      </c>
      <c r="AF3374">
        <f t="shared" si="329"/>
        <v>0</v>
      </c>
      <c r="AG3374" t="str">
        <f t="shared" si="330"/>
        <v/>
      </c>
      <c r="AH3374" t="str">
        <f t="shared" si="331"/>
        <v/>
      </c>
      <c r="AI3374">
        <f t="shared" si="332"/>
        <v>0</v>
      </c>
      <c r="AJ3374">
        <f t="shared" si="333"/>
        <v>0</v>
      </c>
      <c r="AK3374">
        <v>0</v>
      </c>
      <c r="AL3374" t="str">
        <f>IF(AA3374="","",IFERROR(IF(ISNUMBER('Procyfloc 4800'!D375),'Procyfloc 4800'!D375,IF(ISNUMBER(SEARCH("12",'Procyfloc 4800'!D375)),EDATE(AB3374,12),IF(ISNUMBER(SEARCH("6",'Procyfloc 4800'!D375)),EDATE(AB3374,6),IF(ISNUMBER(SEARCH("3",'Procyfloc 4800'!D375)),EDATE(AB3374,3),DATEVALUE('Procyfloc 4800'!D375))))),""))</f>
        <v/>
      </c>
      <c r="AM3374" t="str">
        <f t="shared" ca="1" si="334"/>
        <v/>
      </c>
    </row>
    <row r="3375" spans="27:39" x14ac:dyDescent="0.3">
      <c r="AA3375" t="str">
        <f>IF(COUNTA('Procyfloc 4800'!A376,'Procyfloc 4800'!B376,'Procyfloc 4800'!C376)&gt;0,"4800","")</f>
        <v/>
      </c>
      <c r="AB3375" t="str">
        <f>IFERROR(IF(ISNUMBER('Procyfloc 4800'!A376),'Procyfloc 4800'!A376,DATEVALUE('Procyfloc 4800'!A376)),"")</f>
        <v/>
      </c>
      <c r="AC3375" t="str">
        <f>IF(AA3375="","",'Procyfloc 4800'!B376)</f>
        <v/>
      </c>
      <c r="AD3375" t="str">
        <f>IF(AA3375="","",IFERROR(1*'Procyfloc 4800'!C376,IFERROR(_xludf.NUMBERVALUE('Procyfloc 4800'!C376,".",","),IFERROR(_xludf.NUMBERVALUE('Procyfloc 4800'!C376,",","."),0))))</f>
        <v/>
      </c>
      <c r="AE3375" t="str">
        <f>IF(AA3375="","",'Procyfloc 4800'!J376)</f>
        <v/>
      </c>
      <c r="AF3375">
        <f t="shared" si="329"/>
        <v>0</v>
      </c>
      <c r="AG3375" t="str">
        <f t="shared" si="330"/>
        <v/>
      </c>
      <c r="AH3375" t="str">
        <f t="shared" si="331"/>
        <v/>
      </c>
      <c r="AI3375">
        <f t="shared" si="332"/>
        <v>0</v>
      </c>
      <c r="AJ3375">
        <f t="shared" si="333"/>
        <v>0</v>
      </c>
      <c r="AK3375">
        <v>0</v>
      </c>
      <c r="AL3375" t="str">
        <f>IF(AA3375="","",IFERROR(IF(ISNUMBER('Procyfloc 4800'!D376),'Procyfloc 4800'!D376,IF(ISNUMBER(SEARCH("12",'Procyfloc 4800'!D376)),EDATE(AB3375,12),IF(ISNUMBER(SEARCH("6",'Procyfloc 4800'!D376)),EDATE(AB3375,6),IF(ISNUMBER(SEARCH("3",'Procyfloc 4800'!D376)),EDATE(AB3375,3),DATEVALUE('Procyfloc 4800'!D376))))),""))</f>
        <v/>
      </c>
      <c r="AM3375" t="str">
        <f t="shared" ca="1" si="334"/>
        <v/>
      </c>
    </row>
    <row r="3376" spans="27:39" x14ac:dyDescent="0.3">
      <c r="AA3376" t="str">
        <f>IF(COUNTA('Procyfloc 4800'!A377,'Procyfloc 4800'!B377,'Procyfloc 4800'!C377)&gt;0,"4800","")</f>
        <v/>
      </c>
      <c r="AB3376" t="str">
        <f>IFERROR(IF(ISNUMBER('Procyfloc 4800'!A377),'Procyfloc 4800'!A377,DATEVALUE('Procyfloc 4800'!A377)),"")</f>
        <v/>
      </c>
      <c r="AC3376" t="str">
        <f>IF(AA3376="","",'Procyfloc 4800'!B377)</f>
        <v/>
      </c>
      <c r="AD3376" t="str">
        <f>IF(AA3376="","",IFERROR(1*'Procyfloc 4800'!C377,IFERROR(_xludf.NUMBERVALUE('Procyfloc 4800'!C377,".",","),IFERROR(_xludf.NUMBERVALUE('Procyfloc 4800'!C377,",","."),0))))</f>
        <v/>
      </c>
      <c r="AE3376" t="str">
        <f>IF(AA3376="","",'Procyfloc 4800'!J377)</f>
        <v/>
      </c>
      <c r="AF3376">
        <f t="shared" si="329"/>
        <v>0</v>
      </c>
      <c r="AG3376" t="str">
        <f t="shared" si="330"/>
        <v/>
      </c>
      <c r="AH3376" t="str">
        <f t="shared" si="331"/>
        <v/>
      </c>
      <c r="AI3376">
        <f t="shared" si="332"/>
        <v>0</v>
      </c>
      <c r="AJ3376">
        <f t="shared" si="333"/>
        <v>0</v>
      </c>
      <c r="AK3376">
        <v>0</v>
      </c>
      <c r="AL3376" t="str">
        <f>IF(AA3376="","",IFERROR(IF(ISNUMBER('Procyfloc 4800'!D377),'Procyfloc 4800'!D377,IF(ISNUMBER(SEARCH("12",'Procyfloc 4800'!D377)),EDATE(AB3376,12),IF(ISNUMBER(SEARCH("6",'Procyfloc 4800'!D377)),EDATE(AB3376,6),IF(ISNUMBER(SEARCH("3",'Procyfloc 4800'!D377)),EDATE(AB3376,3),DATEVALUE('Procyfloc 4800'!D377))))),""))</f>
        <v/>
      </c>
      <c r="AM3376" t="str">
        <f t="shared" ca="1" si="334"/>
        <v/>
      </c>
    </row>
    <row r="3377" spans="27:39" x14ac:dyDescent="0.3">
      <c r="AA3377" t="str">
        <f>IF(COUNTA('Procyfloc 4800'!A378,'Procyfloc 4800'!B378,'Procyfloc 4800'!C378)&gt;0,"4800","")</f>
        <v/>
      </c>
      <c r="AB3377" t="str">
        <f>IFERROR(IF(ISNUMBER('Procyfloc 4800'!A378),'Procyfloc 4800'!A378,DATEVALUE('Procyfloc 4800'!A378)),"")</f>
        <v/>
      </c>
      <c r="AC3377" t="str">
        <f>IF(AA3377="","",'Procyfloc 4800'!B378)</f>
        <v/>
      </c>
      <c r="AD3377" t="str">
        <f>IF(AA3377="","",IFERROR(1*'Procyfloc 4800'!C378,IFERROR(_xludf.NUMBERVALUE('Procyfloc 4800'!C378,".",","),IFERROR(_xludf.NUMBERVALUE('Procyfloc 4800'!C378,",","."),0))))</f>
        <v/>
      </c>
      <c r="AE3377" t="str">
        <f>IF(AA3377="","",'Procyfloc 4800'!J378)</f>
        <v/>
      </c>
      <c r="AF3377">
        <f t="shared" si="329"/>
        <v>0</v>
      </c>
      <c r="AG3377" t="str">
        <f t="shared" si="330"/>
        <v/>
      </c>
      <c r="AH3377" t="str">
        <f t="shared" si="331"/>
        <v/>
      </c>
      <c r="AI3377">
        <f t="shared" si="332"/>
        <v>0</v>
      </c>
      <c r="AJ3377">
        <f t="shared" si="333"/>
        <v>0</v>
      </c>
      <c r="AK3377">
        <v>0</v>
      </c>
      <c r="AL3377" t="str">
        <f>IF(AA3377="","",IFERROR(IF(ISNUMBER('Procyfloc 4800'!D378),'Procyfloc 4800'!D378,IF(ISNUMBER(SEARCH("12",'Procyfloc 4800'!D378)),EDATE(AB3377,12),IF(ISNUMBER(SEARCH("6",'Procyfloc 4800'!D378)),EDATE(AB3377,6),IF(ISNUMBER(SEARCH("3",'Procyfloc 4800'!D378)),EDATE(AB3377,3),DATEVALUE('Procyfloc 4800'!D378))))),""))</f>
        <v/>
      </c>
      <c r="AM3377" t="str">
        <f t="shared" ca="1" si="334"/>
        <v/>
      </c>
    </row>
    <row r="3378" spans="27:39" x14ac:dyDescent="0.3">
      <c r="AA3378" t="str">
        <f>IF(COUNTA('Procyfloc 4800'!A379,'Procyfloc 4800'!B379,'Procyfloc 4800'!C379)&gt;0,"4800","")</f>
        <v/>
      </c>
      <c r="AB3378" t="str">
        <f>IFERROR(IF(ISNUMBER('Procyfloc 4800'!A379),'Procyfloc 4800'!A379,DATEVALUE('Procyfloc 4800'!A379)),"")</f>
        <v/>
      </c>
      <c r="AC3378" t="str">
        <f>IF(AA3378="","",'Procyfloc 4800'!B379)</f>
        <v/>
      </c>
      <c r="AD3378" t="str">
        <f>IF(AA3378="","",IFERROR(1*'Procyfloc 4800'!C379,IFERROR(_xludf.NUMBERVALUE('Procyfloc 4800'!C379,".",","),IFERROR(_xludf.NUMBERVALUE('Procyfloc 4800'!C379,",","."),0))))</f>
        <v/>
      </c>
      <c r="AE3378" t="str">
        <f>IF(AA3378="","",'Procyfloc 4800'!J379)</f>
        <v/>
      </c>
      <c r="AF3378">
        <f t="shared" si="329"/>
        <v>0</v>
      </c>
      <c r="AG3378" t="str">
        <f t="shared" si="330"/>
        <v/>
      </c>
      <c r="AH3378" t="str">
        <f t="shared" si="331"/>
        <v/>
      </c>
      <c r="AI3378">
        <f t="shared" si="332"/>
        <v>0</v>
      </c>
      <c r="AJ3378">
        <f t="shared" si="333"/>
        <v>0</v>
      </c>
      <c r="AK3378">
        <v>0</v>
      </c>
      <c r="AL3378" t="str">
        <f>IF(AA3378="","",IFERROR(IF(ISNUMBER('Procyfloc 4800'!D379),'Procyfloc 4800'!D379,IF(ISNUMBER(SEARCH("12",'Procyfloc 4800'!D379)),EDATE(AB3378,12),IF(ISNUMBER(SEARCH("6",'Procyfloc 4800'!D379)),EDATE(AB3378,6),IF(ISNUMBER(SEARCH("3",'Procyfloc 4800'!D379)),EDATE(AB3378,3),DATEVALUE('Procyfloc 4800'!D379))))),""))</f>
        <v/>
      </c>
      <c r="AM3378" t="str">
        <f t="shared" ca="1" si="334"/>
        <v/>
      </c>
    </row>
    <row r="3379" spans="27:39" x14ac:dyDescent="0.3">
      <c r="AA3379" t="str">
        <f>IF(COUNTA('Procyfloc 4800'!A380,'Procyfloc 4800'!B380,'Procyfloc 4800'!C380)&gt;0,"4800","")</f>
        <v/>
      </c>
      <c r="AB3379" t="str">
        <f>IFERROR(IF(ISNUMBER('Procyfloc 4800'!A380),'Procyfloc 4800'!A380,DATEVALUE('Procyfloc 4800'!A380)),"")</f>
        <v/>
      </c>
      <c r="AC3379" t="str">
        <f>IF(AA3379="","",'Procyfloc 4800'!B380)</f>
        <v/>
      </c>
      <c r="AD3379" t="str">
        <f>IF(AA3379="","",IFERROR(1*'Procyfloc 4800'!C380,IFERROR(_xludf.NUMBERVALUE('Procyfloc 4800'!C380,".",","),IFERROR(_xludf.NUMBERVALUE('Procyfloc 4800'!C380,",","."),0))))</f>
        <v/>
      </c>
      <c r="AE3379" t="str">
        <f>IF(AA3379="","",'Procyfloc 4800'!J380)</f>
        <v/>
      </c>
      <c r="AF3379">
        <f t="shared" si="329"/>
        <v>0</v>
      </c>
      <c r="AG3379" t="str">
        <f t="shared" si="330"/>
        <v/>
      </c>
      <c r="AH3379" t="str">
        <f t="shared" si="331"/>
        <v/>
      </c>
      <c r="AI3379">
        <f t="shared" si="332"/>
        <v>0</v>
      </c>
      <c r="AJ3379">
        <f t="shared" si="333"/>
        <v>0</v>
      </c>
      <c r="AK3379">
        <v>0</v>
      </c>
      <c r="AL3379" t="str">
        <f>IF(AA3379="","",IFERROR(IF(ISNUMBER('Procyfloc 4800'!D380),'Procyfloc 4800'!D380,IF(ISNUMBER(SEARCH("12",'Procyfloc 4800'!D380)),EDATE(AB3379,12),IF(ISNUMBER(SEARCH("6",'Procyfloc 4800'!D380)),EDATE(AB3379,6),IF(ISNUMBER(SEARCH("3",'Procyfloc 4800'!D380)),EDATE(AB3379,3),DATEVALUE('Procyfloc 4800'!D380))))),""))</f>
        <v/>
      </c>
      <c r="AM3379" t="str">
        <f t="shared" ca="1" si="334"/>
        <v/>
      </c>
    </row>
    <row r="3380" spans="27:39" x14ac:dyDescent="0.3">
      <c r="AA3380" t="str">
        <f>IF(COUNTA('Procyfloc 4800'!A381,'Procyfloc 4800'!B381,'Procyfloc 4800'!C381)&gt;0,"4800","")</f>
        <v/>
      </c>
      <c r="AB3380" t="str">
        <f>IFERROR(IF(ISNUMBER('Procyfloc 4800'!A381),'Procyfloc 4800'!A381,DATEVALUE('Procyfloc 4800'!A381)),"")</f>
        <v/>
      </c>
      <c r="AC3380" t="str">
        <f>IF(AA3380="","",'Procyfloc 4800'!B381)</f>
        <v/>
      </c>
      <c r="AD3380" t="str">
        <f>IF(AA3380="","",IFERROR(1*'Procyfloc 4800'!C381,IFERROR(_xludf.NUMBERVALUE('Procyfloc 4800'!C381,".",","),IFERROR(_xludf.NUMBERVALUE('Procyfloc 4800'!C381,",","."),0))))</f>
        <v/>
      </c>
      <c r="AE3380" t="str">
        <f>IF(AA3380="","",'Procyfloc 4800'!J381)</f>
        <v/>
      </c>
      <c r="AF3380">
        <f t="shared" si="329"/>
        <v>0</v>
      </c>
      <c r="AG3380" t="str">
        <f t="shared" si="330"/>
        <v/>
      </c>
      <c r="AH3380" t="str">
        <f t="shared" si="331"/>
        <v/>
      </c>
      <c r="AI3380">
        <f t="shared" si="332"/>
        <v>0</v>
      </c>
      <c r="AJ3380">
        <f t="shared" si="333"/>
        <v>0</v>
      </c>
      <c r="AK3380">
        <v>0</v>
      </c>
      <c r="AL3380" t="str">
        <f>IF(AA3380="","",IFERROR(IF(ISNUMBER('Procyfloc 4800'!D381),'Procyfloc 4800'!D381,IF(ISNUMBER(SEARCH("12",'Procyfloc 4800'!D381)),EDATE(AB3380,12),IF(ISNUMBER(SEARCH("6",'Procyfloc 4800'!D381)),EDATE(AB3380,6),IF(ISNUMBER(SEARCH("3",'Procyfloc 4800'!D381)),EDATE(AB3380,3),DATEVALUE('Procyfloc 4800'!D381))))),""))</f>
        <v/>
      </c>
      <c r="AM3380" t="str">
        <f t="shared" ca="1" si="334"/>
        <v/>
      </c>
    </row>
    <row r="3381" spans="27:39" x14ac:dyDescent="0.3">
      <c r="AA3381" t="str">
        <f>IF(COUNTA('Procyfloc 4800'!A382,'Procyfloc 4800'!B382,'Procyfloc 4800'!C382)&gt;0,"4800","")</f>
        <v/>
      </c>
      <c r="AB3381" t="str">
        <f>IFERROR(IF(ISNUMBER('Procyfloc 4800'!A382),'Procyfloc 4800'!A382,DATEVALUE('Procyfloc 4800'!A382)),"")</f>
        <v/>
      </c>
      <c r="AC3381" t="str">
        <f>IF(AA3381="","",'Procyfloc 4800'!B382)</f>
        <v/>
      </c>
      <c r="AD3381" t="str">
        <f>IF(AA3381="","",IFERROR(1*'Procyfloc 4800'!C382,IFERROR(_xludf.NUMBERVALUE('Procyfloc 4800'!C382,".",","),IFERROR(_xludf.NUMBERVALUE('Procyfloc 4800'!C382,",","."),0))))</f>
        <v/>
      </c>
      <c r="AE3381" t="str">
        <f>IF(AA3381="","",'Procyfloc 4800'!J382)</f>
        <v/>
      </c>
      <c r="AF3381">
        <f t="shared" si="329"/>
        <v>0</v>
      </c>
      <c r="AG3381" t="str">
        <f t="shared" si="330"/>
        <v/>
      </c>
      <c r="AH3381" t="str">
        <f t="shared" si="331"/>
        <v/>
      </c>
      <c r="AI3381">
        <f t="shared" si="332"/>
        <v>0</v>
      </c>
      <c r="AJ3381">
        <f t="shared" si="333"/>
        <v>0</v>
      </c>
      <c r="AK3381">
        <v>0</v>
      </c>
      <c r="AL3381" t="str">
        <f>IF(AA3381="","",IFERROR(IF(ISNUMBER('Procyfloc 4800'!D382),'Procyfloc 4800'!D382,IF(ISNUMBER(SEARCH("12",'Procyfloc 4800'!D382)),EDATE(AB3381,12),IF(ISNUMBER(SEARCH("6",'Procyfloc 4800'!D382)),EDATE(AB3381,6),IF(ISNUMBER(SEARCH("3",'Procyfloc 4800'!D382)),EDATE(AB3381,3),DATEVALUE('Procyfloc 4800'!D382))))),""))</f>
        <v/>
      </c>
      <c r="AM3381" t="str">
        <f t="shared" ca="1" si="334"/>
        <v/>
      </c>
    </row>
    <row r="3382" spans="27:39" x14ac:dyDescent="0.3">
      <c r="AA3382" t="str">
        <f>IF(COUNTA('Procyfloc 4800'!A383,'Procyfloc 4800'!B383,'Procyfloc 4800'!C383)&gt;0,"4800","")</f>
        <v/>
      </c>
      <c r="AB3382" t="str">
        <f>IFERROR(IF(ISNUMBER('Procyfloc 4800'!A383),'Procyfloc 4800'!A383,DATEVALUE('Procyfloc 4800'!A383)),"")</f>
        <v/>
      </c>
      <c r="AC3382" t="str">
        <f>IF(AA3382="","",'Procyfloc 4800'!B383)</f>
        <v/>
      </c>
      <c r="AD3382" t="str">
        <f>IF(AA3382="","",IFERROR(1*'Procyfloc 4800'!C383,IFERROR(_xludf.NUMBERVALUE('Procyfloc 4800'!C383,".",","),IFERROR(_xludf.NUMBERVALUE('Procyfloc 4800'!C383,",","."),0))))</f>
        <v/>
      </c>
      <c r="AE3382" t="str">
        <f>IF(AA3382="","",'Procyfloc 4800'!J383)</f>
        <v/>
      </c>
      <c r="AF3382">
        <f t="shared" si="329"/>
        <v>0</v>
      </c>
      <c r="AG3382" t="str">
        <f t="shared" si="330"/>
        <v/>
      </c>
      <c r="AH3382" t="str">
        <f t="shared" si="331"/>
        <v/>
      </c>
      <c r="AI3382">
        <f t="shared" si="332"/>
        <v>0</v>
      </c>
      <c r="AJ3382">
        <f t="shared" si="333"/>
        <v>0</v>
      </c>
      <c r="AK3382">
        <v>0</v>
      </c>
      <c r="AL3382" t="str">
        <f>IF(AA3382="","",IFERROR(IF(ISNUMBER('Procyfloc 4800'!D383),'Procyfloc 4800'!D383,IF(ISNUMBER(SEARCH("12",'Procyfloc 4800'!D383)),EDATE(AB3382,12),IF(ISNUMBER(SEARCH("6",'Procyfloc 4800'!D383)),EDATE(AB3382,6),IF(ISNUMBER(SEARCH("3",'Procyfloc 4800'!D383)),EDATE(AB3382,3),DATEVALUE('Procyfloc 4800'!D383))))),""))</f>
        <v/>
      </c>
      <c r="AM3382" t="str">
        <f t="shared" ca="1" si="334"/>
        <v/>
      </c>
    </row>
    <row r="3383" spans="27:39" x14ac:dyDescent="0.3">
      <c r="AA3383" t="str">
        <f>IF(COUNTA('Procyfloc 4800'!A384,'Procyfloc 4800'!B384,'Procyfloc 4800'!C384)&gt;0,"4800","")</f>
        <v/>
      </c>
      <c r="AB3383" t="str">
        <f>IFERROR(IF(ISNUMBER('Procyfloc 4800'!A384),'Procyfloc 4800'!A384,DATEVALUE('Procyfloc 4800'!A384)),"")</f>
        <v/>
      </c>
      <c r="AC3383" t="str">
        <f>IF(AA3383="","",'Procyfloc 4800'!B384)</f>
        <v/>
      </c>
      <c r="AD3383" t="str">
        <f>IF(AA3383="","",IFERROR(1*'Procyfloc 4800'!C384,IFERROR(_xludf.NUMBERVALUE('Procyfloc 4800'!C384,".",","),IFERROR(_xludf.NUMBERVALUE('Procyfloc 4800'!C384,",","."),0))))</f>
        <v/>
      </c>
      <c r="AE3383" t="str">
        <f>IF(AA3383="","",'Procyfloc 4800'!J384)</f>
        <v/>
      </c>
      <c r="AF3383">
        <f t="shared" si="329"/>
        <v>0</v>
      </c>
      <c r="AG3383" t="str">
        <f t="shared" si="330"/>
        <v/>
      </c>
      <c r="AH3383" t="str">
        <f t="shared" si="331"/>
        <v/>
      </c>
      <c r="AI3383">
        <f t="shared" si="332"/>
        <v>0</v>
      </c>
      <c r="AJ3383">
        <f t="shared" si="333"/>
        <v>0</v>
      </c>
      <c r="AK3383">
        <v>0</v>
      </c>
      <c r="AL3383" t="str">
        <f>IF(AA3383="","",IFERROR(IF(ISNUMBER('Procyfloc 4800'!D384),'Procyfloc 4800'!D384,IF(ISNUMBER(SEARCH("12",'Procyfloc 4800'!D384)),EDATE(AB3383,12),IF(ISNUMBER(SEARCH("6",'Procyfloc 4800'!D384)),EDATE(AB3383,6),IF(ISNUMBER(SEARCH("3",'Procyfloc 4800'!D384)),EDATE(AB3383,3),DATEVALUE('Procyfloc 4800'!D384))))),""))</f>
        <v/>
      </c>
      <c r="AM3383" t="str">
        <f t="shared" ca="1" si="334"/>
        <v/>
      </c>
    </row>
    <row r="3384" spans="27:39" x14ac:dyDescent="0.3">
      <c r="AA3384" t="str">
        <f>IF(COUNTA('Procyfloc 4800'!A385,'Procyfloc 4800'!B385,'Procyfloc 4800'!C385)&gt;0,"4800","")</f>
        <v/>
      </c>
      <c r="AB3384" t="str">
        <f>IFERROR(IF(ISNUMBER('Procyfloc 4800'!A385),'Procyfloc 4800'!A385,DATEVALUE('Procyfloc 4800'!A385)),"")</f>
        <v/>
      </c>
      <c r="AC3384" t="str">
        <f>IF(AA3384="","",'Procyfloc 4800'!B385)</f>
        <v/>
      </c>
      <c r="AD3384" t="str">
        <f>IF(AA3384="","",IFERROR(1*'Procyfloc 4800'!C385,IFERROR(_xludf.NUMBERVALUE('Procyfloc 4800'!C385,".",","),IFERROR(_xludf.NUMBERVALUE('Procyfloc 4800'!C385,",","."),0))))</f>
        <v/>
      </c>
      <c r="AE3384" t="str">
        <f>IF(AA3384="","",'Procyfloc 4800'!J385)</f>
        <v/>
      </c>
      <c r="AF3384">
        <f t="shared" si="329"/>
        <v>0</v>
      </c>
      <c r="AG3384" t="str">
        <f t="shared" si="330"/>
        <v/>
      </c>
      <c r="AH3384" t="str">
        <f t="shared" si="331"/>
        <v/>
      </c>
      <c r="AI3384">
        <f t="shared" si="332"/>
        <v>0</v>
      </c>
      <c r="AJ3384">
        <f t="shared" si="333"/>
        <v>0</v>
      </c>
      <c r="AK3384">
        <v>0</v>
      </c>
      <c r="AL3384" t="str">
        <f>IF(AA3384="","",IFERROR(IF(ISNUMBER('Procyfloc 4800'!D385),'Procyfloc 4800'!D385,IF(ISNUMBER(SEARCH("12",'Procyfloc 4800'!D385)),EDATE(AB3384,12),IF(ISNUMBER(SEARCH("6",'Procyfloc 4800'!D385)),EDATE(AB3384,6),IF(ISNUMBER(SEARCH("3",'Procyfloc 4800'!D385)),EDATE(AB3384,3),DATEVALUE('Procyfloc 4800'!D385))))),""))</f>
        <v/>
      </c>
      <c r="AM3384" t="str">
        <f t="shared" ca="1" si="334"/>
        <v/>
      </c>
    </row>
    <row r="3385" spans="27:39" x14ac:dyDescent="0.3">
      <c r="AA3385" t="str">
        <f>IF(COUNTA('Procyfloc 4800'!A386,'Procyfloc 4800'!B386,'Procyfloc 4800'!C386)&gt;0,"4800","")</f>
        <v/>
      </c>
      <c r="AB3385" t="str">
        <f>IFERROR(IF(ISNUMBER('Procyfloc 4800'!A386),'Procyfloc 4800'!A386,DATEVALUE('Procyfloc 4800'!A386)),"")</f>
        <v/>
      </c>
      <c r="AC3385" t="str">
        <f>IF(AA3385="","",'Procyfloc 4800'!B386)</f>
        <v/>
      </c>
      <c r="AD3385" t="str">
        <f>IF(AA3385="","",IFERROR(1*'Procyfloc 4800'!C386,IFERROR(_xludf.NUMBERVALUE('Procyfloc 4800'!C386,".",","),IFERROR(_xludf.NUMBERVALUE('Procyfloc 4800'!C386,",","."),0))))</f>
        <v/>
      </c>
      <c r="AE3385" t="str">
        <f>IF(AA3385="","",'Procyfloc 4800'!J386)</f>
        <v/>
      </c>
      <c r="AF3385">
        <f t="shared" si="329"/>
        <v>0</v>
      </c>
      <c r="AG3385" t="str">
        <f t="shared" si="330"/>
        <v/>
      </c>
      <c r="AH3385" t="str">
        <f t="shared" si="331"/>
        <v/>
      </c>
      <c r="AI3385">
        <f t="shared" si="332"/>
        <v>0</v>
      </c>
      <c r="AJ3385">
        <f t="shared" si="333"/>
        <v>0</v>
      </c>
      <c r="AK3385">
        <v>0</v>
      </c>
      <c r="AL3385" t="str">
        <f>IF(AA3385="","",IFERROR(IF(ISNUMBER('Procyfloc 4800'!D386),'Procyfloc 4800'!D386,IF(ISNUMBER(SEARCH("12",'Procyfloc 4800'!D386)),EDATE(AB3385,12),IF(ISNUMBER(SEARCH("6",'Procyfloc 4800'!D386)),EDATE(AB3385,6),IF(ISNUMBER(SEARCH("3",'Procyfloc 4800'!D386)),EDATE(AB3385,3),DATEVALUE('Procyfloc 4800'!D386))))),""))</f>
        <v/>
      </c>
      <c r="AM3385" t="str">
        <f t="shared" ca="1" si="334"/>
        <v/>
      </c>
    </row>
    <row r="3386" spans="27:39" x14ac:dyDescent="0.3">
      <c r="AA3386" t="str">
        <f>IF(COUNTA('Procyfloc 4800'!A387,'Procyfloc 4800'!B387,'Procyfloc 4800'!C387)&gt;0,"4800","")</f>
        <v/>
      </c>
      <c r="AB3386" t="str">
        <f>IFERROR(IF(ISNUMBER('Procyfloc 4800'!A387),'Procyfloc 4800'!A387,DATEVALUE('Procyfloc 4800'!A387)),"")</f>
        <v/>
      </c>
      <c r="AC3386" t="str">
        <f>IF(AA3386="","",'Procyfloc 4800'!B387)</f>
        <v/>
      </c>
      <c r="AD3386" t="str">
        <f>IF(AA3386="","",IFERROR(1*'Procyfloc 4800'!C387,IFERROR(_xludf.NUMBERVALUE('Procyfloc 4800'!C387,".",","),IFERROR(_xludf.NUMBERVALUE('Procyfloc 4800'!C387,",","."),0))))</f>
        <v/>
      </c>
      <c r="AE3386" t="str">
        <f>IF(AA3386="","",'Procyfloc 4800'!J387)</f>
        <v/>
      </c>
      <c r="AF3386">
        <f t="shared" si="329"/>
        <v>0</v>
      </c>
      <c r="AG3386" t="str">
        <f t="shared" si="330"/>
        <v/>
      </c>
      <c r="AH3386" t="str">
        <f t="shared" si="331"/>
        <v/>
      </c>
      <c r="AI3386">
        <f t="shared" si="332"/>
        <v>0</v>
      </c>
      <c r="AJ3386">
        <f t="shared" si="333"/>
        <v>0</v>
      </c>
      <c r="AK3386">
        <v>0</v>
      </c>
      <c r="AL3386" t="str">
        <f>IF(AA3386="","",IFERROR(IF(ISNUMBER('Procyfloc 4800'!D387),'Procyfloc 4800'!D387,IF(ISNUMBER(SEARCH("12",'Procyfloc 4800'!D387)),EDATE(AB3386,12),IF(ISNUMBER(SEARCH("6",'Procyfloc 4800'!D387)),EDATE(AB3386,6),IF(ISNUMBER(SEARCH("3",'Procyfloc 4800'!D387)),EDATE(AB3386,3),DATEVALUE('Procyfloc 4800'!D387))))),""))</f>
        <v/>
      </c>
      <c r="AM3386" t="str">
        <f t="shared" ca="1" si="334"/>
        <v/>
      </c>
    </row>
    <row r="3387" spans="27:39" x14ac:dyDescent="0.3">
      <c r="AA3387" t="str">
        <f>IF(COUNTA('Procyfloc 4800'!A388,'Procyfloc 4800'!B388,'Procyfloc 4800'!C388)&gt;0,"4800","")</f>
        <v/>
      </c>
      <c r="AB3387" t="str">
        <f>IFERROR(IF(ISNUMBER('Procyfloc 4800'!A388),'Procyfloc 4800'!A388,DATEVALUE('Procyfloc 4800'!A388)),"")</f>
        <v/>
      </c>
      <c r="AC3387" t="str">
        <f>IF(AA3387="","",'Procyfloc 4800'!B388)</f>
        <v/>
      </c>
      <c r="AD3387" t="str">
        <f>IF(AA3387="","",IFERROR(1*'Procyfloc 4800'!C388,IFERROR(_xludf.NUMBERVALUE('Procyfloc 4800'!C388,".",","),IFERROR(_xludf.NUMBERVALUE('Procyfloc 4800'!C388,",","."),0))))</f>
        <v/>
      </c>
      <c r="AE3387" t="str">
        <f>IF(AA3387="","",'Procyfloc 4800'!J388)</f>
        <v/>
      </c>
      <c r="AF3387">
        <f t="shared" si="329"/>
        <v>0</v>
      </c>
      <c r="AG3387" t="str">
        <f t="shared" si="330"/>
        <v/>
      </c>
      <c r="AH3387" t="str">
        <f t="shared" si="331"/>
        <v/>
      </c>
      <c r="AI3387">
        <f t="shared" si="332"/>
        <v>0</v>
      </c>
      <c r="AJ3387">
        <f t="shared" si="333"/>
        <v>0</v>
      </c>
      <c r="AK3387">
        <v>0</v>
      </c>
      <c r="AL3387" t="str">
        <f>IF(AA3387="","",IFERROR(IF(ISNUMBER('Procyfloc 4800'!D388),'Procyfloc 4800'!D388,IF(ISNUMBER(SEARCH("12",'Procyfloc 4800'!D388)),EDATE(AB3387,12),IF(ISNUMBER(SEARCH("6",'Procyfloc 4800'!D388)),EDATE(AB3387,6),IF(ISNUMBER(SEARCH("3",'Procyfloc 4800'!D388)),EDATE(AB3387,3),DATEVALUE('Procyfloc 4800'!D388))))),""))</f>
        <v/>
      </c>
      <c r="AM3387" t="str">
        <f t="shared" ca="1" si="334"/>
        <v/>
      </c>
    </row>
    <row r="3388" spans="27:39" x14ac:dyDescent="0.3">
      <c r="AA3388" t="str">
        <f>IF(COUNTA('Procyfloc 4800'!A389,'Procyfloc 4800'!B389,'Procyfloc 4800'!C389)&gt;0,"4800","")</f>
        <v/>
      </c>
      <c r="AB3388" t="str">
        <f>IFERROR(IF(ISNUMBER('Procyfloc 4800'!A389),'Procyfloc 4800'!A389,DATEVALUE('Procyfloc 4800'!A389)),"")</f>
        <v/>
      </c>
      <c r="AC3388" t="str">
        <f>IF(AA3388="","",'Procyfloc 4800'!B389)</f>
        <v/>
      </c>
      <c r="AD3388" t="str">
        <f>IF(AA3388="","",IFERROR(1*'Procyfloc 4800'!C389,IFERROR(_xludf.NUMBERVALUE('Procyfloc 4800'!C389,".",","),IFERROR(_xludf.NUMBERVALUE('Procyfloc 4800'!C389,",","."),0))))</f>
        <v/>
      </c>
      <c r="AE3388" t="str">
        <f>IF(AA3388="","",'Procyfloc 4800'!J389)</f>
        <v/>
      </c>
      <c r="AF3388">
        <f t="shared" si="329"/>
        <v>0</v>
      </c>
      <c r="AG3388" t="str">
        <f t="shared" si="330"/>
        <v/>
      </c>
      <c r="AH3388" t="str">
        <f t="shared" si="331"/>
        <v/>
      </c>
      <c r="AI3388">
        <f t="shared" si="332"/>
        <v>0</v>
      </c>
      <c r="AJ3388">
        <f t="shared" si="333"/>
        <v>0</v>
      </c>
      <c r="AK3388">
        <v>0</v>
      </c>
      <c r="AL3388" t="str">
        <f>IF(AA3388="","",IFERROR(IF(ISNUMBER('Procyfloc 4800'!D389),'Procyfloc 4800'!D389,IF(ISNUMBER(SEARCH("12",'Procyfloc 4800'!D389)),EDATE(AB3388,12),IF(ISNUMBER(SEARCH("6",'Procyfloc 4800'!D389)),EDATE(AB3388,6),IF(ISNUMBER(SEARCH("3",'Procyfloc 4800'!D389)),EDATE(AB3388,3),DATEVALUE('Procyfloc 4800'!D389))))),""))</f>
        <v/>
      </c>
      <c r="AM3388" t="str">
        <f t="shared" ca="1" si="334"/>
        <v/>
      </c>
    </row>
    <row r="3389" spans="27:39" x14ac:dyDescent="0.3">
      <c r="AA3389" t="str">
        <f>IF(COUNTA('Procyfloc 4800'!A390,'Procyfloc 4800'!B390,'Procyfloc 4800'!C390)&gt;0,"4800","")</f>
        <v/>
      </c>
      <c r="AB3389" t="str">
        <f>IFERROR(IF(ISNUMBER('Procyfloc 4800'!A390),'Procyfloc 4800'!A390,DATEVALUE('Procyfloc 4800'!A390)),"")</f>
        <v/>
      </c>
      <c r="AC3389" t="str">
        <f>IF(AA3389="","",'Procyfloc 4800'!B390)</f>
        <v/>
      </c>
      <c r="AD3389" t="str">
        <f>IF(AA3389="","",IFERROR(1*'Procyfloc 4800'!C390,IFERROR(_xludf.NUMBERVALUE('Procyfloc 4800'!C390,".",","),IFERROR(_xludf.NUMBERVALUE('Procyfloc 4800'!C390,",","."),0))))</f>
        <v/>
      </c>
      <c r="AE3389" t="str">
        <f>IF(AA3389="","",'Procyfloc 4800'!J390)</f>
        <v/>
      </c>
      <c r="AF3389">
        <f t="shared" si="329"/>
        <v>0</v>
      </c>
      <c r="AG3389" t="str">
        <f t="shared" si="330"/>
        <v/>
      </c>
      <c r="AH3389" t="str">
        <f t="shared" si="331"/>
        <v/>
      </c>
      <c r="AI3389">
        <f t="shared" si="332"/>
        <v>0</v>
      </c>
      <c r="AJ3389">
        <f t="shared" si="333"/>
        <v>0</v>
      </c>
      <c r="AK3389">
        <v>0</v>
      </c>
      <c r="AL3389" t="str">
        <f>IF(AA3389="","",IFERROR(IF(ISNUMBER('Procyfloc 4800'!D390),'Procyfloc 4800'!D390,IF(ISNUMBER(SEARCH("12",'Procyfloc 4800'!D390)),EDATE(AB3389,12),IF(ISNUMBER(SEARCH("6",'Procyfloc 4800'!D390)),EDATE(AB3389,6),IF(ISNUMBER(SEARCH("3",'Procyfloc 4800'!D390)),EDATE(AB3389,3),DATEVALUE('Procyfloc 4800'!D390))))),""))</f>
        <v/>
      </c>
      <c r="AM3389" t="str">
        <f t="shared" ca="1" si="334"/>
        <v/>
      </c>
    </row>
    <row r="3390" spans="27:39" x14ac:dyDescent="0.3">
      <c r="AA3390" t="str">
        <f>IF(COUNTA('Procyfloc 4800'!A391,'Procyfloc 4800'!B391,'Procyfloc 4800'!C391)&gt;0,"4800","")</f>
        <v/>
      </c>
      <c r="AB3390" t="str">
        <f>IFERROR(IF(ISNUMBER('Procyfloc 4800'!A391),'Procyfloc 4800'!A391,DATEVALUE('Procyfloc 4800'!A391)),"")</f>
        <v/>
      </c>
      <c r="AC3390" t="str">
        <f>IF(AA3390="","",'Procyfloc 4800'!B391)</f>
        <v/>
      </c>
      <c r="AD3390" t="str">
        <f>IF(AA3390="","",IFERROR(1*'Procyfloc 4800'!C391,IFERROR(_xludf.NUMBERVALUE('Procyfloc 4800'!C391,".",","),IFERROR(_xludf.NUMBERVALUE('Procyfloc 4800'!C391,",","."),0))))</f>
        <v/>
      </c>
      <c r="AE3390" t="str">
        <f>IF(AA3390="","",'Procyfloc 4800'!J391)</f>
        <v/>
      </c>
      <c r="AF3390">
        <f t="shared" si="329"/>
        <v>0</v>
      </c>
      <c r="AG3390" t="str">
        <f t="shared" si="330"/>
        <v/>
      </c>
      <c r="AH3390" t="str">
        <f t="shared" si="331"/>
        <v/>
      </c>
      <c r="AI3390">
        <f t="shared" si="332"/>
        <v>0</v>
      </c>
      <c r="AJ3390">
        <f t="shared" si="333"/>
        <v>0</v>
      </c>
      <c r="AK3390">
        <v>0</v>
      </c>
      <c r="AL3390" t="str">
        <f>IF(AA3390="","",IFERROR(IF(ISNUMBER('Procyfloc 4800'!D391),'Procyfloc 4800'!D391,IF(ISNUMBER(SEARCH("12",'Procyfloc 4800'!D391)),EDATE(AB3390,12),IF(ISNUMBER(SEARCH("6",'Procyfloc 4800'!D391)),EDATE(AB3390,6),IF(ISNUMBER(SEARCH("3",'Procyfloc 4800'!D391)),EDATE(AB3390,3),DATEVALUE('Procyfloc 4800'!D391))))),""))</f>
        <v/>
      </c>
      <c r="AM3390" t="str">
        <f t="shared" ca="1" si="334"/>
        <v/>
      </c>
    </row>
    <row r="3391" spans="27:39" x14ac:dyDescent="0.3">
      <c r="AA3391" t="str">
        <f>IF(COUNTA('Procyfloc 4800'!A392,'Procyfloc 4800'!B392,'Procyfloc 4800'!C392)&gt;0,"4800","")</f>
        <v/>
      </c>
      <c r="AB3391" t="str">
        <f>IFERROR(IF(ISNUMBER('Procyfloc 4800'!A392),'Procyfloc 4800'!A392,DATEVALUE('Procyfloc 4800'!A392)),"")</f>
        <v/>
      </c>
      <c r="AC3391" t="str">
        <f>IF(AA3391="","",'Procyfloc 4800'!B392)</f>
        <v/>
      </c>
      <c r="AD3391" t="str">
        <f>IF(AA3391="","",IFERROR(1*'Procyfloc 4800'!C392,IFERROR(_xludf.NUMBERVALUE('Procyfloc 4800'!C392,".",","),IFERROR(_xludf.NUMBERVALUE('Procyfloc 4800'!C392,",","."),0))))</f>
        <v/>
      </c>
      <c r="AE3391" t="str">
        <f>IF(AA3391="","",'Procyfloc 4800'!J392)</f>
        <v/>
      </c>
      <c r="AF3391">
        <f t="shared" si="329"/>
        <v>0</v>
      </c>
      <c r="AG3391" t="str">
        <f t="shared" si="330"/>
        <v/>
      </c>
      <c r="AH3391" t="str">
        <f t="shared" si="331"/>
        <v/>
      </c>
      <c r="AI3391">
        <f t="shared" si="332"/>
        <v>0</v>
      </c>
      <c r="AJ3391">
        <f t="shared" si="333"/>
        <v>0</v>
      </c>
      <c r="AK3391">
        <v>0</v>
      </c>
      <c r="AL3391" t="str">
        <f>IF(AA3391="","",IFERROR(IF(ISNUMBER('Procyfloc 4800'!D392),'Procyfloc 4800'!D392,IF(ISNUMBER(SEARCH("12",'Procyfloc 4800'!D392)),EDATE(AB3391,12),IF(ISNUMBER(SEARCH("6",'Procyfloc 4800'!D392)),EDATE(AB3391,6),IF(ISNUMBER(SEARCH("3",'Procyfloc 4800'!D392)),EDATE(AB3391,3),DATEVALUE('Procyfloc 4800'!D392))))),""))</f>
        <v/>
      </c>
      <c r="AM3391" t="str">
        <f t="shared" ca="1" si="334"/>
        <v/>
      </c>
    </row>
    <row r="3392" spans="27:39" x14ac:dyDescent="0.3">
      <c r="AA3392" t="str">
        <f>IF(COUNTA('Procyfloc 4800'!A393,'Procyfloc 4800'!B393,'Procyfloc 4800'!C393)&gt;0,"4800","")</f>
        <v/>
      </c>
      <c r="AB3392" t="str">
        <f>IFERROR(IF(ISNUMBER('Procyfloc 4800'!A393),'Procyfloc 4800'!A393,DATEVALUE('Procyfloc 4800'!A393)),"")</f>
        <v/>
      </c>
      <c r="AC3392" t="str">
        <f>IF(AA3392="","",'Procyfloc 4800'!B393)</f>
        <v/>
      </c>
      <c r="AD3392" t="str">
        <f>IF(AA3392="","",IFERROR(1*'Procyfloc 4800'!C393,IFERROR(_xludf.NUMBERVALUE('Procyfloc 4800'!C393,".",","),IFERROR(_xludf.NUMBERVALUE('Procyfloc 4800'!C393,",","."),0))))</f>
        <v/>
      </c>
      <c r="AE3392" t="str">
        <f>IF(AA3392="","",'Procyfloc 4800'!J393)</f>
        <v/>
      </c>
      <c r="AF3392">
        <f t="shared" si="329"/>
        <v>0</v>
      </c>
      <c r="AG3392" t="str">
        <f t="shared" si="330"/>
        <v/>
      </c>
      <c r="AH3392" t="str">
        <f t="shared" si="331"/>
        <v/>
      </c>
      <c r="AI3392">
        <f t="shared" si="332"/>
        <v>0</v>
      </c>
      <c r="AJ3392">
        <f t="shared" si="333"/>
        <v>0</v>
      </c>
      <c r="AK3392">
        <v>0</v>
      </c>
      <c r="AL3392" t="str">
        <f>IF(AA3392="","",IFERROR(IF(ISNUMBER('Procyfloc 4800'!D393),'Procyfloc 4800'!D393,IF(ISNUMBER(SEARCH("12",'Procyfloc 4800'!D393)),EDATE(AB3392,12),IF(ISNUMBER(SEARCH("6",'Procyfloc 4800'!D393)),EDATE(AB3392,6),IF(ISNUMBER(SEARCH("3",'Procyfloc 4800'!D393)),EDATE(AB3392,3),DATEVALUE('Procyfloc 4800'!D393))))),""))</f>
        <v/>
      </c>
      <c r="AM3392" t="str">
        <f t="shared" ca="1" si="334"/>
        <v/>
      </c>
    </row>
    <row r="3393" spans="27:39" x14ac:dyDescent="0.3">
      <c r="AA3393" t="str">
        <f>IF(COUNTA('Procyfloc 4800'!A394,'Procyfloc 4800'!B394,'Procyfloc 4800'!C394)&gt;0,"4800","")</f>
        <v/>
      </c>
      <c r="AB3393" t="str">
        <f>IFERROR(IF(ISNUMBER('Procyfloc 4800'!A394),'Procyfloc 4800'!A394,DATEVALUE('Procyfloc 4800'!A394)),"")</f>
        <v/>
      </c>
      <c r="AC3393" t="str">
        <f>IF(AA3393="","",'Procyfloc 4800'!B394)</f>
        <v/>
      </c>
      <c r="AD3393" t="str">
        <f>IF(AA3393="","",IFERROR(1*'Procyfloc 4800'!C394,IFERROR(_xludf.NUMBERVALUE('Procyfloc 4800'!C394,".",","),IFERROR(_xludf.NUMBERVALUE('Procyfloc 4800'!C394,",","."),0))))</f>
        <v/>
      </c>
      <c r="AE3393" t="str">
        <f>IF(AA3393="","",'Procyfloc 4800'!J394)</f>
        <v/>
      </c>
      <c r="AF3393">
        <f t="shared" si="329"/>
        <v>0</v>
      </c>
      <c r="AG3393" t="str">
        <f t="shared" si="330"/>
        <v/>
      </c>
      <c r="AH3393" t="str">
        <f t="shared" si="331"/>
        <v/>
      </c>
      <c r="AI3393">
        <f t="shared" si="332"/>
        <v>0</v>
      </c>
      <c r="AJ3393">
        <f t="shared" si="333"/>
        <v>0</v>
      </c>
      <c r="AK3393">
        <v>0</v>
      </c>
      <c r="AL3393" t="str">
        <f>IF(AA3393="","",IFERROR(IF(ISNUMBER('Procyfloc 4800'!D394),'Procyfloc 4800'!D394,IF(ISNUMBER(SEARCH("12",'Procyfloc 4800'!D394)),EDATE(AB3393,12),IF(ISNUMBER(SEARCH("6",'Procyfloc 4800'!D394)),EDATE(AB3393,6),IF(ISNUMBER(SEARCH("3",'Procyfloc 4800'!D394)),EDATE(AB3393,3),DATEVALUE('Procyfloc 4800'!D394))))),""))</f>
        <v/>
      </c>
      <c r="AM3393" t="str">
        <f t="shared" ca="1" si="334"/>
        <v/>
      </c>
    </row>
    <row r="3394" spans="27:39" x14ac:dyDescent="0.3">
      <c r="AA3394" t="str">
        <f>IF(COUNTA('Procyfloc 4800'!A395,'Procyfloc 4800'!B395,'Procyfloc 4800'!C395)&gt;0,"4800","")</f>
        <v/>
      </c>
      <c r="AB3394" t="str">
        <f>IFERROR(IF(ISNUMBER('Procyfloc 4800'!A395),'Procyfloc 4800'!A395,DATEVALUE('Procyfloc 4800'!A395)),"")</f>
        <v/>
      </c>
      <c r="AC3394" t="str">
        <f>IF(AA3394="","",'Procyfloc 4800'!B395)</f>
        <v/>
      </c>
      <c r="AD3394" t="str">
        <f>IF(AA3394="","",IFERROR(1*'Procyfloc 4800'!C395,IFERROR(_xludf.NUMBERVALUE('Procyfloc 4800'!C395,".",","),IFERROR(_xludf.NUMBERVALUE('Procyfloc 4800'!C395,",","."),0))))</f>
        <v/>
      </c>
      <c r="AE3394" t="str">
        <f>IF(AA3394="","",'Procyfloc 4800'!J395)</f>
        <v/>
      </c>
      <c r="AF3394">
        <f t="shared" ref="AF3394:AF3457" si="335">IF(AA3394="",0,--AND(ISNUMBER(SEARCH("aprov",AE3394)),NOT(ISNUMBER(SEARCH("reprov",AE3394)))))</f>
        <v>0</v>
      </c>
      <c r="AG3394" t="str">
        <f t="shared" ref="AG3394:AG3457" si="336">IF(AB3394="","",YEAR(AB3394))</f>
        <v/>
      </c>
      <c r="AH3394" t="str">
        <f t="shared" ref="AH3394:AH3457" si="337">IF(AB3394="","",MONTH(AB3394))</f>
        <v/>
      </c>
      <c r="AI3394">
        <f t="shared" ref="AI3394:AI3457" si="338">IF(AB3394="",0,AB3394+ROW()/1000000)</f>
        <v>0</v>
      </c>
      <c r="AJ3394">
        <f t="shared" ref="AJ3394:AJ3457" si="339">--(AA3394&lt;&gt;"")</f>
        <v>0</v>
      </c>
      <c r="AK3394">
        <v>0</v>
      </c>
      <c r="AL3394" t="str">
        <f>IF(AA3394="","",IFERROR(IF(ISNUMBER('Procyfloc 4800'!D395),'Procyfloc 4800'!D395,IF(ISNUMBER(SEARCH("12",'Procyfloc 4800'!D395)),EDATE(AB3394,12),IF(ISNUMBER(SEARCH("6",'Procyfloc 4800'!D395)),EDATE(AB3394,6),IF(ISNUMBER(SEARCH("3",'Procyfloc 4800'!D395)),EDATE(AB3394,3),DATEVALUE('Procyfloc 4800'!D395))))),""))</f>
        <v/>
      </c>
      <c r="AM3394" t="str">
        <f t="shared" ref="AM3394:AM3457" ca="1" si="340">IF(AND(AJ3394=1,AL3394&lt;&gt;"",AL3394&gt;=TODAY(),AG3394=$W$3),AL3394+ROW()/1000000,"")</f>
        <v/>
      </c>
    </row>
    <row r="3395" spans="27:39" x14ac:dyDescent="0.3">
      <c r="AA3395" t="str">
        <f>IF(COUNTA('Procyfloc 4800'!A396,'Procyfloc 4800'!B396,'Procyfloc 4800'!C396)&gt;0,"4800","")</f>
        <v/>
      </c>
      <c r="AB3395" t="str">
        <f>IFERROR(IF(ISNUMBER('Procyfloc 4800'!A396),'Procyfloc 4800'!A396,DATEVALUE('Procyfloc 4800'!A396)),"")</f>
        <v/>
      </c>
      <c r="AC3395" t="str">
        <f>IF(AA3395="","",'Procyfloc 4800'!B396)</f>
        <v/>
      </c>
      <c r="AD3395" t="str">
        <f>IF(AA3395="","",IFERROR(1*'Procyfloc 4800'!C396,IFERROR(_xludf.NUMBERVALUE('Procyfloc 4800'!C396,".",","),IFERROR(_xludf.NUMBERVALUE('Procyfloc 4800'!C396,",","."),0))))</f>
        <v/>
      </c>
      <c r="AE3395" t="str">
        <f>IF(AA3395="","",'Procyfloc 4800'!J396)</f>
        <v/>
      </c>
      <c r="AF3395">
        <f t="shared" si="335"/>
        <v>0</v>
      </c>
      <c r="AG3395" t="str">
        <f t="shared" si="336"/>
        <v/>
      </c>
      <c r="AH3395" t="str">
        <f t="shared" si="337"/>
        <v/>
      </c>
      <c r="AI3395">
        <f t="shared" si="338"/>
        <v>0</v>
      </c>
      <c r="AJ3395">
        <f t="shared" si="339"/>
        <v>0</v>
      </c>
      <c r="AK3395">
        <v>0</v>
      </c>
      <c r="AL3395" t="str">
        <f>IF(AA3395="","",IFERROR(IF(ISNUMBER('Procyfloc 4800'!D396),'Procyfloc 4800'!D396,IF(ISNUMBER(SEARCH("12",'Procyfloc 4800'!D396)),EDATE(AB3395,12),IF(ISNUMBER(SEARCH("6",'Procyfloc 4800'!D396)),EDATE(AB3395,6),IF(ISNUMBER(SEARCH("3",'Procyfloc 4800'!D396)),EDATE(AB3395,3),DATEVALUE('Procyfloc 4800'!D396))))),""))</f>
        <v/>
      </c>
      <c r="AM3395" t="str">
        <f t="shared" ca="1" si="340"/>
        <v/>
      </c>
    </row>
    <row r="3396" spans="27:39" x14ac:dyDescent="0.3">
      <c r="AA3396" t="str">
        <f>IF(COUNTA('Procyfloc 4800'!A397,'Procyfloc 4800'!B397,'Procyfloc 4800'!C397)&gt;0,"4800","")</f>
        <v/>
      </c>
      <c r="AB3396" t="str">
        <f>IFERROR(IF(ISNUMBER('Procyfloc 4800'!A397),'Procyfloc 4800'!A397,DATEVALUE('Procyfloc 4800'!A397)),"")</f>
        <v/>
      </c>
      <c r="AC3396" t="str">
        <f>IF(AA3396="","",'Procyfloc 4800'!B397)</f>
        <v/>
      </c>
      <c r="AD3396" t="str">
        <f>IF(AA3396="","",IFERROR(1*'Procyfloc 4800'!C397,IFERROR(_xludf.NUMBERVALUE('Procyfloc 4800'!C397,".",","),IFERROR(_xludf.NUMBERVALUE('Procyfloc 4800'!C397,",","."),0))))</f>
        <v/>
      </c>
      <c r="AE3396" t="str">
        <f>IF(AA3396="","",'Procyfloc 4800'!J397)</f>
        <v/>
      </c>
      <c r="AF3396">
        <f t="shared" si="335"/>
        <v>0</v>
      </c>
      <c r="AG3396" t="str">
        <f t="shared" si="336"/>
        <v/>
      </c>
      <c r="AH3396" t="str">
        <f t="shared" si="337"/>
        <v/>
      </c>
      <c r="AI3396">
        <f t="shared" si="338"/>
        <v>0</v>
      </c>
      <c r="AJ3396">
        <f t="shared" si="339"/>
        <v>0</v>
      </c>
      <c r="AK3396">
        <v>0</v>
      </c>
      <c r="AL3396" t="str">
        <f>IF(AA3396="","",IFERROR(IF(ISNUMBER('Procyfloc 4800'!D397),'Procyfloc 4800'!D397,IF(ISNUMBER(SEARCH("12",'Procyfloc 4800'!D397)),EDATE(AB3396,12),IF(ISNUMBER(SEARCH("6",'Procyfloc 4800'!D397)),EDATE(AB3396,6),IF(ISNUMBER(SEARCH("3",'Procyfloc 4800'!D397)),EDATE(AB3396,3),DATEVALUE('Procyfloc 4800'!D397))))),""))</f>
        <v/>
      </c>
      <c r="AM3396" t="str">
        <f t="shared" ca="1" si="340"/>
        <v/>
      </c>
    </row>
    <row r="3397" spans="27:39" x14ac:dyDescent="0.3">
      <c r="AA3397" t="str">
        <f>IF(COUNTA('Procyfloc 4800'!A398,'Procyfloc 4800'!B398,'Procyfloc 4800'!C398)&gt;0,"4800","")</f>
        <v/>
      </c>
      <c r="AB3397" t="str">
        <f>IFERROR(IF(ISNUMBER('Procyfloc 4800'!A398),'Procyfloc 4800'!A398,DATEVALUE('Procyfloc 4800'!A398)),"")</f>
        <v/>
      </c>
      <c r="AC3397" t="str">
        <f>IF(AA3397="","",'Procyfloc 4800'!B398)</f>
        <v/>
      </c>
      <c r="AD3397" t="str">
        <f>IF(AA3397="","",IFERROR(1*'Procyfloc 4800'!C398,IFERROR(_xludf.NUMBERVALUE('Procyfloc 4800'!C398,".",","),IFERROR(_xludf.NUMBERVALUE('Procyfloc 4800'!C398,",","."),0))))</f>
        <v/>
      </c>
      <c r="AE3397" t="str">
        <f>IF(AA3397="","",'Procyfloc 4800'!J398)</f>
        <v/>
      </c>
      <c r="AF3397">
        <f t="shared" si="335"/>
        <v>0</v>
      </c>
      <c r="AG3397" t="str">
        <f t="shared" si="336"/>
        <v/>
      </c>
      <c r="AH3397" t="str">
        <f t="shared" si="337"/>
        <v/>
      </c>
      <c r="AI3397">
        <f t="shared" si="338"/>
        <v>0</v>
      </c>
      <c r="AJ3397">
        <f t="shared" si="339"/>
        <v>0</v>
      </c>
      <c r="AK3397">
        <v>0</v>
      </c>
      <c r="AL3397" t="str">
        <f>IF(AA3397="","",IFERROR(IF(ISNUMBER('Procyfloc 4800'!D398),'Procyfloc 4800'!D398,IF(ISNUMBER(SEARCH("12",'Procyfloc 4800'!D398)),EDATE(AB3397,12),IF(ISNUMBER(SEARCH("6",'Procyfloc 4800'!D398)),EDATE(AB3397,6),IF(ISNUMBER(SEARCH("3",'Procyfloc 4800'!D398)),EDATE(AB3397,3),DATEVALUE('Procyfloc 4800'!D398))))),""))</f>
        <v/>
      </c>
      <c r="AM3397" t="str">
        <f t="shared" ca="1" si="340"/>
        <v/>
      </c>
    </row>
    <row r="3398" spans="27:39" x14ac:dyDescent="0.3">
      <c r="AA3398" t="str">
        <f>IF(COUNTA('Procyfloc 4800'!A399,'Procyfloc 4800'!B399,'Procyfloc 4800'!C399)&gt;0,"4800","")</f>
        <v/>
      </c>
      <c r="AB3398" t="str">
        <f>IFERROR(IF(ISNUMBER('Procyfloc 4800'!A399),'Procyfloc 4800'!A399,DATEVALUE('Procyfloc 4800'!A399)),"")</f>
        <v/>
      </c>
      <c r="AC3398" t="str">
        <f>IF(AA3398="","",'Procyfloc 4800'!B399)</f>
        <v/>
      </c>
      <c r="AD3398" t="str">
        <f>IF(AA3398="","",IFERROR(1*'Procyfloc 4800'!C399,IFERROR(_xludf.NUMBERVALUE('Procyfloc 4800'!C399,".",","),IFERROR(_xludf.NUMBERVALUE('Procyfloc 4800'!C399,",","."),0))))</f>
        <v/>
      </c>
      <c r="AE3398" t="str">
        <f>IF(AA3398="","",'Procyfloc 4800'!J399)</f>
        <v/>
      </c>
      <c r="AF3398">
        <f t="shared" si="335"/>
        <v>0</v>
      </c>
      <c r="AG3398" t="str">
        <f t="shared" si="336"/>
        <v/>
      </c>
      <c r="AH3398" t="str">
        <f t="shared" si="337"/>
        <v/>
      </c>
      <c r="AI3398">
        <f t="shared" si="338"/>
        <v>0</v>
      </c>
      <c r="AJ3398">
        <f t="shared" si="339"/>
        <v>0</v>
      </c>
      <c r="AK3398">
        <v>0</v>
      </c>
      <c r="AL3398" t="str">
        <f>IF(AA3398="","",IFERROR(IF(ISNUMBER('Procyfloc 4800'!D399),'Procyfloc 4800'!D399,IF(ISNUMBER(SEARCH("12",'Procyfloc 4800'!D399)),EDATE(AB3398,12),IF(ISNUMBER(SEARCH("6",'Procyfloc 4800'!D399)),EDATE(AB3398,6),IF(ISNUMBER(SEARCH("3",'Procyfloc 4800'!D399)),EDATE(AB3398,3),DATEVALUE('Procyfloc 4800'!D399))))),""))</f>
        <v/>
      </c>
      <c r="AM3398" t="str">
        <f t="shared" ca="1" si="340"/>
        <v/>
      </c>
    </row>
    <row r="3399" spans="27:39" x14ac:dyDescent="0.3">
      <c r="AA3399" t="str">
        <f>IF(COUNTA('Procyfloc 4800'!A400,'Procyfloc 4800'!B400,'Procyfloc 4800'!C400)&gt;0,"4800","")</f>
        <v/>
      </c>
      <c r="AB3399" t="str">
        <f>IFERROR(IF(ISNUMBER('Procyfloc 4800'!A400),'Procyfloc 4800'!A400,DATEVALUE('Procyfloc 4800'!A400)),"")</f>
        <v/>
      </c>
      <c r="AC3399" t="str">
        <f>IF(AA3399="","",'Procyfloc 4800'!B400)</f>
        <v/>
      </c>
      <c r="AD3399" t="str">
        <f>IF(AA3399="","",IFERROR(1*'Procyfloc 4800'!C400,IFERROR(_xludf.NUMBERVALUE('Procyfloc 4800'!C400,".",","),IFERROR(_xludf.NUMBERVALUE('Procyfloc 4800'!C400,",","."),0))))</f>
        <v/>
      </c>
      <c r="AE3399" t="str">
        <f>IF(AA3399="","",'Procyfloc 4800'!J400)</f>
        <v/>
      </c>
      <c r="AF3399">
        <f t="shared" si="335"/>
        <v>0</v>
      </c>
      <c r="AG3399" t="str">
        <f t="shared" si="336"/>
        <v/>
      </c>
      <c r="AH3399" t="str">
        <f t="shared" si="337"/>
        <v/>
      </c>
      <c r="AI3399">
        <f t="shared" si="338"/>
        <v>0</v>
      </c>
      <c r="AJ3399">
        <f t="shared" si="339"/>
        <v>0</v>
      </c>
      <c r="AK3399">
        <v>0</v>
      </c>
      <c r="AL3399" t="str">
        <f>IF(AA3399="","",IFERROR(IF(ISNUMBER('Procyfloc 4800'!D400),'Procyfloc 4800'!D400,IF(ISNUMBER(SEARCH("12",'Procyfloc 4800'!D400)),EDATE(AB3399,12),IF(ISNUMBER(SEARCH("6",'Procyfloc 4800'!D400)),EDATE(AB3399,6),IF(ISNUMBER(SEARCH("3",'Procyfloc 4800'!D400)),EDATE(AB3399,3),DATEVALUE('Procyfloc 4800'!D400))))),""))</f>
        <v/>
      </c>
      <c r="AM3399" t="str">
        <f t="shared" ca="1" si="340"/>
        <v/>
      </c>
    </row>
    <row r="3400" spans="27:39" x14ac:dyDescent="0.3">
      <c r="AA3400" t="str">
        <f>IF(COUNTA('Procyfloc 4800'!A401,'Procyfloc 4800'!B401,'Procyfloc 4800'!C401)&gt;0,"4800","")</f>
        <v/>
      </c>
      <c r="AB3400" t="str">
        <f>IFERROR(IF(ISNUMBER('Procyfloc 4800'!A401),'Procyfloc 4800'!A401,DATEVALUE('Procyfloc 4800'!A401)),"")</f>
        <v/>
      </c>
      <c r="AC3400" t="str">
        <f>IF(AA3400="","",'Procyfloc 4800'!B401)</f>
        <v/>
      </c>
      <c r="AD3400" t="str">
        <f>IF(AA3400="","",IFERROR(1*'Procyfloc 4800'!C401,IFERROR(_xludf.NUMBERVALUE('Procyfloc 4800'!C401,".",","),IFERROR(_xludf.NUMBERVALUE('Procyfloc 4800'!C401,",","."),0))))</f>
        <v/>
      </c>
      <c r="AE3400" t="str">
        <f>IF(AA3400="","",'Procyfloc 4800'!J401)</f>
        <v/>
      </c>
      <c r="AF3400">
        <f t="shared" si="335"/>
        <v>0</v>
      </c>
      <c r="AG3400" t="str">
        <f t="shared" si="336"/>
        <v/>
      </c>
      <c r="AH3400" t="str">
        <f t="shared" si="337"/>
        <v/>
      </c>
      <c r="AI3400">
        <f t="shared" si="338"/>
        <v>0</v>
      </c>
      <c r="AJ3400">
        <f t="shared" si="339"/>
        <v>0</v>
      </c>
      <c r="AK3400">
        <v>0</v>
      </c>
      <c r="AL3400" t="str">
        <f>IF(AA3400="","",IFERROR(IF(ISNUMBER('Procyfloc 4800'!D401),'Procyfloc 4800'!D401,IF(ISNUMBER(SEARCH("12",'Procyfloc 4800'!D401)),EDATE(AB3400,12),IF(ISNUMBER(SEARCH("6",'Procyfloc 4800'!D401)),EDATE(AB3400,6),IF(ISNUMBER(SEARCH("3",'Procyfloc 4800'!D401)),EDATE(AB3400,3),DATEVALUE('Procyfloc 4800'!D401))))),""))</f>
        <v/>
      </c>
      <c r="AM3400" t="str">
        <f t="shared" ca="1" si="340"/>
        <v/>
      </c>
    </row>
    <row r="3401" spans="27:39" x14ac:dyDescent="0.3">
      <c r="AA3401" t="str">
        <f>IF(COUNTA('Procyfloc 4800'!A402,'Procyfloc 4800'!B402,'Procyfloc 4800'!C402)&gt;0,"4800","")</f>
        <v/>
      </c>
      <c r="AB3401" t="str">
        <f>IFERROR(IF(ISNUMBER('Procyfloc 4800'!A402),'Procyfloc 4800'!A402,DATEVALUE('Procyfloc 4800'!A402)),"")</f>
        <v/>
      </c>
      <c r="AC3401" t="str">
        <f>IF(AA3401="","",'Procyfloc 4800'!B402)</f>
        <v/>
      </c>
      <c r="AD3401" t="str">
        <f>IF(AA3401="","",IFERROR(1*'Procyfloc 4800'!C402,IFERROR(_xludf.NUMBERVALUE('Procyfloc 4800'!C402,".",","),IFERROR(_xludf.NUMBERVALUE('Procyfloc 4800'!C402,",","."),0))))</f>
        <v/>
      </c>
      <c r="AE3401" t="str">
        <f>IF(AA3401="","",'Procyfloc 4800'!J402)</f>
        <v/>
      </c>
      <c r="AF3401">
        <f t="shared" si="335"/>
        <v>0</v>
      </c>
      <c r="AG3401" t="str">
        <f t="shared" si="336"/>
        <v/>
      </c>
      <c r="AH3401" t="str">
        <f t="shared" si="337"/>
        <v/>
      </c>
      <c r="AI3401">
        <f t="shared" si="338"/>
        <v>0</v>
      </c>
      <c r="AJ3401">
        <f t="shared" si="339"/>
        <v>0</v>
      </c>
      <c r="AK3401">
        <v>0</v>
      </c>
      <c r="AL3401" t="str">
        <f>IF(AA3401="","",IFERROR(IF(ISNUMBER('Procyfloc 4800'!D402),'Procyfloc 4800'!D402,IF(ISNUMBER(SEARCH("12",'Procyfloc 4800'!D402)),EDATE(AB3401,12),IF(ISNUMBER(SEARCH("6",'Procyfloc 4800'!D402)),EDATE(AB3401,6),IF(ISNUMBER(SEARCH("3",'Procyfloc 4800'!D402)),EDATE(AB3401,3),DATEVALUE('Procyfloc 4800'!D402))))),""))</f>
        <v/>
      </c>
      <c r="AM3401" t="str">
        <f t="shared" ca="1" si="340"/>
        <v/>
      </c>
    </row>
    <row r="3402" spans="27:39" x14ac:dyDescent="0.3">
      <c r="AA3402" t="str">
        <f>IF(COUNTA('Procyfloc 4800'!A403,'Procyfloc 4800'!B403,'Procyfloc 4800'!C403)&gt;0,"4800","")</f>
        <v/>
      </c>
      <c r="AB3402" t="str">
        <f>IFERROR(IF(ISNUMBER('Procyfloc 4800'!A403),'Procyfloc 4800'!A403,DATEVALUE('Procyfloc 4800'!A403)),"")</f>
        <v/>
      </c>
      <c r="AC3402" t="str">
        <f>IF(AA3402="","",'Procyfloc 4800'!B403)</f>
        <v/>
      </c>
      <c r="AD3402" t="str">
        <f>IF(AA3402="","",IFERROR(1*'Procyfloc 4800'!C403,IFERROR(_xludf.NUMBERVALUE('Procyfloc 4800'!C403,".",","),IFERROR(_xludf.NUMBERVALUE('Procyfloc 4800'!C403,",","."),0))))</f>
        <v/>
      </c>
      <c r="AE3402" t="str">
        <f>IF(AA3402="","",'Procyfloc 4800'!J403)</f>
        <v/>
      </c>
      <c r="AF3402">
        <f t="shared" si="335"/>
        <v>0</v>
      </c>
      <c r="AG3402" t="str">
        <f t="shared" si="336"/>
        <v/>
      </c>
      <c r="AH3402" t="str">
        <f t="shared" si="337"/>
        <v/>
      </c>
      <c r="AI3402">
        <f t="shared" si="338"/>
        <v>0</v>
      </c>
      <c r="AJ3402">
        <f t="shared" si="339"/>
        <v>0</v>
      </c>
      <c r="AK3402">
        <v>0</v>
      </c>
      <c r="AL3402" t="str">
        <f>IF(AA3402="","",IFERROR(IF(ISNUMBER('Procyfloc 4800'!D403),'Procyfloc 4800'!D403,IF(ISNUMBER(SEARCH("12",'Procyfloc 4800'!D403)),EDATE(AB3402,12),IF(ISNUMBER(SEARCH("6",'Procyfloc 4800'!D403)),EDATE(AB3402,6),IF(ISNUMBER(SEARCH("3",'Procyfloc 4800'!D403)),EDATE(AB3402,3),DATEVALUE('Procyfloc 4800'!D403))))),""))</f>
        <v/>
      </c>
      <c r="AM3402" t="str">
        <f t="shared" ca="1" si="340"/>
        <v/>
      </c>
    </row>
    <row r="3403" spans="27:39" x14ac:dyDescent="0.3">
      <c r="AA3403" t="str">
        <f>IF(COUNTA('Procyfloc 4800'!A404,'Procyfloc 4800'!B404,'Procyfloc 4800'!C404)&gt;0,"4800","")</f>
        <v/>
      </c>
      <c r="AB3403" t="str">
        <f>IFERROR(IF(ISNUMBER('Procyfloc 4800'!A404),'Procyfloc 4800'!A404,DATEVALUE('Procyfloc 4800'!A404)),"")</f>
        <v/>
      </c>
      <c r="AC3403" t="str">
        <f>IF(AA3403="","",'Procyfloc 4800'!B404)</f>
        <v/>
      </c>
      <c r="AD3403" t="str">
        <f>IF(AA3403="","",IFERROR(1*'Procyfloc 4800'!C404,IFERROR(_xludf.NUMBERVALUE('Procyfloc 4800'!C404,".",","),IFERROR(_xludf.NUMBERVALUE('Procyfloc 4800'!C404,",","."),0))))</f>
        <v/>
      </c>
      <c r="AE3403" t="str">
        <f>IF(AA3403="","",'Procyfloc 4800'!J404)</f>
        <v/>
      </c>
      <c r="AF3403">
        <f t="shared" si="335"/>
        <v>0</v>
      </c>
      <c r="AG3403" t="str">
        <f t="shared" si="336"/>
        <v/>
      </c>
      <c r="AH3403" t="str">
        <f t="shared" si="337"/>
        <v/>
      </c>
      <c r="AI3403">
        <f t="shared" si="338"/>
        <v>0</v>
      </c>
      <c r="AJ3403">
        <f t="shared" si="339"/>
        <v>0</v>
      </c>
      <c r="AK3403">
        <v>0</v>
      </c>
      <c r="AL3403" t="str">
        <f>IF(AA3403="","",IFERROR(IF(ISNUMBER('Procyfloc 4800'!D404),'Procyfloc 4800'!D404,IF(ISNUMBER(SEARCH("12",'Procyfloc 4800'!D404)),EDATE(AB3403,12),IF(ISNUMBER(SEARCH("6",'Procyfloc 4800'!D404)),EDATE(AB3403,6),IF(ISNUMBER(SEARCH("3",'Procyfloc 4800'!D404)),EDATE(AB3403,3),DATEVALUE('Procyfloc 4800'!D404))))),""))</f>
        <v/>
      </c>
      <c r="AM3403" t="str">
        <f t="shared" ca="1" si="340"/>
        <v/>
      </c>
    </row>
    <row r="3404" spans="27:39" x14ac:dyDescent="0.3">
      <c r="AA3404" t="str">
        <f>IF(COUNTA('Procyfloc 4800'!A405,'Procyfloc 4800'!B405,'Procyfloc 4800'!C405)&gt;0,"4800","")</f>
        <v/>
      </c>
      <c r="AB3404" t="str">
        <f>IFERROR(IF(ISNUMBER('Procyfloc 4800'!A405),'Procyfloc 4800'!A405,DATEVALUE('Procyfloc 4800'!A405)),"")</f>
        <v/>
      </c>
      <c r="AC3404" t="str">
        <f>IF(AA3404="","",'Procyfloc 4800'!B405)</f>
        <v/>
      </c>
      <c r="AD3404" t="str">
        <f>IF(AA3404="","",IFERROR(1*'Procyfloc 4800'!C405,IFERROR(_xludf.NUMBERVALUE('Procyfloc 4800'!C405,".",","),IFERROR(_xludf.NUMBERVALUE('Procyfloc 4800'!C405,",","."),0))))</f>
        <v/>
      </c>
      <c r="AE3404" t="str">
        <f>IF(AA3404="","",'Procyfloc 4800'!J405)</f>
        <v/>
      </c>
      <c r="AF3404">
        <f t="shared" si="335"/>
        <v>0</v>
      </c>
      <c r="AG3404" t="str">
        <f t="shared" si="336"/>
        <v/>
      </c>
      <c r="AH3404" t="str">
        <f t="shared" si="337"/>
        <v/>
      </c>
      <c r="AI3404">
        <f t="shared" si="338"/>
        <v>0</v>
      </c>
      <c r="AJ3404">
        <f t="shared" si="339"/>
        <v>0</v>
      </c>
      <c r="AK3404">
        <v>0</v>
      </c>
      <c r="AL3404" t="str">
        <f>IF(AA3404="","",IFERROR(IF(ISNUMBER('Procyfloc 4800'!D405),'Procyfloc 4800'!D405,IF(ISNUMBER(SEARCH("12",'Procyfloc 4800'!D405)),EDATE(AB3404,12),IF(ISNUMBER(SEARCH("6",'Procyfloc 4800'!D405)),EDATE(AB3404,6),IF(ISNUMBER(SEARCH("3",'Procyfloc 4800'!D405)),EDATE(AB3404,3),DATEVALUE('Procyfloc 4800'!D405))))),""))</f>
        <v/>
      </c>
      <c r="AM3404" t="str">
        <f t="shared" ca="1" si="340"/>
        <v/>
      </c>
    </row>
    <row r="3405" spans="27:39" x14ac:dyDescent="0.3">
      <c r="AA3405" t="str">
        <f>IF(COUNTA('Procyfloc 4800'!A406,'Procyfloc 4800'!B406,'Procyfloc 4800'!C406)&gt;0,"4800","")</f>
        <v/>
      </c>
      <c r="AB3405" t="str">
        <f>IFERROR(IF(ISNUMBER('Procyfloc 4800'!A406),'Procyfloc 4800'!A406,DATEVALUE('Procyfloc 4800'!A406)),"")</f>
        <v/>
      </c>
      <c r="AC3405" t="str">
        <f>IF(AA3405="","",'Procyfloc 4800'!B406)</f>
        <v/>
      </c>
      <c r="AD3405" t="str">
        <f>IF(AA3405="","",IFERROR(1*'Procyfloc 4800'!C406,IFERROR(_xludf.NUMBERVALUE('Procyfloc 4800'!C406,".",","),IFERROR(_xludf.NUMBERVALUE('Procyfloc 4800'!C406,",","."),0))))</f>
        <v/>
      </c>
      <c r="AE3405" t="str">
        <f>IF(AA3405="","",'Procyfloc 4800'!J406)</f>
        <v/>
      </c>
      <c r="AF3405">
        <f t="shared" si="335"/>
        <v>0</v>
      </c>
      <c r="AG3405" t="str">
        <f t="shared" si="336"/>
        <v/>
      </c>
      <c r="AH3405" t="str">
        <f t="shared" si="337"/>
        <v/>
      </c>
      <c r="AI3405">
        <f t="shared" si="338"/>
        <v>0</v>
      </c>
      <c r="AJ3405">
        <f t="shared" si="339"/>
        <v>0</v>
      </c>
      <c r="AK3405">
        <v>0</v>
      </c>
      <c r="AL3405" t="str">
        <f>IF(AA3405="","",IFERROR(IF(ISNUMBER('Procyfloc 4800'!D406),'Procyfloc 4800'!D406,IF(ISNUMBER(SEARCH("12",'Procyfloc 4800'!D406)),EDATE(AB3405,12),IF(ISNUMBER(SEARCH("6",'Procyfloc 4800'!D406)),EDATE(AB3405,6),IF(ISNUMBER(SEARCH("3",'Procyfloc 4800'!D406)),EDATE(AB3405,3),DATEVALUE('Procyfloc 4800'!D406))))),""))</f>
        <v/>
      </c>
      <c r="AM3405" t="str">
        <f t="shared" ca="1" si="340"/>
        <v/>
      </c>
    </row>
    <row r="3406" spans="27:39" x14ac:dyDescent="0.3">
      <c r="AA3406" t="str">
        <f>IF(COUNTA('Procyfloc 4800'!A407,'Procyfloc 4800'!B407,'Procyfloc 4800'!C407)&gt;0,"4800","")</f>
        <v/>
      </c>
      <c r="AB3406" t="str">
        <f>IFERROR(IF(ISNUMBER('Procyfloc 4800'!A407),'Procyfloc 4800'!A407,DATEVALUE('Procyfloc 4800'!A407)),"")</f>
        <v/>
      </c>
      <c r="AC3406" t="str">
        <f>IF(AA3406="","",'Procyfloc 4800'!B407)</f>
        <v/>
      </c>
      <c r="AD3406" t="str">
        <f>IF(AA3406="","",IFERROR(1*'Procyfloc 4800'!C407,IFERROR(_xludf.NUMBERVALUE('Procyfloc 4800'!C407,".",","),IFERROR(_xludf.NUMBERVALUE('Procyfloc 4800'!C407,",","."),0))))</f>
        <v/>
      </c>
      <c r="AE3406" t="str">
        <f>IF(AA3406="","",'Procyfloc 4800'!J407)</f>
        <v/>
      </c>
      <c r="AF3406">
        <f t="shared" si="335"/>
        <v>0</v>
      </c>
      <c r="AG3406" t="str">
        <f t="shared" si="336"/>
        <v/>
      </c>
      <c r="AH3406" t="str">
        <f t="shared" si="337"/>
        <v/>
      </c>
      <c r="AI3406">
        <f t="shared" si="338"/>
        <v>0</v>
      </c>
      <c r="AJ3406">
        <f t="shared" si="339"/>
        <v>0</v>
      </c>
      <c r="AK3406">
        <v>0</v>
      </c>
      <c r="AL3406" t="str">
        <f>IF(AA3406="","",IFERROR(IF(ISNUMBER('Procyfloc 4800'!D407),'Procyfloc 4800'!D407,IF(ISNUMBER(SEARCH("12",'Procyfloc 4800'!D407)),EDATE(AB3406,12),IF(ISNUMBER(SEARCH("6",'Procyfloc 4800'!D407)),EDATE(AB3406,6),IF(ISNUMBER(SEARCH("3",'Procyfloc 4800'!D407)),EDATE(AB3406,3),DATEVALUE('Procyfloc 4800'!D407))))),""))</f>
        <v/>
      </c>
      <c r="AM3406" t="str">
        <f t="shared" ca="1" si="340"/>
        <v/>
      </c>
    </row>
    <row r="3407" spans="27:39" x14ac:dyDescent="0.3">
      <c r="AA3407" t="str">
        <f>IF(COUNTA('Procyfloc 4800'!A408,'Procyfloc 4800'!B408,'Procyfloc 4800'!C408)&gt;0,"4800","")</f>
        <v/>
      </c>
      <c r="AB3407" t="str">
        <f>IFERROR(IF(ISNUMBER('Procyfloc 4800'!A408),'Procyfloc 4800'!A408,DATEVALUE('Procyfloc 4800'!A408)),"")</f>
        <v/>
      </c>
      <c r="AC3407" t="str">
        <f>IF(AA3407="","",'Procyfloc 4800'!B408)</f>
        <v/>
      </c>
      <c r="AD3407" t="str">
        <f>IF(AA3407="","",IFERROR(1*'Procyfloc 4800'!C408,IFERROR(_xludf.NUMBERVALUE('Procyfloc 4800'!C408,".",","),IFERROR(_xludf.NUMBERVALUE('Procyfloc 4800'!C408,",","."),0))))</f>
        <v/>
      </c>
      <c r="AE3407" t="str">
        <f>IF(AA3407="","",'Procyfloc 4800'!J408)</f>
        <v/>
      </c>
      <c r="AF3407">
        <f t="shared" si="335"/>
        <v>0</v>
      </c>
      <c r="AG3407" t="str">
        <f t="shared" si="336"/>
        <v/>
      </c>
      <c r="AH3407" t="str">
        <f t="shared" si="337"/>
        <v/>
      </c>
      <c r="AI3407">
        <f t="shared" si="338"/>
        <v>0</v>
      </c>
      <c r="AJ3407">
        <f t="shared" si="339"/>
        <v>0</v>
      </c>
      <c r="AK3407">
        <v>0</v>
      </c>
      <c r="AL3407" t="str">
        <f>IF(AA3407="","",IFERROR(IF(ISNUMBER('Procyfloc 4800'!D408),'Procyfloc 4800'!D408,IF(ISNUMBER(SEARCH("12",'Procyfloc 4800'!D408)),EDATE(AB3407,12),IF(ISNUMBER(SEARCH("6",'Procyfloc 4800'!D408)),EDATE(AB3407,6),IF(ISNUMBER(SEARCH("3",'Procyfloc 4800'!D408)),EDATE(AB3407,3),DATEVALUE('Procyfloc 4800'!D408))))),""))</f>
        <v/>
      </c>
      <c r="AM3407" t="str">
        <f t="shared" ca="1" si="340"/>
        <v/>
      </c>
    </row>
    <row r="3408" spans="27:39" x14ac:dyDescent="0.3">
      <c r="AA3408" t="str">
        <f>IF(COUNTA('Procyfloc 4800'!A409,'Procyfloc 4800'!B409,'Procyfloc 4800'!C409)&gt;0,"4800","")</f>
        <v/>
      </c>
      <c r="AB3408" t="str">
        <f>IFERROR(IF(ISNUMBER('Procyfloc 4800'!A409),'Procyfloc 4800'!A409,DATEVALUE('Procyfloc 4800'!A409)),"")</f>
        <v/>
      </c>
      <c r="AC3408" t="str">
        <f>IF(AA3408="","",'Procyfloc 4800'!B409)</f>
        <v/>
      </c>
      <c r="AD3408" t="str">
        <f>IF(AA3408="","",IFERROR(1*'Procyfloc 4800'!C409,IFERROR(_xludf.NUMBERVALUE('Procyfloc 4800'!C409,".",","),IFERROR(_xludf.NUMBERVALUE('Procyfloc 4800'!C409,",","."),0))))</f>
        <v/>
      </c>
      <c r="AE3408" t="str">
        <f>IF(AA3408="","",'Procyfloc 4800'!J409)</f>
        <v/>
      </c>
      <c r="AF3408">
        <f t="shared" si="335"/>
        <v>0</v>
      </c>
      <c r="AG3408" t="str">
        <f t="shared" si="336"/>
        <v/>
      </c>
      <c r="AH3408" t="str">
        <f t="shared" si="337"/>
        <v/>
      </c>
      <c r="AI3408">
        <f t="shared" si="338"/>
        <v>0</v>
      </c>
      <c r="AJ3408">
        <f t="shared" si="339"/>
        <v>0</v>
      </c>
      <c r="AK3408">
        <v>0</v>
      </c>
      <c r="AL3408" t="str">
        <f>IF(AA3408="","",IFERROR(IF(ISNUMBER('Procyfloc 4800'!D409),'Procyfloc 4800'!D409,IF(ISNUMBER(SEARCH("12",'Procyfloc 4800'!D409)),EDATE(AB3408,12),IF(ISNUMBER(SEARCH("6",'Procyfloc 4800'!D409)),EDATE(AB3408,6),IF(ISNUMBER(SEARCH("3",'Procyfloc 4800'!D409)),EDATE(AB3408,3),DATEVALUE('Procyfloc 4800'!D409))))),""))</f>
        <v/>
      </c>
      <c r="AM3408" t="str">
        <f t="shared" ca="1" si="340"/>
        <v/>
      </c>
    </row>
    <row r="3409" spans="27:39" x14ac:dyDescent="0.3">
      <c r="AA3409" t="str">
        <f>IF(COUNTA('Procyfloc 4800'!A410,'Procyfloc 4800'!B410,'Procyfloc 4800'!C410)&gt;0,"4800","")</f>
        <v/>
      </c>
      <c r="AB3409" t="str">
        <f>IFERROR(IF(ISNUMBER('Procyfloc 4800'!A410),'Procyfloc 4800'!A410,DATEVALUE('Procyfloc 4800'!A410)),"")</f>
        <v/>
      </c>
      <c r="AC3409" t="str">
        <f>IF(AA3409="","",'Procyfloc 4800'!B410)</f>
        <v/>
      </c>
      <c r="AD3409" t="str">
        <f>IF(AA3409="","",IFERROR(1*'Procyfloc 4800'!C410,IFERROR(_xludf.NUMBERVALUE('Procyfloc 4800'!C410,".",","),IFERROR(_xludf.NUMBERVALUE('Procyfloc 4800'!C410,",","."),0))))</f>
        <v/>
      </c>
      <c r="AE3409" t="str">
        <f>IF(AA3409="","",'Procyfloc 4800'!J410)</f>
        <v/>
      </c>
      <c r="AF3409">
        <f t="shared" si="335"/>
        <v>0</v>
      </c>
      <c r="AG3409" t="str">
        <f t="shared" si="336"/>
        <v/>
      </c>
      <c r="AH3409" t="str">
        <f t="shared" si="337"/>
        <v/>
      </c>
      <c r="AI3409">
        <f t="shared" si="338"/>
        <v>0</v>
      </c>
      <c r="AJ3409">
        <f t="shared" si="339"/>
        <v>0</v>
      </c>
      <c r="AK3409">
        <v>0</v>
      </c>
      <c r="AL3409" t="str">
        <f>IF(AA3409="","",IFERROR(IF(ISNUMBER('Procyfloc 4800'!D410),'Procyfloc 4800'!D410,IF(ISNUMBER(SEARCH("12",'Procyfloc 4800'!D410)),EDATE(AB3409,12),IF(ISNUMBER(SEARCH("6",'Procyfloc 4800'!D410)),EDATE(AB3409,6),IF(ISNUMBER(SEARCH("3",'Procyfloc 4800'!D410)),EDATE(AB3409,3),DATEVALUE('Procyfloc 4800'!D410))))),""))</f>
        <v/>
      </c>
      <c r="AM3409" t="str">
        <f t="shared" ca="1" si="340"/>
        <v/>
      </c>
    </row>
    <row r="3410" spans="27:39" x14ac:dyDescent="0.3">
      <c r="AA3410" t="str">
        <f>IF(COUNTA('Procyfloc 4800'!A411,'Procyfloc 4800'!B411,'Procyfloc 4800'!C411)&gt;0,"4800","")</f>
        <v/>
      </c>
      <c r="AB3410" t="str">
        <f>IFERROR(IF(ISNUMBER('Procyfloc 4800'!A411),'Procyfloc 4800'!A411,DATEVALUE('Procyfloc 4800'!A411)),"")</f>
        <v/>
      </c>
      <c r="AC3410" t="str">
        <f>IF(AA3410="","",'Procyfloc 4800'!B411)</f>
        <v/>
      </c>
      <c r="AD3410" t="str">
        <f>IF(AA3410="","",IFERROR(1*'Procyfloc 4800'!C411,IFERROR(_xludf.NUMBERVALUE('Procyfloc 4800'!C411,".",","),IFERROR(_xludf.NUMBERVALUE('Procyfloc 4800'!C411,",","."),0))))</f>
        <v/>
      </c>
      <c r="AE3410" t="str">
        <f>IF(AA3410="","",'Procyfloc 4800'!J411)</f>
        <v/>
      </c>
      <c r="AF3410">
        <f t="shared" si="335"/>
        <v>0</v>
      </c>
      <c r="AG3410" t="str">
        <f t="shared" si="336"/>
        <v/>
      </c>
      <c r="AH3410" t="str">
        <f t="shared" si="337"/>
        <v/>
      </c>
      <c r="AI3410">
        <f t="shared" si="338"/>
        <v>0</v>
      </c>
      <c r="AJ3410">
        <f t="shared" si="339"/>
        <v>0</v>
      </c>
      <c r="AK3410">
        <v>0</v>
      </c>
      <c r="AL3410" t="str">
        <f>IF(AA3410="","",IFERROR(IF(ISNUMBER('Procyfloc 4800'!D411),'Procyfloc 4800'!D411,IF(ISNUMBER(SEARCH("12",'Procyfloc 4800'!D411)),EDATE(AB3410,12),IF(ISNUMBER(SEARCH("6",'Procyfloc 4800'!D411)),EDATE(AB3410,6),IF(ISNUMBER(SEARCH("3",'Procyfloc 4800'!D411)),EDATE(AB3410,3),DATEVALUE('Procyfloc 4800'!D411))))),""))</f>
        <v/>
      </c>
      <c r="AM3410" t="str">
        <f t="shared" ca="1" si="340"/>
        <v/>
      </c>
    </row>
    <row r="3411" spans="27:39" x14ac:dyDescent="0.3">
      <c r="AA3411" t="str">
        <f>IF(COUNTA('Procyfloc 4800'!A412,'Procyfloc 4800'!B412,'Procyfloc 4800'!C412)&gt;0,"4800","")</f>
        <v/>
      </c>
      <c r="AB3411" t="str">
        <f>IFERROR(IF(ISNUMBER('Procyfloc 4800'!A412),'Procyfloc 4800'!A412,DATEVALUE('Procyfloc 4800'!A412)),"")</f>
        <v/>
      </c>
      <c r="AC3411" t="str">
        <f>IF(AA3411="","",'Procyfloc 4800'!B412)</f>
        <v/>
      </c>
      <c r="AD3411" t="str">
        <f>IF(AA3411="","",IFERROR(1*'Procyfloc 4800'!C412,IFERROR(_xludf.NUMBERVALUE('Procyfloc 4800'!C412,".",","),IFERROR(_xludf.NUMBERVALUE('Procyfloc 4800'!C412,",","."),0))))</f>
        <v/>
      </c>
      <c r="AE3411" t="str">
        <f>IF(AA3411="","",'Procyfloc 4800'!J412)</f>
        <v/>
      </c>
      <c r="AF3411">
        <f t="shared" si="335"/>
        <v>0</v>
      </c>
      <c r="AG3411" t="str">
        <f t="shared" si="336"/>
        <v/>
      </c>
      <c r="AH3411" t="str">
        <f t="shared" si="337"/>
        <v/>
      </c>
      <c r="AI3411">
        <f t="shared" si="338"/>
        <v>0</v>
      </c>
      <c r="AJ3411">
        <f t="shared" si="339"/>
        <v>0</v>
      </c>
      <c r="AK3411">
        <v>0</v>
      </c>
      <c r="AL3411" t="str">
        <f>IF(AA3411="","",IFERROR(IF(ISNUMBER('Procyfloc 4800'!D412),'Procyfloc 4800'!D412,IF(ISNUMBER(SEARCH("12",'Procyfloc 4800'!D412)),EDATE(AB3411,12),IF(ISNUMBER(SEARCH("6",'Procyfloc 4800'!D412)),EDATE(AB3411,6),IF(ISNUMBER(SEARCH("3",'Procyfloc 4800'!D412)),EDATE(AB3411,3),DATEVALUE('Procyfloc 4800'!D412))))),""))</f>
        <v/>
      </c>
      <c r="AM3411" t="str">
        <f t="shared" ca="1" si="340"/>
        <v/>
      </c>
    </row>
    <row r="3412" spans="27:39" x14ac:dyDescent="0.3">
      <c r="AA3412" t="str">
        <f>IF(COUNTA('Procyfloc 4800'!A413,'Procyfloc 4800'!B413,'Procyfloc 4800'!C413)&gt;0,"4800","")</f>
        <v/>
      </c>
      <c r="AB3412" t="str">
        <f>IFERROR(IF(ISNUMBER('Procyfloc 4800'!A413),'Procyfloc 4800'!A413,DATEVALUE('Procyfloc 4800'!A413)),"")</f>
        <v/>
      </c>
      <c r="AC3412" t="str">
        <f>IF(AA3412="","",'Procyfloc 4800'!B413)</f>
        <v/>
      </c>
      <c r="AD3412" t="str">
        <f>IF(AA3412="","",IFERROR(1*'Procyfloc 4800'!C413,IFERROR(_xludf.NUMBERVALUE('Procyfloc 4800'!C413,".",","),IFERROR(_xludf.NUMBERVALUE('Procyfloc 4800'!C413,",","."),0))))</f>
        <v/>
      </c>
      <c r="AE3412" t="str">
        <f>IF(AA3412="","",'Procyfloc 4800'!J413)</f>
        <v/>
      </c>
      <c r="AF3412">
        <f t="shared" si="335"/>
        <v>0</v>
      </c>
      <c r="AG3412" t="str">
        <f t="shared" si="336"/>
        <v/>
      </c>
      <c r="AH3412" t="str">
        <f t="shared" si="337"/>
        <v/>
      </c>
      <c r="AI3412">
        <f t="shared" si="338"/>
        <v>0</v>
      </c>
      <c r="AJ3412">
        <f t="shared" si="339"/>
        <v>0</v>
      </c>
      <c r="AK3412">
        <v>0</v>
      </c>
      <c r="AL3412" t="str">
        <f>IF(AA3412="","",IFERROR(IF(ISNUMBER('Procyfloc 4800'!D413),'Procyfloc 4800'!D413,IF(ISNUMBER(SEARCH("12",'Procyfloc 4800'!D413)),EDATE(AB3412,12),IF(ISNUMBER(SEARCH("6",'Procyfloc 4800'!D413)),EDATE(AB3412,6),IF(ISNUMBER(SEARCH("3",'Procyfloc 4800'!D413)),EDATE(AB3412,3),DATEVALUE('Procyfloc 4800'!D413))))),""))</f>
        <v/>
      </c>
      <c r="AM3412" t="str">
        <f t="shared" ca="1" si="340"/>
        <v/>
      </c>
    </row>
    <row r="3413" spans="27:39" x14ac:dyDescent="0.3">
      <c r="AA3413" t="str">
        <f>IF(COUNTA('Procyfloc 4800'!A414,'Procyfloc 4800'!B414,'Procyfloc 4800'!C414)&gt;0,"4800","")</f>
        <v/>
      </c>
      <c r="AB3413" t="str">
        <f>IFERROR(IF(ISNUMBER('Procyfloc 4800'!A414),'Procyfloc 4800'!A414,DATEVALUE('Procyfloc 4800'!A414)),"")</f>
        <v/>
      </c>
      <c r="AC3413" t="str">
        <f>IF(AA3413="","",'Procyfloc 4800'!B414)</f>
        <v/>
      </c>
      <c r="AD3413" t="str">
        <f>IF(AA3413="","",IFERROR(1*'Procyfloc 4800'!C414,IFERROR(_xludf.NUMBERVALUE('Procyfloc 4800'!C414,".",","),IFERROR(_xludf.NUMBERVALUE('Procyfloc 4800'!C414,",","."),0))))</f>
        <v/>
      </c>
      <c r="AE3413" t="str">
        <f>IF(AA3413="","",'Procyfloc 4800'!J414)</f>
        <v/>
      </c>
      <c r="AF3413">
        <f t="shared" si="335"/>
        <v>0</v>
      </c>
      <c r="AG3413" t="str">
        <f t="shared" si="336"/>
        <v/>
      </c>
      <c r="AH3413" t="str">
        <f t="shared" si="337"/>
        <v/>
      </c>
      <c r="AI3413">
        <f t="shared" si="338"/>
        <v>0</v>
      </c>
      <c r="AJ3413">
        <f t="shared" si="339"/>
        <v>0</v>
      </c>
      <c r="AK3413">
        <v>0</v>
      </c>
      <c r="AL3413" t="str">
        <f>IF(AA3413="","",IFERROR(IF(ISNUMBER('Procyfloc 4800'!D414),'Procyfloc 4800'!D414,IF(ISNUMBER(SEARCH("12",'Procyfloc 4800'!D414)),EDATE(AB3413,12),IF(ISNUMBER(SEARCH("6",'Procyfloc 4800'!D414)),EDATE(AB3413,6),IF(ISNUMBER(SEARCH("3",'Procyfloc 4800'!D414)),EDATE(AB3413,3),DATEVALUE('Procyfloc 4800'!D414))))),""))</f>
        <v/>
      </c>
      <c r="AM3413" t="str">
        <f t="shared" ca="1" si="340"/>
        <v/>
      </c>
    </row>
    <row r="3414" spans="27:39" x14ac:dyDescent="0.3">
      <c r="AA3414" t="str">
        <f>IF(COUNTA('Procyfloc 4800'!A415,'Procyfloc 4800'!B415,'Procyfloc 4800'!C415)&gt;0,"4800","")</f>
        <v/>
      </c>
      <c r="AB3414" t="str">
        <f>IFERROR(IF(ISNUMBER('Procyfloc 4800'!A415),'Procyfloc 4800'!A415,DATEVALUE('Procyfloc 4800'!A415)),"")</f>
        <v/>
      </c>
      <c r="AC3414" t="str">
        <f>IF(AA3414="","",'Procyfloc 4800'!B415)</f>
        <v/>
      </c>
      <c r="AD3414" t="str">
        <f>IF(AA3414="","",IFERROR(1*'Procyfloc 4800'!C415,IFERROR(_xludf.NUMBERVALUE('Procyfloc 4800'!C415,".",","),IFERROR(_xludf.NUMBERVALUE('Procyfloc 4800'!C415,",","."),0))))</f>
        <v/>
      </c>
      <c r="AE3414" t="str">
        <f>IF(AA3414="","",'Procyfloc 4800'!J415)</f>
        <v/>
      </c>
      <c r="AF3414">
        <f t="shared" si="335"/>
        <v>0</v>
      </c>
      <c r="AG3414" t="str">
        <f t="shared" si="336"/>
        <v/>
      </c>
      <c r="AH3414" t="str">
        <f t="shared" si="337"/>
        <v/>
      </c>
      <c r="AI3414">
        <f t="shared" si="338"/>
        <v>0</v>
      </c>
      <c r="AJ3414">
        <f t="shared" si="339"/>
        <v>0</v>
      </c>
      <c r="AK3414">
        <v>0</v>
      </c>
      <c r="AL3414" t="str">
        <f>IF(AA3414="","",IFERROR(IF(ISNUMBER('Procyfloc 4800'!D415),'Procyfloc 4800'!D415,IF(ISNUMBER(SEARCH("12",'Procyfloc 4800'!D415)),EDATE(AB3414,12),IF(ISNUMBER(SEARCH("6",'Procyfloc 4800'!D415)),EDATE(AB3414,6),IF(ISNUMBER(SEARCH("3",'Procyfloc 4800'!D415)),EDATE(AB3414,3),DATEVALUE('Procyfloc 4800'!D415))))),""))</f>
        <v/>
      </c>
      <c r="AM3414" t="str">
        <f t="shared" ca="1" si="340"/>
        <v/>
      </c>
    </row>
    <row r="3415" spans="27:39" x14ac:dyDescent="0.3">
      <c r="AA3415" t="str">
        <f>IF(COUNTA('Procyfloc 4800'!A416,'Procyfloc 4800'!B416,'Procyfloc 4800'!C416)&gt;0,"4800","")</f>
        <v/>
      </c>
      <c r="AB3415" t="str">
        <f>IFERROR(IF(ISNUMBER('Procyfloc 4800'!A416),'Procyfloc 4800'!A416,DATEVALUE('Procyfloc 4800'!A416)),"")</f>
        <v/>
      </c>
      <c r="AC3415" t="str">
        <f>IF(AA3415="","",'Procyfloc 4800'!B416)</f>
        <v/>
      </c>
      <c r="AD3415" t="str">
        <f>IF(AA3415="","",IFERROR(1*'Procyfloc 4800'!C416,IFERROR(_xludf.NUMBERVALUE('Procyfloc 4800'!C416,".",","),IFERROR(_xludf.NUMBERVALUE('Procyfloc 4800'!C416,",","."),0))))</f>
        <v/>
      </c>
      <c r="AE3415" t="str">
        <f>IF(AA3415="","",'Procyfloc 4800'!J416)</f>
        <v/>
      </c>
      <c r="AF3415">
        <f t="shared" si="335"/>
        <v>0</v>
      </c>
      <c r="AG3415" t="str">
        <f t="shared" si="336"/>
        <v/>
      </c>
      <c r="AH3415" t="str">
        <f t="shared" si="337"/>
        <v/>
      </c>
      <c r="AI3415">
        <f t="shared" si="338"/>
        <v>0</v>
      </c>
      <c r="AJ3415">
        <f t="shared" si="339"/>
        <v>0</v>
      </c>
      <c r="AK3415">
        <v>0</v>
      </c>
      <c r="AL3415" t="str">
        <f>IF(AA3415="","",IFERROR(IF(ISNUMBER('Procyfloc 4800'!D416),'Procyfloc 4800'!D416,IF(ISNUMBER(SEARCH("12",'Procyfloc 4800'!D416)),EDATE(AB3415,12),IF(ISNUMBER(SEARCH("6",'Procyfloc 4800'!D416)),EDATE(AB3415,6),IF(ISNUMBER(SEARCH("3",'Procyfloc 4800'!D416)),EDATE(AB3415,3),DATEVALUE('Procyfloc 4800'!D416))))),""))</f>
        <v/>
      </c>
      <c r="AM3415" t="str">
        <f t="shared" ca="1" si="340"/>
        <v/>
      </c>
    </row>
    <row r="3416" spans="27:39" x14ac:dyDescent="0.3">
      <c r="AA3416" t="str">
        <f>IF(COUNTA('Procyfloc 4800'!A417,'Procyfloc 4800'!B417,'Procyfloc 4800'!C417)&gt;0,"4800","")</f>
        <v/>
      </c>
      <c r="AB3416" t="str">
        <f>IFERROR(IF(ISNUMBER('Procyfloc 4800'!A417),'Procyfloc 4800'!A417,DATEVALUE('Procyfloc 4800'!A417)),"")</f>
        <v/>
      </c>
      <c r="AC3416" t="str">
        <f>IF(AA3416="","",'Procyfloc 4800'!B417)</f>
        <v/>
      </c>
      <c r="AD3416" t="str">
        <f>IF(AA3416="","",IFERROR(1*'Procyfloc 4800'!C417,IFERROR(_xludf.NUMBERVALUE('Procyfloc 4800'!C417,".",","),IFERROR(_xludf.NUMBERVALUE('Procyfloc 4800'!C417,",","."),0))))</f>
        <v/>
      </c>
      <c r="AE3416" t="str">
        <f>IF(AA3416="","",'Procyfloc 4800'!J417)</f>
        <v/>
      </c>
      <c r="AF3416">
        <f t="shared" si="335"/>
        <v>0</v>
      </c>
      <c r="AG3416" t="str">
        <f t="shared" si="336"/>
        <v/>
      </c>
      <c r="AH3416" t="str">
        <f t="shared" si="337"/>
        <v/>
      </c>
      <c r="AI3416">
        <f t="shared" si="338"/>
        <v>0</v>
      </c>
      <c r="AJ3416">
        <f t="shared" si="339"/>
        <v>0</v>
      </c>
      <c r="AK3416">
        <v>0</v>
      </c>
      <c r="AL3416" t="str">
        <f>IF(AA3416="","",IFERROR(IF(ISNUMBER('Procyfloc 4800'!D417),'Procyfloc 4800'!D417,IF(ISNUMBER(SEARCH("12",'Procyfloc 4800'!D417)),EDATE(AB3416,12),IF(ISNUMBER(SEARCH("6",'Procyfloc 4800'!D417)),EDATE(AB3416,6),IF(ISNUMBER(SEARCH("3",'Procyfloc 4800'!D417)),EDATE(AB3416,3),DATEVALUE('Procyfloc 4800'!D417))))),""))</f>
        <v/>
      </c>
      <c r="AM3416" t="str">
        <f t="shared" ca="1" si="340"/>
        <v/>
      </c>
    </row>
    <row r="3417" spans="27:39" x14ac:dyDescent="0.3">
      <c r="AA3417" t="str">
        <f>IF(COUNTA('Procyfloc 4800'!A418,'Procyfloc 4800'!B418,'Procyfloc 4800'!C418)&gt;0,"4800","")</f>
        <v/>
      </c>
      <c r="AB3417" t="str">
        <f>IFERROR(IF(ISNUMBER('Procyfloc 4800'!A418),'Procyfloc 4800'!A418,DATEVALUE('Procyfloc 4800'!A418)),"")</f>
        <v/>
      </c>
      <c r="AC3417" t="str">
        <f>IF(AA3417="","",'Procyfloc 4800'!B418)</f>
        <v/>
      </c>
      <c r="AD3417" t="str">
        <f>IF(AA3417="","",IFERROR(1*'Procyfloc 4800'!C418,IFERROR(_xludf.NUMBERVALUE('Procyfloc 4800'!C418,".",","),IFERROR(_xludf.NUMBERVALUE('Procyfloc 4800'!C418,",","."),0))))</f>
        <v/>
      </c>
      <c r="AE3417" t="str">
        <f>IF(AA3417="","",'Procyfloc 4800'!J418)</f>
        <v/>
      </c>
      <c r="AF3417">
        <f t="shared" si="335"/>
        <v>0</v>
      </c>
      <c r="AG3417" t="str">
        <f t="shared" si="336"/>
        <v/>
      </c>
      <c r="AH3417" t="str">
        <f t="shared" si="337"/>
        <v/>
      </c>
      <c r="AI3417">
        <f t="shared" si="338"/>
        <v>0</v>
      </c>
      <c r="AJ3417">
        <f t="shared" si="339"/>
        <v>0</v>
      </c>
      <c r="AK3417">
        <v>0</v>
      </c>
      <c r="AL3417" t="str">
        <f>IF(AA3417="","",IFERROR(IF(ISNUMBER('Procyfloc 4800'!D418),'Procyfloc 4800'!D418,IF(ISNUMBER(SEARCH("12",'Procyfloc 4800'!D418)),EDATE(AB3417,12),IF(ISNUMBER(SEARCH("6",'Procyfloc 4800'!D418)),EDATE(AB3417,6),IF(ISNUMBER(SEARCH("3",'Procyfloc 4800'!D418)),EDATE(AB3417,3),DATEVALUE('Procyfloc 4800'!D418))))),""))</f>
        <v/>
      </c>
      <c r="AM3417" t="str">
        <f t="shared" ca="1" si="340"/>
        <v/>
      </c>
    </row>
    <row r="3418" spans="27:39" x14ac:dyDescent="0.3">
      <c r="AA3418" t="str">
        <f>IF(COUNTA('Procyfloc 4800'!A419,'Procyfloc 4800'!B419,'Procyfloc 4800'!C419)&gt;0,"4800","")</f>
        <v/>
      </c>
      <c r="AB3418" t="str">
        <f>IFERROR(IF(ISNUMBER('Procyfloc 4800'!A419),'Procyfloc 4800'!A419,DATEVALUE('Procyfloc 4800'!A419)),"")</f>
        <v/>
      </c>
      <c r="AC3418" t="str">
        <f>IF(AA3418="","",'Procyfloc 4800'!B419)</f>
        <v/>
      </c>
      <c r="AD3418" t="str">
        <f>IF(AA3418="","",IFERROR(1*'Procyfloc 4800'!C419,IFERROR(_xludf.NUMBERVALUE('Procyfloc 4800'!C419,".",","),IFERROR(_xludf.NUMBERVALUE('Procyfloc 4800'!C419,",","."),0))))</f>
        <v/>
      </c>
      <c r="AE3418" t="str">
        <f>IF(AA3418="","",'Procyfloc 4800'!J419)</f>
        <v/>
      </c>
      <c r="AF3418">
        <f t="shared" si="335"/>
        <v>0</v>
      </c>
      <c r="AG3418" t="str">
        <f t="shared" si="336"/>
        <v/>
      </c>
      <c r="AH3418" t="str">
        <f t="shared" si="337"/>
        <v/>
      </c>
      <c r="AI3418">
        <f t="shared" si="338"/>
        <v>0</v>
      </c>
      <c r="AJ3418">
        <f t="shared" si="339"/>
        <v>0</v>
      </c>
      <c r="AK3418">
        <v>0</v>
      </c>
      <c r="AL3418" t="str">
        <f>IF(AA3418="","",IFERROR(IF(ISNUMBER('Procyfloc 4800'!D419),'Procyfloc 4800'!D419,IF(ISNUMBER(SEARCH("12",'Procyfloc 4800'!D419)),EDATE(AB3418,12),IF(ISNUMBER(SEARCH("6",'Procyfloc 4800'!D419)),EDATE(AB3418,6),IF(ISNUMBER(SEARCH("3",'Procyfloc 4800'!D419)),EDATE(AB3418,3),DATEVALUE('Procyfloc 4800'!D419))))),""))</f>
        <v/>
      </c>
      <c r="AM3418" t="str">
        <f t="shared" ca="1" si="340"/>
        <v/>
      </c>
    </row>
    <row r="3419" spans="27:39" x14ac:dyDescent="0.3">
      <c r="AA3419" t="str">
        <f>IF(COUNTA('Procyfloc 4800'!A420,'Procyfloc 4800'!B420,'Procyfloc 4800'!C420)&gt;0,"4800","")</f>
        <v/>
      </c>
      <c r="AB3419" t="str">
        <f>IFERROR(IF(ISNUMBER('Procyfloc 4800'!A420),'Procyfloc 4800'!A420,DATEVALUE('Procyfloc 4800'!A420)),"")</f>
        <v/>
      </c>
      <c r="AC3419" t="str">
        <f>IF(AA3419="","",'Procyfloc 4800'!B420)</f>
        <v/>
      </c>
      <c r="AD3419" t="str">
        <f>IF(AA3419="","",IFERROR(1*'Procyfloc 4800'!C420,IFERROR(_xludf.NUMBERVALUE('Procyfloc 4800'!C420,".",","),IFERROR(_xludf.NUMBERVALUE('Procyfloc 4800'!C420,",","."),0))))</f>
        <v/>
      </c>
      <c r="AE3419" t="str">
        <f>IF(AA3419="","",'Procyfloc 4800'!J420)</f>
        <v/>
      </c>
      <c r="AF3419">
        <f t="shared" si="335"/>
        <v>0</v>
      </c>
      <c r="AG3419" t="str">
        <f t="shared" si="336"/>
        <v/>
      </c>
      <c r="AH3419" t="str">
        <f t="shared" si="337"/>
        <v/>
      </c>
      <c r="AI3419">
        <f t="shared" si="338"/>
        <v>0</v>
      </c>
      <c r="AJ3419">
        <f t="shared" si="339"/>
        <v>0</v>
      </c>
      <c r="AK3419">
        <v>0</v>
      </c>
      <c r="AL3419" t="str">
        <f>IF(AA3419="","",IFERROR(IF(ISNUMBER('Procyfloc 4800'!D420),'Procyfloc 4800'!D420,IF(ISNUMBER(SEARCH("12",'Procyfloc 4800'!D420)),EDATE(AB3419,12),IF(ISNUMBER(SEARCH("6",'Procyfloc 4800'!D420)),EDATE(AB3419,6),IF(ISNUMBER(SEARCH("3",'Procyfloc 4800'!D420)),EDATE(AB3419,3),DATEVALUE('Procyfloc 4800'!D420))))),""))</f>
        <v/>
      </c>
      <c r="AM3419" t="str">
        <f t="shared" ca="1" si="340"/>
        <v/>
      </c>
    </row>
    <row r="3420" spans="27:39" x14ac:dyDescent="0.3">
      <c r="AA3420" t="str">
        <f>IF(COUNTA('Procyfloc 4800'!A421,'Procyfloc 4800'!B421,'Procyfloc 4800'!C421)&gt;0,"4800","")</f>
        <v/>
      </c>
      <c r="AB3420" t="str">
        <f>IFERROR(IF(ISNUMBER('Procyfloc 4800'!A421),'Procyfloc 4800'!A421,DATEVALUE('Procyfloc 4800'!A421)),"")</f>
        <v/>
      </c>
      <c r="AC3420" t="str">
        <f>IF(AA3420="","",'Procyfloc 4800'!B421)</f>
        <v/>
      </c>
      <c r="AD3420" t="str">
        <f>IF(AA3420="","",IFERROR(1*'Procyfloc 4800'!C421,IFERROR(_xludf.NUMBERVALUE('Procyfloc 4800'!C421,".",","),IFERROR(_xludf.NUMBERVALUE('Procyfloc 4800'!C421,",","."),0))))</f>
        <v/>
      </c>
      <c r="AE3420" t="str">
        <f>IF(AA3420="","",'Procyfloc 4800'!J421)</f>
        <v/>
      </c>
      <c r="AF3420">
        <f t="shared" si="335"/>
        <v>0</v>
      </c>
      <c r="AG3420" t="str">
        <f t="shared" si="336"/>
        <v/>
      </c>
      <c r="AH3420" t="str">
        <f t="shared" si="337"/>
        <v/>
      </c>
      <c r="AI3420">
        <f t="shared" si="338"/>
        <v>0</v>
      </c>
      <c r="AJ3420">
        <f t="shared" si="339"/>
        <v>0</v>
      </c>
      <c r="AK3420">
        <v>0</v>
      </c>
      <c r="AL3420" t="str">
        <f>IF(AA3420="","",IFERROR(IF(ISNUMBER('Procyfloc 4800'!D421),'Procyfloc 4800'!D421,IF(ISNUMBER(SEARCH("12",'Procyfloc 4800'!D421)),EDATE(AB3420,12),IF(ISNUMBER(SEARCH("6",'Procyfloc 4800'!D421)),EDATE(AB3420,6),IF(ISNUMBER(SEARCH("3",'Procyfloc 4800'!D421)),EDATE(AB3420,3),DATEVALUE('Procyfloc 4800'!D421))))),""))</f>
        <v/>
      </c>
      <c r="AM3420" t="str">
        <f t="shared" ca="1" si="340"/>
        <v/>
      </c>
    </row>
    <row r="3421" spans="27:39" x14ac:dyDescent="0.3">
      <c r="AA3421" t="str">
        <f>IF(COUNTA('Procyfloc 4800'!A422,'Procyfloc 4800'!B422,'Procyfloc 4800'!C422)&gt;0,"4800","")</f>
        <v/>
      </c>
      <c r="AB3421" t="str">
        <f>IFERROR(IF(ISNUMBER('Procyfloc 4800'!A422),'Procyfloc 4800'!A422,DATEVALUE('Procyfloc 4800'!A422)),"")</f>
        <v/>
      </c>
      <c r="AC3421" t="str">
        <f>IF(AA3421="","",'Procyfloc 4800'!B422)</f>
        <v/>
      </c>
      <c r="AD3421" t="str">
        <f>IF(AA3421="","",IFERROR(1*'Procyfloc 4800'!C422,IFERROR(_xludf.NUMBERVALUE('Procyfloc 4800'!C422,".",","),IFERROR(_xludf.NUMBERVALUE('Procyfloc 4800'!C422,",","."),0))))</f>
        <v/>
      </c>
      <c r="AE3421" t="str">
        <f>IF(AA3421="","",'Procyfloc 4800'!J422)</f>
        <v/>
      </c>
      <c r="AF3421">
        <f t="shared" si="335"/>
        <v>0</v>
      </c>
      <c r="AG3421" t="str">
        <f t="shared" si="336"/>
        <v/>
      </c>
      <c r="AH3421" t="str">
        <f t="shared" si="337"/>
        <v/>
      </c>
      <c r="AI3421">
        <f t="shared" si="338"/>
        <v>0</v>
      </c>
      <c r="AJ3421">
        <f t="shared" si="339"/>
        <v>0</v>
      </c>
      <c r="AK3421">
        <v>0</v>
      </c>
      <c r="AL3421" t="str">
        <f>IF(AA3421="","",IFERROR(IF(ISNUMBER('Procyfloc 4800'!D422),'Procyfloc 4800'!D422,IF(ISNUMBER(SEARCH("12",'Procyfloc 4800'!D422)),EDATE(AB3421,12),IF(ISNUMBER(SEARCH("6",'Procyfloc 4800'!D422)),EDATE(AB3421,6),IF(ISNUMBER(SEARCH("3",'Procyfloc 4800'!D422)),EDATE(AB3421,3),DATEVALUE('Procyfloc 4800'!D422))))),""))</f>
        <v/>
      </c>
      <c r="AM3421" t="str">
        <f t="shared" ca="1" si="340"/>
        <v/>
      </c>
    </row>
    <row r="3422" spans="27:39" x14ac:dyDescent="0.3">
      <c r="AA3422" t="str">
        <f>IF(COUNTA('Procyfloc 4800'!A423,'Procyfloc 4800'!B423,'Procyfloc 4800'!C423)&gt;0,"4800","")</f>
        <v/>
      </c>
      <c r="AB3422" t="str">
        <f>IFERROR(IF(ISNUMBER('Procyfloc 4800'!A423),'Procyfloc 4800'!A423,DATEVALUE('Procyfloc 4800'!A423)),"")</f>
        <v/>
      </c>
      <c r="AC3422" t="str">
        <f>IF(AA3422="","",'Procyfloc 4800'!B423)</f>
        <v/>
      </c>
      <c r="AD3422" t="str">
        <f>IF(AA3422="","",IFERROR(1*'Procyfloc 4800'!C423,IFERROR(_xludf.NUMBERVALUE('Procyfloc 4800'!C423,".",","),IFERROR(_xludf.NUMBERVALUE('Procyfloc 4800'!C423,",","."),0))))</f>
        <v/>
      </c>
      <c r="AE3422" t="str">
        <f>IF(AA3422="","",'Procyfloc 4800'!J423)</f>
        <v/>
      </c>
      <c r="AF3422">
        <f t="shared" si="335"/>
        <v>0</v>
      </c>
      <c r="AG3422" t="str">
        <f t="shared" si="336"/>
        <v/>
      </c>
      <c r="AH3422" t="str">
        <f t="shared" si="337"/>
        <v/>
      </c>
      <c r="AI3422">
        <f t="shared" si="338"/>
        <v>0</v>
      </c>
      <c r="AJ3422">
        <f t="shared" si="339"/>
        <v>0</v>
      </c>
      <c r="AK3422">
        <v>0</v>
      </c>
      <c r="AL3422" t="str">
        <f>IF(AA3422="","",IFERROR(IF(ISNUMBER('Procyfloc 4800'!D423),'Procyfloc 4800'!D423,IF(ISNUMBER(SEARCH("12",'Procyfloc 4800'!D423)),EDATE(AB3422,12),IF(ISNUMBER(SEARCH("6",'Procyfloc 4800'!D423)),EDATE(AB3422,6),IF(ISNUMBER(SEARCH("3",'Procyfloc 4800'!D423)),EDATE(AB3422,3),DATEVALUE('Procyfloc 4800'!D423))))),""))</f>
        <v/>
      </c>
      <c r="AM3422" t="str">
        <f t="shared" ca="1" si="340"/>
        <v/>
      </c>
    </row>
    <row r="3423" spans="27:39" x14ac:dyDescent="0.3">
      <c r="AA3423" t="str">
        <f>IF(COUNTA('Procyfloc 4800'!A424,'Procyfloc 4800'!B424,'Procyfloc 4800'!C424)&gt;0,"4800","")</f>
        <v/>
      </c>
      <c r="AB3423" t="str">
        <f>IFERROR(IF(ISNUMBER('Procyfloc 4800'!A424),'Procyfloc 4800'!A424,DATEVALUE('Procyfloc 4800'!A424)),"")</f>
        <v/>
      </c>
      <c r="AC3423" t="str">
        <f>IF(AA3423="","",'Procyfloc 4800'!B424)</f>
        <v/>
      </c>
      <c r="AD3423" t="str">
        <f>IF(AA3423="","",IFERROR(1*'Procyfloc 4800'!C424,IFERROR(_xludf.NUMBERVALUE('Procyfloc 4800'!C424,".",","),IFERROR(_xludf.NUMBERVALUE('Procyfloc 4800'!C424,",","."),0))))</f>
        <v/>
      </c>
      <c r="AE3423" t="str">
        <f>IF(AA3423="","",'Procyfloc 4800'!J424)</f>
        <v/>
      </c>
      <c r="AF3423">
        <f t="shared" si="335"/>
        <v>0</v>
      </c>
      <c r="AG3423" t="str">
        <f t="shared" si="336"/>
        <v/>
      </c>
      <c r="AH3423" t="str">
        <f t="shared" si="337"/>
        <v/>
      </c>
      <c r="AI3423">
        <f t="shared" si="338"/>
        <v>0</v>
      </c>
      <c r="AJ3423">
        <f t="shared" si="339"/>
        <v>0</v>
      </c>
      <c r="AK3423">
        <v>0</v>
      </c>
      <c r="AL3423" t="str">
        <f>IF(AA3423="","",IFERROR(IF(ISNUMBER('Procyfloc 4800'!D424),'Procyfloc 4800'!D424,IF(ISNUMBER(SEARCH("12",'Procyfloc 4800'!D424)),EDATE(AB3423,12),IF(ISNUMBER(SEARCH("6",'Procyfloc 4800'!D424)),EDATE(AB3423,6),IF(ISNUMBER(SEARCH("3",'Procyfloc 4800'!D424)),EDATE(AB3423,3),DATEVALUE('Procyfloc 4800'!D424))))),""))</f>
        <v/>
      </c>
      <c r="AM3423" t="str">
        <f t="shared" ca="1" si="340"/>
        <v/>
      </c>
    </row>
    <row r="3424" spans="27:39" x14ac:dyDescent="0.3">
      <c r="AA3424" t="str">
        <f>IF(COUNTA('Procyfloc 4800'!A425,'Procyfloc 4800'!B425,'Procyfloc 4800'!C425)&gt;0,"4800","")</f>
        <v/>
      </c>
      <c r="AB3424" t="str">
        <f>IFERROR(IF(ISNUMBER('Procyfloc 4800'!A425),'Procyfloc 4800'!A425,DATEVALUE('Procyfloc 4800'!A425)),"")</f>
        <v/>
      </c>
      <c r="AC3424" t="str">
        <f>IF(AA3424="","",'Procyfloc 4800'!B425)</f>
        <v/>
      </c>
      <c r="AD3424" t="str">
        <f>IF(AA3424="","",IFERROR(1*'Procyfloc 4800'!C425,IFERROR(_xludf.NUMBERVALUE('Procyfloc 4800'!C425,".",","),IFERROR(_xludf.NUMBERVALUE('Procyfloc 4800'!C425,",","."),0))))</f>
        <v/>
      </c>
      <c r="AE3424" t="str">
        <f>IF(AA3424="","",'Procyfloc 4800'!J425)</f>
        <v/>
      </c>
      <c r="AF3424">
        <f t="shared" si="335"/>
        <v>0</v>
      </c>
      <c r="AG3424" t="str">
        <f t="shared" si="336"/>
        <v/>
      </c>
      <c r="AH3424" t="str">
        <f t="shared" si="337"/>
        <v/>
      </c>
      <c r="AI3424">
        <f t="shared" si="338"/>
        <v>0</v>
      </c>
      <c r="AJ3424">
        <f t="shared" si="339"/>
        <v>0</v>
      </c>
      <c r="AK3424">
        <v>0</v>
      </c>
      <c r="AL3424" t="str">
        <f>IF(AA3424="","",IFERROR(IF(ISNUMBER('Procyfloc 4800'!D425),'Procyfloc 4800'!D425,IF(ISNUMBER(SEARCH("12",'Procyfloc 4800'!D425)),EDATE(AB3424,12),IF(ISNUMBER(SEARCH("6",'Procyfloc 4800'!D425)),EDATE(AB3424,6),IF(ISNUMBER(SEARCH("3",'Procyfloc 4800'!D425)),EDATE(AB3424,3),DATEVALUE('Procyfloc 4800'!D425))))),""))</f>
        <v/>
      </c>
      <c r="AM3424" t="str">
        <f t="shared" ca="1" si="340"/>
        <v/>
      </c>
    </row>
    <row r="3425" spans="27:39" x14ac:dyDescent="0.3">
      <c r="AA3425" t="str">
        <f>IF(COUNTA('Procyfloc 4800'!A426,'Procyfloc 4800'!B426,'Procyfloc 4800'!C426)&gt;0,"4800","")</f>
        <v/>
      </c>
      <c r="AB3425" t="str">
        <f>IFERROR(IF(ISNUMBER('Procyfloc 4800'!A426),'Procyfloc 4800'!A426,DATEVALUE('Procyfloc 4800'!A426)),"")</f>
        <v/>
      </c>
      <c r="AC3425" t="str">
        <f>IF(AA3425="","",'Procyfloc 4800'!B426)</f>
        <v/>
      </c>
      <c r="AD3425" t="str">
        <f>IF(AA3425="","",IFERROR(1*'Procyfloc 4800'!C426,IFERROR(_xludf.NUMBERVALUE('Procyfloc 4800'!C426,".",","),IFERROR(_xludf.NUMBERVALUE('Procyfloc 4800'!C426,",","."),0))))</f>
        <v/>
      </c>
      <c r="AE3425" t="str">
        <f>IF(AA3425="","",'Procyfloc 4800'!J426)</f>
        <v/>
      </c>
      <c r="AF3425">
        <f t="shared" si="335"/>
        <v>0</v>
      </c>
      <c r="AG3425" t="str">
        <f t="shared" si="336"/>
        <v/>
      </c>
      <c r="AH3425" t="str">
        <f t="shared" si="337"/>
        <v/>
      </c>
      <c r="AI3425">
        <f t="shared" si="338"/>
        <v>0</v>
      </c>
      <c r="AJ3425">
        <f t="shared" si="339"/>
        <v>0</v>
      </c>
      <c r="AK3425">
        <v>0</v>
      </c>
      <c r="AL3425" t="str">
        <f>IF(AA3425="","",IFERROR(IF(ISNUMBER('Procyfloc 4800'!D426),'Procyfloc 4800'!D426,IF(ISNUMBER(SEARCH("12",'Procyfloc 4800'!D426)),EDATE(AB3425,12),IF(ISNUMBER(SEARCH("6",'Procyfloc 4800'!D426)),EDATE(AB3425,6),IF(ISNUMBER(SEARCH("3",'Procyfloc 4800'!D426)),EDATE(AB3425,3),DATEVALUE('Procyfloc 4800'!D426))))),""))</f>
        <v/>
      </c>
      <c r="AM3425" t="str">
        <f t="shared" ca="1" si="340"/>
        <v/>
      </c>
    </row>
    <row r="3426" spans="27:39" x14ac:dyDescent="0.3">
      <c r="AA3426" t="str">
        <f>IF(COUNTA('Procyfloc 4800'!A427,'Procyfloc 4800'!B427,'Procyfloc 4800'!C427)&gt;0,"4800","")</f>
        <v/>
      </c>
      <c r="AB3426" t="str">
        <f>IFERROR(IF(ISNUMBER('Procyfloc 4800'!A427),'Procyfloc 4800'!A427,DATEVALUE('Procyfloc 4800'!A427)),"")</f>
        <v/>
      </c>
      <c r="AC3426" t="str">
        <f>IF(AA3426="","",'Procyfloc 4800'!B427)</f>
        <v/>
      </c>
      <c r="AD3426" t="str">
        <f>IF(AA3426="","",IFERROR(1*'Procyfloc 4800'!C427,IFERROR(_xludf.NUMBERVALUE('Procyfloc 4800'!C427,".",","),IFERROR(_xludf.NUMBERVALUE('Procyfloc 4800'!C427,",","."),0))))</f>
        <v/>
      </c>
      <c r="AE3426" t="str">
        <f>IF(AA3426="","",'Procyfloc 4800'!J427)</f>
        <v/>
      </c>
      <c r="AF3426">
        <f t="shared" si="335"/>
        <v>0</v>
      </c>
      <c r="AG3426" t="str">
        <f t="shared" si="336"/>
        <v/>
      </c>
      <c r="AH3426" t="str">
        <f t="shared" si="337"/>
        <v/>
      </c>
      <c r="AI3426">
        <f t="shared" si="338"/>
        <v>0</v>
      </c>
      <c r="AJ3426">
        <f t="shared" si="339"/>
        <v>0</v>
      </c>
      <c r="AK3426">
        <v>0</v>
      </c>
      <c r="AL3426" t="str">
        <f>IF(AA3426="","",IFERROR(IF(ISNUMBER('Procyfloc 4800'!D427),'Procyfloc 4800'!D427,IF(ISNUMBER(SEARCH("12",'Procyfloc 4800'!D427)),EDATE(AB3426,12),IF(ISNUMBER(SEARCH("6",'Procyfloc 4800'!D427)),EDATE(AB3426,6),IF(ISNUMBER(SEARCH("3",'Procyfloc 4800'!D427)),EDATE(AB3426,3),DATEVALUE('Procyfloc 4800'!D427))))),""))</f>
        <v/>
      </c>
      <c r="AM3426" t="str">
        <f t="shared" ca="1" si="340"/>
        <v/>
      </c>
    </row>
    <row r="3427" spans="27:39" x14ac:dyDescent="0.3">
      <c r="AA3427" t="str">
        <f>IF(COUNTA('Procyfloc 4800'!A428,'Procyfloc 4800'!B428,'Procyfloc 4800'!C428)&gt;0,"4800","")</f>
        <v/>
      </c>
      <c r="AB3427" t="str">
        <f>IFERROR(IF(ISNUMBER('Procyfloc 4800'!A428),'Procyfloc 4800'!A428,DATEVALUE('Procyfloc 4800'!A428)),"")</f>
        <v/>
      </c>
      <c r="AC3427" t="str">
        <f>IF(AA3427="","",'Procyfloc 4800'!B428)</f>
        <v/>
      </c>
      <c r="AD3427" t="str">
        <f>IF(AA3427="","",IFERROR(1*'Procyfloc 4800'!C428,IFERROR(_xludf.NUMBERVALUE('Procyfloc 4800'!C428,".",","),IFERROR(_xludf.NUMBERVALUE('Procyfloc 4800'!C428,",","."),0))))</f>
        <v/>
      </c>
      <c r="AE3427" t="str">
        <f>IF(AA3427="","",'Procyfloc 4800'!J428)</f>
        <v/>
      </c>
      <c r="AF3427">
        <f t="shared" si="335"/>
        <v>0</v>
      </c>
      <c r="AG3427" t="str">
        <f t="shared" si="336"/>
        <v/>
      </c>
      <c r="AH3427" t="str">
        <f t="shared" si="337"/>
        <v/>
      </c>
      <c r="AI3427">
        <f t="shared" si="338"/>
        <v>0</v>
      </c>
      <c r="AJ3427">
        <f t="shared" si="339"/>
        <v>0</v>
      </c>
      <c r="AK3427">
        <v>0</v>
      </c>
      <c r="AL3427" t="str">
        <f>IF(AA3427="","",IFERROR(IF(ISNUMBER('Procyfloc 4800'!D428),'Procyfloc 4800'!D428,IF(ISNUMBER(SEARCH("12",'Procyfloc 4800'!D428)),EDATE(AB3427,12),IF(ISNUMBER(SEARCH("6",'Procyfloc 4800'!D428)),EDATE(AB3427,6),IF(ISNUMBER(SEARCH("3",'Procyfloc 4800'!D428)),EDATE(AB3427,3),DATEVALUE('Procyfloc 4800'!D428))))),""))</f>
        <v/>
      </c>
      <c r="AM3427" t="str">
        <f t="shared" ca="1" si="340"/>
        <v/>
      </c>
    </row>
    <row r="3428" spans="27:39" x14ac:dyDescent="0.3">
      <c r="AA3428" t="str">
        <f>IF(COUNTA('Procyfloc 4800'!A429,'Procyfloc 4800'!B429,'Procyfloc 4800'!C429)&gt;0,"4800","")</f>
        <v/>
      </c>
      <c r="AB3428" t="str">
        <f>IFERROR(IF(ISNUMBER('Procyfloc 4800'!A429),'Procyfloc 4800'!A429,DATEVALUE('Procyfloc 4800'!A429)),"")</f>
        <v/>
      </c>
      <c r="AC3428" t="str">
        <f>IF(AA3428="","",'Procyfloc 4800'!B429)</f>
        <v/>
      </c>
      <c r="AD3428" t="str">
        <f>IF(AA3428="","",IFERROR(1*'Procyfloc 4800'!C429,IFERROR(_xludf.NUMBERVALUE('Procyfloc 4800'!C429,".",","),IFERROR(_xludf.NUMBERVALUE('Procyfloc 4800'!C429,",","."),0))))</f>
        <v/>
      </c>
      <c r="AE3428" t="str">
        <f>IF(AA3428="","",'Procyfloc 4800'!J429)</f>
        <v/>
      </c>
      <c r="AF3428">
        <f t="shared" si="335"/>
        <v>0</v>
      </c>
      <c r="AG3428" t="str">
        <f t="shared" si="336"/>
        <v/>
      </c>
      <c r="AH3428" t="str">
        <f t="shared" si="337"/>
        <v/>
      </c>
      <c r="AI3428">
        <f t="shared" si="338"/>
        <v>0</v>
      </c>
      <c r="AJ3428">
        <f t="shared" si="339"/>
        <v>0</v>
      </c>
      <c r="AK3428">
        <v>0</v>
      </c>
      <c r="AL3428" t="str">
        <f>IF(AA3428="","",IFERROR(IF(ISNUMBER('Procyfloc 4800'!D429),'Procyfloc 4800'!D429,IF(ISNUMBER(SEARCH("12",'Procyfloc 4800'!D429)),EDATE(AB3428,12),IF(ISNUMBER(SEARCH("6",'Procyfloc 4800'!D429)),EDATE(AB3428,6),IF(ISNUMBER(SEARCH("3",'Procyfloc 4800'!D429)),EDATE(AB3428,3),DATEVALUE('Procyfloc 4800'!D429))))),""))</f>
        <v/>
      </c>
      <c r="AM3428" t="str">
        <f t="shared" ca="1" si="340"/>
        <v/>
      </c>
    </row>
    <row r="3429" spans="27:39" x14ac:dyDescent="0.3">
      <c r="AA3429" t="str">
        <f>IF(COUNTA('Procyfloc 4800'!A430,'Procyfloc 4800'!B430,'Procyfloc 4800'!C430)&gt;0,"4800","")</f>
        <v/>
      </c>
      <c r="AB3429" t="str">
        <f>IFERROR(IF(ISNUMBER('Procyfloc 4800'!A430),'Procyfloc 4800'!A430,DATEVALUE('Procyfloc 4800'!A430)),"")</f>
        <v/>
      </c>
      <c r="AC3429" t="str">
        <f>IF(AA3429="","",'Procyfloc 4800'!B430)</f>
        <v/>
      </c>
      <c r="AD3429" t="str">
        <f>IF(AA3429="","",IFERROR(1*'Procyfloc 4800'!C430,IFERROR(_xludf.NUMBERVALUE('Procyfloc 4800'!C430,".",","),IFERROR(_xludf.NUMBERVALUE('Procyfloc 4800'!C430,",","."),0))))</f>
        <v/>
      </c>
      <c r="AE3429" t="str">
        <f>IF(AA3429="","",'Procyfloc 4800'!J430)</f>
        <v/>
      </c>
      <c r="AF3429">
        <f t="shared" si="335"/>
        <v>0</v>
      </c>
      <c r="AG3429" t="str">
        <f t="shared" si="336"/>
        <v/>
      </c>
      <c r="AH3429" t="str">
        <f t="shared" si="337"/>
        <v/>
      </c>
      <c r="AI3429">
        <f t="shared" si="338"/>
        <v>0</v>
      </c>
      <c r="AJ3429">
        <f t="shared" si="339"/>
        <v>0</v>
      </c>
      <c r="AK3429">
        <v>0</v>
      </c>
      <c r="AL3429" t="str">
        <f>IF(AA3429="","",IFERROR(IF(ISNUMBER('Procyfloc 4800'!D430),'Procyfloc 4800'!D430,IF(ISNUMBER(SEARCH("12",'Procyfloc 4800'!D430)),EDATE(AB3429,12),IF(ISNUMBER(SEARCH("6",'Procyfloc 4800'!D430)),EDATE(AB3429,6),IF(ISNUMBER(SEARCH("3",'Procyfloc 4800'!D430)),EDATE(AB3429,3),DATEVALUE('Procyfloc 4800'!D430))))),""))</f>
        <v/>
      </c>
      <c r="AM3429" t="str">
        <f t="shared" ca="1" si="340"/>
        <v/>
      </c>
    </row>
    <row r="3430" spans="27:39" x14ac:dyDescent="0.3">
      <c r="AA3430" t="str">
        <f>IF(COUNTA('Procyfloc 4800'!A431,'Procyfloc 4800'!B431,'Procyfloc 4800'!C431)&gt;0,"4800","")</f>
        <v/>
      </c>
      <c r="AB3430" t="str">
        <f>IFERROR(IF(ISNUMBER('Procyfloc 4800'!A431),'Procyfloc 4800'!A431,DATEVALUE('Procyfloc 4800'!A431)),"")</f>
        <v/>
      </c>
      <c r="AC3430" t="str">
        <f>IF(AA3430="","",'Procyfloc 4800'!B431)</f>
        <v/>
      </c>
      <c r="AD3430" t="str">
        <f>IF(AA3430="","",IFERROR(1*'Procyfloc 4800'!C431,IFERROR(_xludf.NUMBERVALUE('Procyfloc 4800'!C431,".",","),IFERROR(_xludf.NUMBERVALUE('Procyfloc 4800'!C431,",","."),0))))</f>
        <v/>
      </c>
      <c r="AE3430" t="str">
        <f>IF(AA3430="","",'Procyfloc 4800'!J431)</f>
        <v/>
      </c>
      <c r="AF3430">
        <f t="shared" si="335"/>
        <v>0</v>
      </c>
      <c r="AG3430" t="str">
        <f t="shared" si="336"/>
        <v/>
      </c>
      <c r="AH3430" t="str">
        <f t="shared" si="337"/>
        <v/>
      </c>
      <c r="AI3430">
        <f t="shared" si="338"/>
        <v>0</v>
      </c>
      <c r="AJ3430">
        <f t="shared" si="339"/>
        <v>0</v>
      </c>
      <c r="AK3430">
        <v>0</v>
      </c>
      <c r="AL3430" t="str">
        <f>IF(AA3430="","",IFERROR(IF(ISNUMBER('Procyfloc 4800'!D431),'Procyfloc 4800'!D431,IF(ISNUMBER(SEARCH("12",'Procyfloc 4800'!D431)),EDATE(AB3430,12),IF(ISNUMBER(SEARCH("6",'Procyfloc 4800'!D431)),EDATE(AB3430,6),IF(ISNUMBER(SEARCH("3",'Procyfloc 4800'!D431)),EDATE(AB3430,3),DATEVALUE('Procyfloc 4800'!D431))))),""))</f>
        <v/>
      </c>
      <c r="AM3430" t="str">
        <f t="shared" ca="1" si="340"/>
        <v/>
      </c>
    </row>
    <row r="3431" spans="27:39" x14ac:dyDescent="0.3">
      <c r="AA3431" t="str">
        <f>IF(COUNTA('Procyfloc 4800'!A432,'Procyfloc 4800'!B432,'Procyfloc 4800'!C432)&gt;0,"4800","")</f>
        <v/>
      </c>
      <c r="AB3431" t="str">
        <f>IFERROR(IF(ISNUMBER('Procyfloc 4800'!A432),'Procyfloc 4800'!A432,DATEVALUE('Procyfloc 4800'!A432)),"")</f>
        <v/>
      </c>
      <c r="AC3431" t="str">
        <f>IF(AA3431="","",'Procyfloc 4800'!B432)</f>
        <v/>
      </c>
      <c r="AD3431" t="str">
        <f>IF(AA3431="","",IFERROR(1*'Procyfloc 4800'!C432,IFERROR(_xludf.NUMBERVALUE('Procyfloc 4800'!C432,".",","),IFERROR(_xludf.NUMBERVALUE('Procyfloc 4800'!C432,",","."),0))))</f>
        <v/>
      </c>
      <c r="AE3431" t="str">
        <f>IF(AA3431="","",'Procyfloc 4800'!J432)</f>
        <v/>
      </c>
      <c r="AF3431">
        <f t="shared" si="335"/>
        <v>0</v>
      </c>
      <c r="AG3431" t="str">
        <f t="shared" si="336"/>
        <v/>
      </c>
      <c r="AH3431" t="str">
        <f t="shared" si="337"/>
        <v/>
      </c>
      <c r="AI3431">
        <f t="shared" si="338"/>
        <v>0</v>
      </c>
      <c r="AJ3431">
        <f t="shared" si="339"/>
        <v>0</v>
      </c>
      <c r="AK3431">
        <v>0</v>
      </c>
      <c r="AL3431" t="str">
        <f>IF(AA3431="","",IFERROR(IF(ISNUMBER('Procyfloc 4800'!D432),'Procyfloc 4800'!D432,IF(ISNUMBER(SEARCH("12",'Procyfloc 4800'!D432)),EDATE(AB3431,12),IF(ISNUMBER(SEARCH("6",'Procyfloc 4800'!D432)),EDATE(AB3431,6),IF(ISNUMBER(SEARCH("3",'Procyfloc 4800'!D432)),EDATE(AB3431,3),DATEVALUE('Procyfloc 4800'!D432))))),""))</f>
        <v/>
      </c>
      <c r="AM3431" t="str">
        <f t="shared" ca="1" si="340"/>
        <v/>
      </c>
    </row>
    <row r="3432" spans="27:39" x14ac:dyDescent="0.3">
      <c r="AA3432" t="str">
        <f>IF(COUNTA('Procyfloc 4800'!A433,'Procyfloc 4800'!B433,'Procyfloc 4800'!C433)&gt;0,"4800","")</f>
        <v/>
      </c>
      <c r="AB3432" t="str">
        <f>IFERROR(IF(ISNUMBER('Procyfloc 4800'!A433),'Procyfloc 4800'!A433,DATEVALUE('Procyfloc 4800'!A433)),"")</f>
        <v/>
      </c>
      <c r="AC3432" t="str">
        <f>IF(AA3432="","",'Procyfloc 4800'!B433)</f>
        <v/>
      </c>
      <c r="AD3432" t="str">
        <f>IF(AA3432="","",IFERROR(1*'Procyfloc 4800'!C433,IFERROR(_xludf.NUMBERVALUE('Procyfloc 4800'!C433,".",","),IFERROR(_xludf.NUMBERVALUE('Procyfloc 4800'!C433,",","."),0))))</f>
        <v/>
      </c>
      <c r="AE3432" t="str">
        <f>IF(AA3432="","",'Procyfloc 4800'!J433)</f>
        <v/>
      </c>
      <c r="AF3432">
        <f t="shared" si="335"/>
        <v>0</v>
      </c>
      <c r="AG3432" t="str">
        <f t="shared" si="336"/>
        <v/>
      </c>
      <c r="AH3432" t="str">
        <f t="shared" si="337"/>
        <v/>
      </c>
      <c r="AI3432">
        <f t="shared" si="338"/>
        <v>0</v>
      </c>
      <c r="AJ3432">
        <f t="shared" si="339"/>
        <v>0</v>
      </c>
      <c r="AK3432">
        <v>0</v>
      </c>
      <c r="AL3432" t="str">
        <f>IF(AA3432="","",IFERROR(IF(ISNUMBER('Procyfloc 4800'!D433),'Procyfloc 4800'!D433,IF(ISNUMBER(SEARCH("12",'Procyfloc 4800'!D433)),EDATE(AB3432,12),IF(ISNUMBER(SEARCH("6",'Procyfloc 4800'!D433)),EDATE(AB3432,6),IF(ISNUMBER(SEARCH("3",'Procyfloc 4800'!D433)),EDATE(AB3432,3),DATEVALUE('Procyfloc 4800'!D433))))),""))</f>
        <v/>
      </c>
      <c r="AM3432" t="str">
        <f t="shared" ca="1" si="340"/>
        <v/>
      </c>
    </row>
    <row r="3433" spans="27:39" x14ac:dyDescent="0.3">
      <c r="AA3433" t="str">
        <f>IF(COUNTA('Procyfloc 4800'!A434,'Procyfloc 4800'!B434,'Procyfloc 4800'!C434)&gt;0,"4800","")</f>
        <v/>
      </c>
      <c r="AB3433" t="str">
        <f>IFERROR(IF(ISNUMBER('Procyfloc 4800'!A434),'Procyfloc 4800'!A434,DATEVALUE('Procyfloc 4800'!A434)),"")</f>
        <v/>
      </c>
      <c r="AC3433" t="str">
        <f>IF(AA3433="","",'Procyfloc 4800'!B434)</f>
        <v/>
      </c>
      <c r="AD3433" t="str">
        <f>IF(AA3433="","",IFERROR(1*'Procyfloc 4800'!C434,IFERROR(_xludf.NUMBERVALUE('Procyfloc 4800'!C434,".",","),IFERROR(_xludf.NUMBERVALUE('Procyfloc 4800'!C434,",","."),0))))</f>
        <v/>
      </c>
      <c r="AE3433" t="str">
        <f>IF(AA3433="","",'Procyfloc 4800'!J434)</f>
        <v/>
      </c>
      <c r="AF3433">
        <f t="shared" si="335"/>
        <v>0</v>
      </c>
      <c r="AG3433" t="str">
        <f t="shared" si="336"/>
        <v/>
      </c>
      <c r="AH3433" t="str">
        <f t="shared" si="337"/>
        <v/>
      </c>
      <c r="AI3433">
        <f t="shared" si="338"/>
        <v>0</v>
      </c>
      <c r="AJ3433">
        <f t="shared" si="339"/>
        <v>0</v>
      </c>
      <c r="AK3433">
        <v>0</v>
      </c>
      <c r="AL3433" t="str">
        <f>IF(AA3433="","",IFERROR(IF(ISNUMBER('Procyfloc 4800'!D434),'Procyfloc 4800'!D434,IF(ISNUMBER(SEARCH("12",'Procyfloc 4800'!D434)),EDATE(AB3433,12),IF(ISNUMBER(SEARCH("6",'Procyfloc 4800'!D434)),EDATE(AB3433,6),IF(ISNUMBER(SEARCH("3",'Procyfloc 4800'!D434)),EDATE(AB3433,3),DATEVALUE('Procyfloc 4800'!D434))))),""))</f>
        <v/>
      </c>
      <c r="AM3433" t="str">
        <f t="shared" ca="1" si="340"/>
        <v/>
      </c>
    </row>
    <row r="3434" spans="27:39" x14ac:dyDescent="0.3">
      <c r="AA3434" t="str">
        <f>IF(COUNTA('Procyfloc 4800'!A435,'Procyfloc 4800'!B435,'Procyfloc 4800'!C435)&gt;0,"4800","")</f>
        <v/>
      </c>
      <c r="AB3434" t="str">
        <f>IFERROR(IF(ISNUMBER('Procyfloc 4800'!A435),'Procyfloc 4800'!A435,DATEVALUE('Procyfloc 4800'!A435)),"")</f>
        <v/>
      </c>
      <c r="AC3434" t="str">
        <f>IF(AA3434="","",'Procyfloc 4800'!B435)</f>
        <v/>
      </c>
      <c r="AD3434" t="str">
        <f>IF(AA3434="","",IFERROR(1*'Procyfloc 4800'!C435,IFERROR(_xludf.NUMBERVALUE('Procyfloc 4800'!C435,".",","),IFERROR(_xludf.NUMBERVALUE('Procyfloc 4800'!C435,",","."),0))))</f>
        <v/>
      </c>
      <c r="AE3434" t="str">
        <f>IF(AA3434="","",'Procyfloc 4800'!J435)</f>
        <v/>
      </c>
      <c r="AF3434">
        <f t="shared" si="335"/>
        <v>0</v>
      </c>
      <c r="AG3434" t="str">
        <f t="shared" si="336"/>
        <v/>
      </c>
      <c r="AH3434" t="str">
        <f t="shared" si="337"/>
        <v/>
      </c>
      <c r="AI3434">
        <f t="shared" si="338"/>
        <v>0</v>
      </c>
      <c r="AJ3434">
        <f t="shared" si="339"/>
        <v>0</v>
      </c>
      <c r="AK3434">
        <v>0</v>
      </c>
      <c r="AL3434" t="str">
        <f>IF(AA3434="","",IFERROR(IF(ISNUMBER('Procyfloc 4800'!D435),'Procyfloc 4800'!D435,IF(ISNUMBER(SEARCH("12",'Procyfloc 4800'!D435)),EDATE(AB3434,12),IF(ISNUMBER(SEARCH("6",'Procyfloc 4800'!D435)),EDATE(AB3434,6),IF(ISNUMBER(SEARCH("3",'Procyfloc 4800'!D435)),EDATE(AB3434,3),DATEVALUE('Procyfloc 4800'!D435))))),""))</f>
        <v/>
      </c>
      <c r="AM3434" t="str">
        <f t="shared" ca="1" si="340"/>
        <v/>
      </c>
    </row>
    <row r="3435" spans="27:39" x14ac:dyDescent="0.3">
      <c r="AA3435" t="str">
        <f>IF(COUNTA('Procyfloc 4800'!A436,'Procyfloc 4800'!B436,'Procyfloc 4800'!C436)&gt;0,"4800","")</f>
        <v/>
      </c>
      <c r="AB3435" t="str">
        <f>IFERROR(IF(ISNUMBER('Procyfloc 4800'!A436),'Procyfloc 4800'!A436,DATEVALUE('Procyfloc 4800'!A436)),"")</f>
        <v/>
      </c>
      <c r="AC3435" t="str">
        <f>IF(AA3435="","",'Procyfloc 4800'!B436)</f>
        <v/>
      </c>
      <c r="AD3435" t="str">
        <f>IF(AA3435="","",IFERROR(1*'Procyfloc 4800'!C436,IFERROR(_xludf.NUMBERVALUE('Procyfloc 4800'!C436,".",","),IFERROR(_xludf.NUMBERVALUE('Procyfloc 4800'!C436,",","."),0))))</f>
        <v/>
      </c>
      <c r="AE3435" t="str">
        <f>IF(AA3435="","",'Procyfloc 4800'!J436)</f>
        <v/>
      </c>
      <c r="AF3435">
        <f t="shared" si="335"/>
        <v>0</v>
      </c>
      <c r="AG3435" t="str">
        <f t="shared" si="336"/>
        <v/>
      </c>
      <c r="AH3435" t="str">
        <f t="shared" si="337"/>
        <v/>
      </c>
      <c r="AI3435">
        <f t="shared" si="338"/>
        <v>0</v>
      </c>
      <c r="AJ3435">
        <f t="shared" si="339"/>
        <v>0</v>
      </c>
      <c r="AK3435">
        <v>0</v>
      </c>
      <c r="AL3435" t="str">
        <f>IF(AA3435="","",IFERROR(IF(ISNUMBER('Procyfloc 4800'!D436),'Procyfloc 4800'!D436,IF(ISNUMBER(SEARCH("12",'Procyfloc 4800'!D436)),EDATE(AB3435,12),IF(ISNUMBER(SEARCH("6",'Procyfloc 4800'!D436)),EDATE(AB3435,6),IF(ISNUMBER(SEARCH("3",'Procyfloc 4800'!D436)),EDATE(AB3435,3),DATEVALUE('Procyfloc 4800'!D436))))),""))</f>
        <v/>
      </c>
      <c r="AM3435" t="str">
        <f t="shared" ca="1" si="340"/>
        <v/>
      </c>
    </row>
    <row r="3436" spans="27:39" x14ac:dyDescent="0.3">
      <c r="AA3436" t="str">
        <f>IF(COUNTA('Procyfloc 4800'!A437,'Procyfloc 4800'!B437,'Procyfloc 4800'!C437)&gt;0,"4800","")</f>
        <v/>
      </c>
      <c r="AB3436" t="str">
        <f>IFERROR(IF(ISNUMBER('Procyfloc 4800'!A437),'Procyfloc 4800'!A437,DATEVALUE('Procyfloc 4800'!A437)),"")</f>
        <v/>
      </c>
      <c r="AC3436" t="str">
        <f>IF(AA3436="","",'Procyfloc 4800'!B437)</f>
        <v/>
      </c>
      <c r="AD3436" t="str">
        <f>IF(AA3436="","",IFERROR(1*'Procyfloc 4800'!C437,IFERROR(_xludf.NUMBERVALUE('Procyfloc 4800'!C437,".",","),IFERROR(_xludf.NUMBERVALUE('Procyfloc 4800'!C437,",","."),0))))</f>
        <v/>
      </c>
      <c r="AE3436" t="str">
        <f>IF(AA3436="","",'Procyfloc 4800'!J437)</f>
        <v/>
      </c>
      <c r="AF3436">
        <f t="shared" si="335"/>
        <v>0</v>
      </c>
      <c r="AG3436" t="str">
        <f t="shared" si="336"/>
        <v/>
      </c>
      <c r="AH3436" t="str">
        <f t="shared" si="337"/>
        <v/>
      </c>
      <c r="AI3436">
        <f t="shared" si="338"/>
        <v>0</v>
      </c>
      <c r="AJ3436">
        <f t="shared" si="339"/>
        <v>0</v>
      </c>
      <c r="AK3436">
        <v>0</v>
      </c>
      <c r="AL3436" t="str">
        <f>IF(AA3436="","",IFERROR(IF(ISNUMBER('Procyfloc 4800'!D437),'Procyfloc 4800'!D437,IF(ISNUMBER(SEARCH("12",'Procyfloc 4800'!D437)),EDATE(AB3436,12),IF(ISNUMBER(SEARCH("6",'Procyfloc 4800'!D437)),EDATE(AB3436,6),IF(ISNUMBER(SEARCH("3",'Procyfloc 4800'!D437)),EDATE(AB3436,3),DATEVALUE('Procyfloc 4800'!D437))))),""))</f>
        <v/>
      </c>
      <c r="AM3436" t="str">
        <f t="shared" ca="1" si="340"/>
        <v/>
      </c>
    </row>
    <row r="3437" spans="27:39" x14ac:dyDescent="0.3">
      <c r="AA3437" t="str">
        <f>IF(COUNTA('Procyfloc 4800'!A438,'Procyfloc 4800'!B438,'Procyfloc 4800'!C438)&gt;0,"4800","")</f>
        <v/>
      </c>
      <c r="AB3437" t="str">
        <f>IFERROR(IF(ISNUMBER('Procyfloc 4800'!A438),'Procyfloc 4800'!A438,DATEVALUE('Procyfloc 4800'!A438)),"")</f>
        <v/>
      </c>
      <c r="AC3437" t="str">
        <f>IF(AA3437="","",'Procyfloc 4800'!B438)</f>
        <v/>
      </c>
      <c r="AD3437" t="str">
        <f>IF(AA3437="","",IFERROR(1*'Procyfloc 4800'!C438,IFERROR(_xludf.NUMBERVALUE('Procyfloc 4800'!C438,".",","),IFERROR(_xludf.NUMBERVALUE('Procyfloc 4800'!C438,",","."),0))))</f>
        <v/>
      </c>
      <c r="AE3437" t="str">
        <f>IF(AA3437="","",'Procyfloc 4800'!J438)</f>
        <v/>
      </c>
      <c r="AF3437">
        <f t="shared" si="335"/>
        <v>0</v>
      </c>
      <c r="AG3437" t="str">
        <f t="shared" si="336"/>
        <v/>
      </c>
      <c r="AH3437" t="str">
        <f t="shared" si="337"/>
        <v/>
      </c>
      <c r="AI3437">
        <f t="shared" si="338"/>
        <v>0</v>
      </c>
      <c r="AJ3437">
        <f t="shared" si="339"/>
        <v>0</v>
      </c>
      <c r="AK3437">
        <v>0</v>
      </c>
      <c r="AL3437" t="str">
        <f>IF(AA3437="","",IFERROR(IF(ISNUMBER('Procyfloc 4800'!D438),'Procyfloc 4800'!D438,IF(ISNUMBER(SEARCH("12",'Procyfloc 4800'!D438)),EDATE(AB3437,12),IF(ISNUMBER(SEARCH("6",'Procyfloc 4800'!D438)),EDATE(AB3437,6),IF(ISNUMBER(SEARCH("3",'Procyfloc 4800'!D438)),EDATE(AB3437,3),DATEVALUE('Procyfloc 4800'!D438))))),""))</f>
        <v/>
      </c>
      <c r="AM3437" t="str">
        <f t="shared" ca="1" si="340"/>
        <v/>
      </c>
    </row>
    <row r="3438" spans="27:39" x14ac:dyDescent="0.3">
      <c r="AA3438" t="str">
        <f>IF(COUNTA('Procyfloc 4800'!A439,'Procyfloc 4800'!B439,'Procyfloc 4800'!C439)&gt;0,"4800","")</f>
        <v/>
      </c>
      <c r="AB3438" t="str">
        <f>IFERROR(IF(ISNUMBER('Procyfloc 4800'!A439),'Procyfloc 4800'!A439,DATEVALUE('Procyfloc 4800'!A439)),"")</f>
        <v/>
      </c>
      <c r="AC3438" t="str">
        <f>IF(AA3438="","",'Procyfloc 4800'!B439)</f>
        <v/>
      </c>
      <c r="AD3438" t="str">
        <f>IF(AA3438="","",IFERROR(1*'Procyfloc 4800'!C439,IFERROR(_xludf.NUMBERVALUE('Procyfloc 4800'!C439,".",","),IFERROR(_xludf.NUMBERVALUE('Procyfloc 4800'!C439,",","."),0))))</f>
        <v/>
      </c>
      <c r="AE3438" t="str">
        <f>IF(AA3438="","",'Procyfloc 4800'!J439)</f>
        <v/>
      </c>
      <c r="AF3438">
        <f t="shared" si="335"/>
        <v>0</v>
      </c>
      <c r="AG3438" t="str">
        <f t="shared" si="336"/>
        <v/>
      </c>
      <c r="AH3438" t="str">
        <f t="shared" si="337"/>
        <v/>
      </c>
      <c r="AI3438">
        <f t="shared" si="338"/>
        <v>0</v>
      </c>
      <c r="AJ3438">
        <f t="shared" si="339"/>
        <v>0</v>
      </c>
      <c r="AK3438">
        <v>0</v>
      </c>
      <c r="AL3438" t="str">
        <f>IF(AA3438="","",IFERROR(IF(ISNUMBER('Procyfloc 4800'!D439),'Procyfloc 4800'!D439,IF(ISNUMBER(SEARCH("12",'Procyfloc 4800'!D439)),EDATE(AB3438,12),IF(ISNUMBER(SEARCH("6",'Procyfloc 4800'!D439)),EDATE(AB3438,6),IF(ISNUMBER(SEARCH("3",'Procyfloc 4800'!D439)),EDATE(AB3438,3),DATEVALUE('Procyfloc 4800'!D439))))),""))</f>
        <v/>
      </c>
      <c r="AM3438" t="str">
        <f t="shared" ca="1" si="340"/>
        <v/>
      </c>
    </row>
    <row r="3439" spans="27:39" x14ac:dyDescent="0.3">
      <c r="AA3439" t="str">
        <f>IF(COUNTA('Procyfloc 4800'!A440,'Procyfloc 4800'!B440,'Procyfloc 4800'!C440)&gt;0,"4800","")</f>
        <v/>
      </c>
      <c r="AB3439" t="str">
        <f>IFERROR(IF(ISNUMBER('Procyfloc 4800'!A440),'Procyfloc 4800'!A440,DATEVALUE('Procyfloc 4800'!A440)),"")</f>
        <v/>
      </c>
      <c r="AC3439" t="str">
        <f>IF(AA3439="","",'Procyfloc 4800'!B440)</f>
        <v/>
      </c>
      <c r="AD3439" t="str">
        <f>IF(AA3439="","",IFERROR(1*'Procyfloc 4800'!C440,IFERROR(_xludf.NUMBERVALUE('Procyfloc 4800'!C440,".",","),IFERROR(_xludf.NUMBERVALUE('Procyfloc 4800'!C440,",","."),0))))</f>
        <v/>
      </c>
      <c r="AE3439" t="str">
        <f>IF(AA3439="","",'Procyfloc 4800'!J440)</f>
        <v/>
      </c>
      <c r="AF3439">
        <f t="shared" si="335"/>
        <v>0</v>
      </c>
      <c r="AG3439" t="str">
        <f t="shared" si="336"/>
        <v/>
      </c>
      <c r="AH3439" t="str">
        <f t="shared" si="337"/>
        <v/>
      </c>
      <c r="AI3439">
        <f t="shared" si="338"/>
        <v>0</v>
      </c>
      <c r="AJ3439">
        <f t="shared" si="339"/>
        <v>0</v>
      </c>
      <c r="AK3439">
        <v>0</v>
      </c>
      <c r="AL3439" t="str">
        <f>IF(AA3439="","",IFERROR(IF(ISNUMBER('Procyfloc 4800'!D440),'Procyfloc 4800'!D440,IF(ISNUMBER(SEARCH("12",'Procyfloc 4800'!D440)),EDATE(AB3439,12),IF(ISNUMBER(SEARCH("6",'Procyfloc 4800'!D440)),EDATE(AB3439,6),IF(ISNUMBER(SEARCH("3",'Procyfloc 4800'!D440)),EDATE(AB3439,3),DATEVALUE('Procyfloc 4800'!D440))))),""))</f>
        <v/>
      </c>
      <c r="AM3439" t="str">
        <f t="shared" ca="1" si="340"/>
        <v/>
      </c>
    </row>
    <row r="3440" spans="27:39" x14ac:dyDescent="0.3">
      <c r="AA3440" t="str">
        <f>IF(COUNTA('Procyfloc 4800'!A441,'Procyfloc 4800'!B441,'Procyfloc 4800'!C441)&gt;0,"4800","")</f>
        <v/>
      </c>
      <c r="AB3440" t="str">
        <f>IFERROR(IF(ISNUMBER('Procyfloc 4800'!A441),'Procyfloc 4800'!A441,DATEVALUE('Procyfloc 4800'!A441)),"")</f>
        <v/>
      </c>
      <c r="AC3440" t="str">
        <f>IF(AA3440="","",'Procyfloc 4800'!B441)</f>
        <v/>
      </c>
      <c r="AD3440" t="str">
        <f>IF(AA3440="","",IFERROR(1*'Procyfloc 4800'!C441,IFERROR(_xludf.NUMBERVALUE('Procyfloc 4800'!C441,".",","),IFERROR(_xludf.NUMBERVALUE('Procyfloc 4800'!C441,",","."),0))))</f>
        <v/>
      </c>
      <c r="AE3440" t="str">
        <f>IF(AA3440="","",'Procyfloc 4800'!J441)</f>
        <v/>
      </c>
      <c r="AF3440">
        <f t="shared" si="335"/>
        <v>0</v>
      </c>
      <c r="AG3440" t="str">
        <f t="shared" si="336"/>
        <v/>
      </c>
      <c r="AH3440" t="str">
        <f t="shared" si="337"/>
        <v/>
      </c>
      <c r="AI3440">
        <f t="shared" si="338"/>
        <v>0</v>
      </c>
      <c r="AJ3440">
        <f t="shared" si="339"/>
        <v>0</v>
      </c>
      <c r="AK3440">
        <v>0</v>
      </c>
      <c r="AL3440" t="str">
        <f>IF(AA3440="","",IFERROR(IF(ISNUMBER('Procyfloc 4800'!D441),'Procyfloc 4800'!D441,IF(ISNUMBER(SEARCH("12",'Procyfloc 4800'!D441)),EDATE(AB3440,12),IF(ISNUMBER(SEARCH("6",'Procyfloc 4800'!D441)),EDATE(AB3440,6),IF(ISNUMBER(SEARCH("3",'Procyfloc 4800'!D441)),EDATE(AB3440,3),DATEVALUE('Procyfloc 4800'!D441))))),""))</f>
        <v/>
      </c>
      <c r="AM3440" t="str">
        <f t="shared" ca="1" si="340"/>
        <v/>
      </c>
    </row>
    <row r="3441" spans="27:39" x14ac:dyDescent="0.3">
      <c r="AA3441" t="str">
        <f>IF(COUNTA('Procyfloc 4800'!A442,'Procyfloc 4800'!B442,'Procyfloc 4800'!C442)&gt;0,"4800","")</f>
        <v/>
      </c>
      <c r="AB3441" t="str">
        <f>IFERROR(IF(ISNUMBER('Procyfloc 4800'!A442),'Procyfloc 4800'!A442,DATEVALUE('Procyfloc 4800'!A442)),"")</f>
        <v/>
      </c>
      <c r="AC3441" t="str">
        <f>IF(AA3441="","",'Procyfloc 4800'!B442)</f>
        <v/>
      </c>
      <c r="AD3441" t="str">
        <f>IF(AA3441="","",IFERROR(1*'Procyfloc 4800'!C442,IFERROR(_xludf.NUMBERVALUE('Procyfloc 4800'!C442,".",","),IFERROR(_xludf.NUMBERVALUE('Procyfloc 4800'!C442,",","."),0))))</f>
        <v/>
      </c>
      <c r="AE3441" t="str">
        <f>IF(AA3441="","",'Procyfloc 4800'!J442)</f>
        <v/>
      </c>
      <c r="AF3441">
        <f t="shared" si="335"/>
        <v>0</v>
      </c>
      <c r="AG3441" t="str">
        <f t="shared" si="336"/>
        <v/>
      </c>
      <c r="AH3441" t="str">
        <f t="shared" si="337"/>
        <v/>
      </c>
      <c r="AI3441">
        <f t="shared" si="338"/>
        <v>0</v>
      </c>
      <c r="AJ3441">
        <f t="shared" si="339"/>
        <v>0</v>
      </c>
      <c r="AK3441">
        <v>0</v>
      </c>
      <c r="AL3441" t="str">
        <f>IF(AA3441="","",IFERROR(IF(ISNUMBER('Procyfloc 4800'!D442),'Procyfloc 4800'!D442,IF(ISNUMBER(SEARCH("12",'Procyfloc 4800'!D442)),EDATE(AB3441,12),IF(ISNUMBER(SEARCH("6",'Procyfloc 4800'!D442)),EDATE(AB3441,6),IF(ISNUMBER(SEARCH("3",'Procyfloc 4800'!D442)),EDATE(AB3441,3),DATEVALUE('Procyfloc 4800'!D442))))),""))</f>
        <v/>
      </c>
      <c r="AM3441" t="str">
        <f t="shared" ca="1" si="340"/>
        <v/>
      </c>
    </row>
    <row r="3442" spans="27:39" x14ac:dyDescent="0.3">
      <c r="AA3442" t="str">
        <f>IF(COUNTA('Procyfloc 4800'!A443,'Procyfloc 4800'!B443,'Procyfloc 4800'!C443)&gt;0,"4800","")</f>
        <v/>
      </c>
      <c r="AB3442" t="str">
        <f>IFERROR(IF(ISNUMBER('Procyfloc 4800'!A443),'Procyfloc 4800'!A443,DATEVALUE('Procyfloc 4800'!A443)),"")</f>
        <v/>
      </c>
      <c r="AC3442" t="str">
        <f>IF(AA3442="","",'Procyfloc 4800'!B443)</f>
        <v/>
      </c>
      <c r="AD3442" t="str">
        <f>IF(AA3442="","",IFERROR(1*'Procyfloc 4800'!C443,IFERROR(_xludf.NUMBERVALUE('Procyfloc 4800'!C443,".",","),IFERROR(_xludf.NUMBERVALUE('Procyfloc 4800'!C443,",","."),0))))</f>
        <v/>
      </c>
      <c r="AE3442" t="str">
        <f>IF(AA3442="","",'Procyfloc 4800'!J443)</f>
        <v/>
      </c>
      <c r="AF3442">
        <f t="shared" si="335"/>
        <v>0</v>
      </c>
      <c r="AG3442" t="str">
        <f t="shared" si="336"/>
        <v/>
      </c>
      <c r="AH3442" t="str">
        <f t="shared" si="337"/>
        <v/>
      </c>
      <c r="AI3442">
        <f t="shared" si="338"/>
        <v>0</v>
      </c>
      <c r="AJ3442">
        <f t="shared" si="339"/>
        <v>0</v>
      </c>
      <c r="AK3442">
        <v>0</v>
      </c>
      <c r="AL3442" t="str">
        <f>IF(AA3442="","",IFERROR(IF(ISNUMBER('Procyfloc 4800'!D443),'Procyfloc 4800'!D443,IF(ISNUMBER(SEARCH("12",'Procyfloc 4800'!D443)),EDATE(AB3442,12),IF(ISNUMBER(SEARCH("6",'Procyfloc 4800'!D443)),EDATE(AB3442,6),IF(ISNUMBER(SEARCH("3",'Procyfloc 4800'!D443)),EDATE(AB3442,3),DATEVALUE('Procyfloc 4800'!D443))))),""))</f>
        <v/>
      </c>
      <c r="AM3442" t="str">
        <f t="shared" ca="1" si="340"/>
        <v/>
      </c>
    </row>
    <row r="3443" spans="27:39" x14ac:dyDescent="0.3">
      <c r="AA3443" t="str">
        <f>IF(COUNTA('Procyfloc 4800'!A444,'Procyfloc 4800'!B444,'Procyfloc 4800'!C444)&gt;0,"4800","")</f>
        <v/>
      </c>
      <c r="AB3443" t="str">
        <f>IFERROR(IF(ISNUMBER('Procyfloc 4800'!A444),'Procyfloc 4800'!A444,DATEVALUE('Procyfloc 4800'!A444)),"")</f>
        <v/>
      </c>
      <c r="AC3443" t="str">
        <f>IF(AA3443="","",'Procyfloc 4800'!B444)</f>
        <v/>
      </c>
      <c r="AD3443" t="str">
        <f>IF(AA3443="","",IFERROR(1*'Procyfloc 4800'!C444,IFERROR(_xludf.NUMBERVALUE('Procyfloc 4800'!C444,".",","),IFERROR(_xludf.NUMBERVALUE('Procyfloc 4800'!C444,",","."),0))))</f>
        <v/>
      </c>
      <c r="AE3443" t="str">
        <f>IF(AA3443="","",'Procyfloc 4800'!J444)</f>
        <v/>
      </c>
      <c r="AF3443">
        <f t="shared" si="335"/>
        <v>0</v>
      </c>
      <c r="AG3443" t="str">
        <f t="shared" si="336"/>
        <v/>
      </c>
      <c r="AH3443" t="str">
        <f t="shared" si="337"/>
        <v/>
      </c>
      <c r="AI3443">
        <f t="shared" si="338"/>
        <v>0</v>
      </c>
      <c r="AJ3443">
        <f t="shared" si="339"/>
        <v>0</v>
      </c>
      <c r="AK3443">
        <v>0</v>
      </c>
      <c r="AL3443" t="str">
        <f>IF(AA3443="","",IFERROR(IF(ISNUMBER('Procyfloc 4800'!D444),'Procyfloc 4800'!D444,IF(ISNUMBER(SEARCH("12",'Procyfloc 4800'!D444)),EDATE(AB3443,12),IF(ISNUMBER(SEARCH("6",'Procyfloc 4800'!D444)),EDATE(AB3443,6),IF(ISNUMBER(SEARCH("3",'Procyfloc 4800'!D444)),EDATE(AB3443,3),DATEVALUE('Procyfloc 4800'!D444))))),""))</f>
        <v/>
      </c>
      <c r="AM3443" t="str">
        <f t="shared" ca="1" si="340"/>
        <v/>
      </c>
    </row>
    <row r="3444" spans="27:39" x14ac:dyDescent="0.3">
      <c r="AA3444" t="str">
        <f>IF(COUNTA('Procyfloc 4800'!A445,'Procyfloc 4800'!B445,'Procyfloc 4800'!C445)&gt;0,"4800","")</f>
        <v/>
      </c>
      <c r="AB3444" t="str">
        <f>IFERROR(IF(ISNUMBER('Procyfloc 4800'!A445),'Procyfloc 4800'!A445,DATEVALUE('Procyfloc 4800'!A445)),"")</f>
        <v/>
      </c>
      <c r="AC3444" t="str">
        <f>IF(AA3444="","",'Procyfloc 4800'!B445)</f>
        <v/>
      </c>
      <c r="AD3444" t="str">
        <f>IF(AA3444="","",IFERROR(1*'Procyfloc 4800'!C445,IFERROR(_xludf.NUMBERVALUE('Procyfloc 4800'!C445,".",","),IFERROR(_xludf.NUMBERVALUE('Procyfloc 4800'!C445,",","."),0))))</f>
        <v/>
      </c>
      <c r="AE3444" t="str">
        <f>IF(AA3444="","",'Procyfloc 4800'!J445)</f>
        <v/>
      </c>
      <c r="AF3444">
        <f t="shared" si="335"/>
        <v>0</v>
      </c>
      <c r="AG3444" t="str">
        <f t="shared" si="336"/>
        <v/>
      </c>
      <c r="AH3444" t="str">
        <f t="shared" si="337"/>
        <v/>
      </c>
      <c r="AI3444">
        <f t="shared" si="338"/>
        <v>0</v>
      </c>
      <c r="AJ3444">
        <f t="shared" si="339"/>
        <v>0</v>
      </c>
      <c r="AK3444">
        <v>0</v>
      </c>
      <c r="AL3444" t="str">
        <f>IF(AA3444="","",IFERROR(IF(ISNUMBER('Procyfloc 4800'!D445),'Procyfloc 4800'!D445,IF(ISNUMBER(SEARCH("12",'Procyfloc 4800'!D445)),EDATE(AB3444,12),IF(ISNUMBER(SEARCH("6",'Procyfloc 4800'!D445)),EDATE(AB3444,6),IF(ISNUMBER(SEARCH("3",'Procyfloc 4800'!D445)),EDATE(AB3444,3),DATEVALUE('Procyfloc 4800'!D445))))),""))</f>
        <v/>
      </c>
      <c r="AM3444" t="str">
        <f t="shared" ca="1" si="340"/>
        <v/>
      </c>
    </row>
    <row r="3445" spans="27:39" x14ac:dyDescent="0.3">
      <c r="AA3445" t="str">
        <f>IF(COUNTA('Procyfloc 4800'!A446,'Procyfloc 4800'!B446,'Procyfloc 4800'!C446)&gt;0,"4800","")</f>
        <v/>
      </c>
      <c r="AB3445" t="str">
        <f>IFERROR(IF(ISNUMBER('Procyfloc 4800'!A446),'Procyfloc 4800'!A446,DATEVALUE('Procyfloc 4800'!A446)),"")</f>
        <v/>
      </c>
      <c r="AC3445" t="str">
        <f>IF(AA3445="","",'Procyfloc 4800'!B446)</f>
        <v/>
      </c>
      <c r="AD3445" t="str">
        <f>IF(AA3445="","",IFERROR(1*'Procyfloc 4800'!C446,IFERROR(_xludf.NUMBERVALUE('Procyfloc 4800'!C446,".",","),IFERROR(_xludf.NUMBERVALUE('Procyfloc 4800'!C446,",","."),0))))</f>
        <v/>
      </c>
      <c r="AE3445" t="str">
        <f>IF(AA3445="","",'Procyfloc 4800'!J446)</f>
        <v/>
      </c>
      <c r="AF3445">
        <f t="shared" si="335"/>
        <v>0</v>
      </c>
      <c r="AG3445" t="str">
        <f t="shared" si="336"/>
        <v/>
      </c>
      <c r="AH3445" t="str">
        <f t="shared" si="337"/>
        <v/>
      </c>
      <c r="AI3445">
        <f t="shared" si="338"/>
        <v>0</v>
      </c>
      <c r="AJ3445">
        <f t="shared" si="339"/>
        <v>0</v>
      </c>
      <c r="AK3445">
        <v>0</v>
      </c>
      <c r="AL3445" t="str">
        <f>IF(AA3445="","",IFERROR(IF(ISNUMBER('Procyfloc 4800'!D446),'Procyfloc 4800'!D446,IF(ISNUMBER(SEARCH("12",'Procyfloc 4800'!D446)),EDATE(AB3445,12),IF(ISNUMBER(SEARCH("6",'Procyfloc 4800'!D446)),EDATE(AB3445,6),IF(ISNUMBER(SEARCH("3",'Procyfloc 4800'!D446)),EDATE(AB3445,3),DATEVALUE('Procyfloc 4800'!D446))))),""))</f>
        <v/>
      </c>
      <c r="AM3445" t="str">
        <f t="shared" ca="1" si="340"/>
        <v/>
      </c>
    </row>
    <row r="3446" spans="27:39" x14ac:dyDescent="0.3">
      <c r="AA3446" t="str">
        <f>IF(COUNTA('Procyfloc 4800'!A447,'Procyfloc 4800'!B447,'Procyfloc 4800'!C447)&gt;0,"4800","")</f>
        <v/>
      </c>
      <c r="AB3446" t="str">
        <f>IFERROR(IF(ISNUMBER('Procyfloc 4800'!A447),'Procyfloc 4800'!A447,DATEVALUE('Procyfloc 4800'!A447)),"")</f>
        <v/>
      </c>
      <c r="AC3446" t="str">
        <f>IF(AA3446="","",'Procyfloc 4800'!B447)</f>
        <v/>
      </c>
      <c r="AD3446" t="str">
        <f>IF(AA3446="","",IFERROR(1*'Procyfloc 4800'!C447,IFERROR(_xludf.NUMBERVALUE('Procyfloc 4800'!C447,".",","),IFERROR(_xludf.NUMBERVALUE('Procyfloc 4800'!C447,",","."),0))))</f>
        <v/>
      </c>
      <c r="AE3446" t="str">
        <f>IF(AA3446="","",'Procyfloc 4800'!J447)</f>
        <v/>
      </c>
      <c r="AF3446">
        <f t="shared" si="335"/>
        <v>0</v>
      </c>
      <c r="AG3446" t="str">
        <f t="shared" si="336"/>
        <v/>
      </c>
      <c r="AH3446" t="str">
        <f t="shared" si="337"/>
        <v/>
      </c>
      <c r="AI3446">
        <f t="shared" si="338"/>
        <v>0</v>
      </c>
      <c r="AJ3446">
        <f t="shared" si="339"/>
        <v>0</v>
      </c>
      <c r="AK3446">
        <v>0</v>
      </c>
      <c r="AL3446" t="str">
        <f>IF(AA3446="","",IFERROR(IF(ISNUMBER('Procyfloc 4800'!D447),'Procyfloc 4800'!D447,IF(ISNUMBER(SEARCH("12",'Procyfloc 4800'!D447)),EDATE(AB3446,12),IF(ISNUMBER(SEARCH("6",'Procyfloc 4800'!D447)),EDATE(AB3446,6),IF(ISNUMBER(SEARCH("3",'Procyfloc 4800'!D447)),EDATE(AB3446,3),DATEVALUE('Procyfloc 4800'!D447))))),""))</f>
        <v/>
      </c>
      <c r="AM3446" t="str">
        <f t="shared" ca="1" si="340"/>
        <v/>
      </c>
    </row>
    <row r="3447" spans="27:39" x14ac:dyDescent="0.3">
      <c r="AA3447" t="str">
        <f>IF(COUNTA('Procyfloc 4800'!A448,'Procyfloc 4800'!B448,'Procyfloc 4800'!C448)&gt;0,"4800","")</f>
        <v/>
      </c>
      <c r="AB3447" t="str">
        <f>IFERROR(IF(ISNUMBER('Procyfloc 4800'!A448),'Procyfloc 4800'!A448,DATEVALUE('Procyfloc 4800'!A448)),"")</f>
        <v/>
      </c>
      <c r="AC3447" t="str">
        <f>IF(AA3447="","",'Procyfloc 4800'!B448)</f>
        <v/>
      </c>
      <c r="AD3447" t="str">
        <f>IF(AA3447="","",IFERROR(1*'Procyfloc 4800'!C448,IFERROR(_xludf.NUMBERVALUE('Procyfloc 4800'!C448,".",","),IFERROR(_xludf.NUMBERVALUE('Procyfloc 4800'!C448,",","."),0))))</f>
        <v/>
      </c>
      <c r="AE3447" t="str">
        <f>IF(AA3447="","",'Procyfloc 4800'!J448)</f>
        <v/>
      </c>
      <c r="AF3447">
        <f t="shared" si="335"/>
        <v>0</v>
      </c>
      <c r="AG3447" t="str">
        <f t="shared" si="336"/>
        <v/>
      </c>
      <c r="AH3447" t="str">
        <f t="shared" si="337"/>
        <v/>
      </c>
      <c r="AI3447">
        <f t="shared" si="338"/>
        <v>0</v>
      </c>
      <c r="AJ3447">
        <f t="shared" si="339"/>
        <v>0</v>
      </c>
      <c r="AK3447">
        <v>0</v>
      </c>
      <c r="AL3447" t="str">
        <f>IF(AA3447="","",IFERROR(IF(ISNUMBER('Procyfloc 4800'!D448),'Procyfloc 4800'!D448,IF(ISNUMBER(SEARCH("12",'Procyfloc 4800'!D448)),EDATE(AB3447,12),IF(ISNUMBER(SEARCH("6",'Procyfloc 4800'!D448)),EDATE(AB3447,6),IF(ISNUMBER(SEARCH("3",'Procyfloc 4800'!D448)),EDATE(AB3447,3),DATEVALUE('Procyfloc 4800'!D448))))),""))</f>
        <v/>
      </c>
      <c r="AM3447" t="str">
        <f t="shared" ca="1" si="340"/>
        <v/>
      </c>
    </row>
    <row r="3448" spans="27:39" x14ac:dyDescent="0.3">
      <c r="AA3448" t="str">
        <f>IF(COUNTA('Procyfloc 4800'!A449,'Procyfloc 4800'!B449,'Procyfloc 4800'!C449)&gt;0,"4800","")</f>
        <v/>
      </c>
      <c r="AB3448" t="str">
        <f>IFERROR(IF(ISNUMBER('Procyfloc 4800'!A449),'Procyfloc 4800'!A449,DATEVALUE('Procyfloc 4800'!A449)),"")</f>
        <v/>
      </c>
      <c r="AC3448" t="str">
        <f>IF(AA3448="","",'Procyfloc 4800'!B449)</f>
        <v/>
      </c>
      <c r="AD3448" t="str">
        <f>IF(AA3448="","",IFERROR(1*'Procyfloc 4800'!C449,IFERROR(_xludf.NUMBERVALUE('Procyfloc 4800'!C449,".",","),IFERROR(_xludf.NUMBERVALUE('Procyfloc 4800'!C449,",","."),0))))</f>
        <v/>
      </c>
      <c r="AE3448" t="str">
        <f>IF(AA3448="","",'Procyfloc 4800'!J449)</f>
        <v/>
      </c>
      <c r="AF3448">
        <f t="shared" si="335"/>
        <v>0</v>
      </c>
      <c r="AG3448" t="str">
        <f t="shared" si="336"/>
        <v/>
      </c>
      <c r="AH3448" t="str">
        <f t="shared" si="337"/>
        <v/>
      </c>
      <c r="AI3448">
        <f t="shared" si="338"/>
        <v>0</v>
      </c>
      <c r="AJ3448">
        <f t="shared" si="339"/>
        <v>0</v>
      </c>
      <c r="AK3448">
        <v>0</v>
      </c>
      <c r="AL3448" t="str">
        <f>IF(AA3448="","",IFERROR(IF(ISNUMBER('Procyfloc 4800'!D449),'Procyfloc 4800'!D449,IF(ISNUMBER(SEARCH("12",'Procyfloc 4800'!D449)),EDATE(AB3448,12),IF(ISNUMBER(SEARCH("6",'Procyfloc 4800'!D449)),EDATE(AB3448,6),IF(ISNUMBER(SEARCH("3",'Procyfloc 4800'!D449)),EDATE(AB3448,3),DATEVALUE('Procyfloc 4800'!D449))))),""))</f>
        <v/>
      </c>
      <c r="AM3448" t="str">
        <f t="shared" ca="1" si="340"/>
        <v/>
      </c>
    </row>
    <row r="3449" spans="27:39" x14ac:dyDescent="0.3">
      <c r="AA3449" t="str">
        <f>IF(COUNTA('Procyfloc 4800'!A450,'Procyfloc 4800'!B450,'Procyfloc 4800'!C450)&gt;0,"4800","")</f>
        <v/>
      </c>
      <c r="AB3449" t="str">
        <f>IFERROR(IF(ISNUMBER('Procyfloc 4800'!A450),'Procyfloc 4800'!A450,DATEVALUE('Procyfloc 4800'!A450)),"")</f>
        <v/>
      </c>
      <c r="AC3449" t="str">
        <f>IF(AA3449="","",'Procyfloc 4800'!B450)</f>
        <v/>
      </c>
      <c r="AD3449" t="str">
        <f>IF(AA3449="","",IFERROR(1*'Procyfloc 4800'!C450,IFERROR(_xludf.NUMBERVALUE('Procyfloc 4800'!C450,".",","),IFERROR(_xludf.NUMBERVALUE('Procyfloc 4800'!C450,",","."),0))))</f>
        <v/>
      </c>
      <c r="AE3449" t="str">
        <f>IF(AA3449="","",'Procyfloc 4800'!J450)</f>
        <v/>
      </c>
      <c r="AF3449">
        <f t="shared" si="335"/>
        <v>0</v>
      </c>
      <c r="AG3449" t="str">
        <f t="shared" si="336"/>
        <v/>
      </c>
      <c r="AH3449" t="str">
        <f t="shared" si="337"/>
        <v/>
      </c>
      <c r="AI3449">
        <f t="shared" si="338"/>
        <v>0</v>
      </c>
      <c r="AJ3449">
        <f t="shared" si="339"/>
        <v>0</v>
      </c>
      <c r="AK3449">
        <v>0</v>
      </c>
      <c r="AL3449" t="str">
        <f>IF(AA3449="","",IFERROR(IF(ISNUMBER('Procyfloc 4800'!D450),'Procyfloc 4800'!D450,IF(ISNUMBER(SEARCH("12",'Procyfloc 4800'!D450)),EDATE(AB3449,12),IF(ISNUMBER(SEARCH("6",'Procyfloc 4800'!D450)),EDATE(AB3449,6),IF(ISNUMBER(SEARCH("3",'Procyfloc 4800'!D450)),EDATE(AB3449,3),DATEVALUE('Procyfloc 4800'!D450))))),""))</f>
        <v/>
      </c>
      <c r="AM3449" t="str">
        <f t="shared" ca="1" si="340"/>
        <v/>
      </c>
    </row>
    <row r="3450" spans="27:39" x14ac:dyDescent="0.3">
      <c r="AA3450" t="str">
        <f>IF(COUNTA('Procyfloc 4800'!A451,'Procyfloc 4800'!B451,'Procyfloc 4800'!C451)&gt;0,"4800","")</f>
        <v/>
      </c>
      <c r="AB3450" t="str">
        <f>IFERROR(IF(ISNUMBER('Procyfloc 4800'!A451),'Procyfloc 4800'!A451,DATEVALUE('Procyfloc 4800'!A451)),"")</f>
        <v/>
      </c>
      <c r="AC3450" t="str">
        <f>IF(AA3450="","",'Procyfloc 4800'!B451)</f>
        <v/>
      </c>
      <c r="AD3450" t="str">
        <f>IF(AA3450="","",IFERROR(1*'Procyfloc 4800'!C451,IFERROR(_xludf.NUMBERVALUE('Procyfloc 4800'!C451,".",","),IFERROR(_xludf.NUMBERVALUE('Procyfloc 4800'!C451,",","."),0))))</f>
        <v/>
      </c>
      <c r="AE3450" t="str">
        <f>IF(AA3450="","",'Procyfloc 4800'!J451)</f>
        <v/>
      </c>
      <c r="AF3450">
        <f t="shared" si="335"/>
        <v>0</v>
      </c>
      <c r="AG3450" t="str">
        <f t="shared" si="336"/>
        <v/>
      </c>
      <c r="AH3450" t="str">
        <f t="shared" si="337"/>
        <v/>
      </c>
      <c r="AI3450">
        <f t="shared" si="338"/>
        <v>0</v>
      </c>
      <c r="AJ3450">
        <f t="shared" si="339"/>
        <v>0</v>
      </c>
      <c r="AK3450">
        <v>0</v>
      </c>
      <c r="AL3450" t="str">
        <f>IF(AA3450="","",IFERROR(IF(ISNUMBER('Procyfloc 4800'!D451),'Procyfloc 4800'!D451,IF(ISNUMBER(SEARCH("12",'Procyfloc 4800'!D451)),EDATE(AB3450,12),IF(ISNUMBER(SEARCH("6",'Procyfloc 4800'!D451)),EDATE(AB3450,6),IF(ISNUMBER(SEARCH("3",'Procyfloc 4800'!D451)),EDATE(AB3450,3),DATEVALUE('Procyfloc 4800'!D451))))),""))</f>
        <v/>
      </c>
      <c r="AM3450" t="str">
        <f t="shared" ca="1" si="340"/>
        <v/>
      </c>
    </row>
    <row r="3451" spans="27:39" x14ac:dyDescent="0.3">
      <c r="AA3451" t="str">
        <f>IF(COUNTA('Procyfloc 4800'!A452,'Procyfloc 4800'!B452,'Procyfloc 4800'!C452)&gt;0,"4800","")</f>
        <v/>
      </c>
      <c r="AB3451" t="str">
        <f>IFERROR(IF(ISNUMBER('Procyfloc 4800'!A452),'Procyfloc 4800'!A452,DATEVALUE('Procyfloc 4800'!A452)),"")</f>
        <v/>
      </c>
      <c r="AC3451" t="str">
        <f>IF(AA3451="","",'Procyfloc 4800'!B452)</f>
        <v/>
      </c>
      <c r="AD3451" t="str">
        <f>IF(AA3451="","",IFERROR(1*'Procyfloc 4800'!C452,IFERROR(_xludf.NUMBERVALUE('Procyfloc 4800'!C452,".",","),IFERROR(_xludf.NUMBERVALUE('Procyfloc 4800'!C452,",","."),0))))</f>
        <v/>
      </c>
      <c r="AE3451" t="str">
        <f>IF(AA3451="","",'Procyfloc 4800'!J452)</f>
        <v/>
      </c>
      <c r="AF3451">
        <f t="shared" si="335"/>
        <v>0</v>
      </c>
      <c r="AG3451" t="str">
        <f t="shared" si="336"/>
        <v/>
      </c>
      <c r="AH3451" t="str">
        <f t="shared" si="337"/>
        <v/>
      </c>
      <c r="AI3451">
        <f t="shared" si="338"/>
        <v>0</v>
      </c>
      <c r="AJ3451">
        <f t="shared" si="339"/>
        <v>0</v>
      </c>
      <c r="AK3451">
        <v>0</v>
      </c>
      <c r="AL3451" t="str">
        <f>IF(AA3451="","",IFERROR(IF(ISNUMBER('Procyfloc 4800'!D452),'Procyfloc 4800'!D452,IF(ISNUMBER(SEARCH("12",'Procyfloc 4800'!D452)),EDATE(AB3451,12),IF(ISNUMBER(SEARCH("6",'Procyfloc 4800'!D452)),EDATE(AB3451,6),IF(ISNUMBER(SEARCH("3",'Procyfloc 4800'!D452)),EDATE(AB3451,3),DATEVALUE('Procyfloc 4800'!D452))))),""))</f>
        <v/>
      </c>
      <c r="AM3451" t="str">
        <f t="shared" ca="1" si="340"/>
        <v/>
      </c>
    </row>
    <row r="3452" spans="27:39" x14ac:dyDescent="0.3">
      <c r="AA3452" t="str">
        <f>IF(COUNTA('Procyfloc 4800'!A453,'Procyfloc 4800'!B453,'Procyfloc 4800'!C453)&gt;0,"4800","")</f>
        <v/>
      </c>
      <c r="AB3452" t="str">
        <f>IFERROR(IF(ISNUMBER('Procyfloc 4800'!A453),'Procyfloc 4800'!A453,DATEVALUE('Procyfloc 4800'!A453)),"")</f>
        <v/>
      </c>
      <c r="AC3452" t="str">
        <f>IF(AA3452="","",'Procyfloc 4800'!B453)</f>
        <v/>
      </c>
      <c r="AD3452" t="str">
        <f>IF(AA3452="","",IFERROR(1*'Procyfloc 4800'!C453,IFERROR(_xludf.NUMBERVALUE('Procyfloc 4800'!C453,".",","),IFERROR(_xludf.NUMBERVALUE('Procyfloc 4800'!C453,",","."),0))))</f>
        <v/>
      </c>
      <c r="AE3452" t="str">
        <f>IF(AA3452="","",'Procyfloc 4800'!J453)</f>
        <v/>
      </c>
      <c r="AF3452">
        <f t="shared" si="335"/>
        <v>0</v>
      </c>
      <c r="AG3452" t="str">
        <f t="shared" si="336"/>
        <v/>
      </c>
      <c r="AH3452" t="str">
        <f t="shared" si="337"/>
        <v/>
      </c>
      <c r="AI3452">
        <f t="shared" si="338"/>
        <v>0</v>
      </c>
      <c r="AJ3452">
        <f t="shared" si="339"/>
        <v>0</v>
      </c>
      <c r="AK3452">
        <v>0</v>
      </c>
      <c r="AL3452" t="str">
        <f>IF(AA3452="","",IFERROR(IF(ISNUMBER('Procyfloc 4800'!D453),'Procyfloc 4800'!D453,IF(ISNUMBER(SEARCH("12",'Procyfloc 4800'!D453)),EDATE(AB3452,12),IF(ISNUMBER(SEARCH("6",'Procyfloc 4800'!D453)),EDATE(AB3452,6),IF(ISNUMBER(SEARCH("3",'Procyfloc 4800'!D453)),EDATE(AB3452,3),DATEVALUE('Procyfloc 4800'!D453))))),""))</f>
        <v/>
      </c>
      <c r="AM3452" t="str">
        <f t="shared" ca="1" si="340"/>
        <v/>
      </c>
    </row>
    <row r="3453" spans="27:39" x14ac:dyDescent="0.3">
      <c r="AA3453" t="str">
        <f>IF(COUNTA('Procyfloc 4800'!A454,'Procyfloc 4800'!B454,'Procyfloc 4800'!C454)&gt;0,"4800","")</f>
        <v/>
      </c>
      <c r="AB3453" t="str">
        <f>IFERROR(IF(ISNUMBER('Procyfloc 4800'!A454),'Procyfloc 4800'!A454,DATEVALUE('Procyfloc 4800'!A454)),"")</f>
        <v/>
      </c>
      <c r="AC3453" t="str">
        <f>IF(AA3453="","",'Procyfloc 4800'!B454)</f>
        <v/>
      </c>
      <c r="AD3453" t="str">
        <f>IF(AA3453="","",IFERROR(1*'Procyfloc 4800'!C454,IFERROR(_xludf.NUMBERVALUE('Procyfloc 4800'!C454,".",","),IFERROR(_xludf.NUMBERVALUE('Procyfloc 4800'!C454,",","."),0))))</f>
        <v/>
      </c>
      <c r="AE3453" t="str">
        <f>IF(AA3453="","",'Procyfloc 4800'!J454)</f>
        <v/>
      </c>
      <c r="AF3453">
        <f t="shared" si="335"/>
        <v>0</v>
      </c>
      <c r="AG3453" t="str">
        <f t="shared" si="336"/>
        <v/>
      </c>
      <c r="AH3453" t="str">
        <f t="shared" si="337"/>
        <v/>
      </c>
      <c r="AI3453">
        <f t="shared" si="338"/>
        <v>0</v>
      </c>
      <c r="AJ3453">
        <f t="shared" si="339"/>
        <v>0</v>
      </c>
      <c r="AK3453">
        <v>0</v>
      </c>
      <c r="AL3453" t="str">
        <f>IF(AA3453="","",IFERROR(IF(ISNUMBER('Procyfloc 4800'!D454),'Procyfloc 4800'!D454,IF(ISNUMBER(SEARCH("12",'Procyfloc 4800'!D454)),EDATE(AB3453,12),IF(ISNUMBER(SEARCH("6",'Procyfloc 4800'!D454)),EDATE(AB3453,6),IF(ISNUMBER(SEARCH("3",'Procyfloc 4800'!D454)),EDATE(AB3453,3),DATEVALUE('Procyfloc 4800'!D454))))),""))</f>
        <v/>
      </c>
      <c r="AM3453" t="str">
        <f t="shared" ca="1" si="340"/>
        <v/>
      </c>
    </row>
    <row r="3454" spans="27:39" x14ac:dyDescent="0.3">
      <c r="AA3454" t="str">
        <f>IF(COUNTA('Procyfloc 4800'!A455,'Procyfloc 4800'!B455,'Procyfloc 4800'!C455)&gt;0,"4800","")</f>
        <v/>
      </c>
      <c r="AB3454" t="str">
        <f>IFERROR(IF(ISNUMBER('Procyfloc 4800'!A455),'Procyfloc 4800'!A455,DATEVALUE('Procyfloc 4800'!A455)),"")</f>
        <v/>
      </c>
      <c r="AC3454" t="str">
        <f>IF(AA3454="","",'Procyfloc 4800'!B455)</f>
        <v/>
      </c>
      <c r="AD3454" t="str">
        <f>IF(AA3454="","",IFERROR(1*'Procyfloc 4800'!C455,IFERROR(_xludf.NUMBERVALUE('Procyfloc 4800'!C455,".",","),IFERROR(_xludf.NUMBERVALUE('Procyfloc 4800'!C455,",","."),0))))</f>
        <v/>
      </c>
      <c r="AE3454" t="str">
        <f>IF(AA3454="","",'Procyfloc 4800'!J455)</f>
        <v/>
      </c>
      <c r="AF3454">
        <f t="shared" si="335"/>
        <v>0</v>
      </c>
      <c r="AG3454" t="str">
        <f t="shared" si="336"/>
        <v/>
      </c>
      <c r="AH3454" t="str">
        <f t="shared" si="337"/>
        <v/>
      </c>
      <c r="AI3454">
        <f t="shared" si="338"/>
        <v>0</v>
      </c>
      <c r="AJ3454">
        <f t="shared" si="339"/>
        <v>0</v>
      </c>
      <c r="AK3454">
        <v>0</v>
      </c>
      <c r="AL3454" t="str">
        <f>IF(AA3454="","",IFERROR(IF(ISNUMBER('Procyfloc 4800'!D455),'Procyfloc 4800'!D455,IF(ISNUMBER(SEARCH("12",'Procyfloc 4800'!D455)),EDATE(AB3454,12),IF(ISNUMBER(SEARCH("6",'Procyfloc 4800'!D455)),EDATE(AB3454,6),IF(ISNUMBER(SEARCH("3",'Procyfloc 4800'!D455)),EDATE(AB3454,3),DATEVALUE('Procyfloc 4800'!D455))))),""))</f>
        <v/>
      </c>
      <c r="AM3454" t="str">
        <f t="shared" ca="1" si="340"/>
        <v/>
      </c>
    </row>
    <row r="3455" spans="27:39" x14ac:dyDescent="0.3">
      <c r="AA3455" t="str">
        <f>IF(COUNTA('Procyfloc 4800'!A456,'Procyfloc 4800'!B456,'Procyfloc 4800'!C456)&gt;0,"4800","")</f>
        <v/>
      </c>
      <c r="AB3455" t="str">
        <f>IFERROR(IF(ISNUMBER('Procyfloc 4800'!A456),'Procyfloc 4800'!A456,DATEVALUE('Procyfloc 4800'!A456)),"")</f>
        <v/>
      </c>
      <c r="AC3455" t="str">
        <f>IF(AA3455="","",'Procyfloc 4800'!B456)</f>
        <v/>
      </c>
      <c r="AD3455" t="str">
        <f>IF(AA3455="","",IFERROR(1*'Procyfloc 4800'!C456,IFERROR(_xludf.NUMBERVALUE('Procyfloc 4800'!C456,".",","),IFERROR(_xludf.NUMBERVALUE('Procyfloc 4800'!C456,",","."),0))))</f>
        <v/>
      </c>
      <c r="AE3455" t="str">
        <f>IF(AA3455="","",'Procyfloc 4800'!J456)</f>
        <v/>
      </c>
      <c r="AF3455">
        <f t="shared" si="335"/>
        <v>0</v>
      </c>
      <c r="AG3455" t="str">
        <f t="shared" si="336"/>
        <v/>
      </c>
      <c r="AH3455" t="str">
        <f t="shared" si="337"/>
        <v/>
      </c>
      <c r="AI3455">
        <f t="shared" si="338"/>
        <v>0</v>
      </c>
      <c r="AJ3455">
        <f t="shared" si="339"/>
        <v>0</v>
      </c>
      <c r="AK3455">
        <v>0</v>
      </c>
      <c r="AL3455" t="str">
        <f>IF(AA3455="","",IFERROR(IF(ISNUMBER('Procyfloc 4800'!D456),'Procyfloc 4800'!D456,IF(ISNUMBER(SEARCH("12",'Procyfloc 4800'!D456)),EDATE(AB3455,12),IF(ISNUMBER(SEARCH("6",'Procyfloc 4800'!D456)),EDATE(AB3455,6),IF(ISNUMBER(SEARCH("3",'Procyfloc 4800'!D456)),EDATE(AB3455,3),DATEVALUE('Procyfloc 4800'!D456))))),""))</f>
        <v/>
      </c>
      <c r="AM3455" t="str">
        <f t="shared" ca="1" si="340"/>
        <v/>
      </c>
    </row>
    <row r="3456" spans="27:39" x14ac:dyDescent="0.3">
      <c r="AA3456" t="str">
        <f>IF(COUNTA('Procyfloc 4800'!A457,'Procyfloc 4800'!B457,'Procyfloc 4800'!C457)&gt;0,"4800","")</f>
        <v/>
      </c>
      <c r="AB3456" t="str">
        <f>IFERROR(IF(ISNUMBER('Procyfloc 4800'!A457),'Procyfloc 4800'!A457,DATEVALUE('Procyfloc 4800'!A457)),"")</f>
        <v/>
      </c>
      <c r="AC3456" t="str">
        <f>IF(AA3456="","",'Procyfloc 4800'!B457)</f>
        <v/>
      </c>
      <c r="AD3456" t="str">
        <f>IF(AA3456="","",IFERROR(1*'Procyfloc 4800'!C457,IFERROR(_xludf.NUMBERVALUE('Procyfloc 4800'!C457,".",","),IFERROR(_xludf.NUMBERVALUE('Procyfloc 4800'!C457,",","."),0))))</f>
        <v/>
      </c>
      <c r="AE3456" t="str">
        <f>IF(AA3456="","",'Procyfloc 4800'!J457)</f>
        <v/>
      </c>
      <c r="AF3456">
        <f t="shared" si="335"/>
        <v>0</v>
      </c>
      <c r="AG3456" t="str">
        <f t="shared" si="336"/>
        <v/>
      </c>
      <c r="AH3456" t="str">
        <f t="shared" si="337"/>
        <v/>
      </c>
      <c r="AI3456">
        <f t="shared" si="338"/>
        <v>0</v>
      </c>
      <c r="AJ3456">
        <f t="shared" si="339"/>
        <v>0</v>
      </c>
      <c r="AK3456">
        <v>0</v>
      </c>
      <c r="AL3456" t="str">
        <f>IF(AA3456="","",IFERROR(IF(ISNUMBER('Procyfloc 4800'!D457),'Procyfloc 4800'!D457,IF(ISNUMBER(SEARCH("12",'Procyfloc 4800'!D457)),EDATE(AB3456,12),IF(ISNUMBER(SEARCH("6",'Procyfloc 4800'!D457)),EDATE(AB3456,6),IF(ISNUMBER(SEARCH("3",'Procyfloc 4800'!D457)),EDATE(AB3456,3),DATEVALUE('Procyfloc 4800'!D457))))),""))</f>
        <v/>
      </c>
      <c r="AM3456" t="str">
        <f t="shared" ca="1" si="340"/>
        <v/>
      </c>
    </row>
    <row r="3457" spans="27:39" x14ac:dyDescent="0.3">
      <c r="AA3457" t="str">
        <f>IF(COUNTA('Procyfloc 4800'!A458,'Procyfloc 4800'!B458,'Procyfloc 4800'!C458)&gt;0,"4800","")</f>
        <v/>
      </c>
      <c r="AB3457" t="str">
        <f>IFERROR(IF(ISNUMBER('Procyfloc 4800'!A458),'Procyfloc 4800'!A458,DATEVALUE('Procyfloc 4800'!A458)),"")</f>
        <v/>
      </c>
      <c r="AC3457" t="str">
        <f>IF(AA3457="","",'Procyfloc 4800'!B458)</f>
        <v/>
      </c>
      <c r="AD3457" t="str">
        <f>IF(AA3457="","",IFERROR(1*'Procyfloc 4800'!C458,IFERROR(_xludf.NUMBERVALUE('Procyfloc 4800'!C458,".",","),IFERROR(_xludf.NUMBERVALUE('Procyfloc 4800'!C458,",","."),0))))</f>
        <v/>
      </c>
      <c r="AE3457" t="str">
        <f>IF(AA3457="","",'Procyfloc 4800'!J458)</f>
        <v/>
      </c>
      <c r="AF3457">
        <f t="shared" si="335"/>
        <v>0</v>
      </c>
      <c r="AG3457" t="str">
        <f t="shared" si="336"/>
        <v/>
      </c>
      <c r="AH3457" t="str">
        <f t="shared" si="337"/>
        <v/>
      </c>
      <c r="AI3457">
        <f t="shared" si="338"/>
        <v>0</v>
      </c>
      <c r="AJ3457">
        <f t="shared" si="339"/>
        <v>0</v>
      </c>
      <c r="AK3457">
        <v>0</v>
      </c>
      <c r="AL3457" t="str">
        <f>IF(AA3457="","",IFERROR(IF(ISNUMBER('Procyfloc 4800'!D458),'Procyfloc 4800'!D458,IF(ISNUMBER(SEARCH("12",'Procyfloc 4800'!D458)),EDATE(AB3457,12),IF(ISNUMBER(SEARCH("6",'Procyfloc 4800'!D458)),EDATE(AB3457,6),IF(ISNUMBER(SEARCH("3",'Procyfloc 4800'!D458)),EDATE(AB3457,3),DATEVALUE('Procyfloc 4800'!D458))))),""))</f>
        <v/>
      </c>
      <c r="AM3457" t="str">
        <f t="shared" ca="1" si="340"/>
        <v/>
      </c>
    </row>
    <row r="3458" spans="27:39" x14ac:dyDescent="0.3">
      <c r="AA3458" t="str">
        <f>IF(COUNTA('Procyfloc 4800'!A459,'Procyfloc 4800'!B459,'Procyfloc 4800'!C459)&gt;0,"4800","")</f>
        <v/>
      </c>
      <c r="AB3458" t="str">
        <f>IFERROR(IF(ISNUMBER('Procyfloc 4800'!A459),'Procyfloc 4800'!A459,DATEVALUE('Procyfloc 4800'!A459)),"")</f>
        <v/>
      </c>
      <c r="AC3458" t="str">
        <f>IF(AA3458="","",'Procyfloc 4800'!B459)</f>
        <v/>
      </c>
      <c r="AD3458" t="str">
        <f>IF(AA3458="","",IFERROR(1*'Procyfloc 4800'!C459,IFERROR(_xludf.NUMBERVALUE('Procyfloc 4800'!C459,".",","),IFERROR(_xludf.NUMBERVALUE('Procyfloc 4800'!C459,",","."),0))))</f>
        <v/>
      </c>
      <c r="AE3458" t="str">
        <f>IF(AA3458="","",'Procyfloc 4800'!J459)</f>
        <v/>
      </c>
      <c r="AF3458">
        <f t="shared" ref="AF3458:AF3521" si="341">IF(AA3458="",0,--AND(ISNUMBER(SEARCH("aprov",AE3458)),NOT(ISNUMBER(SEARCH("reprov",AE3458)))))</f>
        <v>0</v>
      </c>
      <c r="AG3458" t="str">
        <f t="shared" ref="AG3458:AG3521" si="342">IF(AB3458="","",YEAR(AB3458))</f>
        <v/>
      </c>
      <c r="AH3458" t="str">
        <f t="shared" ref="AH3458:AH3521" si="343">IF(AB3458="","",MONTH(AB3458))</f>
        <v/>
      </c>
      <c r="AI3458">
        <f t="shared" ref="AI3458:AI3521" si="344">IF(AB3458="",0,AB3458+ROW()/1000000)</f>
        <v>0</v>
      </c>
      <c r="AJ3458">
        <f t="shared" ref="AJ3458:AJ3521" si="345">--(AA3458&lt;&gt;"")</f>
        <v>0</v>
      </c>
      <c r="AK3458">
        <v>0</v>
      </c>
      <c r="AL3458" t="str">
        <f>IF(AA3458="","",IFERROR(IF(ISNUMBER('Procyfloc 4800'!D459),'Procyfloc 4800'!D459,IF(ISNUMBER(SEARCH("12",'Procyfloc 4800'!D459)),EDATE(AB3458,12),IF(ISNUMBER(SEARCH("6",'Procyfloc 4800'!D459)),EDATE(AB3458,6),IF(ISNUMBER(SEARCH("3",'Procyfloc 4800'!D459)),EDATE(AB3458,3),DATEVALUE('Procyfloc 4800'!D459))))),""))</f>
        <v/>
      </c>
      <c r="AM3458" t="str">
        <f t="shared" ref="AM3458:AM3521" ca="1" si="346">IF(AND(AJ3458=1,AL3458&lt;&gt;"",AL3458&gt;=TODAY(),AG3458=$W$3),AL3458+ROW()/1000000,"")</f>
        <v/>
      </c>
    </row>
    <row r="3459" spans="27:39" x14ac:dyDescent="0.3">
      <c r="AA3459" t="str">
        <f>IF(COUNTA('Procyfloc 4800'!A460,'Procyfloc 4800'!B460,'Procyfloc 4800'!C460)&gt;0,"4800","")</f>
        <v/>
      </c>
      <c r="AB3459" t="str">
        <f>IFERROR(IF(ISNUMBER('Procyfloc 4800'!A460),'Procyfloc 4800'!A460,DATEVALUE('Procyfloc 4800'!A460)),"")</f>
        <v/>
      </c>
      <c r="AC3459" t="str">
        <f>IF(AA3459="","",'Procyfloc 4800'!B460)</f>
        <v/>
      </c>
      <c r="AD3459" t="str">
        <f>IF(AA3459="","",IFERROR(1*'Procyfloc 4800'!C460,IFERROR(_xludf.NUMBERVALUE('Procyfloc 4800'!C460,".",","),IFERROR(_xludf.NUMBERVALUE('Procyfloc 4800'!C460,",","."),0))))</f>
        <v/>
      </c>
      <c r="AE3459" t="str">
        <f>IF(AA3459="","",'Procyfloc 4800'!J460)</f>
        <v/>
      </c>
      <c r="AF3459">
        <f t="shared" si="341"/>
        <v>0</v>
      </c>
      <c r="AG3459" t="str">
        <f t="shared" si="342"/>
        <v/>
      </c>
      <c r="AH3459" t="str">
        <f t="shared" si="343"/>
        <v/>
      </c>
      <c r="AI3459">
        <f t="shared" si="344"/>
        <v>0</v>
      </c>
      <c r="AJ3459">
        <f t="shared" si="345"/>
        <v>0</v>
      </c>
      <c r="AK3459">
        <v>0</v>
      </c>
      <c r="AL3459" t="str">
        <f>IF(AA3459="","",IFERROR(IF(ISNUMBER('Procyfloc 4800'!D460),'Procyfloc 4800'!D460,IF(ISNUMBER(SEARCH("12",'Procyfloc 4800'!D460)),EDATE(AB3459,12),IF(ISNUMBER(SEARCH("6",'Procyfloc 4800'!D460)),EDATE(AB3459,6),IF(ISNUMBER(SEARCH("3",'Procyfloc 4800'!D460)),EDATE(AB3459,3),DATEVALUE('Procyfloc 4800'!D460))))),""))</f>
        <v/>
      </c>
      <c r="AM3459" t="str">
        <f t="shared" ca="1" si="346"/>
        <v/>
      </c>
    </row>
    <row r="3460" spans="27:39" x14ac:dyDescent="0.3">
      <c r="AA3460" t="str">
        <f>IF(COUNTA('Procyfloc 4800'!A461,'Procyfloc 4800'!B461,'Procyfloc 4800'!C461)&gt;0,"4800","")</f>
        <v/>
      </c>
      <c r="AB3460" t="str">
        <f>IFERROR(IF(ISNUMBER('Procyfloc 4800'!A461),'Procyfloc 4800'!A461,DATEVALUE('Procyfloc 4800'!A461)),"")</f>
        <v/>
      </c>
      <c r="AC3460" t="str">
        <f>IF(AA3460="","",'Procyfloc 4800'!B461)</f>
        <v/>
      </c>
      <c r="AD3460" t="str">
        <f>IF(AA3460="","",IFERROR(1*'Procyfloc 4800'!C461,IFERROR(_xludf.NUMBERVALUE('Procyfloc 4800'!C461,".",","),IFERROR(_xludf.NUMBERVALUE('Procyfloc 4800'!C461,",","."),0))))</f>
        <v/>
      </c>
      <c r="AE3460" t="str">
        <f>IF(AA3460="","",'Procyfloc 4800'!J461)</f>
        <v/>
      </c>
      <c r="AF3460">
        <f t="shared" si="341"/>
        <v>0</v>
      </c>
      <c r="AG3460" t="str">
        <f t="shared" si="342"/>
        <v/>
      </c>
      <c r="AH3460" t="str">
        <f t="shared" si="343"/>
        <v/>
      </c>
      <c r="AI3460">
        <f t="shared" si="344"/>
        <v>0</v>
      </c>
      <c r="AJ3460">
        <f t="shared" si="345"/>
        <v>0</v>
      </c>
      <c r="AK3460">
        <v>0</v>
      </c>
      <c r="AL3460" t="str">
        <f>IF(AA3460="","",IFERROR(IF(ISNUMBER('Procyfloc 4800'!D461),'Procyfloc 4800'!D461,IF(ISNUMBER(SEARCH("12",'Procyfloc 4800'!D461)),EDATE(AB3460,12),IF(ISNUMBER(SEARCH("6",'Procyfloc 4800'!D461)),EDATE(AB3460,6),IF(ISNUMBER(SEARCH("3",'Procyfloc 4800'!D461)),EDATE(AB3460,3),DATEVALUE('Procyfloc 4800'!D461))))),""))</f>
        <v/>
      </c>
      <c r="AM3460" t="str">
        <f t="shared" ca="1" si="346"/>
        <v/>
      </c>
    </row>
    <row r="3461" spans="27:39" x14ac:dyDescent="0.3">
      <c r="AA3461" t="str">
        <f>IF(COUNTA('Procyfloc 4800'!A462,'Procyfloc 4800'!B462,'Procyfloc 4800'!C462)&gt;0,"4800","")</f>
        <v/>
      </c>
      <c r="AB3461" t="str">
        <f>IFERROR(IF(ISNUMBER('Procyfloc 4800'!A462),'Procyfloc 4800'!A462,DATEVALUE('Procyfloc 4800'!A462)),"")</f>
        <v/>
      </c>
      <c r="AC3461" t="str">
        <f>IF(AA3461="","",'Procyfloc 4800'!B462)</f>
        <v/>
      </c>
      <c r="AD3461" t="str">
        <f>IF(AA3461="","",IFERROR(1*'Procyfloc 4800'!C462,IFERROR(_xludf.NUMBERVALUE('Procyfloc 4800'!C462,".",","),IFERROR(_xludf.NUMBERVALUE('Procyfloc 4800'!C462,",","."),0))))</f>
        <v/>
      </c>
      <c r="AE3461" t="str">
        <f>IF(AA3461="","",'Procyfloc 4800'!J462)</f>
        <v/>
      </c>
      <c r="AF3461">
        <f t="shared" si="341"/>
        <v>0</v>
      </c>
      <c r="AG3461" t="str">
        <f t="shared" si="342"/>
        <v/>
      </c>
      <c r="AH3461" t="str">
        <f t="shared" si="343"/>
        <v/>
      </c>
      <c r="AI3461">
        <f t="shared" si="344"/>
        <v>0</v>
      </c>
      <c r="AJ3461">
        <f t="shared" si="345"/>
        <v>0</v>
      </c>
      <c r="AK3461">
        <v>0</v>
      </c>
      <c r="AL3461" t="str">
        <f>IF(AA3461="","",IFERROR(IF(ISNUMBER('Procyfloc 4800'!D462),'Procyfloc 4800'!D462,IF(ISNUMBER(SEARCH("12",'Procyfloc 4800'!D462)),EDATE(AB3461,12),IF(ISNUMBER(SEARCH("6",'Procyfloc 4800'!D462)),EDATE(AB3461,6),IF(ISNUMBER(SEARCH("3",'Procyfloc 4800'!D462)),EDATE(AB3461,3),DATEVALUE('Procyfloc 4800'!D462))))),""))</f>
        <v/>
      </c>
      <c r="AM3461" t="str">
        <f t="shared" ca="1" si="346"/>
        <v/>
      </c>
    </row>
    <row r="3462" spans="27:39" x14ac:dyDescent="0.3">
      <c r="AA3462" t="str">
        <f>IF(COUNTA('Procyfloc 4800'!A463,'Procyfloc 4800'!B463,'Procyfloc 4800'!C463)&gt;0,"4800","")</f>
        <v/>
      </c>
      <c r="AB3462" t="str">
        <f>IFERROR(IF(ISNUMBER('Procyfloc 4800'!A463),'Procyfloc 4800'!A463,DATEVALUE('Procyfloc 4800'!A463)),"")</f>
        <v/>
      </c>
      <c r="AC3462" t="str">
        <f>IF(AA3462="","",'Procyfloc 4800'!B463)</f>
        <v/>
      </c>
      <c r="AD3462" t="str">
        <f>IF(AA3462="","",IFERROR(1*'Procyfloc 4800'!C463,IFERROR(_xludf.NUMBERVALUE('Procyfloc 4800'!C463,".",","),IFERROR(_xludf.NUMBERVALUE('Procyfloc 4800'!C463,",","."),0))))</f>
        <v/>
      </c>
      <c r="AE3462" t="str">
        <f>IF(AA3462="","",'Procyfloc 4800'!J463)</f>
        <v/>
      </c>
      <c r="AF3462">
        <f t="shared" si="341"/>
        <v>0</v>
      </c>
      <c r="AG3462" t="str">
        <f t="shared" si="342"/>
        <v/>
      </c>
      <c r="AH3462" t="str">
        <f t="shared" si="343"/>
        <v/>
      </c>
      <c r="AI3462">
        <f t="shared" si="344"/>
        <v>0</v>
      </c>
      <c r="AJ3462">
        <f t="shared" si="345"/>
        <v>0</v>
      </c>
      <c r="AK3462">
        <v>0</v>
      </c>
      <c r="AL3462" t="str">
        <f>IF(AA3462="","",IFERROR(IF(ISNUMBER('Procyfloc 4800'!D463),'Procyfloc 4800'!D463,IF(ISNUMBER(SEARCH("12",'Procyfloc 4800'!D463)),EDATE(AB3462,12),IF(ISNUMBER(SEARCH("6",'Procyfloc 4800'!D463)),EDATE(AB3462,6),IF(ISNUMBER(SEARCH("3",'Procyfloc 4800'!D463)),EDATE(AB3462,3),DATEVALUE('Procyfloc 4800'!D463))))),""))</f>
        <v/>
      </c>
      <c r="AM3462" t="str">
        <f t="shared" ca="1" si="346"/>
        <v/>
      </c>
    </row>
    <row r="3463" spans="27:39" x14ac:dyDescent="0.3">
      <c r="AA3463" t="str">
        <f>IF(COUNTA('Procyfloc 4800'!A464,'Procyfloc 4800'!B464,'Procyfloc 4800'!C464)&gt;0,"4800","")</f>
        <v/>
      </c>
      <c r="AB3463" t="str">
        <f>IFERROR(IF(ISNUMBER('Procyfloc 4800'!A464),'Procyfloc 4800'!A464,DATEVALUE('Procyfloc 4800'!A464)),"")</f>
        <v/>
      </c>
      <c r="AC3463" t="str">
        <f>IF(AA3463="","",'Procyfloc 4800'!B464)</f>
        <v/>
      </c>
      <c r="AD3463" t="str">
        <f>IF(AA3463="","",IFERROR(1*'Procyfloc 4800'!C464,IFERROR(_xludf.NUMBERVALUE('Procyfloc 4800'!C464,".",","),IFERROR(_xludf.NUMBERVALUE('Procyfloc 4800'!C464,",","."),0))))</f>
        <v/>
      </c>
      <c r="AE3463" t="str">
        <f>IF(AA3463="","",'Procyfloc 4800'!J464)</f>
        <v/>
      </c>
      <c r="AF3463">
        <f t="shared" si="341"/>
        <v>0</v>
      </c>
      <c r="AG3463" t="str">
        <f t="shared" si="342"/>
        <v/>
      </c>
      <c r="AH3463" t="str">
        <f t="shared" si="343"/>
        <v/>
      </c>
      <c r="AI3463">
        <f t="shared" si="344"/>
        <v>0</v>
      </c>
      <c r="AJ3463">
        <f t="shared" si="345"/>
        <v>0</v>
      </c>
      <c r="AK3463">
        <v>0</v>
      </c>
      <c r="AL3463" t="str">
        <f>IF(AA3463="","",IFERROR(IF(ISNUMBER('Procyfloc 4800'!D464),'Procyfloc 4800'!D464,IF(ISNUMBER(SEARCH("12",'Procyfloc 4800'!D464)),EDATE(AB3463,12),IF(ISNUMBER(SEARCH("6",'Procyfloc 4800'!D464)),EDATE(AB3463,6),IF(ISNUMBER(SEARCH("3",'Procyfloc 4800'!D464)),EDATE(AB3463,3),DATEVALUE('Procyfloc 4800'!D464))))),""))</f>
        <v/>
      </c>
      <c r="AM3463" t="str">
        <f t="shared" ca="1" si="346"/>
        <v/>
      </c>
    </row>
    <row r="3464" spans="27:39" x14ac:dyDescent="0.3">
      <c r="AA3464" t="str">
        <f>IF(COUNTA('Procyfloc 4800'!A465,'Procyfloc 4800'!B465,'Procyfloc 4800'!C465)&gt;0,"4800","")</f>
        <v/>
      </c>
      <c r="AB3464" t="str">
        <f>IFERROR(IF(ISNUMBER('Procyfloc 4800'!A465),'Procyfloc 4800'!A465,DATEVALUE('Procyfloc 4800'!A465)),"")</f>
        <v/>
      </c>
      <c r="AC3464" t="str">
        <f>IF(AA3464="","",'Procyfloc 4800'!B465)</f>
        <v/>
      </c>
      <c r="AD3464" t="str">
        <f>IF(AA3464="","",IFERROR(1*'Procyfloc 4800'!C465,IFERROR(_xludf.NUMBERVALUE('Procyfloc 4800'!C465,".",","),IFERROR(_xludf.NUMBERVALUE('Procyfloc 4800'!C465,",","."),0))))</f>
        <v/>
      </c>
      <c r="AE3464" t="str">
        <f>IF(AA3464="","",'Procyfloc 4800'!J465)</f>
        <v/>
      </c>
      <c r="AF3464">
        <f t="shared" si="341"/>
        <v>0</v>
      </c>
      <c r="AG3464" t="str">
        <f t="shared" si="342"/>
        <v/>
      </c>
      <c r="AH3464" t="str">
        <f t="shared" si="343"/>
        <v/>
      </c>
      <c r="AI3464">
        <f t="shared" si="344"/>
        <v>0</v>
      </c>
      <c r="AJ3464">
        <f t="shared" si="345"/>
        <v>0</v>
      </c>
      <c r="AK3464">
        <v>0</v>
      </c>
      <c r="AL3464" t="str">
        <f>IF(AA3464="","",IFERROR(IF(ISNUMBER('Procyfloc 4800'!D465),'Procyfloc 4800'!D465,IF(ISNUMBER(SEARCH("12",'Procyfloc 4800'!D465)),EDATE(AB3464,12),IF(ISNUMBER(SEARCH("6",'Procyfloc 4800'!D465)),EDATE(AB3464,6),IF(ISNUMBER(SEARCH("3",'Procyfloc 4800'!D465)),EDATE(AB3464,3),DATEVALUE('Procyfloc 4800'!D465))))),""))</f>
        <v/>
      </c>
      <c r="AM3464" t="str">
        <f t="shared" ca="1" si="346"/>
        <v/>
      </c>
    </row>
    <row r="3465" spans="27:39" x14ac:dyDescent="0.3">
      <c r="AA3465" t="str">
        <f>IF(COUNTA('Procyfloc 4800'!A466,'Procyfloc 4800'!B466,'Procyfloc 4800'!C466)&gt;0,"4800","")</f>
        <v/>
      </c>
      <c r="AB3465" t="str">
        <f>IFERROR(IF(ISNUMBER('Procyfloc 4800'!A466),'Procyfloc 4800'!A466,DATEVALUE('Procyfloc 4800'!A466)),"")</f>
        <v/>
      </c>
      <c r="AC3465" t="str">
        <f>IF(AA3465="","",'Procyfloc 4800'!B466)</f>
        <v/>
      </c>
      <c r="AD3465" t="str">
        <f>IF(AA3465="","",IFERROR(1*'Procyfloc 4800'!C466,IFERROR(_xludf.NUMBERVALUE('Procyfloc 4800'!C466,".",","),IFERROR(_xludf.NUMBERVALUE('Procyfloc 4800'!C466,",","."),0))))</f>
        <v/>
      </c>
      <c r="AE3465" t="str">
        <f>IF(AA3465="","",'Procyfloc 4800'!J466)</f>
        <v/>
      </c>
      <c r="AF3465">
        <f t="shared" si="341"/>
        <v>0</v>
      </c>
      <c r="AG3465" t="str">
        <f t="shared" si="342"/>
        <v/>
      </c>
      <c r="AH3465" t="str">
        <f t="shared" si="343"/>
        <v/>
      </c>
      <c r="AI3465">
        <f t="shared" si="344"/>
        <v>0</v>
      </c>
      <c r="AJ3465">
        <f t="shared" si="345"/>
        <v>0</v>
      </c>
      <c r="AK3465">
        <v>0</v>
      </c>
      <c r="AL3465" t="str">
        <f>IF(AA3465="","",IFERROR(IF(ISNUMBER('Procyfloc 4800'!D466),'Procyfloc 4800'!D466,IF(ISNUMBER(SEARCH("12",'Procyfloc 4800'!D466)),EDATE(AB3465,12),IF(ISNUMBER(SEARCH("6",'Procyfloc 4800'!D466)),EDATE(AB3465,6),IF(ISNUMBER(SEARCH("3",'Procyfloc 4800'!D466)),EDATE(AB3465,3),DATEVALUE('Procyfloc 4800'!D466))))),""))</f>
        <v/>
      </c>
      <c r="AM3465" t="str">
        <f t="shared" ca="1" si="346"/>
        <v/>
      </c>
    </row>
    <row r="3466" spans="27:39" x14ac:dyDescent="0.3">
      <c r="AA3466" t="str">
        <f>IF(COUNTA('Procyfloc 4800'!A467,'Procyfloc 4800'!B467,'Procyfloc 4800'!C467)&gt;0,"4800","")</f>
        <v/>
      </c>
      <c r="AB3466" t="str">
        <f>IFERROR(IF(ISNUMBER('Procyfloc 4800'!A467),'Procyfloc 4800'!A467,DATEVALUE('Procyfloc 4800'!A467)),"")</f>
        <v/>
      </c>
      <c r="AC3466" t="str">
        <f>IF(AA3466="","",'Procyfloc 4800'!B467)</f>
        <v/>
      </c>
      <c r="AD3466" t="str">
        <f>IF(AA3466="","",IFERROR(1*'Procyfloc 4800'!C467,IFERROR(_xludf.NUMBERVALUE('Procyfloc 4800'!C467,".",","),IFERROR(_xludf.NUMBERVALUE('Procyfloc 4800'!C467,",","."),0))))</f>
        <v/>
      </c>
      <c r="AE3466" t="str">
        <f>IF(AA3466="","",'Procyfloc 4800'!J467)</f>
        <v/>
      </c>
      <c r="AF3466">
        <f t="shared" si="341"/>
        <v>0</v>
      </c>
      <c r="AG3466" t="str">
        <f t="shared" si="342"/>
        <v/>
      </c>
      <c r="AH3466" t="str">
        <f t="shared" si="343"/>
        <v/>
      </c>
      <c r="AI3466">
        <f t="shared" si="344"/>
        <v>0</v>
      </c>
      <c r="AJ3466">
        <f t="shared" si="345"/>
        <v>0</v>
      </c>
      <c r="AK3466">
        <v>0</v>
      </c>
      <c r="AL3466" t="str">
        <f>IF(AA3466="","",IFERROR(IF(ISNUMBER('Procyfloc 4800'!D467),'Procyfloc 4800'!D467,IF(ISNUMBER(SEARCH("12",'Procyfloc 4800'!D467)),EDATE(AB3466,12),IF(ISNUMBER(SEARCH("6",'Procyfloc 4800'!D467)),EDATE(AB3466,6),IF(ISNUMBER(SEARCH("3",'Procyfloc 4800'!D467)),EDATE(AB3466,3),DATEVALUE('Procyfloc 4800'!D467))))),""))</f>
        <v/>
      </c>
      <c r="AM3466" t="str">
        <f t="shared" ca="1" si="346"/>
        <v/>
      </c>
    </row>
    <row r="3467" spans="27:39" x14ac:dyDescent="0.3">
      <c r="AA3467" t="str">
        <f>IF(COUNTA('Procyfloc 4800'!A468,'Procyfloc 4800'!B468,'Procyfloc 4800'!C468)&gt;0,"4800","")</f>
        <v/>
      </c>
      <c r="AB3467" t="str">
        <f>IFERROR(IF(ISNUMBER('Procyfloc 4800'!A468),'Procyfloc 4800'!A468,DATEVALUE('Procyfloc 4800'!A468)),"")</f>
        <v/>
      </c>
      <c r="AC3467" t="str">
        <f>IF(AA3467="","",'Procyfloc 4800'!B468)</f>
        <v/>
      </c>
      <c r="AD3467" t="str">
        <f>IF(AA3467="","",IFERROR(1*'Procyfloc 4800'!C468,IFERROR(_xludf.NUMBERVALUE('Procyfloc 4800'!C468,".",","),IFERROR(_xludf.NUMBERVALUE('Procyfloc 4800'!C468,",","."),0))))</f>
        <v/>
      </c>
      <c r="AE3467" t="str">
        <f>IF(AA3467="","",'Procyfloc 4800'!J468)</f>
        <v/>
      </c>
      <c r="AF3467">
        <f t="shared" si="341"/>
        <v>0</v>
      </c>
      <c r="AG3467" t="str">
        <f t="shared" si="342"/>
        <v/>
      </c>
      <c r="AH3467" t="str">
        <f t="shared" si="343"/>
        <v/>
      </c>
      <c r="AI3467">
        <f t="shared" si="344"/>
        <v>0</v>
      </c>
      <c r="AJ3467">
        <f t="shared" si="345"/>
        <v>0</v>
      </c>
      <c r="AK3467">
        <v>0</v>
      </c>
      <c r="AL3467" t="str">
        <f>IF(AA3467="","",IFERROR(IF(ISNUMBER('Procyfloc 4800'!D468),'Procyfloc 4800'!D468,IF(ISNUMBER(SEARCH("12",'Procyfloc 4800'!D468)),EDATE(AB3467,12),IF(ISNUMBER(SEARCH("6",'Procyfloc 4800'!D468)),EDATE(AB3467,6),IF(ISNUMBER(SEARCH("3",'Procyfloc 4800'!D468)),EDATE(AB3467,3),DATEVALUE('Procyfloc 4800'!D468))))),""))</f>
        <v/>
      </c>
      <c r="AM3467" t="str">
        <f t="shared" ca="1" si="346"/>
        <v/>
      </c>
    </row>
    <row r="3468" spans="27:39" x14ac:dyDescent="0.3">
      <c r="AA3468" t="str">
        <f>IF(COUNTA('Procyfloc 4800'!A469,'Procyfloc 4800'!B469,'Procyfloc 4800'!C469)&gt;0,"4800","")</f>
        <v/>
      </c>
      <c r="AB3468" t="str">
        <f>IFERROR(IF(ISNUMBER('Procyfloc 4800'!A469),'Procyfloc 4800'!A469,DATEVALUE('Procyfloc 4800'!A469)),"")</f>
        <v/>
      </c>
      <c r="AC3468" t="str">
        <f>IF(AA3468="","",'Procyfloc 4800'!B469)</f>
        <v/>
      </c>
      <c r="AD3468" t="str">
        <f>IF(AA3468="","",IFERROR(1*'Procyfloc 4800'!C469,IFERROR(_xludf.NUMBERVALUE('Procyfloc 4800'!C469,".",","),IFERROR(_xludf.NUMBERVALUE('Procyfloc 4800'!C469,",","."),0))))</f>
        <v/>
      </c>
      <c r="AE3468" t="str">
        <f>IF(AA3468="","",'Procyfloc 4800'!J469)</f>
        <v/>
      </c>
      <c r="AF3468">
        <f t="shared" si="341"/>
        <v>0</v>
      </c>
      <c r="AG3468" t="str">
        <f t="shared" si="342"/>
        <v/>
      </c>
      <c r="AH3468" t="str">
        <f t="shared" si="343"/>
        <v/>
      </c>
      <c r="AI3468">
        <f t="shared" si="344"/>
        <v>0</v>
      </c>
      <c r="AJ3468">
        <f t="shared" si="345"/>
        <v>0</v>
      </c>
      <c r="AK3468">
        <v>0</v>
      </c>
      <c r="AL3468" t="str">
        <f>IF(AA3468="","",IFERROR(IF(ISNUMBER('Procyfloc 4800'!D469),'Procyfloc 4800'!D469,IF(ISNUMBER(SEARCH("12",'Procyfloc 4800'!D469)),EDATE(AB3468,12),IF(ISNUMBER(SEARCH("6",'Procyfloc 4800'!D469)),EDATE(AB3468,6),IF(ISNUMBER(SEARCH("3",'Procyfloc 4800'!D469)),EDATE(AB3468,3),DATEVALUE('Procyfloc 4800'!D469))))),""))</f>
        <v/>
      </c>
      <c r="AM3468" t="str">
        <f t="shared" ca="1" si="346"/>
        <v/>
      </c>
    </row>
    <row r="3469" spans="27:39" x14ac:dyDescent="0.3">
      <c r="AA3469" t="str">
        <f>IF(COUNTA('Procyfloc 4800'!A470,'Procyfloc 4800'!B470,'Procyfloc 4800'!C470)&gt;0,"4800","")</f>
        <v/>
      </c>
      <c r="AB3469" t="str">
        <f>IFERROR(IF(ISNUMBER('Procyfloc 4800'!A470),'Procyfloc 4800'!A470,DATEVALUE('Procyfloc 4800'!A470)),"")</f>
        <v/>
      </c>
      <c r="AC3469" t="str">
        <f>IF(AA3469="","",'Procyfloc 4800'!B470)</f>
        <v/>
      </c>
      <c r="AD3469" t="str">
        <f>IF(AA3469="","",IFERROR(1*'Procyfloc 4800'!C470,IFERROR(_xludf.NUMBERVALUE('Procyfloc 4800'!C470,".",","),IFERROR(_xludf.NUMBERVALUE('Procyfloc 4800'!C470,",","."),0))))</f>
        <v/>
      </c>
      <c r="AE3469" t="str">
        <f>IF(AA3469="","",'Procyfloc 4800'!J470)</f>
        <v/>
      </c>
      <c r="AF3469">
        <f t="shared" si="341"/>
        <v>0</v>
      </c>
      <c r="AG3469" t="str">
        <f t="shared" si="342"/>
        <v/>
      </c>
      <c r="AH3469" t="str">
        <f t="shared" si="343"/>
        <v/>
      </c>
      <c r="AI3469">
        <f t="shared" si="344"/>
        <v>0</v>
      </c>
      <c r="AJ3469">
        <f t="shared" si="345"/>
        <v>0</v>
      </c>
      <c r="AK3469">
        <v>0</v>
      </c>
      <c r="AL3469" t="str">
        <f>IF(AA3469="","",IFERROR(IF(ISNUMBER('Procyfloc 4800'!D470),'Procyfloc 4800'!D470,IF(ISNUMBER(SEARCH("12",'Procyfloc 4800'!D470)),EDATE(AB3469,12),IF(ISNUMBER(SEARCH("6",'Procyfloc 4800'!D470)),EDATE(AB3469,6),IF(ISNUMBER(SEARCH("3",'Procyfloc 4800'!D470)),EDATE(AB3469,3),DATEVALUE('Procyfloc 4800'!D470))))),""))</f>
        <v/>
      </c>
      <c r="AM3469" t="str">
        <f t="shared" ca="1" si="346"/>
        <v/>
      </c>
    </row>
    <row r="3470" spans="27:39" x14ac:dyDescent="0.3">
      <c r="AA3470" t="str">
        <f>IF(COUNTA('Procyfloc 4800'!A471,'Procyfloc 4800'!B471,'Procyfloc 4800'!C471)&gt;0,"4800","")</f>
        <v/>
      </c>
      <c r="AB3470" t="str">
        <f>IFERROR(IF(ISNUMBER('Procyfloc 4800'!A471),'Procyfloc 4800'!A471,DATEVALUE('Procyfloc 4800'!A471)),"")</f>
        <v/>
      </c>
      <c r="AC3470" t="str">
        <f>IF(AA3470="","",'Procyfloc 4800'!B471)</f>
        <v/>
      </c>
      <c r="AD3470" t="str">
        <f>IF(AA3470="","",IFERROR(1*'Procyfloc 4800'!C471,IFERROR(_xludf.NUMBERVALUE('Procyfloc 4800'!C471,".",","),IFERROR(_xludf.NUMBERVALUE('Procyfloc 4800'!C471,",","."),0))))</f>
        <v/>
      </c>
      <c r="AE3470" t="str">
        <f>IF(AA3470="","",'Procyfloc 4800'!J471)</f>
        <v/>
      </c>
      <c r="AF3470">
        <f t="shared" si="341"/>
        <v>0</v>
      </c>
      <c r="AG3470" t="str">
        <f t="shared" si="342"/>
        <v/>
      </c>
      <c r="AH3470" t="str">
        <f t="shared" si="343"/>
        <v/>
      </c>
      <c r="AI3470">
        <f t="shared" si="344"/>
        <v>0</v>
      </c>
      <c r="AJ3470">
        <f t="shared" si="345"/>
        <v>0</v>
      </c>
      <c r="AK3470">
        <v>0</v>
      </c>
      <c r="AL3470" t="str">
        <f>IF(AA3470="","",IFERROR(IF(ISNUMBER('Procyfloc 4800'!D471),'Procyfloc 4800'!D471,IF(ISNUMBER(SEARCH("12",'Procyfloc 4800'!D471)),EDATE(AB3470,12),IF(ISNUMBER(SEARCH("6",'Procyfloc 4800'!D471)),EDATE(AB3470,6),IF(ISNUMBER(SEARCH("3",'Procyfloc 4800'!D471)),EDATE(AB3470,3),DATEVALUE('Procyfloc 4800'!D471))))),""))</f>
        <v/>
      </c>
      <c r="AM3470" t="str">
        <f t="shared" ca="1" si="346"/>
        <v/>
      </c>
    </row>
    <row r="3471" spans="27:39" x14ac:dyDescent="0.3">
      <c r="AA3471" t="str">
        <f>IF(COUNTA('Procyfloc 4800'!A472,'Procyfloc 4800'!B472,'Procyfloc 4800'!C472)&gt;0,"4800","")</f>
        <v/>
      </c>
      <c r="AB3471" t="str">
        <f>IFERROR(IF(ISNUMBER('Procyfloc 4800'!A472),'Procyfloc 4800'!A472,DATEVALUE('Procyfloc 4800'!A472)),"")</f>
        <v/>
      </c>
      <c r="AC3471" t="str">
        <f>IF(AA3471="","",'Procyfloc 4800'!B472)</f>
        <v/>
      </c>
      <c r="AD3471" t="str">
        <f>IF(AA3471="","",IFERROR(1*'Procyfloc 4800'!C472,IFERROR(_xludf.NUMBERVALUE('Procyfloc 4800'!C472,".",","),IFERROR(_xludf.NUMBERVALUE('Procyfloc 4800'!C472,",","."),0))))</f>
        <v/>
      </c>
      <c r="AE3471" t="str">
        <f>IF(AA3471="","",'Procyfloc 4800'!J472)</f>
        <v/>
      </c>
      <c r="AF3471">
        <f t="shared" si="341"/>
        <v>0</v>
      </c>
      <c r="AG3471" t="str">
        <f t="shared" si="342"/>
        <v/>
      </c>
      <c r="AH3471" t="str">
        <f t="shared" si="343"/>
        <v/>
      </c>
      <c r="AI3471">
        <f t="shared" si="344"/>
        <v>0</v>
      </c>
      <c r="AJ3471">
        <f t="shared" si="345"/>
        <v>0</v>
      </c>
      <c r="AK3471">
        <v>0</v>
      </c>
      <c r="AL3471" t="str">
        <f>IF(AA3471="","",IFERROR(IF(ISNUMBER('Procyfloc 4800'!D472),'Procyfloc 4800'!D472,IF(ISNUMBER(SEARCH("12",'Procyfloc 4800'!D472)),EDATE(AB3471,12),IF(ISNUMBER(SEARCH("6",'Procyfloc 4800'!D472)),EDATE(AB3471,6),IF(ISNUMBER(SEARCH("3",'Procyfloc 4800'!D472)),EDATE(AB3471,3),DATEVALUE('Procyfloc 4800'!D472))))),""))</f>
        <v/>
      </c>
      <c r="AM3471" t="str">
        <f t="shared" ca="1" si="346"/>
        <v/>
      </c>
    </row>
    <row r="3472" spans="27:39" x14ac:dyDescent="0.3">
      <c r="AA3472" t="str">
        <f>IF(COUNTA('Procyfloc 4800'!A473,'Procyfloc 4800'!B473,'Procyfloc 4800'!C473)&gt;0,"4800","")</f>
        <v/>
      </c>
      <c r="AB3472" t="str">
        <f>IFERROR(IF(ISNUMBER('Procyfloc 4800'!A473),'Procyfloc 4800'!A473,DATEVALUE('Procyfloc 4800'!A473)),"")</f>
        <v/>
      </c>
      <c r="AC3472" t="str">
        <f>IF(AA3472="","",'Procyfloc 4800'!B473)</f>
        <v/>
      </c>
      <c r="AD3472" t="str">
        <f>IF(AA3472="","",IFERROR(1*'Procyfloc 4800'!C473,IFERROR(_xludf.NUMBERVALUE('Procyfloc 4800'!C473,".",","),IFERROR(_xludf.NUMBERVALUE('Procyfloc 4800'!C473,",","."),0))))</f>
        <v/>
      </c>
      <c r="AE3472" t="str">
        <f>IF(AA3472="","",'Procyfloc 4800'!J473)</f>
        <v/>
      </c>
      <c r="AF3472">
        <f t="shared" si="341"/>
        <v>0</v>
      </c>
      <c r="AG3472" t="str">
        <f t="shared" si="342"/>
        <v/>
      </c>
      <c r="AH3472" t="str">
        <f t="shared" si="343"/>
        <v/>
      </c>
      <c r="AI3472">
        <f t="shared" si="344"/>
        <v>0</v>
      </c>
      <c r="AJ3472">
        <f t="shared" si="345"/>
        <v>0</v>
      </c>
      <c r="AK3472">
        <v>0</v>
      </c>
      <c r="AL3472" t="str">
        <f>IF(AA3472="","",IFERROR(IF(ISNUMBER('Procyfloc 4800'!D473),'Procyfloc 4800'!D473,IF(ISNUMBER(SEARCH("12",'Procyfloc 4800'!D473)),EDATE(AB3472,12),IF(ISNUMBER(SEARCH("6",'Procyfloc 4800'!D473)),EDATE(AB3472,6),IF(ISNUMBER(SEARCH("3",'Procyfloc 4800'!D473)),EDATE(AB3472,3),DATEVALUE('Procyfloc 4800'!D473))))),""))</f>
        <v/>
      </c>
      <c r="AM3472" t="str">
        <f t="shared" ca="1" si="346"/>
        <v/>
      </c>
    </row>
    <row r="3473" spans="27:39" x14ac:dyDescent="0.3">
      <c r="AA3473" t="str">
        <f>IF(COUNTA('Procyfloc 4800'!A474,'Procyfloc 4800'!B474,'Procyfloc 4800'!C474)&gt;0,"4800","")</f>
        <v/>
      </c>
      <c r="AB3473" t="str">
        <f>IFERROR(IF(ISNUMBER('Procyfloc 4800'!A474),'Procyfloc 4800'!A474,DATEVALUE('Procyfloc 4800'!A474)),"")</f>
        <v/>
      </c>
      <c r="AC3473" t="str">
        <f>IF(AA3473="","",'Procyfloc 4800'!B474)</f>
        <v/>
      </c>
      <c r="AD3473" t="str">
        <f>IF(AA3473="","",IFERROR(1*'Procyfloc 4800'!C474,IFERROR(_xludf.NUMBERVALUE('Procyfloc 4800'!C474,".",","),IFERROR(_xludf.NUMBERVALUE('Procyfloc 4800'!C474,",","."),0))))</f>
        <v/>
      </c>
      <c r="AE3473" t="str">
        <f>IF(AA3473="","",'Procyfloc 4800'!J474)</f>
        <v/>
      </c>
      <c r="AF3473">
        <f t="shared" si="341"/>
        <v>0</v>
      </c>
      <c r="AG3473" t="str">
        <f t="shared" si="342"/>
        <v/>
      </c>
      <c r="AH3473" t="str">
        <f t="shared" si="343"/>
        <v/>
      </c>
      <c r="AI3473">
        <f t="shared" si="344"/>
        <v>0</v>
      </c>
      <c r="AJ3473">
        <f t="shared" si="345"/>
        <v>0</v>
      </c>
      <c r="AK3473">
        <v>0</v>
      </c>
      <c r="AL3473" t="str">
        <f>IF(AA3473="","",IFERROR(IF(ISNUMBER('Procyfloc 4800'!D474),'Procyfloc 4800'!D474,IF(ISNUMBER(SEARCH("12",'Procyfloc 4800'!D474)),EDATE(AB3473,12),IF(ISNUMBER(SEARCH("6",'Procyfloc 4800'!D474)),EDATE(AB3473,6),IF(ISNUMBER(SEARCH("3",'Procyfloc 4800'!D474)),EDATE(AB3473,3),DATEVALUE('Procyfloc 4800'!D474))))),""))</f>
        <v/>
      </c>
      <c r="AM3473" t="str">
        <f t="shared" ca="1" si="346"/>
        <v/>
      </c>
    </row>
    <row r="3474" spans="27:39" x14ac:dyDescent="0.3">
      <c r="AA3474" t="str">
        <f>IF(COUNTA('Procyfloc 4800'!A475,'Procyfloc 4800'!B475,'Procyfloc 4800'!C475)&gt;0,"4800","")</f>
        <v/>
      </c>
      <c r="AB3474" t="str">
        <f>IFERROR(IF(ISNUMBER('Procyfloc 4800'!A475),'Procyfloc 4800'!A475,DATEVALUE('Procyfloc 4800'!A475)),"")</f>
        <v/>
      </c>
      <c r="AC3474" t="str">
        <f>IF(AA3474="","",'Procyfloc 4800'!B475)</f>
        <v/>
      </c>
      <c r="AD3474" t="str">
        <f>IF(AA3474="","",IFERROR(1*'Procyfloc 4800'!C475,IFERROR(_xludf.NUMBERVALUE('Procyfloc 4800'!C475,".",","),IFERROR(_xludf.NUMBERVALUE('Procyfloc 4800'!C475,",","."),0))))</f>
        <v/>
      </c>
      <c r="AE3474" t="str">
        <f>IF(AA3474="","",'Procyfloc 4800'!J475)</f>
        <v/>
      </c>
      <c r="AF3474">
        <f t="shared" si="341"/>
        <v>0</v>
      </c>
      <c r="AG3474" t="str">
        <f t="shared" si="342"/>
        <v/>
      </c>
      <c r="AH3474" t="str">
        <f t="shared" si="343"/>
        <v/>
      </c>
      <c r="AI3474">
        <f t="shared" si="344"/>
        <v>0</v>
      </c>
      <c r="AJ3474">
        <f t="shared" si="345"/>
        <v>0</v>
      </c>
      <c r="AK3474">
        <v>0</v>
      </c>
      <c r="AL3474" t="str">
        <f>IF(AA3474="","",IFERROR(IF(ISNUMBER('Procyfloc 4800'!D475),'Procyfloc 4800'!D475,IF(ISNUMBER(SEARCH("12",'Procyfloc 4800'!D475)),EDATE(AB3474,12),IF(ISNUMBER(SEARCH("6",'Procyfloc 4800'!D475)),EDATE(AB3474,6),IF(ISNUMBER(SEARCH("3",'Procyfloc 4800'!D475)),EDATE(AB3474,3),DATEVALUE('Procyfloc 4800'!D475))))),""))</f>
        <v/>
      </c>
      <c r="AM3474" t="str">
        <f t="shared" ca="1" si="346"/>
        <v/>
      </c>
    </row>
    <row r="3475" spans="27:39" x14ac:dyDescent="0.3">
      <c r="AA3475" t="str">
        <f>IF(COUNTA('Procyfloc 4800'!A476,'Procyfloc 4800'!B476,'Procyfloc 4800'!C476)&gt;0,"4800","")</f>
        <v/>
      </c>
      <c r="AB3475" t="str">
        <f>IFERROR(IF(ISNUMBER('Procyfloc 4800'!A476),'Procyfloc 4800'!A476,DATEVALUE('Procyfloc 4800'!A476)),"")</f>
        <v/>
      </c>
      <c r="AC3475" t="str">
        <f>IF(AA3475="","",'Procyfloc 4800'!B476)</f>
        <v/>
      </c>
      <c r="AD3475" t="str">
        <f>IF(AA3475="","",IFERROR(1*'Procyfloc 4800'!C476,IFERROR(_xludf.NUMBERVALUE('Procyfloc 4800'!C476,".",","),IFERROR(_xludf.NUMBERVALUE('Procyfloc 4800'!C476,",","."),0))))</f>
        <v/>
      </c>
      <c r="AE3475" t="str">
        <f>IF(AA3475="","",'Procyfloc 4800'!J476)</f>
        <v/>
      </c>
      <c r="AF3475">
        <f t="shared" si="341"/>
        <v>0</v>
      </c>
      <c r="AG3475" t="str">
        <f t="shared" si="342"/>
        <v/>
      </c>
      <c r="AH3475" t="str">
        <f t="shared" si="343"/>
        <v/>
      </c>
      <c r="AI3475">
        <f t="shared" si="344"/>
        <v>0</v>
      </c>
      <c r="AJ3475">
        <f t="shared" si="345"/>
        <v>0</v>
      </c>
      <c r="AK3475">
        <v>0</v>
      </c>
      <c r="AL3475" t="str">
        <f>IF(AA3475="","",IFERROR(IF(ISNUMBER('Procyfloc 4800'!D476),'Procyfloc 4800'!D476,IF(ISNUMBER(SEARCH("12",'Procyfloc 4800'!D476)),EDATE(AB3475,12),IF(ISNUMBER(SEARCH("6",'Procyfloc 4800'!D476)),EDATE(AB3475,6),IF(ISNUMBER(SEARCH("3",'Procyfloc 4800'!D476)),EDATE(AB3475,3),DATEVALUE('Procyfloc 4800'!D476))))),""))</f>
        <v/>
      </c>
      <c r="AM3475" t="str">
        <f t="shared" ca="1" si="346"/>
        <v/>
      </c>
    </row>
    <row r="3476" spans="27:39" x14ac:dyDescent="0.3">
      <c r="AA3476" t="str">
        <f>IF(COUNTA('Procyfloc 4800'!A477,'Procyfloc 4800'!B477,'Procyfloc 4800'!C477)&gt;0,"4800","")</f>
        <v/>
      </c>
      <c r="AB3476" t="str">
        <f>IFERROR(IF(ISNUMBER('Procyfloc 4800'!A477),'Procyfloc 4800'!A477,DATEVALUE('Procyfloc 4800'!A477)),"")</f>
        <v/>
      </c>
      <c r="AC3476" t="str">
        <f>IF(AA3476="","",'Procyfloc 4800'!B477)</f>
        <v/>
      </c>
      <c r="AD3476" t="str">
        <f>IF(AA3476="","",IFERROR(1*'Procyfloc 4800'!C477,IFERROR(_xludf.NUMBERVALUE('Procyfloc 4800'!C477,".",","),IFERROR(_xludf.NUMBERVALUE('Procyfloc 4800'!C477,",","."),0))))</f>
        <v/>
      </c>
      <c r="AE3476" t="str">
        <f>IF(AA3476="","",'Procyfloc 4800'!J477)</f>
        <v/>
      </c>
      <c r="AF3476">
        <f t="shared" si="341"/>
        <v>0</v>
      </c>
      <c r="AG3476" t="str">
        <f t="shared" si="342"/>
        <v/>
      </c>
      <c r="AH3476" t="str">
        <f t="shared" si="343"/>
        <v/>
      </c>
      <c r="AI3476">
        <f t="shared" si="344"/>
        <v>0</v>
      </c>
      <c r="AJ3476">
        <f t="shared" si="345"/>
        <v>0</v>
      </c>
      <c r="AK3476">
        <v>0</v>
      </c>
      <c r="AL3476" t="str">
        <f>IF(AA3476="","",IFERROR(IF(ISNUMBER('Procyfloc 4800'!D477),'Procyfloc 4800'!D477,IF(ISNUMBER(SEARCH("12",'Procyfloc 4800'!D477)),EDATE(AB3476,12),IF(ISNUMBER(SEARCH("6",'Procyfloc 4800'!D477)),EDATE(AB3476,6),IF(ISNUMBER(SEARCH("3",'Procyfloc 4800'!D477)),EDATE(AB3476,3),DATEVALUE('Procyfloc 4800'!D477))))),""))</f>
        <v/>
      </c>
      <c r="AM3476" t="str">
        <f t="shared" ca="1" si="346"/>
        <v/>
      </c>
    </row>
    <row r="3477" spans="27:39" x14ac:dyDescent="0.3">
      <c r="AA3477" t="str">
        <f>IF(COUNTA('Procyfloc 4800'!A478,'Procyfloc 4800'!B478,'Procyfloc 4800'!C478)&gt;0,"4800","")</f>
        <v/>
      </c>
      <c r="AB3477" t="str">
        <f>IFERROR(IF(ISNUMBER('Procyfloc 4800'!A478),'Procyfloc 4800'!A478,DATEVALUE('Procyfloc 4800'!A478)),"")</f>
        <v/>
      </c>
      <c r="AC3477" t="str">
        <f>IF(AA3477="","",'Procyfloc 4800'!B478)</f>
        <v/>
      </c>
      <c r="AD3477" t="str">
        <f>IF(AA3477="","",IFERROR(1*'Procyfloc 4800'!C478,IFERROR(_xludf.NUMBERVALUE('Procyfloc 4800'!C478,".",","),IFERROR(_xludf.NUMBERVALUE('Procyfloc 4800'!C478,",","."),0))))</f>
        <v/>
      </c>
      <c r="AE3477" t="str">
        <f>IF(AA3477="","",'Procyfloc 4800'!J478)</f>
        <v/>
      </c>
      <c r="AF3477">
        <f t="shared" si="341"/>
        <v>0</v>
      </c>
      <c r="AG3477" t="str">
        <f t="shared" si="342"/>
        <v/>
      </c>
      <c r="AH3477" t="str">
        <f t="shared" si="343"/>
        <v/>
      </c>
      <c r="AI3477">
        <f t="shared" si="344"/>
        <v>0</v>
      </c>
      <c r="AJ3477">
        <f t="shared" si="345"/>
        <v>0</v>
      </c>
      <c r="AK3477">
        <v>0</v>
      </c>
      <c r="AL3477" t="str">
        <f>IF(AA3477="","",IFERROR(IF(ISNUMBER('Procyfloc 4800'!D478),'Procyfloc 4800'!D478,IF(ISNUMBER(SEARCH("12",'Procyfloc 4800'!D478)),EDATE(AB3477,12),IF(ISNUMBER(SEARCH("6",'Procyfloc 4800'!D478)),EDATE(AB3477,6),IF(ISNUMBER(SEARCH("3",'Procyfloc 4800'!D478)),EDATE(AB3477,3),DATEVALUE('Procyfloc 4800'!D478))))),""))</f>
        <v/>
      </c>
      <c r="AM3477" t="str">
        <f t="shared" ca="1" si="346"/>
        <v/>
      </c>
    </row>
    <row r="3478" spans="27:39" x14ac:dyDescent="0.3">
      <c r="AA3478" t="str">
        <f>IF(COUNTA('Procyfloc 4800'!A479,'Procyfloc 4800'!B479,'Procyfloc 4800'!C479)&gt;0,"4800","")</f>
        <v/>
      </c>
      <c r="AB3478" t="str">
        <f>IFERROR(IF(ISNUMBER('Procyfloc 4800'!A479),'Procyfloc 4800'!A479,DATEVALUE('Procyfloc 4800'!A479)),"")</f>
        <v/>
      </c>
      <c r="AC3478" t="str">
        <f>IF(AA3478="","",'Procyfloc 4800'!B479)</f>
        <v/>
      </c>
      <c r="AD3478" t="str">
        <f>IF(AA3478="","",IFERROR(1*'Procyfloc 4800'!C479,IFERROR(_xludf.NUMBERVALUE('Procyfloc 4800'!C479,".",","),IFERROR(_xludf.NUMBERVALUE('Procyfloc 4800'!C479,",","."),0))))</f>
        <v/>
      </c>
      <c r="AE3478" t="str">
        <f>IF(AA3478="","",'Procyfloc 4800'!J479)</f>
        <v/>
      </c>
      <c r="AF3478">
        <f t="shared" si="341"/>
        <v>0</v>
      </c>
      <c r="AG3478" t="str">
        <f t="shared" si="342"/>
        <v/>
      </c>
      <c r="AH3478" t="str">
        <f t="shared" si="343"/>
        <v/>
      </c>
      <c r="AI3478">
        <f t="shared" si="344"/>
        <v>0</v>
      </c>
      <c r="AJ3478">
        <f t="shared" si="345"/>
        <v>0</v>
      </c>
      <c r="AK3478">
        <v>0</v>
      </c>
      <c r="AL3478" t="str">
        <f>IF(AA3478="","",IFERROR(IF(ISNUMBER('Procyfloc 4800'!D479),'Procyfloc 4800'!D479,IF(ISNUMBER(SEARCH("12",'Procyfloc 4800'!D479)),EDATE(AB3478,12),IF(ISNUMBER(SEARCH("6",'Procyfloc 4800'!D479)),EDATE(AB3478,6),IF(ISNUMBER(SEARCH("3",'Procyfloc 4800'!D479)),EDATE(AB3478,3),DATEVALUE('Procyfloc 4800'!D479))))),""))</f>
        <v/>
      </c>
      <c r="AM3478" t="str">
        <f t="shared" ca="1" si="346"/>
        <v/>
      </c>
    </row>
    <row r="3479" spans="27:39" x14ac:dyDescent="0.3">
      <c r="AA3479" t="str">
        <f>IF(COUNTA('Procyfloc 4800'!A480,'Procyfloc 4800'!B480,'Procyfloc 4800'!C480)&gt;0,"4800","")</f>
        <v/>
      </c>
      <c r="AB3479" t="str">
        <f>IFERROR(IF(ISNUMBER('Procyfloc 4800'!A480),'Procyfloc 4800'!A480,DATEVALUE('Procyfloc 4800'!A480)),"")</f>
        <v/>
      </c>
      <c r="AC3479" t="str">
        <f>IF(AA3479="","",'Procyfloc 4800'!B480)</f>
        <v/>
      </c>
      <c r="AD3479" t="str">
        <f>IF(AA3479="","",IFERROR(1*'Procyfloc 4800'!C480,IFERROR(_xludf.NUMBERVALUE('Procyfloc 4800'!C480,".",","),IFERROR(_xludf.NUMBERVALUE('Procyfloc 4800'!C480,",","."),0))))</f>
        <v/>
      </c>
      <c r="AE3479" t="str">
        <f>IF(AA3479="","",'Procyfloc 4800'!J480)</f>
        <v/>
      </c>
      <c r="AF3479">
        <f t="shared" si="341"/>
        <v>0</v>
      </c>
      <c r="AG3479" t="str">
        <f t="shared" si="342"/>
        <v/>
      </c>
      <c r="AH3479" t="str">
        <f t="shared" si="343"/>
        <v/>
      </c>
      <c r="AI3479">
        <f t="shared" si="344"/>
        <v>0</v>
      </c>
      <c r="AJ3479">
        <f t="shared" si="345"/>
        <v>0</v>
      </c>
      <c r="AK3479">
        <v>0</v>
      </c>
      <c r="AL3479" t="str">
        <f>IF(AA3479="","",IFERROR(IF(ISNUMBER('Procyfloc 4800'!D480),'Procyfloc 4800'!D480,IF(ISNUMBER(SEARCH("12",'Procyfloc 4800'!D480)),EDATE(AB3479,12),IF(ISNUMBER(SEARCH("6",'Procyfloc 4800'!D480)),EDATE(AB3479,6),IF(ISNUMBER(SEARCH("3",'Procyfloc 4800'!D480)),EDATE(AB3479,3),DATEVALUE('Procyfloc 4800'!D480))))),""))</f>
        <v/>
      </c>
      <c r="AM3479" t="str">
        <f t="shared" ca="1" si="346"/>
        <v/>
      </c>
    </row>
    <row r="3480" spans="27:39" x14ac:dyDescent="0.3">
      <c r="AA3480" t="str">
        <f>IF(COUNTA('Procyfloc 4800'!A481,'Procyfloc 4800'!B481,'Procyfloc 4800'!C481)&gt;0,"4800","")</f>
        <v/>
      </c>
      <c r="AB3480" t="str">
        <f>IFERROR(IF(ISNUMBER('Procyfloc 4800'!A481),'Procyfloc 4800'!A481,DATEVALUE('Procyfloc 4800'!A481)),"")</f>
        <v/>
      </c>
      <c r="AC3480" t="str">
        <f>IF(AA3480="","",'Procyfloc 4800'!B481)</f>
        <v/>
      </c>
      <c r="AD3480" t="str">
        <f>IF(AA3480="","",IFERROR(1*'Procyfloc 4800'!C481,IFERROR(_xludf.NUMBERVALUE('Procyfloc 4800'!C481,".",","),IFERROR(_xludf.NUMBERVALUE('Procyfloc 4800'!C481,",","."),0))))</f>
        <v/>
      </c>
      <c r="AE3480" t="str">
        <f>IF(AA3480="","",'Procyfloc 4800'!J481)</f>
        <v/>
      </c>
      <c r="AF3480">
        <f t="shared" si="341"/>
        <v>0</v>
      </c>
      <c r="AG3480" t="str">
        <f t="shared" si="342"/>
        <v/>
      </c>
      <c r="AH3480" t="str">
        <f t="shared" si="343"/>
        <v/>
      </c>
      <c r="AI3480">
        <f t="shared" si="344"/>
        <v>0</v>
      </c>
      <c r="AJ3480">
        <f t="shared" si="345"/>
        <v>0</v>
      </c>
      <c r="AK3480">
        <v>0</v>
      </c>
      <c r="AL3480" t="str">
        <f>IF(AA3480="","",IFERROR(IF(ISNUMBER('Procyfloc 4800'!D481),'Procyfloc 4800'!D481,IF(ISNUMBER(SEARCH("12",'Procyfloc 4800'!D481)),EDATE(AB3480,12),IF(ISNUMBER(SEARCH("6",'Procyfloc 4800'!D481)),EDATE(AB3480,6),IF(ISNUMBER(SEARCH("3",'Procyfloc 4800'!D481)),EDATE(AB3480,3),DATEVALUE('Procyfloc 4800'!D481))))),""))</f>
        <v/>
      </c>
      <c r="AM3480" t="str">
        <f t="shared" ca="1" si="346"/>
        <v/>
      </c>
    </row>
    <row r="3481" spans="27:39" x14ac:dyDescent="0.3">
      <c r="AA3481" t="str">
        <f>IF(COUNTA('Procyfloc 4800'!A482,'Procyfloc 4800'!B482,'Procyfloc 4800'!C482)&gt;0,"4800","")</f>
        <v/>
      </c>
      <c r="AB3481" t="str">
        <f>IFERROR(IF(ISNUMBER('Procyfloc 4800'!A482),'Procyfloc 4800'!A482,DATEVALUE('Procyfloc 4800'!A482)),"")</f>
        <v/>
      </c>
      <c r="AC3481" t="str">
        <f>IF(AA3481="","",'Procyfloc 4800'!B482)</f>
        <v/>
      </c>
      <c r="AD3481" t="str">
        <f>IF(AA3481="","",IFERROR(1*'Procyfloc 4800'!C482,IFERROR(_xludf.NUMBERVALUE('Procyfloc 4800'!C482,".",","),IFERROR(_xludf.NUMBERVALUE('Procyfloc 4800'!C482,",","."),0))))</f>
        <v/>
      </c>
      <c r="AE3481" t="str">
        <f>IF(AA3481="","",'Procyfloc 4800'!J482)</f>
        <v/>
      </c>
      <c r="AF3481">
        <f t="shared" si="341"/>
        <v>0</v>
      </c>
      <c r="AG3481" t="str">
        <f t="shared" si="342"/>
        <v/>
      </c>
      <c r="AH3481" t="str">
        <f t="shared" si="343"/>
        <v/>
      </c>
      <c r="AI3481">
        <f t="shared" si="344"/>
        <v>0</v>
      </c>
      <c r="AJ3481">
        <f t="shared" si="345"/>
        <v>0</v>
      </c>
      <c r="AK3481">
        <v>0</v>
      </c>
      <c r="AL3481" t="str">
        <f>IF(AA3481="","",IFERROR(IF(ISNUMBER('Procyfloc 4800'!D482),'Procyfloc 4800'!D482,IF(ISNUMBER(SEARCH("12",'Procyfloc 4800'!D482)),EDATE(AB3481,12),IF(ISNUMBER(SEARCH("6",'Procyfloc 4800'!D482)),EDATE(AB3481,6),IF(ISNUMBER(SEARCH("3",'Procyfloc 4800'!D482)),EDATE(AB3481,3),DATEVALUE('Procyfloc 4800'!D482))))),""))</f>
        <v/>
      </c>
      <c r="AM3481" t="str">
        <f t="shared" ca="1" si="346"/>
        <v/>
      </c>
    </row>
    <row r="3482" spans="27:39" x14ac:dyDescent="0.3">
      <c r="AA3482" t="str">
        <f>IF(COUNTA('Procyfloc 4800'!A483,'Procyfloc 4800'!B483,'Procyfloc 4800'!C483)&gt;0,"4800","")</f>
        <v/>
      </c>
      <c r="AB3482" t="str">
        <f>IFERROR(IF(ISNUMBER('Procyfloc 4800'!A483),'Procyfloc 4800'!A483,DATEVALUE('Procyfloc 4800'!A483)),"")</f>
        <v/>
      </c>
      <c r="AC3482" t="str">
        <f>IF(AA3482="","",'Procyfloc 4800'!B483)</f>
        <v/>
      </c>
      <c r="AD3482" t="str">
        <f>IF(AA3482="","",IFERROR(1*'Procyfloc 4800'!C483,IFERROR(_xludf.NUMBERVALUE('Procyfloc 4800'!C483,".",","),IFERROR(_xludf.NUMBERVALUE('Procyfloc 4800'!C483,",","."),0))))</f>
        <v/>
      </c>
      <c r="AE3482" t="str">
        <f>IF(AA3482="","",'Procyfloc 4800'!J483)</f>
        <v/>
      </c>
      <c r="AF3482">
        <f t="shared" si="341"/>
        <v>0</v>
      </c>
      <c r="AG3482" t="str">
        <f t="shared" si="342"/>
        <v/>
      </c>
      <c r="AH3482" t="str">
        <f t="shared" si="343"/>
        <v/>
      </c>
      <c r="AI3482">
        <f t="shared" si="344"/>
        <v>0</v>
      </c>
      <c r="AJ3482">
        <f t="shared" si="345"/>
        <v>0</v>
      </c>
      <c r="AK3482">
        <v>0</v>
      </c>
      <c r="AL3482" t="str">
        <f>IF(AA3482="","",IFERROR(IF(ISNUMBER('Procyfloc 4800'!D483),'Procyfloc 4800'!D483,IF(ISNUMBER(SEARCH("12",'Procyfloc 4800'!D483)),EDATE(AB3482,12),IF(ISNUMBER(SEARCH("6",'Procyfloc 4800'!D483)),EDATE(AB3482,6),IF(ISNUMBER(SEARCH("3",'Procyfloc 4800'!D483)),EDATE(AB3482,3),DATEVALUE('Procyfloc 4800'!D483))))),""))</f>
        <v/>
      </c>
      <c r="AM3482" t="str">
        <f t="shared" ca="1" si="346"/>
        <v/>
      </c>
    </row>
    <row r="3483" spans="27:39" x14ac:dyDescent="0.3">
      <c r="AA3483" t="str">
        <f>IF(COUNTA('Procyfloc 4800'!A484,'Procyfloc 4800'!B484,'Procyfloc 4800'!C484)&gt;0,"4800","")</f>
        <v/>
      </c>
      <c r="AB3483" t="str">
        <f>IFERROR(IF(ISNUMBER('Procyfloc 4800'!A484),'Procyfloc 4800'!A484,DATEVALUE('Procyfloc 4800'!A484)),"")</f>
        <v/>
      </c>
      <c r="AC3483" t="str">
        <f>IF(AA3483="","",'Procyfloc 4800'!B484)</f>
        <v/>
      </c>
      <c r="AD3483" t="str">
        <f>IF(AA3483="","",IFERROR(1*'Procyfloc 4800'!C484,IFERROR(_xludf.NUMBERVALUE('Procyfloc 4800'!C484,".",","),IFERROR(_xludf.NUMBERVALUE('Procyfloc 4800'!C484,",","."),0))))</f>
        <v/>
      </c>
      <c r="AE3483" t="str">
        <f>IF(AA3483="","",'Procyfloc 4800'!J484)</f>
        <v/>
      </c>
      <c r="AF3483">
        <f t="shared" si="341"/>
        <v>0</v>
      </c>
      <c r="AG3483" t="str">
        <f t="shared" si="342"/>
        <v/>
      </c>
      <c r="AH3483" t="str">
        <f t="shared" si="343"/>
        <v/>
      </c>
      <c r="AI3483">
        <f t="shared" si="344"/>
        <v>0</v>
      </c>
      <c r="AJ3483">
        <f t="shared" si="345"/>
        <v>0</v>
      </c>
      <c r="AK3483">
        <v>0</v>
      </c>
      <c r="AL3483" t="str">
        <f>IF(AA3483="","",IFERROR(IF(ISNUMBER('Procyfloc 4800'!D484),'Procyfloc 4800'!D484,IF(ISNUMBER(SEARCH("12",'Procyfloc 4800'!D484)),EDATE(AB3483,12),IF(ISNUMBER(SEARCH("6",'Procyfloc 4800'!D484)),EDATE(AB3483,6),IF(ISNUMBER(SEARCH("3",'Procyfloc 4800'!D484)),EDATE(AB3483,3),DATEVALUE('Procyfloc 4800'!D484))))),""))</f>
        <v/>
      </c>
      <c r="AM3483" t="str">
        <f t="shared" ca="1" si="346"/>
        <v/>
      </c>
    </row>
    <row r="3484" spans="27:39" x14ac:dyDescent="0.3">
      <c r="AA3484" t="str">
        <f>IF(COUNTA('Procyfloc 4800'!A485,'Procyfloc 4800'!B485,'Procyfloc 4800'!C485)&gt;0,"4800","")</f>
        <v/>
      </c>
      <c r="AB3484" t="str">
        <f>IFERROR(IF(ISNUMBER('Procyfloc 4800'!A485),'Procyfloc 4800'!A485,DATEVALUE('Procyfloc 4800'!A485)),"")</f>
        <v/>
      </c>
      <c r="AC3484" t="str">
        <f>IF(AA3484="","",'Procyfloc 4800'!B485)</f>
        <v/>
      </c>
      <c r="AD3484" t="str">
        <f>IF(AA3484="","",IFERROR(1*'Procyfloc 4800'!C485,IFERROR(_xludf.NUMBERVALUE('Procyfloc 4800'!C485,".",","),IFERROR(_xludf.NUMBERVALUE('Procyfloc 4800'!C485,",","."),0))))</f>
        <v/>
      </c>
      <c r="AE3484" t="str">
        <f>IF(AA3484="","",'Procyfloc 4800'!J485)</f>
        <v/>
      </c>
      <c r="AF3484">
        <f t="shared" si="341"/>
        <v>0</v>
      </c>
      <c r="AG3484" t="str">
        <f t="shared" si="342"/>
        <v/>
      </c>
      <c r="AH3484" t="str">
        <f t="shared" si="343"/>
        <v/>
      </c>
      <c r="AI3484">
        <f t="shared" si="344"/>
        <v>0</v>
      </c>
      <c r="AJ3484">
        <f t="shared" si="345"/>
        <v>0</v>
      </c>
      <c r="AK3484">
        <v>0</v>
      </c>
      <c r="AL3484" t="str">
        <f>IF(AA3484="","",IFERROR(IF(ISNUMBER('Procyfloc 4800'!D485),'Procyfloc 4800'!D485,IF(ISNUMBER(SEARCH("12",'Procyfloc 4800'!D485)),EDATE(AB3484,12),IF(ISNUMBER(SEARCH("6",'Procyfloc 4800'!D485)),EDATE(AB3484,6),IF(ISNUMBER(SEARCH("3",'Procyfloc 4800'!D485)),EDATE(AB3484,3),DATEVALUE('Procyfloc 4800'!D485))))),""))</f>
        <v/>
      </c>
      <c r="AM3484" t="str">
        <f t="shared" ca="1" si="346"/>
        <v/>
      </c>
    </row>
    <row r="3485" spans="27:39" x14ac:dyDescent="0.3">
      <c r="AA3485" t="str">
        <f>IF(COUNTA('Procyfloc 4800'!A486,'Procyfloc 4800'!B486,'Procyfloc 4800'!C486)&gt;0,"4800","")</f>
        <v/>
      </c>
      <c r="AB3485" t="str">
        <f>IFERROR(IF(ISNUMBER('Procyfloc 4800'!A486),'Procyfloc 4800'!A486,DATEVALUE('Procyfloc 4800'!A486)),"")</f>
        <v/>
      </c>
      <c r="AC3485" t="str">
        <f>IF(AA3485="","",'Procyfloc 4800'!B486)</f>
        <v/>
      </c>
      <c r="AD3485" t="str">
        <f>IF(AA3485="","",IFERROR(1*'Procyfloc 4800'!C486,IFERROR(_xludf.NUMBERVALUE('Procyfloc 4800'!C486,".",","),IFERROR(_xludf.NUMBERVALUE('Procyfloc 4800'!C486,",","."),0))))</f>
        <v/>
      </c>
      <c r="AE3485" t="str">
        <f>IF(AA3485="","",'Procyfloc 4800'!J486)</f>
        <v/>
      </c>
      <c r="AF3485">
        <f t="shared" si="341"/>
        <v>0</v>
      </c>
      <c r="AG3485" t="str">
        <f t="shared" si="342"/>
        <v/>
      </c>
      <c r="AH3485" t="str">
        <f t="shared" si="343"/>
        <v/>
      </c>
      <c r="AI3485">
        <f t="shared" si="344"/>
        <v>0</v>
      </c>
      <c r="AJ3485">
        <f t="shared" si="345"/>
        <v>0</v>
      </c>
      <c r="AK3485">
        <v>0</v>
      </c>
      <c r="AL3485" t="str">
        <f>IF(AA3485="","",IFERROR(IF(ISNUMBER('Procyfloc 4800'!D486),'Procyfloc 4800'!D486,IF(ISNUMBER(SEARCH("12",'Procyfloc 4800'!D486)),EDATE(AB3485,12),IF(ISNUMBER(SEARCH("6",'Procyfloc 4800'!D486)),EDATE(AB3485,6),IF(ISNUMBER(SEARCH("3",'Procyfloc 4800'!D486)),EDATE(AB3485,3),DATEVALUE('Procyfloc 4800'!D486))))),""))</f>
        <v/>
      </c>
      <c r="AM3485" t="str">
        <f t="shared" ca="1" si="346"/>
        <v/>
      </c>
    </row>
    <row r="3486" spans="27:39" x14ac:dyDescent="0.3">
      <c r="AA3486" t="str">
        <f>IF(COUNTA('Procyfloc 4800'!A487,'Procyfloc 4800'!B487,'Procyfloc 4800'!C487)&gt;0,"4800","")</f>
        <v/>
      </c>
      <c r="AB3486" t="str">
        <f>IFERROR(IF(ISNUMBER('Procyfloc 4800'!A487),'Procyfloc 4800'!A487,DATEVALUE('Procyfloc 4800'!A487)),"")</f>
        <v/>
      </c>
      <c r="AC3486" t="str">
        <f>IF(AA3486="","",'Procyfloc 4800'!B487)</f>
        <v/>
      </c>
      <c r="AD3486" t="str">
        <f>IF(AA3486="","",IFERROR(1*'Procyfloc 4800'!C487,IFERROR(_xludf.NUMBERVALUE('Procyfloc 4800'!C487,".",","),IFERROR(_xludf.NUMBERVALUE('Procyfloc 4800'!C487,",","."),0))))</f>
        <v/>
      </c>
      <c r="AE3486" t="str">
        <f>IF(AA3486="","",'Procyfloc 4800'!J487)</f>
        <v/>
      </c>
      <c r="AF3486">
        <f t="shared" si="341"/>
        <v>0</v>
      </c>
      <c r="AG3486" t="str">
        <f t="shared" si="342"/>
        <v/>
      </c>
      <c r="AH3486" t="str">
        <f t="shared" si="343"/>
        <v/>
      </c>
      <c r="AI3486">
        <f t="shared" si="344"/>
        <v>0</v>
      </c>
      <c r="AJ3486">
        <f t="shared" si="345"/>
        <v>0</v>
      </c>
      <c r="AK3486">
        <v>0</v>
      </c>
      <c r="AL3486" t="str">
        <f>IF(AA3486="","",IFERROR(IF(ISNUMBER('Procyfloc 4800'!D487),'Procyfloc 4800'!D487,IF(ISNUMBER(SEARCH("12",'Procyfloc 4800'!D487)),EDATE(AB3486,12),IF(ISNUMBER(SEARCH("6",'Procyfloc 4800'!D487)),EDATE(AB3486,6),IF(ISNUMBER(SEARCH("3",'Procyfloc 4800'!D487)),EDATE(AB3486,3),DATEVALUE('Procyfloc 4800'!D487))))),""))</f>
        <v/>
      </c>
      <c r="AM3486" t="str">
        <f t="shared" ca="1" si="346"/>
        <v/>
      </c>
    </row>
    <row r="3487" spans="27:39" x14ac:dyDescent="0.3">
      <c r="AA3487" t="str">
        <f>IF(COUNTA('Procyfloc 4800'!A488,'Procyfloc 4800'!B488,'Procyfloc 4800'!C488)&gt;0,"4800","")</f>
        <v/>
      </c>
      <c r="AB3487" t="str">
        <f>IFERROR(IF(ISNUMBER('Procyfloc 4800'!A488),'Procyfloc 4800'!A488,DATEVALUE('Procyfloc 4800'!A488)),"")</f>
        <v/>
      </c>
      <c r="AC3487" t="str">
        <f>IF(AA3487="","",'Procyfloc 4800'!B488)</f>
        <v/>
      </c>
      <c r="AD3487" t="str">
        <f>IF(AA3487="","",IFERROR(1*'Procyfloc 4800'!C488,IFERROR(_xludf.NUMBERVALUE('Procyfloc 4800'!C488,".",","),IFERROR(_xludf.NUMBERVALUE('Procyfloc 4800'!C488,",","."),0))))</f>
        <v/>
      </c>
      <c r="AE3487" t="str">
        <f>IF(AA3487="","",'Procyfloc 4800'!J488)</f>
        <v/>
      </c>
      <c r="AF3487">
        <f t="shared" si="341"/>
        <v>0</v>
      </c>
      <c r="AG3487" t="str">
        <f t="shared" si="342"/>
        <v/>
      </c>
      <c r="AH3487" t="str">
        <f t="shared" si="343"/>
        <v/>
      </c>
      <c r="AI3487">
        <f t="shared" si="344"/>
        <v>0</v>
      </c>
      <c r="AJ3487">
        <f t="shared" si="345"/>
        <v>0</v>
      </c>
      <c r="AK3487">
        <v>0</v>
      </c>
      <c r="AL3487" t="str">
        <f>IF(AA3487="","",IFERROR(IF(ISNUMBER('Procyfloc 4800'!D488),'Procyfloc 4800'!D488,IF(ISNUMBER(SEARCH("12",'Procyfloc 4800'!D488)),EDATE(AB3487,12),IF(ISNUMBER(SEARCH("6",'Procyfloc 4800'!D488)),EDATE(AB3487,6),IF(ISNUMBER(SEARCH("3",'Procyfloc 4800'!D488)),EDATE(AB3487,3),DATEVALUE('Procyfloc 4800'!D488))))),""))</f>
        <v/>
      </c>
      <c r="AM3487" t="str">
        <f t="shared" ca="1" si="346"/>
        <v/>
      </c>
    </row>
    <row r="3488" spans="27:39" x14ac:dyDescent="0.3">
      <c r="AA3488" t="str">
        <f>IF(COUNTA('Procyfloc 4800'!A489,'Procyfloc 4800'!B489,'Procyfloc 4800'!C489)&gt;0,"4800","")</f>
        <v/>
      </c>
      <c r="AB3488" t="str">
        <f>IFERROR(IF(ISNUMBER('Procyfloc 4800'!A489),'Procyfloc 4800'!A489,DATEVALUE('Procyfloc 4800'!A489)),"")</f>
        <v/>
      </c>
      <c r="AC3488" t="str">
        <f>IF(AA3488="","",'Procyfloc 4800'!B489)</f>
        <v/>
      </c>
      <c r="AD3488" t="str">
        <f>IF(AA3488="","",IFERROR(1*'Procyfloc 4800'!C489,IFERROR(_xludf.NUMBERVALUE('Procyfloc 4800'!C489,".",","),IFERROR(_xludf.NUMBERVALUE('Procyfloc 4800'!C489,",","."),0))))</f>
        <v/>
      </c>
      <c r="AE3488" t="str">
        <f>IF(AA3488="","",'Procyfloc 4800'!J489)</f>
        <v/>
      </c>
      <c r="AF3488">
        <f t="shared" si="341"/>
        <v>0</v>
      </c>
      <c r="AG3488" t="str">
        <f t="shared" si="342"/>
        <v/>
      </c>
      <c r="AH3488" t="str">
        <f t="shared" si="343"/>
        <v/>
      </c>
      <c r="AI3488">
        <f t="shared" si="344"/>
        <v>0</v>
      </c>
      <c r="AJ3488">
        <f t="shared" si="345"/>
        <v>0</v>
      </c>
      <c r="AK3488">
        <v>0</v>
      </c>
      <c r="AL3488" t="str">
        <f>IF(AA3488="","",IFERROR(IF(ISNUMBER('Procyfloc 4800'!D489),'Procyfloc 4800'!D489,IF(ISNUMBER(SEARCH("12",'Procyfloc 4800'!D489)),EDATE(AB3488,12),IF(ISNUMBER(SEARCH("6",'Procyfloc 4800'!D489)),EDATE(AB3488,6),IF(ISNUMBER(SEARCH("3",'Procyfloc 4800'!D489)),EDATE(AB3488,3),DATEVALUE('Procyfloc 4800'!D489))))),""))</f>
        <v/>
      </c>
      <c r="AM3488" t="str">
        <f t="shared" ca="1" si="346"/>
        <v/>
      </c>
    </row>
    <row r="3489" spans="27:39" x14ac:dyDescent="0.3">
      <c r="AA3489" t="str">
        <f>IF(COUNTA('Procyfloc 4800'!A490,'Procyfloc 4800'!B490,'Procyfloc 4800'!C490)&gt;0,"4800","")</f>
        <v/>
      </c>
      <c r="AB3489" t="str">
        <f>IFERROR(IF(ISNUMBER('Procyfloc 4800'!A490),'Procyfloc 4800'!A490,DATEVALUE('Procyfloc 4800'!A490)),"")</f>
        <v/>
      </c>
      <c r="AC3489" t="str">
        <f>IF(AA3489="","",'Procyfloc 4800'!B490)</f>
        <v/>
      </c>
      <c r="AD3489" t="str">
        <f>IF(AA3489="","",IFERROR(1*'Procyfloc 4800'!C490,IFERROR(_xludf.NUMBERVALUE('Procyfloc 4800'!C490,".",","),IFERROR(_xludf.NUMBERVALUE('Procyfloc 4800'!C490,",","."),0))))</f>
        <v/>
      </c>
      <c r="AE3489" t="str">
        <f>IF(AA3489="","",'Procyfloc 4800'!J490)</f>
        <v/>
      </c>
      <c r="AF3489">
        <f t="shared" si="341"/>
        <v>0</v>
      </c>
      <c r="AG3489" t="str">
        <f t="shared" si="342"/>
        <v/>
      </c>
      <c r="AH3489" t="str">
        <f t="shared" si="343"/>
        <v/>
      </c>
      <c r="AI3489">
        <f t="shared" si="344"/>
        <v>0</v>
      </c>
      <c r="AJ3489">
        <f t="shared" si="345"/>
        <v>0</v>
      </c>
      <c r="AK3489">
        <v>0</v>
      </c>
      <c r="AL3489" t="str">
        <f>IF(AA3489="","",IFERROR(IF(ISNUMBER('Procyfloc 4800'!D490),'Procyfloc 4800'!D490,IF(ISNUMBER(SEARCH("12",'Procyfloc 4800'!D490)),EDATE(AB3489,12),IF(ISNUMBER(SEARCH("6",'Procyfloc 4800'!D490)),EDATE(AB3489,6),IF(ISNUMBER(SEARCH("3",'Procyfloc 4800'!D490)),EDATE(AB3489,3),DATEVALUE('Procyfloc 4800'!D490))))),""))</f>
        <v/>
      </c>
      <c r="AM3489" t="str">
        <f t="shared" ca="1" si="346"/>
        <v/>
      </c>
    </row>
    <row r="3490" spans="27:39" x14ac:dyDescent="0.3">
      <c r="AA3490" t="str">
        <f>IF(COUNTA('Procyfloc 4800'!A491,'Procyfloc 4800'!B491,'Procyfloc 4800'!C491)&gt;0,"4800","")</f>
        <v/>
      </c>
      <c r="AB3490" t="str">
        <f>IFERROR(IF(ISNUMBER('Procyfloc 4800'!A491),'Procyfloc 4800'!A491,DATEVALUE('Procyfloc 4800'!A491)),"")</f>
        <v/>
      </c>
      <c r="AC3490" t="str">
        <f>IF(AA3490="","",'Procyfloc 4800'!B491)</f>
        <v/>
      </c>
      <c r="AD3490" t="str">
        <f>IF(AA3490="","",IFERROR(1*'Procyfloc 4800'!C491,IFERROR(_xludf.NUMBERVALUE('Procyfloc 4800'!C491,".",","),IFERROR(_xludf.NUMBERVALUE('Procyfloc 4800'!C491,",","."),0))))</f>
        <v/>
      </c>
      <c r="AE3490" t="str">
        <f>IF(AA3490="","",'Procyfloc 4800'!J491)</f>
        <v/>
      </c>
      <c r="AF3490">
        <f t="shared" si="341"/>
        <v>0</v>
      </c>
      <c r="AG3490" t="str">
        <f t="shared" si="342"/>
        <v/>
      </c>
      <c r="AH3490" t="str">
        <f t="shared" si="343"/>
        <v/>
      </c>
      <c r="AI3490">
        <f t="shared" si="344"/>
        <v>0</v>
      </c>
      <c r="AJ3490">
        <f t="shared" si="345"/>
        <v>0</v>
      </c>
      <c r="AK3490">
        <v>0</v>
      </c>
      <c r="AL3490" t="str">
        <f>IF(AA3490="","",IFERROR(IF(ISNUMBER('Procyfloc 4800'!D491),'Procyfloc 4800'!D491,IF(ISNUMBER(SEARCH("12",'Procyfloc 4800'!D491)),EDATE(AB3490,12),IF(ISNUMBER(SEARCH("6",'Procyfloc 4800'!D491)),EDATE(AB3490,6),IF(ISNUMBER(SEARCH("3",'Procyfloc 4800'!D491)),EDATE(AB3490,3),DATEVALUE('Procyfloc 4800'!D491))))),""))</f>
        <v/>
      </c>
      <c r="AM3490" t="str">
        <f t="shared" ca="1" si="346"/>
        <v/>
      </c>
    </row>
    <row r="3491" spans="27:39" x14ac:dyDescent="0.3">
      <c r="AA3491" t="str">
        <f>IF(COUNTA('Procyfloc 4800'!A492,'Procyfloc 4800'!B492,'Procyfloc 4800'!C492)&gt;0,"4800","")</f>
        <v/>
      </c>
      <c r="AB3491" t="str">
        <f>IFERROR(IF(ISNUMBER('Procyfloc 4800'!A492),'Procyfloc 4800'!A492,DATEVALUE('Procyfloc 4800'!A492)),"")</f>
        <v/>
      </c>
      <c r="AC3491" t="str">
        <f>IF(AA3491="","",'Procyfloc 4800'!B492)</f>
        <v/>
      </c>
      <c r="AD3491" t="str">
        <f>IF(AA3491="","",IFERROR(1*'Procyfloc 4800'!C492,IFERROR(_xludf.NUMBERVALUE('Procyfloc 4800'!C492,".",","),IFERROR(_xludf.NUMBERVALUE('Procyfloc 4800'!C492,",","."),0))))</f>
        <v/>
      </c>
      <c r="AE3491" t="str">
        <f>IF(AA3491="","",'Procyfloc 4800'!J492)</f>
        <v/>
      </c>
      <c r="AF3491">
        <f t="shared" si="341"/>
        <v>0</v>
      </c>
      <c r="AG3491" t="str">
        <f t="shared" si="342"/>
        <v/>
      </c>
      <c r="AH3491" t="str">
        <f t="shared" si="343"/>
        <v/>
      </c>
      <c r="AI3491">
        <f t="shared" si="344"/>
        <v>0</v>
      </c>
      <c r="AJ3491">
        <f t="shared" si="345"/>
        <v>0</v>
      </c>
      <c r="AK3491">
        <v>0</v>
      </c>
      <c r="AL3491" t="str">
        <f>IF(AA3491="","",IFERROR(IF(ISNUMBER('Procyfloc 4800'!D492),'Procyfloc 4800'!D492,IF(ISNUMBER(SEARCH("12",'Procyfloc 4800'!D492)),EDATE(AB3491,12),IF(ISNUMBER(SEARCH("6",'Procyfloc 4800'!D492)),EDATE(AB3491,6),IF(ISNUMBER(SEARCH("3",'Procyfloc 4800'!D492)),EDATE(AB3491,3),DATEVALUE('Procyfloc 4800'!D492))))),""))</f>
        <v/>
      </c>
      <c r="AM3491" t="str">
        <f t="shared" ca="1" si="346"/>
        <v/>
      </c>
    </row>
    <row r="3492" spans="27:39" x14ac:dyDescent="0.3">
      <c r="AA3492" t="str">
        <f>IF(COUNTA('Procyfloc 4800'!A493,'Procyfloc 4800'!B493,'Procyfloc 4800'!C493)&gt;0,"4800","")</f>
        <v/>
      </c>
      <c r="AB3492" t="str">
        <f>IFERROR(IF(ISNUMBER('Procyfloc 4800'!A493),'Procyfloc 4800'!A493,DATEVALUE('Procyfloc 4800'!A493)),"")</f>
        <v/>
      </c>
      <c r="AC3492" t="str">
        <f>IF(AA3492="","",'Procyfloc 4800'!B493)</f>
        <v/>
      </c>
      <c r="AD3492" t="str">
        <f>IF(AA3492="","",IFERROR(1*'Procyfloc 4800'!C493,IFERROR(_xludf.NUMBERVALUE('Procyfloc 4800'!C493,".",","),IFERROR(_xludf.NUMBERVALUE('Procyfloc 4800'!C493,",","."),0))))</f>
        <v/>
      </c>
      <c r="AE3492" t="str">
        <f>IF(AA3492="","",'Procyfloc 4800'!J493)</f>
        <v/>
      </c>
      <c r="AF3492">
        <f t="shared" si="341"/>
        <v>0</v>
      </c>
      <c r="AG3492" t="str">
        <f t="shared" si="342"/>
        <v/>
      </c>
      <c r="AH3492" t="str">
        <f t="shared" si="343"/>
        <v/>
      </c>
      <c r="AI3492">
        <f t="shared" si="344"/>
        <v>0</v>
      </c>
      <c r="AJ3492">
        <f t="shared" si="345"/>
        <v>0</v>
      </c>
      <c r="AK3492">
        <v>0</v>
      </c>
      <c r="AL3492" t="str">
        <f>IF(AA3492="","",IFERROR(IF(ISNUMBER('Procyfloc 4800'!D493),'Procyfloc 4800'!D493,IF(ISNUMBER(SEARCH("12",'Procyfloc 4800'!D493)),EDATE(AB3492,12),IF(ISNUMBER(SEARCH("6",'Procyfloc 4800'!D493)),EDATE(AB3492,6),IF(ISNUMBER(SEARCH("3",'Procyfloc 4800'!D493)),EDATE(AB3492,3),DATEVALUE('Procyfloc 4800'!D493))))),""))</f>
        <v/>
      </c>
      <c r="AM3492" t="str">
        <f t="shared" ca="1" si="346"/>
        <v/>
      </c>
    </row>
    <row r="3493" spans="27:39" x14ac:dyDescent="0.3">
      <c r="AA3493" t="str">
        <f>IF(COUNTA('Procyfloc 4800'!A494,'Procyfloc 4800'!B494,'Procyfloc 4800'!C494)&gt;0,"4800","")</f>
        <v/>
      </c>
      <c r="AB3493" t="str">
        <f>IFERROR(IF(ISNUMBER('Procyfloc 4800'!A494),'Procyfloc 4800'!A494,DATEVALUE('Procyfloc 4800'!A494)),"")</f>
        <v/>
      </c>
      <c r="AC3493" t="str">
        <f>IF(AA3493="","",'Procyfloc 4800'!B494)</f>
        <v/>
      </c>
      <c r="AD3493" t="str">
        <f>IF(AA3493="","",IFERROR(1*'Procyfloc 4800'!C494,IFERROR(_xludf.NUMBERVALUE('Procyfloc 4800'!C494,".",","),IFERROR(_xludf.NUMBERVALUE('Procyfloc 4800'!C494,",","."),0))))</f>
        <v/>
      </c>
      <c r="AE3493" t="str">
        <f>IF(AA3493="","",'Procyfloc 4800'!J494)</f>
        <v/>
      </c>
      <c r="AF3493">
        <f t="shared" si="341"/>
        <v>0</v>
      </c>
      <c r="AG3493" t="str">
        <f t="shared" si="342"/>
        <v/>
      </c>
      <c r="AH3493" t="str">
        <f t="shared" si="343"/>
        <v/>
      </c>
      <c r="AI3493">
        <f t="shared" si="344"/>
        <v>0</v>
      </c>
      <c r="AJ3493">
        <f t="shared" si="345"/>
        <v>0</v>
      </c>
      <c r="AK3493">
        <v>0</v>
      </c>
      <c r="AL3493" t="str">
        <f>IF(AA3493="","",IFERROR(IF(ISNUMBER('Procyfloc 4800'!D494),'Procyfloc 4800'!D494,IF(ISNUMBER(SEARCH("12",'Procyfloc 4800'!D494)),EDATE(AB3493,12),IF(ISNUMBER(SEARCH("6",'Procyfloc 4800'!D494)),EDATE(AB3493,6),IF(ISNUMBER(SEARCH("3",'Procyfloc 4800'!D494)),EDATE(AB3493,3),DATEVALUE('Procyfloc 4800'!D494))))),""))</f>
        <v/>
      </c>
      <c r="AM3493" t="str">
        <f t="shared" ca="1" si="346"/>
        <v/>
      </c>
    </row>
    <row r="3494" spans="27:39" x14ac:dyDescent="0.3">
      <c r="AA3494" t="str">
        <f>IF(COUNTA('Procyfloc 4800'!A495,'Procyfloc 4800'!B495,'Procyfloc 4800'!C495)&gt;0,"4800","")</f>
        <v/>
      </c>
      <c r="AB3494" t="str">
        <f>IFERROR(IF(ISNUMBER('Procyfloc 4800'!A495),'Procyfloc 4800'!A495,DATEVALUE('Procyfloc 4800'!A495)),"")</f>
        <v/>
      </c>
      <c r="AC3494" t="str">
        <f>IF(AA3494="","",'Procyfloc 4800'!B495)</f>
        <v/>
      </c>
      <c r="AD3494" t="str">
        <f>IF(AA3494="","",IFERROR(1*'Procyfloc 4800'!C495,IFERROR(_xludf.NUMBERVALUE('Procyfloc 4800'!C495,".",","),IFERROR(_xludf.NUMBERVALUE('Procyfloc 4800'!C495,",","."),0))))</f>
        <v/>
      </c>
      <c r="AE3494" t="str">
        <f>IF(AA3494="","",'Procyfloc 4800'!J495)</f>
        <v/>
      </c>
      <c r="AF3494">
        <f t="shared" si="341"/>
        <v>0</v>
      </c>
      <c r="AG3494" t="str">
        <f t="shared" si="342"/>
        <v/>
      </c>
      <c r="AH3494" t="str">
        <f t="shared" si="343"/>
        <v/>
      </c>
      <c r="AI3494">
        <f t="shared" si="344"/>
        <v>0</v>
      </c>
      <c r="AJ3494">
        <f t="shared" si="345"/>
        <v>0</v>
      </c>
      <c r="AK3494">
        <v>0</v>
      </c>
      <c r="AL3494" t="str">
        <f>IF(AA3494="","",IFERROR(IF(ISNUMBER('Procyfloc 4800'!D495),'Procyfloc 4800'!D495,IF(ISNUMBER(SEARCH("12",'Procyfloc 4800'!D495)),EDATE(AB3494,12),IF(ISNUMBER(SEARCH("6",'Procyfloc 4800'!D495)),EDATE(AB3494,6),IF(ISNUMBER(SEARCH("3",'Procyfloc 4800'!D495)),EDATE(AB3494,3),DATEVALUE('Procyfloc 4800'!D495))))),""))</f>
        <v/>
      </c>
      <c r="AM3494" t="str">
        <f t="shared" ca="1" si="346"/>
        <v/>
      </c>
    </row>
    <row r="3495" spans="27:39" x14ac:dyDescent="0.3">
      <c r="AA3495" t="str">
        <f>IF(COUNTA('Procyfloc 4800'!A496,'Procyfloc 4800'!B496,'Procyfloc 4800'!C496)&gt;0,"4800","")</f>
        <v/>
      </c>
      <c r="AB3495" t="str">
        <f>IFERROR(IF(ISNUMBER('Procyfloc 4800'!A496),'Procyfloc 4800'!A496,DATEVALUE('Procyfloc 4800'!A496)),"")</f>
        <v/>
      </c>
      <c r="AC3495" t="str">
        <f>IF(AA3495="","",'Procyfloc 4800'!B496)</f>
        <v/>
      </c>
      <c r="AD3495" t="str">
        <f>IF(AA3495="","",IFERROR(1*'Procyfloc 4800'!C496,IFERROR(_xludf.NUMBERVALUE('Procyfloc 4800'!C496,".",","),IFERROR(_xludf.NUMBERVALUE('Procyfloc 4800'!C496,",","."),0))))</f>
        <v/>
      </c>
      <c r="AE3495" t="str">
        <f>IF(AA3495="","",'Procyfloc 4800'!J496)</f>
        <v/>
      </c>
      <c r="AF3495">
        <f t="shared" si="341"/>
        <v>0</v>
      </c>
      <c r="AG3495" t="str">
        <f t="shared" si="342"/>
        <v/>
      </c>
      <c r="AH3495" t="str">
        <f t="shared" si="343"/>
        <v/>
      </c>
      <c r="AI3495">
        <f t="shared" si="344"/>
        <v>0</v>
      </c>
      <c r="AJ3495">
        <f t="shared" si="345"/>
        <v>0</v>
      </c>
      <c r="AK3495">
        <v>0</v>
      </c>
      <c r="AL3495" t="str">
        <f>IF(AA3495="","",IFERROR(IF(ISNUMBER('Procyfloc 4800'!D496),'Procyfloc 4800'!D496,IF(ISNUMBER(SEARCH("12",'Procyfloc 4800'!D496)),EDATE(AB3495,12),IF(ISNUMBER(SEARCH("6",'Procyfloc 4800'!D496)),EDATE(AB3495,6),IF(ISNUMBER(SEARCH("3",'Procyfloc 4800'!D496)),EDATE(AB3495,3),DATEVALUE('Procyfloc 4800'!D496))))),""))</f>
        <v/>
      </c>
      <c r="AM3495" t="str">
        <f t="shared" ca="1" si="346"/>
        <v/>
      </c>
    </row>
    <row r="3496" spans="27:39" x14ac:dyDescent="0.3">
      <c r="AA3496" t="str">
        <f>IF(COUNTA('Procyfloc 4800'!A497,'Procyfloc 4800'!B497,'Procyfloc 4800'!C497)&gt;0,"4800","")</f>
        <v/>
      </c>
      <c r="AB3496" t="str">
        <f>IFERROR(IF(ISNUMBER('Procyfloc 4800'!A497),'Procyfloc 4800'!A497,DATEVALUE('Procyfloc 4800'!A497)),"")</f>
        <v/>
      </c>
      <c r="AC3496" t="str">
        <f>IF(AA3496="","",'Procyfloc 4800'!B497)</f>
        <v/>
      </c>
      <c r="AD3496" t="str">
        <f>IF(AA3496="","",IFERROR(1*'Procyfloc 4800'!C497,IFERROR(_xludf.NUMBERVALUE('Procyfloc 4800'!C497,".",","),IFERROR(_xludf.NUMBERVALUE('Procyfloc 4800'!C497,",","."),0))))</f>
        <v/>
      </c>
      <c r="AE3496" t="str">
        <f>IF(AA3496="","",'Procyfloc 4800'!J497)</f>
        <v/>
      </c>
      <c r="AF3496">
        <f t="shared" si="341"/>
        <v>0</v>
      </c>
      <c r="AG3496" t="str">
        <f t="shared" si="342"/>
        <v/>
      </c>
      <c r="AH3496" t="str">
        <f t="shared" si="343"/>
        <v/>
      </c>
      <c r="AI3496">
        <f t="shared" si="344"/>
        <v>0</v>
      </c>
      <c r="AJ3496">
        <f t="shared" si="345"/>
        <v>0</v>
      </c>
      <c r="AK3496">
        <v>0</v>
      </c>
      <c r="AL3496" t="str">
        <f>IF(AA3496="","",IFERROR(IF(ISNUMBER('Procyfloc 4800'!D497),'Procyfloc 4800'!D497,IF(ISNUMBER(SEARCH("12",'Procyfloc 4800'!D497)),EDATE(AB3496,12),IF(ISNUMBER(SEARCH("6",'Procyfloc 4800'!D497)),EDATE(AB3496,6),IF(ISNUMBER(SEARCH("3",'Procyfloc 4800'!D497)),EDATE(AB3496,3),DATEVALUE('Procyfloc 4800'!D497))))),""))</f>
        <v/>
      </c>
      <c r="AM3496" t="str">
        <f t="shared" ca="1" si="346"/>
        <v/>
      </c>
    </row>
    <row r="3497" spans="27:39" x14ac:dyDescent="0.3">
      <c r="AA3497" t="str">
        <f>IF(COUNTA('Procyfloc 4800'!A498,'Procyfloc 4800'!B498,'Procyfloc 4800'!C498)&gt;0,"4800","")</f>
        <v/>
      </c>
      <c r="AB3497" t="str">
        <f>IFERROR(IF(ISNUMBER('Procyfloc 4800'!A498),'Procyfloc 4800'!A498,DATEVALUE('Procyfloc 4800'!A498)),"")</f>
        <v/>
      </c>
      <c r="AC3497" t="str">
        <f>IF(AA3497="","",'Procyfloc 4800'!B498)</f>
        <v/>
      </c>
      <c r="AD3497" t="str">
        <f>IF(AA3497="","",IFERROR(1*'Procyfloc 4800'!C498,IFERROR(_xludf.NUMBERVALUE('Procyfloc 4800'!C498,".",","),IFERROR(_xludf.NUMBERVALUE('Procyfloc 4800'!C498,",","."),0))))</f>
        <v/>
      </c>
      <c r="AE3497" t="str">
        <f>IF(AA3497="","",'Procyfloc 4800'!J498)</f>
        <v/>
      </c>
      <c r="AF3497">
        <f t="shared" si="341"/>
        <v>0</v>
      </c>
      <c r="AG3497" t="str">
        <f t="shared" si="342"/>
        <v/>
      </c>
      <c r="AH3497" t="str">
        <f t="shared" si="343"/>
        <v/>
      </c>
      <c r="AI3497">
        <f t="shared" si="344"/>
        <v>0</v>
      </c>
      <c r="AJ3497">
        <f t="shared" si="345"/>
        <v>0</v>
      </c>
      <c r="AK3497">
        <v>0</v>
      </c>
      <c r="AL3497" t="str">
        <f>IF(AA3497="","",IFERROR(IF(ISNUMBER('Procyfloc 4800'!D498),'Procyfloc 4800'!D498,IF(ISNUMBER(SEARCH("12",'Procyfloc 4800'!D498)),EDATE(AB3497,12),IF(ISNUMBER(SEARCH("6",'Procyfloc 4800'!D498)),EDATE(AB3497,6),IF(ISNUMBER(SEARCH("3",'Procyfloc 4800'!D498)),EDATE(AB3497,3),DATEVALUE('Procyfloc 4800'!D498))))),""))</f>
        <v/>
      </c>
      <c r="AM3497" t="str">
        <f t="shared" ca="1" si="346"/>
        <v/>
      </c>
    </row>
    <row r="3498" spans="27:39" x14ac:dyDescent="0.3">
      <c r="AA3498" t="str">
        <f>IF(COUNTA('Procyfloc 4800'!A499,'Procyfloc 4800'!B499,'Procyfloc 4800'!C499)&gt;0,"4800","")</f>
        <v/>
      </c>
      <c r="AB3498" t="str">
        <f>IFERROR(IF(ISNUMBER('Procyfloc 4800'!A499),'Procyfloc 4800'!A499,DATEVALUE('Procyfloc 4800'!A499)),"")</f>
        <v/>
      </c>
      <c r="AC3498" t="str">
        <f>IF(AA3498="","",'Procyfloc 4800'!B499)</f>
        <v/>
      </c>
      <c r="AD3498" t="str">
        <f>IF(AA3498="","",IFERROR(1*'Procyfloc 4800'!C499,IFERROR(_xludf.NUMBERVALUE('Procyfloc 4800'!C499,".",","),IFERROR(_xludf.NUMBERVALUE('Procyfloc 4800'!C499,",","."),0))))</f>
        <v/>
      </c>
      <c r="AE3498" t="str">
        <f>IF(AA3498="","",'Procyfloc 4800'!J499)</f>
        <v/>
      </c>
      <c r="AF3498">
        <f t="shared" si="341"/>
        <v>0</v>
      </c>
      <c r="AG3498" t="str">
        <f t="shared" si="342"/>
        <v/>
      </c>
      <c r="AH3498" t="str">
        <f t="shared" si="343"/>
        <v/>
      </c>
      <c r="AI3498">
        <f t="shared" si="344"/>
        <v>0</v>
      </c>
      <c r="AJ3498">
        <f t="shared" si="345"/>
        <v>0</v>
      </c>
      <c r="AK3498">
        <v>0</v>
      </c>
      <c r="AL3498" t="str">
        <f>IF(AA3498="","",IFERROR(IF(ISNUMBER('Procyfloc 4800'!D499),'Procyfloc 4800'!D499,IF(ISNUMBER(SEARCH("12",'Procyfloc 4800'!D499)),EDATE(AB3498,12),IF(ISNUMBER(SEARCH("6",'Procyfloc 4800'!D499)),EDATE(AB3498,6),IF(ISNUMBER(SEARCH("3",'Procyfloc 4800'!D499)),EDATE(AB3498,3),DATEVALUE('Procyfloc 4800'!D499))))),""))</f>
        <v/>
      </c>
      <c r="AM3498" t="str">
        <f t="shared" ca="1" si="346"/>
        <v/>
      </c>
    </row>
    <row r="3499" spans="27:39" x14ac:dyDescent="0.3">
      <c r="AA3499" t="str">
        <f>IF(COUNTA('Procyfloc 4800'!A500,'Procyfloc 4800'!B500,'Procyfloc 4800'!C500)&gt;0,"4800","")</f>
        <v/>
      </c>
      <c r="AB3499" t="str">
        <f>IFERROR(IF(ISNUMBER('Procyfloc 4800'!A500),'Procyfloc 4800'!A500,DATEVALUE('Procyfloc 4800'!A500)),"")</f>
        <v/>
      </c>
      <c r="AC3499" t="str">
        <f>IF(AA3499="","",'Procyfloc 4800'!B500)</f>
        <v/>
      </c>
      <c r="AD3499" t="str">
        <f>IF(AA3499="","",IFERROR(1*'Procyfloc 4800'!C500,IFERROR(_xludf.NUMBERVALUE('Procyfloc 4800'!C500,".",","),IFERROR(_xludf.NUMBERVALUE('Procyfloc 4800'!C500,",","."),0))))</f>
        <v/>
      </c>
      <c r="AE3499" t="str">
        <f>IF(AA3499="","",'Procyfloc 4800'!J500)</f>
        <v/>
      </c>
      <c r="AF3499">
        <f t="shared" si="341"/>
        <v>0</v>
      </c>
      <c r="AG3499" t="str">
        <f t="shared" si="342"/>
        <v/>
      </c>
      <c r="AH3499" t="str">
        <f t="shared" si="343"/>
        <v/>
      </c>
      <c r="AI3499">
        <f t="shared" si="344"/>
        <v>0</v>
      </c>
      <c r="AJ3499">
        <f t="shared" si="345"/>
        <v>0</v>
      </c>
      <c r="AK3499">
        <v>0</v>
      </c>
      <c r="AL3499" t="str">
        <f>IF(AA3499="","",IFERROR(IF(ISNUMBER('Procyfloc 4800'!D500),'Procyfloc 4800'!D500,IF(ISNUMBER(SEARCH("12",'Procyfloc 4800'!D500)),EDATE(AB3499,12),IF(ISNUMBER(SEARCH("6",'Procyfloc 4800'!D500)),EDATE(AB3499,6),IF(ISNUMBER(SEARCH("3",'Procyfloc 4800'!D500)),EDATE(AB3499,3),DATEVALUE('Procyfloc 4800'!D500))))),""))</f>
        <v/>
      </c>
      <c r="AM3499" t="str">
        <f t="shared" ca="1" si="346"/>
        <v/>
      </c>
    </row>
    <row r="3500" spans="27:39" x14ac:dyDescent="0.3">
      <c r="AA3500" t="str">
        <f>IF(COUNTA('Procyfloc 4800'!A501,'Procyfloc 4800'!B501,'Procyfloc 4800'!C501)&gt;0,"4800","")</f>
        <v/>
      </c>
      <c r="AB3500" t="str">
        <f>IFERROR(IF(ISNUMBER('Procyfloc 4800'!A501),'Procyfloc 4800'!A501,DATEVALUE('Procyfloc 4800'!A501)),"")</f>
        <v/>
      </c>
      <c r="AC3500" t="str">
        <f>IF(AA3500="","",'Procyfloc 4800'!B501)</f>
        <v/>
      </c>
      <c r="AD3500" t="str">
        <f>IF(AA3500="","",IFERROR(1*'Procyfloc 4800'!C501,IFERROR(_xludf.NUMBERVALUE('Procyfloc 4800'!C501,".",","),IFERROR(_xludf.NUMBERVALUE('Procyfloc 4800'!C501,",","."),0))))</f>
        <v/>
      </c>
      <c r="AE3500" t="str">
        <f>IF(AA3500="","",'Procyfloc 4800'!J501)</f>
        <v/>
      </c>
      <c r="AF3500">
        <f t="shared" si="341"/>
        <v>0</v>
      </c>
      <c r="AG3500" t="str">
        <f t="shared" si="342"/>
        <v/>
      </c>
      <c r="AH3500" t="str">
        <f t="shared" si="343"/>
        <v/>
      </c>
      <c r="AI3500">
        <f t="shared" si="344"/>
        <v>0</v>
      </c>
      <c r="AJ3500">
        <f t="shared" si="345"/>
        <v>0</v>
      </c>
      <c r="AK3500">
        <v>0</v>
      </c>
      <c r="AL3500" t="str">
        <f>IF(AA3500="","",IFERROR(IF(ISNUMBER('Procyfloc 4800'!D501),'Procyfloc 4800'!D501,IF(ISNUMBER(SEARCH("12",'Procyfloc 4800'!D501)),EDATE(AB3500,12),IF(ISNUMBER(SEARCH("6",'Procyfloc 4800'!D501)),EDATE(AB3500,6),IF(ISNUMBER(SEARCH("3",'Procyfloc 4800'!D501)),EDATE(AB3500,3),DATEVALUE('Procyfloc 4800'!D501))))),""))</f>
        <v/>
      </c>
      <c r="AM3500" t="str">
        <f t="shared" ca="1" si="346"/>
        <v/>
      </c>
    </row>
    <row r="3501" spans="27:39" x14ac:dyDescent="0.3">
      <c r="AA3501" t="str">
        <f>IF(COUNTA('Procyfloc 4800'!A502,'Procyfloc 4800'!B502,'Procyfloc 4800'!C502)&gt;0,"4800","")</f>
        <v/>
      </c>
      <c r="AB3501" t="str">
        <f>IFERROR(IF(ISNUMBER('Procyfloc 4800'!A502),'Procyfloc 4800'!A502,DATEVALUE('Procyfloc 4800'!A502)),"")</f>
        <v/>
      </c>
      <c r="AC3501" t="str">
        <f>IF(AA3501="","",'Procyfloc 4800'!B502)</f>
        <v/>
      </c>
      <c r="AD3501" t="str">
        <f>IF(AA3501="","",IFERROR(1*'Procyfloc 4800'!C502,IFERROR(_xludf.NUMBERVALUE('Procyfloc 4800'!C502,".",","),IFERROR(_xludf.NUMBERVALUE('Procyfloc 4800'!C502,",","."),0))))</f>
        <v/>
      </c>
      <c r="AE3501" t="str">
        <f>IF(AA3501="","",'Procyfloc 4800'!J502)</f>
        <v/>
      </c>
      <c r="AF3501">
        <f t="shared" si="341"/>
        <v>0</v>
      </c>
      <c r="AG3501" t="str">
        <f t="shared" si="342"/>
        <v/>
      </c>
      <c r="AH3501" t="str">
        <f t="shared" si="343"/>
        <v/>
      </c>
      <c r="AI3501">
        <f t="shared" si="344"/>
        <v>0</v>
      </c>
      <c r="AJ3501">
        <f t="shared" si="345"/>
        <v>0</v>
      </c>
      <c r="AK3501">
        <v>0</v>
      </c>
      <c r="AL3501" t="str">
        <f>IF(AA3501="","",IFERROR(IF(ISNUMBER('Procyfloc 4800'!D502),'Procyfloc 4800'!D502,IF(ISNUMBER(SEARCH("12",'Procyfloc 4800'!D502)),EDATE(AB3501,12),IF(ISNUMBER(SEARCH("6",'Procyfloc 4800'!D502)),EDATE(AB3501,6),IF(ISNUMBER(SEARCH("3",'Procyfloc 4800'!D502)),EDATE(AB3501,3),DATEVALUE('Procyfloc 4800'!D502))))),""))</f>
        <v/>
      </c>
      <c r="AM3501" t="str">
        <f t="shared" ca="1" si="346"/>
        <v/>
      </c>
    </row>
    <row r="3502" spans="27:39" x14ac:dyDescent="0.3">
      <c r="AA3502" t="str">
        <f>IF(COUNTA('Procyfloc AL200'!A3,'Procyfloc AL200'!B3,'Procyfloc AL200'!C3)&gt;0,"AL200","")</f>
        <v/>
      </c>
      <c r="AB3502" t="str">
        <f>IFERROR(IF(ISNUMBER('Procyfloc AL200'!A3),'Procyfloc AL200'!A3,DATEVALUE('Procyfloc AL200'!A3)),"")</f>
        <v/>
      </c>
      <c r="AC3502" t="str">
        <f>IF(AA3502="","",'Procyfloc AL200'!B3)</f>
        <v/>
      </c>
      <c r="AD3502" t="str">
        <f>IF(AA3502="","",IFERROR(1*'Procyfloc AL200'!C3,IFERROR(_xludf.NUMBERVALUE('Procyfloc AL200'!C3,".",","),IFERROR(_xludf.NUMBERVALUE('Procyfloc AL200'!C3,",","."),0))))</f>
        <v/>
      </c>
      <c r="AE3502" t="str">
        <f>IF(AA3502="","",'Procyfloc AL200'!K3)</f>
        <v/>
      </c>
      <c r="AF3502">
        <f t="shared" si="341"/>
        <v>0</v>
      </c>
      <c r="AG3502" t="str">
        <f t="shared" si="342"/>
        <v/>
      </c>
      <c r="AH3502" t="str">
        <f t="shared" si="343"/>
        <v/>
      </c>
      <c r="AI3502">
        <f t="shared" si="344"/>
        <v>0</v>
      </c>
      <c r="AJ3502">
        <f t="shared" si="345"/>
        <v>0</v>
      </c>
      <c r="AK3502">
        <v>0</v>
      </c>
      <c r="AL3502" t="str">
        <f>IF(AA3502="","",IFERROR(IF(ISNUMBER('Procyfloc AL200'!D3),'Procyfloc AL200'!D3,IF(ISNUMBER(SEARCH("12",'Procyfloc AL200'!D3)),EDATE(AB3502,12),IF(ISNUMBER(SEARCH("6",'Procyfloc AL200'!D3)),EDATE(AB3502,6),IF(ISNUMBER(SEARCH("3",'Procyfloc AL200'!D3)),EDATE(AB3502,3),DATEVALUE('Procyfloc AL200'!D3))))),""))</f>
        <v/>
      </c>
      <c r="AM3502" t="str">
        <f t="shared" ca="1" si="346"/>
        <v/>
      </c>
    </row>
    <row r="3503" spans="27:39" x14ac:dyDescent="0.3">
      <c r="AA3503" t="str">
        <f>IF(COUNTA('Procyfloc AL200'!A4,'Procyfloc AL200'!B4,'Procyfloc AL200'!C4)&gt;0,"AL200","")</f>
        <v/>
      </c>
      <c r="AB3503" t="str">
        <f>IFERROR(IF(ISNUMBER('Procyfloc AL200'!A4),'Procyfloc AL200'!A4,DATEVALUE('Procyfloc AL200'!A4)),"")</f>
        <v/>
      </c>
      <c r="AC3503" t="str">
        <f>IF(AA3503="","",'Procyfloc AL200'!B4)</f>
        <v/>
      </c>
      <c r="AD3503" t="str">
        <f>IF(AA3503="","",IFERROR(1*'Procyfloc AL200'!C4,IFERROR(_xludf.NUMBERVALUE('Procyfloc AL200'!C4,".",","),IFERROR(_xludf.NUMBERVALUE('Procyfloc AL200'!C4,",","."),0))))</f>
        <v/>
      </c>
      <c r="AE3503" t="str">
        <f>IF(AA3503="","",'Procyfloc AL200'!K4)</f>
        <v/>
      </c>
      <c r="AF3503">
        <f t="shared" si="341"/>
        <v>0</v>
      </c>
      <c r="AG3503" t="str">
        <f t="shared" si="342"/>
        <v/>
      </c>
      <c r="AH3503" t="str">
        <f t="shared" si="343"/>
        <v/>
      </c>
      <c r="AI3503">
        <f t="shared" si="344"/>
        <v>0</v>
      </c>
      <c r="AJ3503">
        <f t="shared" si="345"/>
        <v>0</v>
      </c>
      <c r="AK3503">
        <v>0</v>
      </c>
      <c r="AL3503" t="str">
        <f>IF(AA3503="","",IFERROR(IF(ISNUMBER('Procyfloc AL200'!D4),'Procyfloc AL200'!D4,IF(ISNUMBER(SEARCH("12",'Procyfloc AL200'!D4)),EDATE(AB3503,12),IF(ISNUMBER(SEARCH("6",'Procyfloc AL200'!D4)),EDATE(AB3503,6),IF(ISNUMBER(SEARCH("3",'Procyfloc AL200'!D4)),EDATE(AB3503,3),DATEVALUE('Procyfloc AL200'!D4))))),""))</f>
        <v/>
      </c>
      <c r="AM3503" t="str">
        <f t="shared" ca="1" si="346"/>
        <v/>
      </c>
    </row>
    <row r="3504" spans="27:39" x14ac:dyDescent="0.3">
      <c r="AA3504" t="str">
        <f>IF(COUNTA('Procyfloc AL200'!A5,'Procyfloc AL200'!B5,'Procyfloc AL200'!C5)&gt;0,"AL200","")</f>
        <v/>
      </c>
      <c r="AB3504" t="str">
        <f>IFERROR(IF(ISNUMBER('Procyfloc AL200'!A5),'Procyfloc AL200'!A5,DATEVALUE('Procyfloc AL200'!A5)),"")</f>
        <v/>
      </c>
      <c r="AC3504" t="str">
        <f>IF(AA3504="","",'Procyfloc AL200'!B5)</f>
        <v/>
      </c>
      <c r="AD3504" t="str">
        <f>IF(AA3504="","",IFERROR(1*'Procyfloc AL200'!C5,IFERROR(_xludf.NUMBERVALUE('Procyfloc AL200'!C5,".",","),IFERROR(_xludf.NUMBERVALUE('Procyfloc AL200'!C5,",","."),0))))</f>
        <v/>
      </c>
      <c r="AE3504" t="str">
        <f>IF(AA3504="","",'Procyfloc AL200'!K5)</f>
        <v/>
      </c>
      <c r="AF3504">
        <f t="shared" si="341"/>
        <v>0</v>
      </c>
      <c r="AG3504" t="str">
        <f t="shared" si="342"/>
        <v/>
      </c>
      <c r="AH3504" t="str">
        <f t="shared" si="343"/>
        <v/>
      </c>
      <c r="AI3504">
        <f t="shared" si="344"/>
        <v>0</v>
      </c>
      <c r="AJ3504">
        <f t="shared" si="345"/>
        <v>0</v>
      </c>
      <c r="AK3504">
        <v>0</v>
      </c>
      <c r="AL3504" t="str">
        <f>IF(AA3504="","",IFERROR(IF(ISNUMBER('Procyfloc AL200'!D5),'Procyfloc AL200'!D5,IF(ISNUMBER(SEARCH("12",'Procyfloc AL200'!D5)),EDATE(AB3504,12),IF(ISNUMBER(SEARCH("6",'Procyfloc AL200'!D5)),EDATE(AB3504,6),IF(ISNUMBER(SEARCH("3",'Procyfloc AL200'!D5)),EDATE(AB3504,3),DATEVALUE('Procyfloc AL200'!D5))))),""))</f>
        <v/>
      </c>
      <c r="AM3504" t="str">
        <f t="shared" ca="1" si="346"/>
        <v/>
      </c>
    </row>
    <row r="3505" spans="27:39" x14ac:dyDescent="0.3">
      <c r="AA3505" t="str">
        <f>IF(COUNTA('Procyfloc AL200'!A6,'Procyfloc AL200'!B6,'Procyfloc AL200'!C6)&gt;0,"AL200","")</f>
        <v/>
      </c>
      <c r="AB3505" t="str">
        <f>IFERROR(IF(ISNUMBER('Procyfloc AL200'!A6),'Procyfloc AL200'!A6,DATEVALUE('Procyfloc AL200'!A6)),"")</f>
        <v/>
      </c>
      <c r="AC3505" t="str">
        <f>IF(AA3505="","",'Procyfloc AL200'!B6)</f>
        <v/>
      </c>
      <c r="AD3505" t="str">
        <f>IF(AA3505="","",IFERROR(1*'Procyfloc AL200'!C6,IFERROR(_xludf.NUMBERVALUE('Procyfloc AL200'!C6,".",","),IFERROR(_xludf.NUMBERVALUE('Procyfloc AL200'!C6,",","."),0))))</f>
        <v/>
      </c>
      <c r="AE3505" t="str">
        <f>IF(AA3505="","",'Procyfloc AL200'!K6)</f>
        <v/>
      </c>
      <c r="AF3505">
        <f t="shared" si="341"/>
        <v>0</v>
      </c>
      <c r="AG3505" t="str">
        <f t="shared" si="342"/>
        <v/>
      </c>
      <c r="AH3505" t="str">
        <f t="shared" si="343"/>
        <v/>
      </c>
      <c r="AI3505">
        <f t="shared" si="344"/>
        <v>0</v>
      </c>
      <c r="AJ3505">
        <f t="shared" si="345"/>
        <v>0</v>
      </c>
      <c r="AK3505">
        <v>0</v>
      </c>
      <c r="AL3505" t="str">
        <f>IF(AA3505="","",IFERROR(IF(ISNUMBER('Procyfloc AL200'!D6),'Procyfloc AL200'!D6,IF(ISNUMBER(SEARCH("12",'Procyfloc AL200'!D6)),EDATE(AB3505,12),IF(ISNUMBER(SEARCH("6",'Procyfloc AL200'!D6)),EDATE(AB3505,6),IF(ISNUMBER(SEARCH("3",'Procyfloc AL200'!D6)),EDATE(AB3505,3),DATEVALUE('Procyfloc AL200'!D6))))),""))</f>
        <v/>
      </c>
      <c r="AM3505" t="str">
        <f t="shared" ca="1" si="346"/>
        <v/>
      </c>
    </row>
    <row r="3506" spans="27:39" x14ac:dyDescent="0.3">
      <c r="AA3506" t="str">
        <f>IF(COUNTA('Procyfloc AL200'!A7,'Procyfloc AL200'!B7,'Procyfloc AL200'!C7)&gt;0,"AL200","")</f>
        <v/>
      </c>
      <c r="AB3506" t="str">
        <f>IFERROR(IF(ISNUMBER('Procyfloc AL200'!A7),'Procyfloc AL200'!A7,DATEVALUE('Procyfloc AL200'!A7)),"")</f>
        <v/>
      </c>
      <c r="AC3506" t="str">
        <f>IF(AA3506="","",'Procyfloc AL200'!B7)</f>
        <v/>
      </c>
      <c r="AD3506" t="str">
        <f>IF(AA3506="","",IFERROR(1*'Procyfloc AL200'!C7,IFERROR(_xludf.NUMBERVALUE('Procyfloc AL200'!C7,".",","),IFERROR(_xludf.NUMBERVALUE('Procyfloc AL200'!C7,",","."),0))))</f>
        <v/>
      </c>
      <c r="AE3506" t="str">
        <f>IF(AA3506="","",'Procyfloc AL200'!K7)</f>
        <v/>
      </c>
      <c r="AF3506">
        <f t="shared" si="341"/>
        <v>0</v>
      </c>
      <c r="AG3506" t="str">
        <f t="shared" si="342"/>
        <v/>
      </c>
      <c r="AH3506" t="str">
        <f t="shared" si="343"/>
        <v/>
      </c>
      <c r="AI3506">
        <f t="shared" si="344"/>
        <v>0</v>
      </c>
      <c r="AJ3506">
        <f t="shared" si="345"/>
        <v>0</v>
      </c>
      <c r="AK3506">
        <v>0</v>
      </c>
      <c r="AL3506" t="str">
        <f>IF(AA3506="","",IFERROR(IF(ISNUMBER('Procyfloc AL200'!D7),'Procyfloc AL200'!D7,IF(ISNUMBER(SEARCH("12",'Procyfloc AL200'!D7)),EDATE(AB3506,12),IF(ISNUMBER(SEARCH("6",'Procyfloc AL200'!D7)),EDATE(AB3506,6),IF(ISNUMBER(SEARCH("3",'Procyfloc AL200'!D7)),EDATE(AB3506,3),DATEVALUE('Procyfloc AL200'!D7))))),""))</f>
        <v/>
      </c>
      <c r="AM3506" t="str">
        <f t="shared" ca="1" si="346"/>
        <v/>
      </c>
    </row>
    <row r="3507" spans="27:39" x14ac:dyDescent="0.3">
      <c r="AA3507" t="str">
        <f>IF(COUNTA('Procyfloc AL200'!A8,'Procyfloc AL200'!B8,'Procyfloc AL200'!C8)&gt;0,"AL200","")</f>
        <v/>
      </c>
      <c r="AB3507" t="str">
        <f>IFERROR(IF(ISNUMBER('Procyfloc AL200'!A8),'Procyfloc AL200'!A8,DATEVALUE('Procyfloc AL200'!A8)),"")</f>
        <v/>
      </c>
      <c r="AC3507" t="str">
        <f>IF(AA3507="","",'Procyfloc AL200'!B8)</f>
        <v/>
      </c>
      <c r="AD3507" t="str">
        <f>IF(AA3507="","",IFERROR(1*'Procyfloc AL200'!C8,IFERROR(_xludf.NUMBERVALUE('Procyfloc AL200'!C8,".",","),IFERROR(_xludf.NUMBERVALUE('Procyfloc AL200'!C8,",","."),0))))</f>
        <v/>
      </c>
      <c r="AE3507" t="str">
        <f>IF(AA3507="","",'Procyfloc AL200'!K8)</f>
        <v/>
      </c>
      <c r="AF3507">
        <f t="shared" si="341"/>
        <v>0</v>
      </c>
      <c r="AG3507" t="str">
        <f t="shared" si="342"/>
        <v/>
      </c>
      <c r="AH3507" t="str">
        <f t="shared" si="343"/>
        <v/>
      </c>
      <c r="AI3507">
        <f t="shared" si="344"/>
        <v>0</v>
      </c>
      <c r="AJ3507">
        <f t="shared" si="345"/>
        <v>0</v>
      </c>
      <c r="AK3507">
        <v>0</v>
      </c>
      <c r="AL3507" t="str">
        <f>IF(AA3507="","",IFERROR(IF(ISNUMBER('Procyfloc AL200'!D8),'Procyfloc AL200'!D8,IF(ISNUMBER(SEARCH("12",'Procyfloc AL200'!D8)),EDATE(AB3507,12),IF(ISNUMBER(SEARCH("6",'Procyfloc AL200'!D8)),EDATE(AB3507,6),IF(ISNUMBER(SEARCH("3",'Procyfloc AL200'!D8)),EDATE(AB3507,3),DATEVALUE('Procyfloc AL200'!D8))))),""))</f>
        <v/>
      </c>
      <c r="AM3507" t="str">
        <f t="shared" ca="1" si="346"/>
        <v/>
      </c>
    </row>
    <row r="3508" spans="27:39" x14ac:dyDescent="0.3">
      <c r="AA3508" t="str">
        <f>IF(COUNTA('Procyfloc AL200'!A9,'Procyfloc AL200'!B9,'Procyfloc AL200'!C9)&gt;0,"AL200","")</f>
        <v/>
      </c>
      <c r="AB3508" t="str">
        <f>IFERROR(IF(ISNUMBER('Procyfloc AL200'!A9),'Procyfloc AL200'!A9,DATEVALUE('Procyfloc AL200'!A9)),"")</f>
        <v/>
      </c>
      <c r="AC3508" t="str">
        <f>IF(AA3508="","",'Procyfloc AL200'!B9)</f>
        <v/>
      </c>
      <c r="AD3508" t="str">
        <f>IF(AA3508="","",IFERROR(1*'Procyfloc AL200'!C9,IFERROR(_xludf.NUMBERVALUE('Procyfloc AL200'!C9,".",","),IFERROR(_xludf.NUMBERVALUE('Procyfloc AL200'!C9,",","."),0))))</f>
        <v/>
      </c>
      <c r="AE3508" t="str">
        <f>IF(AA3508="","",'Procyfloc AL200'!K9)</f>
        <v/>
      </c>
      <c r="AF3508">
        <f t="shared" si="341"/>
        <v>0</v>
      </c>
      <c r="AG3508" t="str">
        <f t="shared" si="342"/>
        <v/>
      </c>
      <c r="AH3508" t="str">
        <f t="shared" si="343"/>
        <v/>
      </c>
      <c r="AI3508">
        <f t="shared" si="344"/>
        <v>0</v>
      </c>
      <c r="AJ3508">
        <f t="shared" si="345"/>
        <v>0</v>
      </c>
      <c r="AK3508">
        <v>0</v>
      </c>
      <c r="AL3508" t="str">
        <f>IF(AA3508="","",IFERROR(IF(ISNUMBER('Procyfloc AL200'!D9),'Procyfloc AL200'!D9,IF(ISNUMBER(SEARCH("12",'Procyfloc AL200'!D9)),EDATE(AB3508,12),IF(ISNUMBER(SEARCH("6",'Procyfloc AL200'!D9)),EDATE(AB3508,6),IF(ISNUMBER(SEARCH("3",'Procyfloc AL200'!D9)),EDATE(AB3508,3),DATEVALUE('Procyfloc AL200'!D9))))),""))</f>
        <v/>
      </c>
      <c r="AM3508" t="str">
        <f t="shared" ca="1" si="346"/>
        <v/>
      </c>
    </row>
    <row r="3509" spans="27:39" x14ac:dyDescent="0.3">
      <c r="AA3509" t="str">
        <f>IF(COUNTA('Procyfloc AL200'!A10,'Procyfloc AL200'!B10,'Procyfloc AL200'!C10)&gt;0,"AL200","")</f>
        <v/>
      </c>
      <c r="AB3509" t="str">
        <f>IFERROR(IF(ISNUMBER('Procyfloc AL200'!A10),'Procyfloc AL200'!A10,DATEVALUE('Procyfloc AL200'!A10)),"")</f>
        <v/>
      </c>
      <c r="AC3509" t="str">
        <f>IF(AA3509="","",'Procyfloc AL200'!B10)</f>
        <v/>
      </c>
      <c r="AD3509" t="str">
        <f>IF(AA3509="","",IFERROR(1*'Procyfloc AL200'!C10,IFERROR(_xludf.NUMBERVALUE('Procyfloc AL200'!C10,".",","),IFERROR(_xludf.NUMBERVALUE('Procyfloc AL200'!C10,",","."),0))))</f>
        <v/>
      </c>
      <c r="AE3509" t="str">
        <f>IF(AA3509="","",'Procyfloc AL200'!K10)</f>
        <v/>
      </c>
      <c r="AF3509">
        <f t="shared" si="341"/>
        <v>0</v>
      </c>
      <c r="AG3509" t="str">
        <f t="shared" si="342"/>
        <v/>
      </c>
      <c r="AH3509" t="str">
        <f t="shared" si="343"/>
        <v/>
      </c>
      <c r="AI3509">
        <f t="shared" si="344"/>
        <v>0</v>
      </c>
      <c r="AJ3509">
        <f t="shared" si="345"/>
        <v>0</v>
      </c>
      <c r="AK3509">
        <v>0</v>
      </c>
      <c r="AL3509" t="str">
        <f>IF(AA3509="","",IFERROR(IF(ISNUMBER('Procyfloc AL200'!D10),'Procyfloc AL200'!D10,IF(ISNUMBER(SEARCH("12",'Procyfloc AL200'!D10)),EDATE(AB3509,12),IF(ISNUMBER(SEARCH("6",'Procyfloc AL200'!D10)),EDATE(AB3509,6),IF(ISNUMBER(SEARCH("3",'Procyfloc AL200'!D10)),EDATE(AB3509,3),DATEVALUE('Procyfloc AL200'!D10))))),""))</f>
        <v/>
      </c>
      <c r="AM3509" t="str">
        <f t="shared" ca="1" si="346"/>
        <v/>
      </c>
    </row>
    <row r="3510" spans="27:39" x14ac:dyDescent="0.3">
      <c r="AA3510" t="str">
        <f>IF(COUNTA('Procyfloc AL200'!A11,'Procyfloc AL200'!B11,'Procyfloc AL200'!C11)&gt;0,"AL200","")</f>
        <v/>
      </c>
      <c r="AB3510" t="str">
        <f>IFERROR(IF(ISNUMBER('Procyfloc AL200'!A11),'Procyfloc AL200'!A11,DATEVALUE('Procyfloc AL200'!A11)),"")</f>
        <v/>
      </c>
      <c r="AC3510" t="str">
        <f>IF(AA3510="","",'Procyfloc AL200'!B11)</f>
        <v/>
      </c>
      <c r="AD3510" t="str">
        <f>IF(AA3510="","",IFERROR(1*'Procyfloc AL200'!C11,IFERROR(_xludf.NUMBERVALUE('Procyfloc AL200'!C11,".",","),IFERROR(_xludf.NUMBERVALUE('Procyfloc AL200'!C11,",","."),0))))</f>
        <v/>
      </c>
      <c r="AE3510" t="str">
        <f>IF(AA3510="","",'Procyfloc AL200'!K11)</f>
        <v/>
      </c>
      <c r="AF3510">
        <f t="shared" si="341"/>
        <v>0</v>
      </c>
      <c r="AG3510" t="str">
        <f t="shared" si="342"/>
        <v/>
      </c>
      <c r="AH3510" t="str">
        <f t="shared" si="343"/>
        <v/>
      </c>
      <c r="AI3510">
        <f t="shared" si="344"/>
        <v>0</v>
      </c>
      <c r="AJ3510">
        <f t="shared" si="345"/>
        <v>0</v>
      </c>
      <c r="AK3510">
        <v>0</v>
      </c>
      <c r="AL3510" t="str">
        <f>IF(AA3510="","",IFERROR(IF(ISNUMBER('Procyfloc AL200'!D11),'Procyfloc AL200'!D11,IF(ISNUMBER(SEARCH("12",'Procyfloc AL200'!D11)),EDATE(AB3510,12),IF(ISNUMBER(SEARCH("6",'Procyfloc AL200'!D11)),EDATE(AB3510,6),IF(ISNUMBER(SEARCH("3",'Procyfloc AL200'!D11)),EDATE(AB3510,3),DATEVALUE('Procyfloc AL200'!D11))))),""))</f>
        <v/>
      </c>
      <c r="AM3510" t="str">
        <f t="shared" ca="1" si="346"/>
        <v/>
      </c>
    </row>
    <row r="3511" spans="27:39" x14ac:dyDescent="0.3">
      <c r="AA3511" t="str">
        <f>IF(COUNTA('Procyfloc AL200'!A12,'Procyfloc AL200'!B12,'Procyfloc AL200'!C12)&gt;0,"AL200","")</f>
        <v/>
      </c>
      <c r="AB3511" t="str">
        <f>IFERROR(IF(ISNUMBER('Procyfloc AL200'!A12),'Procyfloc AL200'!A12,DATEVALUE('Procyfloc AL200'!A12)),"")</f>
        <v/>
      </c>
      <c r="AC3511" t="str">
        <f>IF(AA3511="","",'Procyfloc AL200'!B12)</f>
        <v/>
      </c>
      <c r="AD3511" t="str">
        <f>IF(AA3511="","",IFERROR(1*'Procyfloc AL200'!C12,IFERROR(_xludf.NUMBERVALUE('Procyfloc AL200'!C12,".",","),IFERROR(_xludf.NUMBERVALUE('Procyfloc AL200'!C12,",","."),0))))</f>
        <v/>
      </c>
      <c r="AE3511" t="str">
        <f>IF(AA3511="","",'Procyfloc AL200'!K12)</f>
        <v/>
      </c>
      <c r="AF3511">
        <f t="shared" si="341"/>
        <v>0</v>
      </c>
      <c r="AG3511" t="str">
        <f t="shared" si="342"/>
        <v/>
      </c>
      <c r="AH3511" t="str">
        <f t="shared" si="343"/>
        <v/>
      </c>
      <c r="AI3511">
        <f t="shared" si="344"/>
        <v>0</v>
      </c>
      <c r="AJ3511">
        <f t="shared" si="345"/>
        <v>0</v>
      </c>
      <c r="AK3511">
        <v>0</v>
      </c>
      <c r="AL3511" t="str">
        <f>IF(AA3511="","",IFERROR(IF(ISNUMBER('Procyfloc AL200'!D12),'Procyfloc AL200'!D12,IF(ISNUMBER(SEARCH("12",'Procyfloc AL200'!D12)),EDATE(AB3511,12),IF(ISNUMBER(SEARCH("6",'Procyfloc AL200'!D12)),EDATE(AB3511,6),IF(ISNUMBER(SEARCH("3",'Procyfloc AL200'!D12)),EDATE(AB3511,3),DATEVALUE('Procyfloc AL200'!D12))))),""))</f>
        <v/>
      </c>
      <c r="AM3511" t="str">
        <f t="shared" ca="1" si="346"/>
        <v/>
      </c>
    </row>
    <row r="3512" spans="27:39" x14ac:dyDescent="0.3">
      <c r="AA3512" t="str">
        <f>IF(COUNTA('Procyfloc AL200'!A13,'Procyfloc AL200'!B13,'Procyfloc AL200'!C13)&gt;0,"AL200","")</f>
        <v/>
      </c>
      <c r="AB3512" t="str">
        <f>IFERROR(IF(ISNUMBER('Procyfloc AL200'!A13),'Procyfloc AL200'!A13,DATEVALUE('Procyfloc AL200'!A13)),"")</f>
        <v/>
      </c>
      <c r="AC3512" t="str">
        <f>IF(AA3512="","",'Procyfloc AL200'!B13)</f>
        <v/>
      </c>
      <c r="AD3512" t="str">
        <f>IF(AA3512="","",IFERROR(1*'Procyfloc AL200'!C13,IFERROR(_xludf.NUMBERVALUE('Procyfloc AL200'!C13,".",","),IFERROR(_xludf.NUMBERVALUE('Procyfloc AL200'!C13,",","."),0))))</f>
        <v/>
      </c>
      <c r="AE3512" t="str">
        <f>IF(AA3512="","",'Procyfloc AL200'!K13)</f>
        <v/>
      </c>
      <c r="AF3512">
        <f t="shared" si="341"/>
        <v>0</v>
      </c>
      <c r="AG3512" t="str">
        <f t="shared" si="342"/>
        <v/>
      </c>
      <c r="AH3512" t="str">
        <f t="shared" si="343"/>
        <v/>
      </c>
      <c r="AI3512">
        <f t="shared" si="344"/>
        <v>0</v>
      </c>
      <c r="AJ3512">
        <f t="shared" si="345"/>
        <v>0</v>
      </c>
      <c r="AK3512">
        <v>0</v>
      </c>
      <c r="AL3512" t="str">
        <f>IF(AA3512="","",IFERROR(IF(ISNUMBER('Procyfloc AL200'!D13),'Procyfloc AL200'!D13,IF(ISNUMBER(SEARCH("12",'Procyfloc AL200'!D13)),EDATE(AB3512,12),IF(ISNUMBER(SEARCH("6",'Procyfloc AL200'!D13)),EDATE(AB3512,6),IF(ISNUMBER(SEARCH("3",'Procyfloc AL200'!D13)),EDATE(AB3512,3),DATEVALUE('Procyfloc AL200'!D13))))),""))</f>
        <v/>
      </c>
      <c r="AM3512" t="str">
        <f t="shared" ca="1" si="346"/>
        <v/>
      </c>
    </row>
    <row r="3513" spans="27:39" x14ac:dyDescent="0.3">
      <c r="AA3513" t="str">
        <f>IF(COUNTA('Procyfloc AL200'!A14,'Procyfloc AL200'!B14,'Procyfloc AL200'!C14)&gt;0,"AL200","")</f>
        <v/>
      </c>
      <c r="AB3513" t="str">
        <f>IFERROR(IF(ISNUMBER('Procyfloc AL200'!A14),'Procyfloc AL200'!A14,DATEVALUE('Procyfloc AL200'!A14)),"")</f>
        <v/>
      </c>
      <c r="AC3513" t="str">
        <f>IF(AA3513="","",'Procyfloc AL200'!B14)</f>
        <v/>
      </c>
      <c r="AD3513" t="str">
        <f>IF(AA3513="","",IFERROR(1*'Procyfloc AL200'!C14,IFERROR(_xludf.NUMBERVALUE('Procyfloc AL200'!C14,".",","),IFERROR(_xludf.NUMBERVALUE('Procyfloc AL200'!C14,",","."),0))))</f>
        <v/>
      </c>
      <c r="AE3513" t="str">
        <f>IF(AA3513="","",'Procyfloc AL200'!K14)</f>
        <v/>
      </c>
      <c r="AF3513">
        <f t="shared" si="341"/>
        <v>0</v>
      </c>
      <c r="AG3513" t="str">
        <f t="shared" si="342"/>
        <v/>
      </c>
      <c r="AH3513" t="str">
        <f t="shared" si="343"/>
        <v/>
      </c>
      <c r="AI3513">
        <f t="shared" si="344"/>
        <v>0</v>
      </c>
      <c r="AJ3513">
        <f t="shared" si="345"/>
        <v>0</v>
      </c>
      <c r="AK3513">
        <v>0</v>
      </c>
      <c r="AL3513" t="str">
        <f>IF(AA3513="","",IFERROR(IF(ISNUMBER('Procyfloc AL200'!D14),'Procyfloc AL200'!D14,IF(ISNUMBER(SEARCH("12",'Procyfloc AL200'!D14)),EDATE(AB3513,12),IF(ISNUMBER(SEARCH("6",'Procyfloc AL200'!D14)),EDATE(AB3513,6),IF(ISNUMBER(SEARCH("3",'Procyfloc AL200'!D14)),EDATE(AB3513,3),DATEVALUE('Procyfloc AL200'!D14))))),""))</f>
        <v/>
      </c>
      <c r="AM3513" t="str">
        <f t="shared" ca="1" si="346"/>
        <v/>
      </c>
    </row>
    <row r="3514" spans="27:39" x14ac:dyDescent="0.3">
      <c r="AA3514" t="str">
        <f>IF(COUNTA('Procyfloc AL200'!A15,'Procyfloc AL200'!B15,'Procyfloc AL200'!C15)&gt;0,"AL200","")</f>
        <v/>
      </c>
      <c r="AB3514" t="str">
        <f>IFERROR(IF(ISNUMBER('Procyfloc AL200'!A15),'Procyfloc AL200'!A15,DATEVALUE('Procyfloc AL200'!A15)),"")</f>
        <v/>
      </c>
      <c r="AC3514" t="str">
        <f>IF(AA3514="","",'Procyfloc AL200'!B15)</f>
        <v/>
      </c>
      <c r="AD3514" t="str">
        <f>IF(AA3514="","",IFERROR(1*'Procyfloc AL200'!C15,IFERROR(_xludf.NUMBERVALUE('Procyfloc AL200'!C15,".",","),IFERROR(_xludf.NUMBERVALUE('Procyfloc AL200'!C15,",","."),0))))</f>
        <v/>
      </c>
      <c r="AE3514" t="str">
        <f>IF(AA3514="","",'Procyfloc AL200'!K15)</f>
        <v/>
      </c>
      <c r="AF3514">
        <f t="shared" si="341"/>
        <v>0</v>
      </c>
      <c r="AG3514" t="str">
        <f t="shared" si="342"/>
        <v/>
      </c>
      <c r="AH3514" t="str">
        <f t="shared" si="343"/>
        <v/>
      </c>
      <c r="AI3514">
        <f t="shared" si="344"/>
        <v>0</v>
      </c>
      <c r="AJ3514">
        <f t="shared" si="345"/>
        <v>0</v>
      </c>
      <c r="AK3514">
        <v>0</v>
      </c>
      <c r="AL3514" t="str">
        <f>IF(AA3514="","",IFERROR(IF(ISNUMBER('Procyfloc AL200'!D15),'Procyfloc AL200'!D15,IF(ISNUMBER(SEARCH("12",'Procyfloc AL200'!D15)),EDATE(AB3514,12),IF(ISNUMBER(SEARCH("6",'Procyfloc AL200'!D15)),EDATE(AB3514,6),IF(ISNUMBER(SEARCH("3",'Procyfloc AL200'!D15)),EDATE(AB3514,3),DATEVALUE('Procyfloc AL200'!D15))))),""))</f>
        <v/>
      </c>
      <c r="AM3514" t="str">
        <f t="shared" ca="1" si="346"/>
        <v/>
      </c>
    </row>
    <row r="3515" spans="27:39" x14ac:dyDescent="0.3">
      <c r="AA3515" t="str">
        <f>IF(COUNTA('Procyfloc AL200'!A16,'Procyfloc AL200'!B16,'Procyfloc AL200'!C16)&gt;0,"AL200","")</f>
        <v/>
      </c>
      <c r="AB3515" t="str">
        <f>IFERROR(IF(ISNUMBER('Procyfloc AL200'!A16),'Procyfloc AL200'!A16,DATEVALUE('Procyfloc AL200'!A16)),"")</f>
        <v/>
      </c>
      <c r="AC3515" t="str">
        <f>IF(AA3515="","",'Procyfloc AL200'!B16)</f>
        <v/>
      </c>
      <c r="AD3515" t="str">
        <f>IF(AA3515="","",IFERROR(1*'Procyfloc AL200'!C16,IFERROR(_xludf.NUMBERVALUE('Procyfloc AL200'!C16,".",","),IFERROR(_xludf.NUMBERVALUE('Procyfloc AL200'!C16,",","."),0))))</f>
        <v/>
      </c>
      <c r="AE3515" t="str">
        <f>IF(AA3515="","",'Procyfloc AL200'!K16)</f>
        <v/>
      </c>
      <c r="AF3515">
        <f t="shared" si="341"/>
        <v>0</v>
      </c>
      <c r="AG3515" t="str">
        <f t="shared" si="342"/>
        <v/>
      </c>
      <c r="AH3515" t="str">
        <f t="shared" si="343"/>
        <v/>
      </c>
      <c r="AI3515">
        <f t="shared" si="344"/>
        <v>0</v>
      </c>
      <c r="AJ3515">
        <f t="shared" si="345"/>
        <v>0</v>
      </c>
      <c r="AK3515">
        <v>0</v>
      </c>
      <c r="AL3515" t="str">
        <f>IF(AA3515="","",IFERROR(IF(ISNUMBER('Procyfloc AL200'!D16),'Procyfloc AL200'!D16,IF(ISNUMBER(SEARCH("12",'Procyfloc AL200'!D16)),EDATE(AB3515,12),IF(ISNUMBER(SEARCH("6",'Procyfloc AL200'!D16)),EDATE(AB3515,6),IF(ISNUMBER(SEARCH("3",'Procyfloc AL200'!D16)),EDATE(AB3515,3),DATEVALUE('Procyfloc AL200'!D16))))),""))</f>
        <v/>
      </c>
      <c r="AM3515" t="str">
        <f t="shared" ca="1" si="346"/>
        <v/>
      </c>
    </row>
    <row r="3516" spans="27:39" x14ac:dyDescent="0.3">
      <c r="AA3516" t="str">
        <f>IF(COUNTA('Procyfloc AL200'!A17,'Procyfloc AL200'!B17,'Procyfloc AL200'!C17)&gt;0,"AL200","")</f>
        <v/>
      </c>
      <c r="AB3516" t="str">
        <f>IFERROR(IF(ISNUMBER('Procyfloc AL200'!A17),'Procyfloc AL200'!A17,DATEVALUE('Procyfloc AL200'!A17)),"")</f>
        <v/>
      </c>
      <c r="AC3516" t="str">
        <f>IF(AA3516="","",'Procyfloc AL200'!B17)</f>
        <v/>
      </c>
      <c r="AD3516" t="str">
        <f>IF(AA3516="","",IFERROR(1*'Procyfloc AL200'!C17,IFERROR(_xludf.NUMBERVALUE('Procyfloc AL200'!C17,".",","),IFERROR(_xludf.NUMBERVALUE('Procyfloc AL200'!C17,",","."),0))))</f>
        <v/>
      </c>
      <c r="AE3516" t="str">
        <f>IF(AA3516="","",'Procyfloc AL200'!K17)</f>
        <v/>
      </c>
      <c r="AF3516">
        <f t="shared" si="341"/>
        <v>0</v>
      </c>
      <c r="AG3516" t="str">
        <f t="shared" si="342"/>
        <v/>
      </c>
      <c r="AH3516" t="str">
        <f t="shared" si="343"/>
        <v/>
      </c>
      <c r="AI3516">
        <f t="shared" si="344"/>
        <v>0</v>
      </c>
      <c r="AJ3516">
        <f t="shared" si="345"/>
        <v>0</v>
      </c>
      <c r="AK3516">
        <v>0</v>
      </c>
      <c r="AL3516" t="str">
        <f>IF(AA3516="","",IFERROR(IF(ISNUMBER('Procyfloc AL200'!D17),'Procyfloc AL200'!D17,IF(ISNUMBER(SEARCH("12",'Procyfloc AL200'!D17)),EDATE(AB3516,12),IF(ISNUMBER(SEARCH("6",'Procyfloc AL200'!D17)),EDATE(AB3516,6),IF(ISNUMBER(SEARCH("3",'Procyfloc AL200'!D17)),EDATE(AB3516,3),DATEVALUE('Procyfloc AL200'!D17))))),""))</f>
        <v/>
      </c>
      <c r="AM3516" t="str">
        <f t="shared" ca="1" si="346"/>
        <v/>
      </c>
    </row>
    <row r="3517" spans="27:39" x14ac:dyDescent="0.3">
      <c r="AA3517" t="str">
        <f>IF(COUNTA('Procyfloc AL200'!A18,'Procyfloc AL200'!B18,'Procyfloc AL200'!C18)&gt;0,"AL200","")</f>
        <v/>
      </c>
      <c r="AB3517" t="str">
        <f>IFERROR(IF(ISNUMBER('Procyfloc AL200'!A18),'Procyfloc AL200'!A18,DATEVALUE('Procyfloc AL200'!A18)),"")</f>
        <v/>
      </c>
      <c r="AC3517" t="str">
        <f>IF(AA3517="","",'Procyfloc AL200'!B18)</f>
        <v/>
      </c>
      <c r="AD3517" t="str">
        <f>IF(AA3517="","",IFERROR(1*'Procyfloc AL200'!C18,IFERROR(_xludf.NUMBERVALUE('Procyfloc AL200'!C18,".",","),IFERROR(_xludf.NUMBERVALUE('Procyfloc AL200'!C18,",","."),0))))</f>
        <v/>
      </c>
      <c r="AE3517" t="str">
        <f>IF(AA3517="","",'Procyfloc AL200'!K18)</f>
        <v/>
      </c>
      <c r="AF3517">
        <f t="shared" si="341"/>
        <v>0</v>
      </c>
      <c r="AG3517" t="str">
        <f t="shared" si="342"/>
        <v/>
      </c>
      <c r="AH3517" t="str">
        <f t="shared" si="343"/>
        <v/>
      </c>
      <c r="AI3517">
        <f t="shared" si="344"/>
        <v>0</v>
      </c>
      <c r="AJ3517">
        <f t="shared" si="345"/>
        <v>0</v>
      </c>
      <c r="AK3517">
        <v>0</v>
      </c>
      <c r="AL3517" t="str">
        <f>IF(AA3517="","",IFERROR(IF(ISNUMBER('Procyfloc AL200'!D18),'Procyfloc AL200'!D18,IF(ISNUMBER(SEARCH("12",'Procyfloc AL200'!D18)),EDATE(AB3517,12),IF(ISNUMBER(SEARCH("6",'Procyfloc AL200'!D18)),EDATE(AB3517,6),IF(ISNUMBER(SEARCH("3",'Procyfloc AL200'!D18)),EDATE(AB3517,3),DATEVALUE('Procyfloc AL200'!D18))))),""))</f>
        <v/>
      </c>
      <c r="AM3517" t="str">
        <f t="shared" ca="1" si="346"/>
        <v/>
      </c>
    </row>
    <row r="3518" spans="27:39" x14ac:dyDescent="0.3">
      <c r="AA3518" t="str">
        <f>IF(COUNTA('Procyfloc AL200'!A19,'Procyfloc AL200'!B19,'Procyfloc AL200'!C19)&gt;0,"AL200","")</f>
        <v/>
      </c>
      <c r="AB3518" t="str">
        <f>IFERROR(IF(ISNUMBER('Procyfloc AL200'!A19),'Procyfloc AL200'!A19,DATEVALUE('Procyfloc AL200'!A19)),"")</f>
        <v/>
      </c>
      <c r="AC3518" t="str">
        <f>IF(AA3518="","",'Procyfloc AL200'!B19)</f>
        <v/>
      </c>
      <c r="AD3518" t="str">
        <f>IF(AA3518="","",IFERROR(1*'Procyfloc AL200'!C19,IFERROR(_xludf.NUMBERVALUE('Procyfloc AL200'!C19,".",","),IFERROR(_xludf.NUMBERVALUE('Procyfloc AL200'!C19,",","."),0))))</f>
        <v/>
      </c>
      <c r="AE3518" t="str">
        <f>IF(AA3518="","",'Procyfloc AL200'!K19)</f>
        <v/>
      </c>
      <c r="AF3518">
        <f t="shared" si="341"/>
        <v>0</v>
      </c>
      <c r="AG3518" t="str">
        <f t="shared" si="342"/>
        <v/>
      </c>
      <c r="AH3518" t="str">
        <f t="shared" si="343"/>
        <v/>
      </c>
      <c r="AI3518">
        <f t="shared" si="344"/>
        <v>0</v>
      </c>
      <c r="AJ3518">
        <f t="shared" si="345"/>
        <v>0</v>
      </c>
      <c r="AK3518">
        <v>0</v>
      </c>
      <c r="AL3518" t="str">
        <f>IF(AA3518="","",IFERROR(IF(ISNUMBER('Procyfloc AL200'!D19),'Procyfloc AL200'!D19,IF(ISNUMBER(SEARCH("12",'Procyfloc AL200'!D19)),EDATE(AB3518,12),IF(ISNUMBER(SEARCH("6",'Procyfloc AL200'!D19)),EDATE(AB3518,6),IF(ISNUMBER(SEARCH("3",'Procyfloc AL200'!D19)),EDATE(AB3518,3),DATEVALUE('Procyfloc AL200'!D19))))),""))</f>
        <v/>
      </c>
      <c r="AM3518" t="str">
        <f t="shared" ca="1" si="346"/>
        <v/>
      </c>
    </row>
    <row r="3519" spans="27:39" x14ac:dyDescent="0.3">
      <c r="AA3519" t="str">
        <f>IF(COUNTA('Procyfloc AL200'!A20,'Procyfloc AL200'!B20,'Procyfloc AL200'!C20)&gt;0,"AL200","")</f>
        <v/>
      </c>
      <c r="AB3519" t="str">
        <f>IFERROR(IF(ISNUMBER('Procyfloc AL200'!A20),'Procyfloc AL200'!A20,DATEVALUE('Procyfloc AL200'!A20)),"")</f>
        <v/>
      </c>
      <c r="AC3519" t="str">
        <f>IF(AA3519="","",'Procyfloc AL200'!B20)</f>
        <v/>
      </c>
      <c r="AD3519" t="str">
        <f>IF(AA3519="","",IFERROR(1*'Procyfloc AL200'!C20,IFERROR(_xludf.NUMBERVALUE('Procyfloc AL200'!C20,".",","),IFERROR(_xludf.NUMBERVALUE('Procyfloc AL200'!C20,",","."),0))))</f>
        <v/>
      </c>
      <c r="AE3519" t="str">
        <f>IF(AA3519="","",'Procyfloc AL200'!K20)</f>
        <v/>
      </c>
      <c r="AF3519">
        <f t="shared" si="341"/>
        <v>0</v>
      </c>
      <c r="AG3519" t="str">
        <f t="shared" si="342"/>
        <v/>
      </c>
      <c r="AH3519" t="str">
        <f t="shared" si="343"/>
        <v/>
      </c>
      <c r="AI3519">
        <f t="shared" si="344"/>
        <v>0</v>
      </c>
      <c r="AJ3519">
        <f t="shared" si="345"/>
        <v>0</v>
      </c>
      <c r="AK3519">
        <v>0</v>
      </c>
      <c r="AL3519" t="str">
        <f>IF(AA3519="","",IFERROR(IF(ISNUMBER('Procyfloc AL200'!D20),'Procyfloc AL200'!D20,IF(ISNUMBER(SEARCH("12",'Procyfloc AL200'!D20)),EDATE(AB3519,12),IF(ISNUMBER(SEARCH("6",'Procyfloc AL200'!D20)),EDATE(AB3519,6),IF(ISNUMBER(SEARCH("3",'Procyfloc AL200'!D20)),EDATE(AB3519,3),DATEVALUE('Procyfloc AL200'!D20))))),""))</f>
        <v/>
      </c>
      <c r="AM3519" t="str">
        <f t="shared" ca="1" si="346"/>
        <v/>
      </c>
    </row>
    <row r="3520" spans="27:39" x14ac:dyDescent="0.3">
      <c r="AA3520" t="str">
        <f>IF(COUNTA('Procyfloc AL200'!A21,'Procyfloc AL200'!B21,'Procyfloc AL200'!C21)&gt;0,"AL200","")</f>
        <v/>
      </c>
      <c r="AB3520" t="str">
        <f>IFERROR(IF(ISNUMBER('Procyfloc AL200'!A21),'Procyfloc AL200'!A21,DATEVALUE('Procyfloc AL200'!A21)),"")</f>
        <v/>
      </c>
      <c r="AC3520" t="str">
        <f>IF(AA3520="","",'Procyfloc AL200'!B21)</f>
        <v/>
      </c>
      <c r="AD3520" t="str">
        <f>IF(AA3520="","",IFERROR(1*'Procyfloc AL200'!C21,IFERROR(_xludf.NUMBERVALUE('Procyfloc AL200'!C21,".",","),IFERROR(_xludf.NUMBERVALUE('Procyfloc AL200'!C21,",","."),0))))</f>
        <v/>
      </c>
      <c r="AE3520" t="str">
        <f>IF(AA3520="","",'Procyfloc AL200'!K21)</f>
        <v/>
      </c>
      <c r="AF3520">
        <f t="shared" si="341"/>
        <v>0</v>
      </c>
      <c r="AG3520" t="str">
        <f t="shared" si="342"/>
        <v/>
      </c>
      <c r="AH3520" t="str">
        <f t="shared" si="343"/>
        <v/>
      </c>
      <c r="AI3520">
        <f t="shared" si="344"/>
        <v>0</v>
      </c>
      <c r="AJ3520">
        <f t="shared" si="345"/>
        <v>0</v>
      </c>
      <c r="AK3520">
        <v>0</v>
      </c>
      <c r="AL3520" t="str">
        <f>IF(AA3520="","",IFERROR(IF(ISNUMBER('Procyfloc AL200'!D21),'Procyfloc AL200'!D21,IF(ISNUMBER(SEARCH("12",'Procyfloc AL200'!D21)),EDATE(AB3520,12),IF(ISNUMBER(SEARCH("6",'Procyfloc AL200'!D21)),EDATE(AB3520,6),IF(ISNUMBER(SEARCH("3",'Procyfloc AL200'!D21)),EDATE(AB3520,3),DATEVALUE('Procyfloc AL200'!D21))))),""))</f>
        <v/>
      </c>
      <c r="AM3520" t="str">
        <f t="shared" ca="1" si="346"/>
        <v/>
      </c>
    </row>
    <row r="3521" spans="27:39" x14ac:dyDescent="0.3">
      <c r="AA3521" t="str">
        <f>IF(COUNTA('Procyfloc AL200'!A22,'Procyfloc AL200'!B22,'Procyfloc AL200'!C22)&gt;0,"AL200","")</f>
        <v/>
      </c>
      <c r="AB3521" t="str">
        <f>IFERROR(IF(ISNUMBER('Procyfloc AL200'!A22),'Procyfloc AL200'!A22,DATEVALUE('Procyfloc AL200'!A22)),"")</f>
        <v/>
      </c>
      <c r="AC3521" t="str">
        <f>IF(AA3521="","",'Procyfloc AL200'!B22)</f>
        <v/>
      </c>
      <c r="AD3521" t="str">
        <f>IF(AA3521="","",IFERROR(1*'Procyfloc AL200'!C22,IFERROR(_xludf.NUMBERVALUE('Procyfloc AL200'!C22,".",","),IFERROR(_xludf.NUMBERVALUE('Procyfloc AL200'!C22,",","."),0))))</f>
        <v/>
      </c>
      <c r="AE3521" t="str">
        <f>IF(AA3521="","",'Procyfloc AL200'!K22)</f>
        <v/>
      </c>
      <c r="AF3521">
        <f t="shared" si="341"/>
        <v>0</v>
      </c>
      <c r="AG3521" t="str">
        <f t="shared" si="342"/>
        <v/>
      </c>
      <c r="AH3521" t="str">
        <f t="shared" si="343"/>
        <v/>
      </c>
      <c r="AI3521">
        <f t="shared" si="344"/>
        <v>0</v>
      </c>
      <c r="AJ3521">
        <f t="shared" si="345"/>
        <v>0</v>
      </c>
      <c r="AK3521">
        <v>0</v>
      </c>
      <c r="AL3521" t="str">
        <f>IF(AA3521="","",IFERROR(IF(ISNUMBER('Procyfloc AL200'!D22),'Procyfloc AL200'!D22,IF(ISNUMBER(SEARCH("12",'Procyfloc AL200'!D22)),EDATE(AB3521,12),IF(ISNUMBER(SEARCH("6",'Procyfloc AL200'!D22)),EDATE(AB3521,6),IF(ISNUMBER(SEARCH("3",'Procyfloc AL200'!D22)),EDATE(AB3521,3),DATEVALUE('Procyfloc AL200'!D22))))),""))</f>
        <v/>
      </c>
      <c r="AM3521" t="str">
        <f t="shared" ca="1" si="346"/>
        <v/>
      </c>
    </row>
    <row r="3522" spans="27:39" x14ac:dyDescent="0.3">
      <c r="AA3522" t="str">
        <f>IF(COUNTA('Procyfloc AL200'!A23,'Procyfloc AL200'!B23,'Procyfloc AL200'!C23)&gt;0,"AL200","")</f>
        <v/>
      </c>
      <c r="AB3522" t="str">
        <f>IFERROR(IF(ISNUMBER('Procyfloc AL200'!A23),'Procyfloc AL200'!A23,DATEVALUE('Procyfloc AL200'!A23)),"")</f>
        <v/>
      </c>
      <c r="AC3522" t="str">
        <f>IF(AA3522="","",'Procyfloc AL200'!B23)</f>
        <v/>
      </c>
      <c r="AD3522" t="str">
        <f>IF(AA3522="","",IFERROR(1*'Procyfloc AL200'!C23,IFERROR(_xludf.NUMBERVALUE('Procyfloc AL200'!C23,".",","),IFERROR(_xludf.NUMBERVALUE('Procyfloc AL200'!C23,",","."),0))))</f>
        <v/>
      </c>
      <c r="AE3522" t="str">
        <f>IF(AA3522="","",'Procyfloc AL200'!K23)</f>
        <v/>
      </c>
      <c r="AF3522">
        <f t="shared" ref="AF3522:AF3585" si="347">IF(AA3522="",0,--AND(ISNUMBER(SEARCH("aprov",AE3522)),NOT(ISNUMBER(SEARCH("reprov",AE3522)))))</f>
        <v>0</v>
      </c>
      <c r="AG3522" t="str">
        <f t="shared" ref="AG3522:AG3585" si="348">IF(AB3522="","",YEAR(AB3522))</f>
        <v/>
      </c>
      <c r="AH3522" t="str">
        <f t="shared" ref="AH3522:AH3585" si="349">IF(AB3522="","",MONTH(AB3522))</f>
        <v/>
      </c>
      <c r="AI3522">
        <f t="shared" ref="AI3522:AI3585" si="350">IF(AB3522="",0,AB3522+ROW()/1000000)</f>
        <v>0</v>
      </c>
      <c r="AJ3522">
        <f t="shared" ref="AJ3522:AJ3585" si="351">--(AA3522&lt;&gt;"")</f>
        <v>0</v>
      </c>
      <c r="AK3522">
        <v>0</v>
      </c>
      <c r="AL3522" t="str">
        <f>IF(AA3522="","",IFERROR(IF(ISNUMBER('Procyfloc AL200'!D23),'Procyfloc AL200'!D23,IF(ISNUMBER(SEARCH("12",'Procyfloc AL200'!D23)),EDATE(AB3522,12),IF(ISNUMBER(SEARCH("6",'Procyfloc AL200'!D23)),EDATE(AB3522,6),IF(ISNUMBER(SEARCH("3",'Procyfloc AL200'!D23)),EDATE(AB3522,3),DATEVALUE('Procyfloc AL200'!D23))))),""))</f>
        <v/>
      </c>
      <c r="AM3522" t="str">
        <f t="shared" ref="AM3522:AM3585" ca="1" si="352">IF(AND(AJ3522=1,AL3522&lt;&gt;"",AL3522&gt;=TODAY(),AG3522=$W$3),AL3522+ROW()/1000000,"")</f>
        <v/>
      </c>
    </row>
    <row r="3523" spans="27:39" x14ac:dyDescent="0.3">
      <c r="AA3523" t="str">
        <f>IF(COUNTA('Procyfloc AL200'!A24,'Procyfloc AL200'!B24,'Procyfloc AL200'!C24)&gt;0,"AL200","")</f>
        <v/>
      </c>
      <c r="AB3523" t="str">
        <f>IFERROR(IF(ISNUMBER('Procyfloc AL200'!A24),'Procyfloc AL200'!A24,DATEVALUE('Procyfloc AL200'!A24)),"")</f>
        <v/>
      </c>
      <c r="AC3523" t="str">
        <f>IF(AA3523="","",'Procyfloc AL200'!B24)</f>
        <v/>
      </c>
      <c r="AD3523" t="str">
        <f>IF(AA3523="","",IFERROR(1*'Procyfloc AL200'!C24,IFERROR(_xludf.NUMBERVALUE('Procyfloc AL200'!C24,".",","),IFERROR(_xludf.NUMBERVALUE('Procyfloc AL200'!C24,",","."),0))))</f>
        <v/>
      </c>
      <c r="AE3523" t="str">
        <f>IF(AA3523="","",'Procyfloc AL200'!K24)</f>
        <v/>
      </c>
      <c r="AF3523">
        <f t="shared" si="347"/>
        <v>0</v>
      </c>
      <c r="AG3523" t="str">
        <f t="shared" si="348"/>
        <v/>
      </c>
      <c r="AH3523" t="str">
        <f t="shared" si="349"/>
        <v/>
      </c>
      <c r="AI3523">
        <f t="shared" si="350"/>
        <v>0</v>
      </c>
      <c r="AJ3523">
        <f t="shared" si="351"/>
        <v>0</v>
      </c>
      <c r="AK3523">
        <v>0</v>
      </c>
      <c r="AL3523" t="str">
        <f>IF(AA3523="","",IFERROR(IF(ISNUMBER('Procyfloc AL200'!D24),'Procyfloc AL200'!D24,IF(ISNUMBER(SEARCH("12",'Procyfloc AL200'!D24)),EDATE(AB3523,12),IF(ISNUMBER(SEARCH("6",'Procyfloc AL200'!D24)),EDATE(AB3523,6),IF(ISNUMBER(SEARCH("3",'Procyfloc AL200'!D24)),EDATE(AB3523,3),DATEVALUE('Procyfloc AL200'!D24))))),""))</f>
        <v/>
      </c>
      <c r="AM3523" t="str">
        <f t="shared" ca="1" si="352"/>
        <v/>
      </c>
    </row>
    <row r="3524" spans="27:39" x14ac:dyDescent="0.3">
      <c r="AA3524" t="str">
        <f>IF(COUNTA('Procyfloc AL200'!A25,'Procyfloc AL200'!B25,'Procyfloc AL200'!C25)&gt;0,"AL200","")</f>
        <v/>
      </c>
      <c r="AB3524" t="str">
        <f>IFERROR(IF(ISNUMBER('Procyfloc AL200'!A25),'Procyfloc AL200'!A25,DATEVALUE('Procyfloc AL200'!A25)),"")</f>
        <v/>
      </c>
      <c r="AC3524" t="str">
        <f>IF(AA3524="","",'Procyfloc AL200'!B25)</f>
        <v/>
      </c>
      <c r="AD3524" t="str">
        <f>IF(AA3524="","",IFERROR(1*'Procyfloc AL200'!C25,IFERROR(_xludf.NUMBERVALUE('Procyfloc AL200'!C25,".",","),IFERROR(_xludf.NUMBERVALUE('Procyfloc AL200'!C25,",","."),0))))</f>
        <v/>
      </c>
      <c r="AE3524" t="str">
        <f>IF(AA3524="","",'Procyfloc AL200'!K25)</f>
        <v/>
      </c>
      <c r="AF3524">
        <f t="shared" si="347"/>
        <v>0</v>
      </c>
      <c r="AG3524" t="str">
        <f t="shared" si="348"/>
        <v/>
      </c>
      <c r="AH3524" t="str">
        <f t="shared" si="349"/>
        <v/>
      </c>
      <c r="AI3524">
        <f t="shared" si="350"/>
        <v>0</v>
      </c>
      <c r="AJ3524">
        <f t="shared" si="351"/>
        <v>0</v>
      </c>
      <c r="AK3524">
        <v>0</v>
      </c>
      <c r="AL3524" t="str">
        <f>IF(AA3524="","",IFERROR(IF(ISNUMBER('Procyfloc AL200'!D25),'Procyfloc AL200'!D25,IF(ISNUMBER(SEARCH("12",'Procyfloc AL200'!D25)),EDATE(AB3524,12),IF(ISNUMBER(SEARCH("6",'Procyfloc AL200'!D25)),EDATE(AB3524,6),IF(ISNUMBER(SEARCH("3",'Procyfloc AL200'!D25)),EDATE(AB3524,3),DATEVALUE('Procyfloc AL200'!D25))))),""))</f>
        <v/>
      </c>
      <c r="AM3524" t="str">
        <f t="shared" ca="1" si="352"/>
        <v/>
      </c>
    </row>
    <row r="3525" spans="27:39" x14ac:dyDescent="0.3">
      <c r="AA3525" t="str">
        <f>IF(COUNTA('Procyfloc AL200'!A26,'Procyfloc AL200'!B26,'Procyfloc AL200'!C26)&gt;0,"AL200","")</f>
        <v/>
      </c>
      <c r="AB3525" t="str">
        <f>IFERROR(IF(ISNUMBER('Procyfloc AL200'!A26),'Procyfloc AL200'!A26,DATEVALUE('Procyfloc AL200'!A26)),"")</f>
        <v/>
      </c>
      <c r="AC3525" t="str">
        <f>IF(AA3525="","",'Procyfloc AL200'!B26)</f>
        <v/>
      </c>
      <c r="AD3525" t="str">
        <f>IF(AA3525="","",IFERROR(1*'Procyfloc AL200'!C26,IFERROR(_xludf.NUMBERVALUE('Procyfloc AL200'!C26,".",","),IFERROR(_xludf.NUMBERVALUE('Procyfloc AL200'!C26,",","."),0))))</f>
        <v/>
      </c>
      <c r="AE3525" t="str">
        <f>IF(AA3525="","",'Procyfloc AL200'!K26)</f>
        <v/>
      </c>
      <c r="AF3525">
        <f t="shared" si="347"/>
        <v>0</v>
      </c>
      <c r="AG3525" t="str">
        <f t="shared" si="348"/>
        <v/>
      </c>
      <c r="AH3525" t="str">
        <f t="shared" si="349"/>
        <v/>
      </c>
      <c r="AI3525">
        <f t="shared" si="350"/>
        <v>0</v>
      </c>
      <c r="AJ3525">
        <f t="shared" si="351"/>
        <v>0</v>
      </c>
      <c r="AK3525">
        <v>0</v>
      </c>
      <c r="AL3525" t="str">
        <f>IF(AA3525="","",IFERROR(IF(ISNUMBER('Procyfloc AL200'!D26),'Procyfloc AL200'!D26,IF(ISNUMBER(SEARCH("12",'Procyfloc AL200'!D26)),EDATE(AB3525,12),IF(ISNUMBER(SEARCH("6",'Procyfloc AL200'!D26)),EDATE(AB3525,6),IF(ISNUMBER(SEARCH("3",'Procyfloc AL200'!D26)),EDATE(AB3525,3),DATEVALUE('Procyfloc AL200'!D26))))),""))</f>
        <v/>
      </c>
      <c r="AM3525" t="str">
        <f t="shared" ca="1" si="352"/>
        <v/>
      </c>
    </row>
    <row r="3526" spans="27:39" x14ac:dyDescent="0.3">
      <c r="AA3526" t="str">
        <f>IF(COUNTA('Procyfloc AL200'!A27,'Procyfloc AL200'!B27,'Procyfloc AL200'!C27)&gt;0,"AL200","")</f>
        <v/>
      </c>
      <c r="AB3526" t="str">
        <f>IFERROR(IF(ISNUMBER('Procyfloc AL200'!A27),'Procyfloc AL200'!A27,DATEVALUE('Procyfloc AL200'!A27)),"")</f>
        <v/>
      </c>
      <c r="AC3526" t="str">
        <f>IF(AA3526="","",'Procyfloc AL200'!B27)</f>
        <v/>
      </c>
      <c r="AD3526" t="str">
        <f>IF(AA3526="","",IFERROR(1*'Procyfloc AL200'!C27,IFERROR(_xludf.NUMBERVALUE('Procyfloc AL200'!C27,".",","),IFERROR(_xludf.NUMBERVALUE('Procyfloc AL200'!C27,",","."),0))))</f>
        <v/>
      </c>
      <c r="AE3526" t="str">
        <f>IF(AA3526="","",'Procyfloc AL200'!K27)</f>
        <v/>
      </c>
      <c r="AF3526">
        <f t="shared" si="347"/>
        <v>0</v>
      </c>
      <c r="AG3526" t="str">
        <f t="shared" si="348"/>
        <v/>
      </c>
      <c r="AH3526" t="str">
        <f t="shared" si="349"/>
        <v/>
      </c>
      <c r="AI3526">
        <f t="shared" si="350"/>
        <v>0</v>
      </c>
      <c r="AJ3526">
        <f t="shared" si="351"/>
        <v>0</v>
      </c>
      <c r="AK3526">
        <v>0</v>
      </c>
      <c r="AL3526" t="str">
        <f>IF(AA3526="","",IFERROR(IF(ISNUMBER('Procyfloc AL200'!D27),'Procyfloc AL200'!D27,IF(ISNUMBER(SEARCH("12",'Procyfloc AL200'!D27)),EDATE(AB3526,12),IF(ISNUMBER(SEARCH("6",'Procyfloc AL200'!D27)),EDATE(AB3526,6),IF(ISNUMBER(SEARCH("3",'Procyfloc AL200'!D27)),EDATE(AB3526,3),DATEVALUE('Procyfloc AL200'!D27))))),""))</f>
        <v/>
      </c>
      <c r="AM3526" t="str">
        <f t="shared" ca="1" si="352"/>
        <v/>
      </c>
    </row>
    <row r="3527" spans="27:39" x14ac:dyDescent="0.3">
      <c r="AA3527" t="str">
        <f>IF(COUNTA('Procyfloc AL200'!A28,'Procyfloc AL200'!B28,'Procyfloc AL200'!C28)&gt;0,"AL200","")</f>
        <v/>
      </c>
      <c r="AB3527" t="str">
        <f>IFERROR(IF(ISNUMBER('Procyfloc AL200'!A28),'Procyfloc AL200'!A28,DATEVALUE('Procyfloc AL200'!A28)),"")</f>
        <v/>
      </c>
      <c r="AC3527" t="str">
        <f>IF(AA3527="","",'Procyfloc AL200'!B28)</f>
        <v/>
      </c>
      <c r="AD3527" t="str">
        <f>IF(AA3527="","",IFERROR(1*'Procyfloc AL200'!C28,IFERROR(_xludf.NUMBERVALUE('Procyfloc AL200'!C28,".",","),IFERROR(_xludf.NUMBERVALUE('Procyfloc AL200'!C28,",","."),0))))</f>
        <v/>
      </c>
      <c r="AE3527" t="str">
        <f>IF(AA3527="","",'Procyfloc AL200'!K28)</f>
        <v/>
      </c>
      <c r="AF3527">
        <f t="shared" si="347"/>
        <v>0</v>
      </c>
      <c r="AG3527" t="str">
        <f t="shared" si="348"/>
        <v/>
      </c>
      <c r="AH3527" t="str">
        <f t="shared" si="349"/>
        <v/>
      </c>
      <c r="AI3527">
        <f t="shared" si="350"/>
        <v>0</v>
      </c>
      <c r="AJ3527">
        <f t="shared" si="351"/>
        <v>0</v>
      </c>
      <c r="AK3527">
        <v>0</v>
      </c>
      <c r="AL3527" t="str">
        <f>IF(AA3527="","",IFERROR(IF(ISNUMBER('Procyfloc AL200'!D28),'Procyfloc AL200'!D28,IF(ISNUMBER(SEARCH("12",'Procyfloc AL200'!D28)),EDATE(AB3527,12),IF(ISNUMBER(SEARCH("6",'Procyfloc AL200'!D28)),EDATE(AB3527,6),IF(ISNUMBER(SEARCH("3",'Procyfloc AL200'!D28)),EDATE(AB3527,3),DATEVALUE('Procyfloc AL200'!D28))))),""))</f>
        <v/>
      </c>
      <c r="AM3527" t="str">
        <f t="shared" ca="1" si="352"/>
        <v/>
      </c>
    </row>
    <row r="3528" spans="27:39" x14ac:dyDescent="0.3">
      <c r="AA3528" t="str">
        <f>IF(COUNTA('Procyfloc AL200'!A29,'Procyfloc AL200'!B29,'Procyfloc AL200'!C29)&gt;0,"AL200","")</f>
        <v/>
      </c>
      <c r="AB3528" t="str">
        <f>IFERROR(IF(ISNUMBER('Procyfloc AL200'!A29),'Procyfloc AL200'!A29,DATEVALUE('Procyfloc AL200'!A29)),"")</f>
        <v/>
      </c>
      <c r="AC3528" t="str">
        <f>IF(AA3528="","",'Procyfloc AL200'!B29)</f>
        <v/>
      </c>
      <c r="AD3528" t="str">
        <f>IF(AA3528="","",IFERROR(1*'Procyfloc AL200'!C29,IFERROR(_xludf.NUMBERVALUE('Procyfloc AL200'!C29,".",","),IFERROR(_xludf.NUMBERVALUE('Procyfloc AL200'!C29,",","."),0))))</f>
        <v/>
      </c>
      <c r="AE3528" t="str">
        <f>IF(AA3528="","",'Procyfloc AL200'!K29)</f>
        <v/>
      </c>
      <c r="AF3528">
        <f t="shared" si="347"/>
        <v>0</v>
      </c>
      <c r="AG3528" t="str">
        <f t="shared" si="348"/>
        <v/>
      </c>
      <c r="AH3528" t="str">
        <f t="shared" si="349"/>
        <v/>
      </c>
      <c r="AI3528">
        <f t="shared" si="350"/>
        <v>0</v>
      </c>
      <c r="AJ3528">
        <f t="shared" si="351"/>
        <v>0</v>
      </c>
      <c r="AK3528">
        <v>0</v>
      </c>
      <c r="AL3528" t="str">
        <f>IF(AA3528="","",IFERROR(IF(ISNUMBER('Procyfloc AL200'!D29),'Procyfloc AL200'!D29,IF(ISNUMBER(SEARCH("12",'Procyfloc AL200'!D29)),EDATE(AB3528,12),IF(ISNUMBER(SEARCH("6",'Procyfloc AL200'!D29)),EDATE(AB3528,6),IF(ISNUMBER(SEARCH("3",'Procyfloc AL200'!D29)),EDATE(AB3528,3),DATEVALUE('Procyfloc AL200'!D29))))),""))</f>
        <v/>
      </c>
      <c r="AM3528" t="str">
        <f t="shared" ca="1" si="352"/>
        <v/>
      </c>
    </row>
    <row r="3529" spans="27:39" x14ac:dyDescent="0.3">
      <c r="AA3529" t="str">
        <f>IF(COUNTA('Procyfloc AL200'!A30,'Procyfloc AL200'!B30,'Procyfloc AL200'!C30)&gt;0,"AL200","")</f>
        <v/>
      </c>
      <c r="AB3529" t="str">
        <f>IFERROR(IF(ISNUMBER('Procyfloc AL200'!A30),'Procyfloc AL200'!A30,DATEVALUE('Procyfloc AL200'!A30)),"")</f>
        <v/>
      </c>
      <c r="AC3529" t="str">
        <f>IF(AA3529="","",'Procyfloc AL200'!B30)</f>
        <v/>
      </c>
      <c r="AD3529" t="str">
        <f>IF(AA3529="","",IFERROR(1*'Procyfloc AL200'!C30,IFERROR(_xludf.NUMBERVALUE('Procyfloc AL200'!C30,".",","),IFERROR(_xludf.NUMBERVALUE('Procyfloc AL200'!C30,",","."),0))))</f>
        <v/>
      </c>
      <c r="AE3529" t="str">
        <f>IF(AA3529="","",'Procyfloc AL200'!K30)</f>
        <v/>
      </c>
      <c r="AF3529">
        <f t="shared" si="347"/>
        <v>0</v>
      </c>
      <c r="AG3529" t="str">
        <f t="shared" si="348"/>
        <v/>
      </c>
      <c r="AH3529" t="str">
        <f t="shared" si="349"/>
        <v/>
      </c>
      <c r="AI3529">
        <f t="shared" si="350"/>
        <v>0</v>
      </c>
      <c r="AJ3529">
        <f t="shared" si="351"/>
        <v>0</v>
      </c>
      <c r="AK3529">
        <v>0</v>
      </c>
      <c r="AL3529" t="str">
        <f>IF(AA3529="","",IFERROR(IF(ISNUMBER('Procyfloc AL200'!D30),'Procyfloc AL200'!D30,IF(ISNUMBER(SEARCH("12",'Procyfloc AL200'!D30)),EDATE(AB3529,12),IF(ISNUMBER(SEARCH("6",'Procyfloc AL200'!D30)),EDATE(AB3529,6),IF(ISNUMBER(SEARCH("3",'Procyfloc AL200'!D30)),EDATE(AB3529,3),DATEVALUE('Procyfloc AL200'!D30))))),""))</f>
        <v/>
      </c>
      <c r="AM3529" t="str">
        <f t="shared" ca="1" si="352"/>
        <v/>
      </c>
    </row>
    <row r="3530" spans="27:39" x14ac:dyDescent="0.3">
      <c r="AA3530" t="str">
        <f>IF(COUNTA('Procyfloc AL200'!A31,'Procyfloc AL200'!B31,'Procyfloc AL200'!C31)&gt;0,"AL200","")</f>
        <v/>
      </c>
      <c r="AB3530" t="str">
        <f>IFERROR(IF(ISNUMBER('Procyfloc AL200'!A31),'Procyfloc AL200'!A31,DATEVALUE('Procyfloc AL200'!A31)),"")</f>
        <v/>
      </c>
      <c r="AC3530" t="str">
        <f>IF(AA3530="","",'Procyfloc AL200'!B31)</f>
        <v/>
      </c>
      <c r="AD3530" t="str">
        <f>IF(AA3530="","",IFERROR(1*'Procyfloc AL200'!C31,IFERROR(_xludf.NUMBERVALUE('Procyfloc AL200'!C31,".",","),IFERROR(_xludf.NUMBERVALUE('Procyfloc AL200'!C31,",","."),0))))</f>
        <v/>
      </c>
      <c r="AE3530" t="str">
        <f>IF(AA3530="","",'Procyfloc AL200'!K31)</f>
        <v/>
      </c>
      <c r="AF3530">
        <f t="shared" si="347"/>
        <v>0</v>
      </c>
      <c r="AG3530" t="str">
        <f t="shared" si="348"/>
        <v/>
      </c>
      <c r="AH3530" t="str">
        <f t="shared" si="349"/>
        <v/>
      </c>
      <c r="AI3530">
        <f t="shared" si="350"/>
        <v>0</v>
      </c>
      <c r="AJ3530">
        <f t="shared" si="351"/>
        <v>0</v>
      </c>
      <c r="AK3530">
        <v>0</v>
      </c>
      <c r="AL3530" t="str">
        <f>IF(AA3530="","",IFERROR(IF(ISNUMBER('Procyfloc AL200'!D31),'Procyfloc AL200'!D31,IF(ISNUMBER(SEARCH("12",'Procyfloc AL200'!D31)),EDATE(AB3530,12),IF(ISNUMBER(SEARCH("6",'Procyfloc AL200'!D31)),EDATE(AB3530,6),IF(ISNUMBER(SEARCH("3",'Procyfloc AL200'!D31)),EDATE(AB3530,3),DATEVALUE('Procyfloc AL200'!D31))))),""))</f>
        <v/>
      </c>
      <c r="AM3530" t="str">
        <f t="shared" ca="1" si="352"/>
        <v/>
      </c>
    </row>
    <row r="3531" spans="27:39" x14ac:dyDescent="0.3">
      <c r="AA3531" t="str">
        <f>IF(COUNTA('Procyfloc AL200'!A32,'Procyfloc AL200'!B32,'Procyfloc AL200'!C32)&gt;0,"AL200","")</f>
        <v/>
      </c>
      <c r="AB3531" t="str">
        <f>IFERROR(IF(ISNUMBER('Procyfloc AL200'!A32),'Procyfloc AL200'!A32,DATEVALUE('Procyfloc AL200'!A32)),"")</f>
        <v/>
      </c>
      <c r="AC3531" t="str">
        <f>IF(AA3531="","",'Procyfloc AL200'!B32)</f>
        <v/>
      </c>
      <c r="AD3531" t="str">
        <f>IF(AA3531="","",IFERROR(1*'Procyfloc AL200'!C32,IFERROR(_xludf.NUMBERVALUE('Procyfloc AL200'!C32,".",","),IFERROR(_xludf.NUMBERVALUE('Procyfloc AL200'!C32,",","."),0))))</f>
        <v/>
      </c>
      <c r="AE3531" t="str">
        <f>IF(AA3531="","",'Procyfloc AL200'!K32)</f>
        <v/>
      </c>
      <c r="AF3531">
        <f t="shared" si="347"/>
        <v>0</v>
      </c>
      <c r="AG3531" t="str">
        <f t="shared" si="348"/>
        <v/>
      </c>
      <c r="AH3531" t="str">
        <f t="shared" si="349"/>
        <v/>
      </c>
      <c r="AI3531">
        <f t="shared" si="350"/>
        <v>0</v>
      </c>
      <c r="AJ3531">
        <f t="shared" si="351"/>
        <v>0</v>
      </c>
      <c r="AK3531">
        <v>0</v>
      </c>
      <c r="AL3531" t="str">
        <f>IF(AA3531="","",IFERROR(IF(ISNUMBER('Procyfloc AL200'!D32),'Procyfloc AL200'!D32,IF(ISNUMBER(SEARCH("12",'Procyfloc AL200'!D32)),EDATE(AB3531,12),IF(ISNUMBER(SEARCH("6",'Procyfloc AL200'!D32)),EDATE(AB3531,6),IF(ISNUMBER(SEARCH("3",'Procyfloc AL200'!D32)),EDATE(AB3531,3),DATEVALUE('Procyfloc AL200'!D32))))),""))</f>
        <v/>
      </c>
      <c r="AM3531" t="str">
        <f t="shared" ca="1" si="352"/>
        <v/>
      </c>
    </row>
    <row r="3532" spans="27:39" x14ac:dyDescent="0.3">
      <c r="AA3532" t="str">
        <f>IF(COUNTA('Procyfloc AL200'!A33,'Procyfloc AL200'!B33,'Procyfloc AL200'!C33)&gt;0,"AL200","")</f>
        <v/>
      </c>
      <c r="AB3532" t="str">
        <f>IFERROR(IF(ISNUMBER('Procyfloc AL200'!A33),'Procyfloc AL200'!A33,DATEVALUE('Procyfloc AL200'!A33)),"")</f>
        <v/>
      </c>
      <c r="AC3532" t="str">
        <f>IF(AA3532="","",'Procyfloc AL200'!B33)</f>
        <v/>
      </c>
      <c r="AD3532" t="str">
        <f>IF(AA3532="","",IFERROR(1*'Procyfloc AL200'!C33,IFERROR(_xludf.NUMBERVALUE('Procyfloc AL200'!C33,".",","),IFERROR(_xludf.NUMBERVALUE('Procyfloc AL200'!C33,",","."),0))))</f>
        <v/>
      </c>
      <c r="AE3532" t="str">
        <f>IF(AA3532="","",'Procyfloc AL200'!K33)</f>
        <v/>
      </c>
      <c r="AF3532">
        <f t="shared" si="347"/>
        <v>0</v>
      </c>
      <c r="AG3532" t="str">
        <f t="shared" si="348"/>
        <v/>
      </c>
      <c r="AH3532" t="str">
        <f t="shared" si="349"/>
        <v/>
      </c>
      <c r="AI3532">
        <f t="shared" si="350"/>
        <v>0</v>
      </c>
      <c r="AJ3532">
        <f t="shared" si="351"/>
        <v>0</v>
      </c>
      <c r="AK3532">
        <v>0</v>
      </c>
      <c r="AL3532" t="str">
        <f>IF(AA3532="","",IFERROR(IF(ISNUMBER('Procyfloc AL200'!D33),'Procyfloc AL200'!D33,IF(ISNUMBER(SEARCH("12",'Procyfloc AL200'!D33)),EDATE(AB3532,12),IF(ISNUMBER(SEARCH("6",'Procyfloc AL200'!D33)),EDATE(AB3532,6),IF(ISNUMBER(SEARCH("3",'Procyfloc AL200'!D33)),EDATE(AB3532,3),DATEVALUE('Procyfloc AL200'!D33))))),""))</f>
        <v/>
      </c>
      <c r="AM3532" t="str">
        <f t="shared" ca="1" si="352"/>
        <v/>
      </c>
    </row>
    <row r="3533" spans="27:39" x14ac:dyDescent="0.3">
      <c r="AA3533" t="str">
        <f>IF(COUNTA('Procyfloc AL200'!A34,'Procyfloc AL200'!B34,'Procyfloc AL200'!C34)&gt;0,"AL200","")</f>
        <v/>
      </c>
      <c r="AB3533" t="str">
        <f>IFERROR(IF(ISNUMBER('Procyfloc AL200'!A34),'Procyfloc AL200'!A34,DATEVALUE('Procyfloc AL200'!A34)),"")</f>
        <v/>
      </c>
      <c r="AC3533" t="str">
        <f>IF(AA3533="","",'Procyfloc AL200'!B34)</f>
        <v/>
      </c>
      <c r="AD3533" t="str">
        <f>IF(AA3533="","",IFERROR(1*'Procyfloc AL200'!C34,IFERROR(_xludf.NUMBERVALUE('Procyfloc AL200'!C34,".",","),IFERROR(_xludf.NUMBERVALUE('Procyfloc AL200'!C34,",","."),0))))</f>
        <v/>
      </c>
      <c r="AE3533" t="str">
        <f>IF(AA3533="","",'Procyfloc AL200'!K34)</f>
        <v/>
      </c>
      <c r="AF3533">
        <f t="shared" si="347"/>
        <v>0</v>
      </c>
      <c r="AG3533" t="str">
        <f t="shared" si="348"/>
        <v/>
      </c>
      <c r="AH3533" t="str">
        <f t="shared" si="349"/>
        <v/>
      </c>
      <c r="AI3533">
        <f t="shared" si="350"/>
        <v>0</v>
      </c>
      <c r="AJ3533">
        <f t="shared" si="351"/>
        <v>0</v>
      </c>
      <c r="AK3533">
        <v>0</v>
      </c>
      <c r="AL3533" t="str">
        <f>IF(AA3533="","",IFERROR(IF(ISNUMBER('Procyfloc AL200'!D34),'Procyfloc AL200'!D34,IF(ISNUMBER(SEARCH("12",'Procyfloc AL200'!D34)),EDATE(AB3533,12),IF(ISNUMBER(SEARCH("6",'Procyfloc AL200'!D34)),EDATE(AB3533,6),IF(ISNUMBER(SEARCH("3",'Procyfloc AL200'!D34)),EDATE(AB3533,3),DATEVALUE('Procyfloc AL200'!D34))))),""))</f>
        <v/>
      </c>
      <c r="AM3533" t="str">
        <f t="shared" ca="1" si="352"/>
        <v/>
      </c>
    </row>
    <row r="3534" spans="27:39" x14ac:dyDescent="0.3">
      <c r="AA3534" t="str">
        <f>IF(COUNTA('Procyfloc AL200'!A35,'Procyfloc AL200'!B35,'Procyfloc AL200'!C35)&gt;0,"AL200","")</f>
        <v/>
      </c>
      <c r="AB3534" t="str">
        <f>IFERROR(IF(ISNUMBER('Procyfloc AL200'!A35),'Procyfloc AL200'!A35,DATEVALUE('Procyfloc AL200'!A35)),"")</f>
        <v/>
      </c>
      <c r="AC3534" t="str">
        <f>IF(AA3534="","",'Procyfloc AL200'!B35)</f>
        <v/>
      </c>
      <c r="AD3534" t="str">
        <f>IF(AA3534="","",IFERROR(1*'Procyfloc AL200'!C35,IFERROR(_xludf.NUMBERVALUE('Procyfloc AL200'!C35,".",","),IFERROR(_xludf.NUMBERVALUE('Procyfloc AL200'!C35,",","."),0))))</f>
        <v/>
      </c>
      <c r="AE3534" t="str">
        <f>IF(AA3534="","",'Procyfloc AL200'!K35)</f>
        <v/>
      </c>
      <c r="AF3534">
        <f t="shared" si="347"/>
        <v>0</v>
      </c>
      <c r="AG3534" t="str">
        <f t="shared" si="348"/>
        <v/>
      </c>
      <c r="AH3534" t="str">
        <f t="shared" si="349"/>
        <v/>
      </c>
      <c r="AI3534">
        <f t="shared" si="350"/>
        <v>0</v>
      </c>
      <c r="AJ3534">
        <f t="shared" si="351"/>
        <v>0</v>
      </c>
      <c r="AK3534">
        <v>0</v>
      </c>
      <c r="AL3534" t="str">
        <f>IF(AA3534="","",IFERROR(IF(ISNUMBER('Procyfloc AL200'!D35),'Procyfloc AL200'!D35,IF(ISNUMBER(SEARCH("12",'Procyfloc AL200'!D35)),EDATE(AB3534,12),IF(ISNUMBER(SEARCH("6",'Procyfloc AL200'!D35)),EDATE(AB3534,6),IF(ISNUMBER(SEARCH("3",'Procyfloc AL200'!D35)),EDATE(AB3534,3),DATEVALUE('Procyfloc AL200'!D35))))),""))</f>
        <v/>
      </c>
      <c r="AM3534" t="str">
        <f t="shared" ca="1" si="352"/>
        <v/>
      </c>
    </row>
    <row r="3535" spans="27:39" x14ac:dyDescent="0.3">
      <c r="AA3535" t="str">
        <f>IF(COUNTA('Procyfloc AL200'!A36,'Procyfloc AL200'!B36,'Procyfloc AL200'!C36)&gt;0,"AL200","")</f>
        <v/>
      </c>
      <c r="AB3535" t="str">
        <f>IFERROR(IF(ISNUMBER('Procyfloc AL200'!A36),'Procyfloc AL200'!A36,DATEVALUE('Procyfloc AL200'!A36)),"")</f>
        <v/>
      </c>
      <c r="AC3535" t="str">
        <f>IF(AA3535="","",'Procyfloc AL200'!B36)</f>
        <v/>
      </c>
      <c r="AD3535" t="str">
        <f>IF(AA3535="","",IFERROR(1*'Procyfloc AL200'!C36,IFERROR(_xludf.NUMBERVALUE('Procyfloc AL200'!C36,".",","),IFERROR(_xludf.NUMBERVALUE('Procyfloc AL200'!C36,",","."),0))))</f>
        <v/>
      </c>
      <c r="AE3535" t="str">
        <f>IF(AA3535="","",'Procyfloc AL200'!K36)</f>
        <v/>
      </c>
      <c r="AF3535">
        <f t="shared" si="347"/>
        <v>0</v>
      </c>
      <c r="AG3535" t="str">
        <f t="shared" si="348"/>
        <v/>
      </c>
      <c r="AH3535" t="str">
        <f t="shared" si="349"/>
        <v/>
      </c>
      <c r="AI3535">
        <f t="shared" si="350"/>
        <v>0</v>
      </c>
      <c r="AJ3535">
        <f t="shared" si="351"/>
        <v>0</v>
      </c>
      <c r="AK3535">
        <v>0</v>
      </c>
      <c r="AL3535" t="str">
        <f>IF(AA3535="","",IFERROR(IF(ISNUMBER('Procyfloc AL200'!D36),'Procyfloc AL200'!D36,IF(ISNUMBER(SEARCH("12",'Procyfloc AL200'!D36)),EDATE(AB3535,12),IF(ISNUMBER(SEARCH("6",'Procyfloc AL200'!D36)),EDATE(AB3535,6),IF(ISNUMBER(SEARCH("3",'Procyfloc AL200'!D36)),EDATE(AB3535,3),DATEVALUE('Procyfloc AL200'!D36))))),""))</f>
        <v/>
      </c>
      <c r="AM3535" t="str">
        <f t="shared" ca="1" si="352"/>
        <v/>
      </c>
    </row>
    <row r="3536" spans="27:39" x14ac:dyDescent="0.3">
      <c r="AA3536" t="str">
        <f>IF(COUNTA('Procyfloc AL200'!A37,'Procyfloc AL200'!B37,'Procyfloc AL200'!C37)&gt;0,"AL200","")</f>
        <v/>
      </c>
      <c r="AB3536" t="str">
        <f>IFERROR(IF(ISNUMBER('Procyfloc AL200'!A37),'Procyfloc AL200'!A37,DATEVALUE('Procyfloc AL200'!A37)),"")</f>
        <v/>
      </c>
      <c r="AC3536" t="str">
        <f>IF(AA3536="","",'Procyfloc AL200'!B37)</f>
        <v/>
      </c>
      <c r="AD3536" t="str">
        <f>IF(AA3536="","",IFERROR(1*'Procyfloc AL200'!C37,IFERROR(_xludf.NUMBERVALUE('Procyfloc AL200'!C37,".",","),IFERROR(_xludf.NUMBERVALUE('Procyfloc AL200'!C37,",","."),0))))</f>
        <v/>
      </c>
      <c r="AE3536" t="str">
        <f>IF(AA3536="","",'Procyfloc AL200'!K37)</f>
        <v/>
      </c>
      <c r="AF3536">
        <f t="shared" si="347"/>
        <v>0</v>
      </c>
      <c r="AG3536" t="str">
        <f t="shared" si="348"/>
        <v/>
      </c>
      <c r="AH3536" t="str">
        <f t="shared" si="349"/>
        <v/>
      </c>
      <c r="AI3536">
        <f t="shared" si="350"/>
        <v>0</v>
      </c>
      <c r="AJ3536">
        <f t="shared" si="351"/>
        <v>0</v>
      </c>
      <c r="AK3536">
        <v>0</v>
      </c>
      <c r="AL3536" t="str">
        <f>IF(AA3536="","",IFERROR(IF(ISNUMBER('Procyfloc AL200'!D37),'Procyfloc AL200'!D37,IF(ISNUMBER(SEARCH("12",'Procyfloc AL200'!D37)),EDATE(AB3536,12),IF(ISNUMBER(SEARCH("6",'Procyfloc AL200'!D37)),EDATE(AB3536,6),IF(ISNUMBER(SEARCH("3",'Procyfloc AL200'!D37)),EDATE(AB3536,3),DATEVALUE('Procyfloc AL200'!D37))))),""))</f>
        <v/>
      </c>
      <c r="AM3536" t="str">
        <f t="shared" ca="1" si="352"/>
        <v/>
      </c>
    </row>
    <row r="3537" spans="27:39" x14ac:dyDescent="0.3">
      <c r="AA3537" t="str">
        <f>IF(COUNTA('Procyfloc AL200'!A38,'Procyfloc AL200'!B38,'Procyfloc AL200'!C38)&gt;0,"AL200","")</f>
        <v/>
      </c>
      <c r="AB3537" t="str">
        <f>IFERROR(IF(ISNUMBER('Procyfloc AL200'!A38),'Procyfloc AL200'!A38,DATEVALUE('Procyfloc AL200'!A38)),"")</f>
        <v/>
      </c>
      <c r="AC3537" t="str">
        <f>IF(AA3537="","",'Procyfloc AL200'!B38)</f>
        <v/>
      </c>
      <c r="AD3537" t="str">
        <f>IF(AA3537="","",IFERROR(1*'Procyfloc AL200'!C38,IFERROR(_xludf.NUMBERVALUE('Procyfloc AL200'!C38,".",","),IFERROR(_xludf.NUMBERVALUE('Procyfloc AL200'!C38,",","."),0))))</f>
        <v/>
      </c>
      <c r="AE3537" t="str">
        <f>IF(AA3537="","",'Procyfloc AL200'!K38)</f>
        <v/>
      </c>
      <c r="AF3537">
        <f t="shared" si="347"/>
        <v>0</v>
      </c>
      <c r="AG3537" t="str">
        <f t="shared" si="348"/>
        <v/>
      </c>
      <c r="AH3537" t="str">
        <f t="shared" si="349"/>
        <v/>
      </c>
      <c r="AI3537">
        <f t="shared" si="350"/>
        <v>0</v>
      </c>
      <c r="AJ3537">
        <f t="shared" si="351"/>
        <v>0</v>
      </c>
      <c r="AK3537">
        <v>0</v>
      </c>
      <c r="AL3537" t="str">
        <f>IF(AA3537="","",IFERROR(IF(ISNUMBER('Procyfloc AL200'!D38),'Procyfloc AL200'!D38,IF(ISNUMBER(SEARCH("12",'Procyfloc AL200'!D38)),EDATE(AB3537,12),IF(ISNUMBER(SEARCH("6",'Procyfloc AL200'!D38)),EDATE(AB3537,6),IF(ISNUMBER(SEARCH("3",'Procyfloc AL200'!D38)),EDATE(AB3537,3),DATEVALUE('Procyfloc AL200'!D38))))),""))</f>
        <v/>
      </c>
      <c r="AM3537" t="str">
        <f t="shared" ca="1" si="352"/>
        <v/>
      </c>
    </row>
    <row r="3538" spans="27:39" x14ac:dyDescent="0.3">
      <c r="AA3538" t="str">
        <f>IF(COUNTA('Procyfloc AL200'!A39,'Procyfloc AL200'!B39,'Procyfloc AL200'!C39)&gt;0,"AL200","")</f>
        <v/>
      </c>
      <c r="AB3538" t="str">
        <f>IFERROR(IF(ISNUMBER('Procyfloc AL200'!A39),'Procyfloc AL200'!A39,DATEVALUE('Procyfloc AL200'!A39)),"")</f>
        <v/>
      </c>
      <c r="AC3538" t="str">
        <f>IF(AA3538="","",'Procyfloc AL200'!B39)</f>
        <v/>
      </c>
      <c r="AD3538" t="str">
        <f>IF(AA3538="","",IFERROR(1*'Procyfloc AL200'!C39,IFERROR(_xludf.NUMBERVALUE('Procyfloc AL200'!C39,".",","),IFERROR(_xludf.NUMBERVALUE('Procyfloc AL200'!C39,",","."),0))))</f>
        <v/>
      </c>
      <c r="AE3538" t="str">
        <f>IF(AA3538="","",'Procyfloc AL200'!K39)</f>
        <v/>
      </c>
      <c r="AF3538">
        <f t="shared" si="347"/>
        <v>0</v>
      </c>
      <c r="AG3538" t="str">
        <f t="shared" si="348"/>
        <v/>
      </c>
      <c r="AH3538" t="str">
        <f t="shared" si="349"/>
        <v/>
      </c>
      <c r="AI3538">
        <f t="shared" si="350"/>
        <v>0</v>
      </c>
      <c r="AJ3538">
        <f t="shared" si="351"/>
        <v>0</v>
      </c>
      <c r="AK3538">
        <v>0</v>
      </c>
      <c r="AL3538" t="str">
        <f>IF(AA3538="","",IFERROR(IF(ISNUMBER('Procyfloc AL200'!D39),'Procyfloc AL200'!D39,IF(ISNUMBER(SEARCH("12",'Procyfloc AL200'!D39)),EDATE(AB3538,12),IF(ISNUMBER(SEARCH("6",'Procyfloc AL200'!D39)),EDATE(AB3538,6),IF(ISNUMBER(SEARCH("3",'Procyfloc AL200'!D39)),EDATE(AB3538,3),DATEVALUE('Procyfloc AL200'!D39))))),""))</f>
        <v/>
      </c>
      <c r="AM3538" t="str">
        <f t="shared" ca="1" si="352"/>
        <v/>
      </c>
    </row>
    <row r="3539" spans="27:39" x14ac:dyDescent="0.3">
      <c r="AA3539" t="str">
        <f>IF(COUNTA('Procyfloc AL200'!A40,'Procyfloc AL200'!B40,'Procyfloc AL200'!C40)&gt;0,"AL200","")</f>
        <v/>
      </c>
      <c r="AB3539" t="str">
        <f>IFERROR(IF(ISNUMBER('Procyfloc AL200'!A40),'Procyfloc AL200'!A40,DATEVALUE('Procyfloc AL200'!A40)),"")</f>
        <v/>
      </c>
      <c r="AC3539" t="str">
        <f>IF(AA3539="","",'Procyfloc AL200'!B40)</f>
        <v/>
      </c>
      <c r="AD3539" t="str">
        <f>IF(AA3539="","",IFERROR(1*'Procyfloc AL200'!C40,IFERROR(_xludf.NUMBERVALUE('Procyfloc AL200'!C40,".",","),IFERROR(_xludf.NUMBERVALUE('Procyfloc AL200'!C40,",","."),0))))</f>
        <v/>
      </c>
      <c r="AE3539" t="str">
        <f>IF(AA3539="","",'Procyfloc AL200'!K40)</f>
        <v/>
      </c>
      <c r="AF3539">
        <f t="shared" si="347"/>
        <v>0</v>
      </c>
      <c r="AG3539" t="str">
        <f t="shared" si="348"/>
        <v/>
      </c>
      <c r="AH3539" t="str">
        <f t="shared" si="349"/>
        <v/>
      </c>
      <c r="AI3539">
        <f t="shared" si="350"/>
        <v>0</v>
      </c>
      <c r="AJ3539">
        <f t="shared" si="351"/>
        <v>0</v>
      </c>
      <c r="AK3539">
        <v>0</v>
      </c>
      <c r="AL3539" t="str">
        <f>IF(AA3539="","",IFERROR(IF(ISNUMBER('Procyfloc AL200'!D40),'Procyfloc AL200'!D40,IF(ISNUMBER(SEARCH("12",'Procyfloc AL200'!D40)),EDATE(AB3539,12),IF(ISNUMBER(SEARCH("6",'Procyfloc AL200'!D40)),EDATE(AB3539,6),IF(ISNUMBER(SEARCH("3",'Procyfloc AL200'!D40)),EDATE(AB3539,3),DATEVALUE('Procyfloc AL200'!D40))))),""))</f>
        <v/>
      </c>
      <c r="AM3539" t="str">
        <f t="shared" ca="1" si="352"/>
        <v/>
      </c>
    </row>
    <row r="3540" spans="27:39" x14ac:dyDescent="0.3">
      <c r="AA3540" t="str">
        <f>IF(COUNTA('Procyfloc AL200'!A41,'Procyfloc AL200'!B41,'Procyfloc AL200'!C41)&gt;0,"AL200","")</f>
        <v/>
      </c>
      <c r="AB3540" t="str">
        <f>IFERROR(IF(ISNUMBER('Procyfloc AL200'!A41),'Procyfloc AL200'!A41,DATEVALUE('Procyfloc AL200'!A41)),"")</f>
        <v/>
      </c>
      <c r="AC3540" t="str">
        <f>IF(AA3540="","",'Procyfloc AL200'!B41)</f>
        <v/>
      </c>
      <c r="AD3540" t="str">
        <f>IF(AA3540="","",IFERROR(1*'Procyfloc AL200'!C41,IFERROR(_xludf.NUMBERVALUE('Procyfloc AL200'!C41,".",","),IFERROR(_xludf.NUMBERVALUE('Procyfloc AL200'!C41,",","."),0))))</f>
        <v/>
      </c>
      <c r="AE3540" t="str">
        <f>IF(AA3540="","",'Procyfloc AL200'!K41)</f>
        <v/>
      </c>
      <c r="AF3540">
        <f t="shared" si="347"/>
        <v>0</v>
      </c>
      <c r="AG3540" t="str">
        <f t="shared" si="348"/>
        <v/>
      </c>
      <c r="AH3540" t="str">
        <f t="shared" si="349"/>
        <v/>
      </c>
      <c r="AI3540">
        <f t="shared" si="350"/>
        <v>0</v>
      </c>
      <c r="AJ3540">
        <f t="shared" si="351"/>
        <v>0</v>
      </c>
      <c r="AK3540">
        <v>0</v>
      </c>
      <c r="AL3540" t="str">
        <f>IF(AA3540="","",IFERROR(IF(ISNUMBER('Procyfloc AL200'!D41),'Procyfloc AL200'!D41,IF(ISNUMBER(SEARCH("12",'Procyfloc AL200'!D41)),EDATE(AB3540,12),IF(ISNUMBER(SEARCH("6",'Procyfloc AL200'!D41)),EDATE(AB3540,6),IF(ISNUMBER(SEARCH("3",'Procyfloc AL200'!D41)),EDATE(AB3540,3),DATEVALUE('Procyfloc AL200'!D41))))),""))</f>
        <v/>
      </c>
      <c r="AM3540" t="str">
        <f t="shared" ca="1" si="352"/>
        <v/>
      </c>
    </row>
    <row r="3541" spans="27:39" x14ac:dyDescent="0.3">
      <c r="AA3541" t="str">
        <f>IF(COUNTA('Procyfloc AL200'!A42,'Procyfloc AL200'!B42,'Procyfloc AL200'!C42)&gt;0,"AL200","")</f>
        <v/>
      </c>
      <c r="AB3541" t="str">
        <f>IFERROR(IF(ISNUMBER('Procyfloc AL200'!A42),'Procyfloc AL200'!A42,DATEVALUE('Procyfloc AL200'!A42)),"")</f>
        <v/>
      </c>
      <c r="AC3541" t="str">
        <f>IF(AA3541="","",'Procyfloc AL200'!B42)</f>
        <v/>
      </c>
      <c r="AD3541" t="str">
        <f>IF(AA3541="","",IFERROR(1*'Procyfloc AL200'!C42,IFERROR(_xludf.NUMBERVALUE('Procyfloc AL200'!C42,".",","),IFERROR(_xludf.NUMBERVALUE('Procyfloc AL200'!C42,",","."),0))))</f>
        <v/>
      </c>
      <c r="AE3541" t="str">
        <f>IF(AA3541="","",'Procyfloc AL200'!K42)</f>
        <v/>
      </c>
      <c r="AF3541">
        <f t="shared" si="347"/>
        <v>0</v>
      </c>
      <c r="AG3541" t="str">
        <f t="shared" si="348"/>
        <v/>
      </c>
      <c r="AH3541" t="str">
        <f t="shared" si="349"/>
        <v/>
      </c>
      <c r="AI3541">
        <f t="shared" si="350"/>
        <v>0</v>
      </c>
      <c r="AJ3541">
        <f t="shared" si="351"/>
        <v>0</v>
      </c>
      <c r="AK3541">
        <v>0</v>
      </c>
      <c r="AL3541" t="str">
        <f>IF(AA3541="","",IFERROR(IF(ISNUMBER('Procyfloc AL200'!D42),'Procyfloc AL200'!D42,IF(ISNUMBER(SEARCH("12",'Procyfloc AL200'!D42)),EDATE(AB3541,12),IF(ISNUMBER(SEARCH("6",'Procyfloc AL200'!D42)),EDATE(AB3541,6),IF(ISNUMBER(SEARCH("3",'Procyfloc AL200'!D42)),EDATE(AB3541,3),DATEVALUE('Procyfloc AL200'!D42))))),""))</f>
        <v/>
      </c>
      <c r="AM3541" t="str">
        <f t="shared" ca="1" si="352"/>
        <v/>
      </c>
    </row>
    <row r="3542" spans="27:39" x14ac:dyDescent="0.3">
      <c r="AA3542" t="str">
        <f>IF(COUNTA('Procyfloc AL200'!A43,'Procyfloc AL200'!B43,'Procyfloc AL200'!C43)&gt;0,"AL200","")</f>
        <v/>
      </c>
      <c r="AB3542" t="str">
        <f>IFERROR(IF(ISNUMBER('Procyfloc AL200'!A43),'Procyfloc AL200'!A43,DATEVALUE('Procyfloc AL200'!A43)),"")</f>
        <v/>
      </c>
      <c r="AC3542" t="str">
        <f>IF(AA3542="","",'Procyfloc AL200'!B43)</f>
        <v/>
      </c>
      <c r="AD3542" t="str">
        <f>IF(AA3542="","",IFERROR(1*'Procyfloc AL200'!C43,IFERROR(_xludf.NUMBERVALUE('Procyfloc AL200'!C43,".",","),IFERROR(_xludf.NUMBERVALUE('Procyfloc AL200'!C43,",","."),0))))</f>
        <v/>
      </c>
      <c r="AE3542" t="str">
        <f>IF(AA3542="","",'Procyfloc AL200'!K43)</f>
        <v/>
      </c>
      <c r="AF3542">
        <f t="shared" si="347"/>
        <v>0</v>
      </c>
      <c r="AG3542" t="str">
        <f t="shared" si="348"/>
        <v/>
      </c>
      <c r="AH3542" t="str">
        <f t="shared" si="349"/>
        <v/>
      </c>
      <c r="AI3542">
        <f t="shared" si="350"/>
        <v>0</v>
      </c>
      <c r="AJ3542">
        <f t="shared" si="351"/>
        <v>0</v>
      </c>
      <c r="AK3542">
        <v>0</v>
      </c>
      <c r="AL3542" t="str">
        <f>IF(AA3542="","",IFERROR(IF(ISNUMBER('Procyfloc AL200'!D43),'Procyfloc AL200'!D43,IF(ISNUMBER(SEARCH("12",'Procyfloc AL200'!D43)),EDATE(AB3542,12),IF(ISNUMBER(SEARCH("6",'Procyfloc AL200'!D43)),EDATE(AB3542,6),IF(ISNUMBER(SEARCH("3",'Procyfloc AL200'!D43)),EDATE(AB3542,3),DATEVALUE('Procyfloc AL200'!D43))))),""))</f>
        <v/>
      </c>
      <c r="AM3542" t="str">
        <f t="shared" ca="1" si="352"/>
        <v/>
      </c>
    </row>
    <row r="3543" spans="27:39" x14ac:dyDescent="0.3">
      <c r="AA3543" t="str">
        <f>IF(COUNTA('Procyfloc AL200'!A44,'Procyfloc AL200'!B44,'Procyfloc AL200'!C44)&gt;0,"AL200","")</f>
        <v/>
      </c>
      <c r="AB3543" t="str">
        <f>IFERROR(IF(ISNUMBER('Procyfloc AL200'!A44),'Procyfloc AL200'!A44,DATEVALUE('Procyfloc AL200'!A44)),"")</f>
        <v/>
      </c>
      <c r="AC3543" t="str">
        <f>IF(AA3543="","",'Procyfloc AL200'!B44)</f>
        <v/>
      </c>
      <c r="AD3543" t="str">
        <f>IF(AA3543="","",IFERROR(1*'Procyfloc AL200'!C44,IFERROR(_xludf.NUMBERVALUE('Procyfloc AL200'!C44,".",","),IFERROR(_xludf.NUMBERVALUE('Procyfloc AL200'!C44,",","."),0))))</f>
        <v/>
      </c>
      <c r="AE3543" t="str">
        <f>IF(AA3543="","",'Procyfloc AL200'!K44)</f>
        <v/>
      </c>
      <c r="AF3543">
        <f t="shared" si="347"/>
        <v>0</v>
      </c>
      <c r="AG3543" t="str">
        <f t="shared" si="348"/>
        <v/>
      </c>
      <c r="AH3543" t="str">
        <f t="shared" si="349"/>
        <v/>
      </c>
      <c r="AI3543">
        <f t="shared" si="350"/>
        <v>0</v>
      </c>
      <c r="AJ3543">
        <f t="shared" si="351"/>
        <v>0</v>
      </c>
      <c r="AK3543">
        <v>0</v>
      </c>
      <c r="AL3543" t="str">
        <f>IF(AA3543="","",IFERROR(IF(ISNUMBER('Procyfloc AL200'!D44),'Procyfloc AL200'!D44,IF(ISNUMBER(SEARCH("12",'Procyfloc AL200'!D44)),EDATE(AB3543,12),IF(ISNUMBER(SEARCH("6",'Procyfloc AL200'!D44)),EDATE(AB3543,6),IF(ISNUMBER(SEARCH("3",'Procyfloc AL200'!D44)),EDATE(AB3543,3),DATEVALUE('Procyfloc AL200'!D44))))),""))</f>
        <v/>
      </c>
      <c r="AM3543" t="str">
        <f t="shared" ca="1" si="352"/>
        <v/>
      </c>
    </row>
    <row r="3544" spans="27:39" x14ac:dyDescent="0.3">
      <c r="AA3544" t="str">
        <f>IF(COUNTA('Procyfloc AL200'!A45,'Procyfloc AL200'!B45,'Procyfloc AL200'!C45)&gt;0,"AL200","")</f>
        <v/>
      </c>
      <c r="AB3544" t="str">
        <f>IFERROR(IF(ISNUMBER('Procyfloc AL200'!A45),'Procyfloc AL200'!A45,DATEVALUE('Procyfloc AL200'!A45)),"")</f>
        <v/>
      </c>
      <c r="AC3544" t="str">
        <f>IF(AA3544="","",'Procyfloc AL200'!B45)</f>
        <v/>
      </c>
      <c r="AD3544" t="str">
        <f>IF(AA3544="","",IFERROR(1*'Procyfloc AL200'!C45,IFERROR(_xludf.NUMBERVALUE('Procyfloc AL200'!C45,".",","),IFERROR(_xludf.NUMBERVALUE('Procyfloc AL200'!C45,",","."),0))))</f>
        <v/>
      </c>
      <c r="AE3544" t="str">
        <f>IF(AA3544="","",'Procyfloc AL200'!K45)</f>
        <v/>
      </c>
      <c r="AF3544">
        <f t="shared" si="347"/>
        <v>0</v>
      </c>
      <c r="AG3544" t="str">
        <f t="shared" si="348"/>
        <v/>
      </c>
      <c r="AH3544" t="str">
        <f t="shared" si="349"/>
        <v/>
      </c>
      <c r="AI3544">
        <f t="shared" si="350"/>
        <v>0</v>
      </c>
      <c r="AJ3544">
        <f t="shared" si="351"/>
        <v>0</v>
      </c>
      <c r="AK3544">
        <v>0</v>
      </c>
      <c r="AL3544" t="str">
        <f>IF(AA3544="","",IFERROR(IF(ISNUMBER('Procyfloc AL200'!D45),'Procyfloc AL200'!D45,IF(ISNUMBER(SEARCH("12",'Procyfloc AL200'!D45)),EDATE(AB3544,12),IF(ISNUMBER(SEARCH("6",'Procyfloc AL200'!D45)),EDATE(AB3544,6),IF(ISNUMBER(SEARCH("3",'Procyfloc AL200'!D45)),EDATE(AB3544,3),DATEVALUE('Procyfloc AL200'!D45))))),""))</f>
        <v/>
      </c>
      <c r="AM3544" t="str">
        <f t="shared" ca="1" si="352"/>
        <v/>
      </c>
    </row>
    <row r="3545" spans="27:39" x14ac:dyDescent="0.3">
      <c r="AA3545" t="str">
        <f>IF(COUNTA('Procyfloc AL200'!A46,'Procyfloc AL200'!B46,'Procyfloc AL200'!C46)&gt;0,"AL200","")</f>
        <v/>
      </c>
      <c r="AB3545" t="str">
        <f>IFERROR(IF(ISNUMBER('Procyfloc AL200'!A46),'Procyfloc AL200'!A46,DATEVALUE('Procyfloc AL200'!A46)),"")</f>
        <v/>
      </c>
      <c r="AC3545" t="str">
        <f>IF(AA3545="","",'Procyfloc AL200'!B46)</f>
        <v/>
      </c>
      <c r="AD3545" t="str">
        <f>IF(AA3545="","",IFERROR(1*'Procyfloc AL200'!C46,IFERROR(_xludf.NUMBERVALUE('Procyfloc AL200'!C46,".",","),IFERROR(_xludf.NUMBERVALUE('Procyfloc AL200'!C46,",","."),0))))</f>
        <v/>
      </c>
      <c r="AE3545" t="str">
        <f>IF(AA3545="","",'Procyfloc AL200'!K46)</f>
        <v/>
      </c>
      <c r="AF3545">
        <f t="shared" si="347"/>
        <v>0</v>
      </c>
      <c r="AG3545" t="str">
        <f t="shared" si="348"/>
        <v/>
      </c>
      <c r="AH3545" t="str">
        <f t="shared" si="349"/>
        <v/>
      </c>
      <c r="AI3545">
        <f t="shared" si="350"/>
        <v>0</v>
      </c>
      <c r="AJ3545">
        <f t="shared" si="351"/>
        <v>0</v>
      </c>
      <c r="AK3545">
        <v>0</v>
      </c>
      <c r="AL3545" t="str">
        <f>IF(AA3545="","",IFERROR(IF(ISNUMBER('Procyfloc AL200'!D46),'Procyfloc AL200'!D46,IF(ISNUMBER(SEARCH("12",'Procyfloc AL200'!D46)),EDATE(AB3545,12),IF(ISNUMBER(SEARCH("6",'Procyfloc AL200'!D46)),EDATE(AB3545,6),IF(ISNUMBER(SEARCH("3",'Procyfloc AL200'!D46)),EDATE(AB3545,3),DATEVALUE('Procyfloc AL200'!D46))))),""))</f>
        <v/>
      </c>
      <c r="AM3545" t="str">
        <f t="shared" ca="1" si="352"/>
        <v/>
      </c>
    </row>
    <row r="3546" spans="27:39" x14ac:dyDescent="0.3">
      <c r="AA3546" t="str">
        <f>IF(COUNTA('Procyfloc AL200'!A47,'Procyfloc AL200'!B47,'Procyfloc AL200'!C47)&gt;0,"AL200","")</f>
        <v/>
      </c>
      <c r="AB3546" t="str">
        <f>IFERROR(IF(ISNUMBER('Procyfloc AL200'!A47),'Procyfloc AL200'!A47,DATEVALUE('Procyfloc AL200'!A47)),"")</f>
        <v/>
      </c>
      <c r="AC3546" t="str">
        <f>IF(AA3546="","",'Procyfloc AL200'!B47)</f>
        <v/>
      </c>
      <c r="AD3546" t="str">
        <f>IF(AA3546="","",IFERROR(1*'Procyfloc AL200'!C47,IFERROR(_xludf.NUMBERVALUE('Procyfloc AL200'!C47,".",","),IFERROR(_xludf.NUMBERVALUE('Procyfloc AL200'!C47,",","."),0))))</f>
        <v/>
      </c>
      <c r="AE3546" t="str">
        <f>IF(AA3546="","",'Procyfloc AL200'!K47)</f>
        <v/>
      </c>
      <c r="AF3546">
        <f t="shared" si="347"/>
        <v>0</v>
      </c>
      <c r="AG3546" t="str">
        <f t="shared" si="348"/>
        <v/>
      </c>
      <c r="AH3546" t="str">
        <f t="shared" si="349"/>
        <v/>
      </c>
      <c r="AI3546">
        <f t="shared" si="350"/>
        <v>0</v>
      </c>
      <c r="AJ3546">
        <f t="shared" si="351"/>
        <v>0</v>
      </c>
      <c r="AK3546">
        <v>0</v>
      </c>
      <c r="AL3546" t="str">
        <f>IF(AA3546="","",IFERROR(IF(ISNUMBER('Procyfloc AL200'!D47),'Procyfloc AL200'!D47,IF(ISNUMBER(SEARCH("12",'Procyfloc AL200'!D47)),EDATE(AB3546,12),IF(ISNUMBER(SEARCH("6",'Procyfloc AL200'!D47)),EDATE(AB3546,6),IF(ISNUMBER(SEARCH("3",'Procyfloc AL200'!D47)),EDATE(AB3546,3),DATEVALUE('Procyfloc AL200'!D47))))),""))</f>
        <v/>
      </c>
      <c r="AM3546" t="str">
        <f t="shared" ca="1" si="352"/>
        <v/>
      </c>
    </row>
    <row r="3547" spans="27:39" x14ac:dyDescent="0.3">
      <c r="AA3547" t="str">
        <f>IF(COUNTA('Procyfloc AL200'!A48,'Procyfloc AL200'!B48,'Procyfloc AL200'!C48)&gt;0,"AL200","")</f>
        <v/>
      </c>
      <c r="AB3547" t="str">
        <f>IFERROR(IF(ISNUMBER('Procyfloc AL200'!A48),'Procyfloc AL200'!A48,DATEVALUE('Procyfloc AL200'!A48)),"")</f>
        <v/>
      </c>
      <c r="AC3547" t="str">
        <f>IF(AA3547="","",'Procyfloc AL200'!B48)</f>
        <v/>
      </c>
      <c r="AD3547" t="str">
        <f>IF(AA3547="","",IFERROR(1*'Procyfloc AL200'!C48,IFERROR(_xludf.NUMBERVALUE('Procyfloc AL200'!C48,".",","),IFERROR(_xludf.NUMBERVALUE('Procyfloc AL200'!C48,",","."),0))))</f>
        <v/>
      </c>
      <c r="AE3547" t="str">
        <f>IF(AA3547="","",'Procyfloc AL200'!K48)</f>
        <v/>
      </c>
      <c r="AF3547">
        <f t="shared" si="347"/>
        <v>0</v>
      </c>
      <c r="AG3547" t="str">
        <f t="shared" si="348"/>
        <v/>
      </c>
      <c r="AH3547" t="str">
        <f t="shared" si="349"/>
        <v/>
      </c>
      <c r="AI3547">
        <f t="shared" si="350"/>
        <v>0</v>
      </c>
      <c r="AJ3547">
        <f t="shared" si="351"/>
        <v>0</v>
      </c>
      <c r="AK3547">
        <v>0</v>
      </c>
      <c r="AL3547" t="str">
        <f>IF(AA3547="","",IFERROR(IF(ISNUMBER('Procyfloc AL200'!D48),'Procyfloc AL200'!D48,IF(ISNUMBER(SEARCH("12",'Procyfloc AL200'!D48)),EDATE(AB3547,12),IF(ISNUMBER(SEARCH("6",'Procyfloc AL200'!D48)),EDATE(AB3547,6),IF(ISNUMBER(SEARCH("3",'Procyfloc AL200'!D48)),EDATE(AB3547,3),DATEVALUE('Procyfloc AL200'!D48))))),""))</f>
        <v/>
      </c>
      <c r="AM3547" t="str">
        <f t="shared" ca="1" si="352"/>
        <v/>
      </c>
    </row>
    <row r="3548" spans="27:39" x14ac:dyDescent="0.3">
      <c r="AA3548" t="str">
        <f>IF(COUNTA('Procyfloc AL200'!A49,'Procyfloc AL200'!B49,'Procyfloc AL200'!C49)&gt;0,"AL200","")</f>
        <v/>
      </c>
      <c r="AB3548" t="str">
        <f>IFERROR(IF(ISNUMBER('Procyfloc AL200'!A49),'Procyfloc AL200'!A49,DATEVALUE('Procyfloc AL200'!A49)),"")</f>
        <v/>
      </c>
      <c r="AC3548" t="str">
        <f>IF(AA3548="","",'Procyfloc AL200'!B49)</f>
        <v/>
      </c>
      <c r="AD3548" t="str">
        <f>IF(AA3548="","",IFERROR(1*'Procyfloc AL200'!C49,IFERROR(_xludf.NUMBERVALUE('Procyfloc AL200'!C49,".",","),IFERROR(_xludf.NUMBERVALUE('Procyfloc AL200'!C49,",","."),0))))</f>
        <v/>
      </c>
      <c r="AE3548" t="str">
        <f>IF(AA3548="","",'Procyfloc AL200'!K49)</f>
        <v/>
      </c>
      <c r="AF3548">
        <f t="shared" si="347"/>
        <v>0</v>
      </c>
      <c r="AG3548" t="str">
        <f t="shared" si="348"/>
        <v/>
      </c>
      <c r="AH3548" t="str">
        <f t="shared" si="349"/>
        <v/>
      </c>
      <c r="AI3548">
        <f t="shared" si="350"/>
        <v>0</v>
      </c>
      <c r="AJ3548">
        <f t="shared" si="351"/>
        <v>0</v>
      </c>
      <c r="AK3548">
        <v>0</v>
      </c>
      <c r="AL3548" t="str">
        <f>IF(AA3548="","",IFERROR(IF(ISNUMBER('Procyfloc AL200'!D49),'Procyfloc AL200'!D49,IF(ISNUMBER(SEARCH("12",'Procyfloc AL200'!D49)),EDATE(AB3548,12),IF(ISNUMBER(SEARCH("6",'Procyfloc AL200'!D49)),EDATE(AB3548,6),IF(ISNUMBER(SEARCH("3",'Procyfloc AL200'!D49)),EDATE(AB3548,3),DATEVALUE('Procyfloc AL200'!D49))))),""))</f>
        <v/>
      </c>
      <c r="AM3548" t="str">
        <f t="shared" ca="1" si="352"/>
        <v/>
      </c>
    </row>
    <row r="3549" spans="27:39" x14ac:dyDescent="0.3">
      <c r="AA3549" t="str">
        <f>IF(COUNTA('Procyfloc AL200'!A50,'Procyfloc AL200'!B50,'Procyfloc AL200'!C50)&gt;0,"AL200","")</f>
        <v/>
      </c>
      <c r="AB3549" t="str">
        <f>IFERROR(IF(ISNUMBER('Procyfloc AL200'!A50),'Procyfloc AL200'!A50,DATEVALUE('Procyfloc AL200'!A50)),"")</f>
        <v/>
      </c>
      <c r="AC3549" t="str">
        <f>IF(AA3549="","",'Procyfloc AL200'!B50)</f>
        <v/>
      </c>
      <c r="AD3549" t="str">
        <f>IF(AA3549="","",IFERROR(1*'Procyfloc AL200'!C50,IFERROR(_xludf.NUMBERVALUE('Procyfloc AL200'!C50,".",","),IFERROR(_xludf.NUMBERVALUE('Procyfloc AL200'!C50,",","."),0))))</f>
        <v/>
      </c>
      <c r="AE3549" t="str">
        <f>IF(AA3549="","",'Procyfloc AL200'!K50)</f>
        <v/>
      </c>
      <c r="AF3549">
        <f t="shared" si="347"/>
        <v>0</v>
      </c>
      <c r="AG3549" t="str">
        <f t="shared" si="348"/>
        <v/>
      </c>
      <c r="AH3549" t="str">
        <f t="shared" si="349"/>
        <v/>
      </c>
      <c r="AI3549">
        <f t="shared" si="350"/>
        <v>0</v>
      </c>
      <c r="AJ3549">
        <f t="shared" si="351"/>
        <v>0</v>
      </c>
      <c r="AK3549">
        <v>0</v>
      </c>
      <c r="AL3549" t="str">
        <f>IF(AA3549="","",IFERROR(IF(ISNUMBER('Procyfloc AL200'!D50),'Procyfloc AL200'!D50,IF(ISNUMBER(SEARCH("12",'Procyfloc AL200'!D50)),EDATE(AB3549,12),IF(ISNUMBER(SEARCH("6",'Procyfloc AL200'!D50)),EDATE(AB3549,6),IF(ISNUMBER(SEARCH("3",'Procyfloc AL200'!D50)),EDATE(AB3549,3),DATEVALUE('Procyfloc AL200'!D50))))),""))</f>
        <v/>
      </c>
      <c r="AM3549" t="str">
        <f t="shared" ca="1" si="352"/>
        <v/>
      </c>
    </row>
    <row r="3550" spans="27:39" x14ac:dyDescent="0.3">
      <c r="AA3550" t="str">
        <f>IF(COUNTA('Procyfloc AL200'!A51,'Procyfloc AL200'!B51,'Procyfloc AL200'!C51)&gt;0,"AL200","")</f>
        <v/>
      </c>
      <c r="AB3550" t="str">
        <f>IFERROR(IF(ISNUMBER('Procyfloc AL200'!A51),'Procyfloc AL200'!A51,DATEVALUE('Procyfloc AL200'!A51)),"")</f>
        <v/>
      </c>
      <c r="AC3550" t="str">
        <f>IF(AA3550="","",'Procyfloc AL200'!B51)</f>
        <v/>
      </c>
      <c r="AD3550" t="str">
        <f>IF(AA3550="","",IFERROR(1*'Procyfloc AL200'!C51,IFERROR(_xludf.NUMBERVALUE('Procyfloc AL200'!C51,".",","),IFERROR(_xludf.NUMBERVALUE('Procyfloc AL200'!C51,",","."),0))))</f>
        <v/>
      </c>
      <c r="AE3550" t="str">
        <f>IF(AA3550="","",'Procyfloc AL200'!K51)</f>
        <v/>
      </c>
      <c r="AF3550">
        <f t="shared" si="347"/>
        <v>0</v>
      </c>
      <c r="AG3550" t="str">
        <f t="shared" si="348"/>
        <v/>
      </c>
      <c r="AH3550" t="str">
        <f t="shared" si="349"/>
        <v/>
      </c>
      <c r="AI3550">
        <f t="shared" si="350"/>
        <v>0</v>
      </c>
      <c r="AJ3550">
        <f t="shared" si="351"/>
        <v>0</v>
      </c>
      <c r="AK3550">
        <v>0</v>
      </c>
      <c r="AL3550" t="str">
        <f>IF(AA3550="","",IFERROR(IF(ISNUMBER('Procyfloc AL200'!D51),'Procyfloc AL200'!D51,IF(ISNUMBER(SEARCH("12",'Procyfloc AL200'!D51)),EDATE(AB3550,12),IF(ISNUMBER(SEARCH("6",'Procyfloc AL200'!D51)),EDATE(AB3550,6),IF(ISNUMBER(SEARCH("3",'Procyfloc AL200'!D51)),EDATE(AB3550,3),DATEVALUE('Procyfloc AL200'!D51))))),""))</f>
        <v/>
      </c>
      <c r="AM3550" t="str">
        <f t="shared" ca="1" si="352"/>
        <v/>
      </c>
    </row>
    <row r="3551" spans="27:39" x14ac:dyDescent="0.3">
      <c r="AA3551" t="str">
        <f>IF(COUNTA('Procyfloc AL200'!A52,'Procyfloc AL200'!B52,'Procyfloc AL200'!C52)&gt;0,"AL200","")</f>
        <v/>
      </c>
      <c r="AB3551" t="str">
        <f>IFERROR(IF(ISNUMBER('Procyfloc AL200'!A52),'Procyfloc AL200'!A52,DATEVALUE('Procyfloc AL200'!A52)),"")</f>
        <v/>
      </c>
      <c r="AC3551" t="str">
        <f>IF(AA3551="","",'Procyfloc AL200'!B52)</f>
        <v/>
      </c>
      <c r="AD3551" t="str">
        <f>IF(AA3551="","",IFERROR(1*'Procyfloc AL200'!C52,IFERROR(_xludf.NUMBERVALUE('Procyfloc AL200'!C52,".",","),IFERROR(_xludf.NUMBERVALUE('Procyfloc AL200'!C52,",","."),0))))</f>
        <v/>
      </c>
      <c r="AE3551" t="str">
        <f>IF(AA3551="","",'Procyfloc AL200'!K52)</f>
        <v/>
      </c>
      <c r="AF3551">
        <f t="shared" si="347"/>
        <v>0</v>
      </c>
      <c r="AG3551" t="str">
        <f t="shared" si="348"/>
        <v/>
      </c>
      <c r="AH3551" t="str">
        <f t="shared" si="349"/>
        <v/>
      </c>
      <c r="AI3551">
        <f t="shared" si="350"/>
        <v>0</v>
      </c>
      <c r="AJ3551">
        <f t="shared" si="351"/>
        <v>0</v>
      </c>
      <c r="AK3551">
        <v>0</v>
      </c>
      <c r="AL3551" t="str">
        <f>IF(AA3551="","",IFERROR(IF(ISNUMBER('Procyfloc AL200'!D52),'Procyfloc AL200'!D52,IF(ISNUMBER(SEARCH("12",'Procyfloc AL200'!D52)),EDATE(AB3551,12),IF(ISNUMBER(SEARCH("6",'Procyfloc AL200'!D52)),EDATE(AB3551,6),IF(ISNUMBER(SEARCH("3",'Procyfloc AL200'!D52)),EDATE(AB3551,3),DATEVALUE('Procyfloc AL200'!D52))))),""))</f>
        <v/>
      </c>
      <c r="AM3551" t="str">
        <f t="shared" ca="1" si="352"/>
        <v/>
      </c>
    </row>
    <row r="3552" spans="27:39" x14ac:dyDescent="0.3">
      <c r="AA3552" t="str">
        <f>IF(COUNTA('Procyfloc AL200'!A53,'Procyfloc AL200'!B53,'Procyfloc AL200'!C53)&gt;0,"AL200","")</f>
        <v/>
      </c>
      <c r="AB3552" t="str">
        <f>IFERROR(IF(ISNUMBER('Procyfloc AL200'!A53),'Procyfloc AL200'!A53,DATEVALUE('Procyfloc AL200'!A53)),"")</f>
        <v/>
      </c>
      <c r="AC3552" t="str">
        <f>IF(AA3552="","",'Procyfloc AL200'!B53)</f>
        <v/>
      </c>
      <c r="AD3552" t="str">
        <f>IF(AA3552="","",IFERROR(1*'Procyfloc AL200'!C53,IFERROR(_xludf.NUMBERVALUE('Procyfloc AL200'!C53,".",","),IFERROR(_xludf.NUMBERVALUE('Procyfloc AL200'!C53,",","."),0))))</f>
        <v/>
      </c>
      <c r="AE3552" t="str">
        <f>IF(AA3552="","",'Procyfloc AL200'!K53)</f>
        <v/>
      </c>
      <c r="AF3552">
        <f t="shared" si="347"/>
        <v>0</v>
      </c>
      <c r="AG3552" t="str">
        <f t="shared" si="348"/>
        <v/>
      </c>
      <c r="AH3552" t="str">
        <f t="shared" si="349"/>
        <v/>
      </c>
      <c r="AI3552">
        <f t="shared" si="350"/>
        <v>0</v>
      </c>
      <c r="AJ3552">
        <f t="shared" si="351"/>
        <v>0</v>
      </c>
      <c r="AK3552">
        <v>0</v>
      </c>
      <c r="AL3552" t="str">
        <f>IF(AA3552="","",IFERROR(IF(ISNUMBER('Procyfloc AL200'!D53),'Procyfloc AL200'!D53,IF(ISNUMBER(SEARCH("12",'Procyfloc AL200'!D53)),EDATE(AB3552,12),IF(ISNUMBER(SEARCH("6",'Procyfloc AL200'!D53)),EDATE(AB3552,6),IF(ISNUMBER(SEARCH("3",'Procyfloc AL200'!D53)),EDATE(AB3552,3),DATEVALUE('Procyfloc AL200'!D53))))),""))</f>
        <v/>
      </c>
      <c r="AM3552" t="str">
        <f t="shared" ca="1" si="352"/>
        <v/>
      </c>
    </row>
    <row r="3553" spans="27:39" x14ac:dyDescent="0.3">
      <c r="AA3553" t="str">
        <f>IF(COUNTA('Procyfloc AL200'!A54,'Procyfloc AL200'!B54,'Procyfloc AL200'!C54)&gt;0,"AL200","")</f>
        <v/>
      </c>
      <c r="AB3553" t="str">
        <f>IFERROR(IF(ISNUMBER('Procyfloc AL200'!A54),'Procyfloc AL200'!A54,DATEVALUE('Procyfloc AL200'!A54)),"")</f>
        <v/>
      </c>
      <c r="AC3553" t="str">
        <f>IF(AA3553="","",'Procyfloc AL200'!B54)</f>
        <v/>
      </c>
      <c r="AD3553" t="str">
        <f>IF(AA3553="","",IFERROR(1*'Procyfloc AL200'!C54,IFERROR(_xludf.NUMBERVALUE('Procyfloc AL200'!C54,".",","),IFERROR(_xludf.NUMBERVALUE('Procyfloc AL200'!C54,",","."),0))))</f>
        <v/>
      </c>
      <c r="AE3553" t="str">
        <f>IF(AA3553="","",'Procyfloc AL200'!K54)</f>
        <v/>
      </c>
      <c r="AF3553">
        <f t="shared" si="347"/>
        <v>0</v>
      </c>
      <c r="AG3553" t="str">
        <f t="shared" si="348"/>
        <v/>
      </c>
      <c r="AH3553" t="str">
        <f t="shared" si="349"/>
        <v/>
      </c>
      <c r="AI3553">
        <f t="shared" si="350"/>
        <v>0</v>
      </c>
      <c r="AJ3553">
        <f t="shared" si="351"/>
        <v>0</v>
      </c>
      <c r="AK3553">
        <v>0</v>
      </c>
      <c r="AL3553" t="str">
        <f>IF(AA3553="","",IFERROR(IF(ISNUMBER('Procyfloc AL200'!D54),'Procyfloc AL200'!D54,IF(ISNUMBER(SEARCH("12",'Procyfloc AL200'!D54)),EDATE(AB3553,12),IF(ISNUMBER(SEARCH("6",'Procyfloc AL200'!D54)),EDATE(AB3553,6),IF(ISNUMBER(SEARCH("3",'Procyfloc AL200'!D54)),EDATE(AB3553,3),DATEVALUE('Procyfloc AL200'!D54))))),""))</f>
        <v/>
      </c>
      <c r="AM3553" t="str">
        <f t="shared" ca="1" si="352"/>
        <v/>
      </c>
    </row>
    <row r="3554" spans="27:39" x14ac:dyDescent="0.3">
      <c r="AA3554" t="str">
        <f>IF(COUNTA('Procyfloc AL200'!A55,'Procyfloc AL200'!B55,'Procyfloc AL200'!C55)&gt;0,"AL200","")</f>
        <v/>
      </c>
      <c r="AB3554" t="str">
        <f>IFERROR(IF(ISNUMBER('Procyfloc AL200'!A55),'Procyfloc AL200'!A55,DATEVALUE('Procyfloc AL200'!A55)),"")</f>
        <v/>
      </c>
      <c r="AC3554" t="str">
        <f>IF(AA3554="","",'Procyfloc AL200'!B55)</f>
        <v/>
      </c>
      <c r="AD3554" t="str">
        <f>IF(AA3554="","",IFERROR(1*'Procyfloc AL200'!C55,IFERROR(_xludf.NUMBERVALUE('Procyfloc AL200'!C55,".",","),IFERROR(_xludf.NUMBERVALUE('Procyfloc AL200'!C55,",","."),0))))</f>
        <v/>
      </c>
      <c r="AE3554" t="str">
        <f>IF(AA3554="","",'Procyfloc AL200'!K55)</f>
        <v/>
      </c>
      <c r="AF3554">
        <f t="shared" si="347"/>
        <v>0</v>
      </c>
      <c r="AG3554" t="str">
        <f t="shared" si="348"/>
        <v/>
      </c>
      <c r="AH3554" t="str">
        <f t="shared" si="349"/>
        <v/>
      </c>
      <c r="AI3554">
        <f t="shared" si="350"/>
        <v>0</v>
      </c>
      <c r="AJ3554">
        <f t="shared" si="351"/>
        <v>0</v>
      </c>
      <c r="AK3554">
        <v>0</v>
      </c>
      <c r="AL3554" t="str">
        <f>IF(AA3554="","",IFERROR(IF(ISNUMBER('Procyfloc AL200'!D55),'Procyfloc AL200'!D55,IF(ISNUMBER(SEARCH("12",'Procyfloc AL200'!D55)),EDATE(AB3554,12),IF(ISNUMBER(SEARCH("6",'Procyfloc AL200'!D55)),EDATE(AB3554,6),IF(ISNUMBER(SEARCH("3",'Procyfloc AL200'!D55)),EDATE(AB3554,3),DATEVALUE('Procyfloc AL200'!D55))))),""))</f>
        <v/>
      </c>
      <c r="AM3554" t="str">
        <f t="shared" ca="1" si="352"/>
        <v/>
      </c>
    </row>
    <row r="3555" spans="27:39" x14ac:dyDescent="0.3">
      <c r="AA3555" t="str">
        <f>IF(COUNTA('Procyfloc AL200'!A56,'Procyfloc AL200'!B56,'Procyfloc AL200'!C56)&gt;0,"AL200","")</f>
        <v/>
      </c>
      <c r="AB3555" t="str">
        <f>IFERROR(IF(ISNUMBER('Procyfloc AL200'!A56),'Procyfloc AL200'!A56,DATEVALUE('Procyfloc AL200'!A56)),"")</f>
        <v/>
      </c>
      <c r="AC3555" t="str">
        <f>IF(AA3555="","",'Procyfloc AL200'!B56)</f>
        <v/>
      </c>
      <c r="AD3555" t="str">
        <f>IF(AA3555="","",IFERROR(1*'Procyfloc AL200'!C56,IFERROR(_xludf.NUMBERVALUE('Procyfloc AL200'!C56,".",","),IFERROR(_xludf.NUMBERVALUE('Procyfloc AL200'!C56,",","."),0))))</f>
        <v/>
      </c>
      <c r="AE3555" t="str">
        <f>IF(AA3555="","",'Procyfloc AL200'!K56)</f>
        <v/>
      </c>
      <c r="AF3555">
        <f t="shared" si="347"/>
        <v>0</v>
      </c>
      <c r="AG3555" t="str">
        <f t="shared" si="348"/>
        <v/>
      </c>
      <c r="AH3555" t="str">
        <f t="shared" si="349"/>
        <v/>
      </c>
      <c r="AI3555">
        <f t="shared" si="350"/>
        <v>0</v>
      </c>
      <c r="AJ3555">
        <f t="shared" si="351"/>
        <v>0</v>
      </c>
      <c r="AK3555">
        <v>0</v>
      </c>
      <c r="AL3555" t="str">
        <f>IF(AA3555="","",IFERROR(IF(ISNUMBER('Procyfloc AL200'!D56),'Procyfloc AL200'!D56,IF(ISNUMBER(SEARCH("12",'Procyfloc AL200'!D56)),EDATE(AB3555,12),IF(ISNUMBER(SEARCH("6",'Procyfloc AL200'!D56)),EDATE(AB3555,6),IF(ISNUMBER(SEARCH("3",'Procyfloc AL200'!D56)),EDATE(AB3555,3),DATEVALUE('Procyfloc AL200'!D56))))),""))</f>
        <v/>
      </c>
      <c r="AM3555" t="str">
        <f t="shared" ca="1" si="352"/>
        <v/>
      </c>
    </row>
    <row r="3556" spans="27:39" x14ac:dyDescent="0.3">
      <c r="AA3556" t="str">
        <f>IF(COUNTA('Procyfloc AL200'!A57,'Procyfloc AL200'!B57,'Procyfloc AL200'!C57)&gt;0,"AL200","")</f>
        <v/>
      </c>
      <c r="AB3556" t="str">
        <f>IFERROR(IF(ISNUMBER('Procyfloc AL200'!A57),'Procyfloc AL200'!A57,DATEVALUE('Procyfloc AL200'!A57)),"")</f>
        <v/>
      </c>
      <c r="AC3556" t="str">
        <f>IF(AA3556="","",'Procyfloc AL200'!B57)</f>
        <v/>
      </c>
      <c r="AD3556" t="str">
        <f>IF(AA3556="","",IFERROR(1*'Procyfloc AL200'!C57,IFERROR(_xludf.NUMBERVALUE('Procyfloc AL200'!C57,".",","),IFERROR(_xludf.NUMBERVALUE('Procyfloc AL200'!C57,",","."),0))))</f>
        <v/>
      </c>
      <c r="AE3556" t="str">
        <f>IF(AA3556="","",'Procyfloc AL200'!K57)</f>
        <v/>
      </c>
      <c r="AF3556">
        <f t="shared" si="347"/>
        <v>0</v>
      </c>
      <c r="AG3556" t="str">
        <f t="shared" si="348"/>
        <v/>
      </c>
      <c r="AH3556" t="str">
        <f t="shared" si="349"/>
        <v/>
      </c>
      <c r="AI3556">
        <f t="shared" si="350"/>
        <v>0</v>
      </c>
      <c r="AJ3556">
        <f t="shared" si="351"/>
        <v>0</v>
      </c>
      <c r="AK3556">
        <v>0</v>
      </c>
      <c r="AL3556" t="str">
        <f>IF(AA3556="","",IFERROR(IF(ISNUMBER('Procyfloc AL200'!D57),'Procyfloc AL200'!D57,IF(ISNUMBER(SEARCH("12",'Procyfloc AL200'!D57)),EDATE(AB3556,12),IF(ISNUMBER(SEARCH("6",'Procyfloc AL200'!D57)),EDATE(AB3556,6),IF(ISNUMBER(SEARCH("3",'Procyfloc AL200'!D57)),EDATE(AB3556,3),DATEVALUE('Procyfloc AL200'!D57))))),""))</f>
        <v/>
      </c>
      <c r="AM3556" t="str">
        <f t="shared" ca="1" si="352"/>
        <v/>
      </c>
    </row>
    <row r="3557" spans="27:39" x14ac:dyDescent="0.3">
      <c r="AA3557" t="str">
        <f>IF(COUNTA('Procyfloc AL200'!A58,'Procyfloc AL200'!B58,'Procyfloc AL200'!C58)&gt;0,"AL200","")</f>
        <v/>
      </c>
      <c r="AB3557" t="str">
        <f>IFERROR(IF(ISNUMBER('Procyfloc AL200'!A58),'Procyfloc AL200'!A58,DATEVALUE('Procyfloc AL200'!A58)),"")</f>
        <v/>
      </c>
      <c r="AC3557" t="str">
        <f>IF(AA3557="","",'Procyfloc AL200'!B58)</f>
        <v/>
      </c>
      <c r="AD3557" t="str">
        <f>IF(AA3557="","",IFERROR(1*'Procyfloc AL200'!C58,IFERROR(_xludf.NUMBERVALUE('Procyfloc AL200'!C58,".",","),IFERROR(_xludf.NUMBERVALUE('Procyfloc AL200'!C58,",","."),0))))</f>
        <v/>
      </c>
      <c r="AE3557" t="str">
        <f>IF(AA3557="","",'Procyfloc AL200'!K58)</f>
        <v/>
      </c>
      <c r="AF3557">
        <f t="shared" si="347"/>
        <v>0</v>
      </c>
      <c r="AG3557" t="str">
        <f t="shared" si="348"/>
        <v/>
      </c>
      <c r="AH3557" t="str">
        <f t="shared" si="349"/>
        <v/>
      </c>
      <c r="AI3557">
        <f t="shared" si="350"/>
        <v>0</v>
      </c>
      <c r="AJ3557">
        <f t="shared" si="351"/>
        <v>0</v>
      </c>
      <c r="AK3557">
        <v>0</v>
      </c>
      <c r="AL3557" t="str">
        <f>IF(AA3557="","",IFERROR(IF(ISNUMBER('Procyfloc AL200'!D58),'Procyfloc AL200'!D58,IF(ISNUMBER(SEARCH("12",'Procyfloc AL200'!D58)),EDATE(AB3557,12),IF(ISNUMBER(SEARCH("6",'Procyfloc AL200'!D58)),EDATE(AB3557,6),IF(ISNUMBER(SEARCH("3",'Procyfloc AL200'!D58)),EDATE(AB3557,3),DATEVALUE('Procyfloc AL200'!D58))))),""))</f>
        <v/>
      </c>
      <c r="AM3557" t="str">
        <f t="shared" ca="1" si="352"/>
        <v/>
      </c>
    </row>
    <row r="3558" spans="27:39" x14ac:dyDescent="0.3">
      <c r="AA3558" t="str">
        <f>IF(COUNTA('Procyfloc AL200'!A59,'Procyfloc AL200'!B59,'Procyfloc AL200'!C59)&gt;0,"AL200","")</f>
        <v/>
      </c>
      <c r="AB3558" t="str">
        <f>IFERROR(IF(ISNUMBER('Procyfloc AL200'!A59),'Procyfloc AL200'!A59,DATEVALUE('Procyfloc AL200'!A59)),"")</f>
        <v/>
      </c>
      <c r="AC3558" t="str">
        <f>IF(AA3558="","",'Procyfloc AL200'!B59)</f>
        <v/>
      </c>
      <c r="AD3558" t="str">
        <f>IF(AA3558="","",IFERROR(1*'Procyfloc AL200'!C59,IFERROR(_xludf.NUMBERVALUE('Procyfloc AL200'!C59,".",","),IFERROR(_xludf.NUMBERVALUE('Procyfloc AL200'!C59,",","."),0))))</f>
        <v/>
      </c>
      <c r="AE3558" t="str">
        <f>IF(AA3558="","",'Procyfloc AL200'!K59)</f>
        <v/>
      </c>
      <c r="AF3558">
        <f t="shared" si="347"/>
        <v>0</v>
      </c>
      <c r="AG3558" t="str">
        <f t="shared" si="348"/>
        <v/>
      </c>
      <c r="AH3558" t="str">
        <f t="shared" si="349"/>
        <v/>
      </c>
      <c r="AI3558">
        <f t="shared" si="350"/>
        <v>0</v>
      </c>
      <c r="AJ3558">
        <f t="shared" si="351"/>
        <v>0</v>
      </c>
      <c r="AK3558">
        <v>0</v>
      </c>
      <c r="AL3558" t="str">
        <f>IF(AA3558="","",IFERROR(IF(ISNUMBER('Procyfloc AL200'!D59),'Procyfloc AL200'!D59,IF(ISNUMBER(SEARCH("12",'Procyfloc AL200'!D59)),EDATE(AB3558,12),IF(ISNUMBER(SEARCH("6",'Procyfloc AL200'!D59)),EDATE(AB3558,6),IF(ISNUMBER(SEARCH("3",'Procyfloc AL200'!D59)),EDATE(AB3558,3),DATEVALUE('Procyfloc AL200'!D59))))),""))</f>
        <v/>
      </c>
      <c r="AM3558" t="str">
        <f t="shared" ca="1" si="352"/>
        <v/>
      </c>
    </row>
    <row r="3559" spans="27:39" x14ac:dyDescent="0.3">
      <c r="AA3559" t="str">
        <f>IF(COUNTA('Procyfloc AL200'!A60,'Procyfloc AL200'!B60,'Procyfloc AL200'!C60)&gt;0,"AL200","")</f>
        <v/>
      </c>
      <c r="AB3559" t="str">
        <f>IFERROR(IF(ISNUMBER('Procyfloc AL200'!A60),'Procyfloc AL200'!A60,DATEVALUE('Procyfloc AL200'!A60)),"")</f>
        <v/>
      </c>
      <c r="AC3559" t="str">
        <f>IF(AA3559="","",'Procyfloc AL200'!B60)</f>
        <v/>
      </c>
      <c r="AD3559" t="str">
        <f>IF(AA3559="","",IFERROR(1*'Procyfloc AL200'!C60,IFERROR(_xludf.NUMBERVALUE('Procyfloc AL200'!C60,".",","),IFERROR(_xludf.NUMBERVALUE('Procyfloc AL200'!C60,",","."),0))))</f>
        <v/>
      </c>
      <c r="AE3559" t="str">
        <f>IF(AA3559="","",'Procyfloc AL200'!K60)</f>
        <v/>
      </c>
      <c r="AF3559">
        <f t="shared" si="347"/>
        <v>0</v>
      </c>
      <c r="AG3559" t="str">
        <f t="shared" si="348"/>
        <v/>
      </c>
      <c r="AH3559" t="str">
        <f t="shared" si="349"/>
        <v/>
      </c>
      <c r="AI3559">
        <f t="shared" si="350"/>
        <v>0</v>
      </c>
      <c r="AJ3559">
        <f t="shared" si="351"/>
        <v>0</v>
      </c>
      <c r="AK3559">
        <v>0</v>
      </c>
      <c r="AL3559" t="str">
        <f>IF(AA3559="","",IFERROR(IF(ISNUMBER('Procyfloc AL200'!D60),'Procyfloc AL200'!D60,IF(ISNUMBER(SEARCH("12",'Procyfloc AL200'!D60)),EDATE(AB3559,12),IF(ISNUMBER(SEARCH("6",'Procyfloc AL200'!D60)),EDATE(AB3559,6),IF(ISNUMBER(SEARCH("3",'Procyfloc AL200'!D60)),EDATE(AB3559,3),DATEVALUE('Procyfloc AL200'!D60))))),""))</f>
        <v/>
      </c>
      <c r="AM3559" t="str">
        <f t="shared" ca="1" si="352"/>
        <v/>
      </c>
    </row>
    <row r="3560" spans="27:39" x14ac:dyDescent="0.3">
      <c r="AA3560" t="str">
        <f>IF(COUNTA('Procyfloc AL200'!A61,'Procyfloc AL200'!B61,'Procyfloc AL200'!C61)&gt;0,"AL200","")</f>
        <v/>
      </c>
      <c r="AB3560" t="str">
        <f>IFERROR(IF(ISNUMBER('Procyfloc AL200'!A61),'Procyfloc AL200'!A61,DATEVALUE('Procyfloc AL200'!A61)),"")</f>
        <v/>
      </c>
      <c r="AC3560" t="str">
        <f>IF(AA3560="","",'Procyfloc AL200'!B61)</f>
        <v/>
      </c>
      <c r="AD3560" t="str">
        <f>IF(AA3560="","",IFERROR(1*'Procyfloc AL200'!C61,IFERROR(_xludf.NUMBERVALUE('Procyfloc AL200'!C61,".",","),IFERROR(_xludf.NUMBERVALUE('Procyfloc AL200'!C61,",","."),0))))</f>
        <v/>
      </c>
      <c r="AE3560" t="str">
        <f>IF(AA3560="","",'Procyfloc AL200'!K61)</f>
        <v/>
      </c>
      <c r="AF3560">
        <f t="shared" si="347"/>
        <v>0</v>
      </c>
      <c r="AG3560" t="str">
        <f t="shared" si="348"/>
        <v/>
      </c>
      <c r="AH3560" t="str">
        <f t="shared" si="349"/>
        <v/>
      </c>
      <c r="AI3560">
        <f t="shared" si="350"/>
        <v>0</v>
      </c>
      <c r="AJ3560">
        <f t="shared" si="351"/>
        <v>0</v>
      </c>
      <c r="AK3560">
        <v>0</v>
      </c>
      <c r="AL3560" t="str">
        <f>IF(AA3560="","",IFERROR(IF(ISNUMBER('Procyfloc AL200'!D61),'Procyfloc AL200'!D61,IF(ISNUMBER(SEARCH("12",'Procyfloc AL200'!D61)),EDATE(AB3560,12),IF(ISNUMBER(SEARCH("6",'Procyfloc AL200'!D61)),EDATE(AB3560,6),IF(ISNUMBER(SEARCH("3",'Procyfloc AL200'!D61)),EDATE(AB3560,3),DATEVALUE('Procyfloc AL200'!D61))))),""))</f>
        <v/>
      </c>
      <c r="AM3560" t="str">
        <f t="shared" ca="1" si="352"/>
        <v/>
      </c>
    </row>
    <row r="3561" spans="27:39" x14ac:dyDescent="0.3">
      <c r="AA3561" t="str">
        <f>IF(COUNTA('Procyfloc AL200'!A62,'Procyfloc AL200'!B62,'Procyfloc AL200'!C62)&gt;0,"AL200","")</f>
        <v/>
      </c>
      <c r="AB3561" t="str">
        <f>IFERROR(IF(ISNUMBER('Procyfloc AL200'!A62),'Procyfloc AL200'!A62,DATEVALUE('Procyfloc AL200'!A62)),"")</f>
        <v/>
      </c>
      <c r="AC3561" t="str">
        <f>IF(AA3561="","",'Procyfloc AL200'!B62)</f>
        <v/>
      </c>
      <c r="AD3561" t="str">
        <f>IF(AA3561="","",IFERROR(1*'Procyfloc AL200'!C62,IFERROR(_xludf.NUMBERVALUE('Procyfloc AL200'!C62,".",","),IFERROR(_xludf.NUMBERVALUE('Procyfloc AL200'!C62,",","."),0))))</f>
        <v/>
      </c>
      <c r="AE3561" t="str">
        <f>IF(AA3561="","",'Procyfloc AL200'!K62)</f>
        <v/>
      </c>
      <c r="AF3561">
        <f t="shared" si="347"/>
        <v>0</v>
      </c>
      <c r="AG3561" t="str">
        <f t="shared" si="348"/>
        <v/>
      </c>
      <c r="AH3561" t="str">
        <f t="shared" si="349"/>
        <v/>
      </c>
      <c r="AI3561">
        <f t="shared" si="350"/>
        <v>0</v>
      </c>
      <c r="AJ3561">
        <f t="shared" si="351"/>
        <v>0</v>
      </c>
      <c r="AK3561">
        <v>0</v>
      </c>
      <c r="AL3561" t="str">
        <f>IF(AA3561="","",IFERROR(IF(ISNUMBER('Procyfloc AL200'!D62),'Procyfloc AL200'!D62,IF(ISNUMBER(SEARCH("12",'Procyfloc AL200'!D62)),EDATE(AB3561,12),IF(ISNUMBER(SEARCH("6",'Procyfloc AL200'!D62)),EDATE(AB3561,6),IF(ISNUMBER(SEARCH("3",'Procyfloc AL200'!D62)),EDATE(AB3561,3),DATEVALUE('Procyfloc AL200'!D62))))),""))</f>
        <v/>
      </c>
      <c r="AM3561" t="str">
        <f t="shared" ca="1" si="352"/>
        <v/>
      </c>
    </row>
    <row r="3562" spans="27:39" x14ac:dyDescent="0.3">
      <c r="AA3562" t="str">
        <f>IF(COUNTA('Procyfloc AL200'!A63,'Procyfloc AL200'!B63,'Procyfloc AL200'!C63)&gt;0,"AL200","")</f>
        <v/>
      </c>
      <c r="AB3562" t="str">
        <f>IFERROR(IF(ISNUMBER('Procyfloc AL200'!A63),'Procyfloc AL200'!A63,DATEVALUE('Procyfloc AL200'!A63)),"")</f>
        <v/>
      </c>
      <c r="AC3562" t="str">
        <f>IF(AA3562="","",'Procyfloc AL200'!B63)</f>
        <v/>
      </c>
      <c r="AD3562" t="str">
        <f>IF(AA3562="","",IFERROR(1*'Procyfloc AL200'!C63,IFERROR(_xludf.NUMBERVALUE('Procyfloc AL200'!C63,".",","),IFERROR(_xludf.NUMBERVALUE('Procyfloc AL200'!C63,",","."),0))))</f>
        <v/>
      </c>
      <c r="AE3562" t="str">
        <f>IF(AA3562="","",'Procyfloc AL200'!K63)</f>
        <v/>
      </c>
      <c r="AF3562">
        <f t="shared" si="347"/>
        <v>0</v>
      </c>
      <c r="AG3562" t="str">
        <f t="shared" si="348"/>
        <v/>
      </c>
      <c r="AH3562" t="str">
        <f t="shared" si="349"/>
        <v/>
      </c>
      <c r="AI3562">
        <f t="shared" si="350"/>
        <v>0</v>
      </c>
      <c r="AJ3562">
        <f t="shared" si="351"/>
        <v>0</v>
      </c>
      <c r="AK3562">
        <v>0</v>
      </c>
      <c r="AL3562" t="str">
        <f>IF(AA3562="","",IFERROR(IF(ISNUMBER('Procyfloc AL200'!D63),'Procyfloc AL200'!D63,IF(ISNUMBER(SEARCH("12",'Procyfloc AL200'!D63)),EDATE(AB3562,12),IF(ISNUMBER(SEARCH("6",'Procyfloc AL200'!D63)),EDATE(AB3562,6),IF(ISNUMBER(SEARCH("3",'Procyfloc AL200'!D63)),EDATE(AB3562,3),DATEVALUE('Procyfloc AL200'!D63))))),""))</f>
        <v/>
      </c>
      <c r="AM3562" t="str">
        <f t="shared" ca="1" si="352"/>
        <v/>
      </c>
    </row>
    <row r="3563" spans="27:39" x14ac:dyDescent="0.3">
      <c r="AA3563" t="str">
        <f>IF(COUNTA('Procyfloc AL200'!A64,'Procyfloc AL200'!B64,'Procyfloc AL200'!C64)&gt;0,"AL200","")</f>
        <v/>
      </c>
      <c r="AB3563" t="str">
        <f>IFERROR(IF(ISNUMBER('Procyfloc AL200'!A64),'Procyfloc AL200'!A64,DATEVALUE('Procyfloc AL200'!A64)),"")</f>
        <v/>
      </c>
      <c r="AC3563" t="str">
        <f>IF(AA3563="","",'Procyfloc AL200'!B64)</f>
        <v/>
      </c>
      <c r="AD3563" t="str">
        <f>IF(AA3563="","",IFERROR(1*'Procyfloc AL200'!C64,IFERROR(_xludf.NUMBERVALUE('Procyfloc AL200'!C64,".",","),IFERROR(_xludf.NUMBERVALUE('Procyfloc AL200'!C64,",","."),0))))</f>
        <v/>
      </c>
      <c r="AE3563" t="str">
        <f>IF(AA3563="","",'Procyfloc AL200'!K64)</f>
        <v/>
      </c>
      <c r="AF3563">
        <f t="shared" si="347"/>
        <v>0</v>
      </c>
      <c r="AG3563" t="str">
        <f t="shared" si="348"/>
        <v/>
      </c>
      <c r="AH3563" t="str">
        <f t="shared" si="349"/>
        <v/>
      </c>
      <c r="AI3563">
        <f t="shared" si="350"/>
        <v>0</v>
      </c>
      <c r="AJ3563">
        <f t="shared" si="351"/>
        <v>0</v>
      </c>
      <c r="AK3563">
        <v>0</v>
      </c>
      <c r="AL3563" t="str">
        <f>IF(AA3563="","",IFERROR(IF(ISNUMBER('Procyfloc AL200'!D64),'Procyfloc AL200'!D64,IF(ISNUMBER(SEARCH("12",'Procyfloc AL200'!D64)),EDATE(AB3563,12),IF(ISNUMBER(SEARCH("6",'Procyfloc AL200'!D64)),EDATE(AB3563,6),IF(ISNUMBER(SEARCH("3",'Procyfloc AL200'!D64)),EDATE(AB3563,3),DATEVALUE('Procyfloc AL200'!D64))))),""))</f>
        <v/>
      </c>
      <c r="AM3563" t="str">
        <f t="shared" ca="1" si="352"/>
        <v/>
      </c>
    </row>
    <row r="3564" spans="27:39" x14ac:dyDescent="0.3">
      <c r="AA3564" t="str">
        <f>IF(COUNTA('Procyfloc AL200'!A65,'Procyfloc AL200'!B65,'Procyfloc AL200'!C65)&gt;0,"AL200","")</f>
        <v/>
      </c>
      <c r="AB3564" t="str">
        <f>IFERROR(IF(ISNUMBER('Procyfloc AL200'!A65),'Procyfloc AL200'!A65,DATEVALUE('Procyfloc AL200'!A65)),"")</f>
        <v/>
      </c>
      <c r="AC3564" t="str">
        <f>IF(AA3564="","",'Procyfloc AL200'!B65)</f>
        <v/>
      </c>
      <c r="AD3564" t="str">
        <f>IF(AA3564="","",IFERROR(1*'Procyfloc AL200'!C65,IFERROR(_xludf.NUMBERVALUE('Procyfloc AL200'!C65,".",","),IFERROR(_xludf.NUMBERVALUE('Procyfloc AL200'!C65,",","."),0))))</f>
        <v/>
      </c>
      <c r="AE3564" t="str">
        <f>IF(AA3564="","",'Procyfloc AL200'!K65)</f>
        <v/>
      </c>
      <c r="AF3564">
        <f t="shared" si="347"/>
        <v>0</v>
      </c>
      <c r="AG3564" t="str">
        <f t="shared" si="348"/>
        <v/>
      </c>
      <c r="AH3564" t="str">
        <f t="shared" si="349"/>
        <v/>
      </c>
      <c r="AI3564">
        <f t="shared" si="350"/>
        <v>0</v>
      </c>
      <c r="AJ3564">
        <f t="shared" si="351"/>
        <v>0</v>
      </c>
      <c r="AK3564">
        <v>0</v>
      </c>
      <c r="AL3564" t="str">
        <f>IF(AA3564="","",IFERROR(IF(ISNUMBER('Procyfloc AL200'!D65),'Procyfloc AL200'!D65,IF(ISNUMBER(SEARCH("12",'Procyfloc AL200'!D65)),EDATE(AB3564,12),IF(ISNUMBER(SEARCH("6",'Procyfloc AL200'!D65)),EDATE(AB3564,6),IF(ISNUMBER(SEARCH("3",'Procyfloc AL200'!D65)),EDATE(AB3564,3),DATEVALUE('Procyfloc AL200'!D65))))),""))</f>
        <v/>
      </c>
      <c r="AM3564" t="str">
        <f t="shared" ca="1" si="352"/>
        <v/>
      </c>
    </row>
    <row r="3565" spans="27:39" x14ac:dyDescent="0.3">
      <c r="AA3565" t="str">
        <f>IF(COUNTA('Procyfloc AL200'!A66,'Procyfloc AL200'!B66,'Procyfloc AL200'!C66)&gt;0,"AL200","")</f>
        <v/>
      </c>
      <c r="AB3565" t="str">
        <f>IFERROR(IF(ISNUMBER('Procyfloc AL200'!A66),'Procyfloc AL200'!A66,DATEVALUE('Procyfloc AL200'!A66)),"")</f>
        <v/>
      </c>
      <c r="AC3565" t="str">
        <f>IF(AA3565="","",'Procyfloc AL200'!B66)</f>
        <v/>
      </c>
      <c r="AD3565" t="str">
        <f>IF(AA3565="","",IFERROR(1*'Procyfloc AL200'!C66,IFERROR(_xludf.NUMBERVALUE('Procyfloc AL200'!C66,".",","),IFERROR(_xludf.NUMBERVALUE('Procyfloc AL200'!C66,",","."),0))))</f>
        <v/>
      </c>
      <c r="AE3565" t="str">
        <f>IF(AA3565="","",'Procyfloc AL200'!K66)</f>
        <v/>
      </c>
      <c r="AF3565">
        <f t="shared" si="347"/>
        <v>0</v>
      </c>
      <c r="AG3565" t="str">
        <f t="shared" si="348"/>
        <v/>
      </c>
      <c r="AH3565" t="str">
        <f t="shared" si="349"/>
        <v/>
      </c>
      <c r="AI3565">
        <f t="shared" si="350"/>
        <v>0</v>
      </c>
      <c r="AJ3565">
        <f t="shared" si="351"/>
        <v>0</v>
      </c>
      <c r="AK3565">
        <v>0</v>
      </c>
      <c r="AL3565" t="str">
        <f>IF(AA3565="","",IFERROR(IF(ISNUMBER('Procyfloc AL200'!D66),'Procyfloc AL200'!D66,IF(ISNUMBER(SEARCH("12",'Procyfloc AL200'!D66)),EDATE(AB3565,12),IF(ISNUMBER(SEARCH("6",'Procyfloc AL200'!D66)),EDATE(AB3565,6),IF(ISNUMBER(SEARCH("3",'Procyfloc AL200'!D66)),EDATE(AB3565,3),DATEVALUE('Procyfloc AL200'!D66))))),""))</f>
        <v/>
      </c>
      <c r="AM3565" t="str">
        <f t="shared" ca="1" si="352"/>
        <v/>
      </c>
    </row>
    <row r="3566" spans="27:39" x14ac:dyDescent="0.3">
      <c r="AA3566" t="str">
        <f>IF(COUNTA('Procyfloc AL200'!A67,'Procyfloc AL200'!B67,'Procyfloc AL200'!C67)&gt;0,"AL200","")</f>
        <v/>
      </c>
      <c r="AB3566" t="str">
        <f>IFERROR(IF(ISNUMBER('Procyfloc AL200'!A67),'Procyfloc AL200'!A67,DATEVALUE('Procyfloc AL200'!A67)),"")</f>
        <v/>
      </c>
      <c r="AC3566" t="str">
        <f>IF(AA3566="","",'Procyfloc AL200'!B67)</f>
        <v/>
      </c>
      <c r="AD3566" t="str">
        <f>IF(AA3566="","",IFERROR(1*'Procyfloc AL200'!C67,IFERROR(_xludf.NUMBERVALUE('Procyfloc AL200'!C67,".",","),IFERROR(_xludf.NUMBERVALUE('Procyfloc AL200'!C67,",","."),0))))</f>
        <v/>
      </c>
      <c r="AE3566" t="str">
        <f>IF(AA3566="","",'Procyfloc AL200'!K67)</f>
        <v/>
      </c>
      <c r="AF3566">
        <f t="shared" si="347"/>
        <v>0</v>
      </c>
      <c r="AG3566" t="str">
        <f t="shared" si="348"/>
        <v/>
      </c>
      <c r="AH3566" t="str">
        <f t="shared" si="349"/>
        <v/>
      </c>
      <c r="AI3566">
        <f t="shared" si="350"/>
        <v>0</v>
      </c>
      <c r="AJ3566">
        <f t="shared" si="351"/>
        <v>0</v>
      </c>
      <c r="AK3566">
        <v>0</v>
      </c>
      <c r="AL3566" t="str">
        <f>IF(AA3566="","",IFERROR(IF(ISNUMBER('Procyfloc AL200'!D67),'Procyfloc AL200'!D67,IF(ISNUMBER(SEARCH("12",'Procyfloc AL200'!D67)),EDATE(AB3566,12),IF(ISNUMBER(SEARCH("6",'Procyfloc AL200'!D67)),EDATE(AB3566,6),IF(ISNUMBER(SEARCH("3",'Procyfloc AL200'!D67)),EDATE(AB3566,3),DATEVALUE('Procyfloc AL200'!D67))))),""))</f>
        <v/>
      </c>
      <c r="AM3566" t="str">
        <f t="shared" ca="1" si="352"/>
        <v/>
      </c>
    </row>
    <row r="3567" spans="27:39" x14ac:dyDescent="0.3">
      <c r="AA3567" t="str">
        <f>IF(COUNTA('Procyfloc AL200'!A68,'Procyfloc AL200'!B68,'Procyfloc AL200'!C68)&gt;0,"AL200","")</f>
        <v/>
      </c>
      <c r="AB3567" t="str">
        <f>IFERROR(IF(ISNUMBER('Procyfloc AL200'!A68),'Procyfloc AL200'!A68,DATEVALUE('Procyfloc AL200'!A68)),"")</f>
        <v/>
      </c>
      <c r="AC3567" t="str">
        <f>IF(AA3567="","",'Procyfloc AL200'!B68)</f>
        <v/>
      </c>
      <c r="AD3567" t="str">
        <f>IF(AA3567="","",IFERROR(1*'Procyfloc AL200'!C68,IFERROR(_xludf.NUMBERVALUE('Procyfloc AL200'!C68,".",","),IFERROR(_xludf.NUMBERVALUE('Procyfloc AL200'!C68,",","."),0))))</f>
        <v/>
      </c>
      <c r="AE3567" t="str">
        <f>IF(AA3567="","",'Procyfloc AL200'!K68)</f>
        <v/>
      </c>
      <c r="AF3567">
        <f t="shared" si="347"/>
        <v>0</v>
      </c>
      <c r="AG3567" t="str">
        <f t="shared" si="348"/>
        <v/>
      </c>
      <c r="AH3567" t="str">
        <f t="shared" si="349"/>
        <v/>
      </c>
      <c r="AI3567">
        <f t="shared" si="350"/>
        <v>0</v>
      </c>
      <c r="AJ3567">
        <f t="shared" si="351"/>
        <v>0</v>
      </c>
      <c r="AK3567">
        <v>0</v>
      </c>
      <c r="AL3567" t="str">
        <f>IF(AA3567="","",IFERROR(IF(ISNUMBER('Procyfloc AL200'!D68),'Procyfloc AL200'!D68,IF(ISNUMBER(SEARCH("12",'Procyfloc AL200'!D68)),EDATE(AB3567,12),IF(ISNUMBER(SEARCH("6",'Procyfloc AL200'!D68)),EDATE(AB3567,6),IF(ISNUMBER(SEARCH("3",'Procyfloc AL200'!D68)),EDATE(AB3567,3),DATEVALUE('Procyfloc AL200'!D68))))),""))</f>
        <v/>
      </c>
      <c r="AM3567" t="str">
        <f t="shared" ca="1" si="352"/>
        <v/>
      </c>
    </row>
    <row r="3568" spans="27:39" x14ac:dyDescent="0.3">
      <c r="AA3568" t="str">
        <f>IF(COUNTA('Procyfloc AL200'!A69,'Procyfloc AL200'!B69,'Procyfloc AL200'!C69)&gt;0,"AL200","")</f>
        <v/>
      </c>
      <c r="AB3568" t="str">
        <f>IFERROR(IF(ISNUMBER('Procyfloc AL200'!A69),'Procyfloc AL200'!A69,DATEVALUE('Procyfloc AL200'!A69)),"")</f>
        <v/>
      </c>
      <c r="AC3568" t="str">
        <f>IF(AA3568="","",'Procyfloc AL200'!B69)</f>
        <v/>
      </c>
      <c r="AD3568" t="str">
        <f>IF(AA3568="","",IFERROR(1*'Procyfloc AL200'!C69,IFERROR(_xludf.NUMBERVALUE('Procyfloc AL200'!C69,".",","),IFERROR(_xludf.NUMBERVALUE('Procyfloc AL200'!C69,",","."),0))))</f>
        <v/>
      </c>
      <c r="AE3568" t="str">
        <f>IF(AA3568="","",'Procyfloc AL200'!K69)</f>
        <v/>
      </c>
      <c r="AF3568">
        <f t="shared" si="347"/>
        <v>0</v>
      </c>
      <c r="AG3568" t="str">
        <f t="shared" si="348"/>
        <v/>
      </c>
      <c r="AH3568" t="str">
        <f t="shared" si="349"/>
        <v/>
      </c>
      <c r="AI3568">
        <f t="shared" si="350"/>
        <v>0</v>
      </c>
      <c r="AJ3568">
        <f t="shared" si="351"/>
        <v>0</v>
      </c>
      <c r="AK3568">
        <v>0</v>
      </c>
      <c r="AL3568" t="str">
        <f>IF(AA3568="","",IFERROR(IF(ISNUMBER('Procyfloc AL200'!D69),'Procyfloc AL200'!D69,IF(ISNUMBER(SEARCH("12",'Procyfloc AL200'!D69)),EDATE(AB3568,12),IF(ISNUMBER(SEARCH("6",'Procyfloc AL200'!D69)),EDATE(AB3568,6),IF(ISNUMBER(SEARCH("3",'Procyfloc AL200'!D69)),EDATE(AB3568,3),DATEVALUE('Procyfloc AL200'!D69))))),""))</f>
        <v/>
      </c>
      <c r="AM3568" t="str">
        <f t="shared" ca="1" si="352"/>
        <v/>
      </c>
    </row>
    <row r="3569" spans="27:39" x14ac:dyDescent="0.3">
      <c r="AA3569" t="str">
        <f>IF(COUNTA('Procyfloc AL200'!A70,'Procyfloc AL200'!B70,'Procyfloc AL200'!C70)&gt;0,"AL200","")</f>
        <v/>
      </c>
      <c r="AB3569" t="str">
        <f>IFERROR(IF(ISNUMBER('Procyfloc AL200'!A70),'Procyfloc AL200'!A70,DATEVALUE('Procyfloc AL200'!A70)),"")</f>
        <v/>
      </c>
      <c r="AC3569" t="str">
        <f>IF(AA3569="","",'Procyfloc AL200'!B70)</f>
        <v/>
      </c>
      <c r="AD3569" t="str">
        <f>IF(AA3569="","",IFERROR(1*'Procyfloc AL200'!C70,IFERROR(_xludf.NUMBERVALUE('Procyfloc AL200'!C70,".",","),IFERROR(_xludf.NUMBERVALUE('Procyfloc AL200'!C70,",","."),0))))</f>
        <v/>
      </c>
      <c r="AE3569" t="str">
        <f>IF(AA3569="","",'Procyfloc AL200'!K70)</f>
        <v/>
      </c>
      <c r="AF3569">
        <f t="shared" si="347"/>
        <v>0</v>
      </c>
      <c r="AG3569" t="str">
        <f t="shared" si="348"/>
        <v/>
      </c>
      <c r="AH3569" t="str">
        <f t="shared" si="349"/>
        <v/>
      </c>
      <c r="AI3569">
        <f t="shared" si="350"/>
        <v>0</v>
      </c>
      <c r="AJ3569">
        <f t="shared" si="351"/>
        <v>0</v>
      </c>
      <c r="AK3569">
        <v>0</v>
      </c>
      <c r="AL3569" t="str">
        <f>IF(AA3569="","",IFERROR(IF(ISNUMBER('Procyfloc AL200'!D70),'Procyfloc AL200'!D70,IF(ISNUMBER(SEARCH("12",'Procyfloc AL200'!D70)),EDATE(AB3569,12),IF(ISNUMBER(SEARCH("6",'Procyfloc AL200'!D70)),EDATE(AB3569,6),IF(ISNUMBER(SEARCH("3",'Procyfloc AL200'!D70)),EDATE(AB3569,3),DATEVALUE('Procyfloc AL200'!D70))))),""))</f>
        <v/>
      </c>
      <c r="AM3569" t="str">
        <f t="shared" ca="1" si="352"/>
        <v/>
      </c>
    </row>
    <row r="3570" spans="27:39" x14ac:dyDescent="0.3">
      <c r="AA3570" t="str">
        <f>IF(COUNTA('Procyfloc AL200'!A71,'Procyfloc AL200'!B71,'Procyfloc AL200'!C71)&gt;0,"AL200","")</f>
        <v/>
      </c>
      <c r="AB3570" t="str">
        <f>IFERROR(IF(ISNUMBER('Procyfloc AL200'!A71),'Procyfloc AL200'!A71,DATEVALUE('Procyfloc AL200'!A71)),"")</f>
        <v/>
      </c>
      <c r="AC3570" t="str">
        <f>IF(AA3570="","",'Procyfloc AL200'!B71)</f>
        <v/>
      </c>
      <c r="AD3570" t="str">
        <f>IF(AA3570="","",IFERROR(1*'Procyfloc AL200'!C71,IFERROR(_xludf.NUMBERVALUE('Procyfloc AL200'!C71,".",","),IFERROR(_xludf.NUMBERVALUE('Procyfloc AL200'!C71,",","."),0))))</f>
        <v/>
      </c>
      <c r="AE3570" t="str">
        <f>IF(AA3570="","",'Procyfloc AL200'!K71)</f>
        <v/>
      </c>
      <c r="AF3570">
        <f t="shared" si="347"/>
        <v>0</v>
      </c>
      <c r="AG3570" t="str">
        <f t="shared" si="348"/>
        <v/>
      </c>
      <c r="AH3570" t="str">
        <f t="shared" si="349"/>
        <v/>
      </c>
      <c r="AI3570">
        <f t="shared" si="350"/>
        <v>0</v>
      </c>
      <c r="AJ3570">
        <f t="shared" si="351"/>
        <v>0</v>
      </c>
      <c r="AK3570">
        <v>0</v>
      </c>
      <c r="AL3570" t="str">
        <f>IF(AA3570="","",IFERROR(IF(ISNUMBER('Procyfloc AL200'!D71),'Procyfloc AL200'!D71,IF(ISNUMBER(SEARCH("12",'Procyfloc AL200'!D71)),EDATE(AB3570,12),IF(ISNUMBER(SEARCH("6",'Procyfloc AL200'!D71)),EDATE(AB3570,6),IF(ISNUMBER(SEARCH("3",'Procyfloc AL200'!D71)),EDATE(AB3570,3),DATEVALUE('Procyfloc AL200'!D71))))),""))</f>
        <v/>
      </c>
      <c r="AM3570" t="str">
        <f t="shared" ca="1" si="352"/>
        <v/>
      </c>
    </row>
    <row r="3571" spans="27:39" x14ac:dyDescent="0.3">
      <c r="AA3571" t="str">
        <f>IF(COUNTA('Procyfloc AL200'!A72,'Procyfloc AL200'!B72,'Procyfloc AL200'!C72)&gt;0,"AL200","")</f>
        <v/>
      </c>
      <c r="AB3571" t="str">
        <f>IFERROR(IF(ISNUMBER('Procyfloc AL200'!A72),'Procyfloc AL200'!A72,DATEVALUE('Procyfloc AL200'!A72)),"")</f>
        <v/>
      </c>
      <c r="AC3571" t="str">
        <f>IF(AA3571="","",'Procyfloc AL200'!B72)</f>
        <v/>
      </c>
      <c r="AD3571" t="str">
        <f>IF(AA3571="","",IFERROR(1*'Procyfloc AL200'!C72,IFERROR(_xludf.NUMBERVALUE('Procyfloc AL200'!C72,".",","),IFERROR(_xludf.NUMBERVALUE('Procyfloc AL200'!C72,",","."),0))))</f>
        <v/>
      </c>
      <c r="AE3571" t="str">
        <f>IF(AA3571="","",'Procyfloc AL200'!K72)</f>
        <v/>
      </c>
      <c r="AF3571">
        <f t="shared" si="347"/>
        <v>0</v>
      </c>
      <c r="AG3571" t="str">
        <f t="shared" si="348"/>
        <v/>
      </c>
      <c r="AH3571" t="str">
        <f t="shared" si="349"/>
        <v/>
      </c>
      <c r="AI3571">
        <f t="shared" si="350"/>
        <v>0</v>
      </c>
      <c r="AJ3571">
        <f t="shared" si="351"/>
        <v>0</v>
      </c>
      <c r="AK3571">
        <v>0</v>
      </c>
      <c r="AL3571" t="str">
        <f>IF(AA3571="","",IFERROR(IF(ISNUMBER('Procyfloc AL200'!D72),'Procyfloc AL200'!D72,IF(ISNUMBER(SEARCH("12",'Procyfloc AL200'!D72)),EDATE(AB3571,12),IF(ISNUMBER(SEARCH("6",'Procyfloc AL200'!D72)),EDATE(AB3571,6),IF(ISNUMBER(SEARCH("3",'Procyfloc AL200'!D72)),EDATE(AB3571,3),DATEVALUE('Procyfloc AL200'!D72))))),""))</f>
        <v/>
      </c>
      <c r="AM3571" t="str">
        <f t="shared" ca="1" si="352"/>
        <v/>
      </c>
    </row>
    <row r="3572" spans="27:39" x14ac:dyDescent="0.3">
      <c r="AA3572" t="str">
        <f>IF(COUNTA('Procyfloc AL200'!A73,'Procyfloc AL200'!B73,'Procyfloc AL200'!C73)&gt;0,"AL200","")</f>
        <v/>
      </c>
      <c r="AB3572" t="str">
        <f>IFERROR(IF(ISNUMBER('Procyfloc AL200'!A73),'Procyfloc AL200'!A73,DATEVALUE('Procyfloc AL200'!A73)),"")</f>
        <v/>
      </c>
      <c r="AC3572" t="str">
        <f>IF(AA3572="","",'Procyfloc AL200'!B73)</f>
        <v/>
      </c>
      <c r="AD3572" t="str">
        <f>IF(AA3572="","",IFERROR(1*'Procyfloc AL200'!C73,IFERROR(_xludf.NUMBERVALUE('Procyfloc AL200'!C73,".",","),IFERROR(_xludf.NUMBERVALUE('Procyfloc AL200'!C73,",","."),0))))</f>
        <v/>
      </c>
      <c r="AE3572" t="str">
        <f>IF(AA3572="","",'Procyfloc AL200'!K73)</f>
        <v/>
      </c>
      <c r="AF3572">
        <f t="shared" si="347"/>
        <v>0</v>
      </c>
      <c r="AG3572" t="str">
        <f t="shared" si="348"/>
        <v/>
      </c>
      <c r="AH3572" t="str">
        <f t="shared" si="349"/>
        <v/>
      </c>
      <c r="AI3572">
        <f t="shared" si="350"/>
        <v>0</v>
      </c>
      <c r="AJ3572">
        <f t="shared" si="351"/>
        <v>0</v>
      </c>
      <c r="AK3572">
        <v>0</v>
      </c>
      <c r="AL3572" t="str">
        <f>IF(AA3572="","",IFERROR(IF(ISNUMBER('Procyfloc AL200'!D73),'Procyfloc AL200'!D73,IF(ISNUMBER(SEARCH("12",'Procyfloc AL200'!D73)),EDATE(AB3572,12),IF(ISNUMBER(SEARCH("6",'Procyfloc AL200'!D73)),EDATE(AB3572,6),IF(ISNUMBER(SEARCH("3",'Procyfloc AL200'!D73)),EDATE(AB3572,3),DATEVALUE('Procyfloc AL200'!D73))))),""))</f>
        <v/>
      </c>
      <c r="AM3572" t="str">
        <f t="shared" ca="1" si="352"/>
        <v/>
      </c>
    </row>
    <row r="3573" spans="27:39" x14ac:dyDescent="0.3">
      <c r="AA3573" t="str">
        <f>IF(COUNTA('Procyfloc AL200'!A74,'Procyfloc AL200'!B74,'Procyfloc AL200'!C74)&gt;0,"AL200","")</f>
        <v/>
      </c>
      <c r="AB3573" t="str">
        <f>IFERROR(IF(ISNUMBER('Procyfloc AL200'!A74),'Procyfloc AL200'!A74,DATEVALUE('Procyfloc AL200'!A74)),"")</f>
        <v/>
      </c>
      <c r="AC3573" t="str">
        <f>IF(AA3573="","",'Procyfloc AL200'!B74)</f>
        <v/>
      </c>
      <c r="AD3573" t="str">
        <f>IF(AA3573="","",IFERROR(1*'Procyfloc AL200'!C74,IFERROR(_xludf.NUMBERVALUE('Procyfloc AL200'!C74,".",","),IFERROR(_xludf.NUMBERVALUE('Procyfloc AL200'!C74,",","."),0))))</f>
        <v/>
      </c>
      <c r="AE3573" t="str">
        <f>IF(AA3573="","",'Procyfloc AL200'!K74)</f>
        <v/>
      </c>
      <c r="AF3573">
        <f t="shared" si="347"/>
        <v>0</v>
      </c>
      <c r="AG3573" t="str">
        <f t="shared" si="348"/>
        <v/>
      </c>
      <c r="AH3573" t="str">
        <f t="shared" si="349"/>
        <v/>
      </c>
      <c r="AI3573">
        <f t="shared" si="350"/>
        <v>0</v>
      </c>
      <c r="AJ3573">
        <f t="shared" si="351"/>
        <v>0</v>
      </c>
      <c r="AK3573">
        <v>0</v>
      </c>
      <c r="AL3573" t="str">
        <f>IF(AA3573="","",IFERROR(IF(ISNUMBER('Procyfloc AL200'!D74),'Procyfloc AL200'!D74,IF(ISNUMBER(SEARCH("12",'Procyfloc AL200'!D74)),EDATE(AB3573,12),IF(ISNUMBER(SEARCH("6",'Procyfloc AL200'!D74)),EDATE(AB3573,6),IF(ISNUMBER(SEARCH("3",'Procyfloc AL200'!D74)),EDATE(AB3573,3),DATEVALUE('Procyfloc AL200'!D74))))),""))</f>
        <v/>
      </c>
      <c r="AM3573" t="str">
        <f t="shared" ca="1" si="352"/>
        <v/>
      </c>
    </row>
    <row r="3574" spans="27:39" x14ac:dyDescent="0.3">
      <c r="AA3574" t="str">
        <f>IF(COUNTA('Procyfloc AL200'!A75,'Procyfloc AL200'!B75,'Procyfloc AL200'!C75)&gt;0,"AL200","")</f>
        <v/>
      </c>
      <c r="AB3574" t="str">
        <f>IFERROR(IF(ISNUMBER('Procyfloc AL200'!A75),'Procyfloc AL200'!A75,DATEVALUE('Procyfloc AL200'!A75)),"")</f>
        <v/>
      </c>
      <c r="AC3574" t="str">
        <f>IF(AA3574="","",'Procyfloc AL200'!B75)</f>
        <v/>
      </c>
      <c r="AD3574" t="str">
        <f>IF(AA3574="","",IFERROR(1*'Procyfloc AL200'!C75,IFERROR(_xludf.NUMBERVALUE('Procyfloc AL200'!C75,".",","),IFERROR(_xludf.NUMBERVALUE('Procyfloc AL200'!C75,",","."),0))))</f>
        <v/>
      </c>
      <c r="AE3574" t="str">
        <f>IF(AA3574="","",'Procyfloc AL200'!K75)</f>
        <v/>
      </c>
      <c r="AF3574">
        <f t="shared" si="347"/>
        <v>0</v>
      </c>
      <c r="AG3574" t="str">
        <f t="shared" si="348"/>
        <v/>
      </c>
      <c r="AH3574" t="str">
        <f t="shared" si="349"/>
        <v/>
      </c>
      <c r="AI3574">
        <f t="shared" si="350"/>
        <v>0</v>
      </c>
      <c r="AJ3574">
        <f t="shared" si="351"/>
        <v>0</v>
      </c>
      <c r="AK3574">
        <v>0</v>
      </c>
      <c r="AL3574" t="str">
        <f>IF(AA3574="","",IFERROR(IF(ISNUMBER('Procyfloc AL200'!D75),'Procyfloc AL200'!D75,IF(ISNUMBER(SEARCH("12",'Procyfloc AL200'!D75)),EDATE(AB3574,12),IF(ISNUMBER(SEARCH("6",'Procyfloc AL200'!D75)),EDATE(AB3574,6),IF(ISNUMBER(SEARCH("3",'Procyfloc AL200'!D75)),EDATE(AB3574,3),DATEVALUE('Procyfloc AL200'!D75))))),""))</f>
        <v/>
      </c>
      <c r="AM3574" t="str">
        <f t="shared" ca="1" si="352"/>
        <v/>
      </c>
    </row>
    <row r="3575" spans="27:39" x14ac:dyDescent="0.3">
      <c r="AA3575" t="str">
        <f>IF(COUNTA('Procyfloc AL200'!A76,'Procyfloc AL200'!B76,'Procyfloc AL200'!C76)&gt;0,"AL200","")</f>
        <v/>
      </c>
      <c r="AB3575" t="str">
        <f>IFERROR(IF(ISNUMBER('Procyfloc AL200'!A76),'Procyfloc AL200'!A76,DATEVALUE('Procyfloc AL200'!A76)),"")</f>
        <v/>
      </c>
      <c r="AC3575" t="str">
        <f>IF(AA3575="","",'Procyfloc AL200'!B76)</f>
        <v/>
      </c>
      <c r="AD3575" t="str">
        <f>IF(AA3575="","",IFERROR(1*'Procyfloc AL200'!C76,IFERROR(_xludf.NUMBERVALUE('Procyfloc AL200'!C76,".",","),IFERROR(_xludf.NUMBERVALUE('Procyfloc AL200'!C76,",","."),0))))</f>
        <v/>
      </c>
      <c r="AE3575" t="str">
        <f>IF(AA3575="","",'Procyfloc AL200'!K76)</f>
        <v/>
      </c>
      <c r="AF3575">
        <f t="shared" si="347"/>
        <v>0</v>
      </c>
      <c r="AG3575" t="str">
        <f t="shared" si="348"/>
        <v/>
      </c>
      <c r="AH3575" t="str">
        <f t="shared" si="349"/>
        <v/>
      </c>
      <c r="AI3575">
        <f t="shared" si="350"/>
        <v>0</v>
      </c>
      <c r="AJ3575">
        <f t="shared" si="351"/>
        <v>0</v>
      </c>
      <c r="AK3575">
        <v>0</v>
      </c>
      <c r="AL3575" t="str">
        <f>IF(AA3575="","",IFERROR(IF(ISNUMBER('Procyfloc AL200'!D76),'Procyfloc AL200'!D76,IF(ISNUMBER(SEARCH("12",'Procyfloc AL200'!D76)),EDATE(AB3575,12),IF(ISNUMBER(SEARCH("6",'Procyfloc AL200'!D76)),EDATE(AB3575,6),IF(ISNUMBER(SEARCH("3",'Procyfloc AL200'!D76)),EDATE(AB3575,3),DATEVALUE('Procyfloc AL200'!D76))))),""))</f>
        <v/>
      </c>
      <c r="AM3575" t="str">
        <f t="shared" ca="1" si="352"/>
        <v/>
      </c>
    </row>
    <row r="3576" spans="27:39" x14ac:dyDescent="0.3">
      <c r="AA3576" t="str">
        <f>IF(COUNTA('Procyfloc AL200'!A77,'Procyfloc AL200'!B77,'Procyfloc AL200'!C77)&gt;0,"AL200","")</f>
        <v/>
      </c>
      <c r="AB3576" t="str">
        <f>IFERROR(IF(ISNUMBER('Procyfloc AL200'!A77),'Procyfloc AL200'!A77,DATEVALUE('Procyfloc AL200'!A77)),"")</f>
        <v/>
      </c>
      <c r="AC3576" t="str">
        <f>IF(AA3576="","",'Procyfloc AL200'!B77)</f>
        <v/>
      </c>
      <c r="AD3576" t="str">
        <f>IF(AA3576="","",IFERROR(1*'Procyfloc AL200'!C77,IFERROR(_xludf.NUMBERVALUE('Procyfloc AL200'!C77,".",","),IFERROR(_xludf.NUMBERVALUE('Procyfloc AL200'!C77,",","."),0))))</f>
        <v/>
      </c>
      <c r="AE3576" t="str">
        <f>IF(AA3576="","",'Procyfloc AL200'!K77)</f>
        <v/>
      </c>
      <c r="AF3576">
        <f t="shared" si="347"/>
        <v>0</v>
      </c>
      <c r="AG3576" t="str">
        <f t="shared" si="348"/>
        <v/>
      </c>
      <c r="AH3576" t="str">
        <f t="shared" si="349"/>
        <v/>
      </c>
      <c r="AI3576">
        <f t="shared" si="350"/>
        <v>0</v>
      </c>
      <c r="AJ3576">
        <f t="shared" si="351"/>
        <v>0</v>
      </c>
      <c r="AK3576">
        <v>0</v>
      </c>
      <c r="AL3576" t="str">
        <f>IF(AA3576="","",IFERROR(IF(ISNUMBER('Procyfloc AL200'!D77),'Procyfloc AL200'!D77,IF(ISNUMBER(SEARCH("12",'Procyfloc AL200'!D77)),EDATE(AB3576,12),IF(ISNUMBER(SEARCH("6",'Procyfloc AL200'!D77)),EDATE(AB3576,6),IF(ISNUMBER(SEARCH("3",'Procyfloc AL200'!D77)),EDATE(AB3576,3),DATEVALUE('Procyfloc AL200'!D77))))),""))</f>
        <v/>
      </c>
      <c r="AM3576" t="str">
        <f t="shared" ca="1" si="352"/>
        <v/>
      </c>
    </row>
    <row r="3577" spans="27:39" x14ac:dyDescent="0.3">
      <c r="AA3577" t="str">
        <f>IF(COUNTA('Procyfloc AL200'!A78,'Procyfloc AL200'!B78,'Procyfloc AL200'!C78)&gt;0,"AL200","")</f>
        <v/>
      </c>
      <c r="AB3577" t="str">
        <f>IFERROR(IF(ISNUMBER('Procyfloc AL200'!A78),'Procyfloc AL200'!A78,DATEVALUE('Procyfloc AL200'!A78)),"")</f>
        <v/>
      </c>
      <c r="AC3577" t="str">
        <f>IF(AA3577="","",'Procyfloc AL200'!B78)</f>
        <v/>
      </c>
      <c r="AD3577" t="str">
        <f>IF(AA3577="","",IFERROR(1*'Procyfloc AL200'!C78,IFERROR(_xludf.NUMBERVALUE('Procyfloc AL200'!C78,".",","),IFERROR(_xludf.NUMBERVALUE('Procyfloc AL200'!C78,",","."),0))))</f>
        <v/>
      </c>
      <c r="AE3577" t="str">
        <f>IF(AA3577="","",'Procyfloc AL200'!K78)</f>
        <v/>
      </c>
      <c r="AF3577">
        <f t="shared" si="347"/>
        <v>0</v>
      </c>
      <c r="AG3577" t="str">
        <f t="shared" si="348"/>
        <v/>
      </c>
      <c r="AH3577" t="str">
        <f t="shared" si="349"/>
        <v/>
      </c>
      <c r="AI3577">
        <f t="shared" si="350"/>
        <v>0</v>
      </c>
      <c r="AJ3577">
        <f t="shared" si="351"/>
        <v>0</v>
      </c>
      <c r="AK3577">
        <v>0</v>
      </c>
      <c r="AL3577" t="str">
        <f>IF(AA3577="","",IFERROR(IF(ISNUMBER('Procyfloc AL200'!D78),'Procyfloc AL200'!D78,IF(ISNUMBER(SEARCH("12",'Procyfloc AL200'!D78)),EDATE(AB3577,12),IF(ISNUMBER(SEARCH("6",'Procyfloc AL200'!D78)),EDATE(AB3577,6),IF(ISNUMBER(SEARCH("3",'Procyfloc AL200'!D78)),EDATE(AB3577,3),DATEVALUE('Procyfloc AL200'!D78))))),""))</f>
        <v/>
      </c>
      <c r="AM3577" t="str">
        <f t="shared" ca="1" si="352"/>
        <v/>
      </c>
    </row>
    <row r="3578" spans="27:39" x14ac:dyDescent="0.3">
      <c r="AA3578" t="str">
        <f>IF(COUNTA('Procyfloc AL200'!A79,'Procyfloc AL200'!B79,'Procyfloc AL200'!C79)&gt;0,"AL200","")</f>
        <v/>
      </c>
      <c r="AB3578" t="str">
        <f>IFERROR(IF(ISNUMBER('Procyfloc AL200'!A79),'Procyfloc AL200'!A79,DATEVALUE('Procyfloc AL200'!A79)),"")</f>
        <v/>
      </c>
      <c r="AC3578" t="str">
        <f>IF(AA3578="","",'Procyfloc AL200'!B79)</f>
        <v/>
      </c>
      <c r="AD3578" t="str">
        <f>IF(AA3578="","",IFERROR(1*'Procyfloc AL200'!C79,IFERROR(_xludf.NUMBERVALUE('Procyfloc AL200'!C79,".",","),IFERROR(_xludf.NUMBERVALUE('Procyfloc AL200'!C79,",","."),0))))</f>
        <v/>
      </c>
      <c r="AE3578" t="str">
        <f>IF(AA3578="","",'Procyfloc AL200'!K79)</f>
        <v/>
      </c>
      <c r="AF3578">
        <f t="shared" si="347"/>
        <v>0</v>
      </c>
      <c r="AG3578" t="str">
        <f t="shared" si="348"/>
        <v/>
      </c>
      <c r="AH3578" t="str">
        <f t="shared" si="349"/>
        <v/>
      </c>
      <c r="AI3578">
        <f t="shared" si="350"/>
        <v>0</v>
      </c>
      <c r="AJ3578">
        <f t="shared" si="351"/>
        <v>0</v>
      </c>
      <c r="AK3578">
        <v>0</v>
      </c>
      <c r="AL3578" t="str">
        <f>IF(AA3578="","",IFERROR(IF(ISNUMBER('Procyfloc AL200'!D79),'Procyfloc AL200'!D79,IF(ISNUMBER(SEARCH("12",'Procyfloc AL200'!D79)),EDATE(AB3578,12),IF(ISNUMBER(SEARCH("6",'Procyfloc AL200'!D79)),EDATE(AB3578,6),IF(ISNUMBER(SEARCH("3",'Procyfloc AL200'!D79)),EDATE(AB3578,3),DATEVALUE('Procyfloc AL200'!D79))))),""))</f>
        <v/>
      </c>
      <c r="AM3578" t="str">
        <f t="shared" ca="1" si="352"/>
        <v/>
      </c>
    </row>
    <row r="3579" spans="27:39" x14ac:dyDescent="0.3">
      <c r="AA3579" t="str">
        <f>IF(COUNTA('Procyfloc AL200'!A80,'Procyfloc AL200'!B80,'Procyfloc AL200'!C80)&gt;0,"AL200","")</f>
        <v/>
      </c>
      <c r="AB3579" t="str">
        <f>IFERROR(IF(ISNUMBER('Procyfloc AL200'!A80),'Procyfloc AL200'!A80,DATEVALUE('Procyfloc AL200'!A80)),"")</f>
        <v/>
      </c>
      <c r="AC3579" t="str">
        <f>IF(AA3579="","",'Procyfloc AL200'!B80)</f>
        <v/>
      </c>
      <c r="AD3579" t="str">
        <f>IF(AA3579="","",IFERROR(1*'Procyfloc AL200'!C80,IFERROR(_xludf.NUMBERVALUE('Procyfloc AL200'!C80,".",","),IFERROR(_xludf.NUMBERVALUE('Procyfloc AL200'!C80,",","."),0))))</f>
        <v/>
      </c>
      <c r="AE3579" t="str">
        <f>IF(AA3579="","",'Procyfloc AL200'!K80)</f>
        <v/>
      </c>
      <c r="AF3579">
        <f t="shared" si="347"/>
        <v>0</v>
      </c>
      <c r="AG3579" t="str">
        <f t="shared" si="348"/>
        <v/>
      </c>
      <c r="AH3579" t="str">
        <f t="shared" si="349"/>
        <v/>
      </c>
      <c r="AI3579">
        <f t="shared" si="350"/>
        <v>0</v>
      </c>
      <c r="AJ3579">
        <f t="shared" si="351"/>
        <v>0</v>
      </c>
      <c r="AK3579">
        <v>0</v>
      </c>
      <c r="AL3579" t="str">
        <f>IF(AA3579="","",IFERROR(IF(ISNUMBER('Procyfloc AL200'!D80),'Procyfloc AL200'!D80,IF(ISNUMBER(SEARCH("12",'Procyfloc AL200'!D80)),EDATE(AB3579,12),IF(ISNUMBER(SEARCH("6",'Procyfloc AL200'!D80)),EDATE(AB3579,6),IF(ISNUMBER(SEARCH("3",'Procyfloc AL200'!D80)),EDATE(AB3579,3),DATEVALUE('Procyfloc AL200'!D80))))),""))</f>
        <v/>
      </c>
      <c r="AM3579" t="str">
        <f t="shared" ca="1" si="352"/>
        <v/>
      </c>
    </row>
    <row r="3580" spans="27:39" x14ac:dyDescent="0.3">
      <c r="AA3580" t="str">
        <f>IF(COUNTA('Procyfloc AL200'!A81,'Procyfloc AL200'!B81,'Procyfloc AL200'!C81)&gt;0,"AL200","")</f>
        <v/>
      </c>
      <c r="AB3580" t="str">
        <f>IFERROR(IF(ISNUMBER('Procyfloc AL200'!A81),'Procyfloc AL200'!A81,DATEVALUE('Procyfloc AL200'!A81)),"")</f>
        <v/>
      </c>
      <c r="AC3580" t="str">
        <f>IF(AA3580="","",'Procyfloc AL200'!B81)</f>
        <v/>
      </c>
      <c r="AD3580" t="str">
        <f>IF(AA3580="","",IFERROR(1*'Procyfloc AL200'!C81,IFERROR(_xludf.NUMBERVALUE('Procyfloc AL200'!C81,".",","),IFERROR(_xludf.NUMBERVALUE('Procyfloc AL200'!C81,",","."),0))))</f>
        <v/>
      </c>
      <c r="AE3580" t="str">
        <f>IF(AA3580="","",'Procyfloc AL200'!K81)</f>
        <v/>
      </c>
      <c r="AF3580">
        <f t="shared" si="347"/>
        <v>0</v>
      </c>
      <c r="AG3580" t="str">
        <f t="shared" si="348"/>
        <v/>
      </c>
      <c r="AH3580" t="str">
        <f t="shared" si="349"/>
        <v/>
      </c>
      <c r="AI3580">
        <f t="shared" si="350"/>
        <v>0</v>
      </c>
      <c r="AJ3580">
        <f t="shared" si="351"/>
        <v>0</v>
      </c>
      <c r="AK3580">
        <v>0</v>
      </c>
      <c r="AL3580" t="str">
        <f>IF(AA3580="","",IFERROR(IF(ISNUMBER('Procyfloc AL200'!D81),'Procyfloc AL200'!D81,IF(ISNUMBER(SEARCH("12",'Procyfloc AL200'!D81)),EDATE(AB3580,12),IF(ISNUMBER(SEARCH("6",'Procyfloc AL200'!D81)),EDATE(AB3580,6),IF(ISNUMBER(SEARCH("3",'Procyfloc AL200'!D81)),EDATE(AB3580,3),DATEVALUE('Procyfloc AL200'!D81))))),""))</f>
        <v/>
      </c>
      <c r="AM3580" t="str">
        <f t="shared" ca="1" si="352"/>
        <v/>
      </c>
    </row>
    <row r="3581" spans="27:39" x14ac:dyDescent="0.3">
      <c r="AA3581" t="str">
        <f>IF(COUNTA('Procyfloc AL200'!A82,'Procyfloc AL200'!B82,'Procyfloc AL200'!C82)&gt;0,"AL200","")</f>
        <v/>
      </c>
      <c r="AB3581" t="str">
        <f>IFERROR(IF(ISNUMBER('Procyfloc AL200'!A82),'Procyfloc AL200'!A82,DATEVALUE('Procyfloc AL200'!A82)),"")</f>
        <v/>
      </c>
      <c r="AC3581" t="str">
        <f>IF(AA3581="","",'Procyfloc AL200'!B82)</f>
        <v/>
      </c>
      <c r="AD3581" t="str">
        <f>IF(AA3581="","",IFERROR(1*'Procyfloc AL200'!C82,IFERROR(_xludf.NUMBERVALUE('Procyfloc AL200'!C82,".",","),IFERROR(_xludf.NUMBERVALUE('Procyfloc AL200'!C82,",","."),0))))</f>
        <v/>
      </c>
      <c r="AE3581" t="str">
        <f>IF(AA3581="","",'Procyfloc AL200'!K82)</f>
        <v/>
      </c>
      <c r="AF3581">
        <f t="shared" si="347"/>
        <v>0</v>
      </c>
      <c r="AG3581" t="str">
        <f t="shared" si="348"/>
        <v/>
      </c>
      <c r="AH3581" t="str">
        <f t="shared" si="349"/>
        <v/>
      </c>
      <c r="AI3581">
        <f t="shared" si="350"/>
        <v>0</v>
      </c>
      <c r="AJ3581">
        <f t="shared" si="351"/>
        <v>0</v>
      </c>
      <c r="AK3581">
        <v>0</v>
      </c>
      <c r="AL3581" t="str">
        <f>IF(AA3581="","",IFERROR(IF(ISNUMBER('Procyfloc AL200'!D82),'Procyfloc AL200'!D82,IF(ISNUMBER(SEARCH("12",'Procyfloc AL200'!D82)),EDATE(AB3581,12),IF(ISNUMBER(SEARCH("6",'Procyfloc AL200'!D82)),EDATE(AB3581,6),IF(ISNUMBER(SEARCH("3",'Procyfloc AL200'!D82)),EDATE(AB3581,3),DATEVALUE('Procyfloc AL200'!D82))))),""))</f>
        <v/>
      </c>
      <c r="AM3581" t="str">
        <f t="shared" ca="1" si="352"/>
        <v/>
      </c>
    </row>
    <row r="3582" spans="27:39" x14ac:dyDescent="0.3">
      <c r="AA3582" t="str">
        <f>IF(COUNTA('Procyfloc AL200'!A83,'Procyfloc AL200'!B83,'Procyfloc AL200'!C83)&gt;0,"AL200","")</f>
        <v/>
      </c>
      <c r="AB3582" t="str">
        <f>IFERROR(IF(ISNUMBER('Procyfloc AL200'!A83),'Procyfloc AL200'!A83,DATEVALUE('Procyfloc AL200'!A83)),"")</f>
        <v/>
      </c>
      <c r="AC3582" t="str">
        <f>IF(AA3582="","",'Procyfloc AL200'!B83)</f>
        <v/>
      </c>
      <c r="AD3582" t="str">
        <f>IF(AA3582="","",IFERROR(1*'Procyfloc AL200'!C83,IFERROR(_xludf.NUMBERVALUE('Procyfloc AL200'!C83,".",","),IFERROR(_xludf.NUMBERVALUE('Procyfloc AL200'!C83,",","."),0))))</f>
        <v/>
      </c>
      <c r="AE3582" t="str">
        <f>IF(AA3582="","",'Procyfloc AL200'!K83)</f>
        <v/>
      </c>
      <c r="AF3582">
        <f t="shared" si="347"/>
        <v>0</v>
      </c>
      <c r="AG3582" t="str">
        <f t="shared" si="348"/>
        <v/>
      </c>
      <c r="AH3582" t="str">
        <f t="shared" si="349"/>
        <v/>
      </c>
      <c r="AI3582">
        <f t="shared" si="350"/>
        <v>0</v>
      </c>
      <c r="AJ3582">
        <f t="shared" si="351"/>
        <v>0</v>
      </c>
      <c r="AK3582">
        <v>0</v>
      </c>
      <c r="AL3582" t="str">
        <f>IF(AA3582="","",IFERROR(IF(ISNUMBER('Procyfloc AL200'!D83),'Procyfloc AL200'!D83,IF(ISNUMBER(SEARCH("12",'Procyfloc AL200'!D83)),EDATE(AB3582,12),IF(ISNUMBER(SEARCH("6",'Procyfloc AL200'!D83)),EDATE(AB3582,6),IF(ISNUMBER(SEARCH("3",'Procyfloc AL200'!D83)),EDATE(AB3582,3),DATEVALUE('Procyfloc AL200'!D83))))),""))</f>
        <v/>
      </c>
      <c r="AM3582" t="str">
        <f t="shared" ca="1" si="352"/>
        <v/>
      </c>
    </row>
    <row r="3583" spans="27:39" x14ac:dyDescent="0.3">
      <c r="AA3583" t="str">
        <f>IF(COUNTA('Procyfloc AL200'!A84,'Procyfloc AL200'!B84,'Procyfloc AL200'!C84)&gt;0,"AL200","")</f>
        <v/>
      </c>
      <c r="AB3583" t="str">
        <f>IFERROR(IF(ISNUMBER('Procyfloc AL200'!A84),'Procyfloc AL200'!A84,DATEVALUE('Procyfloc AL200'!A84)),"")</f>
        <v/>
      </c>
      <c r="AC3583" t="str">
        <f>IF(AA3583="","",'Procyfloc AL200'!B84)</f>
        <v/>
      </c>
      <c r="AD3583" t="str">
        <f>IF(AA3583="","",IFERROR(1*'Procyfloc AL200'!C84,IFERROR(_xludf.NUMBERVALUE('Procyfloc AL200'!C84,".",","),IFERROR(_xludf.NUMBERVALUE('Procyfloc AL200'!C84,",","."),0))))</f>
        <v/>
      </c>
      <c r="AE3583" t="str">
        <f>IF(AA3583="","",'Procyfloc AL200'!K84)</f>
        <v/>
      </c>
      <c r="AF3583">
        <f t="shared" si="347"/>
        <v>0</v>
      </c>
      <c r="AG3583" t="str">
        <f t="shared" si="348"/>
        <v/>
      </c>
      <c r="AH3583" t="str">
        <f t="shared" si="349"/>
        <v/>
      </c>
      <c r="AI3583">
        <f t="shared" si="350"/>
        <v>0</v>
      </c>
      <c r="AJ3583">
        <f t="shared" si="351"/>
        <v>0</v>
      </c>
      <c r="AK3583">
        <v>0</v>
      </c>
      <c r="AL3583" t="str">
        <f>IF(AA3583="","",IFERROR(IF(ISNUMBER('Procyfloc AL200'!D84),'Procyfloc AL200'!D84,IF(ISNUMBER(SEARCH("12",'Procyfloc AL200'!D84)),EDATE(AB3583,12),IF(ISNUMBER(SEARCH("6",'Procyfloc AL200'!D84)),EDATE(AB3583,6),IF(ISNUMBER(SEARCH("3",'Procyfloc AL200'!D84)),EDATE(AB3583,3),DATEVALUE('Procyfloc AL200'!D84))))),""))</f>
        <v/>
      </c>
      <c r="AM3583" t="str">
        <f t="shared" ca="1" si="352"/>
        <v/>
      </c>
    </row>
    <row r="3584" spans="27:39" x14ac:dyDescent="0.3">
      <c r="AA3584" t="str">
        <f>IF(COUNTA('Procyfloc AL200'!A85,'Procyfloc AL200'!B85,'Procyfloc AL200'!C85)&gt;0,"AL200","")</f>
        <v/>
      </c>
      <c r="AB3584" t="str">
        <f>IFERROR(IF(ISNUMBER('Procyfloc AL200'!A85),'Procyfloc AL200'!A85,DATEVALUE('Procyfloc AL200'!A85)),"")</f>
        <v/>
      </c>
      <c r="AC3584" t="str">
        <f>IF(AA3584="","",'Procyfloc AL200'!B85)</f>
        <v/>
      </c>
      <c r="AD3584" t="str">
        <f>IF(AA3584="","",IFERROR(1*'Procyfloc AL200'!C85,IFERROR(_xludf.NUMBERVALUE('Procyfloc AL200'!C85,".",","),IFERROR(_xludf.NUMBERVALUE('Procyfloc AL200'!C85,",","."),0))))</f>
        <v/>
      </c>
      <c r="AE3584" t="str">
        <f>IF(AA3584="","",'Procyfloc AL200'!K85)</f>
        <v/>
      </c>
      <c r="AF3584">
        <f t="shared" si="347"/>
        <v>0</v>
      </c>
      <c r="AG3584" t="str">
        <f t="shared" si="348"/>
        <v/>
      </c>
      <c r="AH3584" t="str">
        <f t="shared" si="349"/>
        <v/>
      </c>
      <c r="AI3584">
        <f t="shared" si="350"/>
        <v>0</v>
      </c>
      <c r="AJ3584">
        <f t="shared" si="351"/>
        <v>0</v>
      </c>
      <c r="AK3584">
        <v>0</v>
      </c>
      <c r="AL3584" t="str">
        <f>IF(AA3584="","",IFERROR(IF(ISNUMBER('Procyfloc AL200'!D85),'Procyfloc AL200'!D85,IF(ISNUMBER(SEARCH("12",'Procyfloc AL200'!D85)),EDATE(AB3584,12),IF(ISNUMBER(SEARCH("6",'Procyfloc AL200'!D85)),EDATE(AB3584,6),IF(ISNUMBER(SEARCH("3",'Procyfloc AL200'!D85)),EDATE(AB3584,3),DATEVALUE('Procyfloc AL200'!D85))))),""))</f>
        <v/>
      </c>
      <c r="AM3584" t="str">
        <f t="shared" ca="1" si="352"/>
        <v/>
      </c>
    </row>
    <row r="3585" spans="27:39" x14ac:dyDescent="0.3">
      <c r="AA3585" t="str">
        <f>IF(COUNTA('Procyfloc AL200'!A86,'Procyfloc AL200'!B86,'Procyfloc AL200'!C86)&gt;0,"AL200","")</f>
        <v/>
      </c>
      <c r="AB3585" t="str">
        <f>IFERROR(IF(ISNUMBER('Procyfloc AL200'!A86),'Procyfloc AL200'!A86,DATEVALUE('Procyfloc AL200'!A86)),"")</f>
        <v/>
      </c>
      <c r="AC3585" t="str">
        <f>IF(AA3585="","",'Procyfloc AL200'!B86)</f>
        <v/>
      </c>
      <c r="AD3585" t="str">
        <f>IF(AA3585="","",IFERROR(1*'Procyfloc AL200'!C86,IFERROR(_xludf.NUMBERVALUE('Procyfloc AL200'!C86,".",","),IFERROR(_xludf.NUMBERVALUE('Procyfloc AL200'!C86,",","."),0))))</f>
        <v/>
      </c>
      <c r="AE3585" t="str">
        <f>IF(AA3585="","",'Procyfloc AL200'!K86)</f>
        <v/>
      </c>
      <c r="AF3585">
        <f t="shared" si="347"/>
        <v>0</v>
      </c>
      <c r="AG3585" t="str">
        <f t="shared" si="348"/>
        <v/>
      </c>
      <c r="AH3585" t="str">
        <f t="shared" si="349"/>
        <v/>
      </c>
      <c r="AI3585">
        <f t="shared" si="350"/>
        <v>0</v>
      </c>
      <c r="AJ3585">
        <f t="shared" si="351"/>
        <v>0</v>
      </c>
      <c r="AK3585">
        <v>0</v>
      </c>
      <c r="AL3585" t="str">
        <f>IF(AA3585="","",IFERROR(IF(ISNUMBER('Procyfloc AL200'!D86),'Procyfloc AL200'!D86,IF(ISNUMBER(SEARCH("12",'Procyfloc AL200'!D86)),EDATE(AB3585,12),IF(ISNUMBER(SEARCH("6",'Procyfloc AL200'!D86)),EDATE(AB3585,6),IF(ISNUMBER(SEARCH("3",'Procyfloc AL200'!D86)),EDATE(AB3585,3),DATEVALUE('Procyfloc AL200'!D86))))),""))</f>
        <v/>
      </c>
      <c r="AM3585" t="str">
        <f t="shared" ca="1" si="352"/>
        <v/>
      </c>
    </row>
    <row r="3586" spans="27:39" x14ac:dyDescent="0.3">
      <c r="AA3586" t="str">
        <f>IF(COUNTA('Procyfloc AL200'!A87,'Procyfloc AL200'!B87,'Procyfloc AL200'!C87)&gt;0,"AL200","")</f>
        <v/>
      </c>
      <c r="AB3586" t="str">
        <f>IFERROR(IF(ISNUMBER('Procyfloc AL200'!A87),'Procyfloc AL200'!A87,DATEVALUE('Procyfloc AL200'!A87)),"")</f>
        <v/>
      </c>
      <c r="AC3586" t="str">
        <f>IF(AA3586="","",'Procyfloc AL200'!B87)</f>
        <v/>
      </c>
      <c r="AD3586" t="str">
        <f>IF(AA3586="","",IFERROR(1*'Procyfloc AL200'!C87,IFERROR(_xludf.NUMBERVALUE('Procyfloc AL200'!C87,".",","),IFERROR(_xludf.NUMBERVALUE('Procyfloc AL200'!C87,",","."),0))))</f>
        <v/>
      </c>
      <c r="AE3586" t="str">
        <f>IF(AA3586="","",'Procyfloc AL200'!K87)</f>
        <v/>
      </c>
      <c r="AF3586">
        <f t="shared" ref="AF3586:AF3649" si="353">IF(AA3586="",0,--AND(ISNUMBER(SEARCH("aprov",AE3586)),NOT(ISNUMBER(SEARCH("reprov",AE3586)))))</f>
        <v>0</v>
      </c>
      <c r="AG3586" t="str">
        <f t="shared" ref="AG3586:AG3649" si="354">IF(AB3586="","",YEAR(AB3586))</f>
        <v/>
      </c>
      <c r="AH3586" t="str">
        <f t="shared" ref="AH3586:AH3649" si="355">IF(AB3586="","",MONTH(AB3586))</f>
        <v/>
      </c>
      <c r="AI3586">
        <f t="shared" ref="AI3586:AI3649" si="356">IF(AB3586="",0,AB3586+ROW()/1000000)</f>
        <v>0</v>
      </c>
      <c r="AJ3586">
        <f t="shared" ref="AJ3586:AJ3649" si="357">--(AA3586&lt;&gt;"")</f>
        <v>0</v>
      </c>
      <c r="AK3586">
        <v>0</v>
      </c>
      <c r="AL3586" t="str">
        <f>IF(AA3586="","",IFERROR(IF(ISNUMBER('Procyfloc AL200'!D87),'Procyfloc AL200'!D87,IF(ISNUMBER(SEARCH("12",'Procyfloc AL200'!D87)),EDATE(AB3586,12),IF(ISNUMBER(SEARCH("6",'Procyfloc AL200'!D87)),EDATE(AB3586,6),IF(ISNUMBER(SEARCH("3",'Procyfloc AL200'!D87)),EDATE(AB3586,3),DATEVALUE('Procyfloc AL200'!D87))))),""))</f>
        <v/>
      </c>
      <c r="AM3586" t="str">
        <f t="shared" ref="AM3586:AM3649" ca="1" si="358">IF(AND(AJ3586=1,AL3586&lt;&gt;"",AL3586&gt;=TODAY(),AG3586=$W$3),AL3586+ROW()/1000000,"")</f>
        <v/>
      </c>
    </row>
    <row r="3587" spans="27:39" x14ac:dyDescent="0.3">
      <c r="AA3587" t="str">
        <f>IF(COUNTA('Procyfloc AL200'!A88,'Procyfloc AL200'!B88,'Procyfloc AL200'!C88)&gt;0,"AL200","")</f>
        <v/>
      </c>
      <c r="AB3587" t="str">
        <f>IFERROR(IF(ISNUMBER('Procyfloc AL200'!A88),'Procyfloc AL200'!A88,DATEVALUE('Procyfloc AL200'!A88)),"")</f>
        <v/>
      </c>
      <c r="AC3587" t="str">
        <f>IF(AA3587="","",'Procyfloc AL200'!B88)</f>
        <v/>
      </c>
      <c r="AD3587" t="str">
        <f>IF(AA3587="","",IFERROR(1*'Procyfloc AL200'!C88,IFERROR(_xludf.NUMBERVALUE('Procyfloc AL200'!C88,".",","),IFERROR(_xludf.NUMBERVALUE('Procyfloc AL200'!C88,",","."),0))))</f>
        <v/>
      </c>
      <c r="AE3587" t="str">
        <f>IF(AA3587="","",'Procyfloc AL200'!K88)</f>
        <v/>
      </c>
      <c r="AF3587">
        <f t="shared" si="353"/>
        <v>0</v>
      </c>
      <c r="AG3587" t="str">
        <f t="shared" si="354"/>
        <v/>
      </c>
      <c r="AH3587" t="str">
        <f t="shared" si="355"/>
        <v/>
      </c>
      <c r="AI3587">
        <f t="shared" si="356"/>
        <v>0</v>
      </c>
      <c r="AJ3587">
        <f t="shared" si="357"/>
        <v>0</v>
      </c>
      <c r="AK3587">
        <v>0</v>
      </c>
      <c r="AL3587" t="str">
        <f>IF(AA3587="","",IFERROR(IF(ISNUMBER('Procyfloc AL200'!D88),'Procyfloc AL200'!D88,IF(ISNUMBER(SEARCH("12",'Procyfloc AL200'!D88)),EDATE(AB3587,12),IF(ISNUMBER(SEARCH("6",'Procyfloc AL200'!D88)),EDATE(AB3587,6),IF(ISNUMBER(SEARCH("3",'Procyfloc AL200'!D88)),EDATE(AB3587,3),DATEVALUE('Procyfloc AL200'!D88))))),""))</f>
        <v/>
      </c>
      <c r="AM3587" t="str">
        <f t="shared" ca="1" si="358"/>
        <v/>
      </c>
    </row>
    <row r="3588" spans="27:39" x14ac:dyDescent="0.3">
      <c r="AA3588" t="str">
        <f>IF(COUNTA('Procyfloc AL200'!A89,'Procyfloc AL200'!B89,'Procyfloc AL200'!C89)&gt;0,"AL200","")</f>
        <v/>
      </c>
      <c r="AB3588" t="str">
        <f>IFERROR(IF(ISNUMBER('Procyfloc AL200'!A89),'Procyfloc AL200'!A89,DATEVALUE('Procyfloc AL200'!A89)),"")</f>
        <v/>
      </c>
      <c r="AC3588" t="str">
        <f>IF(AA3588="","",'Procyfloc AL200'!B89)</f>
        <v/>
      </c>
      <c r="AD3588" t="str">
        <f>IF(AA3588="","",IFERROR(1*'Procyfloc AL200'!C89,IFERROR(_xludf.NUMBERVALUE('Procyfloc AL200'!C89,".",","),IFERROR(_xludf.NUMBERVALUE('Procyfloc AL200'!C89,",","."),0))))</f>
        <v/>
      </c>
      <c r="AE3588" t="str">
        <f>IF(AA3588="","",'Procyfloc AL200'!K89)</f>
        <v/>
      </c>
      <c r="AF3588">
        <f t="shared" si="353"/>
        <v>0</v>
      </c>
      <c r="AG3588" t="str">
        <f t="shared" si="354"/>
        <v/>
      </c>
      <c r="AH3588" t="str">
        <f t="shared" si="355"/>
        <v/>
      </c>
      <c r="AI3588">
        <f t="shared" si="356"/>
        <v>0</v>
      </c>
      <c r="AJ3588">
        <f t="shared" si="357"/>
        <v>0</v>
      </c>
      <c r="AK3588">
        <v>0</v>
      </c>
      <c r="AL3588" t="str">
        <f>IF(AA3588="","",IFERROR(IF(ISNUMBER('Procyfloc AL200'!D89),'Procyfloc AL200'!D89,IF(ISNUMBER(SEARCH("12",'Procyfloc AL200'!D89)),EDATE(AB3588,12),IF(ISNUMBER(SEARCH("6",'Procyfloc AL200'!D89)),EDATE(AB3588,6),IF(ISNUMBER(SEARCH("3",'Procyfloc AL200'!D89)),EDATE(AB3588,3),DATEVALUE('Procyfloc AL200'!D89))))),""))</f>
        <v/>
      </c>
      <c r="AM3588" t="str">
        <f t="shared" ca="1" si="358"/>
        <v/>
      </c>
    </row>
    <row r="3589" spans="27:39" x14ac:dyDescent="0.3">
      <c r="AA3589" t="str">
        <f>IF(COUNTA('Procyfloc AL200'!A90,'Procyfloc AL200'!B90,'Procyfloc AL200'!C90)&gt;0,"AL200","")</f>
        <v/>
      </c>
      <c r="AB3589" t="str">
        <f>IFERROR(IF(ISNUMBER('Procyfloc AL200'!A90),'Procyfloc AL200'!A90,DATEVALUE('Procyfloc AL200'!A90)),"")</f>
        <v/>
      </c>
      <c r="AC3589" t="str">
        <f>IF(AA3589="","",'Procyfloc AL200'!B90)</f>
        <v/>
      </c>
      <c r="AD3589" t="str">
        <f>IF(AA3589="","",IFERROR(1*'Procyfloc AL200'!C90,IFERROR(_xludf.NUMBERVALUE('Procyfloc AL200'!C90,".",","),IFERROR(_xludf.NUMBERVALUE('Procyfloc AL200'!C90,",","."),0))))</f>
        <v/>
      </c>
      <c r="AE3589" t="str">
        <f>IF(AA3589="","",'Procyfloc AL200'!K90)</f>
        <v/>
      </c>
      <c r="AF3589">
        <f t="shared" si="353"/>
        <v>0</v>
      </c>
      <c r="AG3589" t="str">
        <f t="shared" si="354"/>
        <v/>
      </c>
      <c r="AH3589" t="str">
        <f t="shared" si="355"/>
        <v/>
      </c>
      <c r="AI3589">
        <f t="shared" si="356"/>
        <v>0</v>
      </c>
      <c r="AJ3589">
        <f t="shared" si="357"/>
        <v>0</v>
      </c>
      <c r="AK3589">
        <v>0</v>
      </c>
      <c r="AL3589" t="str">
        <f>IF(AA3589="","",IFERROR(IF(ISNUMBER('Procyfloc AL200'!D90),'Procyfloc AL200'!D90,IF(ISNUMBER(SEARCH("12",'Procyfloc AL200'!D90)),EDATE(AB3589,12),IF(ISNUMBER(SEARCH("6",'Procyfloc AL200'!D90)),EDATE(AB3589,6),IF(ISNUMBER(SEARCH("3",'Procyfloc AL200'!D90)),EDATE(AB3589,3),DATEVALUE('Procyfloc AL200'!D90))))),""))</f>
        <v/>
      </c>
      <c r="AM3589" t="str">
        <f t="shared" ca="1" si="358"/>
        <v/>
      </c>
    </row>
    <row r="3590" spans="27:39" x14ac:dyDescent="0.3">
      <c r="AA3590" t="str">
        <f>IF(COUNTA('Procyfloc AL200'!A91,'Procyfloc AL200'!B91,'Procyfloc AL200'!C91)&gt;0,"AL200","")</f>
        <v/>
      </c>
      <c r="AB3590" t="str">
        <f>IFERROR(IF(ISNUMBER('Procyfloc AL200'!A91),'Procyfloc AL200'!A91,DATEVALUE('Procyfloc AL200'!A91)),"")</f>
        <v/>
      </c>
      <c r="AC3590" t="str">
        <f>IF(AA3590="","",'Procyfloc AL200'!B91)</f>
        <v/>
      </c>
      <c r="AD3590" t="str">
        <f>IF(AA3590="","",IFERROR(1*'Procyfloc AL200'!C91,IFERROR(_xludf.NUMBERVALUE('Procyfloc AL200'!C91,".",","),IFERROR(_xludf.NUMBERVALUE('Procyfloc AL200'!C91,",","."),0))))</f>
        <v/>
      </c>
      <c r="AE3590" t="str">
        <f>IF(AA3590="","",'Procyfloc AL200'!K91)</f>
        <v/>
      </c>
      <c r="AF3590">
        <f t="shared" si="353"/>
        <v>0</v>
      </c>
      <c r="AG3590" t="str">
        <f t="shared" si="354"/>
        <v/>
      </c>
      <c r="AH3590" t="str">
        <f t="shared" si="355"/>
        <v/>
      </c>
      <c r="AI3590">
        <f t="shared" si="356"/>
        <v>0</v>
      </c>
      <c r="AJ3590">
        <f t="shared" si="357"/>
        <v>0</v>
      </c>
      <c r="AK3590">
        <v>0</v>
      </c>
      <c r="AL3590" t="str">
        <f>IF(AA3590="","",IFERROR(IF(ISNUMBER('Procyfloc AL200'!D91),'Procyfloc AL200'!D91,IF(ISNUMBER(SEARCH("12",'Procyfloc AL200'!D91)),EDATE(AB3590,12),IF(ISNUMBER(SEARCH("6",'Procyfloc AL200'!D91)),EDATE(AB3590,6),IF(ISNUMBER(SEARCH("3",'Procyfloc AL200'!D91)),EDATE(AB3590,3),DATEVALUE('Procyfloc AL200'!D91))))),""))</f>
        <v/>
      </c>
      <c r="AM3590" t="str">
        <f t="shared" ca="1" si="358"/>
        <v/>
      </c>
    </row>
    <row r="3591" spans="27:39" x14ac:dyDescent="0.3">
      <c r="AA3591" t="str">
        <f>IF(COUNTA('Procyfloc AL200'!A92,'Procyfloc AL200'!B92,'Procyfloc AL200'!C92)&gt;0,"AL200","")</f>
        <v/>
      </c>
      <c r="AB3591" t="str">
        <f>IFERROR(IF(ISNUMBER('Procyfloc AL200'!A92),'Procyfloc AL200'!A92,DATEVALUE('Procyfloc AL200'!A92)),"")</f>
        <v/>
      </c>
      <c r="AC3591" t="str">
        <f>IF(AA3591="","",'Procyfloc AL200'!B92)</f>
        <v/>
      </c>
      <c r="AD3591" t="str">
        <f>IF(AA3591="","",IFERROR(1*'Procyfloc AL200'!C92,IFERROR(_xludf.NUMBERVALUE('Procyfloc AL200'!C92,".",","),IFERROR(_xludf.NUMBERVALUE('Procyfloc AL200'!C92,",","."),0))))</f>
        <v/>
      </c>
      <c r="AE3591" t="str">
        <f>IF(AA3591="","",'Procyfloc AL200'!K92)</f>
        <v/>
      </c>
      <c r="AF3591">
        <f t="shared" si="353"/>
        <v>0</v>
      </c>
      <c r="AG3591" t="str">
        <f t="shared" si="354"/>
        <v/>
      </c>
      <c r="AH3591" t="str">
        <f t="shared" si="355"/>
        <v/>
      </c>
      <c r="AI3591">
        <f t="shared" si="356"/>
        <v>0</v>
      </c>
      <c r="AJ3591">
        <f t="shared" si="357"/>
        <v>0</v>
      </c>
      <c r="AK3591">
        <v>0</v>
      </c>
      <c r="AL3591" t="str">
        <f>IF(AA3591="","",IFERROR(IF(ISNUMBER('Procyfloc AL200'!D92),'Procyfloc AL200'!D92,IF(ISNUMBER(SEARCH("12",'Procyfloc AL200'!D92)),EDATE(AB3591,12),IF(ISNUMBER(SEARCH("6",'Procyfloc AL200'!D92)),EDATE(AB3591,6),IF(ISNUMBER(SEARCH("3",'Procyfloc AL200'!D92)),EDATE(AB3591,3),DATEVALUE('Procyfloc AL200'!D92))))),""))</f>
        <v/>
      </c>
      <c r="AM3591" t="str">
        <f t="shared" ca="1" si="358"/>
        <v/>
      </c>
    </row>
    <row r="3592" spans="27:39" x14ac:dyDescent="0.3">
      <c r="AA3592" t="str">
        <f>IF(COUNTA('Procyfloc AL200'!A93,'Procyfloc AL200'!B93,'Procyfloc AL200'!C93)&gt;0,"AL200","")</f>
        <v/>
      </c>
      <c r="AB3592" t="str">
        <f>IFERROR(IF(ISNUMBER('Procyfloc AL200'!A93),'Procyfloc AL200'!A93,DATEVALUE('Procyfloc AL200'!A93)),"")</f>
        <v/>
      </c>
      <c r="AC3592" t="str">
        <f>IF(AA3592="","",'Procyfloc AL200'!B93)</f>
        <v/>
      </c>
      <c r="AD3592" t="str">
        <f>IF(AA3592="","",IFERROR(1*'Procyfloc AL200'!C93,IFERROR(_xludf.NUMBERVALUE('Procyfloc AL200'!C93,".",","),IFERROR(_xludf.NUMBERVALUE('Procyfloc AL200'!C93,",","."),0))))</f>
        <v/>
      </c>
      <c r="AE3592" t="str">
        <f>IF(AA3592="","",'Procyfloc AL200'!K93)</f>
        <v/>
      </c>
      <c r="AF3592">
        <f t="shared" si="353"/>
        <v>0</v>
      </c>
      <c r="AG3592" t="str">
        <f t="shared" si="354"/>
        <v/>
      </c>
      <c r="AH3592" t="str">
        <f t="shared" si="355"/>
        <v/>
      </c>
      <c r="AI3592">
        <f t="shared" si="356"/>
        <v>0</v>
      </c>
      <c r="AJ3592">
        <f t="shared" si="357"/>
        <v>0</v>
      </c>
      <c r="AK3592">
        <v>0</v>
      </c>
      <c r="AL3592" t="str">
        <f>IF(AA3592="","",IFERROR(IF(ISNUMBER('Procyfloc AL200'!D93),'Procyfloc AL200'!D93,IF(ISNUMBER(SEARCH("12",'Procyfloc AL200'!D93)),EDATE(AB3592,12),IF(ISNUMBER(SEARCH("6",'Procyfloc AL200'!D93)),EDATE(AB3592,6),IF(ISNUMBER(SEARCH("3",'Procyfloc AL200'!D93)),EDATE(AB3592,3),DATEVALUE('Procyfloc AL200'!D93))))),""))</f>
        <v/>
      </c>
      <c r="AM3592" t="str">
        <f t="shared" ca="1" si="358"/>
        <v/>
      </c>
    </row>
    <row r="3593" spans="27:39" x14ac:dyDescent="0.3">
      <c r="AA3593" t="str">
        <f>IF(COUNTA('Procyfloc AL200'!A94,'Procyfloc AL200'!B94,'Procyfloc AL200'!C94)&gt;0,"AL200","")</f>
        <v/>
      </c>
      <c r="AB3593" t="str">
        <f>IFERROR(IF(ISNUMBER('Procyfloc AL200'!A94),'Procyfloc AL200'!A94,DATEVALUE('Procyfloc AL200'!A94)),"")</f>
        <v/>
      </c>
      <c r="AC3593" t="str">
        <f>IF(AA3593="","",'Procyfloc AL200'!B94)</f>
        <v/>
      </c>
      <c r="AD3593" t="str">
        <f>IF(AA3593="","",IFERROR(1*'Procyfloc AL200'!C94,IFERROR(_xludf.NUMBERVALUE('Procyfloc AL200'!C94,".",","),IFERROR(_xludf.NUMBERVALUE('Procyfloc AL200'!C94,",","."),0))))</f>
        <v/>
      </c>
      <c r="AE3593" t="str">
        <f>IF(AA3593="","",'Procyfloc AL200'!K94)</f>
        <v/>
      </c>
      <c r="AF3593">
        <f t="shared" si="353"/>
        <v>0</v>
      </c>
      <c r="AG3593" t="str">
        <f t="shared" si="354"/>
        <v/>
      </c>
      <c r="AH3593" t="str">
        <f t="shared" si="355"/>
        <v/>
      </c>
      <c r="AI3593">
        <f t="shared" si="356"/>
        <v>0</v>
      </c>
      <c r="AJ3593">
        <f t="shared" si="357"/>
        <v>0</v>
      </c>
      <c r="AK3593">
        <v>0</v>
      </c>
      <c r="AL3593" t="str">
        <f>IF(AA3593="","",IFERROR(IF(ISNUMBER('Procyfloc AL200'!D94),'Procyfloc AL200'!D94,IF(ISNUMBER(SEARCH("12",'Procyfloc AL200'!D94)),EDATE(AB3593,12),IF(ISNUMBER(SEARCH("6",'Procyfloc AL200'!D94)),EDATE(AB3593,6),IF(ISNUMBER(SEARCH("3",'Procyfloc AL200'!D94)),EDATE(AB3593,3),DATEVALUE('Procyfloc AL200'!D94))))),""))</f>
        <v/>
      </c>
      <c r="AM3593" t="str">
        <f t="shared" ca="1" si="358"/>
        <v/>
      </c>
    </row>
    <row r="3594" spans="27:39" x14ac:dyDescent="0.3">
      <c r="AA3594" t="str">
        <f>IF(COUNTA('Procyfloc AL200'!A95,'Procyfloc AL200'!B95,'Procyfloc AL200'!C95)&gt;0,"AL200","")</f>
        <v/>
      </c>
      <c r="AB3594" t="str">
        <f>IFERROR(IF(ISNUMBER('Procyfloc AL200'!A95),'Procyfloc AL200'!A95,DATEVALUE('Procyfloc AL200'!A95)),"")</f>
        <v/>
      </c>
      <c r="AC3594" t="str">
        <f>IF(AA3594="","",'Procyfloc AL200'!B95)</f>
        <v/>
      </c>
      <c r="AD3594" t="str">
        <f>IF(AA3594="","",IFERROR(1*'Procyfloc AL200'!C95,IFERROR(_xludf.NUMBERVALUE('Procyfloc AL200'!C95,".",","),IFERROR(_xludf.NUMBERVALUE('Procyfloc AL200'!C95,",","."),0))))</f>
        <v/>
      </c>
      <c r="AE3594" t="str">
        <f>IF(AA3594="","",'Procyfloc AL200'!K95)</f>
        <v/>
      </c>
      <c r="AF3594">
        <f t="shared" si="353"/>
        <v>0</v>
      </c>
      <c r="AG3594" t="str">
        <f t="shared" si="354"/>
        <v/>
      </c>
      <c r="AH3594" t="str">
        <f t="shared" si="355"/>
        <v/>
      </c>
      <c r="AI3594">
        <f t="shared" si="356"/>
        <v>0</v>
      </c>
      <c r="AJ3594">
        <f t="shared" si="357"/>
        <v>0</v>
      </c>
      <c r="AK3594">
        <v>0</v>
      </c>
      <c r="AL3594" t="str">
        <f>IF(AA3594="","",IFERROR(IF(ISNUMBER('Procyfloc AL200'!D95),'Procyfloc AL200'!D95,IF(ISNUMBER(SEARCH("12",'Procyfloc AL200'!D95)),EDATE(AB3594,12),IF(ISNUMBER(SEARCH("6",'Procyfloc AL200'!D95)),EDATE(AB3594,6),IF(ISNUMBER(SEARCH("3",'Procyfloc AL200'!D95)),EDATE(AB3594,3),DATEVALUE('Procyfloc AL200'!D95))))),""))</f>
        <v/>
      </c>
      <c r="AM3594" t="str">
        <f t="shared" ca="1" si="358"/>
        <v/>
      </c>
    </row>
    <row r="3595" spans="27:39" x14ac:dyDescent="0.3">
      <c r="AA3595" t="str">
        <f>IF(COUNTA('Procyfloc AL200'!A96,'Procyfloc AL200'!B96,'Procyfloc AL200'!C96)&gt;0,"AL200","")</f>
        <v/>
      </c>
      <c r="AB3595" t="str">
        <f>IFERROR(IF(ISNUMBER('Procyfloc AL200'!A96),'Procyfloc AL200'!A96,DATEVALUE('Procyfloc AL200'!A96)),"")</f>
        <v/>
      </c>
      <c r="AC3595" t="str">
        <f>IF(AA3595="","",'Procyfloc AL200'!B96)</f>
        <v/>
      </c>
      <c r="AD3595" t="str">
        <f>IF(AA3595="","",IFERROR(1*'Procyfloc AL200'!C96,IFERROR(_xludf.NUMBERVALUE('Procyfloc AL200'!C96,".",","),IFERROR(_xludf.NUMBERVALUE('Procyfloc AL200'!C96,",","."),0))))</f>
        <v/>
      </c>
      <c r="AE3595" t="str">
        <f>IF(AA3595="","",'Procyfloc AL200'!K96)</f>
        <v/>
      </c>
      <c r="AF3595">
        <f t="shared" si="353"/>
        <v>0</v>
      </c>
      <c r="AG3595" t="str">
        <f t="shared" si="354"/>
        <v/>
      </c>
      <c r="AH3595" t="str">
        <f t="shared" si="355"/>
        <v/>
      </c>
      <c r="AI3595">
        <f t="shared" si="356"/>
        <v>0</v>
      </c>
      <c r="AJ3595">
        <f t="shared" si="357"/>
        <v>0</v>
      </c>
      <c r="AK3595">
        <v>0</v>
      </c>
      <c r="AL3595" t="str">
        <f>IF(AA3595="","",IFERROR(IF(ISNUMBER('Procyfloc AL200'!D96),'Procyfloc AL200'!D96,IF(ISNUMBER(SEARCH("12",'Procyfloc AL200'!D96)),EDATE(AB3595,12),IF(ISNUMBER(SEARCH("6",'Procyfloc AL200'!D96)),EDATE(AB3595,6),IF(ISNUMBER(SEARCH("3",'Procyfloc AL200'!D96)),EDATE(AB3595,3),DATEVALUE('Procyfloc AL200'!D96))))),""))</f>
        <v/>
      </c>
      <c r="AM3595" t="str">
        <f t="shared" ca="1" si="358"/>
        <v/>
      </c>
    </row>
    <row r="3596" spans="27:39" x14ac:dyDescent="0.3">
      <c r="AA3596" t="str">
        <f>IF(COUNTA('Procyfloc AL200'!A97,'Procyfloc AL200'!B97,'Procyfloc AL200'!C97)&gt;0,"AL200","")</f>
        <v/>
      </c>
      <c r="AB3596" t="str">
        <f>IFERROR(IF(ISNUMBER('Procyfloc AL200'!A97),'Procyfloc AL200'!A97,DATEVALUE('Procyfloc AL200'!A97)),"")</f>
        <v/>
      </c>
      <c r="AC3596" t="str">
        <f>IF(AA3596="","",'Procyfloc AL200'!B97)</f>
        <v/>
      </c>
      <c r="AD3596" t="str">
        <f>IF(AA3596="","",IFERROR(1*'Procyfloc AL200'!C97,IFERROR(_xludf.NUMBERVALUE('Procyfloc AL200'!C97,".",","),IFERROR(_xludf.NUMBERVALUE('Procyfloc AL200'!C97,",","."),0))))</f>
        <v/>
      </c>
      <c r="AE3596" t="str">
        <f>IF(AA3596="","",'Procyfloc AL200'!K97)</f>
        <v/>
      </c>
      <c r="AF3596">
        <f t="shared" si="353"/>
        <v>0</v>
      </c>
      <c r="AG3596" t="str">
        <f t="shared" si="354"/>
        <v/>
      </c>
      <c r="AH3596" t="str">
        <f t="shared" si="355"/>
        <v/>
      </c>
      <c r="AI3596">
        <f t="shared" si="356"/>
        <v>0</v>
      </c>
      <c r="AJ3596">
        <f t="shared" si="357"/>
        <v>0</v>
      </c>
      <c r="AK3596">
        <v>0</v>
      </c>
      <c r="AL3596" t="str">
        <f>IF(AA3596="","",IFERROR(IF(ISNUMBER('Procyfloc AL200'!D97),'Procyfloc AL200'!D97,IF(ISNUMBER(SEARCH("12",'Procyfloc AL200'!D97)),EDATE(AB3596,12),IF(ISNUMBER(SEARCH("6",'Procyfloc AL200'!D97)),EDATE(AB3596,6),IF(ISNUMBER(SEARCH("3",'Procyfloc AL200'!D97)),EDATE(AB3596,3),DATEVALUE('Procyfloc AL200'!D97))))),""))</f>
        <v/>
      </c>
      <c r="AM3596" t="str">
        <f t="shared" ca="1" si="358"/>
        <v/>
      </c>
    </row>
    <row r="3597" spans="27:39" x14ac:dyDescent="0.3">
      <c r="AA3597" t="str">
        <f>IF(COUNTA('Procyfloc AL200'!A98,'Procyfloc AL200'!B98,'Procyfloc AL200'!C98)&gt;0,"AL200","")</f>
        <v/>
      </c>
      <c r="AB3597" t="str">
        <f>IFERROR(IF(ISNUMBER('Procyfloc AL200'!A98),'Procyfloc AL200'!A98,DATEVALUE('Procyfloc AL200'!A98)),"")</f>
        <v/>
      </c>
      <c r="AC3597" t="str">
        <f>IF(AA3597="","",'Procyfloc AL200'!B98)</f>
        <v/>
      </c>
      <c r="AD3597" t="str">
        <f>IF(AA3597="","",IFERROR(1*'Procyfloc AL200'!C98,IFERROR(_xludf.NUMBERVALUE('Procyfloc AL200'!C98,".",","),IFERROR(_xludf.NUMBERVALUE('Procyfloc AL200'!C98,",","."),0))))</f>
        <v/>
      </c>
      <c r="AE3597" t="str">
        <f>IF(AA3597="","",'Procyfloc AL200'!K98)</f>
        <v/>
      </c>
      <c r="AF3597">
        <f t="shared" si="353"/>
        <v>0</v>
      </c>
      <c r="AG3597" t="str">
        <f t="shared" si="354"/>
        <v/>
      </c>
      <c r="AH3597" t="str">
        <f t="shared" si="355"/>
        <v/>
      </c>
      <c r="AI3597">
        <f t="shared" si="356"/>
        <v>0</v>
      </c>
      <c r="AJ3597">
        <f t="shared" si="357"/>
        <v>0</v>
      </c>
      <c r="AK3597">
        <v>0</v>
      </c>
      <c r="AL3597" t="str">
        <f>IF(AA3597="","",IFERROR(IF(ISNUMBER('Procyfloc AL200'!D98),'Procyfloc AL200'!D98,IF(ISNUMBER(SEARCH("12",'Procyfloc AL200'!D98)),EDATE(AB3597,12),IF(ISNUMBER(SEARCH("6",'Procyfloc AL200'!D98)),EDATE(AB3597,6),IF(ISNUMBER(SEARCH("3",'Procyfloc AL200'!D98)),EDATE(AB3597,3),DATEVALUE('Procyfloc AL200'!D98))))),""))</f>
        <v/>
      </c>
      <c r="AM3597" t="str">
        <f t="shared" ca="1" si="358"/>
        <v/>
      </c>
    </row>
    <row r="3598" spans="27:39" x14ac:dyDescent="0.3">
      <c r="AA3598" t="str">
        <f>IF(COUNTA('Procyfloc AL200'!A99,'Procyfloc AL200'!B99,'Procyfloc AL200'!C99)&gt;0,"AL200","")</f>
        <v/>
      </c>
      <c r="AB3598" t="str">
        <f>IFERROR(IF(ISNUMBER('Procyfloc AL200'!A99),'Procyfloc AL200'!A99,DATEVALUE('Procyfloc AL200'!A99)),"")</f>
        <v/>
      </c>
      <c r="AC3598" t="str">
        <f>IF(AA3598="","",'Procyfloc AL200'!B99)</f>
        <v/>
      </c>
      <c r="AD3598" t="str">
        <f>IF(AA3598="","",IFERROR(1*'Procyfloc AL200'!C99,IFERROR(_xludf.NUMBERVALUE('Procyfloc AL200'!C99,".",","),IFERROR(_xludf.NUMBERVALUE('Procyfloc AL200'!C99,",","."),0))))</f>
        <v/>
      </c>
      <c r="AE3598" t="str">
        <f>IF(AA3598="","",'Procyfloc AL200'!K99)</f>
        <v/>
      </c>
      <c r="AF3598">
        <f t="shared" si="353"/>
        <v>0</v>
      </c>
      <c r="AG3598" t="str">
        <f t="shared" si="354"/>
        <v/>
      </c>
      <c r="AH3598" t="str">
        <f t="shared" si="355"/>
        <v/>
      </c>
      <c r="AI3598">
        <f t="shared" si="356"/>
        <v>0</v>
      </c>
      <c r="AJ3598">
        <f t="shared" si="357"/>
        <v>0</v>
      </c>
      <c r="AK3598">
        <v>0</v>
      </c>
      <c r="AL3598" t="str">
        <f>IF(AA3598="","",IFERROR(IF(ISNUMBER('Procyfloc AL200'!D99),'Procyfloc AL200'!D99,IF(ISNUMBER(SEARCH("12",'Procyfloc AL200'!D99)),EDATE(AB3598,12),IF(ISNUMBER(SEARCH("6",'Procyfloc AL200'!D99)),EDATE(AB3598,6),IF(ISNUMBER(SEARCH("3",'Procyfloc AL200'!D99)),EDATE(AB3598,3),DATEVALUE('Procyfloc AL200'!D99))))),""))</f>
        <v/>
      </c>
      <c r="AM3598" t="str">
        <f t="shared" ca="1" si="358"/>
        <v/>
      </c>
    </row>
    <row r="3599" spans="27:39" x14ac:dyDescent="0.3">
      <c r="AA3599" t="str">
        <f>IF(COUNTA('Procyfloc AL200'!A100,'Procyfloc AL200'!B100,'Procyfloc AL200'!C100)&gt;0,"AL200","")</f>
        <v/>
      </c>
      <c r="AB3599" t="str">
        <f>IFERROR(IF(ISNUMBER('Procyfloc AL200'!A100),'Procyfloc AL200'!A100,DATEVALUE('Procyfloc AL200'!A100)),"")</f>
        <v/>
      </c>
      <c r="AC3599" t="str">
        <f>IF(AA3599="","",'Procyfloc AL200'!B100)</f>
        <v/>
      </c>
      <c r="AD3599" t="str">
        <f>IF(AA3599="","",IFERROR(1*'Procyfloc AL200'!C100,IFERROR(_xludf.NUMBERVALUE('Procyfloc AL200'!C100,".",","),IFERROR(_xludf.NUMBERVALUE('Procyfloc AL200'!C100,",","."),0))))</f>
        <v/>
      </c>
      <c r="AE3599" t="str">
        <f>IF(AA3599="","",'Procyfloc AL200'!K100)</f>
        <v/>
      </c>
      <c r="AF3599">
        <f t="shared" si="353"/>
        <v>0</v>
      </c>
      <c r="AG3599" t="str">
        <f t="shared" si="354"/>
        <v/>
      </c>
      <c r="AH3599" t="str">
        <f t="shared" si="355"/>
        <v/>
      </c>
      <c r="AI3599">
        <f t="shared" si="356"/>
        <v>0</v>
      </c>
      <c r="AJ3599">
        <f t="shared" si="357"/>
        <v>0</v>
      </c>
      <c r="AK3599">
        <v>0</v>
      </c>
      <c r="AL3599" t="str">
        <f>IF(AA3599="","",IFERROR(IF(ISNUMBER('Procyfloc AL200'!D100),'Procyfloc AL200'!D100,IF(ISNUMBER(SEARCH("12",'Procyfloc AL200'!D100)),EDATE(AB3599,12),IF(ISNUMBER(SEARCH("6",'Procyfloc AL200'!D100)),EDATE(AB3599,6),IF(ISNUMBER(SEARCH("3",'Procyfloc AL200'!D100)),EDATE(AB3599,3),DATEVALUE('Procyfloc AL200'!D100))))),""))</f>
        <v/>
      </c>
      <c r="AM3599" t="str">
        <f t="shared" ca="1" si="358"/>
        <v/>
      </c>
    </row>
    <row r="3600" spans="27:39" x14ac:dyDescent="0.3">
      <c r="AA3600" t="str">
        <f>IF(COUNTA('Procyfloc AL200'!A101,'Procyfloc AL200'!B101,'Procyfloc AL200'!C101)&gt;0,"AL200","")</f>
        <v/>
      </c>
      <c r="AB3600" t="str">
        <f>IFERROR(IF(ISNUMBER('Procyfloc AL200'!A101),'Procyfloc AL200'!A101,DATEVALUE('Procyfloc AL200'!A101)),"")</f>
        <v/>
      </c>
      <c r="AC3600" t="str">
        <f>IF(AA3600="","",'Procyfloc AL200'!B101)</f>
        <v/>
      </c>
      <c r="AD3600" t="str">
        <f>IF(AA3600="","",IFERROR(1*'Procyfloc AL200'!C101,IFERROR(_xludf.NUMBERVALUE('Procyfloc AL200'!C101,".",","),IFERROR(_xludf.NUMBERVALUE('Procyfloc AL200'!C101,",","."),0))))</f>
        <v/>
      </c>
      <c r="AE3600" t="str">
        <f>IF(AA3600="","",'Procyfloc AL200'!K101)</f>
        <v/>
      </c>
      <c r="AF3600">
        <f t="shared" si="353"/>
        <v>0</v>
      </c>
      <c r="AG3600" t="str">
        <f t="shared" si="354"/>
        <v/>
      </c>
      <c r="AH3600" t="str">
        <f t="shared" si="355"/>
        <v/>
      </c>
      <c r="AI3600">
        <f t="shared" si="356"/>
        <v>0</v>
      </c>
      <c r="AJ3600">
        <f t="shared" si="357"/>
        <v>0</v>
      </c>
      <c r="AK3600">
        <v>0</v>
      </c>
      <c r="AL3600" t="str">
        <f>IF(AA3600="","",IFERROR(IF(ISNUMBER('Procyfloc AL200'!D101),'Procyfloc AL200'!D101,IF(ISNUMBER(SEARCH("12",'Procyfloc AL200'!D101)),EDATE(AB3600,12),IF(ISNUMBER(SEARCH("6",'Procyfloc AL200'!D101)),EDATE(AB3600,6),IF(ISNUMBER(SEARCH("3",'Procyfloc AL200'!D101)),EDATE(AB3600,3),DATEVALUE('Procyfloc AL200'!D101))))),""))</f>
        <v/>
      </c>
      <c r="AM3600" t="str">
        <f t="shared" ca="1" si="358"/>
        <v/>
      </c>
    </row>
    <row r="3601" spans="27:39" x14ac:dyDescent="0.3">
      <c r="AA3601" t="str">
        <f>IF(COUNTA('Procyfloc AL200'!A102,'Procyfloc AL200'!B102,'Procyfloc AL200'!C102)&gt;0,"AL200","")</f>
        <v/>
      </c>
      <c r="AB3601" t="str">
        <f>IFERROR(IF(ISNUMBER('Procyfloc AL200'!A102),'Procyfloc AL200'!A102,DATEVALUE('Procyfloc AL200'!A102)),"")</f>
        <v/>
      </c>
      <c r="AC3601" t="str">
        <f>IF(AA3601="","",'Procyfloc AL200'!B102)</f>
        <v/>
      </c>
      <c r="AD3601" t="str">
        <f>IF(AA3601="","",IFERROR(1*'Procyfloc AL200'!C102,IFERROR(_xludf.NUMBERVALUE('Procyfloc AL200'!C102,".",","),IFERROR(_xludf.NUMBERVALUE('Procyfloc AL200'!C102,",","."),0))))</f>
        <v/>
      </c>
      <c r="AE3601" t="str">
        <f>IF(AA3601="","",'Procyfloc AL200'!K102)</f>
        <v/>
      </c>
      <c r="AF3601">
        <f t="shared" si="353"/>
        <v>0</v>
      </c>
      <c r="AG3601" t="str">
        <f t="shared" si="354"/>
        <v/>
      </c>
      <c r="AH3601" t="str">
        <f t="shared" si="355"/>
        <v/>
      </c>
      <c r="AI3601">
        <f t="shared" si="356"/>
        <v>0</v>
      </c>
      <c r="AJ3601">
        <f t="shared" si="357"/>
        <v>0</v>
      </c>
      <c r="AK3601">
        <v>0</v>
      </c>
      <c r="AL3601" t="str">
        <f>IF(AA3601="","",IFERROR(IF(ISNUMBER('Procyfloc AL200'!D102),'Procyfloc AL200'!D102,IF(ISNUMBER(SEARCH("12",'Procyfloc AL200'!D102)),EDATE(AB3601,12),IF(ISNUMBER(SEARCH("6",'Procyfloc AL200'!D102)),EDATE(AB3601,6),IF(ISNUMBER(SEARCH("3",'Procyfloc AL200'!D102)),EDATE(AB3601,3),DATEVALUE('Procyfloc AL200'!D102))))),""))</f>
        <v/>
      </c>
      <c r="AM3601" t="str">
        <f t="shared" ca="1" si="358"/>
        <v/>
      </c>
    </row>
    <row r="3602" spans="27:39" x14ac:dyDescent="0.3">
      <c r="AA3602" t="str">
        <f>IF(COUNTA('Procyfloc AL200'!A103,'Procyfloc AL200'!B103,'Procyfloc AL200'!C103)&gt;0,"AL200","")</f>
        <v/>
      </c>
      <c r="AB3602" t="str">
        <f>IFERROR(IF(ISNUMBER('Procyfloc AL200'!A103),'Procyfloc AL200'!A103,DATEVALUE('Procyfloc AL200'!A103)),"")</f>
        <v/>
      </c>
      <c r="AC3602" t="str">
        <f>IF(AA3602="","",'Procyfloc AL200'!B103)</f>
        <v/>
      </c>
      <c r="AD3602" t="str">
        <f>IF(AA3602="","",IFERROR(1*'Procyfloc AL200'!C103,IFERROR(_xludf.NUMBERVALUE('Procyfloc AL200'!C103,".",","),IFERROR(_xludf.NUMBERVALUE('Procyfloc AL200'!C103,",","."),0))))</f>
        <v/>
      </c>
      <c r="AE3602" t="str">
        <f>IF(AA3602="","",'Procyfloc AL200'!K103)</f>
        <v/>
      </c>
      <c r="AF3602">
        <f t="shared" si="353"/>
        <v>0</v>
      </c>
      <c r="AG3602" t="str">
        <f t="shared" si="354"/>
        <v/>
      </c>
      <c r="AH3602" t="str">
        <f t="shared" si="355"/>
        <v/>
      </c>
      <c r="AI3602">
        <f t="shared" si="356"/>
        <v>0</v>
      </c>
      <c r="AJ3602">
        <f t="shared" si="357"/>
        <v>0</v>
      </c>
      <c r="AK3602">
        <v>0</v>
      </c>
      <c r="AL3602" t="str">
        <f>IF(AA3602="","",IFERROR(IF(ISNUMBER('Procyfloc AL200'!D103),'Procyfloc AL200'!D103,IF(ISNUMBER(SEARCH("12",'Procyfloc AL200'!D103)),EDATE(AB3602,12),IF(ISNUMBER(SEARCH("6",'Procyfloc AL200'!D103)),EDATE(AB3602,6),IF(ISNUMBER(SEARCH("3",'Procyfloc AL200'!D103)),EDATE(AB3602,3),DATEVALUE('Procyfloc AL200'!D103))))),""))</f>
        <v/>
      </c>
      <c r="AM3602" t="str">
        <f t="shared" ca="1" si="358"/>
        <v/>
      </c>
    </row>
    <row r="3603" spans="27:39" x14ac:dyDescent="0.3">
      <c r="AA3603" t="str">
        <f>IF(COUNTA('Procyfloc AL200'!A104,'Procyfloc AL200'!B104,'Procyfloc AL200'!C104)&gt;0,"AL200","")</f>
        <v/>
      </c>
      <c r="AB3603" t="str">
        <f>IFERROR(IF(ISNUMBER('Procyfloc AL200'!A104),'Procyfloc AL200'!A104,DATEVALUE('Procyfloc AL200'!A104)),"")</f>
        <v/>
      </c>
      <c r="AC3603" t="str">
        <f>IF(AA3603="","",'Procyfloc AL200'!B104)</f>
        <v/>
      </c>
      <c r="AD3603" t="str">
        <f>IF(AA3603="","",IFERROR(1*'Procyfloc AL200'!C104,IFERROR(_xludf.NUMBERVALUE('Procyfloc AL200'!C104,".",","),IFERROR(_xludf.NUMBERVALUE('Procyfloc AL200'!C104,",","."),0))))</f>
        <v/>
      </c>
      <c r="AE3603" t="str">
        <f>IF(AA3603="","",'Procyfloc AL200'!K104)</f>
        <v/>
      </c>
      <c r="AF3603">
        <f t="shared" si="353"/>
        <v>0</v>
      </c>
      <c r="AG3603" t="str">
        <f t="shared" si="354"/>
        <v/>
      </c>
      <c r="AH3603" t="str">
        <f t="shared" si="355"/>
        <v/>
      </c>
      <c r="AI3603">
        <f t="shared" si="356"/>
        <v>0</v>
      </c>
      <c r="AJ3603">
        <f t="shared" si="357"/>
        <v>0</v>
      </c>
      <c r="AK3603">
        <v>0</v>
      </c>
      <c r="AL3603" t="str">
        <f>IF(AA3603="","",IFERROR(IF(ISNUMBER('Procyfloc AL200'!D104),'Procyfloc AL200'!D104,IF(ISNUMBER(SEARCH("12",'Procyfloc AL200'!D104)),EDATE(AB3603,12),IF(ISNUMBER(SEARCH("6",'Procyfloc AL200'!D104)),EDATE(AB3603,6),IF(ISNUMBER(SEARCH("3",'Procyfloc AL200'!D104)),EDATE(AB3603,3),DATEVALUE('Procyfloc AL200'!D104))))),""))</f>
        <v/>
      </c>
      <c r="AM3603" t="str">
        <f t="shared" ca="1" si="358"/>
        <v/>
      </c>
    </row>
    <row r="3604" spans="27:39" x14ac:dyDescent="0.3">
      <c r="AA3604" t="str">
        <f>IF(COUNTA('Procyfloc AL200'!A105,'Procyfloc AL200'!B105,'Procyfloc AL200'!C105)&gt;0,"AL200","")</f>
        <v/>
      </c>
      <c r="AB3604" t="str">
        <f>IFERROR(IF(ISNUMBER('Procyfloc AL200'!A105),'Procyfloc AL200'!A105,DATEVALUE('Procyfloc AL200'!A105)),"")</f>
        <v/>
      </c>
      <c r="AC3604" t="str">
        <f>IF(AA3604="","",'Procyfloc AL200'!B105)</f>
        <v/>
      </c>
      <c r="AD3604" t="str">
        <f>IF(AA3604="","",IFERROR(1*'Procyfloc AL200'!C105,IFERROR(_xludf.NUMBERVALUE('Procyfloc AL200'!C105,".",","),IFERROR(_xludf.NUMBERVALUE('Procyfloc AL200'!C105,",","."),0))))</f>
        <v/>
      </c>
      <c r="AE3604" t="str">
        <f>IF(AA3604="","",'Procyfloc AL200'!K105)</f>
        <v/>
      </c>
      <c r="AF3604">
        <f t="shared" si="353"/>
        <v>0</v>
      </c>
      <c r="AG3604" t="str">
        <f t="shared" si="354"/>
        <v/>
      </c>
      <c r="AH3604" t="str">
        <f t="shared" si="355"/>
        <v/>
      </c>
      <c r="AI3604">
        <f t="shared" si="356"/>
        <v>0</v>
      </c>
      <c r="AJ3604">
        <f t="shared" si="357"/>
        <v>0</v>
      </c>
      <c r="AK3604">
        <v>0</v>
      </c>
      <c r="AL3604" t="str">
        <f>IF(AA3604="","",IFERROR(IF(ISNUMBER('Procyfloc AL200'!D105),'Procyfloc AL200'!D105,IF(ISNUMBER(SEARCH("12",'Procyfloc AL200'!D105)),EDATE(AB3604,12),IF(ISNUMBER(SEARCH("6",'Procyfloc AL200'!D105)),EDATE(AB3604,6),IF(ISNUMBER(SEARCH("3",'Procyfloc AL200'!D105)),EDATE(AB3604,3),DATEVALUE('Procyfloc AL200'!D105))))),""))</f>
        <v/>
      </c>
      <c r="AM3604" t="str">
        <f t="shared" ca="1" si="358"/>
        <v/>
      </c>
    </row>
    <row r="3605" spans="27:39" x14ac:dyDescent="0.3">
      <c r="AA3605" t="str">
        <f>IF(COUNTA('Procyfloc AL200'!A106,'Procyfloc AL200'!B106,'Procyfloc AL200'!C106)&gt;0,"AL200","")</f>
        <v/>
      </c>
      <c r="AB3605" t="str">
        <f>IFERROR(IF(ISNUMBER('Procyfloc AL200'!A106),'Procyfloc AL200'!A106,DATEVALUE('Procyfloc AL200'!A106)),"")</f>
        <v/>
      </c>
      <c r="AC3605" t="str">
        <f>IF(AA3605="","",'Procyfloc AL200'!B106)</f>
        <v/>
      </c>
      <c r="AD3605" t="str">
        <f>IF(AA3605="","",IFERROR(1*'Procyfloc AL200'!C106,IFERROR(_xludf.NUMBERVALUE('Procyfloc AL200'!C106,".",","),IFERROR(_xludf.NUMBERVALUE('Procyfloc AL200'!C106,",","."),0))))</f>
        <v/>
      </c>
      <c r="AE3605" t="str">
        <f>IF(AA3605="","",'Procyfloc AL200'!K106)</f>
        <v/>
      </c>
      <c r="AF3605">
        <f t="shared" si="353"/>
        <v>0</v>
      </c>
      <c r="AG3605" t="str">
        <f t="shared" si="354"/>
        <v/>
      </c>
      <c r="AH3605" t="str">
        <f t="shared" si="355"/>
        <v/>
      </c>
      <c r="AI3605">
        <f t="shared" si="356"/>
        <v>0</v>
      </c>
      <c r="AJ3605">
        <f t="shared" si="357"/>
        <v>0</v>
      </c>
      <c r="AK3605">
        <v>0</v>
      </c>
      <c r="AL3605" t="str">
        <f>IF(AA3605="","",IFERROR(IF(ISNUMBER('Procyfloc AL200'!D106),'Procyfloc AL200'!D106,IF(ISNUMBER(SEARCH("12",'Procyfloc AL200'!D106)),EDATE(AB3605,12),IF(ISNUMBER(SEARCH("6",'Procyfloc AL200'!D106)),EDATE(AB3605,6),IF(ISNUMBER(SEARCH("3",'Procyfloc AL200'!D106)),EDATE(AB3605,3),DATEVALUE('Procyfloc AL200'!D106))))),""))</f>
        <v/>
      </c>
      <c r="AM3605" t="str">
        <f t="shared" ca="1" si="358"/>
        <v/>
      </c>
    </row>
    <row r="3606" spans="27:39" x14ac:dyDescent="0.3">
      <c r="AA3606" t="str">
        <f>IF(COUNTA('Procyfloc AL200'!A107,'Procyfloc AL200'!B107,'Procyfloc AL200'!C107)&gt;0,"AL200","")</f>
        <v/>
      </c>
      <c r="AB3606" t="str">
        <f>IFERROR(IF(ISNUMBER('Procyfloc AL200'!A107),'Procyfloc AL200'!A107,DATEVALUE('Procyfloc AL200'!A107)),"")</f>
        <v/>
      </c>
      <c r="AC3606" t="str">
        <f>IF(AA3606="","",'Procyfloc AL200'!B107)</f>
        <v/>
      </c>
      <c r="AD3606" t="str">
        <f>IF(AA3606="","",IFERROR(1*'Procyfloc AL200'!C107,IFERROR(_xludf.NUMBERVALUE('Procyfloc AL200'!C107,".",","),IFERROR(_xludf.NUMBERVALUE('Procyfloc AL200'!C107,",","."),0))))</f>
        <v/>
      </c>
      <c r="AE3606" t="str">
        <f>IF(AA3606="","",'Procyfloc AL200'!K107)</f>
        <v/>
      </c>
      <c r="AF3606">
        <f t="shared" si="353"/>
        <v>0</v>
      </c>
      <c r="AG3606" t="str">
        <f t="shared" si="354"/>
        <v/>
      </c>
      <c r="AH3606" t="str">
        <f t="shared" si="355"/>
        <v/>
      </c>
      <c r="AI3606">
        <f t="shared" si="356"/>
        <v>0</v>
      </c>
      <c r="AJ3606">
        <f t="shared" si="357"/>
        <v>0</v>
      </c>
      <c r="AK3606">
        <v>0</v>
      </c>
      <c r="AL3606" t="str">
        <f>IF(AA3606="","",IFERROR(IF(ISNUMBER('Procyfloc AL200'!D107),'Procyfloc AL200'!D107,IF(ISNUMBER(SEARCH("12",'Procyfloc AL200'!D107)),EDATE(AB3606,12),IF(ISNUMBER(SEARCH("6",'Procyfloc AL200'!D107)),EDATE(AB3606,6),IF(ISNUMBER(SEARCH("3",'Procyfloc AL200'!D107)),EDATE(AB3606,3),DATEVALUE('Procyfloc AL200'!D107))))),""))</f>
        <v/>
      </c>
      <c r="AM3606" t="str">
        <f t="shared" ca="1" si="358"/>
        <v/>
      </c>
    </row>
    <row r="3607" spans="27:39" x14ac:dyDescent="0.3">
      <c r="AA3607" t="str">
        <f>IF(COUNTA('Procyfloc AL200'!A108,'Procyfloc AL200'!B108,'Procyfloc AL200'!C108)&gt;0,"AL200","")</f>
        <v/>
      </c>
      <c r="AB3607" t="str">
        <f>IFERROR(IF(ISNUMBER('Procyfloc AL200'!A108),'Procyfloc AL200'!A108,DATEVALUE('Procyfloc AL200'!A108)),"")</f>
        <v/>
      </c>
      <c r="AC3607" t="str">
        <f>IF(AA3607="","",'Procyfloc AL200'!B108)</f>
        <v/>
      </c>
      <c r="AD3607" t="str">
        <f>IF(AA3607="","",IFERROR(1*'Procyfloc AL200'!C108,IFERROR(_xludf.NUMBERVALUE('Procyfloc AL200'!C108,".",","),IFERROR(_xludf.NUMBERVALUE('Procyfloc AL200'!C108,",","."),0))))</f>
        <v/>
      </c>
      <c r="AE3607" t="str">
        <f>IF(AA3607="","",'Procyfloc AL200'!K108)</f>
        <v/>
      </c>
      <c r="AF3607">
        <f t="shared" si="353"/>
        <v>0</v>
      </c>
      <c r="AG3607" t="str">
        <f t="shared" si="354"/>
        <v/>
      </c>
      <c r="AH3607" t="str">
        <f t="shared" si="355"/>
        <v/>
      </c>
      <c r="AI3607">
        <f t="shared" si="356"/>
        <v>0</v>
      </c>
      <c r="AJ3607">
        <f t="shared" si="357"/>
        <v>0</v>
      </c>
      <c r="AK3607">
        <v>0</v>
      </c>
      <c r="AL3607" t="str">
        <f>IF(AA3607="","",IFERROR(IF(ISNUMBER('Procyfloc AL200'!D108),'Procyfloc AL200'!D108,IF(ISNUMBER(SEARCH("12",'Procyfloc AL200'!D108)),EDATE(AB3607,12),IF(ISNUMBER(SEARCH("6",'Procyfloc AL200'!D108)),EDATE(AB3607,6),IF(ISNUMBER(SEARCH("3",'Procyfloc AL200'!D108)),EDATE(AB3607,3),DATEVALUE('Procyfloc AL200'!D108))))),""))</f>
        <v/>
      </c>
      <c r="AM3607" t="str">
        <f t="shared" ca="1" si="358"/>
        <v/>
      </c>
    </row>
    <row r="3608" spans="27:39" x14ac:dyDescent="0.3">
      <c r="AA3608" t="str">
        <f>IF(COUNTA('Procyfloc AL200'!A109,'Procyfloc AL200'!B109,'Procyfloc AL200'!C109)&gt;0,"AL200","")</f>
        <v/>
      </c>
      <c r="AB3608" t="str">
        <f>IFERROR(IF(ISNUMBER('Procyfloc AL200'!A109),'Procyfloc AL200'!A109,DATEVALUE('Procyfloc AL200'!A109)),"")</f>
        <v/>
      </c>
      <c r="AC3608" t="str">
        <f>IF(AA3608="","",'Procyfloc AL200'!B109)</f>
        <v/>
      </c>
      <c r="AD3608" t="str">
        <f>IF(AA3608="","",IFERROR(1*'Procyfloc AL200'!C109,IFERROR(_xludf.NUMBERVALUE('Procyfloc AL200'!C109,".",","),IFERROR(_xludf.NUMBERVALUE('Procyfloc AL200'!C109,",","."),0))))</f>
        <v/>
      </c>
      <c r="AE3608" t="str">
        <f>IF(AA3608="","",'Procyfloc AL200'!K109)</f>
        <v/>
      </c>
      <c r="AF3608">
        <f t="shared" si="353"/>
        <v>0</v>
      </c>
      <c r="AG3608" t="str">
        <f t="shared" si="354"/>
        <v/>
      </c>
      <c r="AH3608" t="str">
        <f t="shared" si="355"/>
        <v/>
      </c>
      <c r="AI3608">
        <f t="shared" si="356"/>
        <v>0</v>
      </c>
      <c r="AJ3608">
        <f t="shared" si="357"/>
        <v>0</v>
      </c>
      <c r="AK3608">
        <v>0</v>
      </c>
      <c r="AL3608" t="str">
        <f>IF(AA3608="","",IFERROR(IF(ISNUMBER('Procyfloc AL200'!D109),'Procyfloc AL200'!D109,IF(ISNUMBER(SEARCH("12",'Procyfloc AL200'!D109)),EDATE(AB3608,12),IF(ISNUMBER(SEARCH("6",'Procyfloc AL200'!D109)),EDATE(AB3608,6),IF(ISNUMBER(SEARCH("3",'Procyfloc AL200'!D109)),EDATE(AB3608,3),DATEVALUE('Procyfloc AL200'!D109))))),""))</f>
        <v/>
      </c>
      <c r="AM3608" t="str">
        <f t="shared" ca="1" si="358"/>
        <v/>
      </c>
    </row>
    <row r="3609" spans="27:39" x14ac:dyDescent="0.3">
      <c r="AA3609" t="str">
        <f>IF(COUNTA('Procyfloc AL200'!A110,'Procyfloc AL200'!B110,'Procyfloc AL200'!C110)&gt;0,"AL200","")</f>
        <v/>
      </c>
      <c r="AB3609" t="str">
        <f>IFERROR(IF(ISNUMBER('Procyfloc AL200'!A110),'Procyfloc AL200'!A110,DATEVALUE('Procyfloc AL200'!A110)),"")</f>
        <v/>
      </c>
      <c r="AC3609" t="str">
        <f>IF(AA3609="","",'Procyfloc AL200'!B110)</f>
        <v/>
      </c>
      <c r="AD3609" t="str">
        <f>IF(AA3609="","",IFERROR(1*'Procyfloc AL200'!C110,IFERROR(_xludf.NUMBERVALUE('Procyfloc AL200'!C110,".",","),IFERROR(_xludf.NUMBERVALUE('Procyfloc AL200'!C110,",","."),0))))</f>
        <v/>
      </c>
      <c r="AE3609" t="str">
        <f>IF(AA3609="","",'Procyfloc AL200'!K110)</f>
        <v/>
      </c>
      <c r="AF3609">
        <f t="shared" si="353"/>
        <v>0</v>
      </c>
      <c r="AG3609" t="str">
        <f t="shared" si="354"/>
        <v/>
      </c>
      <c r="AH3609" t="str">
        <f t="shared" si="355"/>
        <v/>
      </c>
      <c r="AI3609">
        <f t="shared" si="356"/>
        <v>0</v>
      </c>
      <c r="AJ3609">
        <f t="shared" si="357"/>
        <v>0</v>
      </c>
      <c r="AK3609">
        <v>0</v>
      </c>
      <c r="AL3609" t="str">
        <f>IF(AA3609="","",IFERROR(IF(ISNUMBER('Procyfloc AL200'!D110),'Procyfloc AL200'!D110,IF(ISNUMBER(SEARCH("12",'Procyfloc AL200'!D110)),EDATE(AB3609,12),IF(ISNUMBER(SEARCH("6",'Procyfloc AL200'!D110)),EDATE(AB3609,6),IF(ISNUMBER(SEARCH("3",'Procyfloc AL200'!D110)),EDATE(AB3609,3),DATEVALUE('Procyfloc AL200'!D110))))),""))</f>
        <v/>
      </c>
      <c r="AM3609" t="str">
        <f t="shared" ca="1" si="358"/>
        <v/>
      </c>
    </row>
    <row r="3610" spans="27:39" x14ac:dyDescent="0.3">
      <c r="AA3610" t="str">
        <f>IF(COUNTA('Procyfloc AL200'!A111,'Procyfloc AL200'!B111,'Procyfloc AL200'!C111)&gt;0,"AL200","")</f>
        <v/>
      </c>
      <c r="AB3610" t="str">
        <f>IFERROR(IF(ISNUMBER('Procyfloc AL200'!A111),'Procyfloc AL200'!A111,DATEVALUE('Procyfloc AL200'!A111)),"")</f>
        <v/>
      </c>
      <c r="AC3610" t="str">
        <f>IF(AA3610="","",'Procyfloc AL200'!B111)</f>
        <v/>
      </c>
      <c r="AD3610" t="str">
        <f>IF(AA3610="","",IFERROR(1*'Procyfloc AL200'!C111,IFERROR(_xludf.NUMBERVALUE('Procyfloc AL200'!C111,".",","),IFERROR(_xludf.NUMBERVALUE('Procyfloc AL200'!C111,",","."),0))))</f>
        <v/>
      </c>
      <c r="AE3610" t="str">
        <f>IF(AA3610="","",'Procyfloc AL200'!K111)</f>
        <v/>
      </c>
      <c r="AF3610">
        <f t="shared" si="353"/>
        <v>0</v>
      </c>
      <c r="AG3610" t="str">
        <f t="shared" si="354"/>
        <v/>
      </c>
      <c r="AH3610" t="str">
        <f t="shared" si="355"/>
        <v/>
      </c>
      <c r="AI3610">
        <f t="shared" si="356"/>
        <v>0</v>
      </c>
      <c r="AJ3610">
        <f t="shared" si="357"/>
        <v>0</v>
      </c>
      <c r="AK3610">
        <v>0</v>
      </c>
      <c r="AL3610" t="str">
        <f>IF(AA3610="","",IFERROR(IF(ISNUMBER('Procyfloc AL200'!D111),'Procyfloc AL200'!D111,IF(ISNUMBER(SEARCH("12",'Procyfloc AL200'!D111)),EDATE(AB3610,12),IF(ISNUMBER(SEARCH("6",'Procyfloc AL200'!D111)),EDATE(AB3610,6),IF(ISNUMBER(SEARCH("3",'Procyfloc AL200'!D111)),EDATE(AB3610,3),DATEVALUE('Procyfloc AL200'!D111))))),""))</f>
        <v/>
      </c>
      <c r="AM3610" t="str">
        <f t="shared" ca="1" si="358"/>
        <v/>
      </c>
    </row>
    <row r="3611" spans="27:39" x14ac:dyDescent="0.3">
      <c r="AA3611" t="str">
        <f>IF(COUNTA('Procyfloc AL200'!A112,'Procyfloc AL200'!B112,'Procyfloc AL200'!C112)&gt;0,"AL200","")</f>
        <v/>
      </c>
      <c r="AB3611" t="str">
        <f>IFERROR(IF(ISNUMBER('Procyfloc AL200'!A112),'Procyfloc AL200'!A112,DATEVALUE('Procyfloc AL200'!A112)),"")</f>
        <v/>
      </c>
      <c r="AC3611" t="str">
        <f>IF(AA3611="","",'Procyfloc AL200'!B112)</f>
        <v/>
      </c>
      <c r="AD3611" t="str">
        <f>IF(AA3611="","",IFERROR(1*'Procyfloc AL200'!C112,IFERROR(_xludf.NUMBERVALUE('Procyfloc AL200'!C112,".",","),IFERROR(_xludf.NUMBERVALUE('Procyfloc AL200'!C112,",","."),0))))</f>
        <v/>
      </c>
      <c r="AE3611" t="str">
        <f>IF(AA3611="","",'Procyfloc AL200'!K112)</f>
        <v/>
      </c>
      <c r="AF3611">
        <f t="shared" si="353"/>
        <v>0</v>
      </c>
      <c r="AG3611" t="str">
        <f t="shared" si="354"/>
        <v/>
      </c>
      <c r="AH3611" t="str">
        <f t="shared" si="355"/>
        <v/>
      </c>
      <c r="AI3611">
        <f t="shared" si="356"/>
        <v>0</v>
      </c>
      <c r="AJ3611">
        <f t="shared" si="357"/>
        <v>0</v>
      </c>
      <c r="AK3611">
        <v>0</v>
      </c>
      <c r="AL3611" t="str">
        <f>IF(AA3611="","",IFERROR(IF(ISNUMBER('Procyfloc AL200'!D112),'Procyfloc AL200'!D112,IF(ISNUMBER(SEARCH("12",'Procyfloc AL200'!D112)),EDATE(AB3611,12),IF(ISNUMBER(SEARCH("6",'Procyfloc AL200'!D112)),EDATE(AB3611,6),IF(ISNUMBER(SEARCH("3",'Procyfloc AL200'!D112)),EDATE(AB3611,3),DATEVALUE('Procyfloc AL200'!D112))))),""))</f>
        <v/>
      </c>
      <c r="AM3611" t="str">
        <f t="shared" ca="1" si="358"/>
        <v/>
      </c>
    </row>
    <row r="3612" spans="27:39" x14ac:dyDescent="0.3">
      <c r="AA3612" t="str">
        <f>IF(COUNTA('Procyfloc AL200'!A113,'Procyfloc AL200'!B113,'Procyfloc AL200'!C113)&gt;0,"AL200","")</f>
        <v/>
      </c>
      <c r="AB3612" t="str">
        <f>IFERROR(IF(ISNUMBER('Procyfloc AL200'!A113),'Procyfloc AL200'!A113,DATEVALUE('Procyfloc AL200'!A113)),"")</f>
        <v/>
      </c>
      <c r="AC3612" t="str">
        <f>IF(AA3612="","",'Procyfloc AL200'!B113)</f>
        <v/>
      </c>
      <c r="AD3612" t="str">
        <f>IF(AA3612="","",IFERROR(1*'Procyfloc AL200'!C113,IFERROR(_xludf.NUMBERVALUE('Procyfloc AL200'!C113,".",","),IFERROR(_xludf.NUMBERVALUE('Procyfloc AL200'!C113,",","."),0))))</f>
        <v/>
      </c>
      <c r="AE3612" t="str">
        <f>IF(AA3612="","",'Procyfloc AL200'!K113)</f>
        <v/>
      </c>
      <c r="AF3612">
        <f t="shared" si="353"/>
        <v>0</v>
      </c>
      <c r="AG3612" t="str">
        <f t="shared" si="354"/>
        <v/>
      </c>
      <c r="AH3612" t="str">
        <f t="shared" si="355"/>
        <v/>
      </c>
      <c r="AI3612">
        <f t="shared" si="356"/>
        <v>0</v>
      </c>
      <c r="AJ3612">
        <f t="shared" si="357"/>
        <v>0</v>
      </c>
      <c r="AK3612">
        <v>0</v>
      </c>
      <c r="AL3612" t="str">
        <f>IF(AA3612="","",IFERROR(IF(ISNUMBER('Procyfloc AL200'!D113),'Procyfloc AL200'!D113,IF(ISNUMBER(SEARCH("12",'Procyfloc AL200'!D113)),EDATE(AB3612,12),IF(ISNUMBER(SEARCH("6",'Procyfloc AL200'!D113)),EDATE(AB3612,6),IF(ISNUMBER(SEARCH("3",'Procyfloc AL200'!D113)),EDATE(AB3612,3),DATEVALUE('Procyfloc AL200'!D113))))),""))</f>
        <v/>
      </c>
      <c r="AM3612" t="str">
        <f t="shared" ca="1" si="358"/>
        <v/>
      </c>
    </row>
    <row r="3613" spans="27:39" x14ac:dyDescent="0.3">
      <c r="AA3613" t="str">
        <f>IF(COUNTA('Procyfloc AL200'!A114,'Procyfloc AL200'!B114,'Procyfloc AL200'!C114)&gt;0,"AL200","")</f>
        <v/>
      </c>
      <c r="AB3613" t="str">
        <f>IFERROR(IF(ISNUMBER('Procyfloc AL200'!A114),'Procyfloc AL200'!A114,DATEVALUE('Procyfloc AL200'!A114)),"")</f>
        <v/>
      </c>
      <c r="AC3613" t="str">
        <f>IF(AA3613="","",'Procyfloc AL200'!B114)</f>
        <v/>
      </c>
      <c r="AD3613" t="str">
        <f>IF(AA3613="","",IFERROR(1*'Procyfloc AL200'!C114,IFERROR(_xludf.NUMBERVALUE('Procyfloc AL200'!C114,".",","),IFERROR(_xludf.NUMBERVALUE('Procyfloc AL200'!C114,",","."),0))))</f>
        <v/>
      </c>
      <c r="AE3613" t="str">
        <f>IF(AA3613="","",'Procyfloc AL200'!K114)</f>
        <v/>
      </c>
      <c r="AF3613">
        <f t="shared" si="353"/>
        <v>0</v>
      </c>
      <c r="AG3613" t="str">
        <f t="shared" si="354"/>
        <v/>
      </c>
      <c r="AH3613" t="str">
        <f t="shared" si="355"/>
        <v/>
      </c>
      <c r="AI3613">
        <f t="shared" si="356"/>
        <v>0</v>
      </c>
      <c r="AJ3613">
        <f t="shared" si="357"/>
        <v>0</v>
      </c>
      <c r="AK3613">
        <v>0</v>
      </c>
      <c r="AL3613" t="str">
        <f>IF(AA3613="","",IFERROR(IF(ISNUMBER('Procyfloc AL200'!D114),'Procyfloc AL200'!D114,IF(ISNUMBER(SEARCH("12",'Procyfloc AL200'!D114)),EDATE(AB3613,12),IF(ISNUMBER(SEARCH("6",'Procyfloc AL200'!D114)),EDATE(AB3613,6),IF(ISNUMBER(SEARCH("3",'Procyfloc AL200'!D114)),EDATE(AB3613,3),DATEVALUE('Procyfloc AL200'!D114))))),""))</f>
        <v/>
      </c>
      <c r="AM3613" t="str">
        <f t="shared" ca="1" si="358"/>
        <v/>
      </c>
    </row>
    <row r="3614" spans="27:39" x14ac:dyDescent="0.3">
      <c r="AA3614" t="str">
        <f>IF(COUNTA('Procyfloc AL200'!A115,'Procyfloc AL200'!B115,'Procyfloc AL200'!C115)&gt;0,"AL200","")</f>
        <v/>
      </c>
      <c r="AB3614" t="str">
        <f>IFERROR(IF(ISNUMBER('Procyfloc AL200'!A115),'Procyfloc AL200'!A115,DATEVALUE('Procyfloc AL200'!A115)),"")</f>
        <v/>
      </c>
      <c r="AC3614" t="str">
        <f>IF(AA3614="","",'Procyfloc AL200'!B115)</f>
        <v/>
      </c>
      <c r="AD3614" t="str">
        <f>IF(AA3614="","",IFERROR(1*'Procyfloc AL200'!C115,IFERROR(_xludf.NUMBERVALUE('Procyfloc AL200'!C115,".",","),IFERROR(_xludf.NUMBERVALUE('Procyfloc AL200'!C115,",","."),0))))</f>
        <v/>
      </c>
      <c r="AE3614" t="str">
        <f>IF(AA3614="","",'Procyfloc AL200'!K115)</f>
        <v/>
      </c>
      <c r="AF3614">
        <f t="shared" si="353"/>
        <v>0</v>
      </c>
      <c r="AG3614" t="str">
        <f t="shared" si="354"/>
        <v/>
      </c>
      <c r="AH3614" t="str">
        <f t="shared" si="355"/>
        <v/>
      </c>
      <c r="AI3614">
        <f t="shared" si="356"/>
        <v>0</v>
      </c>
      <c r="AJ3614">
        <f t="shared" si="357"/>
        <v>0</v>
      </c>
      <c r="AK3614">
        <v>0</v>
      </c>
      <c r="AL3614" t="str">
        <f>IF(AA3614="","",IFERROR(IF(ISNUMBER('Procyfloc AL200'!D115),'Procyfloc AL200'!D115,IF(ISNUMBER(SEARCH("12",'Procyfloc AL200'!D115)),EDATE(AB3614,12),IF(ISNUMBER(SEARCH("6",'Procyfloc AL200'!D115)),EDATE(AB3614,6),IF(ISNUMBER(SEARCH("3",'Procyfloc AL200'!D115)),EDATE(AB3614,3),DATEVALUE('Procyfloc AL200'!D115))))),""))</f>
        <v/>
      </c>
      <c r="AM3614" t="str">
        <f t="shared" ca="1" si="358"/>
        <v/>
      </c>
    </row>
    <row r="3615" spans="27:39" x14ac:dyDescent="0.3">
      <c r="AA3615" t="str">
        <f>IF(COUNTA('Procyfloc AL200'!A116,'Procyfloc AL200'!B116,'Procyfloc AL200'!C116)&gt;0,"AL200","")</f>
        <v/>
      </c>
      <c r="AB3615" t="str">
        <f>IFERROR(IF(ISNUMBER('Procyfloc AL200'!A116),'Procyfloc AL200'!A116,DATEVALUE('Procyfloc AL200'!A116)),"")</f>
        <v/>
      </c>
      <c r="AC3615" t="str">
        <f>IF(AA3615="","",'Procyfloc AL200'!B116)</f>
        <v/>
      </c>
      <c r="AD3615" t="str">
        <f>IF(AA3615="","",IFERROR(1*'Procyfloc AL200'!C116,IFERROR(_xludf.NUMBERVALUE('Procyfloc AL200'!C116,".",","),IFERROR(_xludf.NUMBERVALUE('Procyfloc AL200'!C116,",","."),0))))</f>
        <v/>
      </c>
      <c r="AE3615" t="str">
        <f>IF(AA3615="","",'Procyfloc AL200'!K116)</f>
        <v/>
      </c>
      <c r="AF3615">
        <f t="shared" si="353"/>
        <v>0</v>
      </c>
      <c r="AG3615" t="str">
        <f t="shared" si="354"/>
        <v/>
      </c>
      <c r="AH3615" t="str">
        <f t="shared" si="355"/>
        <v/>
      </c>
      <c r="AI3615">
        <f t="shared" si="356"/>
        <v>0</v>
      </c>
      <c r="AJ3615">
        <f t="shared" si="357"/>
        <v>0</v>
      </c>
      <c r="AK3615">
        <v>0</v>
      </c>
      <c r="AL3615" t="str">
        <f>IF(AA3615="","",IFERROR(IF(ISNUMBER('Procyfloc AL200'!D116),'Procyfloc AL200'!D116,IF(ISNUMBER(SEARCH("12",'Procyfloc AL200'!D116)),EDATE(AB3615,12),IF(ISNUMBER(SEARCH("6",'Procyfloc AL200'!D116)),EDATE(AB3615,6),IF(ISNUMBER(SEARCH("3",'Procyfloc AL200'!D116)),EDATE(AB3615,3),DATEVALUE('Procyfloc AL200'!D116))))),""))</f>
        <v/>
      </c>
      <c r="AM3615" t="str">
        <f t="shared" ca="1" si="358"/>
        <v/>
      </c>
    </row>
    <row r="3616" spans="27:39" x14ac:dyDescent="0.3">
      <c r="AA3616" t="str">
        <f>IF(COUNTA('Procyfloc AL200'!A117,'Procyfloc AL200'!B117,'Procyfloc AL200'!C117)&gt;0,"AL200","")</f>
        <v/>
      </c>
      <c r="AB3616" t="str">
        <f>IFERROR(IF(ISNUMBER('Procyfloc AL200'!A117),'Procyfloc AL200'!A117,DATEVALUE('Procyfloc AL200'!A117)),"")</f>
        <v/>
      </c>
      <c r="AC3616" t="str">
        <f>IF(AA3616="","",'Procyfloc AL200'!B117)</f>
        <v/>
      </c>
      <c r="AD3616" t="str">
        <f>IF(AA3616="","",IFERROR(1*'Procyfloc AL200'!C117,IFERROR(_xludf.NUMBERVALUE('Procyfloc AL200'!C117,".",","),IFERROR(_xludf.NUMBERVALUE('Procyfloc AL200'!C117,",","."),0))))</f>
        <v/>
      </c>
      <c r="AE3616" t="str">
        <f>IF(AA3616="","",'Procyfloc AL200'!K117)</f>
        <v/>
      </c>
      <c r="AF3616">
        <f t="shared" si="353"/>
        <v>0</v>
      </c>
      <c r="AG3616" t="str">
        <f t="shared" si="354"/>
        <v/>
      </c>
      <c r="AH3616" t="str">
        <f t="shared" si="355"/>
        <v/>
      </c>
      <c r="AI3616">
        <f t="shared" si="356"/>
        <v>0</v>
      </c>
      <c r="AJ3616">
        <f t="shared" si="357"/>
        <v>0</v>
      </c>
      <c r="AK3616">
        <v>0</v>
      </c>
      <c r="AL3616" t="str">
        <f>IF(AA3616="","",IFERROR(IF(ISNUMBER('Procyfloc AL200'!D117),'Procyfloc AL200'!D117,IF(ISNUMBER(SEARCH("12",'Procyfloc AL200'!D117)),EDATE(AB3616,12),IF(ISNUMBER(SEARCH("6",'Procyfloc AL200'!D117)),EDATE(AB3616,6),IF(ISNUMBER(SEARCH("3",'Procyfloc AL200'!D117)),EDATE(AB3616,3),DATEVALUE('Procyfloc AL200'!D117))))),""))</f>
        <v/>
      </c>
      <c r="AM3616" t="str">
        <f t="shared" ca="1" si="358"/>
        <v/>
      </c>
    </row>
    <row r="3617" spans="27:39" x14ac:dyDescent="0.3">
      <c r="AA3617" t="str">
        <f>IF(COUNTA('Procyfloc AL200'!A118,'Procyfloc AL200'!B118,'Procyfloc AL200'!C118)&gt;0,"AL200","")</f>
        <v/>
      </c>
      <c r="AB3617" t="str">
        <f>IFERROR(IF(ISNUMBER('Procyfloc AL200'!A118),'Procyfloc AL200'!A118,DATEVALUE('Procyfloc AL200'!A118)),"")</f>
        <v/>
      </c>
      <c r="AC3617" t="str">
        <f>IF(AA3617="","",'Procyfloc AL200'!B118)</f>
        <v/>
      </c>
      <c r="AD3617" t="str">
        <f>IF(AA3617="","",IFERROR(1*'Procyfloc AL200'!C118,IFERROR(_xludf.NUMBERVALUE('Procyfloc AL200'!C118,".",","),IFERROR(_xludf.NUMBERVALUE('Procyfloc AL200'!C118,",","."),0))))</f>
        <v/>
      </c>
      <c r="AE3617" t="str">
        <f>IF(AA3617="","",'Procyfloc AL200'!K118)</f>
        <v/>
      </c>
      <c r="AF3617">
        <f t="shared" si="353"/>
        <v>0</v>
      </c>
      <c r="AG3617" t="str">
        <f t="shared" si="354"/>
        <v/>
      </c>
      <c r="AH3617" t="str">
        <f t="shared" si="355"/>
        <v/>
      </c>
      <c r="AI3617">
        <f t="shared" si="356"/>
        <v>0</v>
      </c>
      <c r="AJ3617">
        <f t="shared" si="357"/>
        <v>0</v>
      </c>
      <c r="AK3617">
        <v>0</v>
      </c>
      <c r="AL3617" t="str">
        <f>IF(AA3617="","",IFERROR(IF(ISNUMBER('Procyfloc AL200'!D118),'Procyfloc AL200'!D118,IF(ISNUMBER(SEARCH("12",'Procyfloc AL200'!D118)),EDATE(AB3617,12),IF(ISNUMBER(SEARCH("6",'Procyfloc AL200'!D118)),EDATE(AB3617,6),IF(ISNUMBER(SEARCH("3",'Procyfloc AL200'!D118)),EDATE(AB3617,3),DATEVALUE('Procyfloc AL200'!D118))))),""))</f>
        <v/>
      </c>
      <c r="AM3617" t="str">
        <f t="shared" ca="1" si="358"/>
        <v/>
      </c>
    </row>
    <row r="3618" spans="27:39" x14ac:dyDescent="0.3">
      <c r="AA3618" t="str">
        <f>IF(COUNTA('Procyfloc AL200'!A119,'Procyfloc AL200'!B119,'Procyfloc AL200'!C119)&gt;0,"AL200","")</f>
        <v/>
      </c>
      <c r="AB3618" t="str">
        <f>IFERROR(IF(ISNUMBER('Procyfloc AL200'!A119),'Procyfloc AL200'!A119,DATEVALUE('Procyfloc AL200'!A119)),"")</f>
        <v/>
      </c>
      <c r="AC3618" t="str">
        <f>IF(AA3618="","",'Procyfloc AL200'!B119)</f>
        <v/>
      </c>
      <c r="AD3618" t="str">
        <f>IF(AA3618="","",IFERROR(1*'Procyfloc AL200'!C119,IFERROR(_xludf.NUMBERVALUE('Procyfloc AL200'!C119,".",","),IFERROR(_xludf.NUMBERVALUE('Procyfloc AL200'!C119,",","."),0))))</f>
        <v/>
      </c>
      <c r="AE3618" t="str">
        <f>IF(AA3618="","",'Procyfloc AL200'!K119)</f>
        <v/>
      </c>
      <c r="AF3618">
        <f t="shared" si="353"/>
        <v>0</v>
      </c>
      <c r="AG3618" t="str">
        <f t="shared" si="354"/>
        <v/>
      </c>
      <c r="AH3618" t="str">
        <f t="shared" si="355"/>
        <v/>
      </c>
      <c r="AI3618">
        <f t="shared" si="356"/>
        <v>0</v>
      </c>
      <c r="AJ3618">
        <f t="shared" si="357"/>
        <v>0</v>
      </c>
      <c r="AK3618">
        <v>0</v>
      </c>
      <c r="AL3618" t="str">
        <f>IF(AA3618="","",IFERROR(IF(ISNUMBER('Procyfloc AL200'!D119),'Procyfloc AL200'!D119,IF(ISNUMBER(SEARCH("12",'Procyfloc AL200'!D119)),EDATE(AB3618,12),IF(ISNUMBER(SEARCH("6",'Procyfloc AL200'!D119)),EDATE(AB3618,6),IF(ISNUMBER(SEARCH("3",'Procyfloc AL200'!D119)),EDATE(AB3618,3),DATEVALUE('Procyfloc AL200'!D119))))),""))</f>
        <v/>
      </c>
      <c r="AM3618" t="str">
        <f t="shared" ca="1" si="358"/>
        <v/>
      </c>
    </row>
    <row r="3619" spans="27:39" x14ac:dyDescent="0.3">
      <c r="AA3619" t="str">
        <f>IF(COUNTA('Procyfloc AL200'!A120,'Procyfloc AL200'!B120,'Procyfloc AL200'!C120)&gt;0,"AL200","")</f>
        <v/>
      </c>
      <c r="AB3619" t="str">
        <f>IFERROR(IF(ISNUMBER('Procyfloc AL200'!A120),'Procyfloc AL200'!A120,DATEVALUE('Procyfloc AL200'!A120)),"")</f>
        <v/>
      </c>
      <c r="AC3619" t="str">
        <f>IF(AA3619="","",'Procyfloc AL200'!B120)</f>
        <v/>
      </c>
      <c r="AD3619" t="str">
        <f>IF(AA3619="","",IFERROR(1*'Procyfloc AL200'!C120,IFERROR(_xludf.NUMBERVALUE('Procyfloc AL200'!C120,".",","),IFERROR(_xludf.NUMBERVALUE('Procyfloc AL200'!C120,",","."),0))))</f>
        <v/>
      </c>
      <c r="AE3619" t="str">
        <f>IF(AA3619="","",'Procyfloc AL200'!K120)</f>
        <v/>
      </c>
      <c r="AF3619">
        <f t="shared" si="353"/>
        <v>0</v>
      </c>
      <c r="AG3619" t="str">
        <f t="shared" si="354"/>
        <v/>
      </c>
      <c r="AH3619" t="str">
        <f t="shared" si="355"/>
        <v/>
      </c>
      <c r="AI3619">
        <f t="shared" si="356"/>
        <v>0</v>
      </c>
      <c r="AJ3619">
        <f t="shared" si="357"/>
        <v>0</v>
      </c>
      <c r="AK3619">
        <v>0</v>
      </c>
      <c r="AL3619" t="str">
        <f>IF(AA3619="","",IFERROR(IF(ISNUMBER('Procyfloc AL200'!D120),'Procyfloc AL200'!D120,IF(ISNUMBER(SEARCH("12",'Procyfloc AL200'!D120)),EDATE(AB3619,12),IF(ISNUMBER(SEARCH("6",'Procyfloc AL200'!D120)),EDATE(AB3619,6),IF(ISNUMBER(SEARCH("3",'Procyfloc AL200'!D120)),EDATE(AB3619,3),DATEVALUE('Procyfloc AL200'!D120))))),""))</f>
        <v/>
      </c>
      <c r="AM3619" t="str">
        <f t="shared" ca="1" si="358"/>
        <v/>
      </c>
    </row>
    <row r="3620" spans="27:39" x14ac:dyDescent="0.3">
      <c r="AA3620" t="str">
        <f>IF(COUNTA('Procyfloc AL200'!A121,'Procyfloc AL200'!B121,'Procyfloc AL200'!C121)&gt;0,"AL200","")</f>
        <v/>
      </c>
      <c r="AB3620" t="str">
        <f>IFERROR(IF(ISNUMBER('Procyfloc AL200'!A121),'Procyfloc AL200'!A121,DATEVALUE('Procyfloc AL200'!A121)),"")</f>
        <v/>
      </c>
      <c r="AC3620" t="str">
        <f>IF(AA3620="","",'Procyfloc AL200'!B121)</f>
        <v/>
      </c>
      <c r="AD3620" t="str">
        <f>IF(AA3620="","",IFERROR(1*'Procyfloc AL200'!C121,IFERROR(_xludf.NUMBERVALUE('Procyfloc AL200'!C121,".",","),IFERROR(_xludf.NUMBERVALUE('Procyfloc AL200'!C121,",","."),0))))</f>
        <v/>
      </c>
      <c r="AE3620" t="str">
        <f>IF(AA3620="","",'Procyfloc AL200'!K121)</f>
        <v/>
      </c>
      <c r="AF3620">
        <f t="shared" si="353"/>
        <v>0</v>
      </c>
      <c r="AG3620" t="str">
        <f t="shared" si="354"/>
        <v/>
      </c>
      <c r="AH3620" t="str">
        <f t="shared" si="355"/>
        <v/>
      </c>
      <c r="AI3620">
        <f t="shared" si="356"/>
        <v>0</v>
      </c>
      <c r="AJ3620">
        <f t="shared" si="357"/>
        <v>0</v>
      </c>
      <c r="AK3620">
        <v>0</v>
      </c>
      <c r="AL3620" t="str">
        <f>IF(AA3620="","",IFERROR(IF(ISNUMBER('Procyfloc AL200'!D121),'Procyfloc AL200'!D121,IF(ISNUMBER(SEARCH("12",'Procyfloc AL200'!D121)),EDATE(AB3620,12),IF(ISNUMBER(SEARCH("6",'Procyfloc AL200'!D121)),EDATE(AB3620,6),IF(ISNUMBER(SEARCH("3",'Procyfloc AL200'!D121)),EDATE(AB3620,3),DATEVALUE('Procyfloc AL200'!D121))))),""))</f>
        <v/>
      </c>
      <c r="AM3620" t="str">
        <f t="shared" ca="1" si="358"/>
        <v/>
      </c>
    </row>
    <row r="3621" spans="27:39" x14ac:dyDescent="0.3">
      <c r="AA3621" t="str">
        <f>IF(COUNTA('Procyfloc AL200'!A122,'Procyfloc AL200'!B122,'Procyfloc AL200'!C122)&gt;0,"AL200","")</f>
        <v/>
      </c>
      <c r="AB3621" t="str">
        <f>IFERROR(IF(ISNUMBER('Procyfloc AL200'!A122),'Procyfloc AL200'!A122,DATEVALUE('Procyfloc AL200'!A122)),"")</f>
        <v/>
      </c>
      <c r="AC3621" t="str">
        <f>IF(AA3621="","",'Procyfloc AL200'!B122)</f>
        <v/>
      </c>
      <c r="AD3621" t="str">
        <f>IF(AA3621="","",IFERROR(1*'Procyfloc AL200'!C122,IFERROR(_xludf.NUMBERVALUE('Procyfloc AL200'!C122,".",","),IFERROR(_xludf.NUMBERVALUE('Procyfloc AL200'!C122,",","."),0))))</f>
        <v/>
      </c>
      <c r="AE3621" t="str">
        <f>IF(AA3621="","",'Procyfloc AL200'!K122)</f>
        <v/>
      </c>
      <c r="AF3621">
        <f t="shared" si="353"/>
        <v>0</v>
      </c>
      <c r="AG3621" t="str">
        <f t="shared" si="354"/>
        <v/>
      </c>
      <c r="AH3621" t="str">
        <f t="shared" si="355"/>
        <v/>
      </c>
      <c r="AI3621">
        <f t="shared" si="356"/>
        <v>0</v>
      </c>
      <c r="AJ3621">
        <f t="shared" si="357"/>
        <v>0</v>
      </c>
      <c r="AK3621">
        <v>0</v>
      </c>
      <c r="AL3621" t="str">
        <f>IF(AA3621="","",IFERROR(IF(ISNUMBER('Procyfloc AL200'!D122),'Procyfloc AL200'!D122,IF(ISNUMBER(SEARCH("12",'Procyfloc AL200'!D122)),EDATE(AB3621,12),IF(ISNUMBER(SEARCH("6",'Procyfloc AL200'!D122)),EDATE(AB3621,6),IF(ISNUMBER(SEARCH("3",'Procyfloc AL200'!D122)),EDATE(AB3621,3),DATEVALUE('Procyfloc AL200'!D122))))),""))</f>
        <v/>
      </c>
      <c r="AM3621" t="str">
        <f t="shared" ca="1" si="358"/>
        <v/>
      </c>
    </row>
    <row r="3622" spans="27:39" x14ac:dyDescent="0.3">
      <c r="AA3622" t="str">
        <f>IF(COUNTA('Procyfloc AL200'!A123,'Procyfloc AL200'!B123,'Procyfloc AL200'!C123)&gt;0,"AL200","")</f>
        <v/>
      </c>
      <c r="AB3622" t="str">
        <f>IFERROR(IF(ISNUMBER('Procyfloc AL200'!A123),'Procyfloc AL200'!A123,DATEVALUE('Procyfloc AL200'!A123)),"")</f>
        <v/>
      </c>
      <c r="AC3622" t="str">
        <f>IF(AA3622="","",'Procyfloc AL200'!B123)</f>
        <v/>
      </c>
      <c r="AD3622" t="str">
        <f>IF(AA3622="","",IFERROR(1*'Procyfloc AL200'!C123,IFERROR(_xludf.NUMBERVALUE('Procyfloc AL200'!C123,".",","),IFERROR(_xludf.NUMBERVALUE('Procyfloc AL200'!C123,",","."),0))))</f>
        <v/>
      </c>
      <c r="AE3622" t="str">
        <f>IF(AA3622="","",'Procyfloc AL200'!K123)</f>
        <v/>
      </c>
      <c r="AF3622">
        <f t="shared" si="353"/>
        <v>0</v>
      </c>
      <c r="AG3622" t="str">
        <f t="shared" si="354"/>
        <v/>
      </c>
      <c r="AH3622" t="str">
        <f t="shared" si="355"/>
        <v/>
      </c>
      <c r="AI3622">
        <f t="shared" si="356"/>
        <v>0</v>
      </c>
      <c r="AJ3622">
        <f t="shared" si="357"/>
        <v>0</v>
      </c>
      <c r="AK3622">
        <v>0</v>
      </c>
      <c r="AL3622" t="str">
        <f>IF(AA3622="","",IFERROR(IF(ISNUMBER('Procyfloc AL200'!D123),'Procyfloc AL200'!D123,IF(ISNUMBER(SEARCH("12",'Procyfloc AL200'!D123)),EDATE(AB3622,12),IF(ISNUMBER(SEARCH("6",'Procyfloc AL200'!D123)),EDATE(AB3622,6),IF(ISNUMBER(SEARCH("3",'Procyfloc AL200'!D123)),EDATE(AB3622,3),DATEVALUE('Procyfloc AL200'!D123))))),""))</f>
        <v/>
      </c>
      <c r="AM3622" t="str">
        <f t="shared" ca="1" si="358"/>
        <v/>
      </c>
    </row>
    <row r="3623" spans="27:39" x14ac:dyDescent="0.3">
      <c r="AA3623" t="str">
        <f>IF(COUNTA('Procyfloc AL200'!A124,'Procyfloc AL200'!B124,'Procyfloc AL200'!C124)&gt;0,"AL200","")</f>
        <v/>
      </c>
      <c r="AB3623" t="str">
        <f>IFERROR(IF(ISNUMBER('Procyfloc AL200'!A124),'Procyfloc AL200'!A124,DATEVALUE('Procyfloc AL200'!A124)),"")</f>
        <v/>
      </c>
      <c r="AC3623" t="str">
        <f>IF(AA3623="","",'Procyfloc AL200'!B124)</f>
        <v/>
      </c>
      <c r="AD3623" t="str">
        <f>IF(AA3623="","",IFERROR(1*'Procyfloc AL200'!C124,IFERROR(_xludf.NUMBERVALUE('Procyfloc AL200'!C124,".",","),IFERROR(_xludf.NUMBERVALUE('Procyfloc AL200'!C124,",","."),0))))</f>
        <v/>
      </c>
      <c r="AE3623" t="str">
        <f>IF(AA3623="","",'Procyfloc AL200'!K124)</f>
        <v/>
      </c>
      <c r="AF3623">
        <f t="shared" si="353"/>
        <v>0</v>
      </c>
      <c r="AG3623" t="str">
        <f t="shared" si="354"/>
        <v/>
      </c>
      <c r="AH3623" t="str">
        <f t="shared" si="355"/>
        <v/>
      </c>
      <c r="AI3623">
        <f t="shared" si="356"/>
        <v>0</v>
      </c>
      <c r="AJ3623">
        <f t="shared" si="357"/>
        <v>0</v>
      </c>
      <c r="AK3623">
        <v>0</v>
      </c>
      <c r="AL3623" t="str">
        <f>IF(AA3623="","",IFERROR(IF(ISNUMBER('Procyfloc AL200'!D124),'Procyfloc AL200'!D124,IF(ISNUMBER(SEARCH("12",'Procyfloc AL200'!D124)),EDATE(AB3623,12),IF(ISNUMBER(SEARCH("6",'Procyfloc AL200'!D124)),EDATE(AB3623,6),IF(ISNUMBER(SEARCH("3",'Procyfloc AL200'!D124)),EDATE(AB3623,3),DATEVALUE('Procyfloc AL200'!D124))))),""))</f>
        <v/>
      </c>
      <c r="AM3623" t="str">
        <f t="shared" ca="1" si="358"/>
        <v/>
      </c>
    </row>
    <row r="3624" spans="27:39" x14ac:dyDescent="0.3">
      <c r="AA3624" t="str">
        <f>IF(COUNTA('Procyfloc AL200'!A125,'Procyfloc AL200'!B125,'Procyfloc AL200'!C125)&gt;0,"AL200","")</f>
        <v/>
      </c>
      <c r="AB3624" t="str">
        <f>IFERROR(IF(ISNUMBER('Procyfloc AL200'!A125),'Procyfloc AL200'!A125,DATEVALUE('Procyfloc AL200'!A125)),"")</f>
        <v/>
      </c>
      <c r="AC3624" t="str">
        <f>IF(AA3624="","",'Procyfloc AL200'!B125)</f>
        <v/>
      </c>
      <c r="AD3624" t="str">
        <f>IF(AA3624="","",IFERROR(1*'Procyfloc AL200'!C125,IFERROR(_xludf.NUMBERVALUE('Procyfloc AL200'!C125,".",","),IFERROR(_xludf.NUMBERVALUE('Procyfloc AL200'!C125,",","."),0))))</f>
        <v/>
      </c>
      <c r="AE3624" t="str">
        <f>IF(AA3624="","",'Procyfloc AL200'!K125)</f>
        <v/>
      </c>
      <c r="AF3624">
        <f t="shared" si="353"/>
        <v>0</v>
      </c>
      <c r="AG3624" t="str">
        <f t="shared" si="354"/>
        <v/>
      </c>
      <c r="AH3624" t="str">
        <f t="shared" si="355"/>
        <v/>
      </c>
      <c r="AI3624">
        <f t="shared" si="356"/>
        <v>0</v>
      </c>
      <c r="AJ3624">
        <f t="shared" si="357"/>
        <v>0</v>
      </c>
      <c r="AK3624">
        <v>0</v>
      </c>
      <c r="AL3624" t="str">
        <f>IF(AA3624="","",IFERROR(IF(ISNUMBER('Procyfloc AL200'!D125),'Procyfloc AL200'!D125,IF(ISNUMBER(SEARCH("12",'Procyfloc AL200'!D125)),EDATE(AB3624,12),IF(ISNUMBER(SEARCH("6",'Procyfloc AL200'!D125)),EDATE(AB3624,6),IF(ISNUMBER(SEARCH("3",'Procyfloc AL200'!D125)),EDATE(AB3624,3),DATEVALUE('Procyfloc AL200'!D125))))),""))</f>
        <v/>
      </c>
      <c r="AM3624" t="str">
        <f t="shared" ca="1" si="358"/>
        <v/>
      </c>
    </row>
    <row r="3625" spans="27:39" x14ac:dyDescent="0.3">
      <c r="AA3625" t="str">
        <f>IF(COUNTA('Procyfloc AL200'!A126,'Procyfloc AL200'!B126,'Procyfloc AL200'!C126)&gt;0,"AL200","")</f>
        <v/>
      </c>
      <c r="AB3625" t="str">
        <f>IFERROR(IF(ISNUMBER('Procyfloc AL200'!A126),'Procyfloc AL200'!A126,DATEVALUE('Procyfloc AL200'!A126)),"")</f>
        <v/>
      </c>
      <c r="AC3625" t="str">
        <f>IF(AA3625="","",'Procyfloc AL200'!B126)</f>
        <v/>
      </c>
      <c r="AD3625" t="str">
        <f>IF(AA3625="","",IFERROR(1*'Procyfloc AL200'!C126,IFERROR(_xludf.NUMBERVALUE('Procyfloc AL200'!C126,".",","),IFERROR(_xludf.NUMBERVALUE('Procyfloc AL200'!C126,",","."),0))))</f>
        <v/>
      </c>
      <c r="AE3625" t="str">
        <f>IF(AA3625="","",'Procyfloc AL200'!K126)</f>
        <v/>
      </c>
      <c r="AF3625">
        <f t="shared" si="353"/>
        <v>0</v>
      </c>
      <c r="AG3625" t="str">
        <f t="shared" si="354"/>
        <v/>
      </c>
      <c r="AH3625" t="str">
        <f t="shared" si="355"/>
        <v/>
      </c>
      <c r="AI3625">
        <f t="shared" si="356"/>
        <v>0</v>
      </c>
      <c r="AJ3625">
        <f t="shared" si="357"/>
        <v>0</v>
      </c>
      <c r="AK3625">
        <v>0</v>
      </c>
      <c r="AL3625" t="str">
        <f>IF(AA3625="","",IFERROR(IF(ISNUMBER('Procyfloc AL200'!D126),'Procyfloc AL200'!D126,IF(ISNUMBER(SEARCH("12",'Procyfloc AL200'!D126)),EDATE(AB3625,12),IF(ISNUMBER(SEARCH("6",'Procyfloc AL200'!D126)),EDATE(AB3625,6),IF(ISNUMBER(SEARCH("3",'Procyfloc AL200'!D126)),EDATE(AB3625,3),DATEVALUE('Procyfloc AL200'!D126))))),""))</f>
        <v/>
      </c>
      <c r="AM3625" t="str">
        <f t="shared" ca="1" si="358"/>
        <v/>
      </c>
    </row>
    <row r="3626" spans="27:39" x14ac:dyDescent="0.3">
      <c r="AA3626" t="str">
        <f>IF(COUNTA('Procyfloc AL200'!A127,'Procyfloc AL200'!B127,'Procyfloc AL200'!C127)&gt;0,"AL200","")</f>
        <v/>
      </c>
      <c r="AB3626" t="str">
        <f>IFERROR(IF(ISNUMBER('Procyfloc AL200'!A127),'Procyfloc AL200'!A127,DATEVALUE('Procyfloc AL200'!A127)),"")</f>
        <v/>
      </c>
      <c r="AC3626" t="str">
        <f>IF(AA3626="","",'Procyfloc AL200'!B127)</f>
        <v/>
      </c>
      <c r="AD3626" t="str">
        <f>IF(AA3626="","",IFERROR(1*'Procyfloc AL200'!C127,IFERROR(_xludf.NUMBERVALUE('Procyfloc AL200'!C127,".",","),IFERROR(_xludf.NUMBERVALUE('Procyfloc AL200'!C127,",","."),0))))</f>
        <v/>
      </c>
      <c r="AE3626" t="str">
        <f>IF(AA3626="","",'Procyfloc AL200'!K127)</f>
        <v/>
      </c>
      <c r="AF3626">
        <f t="shared" si="353"/>
        <v>0</v>
      </c>
      <c r="AG3626" t="str">
        <f t="shared" si="354"/>
        <v/>
      </c>
      <c r="AH3626" t="str">
        <f t="shared" si="355"/>
        <v/>
      </c>
      <c r="AI3626">
        <f t="shared" si="356"/>
        <v>0</v>
      </c>
      <c r="AJ3626">
        <f t="shared" si="357"/>
        <v>0</v>
      </c>
      <c r="AK3626">
        <v>0</v>
      </c>
      <c r="AL3626" t="str">
        <f>IF(AA3626="","",IFERROR(IF(ISNUMBER('Procyfloc AL200'!D127),'Procyfloc AL200'!D127,IF(ISNUMBER(SEARCH("12",'Procyfloc AL200'!D127)),EDATE(AB3626,12),IF(ISNUMBER(SEARCH("6",'Procyfloc AL200'!D127)),EDATE(AB3626,6),IF(ISNUMBER(SEARCH("3",'Procyfloc AL200'!D127)),EDATE(AB3626,3),DATEVALUE('Procyfloc AL200'!D127))))),""))</f>
        <v/>
      </c>
      <c r="AM3626" t="str">
        <f t="shared" ca="1" si="358"/>
        <v/>
      </c>
    </row>
    <row r="3627" spans="27:39" x14ac:dyDescent="0.3">
      <c r="AA3627" t="str">
        <f>IF(COUNTA('Procyfloc AL200'!A128,'Procyfloc AL200'!B128,'Procyfloc AL200'!C128)&gt;0,"AL200","")</f>
        <v/>
      </c>
      <c r="AB3627" t="str">
        <f>IFERROR(IF(ISNUMBER('Procyfloc AL200'!A128),'Procyfloc AL200'!A128,DATEVALUE('Procyfloc AL200'!A128)),"")</f>
        <v/>
      </c>
      <c r="AC3627" t="str">
        <f>IF(AA3627="","",'Procyfloc AL200'!B128)</f>
        <v/>
      </c>
      <c r="AD3627" t="str">
        <f>IF(AA3627="","",IFERROR(1*'Procyfloc AL200'!C128,IFERROR(_xludf.NUMBERVALUE('Procyfloc AL200'!C128,".",","),IFERROR(_xludf.NUMBERVALUE('Procyfloc AL200'!C128,",","."),0))))</f>
        <v/>
      </c>
      <c r="AE3627" t="str">
        <f>IF(AA3627="","",'Procyfloc AL200'!K128)</f>
        <v/>
      </c>
      <c r="AF3627">
        <f t="shared" si="353"/>
        <v>0</v>
      </c>
      <c r="AG3627" t="str">
        <f t="shared" si="354"/>
        <v/>
      </c>
      <c r="AH3627" t="str">
        <f t="shared" si="355"/>
        <v/>
      </c>
      <c r="AI3627">
        <f t="shared" si="356"/>
        <v>0</v>
      </c>
      <c r="AJ3627">
        <f t="shared" si="357"/>
        <v>0</v>
      </c>
      <c r="AK3627">
        <v>0</v>
      </c>
      <c r="AL3627" t="str">
        <f>IF(AA3627="","",IFERROR(IF(ISNUMBER('Procyfloc AL200'!D128),'Procyfloc AL200'!D128,IF(ISNUMBER(SEARCH("12",'Procyfloc AL200'!D128)),EDATE(AB3627,12),IF(ISNUMBER(SEARCH("6",'Procyfloc AL200'!D128)),EDATE(AB3627,6),IF(ISNUMBER(SEARCH("3",'Procyfloc AL200'!D128)),EDATE(AB3627,3),DATEVALUE('Procyfloc AL200'!D128))))),""))</f>
        <v/>
      </c>
      <c r="AM3627" t="str">
        <f t="shared" ca="1" si="358"/>
        <v/>
      </c>
    </row>
    <row r="3628" spans="27:39" x14ac:dyDescent="0.3">
      <c r="AA3628" t="str">
        <f>IF(COUNTA('Procyfloc AL200'!A129,'Procyfloc AL200'!B129,'Procyfloc AL200'!C129)&gt;0,"AL200","")</f>
        <v/>
      </c>
      <c r="AB3628" t="str">
        <f>IFERROR(IF(ISNUMBER('Procyfloc AL200'!A129),'Procyfloc AL200'!A129,DATEVALUE('Procyfloc AL200'!A129)),"")</f>
        <v/>
      </c>
      <c r="AC3628" t="str">
        <f>IF(AA3628="","",'Procyfloc AL200'!B129)</f>
        <v/>
      </c>
      <c r="AD3628" t="str">
        <f>IF(AA3628="","",IFERROR(1*'Procyfloc AL200'!C129,IFERROR(_xludf.NUMBERVALUE('Procyfloc AL200'!C129,".",","),IFERROR(_xludf.NUMBERVALUE('Procyfloc AL200'!C129,",","."),0))))</f>
        <v/>
      </c>
      <c r="AE3628" t="str">
        <f>IF(AA3628="","",'Procyfloc AL200'!K129)</f>
        <v/>
      </c>
      <c r="AF3628">
        <f t="shared" si="353"/>
        <v>0</v>
      </c>
      <c r="AG3628" t="str">
        <f t="shared" si="354"/>
        <v/>
      </c>
      <c r="AH3628" t="str">
        <f t="shared" si="355"/>
        <v/>
      </c>
      <c r="AI3628">
        <f t="shared" si="356"/>
        <v>0</v>
      </c>
      <c r="AJ3628">
        <f t="shared" si="357"/>
        <v>0</v>
      </c>
      <c r="AK3628">
        <v>0</v>
      </c>
      <c r="AL3628" t="str">
        <f>IF(AA3628="","",IFERROR(IF(ISNUMBER('Procyfloc AL200'!D129),'Procyfloc AL200'!D129,IF(ISNUMBER(SEARCH("12",'Procyfloc AL200'!D129)),EDATE(AB3628,12),IF(ISNUMBER(SEARCH("6",'Procyfloc AL200'!D129)),EDATE(AB3628,6),IF(ISNUMBER(SEARCH("3",'Procyfloc AL200'!D129)),EDATE(AB3628,3),DATEVALUE('Procyfloc AL200'!D129))))),""))</f>
        <v/>
      </c>
      <c r="AM3628" t="str">
        <f t="shared" ca="1" si="358"/>
        <v/>
      </c>
    </row>
    <row r="3629" spans="27:39" x14ac:dyDescent="0.3">
      <c r="AA3629" t="str">
        <f>IF(COUNTA('Procyfloc AL200'!A130,'Procyfloc AL200'!B130,'Procyfloc AL200'!C130)&gt;0,"AL200","")</f>
        <v/>
      </c>
      <c r="AB3629" t="str">
        <f>IFERROR(IF(ISNUMBER('Procyfloc AL200'!A130),'Procyfloc AL200'!A130,DATEVALUE('Procyfloc AL200'!A130)),"")</f>
        <v/>
      </c>
      <c r="AC3629" t="str">
        <f>IF(AA3629="","",'Procyfloc AL200'!B130)</f>
        <v/>
      </c>
      <c r="AD3629" t="str">
        <f>IF(AA3629="","",IFERROR(1*'Procyfloc AL200'!C130,IFERROR(_xludf.NUMBERVALUE('Procyfloc AL200'!C130,".",","),IFERROR(_xludf.NUMBERVALUE('Procyfloc AL200'!C130,",","."),0))))</f>
        <v/>
      </c>
      <c r="AE3629" t="str">
        <f>IF(AA3629="","",'Procyfloc AL200'!K130)</f>
        <v/>
      </c>
      <c r="AF3629">
        <f t="shared" si="353"/>
        <v>0</v>
      </c>
      <c r="AG3629" t="str">
        <f t="shared" si="354"/>
        <v/>
      </c>
      <c r="AH3629" t="str">
        <f t="shared" si="355"/>
        <v/>
      </c>
      <c r="AI3629">
        <f t="shared" si="356"/>
        <v>0</v>
      </c>
      <c r="AJ3629">
        <f t="shared" si="357"/>
        <v>0</v>
      </c>
      <c r="AK3629">
        <v>0</v>
      </c>
      <c r="AL3629" t="str">
        <f>IF(AA3629="","",IFERROR(IF(ISNUMBER('Procyfloc AL200'!D130),'Procyfloc AL200'!D130,IF(ISNUMBER(SEARCH("12",'Procyfloc AL200'!D130)),EDATE(AB3629,12),IF(ISNUMBER(SEARCH("6",'Procyfloc AL200'!D130)),EDATE(AB3629,6),IF(ISNUMBER(SEARCH("3",'Procyfloc AL200'!D130)),EDATE(AB3629,3),DATEVALUE('Procyfloc AL200'!D130))))),""))</f>
        <v/>
      </c>
      <c r="AM3629" t="str">
        <f t="shared" ca="1" si="358"/>
        <v/>
      </c>
    </row>
    <row r="3630" spans="27:39" x14ac:dyDescent="0.3">
      <c r="AA3630" t="str">
        <f>IF(COUNTA('Procyfloc AL200'!A131,'Procyfloc AL200'!B131,'Procyfloc AL200'!C131)&gt;0,"AL200","")</f>
        <v/>
      </c>
      <c r="AB3630" t="str">
        <f>IFERROR(IF(ISNUMBER('Procyfloc AL200'!A131),'Procyfloc AL200'!A131,DATEVALUE('Procyfloc AL200'!A131)),"")</f>
        <v/>
      </c>
      <c r="AC3630" t="str">
        <f>IF(AA3630="","",'Procyfloc AL200'!B131)</f>
        <v/>
      </c>
      <c r="AD3630" t="str">
        <f>IF(AA3630="","",IFERROR(1*'Procyfloc AL200'!C131,IFERROR(_xludf.NUMBERVALUE('Procyfloc AL200'!C131,".",","),IFERROR(_xludf.NUMBERVALUE('Procyfloc AL200'!C131,",","."),0))))</f>
        <v/>
      </c>
      <c r="AE3630" t="str">
        <f>IF(AA3630="","",'Procyfloc AL200'!K131)</f>
        <v/>
      </c>
      <c r="AF3630">
        <f t="shared" si="353"/>
        <v>0</v>
      </c>
      <c r="AG3630" t="str">
        <f t="shared" si="354"/>
        <v/>
      </c>
      <c r="AH3630" t="str">
        <f t="shared" si="355"/>
        <v/>
      </c>
      <c r="AI3630">
        <f t="shared" si="356"/>
        <v>0</v>
      </c>
      <c r="AJ3630">
        <f t="shared" si="357"/>
        <v>0</v>
      </c>
      <c r="AK3630">
        <v>0</v>
      </c>
      <c r="AL3630" t="str">
        <f>IF(AA3630="","",IFERROR(IF(ISNUMBER('Procyfloc AL200'!D131),'Procyfloc AL200'!D131,IF(ISNUMBER(SEARCH("12",'Procyfloc AL200'!D131)),EDATE(AB3630,12),IF(ISNUMBER(SEARCH("6",'Procyfloc AL200'!D131)),EDATE(AB3630,6),IF(ISNUMBER(SEARCH("3",'Procyfloc AL200'!D131)),EDATE(AB3630,3),DATEVALUE('Procyfloc AL200'!D131))))),""))</f>
        <v/>
      </c>
      <c r="AM3630" t="str">
        <f t="shared" ca="1" si="358"/>
        <v/>
      </c>
    </row>
    <row r="3631" spans="27:39" x14ac:dyDescent="0.3">
      <c r="AA3631" t="str">
        <f>IF(COUNTA('Procyfloc AL200'!A132,'Procyfloc AL200'!B132,'Procyfloc AL200'!C132)&gt;0,"AL200","")</f>
        <v/>
      </c>
      <c r="AB3631" t="str">
        <f>IFERROR(IF(ISNUMBER('Procyfloc AL200'!A132),'Procyfloc AL200'!A132,DATEVALUE('Procyfloc AL200'!A132)),"")</f>
        <v/>
      </c>
      <c r="AC3631" t="str">
        <f>IF(AA3631="","",'Procyfloc AL200'!B132)</f>
        <v/>
      </c>
      <c r="AD3631" t="str">
        <f>IF(AA3631="","",IFERROR(1*'Procyfloc AL200'!C132,IFERROR(_xludf.NUMBERVALUE('Procyfloc AL200'!C132,".",","),IFERROR(_xludf.NUMBERVALUE('Procyfloc AL200'!C132,",","."),0))))</f>
        <v/>
      </c>
      <c r="AE3631" t="str">
        <f>IF(AA3631="","",'Procyfloc AL200'!K132)</f>
        <v/>
      </c>
      <c r="AF3631">
        <f t="shared" si="353"/>
        <v>0</v>
      </c>
      <c r="AG3631" t="str">
        <f t="shared" si="354"/>
        <v/>
      </c>
      <c r="AH3631" t="str">
        <f t="shared" si="355"/>
        <v/>
      </c>
      <c r="AI3631">
        <f t="shared" si="356"/>
        <v>0</v>
      </c>
      <c r="AJ3631">
        <f t="shared" si="357"/>
        <v>0</v>
      </c>
      <c r="AK3631">
        <v>0</v>
      </c>
      <c r="AL3631" t="str">
        <f>IF(AA3631="","",IFERROR(IF(ISNUMBER('Procyfloc AL200'!D132),'Procyfloc AL200'!D132,IF(ISNUMBER(SEARCH("12",'Procyfloc AL200'!D132)),EDATE(AB3631,12),IF(ISNUMBER(SEARCH("6",'Procyfloc AL200'!D132)),EDATE(AB3631,6),IF(ISNUMBER(SEARCH("3",'Procyfloc AL200'!D132)),EDATE(AB3631,3),DATEVALUE('Procyfloc AL200'!D132))))),""))</f>
        <v/>
      </c>
      <c r="AM3631" t="str">
        <f t="shared" ca="1" si="358"/>
        <v/>
      </c>
    </row>
    <row r="3632" spans="27:39" x14ac:dyDescent="0.3">
      <c r="AA3632" t="str">
        <f>IF(COUNTA('Procyfloc AL200'!A133,'Procyfloc AL200'!B133,'Procyfloc AL200'!C133)&gt;0,"AL200","")</f>
        <v/>
      </c>
      <c r="AB3632" t="str">
        <f>IFERROR(IF(ISNUMBER('Procyfloc AL200'!A133),'Procyfloc AL200'!A133,DATEVALUE('Procyfloc AL200'!A133)),"")</f>
        <v/>
      </c>
      <c r="AC3632" t="str">
        <f>IF(AA3632="","",'Procyfloc AL200'!B133)</f>
        <v/>
      </c>
      <c r="AD3632" t="str">
        <f>IF(AA3632="","",IFERROR(1*'Procyfloc AL200'!C133,IFERROR(_xludf.NUMBERVALUE('Procyfloc AL200'!C133,".",","),IFERROR(_xludf.NUMBERVALUE('Procyfloc AL200'!C133,",","."),0))))</f>
        <v/>
      </c>
      <c r="AE3632" t="str">
        <f>IF(AA3632="","",'Procyfloc AL200'!K133)</f>
        <v/>
      </c>
      <c r="AF3632">
        <f t="shared" si="353"/>
        <v>0</v>
      </c>
      <c r="AG3632" t="str">
        <f t="shared" si="354"/>
        <v/>
      </c>
      <c r="AH3632" t="str">
        <f t="shared" si="355"/>
        <v/>
      </c>
      <c r="AI3632">
        <f t="shared" si="356"/>
        <v>0</v>
      </c>
      <c r="AJ3632">
        <f t="shared" si="357"/>
        <v>0</v>
      </c>
      <c r="AK3632">
        <v>0</v>
      </c>
      <c r="AL3632" t="str">
        <f>IF(AA3632="","",IFERROR(IF(ISNUMBER('Procyfloc AL200'!D133),'Procyfloc AL200'!D133,IF(ISNUMBER(SEARCH("12",'Procyfloc AL200'!D133)),EDATE(AB3632,12),IF(ISNUMBER(SEARCH("6",'Procyfloc AL200'!D133)),EDATE(AB3632,6),IF(ISNUMBER(SEARCH("3",'Procyfloc AL200'!D133)),EDATE(AB3632,3),DATEVALUE('Procyfloc AL200'!D133))))),""))</f>
        <v/>
      </c>
      <c r="AM3632" t="str">
        <f t="shared" ca="1" si="358"/>
        <v/>
      </c>
    </row>
    <row r="3633" spans="27:39" x14ac:dyDescent="0.3">
      <c r="AA3633" t="str">
        <f>IF(COUNTA('Procyfloc AL200'!A134,'Procyfloc AL200'!B134,'Procyfloc AL200'!C134)&gt;0,"AL200","")</f>
        <v/>
      </c>
      <c r="AB3633" t="str">
        <f>IFERROR(IF(ISNUMBER('Procyfloc AL200'!A134),'Procyfloc AL200'!A134,DATEVALUE('Procyfloc AL200'!A134)),"")</f>
        <v/>
      </c>
      <c r="AC3633" t="str">
        <f>IF(AA3633="","",'Procyfloc AL200'!B134)</f>
        <v/>
      </c>
      <c r="AD3633" t="str">
        <f>IF(AA3633="","",IFERROR(1*'Procyfloc AL200'!C134,IFERROR(_xludf.NUMBERVALUE('Procyfloc AL200'!C134,".",","),IFERROR(_xludf.NUMBERVALUE('Procyfloc AL200'!C134,",","."),0))))</f>
        <v/>
      </c>
      <c r="AE3633" t="str">
        <f>IF(AA3633="","",'Procyfloc AL200'!K134)</f>
        <v/>
      </c>
      <c r="AF3633">
        <f t="shared" si="353"/>
        <v>0</v>
      </c>
      <c r="AG3633" t="str">
        <f t="shared" si="354"/>
        <v/>
      </c>
      <c r="AH3633" t="str">
        <f t="shared" si="355"/>
        <v/>
      </c>
      <c r="AI3633">
        <f t="shared" si="356"/>
        <v>0</v>
      </c>
      <c r="AJ3633">
        <f t="shared" si="357"/>
        <v>0</v>
      </c>
      <c r="AK3633">
        <v>0</v>
      </c>
      <c r="AL3633" t="str">
        <f>IF(AA3633="","",IFERROR(IF(ISNUMBER('Procyfloc AL200'!D134),'Procyfloc AL200'!D134,IF(ISNUMBER(SEARCH("12",'Procyfloc AL200'!D134)),EDATE(AB3633,12),IF(ISNUMBER(SEARCH("6",'Procyfloc AL200'!D134)),EDATE(AB3633,6),IF(ISNUMBER(SEARCH("3",'Procyfloc AL200'!D134)),EDATE(AB3633,3),DATEVALUE('Procyfloc AL200'!D134))))),""))</f>
        <v/>
      </c>
      <c r="AM3633" t="str">
        <f t="shared" ca="1" si="358"/>
        <v/>
      </c>
    </row>
    <row r="3634" spans="27:39" x14ac:dyDescent="0.3">
      <c r="AA3634" t="str">
        <f>IF(COUNTA('Procyfloc AL200'!A135,'Procyfloc AL200'!B135,'Procyfloc AL200'!C135)&gt;0,"AL200","")</f>
        <v/>
      </c>
      <c r="AB3634" t="str">
        <f>IFERROR(IF(ISNUMBER('Procyfloc AL200'!A135),'Procyfloc AL200'!A135,DATEVALUE('Procyfloc AL200'!A135)),"")</f>
        <v/>
      </c>
      <c r="AC3634" t="str">
        <f>IF(AA3634="","",'Procyfloc AL200'!B135)</f>
        <v/>
      </c>
      <c r="AD3634" t="str">
        <f>IF(AA3634="","",IFERROR(1*'Procyfloc AL200'!C135,IFERROR(_xludf.NUMBERVALUE('Procyfloc AL200'!C135,".",","),IFERROR(_xludf.NUMBERVALUE('Procyfloc AL200'!C135,",","."),0))))</f>
        <v/>
      </c>
      <c r="AE3634" t="str">
        <f>IF(AA3634="","",'Procyfloc AL200'!K135)</f>
        <v/>
      </c>
      <c r="AF3634">
        <f t="shared" si="353"/>
        <v>0</v>
      </c>
      <c r="AG3634" t="str">
        <f t="shared" si="354"/>
        <v/>
      </c>
      <c r="AH3634" t="str">
        <f t="shared" si="355"/>
        <v/>
      </c>
      <c r="AI3634">
        <f t="shared" si="356"/>
        <v>0</v>
      </c>
      <c r="AJ3634">
        <f t="shared" si="357"/>
        <v>0</v>
      </c>
      <c r="AK3634">
        <v>0</v>
      </c>
      <c r="AL3634" t="str">
        <f>IF(AA3634="","",IFERROR(IF(ISNUMBER('Procyfloc AL200'!D135),'Procyfloc AL200'!D135,IF(ISNUMBER(SEARCH("12",'Procyfloc AL200'!D135)),EDATE(AB3634,12),IF(ISNUMBER(SEARCH("6",'Procyfloc AL200'!D135)),EDATE(AB3634,6),IF(ISNUMBER(SEARCH("3",'Procyfloc AL200'!D135)),EDATE(AB3634,3),DATEVALUE('Procyfloc AL200'!D135))))),""))</f>
        <v/>
      </c>
      <c r="AM3634" t="str">
        <f t="shared" ca="1" si="358"/>
        <v/>
      </c>
    </row>
    <row r="3635" spans="27:39" x14ac:dyDescent="0.3">
      <c r="AA3635" t="str">
        <f>IF(COUNTA('Procyfloc AL200'!A136,'Procyfloc AL200'!B136,'Procyfloc AL200'!C136)&gt;0,"AL200","")</f>
        <v/>
      </c>
      <c r="AB3635" t="str">
        <f>IFERROR(IF(ISNUMBER('Procyfloc AL200'!A136),'Procyfloc AL200'!A136,DATEVALUE('Procyfloc AL200'!A136)),"")</f>
        <v/>
      </c>
      <c r="AC3635" t="str">
        <f>IF(AA3635="","",'Procyfloc AL200'!B136)</f>
        <v/>
      </c>
      <c r="AD3635" t="str">
        <f>IF(AA3635="","",IFERROR(1*'Procyfloc AL200'!C136,IFERROR(_xludf.NUMBERVALUE('Procyfloc AL200'!C136,".",","),IFERROR(_xludf.NUMBERVALUE('Procyfloc AL200'!C136,",","."),0))))</f>
        <v/>
      </c>
      <c r="AE3635" t="str">
        <f>IF(AA3635="","",'Procyfloc AL200'!K136)</f>
        <v/>
      </c>
      <c r="AF3635">
        <f t="shared" si="353"/>
        <v>0</v>
      </c>
      <c r="AG3635" t="str">
        <f t="shared" si="354"/>
        <v/>
      </c>
      <c r="AH3635" t="str">
        <f t="shared" si="355"/>
        <v/>
      </c>
      <c r="AI3635">
        <f t="shared" si="356"/>
        <v>0</v>
      </c>
      <c r="AJ3635">
        <f t="shared" si="357"/>
        <v>0</v>
      </c>
      <c r="AK3635">
        <v>0</v>
      </c>
      <c r="AL3635" t="str">
        <f>IF(AA3635="","",IFERROR(IF(ISNUMBER('Procyfloc AL200'!D136),'Procyfloc AL200'!D136,IF(ISNUMBER(SEARCH("12",'Procyfloc AL200'!D136)),EDATE(AB3635,12),IF(ISNUMBER(SEARCH("6",'Procyfloc AL200'!D136)),EDATE(AB3635,6),IF(ISNUMBER(SEARCH("3",'Procyfloc AL200'!D136)),EDATE(AB3635,3),DATEVALUE('Procyfloc AL200'!D136))))),""))</f>
        <v/>
      </c>
      <c r="AM3635" t="str">
        <f t="shared" ca="1" si="358"/>
        <v/>
      </c>
    </row>
    <row r="3636" spans="27:39" x14ac:dyDescent="0.3">
      <c r="AA3636" t="str">
        <f>IF(COUNTA('Procyfloc AL200'!A137,'Procyfloc AL200'!B137,'Procyfloc AL200'!C137)&gt;0,"AL200","")</f>
        <v/>
      </c>
      <c r="AB3636" t="str">
        <f>IFERROR(IF(ISNUMBER('Procyfloc AL200'!A137),'Procyfloc AL200'!A137,DATEVALUE('Procyfloc AL200'!A137)),"")</f>
        <v/>
      </c>
      <c r="AC3636" t="str">
        <f>IF(AA3636="","",'Procyfloc AL200'!B137)</f>
        <v/>
      </c>
      <c r="AD3636" t="str">
        <f>IF(AA3636="","",IFERROR(1*'Procyfloc AL200'!C137,IFERROR(_xludf.NUMBERVALUE('Procyfloc AL200'!C137,".",","),IFERROR(_xludf.NUMBERVALUE('Procyfloc AL200'!C137,",","."),0))))</f>
        <v/>
      </c>
      <c r="AE3636" t="str">
        <f>IF(AA3636="","",'Procyfloc AL200'!K137)</f>
        <v/>
      </c>
      <c r="AF3636">
        <f t="shared" si="353"/>
        <v>0</v>
      </c>
      <c r="AG3636" t="str">
        <f t="shared" si="354"/>
        <v/>
      </c>
      <c r="AH3636" t="str">
        <f t="shared" si="355"/>
        <v/>
      </c>
      <c r="AI3636">
        <f t="shared" si="356"/>
        <v>0</v>
      </c>
      <c r="AJ3636">
        <f t="shared" si="357"/>
        <v>0</v>
      </c>
      <c r="AK3636">
        <v>0</v>
      </c>
      <c r="AL3636" t="str">
        <f>IF(AA3636="","",IFERROR(IF(ISNUMBER('Procyfloc AL200'!D137),'Procyfloc AL200'!D137,IF(ISNUMBER(SEARCH("12",'Procyfloc AL200'!D137)),EDATE(AB3636,12),IF(ISNUMBER(SEARCH("6",'Procyfloc AL200'!D137)),EDATE(AB3636,6),IF(ISNUMBER(SEARCH("3",'Procyfloc AL200'!D137)),EDATE(AB3636,3),DATEVALUE('Procyfloc AL200'!D137))))),""))</f>
        <v/>
      </c>
      <c r="AM3636" t="str">
        <f t="shared" ca="1" si="358"/>
        <v/>
      </c>
    </row>
    <row r="3637" spans="27:39" x14ac:dyDescent="0.3">
      <c r="AA3637" t="str">
        <f>IF(COUNTA('Procyfloc AL200'!A138,'Procyfloc AL200'!B138,'Procyfloc AL200'!C138)&gt;0,"AL200","")</f>
        <v/>
      </c>
      <c r="AB3637" t="str">
        <f>IFERROR(IF(ISNUMBER('Procyfloc AL200'!A138),'Procyfloc AL200'!A138,DATEVALUE('Procyfloc AL200'!A138)),"")</f>
        <v/>
      </c>
      <c r="AC3637" t="str">
        <f>IF(AA3637="","",'Procyfloc AL200'!B138)</f>
        <v/>
      </c>
      <c r="AD3637" t="str">
        <f>IF(AA3637="","",IFERROR(1*'Procyfloc AL200'!C138,IFERROR(_xludf.NUMBERVALUE('Procyfloc AL200'!C138,".",","),IFERROR(_xludf.NUMBERVALUE('Procyfloc AL200'!C138,",","."),0))))</f>
        <v/>
      </c>
      <c r="AE3637" t="str">
        <f>IF(AA3637="","",'Procyfloc AL200'!K138)</f>
        <v/>
      </c>
      <c r="AF3637">
        <f t="shared" si="353"/>
        <v>0</v>
      </c>
      <c r="AG3637" t="str">
        <f t="shared" si="354"/>
        <v/>
      </c>
      <c r="AH3637" t="str">
        <f t="shared" si="355"/>
        <v/>
      </c>
      <c r="AI3637">
        <f t="shared" si="356"/>
        <v>0</v>
      </c>
      <c r="AJ3637">
        <f t="shared" si="357"/>
        <v>0</v>
      </c>
      <c r="AK3637">
        <v>0</v>
      </c>
      <c r="AL3637" t="str">
        <f>IF(AA3637="","",IFERROR(IF(ISNUMBER('Procyfloc AL200'!D138),'Procyfloc AL200'!D138,IF(ISNUMBER(SEARCH("12",'Procyfloc AL200'!D138)),EDATE(AB3637,12),IF(ISNUMBER(SEARCH("6",'Procyfloc AL200'!D138)),EDATE(AB3637,6),IF(ISNUMBER(SEARCH("3",'Procyfloc AL200'!D138)),EDATE(AB3637,3),DATEVALUE('Procyfloc AL200'!D138))))),""))</f>
        <v/>
      </c>
      <c r="AM3637" t="str">
        <f t="shared" ca="1" si="358"/>
        <v/>
      </c>
    </row>
    <row r="3638" spans="27:39" x14ac:dyDescent="0.3">
      <c r="AA3638" t="str">
        <f>IF(COUNTA('Procyfloc AL200'!A139,'Procyfloc AL200'!B139,'Procyfloc AL200'!C139)&gt;0,"AL200","")</f>
        <v/>
      </c>
      <c r="AB3638" t="str">
        <f>IFERROR(IF(ISNUMBER('Procyfloc AL200'!A139),'Procyfloc AL200'!A139,DATEVALUE('Procyfloc AL200'!A139)),"")</f>
        <v/>
      </c>
      <c r="AC3638" t="str">
        <f>IF(AA3638="","",'Procyfloc AL200'!B139)</f>
        <v/>
      </c>
      <c r="AD3638" t="str">
        <f>IF(AA3638="","",IFERROR(1*'Procyfloc AL200'!C139,IFERROR(_xludf.NUMBERVALUE('Procyfloc AL200'!C139,".",","),IFERROR(_xludf.NUMBERVALUE('Procyfloc AL200'!C139,",","."),0))))</f>
        <v/>
      </c>
      <c r="AE3638" t="str">
        <f>IF(AA3638="","",'Procyfloc AL200'!K139)</f>
        <v/>
      </c>
      <c r="AF3638">
        <f t="shared" si="353"/>
        <v>0</v>
      </c>
      <c r="AG3638" t="str">
        <f t="shared" si="354"/>
        <v/>
      </c>
      <c r="AH3638" t="str">
        <f t="shared" si="355"/>
        <v/>
      </c>
      <c r="AI3638">
        <f t="shared" si="356"/>
        <v>0</v>
      </c>
      <c r="AJ3638">
        <f t="shared" si="357"/>
        <v>0</v>
      </c>
      <c r="AK3638">
        <v>0</v>
      </c>
      <c r="AL3638" t="str">
        <f>IF(AA3638="","",IFERROR(IF(ISNUMBER('Procyfloc AL200'!D139),'Procyfloc AL200'!D139,IF(ISNUMBER(SEARCH("12",'Procyfloc AL200'!D139)),EDATE(AB3638,12),IF(ISNUMBER(SEARCH("6",'Procyfloc AL200'!D139)),EDATE(AB3638,6),IF(ISNUMBER(SEARCH("3",'Procyfloc AL200'!D139)),EDATE(AB3638,3),DATEVALUE('Procyfloc AL200'!D139))))),""))</f>
        <v/>
      </c>
      <c r="AM3638" t="str">
        <f t="shared" ca="1" si="358"/>
        <v/>
      </c>
    </row>
    <row r="3639" spans="27:39" x14ac:dyDescent="0.3">
      <c r="AA3639" t="str">
        <f>IF(COUNTA('Procyfloc AL200'!A140,'Procyfloc AL200'!B140,'Procyfloc AL200'!C140)&gt;0,"AL200","")</f>
        <v/>
      </c>
      <c r="AB3639" t="str">
        <f>IFERROR(IF(ISNUMBER('Procyfloc AL200'!A140),'Procyfloc AL200'!A140,DATEVALUE('Procyfloc AL200'!A140)),"")</f>
        <v/>
      </c>
      <c r="AC3639" t="str">
        <f>IF(AA3639="","",'Procyfloc AL200'!B140)</f>
        <v/>
      </c>
      <c r="AD3639" t="str">
        <f>IF(AA3639="","",IFERROR(1*'Procyfloc AL200'!C140,IFERROR(_xludf.NUMBERVALUE('Procyfloc AL200'!C140,".",","),IFERROR(_xludf.NUMBERVALUE('Procyfloc AL200'!C140,",","."),0))))</f>
        <v/>
      </c>
      <c r="AE3639" t="str">
        <f>IF(AA3639="","",'Procyfloc AL200'!K140)</f>
        <v/>
      </c>
      <c r="AF3639">
        <f t="shared" si="353"/>
        <v>0</v>
      </c>
      <c r="AG3639" t="str">
        <f t="shared" si="354"/>
        <v/>
      </c>
      <c r="AH3639" t="str">
        <f t="shared" si="355"/>
        <v/>
      </c>
      <c r="AI3639">
        <f t="shared" si="356"/>
        <v>0</v>
      </c>
      <c r="AJ3639">
        <f t="shared" si="357"/>
        <v>0</v>
      </c>
      <c r="AK3639">
        <v>0</v>
      </c>
      <c r="AL3639" t="str">
        <f>IF(AA3639="","",IFERROR(IF(ISNUMBER('Procyfloc AL200'!D140),'Procyfloc AL200'!D140,IF(ISNUMBER(SEARCH("12",'Procyfloc AL200'!D140)),EDATE(AB3639,12),IF(ISNUMBER(SEARCH("6",'Procyfloc AL200'!D140)),EDATE(AB3639,6),IF(ISNUMBER(SEARCH("3",'Procyfloc AL200'!D140)),EDATE(AB3639,3),DATEVALUE('Procyfloc AL200'!D140))))),""))</f>
        <v/>
      </c>
      <c r="AM3639" t="str">
        <f t="shared" ca="1" si="358"/>
        <v/>
      </c>
    </row>
    <row r="3640" spans="27:39" x14ac:dyDescent="0.3">
      <c r="AA3640" t="str">
        <f>IF(COUNTA('Procyfloc AL200'!A141,'Procyfloc AL200'!B141,'Procyfloc AL200'!C141)&gt;0,"AL200","")</f>
        <v/>
      </c>
      <c r="AB3640" t="str">
        <f>IFERROR(IF(ISNUMBER('Procyfloc AL200'!A141),'Procyfloc AL200'!A141,DATEVALUE('Procyfloc AL200'!A141)),"")</f>
        <v/>
      </c>
      <c r="AC3640" t="str">
        <f>IF(AA3640="","",'Procyfloc AL200'!B141)</f>
        <v/>
      </c>
      <c r="AD3640" t="str">
        <f>IF(AA3640="","",IFERROR(1*'Procyfloc AL200'!C141,IFERROR(_xludf.NUMBERVALUE('Procyfloc AL200'!C141,".",","),IFERROR(_xludf.NUMBERVALUE('Procyfloc AL200'!C141,",","."),0))))</f>
        <v/>
      </c>
      <c r="AE3640" t="str">
        <f>IF(AA3640="","",'Procyfloc AL200'!K141)</f>
        <v/>
      </c>
      <c r="AF3640">
        <f t="shared" si="353"/>
        <v>0</v>
      </c>
      <c r="AG3640" t="str">
        <f t="shared" si="354"/>
        <v/>
      </c>
      <c r="AH3640" t="str">
        <f t="shared" si="355"/>
        <v/>
      </c>
      <c r="AI3640">
        <f t="shared" si="356"/>
        <v>0</v>
      </c>
      <c r="AJ3640">
        <f t="shared" si="357"/>
        <v>0</v>
      </c>
      <c r="AK3640">
        <v>0</v>
      </c>
      <c r="AL3640" t="str">
        <f>IF(AA3640="","",IFERROR(IF(ISNUMBER('Procyfloc AL200'!D141),'Procyfloc AL200'!D141,IF(ISNUMBER(SEARCH("12",'Procyfloc AL200'!D141)),EDATE(AB3640,12),IF(ISNUMBER(SEARCH("6",'Procyfloc AL200'!D141)),EDATE(AB3640,6),IF(ISNUMBER(SEARCH("3",'Procyfloc AL200'!D141)),EDATE(AB3640,3),DATEVALUE('Procyfloc AL200'!D141))))),""))</f>
        <v/>
      </c>
      <c r="AM3640" t="str">
        <f t="shared" ca="1" si="358"/>
        <v/>
      </c>
    </row>
    <row r="3641" spans="27:39" x14ac:dyDescent="0.3">
      <c r="AA3641" t="str">
        <f>IF(COUNTA('Procyfloc AL200'!A142,'Procyfloc AL200'!B142,'Procyfloc AL200'!C142)&gt;0,"AL200","")</f>
        <v/>
      </c>
      <c r="AB3641" t="str">
        <f>IFERROR(IF(ISNUMBER('Procyfloc AL200'!A142),'Procyfloc AL200'!A142,DATEVALUE('Procyfloc AL200'!A142)),"")</f>
        <v/>
      </c>
      <c r="AC3641" t="str">
        <f>IF(AA3641="","",'Procyfloc AL200'!B142)</f>
        <v/>
      </c>
      <c r="AD3641" t="str">
        <f>IF(AA3641="","",IFERROR(1*'Procyfloc AL200'!C142,IFERROR(_xludf.NUMBERVALUE('Procyfloc AL200'!C142,".",","),IFERROR(_xludf.NUMBERVALUE('Procyfloc AL200'!C142,",","."),0))))</f>
        <v/>
      </c>
      <c r="AE3641" t="str">
        <f>IF(AA3641="","",'Procyfloc AL200'!K142)</f>
        <v/>
      </c>
      <c r="AF3641">
        <f t="shared" si="353"/>
        <v>0</v>
      </c>
      <c r="AG3641" t="str">
        <f t="shared" si="354"/>
        <v/>
      </c>
      <c r="AH3641" t="str">
        <f t="shared" si="355"/>
        <v/>
      </c>
      <c r="AI3641">
        <f t="shared" si="356"/>
        <v>0</v>
      </c>
      <c r="AJ3641">
        <f t="shared" si="357"/>
        <v>0</v>
      </c>
      <c r="AK3641">
        <v>0</v>
      </c>
      <c r="AL3641" t="str">
        <f>IF(AA3641="","",IFERROR(IF(ISNUMBER('Procyfloc AL200'!D142),'Procyfloc AL200'!D142,IF(ISNUMBER(SEARCH("12",'Procyfloc AL200'!D142)),EDATE(AB3641,12),IF(ISNUMBER(SEARCH("6",'Procyfloc AL200'!D142)),EDATE(AB3641,6),IF(ISNUMBER(SEARCH("3",'Procyfloc AL200'!D142)),EDATE(AB3641,3),DATEVALUE('Procyfloc AL200'!D142))))),""))</f>
        <v/>
      </c>
      <c r="AM3641" t="str">
        <f t="shared" ca="1" si="358"/>
        <v/>
      </c>
    </row>
    <row r="3642" spans="27:39" x14ac:dyDescent="0.3">
      <c r="AA3642" t="str">
        <f>IF(COUNTA('Procyfloc AL200'!A143,'Procyfloc AL200'!B143,'Procyfloc AL200'!C143)&gt;0,"AL200","")</f>
        <v/>
      </c>
      <c r="AB3642" t="str">
        <f>IFERROR(IF(ISNUMBER('Procyfloc AL200'!A143),'Procyfloc AL200'!A143,DATEVALUE('Procyfloc AL200'!A143)),"")</f>
        <v/>
      </c>
      <c r="AC3642" t="str">
        <f>IF(AA3642="","",'Procyfloc AL200'!B143)</f>
        <v/>
      </c>
      <c r="AD3642" t="str">
        <f>IF(AA3642="","",IFERROR(1*'Procyfloc AL200'!C143,IFERROR(_xludf.NUMBERVALUE('Procyfloc AL200'!C143,".",","),IFERROR(_xludf.NUMBERVALUE('Procyfloc AL200'!C143,",","."),0))))</f>
        <v/>
      </c>
      <c r="AE3642" t="str">
        <f>IF(AA3642="","",'Procyfloc AL200'!K143)</f>
        <v/>
      </c>
      <c r="AF3642">
        <f t="shared" si="353"/>
        <v>0</v>
      </c>
      <c r="AG3642" t="str">
        <f t="shared" si="354"/>
        <v/>
      </c>
      <c r="AH3642" t="str">
        <f t="shared" si="355"/>
        <v/>
      </c>
      <c r="AI3642">
        <f t="shared" si="356"/>
        <v>0</v>
      </c>
      <c r="AJ3642">
        <f t="shared" si="357"/>
        <v>0</v>
      </c>
      <c r="AK3642">
        <v>0</v>
      </c>
      <c r="AL3642" t="str">
        <f>IF(AA3642="","",IFERROR(IF(ISNUMBER('Procyfloc AL200'!D143),'Procyfloc AL200'!D143,IF(ISNUMBER(SEARCH("12",'Procyfloc AL200'!D143)),EDATE(AB3642,12),IF(ISNUMBER(SEARCH("6",'Procyfloc AL200'!D143)),EDATE(AB3642,6),IF(ISNUMBER(SEARCH("3",'Procyfloc AL200'!D143)),EDATE(AB3642,3),DATEVALUE('Procyfloc AL200'!D143))))),""))</f>
        <v/>
      </c>
      <c r="AM3642" t="str">
        <f t="shared" ca="1" si="358"/>
        <v/>
      </c>
    </row>
    <row r="3643" spans="27:39" x14ac:dyDescent="0.3">
      <c r="AA3643" t="str">
        <f>IF(COUNTA('Procyfloc AL200'!A144,'Procyfloc AL200'!B144,'Procyfloc AL200'!C144)&gt;0,"AL200","")</f>
        <v/>
      </c>
      <c r="AB3643" t="str">
        <f>IFERROR(IF(ISNUMBER('Procyfloc AL200'!A144),'Procyfloc AL200'!A144,DATEVALUE('Procyfloc AL200'!A144)),"")</f>
        <v/>
      </c>
      <c r="AC3643" t="str">
        <f>IF(AA3643="","",'Procyfloc AL200'!B144)</f>
        <v/>
      </c>
      <c r="AD3643" t="str">
        <f>IF(AA3643="","",IFERROR(1*'Procyfloc AL200'!C144,IFERROR(_xludf.NUMBERVALUE('Procyfloc AL200'!C144,".",","),IFERROR(_xludf.NUMBERVALUE('Procyfloc AL200'!C144,",","."),0))))</f>
        <v/>
      </c>
      <c r="AE3643" t="str">
        <f>IF(AA3643="","",'Procyfloc AL200'!K144)</f>
        <v/>
      </c>
      <c r="AF3643">
        <f t="shared" si="353"/>
        <v>0</v>
      </c>
      <c r="AG3643" t="str">
        <f t="shared" si="354"/>
        <v/>
      </c>
      <c r="AH3643" t="str">
        <f t="shared" si="355"/>
        <v/>
      </c>
      <c r="AI3643">
        <f t="shared" si="356"/>
        <v>0</v>
      </c>
      <c r="AJ3643">
        <f t="shared" si="357"/>
        <v>0</v>
      </c>
      <c r="AK3643">
        <v>0</v>
      </c>
      <c r="AL3643" t="str">
        <f>IF(AA3643="","",IFERROR(IF(ISNUMBER('Procyfloc AL200'!D144),'Procyfloc AL200'!D144,IF(ISNUMBER(SEARCH("12",'Procyfloc AL200'!D144)),EDATE(AB3643,12),IF(ISNUMBER(SEARCH("6",'Procyfloc AL200'!D144)),EDATE(AB3643,6),IF(ISNUMBER(SEARCH("3",'Procyfloc AL200'!D144)),EDATE(AB3643,3),DATEVALUE('Procyfloc AL200'!D144))))),""))</f>
        <v/>
      </c>
      <c r="AM3643" t="str">
        <f t="shared" ca="1" si="358"/>
        <v/>
      </c>
    </row>
    <row r="3644" spans="27:39" x14ac:dyDescent="0.3">
      <c r="AA3644" t="str">
        <f>IF(COUNTA('Procyfloc AL200'!A145,'Procyfloc AL200'!B145,'Procyfloc AL200'!C145)&gt;0,"AL200","")</f>
        <v/>
      </c>
      <c r="AB3644" t="str">
        <f>IFERROR(IF(ISNUMBER('Procyfloc AL200'!A145),'Procyfloc AL200'!A145,DATEVALUE('Procyfloc AL200'!A145)),"")</f>
        <v/>
      </c>
      <c r="AC3644" t="str">
        <f>IF(AA3644="","",'Procyfloc AL200'!B145)</f>
        <v/>
      </c>
      <c r="AD3644" t="str">
        <f>IF(AA3644="","",IFERROR(1*'Procyfloc AL200'!C145,IFERROR(_xludf.NUMBERVALUE('Procyfloc AL200'!C145,".",","),IFERROR(_xludf.NUMBERVALUE('Procyfloc AL200'!C145,",","."),0))))</f>
        <v/>
      </c>
      <c r="AE3644" t="str">
        <f>IF(AA3644="","",'Procyfloc AL200'!K145)</f>
        <v/>
      </c>
      <c r="AF3644">
        <f t="shared" si="353"/>
        <v>0</v>
      </c>
      <c r="AG3644" t="str">
        <f t="shared" si="354"/>
        <v/>
      </c>
      <c r="AH3644" t="str">
        <f t="shared" si="355"/>
        <v/>
      </c>
      <c r="AI3644">
        <f t="shared" si="356"/>
        <v>0</v>
      </c>
      <c r="AJ3644">
        <f t="shared" si="357"/>
        <v>0</v>
      </c>
      <c r="AK3644">
        <v>0</v>
      </c>
      <c r="AL3644" t="str">
        <f>IF(AA3644="","",IFERROR(IF(ISNUMBER('Procyfloc AL200'!D145),'Procyfloc AL200'!D145,IF(ISNUMBER(SEARCH("12",'Procyfloc AL200'!D145)),EDATE(AB3644,12),IF(ISNUMBER(SEARCH("6",'Procyfloc AL200'!D145)),EDATE(AB3644,6),IF(ISNUMBER(SEARCH("3",'Procyfloc AL200'!D145)),EDATE(AB3644,3),DATEVALUE('Procyfloc AL200'!D145))))),""))</f>
        <v/>
      </c>
      <c r="AM3644" t="str">
        <f t="shared" ca="1" si="358"/>
        <v/>
      </c>
    </row>
    <row r="3645" spans="27:39" x14ac:dyDescent="0.3">
      <c r="AA3645" t="str">
        <f>IF(COUNTA('Procyfloc AL200'!A146,'Procyfloc AL200'!B146,'Procyfloc AL200'!C146)&gt;0,"AL200","")</f>
        <v/>
      </c>
      <c r="AB3645" t="str">
        <f>IFERROR(IF(ISNUMBER('Procyfloc AL200'!A146),'Procyfloc AL200'!A146,DATEVALUE('Procyfloc AL200'!A146)),"")</f>
        <v/>
      </c>
      <c r="AC3645" t="str">
        <f>IF(AA3645="","",'Procyfloc AL200'!B146)</f>
        <v/>
      </c>
      <c r="AD3645" t="str">
        <f>IF(AA3645="","",IFERROR(1*'Procyfloc AL200'!C146,IFERROR(_xludf.NUMBERVALUE('Procyfloc AL200'!C146,".",","),IFERROR(_xludf.NUMBERVALUE('Procyfloc AL200'!C146,",","."),0))))</f>
        <v/>
      </c>
      <c r="AE3645" t="str">
        <f>IF(AA3645="","",'Procyfloc AL200'!K146)</f>
        <v/>
      </c>
      <c r="AF3645">
        <f t="shared" si="353"/>
        <v>0</v>
      </c>
      <c r="AG3645" t="str">
        <f t="shared" si="354"/>
        <v/>
      </c>
      <c r="AH3645" t="str">
        <f t="shared" si="355"/>
        <v/>
      </c>
      <c r="AI3645">
        <f t="shared" si="356"/>
        <v>0</v>
      </c>
      <c r="AJ3645">
        <f t="shared" si="357"/>
        <v>0</v>
      </c>
      <c r="AK3645">
        <v>0</v>
      </c>
      <c r="AL3645" t="str">
        <f>IF(AA3645="","",IFERROR(IF(ISNUMBER('Procyfloc AL200'!D146),'Procyfloc AL200'!D146,IF(ISNUMBER(SEARCH("12",'Procyfloc AL200'!D146)),EDATE(AB3645,12),IF(ISNUMBER(SEARCH("6",'Procyfloc AL200'!D146)),EDATE(AB3645,6),IF(ISNUMBER(SEARCH("3",'Procyfloc AL200'!D146)),EDATE(AB3645,3),DATEVALUE('Procyfloc AL200'!D146))))),""))</f>
        <v/>
      </c>
      <c r="AM3645" t="str">
        <f t="shared" ca="1" si="358"/>
        <v/>
      </c>
    </row>
    <row r="3646" spans="27:39" x14ac:dyDescent="0.3">
      <c r="AA3646" t="str">
        <f>IF(COUNTA('Procyfloc AL200'!A147,'Procyfloc AL200'!B147,'Procyfloc AL200'!C147)&gt;0,"AL200","")</f>
        <v/>
      </c>
      <c r="AB3646" t="str">
        <f>IFERROR(IF(ISNUMBER('Procyfloc AL200'!A147),'Procyfloc AL200'!A147,DATEVALUE('Procyfloc AL200'!A147)),"")</f>
        <v/>
      </c>
      <c r="AC3646" t="str">
        <f>IF(AA3646="","",'Procyfloc AL200'!B147)</f>
        <v/>
      </c>
      <c r="AD3646" t="str">
        <f>IF(AA3646="","",IFERROR(1*'Procyfloc AL200'!C147,IFERROR(_xludf.NUMBERVALUE('Procyfloc AL200'!C147,".",","),IFERROR(_xludf.NUMBERVALUE('Procyfloc AL200'!C147,",","."),0))))</f>
        <v/>
      </c>
      <c r="AE3646" t="str">
        <f>IF(AA3646="","",'Procyfloc AL200'!K147)</f>
        <v/>
      </c>
      <c r="AF3646">
        <f t="shared" si="353"/>
        <v>0</v>
      </c>
      <c r="AG3646" t="str">
        <f t="shared" si="354"/>
        <v/>
      </c>
      <c r="AH3646" t="str">
        <f t="shared" si="355"/>
        <v/>
      </c>
      <c r="AI3646">
        <f t="shared" si="356"/>
        <v>0</v>
      </c>
      <c r="AJ3646">
        <f t="shared" si="357"/>
        <v>0</v>
      </c>
      <c r="AK3646">
        <v>0</v>
      </c>
      <c r="AL3646" t="str">
        <f>IF(AA3646="","",IFERROR(IF(ISNUMBER('Procyfloc AL200'!D147),'Procyfloc AL200'!D147,IF(ISNUMBER(SEARCH("12",'Procyfloc AL200'!D147)),EDATE(AB3646,12),IF(ISNUMBER(SEARCH("6",'Procyfloc AL200'!D147)),EDATE(AB3646,6),IF(ISNUMBER(SEARCH("3",'Procyfloc AL200'!D147)),EDATE(AB3646,3),DATEVALUE('Procyfloc AL200'!D147))))),""))</f>
        <v/>
      </c>
      <c r="AM3646" t="str">
        <f t="shared" ca="1" si="358"/>
        <v/>
      </c>
    </row>
    <row r="3647" spans="27:39" x14ac:dyDescent="0.3">
      <c r="AA3647" t="str">
        <f>IF(COUNTA('Procyfloc AL200'!A148,'Procyfloc AL200'!B148,'Procyfloc AL200'!C148)&gt;0,"AL200","")</f>
        <v/>
      </c>
      <c r="AB3647" t="str">
        <f>IFERROR(IF(ISNUMBER('Procyfloc AL200'!A148),'Procyfloc AL200'!A148,DATEVALUE('Procyfloc AL200'!A148)),"")</f>
        <v/>
      </c>
      <c r="AC3647" t="str">
        <f>IF(AA3647="","",'Procyfloc AL200'!B148)</f>
        <v/>
      </c>
      <c r="AD3647" t="str">
        <f>IF(AA3647="","",IFERROR(1*'Procyfloc AL200'!C148,IFERROR(_xludf.NUMBERVALUE('Procyfloc AL200'!C148,".",","),IFERROR(_xludf.NUMBERVALUE('Procyfloc AL200'!C148,",","."),0))))</f>
        <v/>
      </c>
      <c r="AE3647" t="str">
        <f>IF(AA3647="","",'Procyfloc AL200'!K148)</f>
        <v/>
      </c>
      <c r="AF3647">
        <f t="shared" si="353"/>
        <v>0</v>
      </c>
      <c r="AG3647" t="str">
        <f t="shared" si="354"/>
        <v/>
      </c>
      <c r="AH3647" t="str">
        <f t="shared" si="355"/>
        <v/>
      </c>
      <c r="AI3647">
        <f t="shared" si="356"/>
        <v>0</v>
      </c>
      <c r="AJ3647">
        <f t="shared" si="357"/>
        <v>0</v>
      </c>
      <c r="AK3647">
        <v>0</v>
      </c>
      <c r="AL3647" t="str">
        <f>IF(AA3647="","",IFERROR(IF(ISNUMBER('Procyfloc AL200'!D148),'Procyfloc AL200'!D148,IF(ISNUMBER(SEARCH("12",'Procyfloc AL200'!D148)),EDATE(AB3647,12),IF(ISNUMBER(SEARCH("6",'Procyfloc AL200'!D148)),EDATE(AB3647,6),IF(ISNUMBER(SEARCH("3",'Procyfloc AL200'!D148)),EDATE(AB3647,3),DATEVALUE('Procyfloc AL200'!D148))))),""))</f>
        <v/>
      </c>
      <c r="AM3647" t="str">
        <f t="shared" ca="1" si="358"/>
        <v/>
      </c>
    </row>
    <row r="3648" spans="27:39" x14ac:dyDescent="0.3">
      <c r="AA3648" t="str">
        <f>IF(COUNTA('Procyfloc AL200'!A149,'Procyfloc AL200'!B149,'Procyfloc AL200'!C149)&gt;0,"AL200","")</f>
        <v/>
      </c>
      <c r="AB3648" t="str">
        <f>IFERROR(IF(ISNUMBER('Procyfloc AL200'!A149),'Procyfloc AL200'!A149,DATEVALUE('Procyfloc AL200'!A149)),"")</f>
        <v/>
      </c>
      <c r="AC3648" t="str">
        <f>IF(AA3648="","",'Procyfloc AL200'!B149)</f>
        <v/>
      </c>
      <c r="AD3648" t="str">
        <f>IF(AA3648="","",IFERROR(1*'Procyfloc AL200'!C149,IFERROR(_xludf.NUMBERVALUE('Procyfloc AL200'!C149,".",","),IFERROR(_xludf.NUMBERVALUE('Procyfloc AL200'!C149,",","."),0))))</f>
        <v/>
      </c>
      <c r="AE3648" t="str">
        <f>IF(AA3648="","",'Procyfloc AL200'!K149)</f>
        <v/>
      </c>
      <c r="AF3648">
        <f t="shared" si="353"/>
        <v>0</v>
      </c>
      <c r="AG3648" t="str">
        <f t="shared" si="354"/>
        <v/>
      </c>
      <c r="AH3648" t="str">
        <f t="shared" si="355"/>
        <v/>
      </c>
      <c r="AI3648">
        <f t="shared" si="356"/>
        <v>0</v>
      </c>
      <c r="AJ3648">
        <f t="shared" si="357"/>
        <v>0</v>
      </c>
      <c r="AK3648">
        <v>0</v>
      </c>
      <c r="AL3648" t="str">
        <f>IF(AA3648="","",IFERROR(IF(ISNUMBER('Procyfloc AL200'!D149),'Procyfloc AL200'!D149,IF(ISNUMBER(SEARCH("12",'Procyfloc AL200'!D149)),EDATE(AB3648,12),IF(ISNUMBER(SEARCH("6",'Procyfloc AL200'!D149)),EDATE(AB3648,6),IF(ISNUMBER(SEARCH("3",'Procyfloc AL200'!D149)),EDATE(AB3648,3),DATEVALUE('Procyfloc AL200'!D149))))),""))</f>
        <v/>
      </c>
      <c r="AM3648" t="str">
        <f t="shared" ca="1" si="358"/>
        <v/>
      </c>
    </row>
    <row r="3649" spans="27:39" x14ac:dyDescent="0.3">
      <c r="AA3649" t="str">
        <f>IF(COUNTA('Procyfloc AL200'!A150,'Procyfloc AL200'!B150,'Procyfloc AL200'!C150)&gt;0,"AL200","")</f>
        <v/>
      </c>
      <c r="AB3649" t="str">
        <f>IFERROR(IF(ISNUMBER('Procyfloc AL200'!A150),'Procyfloc AL200'!A150,DATEVALUE('Procyfloc AL200'!A150)),"")</f>
        <v/>
      </c>
      <c r="AC3649" t="str">
        <f>IF(AA3649="","",'Procyfloc AL200'!B150)</f>
        <v/>
      </c>
      <c r="AD3649" t="str">
        <f>IF(AA3649="","",IFERROR(1*'Procyfloc AL200'!C150,IFERROR(_xludf.NUMBERVALUE('Procyfloc AL200'!C150,".",","),IFERROR(_xludf.NUMBERVALUE('Procyfloc AL200'!C150,",","."),0))))</f>
        <v/>
      </c>
      <c r="AE3649" t="str">
        <f>IF(AA3649="","",'Procyfloc AL200'!K150)</f>
        <v/>
      </c>
      <c r="AF3649">
        <f t="shared" si="353"/>
        <v>0</v>
      </c>
      <c r="AG3649" t="str">
        <f t="shared" si="354"/>
        <v/>
      </c>
      <c r="AH3649" t="str">
        <f t="shared" si="355"/>
        <v/>
      </c>
      <c r="AI3649">
        <f t="shared" si="356"/>
        <v>0</v>
      </c>
      <c r="AJ3649">
        <f t="shared" si="357"/>
        <v>0</v>
      </c>
      <c r="AK3649">
        <v>0</v>
      </c>
      <c r="AL3649" t="str">
        <f>IF(AA3649="","",IFERROR(IF(ISNUMBER('Procyfloc AL200'!D150),'Procyfloc AL200'!D150,IF(ISNUMBER(SEARCH("12",'Procyfloc AL200'!D150)),EDATE(AB3649,12),IF(ISNUMBER(SEARCH("6",'Procyfloc AL200'!D150)),EDATE(AB3649,6),IF(ISNUMBER(SEARCH("3",'Procyfloc AL200'!D150)),EDATE(AB3649,3),DATEVALUE('Procyfloc AL200'!D150))))),""))</f>
        <v/>
      </c>
      <c r="AM3649" t="str">
        <f t="shared" ca="1" si="358"/>
        <v/>
      </c>
    </row>
    <row r="3650" spans="27:39" x14ac:dyDescent="0.3">
      <c r="AA3650" t="str">
        <f>IF(COUNTA('Procyfloc AL200'!A151,'Procyfloc AL200'!B151,'Procyfloc AL200'!C151)&gt;0,"AL200","")</f>
        <v/>
      </c>
      <c r="AB3650" t="str">
        <f>IFERROR(IF(ISNUMBER('Procyfloc AL200'!A151),'Procyfloc AL200'!A151,DATEVALUE('Procyfloc AL200'!A151)),"")</f>
        <v/>
      </c>
      <c r="AC3650" t="str">
        <f>IF(AA3650="","",'Procyfloc AL200'!B151)</f>
        <v/>
      </c>
      <c r="AD3650" t="str">
        <f>IF(AA3650="","",IFERROR(1*'Procyfloc AL200'!C151,IFERROR(_xludf.NUMBERVALUE('Procyfloc AL200'!C151,".",","),IFERROR(_xludf.NUMBERVALUE('Procyfloc AL200'!C151,",","."),0))))</f>
        <v/>
      </c>
      <c r="AE3650" t="str">
        <f>IF(AA3650="","",'Procyfloc AL200'!K151)</f>
        <v/>
      </c>
      <c r="AF3650">
        <f t="shared" ref="AF3650:AF3713" si="359">IF(AA3650="",0,--AND(ISNUMBER(SEARCH("aprov",AE3650)),NOT(ISNUMBER(SEARCH("reprov",AE3650)))))</f>
        <v>0</v>
      </c>
      <c r="AG3650" t="str">
        <f t="shared" ref="AG3650:AG3713" si="360">IF(AB3650="","",YEAR(AB3650))</f>
        <v/>
      </c>
      <c r="AH3650" t="str">
        <f t="shared" ref="AH3650:AH3713" si="361">IF(AB3650="","",MONTH(AB3650))</f>
        <v/>
      </c>
      <c r="AI3650">
        <f t="shared" ref="AI3650:AI3713" si="362">IF(AB3650="",0,AB3650+ROW()/1000000)</f>
        <v>0</v>
      </c>
      <c r="AJ3650">
        <f t="shared" ref="AJ3650:AJ3713" si="363">--(AA3650&lt;&gt;"")</f>
        <v>0</v>
      </c>
      <c r="AK3650">
        <v>0</v>
      </c>
      <c r="AL3650" t="str">
        <f>IF(AA3650="","",IFERROR(IF(ISNUMBER('Procyfloc AL200'!D151),'Procyfloc AL200'!D151,IF(ISNUMBER(SEARCH("12",'Procyfloc AL200'!D151)),EDATE(AB3650,12),IF(ISNUMBER(SEARCH("6",'Procyfloc AL200'!D151)),EDATE(AB3650,6),IF(ISNUMBER(SEARCH("3",'Procyfloc AL200'!D151)),EDATE(AB3650,3),DATEVALUE('Procyfloc AL200'!D151))))),""))</f>
        <v/>
      </c>
      <c r="AM3650" t="str">
        <f t="shared" ref="AM3650:AM3713" ca="1" si="364">IF(AND(AJ3650=1,AL3650&lt;&gt;"",AL3650&gt;=TODAY(),AG3650=$W$3),AL3650+ROW()/1000000,"")</f>
        <v/>
      </c>
    </row>
    <row r="3651" spans="27:39" x14ac:dyDescent="0.3">
      <c r="AA3651" t="str">
        <f>IF(COUNTA('Procyfloc AL200'!A152,'Procyfloc AL200'!B152,'Procyfloc AL200'!C152)&gt;0,"AL200","")</f>
        <v/>
      </c>
      <c r="AB3651" t="str">
        <f>IFERROR(IF(ISNUMBER('Procyfloc AL200'!A152),'Procyfloc AL200'!A152,DATEVALUE('Procyfloc AL200'!A152)),"")</f>
        <v/>
      </c>
      <c r="AC3651" t="str">
        <f>IF(AA3651="","",'Procyfloc AL200'!B152)</f>
        <v/>
      </c>
      <c r="AD3651" t="str">
        <f>IF(AA3651="","",IFERROR(1*'Procyfloc AL200'!C152,IFERROR(_xludf.NUMBERVALUE('Procyfloc AL200'!C152,".",","),IFERROR(_xludf.NUMBERVALUE('Procyfloc AL200'!C152,",","."),0))))</f>
        <v/>
      </c>
      <c r="AE3651" t="str">
        <f>IF(AA3651="","",'Procyfloc AL200'!K152)</f>
        <v/>
      </c>
      <c r="AF3651">
        <f t="shared" si="359"/>
        <v>0</v>
      </c>
      <c r="AG3651" t="str">
        <f t="shared" si="360"/>
        <v/>
      </c>
      <c r="AH3651" t="str">
        <f t="shared" si="361"/>
        <v/>
      </c>
      <c r="AI3651">
        <f t="shared" si="362"/>
        <v>0</v>
      </c>
      <c r="AJ3651">
        <f t="shared" si="363"/>
        <v>0</v>
      </c>
      <c r="AK3651">
        <v>0</v>
      </c>
      <c r="AL3651" t="str">
        <f>IF(AA3651="","",IFERROR(IF(ISNUMBER('Procyfloc AL200'!D152),'Procyfloc AL200'!D152,IF(ISNUMBER(SEARCH("12",'Procyfloc AL200'!D152)),EDATE(AB3651,12),IF(ISNUMBER(SEARCH("6",'Procyfloc AL200'!D152)),EDATE(AB3651,6),IF(ISNUMBER(SEARCH("3",'Procyfloc AL200'!D152)),EDATE(AB3651,3),DATEVALUE('Procyfloc AL200'!D152))))),""))</f>
        <v/>
      </c>
      <c r="AM3651" t="str">
        <f t="shared" ca="1" si="364"/>
        <v/>
      </c>
    </row>
    <row r="3652" spans="27:39" x14ac:dyDescent="0.3">
      <c r="AA3652" t="str">
        <f>IF(COUNTA('Procyfloc AL200'!A153,'Procyfloc AL200'!B153,'Procyfloc AL200'!C153)&gt;0,"AL200","")</f>
        <v/>
      </c>
      <c r="AB3652" t="str">
        <f>IFERROR(IF(ISNUMBER('Procyfloc AL200'!A153),'Procyfloc AL200'!A153,DATEVALUE('Procyfloc AL200'!A153)),"")</f>
        <v/>
      </c>
      <c r="AC3652" t="str">
        <f>IF(AA3652="","",'Procyfloc AL200'!B153)</f>
        <v/>
      </c>
      <c r="AD3652" t="str">
        <f>IF(AA3652="","",IFERROR(1*'Procyfloc AL200'!C153,IFERROR(_xludf.NUMBERVALUE('Procyfloc AL200'!C153,".",","),IFERROR(_xludf.NUMBERVALUE('Procyfloc AL200'!C153,",","."),0))))</f>
        <v/>
      </c>
      <c r="AE3652" t="str">
        <f>IF(AA3652="","",'Procyfloc AL200'!K153)</f>
        <v/>
      </c>
      <c r="AF3652">
        <f t="shared" si="359"/>
        <v>0</v>
      </c>
      <c r="AG3652" t="str">
        <f t="shared" si="360"/>
        <v/>
      </c>
      <c r="AH3652" t="str">
        <f t="shared" si="361"/>
        <v/>
      </c>
      <c r="AI3652">
        <f t="shared" si="362"/>
        <v>0</v>
      </c>
      <c r="AJ3652">
        <f t="shared" si="363"/>
        <v>0</v>
      </c>
      <c r="AK3652">
        <v>0</v>
      </c>
      <c r="AL3652" t="str">
        <f>IF(AA3652="","",IFERROR(IF(ISNUMBER('Procyfloc AL200'!D153),'Procyfloc AL200'!D153,IF(ISNUMBER(SEARCH("12",'Procyfloc AL200'!D153)),EDATE(AB3652,12),IF(ISNUMBER(SEARCH("6",'Procyfloc AL200'!D153)),EDATE(AB3652,6),IF(ISNUMBER(SEARCH("3",'Procyfloc AL200'!D153)),EDATE(AB3652,3),DATEVALUE('Procyfloc AL200'!D153))))),""))</f>
        <v/>
      </c>
      <c r="AM3652" t="str">
        <f t="shared" ca="1" si="364"/>
        <v/>
      </c>
    </row>
    <row r="3653" spans="27:39" x14ac:dyDescent="0.3">
      <c r="AA3653" t="str">
        <f>IF(COUNTA('Procyfloc AL200'!A154,'Procyfloc AL200'!B154,'Procyfloc AL200'!C154)&gt;0,"AL200","")</f>
        <v/>
      </c>
      <c r="AB3653" t="str">
        <f>IFERROR(IF(ISNUMBER('Procyfloc AL200'!A154),'Procyfloc AL200'!A154,DATEVALUE('Procyfloc AL200'!A154)),"")</f>
        <v/>
      </c>
      <c r="AC3653" t="str">
        <f>IF(AA3653="","",'Procyfloc AL200'!B154)</f>
        <v/>
      </c>
      <c r="AD3653" t="str">
        <f>IF(AA3653="","",IFERROR(1*'Procyfloc AL200'!C154,IFERROR(_xludf.NUMBERVALUE('Procyfloc AL200'!C154,".",","),IFERROR(_xludf.NUMBERVALUE('Procyfloc AL200'!C154,",","."),0))))</f>
        <v/>
      </c>
      <c r="AE3653" t="str">
        <f>IF(AA3653="","",'Procyfloc AL200'!K154)</f>
        <v/>
      </c>
      <c r="AF3653">
        <f t="shared" si="359"/>
        <v>0</v>
      </c>
      <c r="AG3653" t="str">
        <f t="shared" si="360"/>
        <v/>
      </c>
      <c r="AH3653" t="str">
        <f t="shared" si="361"/>
        <v/>
      </c>
      <c r="AI3653">
        <f t="shared" si="362"/>
        <v>0</v>
      </c>
      <c r="AJ3653">
        <f t="shared" si="363"/>
        <v>0</v>
      </c>
      <c r="AK3653">
        <v>0</v>
      </c>
      <c r="AL3653" t="str">
        <f>IF(AA3653="","",IFERROR(IF(ISNUMBER('Procyfloc AL200'!D154),'Procyfloc AL200'!D154,IF(ISNUMBER(SEARCH("12",'Procyfloc AL200'!D154)),EDATE(AB3653,12),IF(ISNUMBER(SEARCH("6",'Procyfloc AL200'!D154)),EDATE(AB3653,6),IF(ISNUMBER(SEARCH("3",'Procyfloc AL200'!D154)),EDATE(AB3653,3),DATEVALUE('Procyfloc AL200'!D154))))),""))</f>
        <v/>
      </c>
      <c r="AM3653" t="str">
        <f t="shared" ca="1" si="364"/>
        <v/>
      </c>
    </row>
    <row r="3654" spans="27:39" x14ac:dyDescent="0.3">
      <c r="AA3654" t="str">
        <f>IF(COUNTA('Procyfloc AL200'!A155,'Procyfloc AL200'!B155,'Procyfloc AL200'!C155)&gt;0,"AL200","")</f>
        <v/>
      </c>
      <c r="AB3654" t="str">
        <f>IFERROR(IF(ISNUMBER('Procyfloc AL200'!A155),'Procyfloc AL200'!A155,DATEVALUE('Procyfloc AL200'!A155)),"")</f>
        <v/>
      </c>
      <c r="AC3654" t="str">
        <f>IF(AA3654="","",'Procyfloc AL200'!B155)</f>
        <v/>
      </c>
      <c r="AD3654" t="str">
        <f>IF(AA3654="","",IFERROR(1*'Procyfloc AL200'!C155,IFERROR(_xludf.NUMBERVALUE('Procyfloc AL200'!C155,".",","),IFERROR(_xludf.NUMBERVALUE('Procyfloc AL200'!C155,",","."),0))))</f>
        <v/>
      </c>
      <c r="AE3654" t="str">
        <f>IF(AA3654="","",'Procyfloc AL200'!K155)</f>
        <v/>
      </c>
      <c r="AF3654">
        <f t="shared" si="359"/>
        <v>0</v>
      </c>
      <c r="AG3654" t="str">
        <f t="shared" si="360"/>
        <v/>
      </c>
      <c r="AH3654" t="str">
        <f t="shared" si="361"/>
        <v/>
      </c>
      <c r="AI3654">
        <f t="shared" si="362"/>
        <v>0</v>
      </c>
      <c r="AJ3654">
        <f t="shared" si="363"/>
        <v>0</v>
      </c>
      <c r="AK3654">
        <v>0</v>
      </c>
      <c r="AL3654" t="str">
        <f>IF(AA3654="","",IFERROR(IF(ISNUMBER('Procyfloc AL200'!D155),'Procyfloc AL200'!D155,IF(ISNUMBER(SEARCH("12",'Procyfloc AL200'!D155)),EDATE(AB3654,12),IF(ISNUMBER(SEARCH("6",'Procyfloc AL200'!D155)),EDATE(AB3654,6),IF(ISNUMBER(SEARCH("3",'Procyfloc AL200'!D155)),EDATE(AB3654,3),DATEVALUE('Procyfloc AL200'!D155))))),""))</f>
        <v/>
      </c>
      <c r="AM3654" t="str">
        <f t="shared" ca="1" si="364"/>
        <v/>
      </c>
    </row>
    <row r="3655" spans="27:39" x14ac:dyDescent="0.3">
      <c r="AA3655" t="str">
        <f>IF(COUNTA('Procyfloc AL200'!A156,'Procyfloc AL200'!B156,'Procyfloc AL200'!C156)&gt;0,"AL200","")</f>
        <v/>
      </c>
      <c r="AB3655" t="str">
        <f>IFERROR(IF(ISNUMBER('Procyfloc AL200'!A156),'Procyfloc AL200'!A156,DATEVALUE('Procyfloc AL200'!A156)),"")</f>
        <v/>
      </c>
      <c r="AC3655" t="str">
        <f>IF(AA3655="","",'Procyfloc AL200'!B156)</f>
        <v/>
      </c>
      <c r="AD3655" t="str">
        <f>IF(AA3655="","",IFERROR(1*'Procyfloc AL200'!C156,IFERROR(_xludf.NUMBERVALUE('Procyfloc AL200'!C156,".",","),IFERROR(_xludf.NUMBERVALUE('Procyfloc AL200'!C156,",","."),0))))</f>
        <v/>
      </c>
      <c r="AE3655" t="str">
        <f>IF(AA3655="","",'Procyfloc AL200'!K156)</f>
        <v/>
      </c>
      <c r="AF3655">
        <f t="shared" si="359"/>
        <v>0</v>
      </c>
      <c r="AG3655" t="str">
        <f t="shared" si="360"/>
        <v/>
      </c>
      <c r="AH3655" t="str">
        <f t="shared" si="361"/>
        <v/>
      </c>
      <c r="AI3655">
        <f t="shared" si="362"/>
        <v>0</v>
      </c>
      <c r="AJ3655">
        <f t="shared" si="363"/>
        <v>0</v>
      </c>
      <c r="AK3655">
        <v>0</v>
      </c>
      <c r="AL3655" t="str">
        <f>IF(AA3655="","",IFERROR(IF(ISNUMBER('Procyfloc AL200'!D156),'Procyfloc AL200'!D156,IF(ISNUMBER(SEARCH("12",'Procyfloc AL200'!D156)),EDATE(AB3655,12),IF(ISNUMBER(SEARCH("6",'Procyfloc AL200'!D156)),EDATE(AB3655,6),IF(ISNUMBER(SEARCH("3",'Procyfloc AL200'!D156)),EDATE(AB3655,3),DATEVALUE('Procyfloc AL200'!D156))))),""))</f>
        <v/>
      </c>
      <c r="AM3655" t="str">
        <f t="shared" ca="1" si="364"/>
        <v/>
      </c>
    </row>
    <row r="3656" spans="27:39" x14ac:dyDescent="0.3">
      <c r="AA3656" t="str">
        <f>IF(COUNTA('Procyfloc AL200'!A157,'Procyfloc AL200'!B157,'Procyfloc AL200'!C157)&gt;0,"AL200","")</f>
        <v/>
      </c>
      <c r="AB3656" t="str">
        <f>IFERROR(IF(ISNUMBER('Procyfloc AL200'!A157),'Procyfloc AL200'!A157,DATEVALUE('Procyfloc AL200'!A157)),"")</f>
        <v/>
      </c>
      <c r="AC3656" t="str">
        <f>IF(AA3656="","",'Procyfloc AL200'!B157)</f>
        <v/>
      </c>
      <c r="AD3656" t="str">
        <f>IF(AA3656="","",IFERROR(1*'Procyfloc AL200'!C157,IFERROR(_xludf.NUMBERVALUE('Procyfloc AL200'!C157,".",","),IFERROR(_xludf.NUMBERVALUE('Procyfloc AL200'!C157,",","."),0))))</f>
        <v/>
      </c>
      <c r="AE3656" t="str">
        <f>IF(AA3656="","",'Procyfloc AL200'!K157)</f>
        <v/>
      </c>
      <c r="AF3656">
        <f t="shared" si="359"/>
        <v>0</v>
      </c>
      <c r="AG3656" t="str">
        <f t="shared" si="360"/>
        <v/>
      </c>
      <c r="AH3656" t="str">
        <f t="shared" si="361"/>
        <v/>
      </c>
      <c r="AI3656">
        <f t="shared" si="362"/>
        <v>0</v>
      </c>
      <c r="AJ3656">
        <f t="shared" si="363"/>
        <v>0</v>
      </c>
      <c r="AK3656">
        <v>0</v>
      </c>
      <c r="AL3656" t="str">
        <f>IF(AA3656="","",IFERROR(IF(ISNUMBER('Procyfloc AL200'!D157),'Procyfloc AL200'!D157,IF(ISNUMBER(SEARCH("12",'Procyfloc AL200'!D157)),EDATE(AB3656,12),IF(ISNUMBER(SEARCH("6",'Procyfloc AL200'!D157)),EDATE(AB3656,6),IF(ISNUMBER(SEARCH("3",'Procyfloc AL200'!D157)),EDATE(AB3656,3),DATEVALUE('Procyfloc AL200'!D157))))),""))</f>
        <v/>
      </c>
      <c r="AM3656" t="str">
        <f t="shared" ca="1" si="364"/>
        <v/>
      </c>
    </row>
    <row r="3657" spans="27:39" x14ac:dyDescent="0.3">
      <c r="AA3657" t="str">
        <f>IF(COUNTA('Procyfloc AL200'!A158,'Procyfloc AL200'!B158,'Procyfloc AL200'!C158)&gt;0,"AL200","")</f>
        <v/>
      </c>
      <c r="AB3657" t="str">
        <f>IFERROR(IF(ISNUMBER('Procyfloc AL200'!A158),'Procyfloc AL200'!A158,DATEVALUE('Procyfloc AL200'!A158)),"")</f>
        <v/>
      </c>
      <c r="AC3657" t="str">
        <f>IF(AA3657="","",'Procyfloc AL200'!B158)</f>
        <v/>
      </c>
      <c r="AD3657" t="str">
        <f>IF(AA3657="","",IFERROR(1*'Procyfloc AL200'!C158,IFERROR(_xludf.NUMBERVALUE('Procyfloc AL200'!C158,".",","),IFERROR(_xludf.NUMBERVALUE('Procyfloc AL200'!C158,",","."),0))))</f>
        <v/>
      </c>
      <c r="AE3657" t="str">
        <f>IF(AA3657="","",'Procyfloc AL200'!K158)</f>
        <v/>
      </c>
      <c r="AF3657">
        <f t="shared" si="359"/>
        <v>0</v>
      </c>
      <c r="AG3657" t="str">
        <f t="shared" si="360"/>
        <v/>
      </c>
      <c r="AH3657" t="str">
        <f t="shared" si="361"/>
        <v/>
      </c>
      <c r="AI3657">
        <f t="shared" si="362"/>
        <v>0</v>
      </c>
      <c r="AJ3657">
        <f t="shared" si="363"/>
        <v>0</v>
      </c>
      <c r="AK3657">
        <v>0</v>
      </c>
      <c r="AL3657" t="str">
        <f>IF(AA3657="","",IFERROR(IF(ISNUMBER('Procyfloc AL200'!D158),'Procyfloc AL200'!D158,IF(ISNUMBER(SEARCH("12",'Procyfloc AL200'!D158)),EDATE(AB3657,12),IF(ISNUMBER(SEARCH("6",'Procyfloc AL200'!D158)),EDATE(AB3657,6),IF(ISNUMBER(SEARCH("3",'Procyfloc AL200'!D158)),EDATE(AB3657,3),DATEVALUE('Procyfloc AL200'!D158))))),""))</f>
        <v/>
      </c>
      <c r="AM3657" t="str">
        <f t="shared" ca="1" si="364"/>
        <v/>
      </c>
    </row>
    <row r="3658" spans="27:39" x14ac:dyDescent="0.3">
      <c r="AA3658" t="str">
        <f>IF(COUNTA('Procyfloc AL200'!A159,'Procyfloc AL200'!B159,'Procyfloc AL200'!C159)&gt;0,"AL200","")</f>
        <v/>
      </c>
      <c r="AB3658" t="str">
        <f>IFERROR(IF(ISNUMBER('Procyfloc AL200'!A159),'Procyfloc AL200'!A159,DATEVALUE('Procyfloc AL200'!A159)),"")</f>
        <v/>
      </c>
      <c r="AC3658" t="str">
        <f>IF(AA3658="","",'Procyfloc AL200'!B159)</f>
        <v/>
      </c>
      <c r="AD3658" t="str">
        <f>IF(AA3658="","",IFERROR(1*'Procyfloc AL200'!C159,IFERROR(_xludf.NUMBERVALUE('Procyfloc AL200'!C159,".",","),IFERROR(_xludf.NUMBERVALUE('Procyfloc AL200'!C159,",","."),0))))</f>
        <v/>
      </c>
      <c r="AE3658" t="str">
        <f>IF(AA3658="","",'Procyfloc AL200'!K159)</f>
        <v/>
      </c>
      <c r="AF3658">
        <f t="shared" si="359"/>
        <v>0</v>
      </c>
      <c r="AG3658" t="str">
        <f t="shared" si="360"/>
        <v/>
      </c>
      <c r="AH3658" t="str">
        <f t="shared" si="361"/>
        <v/>
      </c>
      <c r="AI3658">
        <f t="shared" si="362"/>
        <v>0</v>
      </c>
      <c r="AJ3658">
        <f t="shared" si="363"/>
        <v>0</v>
      </c>
      <c r="AK3658">
        <v>0</v>
      </c>
      <c r="AL3658" t="str">
        <f>IF(AA3658="","",IFERROR(IF(ISNUMBER('Procyfloc AL200'!D159),'Procyfloc AL200'!D159,IF(ISNUMBER(SEARCH("12",'Procyfloc AL200'!D159)),EDATE(AB3658,12),IF(ISNUMBER(SEARCH("6",'Procyfloc AL200'!D159)),EDATE(AB3658,6),IF(ISNUMBER(SEARCH("3",'Procyfloc AL200'!D159)),EDATE(AB3658,3),DATEVALUE('Procyfloc AL200'!D159))))),""))</f>
        <v/>
      </c>
      <c r="AM3658" t="str">
        <f t="shared" ca="1" si="364"/>
        <v/>
      </c>
    </row>
    <row r="3659" spans="27:39" x14ac:dyDescent="0.3">
      <c r="AA3659" t="str">
        <f>IF(COUNTA('Procyfloc AL200'!A160,'Procyfloc AL200'!B160,'Procyfloc AL200'!C160)&gt;0,"AL200","")</f>
        <v/>
      </c>
      <c r="AB3659" t="str">
        <f>IFERROR(IF(ISNUMBER('Procyfloc AL200'!A160),'Procyfloc AL200'!A160,DATEVALUE('Procyfloc AL200'!A160)),"")</f>
        <v/>
      </c>
      <c r="AC3659" t="str">
        <f>IF(AA3659="","",'Procyfloc AL200'!B160)</f>
        <v/>
      </c>
      <c r="AD3659" t="str">
        <f>IF(AA3659="","",IFERROR(1*'Procyfloc AL200'!C160,IFERROR(_xludf.NUMBERVALUE('Procyfloc AL200'!C160,".",","),IFERROR(_xludf.NUMBERVALUE('Procyfloc AL200'!C160,",","."),0))))</f>
        <v/>
      </c>
      <c r="AE3659" t="str">
        <f>IF(AA3659="","",'Procyfloc AL200'!K160)</f>
        <v/>
      </c>
      <c r="AF3659">
        <f t="shared" si="359"/>
        <v>0</v>
      </c>
      <c r="AG3659" t="str">
        <f t="shared" si="360"/>
        <v/>
      </c>
      <c r="AH3659" t="str">
        <f t="shared" si="361"/>
        <v/>
      </c>
      <c r="AI3659">
        <f t="shared" si="362"/>
        <v>0</v>
      </c>
      <c r="AJ3659">
        <f t="shared" si="363"/>
        <v>0</v>
      </c>
      <c r="AK3659">
        <v>0</v>
      </c>
      <c r="AL3659" t="str">
        <f>IF(AA3659="","",IFERROR(IF(ISNUMBER('Procyfloc AL200'!D160),'Procyfloc AL200'!D160,IF(ISNUMBER(SEARCH("12",'Procyfloc AL200'!D160)),EDATE(AB3659,12),IF(ISNUMBER(SEARCH("6",'Procyfloc AL200'!D160)),EDATE(AB3659,6),IF(ISNUMBER(SEARCH("3",'Procyfloc AL200'!D160)),EDATE(AB3659,3),DATEVALUE('Procyfloc AL200'!D160))))),""))</f>
        <v/>
      </c>
      <c r="AM3659" t="str">
        <f t="shared" ca="1" si="364"/>
        <v/>
      </c>
    </row>
    <row r="3660" spans="27:39" x14ac:dyDescent="0.3">
      <c r="AA3660" t="str">
        <f>IF(COUNTA('Procyfloc AL200'!A161,'Procyfloc AL200'!B161,'Procyfloc AL200'!C161)&gt;0,"AL200","")</f>
        <v/>
      </c>
      <c r="AB3660" t="str">
        <f>IFERROR(IF(ISNUMBER('Procyfloc AL200'!A161),'Procyfloc AL200'!A161,DATEVALUE('Procyfloc AL200'!A161)),"")</f>
        <v/>
      </c>
      <c r="AC3660" t="str">
        <f>IF(AA3660="","",'Procyfloc AL200'!B161)</f>
        <v/>
      </c>
      <c r="AD3660" t="str">
        <f>IF(AA3660="","",IFERROR(1*'Procyfloc AL200'!C161,IFERROR(_xludf.NUMBERVALUE('Procyfloc AL200'!C161,".",","),IFERROR(_xludf.NUMBERVALUE('Procyfloc AL200'!C161,",","."),0))))</f>
        <v/>
      </c>
      <c r="AE3660" t="str">
        <f>IF(AA3660="","",'Procyfloc AL200'!K161)</f>
        <v/>
      </c>
      <c r="AF3660">
        <f t="shared" si="359"/>
        <v>0</v>
      </c>
      <c r="AG3660" t="str">
        <f t="shared" si="360"/>
        <v/>
      </c>
      <c r="AH3660" t="str">
        <f t="shared" si="361"/>
        <v/>
      </c>
      <c r="AI3660">
        <f t="shared" si="362"/>
        <v>0</v>
      </c>
      <c r="AJ3660">
        <f t="shared" si="363"/>
        <v>0</v>
      </c>
      <c r="AK3660">
        <v>0</v>
      </c>
      <c r="AL3660" t="str">
        <f>IF(AA3660="","",IFERROR(IF(ISNUMBER('Procyfloc AL200'!D161),'Procyfloc AL200'!D161,IF(ISNUMBER(SEARCH("12",'Procyfloc AL200'!D161)),EDATE(AB3660,12),IF(ISNUMBER(SEARCH("6",'Procyfloc AL200'!D161)),EDATE(AB3660,6),IF(ISNUMBER(SEARCH("3",'Procyfloc AL200'!D161)),EDATE(AB3660,3),DATEVALUE('Procyfloc AL200'!D161))))),""))</f>
        <v/>
      </c>
      <c r="AM3660" t="str">
        <f t="shared" ca="1" si="364"/>
        <v/>
      </c>
    </row>
    <row r="3661" spans="27:39" x14ac:dyDescent="0.3">
      <c r="AA3661" t="str">
        <f>IF(COUNTA('Procyfloc AL200'!A162,'Procyfloc AL200'!B162,'Procyfloc AL200'!C162)&gt;0,"AL200","")</f>
        <v/>
      </c>
      <c r="AB3661" t="str">
        <f>IFERROR(IF(ISNUMBER('Procyfloc AL200'!A162),'Procyfloc AL200'!A162,DATEVALUE('Procyfloc AL200'!A162)),"")</f>
        <v/>
      </c>
      <c r="AC3661" t="str">
        <f>IF(AA3661="","",'Procyfloc AL200'!B162)</f>
        <v/>
      </c>
      <c r="AD3661" t="str">
        <f>IF(AA3661="","",IFERROR(1*'Procyfloc AL200'!C162,IFERROR(_xludf.NUMBERVALUE('Procyfloc AL200'!C162,".",","),IFERROR(_xludf.NUMBERVALUE('Procyfloc AL200'!C162,",","."),0))))</f>
        <v/>
      </c>
      <c r="AE3661" t="str">
        <f>IF(AA3661="","",'Procyfloc AL200'!K162)</f>
        <v/>
      </c>
      <c r="AF3661">
        <f t="shared" si="359"/>
        <v>0</v>
      </c>
      <c r="AG3661" t="str">
        <f t="shared" si="360"/>
        <v/>
      </c>
      <c r="AH3661" t="str">
        <f t="shared" si="361"/>
        <v/>
      </c>
      <c r="AI3661">
        <f t="shared" si="362"/>
        <v>0</v>
      </c>
      <c r="AJ3661">
        <f t="shared" si="363"/>
        <v>0</v>
      </c>
      <c r="AK3661">
        <v>0</v>
      </c>
      <c r="AL3661" t="str">
        <f>IF(AA3661="","",IFERROR(IF(ISNUMBER('Procyfloc AL200'!D162),'Procyfloc AL200'!D162,IF(ISNUMBER(SEARCH("12",'Procyfloc AL200'!D162)),EDATE(AB3661,12),IF(ISNUMBER(SEARCH("6",'Procyfloc AL200'!D162)),EDATE(AB3661,6),IF(ISNUMBER(SEARCH("3",'Procyfloc AL200'!D162)),EDATE(AB3661,3),DATEVALUE('Procyfloc AL200'!D162))))),""))</f>
        <v/>
      </c>
      <c r="AM3661" t="str">
        <f t="shared" ca="1" si="364"/>
        <v/>
      </c>
    </row>
    <row r="3662" spans="27:39" x14ac:dyDescent="0.3">
      <c r="AA3662" t="str">
        <f>IF(COUNTA('Procyfloc AL200'!A163,'Procyfloc AL200'!B163,'Procyfloc AL200'!C163)&gt;0,"AL200","")</f>
        <v/>
      </c>
      <c r="AB3662" t="str">
        <f>IFERROR(IF(ISNUMBER('Procyfloc AL200'!A163),'Procyfloc AL200'!A163,DATEVALUE('Procyfloc AL200'!A163)),"")</f>
        <v/>
      </c>
      <c r="AC3662" t="str">
        <f>IF(AA3662="","",'Procyfloc AL200'!B163)</f>
        <v/>
      </c>
      <c r="AD3662" t="str">
        <f>IF(AA3662="","",IFERROR(1*'Procyfloc AL200'!C163,IFERROR(_xludf.NUMBERVALUE('Procyfloc AL200'!C163,".",","),IFERROR(_xludf.NUMBERVALUE('Procyfloc AL200'!C163,",","."),0))))</f>
        <v/>
      </c>
      <c r="AE3662" t="str">
        <f>IF(AA3662="","",'Procyfloc AL200'!K163)</f>
        <v/>
      </c>
      <c r="AF3662">
        <f t="shared" si="359"/>
        <v>0</v>
      </c>
      <c r="AG3662" t="str">
        <f t="shared" si="360"/>
        <v/>
      </c>
      <c r="AH3662" t="str">
        <f t="shared" si="361"/>
        <v/>
      </c>
      <c r="AI3662">
        <f t="shared" si="362"/>
        <v>0</v>
      </c>
      <c r="AJ3662">
        <f t="shared" si="363"/>
        <v>0</v>
      </c>
      <c r="AK3662">
        <v>0</v>
      </c>
      <c r="AL3662" t="str">
        <f>IF(AA3662="","",IFERROR(IF(ISNUMBER('Procyfloc AL200'!D163),'Procyfloc AL200'!D163,IF(ISNUMBER(SEARCH("12",'Procyfloc AL200'!D163)),EDATE(AB3662,12),IF(ISNUMBER(SEARCH("6",'Procyfloc AL200'!D163)),EDATE(AB3662,6),IF(ISNUMBER(SEARCH("3",'Procyfloc AL200'!D163)),EDATE(AB3662,3),DATEVALUE('Procyfloc AL200'!D163))))),""))</f>
        <v/>
      </c>
      <c r="AM3662" t="str">
        <f t="shared" ca="1" si="364"/>
        <v/>
      </c>
    </row>
    <row r="3663" spans="27:39" x14ac:dyDescent="0.3">
      <c r="AA3663" t="str">
        <f>IF(COUNTA('Procyfloc AL200'!A164,'Procyfloc AL200'!B164,'Procyfloc AL200'!C164)&gt;0,"AL200","")</f>
        <v/>
      </c>
      <c r="AB3663" t="str">
        <f>IFERROR(IF(ISNUMBER('Procyfloc AL200'!A164),'Procyfloc AL200'!A164,DATEVALUE('Procyfloc AL200'!A164)),"")</f>
        <v/>
      </c>
      <c r="AC3663" t="str">
        <f>IF(AA3663="","",'Procyfloc AL200'!B164)</f>
        <v/>
      </c>
      <c r="AD3663" t="str">
        <f>IF(AA3663="","",IFERROR(1*'Procyfloc AL200'!C164,IFERROR(_xludf.NUMBERVALUE('Procyfloc AL200'!C164,".",","),IFERROR(_xludf.NUMBERVALUE('Procyfloc AL200'!C164,",","."),0))))</f>
        <v/>
      </c>
      <c r="AE3663" t="str">
        <f>IF(AA3663="","",'Procyfloc AL200'!K164)</f>
        <v/>
      </c>
      <c r="AF3663">
        <f t="shared" si="359"/>
        <v>0</v>
      </c>
      <c r="AG3663" t="str">
        <f t="shared" si="360"/>
        <v/>
      </c>
      <c r="AH3663" t="str">
        <f t="shared" si="361"/>
        <v/>
      </c>
      <c r="AI3663">
        <f t="shared" si="362"/>
        <v>0</v>
      </c>
      <c r="AJ3663">
        <f t="shared" si="363"/>
        <v>0</v>
      </c>
      <c r="AK3663">
        <v>0</v>
      </c>
      <c r="AL3663" t="str">
        <f>IF(AA3663="","",IFERROR(IF(ISNUMBER('Procyfloc AL200'!D164),'Procyfloc AL200'!D164,IF(ISNUMBER(SEARCH("12",'Procyfloc AL200'!D164)),EDATE(AB3663,12),IF(ISNUMBER(SEARCH("6",'Procyfloc AL200'!D164)),EDATE(AB3663,6),IF(ISNUMBER(SEARCH("3",'Procyfloc AL200'!D164)),EDATE(AB3663,3),DATEVALUE('Procyfloc AL200'!D164))))),""))</f>
        <v/>
      </c>
      <c r="AM3663" t="str">
        <f t="shared" ca="1" si="364"/>
        <v/>
      </c>
    </row>
    <row r="3664" spans="27:39" x14ac:dyDescent="0.3">
      <c r="AA3664" t="str">
        <f>IF(COUNTA('Procyfloc AL200'!A165,'Procyfloc AL200'!B165,'Procyfloc AL200'!C165)&gt;0,"AL200","")</f>
        <v/>
      </c>
      <c r="AB3664" t="str">
        <f>IFERROR(IF(ISNUMBER('Procyfloc AL200'!A165),'Procyfloc AL200'!A165,DATEVALUE('Procyfloc AL200'!A165)),"")</f>
        <v/>
      </c>
      <c r="AC3664" t="str">
        <f>IF(AA3664="","",'Procyfloc AL200'!B165)</f>
        <v/>
      </c>
      <c r="AD3664" t="str">
        <f>IF(AA3664="","",IFERROR(1*'Procyfloc AL200'!C165,IFERROR(_xludf.NUMBERVALUE('Procyfloc AL200'!C165,".",","),IFERROR(_xludf.NUMBERVALUE('Procyfloc AL200'!C165,",","."),0))))</f>
        <v/>
      </c>
      <c r="AE3664" t="str">
        <f>IF(AA3664="","",'Procyfloc AL200'!K165)</f>
        <v/>
      </c>
      <c r="AF3664">
        <f t="shared" si="359"/>
        <v>0</v>
      </c>
      <c r="AG3664" t="str">
        <f t="shared" si="360"/>
        <v/>
      </c>
      <c r="AH3664" t="str">
        <f t="shared" si="361"/>
        <v/>
      </c>
      <c r="AI3664">
        <f t="shared" si="362"/>
        <v>0</v>
      </c>
      <c r="AJ3664">
        <f t="shared" si="363"/>
        <v>0</v>
      </c>
      <c r="AK3664">
        <v>0</v>
      </c>
      <c r="AL3664" t="str">
        <f>IF(AA3664="","",IFERROR(IF(ISNUMBER('Procyfloc AL200'!D165),'Procyfloc AL200'!D165,IF(ISNUMBER(SEARCH("12",'Procyfloc AL200'!D165)),EDATE(AB3664,12),IF(ISNUMBER(SEARCH("6",'Procyfloc AL200'!D165)),EDATE(AB3664,6),IF(ISNUMBER(SEARCH("3",'Procyfloc AL200'!D165)),EDATE(AB3664,3),DATEVALUE('Procyfloc AL200'!D165))))),""))</f>
        <v/>
      </c>
      <c r="AM3664" t="str">
        <f t="shared" ca="1" si="364"/>
        <v/>
      </c>
    </row>
    <row r="3665" spans="27:39" x14ac:dyDescent="0.3">
      <c r="AA3665" t="str">
        <f>IF(COUNTA('Procyfloc AL200'!A166,'Procyfloc AL200'!B166,'Procyfloc AL200'!C166)&gt;0,"AL200","")</f>
        <v/>
      </c>
      <c r="AB3665" t="str">
        <f>IFERROR(IF(ISNUMBER('Procyfloc AL200'!A166),'Procyfloc AL200'!A166,DATEVALUE('Procyfloc AL200'!A166)),"")</f>
        <v/>
      </c>
      <c r="AC3665" t="str">
        <f>IF(AA3665="","",'Procyfloc AL200'!B166)</f>
        <v/>
      </c>
      <c r="AD3665" t="str">
        <f>IF(AA3665="","",IFERROR(1*'Procyfloc AL200'!C166,IFERROR(_xludf.NUMBERVALUE('Procyfloc AL200'!C166,".",","),IFERROR(_xludf.NUMBERVALUE('Procyfloc AL200'!C166,",","."),0))))</f>
        <v/>
      </c>
      <c r="AE3665" t="str">
        <f>IF(AA3665="","",'Procyfloc AL200'!K166)</f>
        <v/>
      </c>
      <c r="AF3665">
        <f t="shared" si="359"/>
        <v>0</v>
      </c>
      <c r="AG3665" t="str">
        <f t="shared" si="360"/>
        <v/>
      </c>
      <c r="AH3665" t="str">
        <f t="shared" si="361"/>
        <v/>
      </c>
      <c r="AI3665">
        <f t="shared" si="362"/>
        <v>0</v>
      </c>
      <c r="AJ3665">
        <f t="shared" si="363"/>
        <v>0</v>
      </c>
      <c r="AK3665">
        <v>0</v>
      </c>
      <c r="AL3665" t="str">
        <f>IF(AA3665="","",IFERROR(IF(ISNUMBER('Procyfloc AL200'!D166),'Procyfloc AL200'!D166,IF(ISNUMBER(SEARCH("12",'Procyfloc AL200'!D166)),EDATE(AB3665,12),IF(ISNUMBER(SEARCH("6",'Procyfloc AL200'!D166)),EDATE(AB3665,6),IF(ISNUMBER(SEARCH("3",'Procyfloc AL200'!D166)),EDATE(AB3665,3),DATEVALUE('Procyfloc AL200'!D166))))),""))</f>
        <v/>
      </c>
      <c r="AM3665" t="str">
        <f t="shared" ca="1" si="364"/>
        <v/>
      </c>
    </row>
    <row r="3666" spans="27:39" x14ac:dyDescent="0.3">
      <c r="AA3666" t="str">
        <f>IF(COUNTA('Procyfloc AL200'!A167,'Procyfloc AL200'!B167,'Procyfloc AL200'!C167)&gt;0,"AL200","")</f>
        <v/>
      </c>
      <c r="AB3666" t="str">
        <f>IFERROR(IF(ISNUMBER('Procyfloc AL200'!A167),'Procyfloc AL200'!A167,DATEVALUE('Procyfloc AL200'!A167)),"")</f>
        <v/>
      </c>
      <c r="AC3666" t="str">
        <f>IF(AA3666="","",'Procyfloc AL200'!B167)</f>
        <v/>
      </c>
      <c r="AD3666" t="str">
        <f>IF(AA3666="","",IFERROR(1*'Procyfloc AL200'!C167,IFERROR(_xludf.NUMBERVALUE('Procyfloc AL200'!C167,".",","),IFERROR(_xludf.NUMBERVALUE('Procyfloc AL200'!C167,",","."),0))))</f>
        <v/>
      </c>
      <c r="AE3666" t="str">
        <f>IF(AA3666="","",'Procyfloc AL200'!K167)</f>
        <v/>
      </c>
      <c r="AF3666">
        <f t="shared" si="359"/>
        <v>0</v>
      </c>
      <c r="AG3666" t="str">
        <f t="shared" si="360"/>
        <v/>
      </c>
      <c r="AH3666" t="str">
        <f t="shared" si="361"/>
        <v/>
      </c>
      <c r="AI3666">
        <f t="shared" si="362"/>
        <v>0</v>
      </c>
      <c r="AJ3666">
        <f t="shared" si="363"/>
        <v>0</v>
      </c>
      <c r="AK3666">
        <v>0</v>
      </c>
      <c r="AL3666" t="str">
        <f>IF(AA3666="","",IFERROR(IF(ISNUMBER('Procyfloc AL200'!D167),'Procyfloc AL200'!D167,IF(ISNUMBER(SEARCH("12",'Procyfloc AL200'!D167)),EDATE(AB3666,12),IF(ISNUMBER(SEARCH("6",'Procyfloc AL200'!D167)),EDATE(AB3666,6),IF(ISNUMBER(SEARCH("3",'Procyfloc AL200'!D167)),EDATE(AB3666,3),DATEVALUE('Procyfloc AL200'!D167))))),""))</f>
        <v/>
      </c>
      <c r="AM3666" t="str">
        <f t="shared" ca="1" si="364"/>
        <v/>
      </c>
    </row>
    <row r="3667" spans="27:39" x14ac:dyDescent="0.3">
      <c r="AA3667" t="str">
        <f>IF(COUNTA('Procyfloc AL200'!A168,'Procyfloc AL200'!B168,'Procyfloc AL200'!C168)&gt;0,"AL200","")</f>
        <v/>
      </c>
      <c r="AB3667" t="str">
        <f>IFERROR(IF(ISNUMBER('Procyfloc AL200'!A168),'Procyfloc AL200'!A168,DATEVALUE('Procyfloc AL200'!A168)),"")</f>
        <v/>
      </c>
      <c r="AC3667" t="str">
        <f>IF(AA3667="","",'Procyfloc AL200'!B168)</f>
        <v/>
      </c>
      <c r="AD3667" t="str">
        <f>IF(AA3667="","",IFERROR(1*'Procyfloc AL200'!C168,IFERROR(_xludf.NUMBERVALUE('Procyfloc AL200'!C168,".",","),IFERROR(_xludf.NUMBERVALUE('Procyfloc AL200'!C168,",","."),0))))</f>
        <v/>
      </c>
      <c r="AE3667" t="str">
        <f>IF(AA3667="","",'Procyfloc AL200'!K168)</f>
        <v/>
      </c>
      <c r="AF3667">
        <f t="shared" si="359"/>
        <v>0</v>
      </c>
      <c r="AG3667" t="str">
        <f t="shared" si="360"/>
        <v/>
      </c>
      <c r="AH3667" t="str">
        <f t="shared" si="361"/>
        <v/>
      </c>
      <c r="AI3667">
        <f t="shared" si="362"/>
        <v>0</v>
      </c>
      <c r="AJ3667">
        <f t="shared" si="363"/>
        <v>0</v>
      </c>
      <c r="AK3667">
        <v>0</v>
      </c>
      <c r="AL3667" t="str">
        <f>IF(AA3667="","",IFERROR(IF(ISNUMBER('Procyfloc AL200'!D168),'Procyfloc AL200'!D168,IF(ISNUMBER(SEARCH("12",'Procyfloc AL200'!D168)),EDATE(AB3667,12),IF(ISNUMBER(SEARCH("6",'Procyfloc AL200'!D168)),EDATE(AB3667,6),IF(ISNUMBER(SEARCH("3",'Procyfloc AL200'!D168)),EDATE(AB3667,3),DATEVALUE('Procyfloc AL200'!D168))))),""))</f>
        <v/>
      </c>
      <c r="AM3667" t="str">
        <f t="shared" ca="1" si="364"/>
        <v/>
      </c>
    </row>
    <row r="3668" spans="27:39" x14ac:dyDescent="0.3">
      <c r="AA3668" t="str">
        <f>IF(COUNTA('Procyfloc AL200'!A169,'Procyfloc AL200'!B169,'Procyfloc AL200'!C169)&gt;0,"AL200","")</f>
        <v/>
      </c>
      <c r="AB3668" t="str">
        <f>IFERROR(IF(ISNUMBER('Procyfloc AL200'!A169),'Procyfloc AL200'!A169,DATEVALUE('Procyfloc AL200'!A169)),"")</f>
        <v/>
      </c>
      <c r="AC3668" t="str">
        <f>IF(AA3668="","",'Procyfloc AL200'!B169)</f>
        <v/>
      </c>
      <c r="AD3668" t="str">
        <f>IF(AA3668="","",IFERROR(1*'Procyfloc AL200'!C169,IFERROR(_xludf.NUMBERVALUE('Procyfloc AL200'!C169,".",","),IFERROR(_xludf.NUMBERVALUE('Procyfloc AL200'!C169,",","."),0))))</f>
        <v/>
      </c>
      <c r="AE3668" t="str">
        <f>IF(AA3668="","",'Procyfloc AL200'!K169)</f>
        <v/>
      </c>
      <c r="AF3668">
        <f t="shared" si="359"/>
        <v>0</v>
      </c>
      <c r="AG3668" t="str">
        <f t="shared" si="360"/>
        <v/>
      </c>
      <c r="AH3668" t="str">
        <f t="shared" si="361"/>
        <v/>
      </c>
      <c r="AI3668">
        <f t="shared" si="362"/>
        <v>0</v>
      </c>
      <c r="AJ3668">
        <f t="shared" si="363"/>
        <v>0</v>
      </c>
      <c r="AK3668">
        <v>0</v>
      </c>
      <c r="AL3668" t="str">
        <f>IF(AA3668="","",IFERROR(IF(ISNUMBER('Procyfloc AL200'!D169),'Procyfloc AL200'!D169,IF(ISNUMBER(SEARCH("12",'Procyfloc AL200'!D169)),EDATE(AB3668,12),IF(ISNUMBER(SEARCH("6",'Procyfloc AL200'!D169)),EDATE(AB3668,6),IF(ISNUMBER(SEARCH("3",'Procyfloc AL200'!D169)),EDATE(AB3668,3),DATEVALUE('Procyfloc AL200'!D169))))),""))</f>
        <v/>
      </c>
      <c r="AM3668" t="str">
        <f t="shared" ca="1" si="364"/>
        <v/>
      </c>
    </row>
    <row r="3669" spans="27:39" x14ac:dyDescent="0.3">
      <c r="AA3669" t="str">
        <f>IF(COUNTA('Procyfloc AL200'!A170,'Procyfloc AL200'!B170,'Procyfloc AL200'!C170)&gt;0,"AL200","")</f>
        <v/>
      </c>
      <c r="AB3669" t="str">
        <f>IFERROR(IF(ISNUMBER('Procyfloc AL200'!A170),'Procyfloc AL200'!A170,DATEVALUE('Procyfloc AL200'!A170)),"")</f>
        <v/>
      </c>
      <c r="AC3669" t="str">
        <f>IF(AA3669="","",'Procyfloc AL200'!B170)</f>
        <v/>
      </c>
      <c r="AD3669" t="str">
        <f>IF(AA3669="","",IFERROR(1*'Procyfloc AL200'!C170,IFERROR(_xludf.NUMBERVALUE('Procyfloc AL200'!C170,".",","),IFERROR(_xludf.NUMBERVALUE('Procyfloc AL200'!C170,",","."),0))))</f>
        <v/>
      </c>
      <c r="AE3669" t="str">
        <f>IF(AA3669="","",'Procyfloc AL200'!K170)</f>
        <v/>
      </c>
      <c r="AF3669">
        <f t="shared" si="359"/>
        <v>0</v>
      </c>
      <c r="AG3669" t="str">
        <f t="shared" si="360"/>
        <v/>
      </c>
      <c r="AH3669" t="str">
        <f t="shared" si="361"/>
        <v/>
      </c>
      <c r="AI3669">
        <f t="shared" si="362"/>
        <v>0</v>
      </c>
      <c r="AJ3669">
        <f t="shared" si="363"/>
        <v>0</v>
      </c>
      <c r="AK3669">
        <v>0</v>
      </c>
      <c r="AL3669" t="str">
        <f>IF(AA3669="","",IFERROR(IF(ISNUMBER('Procyfloc AL200'!D170),'Procyfloc AL200'!D170,IF(ISNUMBER(SEARCH("12",'Procyfloc AL200'!D170)),EDATE(AB3669,12),IF(ISNUMBER(SEARCH("6",'Procyfloc AL200'!D170)),EDATE(AB3669,6),IF(ISNUMBER(SEARCH("3",'Procyfloc AL200'!D170)),EDATE(AB3669,3),DATEVALUE('Procyfloc AL200'!D170))))),""))</f>
        <v/>
      </c>
      <c r="AM3669" t="str">
        <f t="shared" ca="1" si="364"/>
        <v/>
      </c>
    </row>
    <row r="3670" spans="27:39" x14ac:dyDescent="0.3">
      <c r="AA3670" t="str">
        <f>IF(COUNTA('Procyfloc AL200'!A171,'Procyfloc AL200'!B171,'Procyfloc AL200'!C171)&gt;0,"AL200","")</f>
        <v/>
      </c>
      <c r="AB3670" t="str">
        <f>IFERROR(IF(ISNUMBER('Procyfloc AL200'!A171),'Procyfloc AL200'!A171,DATEVALUE('Procyfloc AL200'!A171)),"")</f>
        <v/>
      </c>
      <c r="AC3670" t="str">
        <f>IF(AA3670="","",'Procyfloc AL200'!B171)</f>
        <v/>
      </c>
      <c r="AD3670" t="str">
        <f>IF(AA3670="","",IFERROR(1*'Procyfloc AL200'!C171,IFERROR(_xludf.NUMBERVALUE('Procyfloc AL200'!C171,".",","),IFERROR(_xludf.NUMBERVALUE('Procyfloc AL200'!C171,",","."),0))))</f>
        <v/>
      </c>
      <c r="AE3670" t="str">
        <f>IF(AA3670="","",'Procyfloc AL200'!K171)</f>
        <v/>
      </c>
      <c r="AF3670">
        <f t="shared" si="359"/>
        <v>0</v>
      </c>
      <c r="AG3670" t="str">
        <f t="shared" si="360"/>
        <v/>
      </c>
      <c r="AH3670" t="str">
        <f t="shared" si="361"/>
        <v/>
      </c>
      <c r="AI3670">
        <f t="shared" si="362"/>
        <v>0</v>
      </c>
      <c r="AJ3670">
        <f t="shared" si="363"/>
        <v>0</v>
      </c>
      <c r="AK3670">
        <v>0</v>
      </c>
      <c r="AL3670" t="str">
        <f>IF(AA3670="","",IFERROR(IF(ISNUMBER('Procyfloc AL200'!D171),'Procyfloc AL200'!D171,IF(ISNUMBER(SEARCH("12",'Procyfloc AL200'!D171)),EDATE(AB3670,12),IF(ISNUMBER(SEARCH("6",'Procyfloc AL200'!D171)),EDATE(AB3670,6),IF(ISNUMBER(SEARCH("3",'Procyfloc AL200'!D171)),EDATE(AB3670,3),DATEVALUE('Procyfloc AL200'!D171))))),""))</f>
        <v/>
      </c>
      <c r="AM3670" t="str">
        <f t="shared" ca="1" si="364"/>
        <v/>
      </c>
    </row>
    <row r="3671" spans="27:39" x14ac:dyDescent="0.3">
      <c r="AA3671" t="str">
        <f>IF(COUNTA('Procyfloc AL200'!A172,'Procyfloc AL200'!B172,'Procyfloc AL200'!C172)&gt;0,"AL200","")</f>
        <v/>
      </c>
      <c r="AB3671" t="str">
        <f>IFERROR(IF(ISNUMBER('Procyfloc AL200'!A172),'Procyfloc AL200'!A172,DATEVALUE('Procyfloc AL200'!A172)),"")</f>
        <v/>
      </c>
      <c r="AC3671" t="str">
        <f>IF(AA3671="","",'Procyfloc AL200'!B172)</f>
        <v/>
      </c>
      <c r="AD3671" t="str">
        <f>IF(AA3671="","",IFERROR(1*'Procyfloc AL200'!C172,IFERROR(_xludf.NUMBERVALUE('Procyfloc AL200'!C172,".",","),IFERROR(_xludf.NUMBERVALUE('Procyfloc AL200'!C172,",","."),0))))</f>
        <v/>
      </c>
      <c r="AE3671" t="str">
        <f>IF(AA3671="","",'Procyfloc AL200'!K172)</f>
        <v/>
      </c>
      <c r="AF3671">
        <f t="shared" si="359"/>
        <v>0</v>
      </c>
      <c r="AG3671" t="str">
        <f t="shared" si="360"/>
        <v/>
      </c>
      <c r="AH3671" t="str">
        <f t="shared" si="361"/>
        <v/>
      </c>
      <c r="AI3671">
        <f t="shared" si="362"/>
        <v>0</v>
      </c>
      <c r="AJ3671">
        <f t="shared" si="363"/>
        <v>0</v>
      </c>
      <c r="AK3671">
        <v>0</v>
      </c>
      <c r="AL3671" t="str">
        <f>IF(AA3671="","",IFERROR(IF(ISNUMBER('Procyfloc AL200'!D172),'Procyfloc AL200'!D172,IF(ISNUMBER(SEARCH("12",'Procyfloc AL200'!D172)),EDATE(AB3671,12),IF(ISNUMBER(SEARCH("6",'Procyfloc AL200'!D172)),EDATE(AB3671,6),IF(ISNUMBER(SEARCH("3",'Procyfloc AL200'!D172)),EDATE(AB3671,3),DATEVALUE('Procyfloc AL200'!D172))))),""))</f>
        <v/>
      </c>
      <c r="AM3671" t="str">
        <f t="shared" ca="1" si="364"/>
        <v/>
      </c>
    </row>
    <row r="3672" spans="27:39" x14ac:dyDescent="0.3">
      <c r="AA3672" t="str">
        <f>IF(COUNTA('Procyfloc AL200'!A173,'Procyfloc AL200'!B173,'Procyfloc AL200'!C173)&gt;0,"AL200","")</f>
        <v/>
      </c>
      <c r="AB3672" t="str">
        <f>IFERROR(IF(ISNUMBER('Procyfloc AL200'!A173),'Procyfloc AL200'!A173,DATEVALUE('Procyfloc AL200'!A173)),"")</f>
        <v/>
      </c>
      <c r="AC3672" t="str">
        <f>IF(AA3672="","",'Procyfloc AL200'!B173)</f>
        <v/>
      </c>
      <c r="AD3672" t="str">
        <f>IF(AA3672="","",IFERROR(1*'Procyfloc AL200'!C173,IFERROR(_xludf.NUMBERVALUE('Procyfloc AL200'!C173,".",","),IFERROR(_xludf.NUMBERVALUE('Procyfloc AL200'!C173,",","."),0))))</f>
        <v/>
      </c>
      <c r="AE3672" t="str">
        <f>IF(AA3672="","",'Procyfloc AL200'!K173)</f>
        <v/>
      </c>
      <c r="AF3672">
        <f t="shared" si="359"/>
        <v>0</v>
      </c>
      <c r="AG3672" t="str">
        <f t="shared" si="360"/>
        <v/>
      </c>
      <c r="AH3672" t="str">
        <f t="shared" si="361"/>
        <v/>
      </c>
      <c r="AI3672">
        <f t="shared" si="362"/>
        <v>0</v>
      </c>
      <c r="AJ3672">
        <f t="shared" si="363"/>
        <v>0</v>
      </c>
      <c r="AK3672">
        <v>0</v>
      </c>
      <c r="AL3672" t="str">
        <f>IF(AA3672="","",IFERROR(IF(ISNUMBER('Procyfloc AL200'!D173),'Procyfloc AL200'!D173,IF(ISNUMBER(SEARCH("12",'Procyfloc AL200'!D173)),EDATE(AB3672,12),IF(ISNUMBER(SEARCH("6",'Procyfloc AL200'!D173)),EDATE(AB3672,6),IF(ISNUMBER(SEARCH("3",'Procyfloc AL200'!D173)),EDATE(AB3672,3),DATEVALUE('Procyfloc AL200'!D173))))),""))</f>
        <v/>
      </c>
      <c r="AM3672" t="str">
        <f t="shared" ca="1" si="364"/>
        <v/>
      </c>
    </row>
    <row r="3673" spans="27:39" x14ac:dyDescent="0.3">
      <c r="AA3673" t="str">
        <f>IF(COUNTA('Procyfloc AL200'!A174,'Procyfloc AL200'!B174,'Procyfloc AL200'!C174)&gt;0,"AL200","")</f>
        <v/>
      </c>
      <c r="AB3673" t="str">
        <f>IFERROR(IF(ISNUMBER('Procyfloc AL200'!A174),'Procyfloc AL200'!A174,DATEVALUE('Procyfloc AL200'!A174)),"")</f>
        <v/>
      </c>
      <c r="AC3673" t="str">
        <f>IF(AA3673="","",'Procyfloc AL200'!B174)</f>
        <v/>
      </c>
      <c r="AD3673" t="str">
        <f>IF(AA3673="","",IFERROR(1*'Procyfloc AL200'!C174,IFERROR(_xludf.NUMBERVALUE('Procyfloc AL200'!C174,".",","),IFERROR(_xludf.NUMBERVALUE('Procyfloc AL200'!C174,",","."),0))))</f>
        <v/>
      </c>
      <c r="AE3673" t="str">
        <f>IF(AA3673="","",'Procyfloc AL200'!K174)</f>
        <v/>
      </c>
      <c r="AF3673">
        <f t="shared" si="359"/>
        <v>0</v>
      </c>
      <c r="AG3673" t="str">
        <f t="shared" si="360"/>
        <v/>
      </c>
      <c r="AH3673" t="str">
        <f t="shared" si="361"/>
        <v/>
      </c>
      <c r="AI3673">
        <f t="shared" si="362"/>
        <v>0</v>
      </c>
      <c r="AJ3673">
        <f t="shared" si="363"/>
        <v>0</v>
      </c>
      <c r="AK3673">
        <v>0</v>
      </c>
      <c r="AL3673" t="str">
        <f>IF(AA3673="","",IFERROR(IF(ISNUMBER('Procyfloc AL200'!D174),'Procyfloc AL200'!D174,IF(ISNUMBER(SEARCH("12",'Procyfloc AL200'!D174)),EDATE(AB3673,12),IF(ISNUMBER(SEARCH("6",'Procyfloc AL200'!D174)),EDATE(AB3673,6),IF(ISNUMBER(SEARCH("3",'Procyfloc AL200'!D174)),EDATE(AB3673,3),DATEVALUE('Procyfloc AL200'!D174))))),""))</f>
        <v/>
      </c>
      <c r="AM3673" t="str">
        <f t="shared" ca="1" si="364"/>
        <v/>
      </c>
    </row>
    <row r="3674" spans="27:39" x14ac:dyDescent="0.3">
      <c r="AA3674" t="str">
        <f>IF(COUNTA('Procyfloc AL200'!A175,'Procyfloc AL200'!B175,'Procyfloc AL200'!C175)&gt;0,"AL200","")</f>
        <v/>
      </c>
      <c r="AB3674" t="str">
        <f>IFERROR(IF(ISNUMBER('Procyfloc AL200'!A175),'Procyfloc AL200'!A175,DATEVALUE('Procyfloc AL200'!A175)),"")</f>
        <v/>
      </c>
      <c r="AC3674" t="str">
        <f>IF(AA3674="","",'Procyfloc AL200'!B175)</f>
        <v/>
      </c>
      <c r="AD3674" t="str">
        <f>IF(AA3674="","",IFERROR(1*'Procyfloc AL200'!C175,IFERROR(_xludf.NUMBERVALUE('Procyfloc AL200'!C175,".",","),IFERROR(_xludf.NUMBERVALUE('Procyfloc AL200'!C175,",","."),0))))</f>
        <v/>
      </c>
      <c r="AE3674" t="str">
        <f>IF(AA3674="","",'Procyfloc AL200'!K175)</f>
        <v/>
      </c>
      <c r="AF3674">
        <f t="shared" si="359"/>
        <v>0</v>
      </c>
      <c r="AG3674" t="str">
        <f t="shared" si="360"/>
        <v/>
      </c>
      <c r="AH3674" t="str">
        <f t="shared" si="361"/>
        <v/>
      </c>
      <c r="AI3674">
        <f t="shared" si="362"/>
        <v>0</v>
      </c>
      <c r="AJ3674">
        <f t="shared" si="363"/>
        <v>0</v>
      </c>
      <c r="AK3674">
        <v>0</v>
      </c>
      <c r="AL3674" t="str">
        <f>IF(AA3674="","",IFERROR(IF(ISNUMBER('Procyfloc AL200'!D175),'Procyfloc AL200'!D175,IF(ISNUMBER(SEARCH("12",'Procyfloc AL200'!D175)),EDATE(AB3674,12),IF(ISNUMBER(SEARCH("6",'Procyfloc AL200'!D175)),EDATE(AB3674,6),IF(ISNUMBER(SEARCH("3",'Procyfloc AL200'!D175)),EDATE(AB3674,3),DATEVALUE('Procyfloc AL200'!D175))))),""))</f>
        <v/>
      </c>
      <c r="AM3674" t="str">
        <f t="shared" ca="1" si="364"/>
        <v/>
      </c>
    </row>
    <row r="3675" spans="27:39" x14ac:dyDescent="0.3">
      <c r="AA3675" t="str">
        <f>IF(COUNTA('Procyfloc AL200'!A176,'Procyfloc AL200'!B176,'Procyfloc AL200'!C176)&gt;0,"AL200","")</f>
        <v/>
      </c>
      <c r="AB3675" t="str">
        <f>IFERROR(IF(ISNUMBER('Procyfloc AL200'!A176),'Procyfloc AL200'!A176,DATEVALUE('Procyfloc AL200'!A176)),"")</f>
        <v/>
      </c>
      <c r="AC3675" t="str">
        <f>IF(AA3675="","",'Procyfloc AL200'!B176)</f>
        <v/>
      </c>
      <c r="AD3675" t="str">
        <f>IF(AA3675="","",IFERROR(1*'Procyfloc AL200'!C176,IFERROR(_xludf.NUMBERVALUE('Procyfloc AL200'!C176,".",","),IFERROR(_xludf.NUMBERVALUE('Procyfloc AL200'!C176,",","."),0))))</f>
        <v/>
      </c>
      <c r="AE3675" t="str">
        <f>IF(AA3675="","",'Procyfloc AL200'!K176)</f>
        <v/>
      </c>
      <c r="AF3675">
        <f t="shared" si="359"/>
        <v>0</v>
      </c>
      <c r="AG3675" t="str">
        <f t="shared" si="360"/>
        <v/>
      </c>
      <c r="AH3675" t="str">
        <f t="shared" si="361"/>
        <v/>
      </c>
      <c r="AI3675">
        <f t="shared" si="362"/>
        <v>0</v>
      </c>
      <c r="AJ3675">
        <f t="shared" si="363"/>
        <v>0</v>
      </c>
      <c r="AK3675">
        <v>0</v>
      </c>
      <c r="AL3675" t="str">
        <f>IF(AA3675="","",IFERROR(IF(ISNUMBER('Procyfloc AL200'!D176),'Procyfloc AL200'!D176,IF(ISNUMBER(SEARCH("12",'Procyfloc AL200'!D176)),EDATE(AB3675,12),IF(ISNUMBER(SEARCH("6",'Procyfloc AL200'!D176)),EDATE(AB3675,6),IF(ISNUMBER(SEARCH("3",'Procyfloc AL200'!D176)),EDATE(AB3675,3),DATEVALUE('Procyfloc AL200'!D176))))),""))</f>
        <v/>
      </c>
      <c r="AM3675" t="str">
        <f t="shared" ca="1" si="364"/>
        <v/>
      </c>
    </row>
    <row r="3676" spans="27:39" x14ac:dyDescent="0.3">
      <c r="AA3676" t="str">
        <f>IF(COUNTA('Procyfloc AL200'!A177,'Procyfloc AL200'!B177,'Procyfloc AL200'!C177)&gt;0,"AL200","")</f>
        <v/>
      </c>
      <c r="AB3676" t="str">
        <f>IFERROR(IF(ISNUMBER('Procyfloc AL200'!A177),'Procyfloc AL200'!A177,DATEVALUE('Procyfloc AL200'!A177)),"")</f>
        <v/>
      </c>
      <c r="AC3676" t="str">
        <f>IF(AA3676="","",'Procyfloc AL200'!B177)</f>
        <v/>
      </c>
      <c r="AD3676" t="str">
        <f>IF(AA3676="","",IFERROR(1*'Procyfloc AL200'!C177,IFERROR(_xludf.NUMBERVALUE('Procyfloc AL200'!C177,".",","),IFERROR(_xludf.NUMBERVALUE('Procyfloc AL200'!C177,",","."),0))))</f>
        <v/>
      </c>
      <c r="AE3676" t="str">
        <f>IF(AA3676="","",'Procyfloc AL200'!K177)</f>
        <v/>
      </c>
      <c r="AF3676">
        <f t="shared" si="359"/>
        <v>0</v>
      </c>
      <c r="AG3676" t="str">
        <f t="shared" si="360"/>
        <v/>
      </c>
      <c r="AH3676" t="str">
        <f t="shared" si="361"/>
        <v/>
      </c>
      <c r="AI3676">
        <f t="shared" si="362"/>
        <v>0</v>
      </c>
      <c r="AJ3676">
        <f t="shared" si="363"/>
        <v>0</v>
      </c>
      <c r="AK3676">
        <v>0</v>
      </c>
      <c r="AL3676" t="str">
        <f>IF(AA3676="","",IFERROR(IF(ISNUMBER('Procyfloc AL200'!D177),'Procyfloc AL200'!D177,IF(ISNUMBER(SEARCH("12",'Procyfloc AL200'!D177)),EDATE(AB3676,12),IF(ISNUMBER(SEARCH("6",'Procyfloc AL200'!D177)),EDATE(AB3676,6),IF(ISNUMBER(SEARCH("3",'Procyfloc AL200'!D177)),EDATE(AB3676,3),DATEVALUE('Procyfloc AL200'!D177))))),""))</f>
        <v/>
      </c>
      <c r="AM3676" t="str">
        <f t="shared" ca="1" si="364"/>
        <v/>
      </c>
    </row>
    <row r="3677" spans="27:39" x14ac:dyDescent="0.3">
      <c r="AA3677" t="str">
        <f>IF(COUNTA('Procyfloc AL200'!A178,'Procyfloc AL200'!B178,'Procyfloc AL200'!C178)&gt;0,"AL200","")</f>
        <v/>
      </c>
      <c r="AB3677" t="str">
        <f>IFERROR(IF(ISNUMBER('Procyfloc AL200'!A178),'Procyfloc AL200'!A178,DATEVALUE('Procyfloc AL200'!A178)),"")</f>
        <v/>
      </c>
      <c r="AC3677" t="str">
        <f>IF(AA3677="","",'Procyfloc AL200'!B178)</f>
        <v/>
      </c>
      <c r="AD3677" t="str">
        <f>IF(AA3677="","",IFERROR(1*'Procyfloc AL200'!C178,IFERROR(_xludf.NUMBERVALUE('Procyfloc AL200'!C178,".",","),IFERROR(_xludf.NUMBERVALUE('Procyfloc AL200'!C178,",","."),0))))</f>
        <v/>
      </c>
      <c r="AE3677" t="str">
        <f>IF(AA3677="","",'Procyfloc AL200'!K178)</f>
        <v/>
      </c>
      <c r="AF3677">
        <f t="shared" si="359"/>
        <v>0</v>
      </c>
      <c r="AG3677" t="str">
        <f t="shared" si="360"/>
        <v/>
      </c>
      <c r="AH3677" t="str">
        <f t="shared" si="361"/>
        <v/>
      </c>
      <c r="AI3677">
        <f t="shared" si="362"/>
        <v>0</v>
      </c>
      <c r="AJ3677">
        <f t="shared" si="363"/>
        <v>0</v>
      </c>
      <c r="AK3677">
        <v>0</v>
      </c>
      <c r="AL3677" t="str">
        <f>IF(AA3677="","",IFERROR(IF(ISNUMBER('Procyfloc AL200'!D178),'Procyfloc AL200'!D178,IF(ISNUMBER(SEARCH("12",'Procyfloc AL200'!D178)),EDATE(AB3677,12),IF(ISNUMBER(SEARCH("6",'Procyfloc AL200'!D178)),EDATE(AB3677,6),IF(ISNUMBER(SEARCH("3",'Procyfloc AL200'!D178)),EDATE(AB3677,3),DATEVALUE('Procyfloc AL200'!D178))))),""))</f>
        <v/>
      </c>
      <c r="AM3677" t="str">
        <f t="shared" ca="1" si="364"/>
        <v/>
      </c>
    </row>
    <row r="3678" spans="27:39" x14ac:dyDescent="0.3">
      <c r="AA3678" t="str">
        <f>IF(COUNTA('Procyfloc AL200'!A179,'Procyfloc AL200'!B179,'Procyfloc AL200'!C179)&gt;0,"AL200","")</f>
        <v/>
      </c>
      <c r="AB3678" t="str">
        <f>IFERROR(IF(ISNUMBER('Procyfloc AL200'!A179),'Procyfloc AL200'!A179,DATEVALUE('Procyfloc AL200'!A179)),"")</f>
        <v/>
      </c>
      <c r="AC3678" t="str">
        <f>IF(AA3678="","",'Procyfloc AL200'!B179)</f>
        <v/>
      </c>
      <c r="AD3678" t="str">
        <f>IF(AA3678="","",IFERROR(1*'Procyfloc AL200'!C179,IFERROR(_xludf.NUMBERVALUE('Procyfloc AL200'!C179,".",","),IFERROR(_xludf.NUMBERVALUE('Procyfloc AL200'!C179,",","."),0))))</f>
        <v/>
      </c>
      <c r="AE3678" t="str">
        <f>IF(AA3678="","",'Procyfloc AL200'!K179)</f>
        <v/>
      </c>
      <c r="AF3678">
        <f t="shared" si="359"/>
        <v>0</v>
      </c>
      <c r="AG3678" t="str">
        <f t="shared" si="360"/>
        <v/>
      </c>
      <c r="AH3678" t="str">
        <f t="shared" si="361"/>
        <v/>
      </c>
      <c r="AI3678">
        <f t="shared" si="362"/>
        <v>0</v>
      </c>
      <c r="AJ3678">
        <f t="shared" si="363"/>
        <v>0</v>
      </c>
      <c r="AK3678">
        <v>0</v>
      </c>
      <c r="AL3678" t="str">
        <f>IF(AA3678="","",IFERROR(IF(ISNUMBER('Procyfloc AL200'!D179),'Procyfloc AL200'!D179,IF(ISNUMBER(SEARCH("12",'Procyfloc AL200'!D179)),EDATE(AB3678,12),IF(ISNUMBER(SEARCH("6",'Procyfloc AL200'!D179)),EDATE(AB3678,6),IF(ISNUMBER(SEARCH("3",'Procyfloc AL200'!D179)),EDATE(AB3678,3),DATEVALUE('Procyfloc AL200'!D179))))),""))</f>
        <v/>
      </c>
      <c r="AM3678" t="str">
        <f t="shared" ca="1" si="364"/>
        <v/>
      </c>
    </row>
    <row r="3679" spans="27:39" x14ac:dyDescent="0.3">
      <c r="AA3679" t="str">
        <f>IF(COUNTA('Procyfloc AL200'!A180,'Procyfloc AL200'!B180,'Procyfloc AL200'!C180)&gt;0,"AL200","")</f>
        <v/>
      </c>
      <c r="AB3679" t="str">
        <f>IFERROR(IF(ISNUMBER('Procyfloc AL200'!A180),'Procyfloc AL200'!A180,DATEVALUE('Procyfloc AL200'!A180)),"")</f>
        <v/>
      </c>
      <c r="AC3679" t="str">
        <f>IF(AA3679="","",'Procyfloc AL200'!B180)</f>
        <v/>
      </c>
      <c r="AD3679" t="str">
        <f>IF(AA3679="","",IFERROR(1*'Procyfloc AL200'!C180,IFERROR(_xludf.NUMBERVALUE('Procyfloc AL200'!C180,".",","),IFERROR(_xludf.NUMBERVALUE('Procyfloc AL200'!C180,",","."),0))))</f>
        <v/>
      </c>
      <c r="AE3679" t="str">
        <f>IF(AA3679="","",'Procyfloc AL200'!K180)</f>
        <v/>
      </c>
      <c r="AF3679">
        <f t="shared" si="359"/>
        <v>0</v>
      </c>
      <c r="AG3679" t="str">
        <f t="shared" si="360"/>
        <v/>
      </c>
      <c r="AH3679" t="str">
        <f t="shared" si="361"/>
        <v/>
      </c>
      <c r="AI3679">
        <f t="shared" si="362"/>
        <v>0</v>
      </c>
      <c r="AJ3679">
        <f t="shared" si="363"/>
        <v>0</v>
      </c>
      <c r="AK3679">
        <v>0</v>
      </c>
      <c r="AL3679" t="str">
        <f>IF(AA3679="","",IFERROR(IF(ISNUMBER('Procyfloc AL200'!D180),'Procyfloc AL200'!D180,IF(ISNUMBER(SEARCH("12",'Procyfloc AL200'!D180)),EDATE(AB3679,12),IF(ISNUMBER(SEARCH("6",'Procyfloc AL200'!D180)),EDATE(AB3679,6),IF(ISNUMBER(SEARCH("3",'Procyfloc AL200'!D180)),EDATE(AB3679,3),DATEVALUE('Procyfloc AL200'!D180))))),""))</f>
        <v/>
      </c>
      <c r="AM3679" t="str">
        <f t="shared" ca="1" si="364"/>
        <v/>
      </c>
    </row>
    <row r="3680" spans="27:39" x14ac:dyDescent="0.3">
      <c r="AA3680" t="str">
        <f>IF(COUNTA('Procyfloc AL200'!A181,'Procyfloc AL200'!B181,'Procyfloc AL200'!C181)&gt;0,"AL200","")</f>
        <v/>
      </c>
      <c r="AB3680" t="str">
        <f>IFERROR(IF(ISNUMBER('Procyfloc AL200'!A181),'Procyfloc AL200'!A181,DATEVALUE('Procyfloc AL200'!A181)),"")</f>
        <v/>
      </c>
      <c r="AC3680" t="str">
        <f>IF(AA3680="","",'Procyfloc AL200'!B181)</f>
        <v/>
      </c>
      <c r="AD3680" t="str">
        <f>IF(AA3680="","",IFERROR(1*'Procyfloc AL200'!C181,IFERROR(_xludf.NUMBERVALUE('Procyfloc AL200'!C181,".",","),IFERROR(_xludf.NUMBERVALUE('Procyfloc AL200'!C181,",","."),0))))</f>
        <v/>
      </c>
      <c r="AE3680" t="str">
        <f>IF(AA3680="","",'Procyfloc AL200'!K181)</f>
        <v/>
      </c>
      <c r="AF3680">
        <f t="shared" si="359"/>
        <v>0</v>
      </c>
      <c r="AG3680" t="str">
        <f t="shared" si="360"/>
        <v/>
      </c>
      <c r="AH3680" t="str">
        <f t="shared" si="361"/>
        <v/>
      </c>
      <c r="AI3680">
        <f t="shared" si="362"/>
        <v>0</v>
      </c>
      <c r="AJ3680">
        <f t="shared" si="363"/>
        <v>0</v>
      </c>
      <c r="AK3680">
        <v>0</v>
      </c>
      <c r="AL3680" t="str">
        <f>IF(AA3680="","",IFERROR(IF(ISNUMBER('Procyfloc AL200'!D181),'Procyfloc AL200'!D181,IF(ISNUMBER(SEARCH("12",'Procyfloc AL200'!D181)),EDATE(AB3680,12),IF(ISNUMBER(SEARCH("6",'Procyfloc AL200'!D181)),EDATE(AB3680,6),IF(ISNUMBER(SEARCH("3",'Procyfloc AL200'!D181)),EDATE(AB3680,3),DATEVALUE('Procyfloc AL200'!D181))))),""))</f>
        <v/>
      </c>
      <c r="AM3680" t="str">
        <f t="shared" ca="1" si="364"/>
        <v/>
      </c>
    </row>
    <row r="3681" spans="27:39" x14ac:dyDescent="0.3">
      <c r="AA3681" t="str">
        <f>IF(COUNTA('Procyfloc AL200'!A182,'Procyfloc AL200'!B182,'Procyfloc AL200'!C182)&gt;0,"AL200","")</f>
        <v/>
      </c>
      <c r="AB3681" t="str">
        <f>IFERROR(IF(ISNUMBER('Procyfloc AL200'!A182),'Procyfloc AL200'!A182,DATEVALUE('Procyfloc AL200'!A182)),"")</f>
        <v/>
      </c>
      <c r="AC3681" t="str">
        <f>IF(AA3681="","",'Procyfloc AL200'!B182)</f>
        <v/>
      </c>
      <c r="AD3681" t="str">
        <f>IF(AA3681="","",IFERROR(1*'Procyfloc AL200'!C182,IFERROR(_xludf.NUMBERVALUE('Procyfloc AL200'!C182,".",","),IFERROR(_xludf.NUMBERVALUE('Procyfloc AL200'!C182,",","."),0))))</f>
        <v/>
      </c>
      <c r="AE3681" t="str">
        <f>IF(AA3681="","",'Procyfloc AL200'!K182)</f>
        <v/>
      </c>
      <c r="AF3681">
        <f t="shared" si="359"/>
        <v>0</v>
      </c>
      <c r="AG3681" t="str">
        <f t="shared" si="360"/>
        <v/>
      </c>
      <c r="AH3681" t="str">
        <f t="shared" si="361"/>
        <v/>
      </c>
      <c r="AI3681">
        <f t="shared" si="362"/>
        <v>0</v>
      </c>
      <c r="AJ3681">
        <f t="shared" si="363"/>
        <v>0</v>
      </c>
      <c r="AK3681">
        <v>0</v>
      </c>
      <c r="AL3681" t="str">
        <f>IF(AA3681="","",IFERROR(IF(ISNUMBER('Procyfloc AL200'!D182),'Procyfloc AL200'!D182,IF(ISNUMBER(SEARCH("12",'Procyfloc AL200'!D182)),EDATE(AB3681,12),IF(ISNUMBER(SEARCH("6",'Procyfloc AL200'!D182)),EDATE(AB3681,6),IF(ISNUMBER(SEARCH("3",'Procyfloc AL200'!D182)),EDATE(AB3681,3),DATEVALUE('Procyfloc AL200'!D182))))),""))</f>
        <v/>
      </c>
      <c r="AM3681" t="str">
        <f t="shared" ca="1" si="364"/>
        <v/>
      </c>
    </row>
    <row r="3682" spans="27:39" x14ac:dyDescent="0.3">
      <c r="AA3682" t="str">
        <f>IF(COUNTA('Procyfloc AL200'!A183,'Procyfloc AL200'!B183,'Procyfloc AL200'!C183)&gt;0,"AL200","")</f>
        <v/>
      </c>
      <c r="AB3682" t="str">
        <f>IFERROR(IF(ISNUMBER('Procyfloc AL200'!A183),'Procyfloc AL200'!A183,DATEVALUE('Procyfloc AL200'!A183)),"")</f>
        <v/>
      </c>
      <c r="AC3682" t="str">
        <f>IF(AA3682="","",'Procyfloc AL200'!B183)</f>
        <v/>
      </c>
      <c r="AD3682" t="str">
        <f>IF(AA3682="","",IFERROR(1*'Procyfloc AL200'!C183,IFERROR(_xludf.NUMBERVALUE('Procyfloc AL200'!C183,".",","),IFERROR(_xludf.NUMBERVALUE('Procyfloc AL200'!C183,",","."),0))))</f>
        <v/>
      </c>
      <c r="AE3682" t="str">
        <f>IF(AA3682="","",'Procyfloc AL200'!K183)</f>
        <v/>
      </c>
      <c r="AF3682">
        <f t="shared" si="359"/>
        <v>0</v>
      </c>
      <c r="AG3682" t="str">
        <f t="shared" si="360"/>
        <v/>
      </c>
      <c r="AH3682" t="str">
        <f t="shared" si="361"/>
        <v/>
      </c>
      <c r="AI3682">
        <f t="shared" si="362"/>
        <v>0</v>
      </c>
      <c r="AJ3682">
        <f t="shared" si="363"/>
        <v>0</v>
      </c>
      <c r="AK3682">
        <v>0</v>
      </c>
      <c r="AL3682" t="str">
        <f>IF(AA3682="","",IFERROR(IF(ISNUMBER('Procyfloc AL200'!D183),'Procyfloc AL200'!D183,IF(ISNUMBER(SEARCH("12",'Procyfloc AL200'!D183)),EDATE(AB3682,12),IF(ISNUMBER(SEARCH("6",'Procyfloc AL200'!D183)),EDATE(AB3682,6),IF(ISNUMBER(SEARCH("3",'Procyfloc AL200'!D183)),EDATE(AB3682,3),DATEVALUE('Procyfloc AL200'!D183))))),""))</f>
        <v/>
      </c>
      <c r="AM3682" t="str">
        <f t="shared" ca="1" si="364"/>
        <v/>
      </c>
    </row>
    <row r="3683" spans="27:39" x14ac:dyDescent="0.3">
      <c r="AA3683" t="str">
        <f>IF(COUNTA('Procyfloc AL200'!A184,'Procyfloc AL200'!B184,'Procyfloc AL200'!C184)&gt;0,"AL200","")</f>
        <v/>
      </c>
      <c r="AB3683" t="str">
        <f>IFERROR(IF(ISNUMBER('Procyfloc AL200'!A184),'Procyfloc AL200'!A184,DATEVALUE('Procyfloc AL200'!A184)),"")</f>
        <v/>
      </c>
      <c r="AC3683" t="str">
        <f>IF(AA3683="","",'Procyfloc AL200'!B184)</f>
        <v/>
      </c>
      <c r="AD3683" t="str">
        <f>IF(AA3683="","",IFERROR(1*'Procyfloc AL200'!C184,IFERROR(_xludf.NUMBERVALUE('Procyfloc AL200'!C184,".",","),IFERROR(_xludf.NUMBERVALUE('Procyfloc AL200'!C184,",","."),0))))</f>
        <v/>
      </c>
      <c r="AE3683" t="str">
        <f>IF(AA3683="","",'Procyfloc AL200'!K184)</f>
        <v/>
      </c>
      <c r="AF3683">
        <f t="shared" si="359"/>
        <v>0</v>
      </c>
      <c r="AG3683" t="str">
        <f t="shared" si="360"/>
        <v/>
      </c>
      <c r="AH3683" t="str">
        <f t="shared" si="361"/>
        <v/>
      </c>
      <c r="AI3683">
        <f t="shared" si="362"/>
        <v>0</v>
      </c>
      <c r="AJ3683">
        <f t="shared" si="363"/>
        <v>0</v>
      </c>
      <c r="AK3683">
        <v>0</v>
      </c>
      <c r="AL3683" t="str">
        <f>IF(AA3683="","",IFERROR(IF(ISNUMBER('Procyfloc AL200'!D184),'Procyfloc AL200'!D184,IF(ISNUMBER(SEARCH("12",'Procyfloc AL200'!D184)),EDATE(AB3683,12),IF(ISNUMBER(SEARCH("6",'Procyfloc AL200'!D184)),EDATE(AB3683,6),IF(ISNUMBER(SEARCH("3",'Procyfloc AL200'!D184)),EDATE(AB3683,3),DATEVALUE('Procyfloc AL200'!D184))))),""))</f>
        <v/>
      </c>
      <c r="AM3683" t="str">
        <f t="shared" ca="1" si="364"/>
        <v/>
      </c>
    </row>
    <row r="3684" spans="27:39" x14ac:dyDescent="0.3">
      <c r="AA3684" t="str">
        <f>IF(COUNTA('Procyfloc AL200'!A185,'Procyfloc AL200'!B185,'Procyfloc AL200'!C185)&gt;0,"AL200","")</f>
        <v/>
      </c>
      <c r="AB3684" t="str">
        <f>IFERROR(IF(ISNUMBER('Procyfloc AL200'!A185),'Procyfloc AL200'!A185,DATEVALUE('Procyfloc AL200'!A185)),"")</f>
        <v/>
      </c>
      <c r="AC3684" t="str">
        <f>IF(AA3684="","",'Procyfloc AL200'!B185)</f>
        <v/>
      </c>
      <c r="AD3684" t="str">
        <f>IF(AA3684="","",IFERROR(1*'Procyfloc AL200'!C185,IFERROR(_xludf.NUMBERVALUE('Procyfloc AL200'!C185,".",","),IFERROR(_xludf.NUMBERVALUE('Procyfloc AL200'!C185,",","."),0))))</f>
        <v/>
      </c>
      <c r="AE3684" t="str">
        <f>IF(AA3684="","",'Procyfloc AL200'!K185)</f>
        <v/>
      </c>
      <c r="AF3684">
        <f t="shared" si="359"/>
        <v>0</v>
      </c>
      <c r="AG3684" t="str">
        <f t="shared" si="360"/>
        <v/>
      </c>
      <c r="AH3684" t="str">
        <f t="shared" si="361"/>
        <v/>
      </c>
      <c r="AI3684">
        <f t="shared" si="362"/>
        <v>0</v>
      </c>
      <c r="AJ3684">
        <f t="shared" si="363"/>
        <v>0</v>
      </c>
      <c r="AK3684">
        <v>0</v>
      </c>
      <c r="AL3684" t="str">
        <f>IF(AA3684="","",IFERROR(IF(ISNUMBER('Procyfloc AL200'!D185),'Procyfloc AL200'!D185,IF(ISNUMBER(SEARCH("12",'Procyfloc AL200'!D185)),EDATE(AB3684,12),IF(ISNUMBER(SEARCH("6",'Procyfloc AL200'!D185)),EDATE(AB3684,6),IF(ISNUMBER(SEARCH("3",'Procyfloc AL200'!D185)),EDATE(AB3684,3),DATEVALUE('Procyfloc AL200'!D185))))),""))</f>
        <v/>
      </c>
      <c r="AM3684" t="str">
        <f t="shared" ca="1" si="364"/>
        <v/>
      </c>
    </row>
    <row r="3685" spans="27:39" x14ac:dyDescent="0.3">
      <c r="AA3685" t="str">
        <f>IF(COUNTA('Procyfloc AL200'!A186,'Procyfloc AL200'!B186,'Procyfloc AL200'!C186)&gt;0,"AL200","")</f>
        <v/>
      </c>
      <c r="AB3685" t="str">
        <f>IFERROR(IF(ISNUMBER('Procyfloc AL200'!A186),'Procyfloc AL200'!A186,DATEVALUE('Procyfloc AL200'!A186)),"")</f>
        <v/>
      </c>
      <c r="AC3685" t="str">
        <f>IF(AA3685="","",'Procyfloc AL200'!B186)</f>
        <v/>
      </c>
      <c r="AD3685" t="str">
        <f>IF(AA3685="","",IFERROR(1*'Procyfloc AL200'!C186,IFERROR(_xludf.NUMBERVALUE('Procyfloc AL200'!C186,".",","),IFERROR(_xludf.NUMBERVALUE('Procyfloc AL200'!C186,",","."),0))))</f>
        <v/>
      </c>
      <c r="AE3685" t="str">
        <f>IF(AA3685="","",'Procyfloc AL200'!K186)</f>
        <v/>
      </c>
      <c r="AF3685">
        <f t="shared" si="359"/>
        <v>0</v>
      </c>
      <c r="AG3685" t="str">
        <f t="shared" si="360"/>
        <v/>
      </c>
      <c r="AH3685" t="str">
        <f t="shared" si="361"/>
        <v/>
      </c>
      <c r="AI3685">
        <f t="shared" si="362"/>
        <v>0</v>
      </c>
      <c r="AJ3685">
        <f t="shared" si="363"/>
        <v>0</v>
      </c>
      <c r="AK3685">
        <v>0</v>
      </c>
      <c r="AL3685" t="str">
        <f>IF(AA3685="","",IFERROR(IF(ISNUMBER('Procyfloc AL200'!D186),'Procyfloc AL200'!D186,IF(ISNUMBER(SEARCH("12",'Procyfloc AL200'!D186)),EDATE(AB3685,12),IF(ISNUMBER(SEARCH("6",'Procyfloc AL200'!D186)),EDATE(AB3685,6),IF(ISNUMBER(SEARCH("3",'Procyfloc AL200'!D186)),EDATE(AB3685,3),DATEVALUE('Procyfloc AL200'!D186))))),""))</f>
        <v/>
      </c>
      <c r="AM3685" t="str">
        <f t="shared" ca="1" si="364"/>
        <v/>
      </c>
    </row>
    <row r="3686" spans="27:39" x14ac:dyDescent="0.3">
      <c r="AA3686" t="str">
        <f>IF(COUNTA('Procyfloc AL200'!A187,'Procyfloc AL200'!B187,'Procyfloc AL200'!C187)&gt;0,"AL200","")</f>
        <v/>
      </c>
      <c r="AB3686" t="str">
        <f>IFERROR(IF(ISNUMBER('Procyfloc AL200'!A187),'Procyfloc AL200'!A187,DATEVALUE('Procyfloc AL200'!A187)),"")</f>
        <v/>
      </c>
      <c r="AC3686" t="str">
        <f>IF(AA3686="","",'Procyfloc AL200'!B187)</f>
        <v/>
      </c>
      <c r="AD3686" t="str">
        <f>IF(AA3686="","",IFERROR(1*'Procyfloc AL200'!C187,IFERROR(_xludf.NUMBERVALUE('Procyfloc AL200'!C187,".",","),IFERROR(_xludf.NUMBERVALUE('Procyfloc AL200'!C187,",","."),0))))</f>
        <v/>
      </c>
      <c r="AE3686" t="str">
        <f>IF(AA3686="","",'Procyfloc AL200'!K187)</f>
        <v/>
      </c>
      <c r="AF3686">
        <f t="shared" si="359"/>
        <v>0</v>
      </c>
      <c r="AG3686" t="str">
        <f t="shared" si="360"/>
        <v/>
      </c>
      <c r="AH3686" t="str">
        <f t="shared" si="361"/>
        <v/>
      </c>
      <c r="AI3686">
        <f t="shared" si="362"/>
        <v>0</v>
      </c>
      <c r="AJ3686">
        <f t="shared" si="363"/>
        <v>0</v>
      </c>
      <c r="AK3686">
        <v>0</v>
      </c>
      <c r="AL3686" t="str">
        <f>IF(AA3686="","",IFERROR(IF(ISNUMBER('Procyfloc AL200'!D187),'Procyfloc AL200'!D187,IF(ISNUMBER(SEARCH("12",'Procyfloc AL200'!D187)),EDATE(AB3686,12),IF(ISNUMBER(SEARCH("6",'Procyfloc AL200'!D187)),EDATE(AB3686,6),IF(ISNUMBER(SEARCH("3",'Procyfloc AL200'!D187)),EDATE(AB3686,3),DATEVALUE('Procyfloc AL200'!D187))))),""))</f>
        <v/>
      </c>
      <c r="AM3686" t="str">
        <f t="shared" ca="1" si="364"/>
        <v/>
      </c>
    </row>
    <row r="3687" spans="27:39" x14ac:dyDescent="0.3">
      <c r="AA3687" t="str">
        <f>IF(COUNTA('Procyfloc AL200'!A188,'Procyfloc AL200'!B188,'Procyfloc AL200'!C188)&gt;0,"AL200","")</f>
        <v/>
      </c>
      <c r="AB3687" t="str">
        <f>IFERROR(IF(ISNUMBER('Procyfloc AL200'!A188),'Procyfloc AL200'!A188,DATEVALUE('Procyfloc AL200'!A188)),"")</f>
        <v/>
      </c>
      <c r="AC3687" t="str">
        <f>IF(AA3687="","",'Procyfloc AL200'!B188)</f>
        <v/>
      </c>
      <c r="AD3687" t="str">
        <f>IF(AA3687="","",IFERROR(1*'Procyfloc AL200'!C188,IFERROR(_xludf.NUMBERVALUE('Procyfloc AL200'!C188,".",","),IFERROR(_xludf.NUMBERVALUE('Procyfloc AL200'!C188,",","."),0))))</f>
        <v/>
      </c>
      <c r="AE3687" t="str">
        <f>IF(AA3687="","",'Procyfloc AL200'!K188)</f>
        <v/>
      </c>
      <c r="AF3687">
        <f t="shared" si="359"/>
        <v>0</v>
      </c>
      <c r="AG3687" t="str">
        <f t="shared" si="360"/>
        <v/>
      </c>
      <c r="AH3687" t="str">
        <f t="shared" si="361"/>
        <v/>
      </c>
      <c r="AI3687">
        <f t="shared" si="362"/>
        <v>0</v>
      </c>
      <c r="AJ3687">
        <f t="shared" si="363"/>
        <v>0</v>
      </c>
      <c r="AK3687">
        <v>0</v>
      </c>
      <c r="AL3687" t="str">
        <f>IF(AA3687="","",IFERROR(IF(ISNUMBER('Procyfloc AL200'!D188),'Procyfloc AL200'!D188,IF(ISNUMBER(SEARCH("12",'Procyfloc AL200'!D188)),EDATE(AB3687,12),IF(ISNUMBER(SEARCH("6",'Procyfloc AL200'!D188)),EDATE(AB3687,6),IF(ISNUMBER(SEARCH("3",'Procyfloc AL200'!D188)),EDATE(AB3687,3),DATEVALUE('Procyfloc AL200'!D188))))),""))</f>
        <v/>
      </c>
      <c r="AM3687" t="str">
        <f t="shared" ca="1" si="364"/>
        <v/>
      </c>
    </row>
    <row r="3688" spans="27:39" x14ac:dyDescent="0.3">
      <c r="AA3688" t="str">
        <f>IF(COUNTA('Procyfloc AL200'!A189,'Procyfloc AL200'!B189,'Procyfloc AL200'!C189)&gt;0,"AL200","")</f>
        <v/>
      </c>
      <c r="AB3688" t="str">
        <f>IFERROR(IF(ISNUMBER('Procyfloc AL200'!A189),'Procyfloc AL200'!A189,DATEVALUE('Procyfloc AL200'!A189)),"")</f>
        <v/>
      </c>
      <c r="AC3688" t="str">
        <f>IF(AA3688="","",'Procyfloc AL200'!B189)</f>
        <v/>
      </c>
      <c r="AD3688" t="str">
        <f>IF(AA3688="","",IFERROR(1*'Procyfloc AL200'!C189,IFERROR(_xludf.NUMBERVALUE('Procyfloc AL200'!C189,".",","),IFERROR(_xludf.NUMBERVALUE('Procyfloc AL200'!C189,",","."),0))))</f>
        <v/>
      </c>
      <c r="AE3688" t="str">
        <f>IF(AA3688="","",'Procyfloc AL200'!K189)</f>
        <v/>
      </c>
      <c r="AF3688">
        <f t="shared" si="359"/>
        <v>0</v>
      </c>
      <c r="AG3688" t="str">
        <f t="shared" si="360"/>
        <v/>
      </c>
      <c r="AH3688" t="str">
        <f t="shared" si="361"/>
        <v/>
      </c>
      <c r="AI3688">
        <f t="shared" si="362"/>
        <v>0</v>
      </c>
      <c r="AJ3688">
        <f t="shared" si="363"/>
        <v>0</v>
      </c>
      <c r="AK3688">
        <v>0</v>
      </c>
      <c r="AL3688" t="str">
        <f>IF(AA3688="","",IFERROR(IF(ISNUMBER('Procyfloc AL200'!D189),'Procyfloc AL200'!D189,IF(ISNUMBER(SEARCH("12",'Procyfloc AL200'!D189)),EDATE(AB3688,12),IF(ISNUMBER(SEARCH("6",'Procyfloc AL200'!D189)),EDATE(AB3688,6),IF(ISNUMBER(SEARCH("3",'Procyfloc AL200'!D189)),EDATE(AB3688,3),DATEVALUE('Procyfloc AL200'!D189))))),""))</f>
        <v/>
      </c>
      <c r="AM3688" t="str">
        <f t="shared" ca="1" si="364"/>
        <v/>
      </c>
    </row>
    <row r="3689" spans="27:39" x14ac:dyDescent="0.3">
      <c r="AA3689" t="str">
        <f>IF(COUNTA('Procyfloc AL200'!A190,'Procyfloc AL200'!B190,'Procyfloc AL200'!C190)&gt;0,"AL200","")</f>
        <v/>
      </c>
      <c r="AB3689" t="str">
        <f>IFERROR(IF(ISNUMBER('Procyfloc AL200'!A190),'Procyfloc AL200'!A190,DATEVALUE('Procyfloc AL200'!A190)),"")</f>
        <v/>
      </c>
      <c r="AC3689" t="str">
        <f>IF(AA3689="","",'Procyfloc AL200'!B190)</f>
        <v/>
      </c>
      <c r="AD3689" t="str">
        <f>IF(AA3689="","",IFERROR(1*'Procyfloc AL200'!C190,IFERROR(_xludf.NUMBERVALUE('Procyfloc AL200'!C190,".",","),IFERROR(_xludf.NUMBERVALUE('Procyfloc AL200'!C190,",","."),0))))</f>
        <v/>
      </c>
      <c r="AE3689" t="str">
        <f>IF(AA3689="","",'Procyfloc AL200'!K190)</f>
        <v/>
      </c>
      <c r="AF3689">
        <f t="shared" si="359"/>
        <v>0</v>
      </c>
      <c r="AG3689" t="str">
        <f t="shared" si="360"/>
        <v/>
      </c>
      <c r="AH3689" t="str">
        <f t="shared" si="361"/>
        <v/>
      </c>
      <c r="AI3689">
        <f t="shared" si="362"/>
        <v>0</v>
      </c>
      <c r="AJ3689">
        <f t="shared" si="363"/>
        <v>0</v>
      </c>
      <c r="AK3689">
        <v>0</v>
      </c>
      <c r="AL3689" t="str">
        <f>IF(AA3689="","",IFERROR(IF(ISNUMBER('Procyfloc AL200'!D190),'Procyfloc AL200'!D190,IF(ISNUMBER(SEARCH("12",'Procyfloc AL200'!D190)),EDATE(AB3689,12),IF(ISNUMBER(SEARCH("6",'Procyfloc AL200'!D190)),EDATE(AB3689,6),IF(ISNUMBER(SEARCH("3",'Procyfloc AL200'!D190)),EDATE(AB3689,3),DATEVALUE('Procyfloc AL200'!D190))))),""))</f>
        <v/>
      </c>
      <c r="AM3689" t="str">
        <f t="shared" ca="1" si="364"/>
        <v/>
      </c>
    </row>
    <row r="3690" spans="27:39" x14ac:dyDescent="0.3">
      <c r="AA3690" t="str">
        <f>IF(COUNTA('Procyfloc AL200'!A191,'Procyfloc AL200'!B191,'Procyfloc AL200'!C191)&gt;0,"AL200","")</f>
        <v/>
      </c>
      <c r="AB3690" t="str">
        <f>IFERROR(IF(ISNUMBER('Procyfloc AL200'!A191),'Procyfloc AL200'!A191,DATEVALUE('Procyfloc AL200'!A191)),"")</f>
        <v/>
      </c>
      <c r="AC3690" t="str">
        <f>IF(AA3690="","",'Procyfloc AL200'!B191)</f>
        <v/>
      </c>
      <c r="AD3690" t="str">
        <f>IF(AA3690="","",IFERROR(1*'Procyfloc AL200'!C191,IFERROR(_xludf.NUMBERVALUE('Procyfloc AL200'!C191,".",","),IFERROR(_xludf.NUMBERVALUE('Procyfloc AL200'!C191,",","."),0))))</f>
        <v/>
      </c>
      <c r="AE3690" t="str">
        <f>IF(AA3690="","",'Procyfloc AL200'!K191)</f>
        <v/>
      </c>
      <c r="AF3690">
        <f t="shared" si="359"/>
        <v>0</v>
      </c>
      <c r="AG3690" t="str">
        <f t="shared" si="360"/>
        <v/>
      </c>
      <c r="AH3690" t="str">
        <f t="shared" si="361"/>
        <v/>
      </c>
      <c r="AI3690">
        <f t="shared" si="362"/>
        <v>0</v>
      </c>
      <c r="AJ3690">
        <f t="shared" si="363"/>
        <v>0</v>
      </c>
      <c r="AK3690">
        <v>0</v>
      </c>
      <c r="AL3690" t="str">
        <f>IF(AA3690="","",IFERROR(IF(ISNUMBER('Procyfloc AL200'!D191),'Procyfloc AL200'!D191,IF(ISNUMBER(SEARCH("12",'Procyfloc AL200'!D191)),EDATE(AB3690,12),IF(ISNUMBER(SEARCH("6",'Procyfloc AL200'!D191)),EDATE(AB3690,6),IF(ISNUMBER(SEARCH("3",'Procyfloc AL200'!D191)),EDATE(AB3690,3),DATEVALUE('Procyfloc AL200'!D191))))),""))</f>
        <v/>
      </c>
      <c r="AM3690" t="str">
        <f t="shared" ca="1" si="364"/>
        <v/>
      </c>
    </row>
    <row r="3691" spans="27:39" x14ac:dyDescent="0.3">
      <c r="AA3691" t="str">
        <f>IF(COUNTA('Procyfloc AL200'!A192,'Procyfloc AL200'!B192,'Procyfloc AL200'!C192)&gt;0,"AL200","")</f>
        <v/>
      </c>
      <c r="AB3691" t="str">
        <f>IFERROR(IF(ISNUMBER('Procyfloc AL200'!A192),'Procyfloc AL200'!A192,DATEVALUE('Procyfloc AL200'!A192)),"")</f>
        <v/>
      </c>
      <c r="AC3691" t="str">
        <f>IF(AA3691="","",'Procyfloc AL200'!B192)</f>
        <v/>
      </c>
      <c r="AD3691" t="str">
        <f>IF(AA3691="","",IFERROR(1*'Procyfloc AL200'!C192,IFERROR(_xludf.NUMBERVALUE('Procyfloc AL200'!C192,".",","),IFERROR(_xludf.NUMBERVALUE('Procyfloc AL200'!C192,",","."),0))))</f>
        <v/>
      </c>
      <c r="AE3691" t="str">
        <f>IF(AA3691="","",'Procyfloc AL200'!K192)</f>
        <v/>
      </c>
      <c r="AF3691">
        <f t="shared" si="359"/>
        <v>0</v>
      </c>
      <c r="AG3691" t="str">
        <f t="shared" si="360"/>
        <v/>
      </c>
      <c r="AH3691" t="str">
        <f t="shared" si="361"/>
        <v/>
      </c>
      <c r="AI3691">
        <f t="shared" si="362"/>
        <v>0</v>
      </c>
      <c r="AJ3691">
        <f t="shared" si="363"/>
        <v>0</v>
      </c>
      <c r="AK3691">
        <v>0</v>
      </c>
      <c r="AL3691" t="str">
        <f>IF(AA3691="","",IFERROR(IF(ISNUMBER('Procyfloc AL200'!D192),'Procyfloc AL200'!D192,IF(ISNUMBER(SEARCH("12",'Procyfloc AL200'!D192)),EDATE(AB3691,12),IF(ISNUMBER(SEARCH("6",'Procyfloc AL200'!D192)),EDATE(AB3691,6),IF(ISNUMBER(SEARCH("3",'Procyfloc AL200'!D192)),EDATE(AB3691,3),DATEVALUE('Procyfloc AL200'!D192))))),""))</f>
        <v/>
      </c>
      <c r="AM3691" t="str">
        <f t="shared" ca="1" si="364"/>
        <v/>
      </c>
    </row>
    <row r="3692" spans="27:39" x14ac:dyDescent="0.3">
      <c r="AA3692" t="str">
        <f>IF(COUNTA('Procyfloc AL200'!A193,'Procyfloc AL200'!B193,'Procyfloc AL200'!C193)&gt;0,"AL200","")</f>
        <v/>
      </c>
      <c r="AB3692" t="str">
        <f>IFERROR(IF(ISNUMBER('Procyfloc AL200'!A193),'Procyfloc AL200'!A193,DATEVALUE('Procyfloc AL200'!A193)),"")</f>
        <v/>
      </c>
      <c r="AC3692" t="str">
        <f>IF(AA3692="","",'Procyfloc AL200'!B193)</f>
        <v/>
      </c>
      <c r="AD3692" t="str">
        <f>IF(AA3692="","",IFERROR(1*'Procyfloc AL200'!C193,IFERROR(_xludf.NUMBERVALUE('Procyfloc AL200'!C193,".",","),IFERROR(_xludf.NUMBERVALUE('Procyfloc AL200'!C193,",","."),0))))</f>
        <v/>
      </c>
      <c r="AE3692" t="str">
        <f>IF(AA3692="","",'Procyfloc AL200'!K193)</f>
        <v/>
      </c>
      <c r="AF3692">
        <f t="shared" si="359"/>
        <v>0</v>
      </c>
      <c r="AG3692" t="str">
        <f t="shared" si="360"/>
        <v/>
      </c>
      <c r="AH3692" t="str">
        <f t="shared" si="361"/>
        <v/>
      </c>
      <c r="AI3692">
        <f t="shared" si="362"/>
        <v>0</v>
      </c>
      <c r="AJ3692">
        <f t="shared" si="363"/>
        <v>0</v>
      </c>
      <c r="AK3692">
        <v>0</v>
      </c>
      <c r="AL3692" t="str">
        <f>IF(AA3692="","",IFERROR(IF(ISNUMBER('Procyfloc AL200'!D193),'Procyfloc AL200'!D193,IF(ISNUMBER(SEARCH("12",'Procyfloc AL200'!D193)),EDATE(AB3692,12),IF(ISNUMBER(SEARCH("6",'Procyfloc AL200'!D193)),EDATE(AB3692,6),IF(ISNUMBER(SEARCH("3",'Procyfloc AL200'!D193)),EDATE(AB3692,3),DATEVALUE('Procyfloc AL200'!D193))))),""))</f>
        <v/>
      </c>
      <c r="AM3692" t="str">
        <f t="shared" ca="1" si="364"/>
        <v/>
      </c>
    </row>
    <row r="3693" spans="27:39" x14ac:dyDescent="0.3">
      <c r="AA3693" t="str">
        <f>IF(COUNTA('Procyfloc AL200'!A194,'Procyfloc AL200'!B194,'Procyfloc AL200'!C194)&gt;0,"AL200","")</f>
        <v/>
      </c>
      <c r="AB3693" t="str">
        <f>IFERROR(IF(ISNUMBER('Procyfloc AL200'!A194),'Procyfloc AL200'!A194,DATEVALUE('Procyfloc AL200'!A194)),"")</f>
        <v/>
      </c>
      <c r="AC3693" t="str">
        <f>IF(AA3693="","",'Procyfloc AL200'!B194)</f>
        <v/>
      </c>
      <c r="AD3693" t="str">
        <f>IF(AA3693="","",IFERROR(1*'Procyfloc AL200'!C194,IFERROR(_xludf.NUMBERVALUE('Procyfloc AL200'!C194,".",","),IFERROR(_xludf.NUMBERVALUE('Procyfloc AL200'!C194,",","."),0))))</f>
        <v/>
      </c>
      <c r="AE3693" t="str">
        <f>IF(AA3693="","",'Procyfloc AL200'!K194)</f>
        <v/>
      </c>
      <c r="AF3693">
        <f t="shared" si="359"/>
        <v>0</v>
      </c>
      <c r="AG3693" t="str">
        <f t="shared" si="360"/>
        <v/>
      </c>
      <c r="AH3693" t="str">
        <f t="shared" si="361"/>
        <v/>
      </c>
      <c r="AI3693">
        <f t="shared" si="362"/>
        <v>0</v>
      </c>
      <c r="AJ3693">
        <f t="shared" si="363"/>
        <v>0</v>
      </c>
      <c r="AK3693">
        <v>0</v>
      </c>
      <c r="AL3693" t="str">
        <f>IF(AA3693="","",IFERROR(IF(ISNUMBER('Procyfloc AL200'!D194),'Procyfloc AL200'!D194,IF(ISNUMBER(SEARCH("12",'Procyfloc AL200'!D194)),EDATE(AB3693,12),IF(ISNUMBER(SEARCH("6",'Procyfloc AL200'!D194)),EDATE(AB3693,6),IF(ISNUMBER(SEARCH("3",'Procyfloc AL200'!D194)),EDATE(AB3693,3),DATEVALUE('Procyfloc AL200'!D194))))),""))</f>
        <v/>
      </c>
      <c r="AM3693" t="str">
        <f t="shared" ca="1" si="364"/>
        <v/>
      </c>
    </row>
    <row r="3694" spans="27:39" x14ac:dyDescent="0.3">
      <c r="AA3694" t="str">
        <f>IF(COUNTA('Procyfloc AL200'!A195,'Procyfloc AL200'!B195,'Procyfloc AL200'!C195)&gt;0,"AL200","")</f>
        <v/>
      </c>
      <c r="AB3694" t="str">
        <f>IFERROR(IF(ISNUMBER('Procyfloc AL200'!A195),'Procyfloc AL200'!A195,DATEVALUE('Procyfloc AL200'!A195)),"")</f>
        <v/>
      </c>
      <c r="AC3694" t="str">
        <f>IF(AA3694="","",'Procyfloc AL200'!B195)</f>
        <v/>
      </c>
      <c r="AD3694" t="str">
        <f>IF(AA3694="","",IFERROR(1*'Procyfloc AL200'!C195,IFERROR(_xludf.NUMBERVALUE('Procyfloc AL200'!C195,".",","),IFERROR(_xludf.NUMBERVALUE('Procyfloc AL200'!C195,",","."),0))))</f>
        <v/>
      </c>
      <c r="AE3694" t="str">
        <f>IF(AA3694="","",'Procyfloc AL200'!K195)</f>
        <v/>
      </c>
      <c r="AF3694">
        <f t="shared" si="359"/>
        <v>0</v>
      </c>
      <c r="AG3694" t="str">
        <f t="shared" si="360"/>
        <v/>
      </c>
      <c r="AH3694" t="str">
        <f t="shared" si="361"/>
        <v/>
      </c>
      <c r="AI3694">
        <f t="shared" si="362"/>
        <v>0</v>
      </c>
      <c r="AJ3694">
        <f t="shared" si="363"/>
        <v>0</v>
      </c>
      <c r="AK3694">
        <v>0</v>
      </c>
      <c r="AL3694" t="str">
        <f>IF(AA3694="","",IFERROR(IF(ISNUMBER('Procyfloc AL200'!D195),'Procyfloc AL200'!D195,IF(ISNUMBER(SEARCH("12",'Procyfloc AL200'!D195)),EDATE(AB3694,12),IF(ISNUMBER(SEARCH("6",'Procyfloc AL200'!D195)),EDATE(AB3694,6),IF(ISNUMBER(SEARCH("3",'Procyfloc AL200'!D195)),EDATE(AB3694,3),DATEVALUE('Procyfloc AL200'!D195))))),""))</f>
        <v/>
      </c>
      <c r="AM3694" t="str">
        <f t="shared" ca="1" si="364"/>
        <v/>
      </c>
    </row>
    <row r="3695" spans="27:39" x14ac:dyDescent="0.3">
      <c r="AA3695" t="str">
        <f>IF(COUNTA('Procyfloc AL200'!A196,'Procyfloc AL200'!B196,'Procyfloc AL200'!C196)&gt;0,"AL200","")</f>
        <v/>
      </c>
      <c r="AB3695" t="str">
        <f>IFERROR(IF(ISNUMBER('Procyfloc AL200'!A196),'Procyfloc AL200'!A196,DATEVALUE('Procyfloc AL200'!A196)),"")</f>
        <v/>
      </c>
      <c r="AC3695" t="str">
        <f>IF(AA3695="","",'Procyfloc AL200'!B196)</f>
        <v/>
      </c>
      <c r="AD3695" t="str">
        <f>IF(AA3695="","",IFERROR(1*'Procyfloc AL200'!C196,IFERROR(_xludf.NUMBERVALUE('Procyfloc AL200'!C196,".",","),IFERROR(_xludf.NUMBERVALUE('Procyfloc AL200'!C196,",","."),0))))</f>
        <v/>
      </c>
      <c r="AE3695" t="str">
        <f>IF(AA3695="","",'Procyfloc AL200'!K196)</f>
        <v/>
      </c>
      <c r="AF3695">
        <f t="shared" si="359"/>
        <v>0</v>
      </c>
      <c r="AG3695" t="str">
        <f t="shared" si="360"/>
        <v/>
      </c>
      <c r="AH3695" t="str">
        <f t="shared" si="361"/>
        <v/>
      </c>
      <c r="AI3695">
        <f t="shared" si="362"/>
        <v>0</v>
      </c>
      <c r="AJ3695">
        <f t="shared" si="363"/>
        <v>0</v>
      </c>
      <c r="AK3695">
        <v>0</v>
      </c>
      <c r="AL3695" t="str">
        <f>IF(AA3695="","",IFERROR(IF(ISNUMBER('Procyfloc AL200'!D196),'Procyfloc AL200'!D196,IF(ISNUMBER(SEARCH("12",'Procyfloc AL200'!D196)),EDATE(AB3695,12),IF(ISNUMBER(SEARCH("6",'Procyfloc AL200'!D196)),EDATE(AB3695,6),IF(ISNUMBER(SEARCH("3",'Procyfloc AL200'!D196)),EDATE(AB3695,3),DATEVALUE('Procyfloc AL200'!D196))))),""))</f>
        <v/>
      </c>
      <c r="AM3695" t="str">
        <f t="shared" ca="1" si="364"/>
        <v/>
      </c>
    </row>
    <row r="3696" spans="27:39" x14ac:dyDescent="0.3">
      <c r="AA3696" t="str">
        <f>IF(COUNTA('Procyfloc AL200'!A197,'Procyfloc AL200'!B197,'Procyfloc AL200'!C197)&gt;0,"AL200","")</f>
        <v/>
      </c>
      <c r="AB3696" t="str">
        <f>IFERROR(IF(ISNUMBER('Procyfloc AL200'!A197),'Procyfloc AL200'!A197,DATEVALUE('Procyfloc AL200'!A197)),"")</f>
        <v/>
      </c>
      <c r="AC3696" t="str">
        <f>IF(AA3696="","",'Procyfloc AL200'!B197)</f>
        <v/>
      </c>
      <c r="AD3696" t="str">
        <f>IF(AA3696="","",IFERROR(1*'Procyfloc AL200'!C197,IFERROR(_xludf.NUMBERVALUE('Procyfloc AL200'!C197,".",","),IFERROR(_xludf.NUMBERVALUE('Procyfloc AL200'!C197,",","."),0))))</f>
        <v/>
      </c>
      <c r="AE3696" t="str">
        <f>IF(AA3696="","",'Procyfloc AL200'!K197)</f>
        <v/>
      </c>
      <c r="AF3696">
        <f t="shared" si="359"/>
        <v>0</v>
      </c>
      <c r="AG3696" t="str">
        <f t="shared" si="360"/>
        <v/>
      </c>
      <c r="AH3696" t="str">
        <f t="shared" si="361"/>
        <v/>
      </c>
      <c r="AI3696">
        <f t="shared" si="362"/>
        <v>0</v>
      </c>
      <c r="AJ3696">
        <f t="shared" si="363"/>
        <v>0</v>
      </c>
      <c r="AK3696">
        <v>0</v>
      </c>
      <c r="AL3696" t="str">
        <f>IF(AA3696="","",IFERROR(IF(ISNUMBER('Procyfloc AL200'!D197),'Procyfloc AL200'!D197,IF(ISNUMBER(SEARCH("12",'Procyfloc AL200'!D197)),EDATE(AB3696,12),IF(ISNUMBER(SEARCH("6",'Procyfloc AL200'!D197)),EDATE(AB3696,6),IF(ISNUMBER(SEARCH("3",'Procyfloc AL200'!D197)),EDATE(AB3696,3),DATEVALUE('Procyfloc AL200'!D197))))),""))</f>
        <v/>
      </c>
      <c r="AM3696" t="str">
        <f t="shared" ca="1" si="364"/>
        <v/>
      </c>
    </row>
    <row r="3697" spans="27:39" x14ac:dyDescent="0.3">
      <c r="AA3697" t="str">
        <f>IF(COUNTA('Procyfloc AL200'!A198,'Procyfloc AL200'!B198,'Procyfloc AL200'!C198)&gt;0,"AL200","")</f>
        <v/>
      </c>
      <c r="AB3697" t="str">
        <f>IFERROR(IF(ISNUMBER('Procyfloc AL200'!A198),'Procyfloc AL200'!A198,DATEVALUE('Procyfloc AL200'!A198)),"")</f>
        <v/>
      </c>
      <c r="AC3697" t="str">
        <f>IF(AA3697="","",'Procyfloc AL200'!B198)</f>
        <v/>
      </c>
      <c r="AD3697" t="str">
        <f>IF(AA3697="","",IFERROR(1*'Procyfloc AL200'!C198,IFERROR(_xludf.NUMBERVALUE('Procyfloc AL200'!C198,".",","),IFERROR(_xludf.NUMBERVALUE('Procyfloc AL200'!C198,",","."),0))))</f>
        <v/>
      </c>
      <c r="AE3697" t="str">
        <f>IF(AA3697="","",'Procyfloc AL200'!K198)</f>
        <v/>
      </c>
      <c r="AF3697">
        <f t="shared" si="359"/>
        <v>0</v>
      </c>
      <c r="AG3697" t="str">
        <f t="shared" si="360"/>
        <v/>
      </c>
      <c r="AH3697" t="str">
        <f t="shared" si="361"/>
        <v/>
      </c>
      <c r="AI3697">
        <f t="shared" si="362"/>
        <v>0</v>
      </c>
      <c r="AJ3697">
        <f t="shared" si="363"/>
        <v>0</v>
      </c>
      <c r="AK3697">
        <v>0</v>
      </c>
      <c r="AL3697" t="str">
        <f>IF(AA3697="","",IFERROR(IF(ISNUMBER('Procyfloc AL200'!D198),'Procyfloc AL200'!D198,IF(ISNUMBER(SEARCH("12",'Procyfloc AL200'!D198)),EDATE(AB3697,12),IF(ISNUMBER(SEARCH("6",'Procyfloc AL200'!D198)),EDATE(AB3697,6),IF(ISNUMBER(SEARCH("3",'Procyfloc AL200'!D198)),EDATE(AB3697,3),DATEVALUE('Procyfloc AL200'!D198))))),""))</f>
        <v/>
      </c>
      <c r="AM3697" t="str">
        <f t="shared" ca="1" si="364"/>
        <v/>
      </c>
    </row>
    <row r="3698" spans="27:39" x14ac:dyDescent="0.3">
      <c r="AA3698" t="str">
        <f>IF(COUNTA('Procyfloc AL200'!A199,'Procyfloc AL200'!B199,'Procyfloc AL200'!C199)&gt;0,"AL200","")</f>
        <v/>
      </c>
      <c r="AB3698" t="str">
        <f>IFERROR(IF(ISNUMBER('Procyfloc AL200'!A199),'Procyfloc AL200'!A199,DATEVALUE('Procyfloc AL200'!A199)),"")</f>
        <v/>
      </c>
      <c r="AC3698" t="str">
        <f>IF(AA3698="","",'Procyfloc AL200'!B199)</f>
        <v/>
      </c>
      <c r="AD3698" t="str">
        <f>IF(AA3698="","",IFERROR(1*'Procyfloc AL200'!C199,IFERROR(_xludf.NUMBERVALUE('Procyfloc AL200'!C199,".",","),IFERROR(_xludf.NUMBERVALUE('Procyfloc AL200'!C199,",","."),0))))</f>
        <v/>
      </c>
      <c r="AE3698" t="str">
        <f>IF(AA3698="","",'Procyfloc AL200'!K199)</f>
        <v/>
      </c>
      <c r="AF3698">
        <f t="shared" si="359"/>
        <v>0</v>
      </c>
      <c r="AG3698" t="str">
        <f t="shared" si="360"/>
        <v/>
      </c>
      <c r="AH3698" t="str">
        <f t="shared" si="361"/>
        <v/>
      </c>
      <c r="AI3698">
        <f t="shared" si="362"/>
        <v>0</v>
      </c>
      <c r="AJ3698">
        <f t="shared" si="363"/>
        <v>0</v>
      </c>
      <c r="AK3698">
        <v>0</v>
      </c>
      <c r="AL3698" t="str">
        <f>IF(AA3698="","",IFERROR(IF(ISNUMBER('Procyfloc AL200'!D199),'Procyfloc AL200'!D199,IF(ISNUMBER(SEARCH("12",'Procyfloc AL200'!D199)),EDATE(AB3698,12),IF(ISNUMBER(SEARCH("6",'Procyfloc AL200'!D199)),EDATE(AB3698,6),IF(ISNUMBER(SEARCH("3",'Procyfloc AL200'!D199)),EDATE(AB3698,3),DATEVALUE('Procyfloc AL200'!D199))))),""))</f>
        <v/>
      </c>
      <c r="AM3698" t="str">
        <f t="shared" ca="1" si="364"/>
        <v/>
      </c>
    </row>
    <row r="3699" spans="27:39" x14ac:dyDescent="0.3">
      <c r="AA3699" t="str">
        <f>IF(COUNTA('Procyfloc AL200'!A200,'Procyfloc AL200'!B200,'Procyfloc AL200'!C200)&gt;0,"AL200","")</f>
        <v/>
      </c>
      <c r="AB3699" t="str">
        <f>IFERROR(IF(ISNUMBER('Procyfloc AL200'!A200),'Procyfloc AL200'!A200,DATEVALUE('Procyfloc AL200'!A200)),"")</f>
        <v/>
      </c>
      <c r="AC3699" t="str">
        <f>IF(AA3699="","",'Procyfloc AL200'!B200)</f>
        <v/>
      </c>
      <c r="AD3699" t="str">
        <f>IF(AA3699="","",IFERROR(1*'Procyfloc AL200'!C200,IFERROR(_xludf.NUMBERVALUE('Procyfloc AL200'!C200,".",","),IFERROR(_xludf.NUMBERVALUE('Procyfloc AL200'!C200,",","."),0))))</f>
        <v/>
      </c>
      <c r="AE3699" t="str">
        <f>IF(AA3699="","",'Procyfloc AL200'!K200)</f>
        <v/>
      </c>
      <c r="AF3699">
        <f t="shared" si="359"/>
        <v>0</v>
      </c>
      <c r="AG3699" t="str">
        <f t="shared" si="360"/>
        <v/>
      </c>
      <c r="AH3699" t="str">
        <f t="shared" si="361"/>
        <v/>
      </c>
      <c r="AI3699">
        <f t="shared" si="362"/>
        <v>0</v>
      </c>
      <c r="AJ3699">
        <f t="shared" si="363"/>
        <v>0</v>
      </c>
      <c r="AK3699">
        <v>0</v>
      </c>
      <c r="AL3699" t="str">
        <f>IF(AA3699="","",IFERROR(IF(ISNUMBER('Procyfloc AL200'!D200),'Procyfloc AL200'!D200,IF(ISNUMBER(SEARCH("12",'Procyfloc AL200'!D200)),EDATE(AB3699,12),IF(ISNUMBER(SEARCH("6",'Procyfloc AL200'!D200)),EDATE(AB3699,6),IF(ISNUMBER(SEARCH("3",'Procyfloc AL200'!D200)),EDATE(AB3699,3),DATEVALUE('Procyfloc AL200'!D200))))),""))</f>
        <v/>
      </c>
      <c r="AM3699" t="str">
        <f t="shared" ca="1" si="364"/>
        <v/>
      </c>
    </row>
    <row r="3700" spans="27:39" x14ac:dyDescent="0.3">
      <c r="AA3700" t="str">
        <f>IF(COUNTA('Procyfloc AL200'!A201,'Procyfloc AL200'!B201,'Procyfloc AL200'!C201)&gt;0,"AL200","")</f>
        <v/>
      </c>
      <c r="AB3700" t="str">
        <f>IFERROR(IF(ISNUMBER('Procyfloc AL200'!A201),'Procyfloc AL200'!A201,DATEVALUE('Procyfloc AL200'!A201)),"")</f>
        <v/>
      </c>
      <c r="AC3700" t="str">
        <f>IF(AA3700="","",'Procyfloc AL200'!B201)</f>
        <v/>
      </c>
      <c r="AD3700" t="str">
        <f>IF(AA3700="","",IFERROR(1*'Procyfloc AL200'!C201,IFERROR(_xludf.NUMBERVALUE('Procyfloc AL200'!C201,".",","),IFERROR(_xludf.NUMBERVALUE('Procyfloc AL200'!C201,",","."),0))))</f>
        <v/>
      </c>
      <c r="AE3700" t="str">
        <f>IF(AA3700="","",'Procyfloc AL200'!K201)</f>
        <v/>
      </c>
      <c r="AF3700">
        <f t="shared" si="359"/>
        <v>0</v>
      </c>
      <c r="AG3700" t="str">
        <f t="shared" si="360"/>
        <v/>
      </c>
      <c r="AH3700" t="str">
        <f t="shared" si="361"/>
        <v/>
      </c>
      <c r="AI3700">
        <f t="shared" si="362"/>
        <v>0</v>
      </c>
      <c r="AJ3700">
        <f t="shared" si="363"/>
        <v>0</v>
      </c>
      <c r="AK3700">
        <v>0</v>
      </c>
      <c r="AL3700" t="str">
        <f>IF(AA3700="","",IFERROR(IF(ISNUMBER('Procyfloc AL200'!D201),'Procyfloc AL200'!D201,IF(ISNUMBER(SEARCH("12",'Procyfloc AL200'!D201)),EDATE(AB3700,12),IF(ISNUMBER(SEARCH("6",'Procyfloc AL200'!D201)),EDATE(AB3700,6),IF(ISNUMBER(SEARCH("3",'Procyfloc AL200'!D201)),EDATE(AB3700,3),DATEVALUE('Procyfloc AL200'!D201))))),""))</f>
        <v/>
      </c>
      <c r="AM3700" t="str">
        <f t="shared" ca="1" si="364"/>
        <v/>
      </c>
    </row>
    <row r="3701" spans="27:39" x14ac:dyDescent="0.3">
      <c r="AA3701" t="str">
        <f>IF(COUNTA('Procyfloc AL200'!A202,'Procyfloc AL200'!B202,'Procyfloc AL200'!C202)&gt;0,"AL200","")</f>
        <v/>
      </c>
      <c r="AB3701" t="str">
        <f>IFERROR(IF(ISNUMBER('Procyfloc AL200'!A202),'Procyfloc AL200'!A202,DATEVALUE('Procyfloc AL200'!A202)),"")</f>
        <v/>
      </c>
      <c r="AC3701" t="str">
        <f>IF(AA3701="","",'Procyfloc AL200'!B202)</f>
        <v/>
      </c>
      <c r="AD3701" t="str">
        <f>IF(AA3701="","",IFERROR(1*'Procyfloc AL200'!C202,IFERROR(_xludf.NUMBERVALUE('Procyfloc AL200'!C202,".",","),IFERROR(_xludf.NUMBERVALUE('Procyfloc AL200'!C202,",","."),0))))</f>
        <v/>
      </c>
      <c r="AE3701" t="str">
        <f>IF(AA3701="","",'Procyfloc AL200'!K202)</f>
        <v/>
      </c>
      <c r="AF3701">
        <f t="shared" si="359"/>
        <v>0</v>
      </c>
      <c r="AG3701" t="str">
        <f t="shared" si="360"/>
        <v/>
      </c>
      <c r="AH3701" t="str">
        <f t="shared" si="361"/>
        <v/>
      </c>
      <c r="AI3701">
        <f t="shared" si="362"/>
        <v>0</v>
      </c>
      <c r="AJ3701">
        <f t="shared" si="363"/>
        <v>0</v>
      </c>
      <c r="AK3701">
        <v>0</v>
      </c>
      <c r="AL3701" t="str">
        <f>IF(AA3701="","",IFERROR(IF(ISNUMBER('Procyfloc AL200'!D202),'Procyfloc AL200'!D202,IF(ISNUMBER(SEARCH("12",'Procyfloc AL200'!D202)),EDATE(AB3701,12),IF(ISNUMBER(SEARCH("6",'Procyfloc AL200'!D202)),EDATE(AB3701,6),IF(ISNUMBER(SEARCH("3",'Procyfloc AL200'!D202)),EDATE(AB3701,3),DATEVALUE('Procyfloc AL200'!D202))))),""))</f>
        <v/>
      </c>
      <c r="AM3701" t="str">
        <f t="shared" ca="1" si="364"/>
        <v/>
      </c>
    </row>
    <row r="3702" spans="27:39" x14ac:dyDescent="0.3">
      <c r="AA3702" t="str">
        <f>IF(COUNTA('Procyfloc AL200'!A203,'Procyfloc AL200'!B203,'Procyfloc AL200'!C203)&gt;0,"AL200","")</f>
        <v/>
      </c>
      <c r="AB3702" t="str">
        <f>IFERROR(IF(ISNUMBER('Procyfloc AL200'!A203),'Procyfloc AL200'!A203,DATEVALUE('Procyfloc AL200'!A203)),"")</f>
        <v/>
      </c>
      <c r="AC3702" t="str">
        <f>IF(AA3702="","",'Procyfloc AL200'!B203)</f>
        <v/>
      </c>
      <c r="AD3702" t="str">
        <f>IF(AA3702="","",IFERROR(1*'Procyfloc AL200'!C203,IFERROR(_xludf.NUMBERVALUE('Procyfloc AL200'!C203,".",","),IFERROR(_xludf.NUMBERVALUE('Procyfloc AL200'!C203,",","."),0))))</f>
        <v/>
      </c>
      <c r="AE3702" t="str">
        <f>IF(AA3702="","",'Procyfloc AL200'!K203)</f>
        <v/>
      </c>
      <c r="AF3702">
        <f t="shared" si="359"/>
        <v>0</v>
      </c>
      <c r="AG3702" t="str">
        <f t="shared" si="360"/>
        <v/>
      </c>
      <c r="AH3702" t="str">
        <f t="shared" si="361"/>
        <v/>
      </c>
      <c r="AI3702">
        <f t="shared" si="362"/>
        <v>0</v>
      </c>
      <c r="AJ3702">
        <f t="shared" si="363"/>
        <v>0</v>
      </c>
      <c r="AK3702">
        <v>0</v>
      </c>
      <c r="AL3702" t="str">
        <f>IF(AA3702="","",IFERROR(IF(ISNUMBER('Procyfloc AL200'!D203),'Procyfloc AL200'!D203,IF(ISNUMBER(SEARCH("12",'Procyfloc AL200'!D203)),EDATE(AB3702,12),IF(ISNUMBER(SEARCH("6",'Procyfloc AL200'!D203)),EDATE(AB3702,6),IF(ISNUMBER(SEARCH("3",'Procyfloc AL200'!D203)),EDATE(AB3702,3),DATEVALUE('Procyfloc AL200'!D203))))),""))</f>
        <v/>
      </c>
      <c r="AM3702" t="str">
        <f t="shared" ca="1" si="364"/>
        <v/>
      </c>
    </row>
    <row r="3703" spans="27:39" x14ac:dyDescent="0.3">
      <c r="AA3703" t="str">
        <f>IF(COUNTA('Procyfloc AL200'!A204,'Procyfloc AL200'!B204,'Procyfloc AL200'!C204)&gt;0,"AL200","")</f>
        <v/>
      </c>
      <c r="AB3703" t="str">
        <f>IFERROR(IF(ISNUMBER('Procyfloc AL200'!A204),'Procyfloc AL200'!A204,DATEVALUE('Procyfloc AL200'!A204)),"")</f>
        <v/>
      </c>
      <c r="AC3703" t="str">
        <f>IF(AA3703="","",'Procyfloc AL200'!B204)</f>
        <v/>
      </c>
      <c r="AD3703" t="str">
        <f>IF(AA3703="","",IFERROR(1*'Procyfloc AL200'!C204,IFERROR(_xludf.NUMBERVALUE('Procyfloc AL200'!C204,".",","),IFERROR(_xludf.NUMBERVALUE('Procyfloc AL200'!C204,",","."),0))))</f>
        <v/>
      </c>
      <c r="AE3703" t="str">
        <f>IF(AA3703="","",'Procyfloc AL200'!K204)</f>
        <v/>
      </c>
      <c r="AF3703">
        <f t="shared" si="359"/>
        <v>0</v>
      </c>
      <c r="AG3703" t="str">
        <f t="shared" si="360"/>
        <v/>
      </c>
      <c r="AH3703" t="str">
        <f t="shared" si="361"/>
        <v/>
      </c>
      <c r="AI3703">
        <f t="shared" si="362"/>
        <v>0</v>
      </c>
      <c r="AJ3703">
        <f t="shared" si="363"/>
        <v>0</v>
      </c>
      <c r="AK3703">
        <v>0</v>
      </c>
      <c r="AL3703" t="str">
        <f>IF(AA3703="","",IFERROR(IF(ISNUMBER('Procyfloc AL200'!D204),'Procyfloc AL200'!D204,IF(ISNUMBER(SEARCH("12",'Procyfloc AL200'!D204)),EDATE(AB3703,12),IF(ISNUMBER(SEARCH("6",'Procyfloc AL200'!D204)),EDATE(AB3703,6),IF(ISNUMBER(SEARCH("3",'Procyfloc AL200'!D204)),EDATE(AB3703,3),DATEVALUE('Procyfloc AL200'!D204))))),""))</f>
        <v/>
      </c>
      <c r="AM3703" t="str">
        <f t="shared" ca="1" si="364"/>
        <v/>
      </c>
    </row>
    <row r="3704" spans="27:39" x14ac:dyDescent="0.3">
      <c r="AA3704" t="str">
        <f>IF(COUNTA('Procyfloc AL200'!A205,'Procyfloc AL200'!B205,'Procyfloc AL200'!C205)&gt;0,"AL200","")</f>
        <v/>
      </c>
      <c r="AB3704" t="str">
        <f>IFERROR(IF(ISNUMBER('Procyfloc AL200'!A205),'Procyfloc AL200'!A205,DATEVALUE('Procyfloc AL200'!A205)),"")</f>
        <v/>
      </c>
      <c r="AC3704" t="str">
        <f>IF(AA3704="","",'Procyfloc AL200'!B205)</f>
        <v/>
      </c>
      <c r="AD3704" t="str">
        <f>IF(AA3704="","",IFERROR(1*'Procyfloc AL200'!C205,IFERROR(_xludf.NUMBERVALUE('Procyfloc AL200'!C205,".",","),IFERROR(_xludf.NUMBERVALUE('Procyfloc AL200'!C205,",","."),0))))</f>
        <v/>
      </c>
      <c r="AE3704" t="str">
        <f>IF(AA3704="","",'Procyfloc AL200'!K205)</f>
        <v/>
      </c>
      <c r="AF3704">
        <f t="shared" si="359"/>
        <v>0</v>
      </c>
      <c r="AG3704" t="str">
        <f t="shared" si="360"/>
        <v/>
      </c>
      <c r="AH3704" t="str">
        <f t="shared" si="361"/>
        <v/>
      </c>
      <c r="AI3704">
        <f t="shared" si="362"/>
        <v>0</v>
      </c>
      <c r="AJ3704">
        <f t="shared" si="363"/>
        <v>0</v>
      </c>
      <c r="AK3704">
        <v>0</v>
      </c>
      <c r="AL3704" t="str">
        <f>IF(AA3704="","",IFERROR(IF(ISNUMBER('Procyfloc AL200'!D205),'Procyfloc AL200'!D205,IF(ISNUMBER(SEARCH("12",'Procyfloc AL200'!D205)),EDATE(AB3704,12),IF(ISNUMBER(SEARCH("6",'Procyfloc AL200'!D205)),EDATE(AB3704,6),IF(ISNUMBER(SEARCH("3",'Procyfloc AL200'!D205)),EDATE(AB3704,3),DATEVALUE('Procyfloc AL200'!D205))))),""))</f>
        <v/>
      </c>
      <c r="AM3704" t="str">
        <f t="shared" ca="1" si="364"/>
        <v/>
      </c>
    </row>
    <row r="3705" spans="27:39" x14ac:dyDescent="0.3">
      <c r="AA3705" t="str">
        <f>IF(COUNTA('Procyfloc AL200'!A206,'Procyfloc AL200'!B206,'Procyfloc AL200'!C206)&gt;0,"AL200","")</f>
        <v/>
      </c>
      <c r="AB3705" t="str">
        <f>IFERROR(IF(ISNUMBER('Procyfloc AL200'!A206),'Procyfloc AL200'!A206,DATEVALUE('Procyfloc AL200'!A206)),"")</f>
        <v/>
      </c>
      <c r="AC3705" t="str">
        <f>IF(AA3705="","",'Procyfloc AL200'!B206)</f>
        <v/>
      </c>
      <c r="AD3705" t="str">
        <f>IF(AA3705="","",IFERROR(1*'Procyfloc AL200'!C206,IFERROR(_xludf.NUMBERVALUE('Procyfloc AL200'!C206,".",","),IFERROR(_xludf.NUMBERVALUE('Procyfloc AL200'!C206,",","."),0))))</f>
        <v/>
      </c>
      <c r="AE3705" t="str">
        <f>IF(AA3705="","",'Procyfloc AL200'!K206)</f>
        <v/>
      </c>
      <c r="AF3705">
        <f t="shared" si="359"/>
        <v>0</v>
      </c>
      <c r="AG3705" t="str">
        <f t="shared" si="360"/>
        <v/>
      </c>
      <c r="AH3705" t="str">
        <f t="shared" si="361"/>
        <v/>
      </c>
      <c r="AI3705">
        <f t="shared" si="362"/>
        <v>0</v>
      </c>
      <c r="AJ3705">
        <f t="shared" si="363"/>
        <v>0</v>
      </c>
      <c r="AK3705">
        <v>0</v>
      </c>
      <c r="AL3705" t="str">
        <f>IF(AA3705="","",IFERROR(IF(ISNUMBER('Procyfloc AL200'!D206),'Procyfloc AL200'!D206,IF(ISNUMBER(SEARCH("12",'Procyfloc AL200'!D206)),EDATE(AB3705,12),IF(ISNUMBER(SEARCH("6",'Procyfloc AL200'!D206)),EDATE(AB3705,6),IF(ISNUMBER(SEARCH("3",'Procyfloc AL200'!D206)),EDATE(AB3705,3),DATEVALUE('Procyfloc AL200'!D206))))),""))</f>
        <v/>
      </c>
      <c r="AM3705" t="str">
        <f t="shared" ca="1" si="364"/>
        <v/>
      </c>
    </row>
    <row r="3706" spans="27:39" x14ac:dyDescent="0.3">
      <c r="AA3706" t="str">
        <f>IF(COUNTA('Procyfloc AL200'!A207,'Procyfloc AL200'!B207,'Procyfloc AL200'!C207)&gt;0,"AL200","")</f>
        <v/>
      </c>
      <c r="AB3706" t="str">
        <f>IFERROR(IF(ISNUMBER('Procyfloc AL200'!A207),'Procyfloc AL200'!A207,DATEVALUE('Procyfloc AL200'!A207)),"")</f>
        <v/>
      </c>
      <c r="AC3706" t="str">
        <f>IF(AA3706="","",'Procyfloc AL200'!B207)</f>
        <v/>
      </c>
      <c r="AD3706" t="str">
        <f>IF(AA3706="","",IFERROR(1*'Procyfloc AL200'!C207,IFERROR(_xludf.NUMBERVALUE('Procyfloc AL200'!C207,".",","),IFERROR(_xludf.NUMBERVALUE('Procyfloc AL200'!C207,",","."),0))))</f>
        <v/>
      </c>
      <c r="AE3706" t="str">
        <f>IF(AA3706="","",'Procyfloc AL200'!K207)</f>
        <v/>
      </c>
      <c r="AF3706">
        <f t="shared" si="359"/>
        <v>0</v>
      </c>
      <c r="AG3706" t="str">
        <f t="shared" si="360"/>
        <v/>
      </c>
      <c r="AH3706" t="str">
        <f t="shared" si="361"/>
        <v/>
      </c>
      <c r="AI3706">
        <f t="shared" si="362"/>
        <v>0</v>
      </c>
      <c r="AJ3706">
        <f t="shared" si="363"/>
        <v>0</v>
      </c>
      <c r="AK3706">
        <v>0</v>
      </c>
      <c r="AL3706" t="str">
        <f>IF(AA3706="","",IFERROR(IF(ISNUMBER('Procyfloc AL200'!D207),'Procyfloc AL200'!D207,IF(ISNUMBER(SEARCH("12",'Procyfloc AL200'!D207)),EDATE(AB3706,12),IF(ISNUMBER(SEARCH("6",'Procyfloc AL200'!D207)),EDATE(AB3706,6),IF(ISNUMBER(SEARCH("3",'Procyfloc AL200'!D207)),EDATE(AB3706,3),DATEVALUE('Procyfloc AL200'!D207))))),""))</f>
        <v/>
      </c>
      <c r="AM3706" t="str">
        <f t="shared" ca="1" si="364"/>
        <v/>
      </c>
    </row>
    <row r="3707" spans="27:39" x14ac:dyDescent="0.3">
      <c r="AA3707" t="str">
        <f>IF(COUNTA('Procyfloc AL200'!A208,'Procyfloc AL200'!B208,'Procyfloc AL200'!C208)&gt;0,"AL200","")</f>
        <v/>
      </c>
      <c r="AB3707" t="str">
        <f>IFERROR(IF(ISNUMBER('Procyfloc AL200'!A208),'Procyfloc AL200'!A208,DATEVALUE('Procyfloc AL200'!A208)),"")</f>
        <v/>
      </c>
      <c r="AC3707" t="str">
        <f>IF(AA3707="","",'Procyfloc AL200'!B208)</f>
        <v/>
      </c>
      <c r="AD3707" t="str">
        <f>IF(AA3707="","",IFERROR(1*'Procyfloc AL200'!C208,IFERROR(_xludf.NUMBERVALUE('Procyfloc AL200'!C208,".",","),IFERROR(_xludf.NUMBERVALUE('Procyfloc AL200'!C208,",","."),0))))</f>
        <v/>
      </c>
      <c r="AE3707" t="str">
        <f>IF(AA3707="","",'Procyfloc AL200'!K208)</f>
        <v/>
      </c>
      <c r="AF3707">
        <f t="shared" si="359"/>
        <v>0</v>
      </c>
      <c r="AG3707" t="str">
        <f t="shared" si="360"/>
        <v/>
      </c>
      <c r="AH3707" t="str">
        <f t="shared" si="361"/>
        <v/>
      </c>
      <c r="AI3707">
        <f t="shared" si="362"/>
        <v>0</v>
      </c>
      <c r="AJ3707">
        <f t="shared" si="363"/>
        <v>0</v>
      </c>
      <c r="AK3707">
        <v>0</v>
      </c>
      <c r="AL3707" t="str">
        <f>IF(AA3707="","",IFERROR(IF(ISNUMBER('Procyfloc AL200'!D208),'Procyfloc AL200'!D208,IF(ISNUMBER(SEARCH("12",'Procyfloc AL200'!D208)),EDATE(AB3707,12),IF(ISNUMBER(SEARCH("6",'Procyfloc AL200'!D208)),EDATE(AB3707,6),IF(ISNUMBER(SEARCH("3",'Procyfloc AL200'!D208)),EDATE(AB3707,3),DATEVALUE('Procyfloc AL200'!D208))))),""))</f>
        <v/>
      </c>
      <c r="AM3707" t="str">
        <f t="shared" ca="1" si="364"/>
        <v/>
      </c>
    </row>
    <row r="3708" spans="27:39" x14ac:dyDescent="0.3">
      <c r="AA3708" t="str">
        <f>IF(COUNTA('Procyfloc AL200'!A209,'Procyfloc AL200'!B209,'Procyfloc AL200'!C209)&gt;0,"AL200","")</f>
        <v/>
      </c>
      <c r="AB3708" t="str">
        <f>IFERROR(IF(ISNUMBER('Procyfloc AL200'!A209),'Procyfloc AL200'!A209,DATEVALUE('Procyfloc AL200'!A209)),"")</f>
        <v/>
      </c>
      <c r="AC3708" t="str">
        <f>IF(AA3708="","",'Procyfloc AL200'!B209)</f>
        <v/>
      </c>
      <c r="AD3708" t="str">
        <f>IF(AA3708="","",IFERROR(1*'Procyfloc AL200'!C209,IFERROR(_xludf.NUMBERVALUE('Procyfloc AL200'!C209,".",","),IFERROR(_xludf.NUMBERVALUE('Procyfloc AL200'!C209,",","."),0))))</f>
        <v/>
      </c>
      <c r="AE3708" t="str">
        <f>IF(AA3708="","",'Procyfloc AL200'!K209)</f>
        <v/>
      </c>
      <c r="AF3708">
        <f t="shared" si="359"/>
        <v>0</v>
      </c>
      <c r="AG3708" t="str">
        <f t="shared" si="360"/>
        <v/>
      </c>
      <c r="AH3708" t="str">
        <f t="shared" si="361"/>
        <v/>
      </c>
      <c r="AI3708">
        <f t="shared" si="362"/>
        <v>0</v>
      </c>
      <c r="AJ3708">
        <f t="shared" si="363"/>
        <v>0</v>
      </c>
      <c r="AK3708">
        <v>0</v>
      </c>
      <c r="AL3708" t="str">
        <f>IF(AA3708="","",IFERROR(IF(ISNUMBER('Procyfloc AL200'!D209),'Procyfloc AL200'!D209,IF(ISNUMBER(SEARCH("12",'Procyfloc AL200'!D209)),EDATE(AB3708,12),IF(ISNUMBER(SEARCH("6",'Procyfloc AL200'!D209)),EDATE(AB3708,6),IF(ISNUMBER(SEARCH("3",'Procyfloc AL200'!D209)),EDATE(AB3708,3),DATEVALUE('Procyfloc AL200'!D209))))),""))</f>
        <v/>
      </c>
      <c r="AM3708" t="str">
        <f t="shared" ca="1" si="364"/>
        <v/>
      </c>
    </row>
    <row r="3709" spans="27:39" x14ac:dyDescent="0.3">
      <c r="AA3709" t="str">
        <f>IF(COUNTA('Procyfloc AL200'!A210,'Procyfloc AL200'!B210,'Procyfloc AL200'!C210)&gt;0,"AL200","")</f>
        <v/>
      </c>
      <c r="AB3709" t="str">
        <f>IFERROR(IF(ISNUMBER('Procyfloc AL200'!A210),'Procyfloc AL200'!A210,DATEVALUE('Procyfloc AL200'!A210)),"")</f>
        <v/>
      </c>
      <c r="AC3709" t="str">
        <f>IF(AA3709="","",'Procyfloc AL200'!B210)</f>
        <v/>
      </c>
      <c r="AD3709" t="str">
        <f>IF(AA3709="","",IFERROR(1*'Procyfloc AL200'!C210,IFERROR(_xludf.NUMBERVALUE('Procyfloc AL200'!C210,".",","),IFERROR(_xludf.NUMBERVALUE('Procyfloc AL200'!C210,",","."),0))))</f>
        <v/>
      </c>
      <c r="AE3709" t="str">
        <f>IF(AA3709="","",'Procyfloc AL200'!K210)</f>
        <v/>
      </c>
      <c r="AF3709">
        <f t="shared" si="359"/>
        <v>0</v>
      </c>
      <c r="AG3709" t="str">
        <f t="shared" si="360"/>
        <v/>
      </c>
      <c r="AH3709" t="str">
        <f t="shared" si="361"/>
        <v/>
      </c>
      <c r="AI3709">
        <f t="shared" si="362"/>
        <v>0</v>
      </c>
      <c r="AJ3709">
        <f t="shared" si="363"/>
        <v>0</v>
      </c>
      <c r="AK3709">
        <v>0</v>
      </c>
      <c r="AL3709" t="str">
        <f>IF(AA3709="","",IFERROR(IF(ISNUMBER('Procyfloc AL200'!D210),'Procyfloc AL200'!D210,IF(ISNUMBER(SEARCH("12",'Procyfloc AL200'!D210)),EDATE(AB3709,12),IF(ISNUMBER(SEARCH("6",'Procyfloc AL200'!D210)),EDATE(AB3709,6),IF(ISNUMBER(SEARCH("3",'Procyfloc AL200'!D210)),EDATE(AB3709,3),DATEVALUE('Procyfloc AL200'!D210))))),""))</f>
        <v/>
      </c>
      <c r="AM3709" t="str">
        <f t="shared" ca="1" si="364"/>
        <v/>
      </c>
    </row>
    <row r="3710" spans="27:39" x14ac:dyDescent="0.3">
      <c r="AA3710" t="str">
        <f>IF(COUNTA('Procyfloc AL200'!A211,'Procyfloc AL200'!B211,'Procyfloc AL200'!C211)&gt;0,"AL200","")</f>
        <v/>
      </c>
      <c r="AB3710" t="str">
        <f>IFERROR(IF(ISNUMBER('Procyfloc AL200'!A211),'Procyfloc AL200'!A211,DATEVALUE('Procyfloc AL200'!A211)),"")</f>
        <v/>
      </c>
      <c r="AC3710" t="str">
        <f>IF(AA3710="","",'Procyfloc AL200'!B211)</f>
        <v/>
      </c>
      <c r="AD3710" t="str">
        <f>IF(AA3710="","",IFERROR(1*'Procyfloc AL200'!C211,IFERROR(_xludf.NUMBERVALUE('Procyfloc AL200'!C211,".",","),IFERROR(_xludf.NUMBERVALUE('Procyfloc AL200'!C211,",","."),0))))</f>
        <v/>
      </c>
      <c r="AE3710" t="str">
        <f>IF(AA3710="","",'Procyfloc AL200'!K211)</f>
        <v/>
      </c>
      <c r="AF3710">
        <f t="shared" si="359"/>
        <v>0</v>
      </c>
      <c r="AG3710" t="str">
        <f t="shared" si="360"/>
        <v/>
      </c>
      <c r="AH3710" t="str">
        <f t="shared" si="361"/>
        <v/>
      </c>
      <c r="AI3710">
        <f t="shared" si="362"/>
        <v>0</v>
      </c>
      <c r="AJ3710">
        <f t="shared" si="363"/>
        <v>0</v>
      </c>
      <c r="AK3710">
        <v>0</v>
      </c>
      <c r="AL3710" t="str">
        <f>IF(AA3710="","",IFERROR(IF(ISNUMBER('Procyfloc AL200'!D211),'Procyfloc AL200'!D211,IF(ISNUMBER(SEARCH("12",'Procyfloc AL200'!D211)),EDATE(AB3710,12),IF(ISNUMBER(SEARCH("6",'Procyfloc AL200'!D211)),EDATE(AB3710,6),IF(ISNUMBER(SEARCH("3",'Procyfloc AL200'!D211)),EDATE(AB3710,3),DATEVALUE('Procyfloc AL200'!D211))))),""))</f>
        <v/>
      </c>
      <c r="AM3710" t="str">
        <f t="shared" ca="1" si="364"/>
        <v/>
      </c>
    </row>
    <row r="3711" spans="27:39" x14ac:dyDescent="0.3">
      <c r="AA3711" t="str">
        <f>IF(COUNTA('Procyfloc AL200'!A212,'Procyfloc AL200'!B212,'Procyfloc AL200'!C212)&gt;0,"AL200","")</f>
        <v/>
      </c>
      <c r="AB3711" t="str">
        <f>IFERROR(IF(ISNUMBER('Procyfloc AL200'!A212),'Procyfloc AL200'!A212,DATEVALUE('Procyfloc AL200'!A212)),"")</f>
        <v/>
      </c>
      <c r="AC3711" t="str">
        <f>IF(AA3711="","",'Procyfloc AL200'!B212)</f>
        <v/>
      </c>
      <c r="AD3711" t="str">
        <f>IF(AA3711="","",IFERROR(1*'Procyfloc AL200'!C212,IFERROR(_xludf.NUMBERVALUE('Procyfloc AL200'!C212,".",","),IFERROR(_xludf.NUMBERVALUE('Procyfloc AL200'!C212,",","."),0))))</f>
        <v/>
      </c>
      <c r="AE3711" t="str">
        <f>IF(AA3711="","",'Procyfloc AL200'!K212)</f>
        <v/>
      </c>
      <c r="AF3711">
        <f t="shared" si="359"/>
        <v>0</v>
      </c>
      <c r="AG3711" t="str">
        <f t="shared" si="360"/>
        <v/>
      </c>
      <c r="AH3711" t="str">
        <f t="shared" si="361"/>
        <v/>
      </c>
      <c r="AI3711">
        <f t="shared" si="362"/>
        <v>0</v>
      </c>
      <c r="AJ3711">
        <f t="shared" si="363"/>
        <v>0</v>
      </c>
      <c r="AK3711">
        <v>0</v>
      </c>
      <c r="AL3711" t="str">
        <f>IF(AA3711="","",IFERROR(IF(ISNUMBER('Procyfloc AL200'!D212),'Procyfloc AL200'!D212,IF(ISNUMBER(SEARCH("12",'Procyfloc AL200'!D212)),EDATE(AB3711,12),IF(ISNUMBER(SEARCH("6",'Procyfloc AL200'!D212)),EDATE(AB3711,6),IF(ISNUMBER(SEARCH("3",'Procyfloc AL200'!D212)),EDATE(AB3711,3),DATEVALUE('Procyfloc AL200'!D212))))),""))</f>
        <v/>
      </c>
      <c r="AM3711" t="str">
        <f t="shared" ca="1" si="364"/>
        <v/>
      </c>
    </row>
    <row r="3712" spans="27:39" x14ac:dyDescent="0.3">
      <c r="AA3712" t="str">
        <f>IF(COUNTA('Procyfloc AL200'!A213,'Procyfloc AL200'!B213,'Procyfloc AL200'!C213)&gt;0,"AL200","")</f>
        <v/>
      </c>
      <c r="AB3712" t="str">
        <f>IFERROR(IF(ISNUMBER('Procyfloc AL200'!A213),'Procyfloc AL200'!A213,DATEVALUE('Procyfloc AL200'!A213)),"")</f>
        <v/>
      </c>
      <c r="AC3712" t="str">
        <f>IF(AA3712="","",'Procyfloc AL200'!B213)</f>
        <v/>
      </c>
      <c r="AD3712" t="str">
        <f>IF(AA3712="","",IFERROR(1*'Procyfloc AL200'!C213,IFERROR(_xludf.NUMBERVALUE('Procyfloc AL200'!C213,".",","),IFERROR(_xludf.NUMBERVALUE('Procyfloc AL200'!C213,",","."),0))))</f>
        <v/>
      </c>
      <c r="AE3712" t="str">
        <f>IF(AA3712="","",'Procyfloc AL200'!K213)</f>
        <v/>
      </c>
      <c r="AF3712">
        <f t="shared" si="359"/>
        <v>0</v>
      </c>
      <c r="AG3712" t="str">
        <f t="shared" si="360"/>
        <v/>
      </c>
      <c r="AH3712" t="str">
        <f t="shared" si="361"/>
        <v/>
      </c>
      <c r="AI3712">
        <f t="shared" si="362"/>
        <v>0</v>
      </c>
      <c r="AJ3712">
        <f t="shared" si="363"/>
        <v>0</v>
      </c>
      <c r="AK3712">
        <v>0</v>
      </c>
      <c r="AL3712" t="str">
        <f>IF(AA3712="","",IFERROR(IF(ISNUMBER('Procyfloc AL200'!D213),'Procyfloc AL200'!D213,IF(ISNUMBER(SEARCH("12",'Procyfloc AL200'!D213)),EDATE(AB3712,12),IF(ISNUMBER(SEARCH("6",'Procyfloc AL200'!D213)),EDATE(AB3712,6),IF(ISNUMBER(SEARCH("3",'Procyfloc AL200'!D213)),EDATE(AB3712,3),DATEVALUE('Procyfloc AL200'!D213))))),""))</f>
        <v/>
      </c>
      <c r="AM3712" t="str">
        <f t="shared" ca="1" si="364"/>
        <v/>
      </c>
    </row>
    <row r="3713" spans="27:39" x14ac:dyDescent="0.3">
      <c r="AA3713" t="str">
        <f>IF(COUNTA('Procyfloc AL200'!A214,'Procyfloc AL200'!B214,'Procyfloc AL200'!C214)&gt;0,"AL200","")</f>
        <v/>
      </c>
      <c r="AB3713" t="str">
        <f>IFERROR(IF(ISNUMBER('Procyfloc AL200'!A214),'Procyfloc AL200'!A214,DATEVALUE('Procyfloc AL200'!A214)),"")</f>
        <v/>
      </c>
      <c r="AC3713" t="str">
        <f>IF(AA3713="","",'Procyfloc AL200'!B214)</f>
        <v/>
      </c>
      <c r="AD3713" t="str">
        <f>IF(AA3713="","",IFERROR(1*'Procyfloc AL200'!C214,IFERROR(_xludf.NUMBERVALUE('Procyfloc AL200'!C214,".",","),IFERROR(_xludf.NUMBERVALUE('Procyfloc AL200'!C214,",","."),0))))</f>
        <v/>
      </c>
      <c r="AE3713" t="str">
        <f>IF(AA3713="","",'Procyfloc AL200'!K214)</f>
        <v/>
      </c>
      <c r="AF3713">
        <f t="shared" si="359"/>
        <v>0</v>
      </c>
      <c r="AG3713" t="str">
        <f t="shared" si="360"/>
        <v/>
      </c>
      <c r="AH3713" t="str">
        <f t="shared" si="361"/>
        <v/>
      </c>
      <c r="AI3713">
        <f t="shared" si="362"/>
        <v>0</v>
      </c>
      <c r="AJ3713">
        <f t="shared" si="363"/>
        <v>0</v>
      </c>
      <c r="AK3713">
        <v>0</v>
      </c>
      <c r="AL3713" t="str">
        <f>IF(AA3713="","",IFERROR(IF(ISNUMBER('Procyfloc AL200'!D214),'Procyfloc AL200'!D214,IF(ISNUMBER(SEARCH("12",'Procyfloc AL200'!D214)),EDATE(AB3713,12),IF(ISNUMBER(SEARCH("6",'Procyfloc AL200'!D214)),EDATE(AB3713,6),IF(ISNUMBER(SEARCH("3",'Procyfloc AL200'!D214)),EDATE(AB3713,3),DATEVALUE('Procyfloc AL200'!D214))))),""))</f>
        <v/>
      </c>
      <c r="AM3713" t="str">
        <f t="shared" ca="1" si="364"/>
        <v/>
      </c>
    </row>
    <row r="3714" spans="27:39" x14ac:dyDescent="0.3">
      <c r="AA3714" t="str">
        <f>IF(COUNTA('Procyfloc AL200'!A215,'Procyfloc AL200'!B215,'Procyfloc AL200'!C215)&gt;0,"AL200","")</f>
        <v/>
      </c>
      <c r="AB3714" t="str">
        <f>IFERROR(IF(ISNUMBER('Procyfloc AL200'!A215),'Procyfloc AL200'!A215,DATEVALUE('Procyfloc AL200'!A215)),"")</f>
        <v/>
      </c>
      <c r="AC3714" t="str">
        <f>IF(AA3714="","",'Procyfloc AL200'!B215)</f>
        <v/>
      </c>
      <c r="AD3714" t="str">
        <f>IF(AA3714="","",IFERROR(1*'Procyfloc AL200'!C215,IFERROR(_xludf.NUMBERVALUE('Procyfloc AL200'!C215,".",","),IFERROR(_xludf.NUMBERVALUE('Procyfloc AL200'!C215,",","."),0))))</f>
        <v/>
      </c>
      <c r="AE3714" t="str">
        <f>IF(AA3714="","",'Procyfloc AL200'!K215)</f>
        <v/>
      </c>
      <c r="AF3714">
        <f t="shared" ref="AF3714:AF3777" si="365">IF(AA3714="",0,--AND(ISNUMBER(SEARCH("aprov",AE3714)),NOT(ISNUMBER(SEARCH("reprov",AE3714)))))</f>
        <v>0</v>
      </c>
      <c r="AG3714" t="str">
        <f t="shared" ref="AG3714:AG3777" si="366">IF(AB3714="","",YEAR(AB3714))</f>
        <v/>
      </c>
      <c r="AH3714" t="str">
        <f t="shared" ref="AH3714:AH3777" si="367">IF(AB3714="","",MONTH(AB3714))</f>
        <v/>
      </c>
      <c r="AI3714">
        <f t="shared" ref="AI3714:AI3777" si="368">IF(AB3714="",0,AB3714+ROW()/1000000)</f>
        <v>0</v>
      </c>
      <c r="AJ3714">
        <f t="shared" ref="AJ3714:AJ3777" si="369">--(AA3714&lt;&gt;"")</f>
        <v>0</v>
      </c>
      <c r="AK3714">
        <v>0</v>
      </c>
      <c r="AL3714" t="str">
        <f>IF(AA3714="","",IFERROR(IF(ISNUMBER('Procyfloc AL200'!D215),'Procyfloc AL200'!D215,IF(ISNUMBER(SEARCH("12",'Procyfloc AL200'!D215)),EDATE(AB3714,12),IF(ISNUMBER(SEARCH("6",'Procyfloc AL200'!D215)),EDATE(AB3714,6),IF(ISNUMBER(SEARCH("3",'Procyfloc AL200'!D215)),EDATE(AB3714,3),DATEVALUE('Procyfloc AL200'!D215))))),""))</f>
        <v/>
      </c>
      <c r="AM3714" t="str">
        <f t="shared" ref="AM3714:AM3777" ca="1" si="370">IF(AND(AJ3714=1,AL3714&lt;&gt;"",AL3714&gt;=TODAY(),AG3714=$W$3),AL3714+ROW()/1000000,"")</f>
        <v/>
      </c>
    </row>
    <row r="3715" spans="27:39" x14ac:dyDescent="0.3">
      <c r="AA3715" t="str">
        <f>IF(COUNTA('Procyfloc AL200'!A216,'Procyfloc AL200'!B216,'Procyfloc AL200'!C216)&gt;0,"AL200","")</f>
        <v/>
      </c>
      <c r="AB3715" t="str">
        <f>IFERROR(IF(ISNUMBER('Procyfloc AL200'!A216),'Procyfloc AL200'!A216,DATEVALUE('Procyfloc AL200'!A216)),"")</f>
        <v/>
      </c>
      <c r="AC3715" t="str">
        <f>IF(AA3715="","",'Procyfloc AL200'!B216)</f>
        <v/>
      </c>
      <c r="AD3715" t="str">
        <f>IF(AA3715="","",IFERROR(1*'Procyfloc AL200'!C216,IFERROR(_xludf.NUMBERVALUE('Procyfloc AL200'!C216,".",","),IFERROR(_xludf.NUMBERVALUE('Procyfloc AL200'!C216,",","."),0))))</f>
        <v/>
      </c>
      <c r="AE3715" t="str">
        <f>IF(AA3715="","",'Procyfloc AL200'!K216)</f>
        <v/>
      </c>
      <c r="AF3715">
        <f t="shared" si="365"/>
        <v>0</v>
      </c>
      <c r="AG3715" t="str">
        <f t="shared" si="366"/>
        <v/>
      </c>
      <c r="AH3715" t="str">
        <f t="shared" si="367"/>
        <v/>
      </c>
      <c r="AI3715">
        <f t="shared" si="368"/>
        <v>0</v>
      </c>
      <c r="AJ3715">
        <f t="shared" si="369"/>
        <v>0</v>
      </c>
      <c r="AK3715">
        <v>0</v>
      </c>
      <c r="AL3715" t="str">
        <f>IF(AA3715="","",IFERROR(IF(ISNUMBER('Procyfloc AL200'!D216),'Procyfloc AL200'!D216,IF(ISNUMBER(SEARCH("12",'Procyfloc AL200'!D216)),EDATE(AB3715,12),IF(ISNUMBER(SEARCH("6",'Procyfloc AL200'!D216)),EDATE(AB3715,6),IF(ISNUMBER(SEARCH("3",'Procyfloc AL200'!D216)),EDATE(AB3715,3),DATEVALUE('Procyfloc AL200'!D216))))),""))</f>
        <v/>
      </c>
      <c r="AM3715" t="str">
        <f t="shared" ca="1" si="370"/>
        <v/>
      </c>
    </row>
    <row r="3716" spans="27:39" x14ac:dyDescent="0.3">
      <c r="AA3716" t="str">
        <f>IF(COUNTA('Procyfloc AL200'!A217,'Procyfloc AL200'!B217,'Procyfloc AL200'!C217)&gt;0,"AL200","")</f>
        <v/>
      </c>
      <c r="AB3716" t="str">
        <f>IFERROR(IF(ISNUMBER('Procyfloc AL200'!A217),'Procyfloc AL200'!A217,DATEVALUE('Procyfloc AL200'!A217)),"")</f>
        <v/>
      </c>
      <c r="AC3716" t="str">
        <f>IF(AA3716="","",'Procyfloc AL200'!B217)</f>
        <v/>
      </c>
      <c r="AD3716" t="str">
        <f>IF(AA3716="","",IFERROR(1*'Procyfloc AL200'!C217,IFERROR(_xludf.NUMBERVALUE('Procyfloc AL200'!C217,".",","),IFERROR(_xludf.NUMBERVALUE('Procyfloc AL200'!C217,",","."),0))))</f>
        <v/>
      </c>
      <c r="AE3716" t="str">
        <f>IF(AA3716="","",'Procyfloc AL200'!K217)</f>
        <v/>
      </c>
      <c r="AF3716">
        <f t="shared" si="365"/>
        <v>0</v>
      </c>
      <c r="AG3716" t="str">
        <f t="shared" si="366"/>
        <v/>
      </c>
      <c r="AH3716" t="str">
        <f t="shared" si="367"/>
        <v/>
      </c>
      <c r="AI3716">
        <f t="shared" si="368"/>
        <v>0</v>
      </c>
      <c r="AJ3716">
        <f t="shared" si="369"/>
        <v>0</v>
      </c>
      <c r="AK3716">
        <v>0</v>
      </c>
      <c r="AL3716" t="str">
        <f>IF(AA3716="","",IFERROR(IF(ISNUMBER('Procyfloc AL200'!D217),'Procyfloc AL200'!D217,IF(ISNUMBER(SEARCH("12",'Procyfloc AL200'!D217)),EDATE(AB3716,12),IF(ISNUMBER(SEARCH("6",'Procyfloc AL200'!D217)),EDATE(AB3716,6),IF(ISNUMBER(SEARCH("3",'Procyfloc AL200'!D217)),EDATE(AB3716,3),DATEVALUE('Procyfloc AL200'!D217))))),""))</f>
        <v/>
      </c>
      <c r="AM3716" t="str">
        <f t="shared" ca="1" si="370"/>
        <v/>
      </c>
    </row>
    <row r="3717" spans="27:39" x14ac:dyDescent="0.3">
      <c r="AA3717" t="str">
        <f>IF(COUNTA('Procyfloc AL200'!A218,'Procyfloc AL200'!B218,'Procyfloc AL200'!C218)&gt;0,"AL200","")</f>
        <v/>
      </c>
      <c r="AB3717" t="str">
        <f>IFERROR(IF(ISNUMBER('Procyfloc AL200'!A218),'Procyfloc AL200'!A218,DATEVALUE('Procyfloc AL200'!A218)),"")</f>
        <v/>
      </c>
      <c r="AC3717" t="str">
        <f>IF(AA3717="","",'Procyfloc AL200'!B218)</f>
        <v/>
      </c>
      <c r="AD3717" t="str">
        <f>IF(AA3717="","",IFERROR(1*'Procyfloc AL200'!C218,IFERROR(_xludf.NUMBERVALUE('Procyfloc AL200'!C218,".",","),IFERROR(_xludf.NUMBERVALUE('Procyfloc AL200'!C218,",","."),0))))</f>
        <v/>
      </c>
      <c r="AE3717" t="str">
        <f>IF(AA3717="","",'Procyfloc AL200'!K218)</f>
        <v/>
      </c>
      <c r="AF3717">
        <f t="shared" si="365"/>
        <v>0</v>
      </c>
      <c r="AG3717" t="str">
        <f t="shared" si="366"/>
        <v/>
      </c>
      <c r="AH3717" t="str">
        <f t="shared" si="367"/>
        <v/>
      </c>
      <c r="AI3717">
        <f t="shared" si="368"/>
        <v>0</v>
      </c>
      <c r="AJ3717">
        <f t="shared" si="369"/>
        <v>0</v>
      </c>
      <c r="AK3717">
        <v>0</v>
      </c>
      <c r="AL3717" t="str">
        <f>IF(AA3717="","",IFERROR(IF(ISNUMBER('Procyfloc AL200'!D218),'Procyfloc AL200'!D218,IF(ISNUMBER(SEARCH("12",'Procyfloc AL200'!D218)),EDATE(AB3717,12),IF(ISNUMBER(SEARCH("6",'Procyfloc AL200'!D218)),EDATE(AB3717,6),IF(ISNUMBER(SEARCH("3",'Procyfloc AL200'!D218)),EDATE(AB3717,3),DATEVALUE('Procyfloc AL200'!D218))))),""))</f>
        <v/>
      </c>
      <c r="AM3717" t="str">
        <f t="shared" ca="1" si="370"/>
        <v/>
      </c>
    </row>
    <row r="3718" spans="27:39" x14ac:dyDescent="0.3">
      <c r="AA3718" t="str">
        <f>IF(COUNTA('Procyfloc AL200'!A219,'Procyfloc AL200'!B219,'Procyfloc AL200'!C219)&gt;0,"AL200","")</f>
        <v/>
      </c>
      <c r="AB3718" t="str">
        <f>IFERROR(IF(ISNUMBER('Procyfloc AL200'!A219),'Procyfloc AL200'!A219,DATEVALUE('Procyfloc AL200'!A219)),"")</f>
        <v/>
      </c>
      <c r="AC3718" t="str">
        <f>IF(AA3718="","",'Procyfloc AL200'!B219)</f>
        <v/>
      </c>
      <c r="AD3718" t="str">
        <f>IF(AA3718="","",IFERROR(1*'Procyfloc AL200'!C219,IFERROR(_xludf.NUMBERVALUE('Procyfloc AL200'!C219,".",","),IFERROR(_xludf.NUMBERVALUE('Procyfloc AL200'!C219,",","."),0))))</f>
        <v/>
      </c>
      <c r="AE3718" t="str">
        <f>IF(AA3718="","",'Procyfloc AL200'!K219)</f>
        <v/>
      </c>
      <c r="AF3718">
        <f t="shared" si="365"/>
        <v>0</v>
      </c>
      <c r="AG3718" t="str">
        <f t="shared" si="366"/>
        <v/>
      </c>
      <c r="AH3718" t="str">
        <f t="shared" si="367"/>
        <v/>
      </c>
      <c r="AI3718">
        <f t="shared" si="368"/>
        <v>0</v>
      </c>
      <c r="AJ3718">
        <f t="shared" si="369"/>
        <v>0</v>
      </c>
      <c r="AK3718">
        <v>0</v>
      </c>
      <c r="AL3718" t="str">
        <f>IF(AA3718="","",IFERROR(IF(ISNUMBER('Procyfloc AL200'!D219),'Procyfloc AL200'!D219,IF(ISNUMBER(SEARCH("12",'Procyfloc AL200'!D219)),EDATE(AB3718,12),IF(ISNUMBER(SEARCH("6",'Procyfloc AL200'!D219)),EDATE(AB3718,6),IF(ISNUMBER(SEARCH("3",'Procyfloc AL200'!D219)),EDATE(AB3718,3),DATEVALUE('Procyfloc AL200'!D219))))),""))</f>
        <v/>
      </c>
      <c r="AM3718" t="str">
        <f t="shared" ca="1" si="370"/>
        <v/>
      </c>
    </row>
    <row r="3719" spans="27:39" x14ac:dyDescent="0.3">
      <c r="AA3719" t="str">
        <f>IF(COUNTA('Procyfloc AL200'!A220,'Procyfloc AL200'!B220,'Procyfloc AL200'!C220)&gt;0,"AL200","")</f>
        <v/>
      </c>
      <c r="AB3719" t="str">
        <f>IFERROR(IF(ISNUMBER('Procyfloc AL200'!A220),'Procyfloc AL200'!A220,DATEVALUE('Procyfloc AL200'!A220)),"")</f>
        <v/>
      </c>
      <c r="AC3719" t="str">
        <f>IF(AA3719="","",'Procyfloc AL200'!B220)</f>
        <v/>
      </c>
      <c r="AD3719" t="str">
        <f>IF(AA3719="","",IFERROR(1*'Procyfloc AL200'!C220,IFERROR(_xludf.NUMBERVALUE('Procyfloc AL200'!C220,".",","),IFERROR(_xludf.NUMBERVALUE('Procyfloc AL200'!C220,",","."),0))))</f>
        <v/>
      </c>
      <c r="AE3719" t="str">
        <f>IF(AA3719="","",'Procyfloc AL200'!K220)</f>
        <v/>
      </c>
      <c r="AF3719">
        <f t="shared" si="365"/>
        <v>0</v>
      </c>
      <c r="AG3719" t="str">
        <f t="shared" si="366"/>
        <v/>
      </c>
      <c r="AH3719" t="str">
        <f t="shared" si="367"/>
        <v/>
      </c>
      <c r="AI3719">
        <f t="shared" si="368"/>
        <v>0</v>
      </c>
      <c r="AJ3719">
        <f t="shared" si="369"/>
        <v>0</v>
      </c>
      <c r="AK3719">
        <v>0</v>
      </c>
      <c r="AL3719" t="str">
        <f>IF(AA3719="","",IFERROR(IF(ISNUMBER('Procyfloc AL200'!D220),'Procyfloc AL200'!D220,IF(ISNUMBER(SEARCH("12",'Procyfloc AL200'!D220)),EDATE(AB3719,12),IF(ISNUMBER(SEARCH("6",'Procyfloc AL200'!D220)),EDATE(AB3719,6),IF(ISNUMBER(SEARCH("3",'Procyfloc AL200'!D220)),EDATE(AB3719,3),DATEVALUE('Procyfloc AL200'!D220))))),""))</f>
        <v/>
      </c>
      <c r="AM3719" t="str">
        <f t="shared" ca="1" si="370"/>
        <v/>
      </c>
    </row>
    <row r="3720" spans="27:39" x14ac:dyDescent="0.3">
      <c r="AA3720" t="str">
        <f>IF(COUNTA('Procyfloc AL200'!A221,'Procyfloc AL200'!B221,'Procyfloc AL200'!C221)&gt;0,"AL200","")</f>
        <v/>
      </c>
      <c r="AB3720" t="str">
        <f>IFERROR(IF(ISNUMBER('Procyfloc AL200'!A221),'Procyfloc AL200'!A221,DATEVALUE('Procyfloc AL200'!A221)),"")</f>
        <v/>
      </c>
      <c r="AC3720" t="str">
        <f>IF(AA3720="","",'Procyfloc AL200'!B221)</f>
        <v/>
      </c>
      <c r="AD3720" t="str">
        <f>IF(AA3720="","",IFERROR(1*'Procyfloc AL200'!C221,IFERROR(_xludf.NUMBERVALUE('Procyfloc AL200'!C221,".",","),IFERROR(_xludf.NUMBERVALUE('Procyfloc AL200'!C221,",","."),0))))</f>
        <v/>
      </c>
      <c r="AE3720" t="str">
        <f>IF(AA3720="","",'Procyfloc AL200'!K221)</f>
        <v/>
      </c>
      <c r="AF3720">
        <f t="shared" si="365"/>
        <v>0</v>
      </c>
      <c r="AG3720" t="str">
        <f t="shared" si="366"/>
        <v/>
      </c>
      <c r="AH3720" t="str">
        <f t="shared" si="367"/>
        <v/>
      </c>
      <c r="AI3720">
        <f t="shared" si="368"/>
        <v>0</v>
      </c>
      <c r="AJ3720">
        <f t="shared" si="369"/>
        <v>0</v>
      </c>
      <c r="AK3720">
        <v>0</v>
      </c>
      <c r="AL3720" t="str">
        <f>IF(AA3720="","",IFERROR(IF(ISNUMBER('Procyfloc AL200'!D221),'Procyfloc AL200'!D221,IF(ISNUMBER(SEARCH("12",'Procyfloc AL200'!D221)),EDATE(AB3720,12),IF(ISNUMBER(SEARCH("6",'Procyfloc AL200'!D221)),EDATE(AB3720,6),IF(ISNUMBER(SEARCH("3",'Procyfloc AL200'!D221)),EDATE(AB3720,3),DATEVALUE('Procyfloc AL200'!D221))))),""))</f>
        <v/>
      </c>
      <c r="AM3720" t="str">
        <f t="shared" ca="1" si="370"/>
        <v/>
      </c>
    </row>
    <row r="3721" spans="27:39" x14ac:dyDescent="0.3">
      <c r="AA3721" t="str">
        <f>IF(COUNTA('Procyfloc AL200'!A222,'Procyfloc AL200'!B222,'Procyfloc AL200'!C222)&gt;0,"AL200","")</f>
        <v/>
      </c>
      <c r="AB3721" t="str">
        <f>IFERROR(IF(ISNUMBER('Procyfloc AL200'!A222),'Procyfloc AL200'!A222,DATEVALUE('Procyfloc AL200'!A222)),"")</f>
        <v/>
      </c>
      <c r="AC3721" t="str">
        <f>IF(AA3721="","",'Procyfloc AL200'!B222)</f>
        <v/>
      </c>
      <c r="AD3721" t="str">
        <f>IF(AA3721="","",IFERROR(1*'Procyfloc AL200'!C222,IFERROR(_xludf.NUMBERVALUE('Procyfloc AL200'!C222,".",","),IFERROR(_xludf.NUMBERVALUE('Procyfloc AL200'!C222,",","."),0))))</f>
        <v/>
      </c>
      <c r="AE3721" t="str">
        <f>IF(AA3721="","",'Procyfloc AL200'!K222)</f>
        <v/>
      </c>
      <c r="AF3721">
        <f t="shared" si="365"/>
        <v>0</v>
      </c>
      <c r="AG3721" t="str">
        <f t="shared" si="366"/>
        <v/>
      </c>
      <c r="AH3721" t="str">
        <f t="shared" si="367"/>
        <v/>
      </c>
      <c r="AI3721">
        <f t="shared" si="368"/>
        <v>0</v>
      </c>
      <c r="AJ3721">
        <f t="shared" si="369"/>
        <v>0</v>
      </c>
      <c r="AK3721">
        <v>0</v>
      </c>
      <c r="AL3721" t="str">
        <f>IF(AA3721="","",IFERROR(IF(ISNUMBER('Procyfloc AL200'!D222),'Procyfloc AL200'!D222,IF(ISNUMBER(SEARCH("12",'Procyfloc AL200'!D222)),EDATE(AB3721,12),IF(ISNUMBER(SEARCH("6",'Procyfloc AL200'!D222)),EDATE(AB3721,6),IF(ISNUMBER(SEARCH("3",'Procyfloc AL200'!D222)),EDATE(AB3721,3),DATEVALUE('Procyfloc AL200'!D222))))),""))</f>
        <v/>
      </c>
      <c r="AM3721" t="str">
        <f t="shared" ca="1" si="370"/>
        <v/>
      </c>
    </row>
    <row r="3722" spans="27:39" x14ac:dyDescent="0.3">
      <c r="AA3722" t="str">
        <f>IF(COUNTA('Procyfloc AL200'!A223,'Procyfloc AL200'!B223,'Procyfloc AL200'!C223)&gt;0,"AL200","")</f>
        <v/>
      </c>
      <c r="AB3722" t="str">
        <f>IFERROR(IF(ISNUMBER('Procyfloc AL200'!A223),'Procyfloc AL200'!A223,DATEVALUE('Procyfloc AL200'!A223)),"")</f>
        <v/>
      </c>
      <c r="AC3722" t="str">
        <f>IF(AA3722="","",'Procyfloc AL200'!B223)</f>
        <v/>
      </c>
      <c r="AD3722" t="str">
        <f>IF(AA3722="","",IFERROR(1*'Procyfloc AL200'!C223,IFERROR(_xludf.NUMBERVALUE('Procyfloc AL200'!C223,".",","),IFERROR(_xludf.NUMBERVALUE('Procyfloc AL200'!C223,",","."),0))))</f>
        <v/>
      </c>
      <c r="AE3722" t="str">
        <f>IF(AA3722="","",'Procyfloc AL200'!K223)</f>
        <v/>
      </c>
      <c r="AF3722">
        <f t="shared" si="365"/>
        <v>0</v>
      </c>
      <c r="AG3722" t="str">
        <f t="shared" si="366"/>
        <v/>
      </c>
      <c r="AH3722" t="str">
        <f t="shared" si="367"/>
        <v/>
      </c>
      <c r="AI3722">
        <f t="shared" si="368"/>
        <v>0</v>
      </c>
      <c r="AJ3722">
        <f t="shared" si="369"/>
        <v>0</v>
      </c>
      <c r="AK3722">
        <v>0</v>
      </c>
      <c r="AL3722" t="str">
        <f>IF(AA3722="","",IFERROR(IF(ISNUMBER('Procyfloc AL200'!D223),'Procyfloc AL200'!D223,IF(ISNUMBER(SEARCH("12",'Procyfloc AL200'!D223)),EDATE(AB3722,12),IF(ISNUMBER(SEARCH("6",'Procyfloc AL200'!D223)),EDATE(AB3722,6),IF(ISNUMBER(SEARCH("3",'Procyfloc AL200'!D223)),EDATE(AB3722,3),DATEVALUE('Procyfloc AL200'!D223))))),""))</f>
        <v/>
      </c>
      <c r="AM3722" t="str">
        <f t="shared" ca="1" si="370"/>
        <v/>
      </c>
    </row>
    <row r="3723" spans="27:39" x14ac:dyDescent="0.3">
      <c r="AA3723" t="str">
        <f>IF(COUNTA('Procyfloc AL200'!A224,'Procyfloc AL200'!B224,'Procyfloc AL200'!C224)&gt;0,"AL200","")</f>
        <v/>
      </c>
      <c r="AB3723" t="str">
        <f>IFERROR(IF(ISNUMBER('Procyfloc AL200'!A224),'Procyfloc AL200'!A224,DATEVALUE('Procyfloc AL200'!A224)),"")</f>
        <v/>
      </c>
      <c r="AC3723" t="str">
        <f>IF(AA3723="","",'Procyfloc AL200'!B224)</f>
        <v/>
      </c>
      <c r="AD3723" t="str">
        <f>IF(AA3723="","",IFERROR(1*'Procyfloc AL200'!C224,IFERROR(_xludf.NUMBERVALUE('Procyfloc AL200'!C224,".",","),IFERROR(_xludf.NUMBERVALUE('Procyfloc AL200'!C224,",","."),0))))</f>
        <v/>
      </c>
      <c r="AE3723" t="str">
        <f>IF(AA3723="","",'Procyfloc AL200'!K224)</f>
        <v/>
      </c>
      <c r="AF3723">
        <f t="shared" si="365"/>
        <v>0</v>
      </c>
      <c r="AG3723" t="str">
        <f t="shared" si="366"/>
        <v/>
      </c>
      <c r="AH3723" t="str">
        <f t="shared" si="367"/>
        <v/>
      </c>
      <c r="AI3723">
        <f t="shared" si="368"/>
        <v>0</v>
      </c>
      <c r="AJ3723">
        <f t="shared" si="369"/>
        <v>0</v>
      </c>
      <c r="AK3723">
        <v>0</v>
      </c>
      <c r="AL3723" t="str">
        <f>IF(AA3723="","",IFERROR(IF(ISNUMBER('Procyfloc AL200'!D224),'Procyfloc AL200'!D224,IF(ISNUMBER(SEARCH("12",'Procyfloc AL200'!D224)),EDATE(AB3723,12),IF(ISNUMBER(SEARCH("6",'Procyfloc AL200'!D224)),EDATE(AB3723,6),IF(ISNUMBER(SEARCH("3",'Procyfloc AL200'!D224)),EDATE(AB3723,3),DATEVALUE('Procyfloc AL200'!D224))))),""))</f>
        <v/>
      </c>
      <c r="AM3723" t="str">
        <f t="shared" ca="1" si="370"/>
        <v/>
      </c>
    </row>
    <row r="3724" spans="27:39" x14ac:dyDescent="0.3">
      <c r="AA3724" t="str">
        <f>IF(COUNTA('Procyfloc AL200'!A225,'Procyfloc AL200'!B225,'Procyfloc AL200'!C225)&gt;0,"AL200","")</f>
        <v/>
      </c>
      <c r="AB3724" t="str">
        <f>IFERROR(IF(ISNUMBER('Procyfloc AL200'!A225),'Procyfloc AL200'!A225,DATEVALUE('Procyfloc AL200'!A225)),"")</f>
        <v/>
      </c>
      <c r="AC3724" t="str">
        <f>IF(AA3724="","",'Procyfloc AL200'!B225)</f>
        <v/>
      </c>
      <c r="AD3724" t="str">
        <f>IF(AA3724="","",IFERROR(1*'Procyfloc AL200'!C225,IFERROR(_xludf.NUMBERVALUE('Procyfloc AL200'!C225,".",","),IFERROR(_xludf.NUMBERVALUE('Procyfloc AL200'!C225,",","."),0))))</f>
        <v/>
      </c>
      <c r="AE3724" t="str">
        <f>IF(AA3724="","",'Procyfloc AL200'!K225)</f>
        <v/>
      </c>
      <c r="AF3724">
        <f t="shared" si="365"/>
        <v>0</v>
      </c>
      <c r="AG3724" t="str">
        <f t="shared" si="366"/>
        <v/>
      </c>
      <c r="AH3724" t="str">
        <f t="shared" si="367"/>
        <v/>
      </c>
      <c r="AI3724">
        <f t="shared" si="368"/>
        <v>0</v>
      </c>
      <c r="AJ3724">
        <f t="shared" si="369"/>
        <v>0</v>
      </c>
      <c r="AK3724">
        <v>0</v>
      </c>
      <c r="AL3724" t="str">
        <f>IF(AA3724="","",IFERROR(IF(ISNUMBER('Procyfloc AL200'!D225),'Procyfloc AL200'!D225,IF(ISNUMBER(SEARCH("12",'Procyfloc AL200'!D225)),EDATE(AB3724,12),IF(ISNUMBER(SEARCH("6",'Procyfloc AL200'!D225)),EDATE(AB3724,6),IF(ISNUMBER(SEARCH("3",'Procyfloc AL200'!D225)),EDATE(AB3724,3),DATEVALUE('Procyfloc AL200'!D225))))),""))</f>
        <v/>
      </c>
      <c r="AM3724" t="str">
        <f t="shared" ca="1" si="370"/>
        <v/>
      </c>
    </row>
    <row r="3725" spans="27:39" x14ac:dyDescent="0.3">
      <c r="AA3725" t="str">
        <f>IF(COUNTA('Procyfloc AL200'!A226,'Procyfloc AL200'!B226,'Procyfloc AL200'!C226)&gt;0,"AL200","")</f>
        <v/>
      </c>
      <c r="AB3725" t="str">
        <f>IFERROR(IF(ISNUMBER('Procyfloc AL200'!A226),'Procyfloc AL200'!A226,DATEVALUE('Procyfloc AL200'!A226)),"")</f>
        <v/>
      </c>
      <c r="AC3725" t="str">
        <f>IF(AA3725="","",'Procyfloc AL200'!B226)</f>
        <v/>
      </c>
      <c r="AD3725" t="str">
        <f>IF(AA3725="","",IFERROR(1*'Procyfloc AL200'!C226,IFERROR(_xludf.NUMBERVALUE('Procyfloc AL200'!C226,".",","),IFERROR(_xludf.NUMBERVALUE('Procyfloc AL200'!C226,",","."),0))))</f>
        <v/>
      </c>
      <c r="AE3725" t="str">
        <f>IF(AA3725="","",'Procyfloc AL200'!K226)</f>
        <v/>
      </c>
      <c r="AF3725">
        <f t="shared" si="365"/>
        <v>0</v>
      </c>
      <c r="AG3725" t="str">
        <f t="shared" si="366"/>
        <v/>
      </c>
      <c r="AH3725" t="str">
        <f t="shared" si="367"/>
        <v/>
      </c>
      <c r="AI3725">
        <f t="shared" si="368"/>
        <v>0</v>
      </c>
      <c r="AJ3725">
        <f t="shared" si="369"/>
        <v>0</v>
      </c>
      <c r="AK3725">
        <v>0</v>
      </c>
      <c r="AL3725" t="str">
        <f>IF(AA3725="","",IFERROR(IF(ISNUMBER('Procyfloc AL200'!D226),'Procyfloc AL200'!D226,IF(ISNUMBER(SEARCH("12",'Procyfloc AL200'!D226)),EDATE(AB3725,12),IF(ISNUMBER(SEARCH("6",'Procyfloc AL200'!D226)),EDATE(AB3725,6),IF(ISNUMBER(SEARCH("3",'Procyfloc AL200'!D226)),EDATE(AB3725,3),DATEVALUE('Procyfloc AL200'!D226))))),""))</f>
        <v/>
      </c>
      <c r="AM3725" t="str">
        <f t="shared" ca="1" si="370"/>
        <v/>
      </c>
    </row>
    <row r="3726" spans="27:39" x14ac:dyDescent="0.3">
      <c r="AA3726" t="str">
        <f>IF(COUNTA('Procyfloc AL200'!A227,'Procyfloc AL200'!B227,'Procyfloc AL200'!C227)&gt;0,"AL200","")</f>
        <v/>
      </c>
      <c r="AB3726" t="str">
        <f>IFERROR(IF(ISNUMBER('Procyfloc AL200'!A227),'Procyfloc AL200'!A227,DATEVALUE('Procyfloc AL200'!A227)),"")</f>
        <v/>
      </c>
      <c r="AC3726" t="str">
        <f>IF(AA3726="","",'Procyfloc AL200'!B227)</f>
        <v/>
      </c>
      <c r="AD3726" t="str">
        <f>IF(AA3726="","",IFERROR(1*'Procyfloc AL200'!C227,IFERROR(_xludf.NUMBERVALUE('Procyfloc AL200'!C227,".",","),IFERROR(_xludf.NUMBERVALUE('Procyfloc AL200'!C227,",","."),0))))</f>
        <v/>
      </c>
      <c r="AE3726" t="str">
        <f>IF(AA3726="","",'Procyfloc AL200'!K227)</f>
        <v/>
      </c>
      <c r="AF3726">
        <f t="shared" si="365"/>
        <v>0</v>
      </c>
      <c r="AG3726" t="str">
        <f t="shared" si="366"/>
        <v/>
      </c>
      <c r="AH3726" t="str">
        <f t="shared" si="367"/>
        <v/>
      </c>
      <c r="AI3726">
        <f t="shared" si="368"/>
        <v>0</v>
      </c>
      <c r="AJ3726">
        <f t="shared" si="369"/>
        <v>0</v>
      </c>
      <c r="AK3726">
        <v>0</v>
      </c>
      <c r="AL3726" t="str">
        <f>IF(AA3726="","",IFERROR(IF(ISNUMBER('Procyfloc AL200'!D227),'Procyfloc AL200'!D227,IF(ISNUMBER(SEARCH("12",'Procyfloc AL200'!D227)),EDATE(AB3726,12),IF(ISNUMBER(SEARCH("6",'Procyfloc AL200'!D227)),EDATE(AB3726,6),IF(ISNUMBER(SEARCH("3",'Procyfloc AL200'!D227)),EDATE(AB3726,3),DATEVALUE('Procyfloc AL200'!D227))))),""))</f>
        <v/>
      </c>
      <c r="AM3726" t="str">
        <f t="shared" ca="1" si="370"/>
        <v/>
      </c>
    </row>
    <row r="3727" spans="27:39" x14ac:dyDescent="0.3">
      <c r="AA3727" t="str">
        <f>IF(COUNTA('Procyfloc AL200'!A228,'Procyfloc AL200'!B228,'Procyfloc AL200'!C228)&gt;0,"AL200","")</f>
        <v/>
      </c>
      <c r="AB3727" t="str">
        <f>IFERROR(IF(ISNUMBER('Procyfloc AL200'!A228),'Procyfloc AL200'!A228,DATEVALUE('Procyfloc AL200'!A228)),"")</f>
        <v/>
      </c>
      <c r="AC3727" t="str">
        <f>IF(AA3727="","",'Procyfloc AL200'!B228)</f>
        <v/>
      </c>
      <c r="AD3727" t="str">
        <f>IF(AA3727="","",IFERROR(1*'Procyfloc AL200'!C228,IFERROR(_xludf.NUMBERVALUE('Procyfloc AL200'!C228,".",","),IFERROR(_xludf.NUMBERVALUE('Procyfloc AL200'!C228,",","."),0))))</f>
        <v/>
      </c>
      <c r="AE3727" t="str">
        <f>IF(AA3727="","",'Procyfloc AL200'!K228)</f>
        <v/>
      </c>
      <c r="AF3727">
        <f t="shared" si="365"/>
        <v>0</v>
      </c>
      <c r="AG3727" t="str">
        <f t="shared" si="366"/>
        <v/>
      </c>
      <c r="AH3727" t="str">
        <f t="shared" si="367"/>
        <v/>
      </c>
      <c r="AI3727">
        <f t="shared" si="368"/>
        <v>0</v>
      </c>
      <c r="AJ3727">
        <f t="shared" si="369"/>
        <v>0</v>
      </c>
      <c r="AK3727">
        <v>0</v>
      </c>
      <c r="AL3727" t="str">
        <f>IF(AA3727="","",IFERROR(IF(ISNUMBER('Procyfloc AL200'!D228),'Procyfloc AL200'!D228,IF(ISNUMBER(SEARCH("12",'Procyfloc AL200'!D228)),EDATE(AB3727,12),IF(ISNUMBER(SEARCH("6",'Procyfloc AL200'!D228)),EDATE(AB3727,6),IF(ISNUMBER(SEARCH("3",'Procyfloc AL200'!D228)),EDATE(AB3727,3),DATEVALUE('Procyfloc AL200'!D228))))),""))</f>
        <v/>
      </c>
      <c r="AM3727" t="str">
        <f t="shared" ca="1" si="370"/>
        <v/>
      </c>
    </row>
    <row r="3728" spans="27:39" x14ac:dyDescent="0.3">
      <c r="AA3728" t="str">
        <f>IF(COUNTA('Procyfloc AL200'!A229,'Procyfloc AL200'!B229,'Procyfloc AL200'!C229)&gt;0,"AL200","")</f>
        <v/>
      </c>
      <c r="AB3728" t="str">
        <f>IFERROR(IF(ISNUMBER('Procyfloc AL200'!A229),'Procyfloc AL200'!A229,DATEVALUE('Procyfloc AL200'!A229)),"")</f>
        <v/>
      </c>
      <c r="AC3728" t="str">
        <f>IF(AA3728="","",'Procyfloc AL200'!B229)</f>
        <v/>
      </c>
      <c r="AD3728" t="str">
        <f>IF(AA3728="","",IFERROR(1*'Procyfloc AL200'!C229,IFERROR(_xludf.NUMBERVALUE('Procyfloc AL200'!C229,".",","),IFERROR(_xludf.NUMBERVALUE('Procyfloc AL200'!C229,",","."),0))))</f>
        <v/>
      </c>
      <c r="AE3728" t="str">
        <f>IF(AA3728="","",'Procyfloc AL200'!K229)</f>
        <v/>
      </c>
      <c r="AF3728">
        <f t="shared" si="365"/>
        <v>0</v>
      </c>
      <c r="AG3728" t="str">
        <f t="shared" si="366"/>
        <v/>
      </c>
      <c r="AH3728" t="str">
        <f t="shared" si="367"/>
        <v/>
      </c>
      <c r="AI3728">
        <f t="shared" si="368"/>
        <v>0</v>
      </c>
      <c r="AJ3728">
        <f t="shared" si="369"/>
        <v>0</v>
      </c>
      <c r="AK3728">
        <v>0</v>
      </c>
      <c r="AL3728" t="str">
        <f>IF(AA3728="","",IFERROR(IF(ISNUMBER('Procyfloc AL200'!D229),'Procyfloc AL200'!D229,IF(ISNUMBER(SEARCH("12",'Procyfloc AL200'!D229)),EDATE(AB3728,12),IF(ISNUMBER(SEARCH("6",'Procyfloc AL200'!D229)),EDATE(AB3728,6),IF(ISNUMBER(SEARCH("3",'Procyfloc AL200'!D229)),EDATE(AB3728,3),DATEVALUE('Procyfloc AL200'!D229))))),""))</f>
        <v/>
      </c>
      <c r="AM3728" t="str">
        <f t="shared" ca="1" si="370"/>
        <v/>
      </c>
    </row>
    <row r="3729" spans="27:39" x14ac:dyDescent="0.3">
      <c r="AA3729" t="str">
        <f>IF(COUNTA('Procyfloc AL200'!A230,'Procyfloc AL200'!B230,'Procyfloc AL200'!C230)&gt;0,"AL200","")</f>
        <v/>
      </c>
      <c r="AB3729" t="str">
        <f>IFERROR(IF(ISNUMBER('Procyfloc AL200'!A230),'Procyfloc AL200'!A230,DATEVALUE('Procyfloc AL200'!A230)),"")</f>
        <v/>
      </c>
      <c r="AC3729" t="str">
        <f>IF(AA3729="","",'Procyfloc AL200'!B230)</f>
        <v/>
      </c>
      <c r="AD3729" t="str">
        <f>IF(AA3729="","",IFERROR(1*'Procyfloc AL200'!C230,IFERROR(_xludf.NUMBERVALUE('Procyfloc AL200'!C230,".",","),IFERROR(_xludf.NUMBERVALUE('Procyfloc AL200'!C230,",","."),0))))</f>
        <v/>
      </c>
      <c r="AE3729" t="str">
        <f>IF(AA3729="","",'Procyfloc AL200'!K230)</f>
        <v/>
      </c>
      <c r="AF3729">
        <f t="shared" si="365"/>
        <v>0</v>
      </c>
      <c r="AG3729" t="str">
        <f t="shared" si="366"/>
        <v/>
      </c>
      <c r="AH3729" t="str">
        <f t="shared" si="367"/>
        <v/>
      </c>
      <c r="AI3729">
        <f t="shared" si="368"/>
        <v>0</v>
      </c>
      <c r="AJ3729">
        <f t="shared" si="369"/>
        <v>0</v>
      </c>
      <c r="AK3729">
        <v>0</v>
      </c>
      <c r="AL3729" t="str">
        <f>IF(AA3729="","",IFERROR(IF(ISNUMBER('Procyfloc AL200'!D230),'Procyfloc AL200'!D230,IF(ISNUMBER(SEARCH("12",'Procyfloc AL200'!D230)),EDATE(AB3729,12),IF(ISNUMBER(SEARCH("6",'Procyfloc AL200'!D230)),EDATE(AB3729,6),IF(ISNUMBER(SEARCH("3",'Procyfloc AL200'!D230)),EDATE(AB3729,3),DATEVALUE('Procyfloc AL200'!D230))))),""))</f>
        <v/>
      </c>
      <c r="AM3729" t="str">
        <f t="shared" ca="1" si="370"/>
        <v/>
      </c>
    </row>
    <row r="3730" spans="27:39" x14ac:dyDescent="0.3">
      <c r="AA3730" t="str">
        <f>IF(COUNTA('Procyfloc AL200'!A231,'Procyfloc AL200'!B231,'Procyfloc AL200'!C231)&gt;0,"AL200","")</f>
        <v/>
      </c>
      <c r="AB3730" t="str">
        <f>IFERROR(IF(ISNUMBER('Procyfloc AL200'!A231),'Procyfloc AL200'!A231,DATEVALUE('Procyfloc AL200'!A231)),"")</f>
        <v/>
      </c>
      <c r="AC3730" t="str">
        <f>IF(AA3730="","",'Procyfloc AL200'!B231)</f>
        <v/>
      </c>
      <c r="AD3730" t="str">
        <f>IF(AA3730="","",IFERROR(1*'Procyfloc AL200'!C231,IFERROR(_xludf.NUMBERVALUE('Procyfloc AL200'!C231,".",","),IFERROR(_xludf.NUMBERVALUE('Procyfloc AL200'!C231,",","."),0))))</f>
        <v/>
      </c>
      <c r="AE3730" t="str">
        <f>IF(AA3730="","",'Procyfloc AL200'!K231)</f>
        <v/>
      </c>
      <c r="AF3730">
        <f t="shared" si="365"/>
        <v>0</v>
      </c>
      <c r="AG3730" t="str">
        <f t="shared" si="366"/>
        <v/>
      </c>
      <c r="AH3730" t="str">
        <f t="shared" si="367"/>
        <v/>
      </c>
      <c r="AI3730">
        <f t="shared" si="368"/>
        <v>0</v>
      </c>
      <c r="AJ3730">
        <f t="shared" si="369"/>
        <v>0</v>
      </c>
      <c r="AK3730">
        <v>0</v>
      </c>
      <c r="AL3730" t="str">
        <f>IF(AA3730="","",IFERROR(IF(ISNUMBER('Procyfloc AL200'!D231),'Procyfloc AL200'!D231,IF(ISNUMBER(SEARCH("12",'Procyfloc AL200'!D231)),EDATE(AB3730,12),IF(ISNUMBER(SEARCH("6",'Procyfloc AL200'!D231)),EDATE(AB3730,6),IF(ISNUMBER(SEARCH("3",'Procyfloc AL200'!D231)),EDATE(AB3730,3),DATEVALUE('Procyfloc AL200'!D231))))),""))</f>
        <v/>
      </c>
      <c r="AM3730" t="str">
        <f t="shared" ca="1" si="370"/>
        <v/>
      </c>
    </row>
    <row r="3731" spans="27:39" x14ac:dyDescent="0.3">
      <c r="AA3731" t="str">
        <f>IF(COUNTA('Procyfloc AL200'!A232,'Procyfloc AL200'!B232,'Procyfloc AL200'!C232)&gt;0,"AL200","")</f>
        <v/>
      </c>
      <c r="AB3731" t="str">
        <f>IFERROR(IF(ISNUMBER('Procyfloc AL200'!A232),'Procyfloc AL200'!A232,DATEVALUE('Procyfloc AL200'!A232)),"")</f>
        <v/>
      </c>
      <c r="AC3731" t="str">
        <f>IF(AA3731="","",'Procyfloc AL200'!B232)</f>
        <v/>
      </c>
      <c r="AD3731" t="str">
        <f>IF(AA3731="","",IFERROR(1*'Procyfloc AL200'!C232,IFERROR(_xludf.NUMBERVALUE('Procyfloc AL200'!C232,".",","),IFERROR(_xludf.NUMBERVALUE('Procyfloc AL200'!C232,",","."),0))))</f>
        <v/>
      </c>
      <c r="AE3731" t="str">
        <f>IF(AA3731="","",'Procyfloc AL200'!K232)</f>
        <v/>
      </c>
      <c r="AF3731">
        <f t="shared" si="365"/>
        <v>0</v>
      </c>
      <c r="AG3731" t="str">
        <f t="shared" si="366"/>
        <v/>
      </c>
      <c r="AH3731" t="str">
        <f t="shared" si="367"/>
        <v/>
      </c>
      <c r="AI3731">
        <f t="shared" si="368"/>
        <v>0</v>
      </c>
      <c r="AJ3731">
        <f t="shared" si="369"/>
        <v>0</v>
      </c>
      <c r="AK3731">
        <v>0</v>
      </c>
      <c r="AL3731" t="str">
        <f>IF(AA3731="","",IFERROR(IF(ISNUMBER('Procyfloc AL200'!D232),'Procyfloc AL200'!D232,IF(ISNUMBER(SEARCH("12",'Procyfloc AL200'!D232)),EDATE(AB3731,12),IF(ISNUMBER(SEARCH("6",'Procyfloc AL200'!D232)),EDATE(AB3731,6),IF(ISNUMBER(SEARCH("3",'Procyfloc AL200'!D232)),EDATE(AB3731,3),DATEVALUE('Procyfloc AL200'!D232))))),""))</f>
        <v/>
      </c>
      <c r="AM3731" t="str">
        <f t="shared" ca="1" si="370"/>
        <v/>
      </c>
    </row>
    <row r="3732" spans="27:39" x14ac:dyDescent="0.3">
      <c r="AA3732" t="str">
        <f>IF(COUNTA('Procyfloc AL200'!A233,'Procyfloc AL200'!B233,'Procyfloc AL200'!C233)&gt;0,"AL200","")</f>
        <v/>
      </c>
      <c r="AB3732" t="str">
        <f>IFERROR(IF(ISNUMBER('Procyfloc AL200'!A233),'Procyfloc AL200'!A233,DATEVALUE('Procyfloc AL200'!A233)),"")</f>
        <v/>
      </c>
      <c r="AC3732" t="str">
        <f>IF(AA3732="","",'Procyfloc AL200'!B233)</f>
        <v/>
      </c>
      <c r="AD3732" t="str">
        <f>IF(AA3732="","",IFERROR(1*'Procyfloc AL200'!C233,IFERROR(_xludf.NUMBERVALUE('Procyfloc AL200'!C233,".",","),IFERROR(_xludf.NUMBERVALUE('Procyfloc AL200'!C233,",","."),0))))</f>
        <v/>
      </c>
      <c r="AE3732" t="str">
        <f>IF(AA3732="","",'Procyfloc AL200'!K233)</f>
        <v/>
      </c>
      <c r="AF3732">
        <f t="shared" si="365"/>
        <v>0</v>
      </c>
      <c r="AG3732" t="str">
        <f t="shared" si="366"/>
        <v/>
      </c>
      <c r="AH3732" t="str">
        <f t="shared" si="367"/>
        <v/>
      </c>
      <c r="AI3732">
        <f t="shared" si="368"/>
        <v>0</v>
      </c>
      <c r="AJ3732">
        <f t="shared" si="369"/>
        <v>0</v>
      </c>
      <c r="AK3732">
        <v>0</v>
      </c>
      <c r="AL3732" t="str">
        <f>IF(AA3732="","",IFERROR(IF(ISNUMBER('Procyfloc AL200'!D233),'Procyfloc AL200'!D233,IF(ISNUMBER(SEARCH("12",'Procyfloc AL200'!D233)),EDATE(AB3732,12),IF(ISNUMBER(SEARCH("6",'Procyfloc AL200'!D233)),EDATE(AB3732,6),IF(ISNUMBER(SEARCH("3",'Procyfloc AL200'!D233)),EDATE(AB3732,3),DATEVALUE('Procyfloc AL200'!D233))))),""))</f>
        <v/>
      </c>
      <c r="AM3732" t="str">
        <f t="shared" ca="1" si="370"/>
        <v/>
      </c>
    </row>
    <row r="3733" spans="27:39" x14ac:dyDescent="0.3">
      <c r="AA3733" t="str">
        <f>IF(COUNTA('Procyfloc AL200'!A234,'Procyfloc AL200'!B234,'Procyfloc AL200'!C234)&gt;0,"AL200","")</f>
        <v/>
      </c>
      <c r="AB3733" t="str">
        <f>IFERROR(IF(ISNUMBER('Procyfloc AL200'!A234),'Procyfloc AL200'!A234,DATEVALUE('Procyfloc AL200'!A234)),"")</f>
        <v/>
      </c>
      <c r="AC3733" t="str">
        <f>IF(AA3733="","",'Procyfloc AL200'!B234)</f>
        <v/>
      </c>
      <c r="AD3733" t="str">
        <f>IF(AA3733="","",IFERROR(1*'Procyfloc AL200'!C234,IFERROR(_xludf.NUMBERVALUE('Procyfloc AL200'!C234,".",","),IFERROR(_xludf.NUMBERVALUE('Procyfloc AL200'!C234,",","."),0))))</f>
        <v/>
      </c>
      <c r="AE3733" t="str">
        <f>IF(AA3733="","",'Procyfloc AL200'!K234)</f>
        <v/>
      </c>
      <c r="AF3733">
        <f t="shared" si="365"/>
        <v>0</v>
      </c>
      <c r="AG3733" t="str">
        <f t="shared" si="366"/>
        <v/>
      </c>
      <c r="AH3733" t="str">
        <f t="shared" si="367"/>
        <v/>
      </c>
      <c r="AI3733">
        <f t="shared" si="368"/>
        <v>0</v>
      </c>
      <c r="AJ3733">
        <f t="shared" si="369"/>
        <v>0</v>
      </c>
      <c r="AK3733">
        <v>0</v>
      </c>
      <c r="AL3733" t="str">
        <f>IF(AA3733="","",IFERROR(IF(ISNUMBER('Procyfloc AL200'!D234),'Procyfloc AL200'!D234,IF(ISNUMBER(SEARCH("12",'Procyfloc AL200'!D234)),EDATE(AB3733,12),IF(ISNUMBER(SEARCH("6",'Procyfloc AL200'!D234)),EDATE(AB3733,6),IF(ISNUMBER(SEARCH("3",'Procyfloc AL200'!D234)),EDATE(AB3733,3),DATEVALUE('Procyfloc AL200'!D234))))),""))</f>
        <v/>
      </c>
      <c r="AM3733" t="str">
        <f t="shared" ca="1" si="370"/>
        <v/>
      </c>
    </row>
    <row r="3734" spans="27:39" x14ac:dyDescent="0.3">
      <c r="AA3734" t="str">
        <f>IF(COUNTA('Procyfloc AL200'!A235,'Procyfloc AL200'!B235,'Procyfloc AL200'!C235)&gt;0,"AL200","")</f>
        <v/>
      </c>
      <c r="AB3734" t="str">
        <f>IFERROR(IF(ISNUMBER('Procyfloc AL200'!A235),'Procyfloc AL200'!A235,DATEVALUE('Procyfloc AL200'!A235)),"")</f>
        <v/>
      </c>
      <c r="AC3734" t="str">
        <f>IF(AA3734="","",'Procyfloc AL200'!B235)</f>
        <v/>
      </c>
      <c r="AD3734" t="str">
        <f>IF(AA3734="","",IFERROR(1*'Procyfloc AL200'!C235,IFERROR(_xludf.NUMBERVALUE('Procyfloc AL200'!C235,".",","),IFERROR(_xludf.NUMBERVALUE('Procyfloc AL200'!C235,",","."),0))))</f>
        <v/>
      </c>
      <c r="AE3734" t="str">
        <f>IF(AA3734="","",'Procyfloc AL200'!K235)</f>
        <v/>
      </c>
      <c r="AF3734">
        <f t="shared" si="365"/>
        <v>0</v>
      </c>
      <c r="AG3734" t="str">
        <f t="shared" si="366"/>
        <v/>
      </c>
      <c r="AH3734" t="str">
        <f t="shared" si="367"/>
        <v/>
      </c>
      <c r="AI3734">
        <f t="shared" si="368"/>
        <v>0</v>
      </c>
      <c r="AJ3734">
        <f t="shared" si="369"/>
        <v>0</v>
      </c>
      <c r="AK3734">
        <v>0</v>
      </c>
      <c r="AL3734" t="str">
        <f>IF(AA3734="","",IFERROR(IF(ISNUMBER('Procyfloc AL200'!D235),'Procyfloc AL200'!D235,IF(ISNUMBER(SEARCH("12",'Procyfloc AL200'!D235)),EDATE(AB3734,12),IF(ISNUMBER(SEARCH("6",'Procyfloc AL200'!D235)),EDATE(AB3734,6),IF(ISNUMBER(SEARCH("3",'Procyfloc AL200'!D235)),EDATE(AB3734,3),DATEVALUE('Procyfloc AL200'!D235))))),""))</f>
        <v/>
      </c>
      <c r="AM3734" t="str">
        <f t="shared" ca="1" si="370"/>
        <v/>
      </c>
    </row>
    <row r="3735" spans="27:39" x14ac:dyDescent="0.3">
      <c r="AA3735" t="str">
        <f>IF(COUNTA('Procyfloc AL200'!A236,'Procyfloc AL200'!B236,'Procyfloc AL200'!C236)&gt;0,"AL200","")</f>
        <v/>
      </c>
      <c r="AB3735" t="str">
        <f>IFERROR(IF(ISNUMBER('Procyfloc AL200'!A236),'Procyfloc AL200'!A236,DATEVALUE('Procyfloc AL200'!A236)),"")</f>
        <v/>
      </c>
      <c r="AC3735" t="str">
        <f>IF(AA3735="","",'Procyfloc AL200'!B236)</f>
        <v/>
      </c>
      <c r="AD3735" t="str">
        <f>IF(AA3735="","",IFERROR(1*'Procyfloc AL200'!C236,IFERROR(_xludf.NUMBERVALUE('Procyfloc AL200'!C236,".",","),IFERROR(_xludf.NUMBERVALUE('Procyfloc AL200'!C236,",","."),0))))</f>
        <v/>
      </c>
      <c r="AE3735" t="str">
        <f>IF(AA3735="","",'Procyfloc AL200'!K236)</f>
        <v/>
      </c>
      <c r="AF3735">
        <f t="shared" si="365"/>
        <v>0</v>
      </c>
      <c r="AG3735" t="str">
        <f t="shared" si="366"/>
        <v/>
      </c>
      <c r="AH3735" t="str">
        <f t="shared" si="367"/>
        <v/>
      </c>
      <c r="AI3735">
        <f t="shared" si="368"/>
        <v>0</v>
      </c>
      <c r="AJ3735">
        <f t="shared" si="369"/>
        <v>0</v>
      </c>
      <c r="AK3735">
        <v>0</v>
      </c>
      <c r="AL3735" t="str">
        <f>IF(AA3735="","",IFERROR(IF(ISNUMBER('Procyfloc AL200'!D236),'Procyfloc AL200'!D236,IF(ISNUMBER(SEARCH("12",'Procyfloc AL200'!D236)),EDATE(AB3735,12),IF(ISNUMBER(SEARCH("6",'Procyfloc AL200'!D236)),EDATE(AB3735,6),IF(ISNUMBER(SEARCH("3",'Procyfloc AL200'!D236)),EDATE(AB3735,3),DATEVALUE('Procyfloc AL200'!D236))))),""))</f>
        <v/>
      </c>
      <c r="AM3735" t="str">
        <f t="shared" ca="1" si="370"/>
        <v/>
      </c>
    </row>
    <row r="3736" spans="27:39" x14ac:dyDescent="0.3">
      <c r="AA3736" t="str">
        <f>IF(COUNTA('Procyfloc AL200'!A237,'Procyfloc AL200'!B237,'Procyfloc AL200'!C237)&gt;0,"AL200","")</f>
        <v/>
      </c>
      <c r="AB3736" t="str">
        <f>IFERROR(IF(ISNUMBER('Procyfloc AL200'!A237),'Procyfloc AL200'!A237,DATEVALUE('Procyfloc AL200'!A237)),"")</f>
        <v/>
      </c>
      <c r="AC3736" t="str">
        <f>IF(AA3736="","",'Procyfloc AL200'!B237)</f>
        <v/>
      </c>
      <c r="AD3736" t="str">
        <f>IF(AA3736="","",IFERROR(1*'Procyfloc AL200'!C237,IFERROR(_xludf.NUMBERVALUE('Procyfloc AL200'!C237,".",","),IFERROR(_xludf.NUMBERVALUE('Procyfloc AL200'!C237,",","."),0))))</f>
        <v/>
      </c>
      <c r="AE3736" t="str">
        <f>IF(AA3736="","",'Procyfloc AL200'!K237)</f>
        <v/>
      </c>
      <c r="AF3736">
        <f t="shared" si="365"/>
        <v>0</v>
      </c>
      <c r="AG3736" t="str">
        <f t="shared" si="366"/>
        <v/>
      </c>
      <c r="AH3736" t="str">
        <f t="shared" si="367"/>
        <v/>
      </c>
      <c r="AI3736">
        <f t="shared" si="368"/>
        <v>0</v>
      </c>
      <c r="AJ3736">
        <f t="shared" si="369"/>
        <v>0</v>
      </c>
      <c r="AK3736">
        <v>0</v>
      </c>
      <c r="AL3736" t="str">
        <f>IF(AA3736="","",IFERROR(IF(ISNUMBER('Procyfloc AL200'!D237),'Procyfloc AL200'!D237,IF(ISNUMBER(SEARCH("12",'Procyfloc AL200'!D237)),EDATE(AB3736,12),IF(ISNUMBER(SEARCH("6",'Procyfloc AL200'!D237)),EDATE(AB3736,6),IF(ISNUMBER(SEARCH("3",'Procyfloc AL200'!D237)),EDATE(AB3736,3),DATEVALUE('Procyfloc AL200'!D237))))),""))</f>
        <v/>
      </c>
      <c r="AM3736" t="str">
        <f t="shared" ca="1" si="370"/>
        <v/>
      </c>
    </row>
    <row r="3737" spans="27:39" x14ac:dyDescent="0.3">
      <c r="AA3737" t="str">
        <f>IF(COUNTA('Procyfloc AL200'!A238,'Procyfloc AL200'!B238,'Procyfloc AL200'!C238)&gt;0,"AL200","")</f>
        <v/>
      </c>
      <c r="AB3737" t="str">
        <f>IFERROR(IF(ISNUMBER('Procyfloc AL200'!A238),'Procyfloc AL200'!A238,DATEVALUE('Procyfloc AL200'!A238)),"")</f>
        <v/>
      </c>
      <c r="AC3737" t="str">
        <f>IF(AA3737="","",'Procyfloc AL200'!B238)</f>
        <v/>
      </c>
      <c r="AD3737" t="str">
        <f>IF(AA3737="","",IFERROR(1*'Procyfloc AL200'!C238,IFERROR(_xludf.NUMBERVALUE('Procyfloc AL200'!C238,".",","),IFERROR(_xludf.NUMBERVALUE('Procyfloc AL200'!C238,",","."),0))))</f>
        <v/>
      </c>
      <c r="AE3737" t="str">
        <f>IF(AA3737="","",'Procyfloc AL200'!K238)</f>
        <v/>
      </c>
      <c r="AF3737">
        <f t="shared" si="365"/>
        <v>0</v>
      </c>
      <c r="AG3737" t="str">
        <f t="shared" si="366"/>
        <v/>
      </c>
      <c r="AH3737" t="str">
        <f t="shared" si="367"/>
        <v/>
      </c>
      <c r="AI3737">
        <f t="shared" si="368"/>
        <v>0</v>
      </c>
      <c r="AJ3737">
        <f t="shared" si="369"/>
        <v>0</v>
      </c>
      <c r="AK3737">
        <v>0</v>
      </c>
      <c r="AL3737" t="str">
        <f>IF(AA3737="","",IFERROR(IF(ISNUMBER('Procyfloc AL200'!D238),'Procyfloc AL200'!D238,IF(ISNUMBER(SEARCH("12",'Procyfloc AL200'!D238)),EDATE(AB3737,12),IF(ISNUMBER(SEARCH("6",'Procyfloc AL200'!D238)),EDATE(AB3737,6),IF(ISNUMBER(SEARCH("3",'Procyfloc AL200'!D238)),EDATE(AB3737,3),DATEVALUE('Procyfloc AL200'!D238))))),""))</f>
        <v/>
      </c>
      <c r="AM3737" t="str">
        <f t="shared" ca="1" si="370"/>
        <v/>
      </c>
    </row>
    <row r="3738" spans="27:39" x14ac:dyDescent="0.3">
      <c r="AA3738" t="str">
        <f>IF(COUNTA('Procyfloc AL200'!A239,'Procyfloc AL200'!B239,'Procyfloc AL200'!C239)&gt;0,"AL200","")</f>
        <v/>
      </c>
      <c r="AB3738" t="str">
        <f>IFERROR(IF(ISNUMBER('Procyfloc AL200'!A239),'Procyfloc AL200'!A239,DATEVALUE('Procyfloc AL200'!A239)),"")</f>
        <v/>
      </c>
      <c r="AC3738" t="str">
        <f>IF(AA3738="","",'Procyfloc AL200'!B239)</f>
        <v/>
      </c>
      <c r="AD3738" t="str">
        <f>IF(AA3738="","",IFERROR(1*'Procyfloc AL200'!C239,IFERROR(_xludf.NUMBERVALUE('Procyfloc AL200'!C239,".",","),IFERROR(_xludf.NUMBERVALUE('Procyfloc AL200'!C239,",","."),0))))</f>
        <v/>
      </c>
      <c r="AE3738" t="str">
        <f>IF(AA3738="","",'Procyfloc AL200'!K239)</f>
        <v/>
      </c>
      <c r="AF3738">
        <f t="shared" si="365"/>
        <v>0</v>
      </c>
      <c r="AG3738" t="str">
        <f t="shared" si="366"/>
        <v/>
      </c>
      <c r="AH3738" t="str">
        <f t="shared" si="367"/>
        <v/>
      </c>
      <c r="AI3738">
        <f t="shared" si="368"/>
        <v>0</v>
      </c>
      <c r="AJ3738">
        <f t="shared" si="369"/>
        <v>0</v>
      </c>
      <c r="AK3738">
        <v>0</v>
      </c>
      <c r="AL3738" t="str">
        <f>IF(AA3738="","",IFERROR(IF(ISNUMBER('Procyfloc AL200'!D239),'Procyfloc AL200'!D239,IF(ISNUMBER(SEARCH("12",'Procyfloc AL200'!D239)),EDATE(AB3738,12),IF(ISNUMBER(SEARCH("6",'Procyfloc AL200'!D239)),EDATE(AB3738,6),IF(ISNUMBER(SEARCH("3",'Procyfloc AL200'!D239)),EDATE(AB3738,3),DATEVALUE('Procyfloc AL200'!D239))))),""))</f>
        <v/>
      </c>
      <c r="AM3738" t="str">
        <f t="shared" ca="1" si="370"/>
        <v/>
      </c>
    </row>
    <row r="3739" spans="27:39" x14ac:dyDescent="0.3">
      <c r="AA3739" t="str">
        <f>IF(COUNTA('Procyfloc AL200'!A240,'Procyfloc AL200'!B240,'Procyfloc AL200'!C240)&gt;0,"AL200","")</f>
        <v/>
      </c>
      <c r="AB3739" t="str">
        <f>IFERROR(IF(ISNUMBER('Procyfloc AL200'!A240),'Procyfloc AL200'!A240,DATEVALUE('Procyfloc AL200'!A240)),"")</f>
        <v/>
      </c>
      <c r="AC3739" t="str">
        <f>IF(AA3739="","",'Procyfloc AL200'!B240)</f>
        <v/>
      </c>
      <c r="AD3739" t="str">
        <f>IF(AA3739="","",IFERROR(1*'Procyfloc AL200'!C240,IFERROR(_xludf.NUMBERVALUE('Procyfloc AL200'!C240,".",","),IFERROR(_xludf.NUMBERVALUE('Procyfloc AL200'!C240,",","."),0))))</f>
        <v/>
      </c>
      <c r="AE3739" t="str">
        <f>IF(AA3739="","",'Procyfloc AL200'!K240)</f>
        <v/>
      </c>
      <c r="AF3739">
        <f t="shared" si="365"/>
        <v>0</v>
      </c>
      <c r="AG3739" t="str">
        <f t="shared" si="366"/>
        <v/>
      </c>
      <c r="AH3739" t="str">
        <f t="shared" si="367"/>
        <v/>
      </c>
      <c r="AI3739">
        <f t="shared" si="368"/>
        <v>0</v>
      </c>
      <c r="AJ3739">
        <f t="shared" si="369"/>
        <v>0</v>
      </c>
      <c r="AK3739">
        <v>0</v>
      </c>
      <c r="AL3739" t="str">
        <f>IF(AA3739="","",IFERROR(IF(ISNUMBER('Procyfloc AL200'!D240),'Procyfloc AL200'!D240,IF(ISNUMBER(SEARCH("12",'Procyfloc AL200'!D240)),EDATE(AB3739,12),IF(ISNUMBER(SEARCH("6",'Procyfloc AL200'!D240)),EDATE(AB3739,6),IF(ISNUMBER(SEARCH("3",'Procyfloc AL200'!D240)),EDATE(AB3739,3),DATEVALUE('Procyfloc AL200'!D240))))),""))</f>
        <v/>
      </c>
      <c r="AM3739" t="str">
        <f t="shared" ca="1" si="370"/>
        <v/>
      </c>
    </row>
    <row r="3740" spans="27:39" x14ac:dyDescent="0.3">
      <c r="AA3740" t="str">
        <f>IF(COUNTA('Procyfloc AL200'!A241,'Procyfloc AL200'!B241,'Procyfloc AL200'!C241)&gt;0,"AL200","")</f>
        <v/>
      </c>
      <c r="AB3740" t="str">
        <f>IFERROR(IF(ISNUMBER('Procyfloc AL200'!A241),'Procyfloc AL200'!A241,DATEVALUE('Procyfloc AL200'!A241)),"")</f>
        <v/>
      </c>
      <c r="AC3740" t="str">
        <f>IF(AA3740="","",'Procyfloc AL200'!B241)</f>
        <v/>
      </c>
      <c r="AD3740" t="str">
        <f>IF(AA3740="","",IFERROR(1*'Procyfloc AL200'!C241,IFERROR(_xludf.NUMBERVALUE('Procyfloc AL200'!C241,".",","),IFERROR(_xludf.NUMBERVALUE('Procyfloc AL200'!C241,",","."),0))))</f>
        <v/>
      </c>
      <c r="AE3740" t="str">
        <f>IF(AA3740="","",'Procyfloc AL200'!K241)</f>
        <v/>
      </c>
      <c r="AF3740">
        <f t="shared" si="365"/>
        <v>0</v>
      </c>
      <c r="AG3740" t="str">
        <f t="shared" si="366"/>
        <v/>
      </c>
      <c r="AH3740" t="str">
        <f t="shared" si="367"/>
        <v/>
      </c>
      <c r="AI3740">
        <f t="shared" si="368"/>
        <v>0</v>
      </c>
      <c r="AJ3740">
        <f t="shared" si="369"/>
        <v>0</v>
      </c>
      <c r="AK3740">
        <v>0</v>
      </c>
      <c r="AL3740" t="str">
        <f>IF(AA3740="","",IFERROR(IF(ISNUMBER('Procyfloc AL200'!D241),'Procyfloc AL200'!D241,IF(ISNUMBER(SEARCH("12",'Procyfloc AL200'!D241)),EDATE(AB3740,12),IF(ISNUMBER(SEARCH("6",'Procyfloc AL200'!D241)),EDATE(AB3740,6),IF(ISNUMBER(SEARCH("3",'Procyfloc AL200'!D241)),EDATE(AB3740,3),DATEVALUE('Procyfloc AL200'!D241))))),""))</f>
        <v/>
      </c>
      <c r="AM3740" t="str">
        <f t="shared" ca="1" si="370"/>
        <v/>
      </c>
    </row>
    <row r="3741" spans="27:39" x14ac:dyDescent="0.3">
      <c r="AA3741" t="str">
        <f>IF(COUNTA('Procyfloc AL200'!A242,'Procyfloc AL200'!B242,'Procyfloc AL200'!C242)&gt;0,"AL200","")</f>
        <v/>
      </c>
      <c r="AB3741" t="str">
        <f>IFERROR(IF(ISNUMBER('Procyfloc AL200'!A242),'Procyfloc AL200'!A242,DATEVALUE('Procyfloc AL200'!A242)),"")</f>
        <v/>
      </c>
      <c r="AC3741" t="str">
        <f>IF(AA3741="","",'Procyfloc AL200'!B242)</f>
        <v/>
      </c>
      <c r="AD3741" t="str">
        <f>IF(AA3741="","",IFERROR(1*'Procyfloc AL200'!C242,IFERROR(_xludf.NUMBERVALUE('Procyfloc AL200'!C242,".",","),IFERROR(_xludf.NUMBERVALUE('Procyfloc AL200'!C242,",","."),0))))</f>
        <v/>
      </c>
      <c r="AE3741" t="str">
        <f>IF(AA3741="","",'Procyfloc AL200'!K242)</f>
        <v/>
      </c>
      <c r="AF3741">
        <f t="shared" si="365"/>
        <v>0</v>
      </c>
      <c r="AG3741" t="str">
        <f t="shared" si="366"/>
        <v/>
      </c>
      <c r="AH3741" t="str">
        <f t="shared" si="367"/>
        <v/>
      </c>
      <c r="AI3741">
        <f t="shared" si="368"/>
        <v>0</v>
      </c>
      <c r="AJ3741">
        <f t="shared" si="369"/>
        <v>0</v>
      </c>
      <c r="AK3741">
        <v>0</v>
      </c>
      <c r="AL3741" t="str">
        <f>IF(AA3741="","",IFERROR(IF(ISNUMBER('Procyfloc AL200'!D242),'Procyfloc AL200'!D242,IF(ISNUMBER(SEARCH("12",'Procyfloc AL200'!D242)),EDATE(AB3741,12),IF(ISNUMBER(SEARCH("6",'Procyfloc AL200'!D242)),EDATE(AB3741,6),IF(ISNUMBER(SEARCH("3",'Procyfloc AL200'!D242)),EDATE(AB3741,3),DATEVALUE('Procyfloc AL200'!D242))))),""))</f>
        <v/>
      </c>
      <c r="AM3741" t="str">
        <f t="shared" ca="1" si="370"/>
        <v/>
      </c>
    </row>
    <row r="3742" spans="27:39" x14ac:dyDescent="0.3">
      <c r="AA3742" t="str">
        <f>IF(COUNTA('Procyfloc AL200'!A243,'Procyfloc AL200'!B243,'Procyfloc AL200'!C243)&gt;0,"AL200","")</f>
        <v/>
      </c>
      <c r="AB3742" t="str">
        <f>IFERROR(IF(ISNUMBER('Procyfloc AL200'!A243),'Procyfloc AL200'!A243,DATEVALUE('Procyfloc AL200'!A243)),"")</f>
        <v/>
      </c>
      <c r="AC3742" t="str">
        <f>IF(AA3742="","",'Procyfloc AL200'!B243)</f>
        <v/>
      </c>
      <c r="AD3742" t="str">
        <f>IF(AA3742="","",IFERROR(1*'Procyfloc AL200'!C243,IFERROR(_xludf.NUMBERVALUE('Procyfloc AL200'!C243,".",","),IFERROR(_xludf.NUMBERVALUE('Procyfloc AL200'!C243,",","."),0))))</f>
        <v/>
      </c>
      <c r="AE3742" t="str">
        <f>IF(AA3742="","",'Procyfloc AL200'!K243)</f>
        <v/>
      </c>
      <c r="AF3742">
        <f t="shared" si="365"/>
        <v>0</v>
      </c>
      <c r="AG3742" t="str">
        <f t="shared" si="366"/>
        <v/>
      </c>
      <c r="AH3742" t="str">
        <f t="shared" si="367"/>
        <v/>
      </c>
      <c r="AI3742">
        <f t="shared" si="368"/>
        <v>0</v>
      </c>
      <c r="AJ3742">
        <f t="shared" si="369"/>
        <v>0</v>
      </c>
      <c r="AK3742">
        <v>0</v>
      </c>
      <c r="AL3742" t="str">
        <f>IF(AA3742="","",IFERROR(IF(ISNUMBER('Procyfloc AL200'!D243),'Procyfloc AL200'!D243,IF(ISNUMBER(SEARCH("12",'Procyfloc AL200'!D243)),EDATE(AB3742,12),IF(ISNUMBER(SEARCH("6",'Procyfloc AL200'!D243)),EDATE(AB3742,6),IF(ISNUMBER(SEARCH("3",'Procyfloc AL200'!D243)),EDATE(AB3742,3),DATEVALUE('Procyfloc AL200'!D243))))),""))</f>
        <v/>
      </c>
      <c r="AM3742" t="str">
        <f t="shared" ca="1" si="370"/>
        <v/>
      </c>
    </row>
    <row r="3743" spans="27:39" x14ac:dyDescent="0.3">
      <c r="AA3743" t="str">
        <f>IF(COUNTA('Procyfloc AL200'!A244,'Procyfloc AL200'!B244,'Procyfloc AL200'!C244)&gt;0,"AL200","")</f>
        <v/>
      </c>
      <c r="AB3743" t="str">
        <f>IFERROR(IF(ISNUMBER('Procyfloc AL200'!A244),'Procyfloc AL200'!A244,DATEVALUE('Procyfloc AL200'!A244)),"")</f>
        <v/>
      </c>
      <c r="AC3743" t="str">
        <f>IF(AA3743="","",'Procyfloc AL200'!B244)</f>
        <v/>
      </c>
      <c r="AD3743" t="str">
        <f>IF(AA3743="","",IFERROR(1*'Procyfloc AL200'!C244,IFERROR(_xludf.NUMBERVALUE('Procyfloc AL200'!C244,".",","),IFERROR(_xludf.NUMBERVALUE('Procyfloc AL200'!C244,",","."),0))))</f>
        <v/>
      </c>
      <c r="AE3743" t="str">
        <f>IF(AA3743="","",'Procyfloc AL200'!K244)</f>
        <v/>
      </c>
      <c r="AF3743">
        <f t="shared" si="365"/>
        <v>0</v>
      </c>
      <c r="AG3743" t="str">
        <f t="shared" si="366"/>
        <v/>
      </c>
      <c r="AH3743" t="str">
        <f t="shared" si="367"/>
        <v/>
      </c>
      <c r="AI3743">
        <f t="shared" si="368"/>
        <v>0</v>
      </c>
      <c r="AJ3743">
        <f t="shared" si="369"/>
        <v>0</v>
      </c>
      <c r="AK3743">
        <v>0</v>
      </c>
      <c r="AL3743" t="str">
        <f>IF(AA3743="","",IFERROR(IF(ISNUMBER('Procyfloc AL200'!D244),'Procyfloc AL200'!D244,IF(ISNUMBER(SEARCH("12",'Procyfloc AL200'!D244)),EDATE(AB3743,12),IF(ISNUMBER(SEARCH("6",'Procyfloc AL200'!D244)),EDATE(AB3743,6),IF(ISNUMBER(SEARCH("3",'Procyfloc AL200'!D244)),EDATE(AB3743,3),DATEVALUE('Procyfloc AL200'!D244))))),""))</f>
        <v/>
      </c>
      <c r="AM3743" t="str">
        <f t="shared" ca="1" si="370"/>
        <v/>
      </c>
    </row>
    <row r="3744" spans="27:39" x14ac:dyDescent="0.3">
      <c r="AA3744" t="str">
        <f>IF(COUNTA('Procyfloc AL200'!A245,'Procyfloc AL200'!B245,'Procyfloc AL200'!C245)&gt;0,"AL200","")</f>
        <v/>
      </c>
      <c r="AB3744" t="str">
        <f>IFERROR(IF(ISNUMBER('Procyfloc AL200'!A245),'Procyfloc AL200'!A245,DATEVALUE('Procyfloc AL200'!A245)),"")</f>
        <v/>
      </c>
      <c r="AC3744" t="str">
        <f>IF(AA3744="","",'Procyfloc AL200'!B245)</f>
        <v/>
      </c>
      <c r="AD3744" t="str">
        <f>IF(AA3744="","",IFERROR(1*'Procyfloc AL200'!C245,IFERROR(_xludf.NUMBERVALUE('Procyfloc AL200'!C245,".",","),IFERROR(_xludf.NUMBERVALUE('Procyfloc AL200'!C245,",","."),0))))</f>
        <v/>
      </c>
      <c r="AE3744" t="str">
        <f>IF(AA3744="","",'Procyfloc AL200'!K245)</f>
        <v/>
      </c>
      <c r="AF3744">
        <f t="shared" si="365"/>
        <v>0</v>
      </c>
      <c r="AG3744" t="str">
        <f t="shared" si="366"/>
        <v/>
      </c>
      <c r="AH3744" t="str">
        <f t="shared" si="367"/>
        <v/>
      </c>
      <c r="AI3744">
        <f t="shared" si="368"/>
        <v>0</v>
      </c>
      <c r="AJ3744">
        <f t="shared" si="369"/>
        <v>0</v>
      </c>
      <c r="AK3744">
        <v>0</v>
      </c>
      <c r="AL3744" t="str">
        <f>IF(AA3744="","",IFERROR(IF(ISNUMBER('Procyfloc AL200'!D245),'Procyfloc AL200'!D245,IF(ISNUMBER(SEARCH("12",'Procyfloc AL200'!D245)),EDATE(AB3744,12),IF(ISNUMBER(SEARCH("6",'Procyfloc AL200'!D245)),EDATE(AB3744,6),IF(ISNUMBER(SEARCH("3",'Procyfloc AL200'!D245)),EDATE(AB3744,3),DATEVALUE('Procyfloc AL200'!D245))))),""))</f>
        <v/>
      </c>
      <c r="AM3744" t="str">
        <f t="shared" ca="1" si="370"/>
        <v/>
      </c>
    </row>
    <row r="3745" spans="27:39" x14ac:dyDescent="0.3">
      <c r="AA3745" t="str">
        <f>IF(COUNTA('Procyfloc AL200'!A246,'Procyfloc AL200'!B246,'Procyfloc AL200'!C246)&gt;0,"AL200","")</f>
        <v/>
      </c>
      <c r="AB3745" t="str">
        <f>IFERROR(IF(ISNUMBER('Procyfloc AL200'!A246),'Procyfloc AL200'!A246,DATEVALUE('Procyfloc AL200'!A246)),"")</f>
        <v/>
      </c>
      <c r="AC3745" t="str">
        <f>IF(AA3745="","",'Procyfloc AL200'!B246)</f>
        <v/>
      </c>
      <c r="AD3745" t="str">
        <f>IF(AA3745="","",IFERROR(1*'Procyfloc AL200'!C246,IFERROR(_xludf.NUMBERVALUE('Procyfloc AL200'!C246,".",","),IFERROR(_xludf.NUMBERVALUE('Procyfloc AL200'!C246,",","."),0))))</f>
        <v/>
      </c>
      <c r="AE3745" t="str">
        <f>IF(AA3745="","",'Procyfloc AL200'!K246)</f>
        <v/>
      </c>
      <c r="AF3745">
        <f t="shared" si="365"/>
        <v>0</v>
      </c>
      <c r="AG3745" t="str">
        <f t="shared" si="366"/>
        <v/>
      </c>
      <c r="AH3745" t="str">
        <f t="shared" si="367"/>
        <v/>
      </c>
      <c r="AI3745">
        <f t="shared" si="368"/>
        <v>0</v>
      </c>
      <c r="AJ3745">
        <f t="shared" si="369"/>
        <v>0</v>
      </c>
      <c r="AK3745">
        <v>0</v>
      </c>
      <c r="AL3745" t="str">
        <f>IF(AA3745="","",IFERROR(IF(ISNUMBER('Procyfloc AL200'!D246),'Procyfloc AL200'!D246,IF(ISNUMBER(SEARCH("12",'Procyfloc AL200'!D246)),EDATE(AB3745,12),IF(ISNUMBER(SEARCH("6",'Procyfloc AL200'!D246)),EDATE(AB3745,6),IF(ISNUMBER(SEARCH("3",'Procyfloc AL200'!D246)),EDATE(AB3745,3),DATEVALUE('Procyfloc AL200'!D246))))),""))</f>
        <v/>
      </c>
      <c r="AM3745" t="str">
        <f t="shared" ca="1" si="370"/>
        <v/>
      </c>
    </row>
    <row r="3746" spans="27:39" x14ac:dyDescent="0.3">
      <c r="AA3746" t="str">
        <f>IF(COUNTA('Procyfloc AL200'!A247,'Procyfloc AL200'!B247,'Procyfloc AL200'!C247)&gt;0,"AL200","")</f>
        <v/>
      </c>
      <c r="AB3746" t="str">
        <f>IFERROR(IF(ISNUMBER('Procyfloc AL200'!A247),'Procyfloc AL200'!A247,DATEVALUE('Procyfloc AL200'!A247)),"")</f>
        <v/>
      </c>
      <c r="AC3746" t="str">
        <f>IF(AA3746="","",'Procyfloc AL200'!B247)</f>
        <v/>
      </c>
      <c r="AD3746" t="str">
        <f>IF(AA3746="","",IFERROR(1*'Procyfloc AL200'!C247,IFERROR(_xludf.NUMBERVALUE('Procyfloc AL200'!C247,".",","),IFERROR(_xludf.NUMBERVALUE('Procyfloc AL200'!C247,",","."),0))))</f>
        <v/>
      </c>
      <c r="AE3746" t="str">
        <f>IF(AA3746="","",'Procyfloc AL200'!K247)</f>
        <v/>
      </c>
      <c r="AF3746">
        <f t="shared" si="365"/>
        <v>0</v>
      </c>
      <c r="AG3746" t="str">
        <f t="shared" si="366"/>
        <v/>
      </c>
      <c r="AH3746" t="str">
        <f t="shared" si="367"/>
        <v/>
      </c>
      <c r="AI3746">
        <f t="shared" si="368"/>
        <v>0</v>
      </c>
      <c r="AJ3746">
        <f t="shared" si="369"/>
        <v>0</v>
      </c>
      <c r="AK3746">
        <v>0</v>
      </c>
      <c r="AL3746" t="str">
        <f>IF(AA3746="","",IFERROR(IF(ISNUMBER('Procyfloc AL200'!D247),'Procyfloc AL200'!D247,IF(ISNUMBER(SEARCH("12",'Procyfloc AL200'!D247)),EDATE(AB3746,12),IF(ISNUMBER(SEARCH("6",'Procyfloc AL200'!D247)),EDATE(AB3746,6),IF(ISNUMBER(SEARCH("3",'Procyfloc AL200'!D247)),EDATE(AB3746,3),DATEVALUE('Procyfloc AL200'!D247))))),""))</f>
        <v/>
      </c>
      <c r="AM3746" t="str">
        <f t="shared" ca="1" si="370"/>
        <v/>
      </c>
    </row>
    <row r="3747" spans="27:39" x14ac:dyDescent="0.3">
      <c r="AA3747" t="str">
        <f>IF(COUNTA('Procyfloc AL200'!A248,'Procyfloc AL200'!B248,'Procyfloc AL200'!C248)&gt;0,"AL200","")</f>
        <v/>
      </c>
      <c r="AB3747" t="str">
        <f>IFERROR(IF(ISNUMBER('Procyfloc AL200'!A248),'Procyfloc AL200'!A248,DATEVALUE('Procyfloc AL200'!A248)),"")</f>
        <v/>
      </c>
      <c r="AC3747" t="str">
        <f>IF(AA3747="","",'Procyfloc AL200'!B248)</f>
        <v/>
      </c>
      <c r="AD3747" t="str">
        <f>IF(AA3747="","",IFERROR(1*'Procyfloc AL200'!C248,IFERROR(_xludf.NUMBERVALUE('Procyfloc AL200'!C248,".",","),IFERROR(_xludf.NUMBERVALUE('Procyfloc AL200'!C248,",","."),0))))</f>
        <v/>
      </c>
      <c r="AE3747" t="str">
        <f>IF(AA3747="","",'Procyfloc AL200'!K248)</f>
        <v/>
      </c>
      <c r="AF3747">
        <f t="shared" si="365"/>
        <v>0</v>
      </c>
      <c r="AG3747" t="str">
        <f t="shared" si="366"/>
        <v/>
      </c>
      <c r="AH3747" t="str">
        <f t="shared" si="367"/>
        <v/>
      </c>
      <c r="AI3747">
        <f t="shared" si="368"/>
        <v>0</v>
      </c>
      <c r="AJ3747">
        <f t="shared" si="369"/>
        <v>0</v>
      </c>
      <c r="AK3747">
        <v>0</v>
      </c>
      <c r="AL3747" t="str">
        <f>IF(AA3747="","",IFERROR(IF(ISNUMBER('Procyfloc AL200'!D248),'Procyfloc AL200'!D248,IF(ISNUMBER(SEARCH("12",'Procyfloc AL200'!D248)),EDATE(AB3747,12),IF(ISNUMBER(SEARCH("6",'Procyfloc AL200'!D248)),EDATE(AB3747,6),IF(ISNUMBER(SEARCH("3",'Procyfloc AL200'!D248)),EDATE(AB3747,3),DATEVALUE('Procyfloc AL200'!D248))))),""))</f>
        <v/>
      </c>
      <c r="AM3747" t="str">
        <f t="shared" ca="1" si="370"/>
        <v/>
      </c>
    </row>
    <row r="3748" spans="27:39" x14ac:dyDescent="0.3">
      <c r="AA3748" t="str">
        <f>IF(COUNTA('Procyfloc AL200'!A249,'Procyfloc AL200'!B249,'Procyfloc AL200'!C249)&gt;0,"AL200","")</f>
        <v/>
      </c>
      <c r="AB3748" t="str">
        <f>IFERROR(IF(ISNUMBER('Procyfloc AL200'!A249),'Procyfloc AL200'!A249,DATEVALUE('Procyfloc AL200'!A249)),"")</f>
        <v/>
      </c>
      <c r="AC3748" t="str">
        <f>IF(AA3748="","",'Procyfloc AL200'!B249)</f>
        <v/>
      </c>
      <c r="AD3748" t="str">
        <f>IF(AA3748="","",IFERROR(1*'Procyfloc AL200'!C249,IFERROR(_xludf.NUMBERVALUE('Procyfloc AL200'!C249,".",","),IFERROR(_xludf.NUMBERVALUE('Procyfloc AL200'!C249,",","."),0))))</f>
        <v/>
      </c>
      <c r="AE3748" t="str">
        <f>IF(AA3748="","",'Procyfloc AL200'!K249)</f>
        <v/>
      </c>
      <c r="AF3748">
        <f t="shared" si="365"/>
        <v>0</v>
      </c>
      <c r="AG3748" t="str">
        <f t="shared" si="366"/>
        <v/>
      </c>
      <c r="AH3748" t="str">
        <f t="shared" si="367"/>
        <v/>
      </c>
      <c r="AI3748">
        <f t="shared" si="368"/>
        <v>0</v>
      </c>
      <c r="AJ3748">
        <f t="shared" si="369"/>
        <v>0</v>
      </c>
      <c r="AK3748">
        <v>0</v>
      </c>
      <c r="AL3748" t="str">
        <f>IF(AA3748="","",IFERROR(IF(ISNUMBER('Procyfloc AL200'!D249),'Procyfloc AL200'!D249,IF(ISNUMBER(SEARCH("12",'Procyfloc AL200'!D249)),EDATE(AB3748,12),IF(ISNUMBER(SEARCH("6",'Procyfloc AL200'!D249)),EDATE(AB3748,6),IF(ISNUMBER(SEARCH("3",'Procyfloc AL200'!D249)),EDATE(AB3748,3),DATEVALUE('Procyfloc AL200'!D249))))),""))</f>
        <v/>
      </c>
      <c r="AM3748" t="str">
        <f t="shared" ca="1" si="370"/>
        <v/>
      </c>
    </row>
    <row r="3749" spans="27:39" x14ac:dyDescent="0.3">
      <c r="AA3749" t="str">
        <f>IF(COUNTA('Procyfloc AL200'!A250,'Procyfloc AL200'!B250,'Procyfloc AL200'!C250)&gt;0,"AL200","")</f>
        <v/>
      </c>
      <c r="AB3749" t="str">
        <f>IFERROR(IF(ISNUMBER('Procyfloc AL200'!A250),'Procyfloc AL200'!A250,DATEVALUE('Procyfloc AL200'!A250)),"")</f>
        <v/>
      </c>
      <c r="AC3749" t="str">
        <f>IF(AA3749="","",'Procyfloc AL200'!B250)</f>
        <v/>
      </c>
      <c r="AD3749" t="str">
        <f>IF(AA3749="","",IFERROR(1*'Procyfloc AL200'!C250,IFERROR(_xludf.NUMBERVALUE('Procyfloc AL200'!C250,".",","),IFERROR(_xludf.NUMBERVALUE('Procyfloc AL200'!C250,",","."),0))))</f>
        <v/>
      </c>
      <c r="AE3749" t="str">
        <f>IF(AA3749="","",'Procyfloc AL200'!K250)</f>
        <v/>
      </c>
      <c r="AF3749">
        <f t="shared" si="365"/>
        <v>0</v>
      </c>
      <c r="AG3749" t="str">
        <f t="shared" si="366"/>
        <v/>
      </c>
      <c r="AH3749" t="str">
        <f t="shared" si="367"/>
        <v/>
      </c>
      <c r="AI3749">
        <f t="shared" si="368"/>
        <v>0</v>
      </c>
      <c r="AJ3749">
        <f t="shared" si="369"/>
        <v>0</v>
      </c>
      <c r="AK3749">
        <v>0</v>
      </c>
      <c r="AL3749" t="str">
        <f>IF(AA3749="","",IFERROR(IF(ISNUMBER('Procyfloc AL200'!D250),'Procyfloc AL200'!D250,IF(ISNUMBER(SEARCH("12",'Procyfloc AL200'!D250)),EDATE(AB3749,12),IF(ISNUMBER(SEARCH("6",'Procyfloc AL200'!D250)),EDATE(AB3749,6),IF(ISNUMBER(SEARCH("3",'Procyfloc AL200'!D250)),EDATE(AB3749,3),DATEVALUE('Procyfloc AL200'!D250))))),""))</f>
        <v/>
      </c>
      <c r="AM3749" t="str">
        <f t="shared" ca="1" si="370"/>
        <v/>
      </c>
    </row>
    <row r="3750" spans="27:39" x14ac:dyDescent="0.3">
      <c r="AA3750" t="str">
        <f>IF(COUNTA('Procyfloc AL200'!A251,'Procyfloc AL200'!B251,'Procyfloc AL200'!C251)&gt;0,"AL200","")</f>
        <v/>
      </c>
      <c r="AB3750" t="str">
        <f>IFERROR(IF(ISNUMBER('Procyfloc AL200'!A251),'Procyfloc AL200'!A251,DATEVALUE('Procyfloc AL200'!A251)),"")</f>
        <v/>
      </c>
      <c r="AC3750" t="str">
        <f>IF(AA3750="","",'Procyfloc AL200'!B251)</f>
        <v/>
      </c>
      <c r="AD3750" t="str">
        <f>IF(AA3750="","",IFERROR(1*'Procyfloc AL200'!C251,IFERROR(_xludf.NUMBERVALUE('Procyfloc AL200'!C251,".",","),IFERROR(_xludf.NUMBERVALUE('Procyfloc AL200'!C251,",","."),0))))</f>
        <v/>
      </c>
      <c r="AE3750" t="str">
        <f>IF(AA3750="","",'Procyfloc AL200'!K251)</f>
        <v/>
      </c>
      <c r="AF3750">
        <f t="shared" si="365"/>
        <v>0</v>
      </c>
      <c r="AG3750" t="str">
        <f t="shared" si="366"/>
        <v/>
      </c>
      <c r="AH3750" t="str">
        <f t="shared" si="367"/>
        <v/>
      </c>
      <c r="AI3750">
        <f t="shared" si="368"/>
        <v>0</v>
      </c>
      <c r="AJ3750">
        <f t="shared" si="369"/>
        <v>0</v>
      </c>
      <c r="AK3750">
        <v>0</v>
      </c>
      <c r="AL3750" t="str">
        <f>IF(AA3750="","",IFERROR(IF(ISNUMBER('Procyfloc AL200'!D251),'Procyfloc AL200'!D251,IF(ISNUMBER(SEARCH("12",'Procyfloc AL200'!D251)),EDATE(AB3750,12),IF(ISNUMBER(SEARCH("6",'Procyfloc AL200'!D251)),EDATE(AB3750,6),IF(ISNUMBER(SEARCH("3",'Procyfloc AL200'!D251)),EDATE(AB3750,3),DATEVALUE('Procyfloc AL200'!D251))))),""))</f>
        <v/>
      </c>
      <c r="AM3750" t="str">
        <f t="shared" ca="1" si="370"/>
        <v/>
      </c>
    </row>
    <row r="3751" spans="27:39" x14ac:dyDescent="0.3">
      <c r="AA3751" t="str">
        <f>IF(COUNTA('Procyfloc AL200'!A252,'Procyfloc AL200'!B252,'Procyfloc AL200'!C252)&gt;0,"AL200","")</f>
        <v/>
      </c>
      <c r="AB3751" t="str">
        <f>IFERROR(IF(ISNUMBER('Procyfloc AL200'!A252),'Procyfloc AL200'!A252,DATEVALUE('Procyfloc AL200'!A252)),"")</f>
        <v/>
      </c>
      <c r="AC3751" t="str">
        <f>IF(AA3751="","",'Procyfloc AL200'!B252)</f>
        <v/>
      </c>
      <c r="AD3751" t="str">
        <f>IF(AA3751="","",IFERROR(1*'Procyfloc AL200'!C252,IFERROR(_xludf.NUMBERVALUE('Procyfloc AL200'!C252,".",","),IFERROR(_xludf.NUMBERVALUE('Procyfloc AL200'!C252,",","."),0))))</f>
        <v/>
      </c>
      <c r="AE3751" t="str">
        <f>IF(AA3751="","",'Procyfloc AL200'!K252)</f>
        <v/>
      </c>
      <c r="AF3751">
        <f t="shared" si="365"/>
        <v>0</v>
      </c>
      <c r="AG3751" t="str">
        <f t="shared" si="366"/>
        <v/>
      </c>
      <c r="AH3751" t="str">
        <f t="shared" si="367"/>
        <v/>
      </c>
      <c r="AI3751">
        <f t="shared" si="368"/>
        <v>0</v>
      </c>
      <c r="AJ3751">
        <f t="shared" si="369"/>
        <v>0</v>
      </c>
      <c r="AK3751">
        <v>0</v>
      </c>
      <c r="AL3751" t="str">
        <f>IF(AA3751="","",IFERROR(IF(ISNUMBER('Procyfloc AL200'!D252),'Procyfloc AL200'!D252,IF(ISNUMBER(SEARCH("12",'Procyfloc AL200'!D252)),EDATE(AB3751,12),IF(ISNUMBER(SEARCH("6",'Procyfloc AL200'!D252)),EDATE(AB3751,6),IF(ISNUMBER(SEARCH("3",'Procyfloc AL200'!D252)),EDATE(AB3751,3),DATEVALUE('Procyfloc AL200'!D252))))),""))</f>
        <v/>
      </c>
      <c r="AM3751" t="str">
        <f t="shared" ca="1" si="370"/>
        <v/>
      </c>
    </row>
    <row r="3752" spans="27:39" x14ac:dyDescent="0.3">
      <c r="AA3752" t="str">
        <f>IF(COUNTA('Procyfloc AL200'!A253,'Procyfloc AL200'!B253,'Procyfloc AL200'!C253)&gt;0,"AL200","")</f>
        <v/>
      </c>
      <c r="AB3752" t="str">
        <f>IFERROR(IF(ISNUMBER('Procyfloc AL200'!A253),'Procyfloc AL200'!A253,DATEVALUE('Procyfloc AL200'!A253)),"")</f>
        <v/>
      </c>
      <c r="AC3752" t="str">
        <f>IF(AA3752="","",'Procyfloc AL200'!B253)</f>
        <v/>
      </c>
      <c r="AD3752" t="str">
        <f>IF(AA3752="","",IFERROR(1*'Procyfloc AL200'!C253,IFERROR(_xludf.NUMBERVALUE('Procyfloc AL200'!C253,".",","),IFERROR(_xludf.NUMBERVALUE('Procyfloc AL200'!C253,",","."),0))))</f>
        <v/>
      </c>
      <c r="AE3752" t="str">
        <f>IF(AA3752="","",'Procyfloc AL200'!K253)</f>
        <v/>
      </c>
      <c r="AF3752">
        <f t="shared" si="365"/>
        <v>0</v>
      </c>
      <c r="AG3752" t="str">
        <f t="shared" si="366"/>
        <v/>
      </c>
      <c r="AH3752" t="str">
        <f t="shared" si="367"/>
        <v/>
      </c>
      <c r="AI3752">
        <f t="shared" si="368"/>
        <v>0</v>
      </c>
      <c r="AJ3752">
        <f t="shared" si="369"/>
        <v>0</v>
      </c>
      <c r="AK3752">
        <v>0</v>
      </c>
      <c r="AL3752" t="str">
        <f>IF(AA3752="","",IFERROR(IF(ISNUMBER('Procyfloc AL200'!D253),'Procyfloc AL200'!D253,IF(ISNUMBER(SEARCH("12",'Procyfloc AL200'!D253)),EDATE(AB3752,12),IF(ISNUMBER(SEARCH("6",'Procyfloc AL200'!D253)),EDATE(AB3752,6),IF(ISNUMBER(SEARCH("3",'Procyfloc AL200'!D253)),EDATE(AB3752,3),DATEVALUE('Procyfloc AL200'!D253))))),""))</f>
        <v/>
      </c>
      <c r="AM3752" t="str">
        <f t="shared" ca="1" si="370"/>
        <v/>
      </c>
    </row>
    <row r="3753" spans="27:39" x14ac:dyDescent="0.3">
      <c r="AA3753" t="str">
        <f>IF(COUNTA('Procyfloc AL200'!A254,'Procyfloc AL200'!B254,'Procyfloc AL200'!C254)&gt;0,"AL200","")</f>
        <v/>
      </c>
      <c r="AB3753" t="str">
        <f>IFERROR(IF(ISNUMBER('Procyfloc AL200'!A254),'Procyfloc AL200'!A254,DATEVALUE('Procyfloc AL200'!A254)),"")</f>
        <v/>
      </c>
      <c r="AC3753" t="str">
        <f>IF(AA3753="","",'Procyfloc AL200'!B254)</f>
        <v/>
      </c>
      <c r="AD3753" t="str">
        <f>IF(AA3753="","",IFERROR(1*'Procyfloc AL200'!C254,IFERROR(_xludf.NUMBERVALUE('Procyfloc AL200'!C254,".",","),IFERROR(_xludf.NUMBERVALUE('Procyfloc AL200'!C254,",","."),0))))</f>
        <v/>
      </c>
      <c r="AE3753" t="str">
        <f>IF(AA3753="","",'Procyfloc AL200'!K254)</f>
        <v/>
      </c>
      <c r="AF3753">
        <f t="shared" si="365"/>
        <v>0</v>
      </c>
      <c r="AG3753" t="str">
        <f t="shared" si="366"/>
        <v/>
      </c>
      <c r="AH3753" t="str">
        <f t="shared" si="367"/>
        <v/>
      </c>
      <c r="AI3753">
        <f t="shared" si="368"/>
        <v>0</v>
      </c>
      <c r="AJ3753">
        <f t="shared" si="369"/>
        <v>0</v>
      </c>
      <c r="AK3753">
        <v>0</v>
      </c>
      <c r="AL3753" t="str">
        <f>IF(AA3753="","",IFERROR(IF(ISNUMBER('Procyfloc AL200'!D254),'Procyfloc AL200'!D254,IF(ISNUMBER(SEARCH("12",'Procyfloc AL200'!D254)),EDATE(AB3753,12),IF(ISNUMBER(SEARCH("6",'Procyfloc AL200'!D254)),EDATE(AB3753,6),IF(ISNUMBER(SEARCH("3",'Procyfloc AL200'!D254)),EDATE(AB3753,3),DATEVALUE('Procyfloc AL200'!D254))))),""))</f>
        <v/>
      </c>
      <c r="AM3753" t="str">
        <f t="shared" ca="1" si="370"/>
        <v/>
      </c>
    </row>
    <row r="3754" spans="27:39" x14ac:dyDescent="0.3">
      <c r="AA3754" t="str">
        <f>IF(COUNTA('Procyfloc AL200'!A255,'Procyfloc AL200'!B255,'Procyfloc AL200'!C255)&gt;0,"AL200","")</f>
        <v/>
      </c>
      <c r="AB3754" t="str">
        <f>IFERROR(IF(ISNUMBER('Procyfloc AL200'!A255),'Procyfloc AL200'!A255,DATEVALUE('Procyfloc AL200'!A255)),"")</f>
        <v/>
      </c>
      <c r="AC3754" t="str">
        <f>IF(AA3754="","",'Procyfloc AL200'!B255)</f>
        <v/>
      </c>
      <c r="AD3754" t="str">
        <f>IF(AA3754="","",IFERROR(1*'Procyfloc AL200'!C255,IFERROR(_xludf.NUMBERVALUE('Procyfloc AL200'!C255,".",","),IFERROR(_xludf.NUMBERVALUE('Procyfloc AL200'!C255,",","."),0))))</f>
        <v/>
      </c>
      <c r="AE3754" t="str">
        <f>IF(AA3754="","",'Procyfloc AL200'!K255)</f>
        <v/>
      </c>
      <c r="AF3754">
        <f t="shared" si="365"/>
        <v>0</v>
      </c>
      <c r="AG3754" t="str">
        <f t="shared" si="366"/>
        <v/>
      </c>
      <c r="AH3754" t="str">
        <f t="shared" si="367"/>
        <v/>
      </c>
      <c r="AI3754">
        <f t="shared" si="368"/>
        <v>0</v>
      </c>
      <c r="AJ3754">
        <f t="shared" si="369"/>
        <v>0</v>
      </c>
      <c r="AK3754">
        <v>0</v>
      </c>
      <c r="AL3754" t="str">
        <f>IF(AA3754="","",IFERROR(IF(ISNUMBER('Procyfloc AL200'!D255),'Procyfloc AL200'!D255,IF(ISNUMBER(SEARCH("12",'Procyfloc AL200'!D255)),EDATE(AB3754,12),IF(ISNUMBER(SEARCH("6",'Procyfloc AL200'!D255)),EDATE(AB3754,6),IF(ISNUMBER(SEARCH("3",'Procyfloc AL200'!D255)),EDATE(AB3754,3),DATEVALUE('Procyfloc AL200'!D255))))),""))</f>
        <v/>
      </c>
      <c r="AM3754" t="str">
        <f t="shared" ca="1" si="370"/>
        <v/>
      </c>
    </row>
    <row r="3755" spans="27:39" x14ac:dyDescent="0.3">
      <c r="AA3755" t="str">
        <f>IF(COUNTA('Procyfloc AL200'!A256,'Procyfloc AL200'!B256,'Procyfloc AL200'!C256)&gt;0,"AL200","")</f>
        <v/>
      </c>
      <c r="AB3755" t="str">
        <f>IFERROR(IF(ISNUMBER('Procyfloc AL200'!A256),'Procyfloc AL200'!A256,DATEVALUE('Procyfloc AL200'!A256)),"")</f>
        <v/>
      </c>
      <c r="AC3755" t="str">
        <f>IF(AA3755="","",'Procyfloc AL200'!B256)</f>
        <v/>
      </c>
      <c r="AD3755" t="str">
        <f>IF(AA3755="","",IFERROR(1*'Procyfloc AL200'!C256,IFERROR(_xludf.NUMBERVALUE('Procyfloc AL200'!C256,".",","),IFERROR(_xludf.NUMBERVALUE('Procyfloc AL200'!C256,",","."),0))))</f>
        <v/>
      </c>
      <c r="AE3755" t="str">
        <f>IF(AA3755="","",'Procyfloc AL200'!K256)</f>
        <v/>
      </c>
      <c r="AF3755">
        <f t="shared" si="365"/>
        <v>0</v>
      </c>
      <c r="AG3755" t="str">
        <f t="shared" si="366"/>
        <v/>
      </c>
      <c r="AH3755" t="str">
        <f t="shared" si="367"/>
        <v/>
      </c>
      <c r="AI3755">
        <f t="shared" si="368"/>
        <v>0</v>
      </c>
      <c r="AJ3755">
        <f t="shared" si="369"/>
        <v>0</v>
      </c>
      <c r="AK3755">
        <v>0</v>
      </c>
      <c r="AL3755" t="str">
        <f>IF(AA3755="","",IFERROR(IF(ISNUMBER('Procyfloc AL200'!D256),'Procyfloc AL200'!D256,IF(ISNUMBER(SEARCH("12",'Procyfloc AL200'!D256)),EDATE(AB3755,12),IF(ISNUMBER(SEARCH("6",'Procyfloc AL200'!D256)),EDATE(AB3755,6),IF(ISNUMBER(SEARCH("3",'Procyfloc AL200'!D256)),EDATE(AB3755,3),DATEVALUE('Procyfloc AL200'!D256))))),""))</f>
        <v/>
      </c>
      <c r="AM3755" t="str">
        <f t="shared" ca="1" si="370"/>
        <v/>
      </c>
    </row>
    <row r="3756" spans="27:39" x14ac:dyDescent="0.3">
      <c r="AA3756" t="str">
        <f>IF(COUNTA('Procyfloc AL200'!A257,'Procyfloc AL200'!B257,'Procyfloc AL200'!C257)&gt;0,"AL200","")</f>
        <v/>
      </c>
      <c r="AB3756" t="str">
        <f>IFERROR(IF(ISNUMBER('Procyfloc AL200'!A257),'Procyfloc AL200'!A257,DATEVALUE('Procyfloc AL200'!A257)),"")</f>
        <v/>
      </c>
      <c r="AC3756" t="str">
        <f>IF(AA3756="","",'Procyfloc AL200'!B257)</f>
        <v/>
      </c>
      <c r="AD3756" t="str">
        <f>IF(AA3756="","",IFERROR(1*'Procyfloc AL200'!C257,IFERROR(_xludf.NUMBERVALUE('Procyfloc AL200'!C257,".",","),IFERROR(_xludf.NUMBERVALUE('Procyfloc AL200'!C257,",","."),0))))</f>
        <v/>
      </c>
      <c r="AE3756" t="str">
        <f>IF(AA3756="","",'Procyfloc AL200'!K257)</f>
        <v/>
      </c>
      <c r="AF3756">
        <f t="shared" si="365"/>
        <v>0</v>
      </c>
      <c r="AG3756" t="str">
        <f t="shared" si="366"/>
        <v/>
      </c>
      <c r="AH3756" t="str">
        <f t="shared" si="367"/>
        <v/>
      </c>
      <c r="AI3756">
        <f t="shared" si="368"/>
        <v>0</v>
      </c>
      <c r="AJ3756">
        <f t="shared" si="369"/>
        <v>0</v>
      </c>
      <c r="AK3756">
        <v>0</v>
      </c>
      <c r="AL3756" t="str">
        <f>IF(AA3756="","",IFERROR(IF(ISNUMBER('Procyfloc AL200'!D257),'Procyfloc AL200'!D257,IF(ISNUMBER(SEARCH("12",'Procyfloc AL200'!D257)),EDATE(AB3756,12),IF(ISNUMBER(SEARCH("6",'Procyfloc AL200'!D257)),EDATE(AB3756,6),IF(ISNUMBER(SEARCH("3",'Procyfloc AL200'!D257)),EDATE(AB3756,3),DATEVALUE('Procyfloc AL200'!D257))))),""))</f>
        <v/>
      </c>
      <c r="AM3756" t="str">
        <f t="shared" ca="1" si="370"/>
        <v/>
      </c>
    </row>
    <row r="3757" spans="27:39" x14ac:dyDescent="0.3">
      <c r="AA3757" t="str">
        <f>IF(COUNTA('Procyfloc AL200'!A258,'Procyfloc AL200'!B258,'Procyfloc AL200'!C258)&gt;0,"AL200","")</f>
        <v/>
      </c>
      <c r="AB3757" t="str">
        <f>IFERROR(IF(ISNUMBER('Procyfloc AL200'!A258),'Procyfloc AL200'!A258,DATEVALUE('Procyfloc AL200'!A258)),"")</f>
        <v/>
      </c>
      <c r="AC3757" t="str">
        <f>IF(AA3757="","",'Procyfloc AL200'!B258)</f>
        <v/>
      </c>
      <c r="AD3757" t="str">
        <f>IF(AA3757="","",IFERROR(1*'Procyfloc AL200'!C258,IFERROR(_xludf.NUMBERVALUE('Procyfloc AL200'!C258,".",","),IFERROR(_xludf.NUMBERVALUE('Procyfloc AL200'!C258,",","."),0))))</f>
        <v/>
      </c>
      <c r="AE3757" t="str">
        <f>IF(AA3757="","",'Procyfloc AL200'!K258)</f>
        <v/>
      </c>
      <c r="AF3757">
        <f t="shared" si="365"/>
        <v>0</v>
      </c>
      <c r="AG3757" t="str">
        <f t="shared" si="366"/>
        <v/>
      </c>
      <c r="AH3757" t="str">
        <f t="shared" si="367"/>
        <v/>
      </c>
      <c r="AI3757">
        <f t="shared" si="368"/>
        <v>0</v>
      </c>
      <c r="AJ3757">
        <f t="shared" si="369"/>
        <v>0</v>
      </c>
      <c r="AK3757">
        <v>0</v>
      </c>
      <c r="AL3757" t="str">
        <f>IF(AA3757="","",IFERROR(IF(ISNUMBER('Procyfloc AL200'!D258),'Procyfloc AL200'!D258,IF(ISNUMBER(SEARCH("12",'Procyfloc AL200'!D258)),EDATE(AB3757,12),IF(ISNUMBER(SEARCH("6",'Procyfloc AL200'!D258)),EDATE(AB3757,6),IF(ISNUMBER(SEARCH("3",'Procyfloc AL200'!D258)),EDATE(AB3757,3),DATEVALUE('Procyfloc AL200'!D258))))),""))</f>
        <v/>
      </c>
      <c r="AM3757" t="str">
        <f t="shared" ca="1" si="370"/>
        <v/>
      </c>
    </row>
    <row r="3758" spans="27:39" x14ac:dyDescent="0.3">
      <c r="AA3758" t="str">
        <f>IF(COUNTA('Procyfloc AL200'!A259,'Procyfloc AL200'!B259,'Procyfloc AL200'!C259)&gt;0,"AL200","")</f>
        <v/>
      </c>
      <c r="AB3758" t="str">
        <f>IFERROR(IF(ISNUMBER('Procyfloc AL200'!A259),'Procyfloc AL200'!A259,DATEVALUE('Procyfloc AL200'!A259)),"")</f>
        <v/>
      </c>
      <c r="AC3758" t="str">
        <f>IF(AA3758="","",'Procyfloc AL200'!B259)</f>
        <v/>
      </c>
      <c r="AD3758" t="str">
        <f>IF(AA3758="","",IFERROR(1*'Procyfloc AL200'!C259,IFERROR(_xludf.NUMBERVALUE('Procyfloc AL200'!C259,".",","),IFERROR(_xludf.NUMBERVALUE('Procyfloc AL200'!C259,",","."),0))))</f>
        <v/>
      </c>
      <c r="AE3758" t="str">
        <f>IF(AA3758="","",'Procyfloc AL200'!K259)</f>
        <v/>
      </c>
      <c r="AF3758">
        <f t="shared" si="365"/>
        <v>0</v>
      </c>
      <c r="AG3758" t="str">
        <f t="shared" si="366"/>
        <v/>
      </c>
      <c r="AH3758" t="str">
        <f t="shared" si="367"/>
        <v/>
      </c>
      <c r="AI3758">
        <f t="shared" si="368"/>
        <v>0</v>
      </c>
      <c r="AJ3758">
        <f t="shared" si="369"/>
        <v>0</v>
      </c>
      <c r="AK3758">
        <v>0</v>
      </c>
      <c r="AL3758" t="str">
        <f>IF(AA3758="","",IFERROR(IF(ISNUMBER('Procyfloc AL200'!D259),'Procyfloc AL200'!D259,IF(ISNUMBER(SEARCH("12",'Procyfloc AL200'!D259)),EDATE(AB3758,12),IF(ISNUMBER(SEARCH("6",'Procyfloc AL200'!D259)),EDATE(AB3758,6),IF(ISNUMBER(SEARCH("3",'Procyfloc AL200'!D259)),EDATE(AB3758,3),DATEVALUE('Procyfloc AL200'!D259))))),""))</f>
        <v/>
      </c>
      <c r="AM3758" t="str">
        <f t="shared" ca="1" si="370"/>
        <v/>
      </c>
    </row>
    <row r="3759" spans="27:39" x14ac:dyDescent="0.3">
      <c r="AA3759" t="str">
        <f>IF(COUNTA('Procyfloc AL200'!A260,'Procyfloc AL200'!B260,'Procyfloc AL200'!C260)&gt;0,"AL200","")</f>
        <v/>
      </c>
      <c r="AB3759" t="str">
        <f>IFERROR(IF(ISNUMBER('Procyfloc AL200'!A260),'Procyfloc AL200'!A260,DATEVALUE('Procyfloc AL200'!A260)),"")</f>
        <v/>
      </c>
      <c r="AC3759" t="str">
        <f>IF(AA3759="","",'Procyfloc AL200'!B260)</f>
        <v/>
      </c>
      <c r="AD3759" t="str">
        <f>IF(AA3759="","",IFERROR(1*'Procyfloc AL200'!C260,IFERROR(_xludf.NUMBERVALUE('Procyfloc AL200'!C260,".",","),IFERROR(_xludf.NUMBERVALUE('Procyfloc AL200'!C260,",","."),0))))</f>
        <v/>
      </c>
      <c r="AE3759" t="str">
        <f>IF(AA3759="","",'Procyfloc AL200'!K260)</f>
        <v/>
      </c>
      <c r="AF3759">
        <f t="shared" si="365"/>
        <v>0</v>
      </c>
      <c r="AG3759" t="str">
        <f t="shared" si="366"/>
        <v/>
      </c>
      <c r="AH3759" t="str">
        <f t="shared" si="367"/>
        <v/>
      </c>
      <c r="AI3759">
        <f t="shared" si="368"/>
        <v>0</v>
      </c>
      <c r="AJ3759">
        <f t="shared" si="369"/>
        <v>0</v>
      </c>
      <c r="AK3759">
        <v>0</v>
      </c>
      <c r="AL3759" t="str">
        <f>IF(AA3759="","",IFERROR(IF(ISNUMBER('Procyfloc AL200'!D260),'Procyfloc AL200'!D260,IF(ISNUMBER(SEARCH("12",'Procyfloc AL200'!D260)),EDATE(AB3759,12),IF(ISNUMBER(SEARCH("6",'Procyfloc AL200'!D260)),EDATE(AB3759,6),IF(ISNUMBER(SEARCH("3",'Procyfloc AL200'!D260)),EDATE(AB3759,3),DATEVALUE('Procyfloc AL200'!D260))))),""))</f>
        <v/>
      </c>
      <c r="AM3759" t="str">
        <f t="shared" ca="1" si="370"/>
        <v/>
      </c>
    </row>
    <row r="3760" spans="27:39" x14ac:dyDescent="0.3">
      <c r="AA3760" t="str">
        <f>IF(COUNTA('Procyfloc AL200'!A261,'Procyfloc AL200'!B261,'Procyfloc AL200'!C261)&gt;0,"AL200","")</f>
        <v/>
      </c>
      <c r="AB3760" t="str">
        <f>IFERROR(IF(ISNUMBER('Procyfloc AL200'!A261),'Procyfloc AL200'!A261,DATEVALUE('Procyfloc AL200'!A261)),"")</f>
        <v/>
      </c>
      <c r="AC3760" t="str">
        <f>IF(AA3760="","",'Procyfloc AL200'!B261)</f>
        <v/>
      </c>
      <c r="AD3760" t="str">
        <f>IF(AA3760="","",IFERROR(1*'Procyfloc AL200'!C261,IFERROR(_xludf.NUMBERVALUE('Procyfloc AL200'!C261,".",","),IFERROR(_xludf.NUMBERVALUE('Procyfloc AL200'!C261,",","."),0))))</f>
        <v/>
      </c>
      <c r="AE3760" t="str">
        <f>IF(AA3760="","",'Procyfloc AL200'!K261)</f>
        <v/>
      </c>
      <c r="AF3760">
        <f t="shared" si="365"/>
        <v>0</v>
      </c>
      <c r="AG3760" t="str">
        <f t="shared" si="366"/>
        <v/>
      </c>
      <c r="AH3760" t="str">
        <f t="shared" si="367"/>
        <v/>
      </c>
      <c r="AI3760">
        <f t="shared" si="368"/>
        <v>0</v>
      </c>
      <c r="AJ3760">
        <f t="shared" si="369"/>
        <v>0</v>
      </c>
      <c r="AK3760">
        <v>0</v>
      </c>
      <c r="AL3760" t="str">
        <f>IF(AA3760="","",IFERROR(IF(ISNUMBER('Procyfloc AL200'!D261),'Procyfloc AL200'!D261,IF(ISNUMBER(SEARCH("12",'Procyfloc AL200'!D261)),EDATE(AB3760,12),IF(ISNUMBER(SEARCH("6",'Procyfloc AL200'!D261)),EDATE(AB3760,6),IF(ISNUMBER(SEARCH("3",'Procyfloc AL200'!D261)),EDATE(AB3760,3),DATEVALUE('Procyfloc AL200'!D261))))),""))</f>
        <v/>
      </c>
      <c r="AM3760" t="str">
        <f t="shared" ca="1" si="370"/>
        <v/>
      </c>
    </row>
    <row r="3761" spans="27:39" x14ac:dyDescent="0.3">
      <c r="AA3761" t="str">
        <f>IF(COUNTA('Procyfloc AL200'!A262,'Procyfloc AL200'!B262,'Procyfloc AL200'!C262)&gt;0,"AL200","")</f>
        <v/>
      </c>
      <c r="AB3761" t="str">
        <f>IFERROR(IF(ISNUMBER('Procyfloc AL200'!A262),'Procyfloc AL200'!A262,DATEVALUE('Procyfloc AL200'!A262)),"")</f>
        <v/>
      </c>
      <c r="AC3761" t="str">
        <f>IF(AA3761="","",'Procyfloc AL200'!B262)</f>
        <v/>
      </c>
      <c r="AD3761" t="str">
        <f>IF(AA3761="","",IFERROR(1*'Procyfloc AL200'!C262,IFERROR(_xludf.NUMBERVALUE('Procyfloc AL200'!C262,".",","),IFERROR(_xludf.NUMBERVALUE('Procyfloc AL200'!C262,",","."),0))))</f>
        <v/>
      </c>
      <c r="AE3761" t="str">
        <f>IF(AA3761="","",'Procyfloc AL200'!K262)</f>
        <v/>
      </c>
      <c r="AF3761">
        <f t="shared" si="365"/>
        <v>0</v>
      </c>
      <c r="AG3761" t="str">
        <f t="shared" si="366"/>
        <v/>
      </c>
      <c r="AH3761" t="str">
        <f t="shared" si="367"/>
        <v/>
      </c>
      <c r="AI3761">
        <f t="shared" si="368"/>
        <v>0</v>
      </c>
      <c r="AJ3761">
        <f t="shared" si="369"/>
        <v>0</v>
      </c>
      <c r="AK3761">
        <v>0</v>
      </c>
      <c r="AL3761" t="str">
        <f>IF(AA3761="","",IFERROR(IF(ISNUMBER('Procyfloc AL200'!D262),'Procyfloc AL200'!D262,IF(ISNUMBER(SEARCH("12",'Procyfloc AL200'!D262)),EDATE(AB3761,12),IF(ISNUMBER(SEARCH("6",'Procyfloc AL200'!D262)),EDATE(AB3761,6),IF(ISNUMBER(SEARCH("3",'Procyfloc AL200'!D262)),EDATE(AB3761,3),DATEVALUE('Procyfloc AL200'!D262))))),""))</f>
        <v/>
      </c>
      <c r="AM3761" t="str">
        <f t="shared" ca="1" si="370"/>
        <v/>
      </c>
    </row>
    <row r="3762" spans="27:39" x14ac:dyDescent="0.3">
      <c r="AA3762" t="str">
        <f>IF(COUNTA('Procyfloc AL200'!A263,'Procyfloc AL200'!B263,'Procyfloc AL200'!C263)&gt;0,"AL200","")</f>
        <v/>
      </c>
      <c r="AB3762" t="str">
        <f>IFERROR(IF(ISNUMBER('Procyfloc AL200'!A263),'Procyfloc AL200'!A263,DATEVALUE('Procyfloc AL200'!A263)),"")</f>
        <v/>
      </c>
      <c r="AC3762" t="str">
        <f>IF(AA3762="","",'Procyfloc AL200'!B263)</f>
        <v/>
      </c>
      <c r="AD3762" t="str">
        <f>IF(AA3762="","",IFERROR(1*'Procyfloc AL200'!C263,IFERROR(_xludf.NUMBERVALUE('Procyfloc AL200'!C263,".",","),IFERROR(_xludf.NUMBERVALUE('Procyfloc AL200'!C263,",","."),0))))</f>
        <v/>
      </c>
      <c r="AE3762" t="str">
        <f>IF(AA3762="","",'Procyfloc AL200'!K263)</f>
        <v/>
      </c>
      <c r="AF3762">
        <f t="shared" si="365"/>
        <v>0</v>
      </c>
      <c r="AG3762" t="str">
        <f t="shared" si="366"/>
        <v/>
      </c>
      <c r="AH3762" t="str">
        <f t="shared" si="367"/>
        <v/>
      </c>
      <c r="AI3762">
        <f t="shared" si="368"/>
        <v>0</v>
      </c>
      <c r="AJ3762">
        <f t="shared" si="369"/>
        <v>0</v>
      </c>
      <c r="AK3762">
        <v>0</v>
      </c>
      <c r="AL3762" t="str">
        <f>IF(AA3762="","",IFERROR(IF(ISNUMBER('Procyfloc AL200'!D263),'Procyfloc AL200'!D263,IF(ISNUMBER(SEARCH("12",'Procyfloc AL200'!D263)),EDATE(AB3762,12),IF(ISNUMBER(SEARCH("6",'Procyfloc AL200'!D263)),EDATE(AB3762,6),IF(ISNUMBER(SEARCH("3",'Procyfloc AL200'!D263)),EDATE(AB3762,3),DATEVALUE('Procyfloc AL200'!D263))))),""))</f>
        <v/>
      </c>
      <c r="AM3762" t="str">
        <f t="shared" ca="1" si="370"/>
        <v/>
      </c>
    </row>
    <row r="3763" spans="27:39" x14ac:dyDescent="0.3">
      <c r="AA3763" t="str">
        <f>IF(COUNTA('Procyfloc AL200'!A264,'Procyfloc AL200'!B264,'Procyfloc AL200'!C264)&gt;0,"AL200","")</f>
        <v/>
      </c>
      <c r="AB3763" t="str">
        <f>IFERROR(IF(ISNUMBER('Procyfloc AL200'!A264),'Procyfloc AL200'!A264,DATEVALUE('Procyfloc AL200'!A264)),"")</f>
        <v/>
      </c>
      <c r="AC3763" t="str">
        <f>IF(AA3763="","",'Procyfloc AL200'!B264)</f>
        <v/>
      </c>
      <c r="AD3763" t="str">
        <f>IF(AA3763="","",IFERROR(1*'Procyfloc AL200'!C264,IFERROR(_xludf.NUMBERVALUE('Procyfloc AL200'!C264,".",","),IFERROR(_xludf.NUMBERVALUE('Procyfloc AL200'!C264,",","."),0))))</f>
        <v/>
      </c>
      <c r="AE3763" t="str">
        <f>IF(AA3763="","",'Procyfloc AL200'!K264)</f>
        <v/>
      </c>
      <c r="AF3763">
        <f t="shared" si="365"/>
        <v>0</v>
      </c>
      <c r="AG3763" t="str">
        <f t="shared" si="366"/>
        <v/>
      </c>
      <c r="AH3763" t="str">
        <f t="shared" si="367"/>
        <v/>
      </c>
      <c r="AI3763">
        <f t="shared" si="368"/>
        <v>0</v>
      </c>
      <c r="AJ3763">
        <f t="shared" si="369"/>
        <v>0</v>
      </c>
      <c r="AK3763">
        <v>0</v>
      </c>
      <c r="AL3763" t="str">
        <f>IF(AA3763="","",IFERROR(IF(ISNUMBER('Procyfloc AL200'!D264),'Procyfloc AL200'!D264,IF(ISNUMBER(SEARCH("12",'Procyfloc AL200'!D264)),EDATE(AB3763,12),IF(ISNUMBER(SEARCH("6",'Procyfloc AL200'!D264)),EDATE(AB3763,6),IF(ISNUMBER(SEARCH("3",'Procyfloc AL200'!D264)),EDATE(AB3763,3),DATEVALUE('Procyfloc AL200'!D264))))),""))</f>
        <v/>
      </c>
      <c r="AM3763" t="str">
        <f t="shared" ca="1" si="370"/>
        <v/>
      </c>
    </row>
    <row r="3764" spans="27:39" x14ac:dyDescent="0.3">
      <c r="AA3764" t="str">
        <f>IF(COUNTA('Procyfloc AL200'!A265,'Procyfloc AL200'!B265,'Procyfloc AL200'!C265)&gt;0,"AL200","")</f>
        <v/>
      </c>
      <c r="AB3764" t="str">
        <f>IFERROR(IF(ISNUMBER('Procyfloc AL200'!A265),'Procyfloc AL200'!A265,DATEVALUE('Procyfloc AL200'!A265)),"")</f>
        <v/>
      </c>
      <c r="AC3764" t="str">
        <f>IF(AA3764="","",'Procyfloc AL200'!B265)</f>
        <v/>
      </c>
      <c r="AD3764" t="str">
        <f>IF(AA3764="","",IFERROR(1*'Procyfloc AL200'!C265,IFERROR(_xludf.NUMBERVALUE('Procyfloc AL200'!C265,".",","),IFERROR(_xludf.NUMBERVALUE('Procyfloc AL200'!C265,",","."),0))))</f>
        <v/>
      </c>
      <c r="AE3764" t="str">
        <f>IF(AA3764="","",'Procyfloc AL200'!K265)</f>
        <v/>
      </c>
      <c r="AF3764">
        <f t="shared" si="365"/>
        <v>0</v>
      </c>
      <c r="AG3764" t="str">
        <f t="shared" si="366"/>
        <v/>
      </c>
      <c r="AH3764" t="str">
        <f t="shared" si="367"/>
        <v/>
      </c>
      <c r="AI3764">
        <f t="shared" si="368"/>
        <v>0</v>
      </c>
      <c r="AJ3764">
        <f t="shared" si="369"/>
        <v>0</v>
      </c>
      <c r="AK3764">
        <v>0</v>
      </c>
      <c r="AL3764" t="str">
        <f>IF(AA3764="","",IFERROR(IF(ISNUMBER('Procyfloc AL200'!D265),'Procyfloc AL200'!D265,IF(ISNUMBER(SEARCH("12",'Procyfloc AL200'!D265)),EDATE(AB3764,12),IF(ISNUMBER(SEARCH("6",'Procyfloc AL200'!D265)),EDATE(AB3764,6),IF(ISNUMBER(SEARCH("3",'Procyfloc AL200'!D265)),EDATE(AB3764,3),DATEVALUE('Procyfloc AL200'!D265))))),""))</f>
        <v/>
      </c>
      <c r="AM3764" t="str">
        <f t="shared" ca="1" si="370"/>
        <v/>
      </c>
    </row>
    <row r="3765" spans="27:39" x14ac:dyDescent="0.3">
      <c r="AA3765" t="str">
        <f>IF(COUNTA('Procyfloc AL200'!A266,'Procyfloc AL200'!B266,'Procyfloc AL200'!C266)&gt;0,"AL200","")</f>
        <v/>
      </c>
      <c r="AB3765" t="str">
        <f>IFERROR(IF(ISNUMBER('Procyfloc AL200'!A266),'Procyfloc AL200'!A266,DATEVALUE('Procyfloc AL200'!A266)),"")</f>
        <v/>
      </c>
      <c r="AC3765" t="str">
        <f>IF(AA3765="","",'Procyfloc AL200'!B266)</f>
        <v/>
      </c>
      <c r="AD3765" t="str">
        <f>IF(AA3765="","",IFERROR(1*'Procyfloc AL200'!C266,IFERROR(_xludf.NUMBERVALUE('Procyfloc AL200'!C266,".",","),IFERROR(_xludf.NUMBERVALUE('Procyfloc AL200'!C266,",","."),0))))</f>
        <v/>
      </c>
      <c r="AE3765" t="str">
        <f>IF(AA3765="","",'Procyfloc AL200'!K266)</f>
        <v/>
      </c>
      <c r="AF3765">
        <f t="shared" si="365"/>
        <v>0</v>
      </c>
      <c r="AG3765" t="str">
        <f t="shared" si="366"/>
        <v/>
      </c>
      <c r="AH3765" t="str">
        <f t="shared" si="367"/>
        <v/>
      </c>
      <c r="AI3765">
        <f t="shared" si="368"/>
        <v>0</v>
      </c>
      <c r="AJ3765">
        <f t="shared" si="369"/>
        <v>0</v>
      </c>
      <c r="AK3765">
        <v>0</v>
      </c>
      <c r="AL3765" t="str">
        <f>IF(AA3765="","",IFERROR(IF(ISNUMBER('Procyfloc AL200'!D266),'Procyfloc AL200'!D266,IF(ISNUMBER(SEARCH("12",'Procyfloc AL200'!D266)),EDATE(AB3765,12),IF(ISNUMBER(SEARCH("6",'Procyfloc AL200'!D266)),EDATE(AB3765,6),IF(ISNUMBER(SEARCH("3",'Procyfloc AL200'!D266)),EDATE(AB3765,3),DATEVALUE('Procyfloc AL200'!D266))))),""))</f>
        <v/>
      </c>
      <c r="AM3765" t="str">
        <f t="shared" ca="1" si="370"/>
        <v/>
      </c>
    </row>
    <row r="3766" spans="27:39" x14ac:dyDescent="0.3">
      <c r="AA3766" t="str">
        <f>IF(COUNTA('Procyfloc AL200'!A267,'Procyfloc AL200'!B267,'Procyfloc AL200'!C267)&gt;0,"AL200","")</f>
        <v/>
      </c>
      <c r="AB3766" t="str">
        <f>IFERROR(IF(ISNUMBER('Procyfloc AL200'!A267),'Procyfloc AL200'!A267,DATEVALUE('Procyfloc AL200'!A267)),"")</f>
        <v/>
      </c>
      <c r="AC3766" t="str">
        <f>IF(AA3766="","",'Procyfloc AL200'!B267)</f>
        <v/>
      </c>
      <c r="AD3766" t="str">
        <f>IF(AA3766="","",IFERROR(1*'Procyfloc AL200'!C267,IFERROR(_xludf.NUMBERVALUE('Procyfloc AL200'!C267,".",","),IFERROR(_xludf.NUMBERVALUE('Procyfloc AL200'!C267,",","."),0))))</f>
        <v/>
      </c>
      <c r="AE3766" t="str">
        <f>IF(AA3766="","",'Procyfloc AL200'!K267)</f>
        <v/>
      </c>
      <c r="AF3766">
        <f t="shared" si="365"/>
        <v>0</v>
      </c>
      <c r="AG3766" t="str">
        <f t="shared" si="366"/>
        <v/>
      </c>
      <c r="AH3766" t="str">
        <f t="shared" si="367"/>
        <v/>
      </c>
      <c r="AI3766">
        <f t="shared" si="368"/>
        <v>0</v>
      </c>
      <c r="AJ3766">
        <f t="shared" si="369"/>
        <v>0</v>
      </c>
      <c r="AK3766">
        <v>0</v>
      </c>
      <c r="AL3766" t="str">
        <f>IF(AA3766="","",IFERROR(IF(ISNUMBER('Procyfloc AL200'!D267),'Procyfloc AL200'!D267,IF(ISNUMBER(SEARCH("12",'Procyfloc AL200'!D267)),EDATE(AB3766,12),IF(ISNUMBER(SEARCH("6",'Procyfloc AL200'!D267)),EDATE(AB3766,6),IF(ISNUMBER(SEARCH("3",'Procyfloc AL200'!D267)),EDATE(AB3766,3),DATEVALUE('Procyfloc AL200'!D267))))),""))</f>
        <v/>
      </c>
      <c r="AM3766" t="str">
        <f t="shared" ca="1" si="370"/>
        <v/>
      </c>
    </row>
    <row r="3767" spans="27:39" x14ac:dyDescent="0.3">
      <c r="AA3767" t="str">
        <f>IF(COUNTA('Procyfloc AL200'!A268,'Procyfloc AL200'!B268,'Procyfloc AL200'!C268)&gt;0,"AL200","")</f>
        <v/>
      </c>
      <c r="AB3767" t="str">
        <f>IFERROR(IF(ISNUMBER('Procyfloc AL200'!A268),'Procyfloc AL200'!A268,DATEVALUE('Procyfloc AL200'!A268)),"")</f>
        <v/>
      </c>
      <c r="AC3767" t="str">
        <f>IF(AA3767="","",'Procyfloc AL200'!B268)</f>
        <v/>
      </c>
      <c r="AD3767" t="str">
        <f>IF(AA3767="","",IFERROR(1*'Procyfloc AL200'!C268,IFERROR(_xludf.NUMBERVALUE('Procyfloc AL200'!C268,".",","),IFERROR(_xludf.NUMBERVALUE('Procyfloc AL200'!C268,",","."),0))))</f>
        <v/>
      </c>
      <c r="AE3767" t="str">
        <f>IF(AA3767="","",'Procyfloc AL200'!K268)</f>
        <v/>
      </c>
      <c r="AF3767">
        <f t="shared" si="365"/>
        <v>0</v>
      </c>
      <c r="AG3767" t="str">
        <f t="shared" si="366"/>
        <v/>
      </c>
      <c r="AH3767" t="str">
        <f t="shared" si="367"/>
        <v/>
      </c>
      <c r="AI3767">
        <f t="shared" si="368"/>
        <v>0</v>
      </c>
      <c r="AJ3767">
        <f t="shared" si="369"/>
        <v>0</v>
      </c>
      <c r="AK3767">
        <v>0</v>
      </c>
      <c r="AL3767" t="str">
        <f>IF(AA3767="","",IFERROR(IF(ISNUMBER('Procyfloc AL200'!D268),'Procyfloc AL200'!D268,IF(ISNUMBER(SEARCH("12",'Procyfloc AL200'!D268)),EDATE(AB3767,12),IF(ISNUMBER(SEARCH("6",'Procyfloc AL200'!D268)),EDATE(AB3767,6),IF(ISNUMBER(SEARCH("3",'Procyfloc AL200'!D268)),EDATE(AB3767,3),DATEVALUE('Procyfloc AL200'!D268))))),""))</f>
        <v/>
      </c>
      <c r="AM3767" t="str">
        <f t="shared" ca="1" si="370"/>
        <v/>
      </c>
    </row>
    <row r="3768" spans="27:39" x14ac:dyDescent="0.3">
      <c r="AA3768" t="str">
        <f>IF(COUNTA('Procyfloc AL200'!A269,'Procyfloc AL200'!B269,'Procyfloc AL200'!C269)&gt;0,"AL200","")</f>
        <v/>
      </c>
      <c r="AB3768" t="str">
        <f>IFERROR(IF(ISNUMBER('Procyfloc AL200'!A269),'Procyfloc AL200'!A269,DATEVALUE('Procyfloc AL200'!A269)),"")</f>
        <v/>
      </c>
      <c r="AC3768" t="str">
        <f>IF(AA3768="","",'Procyfloc AL200'!B269)</f>
        <v/>
      </c>
      <c r="AD3768" t="str">
        <f>IF(AA3768="","",IFERROR(1*'Procyfloc AL200'!C269,IFERROR(_xludf.NUMBERVALUE('Procyfloc AL200'!C269,".",","),IFERROR(_xludf.NUMBERVALUE('Procyfloc AL200'!C269,",","."),0))))</f>
        <v/>
      </c>
      <c r="AE3768" t="str">
        <f>IF(AA3768="","",'Procyfloc AL200'!K269)</f>
        <v/>
      </c>
      <c r="AF3768">
        <f t="shared" si="365"/>
        <v>0</v>
      </c>
      <c r="AG3768" t="str">
        <f t="shared" si="366"/>
        <v/>
      </c>
      <c r="AH3768" t="str">
        <f t="shared" si="367"/>
        <v/>
      </c>
      <c r="AI3768">
        <f t="shared" si="368"/>
        <v>0</v>
      </c>
      <c r="AJ3768">
        <f t="shared" si="369"/>
        <v>0</v>
      </c>
      <c r="AK3768">
        <v>0</v>
      </c>
      <c r="AL3768" t="str">
        <f>IF(AA3768="","",IFERROR(IF(ISNUMBER('Procyfloc AL200'!D269),'Procyfloc AL200'!D269,IF(ISNUMBER(SEARCH("12",'Procyfloc AL200'!D269)),EDATE(AB3768,12),IF(ISNUMBER(SEARCH("6",'Procyfloc AL200'!D269)),EDATE(AB3768,6),IF(ISNUMBER(SEARCH("3",'Procyfloc AL200'!D269)),EDATE(AB3768,3),DATEVALUE('Procyfloc AL200'!D269))))),""))</f>
        <v/>
      </c>
      <c r="AM3768" t="str">
        <f t="shared" ca="1" si="370"/>
        <v/>
      </c>
    </row>
    <row r="3769" spans="27:39" x14ac:dyDescent="0.3">
      <c r="AA3769" t="str">
        <f>IF(COUNTA('Procyfloc AL200'!A270,'Procyfloc AL200'!B270,'Procyfloc AL200'!C270)&gt;0,"AL200","")</f>
        <v/>
      </c>
      <c r="AB3769" t="str">
        <f>IFERROR(IF(ISNUMBER('Procyfloc AL200'!A270),'Procyfloc AL200'!A270,DATEVALUE('Procyfloc AL200'!A270)),"")</f>
        <v/>
      </c>
      <c r="AC3769" t="str">
        <f>IF(AA3769="","",'Procyfloc AL200'!B270)</f>
        <v/>
      </c>
      <c r="AD3769" t="str">
        <f>IF(AA3769="","",IFERROR(1*'Procyfloc AL200'!C270,IFERROR(_xludf.NUMBERVALUE('Procyfloc AL200'!C270,".",","),IFERROR(_xludf.NUMBERVALUE('Procyfloc AL200'!C270,",","."),0))))</f>
        <v/>
      </c>
      <c r="AE3769" t="str">
        <f>IF(AA3769="","",'Procyfloc AL200'!K270)</f>
        <v/>
      </c>
      <c r="AF3769">
        <f t="shared" si="365"/>
        <v>0</v>
      </c>
      <c r="AG3769" t="str">
        <f t="shared" si="366"/>
        <v/>
      </c>
      <c r="AH3769" t="str">
        <f t="shared" si="367"/>
        <v/>
      </c>
      <c r="AI3769">
        <f t="shared" si="368"/>
        <v>0</v>
      </c>
      <c r="AJ3769">
        <f t="shared" si="369"/>
        <v>0</v>
      </c>
      <c r="AK3769">
        <v>0</v>
      </c>
      <c r="AL3769" t="str">
        <f>IF(AA3769="","",IFERROR(IF(ISNUMBER('Procyfloc AL200'!D270),'Procyfloc AL200'!D270,IF(ISNUMBER(SEARCH("12",'Procyfloc AL200'!D270)),EDATE(AB3769,12),IF(ISNUMBER(SEARCH("6",'Procyfloc AL200'!D270)),EDATE(AB3769,6),IF(ISNUMBER(SEARCH("3",'Procyfloc AL200'!D270)),EDATE(AB3769,3),DATEVALUE('Procyfloc AL200'!D270))))),""))</f>
        <v/>
      </c>
      <c r="AM3769" t="str">
        <f t="shared" ca="1" si="370"/>
        <v/>
      </c>
    </row>
    <row r="3770" spans="27:39" x14ac:dyDescent="0.3">
      <c r="AA3770" t="str">
        <f>IF(COUNTA('Procyfloc AL200'!A271,'Procyfloc AL200'!B271,'Procyfloc AL200'!C271)&gt;0,"AL200","")</f>
        <v/>
      </c>
      <c r="AB3770" t="str">
        <f>IFERROR(IF(ISNUMBER('Procyfloc AL200'!A271),'Procyfloc AL200'!A271,DATEVALUE('Procyfloc AL200'!A271)),"")</f>
        <v/>
      </c>
      <c r="AC3770" t="str">
        <f>IF(AA3770="","",'Procyfloc AL200'!B271)</f>
        <v/>
      </c>
      <c r="AD3770" t="str">
        <f>IF(AA3770="","",IFERROR(1*'Procyfloc AL200'!C271,IFERROR(_xludf.NUMBERVALUE('Procyfloc AL200'!C271,".",","),IFERROR(_xludf.NUMBERVALUE('Procyfloc AL200'!C271,",","."),0))))</f>
        <v/>
      </c>
      <c r="AE3770" t="str">
        <f>IF(AA3770="","",'Procyfloc AL200'!K271)</f>
        <v/>
      </c>
      <c r="AF3770">
        <f t="shared" si="365"/>
        <v>0</v>
      </c>
      <c r="AG3770" t="str">
        <f t="shared" si="366"/>
        <v/>
      </c>
      <c r="AH3770" t="str">
        <f t="shared" si="367"/>
        <v/>
      </c>
      <c r="AI3770">
        <f t="shared" si="368"/>
        <v>0</v>
      </c>
      <c r="AJ3770">
        <f t="shared" si="369"/>
        <v>0</v>
      </c>
      <c r="AK3770">
        <v>0</v>
      </c>
      <c r="AL3770" t="str">
        <f>IF(AA3770="","",IFERROR(IF(ISNUMBER('Procyfloc AL200'!D271),'Procyfloc AL200'!D271,IF(ISNUMBER(SEARCH("12",'Procyfloc AL200'!D271)),EDATE(AB3770,12),IF(ISNUMBER(SEARCH("6",'Procyfloc AL200'!D271)),EDATE(AB3770,6),IF(ISNUMBER(SEARCH("3",'Procyfloc AL200'!D271)),EDATE(AB3770,3),DATEVALUE('Procyfloc AL200'!D271))))),""))</f>
        <v/>
      </c>
      <c r="AM3770" t="str">
        <f t="shared" ca="1" si="370"/>
        <v/>
      </c>
    </row>
    <row r="3771" spans="27:39" x14ac:dyDescent="0.3">
      <c r="AA3771" t="str">
        <f>IF(COUNTA('Procyfloc AL200'!A272,'Procyfloc AL200'!B272,'Procyfloc AL200'!C272)&gt;0,"AL200","")</f>
        <v/>
      </c>
      <c r="AB3771" t="str">
        <f>IFERROR(IF(ISNUMBER('Procyfloc AL200'!A272),'Procyfloc AL200'!A272,DATEVALUE('Procyfloc AL200'!A272)),"")</f>
        <v/>
      </c>
      <c r="AC3771" t="str">
        <f>IF(AA3771="","",'Procyfloc AL200'!B272)</f>
        <v/>
      </c>
      <c r="AD3771" t="str">
        <f>IF(AA3771="","",IFERROR(1*'Procyfloc AL200'!C272,IFERROR(_xludf.NUMBERVALUE('Procyfloc AL200'!C272,".",","),IFERROR(_xludf.NUMBERVALUE('Procyfloc AL200'!C272,",","."),0))))</f>
        <v/>
      </c>
      <c r="AE3771" t="str">
        <f>IF(AA3771="","",'Procyfloc AL200'!K272)</f>
        <v/>
      </c>
      <c r="AF3771">
        <f t="shared" si="365"/>
        <v>0</v>
      </c>
      <c r="AG3771" t="str">
        <f t="shared" si="366"/>
        <v/>
      </c>
      <c r="AH3771" t="str">
        <f t="shared" si="367"/>
        <v/>
      </c>
      <c r="AI3771">
        <f t="shared" si="368"/>
        <v>0</v>
      </c>
      <c r="AJ3771">
        <f t="shared" si="369"/>
        <v>0</v>
      </c>
      <c r="AK3771">
        <v>0</v>
      </c>
      <c r="AL3771" t="str">
        <f>IF(AA3771="","",IFERROR(IF(ISNUMBER('Procyfloc AL200'!D272),'Procyfloc AL200'!D272,IF(ISNUMBER(SEARCH("12",'Procyfloc AL200'!D272)),EDATE(AB3771,12),IF(ISNUMBER(SEARCH("6",'Procyfloc AL200'!D272)),EDATE(AB3771,6),IF(ISNUMBER(SEARCH("3",'Procyfloc AL200'!D272)),EDATE(AB3771,3),DATEVALUE('Procyfloc AL200'!D272))))),""))</f>
        <v/>
      </c>
      <c r="AM3771" t="str">
        <f t="shared" ca="1" si="370"/>
        <v/>
      </c>
    </row>
    <row r="3772" spans="27:39" x14ac:dyDescent="0.3">
      <c r="AA3772" t="str">
        <f>IF(COUNTA('Procyfloc AL200'!A273,'Procyfloc AL200'!B273,'Procyfloc AL200'!C273)&gt;0,"AL200","")</f>
        <v/>
      </c>
      <c r="AB3772" t="str">
        <f>IFERROR(IF(ISNUMBER('Procyfloc AL200'!A273),'Procyfloc AL200'!A273,DATEVALUE('Procyfloc AL200'!A273)),"")</f>
        <v/>
      </c>
      <c r="AC3772" t="str">
        <f>IF(AA3772="","",'Procyfloc AL200'!B273)</f>
        <v/>
      </c>
      <c r="AD3772" t="str">
        <f>IF(AA3772="","",IFERROR(1*'Procyfloc AL200'!C273,IFERROR(_xludf.NUMBERVALUE('Procyfloc AL200'!C273,".",","),IFERROR(_xludf.NUMBERVALUE('Procyfloc AL200'!C273,",","."),0))))</f>
        <v/>
      </c>
      <c r="AE3772" t="str">
        <f>IF(AA3772="","",'Procyfloc AL200'!K273)</f>
        <v/>
      </c>
      <c r="AF3772">
        <f t="shared" si="365"/>
        <v>0</v>
      </c>
      <c r="AG3772" t="str">
        <f t="shared" si="366"/>
        <v/>
      </c>
      <c r="AH3772" t="str">
        <f t="shared" si="367"/>
        <v/>
      </c>
      <c r="AI3772">
        <f t="shared" si="368"/>
        <v>0</v>
      </c>
      <c r="AJ3772">
        <f t="shared" si="369"/>
        <v>0</v>
      </c>
      <c r="AK3772">
        <v>0</v>
      </c>
      <c r="AL3772" t="str">
        <f>IF(AA3772="","",IFERROR(IF(ISNUMBER('Procyfloc AL200'!D273),'Procyfloc AL200'!D273,IF(ISNUMBER(SEARCH("12",'Procyfloc AL200'!D273)),EDATE(AB3772,12),IF(ISNUMBER(SEARCH("6",'Procyfloc AL200'!D273)),EDATE(AB3772,6),IF(ISNUMBER(SEARCH("3",'Procyfloc AL200'!D273)),EDATE(AB3772,3),DATEVALUE('Procyfloc AL200'!D273))))),""))</f>
        <v/>
      </c>
      <c r="AM3772" t="str">
        <f t="shared" ca="1" si="370"/>
        <v/>
      </c>
    </row>
    <row r="3773" spans="27:39" x14ac:dyDescent="0.3">
      <c r="AA3773" t="str">
        <f>IF(COUNTA('Procyfloc AL200'!A274,'Procyfloc AL200'!B274,'Procyfloc AL200'!C274)&gt;0,"AL200","")</f>
        <v/>
      </c>
      <c r="AB3773" t="str">
        <f>IFERROR(IF(ISNUMBER('Procyfloc AL200'!A274),'Procyfloc AL200'!A274,DATEVALUE('Procyfloc AL200'!A274)),"")</f>
        <v/>
      </c>
      <c r="AC3773" t="str">
        <f>IF(AA3773="","",'Procyfloc AL200'!B274)</f>
        <v/>
      </c>
      <c r="AD3773" t="str">
        <f>IF(AA3773="","",IFERROR(1*'Procyfloc AL200'!C274,IFERROR(_xludf.NUMBERVALUE('Procyfloc AL200'!C274,".",","),IFERROR(_xludf.NUMBERVALUE('Procyfloc AL200'!C274,",","."),0))))</f>
        <v/>
      </c>
      <c r="AE3773" t="str">
        <f>IF(AA3773="","",'Procyfloc AL200'!K274)</f>
        <v/>
      </c>
      <c r="AF3773">
        <f t="shared" si="365"/>
        <v>0</v>
      </c>
      <c r="AG3773" t="str">
        <f t="shared" si="366"/>
        <v/>
      </c>
      <c r="AH3773" t="str">
        <f t="shared" si="367"/>
        <v/>
      </c>
      <c r="AI3773">
        <f t="shared" si="368"/>
        <v>0</v>
      </c>
      <c r="AJ3773">
        <f t="shared" si="369"/>
        <v>0</v>
      </c>
      <c r="AK3773">
        <v>0</v>
      </c>
      <c r="AL3773" t="str">
        <f>IF(AA3773="","",IFERROR(IF(ISNUMBER('Procyfloc AL200'!D274),'Procyfloc AL200'!D274,IF(ISNUMBER(SEARCH("12",'Procyfloc AL200'!D274)),EDATE(AB3773,12),IF(ISNUMBER(SEARCH("6",'Procyfloc AL200'!D274)),EDATE(AB3773,6),IF(ISNUMBER(SEARCH("3",'Procyfloc AL200'!D274)),EDATE(AB3773,3),DATEVALUE('Procyfloc AL200'!D274))))),""))</f>
        <v/>
      </c>
      <c r="AM3773" t="str">
        <f t="shared" ca="1" si="370"/>
        <v/>
      </c>
    </row>
    <row r="3774" spans="27:39" x14ac:dyDescent="0.3">
      <c r="AA3774" t="str">
        <f>IF(COUNTA('Procyfloc AL200'!A275,'Procyfloc AL200'!B275,'Procyfloc AL200'!C275)&gt;0,"AL200","")</f>
        <v/>
      </c>
      <c r="AB3774" t="str">
        <f>IFERROR(IF(ISNUMBER('Procyfloc AL200'!A275),'Procyfloc AL200'!A275,DATEVALUE('Procyfloc AL200'!A275)),"")</f>
        <v/>
      </c>
      <c r="AC3774" t="str">
        <f>IF(AA3774="","",'Procyfloc AL200'!B275)</f>
        <v/>
      </c>
      <c r="AD3774" t="str">
        <f>IF(AA3774="","",IFERROR(1*'Procyfloc AL200'!C275,IFERROR(_xludf.NUMBERVALUE('Procyfloc AL200'!C275,".",","),IFERROR(_xludf.NUMBERVALUE('Procyfloc AL200'!C275,",","."),0))))</f>
        <v/>
      </c>
      <c r="AE3774" t="str">
        <f>IF(AA3774="","",'Procyfloc AL200'!K275)</f>
        <v/>
      </c>
      <c r="AF3774">
        <f t="shared" si="365"/>
        <v>0</v>
      </c>
      <c r="AG3774" t="str">
        <f t="shared" si="366"/>
        <v/>
      </c>
      <c r="AH3774" t="str">
        <f t="shared" si="367"/>
        <v/>
      </c>
      <c r="AI3774">
        <f t="shared" si="368"/>
        <v>0</v>
      </c>
      <c r="AJ3774">
        <f t="shared" si="369"/>
        <v>0</v>
      </c>
      <c r="AK3774">
        <v>0</v>
      </c>
      <c r="AL3774" t="str">
        <f>IF(AA3774="","",IFERROR(IF(ISNUMBER('Procyfloc AL200'!D275),'Procyfloc AL200'!D275,IF(ISNUMBER(SEARCH("12",'Procyfloc AL200'!D275)),EDATE(AB3774,12),IF(ISNUMBER(SEARCH("6",'Procyfloc AL200'!D275)),EDATE(AB3774,6),IF(ISNUMBER(SEARCH("3",'Procyfloc AL200'!D275)),EDATE(AB3774,3),DATEVALUE('Procyfloc AL200'!D275))))),""))</f>
        <v/>
      </c>
      <c r="AM3774" t="str">
        <f t="shared" ca="1" si="370"/>
        <v/>
      </c>
    </row>
    <row r="3775" spans="27:39" x14ac:dyDescent="0.3">
      <c r="AA3775" t="str">
        <f>IF(COUNTA('Procyfloc AL200'!A276,'Procyfloc AL200'!B276,'Procyfloc AL200'!C276)&gt;0,"AL200","")</f>
        <v/>
      </c>
      <c r="AB3775" t="str">
        <f>IFERROR(IF(ISNUMBER('Procyfloc AL200'!A276),'Procyfloc AL200'!A276,DATEVALUE('Procyfloc AL200'!A276)),"")</f>
        <v/>
      </c>
      <c r="AC3775" t="str">
        <f>IF(AA3775="","",'Procyfloc AL200'!B276)</f>
        <v/>
      </c>
      <c r="AD3775" t="str">
        <f>IF(AA3775="","",IFERROR(1*'Procyfloc AL200'!C276,IFERROR(_xludf.NUMBERVALUE('Procyfloc AL200'!C276,".",","),IFERROR(_xludf.NUMBERVALUE('Procyfloc AL200'!C276,",","."),0))))</f>
        <v/>
      </c>
      <c r="AE3775" t="str">
        <f>IF(AA3775="","",'Procyfloc AL200'!K276)</f>
        <v/>
      </c>
      <c r="AF3775">
        <f t="shared" si="365"/>
        <v>0</v>
      </c>
      <c r="AG3775" t="str">
        <f t="shared" si="366"/>
        <v/>
      </c>
      <c r="AH3775" t="str">
        <f t="shared" si="367"/>
        <v/>
      </c>
      <c r="AI3775">
        <f t="shared" si="368"/>
        <v>0</v>
      </c>
      <c r="AJ3775">
        <f t="shared" si="369"/>
        <v>0</v>
      </c>
      <c r="AK3775">
        <v>0</v>
      </c>
      <c r="AL3775" t="str">
        <f>IF(AA3775="","",IFERROR(IF(ISNUMBER('Procyfloc AL200'!D276),'Procyfloc AL200'!D276,IF(ISNUMBER(SEARCH("12",'Procyfloc AL200'!D276)),EDATE(AB3775,12),IF(ISNUMBER(SEARCH("6",'Procyfloc AL200'!D276)),EDATE(AB3775,6),IF(ISNUMBER(SEARCH("3",'Procyfloc AL200'!D276)),EDATE(AB3775,3),DATEVALUE('Procyfloc AL200'!D276))))),""))</f>
        <v/>
      </c>
      <c r="AM3775" t="str">
        <f t="shared" ca="1" si="370"/>
        <v/>
      </c>
    </row>
    <row r="3776" spans="27:39" x14ac:dyDescent="0.3">
      <c r="AA3776" t="str">
        <f>IF(COUNTA('Procyfloc AL200'!A277,'Procyfloc AL200'!B277,'Procyfloc AL200'!C277)&gt;0,"AL200","")</f>
        <v/>
      </c>
      <c r="AB3776" t="str">
        <f>IFERROR(IF(ISNUMBER('Procyfloc AL200'!A277),'Procyfloc AL200'!A277,DATEVALUE('Procyfloc AL200'!A277)),"")</f>
        <v/>
      </c>
      <c r="AC3776" t="str">
        <f>IF(AA3776="","",'Procyfloc AL200'!B277)</f>
        <v/>
      </c>
      <c r="AD3776" t="str">
        <f>IF(AA3776="","",IFERROR(1*'Procyfloc AL200'!C277,IFERROR(_xludf.NUMBERVALUE('Procyfloc AL200'!C277,".",","),IFERROR(_xludf.NUMBERVALUE('Procyfloc AL200'!C277,",","."),0))))</f>
        <v/>
      </c>
      <c r="AE3776" t="str">
        <f>IF(AA3776="","",'Procyfloc AL200'!K277)</f>
        <v/>
      </c>
      <c r="AF3776">
        <f t="shared" si="365"/>
        <v>0</v>
      </c>
      <c r="AG3776" t="str">
        <f t="shared" si="366"/>
        <v/>
      </c>
      <c r="AH3776" t="str">
        <f t="shared" si="367"/>
        <v/>
      </c>
      <c r="AI3776">
        <f t="shared" si="368"/>
        <v>0</v>
      </c>
      <c r="AJ3776">
        <f t="shared" si="369"/>
        <v>0</v>
      </c>
      <c r="AK3776">
        <v>0</v>
      </c>
      <c r="AL3776" t="str">
        <f>IF(AA3776="","",IFERROR(IF(ISNUMBER('Procyfloc AL200'!D277),'Procyfloc AL200'!D277,IF(ISNUMBER(SEARCH("12",'Procyfloc AL200'!D277)),EDATE(AB3776,12),IF(ISNUMBER(SEARCH("6",'Procyfloc AL200'!D277)),EDATE(AB3776,6),IF(ISNUMBER(SEARCH("3",'Procyfloc AL200'!D277)),EDATE(AB3776,3),DATEVALUE('Procyfloc AL200'!D277))))),""))</f>
        <v/>
      </c>
      <c r="AM3776" t="str">
        <f t="shared" ca="1" si="370"/>
        <v/>
      </c>
    </row>
    <row r="3777" spans="27:39" x14ac:dyDescent="0.3">
      <c r="AA3777" t="str">
        <f>IF(COUNTA('Procyfloc AL200'!A278,'Procyfloc AL200'!B278,'Procyfloc AL200'!C278)&gt;0,"AL200","")</f>
        <v/>
      </c>
      <c r="AB3777" t="str">
        <f>IFERROR(IF(ISNUMBER('Procyfloc AL200'!A278),'Procyfloc AL200'!A278,DATEVALUE('Procyfloc AL200'!A278)),"")</f>
        <v/>
      </c>
      <c r="AC3777" t="str">
        <f>IF(AA3777="","",'Procyfloc AL200'!B278)</f>
        <v/>
      </c>
      <c r="AD3777" t="str">
        <f>IF(AA3777="","",IFERROR(1*'Procyfloc AL200'!C278,IFERROR(_xludf.NUMBERVALUE('Procyfloc AL200'!C278,".",","),IFERROR(_xludf.NUMBERVALUE('Procyfloc AL200'!C278,",","."),0))))</f>
        <v/>
      </c>
      <c r="AE3777" t="str">
        <f>IF(AA3777="","",'Procyfloc AL200'!K278)</f>
        <v/>
      </c>
      <c r="AF3777">
        <f t="shared" si="365"/>
        <v>0</v>
      </c>
      <c r="AG3777" t="str">
        <f t="shared" si="366"/>
        <v/>
      </c>
      <c r="AH3777" t="str">
        <f t="shared" si="367"/>
        <v/>
      </c>
      <c r="AI3777">
        <f t="shared" si="368"/>
        <v>0</v>
      </c>
      <c r="AJ3777">
        <f t="shared" si="369"/>
        <v>0</v>
      </c>
      <c r="AK3777">
        <v>0</v>
      </c>
      <c r="AL3777" t="str">
        <f>IF(AA3777="","",IFERROR(IF(ISNUMBER('Procyfloc AL200'!D278),'Procyfloc AL200'!D278,IF(ISNUMBER(SEARCH("12",'Procyfloc AL200'!D278)),EDATE(AB3777,12),IF(ISNUMBER(SEARCH("6",'Procyfloc AL200'!D278)),EDATE(AB3777,6),IF(ISNUMBER(SEARCH("3",'Procyfloc AL200'!D278)),EDATE(AB3777,3),DATEVALUE('Procyfloc AL200'!D278))))),""))</f>
        <v/>
      </c>
      <c r="AM3777" t="str">
        <f t="shared" ca="1" si="370"/>
        <v/>
      </c>
    </row>
    <row r="3778" spans="27:39" x14ac:dyDescent="0.3">
      <c r="AA3778" t="str">
        <f>IF(COUNTA('Procyfloc AL200'!A279,'Procyfloc AL200'!B279,'Procyfloc AL200'!C279)&gt;0,"AL200","")</f>
        <v/>
      </c>
      <c r="AB3778" t="str">
        <f>IFERROR(IF(ISNUMBER('Procyfloc AL200'!A279),'Procyfloc AL200'!A279,DATEVALUE('Procyfloc AL200'!A279)),"")</f>
        <v/>
      </c>
      <c r="AC3778" t="str">
        <f>IF(AA3778="","",'Procyfloc AL200'!B279)</f>
        <v/>
      </c>
      <c r="AD3778" t="str">
        <f>IF(AA3778="","",IFERROR(1*'Procyfloc AL200'!C279,IFERROR(_xludf.NUMBERVALUE('Procyfloc AL200'!C279,".",","),IFERROR(_xludf.NUMBERVALUE('Procyfloc AL200'!C279,",","."),0))))</f>
        <v/>
      </c>
      <c r="AE3778" t="str">
        <f>IF(AA3778="","",'Procyfloc AL200'!K279)</f>
        <v/>
      </c>
      <c r="AF3778">
        <f t="shared" ref="AF3778:AF3841" si="371">IF(AA3778="",0,--AND(ISNUMBER(SEARCH("aprov",AE3778)),NOT(ISNUMBER(SEARCH("reprov",AE3778)))))</f>
        <v>0</v>
      </c>
      <c r="AG3778" t="str">
        <f t="shared" ref="AG3778:AG3841" si="372">IF(AB3778="","",YEAR(AB3778))</f>
        <v/>
      </c>
      <c r="AH3778" t="str">
        <f t="shared" ref="AH3778:AH3841" si="373">IF(AB3778="","",MONTH(AB3778))</f>
        <v/>
      </c>
      <c r="AI3778">
        <f t="shared" ref="AI3778:AI3841" si="374">IF(AB3778="",0,AB3778+ROW()/1000000)</f>
        <v>0</v>
      </c>
      <c r="AJ3778">
        <f t="shared" ref="AJ3778:AJ3841" si="375">--(AA3778&lt;&gt;"")</f>
        <v>0</v>
      </c>
      <c r="AK3778">
        <v>0</v>
      </c>
      <c r="AL3778" t="str">
        <f>IF(AA3778="","",IFERROR(IF(ISNUMBER('Procyfloc AL200'!D279),'Procyfloc AL200'!D279,IF(ISNUMBER(SEARCH("12",'Procyfloc AL200'!D279)),EDATE(AB3778,12),IF(ISNUMBER(SEARCH("6",'Procyfloc AL200'!D279)),EDATE(AB3778,6),IF(ISNUMBER(SEARCH("3",'Procyfloc AL200'!D279)),EDATE(AB3778,3),DATEVALUE('Procyfloc AL200'!D279))))),""))</f>
        <v/>
      </c>
      <c r="AM3778" t="str">
        <f t="shared" ref="AM3778:AM3841" ca="1" si="376">IF(AND(AJ3778=1,AL3778&lt;&gt;"",AL3778&gt;=TODAY(),AG3778=$W$3),AL3778+ROW()/1000000,"")</f>
        <v/>
      </c>
    </row>
    <row r="3779" spans="27:39" x14ac:dyDescent="0.3">
      <c r="AA3779" t="str">
        <f>IF(COUNTA('Procyfloc AL200'!A280,'Procyfloc AL200'!B280,'Procyfloc AL200'!C280)&gt;0,"AL200","")</f>
        <v/>
      </c>
      <c r="AB3779" t="str">
        <f>IFERROR(IF(ISNUMBER('Procyfloc AL200'!A280),'Procyfloc AL200'!A280,DATEVALUE('Procyfloc AL200'!A280)),"")</f>
        <v/>
      </c>
      <c r="AC3779" t="str">
        <f>IF(AA3779="","",'Procyfloc AL200'!B280)</f>
        <v/>
      </c>
      <c r="AD3779" t="str">
        <f>IF(AA3779="","",IFERROR(1*'Procyfloc AL200'!C280,IFERROR(_xludf.NUMBERVALUE('Procyfloc AL200'!C280,".",","),IFERROR(_xludf.NUMBERVALUE('Procyfloc AL200'!C280,",","."),0))))</f>
        <v/>
      </c>
      <c r="AE3779" t="str">
        <f>IF(AA3779="","",'Procyfloc AL200'!K280)</f>
        <v/>
      </c>
      <c r="AF3779">
        <f t="shared" si="371"/>
        <v>0</v>
      </c>
      <c r="AG3779" t="str">
        <f t="shared" si="372"/>
        <v/>
      </c>
      <c r="AH3779" t="str">
        <f t="shared" si="373"/>
        <v/>
      </c>
      <c r="AI3779">
        <f t="shared" si="374"/>
        <v>0</v>
      </c>
      <c r="AJ3779">
        <f t="shared" si="375"/>
        <v>0</v>
      </c>
      <c r="AK3779">
        <v>0</v>
      </c>
      <c r="AL3779" t="str">
        <f>IF(AA3779="","",IFERROR(IF(ISNUMBER('Procyfloc AL200'!D280),'Procyfloc AL200'!D280,IF(ISNUMBER(SEARCH("12",'Procyfloc AL200'!D280)),EDATE(AB3779,12),IF(ISNUMBER(SEARCH("6",'Procyfloc AL200'!D280)),EDATE(AB3779,6),IF(ISNUMBER(SEARCH("3",'Procyfloc AL200'!D280)),EDATE(AB3779,3),DATEVALUE('Procyfloc AL200'!D280))))),""))</f>
        <v/>
      </c>
      <c r="AM3779" t="str">
        <f t="shared" ca="1" si="376"/>
        <v/>
      </c>
    </row>
    <row r="3780" spans="27:39" x14ac:dyDescent="0.3">
      <c r="AA3780" t="str">
        <f>IF(COUNTA('Procyfloc AL200'!A281,'Procyfloc AL200'!B281,'Procyfloc AL200'!C281)&gt;0,"AL200","")</f>
        <v/>
      </c>
      <c r="AB3780" t="str">
        <f>IFERROR(IF(ISNUMBER('Procyfloc AL200'!A281),'Procyfloc AL200'!A281,DATEVALUE('Procyfloc AL200'!A281)),"")</f>
        <v/>
      </c>
      <c r="AC3780" t="str">
        <f>IF(AA3780="","",'Procyfloc AL200'!B281)</f>
        <v/>
      </c>
      <c r="AD3780" t="str">
        <f>IF(AA3780="","",IFERROR(1*'Procyfloc AL200'!C281,IFERROR(_xludf.NUMBERVALUE('Procyfloc AL200'!C281,".",","),IFERROR(_xludf.NUMBERVALUE('Procyfloc AL200'!C281,",","."),0))))</f>
        <v/>
      </c>
      <c r="AE3780" t="str">
        <f>IF(AA3780="","",'Procyfloc AL200'!K281)</f>
        <v/>
      </c>
      <c r="AF3780">
        <f t="shared" si="371"/>
        <v>0</v>
      </c>
      <c r="AG3780" t="str">
        <f t="shared" si="372"/>
        <v/>
      </c>
      <c r="AH3780" t="str">
        <f t="shared" si="373"/>
        <v/>
      </c>
      <c r="AI3780">
        <f t="shared" si="374"/>
        <v>0</v>
      </c>
      <c r="AJ3780">
        <f t="shared" si="375"/>
        <v>0</v>
      </c>
      <c r="AK3780">
        <v>0</v>
      </c>
      <c r="AL3780" t="str">
        <f>IF(AA3780="","",IFERROR(IF(ISNUMBER('Procyfloc AL200'!D281),'Procyfloc AL200'!D281,IF(ISNUMBER(SEARCH("12",'Procyfloc AL200'!D281)),EDATE(AB3780,12),IF(ISNUMBER(SEARCH("6",'Procyfloc AL200'!D281)),EDATE(AB3780,6),IF(ISNUMBER(SEARCH("3",'Procyfloc AL200'!D281)),EDATE(AB3780,3),DATEVALUE('Procyfloc AL200'!D281))))),""))</f>
        <v/>
      </c>
      <c r="AM3780" t="str">
        <f t="shared" ca="1" si="376"/>
        <v/>
      </c>
    </row>
    <row r="3781" spans="27:39" x14ac:dyDescent="0.3">
      <c r="AA3781" t="str">
        <f>IF(COUNTA('Procyfloc AL200'!A282,'Procyfloc AL200'!B282,'Procyfloc AL200'!C282)&gt;0,"AL200","")</f>
        <v/>
      </c>
      <c r="AB3781" t="str">
        <f>IFERROR(IF(ISNUMBER('Procyfloc AL200'!A282),'Procyfloc AL200'!A282,DATEVALUE('Procyfloc AL200'!A282)),"")</f>
        <v/>
      </c>
      <c r="AC3781" t="str">
        <f>IF(AA3781="","",'Procyfloc AL200'!B282)</f>
        <v/>
      </c>
      <c r="AD3781" t="str">
        <f>IF(AA3781="","",IFERROR(1*'Procyfloc AL200'!C282,IFERROR(_xludf.NUMBERVALUE('Procyfloc AL200'!C282,".",","),IFERROR(_xludf.NUMBERVALUE('Procyfloc AL200'!C282,",","."),0))))</f>
        <v/>
      </c>
      <c r="AE3781" t="str">
        <f>IF(AA3781="","",'Procyfloc AL200'!K282)</f>
        <v/>
      </c>
      <c r="AF3781">
        <f t="shared" si="371"/>
        <v>0</v>
      </c>
      <c r="AG3781" t="str">
        <f t="shared" si="372"/>
        <v/>
      </c>
      <c r="AH3781" t="str">
        <f t="shared" si="373"/>
        <v/>
      </c>
      <c r="AI3781">
        <f t="shared" si="374"/>
        <v>0</v>
      </c>
      <c r="AJ3781">
        <f t="shared" si="375"/>
        <v>0</v>
      </c>
      <c r="AK3781">
        <v>0</v>
      </c>
      <c r="AL3781" t="str">
        <f>IF(AA3781="","",IFERROR(IF(ISNUMBER('Procyfloc AL200'!D282),'Procyfloc AL200'!D282,IF(ISNUMBER(SEARCH("12",'Procyfloc AL200'!D282)),EDATE(AB3781,12),IF(ISNUMBER(SEARCH("6",'Procyfloc AL200'!D282)),EDATE(AB3781,6),IF(ISNUMBER(SEARCH("3",'Procyfloc AL200'!D282)),EDATE(AB3781,3),DATEVALUE('Procyfloc AL200'!D282))))),""))</f>
        <v/>
      </c>
      <c r="AM3781" t="str">
        <f t="shared" ca="1" si="376"/>
        <v/>
      </c>
    </row>
    <row r="3782" spans="27:39" x14ac:dyDescent="0.3">
      <c r="AA3782" t="str">
        <f>IF(COUNTA('Procyfloc AL200'!A283,'Procyfloc AL200'!B283,'Procyfloc AL200'!C283)&gt;0,"AL200","")</f>
        <v/>
      </c>
      <c r="AB3782" t="str">
        <f>IFERROR(IF(ISNUMBER('Procyfloc AL200'!A283),'Procyfloc AL200'!A283,DATEVALUE('Procyfloc AL200'!A283)),"")</f>
        <v/>
      </c>
      <c r="AC3782" t="str">
        <f>IF(AA3782="","",'Procyfloc AL200'!B283)</f>
        <v/>
      </c>
      <c r="AD3782" t="str">
        <f>IF(AA3782="","",IFERROR(1*'Procyfloc AL200'!C283,IFERROR(_xludf.NUMBERVALUE('Procyfloc AL200'!C283,".",","),IFERROR(_xludf.NUMBERVALUE('Procyfloc AL200'!C283,",","."),0))))</f>
        <v/>
      </c>
      <c r="AE3782" t="str">
        <f>IF(AA3782="","",'Procyfloc AL200'!K283)</f>
        <v/>
      </c>
      <c r="AF3782">
        <f t="shared" si="371"/>
        <v>0</v>
      </c>
      <c r="AG3782" t="str">
        <f t="shared" si="372"/>
        <v/>
      </c>
      <c r="AH3782" t="str">
        <f t="shared" si="373"/>
        <v/>
      </c>
      <c r="AI3782">
        <f t="shared" si="374"/>
        <v>0</v>
      </c>
      <c r="AJ3782">
        <f t="shared" si="375"/>
        <v>0</v>
      </c>
      <c r="AK3782">
        <v>0</v>
      </c>
      <c r="AL3782" t="str">
        <f>IF(AA3782="","",IFERROR(IF(ISNUMBER('Procyfloc AL200'!D283),'Procyfloc AL200'!D283,IF(ISNUMBER(SEARCH("12",'Procyfloc AL200'!D283)),EDATE(AB3782,12),IF(ISNUMBER(SEARCH("6",'Procyfloc AL200'!D283)),EDATE(AB3782,6),IF(ISNUMBER(SEARCH("3",'Procyfloc AL200'!D283)),EDATE(AB3782,3),DATEVALUE('Procyfloc AL200'!D283))))),""))</f>
        <v/>
      </c>
      <c r="AM3782" t="str">
        <f t="shared" ca="1" si="376"/>
        <v/>
      </c>
    </row>
    <row r="3783" spans="27:39" x14ac:dyDescent="0.3">
      <c r="AA3783" t="str">
        <f>IF(COUNTA('Procyfloc AL200'!A284,'Procyfloc AL200'!B284,'Procyfloc AL200'!C284)&gt;0,"AL200","")</f>
        <v/>
      </c>
      <c r="AB3783" t="str">
        <f>IFERROR(IF(ISNUMBER('Procyfloc AL200'!A284),'Procyfloc AL200'!A284,DATEVALUE('Procyfloc AL200'!A284)),"")</f>
        <v/>
      </c>
      <c r="AC3783" t="str">
        <f>IF(AA3783="","",'Procyfloc AL200'!B284)</f>
        <v/>
      </c>
      <c r="AD3783" t="str">
        <f>IF(AA3783="","",IFERROR(1*'Procyfloc AL200'!C284,IFERROR(_xludf.NUMBERVALUE('Procyfloc AL200'!C284,".",","),IFERROR(_xludf.NUMBERVALUE('Procyfloc AL200'!C284,",","."),0))))</f>
        <v/>
      </c>
      <c r="AE3783" t="str">
        <f>IF(AA3783="","",'Procyfloc AL200'!K284)</f>
        <v/>
      </c>
      <c r="AF3783">
        <f t="shared" si="371"/>
        <v>0</v>
      </c>
      <c r="AG3783" t="str">
        <f t="shared" si="372"/>
        <v/>
      </c>
      <c r="AH3783" t="str">
        <f t="shared" si="373"/>
        <v/>
      </c>
      <c r="AI3783">
        <f t="shared" si="374"/>
        <v>0</v>
      </c>
      <c r="AJ3783">
        <f t="shared" si="375"/>
        <v>0</v>
      </c>
      <c r="AK3783">
        <v>0</v>
      </c>
      <c r="AL3783" t="str">
        <f>IF(AA3783="","",IFERROR(IF(ISNUMBER('Procyfloc AL200'!D284),'Procyfloc AL200'!D284,IF(ISNUMBER(SEARCH("12",'Procyfloc AL200'!D284)),EDATE(AB3783,12),IF(ISNUMBER(SEARCH("6",'Procyfloc AL200'!D284)),EDATE(AB3783,6),IF(ISNUMBER(SEARCH("3",'Procyfloc AL200'!D284)),EDATE(AB3783,3),DATEVALUE('Procyfloc AL200'!D284))))),""))</f>
        <v/>
      </c>
      <c r="AM3783" t="str">
        <f t="shared" ca="1" si="376"/>
        <v/>
      </c>
    </row>
    <row r="3784" spans="27:39" x14ac:dyDescent="0.3">
      <c r="AA3784" t="str">
        <f>IF(COUNTA('Procyfloc AL200'!A285,'Procyfloc AL200'!B285,'Procyfloc AL200'!C285)&gt;0,"AL200","")</f>
        <v/>
      </c>
      <c r="AB3784" t="str">
        <f>IFERROR(IF(ISNUMBER('Procyfloc AL200'!A285),'Procyfloc AL200'!A285,DATEVALUE('Procyfloc AL200'!A285)),"")</f>
        <v/>
      </c>
      <c r="AC3784" t="str">
        <f>IF(AA3784="","",'Procyfloc AL200'!B285)</f>
        <v/>
      </c>
      <c r="AD3784" t="str">
        <f>IF(AA3784="","",IFERROR(1*'Procyfloc AL200'!C285,IFERROR(_xludf.NUMBERVALUE('Procyfloc AL200'!C285,".",","),IFERROR(_xludf.NUMBERVALUE('Procyfloc AL200'!C285,",","."),0))))</f>
        <v/>
      </c>
      <c r="AE3784" t="str">
        <f>IF(AA3784="","",'Procyfloc AL200'!K285)</f>
        <v/>
      </c>
      <c r="AF3784">
        <f t="shared" si="371"/>
        <v>0</v>
      </c>
      <c r="AG3784" t="str">
        <f t="shared" si="372"/>
        <v/>
      </c>
      <c r="AH3784" t="str">
        <f t="shared" si="373"/>
        <v/>
      </c>
      <c r="AI3784">
        <f t="shared" si="374"/>
        <v>0</v>
      </c>
      <c r="AJ3784">
        <f t="shared" si="375"/>
        <v>0</v>
      </c>
      <c r="AK3784">
        <v>0</v>
      </c>
      <c r="AL3784" t="str">
        <f>IF(AA3784="","",IFERROR(IF(ISNUMBER('Procyfloc AL200'!D285),'Procyfloc AL200'!D285,IF(ISNUMBER(SEARCH("12",'Procyfloc AL200'!D285)),EDATE(AB3784,12),IF(ISNUMBER(SEARCH("6",'Procyfloc AL200'!D285)),EDATE(AB3784,6),IF(ISNUMBER(SEARCH("3",'Procyfloc AL200'!D285)),EDATE(AB3784,3),DATEVALUE('Procyfloc AL200'!D285))))),""))</f>
        <v/>
      </c>
      <c r="AM3784" t="str">
        <f t="shared" ca="1" si="376"/>
        <v/>
      </c>
    </row>
    <row r="3785" spans="27:39" x14ac:dyDescent="0.3">
      <c r="AA3785" t="str">
        <f>IF(COUNTA('Procyfloc AL200'!A286,'Procyfloc AL200'!B286,'Procyfloc AL200'!C286)&gt;0,"AL200","")</f>
        <v/>
      </c>
      <c r="AB3785" t="str">
        <f>IFERROR(IF(ISNUMBER('Procyfloc AL200'!A286),'Procyfloc AL200'!A286,DATEVALUE('Procyfloc AL200'!A286)),"")</f>
        <v/>
      </c>
      <c r="AC3785" t="str">
        <f>IF(AA3785="","",'Procyfloc AL200'!B286)</f>
        <v/>
      </c>
      <c r="AD3785" t="str">
        <f>IF(AA3785="","",IFERROR(1*'Procyfloc AL200'!C286,IFERROR(_xludf.NUMBERVALUE('Procyfloc AL200'!C286,".",","),IFERROR(_xludf.NUMBERVALUE('Procyfloc AL200'!C286,",","."),0))))</f>
        <v/>
      </c>
      <c r="AE3785" t="str">
        <f>IF(AA3785="","",'Procyfloc AL200'!K286)</f>
        <v/>
      </c>
      <c r="AF3785">
        <f t="shared" si="371"/>
        <v>0</v>
      </c>
      <c r="AG3785" t="str">
        <f t="shared" si="372"/>
        <v/>
      </c>
      <c r="AH3785" t="str">
        <f t="shared" si="373"/>
        <v/>
      </c>
      <c r="AI3785">
        <f t="shared" si="374"/>
        <v>0</v>
      </c>
      <c r="AJ3785">
        <f t="shared" si="375"/>
        <v>0</v>
      </c>
      <c r="AK3785">
        <v>0</v>
      </c>
      <c r="AL3785" t="str">
        <f>IF(AA3785="","",IFERROR(IF(ISNUMBER('Procyfloc AL200'!D286),'Procyfloc AL200'!D286,IF(ISNUMBER(SEARCH("12",'Procyfloc AL200'!D286)),EDATE(AB3785,12),IF(ISNUMBER(SEARCH("6",'Procyfloc AL200'!D286)),EDATE(AB3785,6),IF(ISNUMBER(SEARCH("3",'Procyfloc AL200'!D286)),EDATE(AB3785,3),DATEVALUE('Procyfloc AL200'!D286))))),""))</f>
        <v/>
      </c>
      <c r="AM3785" t="str">
        <f t="shared" ca="1" si="376"/>
        <v/>
      </c>
    </row>
    <row r="3786" spans="27:39" x14ac:dyDescent="0.3">
      <c r="AA3786" t="str">
        <f>IF(COUNTA('Procyfloc AL200'!A287,'Procyfloc AL200'!B287,'Procyfloc AL200'!C287)&gt;0,"AL200","")</f>
        <v/>
      </c>
      <c r="AB3786" t="str">
        <f>IFERROR(IF(ISNUMBER('Procyfloc AL200'!A287),'Procyfloc AL200'!A287,DATEVALUE('Procyfloc AL200'!A287)),"")</f>
        <v/>
      </c>
      <c r="AC3786" t="str">
        <f>IF(AA3786="","",'Procyfloc AL200'!B287)</f>
        <v/>
      </c>
      <c r="AD3786" t="str">
        <f>IF(AA3786="","",IFERROR(1*'Procyfloc AL200'!C287,IFERROR(_xludf.NUMBERVALUE('Procyfloc AL200'!C287,".",","),IFERROR(_xludf.NUMBERVALUE('Procyfloc AL200'!C287,",","."),0))))</f>
        <v/>
      </c>
      <c r="AE3786" t="str">
        <f>IF(AA3786="","",'Procyfloc AL200'!K287)</f>
        <v/>
      </c>
      <c r="AF3786">
        <f t="shared" si="371"/>
        <v>0</v>
      </c>
      <c r="AG3786" t="str">
        <f t="shared" si="372"/>
        <v/>
      </c>
      <c r="AH3786" t="str">
        <f t="shared" si="373"/>
        <v/>
      </c>
      <c r="AI3786">
        <f t="shared" si="374"/>
        <v>0</v>
      </c>
      <c r="AJ3786">
        <f t="shared" si="375"/>
        <v>0</v>
      </c>
      <c r="AK3786">
        <v>0</v>
      </c>
      <c r="AL3786" t="str">
        <f>IF(AA3786="","",IFERROR(IF(ISNUMBER('Procyfloc AL200'!D287),'Procyfloc AL200'!D287,IF(ISNUMBER(SEARCH("12",'Procyfloc AL200'!D287)),EDATE(AB3786,12),IF(ISNUMBER(SEARCH("6",'Procyfloc AL200'!D287)),EDATE(AB3786,6),IF(ISNUMBER(SEARCH("3",'Procyfloc AL200'!D287)),EDATE(AB3786,3),DATEVALUE('Procyfloc AL200'!D287))))),""))</f>
        <v/>
      </c>
      <c r="AM3786" t="str">
        <f t="shared" ca="1" si="376"/>
        <v/>
      </c>
    </row>
    <row r="3787" spans="27:39" x14ac:dyDescent="0.3">
      <c r="AA3787" t="str">
        <f>IF(COUNTA('Procyfloc AL200'!A288,'Procyfloc AL200'!B288,'Procyfloc AL200'!C288)&gt;0,"AL200","")</f>
        <v/>
      </c>
      <c r="AB3787" t="str">
        <f>IFERROR(IF(ISNUMBER('Procyfloc AL200'!A288),'Procyfloc AL200'!A288,DATEVALUE('Procyfloc AL200'!A288)),"")</f>
        <v/>
      </c>
      <c r="AC3787" t="str">
        <f>IF(AA3787="","",'Procyfloc AL200'!B288)</f>
        <v/>
      </c>
      <c r="AD3787" t="str">
        <f>IF(AA3787="","",IFERROR(1*'Procyfloc AL200'!C288,IFERROR(_xludf.NUMBERVALUE('Procyfloc AL200'!C288,".",","),IFERROR(_xludf.NUMBERVALUE('Procyfloc AL200'!C288,",","."),0))))</f>
        <v/>
      </c>
      <c r="AE3787" t="str">
        <f>IF(AA3787="","",'Procyfloc AL200'!K288)</f>
        <v/>
      </c>
      <c r="AF3787">
        <f t="shared" si="371"/>
        <v>0</v>
      </c>
      <c r="AG3787" t="str">
        <f t="shared" si="372"/>
        <v/>
      </c>
      <c r="AH3787" t="str">
        <f t="shared" si="373"/>
        <v/>
      </c>
      <c r="AI3787">
        <f t="shared" si="374"/>
        <v>0</v>
      </c>
      <c r="AJ3787">
        <f t="shared" si="375"/>
        <v>0</v>
      </c>
      <c r="AK3787">
        <v>0</v>
      </c>
      <c r="AL3787" t="str">
        <f>IF(AA3787="","",IFERROR(IF(ISNUMBER('Procyfloc AL200'!D288),'Procyfloc AL200'!D288,IF(ISNUMBER(SEARCH("12",'Procyfloc AL200'!D288)),EDATE(AB3787,12),IF(ISNUMBER(SEARCH("6",'Procyfloc AL200'!D288)),EDATE(AB3787,6),IF(ISNUMBER(SEARCH("3",'Procyfloc AL200'!D288)),EDATE(AB3787,3),DATEVALUE('Procyfloc AL200'!D288))))),""))</f>
        <v/>
      </c>
      <c r="AM3787" t="str">
        <f t="shared" ca="1" si="376"/>
        <v/>
      </c>
    </row>
    <row r="3788" spans="27:39" x14ac:dyDescent="0.3">
      <c r="AA3788" t="str">
        <f>IF(COUNTA('Procyfloc AL200'!A289,'Procyfloc AL200'!B289,'Procyfloc AL200'!C289)&gt;0,"AL200","")</f>
        <v/>
      </c>
      <c r="AB3788" t="str">
        <f>IFERROR(IF(ISNUMBER('Procyfloc AL200'!A289),'Procyfloc AL200'!A289,DATEVALUE('Procyfloc AL200'!A289)),"")</f>
        <v/>
      </c>
      <c r="AC3788" t="str">
        <f>IF(AA3788="","",'Procyfloc AL200'!B289)</f>
        <v/>
      </c>
      <c r="AD3788" t="str">
        <f>IF(AA3788="","",IFERROR(1*'Procyfloc AL200'!C289,IFERROR(_xludf.NUMBERVALUE('Procyfloc AL200'!C289,".",","),IFERROR(_xludf.NUMBERVALUE('Procyfloc AL200'!C289,",","."),0))))</f>
        <v/>
      </c>
      <c r="AE3788" t="str">
        <f>IF(AA3788="","",'Procyfloc AL200'!K289)</f>
        <v/>
      </c>
      <c r="AF3788">
        <f t="shared" si="371"/>
        <v>0</v>
      </c>
      <c r="AG3788" t="str">
        <f t="shared" si="372"/>
        <v/>
      </c>
      <c r="AH3788" t="str">
        <f t="shared" si="373"/>
        <v/>
      </c>
      <c r="AI3788">
        <f t="shared" si="374"/>
        <v>0</v>
      </c>
      <c r="AJ3788">
        <f t="shared" si="375"/>
        <v>0</v>
      </c>
      <c r="AK3788">
        <v>0</v>
      </c>
      <c r="AL3788" t="str">
        <f>IF(AA3788="","",IFERROR(IF(ISNUMBER('Procyfloc AL200'!D289),'Procyfloc AL200'!D289,IF(ISNUMBER(SEARCH("12",'Procyfloc AL200'!D289)),EDATE(AB3788,12),IF(ISNUMBER(SEARCH("6",'Procyfloc AL200'!D289)),EDATE(AB3788,6),IF(ISNUMBER(SEARCH("3",'Procyfloc AL200'!D289)),EDATE(AB3788,3),DATEVALUE('Procyfloc AL200'!D289))))),""))</f>
        <v/>
      </c>
      <c r="AM3788" t="str">
        <f t="shared" ca="1" si="376"/>
        <v/>
      </c>
    </row>
    <row r="3789" spans="27:39" x14ac:dyDescent="0.3">
      <c r="AA3789" t="str">
        <f>IF(COUNTA('Procyfloc AL200'!A290,'Procyfloc AL200'!B290,'Procyfloc AL200'!C290)&gt;0,"AL200","")</f>
        <v/>
      </c>
      <c r="AB3789" t="str">
        <f>IFERROR(IF(ISNUMBER('Procyfloc AL200'!A290),'Procyfloc AL200'!A290,DATEVALUE('Procyfloc AL200'!A290)),"")</f>
        <v/>
      </c>
      <c r="AC3789" t="str">
        <f>IF(AA3789="","",'Procyfloc AL200'!B290)</f>
        <v/>
      </c>
      <c r="AD3789" t="str">
        <f>IF(AA3789="","",IFERROR(1*'Procyfloc AL200'!C290,IFERROR(_xludf.NUMBERVALUE('Procyfloc AL200'!C290,".",","),IFERROR(_xludf.NUMBERVALUE('Procyfloc AL200'!C290,",","."),0))))</f>
        <v/>
      </c>
      <c r="AE3789" t="str">
        <f>IF(AA3789="","",'Procyfloc AL200'!K290)</f>
        <v/>
      </c>
      <c r="AF3789">
        <f t="shared" si="371"/>
        <v>0</v>
      </c>
      <c r="AG3789" t="str">
        <f t="shared" si="372"/>
        <v/>
      </c>
      <c r="AH3789" t="str">
        <f t="shared" si="373"/>
        <v/>
      </c>
      <c r="AI3789">
        <f t="shared" si="374"/>
        <v>0</v>
      </c>
      <c r="AJ3789">
        <f t="shared" si="375"/>
        <v>0</v>
      </c>
      <c r="AK3789">
        <v>0</v>
      </c>
      <c r="AL3789" t="str">
        <f>IF(AA3789="","",IFERROR(IF(ISNUMBER('Procyfloc AL200'!D290),'Procyfloc AL200'!D290,IF(ISNUMBER(SEARCH("12",'Procyfloc AL200'!D290)),EDATE(AB3789,12),IF(ISNUMBER(SEARCH("6",'Procyfloc AL200'!D290)),EDATE(AB3789,6),IF(ISNUMBER(SEARCH("3",'Procyfloc AL200'!D290)),EDATE(AB3789,3),DATEVALUE('Procyfloc AL200'!D290))))),""))</f>
        <v/>
      </c>
      <c r="AM3789" t="str">
        <f t="shared" ca="1" si="376"/>
        <v/>
      </c>
    </row>
    <row r="3790" spans="27:39" x14ac:dyDescent="0.3">
      <c r="AA3790" t="str">
        <f>IF(COUNTA('Procyfloc AL200'!A291,'Procyfloc AL200'!B291,'Procyfloc AL200'!C291)&gt;0,"AL200","")</f>
        <v/>
      </c>
      <c r="AB3790" t="str">
        <f>IFERROR(IF(ISNUMBER('Procyfloc AL200'!A291),'Procyfloc AL200'!A291,DATEVALUE('Procyfloc AL200'!A291)),"")</f>
        <v/>
      </c>
      <c r="AC3790" t="str">
        <f>IF(AA3790="","",'Procyfloc AL200'!B291)</f>
        <v/>
      </c>
      <c r="AD3790" t="str">
        <f>IF(AA3790="","",IFERROR(1*'Procyfloc AL200'!C291,IFERROR(_xludf.NUMBERVALUE('Procyfloc AL200'!C291,".",","),IFERROR(_xludf.NUMBERVALUE('Procyfloc AL200'!C291,",","."),0))))</f>
        <v/>
      </c>
      <c r="AE3790" t="str">
        <f>IF(AA3790="","",'Procyfloc AL200'!K291)</f>
        <v/>
      </c>
      <c r="AF3790">
        <f t="shared" si="371"/>
        <v>0</v>
      </c>
      <c r="AG3790" t="str">
        <f t="shared" si="372"/>
        <v/>
      </c>
      <c r="AH3790" t="str">
        <f t="shared" si="373"/>
        <v/>
      </c>
      <c r="AI3790">
        <f t="shared" si="374"/>
        <v>0</v>
      </c>
      <c r="AJ3790">
        <f t="shared" si="375"/>
        <v>0</v>
      </c>
      <c r="AK3790">
        <v>0</v>
      </c>
      <c r="AL3790" t="str">
        <f>IF(AA3790="","",IFERROR(IF(ISNUMBER('Procyfloc AL200'!D291),'Procyfloc AL200'!D291,IF(ISNUMBER(SEARCH("12",'Procyfloc AL200'!D291)),EDATE(AB3790,12),IF(ISNUMBER(SEARCH("6",'Procyfloc AL200'!D291)),EDATE(AB3790,6),IF(ISNUMBER(SEARCH("3",'Procyfloc AL200'!D291)),EDATE(AB3790,3),DATEVALUE('Procyfloc AL200'!D291))))),""))</f>
        <v/>
      </c>
      <c r="AM3790" t="str">
        <f t="shared" ca="1" si="376"/>
        <v/>
      </c>
    </row>
    <row r="3791" spans="27:39" x14ac:dyDescent="0.3">
      <c r="AA3791" t="str">
        <f>IF(COUNTA('Procyfloc AL200'!A292,'Procyfloc AL200'!B292,'Procyfloc AL200'!C292)&gt;0,"AL200","")</f>
        <v/>
      </c>
      <c r="AB3791" t="str">
        <f>IFERROR(IF(ISNUMBER('Procyfloc AL200'!A292),'Procyfloc AL200'!A292,DATEVALUE('Procyfloc AL200'!A292)),"")</f>
        <v/>
      </c>
      <c r="AC3791" t="str">
        <f>IF(AA3791="","",'Procyfloc AL200'!B292)</f>
        <v/>
      </c>
      <c r="AD3791" t="str">
        <f>IF(AA3791="","",IFERROR(1*'Procyfloc AL200'!C292,IFERROR(_xludf.NUMBERVALUE('Procyfloc AL200'!C292,".",","),IFERROR(_xludf.NUMBERVALUE('Procyfloc AL200'!C292,",","."),0))))</f>
        <v/>
      </c>
      <c r="AE3791" t="str">
        <f>IF(AA3791="","",'Procyfloc AL200'!K292)</f>
        <v/>
      </c>
      <c r="AF3791">
        <f t="shared" si="371"/>
        <v>0</v>
      </c>
      <c r="AG3791" t="str">
        <f t="shared" si="372"/>
        <v/>
      </c>
      <c r="AH3791" t="str">
        <f t="shared" si="373"/>
        <v/>
      </c>
      <c r="AI3791">
        <f t="shared" si="374"/>
        <v>0</v>
      </c>
      <c r="AJ3791">
        <f t="shared" si="375"/>
        <v>0</v>
      </c>
      <c r="AK3791">
        <v>0</v>
      </c>
      <c r="AL3791" t="str">
        <f>IF(AA3791="","",IFERROR(IF(ISNUMBER('Procyfloc AL200'!D292),'Procyfloc AL200'!D292,IF(ISNUMBER(SEARCH("12",'Procyfloc AL200'!D292)),EDATE(AB3791,12),IF(ISNUMBER(SEARCH("6",'Procyfloc AL200'!D292)),EDATE(AB3791,6),IF(ISNUMBER(SEARCH("3",'Procyfloc AL200'!D292)),EDATE(AB3791,3),DATEVALUE('Procyfloc AL200'!D292))))),""))</f>
        <v/>
      </c>
      <c r="AM3791" t="str">
        <f t="shared" ca="1" si="376"/>
        <v/>
      </c>
    </row>
    <row r="3792" spans="27:39" x14ac:dyDescent="0.3">
      <c r="AA3792" t="str">
        <f>IF(COUNTA('Procyfloc AL200'!A293,'Procyfloc AL200'!B293,'Procyfloc AL200'!C293)&gt;0,"AL200","")</f>
        <v/>
      </c>
      <c r="AB3792" t="str">
        <f>IFERROR(IF(ISNUMBER('Procyfloc AL200'!A293),'Procyfloc AL200'!A293,DATEVALUE('Procyfloc AL200'!A293)),"")</f>
        <v/>
      </c>
      <c r="AC3792" t="str">
        <f>IF(AA3792="","",'Procyfloc AL200'!B293)</f>
        <v/>
      </c>
      <c r="AD3792" t="str">
        <f>IF(AA3792="","",IFERROR(1*'Procyfloc AL200'!C293,IFERROR(_xludf.NUMBERVALUE('Procyfloc AL200'!C293,".",","),IFERROR(_xludf.NUMBERVALUE('Procyfloc AL200'!C293,",","."),0))))</f>
        <v/>
      </c>
      <c r="AE3792" t="str">
        <f>IF(AA3792="","",'Procyfloc AL200'!K293)</f>
        <v/>
      </c>
      <c r="AF3792">
        <f t="shared" si="371"/>
        <v>0</v>
      </c>
      <c r="AG3792" t="str">
        <f t="shared" si="372"/>
        <v/>
      </c>
      <c r="AH3792" t="str">
        <f t="shared" si="373"/>
        <v/>
      </c>
      <c r="AI3792">
        <f t="shared" si="374"/>
        <v>0</v>
      </c>
      <c r="AJ3792">
        <f t="shared" si="375"/>
        <v>0</v>
      </c>
      <c r="AK3792">
        <v>0</v>
      </c>
      <c r="AL3792" t="str">
        <f>IF(AA3792="","",IFERROR(IF(ISNUMBER('Procyfloc AL200'!D293),'Procyfloc AL200'!D293,IF(ISNUMBER(SEARCH("12",'Procyfloc AL200'!D293)),EDATE(AB3792,12),IF(ISNUMBER(SEARCH("6",'Procyfloc AL200'!D293)),EDATE(AB3792,6),IF(ISNUMBER(SEARCH("3",'Procyfloc AL200'!D293)),EDATE(AB3792,3),DATEVALUE('Procyfloc AL200'!D293))))),""))</f>
        <v/>
      </c>
      <c r="AM3792" t="str">
        <f t="shared" ca="1" si="376"/>
        <v/>
      </c>
    </row>
    <row r="3793" spans="27:39" x14ac:dyDescent="0.3">
      <c r="AA3793" t="str">
        <f>IF(COUNTA('Procyfloc AL200'!A294,'Procyfloc AL200'!B294,'Procyfloc AL200'!C294)&gt;0,"AL200","")</f>
        <v/>
      </c>
      <c r="AB3793" t="str">
        <f>IFERROR(IF(ISNUMBER('Procyfloc AL200'!A294),'Procyfloc AL200'!A294,DATEVALUE('Procyfloc AL200'!A294)),"")</f>
        <v/>
      </c>
      <c r="AC3793" t="str">
        <f>IF(AA3793="","",'Procyfloc AL200'!B294)</f>
        <v/>
      </c>
      <c r="AD3793" t="str">
        <f>IF(AA3793="","",IFERROR(1*'Procyfloc AL200'!C294,IFERROR(_xludf.NUMBERVALUE('Procyfloc AL200'!C294,".",","),IFERROR(_xludf.NUMBERVALUE('Procyfloc AL200'!C294,",","."),0))))</f>
        <v/>
      </c>
      <c r="AE3793" t="str">
        <f>IF(AA3793="","",'Procyfloc AL200'!K294)</f>
        <v/>
      </c>
      <c r="AF3793">
        <f t="shared" si="371"/>
        <v>0</v>
      </c>
      <c r="AG3793" t="str">
        <f t="shared" si="372"/>
        <v/>
      </c>
      <c r="AH3793" t="str">
        <f t="shared" si="373"/>
        <v/>
      </c>
      <c r="AI3793">
        <f t="shared" si="374"/>
        <v>0</v>
      </c>
      <c r="AJ3793">
        <f t="shared" si="375"/>
        <v>0</v>
      </c>
      <c r="AK3793">
        <v>0</v>
      </c>
      <c r="AL3793" t="str">
        <f>IF(AA3793="","",IFERROR(IF(ISNUMBER('Procyfloc AL200'!D294),'Procyfloc AL200'!D294,IF(ISNUMBER(SEARCH("12",'Procyfloc AL200'!D294)),EDATE(AB3793,12),IF(ISNUMBER(SEARCH("6",'Procyfloc AL200'!D294)),EDATE(AB3793,6),IF(ISNUMBER(SEARCH("3",'Procyfloc AL200'!D294)),EDATE(AB3793,3),DATEVALUE('Procyfloc AL200'!D294))))),""))</f>
        <v/>
      </c>
      <c r="AM3793" t="str">
        <f t="shared" ca="1" si="376"/>
        <v/>
      </c>
    </row>
    <row r="3794" spans="27:39" x14ac:dyDescent="0.3">
      <c r="AA3794" t="str">
        <f>IF(COUNTA('Procyfloc AL200'!A295,'Procyfloc AL200'!B295,'Procyfloc AL200'!C295)&gt;0,"AL200","")</f>
        <v/>
      </c>
      <c r="AB3794" t="str">
        <f>IFERROR(IF(ISNUMBER('Procyfloc AL200'!A295),'Procyfloc AL200'!A295,DATEVALUE('Procyfloc AL200'!A295)),"")</f>
        <v/>
      </c>
      <c r="AC3794" t="str">
        <f>IF(AA3794="","",'Procyfloc AL200'!B295)</f>
        <v/>
      </c>
      <c r="AD3794" t="str">
        <f>IF(AA3794="","",IFERROR(1*'Procyfloc AL200'!C295,IFERROR(_xludf.NUMBERVALUE('Procyfloc AL200'!C295,".",","),IFERROR(_xludf.NUMBERVALUE('Procyfloc AL200'!C295,",","."),0))))</f>
        <v/>
      </c>
      <c r="AE3794" t="str">
        <f>IF(AA3794="","",'Procyfloc AL200'!K295)</f>
        <v/>
      </c>
      <c r="AF3794">
        <f t="shared" si="371"/>
        <v>0</v>
      </c>
      <c r="AG3794" t="str">
        <f t="shared" si="372"/>
        <v/>
      </c>
      <c r="AH3794" t="str">
        <f t="shared" si="373"/>
        <v/>
      </c>
      <c r="AI3794">
        <f t="shared" si="374"/>
        <v>0</v>
      </c>
      <c r="AJ3794">
        <f t="shared" si="375"/>
        <v>0</v>
      </c>
      <c r="AK3794">
        <v>0</v>
      </c>
      <c r="AL3794" t="str">
        <f>IF(AA3794="","",IFERROR(IF(ISNUMBER('Procyfloc AL200'!D295),'Procyfloc AL200'!D295,IF(ISNUMBER(SEARCH("12",'Procyfloc AL200'!D295)),EDATE(AB3794,12),IF(ISNUMBER(SEARCH("6",'Procyfloc AL200'!D295)),EDATE(AB3794,6),IF(ISNUMBER(SEARCH("3",'Procyfloc AL200'!D295)),EDATE(AB3794,3),DATEVALUE('Procyfloc AL200'!D295))))),""))</f>
        <v/>
      </c>
      <c r="AM3794" t="str">
        <f t="shared" ca="1" si="376"/>
        <v/>
      </c>
    </row>
    <row r="3795" spans="27:39" x14ac:dyDescent="0.3">
      <c r="AA3795" t="str">
        <f>IF(COUNTA('Procyfloc AL200'!A296,'Procyfloc AL200'!B296,'Procyfloc AL200'!C296)&gt;0,"AL200","")</f>
        <v/>
      </c>
      <c r="AB3795" t="str">
        <f>IFERROR(IF(ISNUMBER('Procyfloc AL200'!A296),'Procyfloc AL200'!A296,DATEVALUE('Procyfloc AL200'!A296)),"")</f>
        <v/>
      </c>
      <c r="AC3795" t="str">
        <f>IF(AA3795="","",'Procyfloc AL200'!B296)</f>
        <v/>
      </c>
      <c r="AD3795" t="str">
        <f>IF(AA3795="","",IFERROR(1*'Procyfloc AL200'!C296,IFERROR(_xludf.NUMBERVALUE('Procyfloc AL200'!C296,".",","),IFERROR(_xludf.NUMBERVALUE('Procyfloc AL200'!C296,",","."),0))))</f>
        <v/>
      </c>
      <c r="AE3795" t="str">
        <f>IF(AA3795="","",'Procyfloc AL200'!K296)</f>
        <v/>
      </c>
      <c r="AF3795">
        <f t="shared" si="371"/>
        <v>0</v>
      </c>
      <c r="AG3795" t="str">
        <f t="shared" si="372"/>
        <v/>
      </c>
      <c r="AH3795" t="str">
        <f t="shared" si="373"/>
        <v/>
      </c>
      <c r="AI3795">
        <f t="shared" si="374"/>
        <v>0</v>
      </c>
      <c r="AJ3795">
        <f t="shared" si="375"/>
        <v>0</v>
      </c>
      <c r="AK3795">
        <v>0</v>
      </c>
      <c r="AL3795" t="str">
        <f>IF(AA3795="","",IFERROR(IF(ISNUMBER('Procyfloc AL200'!D296),'Procyfloc AL200'!D296,IF(ISNUMBER(SEARCH("12",'Procyfloc AL200'!D296)),EDATE(AB3795,12),IF(ISNUMBER(SEARCH("6",'Procyfloc AL200'!D296)),EDATE(AB3795,6),IF(ISNUMBER(SEARCH("3",'Procyfloc AL200'!D296)),EDATE(AB3795,3),DATEVALUE('Procyfloc AL200'!D296))))),""))</f>
        <v/>
      </c>
      <c r="AM3795" t="str">
        <f t="shared" ca="1" si="376"/>
        <v/>
      </c>
    </row>
    <row r="3796" spans="27:39" x14ac:dyDescent="0.3">
      <c r="AA3796" t="str">
        <f>IF(COUNTA('Procyfloc AL200'!A297,'Procyfloc AL200'!B297,'Procyfloc AL200'!C297)&gt;0,"AL200","")</f>
        <v/>
      </c>
      <c r="AB3796" t="str">
        <f>IFERROR(IF(ISNUMBER('Procyfloc AL200'!A297),'Procyfloc AL200'!A297,DATEVALUE('Procyfloc AL200'!A297)),"")</f>
        <v/>
      </c>
      <c r="AC3796" t="str">
        <f>IF(AA3796="","",'Procyfloc AL200'!B297)</f>
        <v/>
      </c>
      <c r="AD3796" t="str">
        <f>IF(AA3796="","",IFERROR(1*'Procyfloc AL200'!C297,IFERROR(_xludf.NUMBERVALUE('Procyfloc AL200'!C297,".",","),IFERROR(_xludf.NUMBERVALUE('Procyfloc AL200'!C297,",","."),0))))</f>
        <v/>
      </c>
      <c r="AE3796" t="str">
        <f>IF(AA3796="","",'Procyfloc AL200'!K297)</f>
        <v/>
      </c>
      <c r="AF3796">
        <f t="shared" si="371"/>
        <v>0</v>
      </c>
      <c r="AG3796" t="str">
        <f t="shared" si="372"/>
        <v/>
      </c>
      <c r="AH3796" t="str">
        <f t="shared" si="373"/>
        <v/>
      </c>
      <c r="AI3796">
        <f t="shared" si="374"/>
        <v>0</v>
      </c>
      <c r="AJ3796">
        <f t="shared" si="375"/>
        <v>0</v>
      </c>
      <c r="AK3796">
        <v>0</v>
      </c>
      <c r="AL3796" t="str">
        <f>IF(AA3796="","",IFERROR(IF(ISNUMBER('Procyfloc AL200'!D297),'Procyfloc AL200'!D297,IF(ISNUMBER(SEARCH("12",'Procyfloc AL200'!D297)),EDATE(AB3796,12),IF(ISNUMBER(SEARCH("6",'Procyfloc AL200'!D297)),EDATE(AB3796,6),IF(ISNUMBER(SEARCH("3",'Procyfloc AL200'!D297)),EDATE(AB3796,3),DATEVALUE('Procyfloc AL200'!D297))))),""))</f>
        <v/>
      </c>
      <c r="AM3796" t="str">
        <f t="shared" ca="1" si="376"/>
        <v/>
      </c>
    </row>
    <row r="3797" spans="27:39" x14ac:dyDescent="0.3">
      <c r="AA3797" t="str">
        <f>IF(COUNTA('Procyfloc AL200'!A298,'Procyfloc AL200'!B298,'Procyfloc AL200'!C298)&gt;0,"AL200","")</f>
        <v/>
      </c>
      <c r="AB3797" t="str">
        <f>IFERROR(IF(ISNUMBER('Procyfloc AL200'!A298),'Procyfloc AL200'!A298,DATEVALUE('Procyfloc AL200'!A298)),"")</f>
        <v/>
      </c>
      <c r="AC3797" t="str">
        <f>IF(AA3797="","",'Procyfloc AL200'!B298)</f>
        <v/>
      </c>
      <c r="AD3797" t="str">
        <f>IF(AA3797="","",IFERROR(1*'Procyfloc AL200'!C298,IFERROR(_xludf.NUMBERVALUE('Procyfloc AL200'!C298,".",","),IFERROR(_xludf.NUMBERVALUE('Procyfloc AL200'!C298,",","."),0))))</f>
        <v/>
      </c>
      <c r="AE3797" t="str">
        <f>IF(AA3797="","",'Procyfloc AL200'!K298)</f>
        <v/>
      </c>
      <c r="AF3797">
        <f t="shared" si="371"/>
        <v>0</v>
      </c>
      <c r="AG3797" t="str">
        <f t="shared" si="372"/>
        <v/>
      </c>
      <c r="AH3797" t="str">
        <f t="shared" si="373"/>
        <v/>
      </c>
      <c r="AI3797">
        <f t="shared" si="374"/>
        <v>0</v>
      </c>
      <c r="AJ3797">
        <f t="shared" si="375"/>
        <v>0</v>
      </c>
      <c r="AK3797">
        <v>0</v>
      </c>
      <c r="AL3797" t="str">
        <f>IF(AA3797="","",IFERROR(IF(ISNUMBER('Procyfloc AL200'!D298),'Procyfloc AL200'!D298,IF(ISNUMBER(SEARCH("12",'Procyfloc AL200'!D298)),EDATE(AB3797,12),IF(ISNUMBER(SEARCH("6",'Procyfloc AL200'!D298)),EDATE(AB3797,6),IF(ISNUMBER(SEARCH("3",'Procyfloc AL200'!D298)),EDATE(AB3797,3),DATEVALUE('Procyfloc AL200'!D298))))),""))</f>
        <v/>
      </c>
      <c r="AM3797" t="str">
        <f t="shared" ca="1" si="376"/>
        <v/>
      </c>
    </row>
    <row r="3798" spans="27:39" x14ac:dyDescent="0.3">
      <c r="AA3798" t="str">
        <f>IF(COUNTA('Procyfloc AL200'!A299,'Procyfloc AL200'!B299,'Procyfloc AL200'!C299)&gt;0,"AL200","")</f>
        <v/>
      </c>
      <c r="AB3798" t="str">
        <f>IFERROR(IF(ISNUMBER('Procyfloc AL200'!A299),'Procyfloc AL200'!A299,DATEVALUE('Procyfloc AL200'!A299)),"")</f>
        <v/>
      </c>
      <c r="AC3798" t="str">
        <f>IF(AA3798="","",'Procyfloc AL200'!B299)</f>
        <v/>
      </c>
      <c r="AD3798" t="str">
        <f>IF(AA3798="","",IFERROR(1*'Procyfloc AL200'!C299,IFERROR(_xludf.NUMBERVALUE('Procyfloc AL200'!C299,".",","),IFERROR(_xludf.NUMBERVALUE('Procyfloc AL200'!C299,",","."),0))))</f>
        <v/>
      </c>
      <c r="AE3798" t="str">
        <f>IF(AA3798="","",'Procyfloc AL200'!K299)</f>
        <v/>
      </c>
      <c r="AF3798">
        <f t="shared" si="371"/>
        <v>0</v>
      </c>
      <c r="AG3798" t="str">
        <f t="shared" si="372"/>
        <v/>
      </c>
      <c r="AH3798" t="str">
        <f t="shared" si="373"/>
        <v/>
      </c>
      <c r="AI3798">
        <f t="shared" si="374"/>
        <v>0</v>
      </c>
      <c r="AJ3798">
        <f t="shared" si="375"/>
        <v>0</v>
      </c>
      <c r="AK3798">
        <v>0</v>
      </c>
      <c r="AL3798" t="str">
        <f>IF(AA3798="","",IFERROR(IF(ISNUMBER('Procyfloc AL200'!D299),'Procyfloc AL200'!D299,IF(ISNUMBER(SEARCH("12",'Procyfloc AL200'!D299)),EDATE(AB3798,12),IF(ISNUMBER(SEARCH("6",'Procyfloc AL200'!D299)),EDATE(AB3798,6),IF(ISNUMBER(SEARCH("3",'Procyfloc AL200'!D299)),EDATE(AB3798,3),DATEVALUE('Procyfloc AL200'!D299))))),""))</f>
        <v/>
      </c>
      <c r="AM3798" t="str">
        <f t="shared" ca="1" si="376"/>
        <v/>
      </c>
    </row>
    <row r="3799" spans="27:39" x14ac:dyDescent="0.3">
      <c r="AA3799" t="str">
        <f>IF(COUNTA('Procyfloc AL200'!A300,'Procyfloc AL200'!B300,'Procyfloc AL200'!C300)&gt;0,"AL200","")</f>
        <v/>
      </c>
      <c r="AB3799" t="str">
        <f>IFERROR(IF(ISNUMBER('Procyfloc AL200'!A300),'Procyfloc AL200'!A300,DATEVALUE('Procyfloc AL200'!A300)),"")</f>
        <v/>
      </c>
      <c r="AC3799" t="str">
        <f>IF(AA3799="","",'Procyfloc AL200'!B300)</f>
        <v/>
      </c>
      <c r="AD3799" t="str">
        <f>IF(AA3799="","",IFERROR(1*'Procyfloc AL200'!C300,IFERROR(_xludf.NUMBERVALUE('Procyfloc AL200'!C300,".",","),IFERROR(_xludf.NUMBERVALUE('Procyfloc AL200'!C300,",","."),0))))</f>
        <v/>
      </c>
      <c r="AE3799" t="str">
        <f>IF(AA3799="","",'Procyfloc AL200'!K300)</f>
        <v/>
      </c>
      <c r="AF3799">
        <f t="shared" si="371"/>
        <v>0</v>
      </c>
      <c r="AG3799" t="str">
        <f t="shared" si="372"/>
        <v/>
      </c>
      <c r="AH3799" t="str">
        <f t="shared" si="373"/>
        <v/>
      </c>
      <c r="AI3799">
        <f t="shared" si="374"/>
        <v>0</v>
      </c>
      <c r="AJ3799">
        <f t="shared" si="375"/>
        <v>0</v>
      </c>
      <c r="AK3799">
        <v>0</v>
      </c>
      <c r="AL3799" t="str">
        <f>IF(AA3799="","",IFERROR(IF(ISNUMBER('Procyfloc AL200'!D300),'Procyfloc AL200'!D300,IF(ISNUMBER(SEARCH("12",'Procyfloc AL200'!D300)),EDATE(AB3799,12),IF(ISNUMBER(SEARCH("6",'Procyfloc AL200'!D300)),EDATE(AB3799,6),IF(ISNUMBER(SEARCH("3",'Procyfloc AL200'!D300)),EDATE(AB3799,3),DATEVALUE('Procyfloc AL200'!D300))))),""))</f>
        <v/>
      </c>
      <c r="AM3799" t="str">
        <f t="shared" ca="1" si="376"/>
        <v/>
      </c>
    </row>
    <row r="3800" spans="27:39" x14ac:dyDescent="0.3">
      <c r="AA3800" t="str">
        <f>IF(COUNTA('Procyfloc AL200'!A301,'Procyfloc AL200'!B301,'Procyfloc AL200'!C301)&gt;0,"AL200","")</f>
        <v/>
      </c>
      <c r="AB3800" t="str">
        <f>IFERROR(IF(ISNUMBER('Procyfloc AL200'!A301),'Procyfloc AL200'!A301,DATEVALUE('Procyfloc AL200'!A301)),"")</f>
        <v/>
      </c>
      <c r="AC3800" t="str">
        <f>IF(AA3800="","",'Procyfloc AL200'!B301)</f>
        <v/>
      </c>
      <c r="AD3800" t="str">
        <f>IF(AA3800="","",IFERROR(1*'Procyfloc AL200'!C301,IFERROR(_xludf.NUMBERVALUE('Procyfloc AL200'!C301,".",","),IFERROR(_xludf.NUMBERVALUE('Procyfloc AL200'!C301,",","."),0))))</f>
        <v/>
      </c>
      <c r="AE3800" t="str">
        <f>IF(AA3800="","",'Procyfloc AL200'!K301)</f>
        <v/>
      </c>
      <c r="AF3800">
        <f t="shared" si="371"/>
        <v>0</v>
      </c>
      <c r="AG3800" t="str">
        <f t="shared" si="372"/>
        <v/>
      </c>
      <c r="AH3800" t="str">
        <f t="shared" si="373"/>
        <v/>
      </c>
      <c r="AI3800">
        <f t="shared" si="374"/>
        <v>0</v>
      </c>
      <c r="AJ3800">
        <f t="shared" si="375"/>
        <v>0</v>
      </c>
      <c r="AK3800">
        <v>0</v>
      </c>
      <c r="AL3800" t="str">
        <f>IF(AA3800="","",IFERROR(IF(ISNUMBER('Procyfloc AL200'!D301),'Procyfloc AL200'!D301,IF(ISNUMBER(SEARCH("12",'Procyfloc AL200'!D301)),EDATE(AB3800,12),IF(ISNUMBER(SEARCH("6",'Procyfloc AL200'!D301)),EDATE(AB3800,6),IF(ISNUMBER(SEARCH("3",'Procyfloc AL200'!D301)),EDATE(AB3800,3),DATEVALUE('Procyfloc AL200'!D301))))),""))</f>
        <v/>
      </c>
      <c r="AM3800" t="str">
        <f t="shared" ca="1" si="376"/>
        <v/>
      </c>
    </row>
    <row r="3801" spans="27:39" x14ac:dyDescent="0.3">
      <c r="AA3801" t="str">
        <f>IF(COUNTA('Procyfloc AL200'!A302,'Procyfloc AL200'!B302,'Procyfloc AL200'!C302)&gt;0,"AL200","")</f>
        <v/>
      </c>
      <c r="AB3801" t="str">
        <f>IFERROR(IF(ISNUMBER('Procyfloc AL200'!A302),'Procyfloc AL200'!A302,DATEVALUE('Procyfloc AL200'!A302)),"")</f>
        <v/>
      </c>
      <c r="AC3801" t="str">
        <f>IF(AA3801="","",'Procyfloc AL200'!B302)</f>
        <v/>
      </c>
      <c r="AD3801" t="str">
        <f>IF(AA3801="","",IFERROR(1*'Procyfloc AL200'!C302,IFERROR(_xludf.NUMBERVALUE('Procyfloc AL200'!C302,".",","),IFERROR(_xludf.NUMBERVALUE('Procyfloc AL200'!C302,",","."),0))))</f>
        <v/>
      </c>
      <c r="AE3801" t="str">
        <f>IF(AA3801="","",'Procyfloc AL200'!K302)</f>
        <v/>
      </c>
      <c r="AF3801">
        <f t="shared" si="371"/>
        <v>0</v>
      </c>
      <c r="AG3801" t="str">
        <f t="shared" si="372"/>
        <v/>
      </c>
      <c r="AH3801" t="str">
        <f t="shared" si="373"/>
        <v/>
      </c>
      <c r="AI3801">
        <f t="shared" si="374"/>
        <v>0</v>
      </c>
      <c r="AJ3801">
        <f t="shared" si="375"/>
        <v>0</v>
      </c>
      <c r="AK3801">
        <v>0</v>
      </c>
      <c r="AL3801" t="str">
        <f>IF(AA3801="","",IFERROR(IF(ISNUMBER('Procyfloc AL200'!D302),'Procyfloc AL200'!D302,IF(ISNUMBER(SEARCH("12",'Procyfloc AL200'!D302)),EDATE(AB3801,12),IF(ISNUMBER(SEARCH("6",'Procyfloc AL200'!D302)),EDATE(AB3801,6),IF(ISNUMBER(SEARCH("3",'Procyfloc AL200'!D302)),EDATE(AB3801,3),DATEVALUE('Procyfloc AL200'!D302))))),""))</f>
        <v/>
      </c>
      <c r="AM3801" t="str">
        <f t="shared" ca="1" si="376"/>
        <v/>
      </c>
    </row>
    <row r="3802" spans="27:39" x14ac:dyDescent="0.3">
      <c r="AA3802" t="str">
        <f>IF(COUNTA('Procyfloc AL200'!A303,'Procyfloc AL200'!B303,'Procyfloc AL200'!C303)&gt;0,"AL200","")</f>
        <v/>
      </c>
      <c r="AB3802" t="str">
        <f>IFERROR(IF(ISNUMBER('Procyfloc AL200'!A303),'Procyfloc AL200'!A303,DATEVALUE('Procyfloc AL200'!A303)),"")</f>
        <v/>
      </c>
      <c r="AC3802" t="str">
        <f>IF(AA3802="","",'Procyfloc AL200'!B303)</f>
        <v/>
      </c>
      <c r="AD3802" t="str">
        <f>IF(AA3802="","",IFERROR(1*'Procyfloc AL200'!C303,IFERROR(_xludf.NUMBERVALUE('Procyfloc AL200'!C303,".",","),IFERROR(_xludf.NUMBERVALUE('Procyfloc AL200'!C303,",","."),0))))</f>
        <v/>
      </c>
      <c r="AE3802" t="str">
        <f>IF(AA3802="","",'Procyfloc AL200'!K303)</f>
        <v/>
      </c>
      <c r="AF3802">
        <f t="shared" si="371"/>
        <v>0</v>
      </c>
      <c r="AG3802" t="str">
        <f t="shared" si="372"/>
        <v/>
      </c>
      <c r="AH3802" t="str">
        <f t="shared" si="373"/>
        <v/>
      </c>
      <c r="AI3802">
        <f t="shared" si="374"/>
        <v>0</v>
      </c>
      <c r="AJ3802">
        <f t="shared" si="375"/>
        <v>0</v>
      </c>
      <c r="AK3802">
        <v>0</v>
      </c>
      <c r="AL3802" t="str">
        <f>IF(AA3802="","",IFERROR(IF(ISNUMBER('Procyfloc AL200'!D303),'Procyfloc AL200'!D303,IF(ISNUMBER(SEARCH("12",'Procyfloc AL200'!D303)),EDATE(AB3802,12),IF(ISNUMBER(SEARCH("6",'Procyfloc AL200'!D303)),EDATE(AB3802,6),IF(ISNUMBER(SEARCH("3",'Procyfloc AL200'!D303)),EDATE(AB3802,3),DATEVALUE('Procyfloc AL200'!D303))))),""))</f>
        <v/>
      </c>
      <c r="AM3802" t="str">
        <f t="shared" ca="1" si="376"/>
        <v/>
      </c>
    </row>
    <row r="3803" spans="27:39" x14ac:dyDescent="0.3">
      <c r="AA3803" t="str">
        <f>IF(COUNTA('Procyfloc AL200'!A304,'Procyfloc AL200'!B304,'Procyfloc AL200'!C304)&gt;0,"AL200","")</f>
        <v/>
      </c>
      <c r="AB3803" t="str">
        <f>IFERROR(IF(ISNUMBER('Procyfloc AL200'!A304),'Procyfloc AL200'!A304,DATEVALUE('Procyfloc AL200'!A304)),"")</f>
        <v/>
      </c>
      <c r="AC3803" t="str">
        <f>IF(AA3803="","",'Procyfloc AL200'!B304)</f>
        <v/>
      </c>
      <c r="AD3803" t="str">
        <f>IF(AA3803="","",IFERROR(1*'Procyfloc AL200'!C304,IFERROR(_xludf.NUMBERVALUE('Procyfloc AL200'!C304,".",","),IFERROR(_xludf.NUMBERVALUE('Procyfloc AL200'!C304,",","."),0))))</f>
        <v/>
      </c>
      <c r="AE3803" t="str">
        <f>IF(AA3803="","",'Procyfloc AL200'!K304)</f>
        <v/>
      </c>
      <c r="AF3803">
        <f t="shared" si="371"/>
        <v>0</v>
      </c>
      <c r="AG3803" t="str">
        <f t="shared" si="372"/>
        <v/>
      </c>
      <c r="AH3803" t="str">
        <f t="shared" si="373"/>
        <v/>
      </c>
      <c r="AI3803">
        <f t="shared" si="374"/>
        <v>0</v>
      </c>
      <c r="AJ3803">
        <f t="shared" si="375"/>
        <v>0</v>
      </c>
      <c r="AK3803">
        <v>0</v>
      </c>
      <c r="AL3803" t="str">
        <f>IF(AA3803="","",IFERROR(IF(ISNUMBER('Procyfloc AL200'!D304),'Procyfloc AL200'!D304,IF(ISNUMBER(SEARCH("12",'Procyfloc AL200'!D304)),EDATE(AB3803,12),IF(ISNUMBER(SEARCH("6",'Procyfloc AL200'!D304)),EDATE(AB3803,6),IF(ISNUMBER(SEARCH("3",'Procyfloc AL200'!D304)),EDATE(AB3803,3),DATEVALUE('Procyfloc AL200'!D304))))),""))</f>
        <v/>
      </c>
      <c r="AM3803" t="str">
        <f t="shared" ca="1" si="376"/>
        <v/>
      </c>
    </row>
    <row r="3804" spans="27:39" x14ac:dyDescent="0.3">
      <c r="AA3804" t="str">
        <f>IF(COUNTA('Procyfloc AL200'!A305,'Procyfloc AL200'!B305,'Procyfloc AL200'!C305)&gt;0,"AL200","")</f>
        <v/>
      </c>
      <c r="AB3804" t="str">
        <f>IFERROR(IF(ISNUMBER('Procyfloc AL200'!A305),'Procyfloc AL200'!A305,DATEVALUE('Procyfloc AL200'!A305)),"")</f>
        <v/>
      </c>
      <c r="AC3804" t="str">
        <f>IF(AA3804="","",'Procyfloc AL200'!B305)</f>
        <v/>
      </c>
      <c r="AD3804" t="str">
        <f>IF(AA3804="","",IFERROR(1*'Procyfloc AL200'!C305,IFERROR(_xludf.NUMBERVALUE('Procyfloc AL200'!C305,".",","),IFERROR(_xludf.NUMBERVALUE('Procyfloc AL200'!C305,",","."),0))))</f>
        <v/>
      </c>
      <c r="AE3804" t="str">
        <f>IF(AA3804="","",'Procyfloc AL200'!K305)</f>
        <v/>
      </c>
      <c r="AF3804">
        <f t="shared" si="371"/>
        <v>0</v>
      </c>
      <c r="AG3804" t="str">
        <f t="shared" si="372"/>
        <v/>
      </c>
      <c r="AH3804" t="str">
        <f t="shared" si="373"/>
        <v/>
      </c>
      <c r="AI3804">
        <f t="shared" si="374"/>
        <v>0</v>
      </c>
      <c r="AJ3804">
        <f t="shared" si="375"/>
        <v>0</v>
      </c>
      <c r="AK3804">
        <v>0</v>
      </c>
      <c r="AL3804" t="str">
        <f>IF(AA3804="","",IFERROR(IF(ISNUMBER('Procyfloc AL200'!D305),'Procyfloc AL200'!D305,IF(ISNUMBER(SEARCH("12",'Procyfloc AL200'!D305)),EDATE(AB3804,12),IF(ISNUMBER(SEARCH("6",'Procyfloc AL200'!D305)),EDATE(AB3804,6),IF(ISNUMBER(SEARCH("3",'Procyfloc AL200'!D305)),EDATE(AB3804,3),DATEVALUE('Procyfloc AL200'!D305))))),""))</f>
        <v/>
      </c>
      <c r="AM3804" t="str">
        <f t="shared" ca="1" si="376"/>
        <v/>
      </c>
    </row>
    <row r="3805" spans="27:39" x14ac:dyDescent="0.3">
      <c r="AA3805" t="str">
        <f>IF(COUNTA('Procyfloc AL200'!A306,'Procyfloc AL200'!B306,'Procyfloc AL200'!C306)&gt;0,"AL200","")</f>
        <v/>
      </c>
      <c r="AB3805" t="str">
        <f>IFERROR(IF(ISNUMBER('Procyfloc AL200'!A306),'Procyfloc AL200'!A306,DATEVALUE('Procyfloc AL200'!A306)),"")</f>
        <v/>
      </c>
      <c r="AC3805" t="str">
        <f>IF(AA3805="","",'Procyfloc AL200'!B306)</f>
        <v/>
      </c>
      <c r="AD3805" t="str">
        <f>IF(AA3805="","",IFERROR(1*'Procyfloc AL200'!C306,IFERROR(_xludf.NUMBERVALUE('Procyfloc AL200'!C306,".",","),IFERROR(_xludf.NUMBERVALUE('Procyfloc AL200'!C306,",","."),0))))</f>
        <v/>
      </c>
      <c r="AE3805" t="str">
        <f>IF(AA3805="","",'Procyfloc AL200'!K306)</f>
        <v/>
      </c>
      <c r="AF3805">
        <f t="shared" si="371"/>
        <v>0</v>
      </c>
      <c r="AG3805" t="str">
        <f t="shared" si="372"/>
        <v/>
      </c>
      <c r="AH3805" t="str">
        <f t="shared" si="373"/>
        <v/>
      </c>
      <c r="AI3805">
        <f t="shared" si="374"/>
        <v>0</v>
      </c>
      <c r="AJ3805">
        <f t="shared" si="375"/>
        <v>0</v>
      </c>
      <c r="AK3805">
        <v>0</v>
      </c>
      <c r="AL3805" t="str">
        <f>IF(AA3805="","",IFERROR(IF(ISNUMBER('Procyfloc AL200'!D306),'Procyfloc AL200'!D306,IF(ISNUMBER(SEARCH("12",'Procyfloc AL200'!D306)),EDATE(AB3805,12),IF(ISNUMBER(SEARCH("6",'Procyfloc AL200'!D306)),EDATE(AB3805,6),IF(ISNUMBER(SEARCH("3",'Procyfloc AL200'!D306)),EDATE(AB3805,3),DATEVALUE('Procyfloc AL200'!D306))))),""))</f>
        <v/>
      </c>
      <c r="AM3805" t="str">
        <f t="shared" ca="1" si="376"/>
        <v/>
      </c>
    </row>
    <row r="3806" spans="27:39" x14ac:dyDescent="0.3">
      <c r="AA3806" t="str">
        <f>IF(COUNTA('Procyfloc AL200'!A307,'Procyfloc AL200'!B307,'Procyfloc AL200'!C307)&gt;0,"AL200","")</f>
        <v/>
      </c>
      <c r="AB3806" t="str">
        <f>IFERROR(IF(ISNUMBER('Procyfloc AL200'!A307),'Procyfloc AL200'!A307,DATEVALUE('Procyfloc AL200'!A307)),"")</f>
        <v/>
      </c>
      <c r="AC3806" t="str">
        <f>IF(AA3806="","",'Procyfloc AL200'!B307)</f>
        <v/>
      </c>
      <c r="AD3806" t="str">
        <f>IF(AA3806="","",IFERROR(1*'Procyfloc AL200'!C307,IFERROR(_xludf.NUMBERVALUE('Procyfloc AL200'!C307,".",","),IFERROR(_xludf.NUMBERVALUE('Procyfloc AL200'!C307,",","."),0))))</f>
        <v/>
      </c>
      <c r="AE3806" t="str">
        <f>IF(AA3806="","",'Procyfloc AL200'!K307)</f>
        <v/>
      </c>
      <c r="AF3806">
        <f t="shared" si="371"/>
        <v>0</v>
      </c>
      <c r="AG3806" t="str">
        <f t="shared" si="372"/>
        <v/>
      </c>
      <c r="AH3806" t="str">
        <f t="shared" si="373"/>
        <v/>
      </c>
      <c r="AI3806">
        <f t="shared" si="374"/>
        <v>0</v>
      </c>
      <c r="AJ3806">
        <f t="shared" si="375"/>
        <v>0</v>
      </c>
      <c r="AK3806">
        <v>0</v>
      </c>
      <c r="AL3806" t="str">
        <f>IF(AA3806="","",IFERROR(IF(ISNUMBER('Procyfloc AL200'!D307),'Procyfloc AL200'!D307,IF(ISNUMBER(SEARCH("12",'Procyfloc AL200'!D307)),EDATE(AB3806,12),IF(ISNUMBER(SEARCH("6",'Procyfloc AL200'!D307)),EDATE(AB3806,6),IF(ISNUMBER(SEARCH("3",'Procyfloc AL200'!D307)),EDATE(AB3806,3),DATEVALUE('Procyfloc AL200'!D307))))),""))</f>
        <v/>
      </c>
      <c r="AM3806" t="str">
        <f t="shared" ca="1" si="376"/>
        <v/>
      </c>
    </row>
    <row r="3807" spans="27:39" x14ac:dyDescent="0.3">
      <c r="AA3807" t="str">
        <f>IF(COUNTA('Procyfloc AL200'!A308,'Procyfloc AL200'!B308,'Procyfloc AL200'!C308)&gt;0,"AL200","")</f>
        <v/>
      </c>
      <c r="AB3807" t="str">
        <f>IFERROR(IF(ISNUMBER('Procyfloc AL200'!A308),'Procyfloc AL200'!A308,DATEVALUE('Procyfloc AL200'!A308)),"")</f>
        <v/>
      </c>
      <c r="AC3807" t="str">
        <f>IF(AA3807="","",'Procyfloc AL200'!B308)</f>
        <v/>
      </c>
      <c r="AD3807" t="str">
        <f>IF(AA3807="","",IFERROR(1*'Procyfloc AL200'!C308,IFERROR(_xludf.NUMBERVALUE('Procyfloc AL200'!C308,".",","),IFERROR(_xludf.NUMBERVALUE('Procyfloc AL200'!C308,",","."),0))))</f>
        <v/>
      </c>
      <c r="AE3807" t="str">
        <f>IF(AA3807="","",'Procyfloc AL200'!K308)</f>
        <v/>
      </c>
      <c r="AF3807">
        <f t="shared" si="371"/>
        <v>0</v>
      </c>
      <c r="AG3807" t="str">
        <f t="shared" si="372"/>
        <v/>
      </c>
      <c r="AH3807" t="str">
        <f t="shared" si="373"/>
        <v/>
      </c>
      <c r="AI3807">
        <f t="shared" si="374"/>
        <v>0</v>
      </c>
      <c r="AJ3807">
        <f t="shared" si="375"/>
        <v>0</v>
      </c>
      <c r="AK3807">
        <v>0</v>
      </c>
      <c r="AL3807" t="str">
        <f>IF(AA3807="","",IFERROR(IF(ISNUMBER('Procyfloc AL200'!D308),'Procyfloc AL200'!D308,IF(ISNUMBER(SEARCH("12",'Procyfloc AL200'!D308)),EDATE(AB3807,12),IF(ISNUMBER(SEARCH("6",'Procyfloc AL200'!D308)),EDATE(AB3807,6),IF(ISNUMBER(SEARCH("3",'Procyfloc AL200'!D308)),EDATE(AB3807,3),DATEVALUE('Procyfloc AL200'!D308))))),""))</f>
        <v/>
      </c>
      <c r="AM3807" t="str">
        <f t="shared" ca="1" si="376"/>
        <v/>
      </c>
    </row>
    <row r="3808" spans="27:39" x14ac:dyDescent="0.3">
      <c r="AA3808" t="str">
        <f>IF(COUNTA('Procyfloc AL200'!A309,'Procyfloc AL200'!B309,'Procyfloc AL200'!C309)&gt;0,"AL200","")</f>
        <v/>
      </c>
      <c r="AB3808" t="str">
        <f>IFERROR(IF(ISNUMBER('Procyfloc AL200'!A309),'Procyfloc AL200'!A309,DATEVALUE('Procyfloc AL200'!A309)),"")</f>
        <v/>
      </c>
      <c r="AC3808" t="str">
        <f>IF(AA3808="","",'Procyfloc AL200'!B309)</f>
        <v/>
      </c>
      <c r="AD3808" t="str">
        <f>IF(AA3808="","",IFERROR(1*'Procyfloc AL200'!C309,IFERROR(_xludf.NUMBERVALUE('Procyfloc AL200'!C309,".",","),IFERROR(_xludf.NUMBERVALUE('Procyfloc AL200'!C309,",","."),0))))</f>
        <v/>
      </c>
      <c r="AE3808" t="str">
        <f>IF(AA3808="","",'Procyfloc AL200'!K309)</f>
        <v/>
      </c>
      <c r="AF3808">
        <f t="shared" si="371"/>
        <v>0</v>
      </c>
      <c r="AG3808" t="str">
        <f t="shared" si="372"/>
        <v/>
      </c>
      <c r="AH3808" t="str">
        <f t="shared" si="373"/>
        <v/>
      </c>
      <c r="AI3808">
        <f t="shared" si="374"/>
        <v>0</v>
      </c>
      <c r="AJ3808">
        <f t="shared" si="375"/>
        <v>0</v>
      </c>
      <c r="AK3808">
        <v>0</v>
      </c>
      <c r="AL3808" t="str">
        <f>IF(AA3808="","",IFERROR(IF(ISNUMBER('Procyfloc AL200'!D309),'Procyfloc AL200'!D309,IF(ISNUMBER(SEARCH("12",'Procyfloc AL200'!D309)),EDATE(AB3808,12),IF(ISNUMBER(SEARCH("6",'Procyfloc AL200'!D309)),EDATE(AB3808,6),IF(ISNUMBER(SEARCH("3",'Procyfloc AL200'!D309)),EDATE(AB3808,3),DATEVALUE('Procyfloc AL200'!D309))))),""))</f>
        <v/>
      </c>
      <c r="AM3808" t="str">
        <f t="shared" ca="1" si="376"/>
        <v/>
      </c>
    </row>
    <row r="3809" spans="27:39" x14ac:dyDescent="0.3">
      <c r="AA3809" t="str">
        <f>IF(COUNTA('Procyfloc AL200'!A310,'Procyfloc AL200'!B310,'Procyfloc AL200'!C310)&gt;0,"AL200","")</f>
        <v/>
      </c>
      <c r="AB3809" t="str">
        <f>IFERROR(IF(ISNUMBER('Procyfloc AL200'!A310),'Procyfloc AL200'!A310,DATEVALUE('Procyfloc AL200'!A310)),"")</f>
        <v/>
      </c>
      <c r="AC3809" t="str">
        <f>IF(AA3809="","",'Procyfloc AL200'!B310)</f>
        <v/>
      </c>
      <c r="AD3809" t="str">
        <f>IF(AA3809="","",IFERROR(1*'Procyfloc AL200'!C310,IFERROR(_xludf.NUMBERVALUE('Procyfloc AL200'!C310,".",","),IFERROR(_xludf.NUMBERVALUE('Procyfloc AL200'!C310,",","."),0))))</f>
        <v/>
      </c>
      <c r="AE3809" t="str">
        <f>IF(AA3809="","",'Procyfloc AL200'!K310)</f>
        <v/>
      </c>
      <c r="AF3809">
        <f t="shared" si="371"/>
        <v>0</v>
      </c>
      <c r="AG3809" t="str">
        <f t="shared" si="372"/>
        <v/>
      </c>
      <c r="AH3809" t="str">
        <f t="shared" si="373"/>
        <v/>
      </c>
      <c r="AI3809">
        <f t="shared" si="374"/>
        <v>0</v>
      </c>
      <c r="AJ3809">
        <f t="shared" si="375"/>
        <v>0</v>
      </c>
      <c r="AK3809">
        <v>0</v>
      </c>
      <c r="AL3809" t="str">
        <f>IF(AA3809="","",IFERROR(IF(ISNUMBER('Procyfloc AL200'!D310),'Procyfloc AL200'!D310,IF(ISNUMBER(SEARCH("12",'Procyfloc AL200'!D310)),EDATE(AB3809,12),IF(ISNUMBER(SEARCH("6",'Procyfloc AL200'!D310)),EDATE(AB3809,6),IF(ISNUMBER(SEARCH("3",'Procyfloc AL200'!D310)),EDATE(AB3809,3),DATEVALUE('Procyfloc AL200'!D310))))),""))</f>
        <v/>
      </c>
      <c r="AM3809" t="str">
        <f t="shared" ca="1" si="376"/>
        <v/>
      </c>
    </row>
    <row r="3810" spans="27:39" x14ac:dyDescent="0.3">
      <c r="AA3810" t="str">
        <f>IF(COUNTA('Procyfloc AL200'!A311,'Procyfloc AL200'!B311,'Procyfloc AL200'!C311)&gt;0,"AL200","")</f>
        <v/>
      </c>
      <c r="AB3810" t="str">
        <f>IFERROR(IF(ISNUMBER('Procyfloc AL200'!A311),'Procyfloc AL200'!A311,DATEVALUE('Procyfloc AL200'!A311)),"")</f>
        <v/>
      </c>
      <c r="AC3810" t="str">
        <f>IF(AA3810="","",'Procyfloc AL200'!B311)</f>
        <v/>
      </c>
      <c r="AD3810" t="str">
        <f>IF(AA3810="","",IFERROR(1*'Procyfloc AL200'!C311,IFERROR(_xludf.NUMBERVALUE('Procyfloc AL200'!C311,".",","),IFERROR(_xludf.NUMBERVALUE('Procyfloc AL200'!C311,",","."),0))))</f>
        <v/>
      </c>
      <c r="AE3810" t="str">
        <f>IF(AA3810="","",'Procyfloc AL200'!K311)</f>
        <v/>
      </c>
      <c r="AF3810">
        <f t="shared" si="371"/>
        <v>0</v>
      </c>
      <c r="AG3810" t="str">
        <f t="shared" si="372"/>
        <v/>
      </c>
      <c r="AH3810" t="str">
        <f t="shared" si="373"/>
        <v/>
      </c>
      <c r="AI3810">
        <f t="shared" si="374"/>
        <v>0</v>
      </c>
      <c r="AJ3810">
        <f t="shared" si="375"/>
        <v>0</v>
      </c>
      <c r="AK3810">
        <v>0</v>
      </c>
      <c r="AL3810" t="str">
        <f>IF(AA3810="","",IFERROR(IF(ISNUMBER('Procyfloc AL200'!D311),'Procyfloc AL200'!D311,IF(ISNUMBER(SEARCH("12",'Procyfloc AL200'!D311)),EDATE(AB3810,12),IF(ISNUMBER(SEARCH("6",'Procyfloc AL200'!D311)),EDATE(AB3810,6),IF(ISNUMBER(SEARCH("3",'Procyfloc AL200'!D311)),EDATE(AB3810,3),DATEVALUE('Procyfloc AL200'!D311))))),""))</f>
        <v/>
      </c>
      <c r="AM3810" t="str">
        <f t="shared" ca="1" si="376"/>
        <v/>
      </c>
    </row>
    <row r="3811" spans="27:39" x14ac:dyDescent="0.3">
      <c r="AA3811" t="str">
        <f>IF(COUNTA('Procyfloc AL200'!A312,'Procyfloc AL200'!B312,'Procyfloc AL200'!C312)&gt;0,"AL200","")</f>
        <v/>
      </c>
      <c r="AB3811" t="str">
        <f>IFERROR(IF(ISNUMBER('Procyfloc AL200'!A312),'Procyfloc AL200'!A312,DATEVALUE('Procyfloc AL200'!A312)),"")</f>
        <v/>
      </c>
      <c r="AC3811" t="str">
        <f>IF(AA3811="","",'Procyfloc AL200'!B312)</f>
        <v/>
      </c>
      <c r="AD3811" t="str">
        <f>IF(AA3811="","",IFERROR(1*'Procyfloc AL200'!C312,IFERROR(_xludf.NUMBERVALUE('Procyfloc AL200'!C312,".",","),IFERROR(_xludf.NUMBERVALUE('Procyfloc AL200'!C312,",","."),0))))</f>
        <v/>
      </c>
      <c r="AE3811" t="str">
        <f>IF(AA3811="","",'Procyfloc AL200'!K312)</f>
        <v/>
      </c>
      <c r="AF3811">
        <f t="shared" si="371"/>
        <v>0</v>
      </c>
      <c r="AG3811" t="str">
        <f t="shared" si="372"/>
        <v/>
      </c>
      <c r="AH3811" t="str">
        <f t="shared" si="373"/>
        <v/>
      </c>
      <c r="AI3811">
        <f t="shared" si="374"/>
        <v>0</v>
      </c>
      <c r="AJ3811">
        <f t="shared" si="375"/>
        <v>0</v>
      </c>
      <c r="AK3811">
        <v>0</v>
      </c>
      <c r="AL3811" t="str">
        <f>IF(AA3811="","",IFERROR(IF(ISNUMBER('Procyfloc AL200'!D312),'Procyfloc AL200'!D312,IF(ISNUMBER(SEARCH("12",'Procyfloc AL200'!D312)),EDATE(AB3811,12),IF(ISNUMBER(SEARCH("6",'Procyfloc AL200'!D312)),EDATE(AB3811,6),IF(ISNUMBER(SEARCH("3",'Procyfloc AL200'!D312)),EDATE(AB3811,3),DATEVALUE('Procyfloc AL200'!D312))))),""))</f>
        <v/>
      </c>
      <c r="AM3811" t="str">
        <f t="shared" ca="1" si="376"/>
        <v/>
      </c>
    </row>
    <row r="3812" spans="27:39" x14ac:dyDescent="0.3">
      <c r="AA3812" t="str">
        <f>IF(COUNTA('Procyfloc AL200'!A313,'Procyfloc AL200'!B313,'Procyfloc AL200'!C313)&gt;0,"AL200","")</f>
        <v/>
      </c>
      <c r="AB3812" t="str">
        <f>IFERROR(IF(ISNUMBER('Procyfloc AL200'!A313),'Procyfloc AL200'!A313,DATEVALUE('Procyfloc AL200'!A313)),"")</f>
        <v/>
      </c>
      <c r="AC3812" t="str">
        <f>IF(AA3812="","",'Procyfloc AL200'!B313)</f>
        <v/>
      </c>
      <c r="AD3812" t="str">
        <f>IF(AA3812="","",IFERROR(1*'Procyfloc AL200'!C313,IFERROR(_xludf.NUMBERVALUE('Procyfloc AL200'!C313,".",","),IFERROR(_xludf.NUMBERVALUE('Procyfloc AL200'!C313,",","."),0))))</f>
        <v/>
      </c>
      <c r="AE3812" t="str">
        <f>IF(AA3812="","",'Procyfloc AL200'!K313)</f>
        <v/>
      </c>
      <c r="AF3812">
        <f t="shared" si="371"/>
        <v>0</v>
      </c>
      <c r="AG3812" t="str">
        <f t="shared" si="372"/>
        <v/>
      </c>
      <c r="AH3812" t="str">
        <f t="shared" si="373"/>
        <v/>
      </c>
      <c r="AI3812">
        <f t="shared" si="374"/>
        <v>0</v>
      </c>
      <c r="AJ3812">
        <f t="shared" si="375"/>
        <v>0</v>
      </c>
      <c r="AK3812">
        <v>0</v>
      </c>
      <c r="AL3812" t="str">
        <f>IF(AA3812="","",IFERROR(IF(ISNUMBER('Procyfloc AL200'!D313),'Procyfloc AL200'!D313,IF(ISNUMBER(SEARCH("12",'Procyfloc AL200'!D313)),EDATE(AB3812,12),IF(ISNUMBER(SEARCH("6",'Procyfloc AL200'!D313)),EDATE(AB3812,6),IF(ISNUMBER(SEARCH("3",'Procyfloc AL200'!D313)),EDATE(AB3812,3),DATEVALUE('Procyfloc AL200'!D313))))),""))</f>
        <v/>
      </c>
      <c r="AM3812" t="str">
        <f t="shared" ca="1" si="376"/>
        <v/>
      </c>
    </row>
    <row r="3813" spans="27:39" x14ac:dyDescent="0.3">
      <c r="AA3813" t="str">
        <f>IF(COUNTA('Procyfloc AL200'!A314,'Procyfloc AL200'!B314,'Procyfloc AL200'!C314)&gt;0,"AL200","")</f>
        <v/>
      </c>
      <c r="AB3813" t="str">
        <f>IFERROR(IF(ISNUMBER('Procyfloc AL200'!A314),'Procyfloc AL200'!A314,DATEVALUE('Procyfloc AL200'!A314)),"")</f>
        <v/>
      </c>
      <c r="AC3813" t="str">
        <f>IF(AA3813="","",'Procyfloc AL200'!B314)</f>
        <v/>
      </c>
      <c r="AD3813" t="str">
        <f>IF(AA3813="","",IFERROR(1*'Procyfloc AL200'!C314,IFERROR(_xludf.NUMBERVALUE('Procyfloc AL200'!C314,".",","),IFERROR(_xludf.NUMBERVALUE('Procyfloc AL200'!C314,",","."),0))))</f>
        <v/>
      </c>
      <c r="AE3813" t="str">
        <f>IF(AA3813="","",'Procyfloc AL200'!K314)</f>
        <v/>
      </c>
      <c r="AF3813">
        <f t="shared" si="371"/>
        <v>0</v>
      </c>
      <c r="AG3813" t="str">
        <f t="shared" si="372"/>
        <v/>
      </c>
      <c r="AH3813" t="str">
        <f t="shared" si="373"/>
        <v/>
      </c>
      <c r="AI3813">
        <f t="shared" si="374"/>
        <v>0</v>
      </c>
      <c r="AJ3813">
        <f t="shared" si="375"/>
        <v>0</v>
      </c>
      <c r="AK3813">
        <v>0</v>
      </c>
      <c r="AL3813" t="str">
        <f>IF(AA3813="","",IFERROR(IF(ISNUMBER('Procyfloc AL200'!D314),'Procyfloc AL200'!D314,IF(ISNUMBER(SEARCH("12",'Procyfloc AL200'!D314)),EDATE(AB3813,12),IF(ISNUMBER(SEARCH("6",'Procyfloc AL200'!D314)),EDATE(AB3813,6),IF(ISNUMBER(SEARCH("3",'Procyfloc AL200'!D314)),EDATE(AB3813,3),DATEVALUE('Procyfloc AL200'!D314))))),""))</f>
        <v/>
      </c>
      <c r="AM3813" t="str">
        <f t="shared" ca="1" si="376"/>
        <v/>
      </c>
    </row>
    <row r="3814" spans="27:39" x14ac:dyDescent="0.3">
      <c r="AA3814" t="str">
        <f>IF(COUNTA('Procyfloc AL200'!A315,'Procyfloc AL200'!B315,'Procyfloc AL200'!C315)&gt;0,"AL200","")</f>
        <v/>
      </c>
      <c r="AB3814" t="str">
        <f>IFERROR(IF(ISNUMBER('Procyfloc AL200'!A315),'Procyfloc AL200'!A315,DATEVALUE('Procyfloc AL200'!A315)),"")</f>
        <v/>
      </c>
      <c r="AC3814" t="str">
        <f>IF(AA3814="","",'Procyfloc AL200'!B315)</f>
        <v/>
      </c>
      <c r="AD3814" t="str">
        <f>IF(AA3814="","",IFERROR(1*'Procyfloc AL200'!C315,IFERROR(_xludf.NUMBERVALUE('Procyfloc AL200'!C315,".",","),IFERROR(_xludf.NUMBERVALUE('Procyfloc AL200'!C315,",","."),0))))</f>
        <v/>
      </c>
      <c r="AE3814" t="str">
        <f>IF(AA3814="","",'Procyfloc AL200'!K315)</f>
        <v/>
      </c>
      <c r="AF3814">
        <f t="shared" si="371"/>
        <v>0</v>
      </c>
      <c r="AG3814" t="str">
        <f t="shared" si="372"/>
        <v/>
      </c>
      <c r="AH3814" t="str">
        <f t="shared" si="373"/>
        <v/>
      </c>
      <c r="AI3814">
        <f t="shared" si="374"/>
        <v>0</v>
      </c>
      <c r="AJ3814">
        <f t="shared" si="375"/>
        <v>0</v>
      </c>
      <c r="AK3814">
        <v>0</v>
      </c>
      <c r="AL3814" t="str">
        <f>IF(AA3814="","",IFERROR(IF(ISNUMBER('Procyfloc AL200'!D315),'Procyfloc AL200'!D315,IF(ISNUMBER(SEARCH("12",'Procyfloc AL200'!D315)),EDATE(AB3814,12),IF(ISNUMBER(SEARCH("6",'Procyfloc AL200'!D315)),EDATE(AB3814,6),IF(ISNUMBER(SEARCH("3",'Procyfloc AL200'!D315)),EDATE(AB3814,3),DATEVALUE('Procyfloc AL200'!D315))))),""))</f>
        <v/>
      </c>
      <c r="AM3814" t="str">
        <f t="shared" ca="1" si="376"/>
        <v/>
      </c>
    </row>
    <row r="3815" spans="27:39" x14ac:dyDescent="0.3">
      <c r="AA3815" t="str">
        <f>IF(COUNTA('Procyfloc AL200'!A316,'Procyfloc AL200'!B316,'Procyfloc AL200'!C316)&gt;0,"AL200","")</f>
        <v/>
      </c>
      <c r="AB3815" t="str">
        <f>IFERROR(IF(ISNUMBER('Procyfloc AL200'!A316),'Procyfloc AL200'!A316,DATEVALUE('Procyfloc AL200'!A316)),"")</f>
        <v/>
      </c>
      <c r="AC3815" t="str">
        <f>IF(AA3815="","",'Procyfloc AL200'!B316)</f>
        <v/>
      </c>
      <c r="AD3815" t="str">
        <f>IF(AA3815="","",IFERROR(1*'Procyfloc AL200'!C316,IFERROR(_xludf.NUMBERVALUE('Procyfloc AL200'!C316,".",","),IFERROR(_xludf.NUMBERVALUE('Procyfloc AL200'!C316,",","."),0))))</f>
        <v/>
      </c>
      <c r="AE3815" t="str">
        <f>IF(AA3815="","",'Procyfloc AL200'!K316)</f>
        <v/>
      </c>
      <c r="AF3815">
        <f t="shared" si="371"/>
        <v>0</v>
      </c>
      <c r="AG3815" t="str">
        <f t="shared" si="372"/>
        <v/>
      </c>
      <c r="AH3815" t="str">
        <f t="shared" si="373"/>
        <v/>
      </c>
      <c r="AI3815">
        <f t="shared" si="374"/>
        <v>0</v>
      </c>
      <c r="AJ3815">
        <f t="shared" si="375"/>
        <v>0</v>
      </c>
      <c r="AK3815">
        <v>0</v>
      </c>
      <c r="AL3815" t="str">
        <f>IF(AA3815="","",IFERROR(IF(ISNUMBER('Procyfloc AL200'!D316),'Procyfloc AL200'!D316,IF(ISNUMBER(SEARCH("12",'Procyfloc AL200'!D316)),EDATE(AB3815,12),IF(ISNUMBER(SEARCH("6",'Procyfloc AL200'!D316)),EDATE(AB3815,6),IF(ISNUMBER(SEARCH("3",'Procyfloc AL200'!D316)),EDATE(AB3815,3),DATEVALUE('Procyfloc AL200'!D316))))),""))</f>
        <v/>
      </c>
      <c r="AM3815" t="str">
        <f t="shared" ca="1" si="376"/>
        <v/>
      </c>
    </row>
    <row r="3816" spans="27:39" x14ac:dyDescent="0.3">
      <c r="AA3816" t="str">
        <f>IF(COUNTA('Procyfloc AL200'!A317,'Procyfloc AL200'!B317,'Procyfloc AL200'!C317)&gt;0,"AL200","")</f>
        <v/>
      </c>
      <c r="AB3816" t="str">
        <f>IFERROR(IF(ISNUMBER('Procyfloc AL200'!A317),'Procyfloc AL200'!A317,DATEVALUE('Procyfloc AL200'!A317)),"")</f>
        <v/>
      </c>
      <c r="AC3816" t="str">
        <f>IF(AA3816="","",'Procyfloc AL200'!B317)</f>
        <v/>
      </c>
      <c r="AD3816" t="str">
        <f>IF(AA3816="","",IFERROR(1*'Procyfloc AL200'!C317,IFERROR(_xludf.NUMBERVALUE('Procyfloc AL200'!C317,".",","),IFERROR(_xludf.NUMBERVALUE('Procyfloc AL200'!C317,",","."),0))))</f>
        <v/>
      </c>
      <c r="AE3816" t="str">
        <f>IF(AA3816="","",'Procyfloc AL200'!K317)</f>
        <v/>
      </c>
      <c r="AF3816">
        <f t="shared" si="371"/>
        <v>0</v>
      </c>
      <c r="AG3816" t="str">
        <f t="shared" si="372"/>
        <v/>
      </c>
      <c r="AH3816" t="str">
        <f t="shared" si="373"/>
        <v/>
      </c>
      <c r="AI3816">
        <f t="shared" si="374"/>
        <v>0</v>
      </c>
      <c r="AJ3816">
        <f t="shared" si="375"/>
        <v>0</v>
      </c>
      <c r="AK3816">
        <v>0</v>
      </c>
      <c r="AL3816" t="str">
        <f>IF(AA3816="","",IFERROR(IF(ISNUMBER('Procyfloc AL200'!D317),'Procyfloc AL200'!D317,IF(ISNUMBER(SEARCH("12",'Procyfloc AL200'!D317)),EDATE(AB3816,12),IF(ISNUMBER(SEARCH("6",'Procyfloc AL200'!D317)),EDATE(AB3816,6),IF(ISNUMBER(SEARCH("3",'Procyfloc AL200'!D317)),EDATE(AB3816,3),DATEVALUE('Procyfloc AL200'!D317))))),""))</f>
        <v/>
      </c>
      <c r="AM3816" t="str">
        <f t="shared" ca="1" si="376"/>
        <v/>
      </c>
    </row>
    <row r="3817" spans="27:39" x14ac:dyDescent="0.3">
      <c r="AA3817" t="str">
        <f>IF(COUNTA('Procyfloc AL200'!A318,'Procyfloc AL200'!B318,'Procyfloc AL200'!C318)&gt;0,"AL200","")</f>
        <v/>
      </c>
      <c r="AB3817" t="str">
        <f>IFERROR(IF(ISNUMBER('Procyfloc AL200'!A318),'Procyfloc AL200'!A318,DATEVALUE('Procyfloc AL200'!A318)),"")</f>
        <v/>
      </c>
      <c r="AC3817" t="str">
        <f>IF(AA3817="","",'Procyfloc AL200'!B318)</f>
        <v/>
      </c>
      <c r="AD3817" t="str">
        <f>IF(AA3817="","",IFERROR(1*'Procyfloc AL200'!C318,IFERROR(_xludf.NUMBERVALUE('Procyfloc AL200'!C318,".",","),IFERROR(_xludf.NUMBERVALUE('Procyfloc AL200'!C318,",","."),0))))</f>
        <v/>
      </c>
      <c r="AE3817" t="str">
        <f>IF(AA3817="","",'Procyfloc AL200'!K318)</f>
        <v/>
      </c>
      <c r="AF3817">
        <f t="shared" si="371"/>
        <v>0</v>
      </c>
      <c r="AG3817" t="str">
        <f t="shared" si="372"/>
        <v/>
      </c>
      <c r="AH3817" t="str">
        <f t="shared" si="373"/>
        <v/>
      </c>
      <c r="AI3817">
        <f t="shared" si="374"/>
        <v>0</v>
      </c>
      <c r="AJ3817">
        <f t="shared" si="375"/>
        <v>0</v>
      </c>
      <c r="AK3817">
        <v>0</v>
      </c>
      <c r="AL3817" t="str">
        <f>IF(AA3817="","",IFERROR(IF(ISNUMBER('Procyfloc AL200'!D318),'Procyfloc AL200'!D318,IF(ISNUMBER(SEARCH("12",'Procyfloc AL200'!D318)),EDATE(AB3817,12),IF(ISNUMBER(SEARCH("6",'Procyfloc AL200'!D318)),EDATE(AB3817,6),IF(ISNUMBER(SEARCH("3",'Procyfloc AL200'!D318)),EDATE(AB3817,3),DATEVALUE('Procyfloc AL200'!D318))))),""))</f>
        <v/>
      </c>
      <c r="AM3817" t="str">
        <f t="shared" ca="1" si="376"/>
        <v/>
      </c>
    </row>
    <row r="3818" spans="27:39" x14ac:dyDescent="0.3">
      <c r="AA3818" t="str">
        <f>IF(COUNTA('Procyfloc AL200'!A319,'Procyfloc AL200'!B319,'Procyfloc AL200'!C319)&gt;0,"AL200","")</f>
        <v/>
      </c>
      <c r="AB3818" t="str">
        <f>IFERROR(IF(ISNUMBER('Procyfloc AL200'!A319),'Procyfloc AL200'!A319,DATEVALUE('Procyfloc AL200'!A319)),"")</f>
        <v/>
      </c>
      <c r="AC3818" t="str">
        <f>IF(AA3818="","",'Procyfloc AL200'!B319)</f>
        <v/>
      </c>
      <c r="AD3818" t="str">
        <f>IF(AA3818="","",IFERROR(1*'Procyfloc AL200'!C319,IFERROR(_xludf.NUMBERVALUE('Procyfloc AL200'!C319,".",","),IFERROR(_xludf.NUMBERVALUE('Procyfloc AL200'!C319,",","."),0))))</f>
        <v/>
      </c>
      <c r="AE3818" t="str">
        <f>IF(AA3818="","",'Procyfloc AL200'!K319)</f>
        <v/>
      </c>
      <c r="AF3818">
        <f t="shared" si="371"/>
        <v>0</v>
      </c>
      <c r="AG3818" t="str">
        <f t="shared" si="372"/>
        <v/>
      </c>
      <c r="AH3818" t="str">
        <f t="shared" si="373"/>
        <v/>
      </c>
      <c r="AI3818">
        <f t="shared" si="374"/>
        <v>0</v>
      </c>
      <c r="AJ3818">
        <f t="shared" si="375"/>
        <v>0</v>
      </c>
      <c r="AK3818">
        <v>0</v>
      </c>
      <c r="AL3818" t="str">
        <f>IF(AA3818="","",IFERROR(IF(ISNUMBER('Procyfloc AL200'!D319),'Procyfloc AL200'!D319,IF(ISNUMBER(SEARCH("12",'Procyfloc AL200'!D319)),EDATE(AB3818,12),IF(ISNUMBER(SEARCH("6",'Procyfloc AL200'!D319)),EDATE(AB3818,6),IF(ISNUMBER(SEARCH("3",'Procyfloc AL200'!D319)),EDATE(AB3818,3),DATEVALUE('Procyfloc AL200'!D319))))),""))</f>
        <v/>
      </c>
      <c r="AM3818" t="str">
        <f t="shared" ca="1" si="376"/>
        <v/>
      </c>
    </row>
    <row r="3819" spans="27:39" x14ac:dyDescent="0.3">
      <c r="AA3819" t="str">
        <f>IF(COUNTA('Procyfloc AL200'!A320,'Procyfloc AL200'!B320,'Procyfloc AL200'!C320)&gt;0,"AL200","")</f>
        <v/>
      </c>
      <c r="AB3819" t="str">
        <f>IFERROR(IF(ISNUMBER('Procyfloc AL200'!A320),'Procyfloc AL200'!A320,DATEVALUE('Procyfloc AL200'!A320)),"")</f>
        <v/>
      </c>
      <c r="AC3819" t="str">
        <f>IF(AA3819="","",'Procyfloc AL200'!B320)</f>
        <v/>
      </c>
      <c r="AD3819" t="str">
        <f>IF(AA3819="","",IFERROR(1*'Procyfloc AL200'!C320,IFERROR(_xludf.NUMBERVALUE('Procyfloc AL200'!C320,".",","),IFERROR(_xludf.NUMBERVALUE('Procyfloc AL200'!C320,",","."),0))))</f>
        <v/>
      </c>
      <c r="AE3819" t="str">
        <f>IF(AA3819="","",'Procyfloc AL200'!K320)</f>
        <v/>
      </c>
      <c r="AF3819">
        <f t="shared" si="371"/>
        <v>0</v>
      </c>
      <c r="AG3819" t="str">
        <f t="shared" si="372"/>
        <v/>
      </c>
      <c r="AH3819" t="str">
        <f t="shared" si="373"/>
        <v/>
      </c>
      <c r="AI3819">
        <f t="shared" si="374"/>
        <v>0</v>
      </c>
      <c r="AJ3819">
        <f t="shared" si="375"/>
        <v>0</v>
      </c>
      <c r="AK3819">
        <v>0</v>
      </c>
      <c r="AL3819" t="str">
        <f>IF(AA3819="","",IFERROR(IF(ISNUMBER('Procyfloc AL200'!D320),'Procyfloc AL200'!D320,IF(ISNUMBER(SEARCH("12",'Procyfloc AL200'!D320)),EDATE(AB3819,12),IF(ISNUMBER(SEARCH("6",'Procyfloc AL200'!D320)),EDATE(AB3819,6),IF(ISNUMBER(SEARCH("3",'Procyfloc AL200'!D320)),EDATE(AB3819,3),DATEVALUE('Procyfloc AL200'!D320))))),""))</f>
        <v/>
      </c>
      <c r="AM3819" t="str">
        <f t="shared" ca="1" si="376"/>
        <v/>
      </c>
    </row>
    <row r="3820" spans="27:39" x14ac:dyDescent="0.3">
      <c r="AA3820" t="str">
        <f>IF(COUNTA('Procyfloc AL200'!A321,'Procyfloc AL200'!B321,'Procyfloc AL200'!C321)&gt;0,"AL200","")</f>
        <v/>
      </c>
      <c r="AB3820" t="str">
        <f>IFERROR(IF(ISNUMBER('Procyfloc AL200'!A321),'Procyfloc AL200'!A321,DATEVALUE('Procyfloc AL200'!A321)),"")</f>
        <v/>
      </c>
      <c r="AC3820" t="str">
        <f>IF(AA3820="","",'Procyfloc AL200'!B321)</f>
        <v/>
      </c>
      <c r="AD3820" t="str">
        <f>IF(AA3820="","",IFERROR(1*'Procyfloc AL200'!C321,IFERROR(_xludf.NUMBERVALUE('Procyfloc AL200'!C321,".",","),IFERROR(_xludf.NUMBERVALUE('Procyfloc AL200'!C321,",","."),0))))</f>
        <v/>
      </c>
      <c r="AE3820" t="str">
        <f>IF(AA3820="","",'Procyfloc AL200'!K321)</f>
        <v/>
      </c>
      <c r="AF3820">
        <f t="shared" si="371"/>
        <v>0</v>
      </c>
      <c r="AG3820" t="str">
        <f t="shared" si="372"/>
        <v/>
      </c>
      <c r="AH3820" t="str">
        <f t="shared" si="373"/>
        <v/>
      </c>
      <c r="AI3820">
        <f t="shared" si="374"/>
        <v>0</v>
      </c>
      <c r="AJ3820">
        <f t="shared" si="375"/>
        <v>0</v>
      </c>
      <c r="AK3820">
        <v>0</v>
      </c>
      <c r="AL3820" t="str">
        <f>IF(AA3820="","",IFERROR(IF(ISNUMBER('Procyfloc AL200'!D321),'Procyfloc AL200'!D321,IF(ISNUMBER(SEARCH("12",'Procyfloc AL200'!D321)),EDATE(AB3820,12),IF(ISNUMBER(SEARCH("6",'Procyfloc AL200'!D321)),EDATE(AB3820,6),IF(ISNUMBER(SEARCH("3",'Procyfloc AL200'!D321)),EDATE(AB3820,3),DATEVALUE('Procyfloc AL200'!D321))))),""))</f>
        <v/>
      </c>
      <c r="AM3820" t="str">
        <f t="shared" ca="1" si="376"/>
        <v/>
      </c>
    </row>
    <row r="3821" spans="27:39" x14ac:dyDescent="0.3">
      <c r="AA3821" t="str">
        <f>IF(COUNTA('Procyfloc AL200'!A322,'Procyfloc AL200'!B322,'Procyfloc AL200'!C322)&gt;0,"AL200","")</f>
        <v/>
      </c>
      <c r="AB3821" t="str">
        <f>IFERROR(IF(ISNUMBER('Procyfloc AL200'!A322),'Procyfloc AL200'!A322,DATEVALUE('Procyfloc AL200'!A322)),"")</f>
        <v/>
      </c>
      <c r="AC3821" t="str">
        <f>IF(AA3821="","",'Procyfloc AL200'!B322)</f>
        <v/>
      </c>
      <c r="AD3821" t="str">
        <f>IF(AA3821="","",IFERROR(1*'Procyfloc AL200'!C322,IFERROR(_xludf.NUMBERVALUE('Procyfloc AL200'!C322,".",","),IFERROR(_xludf.NUMBERVALUE('Procyfloc AL200'!C322,",","."),0))))</f>
        <v/>
      </c>
      <c r="AE3821" t="str">
        <f>IF(AA3821="","",'Procyfloc AL200'!K322)</f>
        <v/>
      </c>
      <c r="AF3821">
        <f t="shared" si="371"/>
        <v>0</v>
      </c>
      <c r="AG3821" t="str">
        <f t="shared" si="372"/>
        <v/>
      </c>
      <c r="AH3821" t="str">
        <f t="shared" si="373"/>
        <v/>
      </c>
      <c r="AI3821">
        <f t="shared" si="374"/>
        <v>0</v>
      </c>
      <c r="AJ3821">
        <f t="shared" si="375"/>
        <v>0</v>
      </c>
      <c r="AK3821">
        <v>0</v>
      </c>
      <c r="AL3821" t="str">
        <f>IF(AA3821="","",IFERROR(IF(ISNUMBER('Procyfloc AL200'!D322),'Procyfloc AL200'!D322,IF(ISNUMBER(SEARCH("12",'Procyfloc AL200'!D322)),EDATE(AB3821,12),IF(ISNUMBER(SEARCH("6",'Procyfloc AL200'!D322)),EDATE(AB3821,6),IF(ISNUMBER(SEARCH("3",'Procyfloc AL200'!D322)),EDATE(AB3821,3),DATEVALUE('Procyfloc AL200'!D322))))),""))</f>
        <v/>
      </c>
      <c r="AM3821" t="str">
        <f t="shared" ca="1" si="376"/>
        <v/>
      </c>
    </row>
    <row r="3822" spans="27:39" x14ac:dyDescent="0.3">
      <c r="AA3822" t="str">
        <f>IF(COUNTA('Procyfloc AL200'!A323,'Procyfloc AL200'!B323,'Procyfloc AL200'!C323)&gt;0,"AL200","")</f>
        <v/>
      </c>
      <c r="AB3822" t="str">
        <f>IFERROR(IF(ISNUMBER('Procyfloc AL200'!A323),'Procyfloc AL200'!A323,DATEVALUE('Procyfloc AL200'!A323)),"")</f>
        <v/>
      </c>
      <c r="AC3822" t="str">
        <f>IF(AA3822="","",'Procyfloc AL200'!B323)</f>
        <v/>
      </c>
      <c r="AD3822" t="str">
        <f>IF(AA3822="","",IFERROR(1*'Procyfloc AL200'!C323,IFERROR(_xludf.NUMBERVALUE('Procyfloc AL200'!C323,".",","),IFERROR(_xludf.NUMBERVALUE('Procyfloc AL200'!C323,",","."),0))))</f>
        <v/>
      </c>
      <c r="AE3822" t="str">
        <f>IF(AA3822="","",'Procyfloc AL200'!K323)</f>
        <v/>
      </c>
      <c r="AF3822">
        <f t="shared" si="371"/>
        <v>0</v>
      </c>
      <c r="AG3822" t="str">
        <f t="shared" si="372"/>
        <v/>
      </c>
      <c r="AH3822" t="str">
        <f t="shared" si="373"/>
        <v/>
      </c>
      <c r="AI3822">
        <f t="shared" si="374"/>
        <v>0</v>
      </c>
      <c r="AJ3822">
        <f t="shared" si="375"/>
        <v>0</v>
      </c>
      <c r="AK3822">
        <v>0</v>
      </c>
      <c r="AL3822" t="str">
        <f>IF(AA3822="","",IFERROR(IF(ISNUMBER('Procyfloc AL200'!D323),'Procyfloc AL200'!D323,IF(ISNUMBER(SEARCH("12",'Procyfloc AL200'!D323)),EDATE(AB3822,12),IF(ISNUMBER(SEARCH("6",'Procyfloc AL200'!D323)),EDATE(AB3822,6),IF(ISNUMBER(SEARCH("3",'Procyfloc AL200'!D323)),EDATE(AB3822,3),DATEVALUE('Procyfloc AL200'!D323))))),""))</f>
        <v/>
      </c>
      <c r="AM3822" t="str">
        <f t="shared" ca="1" si="376"/>
        <v/>
      </c>
    </row>
    <row r="3823" spans="27:39" x14ac:dyDescent="0.3">
      <c r="AA3823" t="str">
        <f>IF(COUNTA('Procyfloc AL200'!A324,'Procyfloc AL200'!B324,'Procyfloc AL200'!C324)&gt;0,"AL200","")</f>
        <v/>
      </c>
      <c r="AB3823" t="str">
        <f>IFERROR(IF(ISNUMBER('Procyfloc AL200'!A324),'Procyfloc AL200'!A324,DATEVALUE('Procyfloc AL200'!A324)),"")</f>
        <v/>
      </c>
      <c r="AC3823" t="str">
        <f>IF(AA3823="","",'Procyfloc AL200'!B324)</f>
        <v/>
      </c>
      <c r="AD3823" t="str">
        <f>IF(AA3823="","",IFERROR(1*'Procyfloc AL200'!C324,IFERROR(_xludf.NUMBERVALUE('Procyfloc AL200'!C324,".",","),IFERROR(_xludf.NUMBERVALUE('Procyfloc AL200'!C324,",","."),0))))</f>
        <v/>
      </c>
      <c r="AE3823" t="str">
        <f>IF(AA3823="","",'Procyfloc AL200'!K324)</f>
        <v/>
      </c>
      <c r="AF3823">
        <f t="shared" si="371"/>
        <v>0</v>
      </c>
      <c r="AG3823" t="str">
        <f t="shared" si="372"/>
        <v/>
      </c>
      <c r="AH3823" t="str">
        <f t="shared" si="373"/>
        <v/>
      </c>
      <c r="AI3823">
        <f t="shared" si="374"/>
        <v>0</v>
      </c>
      <c r="AJ3823">
        <f t="shared" si="375"/>
        <v>0</v>
      </c>
      <c r="AK3823">
        <v>0</v>
      </c>
      <c r="AL3823" t="str">
        <f>IF(AA3823="","",IFERROR(IF(ISNUMBER('Procyfloc AL200'!D324),'Procyfloc AL200'!D324,IF(ISNUMBER(SEARCH("12",'Procyfloc AL200'!D324)),EDATE(AB3823,12),IF(ISNUMBER(SEARCH("6",'Procyfloc AL200'!D324)),EDATE(AB3823,6),IF(ISNUMBER(SEARCH("3",'Procyfloc AL200'!D324)),EDATE(AB3823,3),DATEVALUE('Procyfloc AL200'!D324))))),""))</f>
        <v/>
      </c>
      <c r="AM3823" t="str">
        <f t="shared" ca="1" si="376"/>
        <v/>
      </c>
    </row>
    <row r="3824" spans="27:39" x14ac:dyDescent="0.3">
      <c r="AA3824" t="str">
        <f>IF(COUNTA('Procyfloc AL200'!A325,'Procyfloc AL200'!B325,'Procyfloc AL200'!C325)&gt;0,"AL200","")</f>
        <v/>
      </c>
      <c r="AB3824" t="str">
        <f>IFERROR(IF(ISNUMBER('Procyfloc AL200'!A325),'Procyfloc AL200'!A325,DATEVALUE('Procyfloc AL200'!A325)),"")</f>
        <v/>
      </c>
      <c r="AC3824" t="str">
        <f>IF(AA3824="","",'Procyfloc AL200'!B325)</f>
        <v/>
      </c>
      <c r="AD3824" t="str">
        <f>IF(AA3824="","",IFERROR(1*'Procyfloc AL200'!C325,IFERROR(_xludf.NUMBERVALUE('Procyfloc AL200'!C325,".",","),IFERROR(_xludf.NUMBERVALUE('Procyfloc AL200'!C325,",","."),0))))</f>
        <v/>
      </c>
      <c r="AE3824" t="str">
        <f>IF(AA3824="","",'Procyfloc AL200'!K325)</f>
        <v/>
      </c>
      <c r="AF3824">
        <f t="shared" si="371"/>
        <v>0</v>
      </c>
      <c r="AG3824" t="str">
        <f t="shared" si="372"/>
        <v/>
      </c>
      <c r="AH3824" t="str">
        <f t="shared" si="373"/>
        <v/>
      </c>
      <c r="AI3824">
        <f t="shared" si="374"/>
        <v>0</v>
      </c>
      <c r="AJ3824">
        <f t="shared" si="375"/>
        <v>0</v>
      </c>
      <c r="AK3824">
        <v>0</v>
      </c>
      <c r="AL3824" t="str">
        <f>IF(AA3824="","",IFERROR(IF(ISNUMBER('Procyfloc AL200'!D325),'Procyfloc AL200'!D325,IF(ISNUMBER(SEARCH("12",'Procyfloc AL200'!D325)),EDATE(AB3824,12),IF(ISNUMBER(SEARCH("6",'Procyfloc AL200'!D325)),EDATE(AB3824,6),IF(ISNUMBER(SEARCH("3",'Procyfloc AL200'!D325)),EDATE(AB3824,3),DATEVALUE('Procyfloc AL200'!D325))))),""))</f>
        <v/>
      </c>
      <c r="AM3824" t="str">
        <f t="shared" ca="1" si="376"/>
        <v/>
      </c>
    </row>
    <row r="3825" spans="27:39" x14ac:dyDescent="0.3">
      <c r="AA3825" t="str">
        <f>IF(COUNTA('Procyfloc AL200'!A326,'Procyfloc AL200'!B326,'Procyfloc AL200'!C326)&gt;0,"AL200","")</f>
        <v/>
      </c>
      <c r="AB3825" t="str">
        <f>IFERROR(IF(ISNUMBER('Procyfloc AL200'!A326),'Procyfloc AL200'!A326,DATEVALUE('Procyfloc AL200'!A326)),"")</f>
        <v/>
      </c>
      <c r="AC3825" t="str">
        <f>IF(AA3825="","",'Procyfloc AL200'!B326)</f>
        <v/>
      </c>
      <c r="AD3825" t="str">
        <f>IF(AA3825="","",IFERROR(1*'Procyfloc AL200'!C326,IFERROR(_xludf.NUMBERVALUE('Procyfloc AL200'!C326,".",","),IFERROR(_xludf.NUMBERVALUE('Procyfloc AL200'!C326,",","."),0))))</f>
        <v/>
      </c>
      <c r="AE3825" t="str">
        <f>IF(AA3825="","",'Procyfloc AL200'!K326)</f>
        <v/>
      </c>
      <c r="AF3825">
        <f t="shared" si="371"/>
        <v>0</v>
      </c>
      <c r="AG3825" t="str">
        <f t="shared" si="372"/>
        <v/>
      </c>
      <c r="AH3825" t="str">
        <f t="shared" si="373"/>
        <v/>
      </c>
      <c r="AI3825">
        <f t="shared" si="374"/>
        <v>0</v>
      </c>
      <c r="AJ3825">
        <f t="shared" si="375"/>
        <v>0</v>
      </c>
      <c r="AK3825">
        <v>0</v>
      </c>
      <c r="AL3825" t="str">
        <f>IF(AA3825="","",IFERROR(IF(ISNUMBER('Procyfloc AL200'!D326),'Procyfloc AL200'!D326,IF(ISNUMBER(SEARCH("12",'Procyfloc AL200'!D326)),EDATE(AB3825,12),IF(ISNUMBER(SEARCH("6",'Procyfloc AL200'!D326)),EDATE(AB3825,6),IF(ISNUMBER(SEARCH("3",'Procyfloc AL200'!D326)),EDATE(AB3825,3),DATEVALUE('Procyfloc AL200'!D326))))),""))</f>
        <v/>
      </c>
      <c r="AM3825" t="str">
        <f t="shared" ca="1" si="376"/>
        <v/>
      </c>
    </row>
    <row r="3826" spans="27:39" x14ac:dyDescent="0.3">
      <c r="AA3826" t="str">
        <f>IF(COUNTA('Procyfloc AL200'!A327,'Procyfloc AL200'!B327,'Procyfloc AL200'!C327)&gt;0,"AL200","")</f>
        <v/>
      </c>
      <c r="AB3826" t="str">
        <f>IFERROR(IF(ISNUMBER('Procyfloc AL200'!A327),'Procyfloc AL200'!A327,DATEVALUE('Procyfloc AL200'!A327)),"")</f>
        <v/>
      </c>
      <c r="AC3826" t="str">
        <f>IF(AA3826="","",'Procyfloc AL200'!B327)</f>
        <v/>
      </c>
      <c r="AD3826" t="str">
        <f>IF(AA3826="","",IFERROR(1*'Procyfloc AL200'!C327,IFERROR(_xludf.NUMBERVALUE('Procyfloc AL200'!C327,".",","),IFERROR(_xludf.NUMBERVALUE('Procyfloc AL200'!C327,",","."),0))))</f>
        <v/>
      </c>
      <c r="AE3826" t="str">
        <f>IF(AA3826="","",'Procyfloc AL200'!K327)</f>
        <v/>
      </c>
      <c r="AF3826">
        <f t="shared" si="371"/>
        <v>0</v>
      </c>
      <c r="AG3826" t="str">
        <f t="shared" si="372"/>
        <v/>
      </c>
      <c r="AH3826" t="str">
        <f t="shared" si="373"/>
        <v/>
      </c>
      <c r="AI3826">
        <f t="shared" si="374"/>
        <v>0</v>
      </c>
      <c r="AJ3826">
        <f t="shared" si="375"/>
        <v>0</v>
      </c>
      <c r="AK3826">
        <v>0</v>
      </c>
      <c r="AL3826" t="str">
        <f>IF(AA3826="","",IFERROR(IF(ISNUMBER('Procyfloc AL200'!D327),'Procyfloc AL200'!D327,IF(ISNUMBER(SEARCH("12",'Procyfloc AL200'!D327)),EDATE(AB3826,12),IF(ISNUMBER(SEARCH("6",'Procyfloc AL200'!D327)),EDATE(AB3826,6),IF(ISNUMBER(SEARCH("3",'Procyfloc AL200'!D327)),EDATE(AB3826,3),DATEVALUE('Procyfloc AL200'!D327))))),""))</f>
        <v/>
      </c>
      <c r="AM3826" t="str">
        <f t="shared" ca="1" si="376"/>
        <v/>
      </c>
    </row>
    <row r="3827" spans="27:39" x14ac:dyDescent="0.3">
      <c r="AA3827" t="str">
        <f>IF(COUNTA('Procyfloc AL200'!A328,'Procyfloc AL200'!B328,'Procyfloc AL200'!C328)&gt;0,"AL200","")</f>
        <v/>
      </c>
      <c r="AB3827" t="str">
        <f>IFERROR(IF(ISNUMBER('Procyfloc AL200'!A328),'Procyfloc AL200'!A328,DATEVALUE('Procyfloc AL200'!A328)),"")</f>
        <v/>
      </c>
      <c r="AC3827" t="str">
        <f>IF(AA3827="","",'Procyfloc AL200'!B328)</f>
        <v/>
      </c>
      <c r="AD3827" t="str">
        <f>IF(AA3827="","",IFERROR(1*'Procyfloc AL200'!C328,IFERROR(_xludf.NUMBERVALUE('Procyfloc AL200'!C328,".",","),IFERROR(_xludf.NUMBERVALUE('Procyfloc AL200'!C328,",","."),0))))</f>
        <v/>
      </c>
      <c r="AE3827" t="str">
        <f>IF(AA3827="","",'Procyfloc AL200'!K328)</f>
        <v/>
      </c>
      <c r="AF3827">
        <f t="shared" si="371"/>
        <v>0</v>
      </c>
      <c r="AG3827" t="str">
        <f t="shared" si="372"/>
        <v/>
      </c>
      <c r="AH3827" t="str">
        <f t="shared" si="373"/>
        <v/>
      </c>
      <c r="AI3827">
        <f t="shared" si="374"/>
        <v>0</v>
      </c>
      <c r="AJ3827">
        <f t="shared" si="375"/>
        <v>0</v>
      </c>
      <c r="AK3827">
        <v>0</v>
      </c>
      <c r="AL3827" t="str">
        <f>IF(AA3827="","",IFERROR(IF(ISNUMBER('Procyfloc AL200'!D328),'Procyfloc AL200'!D328,IF(ISNUMBER(SEARCH("12",'Procyfloc AL200'!D328)),EDATE(AB3827,12),IF(ISNUMBER(SEARCH("6",'Procyfloc AL200'!D328)),EDATE(AB3827,6),IF(ISNUMBER(SEARCH("3",'Procyfloc AL200'!D328)),EDATE(AB3827,3),DATEVALUE('Procyfloc AL200'!D328))))),""))</f>
        <v/>
      </c>
      <c r="AM3827" t="str">
        <f t="shared" ca="1" si="376"/>
        <v/>
      </c>
    </row>
    <row r="3828" spans="27:39" x14ac:dyDescent="0.3">
      <c r="AA3828" t="str">
        <f>IF(COUNTA('Procyfloc AL200'!A329,'Procyfloc AL200'!B329,'Procyfloc AL200'!C329)&gt;0,"AL200","")</f>
        <v/>
      </c>
      <c r="AB3828" t="str">
        <f>IFERROR(IF(ISNUMBER('Procyfloc AL200'!A329),'Procyfloc AL200'!A329,DATEVALUE('Procyfloc AL200'!A329)),"")</f>
        <v/>
      </c>
      <c r="AC3828" t="str">
        <f>IF(AA3828="","",'Procyfloc AL200'!B329)</f>
        <v/>
      </c>
      <c r="AD3828" t="str">
        <f>IF(AA3828="","",IFERROR(1*'Procyfloc AL200'!C329,IFERROR(_xludf.NUMBERVALUE('Procyfloc AL200'!C329,".",","),IFERROR(_xludf.NUMBERVALUE('Procyfloc AL200'!C329,",","."),0))))</f>
        <v/>
      </c>
      <c r="AE3828" t="str">
        <f>IF(AA3828="","",'Procyfloc AL200'!K329)</f>
        <v/>
      </c>
      <c r="AF3828">
        <f t="shared" si="371"/>
        <v>0</v>
      </c>
      <c r="AG3828" t="str">
        <f t="shared" si="372"/>
        <v/>
      </c>
      <c r="AH3828" t="str">
        <f t="shared" si="373"/>
        <v/>
      </c>
      <c r="AI3828">
        <f t="shared" si="374"/>
        <v>0</v>
      </c>
      <c r="AJ3828">
        <f t="shared" si="375"/>
        <v>0</v>
      </c>
      <c r="AK3828">
        <v>0</v>
      </c>
      <c r="AL3828" t="str">
        <f>IF(AA3828="","",IFERROR(IF(ISNUMBER('Procyfloc AL200'!D329),'Procyfloc AL200'!D329,IF(ISNUMBER(SEARCH("12",'Procyfloc AL200'!D329)),EDATE(AB3828,12),IF(ISNUMBER(SEARCH("6",'Procyfloc AL200'!D329)),EDATE(AB3828,6),IF(ISNUMBER(SEARCH("3",'Procyfloc AL200'!D329)),EDATE(AB3828,3),DATEVALUE('Procyfloc AL200'!D329))))),""))</f>
        <v/>
      </c>
      <c r="AM3828" t="str">
        <f t="shared" ca="1" si="376"/>
        <v/>
      </c>
    </row>
    <row r="3829" spans="27:39" x14ac:dyDescent="0.3">
      <c r="AA3829" t="str">
        <f>IF(COUNTA('Procyfloc AL200'!A330,'Procyfloc AL200'!B330,'Procyfloc AL200'!C330)&gt;0,"AL200","")</f>
        <v/>
      </c>
      <c r="AB3829" t="str">
        <f>IFERROR(IF(ISNUMBER('Procyfloc AL200'!A330),'Procyfloc AL200'!A330,DATEVALUE('Procyfloc AL200'!A330)),"")</f>
        <v/>
      </c>
      <c r="AC3829" t="str">
        <f>IF(AA3829="","",'Procyfloc AL200'!B330)</f>
        <v/>
      </c>
      <c r="AD3829" t="str">
        <f>IF(AA3829="","",IFERROR(1*'Procyfloc AL200'!C330,IFERROR(_xludf.NUMBERVALUE('Procyfloc AL200'!C330,".",","),IFERROR(_xludf.NUMBERVALUE('Procyfloc AL200'!C330,",","."),0))))</f>
        <v/>
      </c>
      <c r="AE3829" t="str">
        <f>IF(AA3829="","",'Procyfloc AL200'!K330)</f>
        <v/>
      </c>
      <c r="AF3829">
        <f t="shared" si="371"/>
        <v>0</v>
      </c>
      <c r="AG3829" t="str">
        <f t="shared" si="372"/>
        <v/>
      </c>
      <c r="AH3829" t="str">
        <f t="shared" si="373"/>
        <v/>
      </c>
      <c r="AI3829">
        <f t="shared" si="374"/>
        <v>0</v>
      </c>
      <c r="AJ3829">
        <f t="shared" si="375"/>
        <v>0</v>
      </c>
      <c r="AK3829">
        <v>0</v>
      </c>
      <c r="AL3829" t="str">
        <f>IF(AA3829="","",IFERROR(IF(ISNUMBER('Procyfloc AL200'!D330),'Procyfloc AL200'!D330,IF(ISNUMBER(SEARCH("12",'Procyfloc AL200'!D330)),EDATE(AB3829,12),IF(ISNUMBER(SEARCH("6",'Procyfloc AL200'!D330)),EDATE(AB3829,6),IF(ISNUMBER(SEARCH("3",'Procyfloc AL200'!D330)),EDATE(AB3829,3),DATEVALUE('Procyfloc AL200'!D330))))),""))</f>
        <v/>
      </c>
      <c r="AM3829" t="str">
        <f t="shared" ca="1" si="376"/>
        <v/>
      </c>
    </row>
    <row r="3830" spans="27:39" x14ac:dyDescent="0.3">
      <c r="AA3830" t="str">
        <f>IF(COUNTA('Procyfloc AL200'!A331,'Procyfloc AL200'!B331,'Procyfloc AL200'!C331)&gt;0,"AL200","")</f>
        <v/>
      </c>
      <c r="AB3830" t="str">
        <f>IFERROR(IF(ISNUMBER('Procyfloc AL200'!A331),'Procyfloc AL200'!A331,DATEVALUE('Procyfloc AL200'!A331)),"")</f>
        <v/>
      </c>
      <c r="AC3830" t="str">
        <f>IF(AA3830="","",'Procyfloc AL200'!B331)</f>
        <v/>
      </c>
      <c r="AD3830" t="str">
        <f>IF(AA3830="","",IFERROR(1*'Procyfloc AL200'!C331,IFERROR(_xludf.NUMBERVALUE('Procyfloc AL200'!C331,".",","),IFERROR(_xludf.NUMBERVALUE('Procyfloc AL200'!C331,",","."),0))))</f>
        <v/>
      </c>
      <c r="AE3830" t="str">
        <f>IF(AA3830="","",'Procyfloc AL200'!K331)</f>
        <v/>
      </c>
      <c r="AF3830">
        <f t="shared" si="371"/>
        <v>0</v>
      </c>
      <c r="AG3830" t="str">
        <f t="shared" si="372"/>
        <v/>
      </c>
      <c r="AH3830" t="str">
        <f t="shared" si="373"/>
        <v/>
      </c>
      <c r="AI3830">
        <f t="shared" si="374"/>
        <v>0</v>
      </c>
      <c r="AJ3830">
        <f t="shared" si="375"/>
        <v>0</v>
      </c>
      <c r="AK3830">
        <v>0</v>
      </c>
      <c r="AL3830" t="str">
        <f>IF(AA3830="","",IFERROR(IF(ISNUMBER('Procyfloc AL200'!D331),'Procyfloc AL200'!D331,IF(ISNUMBER(SEARCH("12",'Procyfloc AL200'!D331)),EDATE(AB3830,12),IF(ISNUMBER(SEARCH("6",'Procyfloc AL200'!D331)),EDATE(AB3830,6),IF(ISNUMBER(SEARCH("3",'Procyfloc AL200'!D331)),EDATE(AB3830,3),DATEVALUE('Procyfloc AL200'!D331))))),""))</f>
        <v/>
      </c>
      <c r="AM3830" t="str">
        <f t="shared" ca="1" si="376"/>
        <v/>
      </c>
    </row>
    <row r="3831" spans="27:39" x14ac:dyDescent="0.3">
      <c r="AA3831" t="str">
        <f>IF(COUNTA('Procyfloc AL200'!A332,'Procyfloc AL200'!B332,'Procyfloc AL200'!C332)&gt;0,"AL200","")</f>
        <v/>
      </c>
      <c r="AB3831" t="str">
        <f>IFERROR(IF(ISNUMBER('Procyfloc AL200'!A332),'Procyfloc AL200'!A332,DATEVALUE('Procyfloc AL200'!A332)),"")</f>
        <v/>
      </c>
      <c r="AC3831" t="str">
        <f>IF(AA3831="","",'Procyfloc AL200'!B332)</f>
        <v/>
      </c>
      <c r="AD3831" t="str">
        <f>IF(AA3831="","",IFERROR(1*'Procyfloc AL200'!C332,IFERROR(_xludf.NUMBERVALUE('Procyfloc AL200'!C332,".",","),IFERROR(_xludf.NUMBERVALUE('Procyfloc AL200'!C332,",","."),0))))</f>
        <v/>
      </c>
      <c r="AE3831" t="str">
        <f>IF(AA3831="","",'Procyfloc AL200'!K332)</f>
        <v/>
      </c>
      <c r="AF3831">
        <f t="shared" si="371"/>
        <v>0</v>
      </c>
      <c r="AG3831" t="str">
        <f t="shared" si="372"/>
        <v/>
      </c>
      <c r="AH3831" t="str">
        <f t="shared" si="373"/>
        <v/>
      </c>
      <c r="AI3831">
        <f t="shared" si="374"/>
        <v>0</v>
      </c>
      <c r="AJ3831">
        <f t="shared" si="375"/>
        <v>0</v>
      </c>
      <c r="AK3831">
        <v>0</v>
      </c>
      <c r="AL3831" t="str">
        <f>IF(AA3831="","",IFERROR(IF(ISNUMBER('Procyfloc AL200'!D332),'Procyfloc AL200'!D332,IF(ISNUMBER(SEARCH("12",'Procyfloc AL200'!D332)),EDATE(AB3831,12),IF(ISNUMBER(SEARCH("6",'Procyfloc AL200'!D332)),EDATE(AB3831,6),IF(ISNUMBER(SEARCH("3",'Procyfloc AL200'!D332)),EDATE(AB3831,3),DATEVALUE('Procyfloc AL200'!D332))))),""))</f>
        <v/>
      </c>
      <c r="AM3831" t="str">
        <f t="shared" ca="1" si="376"/>
        <v/>
      </c>
    </row>
    <row r="3832" spans="27:39" x14ac:dyDescent="0.3">
      <c r="AA3832" t="str">
        <f>IF(COUNTA('Procyfloc AL200'!A333,'Procyfloc AL200'!B333,'Procyfloc AL200'!C333)&gt;0,"AL200","")</f>
        <v/>
      </c>
      <c r="AB3832" t="str">
        <f>IFERROR(IF(ISNUMBER('Procyfloc AL200'!A333),'Procyfloc AL200'!A333,DATEVALUE('Procyfloc AL200'!A333)),"")</f>
        <v/>
      </c>
      <c r="AC3832" t="str">
        <f>IF(AA3832="","",'Procyfloc AL200'!B333)</f>
        <v/>
      </c>
      <c r="AD3832" t="str">
        <f>IF(AA3832="","",IFERROR(1*'Procyfloc AL200'!C333,IFERROR(_xludf.NUMBERVALUE('Procyfloc AL200'!C333,".",","),IFERROR(_xludf.NUMBERVALUE('Procyfloc AL200'!C333,",","."),0))))</f>
        <v/>
      </c>
      <c r="AE3832" t="str">
        <f>IF(AA3832="","",'Procyfloc AL200'!K333)</f>
        <v/>
      </c>
      <c r="AF3832">
        <f t="shared" si="371"/>
        <v>0</v>
      </c>
      <c r="AG3832" t="str">
        <f t="shared" si="372"/>
        <v/>
      </c>
      <c r="AH3832" t="str">
        <f t="shared" si="373"/>
        <v/>
      </c>
      <c r="AI3832">
        <f t="shared" si="374"/>
        <v>0</v>
      </c>
      <c r="AJ3832">
        <f t="shared" si="375"/>
        <v>0</v>
      </c>
      <c r="AK3832">
        <v>0</v>
      </c>
      <c r="AL3832" t="str">
        <f>IF(AA3832="","",IFERROR(IF(ISNUMBER('Procyfloc AL200'!D333),'Procyfloc AL200'!D333,IF(ISNUMBER(SEARCH("12",'Procyfloc AL200'!D333)),EDATE(AB3832,12),IF(ISNUMBER(SEARCH("6",'Procyfloc AL200'!D333)),EDATE(AB3832,6),IF(ISNUMBER(SEARCH("3",'Procyfloc AL200'!D333)),EDATE(AB3832,3),DATEVALUE('Procyfloc AL200'!D333))))),""))</f>
        <v/>
      </c>
      <c r="AM3832" t="str">
        <f t="shared" ca="1" si="376"/>
        <v/>
      </c>
    </row>
    <row r="3833" spans="27:39" x14ac:dyDescent="0.3">
      <c r="AA3833" t="str">
        <f>IF(COUNTA('Procyfloc AL200'!A334,'Procyfloc AL200'!B334,'Procyfloc AL200'!C334)&gt;0,"AL200","")</f>
        <v/>
      </c>
      <c r="AB3833" t="str">
        <f>IFERROR(IF(ISNUMBER('Procyfloc AL200'!A334),'Procyfloc AL200'!A334,DATEVALUE('Procyfloc AL200'!A334)),"")</f>
        <v/>
      </c>
      <c r="AC3833" t="str">
        <f>IF(AA3833="","",'Procyfloc AL200'!B334)</f>
        <v/>
      </c>
      <c r="AD3833" t="str">
        <f>IF(AA3833="","",IFERROR(1*'Procyfloc AL200'!C334,IFERROR(_xludf.NUMBERVALUE('Procyfloc AL200'!C334,".",","),IFERROR(_xludf.NUMBERVALUE('Procyfloc AL200'!C334,",","."),0))))</f>
        <v/>
      </c>
      <c r="AE3833" t="str">
        <f>IF(AA3833="","",'Procyfloc AL200'!K334)</f>
        <v/>
      </c>
      <c r="AF3833">
        <f t="shared" si="371"/>
        <v>0</v>
      </c>
      <c r="AG3833" t="str">
        <f t="shared" si="372"/>
        <v/>
      </c>
      <c r="AH3833" t="str">
        <f t="shared" si="373"/>
        <v/>
      </c>
      <c r="AI3833">
        <f t="shared" si="374"/>
        <v>0</v>
      </c>
      <c r="AJ3833">
        <f t="shared" si="375"/>
        <v>0</v>
      </c>
      <c r="AK3833">
        <v>0</v>
      </c>
      <c r="AL3833" t="str">
        <f>IF(AA3833="","",IFERROR(IF(ISNUMBER('Procyfloc AL200'!D334),'Procyfloc AL200'!D334,IF(ISNUMBER(SEARCH("12",'Procyfloc AL200'!D334)),EDATE(AB3833,12),IF(ISNUMBER(SEARCH("6",'Procyfloc AL200'!D334)),EDATE(AB3833,6),IF(ISNUMBER(SEARCH("3",'Procyfloc AL200'!D334)),EDATE(AB3833,3),DATEVALUE('Procyfloc AL200'!D334))))),""))</f>
        <v/>
      </c>
      <c r="AM3833" t="str">
        <f t="shared" ca="1" si="376"/>
        <v/>
      </c>
    </row>
    <row r="3834" spans="27:39" x14ac:dyDescent="0.3">
      <c r="AA3834" t="str">
        <f>IF(COUNTA('Procyfloc AL200'!A335,'Procyfloc AL200'!B335,'Procyfloc AL200'!C335)&gt;0,"AL200","")</f>
        <v/>
      </c>
      <c r="AB3834" t="str">
        <f>IFERROR(IF(ISNUMBER('Procyfloc AL200'!A335),'Procyfloc AL200'!A335,DATEVALUE('Procyfloc AL200'!A335)),"")</f>
        <v/>
      </c>
      <c r="AC3834" t="str">
        <f>IF(AA3834="","",'Procyfloc AL200'!B335)</f>
        <v/>
      </c>
      <c r="AD3834" t="str">
        <f>IF(AA3834="","",IFERROR(1*'Procyfloc AL200'!C335,IFERROR(_xludf.NUMBERVALUE('Procyfloc AL200'!C335,".",","),IFERROR(_xludf.NUMBERVALUE('Procyfloc AL200'!C335,",","."),0))))</f>
        <v/>
      </c>
      <c r="AE3834" t="str">
        <f>IF(AA3834="","",'Procyfloc AL200'!K335)</f>
        <v/>
      </c>
      <c r="AF3834">
        <f t="shared" si="371"/>
        <v>0</v>
      </c>
      <c r="AG3834" t="str">
        <f t="shared" si="372"/>
        <v/>
      </c>
      <c r="AH3834" t="str">
        <f t="shared" si="373"/>
        <v/>
      </c>
      <c r="AI3834">
        <f t="shared" si="374"/>
        <v>0</v>
      </c>
      <c r="AJ3834">
        <f t="shared" si="375"/>
        <v>0</v>
      </c>
      <c r="AK3834">
        <v>0</v>
      </c>
      <c r="AL3834" t="str">
        <f>IF(AA3834="","",IFERROR(IF(ISNUMBER('Procyfloc AL200'!D335),'Procyfloc AL200'!D335,IF(ISNUMBER(SEARCH("12",'Procyfloc AL200'!D335)),EDATE(AB3834,12),IF(ISNUMBER(SEARCH("6",'Procyfloc AL200'!D335)),EDATE(AB3834,6),IF(ISNUMBER(SEARCH("3",'Procyfloc AL200'!D335)),EDATE(AB3834,3),DATEVALUE('Procyfloc AL200'!D335))))),""))</f>
        <v/>
      </c>
      <c r="AM3834" t="str">
        <f t="shared" ca="1" si="376"/>
        <v/>
      </c>
    </row>
    <row r="3835" spans="27:39" x14ac:dyDescent="0.3">
      <c r="AA3835" t="str">
        <f>IF(COUNTA('Procyfloc AL200'!A336,'Procyfloc AL200'!B336,'Procyfloc AL200'!C336)&gt;0,"AL200","")</f>
        <v/>
      </c>
      <c r="AB3835" t="str">
        <f>IFERROR(IF(ISNUMBER('Procyfloc AL200'!A336),'Procyfloc AL200'!A336,DATEVALUE('Procyfloc AL200'!A336)),"")</f>
        <v/>
      </c>
      <c r="AC3835" t="str">
        <f>IF(AA3835="","",'Procyfloc AL200'!B336)</f>
        <v/>
      </c>
      <c r="AD3835" t="str">
        <f>IF(AA3835="","",IFERROR(1*'Procyfloc AL200'!C336,IFERROR(_xludf.NUMBERVALUE('Procyfloc AL200'!C336,".",","),IFERROR(_xludf.NUMBERVALUE('Procyfloc AL200'!C336,",","."),0))))</f>
        <v/>
      </c>
      <c r="AE3835" t="str">
        <f>IF(AA3835="","",'Procyfloc AL200'!K336)</f>
        <v/>
      </c>
      <c r="AF3835">
        <f t="shared" si="371"/>
        <v>0</v>
      </c>
      <c r="AG3835" t="str">
        <f t="shared" si="372"/>
        <v/>
      </c>
      <c r="AH3835" t="str">
        <f t="shared" si="373"/>
        <v/>
      </c>
      <c r="AI3835">
        <f t="shared" si="374"/>
        <v>0</v>
      </c>
      <c r="AJ3835">
        <f t="shared" si="375"/>
        <v>0</v>
      </c>
      <c r="AK3835">
        <v>0</v>
      </c>
      <c r="AL3835" t="str">
        <f>IF(AA3835="","",IFERROR(IF(ISNUMBER('Procyfloc AL200'!D336),'Procyfloc AL200'!D336,IF(ISNUMBER(SEARCH("12",'Procyfloc AL200'!D336)),EDATE(AB3835,12),IF(ISNUMBER(SEARCH("6",'Procyfloc AL200'!D336)),EDATE(AB3835,6),IF(ISNUMBER(SEARCH("3",'Procyfloc AL200'!D336)),EDATE(AB3835,3),DATEVALUE('Procyfloc AL200'!D336))))),""))</f>
        <v/>
      </c>
      <c r="AM3835" t="str">
        <f t="shared" ca="1" si="376"/>
        <v/>
      </c>
    </row>
    <row r="3836" spans="27:39" x14ac:dyDescent="0.3">
      <c r="AA3836" t="str">
        <f>IF(COUNTA('Procyfloc AL200'!A337,'Procyfloc AL200'!B337,'Procyfloc AL200'!C337)&gt;0,"AL200","")</f>
        <v/>
      </c>
      <c r="AB3836" t="str">
        <f>IFERROR(IF(ISNUMBER('Procyfloc AL200'!A337),'Procyfloc AL200'!A337,DATEVALUE('Procyfloc AL200'!A337)),"")</f>
        <v/>
      </c>
      <c r="AC3836" t="str">
        <f>IF(AA3836="","",'Procyfloc AL200'!B337)</f>
        <v/>
      </c>
      <c r="AD3836" t="str">
        <f>IF(AA3836="","",IFERROR(1*'Procyfloc AL200'!C337,IFERROR(_xludf.NUMBERVALUE('Procyfloc AL200'!C337,".",","),IFERROR(_xludf.NUMBERVALUE('Procyfloc AL200'!C337,",","."),0))))</f>
        <v/>
      </c>
      <c r="AE3836" t="str">
        <f>IF(AA3836="","",'Procyfloc AL200'!K337)</f>
        <v/>
      </c>
      <c r="AF3836">
        <f t="shared" si="371"/>
        <v>0</v>
      </c>
      <c r="AG3836" t="str">
        <f t="shared" si="372"/>
        <v/>
      </c>
      <c r="AH3836" t="str">
        <f t="shared" si="373"/>
        <v/>
      </c>
      <c r="AI3836">
        <f t="shared" si="374"/>
        <v>0</v>
      </c>
      <c r="AJ3836">
        <f t="shared" si="375"/>
        <v>0</v>
      </c>
      <c r="AK3836">
        <v>0</v>
      </c>
      <c r="AL3836" t="str">
        <f>IF(AA3836="","",IFERROR(IF(ISNUMBER('Procyfloc AL200'!D337),'Procyfloc AL200'!D337,IF(ISNUMBER(SEARCH("12",'Procyfloc AL200'!D337)),EDATE(AB3836,12),IF(ISNUMBER(SEARCH("6",'Procyfloc AL200'!D337)),EDATE(AB3836,6),IF(ISNUMBER(SEARCH("3",'Procyfloc AL200'!D337)),EDATE(AB3836,3),DATEVALUE('Procyfloc AL200'!D337))))),""))</f>
        <v/>
      </c>
      <c r="AM3836" t="str">
        <f t="shared" ca="1" si="376"/>
        <v/>
      </c>
    </row>
    <row r="3837" spans="27:39" x14ac:dyDescent="0.3">
      <c r="AA3837" t="str">
        <f>IF(COUNTA('Procyfloc AL200'!A338,'Procyfloc AL200'!B338,'Procyfloc AL200'!C338)&gt;0,"AL200","")</f>
        <v/>
      </c>
      <c r="AB3837" t="str">
        <f>IFERROR(IF(ISNUMBER('Procyfloc AL200'!A338),'Procyfloc AL200'!A338,DATEVALUE('Procyfloc AL200'!A338)),"")</f>
        <v/>
      </c>
      <c r="AC3837" t="str">
        <f>IF(AA3837="","",'Procyfloc AL200'!B338)</f>
        <v/>
      </c>
      <c r="AD3837" t="str">
        <f>IF(AA3837="","",IFERROR(1*'Procyfloc AL200'!C338,IFERROR(_xludf.NUMBERVALUE('Procyfloc AL200'!C338,".",","),IFERROR(_xludf.NUMBERVALUE('Procyfloc AL200'!C338,",","."),0))))</f>
        <v/>
      </c>
      <c r="AE3837" t="str">
        <f>IF(AA3837="","",'Procyfloc AL200'!K338)</f>
        <v/>
      </c>
      <c r="AF3837">
        <f t="shared" si="371"/>
        <v>0</v>
      </c>
      <c r="AG3837" t="str">
        <f t="shared" si="372"/>
        <v/>
      </c>
      <c r="AH3837" t="str">
        <f t="shared" si="373"/>
        <v/>
      </c>
      <c r="AI3837">
        <f t="shared" si="374"/>
        <v>0</v>
      </c>
      <c r="AJ3837">
        <f t="shared" si="375"/>
        <v>0</v>
      </c>
      <c r="AK3837">
        <v>0</v>
      </c>
      <c r="AL3837" t="str">
        <f>IF(AA3837="","",IFERROR(IF(ISNUMBER('Procyfloc AL200'!D338),'Procyfloc AL200'!D338,IF(ISNUMBER(SEARCH("12",'Procyfloc AL200'!D338)),EDATE(AB3837,12),IF(ISNUMBER(SEARCH("6",'Procyfloc AL200'!D338)),EDATE(AB3837,6),IF(ISNUMBER(SEARCH("3",'Procyfloc AL200'!D338)),EDATE(AB3837,3),DATEVALUE('Procyfloc AL200'!D338))))),""))</f>
        <v/>
      </c>
      <c r="AM3837" t="str">
        <f t="shared" ca="1" si="376"/>
        <v/>
      </c>
    </row>
    <row r="3838" spans="27:39" x14ac:dyDescent="0.3">
      <c r="AA3838" t="str">
        <f>IF(COUNTA('Procyfloc AL200'!A339,'Procyfloc AL200'!B339,'Procyfloc AL200'!C339)&gt;0,"AL200","")</f>
        <v/>
      </c>
      <c r="AB3838" t="str">
        <f>IFERROR(IF(ISNUMBER('Procyfloc AL200'!A339),'Procyfloc AL200'!A339,DATEVALUE('Procyfloc AL200'!A339)),"")</f>
        <v/>
      </c>
      <c r="AC3838" t="str">
        <f>IF(AA3838="","",'Procyfloc AL200'!B339)</f>
        <v/>
      </c>
      <c r="AD3838" t="str">
        <f>IF(AA3838="","",IFERROR(1*'Procyfloc AL200'!C339,IFERROR(_xludf.NUMBERVALUE('Procyfloc AL200'!C339,".",","),IFERROR(_xludf.NUMBERVALUE('Procyfloc AL200'!C339,",","."),0))))</f>
        <v/>
      </c>
      <c r="AE3838" t="str">
        <f>IF(AA3838="","",'Procyfloc AL200'!K339)</f>
        <v/>
      </c>
      <c r="AF3838">
        <f t="shared" si="371"/>
        <v>0</v>
      </c>
      <c r="AG3838" t="str">
        <f t="shared" si="372"/>
        <v/>
      </c>
      <c r="AH3838" t="str">
        <f t="shared" si="373"/>
        <v/>
      </c>
      <c r="AI3838">
        <f t="shared" si="374"/>
        <v>0</v>
      </c>
      <c r="AJ3838">
        <f t="shared" si="375"/>
        <v>0</v>
      </c>
      <c r="AK3838">
        <v>0</v>
      </c>
      <c r="AL3838" t="str">
        <f>IF(AA3838="","",IFERROR(IF(ISNUMBER('Procyfloc AL200'!D339),'Procyfloc AL200'!D339,IF(ISNUMBER(SEARCH("12",'Procyfloc AL200'!D339)),EDATE(AB3838,12),IF(ISNUMBER(SEARCH("6",'Procyfloc AL200'!D339)),EDATE(AB3838,6),IF(ISNUMBER(SEARCH("3",'Procyfloc AL200'!D339)),EDATE(AB3838,3),DATEVALUE('Procyfloc AL200'!D339))))),""))</f>
        <v/>
      </c>
      <c r="AM3838" t="str">
        <f t="shared" ca="1" si="376"/>
        <v/>
      </c>
    </row>
    <row r="3839" spans="27:39" x14ac:dyDescent="0.3">
      <c r="AA3839" t="str">
        <f>IF(COUNTA('Procyfloc AL200'!A340,'Procyfloc AL200'!B340,'Procyfloc AL200'!C340)&gt;0,"AL200","")</f>
        <v/>
      </c>
      <c r="AB3839" t="str">
        <f>IFERROR(IF(ISNUMBER('Procyfloc AL200'!A340),'Procyfloc AL200'!A340,DATEVALUE('Procyfloc AL200'!A340)),"")</f>
        <v/>
      </c>
      <c r="AC3839" t="str">
        <f>IF(AA3839="","",'Procyfloc AL200'!B340)</f>
        <v/>
      </c>
      <c r="AD3839" t="str">
        <f>IF(AA3839="","",IFERROR(1*'Procyfloc AL200'!C340,IFERROR(_xludf.NUMBERVALUE('Procyfloc AL200'!C340,".",","),IFERROR(_xludf.NUMBERVALUE('Procyfloc AL200'!C340,",","."),0))))</f>
        <v/>
      </c>
      <c r="AE3839" t="str">
        <f>IF(AA3839="","",'Procyfloc AL200'!K340)</f>
        <v/>
      </c>
      <c r="AF3839">
        <f t="shared" si="371"/>
        <v>0</v>
      </c>
      <c r="AG3839" t="str">
        <f t="shared" si="372"/>
        <v/>
      </c>
      <c r="AH3839" t="str">
        <f t="shared" si="373"/>
        <v/>
      </c>
      <c r="AI3839">
        <f t="shared" si="374"/>
        <v>0</v>
      </c>
      <c r="AJ3839">
        <f t="shared" si="375"/>
        <v>0</v>
      </c>
      <c r="AK3839">
        <v>0</v>
      </c>
      <c r="AL3839" t="str">
        <f>IF(AA3839="","",IFERROR(IF(ISNUMBER('Procyfloc AL200'!D340),'Procyfloc AL200'!D340,IF(ISNUMBER(SEARCH("12",'Procyfloc AL200'!D340)),EDATE(AB3839,12),IF(ISNUMBER(SEARCH("6",'Procyfloc AL200'!D340)),EDATE(AB3839,6),IF(ISNUMBER(SEARCH("3",'Procyfloc AL200'!D340)),EDATE(AB3839,3),DATEVALUE('Procyfloc AL200'!D340))))),""))</f>
        <v/>
      </c>
      <c r="AM3839" t="str">
        <f t="shared" ca="1" si="376"/>
        <v/>
      </c>
    </row>
    <row r="3840" spans="27:39" x14ac:dyDescent="0.3">
      <c r="AA3840" t="str">
        <f>IF(COUNTA('Procyfloc AL200'!A341,'Procyfloc AL200'!B341,'Procyfloc AL200'!C341)&gt;0,"AL200","")</f>
        <v/>
      </c>
      <c r="AB3840" t="str">
        <f>IFERROR(IF(ISNUMBER('Procyfloc AL200'!A341),'Procyfloc AL200'!A341,DATEVALUE('Procyfloc AL200'!A341)),"")</f>
        <v/>
      </c>
      <c r="AC3840" t="str">
        <f>IF(AA3840="","",'Procyfloc AL200'!B341)</f>
        <v/>
      </c>
      <c r="AD3840" t="str">
        <f>IF(AA3840="","",IFERROR(1*'Procyfloc AL200'!C341,IFERROR(_xludf.NUMBERVALUE('Procyfloc AL200'!C341,".",","),IFERROR(_xludf.NUMBERVALUE('Procyfloc AL200'!C341,",","."),0))))</f>
        <v/>
      </c>
      <c r="AE3840" t="str">
        <f>IF(AA3840="","",'Procyfloc AL200'!K341)</f>
        <v/>
      </c>
      <c r="AF3840">
        <f t="shared" si="371"/>
        <v>0</v>
      </c>
      <c r="AG3840" t="str">
        <f t="shared" si="372"/>
        <v/>
      </c>
      <c r="AH3840" t="str">
        <f t="shared" si="373"/>
        <v/>
      </c>
      <c r="AI3840">
        <f t="shared" si="374"/>
        <v>0</v>
      </c>
      <c r="AJ3840">
        <f t="shared" si="375"/>
        <v>0</v>
      </c>
      <c r="AK3840">
        <v>0</v>
      </c>
      <c r="AL3840" t="str">
        <f>IF(AA3840="","",IFERROR(IF(ISNUMBER('Procyfloc AL200'!D341),'Procyfloc AL200'!D341,IF(ISNUMBER(SEARCH("12",'Procyfloc AL200'!D341)),EDATE(AB3840,12),IF(ISNUMBER(SEARCH("6",'Procyfloc AL200'!D341)),EDATE(AB3840,6),IF(ISNUMBER(SEARCH("3",'Procyfloc AL200'!D341)),EDATE(AB3840,3),DATEVALUE('Procyfloc AL200'!D341))))),""))</f>
        <v/>
      </c>
      <c r="AM3840" t="str">
        <f t="shared" ca="1" si="376"/>
        <v/>
      </c>
    </row>
    <row r="3841" spans="27:39" x14ac:dyDescent="0.3">
      <c r="AA3841" t="str">
        <f>IF(COUNTA('Procyfloc AL200'!A342,'Procyfloc AL200'!B342,'Procyfloc AL200'!C342)&gt;0,"AL200","")</f>
        <v/>
      </c>
      <c r="AB3841" t="str">
        <f>IFERROR(IF(ISNUMBER('Procyfloc AL200'!A342),'Procyfloc AL200'!A342,DATEVALUE('Procyfloc AL200'!A342)),"")</f>
        <v/>
      </c>
      <c r="AC3841" t="str">
        <f>IF(AA3841="","",'Procyfloc AL200'!B342)</f>
        <v/>
      </c>
      <c r="AD3841" t="str">
        <f>IF(AA3841="","",IFERROR(1*'Procyfloc AL200'!C342,IFERROR(_xludf.NUMBERVALUE('Procyfloc AL200'!C342,".",","),IFERROR(_xludf.NUMBERVALUE('Procyfloc AL200'!C342,",","."),0))))</f>
        <v/>
      </c>
      <c r="AE3841" t="str">
        <f>IF(AA3841="","",'Procyfloc AL200'!K342)</f>
        <v/>
      </c>
      <c r="AF3841">
        <f t="shared" si="371"/>
        <v>0</v>
      </c>
      <c r="AG3841" t="str">
        <f t="shared" si="372"/>
        <v/>
      </c>
      <c r="AH3841" t="str">
        <f t="shared" si="373"/>
        <v/>
      </c>
      <c r="AI3841">
        <f t="shared" si="374"/>
        <v>0</v>
      </c>
      <c r="AJ3841">
        <f t="shared" si="375"/>
        <v>0</v>
      </c>
      <c r="AK3841">
        <v>0</v>
      </c>
      <c r="AL3841" t="str">
        <f>IF(AA3841="","",IFERROR(IF(ISNUMBER('Procyfloc AL200'!D342),'Procyfloc AL200'!D342,IF(ISNUMBER(SEARCH("12",'Procyfloc AL200'!D342)),EDATE(AB3841,12),IF(ISNUMBER(SEARCH("6",'Procyfloc AL200'!D342)),EDATE(AB3841,6),IF(ISNUMBER(SEARCH("3",'Procyfloc AL200'!D342)),EDATE(AB3841,3),DATEVALUE('Procyfloc AL200'!D342))))),""))</f>
        <v/>
      </c>
      <c r="AM3841" t="str">
        <f t="shared" ca="1" si="376"/>
        <v/>
      </c>
    </row>
    <row r="3842" spans="27:39" x14ac:dyDescent="0.3">
      <c r="AA3842" t="str">
        <f>IF(COUNTA('Procyfloc AL200'!A343,'Procyfloc AL200'!B343,'Procyfloc AL200'!C343)&gt;0,"AL200","")</f>
        <v/>
      </c>
      <c r="AB3842" t="str">
        <f>IFERROR(IF(ISNUMBER('Procyfloc AL200'!A343),'Procyfloc AL200'!A343,DATEVALUE('Procyfloc AL200'!A343)),"")</f>
        <v/>
      </c>
      <c r="AC3842" t="str">
        <f>IF(AA3842="","",'Procyfloc AL200'!B343)</f>
        <v/>
      </c>
      <c r="AD3842" t="str">
        <f>IF(AA3842="","",IFERROR(1*'Procyfloc AL200'!C343,IFERROR(_xludf.NUMBERVALUE('Procyfloc AL200'!C343,".",","),IFERROR(_xludf.NUMBERVALUE('Procyfloc AL200'!C343,",","."),0))))</f>
        <v/>
      </c>
      <c r="AE3842" t="str">
        <f>IF(AA3842="","",'Procyfloc AL200'!K343)</f>
        <v/>
      </c>
      <c r="AF3842">
        <f t="shared" ref="AF3842:AF3905" si="377">IF(AA3842="",0,--AND(ISNUMBER(SEARCH("aprov",AE3842)),NOT(ISNUMBER(SEARCH("reprov",AE3842)))))</f>
        <v>0</v>
      </c>
      <c r="AG3842" t="str">
        <f t="shared" ref="AG3842:AG3905" si="378">IF(AB3842="","",YEAR(AB3842))</f>
        <v/>
      </c>
      <c r="AH3842" t="str">
        <f t="shared" ref="AH3842:AH3905" si="379">IF(AB3842="","",MONTH(AB3842))</f>
        <v/>
      </c>
      <c r="AI3842">
        <f t="shared" ref="AI3842:AI3905" si="380">IF(AB3842="",0,AB3842+ROW()/1000000)</f>
        <v>0</v>
      </c>
      <c r="AJ3842">
        <f t="shared" ref="AJ3842:AJ3905" si="381">--(AA3842&lt;&gt;"")</f>
        <v>0</v>
      </c>
      <c r="AK3842">
        <v>0</v>
      </c>
      <c r="AL3842" t="str">
        <f>IF(AA3842="","",IFERROR(IF(ISNUMBER('Procyfloc AL200'!D343),'Procyfloc AL200'!D343,IF(ISNUMBER(SEARCH("12",'Procyfloc AL200'!D343)),EDATE(AB3842,12),IF(ISNUMBER(SEARCH("6",'Procyfloc AL200'!D343)),EDATE(AB3842,6),IF(ISNUMBER(SEARCH("3",'Procyfloc AL200'!D343)),EDATE(AB3842,3),DATEVALUE('Procyfloc AL200'!D343))))),""))</f>
        <v/>
      </c>
      <c r="AM3842" t="str">
        <f t="shared" ref="AM3842:AM3905" ca="1" si="382">IF(AND(AJ3842=1,AL3842&lt;&gt;"",AL3842&gt;=TODAY(),AG3842=$W$3),AL3842+ROW()/1000000,"")</f>
        <v/>
      </c>
    </row>
    <row r="3843" spans="27:39" x14ac:dyDescent="0.3">
      <c r="AA3843" t="str">
        <f>IF(COUNTA('Procyfloc AL200'!A344,'Procyfloc AL200'!B344,'Procyfloc AL200'!C344)&gt;0,"AL200","")</f>
        <v/>
      </c>
      <c r="AB3843" t="str">
        <f>IFERROR(IF(ISNUMBER('Procyfloc AL200'!A344),'Procyfloc AL200'!A344,DATEVALUE('Procyfloc AL200'!A344)),"")</f>
        <v/>
      </c>
      <c r="AC3843" t="str">
        <f>IF(AA3843="","",'Procyfloc AL200'!B344)</f>
        <v/>
      </c>
      <c r="AD3843" t="str">
        <f>IF(AA3843="","",IFERROR(1*'Procyfloc AL200'!C344,IFERROR(_xludf.NUMBERVALUE('Procyfloc AL200'!C344,".",","),IFERROR(_xludf.NUMBERVALUE('Procyfloc AL200'!C344,",","."),0))))</f>
        <v/>
      </c>
      <c r="AE3843" t="str">
        <f>IF(AA3843="","",'Procyfloc AL200'!K344)</f>
        <v/>
      </c>
      <c r="AF3843">
        <f t="shared" si="377"/>
        <v>0</v>
      </c>
      <c r="AG3843" t="str">
        <f t="shared" si="378"/>
        <v/>
      </c>
      <c r="AH3843" t="str">
        <f t="shared" si="379"/>
        <v/>
      </c>
      <c r="AI3843">
        <f t="shared" si="380"/>
        <v>0</v>
      </c>
      <c r="AJ3843">
        <f t="shared" si="381"/>
        <v>0</v>
      </c>
      <c r="AK3843">
        <v>0</v>
      </c>
      <c r="AL3843" t="str">
        <f>IF(AA3843="","",IFERROR(IF(ISNUMBER('Procyfloc AL200'!D344),'Procyfloc AL200'!D344,IF(ISNUMBER(SEARCH("12",'Procyfloc AL200'!D344)),EDATE(AB3843,12),IF(ISNUMBER(SEARCH("6",'Procyfloc AL200'!D344)),EDATE(AB3843,6),IF(ISNUMBER(SEARCH("3",'Procyfloc AL200'!D344)),EDATE(AB3843,3),DATEVALUE('Procyfloc AL200'!D344))))),""))</f>
        <v/>
      </c>
      <c r="AM3843" t="str">
        <f t="shared" ca="1" si="382"/>
        <v/>
      </c>
    </row>
    <row r="3844" spans="27:39" x14ac:dyDescent="0.3">
      <c r="AA3844" t="str">
        <f>IF(COUNTA('Procyfloc AL200'!A345,'Procyfloc AL200'!B345,'Procyfloc AL200'!C345)&gt;0,"AL200","")</f>
        <v/>
      </c>
      <c r="AB3844" t="str">
        <f>IFERROR(IF(ISNUMBER('Procyfloc AL200'!A345),'Procyfloc AL200'!A345,DATEVALUE('Procyfloc AL200'!A345)),"")</f>
        <v/>
      </c>
      <c r="AC3844" t="str">
        <f>IF(AA3844="","",'Procyfloc AL200'!B345)</f>
        <v/>
      </c>
      <c r="AD3844" t="str">
        <f>IF(AA3844="","",IFERROR(1*'Procyfloc AL200'!C345,IFERROR(_xludf.NUMBERVALUE('Procyfloc AL200'!C345,".",","),IFERROR(_xludf.NUMBERVALUE('Procyfloc AL200'!C345,",","."),0))))</f>
        <v/>
      </c>
      <c r="AE3844" t="str">
        <f>IF(AA3844="","",'Procyfloc AL200'!K345)</f>
        <v/>
      </c>
      <c r="AF3844">
        <f t="shared" si="377"/>
        <v>0</v>
      </c>
      <c r="AG3844" t="str">
        <f t="shared" si="378"/>
        <v/>
      </c>
      <c r="AH3844" t="str">
        <f t="shared" si="379"/>
        <v/>
      </c>
      <c r="AI3844">
        <f t="shared" si="380"/>
        <v>0</v>
      </c>
      <c r="AJ3844">
        <f t="shared" si="381"/>
        <v>0</v>
      </c>
      <c r="AK3844">
        <v>0</v>
      </c>
      <c r="AL3844" t="str">
        <f>IF(AA3844="","",IFERROR(IF(ISNUMBER('Procyfloc AL200'!D345),'Procyfloc AL200'!D345,IF(ISNUMBER(SEARCH("12",'Procyfloc AL200'!D345)),EDATE(AB3844,12),IF(ISNUMBER(SEARCH("6",'Procyfloc AL200'!D345)),EDATE(AB3844,6),IF(ISNUMBER(SEARCH("3",'Procyfloc AL200'!D345)),EDATE(AB3844,3),DATEVALUE('Procyfloc AL200'!D345))))),""))</f>
        <v/>
      </c>
      <c r="AM3844" t="str">
        <f t="shared" ca="1" si="382"/>
        <v/>
      </c>
    </row>
    <row r="3845" spans="27:39" x14ac:dyDescent="0.3">
      <c r="AA3845" t="str">
        <f>IF(COUNTA('Procyfloc AL200'!A346,'Procyfloc AL200'!B346,'Procyfloc AL200'!C346)&gt;0,"AL200","")</f>
        <v/>
      </c>
      <c r="AB3845" t="str">
        <f>IFERROR(IF(ISNUMBER('Procyfloc AL200'!A346),'Procyfloc AL200'!A346,DATEVALUE('Procyfloc AL200'!A346)),"")</f>
        <v/>
      </c>
      <c r="AC3845" t="str">
        <f>IF(AA3845="","",'Procyfloc AL200'!B346)</f>
        <v/>
      </c>
      <c r="AD3845" t="str">
        <f>IF(AA3845="","",IFERROR(1*'Procyfloc AL200'!C346,IFERROR(_xludf.NUMBERVALUE('Procyfloc AL200'!C346,".",","),IFERROR(_xludf.NUMBERVALUE('Procyfloc AL200'!C346,",","."),0))))</f>
        <v/>
      </c>
      <c r="AE3845" t="str">
        <f>IF(AA3845="","",'Procyfloc AL200'!K346)</f>
        <v/>
      </c>
      <c r="AF3845">
        <f t="shared" si="377"/>
        <v>0</v>
      </c>
      <c r="AG3845" t="str">
        <f t="shared" si="378"/>
        <v/>
      </c>
      <c r="AH3845" t="str">
        <f t="shared" si="379"/>
        <v/>
      </c>
      <c r="AI3845">
        <f t="shared" si="380"/>
        <v>0</v>
      </c>
      <c r="AJ3845">
        <f t="shared" si="381"/>
        <v>0</v>
      </c>
      <c r="AK3845">
        <v>0</v>
      </c>
      <c r="AL3845" t="str">
        <f>IF(AA3845="","",IFERROR(IF(ISNUMBER('Procyfloc AL200'!D346),'Procyfloc AL200'!D346,IF(ISNUMBER(SEARCH("12",'Procyfloc AL200'!D346)),EDATE(AB3845,12),IF(ISNUMBER(SEARCH("6",'Procyfloc AL200'!D346)),EDATE(AB3845,6),IF(ISNUMBER(SEARCH("3",'Procyfloc AL200'!D346)),EDATE(AB3845,3),DATEVALUE('Procyfloc AL200'!D346))))),""))</f>
        <v/>
      </c>
      <c r="AM3845" t="str">
        <f t="shared" ca="1" si="382"/>
        <v/>
      </c>
    </row>
    <row r="3846" spans="27:39" x14ac:dyDescent="0.3">
      <c r="AA3846" t="str">
        <f>IF(COUNTA('Procyfloc AL200'!A347,'Procyfloc AL200'!B347,'Procyfloc AL200'!C347)&gt;0,"AL200","")</f>
        <v/>
      </c>
      <c r="AB3846" t="str">
        <f>IFERROR(IF(ISNUMBER('Procyfloc AL200'!A347),'Procyfloc AL200'!A347,DATEVALUE('Procyfloc AL200'!A347)),"")</f>
        <v/>
      </c>
      <c r="AC3846" t="str">
        <f>IF(AA3846="","",'Procyfloc AL200'!B347)</f>
        <v/>
      </c>
      <c r="AD3846" t="str">
        <f>IF(AA3846="","",IFERROR(1*'Procyfloc AL200'!C347,IFERROR(_xludf.NUMBERVALUE('Procyfloc AL200'!C347,".",","),IFERROR(_xludf.NUMBERVALUE('Procyfloc AL200'!C347,",","."),0))))</f>
        <v/>
      </c>
      <c r="AE3846" t="str">
        <f>IF(AA3846="","",'Procyfloc AL200'!K347)</f>
        <v/>
      </c>
      <c r="AF3846">
        <f t="shared" si="377"/>
        <v>0</v>
      </c>
      <c r="AG3846" t="str">
        <f t="shared" si="378"/>
        <v/>
      </c>
      <c r="AH3846" t="str">
        <f t="shared" si="379"/>
        <v/>
      </c>
      <c r="AI3846">
        <f t="shared" si="380"/>
        <v>0</v>
      </c>
      <c r="AJ3846">
        <f t="shared" si="381"/>
        <v>0</v>
      </c>
      <c r="AK3846">
        <v>0</v>
      </c>
      <c r="AL3846" t="str">
        <f>IF(AA3846="","",IFERROR(IF(ISNUMBER('Procyfloc AL200'!D347),'Procyfloc AL200'!D347,IF(ISNUMBER(SEARCH("12",'Procyfloc AL200'!D347)),EDATE(AB3846,12),IF(ISNUMBER(SEARCH("6",'Procyfloc AL200'!D347)),EDATE(AB3846,6),IF(ISNUMBER(SEARCH("3",'Procyfloc AL200'!D347)),EDATE(AB3846,3),DATEVALUE('Procyfloc AL200'!D347))))),""))</f>
        <v/>
      </c>
      <c r="AM3846" t="str">
        <f t="shared" ca="1" si="382"/>
        <v/>
      </c>
    </row>
    <row r="3847" spans="27:39" x14ac:dyDescent="0.3">
      <c r="AA3847" t="str">
        <f>IF(COUNTA('Procyfloc AL200'!A348,'Procyfloc AL200'!B348,'Procyfloc AL200'!C348)&gt;0,"AL200","")</f>
        <v/>
      </c>
      <c r="AB3847" t="str">
        <f>IFERROR(IF(ISNUMBER('Procyfloc AL200'!A348),'Procyfloc AL200'!A348,DATEVALUE('Procyfloc AL200'!A348)),"")</f>
        <v/>
      </c>
      <c r="AC3847" t="str">
        <f>IF(AA3847="","",'Procyfloc AL200'!B348)</f>
        <v/>
      </c>
      <c r="AD3847" t="str">
        <f>IF(AA3847="","",IFERROR(1*'Procyfloc AL200'!C348,IFERROR(_xludf.NUMBERVALUE('Procyfloc AL200'!C348,".",","),IFERROR(_xludf.NUMBERVALUE('Procyfloc AL200'!C348,",","."),0))))</f>
        <v/>
      </c>
      <c r="AE3847" t="str">
        <f>IF(AA3847="","",'Procyfloc AL200'!K348)</f>
        <v/>
      </c>
      <c r="AF3847">
        <f t="shared" si="377"/>
        <v>0</v>
      </c>
      <c r="AG3847" t="str">
        <f t="shared" si="378"/>
        <v/>
      </c>
      <c r="AH3847" t="str">
        <f t="shared" si="379"/>
        <v/>
      </c>
      <c r="AI3847">
        <f t="shared" si="380"/>
        <v>0</v>
      </c>
      <c r="AJ3847">
        <f t="shared" si="381"/>
        <v>0</v>
      </c>
      <c r="AK3847">
        <v>0</v>
      </c>
      <c r="AL3847" t="str">
        <f>IF(AA3847="","",IFERROR(IF(ISNUMBER('Procyfloc AL200'!D348),'Procyfloc AL200'!D348,IF(ISNUMBER(SEARCH("12",'Procyfloc AL200'!D348)),EDATE(AB3847,12),IF(ISNUMBER(SEARCH("6",'Procyfloc AL200'!D348)),EDATE(AB3847,6),IF(ISNUMBER(SEARCH("3",'Procyfloc AL200'!D348)),EDATE(AB3847,3),DATEVALUE('Procyfloc AL200'!D348))))),""))</f>
        <v/>
      </c>
      <c r="AM3847" t="str">
        <f t="shared" ca="1" si="382"/>
        <v/>
      </c>
    </row>
    <row r="3848" spans="27:39" x14ac:dyDescent="0.3">
      <c r="AA3848" t="str">
        <f>IF(COUNTA('Procyfloc AL200'!A349,'Procyfloc AL200'!B349,'Procyfloc AL200'!C349)&gt;0,"AL200","")</f>
        <v/>
      </c>
      <c r="AB3848" t="str">
        <f>IFERROR(IF(ISNUMBER('Procyfloc AL200'!A349),'Procyfloc AL200'!A349,DATEVALUE('Procyfloc AL200'!A349)),"")</f>
        <v/>
      </c>
      <c r="AC3848" t="str">
        <f>IF(AA3848="","",'Procyfloc AL200'!B349)</f>
        <v/>
      </c>
      <c r="AD3848" t="str">
        <f>IF(AA3848="","",IFERROR(1*'Procyfloc AL200'!C349,IFERROR(_xludf.NUMBERVALUE('Procyfloc AL200'!C349,".",","),IFERROR(_xludf.NUMBERVALUE('Procyfloc AL200'!C349,",","."),0))))</f>
        <v/>
      </c>
      <c r="AE3848" t="str">
        <f>IF(AA3848="","",'Procyfloc AL200'!K349)</f>
        <v/>
      </c>
      <c r="AF3848">
        <f t="shared" si="377"/>
        <v>0</v>
      </c>
      <c r="AG3848" t="str">
        <f t="shared" si="378"/>
        <v/>
      </c>
      <c r="AH3848" t="str">
        <f t="shared" si="379"/>
        <v/>
      </c>
      <c r="AI3848">
        <f t="shared" si="380"/>
        <v>0</v>
      </c>
      <c r="AJ3848">
        <f t="shared" si="381"/>
        <v>0</v>
      </c>
      <c r="AK3848">
        <v>0</v>
      </c>
      <c r="AL3848" t="str">
        <f>IF(AA3848="","",IFERROR(IF(ISNUMBER('Procyfloc AL200'!D349),'Procyfloc AL200'!D349,IF(ISNUMBER(SEARCH("12",'Procyfloc AL200'!D349)),EDATE(AB3848,12),IF(ISNUMBER(SEARCH("6",'Procyfloc AL200'!D349)),EDATE(AB3848,6),IF(ISNUMBER(SEARCH("3",'Procyfloc AL200'!D349)),EDATE(AB3848,3),DATEVALUE('Procyfloc AL200'!D349))))),""))</f>
        <v/>
      </c>
      <c r="AM3848" t="str">
        <f t="shared" ca="1" si="382"/>
        <v/>
      </c>
    </row>
    <row r="3849" spans="27:39" x14ac:dyDescent="0.3">
      <c r="AA3849" t="str">
        <f>IF(COUNTA('Procyfloc AL200'!A350,'Procyfloc AL200'!B350,'Procyfloc AL200'!C350)&gt;0,"AL200","")</f>
        <v/>
      </c>
      <c r="AB3849" t="str">
        <f>IFERROR(IF(ISNUMBER('Procyfloc AL200'!A350),'Procyfloc AL200'!A350,DATEVALUE('Procyfloc AL200'!A350)),"")</f>
        <v/>
      </c>
      <c r="AC3849" t="str">
        <f>IF(AA3849="","",'Procyfloc AL200'!B350)</f>
        <v/>
      </c>
      <c r="AD3849" t="str">
        <f>IF(AA3849="","",IFERROR(1*'Procyfloc AL200'!C350,IFERROR(_xludf.NUMBERVALUE('Procyfloc AL200'!C350,".",","),IFERROR(_xludf.NUMBERVALUE('Procyfloc AL200'!C350,",","."),0))))</f>
        <v/>
      </c>
      <c r="AE3849" t="str">
        <f>IF(AA3849="","",'Procyfloc AL200'!K350)</f>
        <v/>
      </c>
      <c r="AF3849">
        <f t="shared" si="377"/>
        <v>0</v>
      </c>
      <c r="AG3849" t="str">
        <f t="shared" si="378"/>
        <v/>
      </c>
      <c r="AH3849" t="str">
        <f t="shared" si="379"/>
        <v/>
      </c>
      <c r="AI3849">
        <f t="shared" si="380"/>
        <v>0</v>
      </c>
      <c r="AJ3849">
        <f t="shared" si="381"/>
        <v>0</v>
      </c>
      <c r="AK3849">
        <v>0</v>
      </c>
      <c r="AL3849" t="str">
        <f>IF(AA3849="","",IFERROR(IF(ISNUMBER('Procyfloc AL200'!D350),'Procyfloc AL200'!D350,IF(ISNUMBER(SEARCH("12",'Procyfloc AL200'!D350)),EDATE(AB3849,12),IF(ISNUMBER(SEARCH("6",'Procyfloc AL200'!D350)),EDATE(AB3849,6),IF(ISNUMBER(SEARCH("3",'Procyfloc AL200'!D350)),EDATE(AB3849,3),DATEVALUE('Procyfloc AL200'!D350))))),""))</f>
        <v/>
      </c>
      <c r="AM3849" t="str">
        <f t="shared" ca="1" si="382"/>
        <v/>
      </c>
    </row>
    <row r="3850" spans="27:39" x14ac:dyDescent="0.3">
      <c r="AA3850" t="str">
        <f>IF(COUNTA('Procyfloc AL200'!A351,'Procyfloc AL200'!B351,'Procyfloc AL200'!C351)&gt;0,"AL200","")</f>
        <v/>
      </c>
      <c r="AB3850" t="str">
        <f>IFERROR(IF(ISNUMBER('Procyfloc AL200'!A351),'Procyfloc AL200'!A351,DATEVALUE('Procyfloc AL200'!A351)),"")</f>
        <v/>
      </c>
      <c r="AC3850" t="str">
        <f>IF(AA3850="","",'Procyfloc AL200'!B351)</f>
        <v/>
      </c>
      <c r="AD3850" t="str">
        <f>IF(AA3850="","",IFERROR(1*'Procyfloc AL200'!C351,IFERROR(_xludf.NUMBERVALUE('Procyfloc AL200'!C351,".",","),IFERROR(_xludf.NUMBERVALUE('Procyfloc AL200'!C351,",","."),0))))</f>
        <v/>
      </c>
      <c r="AE3850" t="str">
        <f>IF(AA3850="","",'Procyfloc AL200'!K351)</f>
        <v/>
      </c>
      <c r="AF3850">
        <f t="shared" si="377"/>
        <v>0</v>
      </c>
      <c r="AG3850" t="str">
        <f t="shared" si="378"/>
        <v/>
      </c>
      <c r="AH3850" t="str">
        <f t="shared" si="379"/>
        <v/>
      </c>
      <c r="AI3850">
        <f t="shared" si="380"/>
        <v>0</v>
      </c>
      <c r="AJ3850">
        <f t="shared" si="381"/>
        <v>0</v>
      </c>
      <c r="AK3850">
        <v>0</v>
      </c>
      <c r="AL3850" t="str">
        <f>IF(AA3850="","",IFERROR(IF(ISNUMBER('Procyfloc AL200'!D351),'Procyfloc AL200'!D351,IF(ISNUMBER(SEARCH("12",'Procyfloc AL200'!D351)),EDATE(AB3850,12),IF(ISNUMBER(SEARCH("6",'Procyfloc AL200'!D351)),EDATE(AB3850,6),IF(ISNUMBER(SEARCH("3",'Procyfloc AL200'!D351)),EDATE(AB3850,3),DATEVALUE('Procyfloc AL200'!D351))))),""))</f>
        <v/>
      </c>
      <c r="AM3850" t="str">
        <f t="shared" ca="1" si="382"/>
        <v/>
      </c>
    </row>
    <row r="3851" spans="27:39" x14ac:dyDescent="0.3">
      <c r="AA3851" t="str">
        <f>IF(COUNTA('Procyfloc AL200'!A352,'Procyfloc AL200'!B352,'Procyfloc AL200'!C352)&gt;0,"AL200","")</f>
        <v/>
      </c>
      <c r="AB3851" t="str">
        <f>IFERROR(IF(ISNUMBER('Procyfloc AL200'!A352),'Procyfloc AL200'!A352,DATEVALUE('Procyfloc AL200'!A352)),"")</f>
        <v/>
      </c>
      <c r="AC3851" t="str">
        <f>IF(AA3851="","",'Procyfloc AL200'!B352)</f>
        <v/>
      </c>
      <c r="AD3851" t="str">
        <f>IF(AA3851="","",IFERROR(1*'Procyfloc AL200'!C352,IFERROR(_xludf.NUMBERVALUE('Procyfloc AL200'!C352,".",","),IFERROR(_xludf.NUMBERVALUE('Procyfloc AL200'!C352,",","."),0))))</f>
        <v/>
      </c>
      <c r="AE3851" t="str">
        <f>IF(AA3851="","",'Procyfloc AL200'!K352)</f>
        <v/>
      </c>
      <c r="AF3851">
        <f t="shared" si="377"/>
        <v>0</v>
      </c>
      <c r="AG3851" t="str">
        <f t="shared" si="378"/>
        <v/>
      </c>
      <c r="AH3851" t="str">
        <f t="shared" si="379"/>
        <v/>
      </c>
      <c r="AI3851">
        <f t="shared" si="380"/>
        <v>0</v>
      </c>
      <c r="AJ3851">
        <f t="shared" si="381"/>
        <v>0</v>
      </c>
      <c r="AK3851">
        <v>0</v>
      </c>
      <c r="AL3851" t="str">
        <f>IF(AA3851="","",IFERROR(IF(ISNUMBER('Procyfloc AL200'!D352),'Procyfloc AL200'!D352,IF(ISNUMBER(SEARCH("12",'Procyfloc AL200'!D352)),EDATE(AB3851,12),IF(ISNUMBER(SEARCH("6",'Procyfloc AL200'!D352)),EDATE(AB3851,6),IF(ISNUMBER(SEARCH("3",'Procyfloc AL200'!D352)),EDATE(AB3851,3),DATEVALUE('Procyfloc AL200'!D352))))),""))</f>
        <v/>
      </c>
      <c r="AM3851" t="str">
        <f t="shared" ca="1" si="382"/>
        <v/>
      </c>
    </row>
    <row r="3852" spans="27:39" x14ac:dyDescent="0.3">
      <c r="AA3852" t="str">
        <f>IF(COUNTA('Procyfloc AL200'!A353,'Procyfloc AL200'!B353,'Procyfloc AL200'!C353)&gt;0,"AL200","")</f>
        <v/>
      </c>
      <c r="AB3852" t="str">
        <f>IFERROR(IF(ISNUMBER('Procyfloc AL200'!A353),'Procyfloc AL200'!A353,DATEVALUE('Procyfloc AL200'!A353)),"")</f>
        <v/>
      </c>
      <c r="AC3852" t="str">
        <f>IF(AA3852="","",'Procyfloc AL200'!B353)</f>
        <v/>
      </c>
      <c r="AD3852" t="str">
        <f>IF(AA3852="","",IFERROR(1*'Procyfloc AL200'!C353,IFERROR(_xludf.NUMBERVALUE('Procyfloc AL200'!C353,".",","),IFERROR(_xludf.NUMBERVALUE('Procyfloc AL200'!C353,",","."),0))))</f>
        <v/>
      </c>
      <c r="AE3852" t="str">
        <f>IF(AA3852="","",'Procyfloc AL200'!K353)</f>
        <v/>
      </c>
      <c r="AF3852">
        <f t="shared" si="377"/>
        <v>0</v>
      </c>
      <c r="AG3852" t="str">
        <f t="shared" si="378"/>
        <v/>
      </c>
      <c r="AH3852" t="str">
        <f t="shared" si="379"/>
        <v/>
      </c>
      <c r="AI3852">
        <f t="shared" si="380"/>
        <v>0</v>
      </c>
      <c r="AJ3852">
        <f t="shared" si="381"/>
        <v>0</v>
      </c>
      <c r="AK3852">
        <v>0</v>
      </c>
      <c r="AL3852" t="str">
        <f>IF(AA3852="","",IFERROR(IF(ISNUMBER('Procyfloc AL200'!D353),'Procyfloc AL200'!D353,IF(ISNUMBER(SEARCH("12",'Procyfloc AL200'!D353)),EDATE(AB3852,12),IF(ISNUMBER(SEARCH("6",'Procyfloc AL200'!D353)),EDATE(AB3852,6),IF(ISNUMBER(SEARCH("3",'Procyfloc AL200'!D353)),EDATE(AB3852,3),DATEVALUE('Procyfloc AL200'!D353))))),""))</f>
        <v/>
      </c>
      <c r="AM3852" t="str">
        <f t="shared" ca="1" si="382"/>
        <v/>
      </c>
    </row>
    <row r="3853" spans="27:39" x14ac:dyDescent="0.3">
      <c r="AA3853" t="str">
        <f>IF(COUNTA('Procyfloc AL200'!A354,'Procyfloc AL200'!B354,'Procyfloc AL200'!C354)&gt;0,"AL200","")</f>
        <v/>
      </c>
      <c r="AB3853" t="str">
        <f>IFERROR(IF(ISNUMBER('Procyfloc AL200'!A354),'Procyfloc AL200'!A354,DATEVALUE('Procyfloc AL200'!A354)),"")</f>
        <v/>
      </c>
      <c r="AC3853" t="str">
        <f>IF(AA3853="","",'Procyfloc AL200'!B354)</f>
        <v/>
      </c>
      <c r="AD3853" t="str">
        <f>IF(AA3853="","",IFERROR(1*'Procyfloc AL200'!C354,IFERROR(_xludf.NUMBERVALUE('Procyfloc AL200'!C354,".",","),IFERROR(_xludf.NUMBERVALUE('Procyfloc AL200'!C354,",","."),0))))</f>
        <v/>
      </c>
      <c r="AE3853" t="str">
        <f>IF(AA3853="","",'Procyfloc AL200'!K354)</f>
        <v/>
      </c>
      <c r="AF3853">
        <f t="shared" si="377"/>
        <v>0</v>
      </c>
      <c r="AG3853" t="str">
        <f t="shared" si="378"/>
        <v/>
      </c>
      <c r="AH3853" t="str">
        <f t="shared" si="379"/>
        <v/>
      </c>
      <c r="AI3853">
        <f t="shared" si="380"/>
        <v>0</v>
      </c>
      <c r="AJ3853">
        <f t="shared" si="381"/>
        <v>0</v>
      </c>
      <c r="AK3853">
        <v>0</v>
      </c>
      <c r="AL3853" t="str">
        <f>IF(AA3853="","",IFERROR(IF(ISNUMBER('Procyfloc AL200'!D354),'Procyfloc AL200'!D354,IF(ISNUMBER(SEARCH("12",'Procyfloc AL200'!D354)),EDATE(AB3853,12),IF(ISNUMBER(SEARCH("6",'Procyfloc AL200'!D354)),EDATE(AB3853,6),IF(ISNUMBER(SEARCH("3",'Procyfloc AL200'!D354)),EDATE(AB3853,3),DATEVALUE('Procyfloc AL200'!D354))))),""))</f>
        <v/>
      </c>
      <c r="AM3853" t="str">
        <f t="shared" ca="1" si="382"/>
        <v/>
      </c>
    </row>
    <row r="3854" spans="27:39" x14ac:dyDescent="0.3">
      <c r="AA3854" t="str">
        <f>IF(COUNTA('Procyfloc AL200'!A355,'Procyfloc AL200'!B355,'Procyfloc AL200'!C355)&gt;0,"AL200","")</f>
        <v/>
      </c>
      <c r="AB3854" t="str">
        <f>IFERROR(IF(ISNUMBER('Procyfloc AL200'!A355),'Procyfloc AL200'!A355,DATEVALUE('Procyfloc AL200'!A355)),"")</f>
        <v/>
      </c>
      <c r="AC3854" t="str">
        <f>IF(AA3854="","",'Procyfloc AL200'!B355)</f>
        <v/>
      </c>
      <c r="AD3854" t="str">
        <f>IF(AA3854="","",IFERROR(1*'Procyfloc AL200'!C355,IFERROR(_xludf.NUMBERVALUE('Procyfloc AL200'!C355,".",","),IFERROR(_xludf.NUMBERVALUE('Procyfloc AL200'!C355,",","."),0))))</f>
        <v/>
      </c>
      <c r="AE3854" t="str">
        <f>IF(AA3854="","",'Procyfloc AL200'!K355)</f>
        <v/>
      </c>
      <c r="AF3854">
        <f t="shared" si="377"/>
        <v>0</v>
      </c>
      <c r="AG3854" t="str">
        <f t="shared" si="378"/>
        <v/>
      </c>
      <c r="AH3854" t="str">
        <f t="shared" si="379"/>
        <v/>
      </c>
      <c r="AI3854">
        <f t="shared" si="380"/>
        <v>0</v>
      </c>
      <c r="AJ3854">
        <f t="shared" si="381"/>
        <v>0</v>
      </c>
      <c r="AK3854">
        <v>0</v>
      </c>
      <c r="AL3854" t="str">
        <f>IF(AA3854="","",IFERROR(IF(ISNUMBER('Procyfloc AL200'!D355),'Procyfloc AL200'!D355,IF(ISNUMBER(SEARCH("12",'Procyfloc AL200'!D355)),EDATE(AB3854,12),IF(ISNUMBER(SEARCH("6",'Procyfloc AL200'!D355)),EDATE(AB3854,6),IF(ISNUMBER(SEARCH("3",'Procyfloc AL200'!D355)),EDATE(AB3854,3),DATEVALUE('Procyfloc AL200'!D355))))),""))</f>
        <v/>
      </c>
      <c r="AM3854" t="str">
        <f t="shared" ca="1" si="382"/>
        <v/>
      </c>
    </row>
    <row r="3855" spans="27:39" x14ac:dyDescent="0.3">
      <c r="AA3855" t="str">
        <f>IF(COUNTA('Procyfloc AL200'!A356,'Procyfloc AL200'!B356,'Procyfloc AL200'!C356)&gt;0,"AL200","")</f>
        <v/>
      </c>
      <c r="AB3855" t="str">
        <f>IFERROR(IF(ISNUMBER('Procyfloc AL200'!A356),'Procyfloc AL200'!A356,DATEVALUE('Procyfloc AL200'!A356)),"")</f>
        <v/>
      </c>
      <c r="AC3855" t="str">
        <f>IF(AA3855="","",'Procyfloc AL200'!B356)</f>
        <v/>
      </c>
      <c r="AD3855" t="str">
        <f>IF(AA3855="","",IFERROR(1*'Procyfloc AL200'!C356,IFERROR(_xludf.NUMBERVALUE('Procyfloc AL200'!C356,".",","),IFERROR(_xludf.NUMBERVALUE('Procyfloc AL200'!C356,",","."),0))))</f>
        <v/>
      </c>
      <c r="AE3855" t="str">
        <f>IF(AA3855="","",'Procyfloc AL200'!K356)</f>
        <v/>
      </c>
      <c r="AF3855">
        <f t="shared" si="377"/>
        <v>0</v>
      </c>
      <c r="AG3855" t="str">
        <f t="shared" si="378"/>
        <v/>
      </c>
      <c r="AH3855" t="str">
        <f t="shared" si="379"/>
        <v/>
      </c>
      <c r="AI3855">
        <f t="shared" si="380"/>
        <v>0</v>
      </c>
      <c r="AJ3855">
        <f t="shared" si="381"/>
        <v>0</v>
      </c>
      <c r="AK3855">
        <v>0</v>
      </c>
      <c r="AL3855" t="str">
        <f>IF(AA3855="","",IFERROR(IF(ISNUMBER('Procyfloc AL200'!D356),'Procyfloc AL200'!D356,IF(ISNUMBER(SEARCH("12",'Procyfloc AL200'!D356)),EDATE(AB3855,12),IF(ISNUMBER(SEARCH("6",'Procyfloc AL200'!D356)),EDATE(AB3855,6),IF(ISNUMBER(SEARCH("3",'Procyfloc AL200'!D356)),EDATE(AB3855,3),DATEVALUE('Procyfloc AL200'!D356))))),""))</f>
        <v/>
      </c>
      <c r="AM3855" t="str">
        <f t="shared" ca="1" si="382"/>
        <v/>
      </c>
    </row>
    <row r="3856" spans="27:39" x14ac:dyDescent="0.3">
      <c r="AA3856" t="str">
        <f>IF(COUNTA('Procyfloc AL200'!A357,'Procyfloc AL200'!B357,'Procyfloc AL200'!C357)&gt;0,"AL200","")</f>
        <v/>
      </c>
      <c r="AB3856" t="str">
        <f>IFERROR(IF(ISNUMBER('Procyfloc AL200'!A357),'Procyfloc AL200'!A357,DATEVALUE('Procyfloc AL200'!A357)),"")</f>
        <v/>
      </c>
      <c r="AC3856" t="str">
        <f>IF(AA3856="","",'Procyfloc AL200'!B357)</f>
        <v/>
      </c>
      <c r="AD3856" t="str">
        <f>IF(AA3856="","",IFERROR(1*'Procyfloc AL200'!C357,IFERROR(_xludf.NUMBERVALUE('Procyfloc AL200'!C357,".",","),IFERROR(_xludf.NUMBERVALUE('Procyfloc AL200'!C357,",","."),0))))</f>
        <v/>
      </c>
      <c r="AE3856" t="str">
        <f>IF(AA3856="","",'Procyfloc AL200'!K357)</f>
        <v/>
      </c>
      <c r="AF3856">
        <f t="shared" si="377"/>
        <v>0</v>
      </c>
      <c r="AG3856" t="str">
        <f t="shared" si="378"/>
        <v/>
      </c>
      <c r="AH3856" t="str">
        <f t="shared" si="379"/>
        <v/>
      </c>
      <c r="AI3856">
        <f t="shared" si="380"/>
        <v>0</v>
      </c>
      <c r="AJ3856">
        <f t="shared" si="381"/>
        <v>0</v>
      </c>
      <c r="AK3856">
        <v>0</v>
      </c>
      <c r="AL3856" t="str">
        <f>IF(AA3856="","",IFERROR(IF(ISNUMBER('Procyfloc AL200'!D357),'Procyfloc AL200'!D357,IF(ISNUMBER(SEARCH("12",'Procyfloc AL200'!D357)),EDATE(AB3856,12),IF(ISNUMBER(SEARCH("6",'Procyfloc AL200'!D357)),EDATE(AB3856,6),IF(ISNUMBER(SEARCH("3",'Procyfloc AL200'!D357)),EDATE(AB3856,3),DATEVALUE('Procyfloc AL200'!D357))))),""))</f>
        <v/>
      </c>
      <c r="AM3856" t="str">
        <f t="shared" ca="1" si="382"/>
        <v/>
      </c>
    </row>
    <row r="3857" spans="27:39" x14ac:dyDescent="0.3">
      <c r="AA3857" t="str">
        <f>IF(COUNTA('Procyfloc AL200'!A358,'Procyfloc AL200'!B358,'Procyfloc AL200'!C358)&gt;0,"AL200","")</f>
        <v/>
      </c>
      <c r="AB3857" t="str">
        <f>IFERROR(IF(ISNUMBER('Procyfloc AL200'!A358),'Procyfloc AL200'!A358,DATEVALUE('Procyfloc AL200'!A358)),"")</f>
        <v/>
      </c>
      <c r="AC3857" t="str">
        <f>IF(AA3857="","",'Procyfloc AL200'!B358)</f>
        <v/>
      </c>
      <c r="AD3857" t="str">
        <f>IF(AA3857="","",IFERROR(1*'Procyfloc AL200'!C358,IFERROR(_xludf.NUMBERVALUE('Procyfloc AL200'!C358,".",","),IFERROR(_xludf.NUMBERVALUE('Procyfloc AL200'!C358,",","."),0))))</f>
        <v/>
      </c>
      <c r="AE3857" t="str">
        <f>IF(AA3857="","",'Procyfloc AL200'!K358)</f>
        <v/>
      </c>
      <c r="AF3857">
        <f t="shared" si="377"/>
        <v>0</v>
      </c>
      <c r="AG3857" t="str">
        <f t="shared" si="378"/>
        <v/>
      </c>
      <c r="AH3857" t="str">
        <f t="shared" si="379"/>
        <v/>
      </c>
      <c r="AI3857">
        <f t="shared" si="380"/>
        <v>0</v>
      </c>
      <c r="AJ3857">
        <f t="shared" si="381"/>
        <v>0</v>
      </c>
      <c r="AK3857">
        <v>0</v>
      </c>
      <c r="AL3857" t="str">
        <f>IF(AA3857="","",IFERROR(IF(ISNUMBER('Procyfloc AL200'!D358),'Procyfloc AL200'!D358,IF(ISNUMBER(SEARCH("12",'Procyfloc AL200'!D358)),EDATE(AB3857,12),IF(ISNUMBER(SEARCH("6",'Procyfloc AL200'!D358)),EDATE(AB3857,6),IF(ISNUMBER(SEARCH("3",'Procyfloc AL200'!D358)),EDATE(AB3857,3),DATEVALUE('Procyfloc AL200'!D358))))),""))</f>
        <v/>
      </c>
      <c r="AM3857" t="str">
        <f t="shared" ca="1" si="382"/>
        <v/>
      </c>
    </row>
    <row r="3858" spans="27:39" x14ac:dyDescent="0.3">
      <c r="AA3858" t="str">
        <f>IF(COUNTA('Procyfloc AL200'!A359,'Procyfloc AL200'!B359,'Procyfloc AL200'!C359)&gt;0,"AL200","")</f>
        <v/>
      </c>
      <c r="AB3858" t="str">
        <f>IFERROR(IF(ISNUMBER('Procyfloc AL200'!A359),'Procyfloc AL200'!A359,DATEVALUE('Procyfloc AL200'!A359)),"")</f>
        <v/>
      </c>
      <c r="AC3858" t="str">
        <f>IF(AA3858="","",'Procyfloc AL200'!B359)</f>
        <v/>
      </c>
      <c r="AD3858" t="str">
        <f>IF(AA3858="","",IFERROR(1*'Procyfloc AL200'!C359,IFERROR(_xludf.NUMBERVALUE('Procyfloc AL200'!C359,".",","),IFERROR(_xludf.NUMBERVALUE('Procyfloc AL200'!C359,",","."),0))))</f>
        <v/>
      </c>
      <c r="AE3858" t="str">
        <f>IF(AA3858="","",'Procyfloc AL200'!K359)</f>
        <v/>
      </c>
      <c r="AF3858">
        <f t="shared" si="377"/>
        <v>0</v>
      </c>
      <c r="AG3858" t="str">
        <f t="shared" si="378"/>
        <v/>
      </c>
      <c r="AH3858" t="str">
        <f t="shared" si="379"/>
        <v/>
      </c>
      <c r="AI3858">
        <f t="shared" si="380"/>
        <v>0</v>
      </c>
      <c r="AJ3858">
        <f t="shared" si="381"/>
        <v>0</v>
      </c>
      <c r="AK3858">
        <v>0</v>
      </c>
      <c r="AL3858" t="str">
        <f>IF(AA3858="","",IFERROR(IF(ISNUMBER('Procyfloc AL200'!D359),'Procyfloc AL200'!D359,IF(ISNUMBER(SEARCH("12",'Procyfloc AL200'!D359)),EDATE(AB3858,12),IF(ISNUMBER(SEARCH("6",'Procyfloc AL200'!D359)),EDATE(AB3858,6),IF(ISNUMBER(SEARCH("3",'Procyfloc AL200'!D359)),EDATE(AB3858,3),DATEVALUE('Procyfloc AL200'!D359))))),""))</f>
        <v/>
      </c>
      <c r="AM3858" t="str">
        <f t="shared" ca="1" si="382"/>
        <v/>
      </c>
    </row>
    <row r="3859" spans="27:39" x14ac:dyDescent="0.3">
      <c r="AA3859" t="str">
        <f>IF(COUNTA('Procyfloc AL200'!A360,'Procyfloc AL200'!B360,'Procyfloc AL200'!C360)&gt;0,"AL200","")</f>
        <v/>
      </c>
      <c r="AB3859" t="str">
        <f>IFERROR(IF(ISNUMBER('Procyfloc AL200'!A360),'Procyfloc AL200'!A360,DATEVALUE('Procyfloc AL200'!A360)),"")</f>
        <v/>
      </c>
      <c r="AC3859" t="str">
        <f>IF(AA3859="","",'Procyfloc AL200'!B360)</f>
        <v/>
      </c>
      <c r="AD3859" t="str">
        <f>IF(AA3859="","",IFERROR(1*'Procyfloc AL200'!C360,IFERROR(_xludf.NUMBERVALUE('Procyfloc AL200'!C360,".",","),IFERROR(_xludf.NUMBERVALUE('Procyfloc AL200'!C360,",","."),0))))</f>
        <v/>
      </c>
      <c r="AE3859" t="str">
        <f>IF(AA3859="","",'Procyfloc AL200'!K360)</f>
        <v/>
      </c>
      <c r="AF3859">
        <f t="shared" si="377"/>
        <v>0</v>
      </c>
      <c r="AG3859" t="str">
        <f t="shared" si="378"/>
        <v/>
      </c>
      <c r="AH3859" t="str">
        <f t="shared" si="379"/>
        <v/>
      </c>
      <c r="AI3859">
        <f t="shared" si="380"/>
        <v>0</v>
      </c>
      <c r="AJ3859">
        <f t="shared" si="381"/>
        <v>0</v>
      </c>
      <c r="AK3859">
        <v>0</v>
      </c>
      <c r="AL3859" t="str">
        <f>IF(AA3859="","",IFERROR(IF(ISNUMBER('Procyfloc AL200'!D360),'Procyfloc AL200'!D360,IF(ISNUMBER(SEARCH("12",'Procyfloc AL200'!D360)),EDATE(AB3859,12),IF(ISNUMBER(SEARCH("6",'Procyfloc AL200'!D360)),EDATE(AB3859,6),IF(ISNUMBER(SEARCH("3",'Procyfloc AL200'!D360)),EDATE(AB3859,3),DATEVALUE('Procyfloc AL200'!D360))))),""))</f>
        <v/>
      </c>
      <c r="AM3859" t="str">
        <f t="shared" ca="1" si="382"/>
        <v/>
      </c>
    </row>
    <row r="3860" spans="27:39" x14ac:dyDescent="0.3">
      <c r="AA3860" t="str">
        <f>IF(COUNTA('Procyfloc AL200'!A361,'Procyfloc AL200'!B361,'Procyfloc AL200'!C361)&gt;0,"AL200","")</f>
        <v/>
      </c>
      <c r="AB3860" t="str">
        <f>IFERROR(IF(ISNUMBER('Procyfloc AL200'!A361),'Procyfloc AL200'!A361,DATEVALUE('Procyfloc AL200'!A361)),"")</f>
        <v/>
      </c>
      <c r="AC3860" t="str">
        <f>IF(AA3860="","",'Procyfloc AL200'!B361)</f>
        <v/>
      </c>
      <c r="AD3860" t="str">
        <f>IF(AA3860="","",IFERROR(1*'Procyfloc AL200'!C361,IFERROR(_xludf.NUMBERVALUE('Procyfloc AL200'!C361,".",","),IFERROR(_xludf.NUMBERVALUE('Procyfloc AL200'!C361,",","."),0))))</f>
        <v/>
      </c>
      <c r="AE3860" t="str">
        <f>IF(AA3860="","",'Procyfloc AL200'!K361)</f>
        <v/>
      </c>
      <c r="AF3860">
        <f t="shared" si="377"/>
        <v>0</v>
      </c>
      <c r="AG3860" t="str">
        <f t="shared" si="378"/>
        <v/>
      </c>
      <c r="AH3860" t="str">
        <f t="shared" si="379"/>
        <v/>
      </c>
      <c r="AI3860">
        <f t="shared" si="380"/>
        <v>0</v>
      </c>
      <c r="AJ3860">
        <f t="shared" si="381"/>
        <v>0</v>
      </c>
      <c r="AK3860">
        <v>0</v>
      </c>
      <c r="AL3860" t="str">
        <f>IF(AA3860="","",IFERROR(IF(ISNUMBER('Procyfloc AL200'!D361),'Procyfloc AL200'!D361,IF(ISNUMBER(SEARCH("12",'Procyfloc AL200'!D361)),EDATE(AB3860,12),IF(ISNUMBER(SEARCH("6",'Procyfloc AL200'!D361)),EDATE(AB3860,6),IF(ISNUMBER(SEARCH("3",'Procyfloc AL200'!D361)),EDATE(AB3860,3),DATEVALUE('Procyfloc AL200'!D361))))),""))</f>
        <v/>
      </c>
      <c r="AM3860" t="str">
        <f t="shared" ca="1" si="382"/>
        <v/>
      </c>
    </row>
    <row r="3861" spans="27:39" x14ac:dyDescent="0.3">
      <c r="AA3861" t="str">
        <f>IF(COUNTA('Procyfloc AL200'!A362,'Procyfloc AL200'!B362,'Procyfloc AL200'!C362)&gt;0,"AL200","")</f>
        <v/>
      </c>
      <c r="AB3861" t="str">
        <f>IFERROR(IF(ISNUMBER('Procyfloc AL200'!A362),'Procyfloc AL200'!A362,DATEVALUE('Procyfloc AL200'!A362)),"")</f>
        <v/>
      </c>
      <c r="AC3861" t="str">
        <f>IF(AA3861="","",'Procyfloc AL200'!B362)</f>
        <v/>
      </c>
      <c r="AD3861" t="str">
        <f>IF(AA3861="","",IFERROR(1*'Procyfloc AL200'!C362,IFERROR(_xludf.NUMBERVALUE('Procyfloc AL200'!C362,".",","),IFERROR(_xludf.NUMBERVALUE('Procyfloc AL200'!C362,",","."),0))))</f>
        <v/>
      </c>
      <c r="AE3861" t="str">
        <f>IF(AA3861="","",'Procyfloc AL200'!K362)</f>
        <v/>
      </c>
      <c r="AF3861">
        <f t="shared" si="377"/>
        <v>0</v>
      </c>
      <c r="AG3861" t="str">
        <f t="shared" si="378"/>
        <v/>
      </c>
      <c r="AH3861" t="str">
        <f t="shared" si="379"/>
        <v/>
      </c>
      <c r="AI3861">
        <f t="shared" si="380"/>
        <v>0</v>
      </c>
      <c r="AJ3861">
        <f t="shared" si="381"/>
        <v>0</v>
      </c>
      <c r="AK3861">
        <v>0</v>
      </c>
      <c r="AL3861" t="str">
        <f>IF(AA3861="","",IFERROR(IF(ISNUMBER('Procyfloc AL200'!D362),'Procyfloc AL200'!D362,IF(ISNUMBER(SEARCH("12",'Procyfloc AL200'!D362)),EDATE(AB3861,12),IF(ISNUMBER(SEARCH("6",'Procyfloc AL200'!D362)),EDATE(AB3861,6),IF(ISNUMBER(SEARCH("3",'Procyfloc AL200'!D362)),EDATE(AB3861,3),DATEVALUE('Procyfloc AL200'!D362))))),""))</f>
        <v/>
      </c>
      <c r="AM3861" t="str">
        <f t="shared" ca="1" si="382"/>
        <v/>
      </c>
    </row>
    <row r="3862" spans="27:39" x14ac:dyDescent="0.3">
      <c r="AA3862" t="str">
        <f>IF(COUNTA('Procyfloc AL200'!A363,'Procyfloc AL200'!B363,'Procyfloc AL200'!C363)&gt;0,"AL200","")</f>
        <v/>
      </c>
      <c r="AB3862" t="str">
        <f>IFERROR(IF(ISNUMBER('Procyfloc AL200'!A363),'Procyfloc AL200'!A363,DATEVALUE('Procyfloc AL200'!A363)),"")</f>
        <v/>
      </c>
      <c r="AC3862" t="str">
        <f>IF(AA3862="","",'Procyfloc AL200'!B363)</f>
        <v/>
      </c>
      <c r="AD3862" t="str">
        <f>IF(AA3862="","",IFERROR(1*'Procyfloc AL200'!C363,IFERROR(_xludf.NUMBERVALUE('Procyfloc AL200'!C363,".",","),IFERROR(_xludf.NUMBERVALUE('Procyfloc AL200'!C363,",","."),0))))</f>
        <v/>
      </c>
      <c r="AE3862" t="str">
        <f>IF(AA3862="","",'Procyfloc AL200'!K363)</f>
        <v/>
      </c>
      <c r="AF3862">
        <f t="shared" si="377"/>
        <v>0</v>
      </c>
      <c r="AG3862" t="str">
        <f t="shared" si="378"/>
        <v/>
      </c>
      <c r="AH3862" t="str">
        <f t="shared" si="379"/>
        <v/>
      </c>
      <c r="AI3862">
        <f t="shared" si="380"/>
        <v>0</v>
      </c>
      <c r="AJ3862">
        <f t="shared" si="381"/>
        <v>0</v>
      </c>
      <c r="AK3862">
        <v>0</v>
      </c>
      <c r="AL3862" t="str">
        <f>IF(AA3862="","",IFERROR(IF(ISNUMBER('Procyfloc AL200'!D363),'Procyfloc AL200'!D363,IF(ISNUMBER(SEARCH("12",'Procyfloc AL200'!D363)),EDATE(AB3862,12),IF(ISNUMBER(SEARCH("6",'Procyfloc AL200'!D363)),EDATE(AB3862,6),IF(ISNUMBER(SEARCH("3",'Procyfloc AL200'!D363)),EDATE(AB3862,3),DATEVALUE('Procyfloc AL200'!D363))))),""))</f>
        <v/>
      </c>
      <c r="AM3862" t="str">
        <f t="shared" ca="1" si="382"/>
        <v/>
      </c>
    </row>
    <row r="3863" spans="27:39" x14ac:dyDescent="0.3">
      <c r="AA3863" t="str">
        <f>IF(COUNTA('Procyfloc AL200'!A364,'Procyfloc AL200'!B364,'Procyfloc AL200'!C364)&gt;0,"AL200","")</f>
        <v/>
      </c>
      <c r="AB3863" t="str">
        <f>IFERROR(IF(ISNUMBER('Procyfloc AL200'!A364),'Procyfloc AL200'!A364,DATEVALUE('Procyfloc AL200'!A364)),"")</f>
        <v/>
      </c>
      <c r="AC3863" t="str">
        <f>IF(AA3863="","",'Procyfloc AL200'!B364)</f>
        <v/>
      </c>
      <c r="AD3863" t="str">
        <f>IF(AA3863="","",IFERROR(1*'Procyfloc AL200'!C364,IFERROR(_xludf.NUMBERVALUE('Procyfloc AL200'!C364,".",","),IFERROR(_xludf.NUMBERVALUE('Procyfloc AL200'!C364,",","."),0))))</f>
        <v/>
      </c>
      <c r="AE3863" t="str">
        <f>IF(AA3863="","",'Procyfloc AL200'!K364)</f>
        <v/>
      </c>
      <c r="AF3863">
        <f t="shared" si="377"/>
        <v>0</v>
      </c>
      <c r="AG3863" t="str">
        <f t="shared" si="378"/>
        <v/>
      </c>
      <c r="AH3863" t="str">
        <f t="shared" si="379"/>
        <v/>
      </c>
      <c r="AI3863">
        <f t="shared" si="380"/>
        <v>0</v>
      </c>
      <c r="AJ3863">
        <f t="shared" si="381"/>
        <v>0</v>
      </c>
      <c r="AK3863">
        <v>0</v>
      </c>
      <c r="AL3863" t="str">
        <f>IF(AA3863="","",IFERROR(IF(ISNUMBER('Procyfloc AL200'!D364),'Procyfloc AL200'!D364,IF(ISNUMBER(SEARCH("12",'Procyfloc AL200'!D364)),EDATE(AB3863,12),IF(ISNUMBER(SEARCH("6",'Procyfloc AL200'!D364)),EDATE(AB3863,6),IF(ISNUMBER(SEARCH("3",'Procyfloc AL200'!D364)),EDATE(AB3863,3),DATEVALUE('Procyfloc AL200'!D364))))),""))</f>
        <v/>
      </c>
      <c r="AM3863" t="str">
        <f t="shared" ca="1" si="382"/>
        <v/>
      </c>
    </row>
    <row r="3864" spans="27:39" x14ac:dyDescent="0.3">
      <c r="AA3864" t="str">
        <f>IF(COUNTA('Procyfloc AL200'!A365,'Procyfloc AL200'!B365,'Procyfloc AL200'!C365)&gt;0,"AL200","")</f>
        <v/>
      </c>
      <c r="AB3864" t="str">
        <f>IFERROR(IF(ISNUMBER('Procyfloc AL200'!A365),'Procyfloc AL200'!A365,DATEVALUE('Procyfloc AL200'!A365)),"")</f>
        <v/>
      </c>
      <c r="AC3864" t="str">
        <f>IF(AA3864="","",'Procyfloc AL200'!B365)</f>
        <v/>
      </c>
      <c r="AD3864" t="str">
        <f>IF(AA3864="","",IFERROR(1*'Procyfloc AL200'!C365,IFERROR(_xludf.NUMBERVALUE('Procyfloc AL200'!C365,".",","),IFERROR(_xludf.NUMBERVALUE('Procyfloc AL200'!C365,",","."),0))))</f>
        <v/>
      </c>
      <c r="AE3864" t="str">
        <f>IF(AA3864="","",'Procyfloc AL200'!K365)</f>
        <v/>
      </c>
      <c r="AF3864">
        <f t="shared" si="377"/>
        <v>0</v>
      </c>
      <c r="AG3864" t="str">
        <f t="shared" si="378"/>
        <v/>
      </c>
      <c r="AH3864" t="str">
        <f t="shared" si="379"/>
        <v/>
      </c>
      <c r="AI3864">
        <f t="shared" si="380"/>
        <v>0</v>
      </c>
      <c r="AJ3864">
        <f t="shared" si="381"/>
        <v>0</v>
      </c>
      <c r="AK3864">
        <v>0</v>
      </c>
      <c r="AL3864" t="str">
        <f>IF(AA3864="","",IFERROR(IF(ISNUMBER('Procyfloc AL200'!D365),'Procyfloc AL200'!D365,IF(ISNUMBER(SEARCH("12",'Procyfloc AL200'!D365)),EDATE(AB3864,12),IF(ISNUMBER(SEARCH("6",'Procyfloc AL200'!D365)),EDATE(AB3864,6),IF(ISNUMBER(SEARCH("3",'Procyfloc AL200'!D365)),EDATE(AB3864,3),DATEVALUE('Procyfloc AL200'!D365))))),""))</f>
        <v/>
      </c>
      <c r="AM3864" t="str">
        <f t="shared" ca="1" si="382"/>
        <v/>
      </c>
    </row>
    <row r="3865" spans="27:39" x14ac:dyDescent="0.3">
      <c r="AA3865" t="str">
        <f>IF(COUNTA('Procyfloc AL200'!A366,'Procyfloc AL200'!B366,'Procyfloc AL200'!C366)&gt;0,"AL200","")</f>
        <v/>
      </c>
      <c r="AB3865" t="str">
        <f>IFERROR(IF(ISNUMBER('Procyfloc AL200'!A366),'Procyfloc AL200'!A366,DATEVALUE('Procyfloc AL200'!A366)),"")</f>
        <v/>
      </c>
      <c r="AC3865" t="str">
        <f>IF(AA3865="","",'Procyfloc AL200'!B366)</f>
        <v/>
      </c>
      <c r="AD3865" t="str">
        <f>IF(AA3865="","",IFERROR(1*'Procyfloc AL200'!C366,IFERROR(_xludf.NUMBERVALUE('Procyfloc AL200'!C366,".",","),IFERROR(_xludf.NUMBERVALUE('Procyfloc AL200'!C366,",","."),0))))</f>
        <v/>
      </c>
      <c r="AE3865" t="str">
        <f>IF(AA3865="","",'Procyfloc AL200'!K366)</f>
        <v/>
      </c>
      <c r="AF3865">
        <f t="shared" si="377"/>
        <v>0</v>
      </c>
      <c r="AG3865" t="str">
        <f t="shared" si="378"/>
        <v/>
      </c>
      <c r="AH3865" t="str">
        <f t="shared" si="379"/>
        <v/>
      </c>
      <c r="AI3865">
        <f t="shared" si="380"/>
        <v>0</v>
      </c>
      <c r="AJ3865">
        <f t="shared" si="381"/>
        <v>0</v>
      </c>
      <c r="AK3865">
        <v>0</v>
      </c>
      <c r="AL3865" t="str">
        <f>IF(AA3865="","",IFERROR(IF(ISNUMBER('Procyfloc AL200'!D366),'Procyfloc AL200'!D366,IF(ISNUMBER(SEARCH("12",'Procyfloc AL200'!D366)),EDATE(AB3865,12),IF(ISNUMBER(SEARCH("6",'Procyfloc AL200'!D366)),EDATE(AB3865,6),IF(ISNUMBER(SEARCH("3",'Procyfloc AL200'!D366)),EDATE(AB3865,3),DATEVALUE('Procyfloc AL200'!D366))))),""))</f>
        <v/>
      </c>
      <c r="AM3865" t="str">
        <f t="shared" ca="1" si="382"/>
        <v/>
      </c>
    </row>
    <row r="3866" spans="27:39" x14ac:dyDescent="0.3">
      <c r="AA3866" t="str">
        <f>IF(COUNTA('Procyfloc AL200'!A367,'Procyfloc AL200'!B367,'Procyfloc AL200'!C367)&gt;0,"AL200","")</f>
        <v/>
      </c>
      <c r="AB3866" t="str">
        <f>IFERROR(IF(ISNUMBER('Procyfloc AL200'!A367),'Procyfloc AL200'!A367,DATEVALUE('Procyfloc AL200'!A367)),"")</f>
        <v/>
      </c>
      <c r="AC3866" t="str">
        <f>IF(AA3866="","",'Procyfloc AL200'!B367)</f>
        <v/>
      </c>
      <c r="AD3866" t="str">
        <f>IF(AA3866="","",IFERROR(1*'Procyfloc AL200'!C367,IFERROR(_xludf.NUMBERVALUE('Procyfloc AL200'!C367,".",","),IFERROR(_xludf.NUMBERVALUE('Procyfloc AL200'!C367,",","."),0))))</f>
        <v/>
      </c>
      <c r="AE3866" t="str">
        <f>IF(AA3866="","",'Procyfloc AL200'!K367)</f>
        <v/>
      </c>
      <c r="AF3866">
        <f t="shared" si="377"/>
        <v>0</v>
      </c>
      <c r="AG3866" t="str">
        <f t="shared" si="378"/>
        <v/>
      </c>
      <c r="AH3866" t="str">
        <f t="shared" si="379"/>
        <v/>
      </c>
      <c r="AI3866">
        <f t="shared" si="380"/>
        <v>0</v>
      </c>
      <c r="AJ3866">
        <f t="shared" si="381"/>
        <v>0</v>
      </c>
      <c r="AK3866">
        <v>0</v>
      </c>
      <c r="AL3866" t="str">
        <f>IF(AA3866="","",IFERROR(IF(ISNUMBER('Procyfloc AL200'!D367),'Procyfloc AL200'!D367,IF(ISNUMBER(SEARCH("12",'Procyfloc AL200'!D367)),EDATE(AB3866,12),IF(ISNUMBER(SEARCH("6",'Procyfloc AL200'!D367)),EDATE(AB3866,6),IF(ISNUMBER(SEARCH("3",'Procyfloc AL200'!D367)),EDATE(AB3866,3),DATEVALUE('Procyfloc AL200'!D367))))),""))</f>
        <v/>
      </c>
      <c r="AM3866" t="str">
        <f t="shared" ca="1" si="382"/>
        <v/>
      </c>
    </row>
    <row r="3867" spans="27:39" x14ac:dyDescent="0.3">
      <c r="AA3867" t="str">
        <f>IF(COUNTA('Procyfloc AL200'!A368,'Procyfloc AL200'!B368,'Procyfloc AL200'!C368)&gt;0,"AL200","")</f>
        <v/>
      </c>
      <c r="AB3867" t="str">
        <f>IFERROR(IF(ISNUMBER('Procyfloc AL200'!A368),'Procyfloc AL200'!A368,DATEVALUE('Procyfloc AL200'!A368)),"")</f>
        <v/>
      </c>
      <c r="AC3867" t="str">
        <f>IF(AA3867="","",'Procyfloc AL200'!B368)</f>
        <v/>
      </c>
      <c r="AD3867" t="str">
        <f>IF(AA3867="","",IFERROR(1*'Procyfloc AL200'!C368,IFERROR(_xludf.NUMBERVALUE('Procyfloc AL200'!C368,".",","),IFERROR(_xludf.NUMBERVALUE('Procyfloc AL200'!C368,",","."),0))))</f>
        <v/>
      </c>
      <c r="AE3867" t="str">
        <f>IF(AA3867="","",'Procyfloc AL200'!K368)</f>
        <v/>
      </c>
      <c r="AF3867">
        <f t="shared" si="377"/>
        <v>0</v>
      </c>
      <c r="AG3867" t="str">
        <f t="shared" si="378"/>
        <v/>
      </c>
      <c r="AH3867" t="str">
        <f t="shared" si="379"/>
        <v/>
      </c>
      <c r="AI3867">
        <f t="shared" si="380"/>
        <v>0</v>
      </c>
      <c r="AJ3867">
        <f t="shared" si="381"/>
        <v>0</v>
      </c>
      <c r="AK3867">
        <v>0</v>
      </c>
      <c r="AL3867" t="str">
        <f>IF(AA3867="","",IFERROR(IF(ISNUMBER('Procyfloc AL200'!D368),'Procyfloc AL200'!D368,IF(ISNUMBER(SEARCH("12",'Procyfloc AL200'!D368)),EDATE(AB3867,12),IF(ISNUMBER(SEARCH("6",'Procyfloc AL200'!D368)),EDATE(AB3867,6),IF(ISNUMBER(SEARCH("3",'Procyfloc AL200'!D368)),EDATE(AB3867,3),DATEVALUE('Procyfloc AL200'!D368))))),""))</f>
        <v/>
      </c>
      <c r="AM3867" t="str">
        <f t="shared" ca="1" si="382"/>
        <v/>
      </c>
    </row>
    <row r="3868" spans="27:39" x14ac:dyDescent="0.3">
      <c r="AA3868" t="str">
        <f>IF(COUNTA('Procyfloc AL200'!A369,'Procyfloc AL200'!B369,'Procyfloc AL200'!C369)&gt;0,"AL200","")</f>
        <v/>
      </c>
      <c r="AB3868" t="str">
        <f>IFERROR(IF(ISNUMBER('Procyfloc AL200'!A369),'Procyfloc AL200'!A369,DATEVALUE('Procyfloc AL200'!A369)),"")</f>
        <v/>
      </c>
      <c r="AC3868" t="str">
        <f>IF(AA3868="","",'Procyfloc AL200'!B369)</f>
        <v/>
      </c>
      <c r="AD3868" t="str">
        <f>IF(AA3868="","",IFERROR(1*'Procyfloc AL200'!C369,IFERROR(_xludf.NUMBERVALUE('Procyfloc AL200'!C369,".",","),IFERROR(_xludf.NUMBERVALUE('Procyfloc AL200'!C369,",","."),0))))</f>
        <v/>
      </c>
      <c r="AE3868" t="str">
        <f>IF(AA3868="","",'Procyfloc AL200'!K369)</f>
        <v/>
      </c>
      <c r="AF3868">
        <f t="shared" si="377"/>
        <v>0</v>
      </c>
      <c r="AG3868" t="str">
        <f t="shared" si="378"/>
        <v/>
      </c>
      <c r="AH3868" t="str">
        <f t="shared" si="379"/>
        <v/>
      </c>
      <c r="AI3868">
        <f t="shared" si="380"/>
        <v>0</v>
      </c>
      <c r="AJ3868">
        <f t="shared" si="381"/>
        <v>0</v>
      </c>
      <c r="AK3868">
        <v>0</v>
      </c>
      <c r="AL3868" t="str">
        <f>IF(AA3868="","",IFERROR(IF(ISNUMBER('Procyfloc AL200'!D369),'Procyfloc AL200'!D369,IF(ISNUMBER(SEARCH("12",'Procyfloc AL200'!D369)),EDATE(AB3868,12),IF(ISNUMBER(SEARCH("6",'Procyfloc AL200'!D369)),EDATE(AB3868,6),IF(ISNUMBER(SEARCH("3",'Procyfloc AL200'!D369)),EDATE(AB3868,3),DATEVALUE('Procyfloc AL200'!D369))))),""))</f>
        <v/>
      </c>
      <c r="AM3868" t="str">
        <f t="shared" ca="1" si="382"/>
        <v/>
      </c>
    </row>
    <row r="3869" spans="27:39" x14ac:dyDescent="0.3">
      <c r="AA3869" t="str">
        <f>IF(COUNTA('Procyfloc AL200'!A370,'Procyfloc AL200'!B370,'Procyfloc AL200'!C370)&gt;0,"AL200","")</f>
        <v/>
      </c>
      <c r="AB3869" t="str">
        <f>IFERROR(IF(ISNUMBER('Procyfloc AL200'!A370),'Procyfloc AL200'!A370,DATEVALUE('Procyfloc AL200'!A370)),"")</f>
        <v/>
      </c>
      <c r="AC3869" t="str">
        <f>IF(AA3869="","",'Procyfloc AL200'!B370)</f>
        <v/>
      </c>
      <c r="AD3869" t="str">
        <f>IF(AA3869="","",IFERROR(1*'Procyfloc AL200'!C370,IFERROR(_xludf.NUMBERVALUE('Procyfloc AL200'!C370,".",","),IFERROR(_xludf.NUMBERVALUE('Procyfloc AL200'!C370,",","."),0))))</f>
        <v/>
      </c>
      <c r="AE3869" t="str">
        <f>IF(AA3869="","",'Procyfloc AL200'!K370)</f>
        <v/>
      </c>
      <c r="AF3869">
        <f t="shared" si="377"/>
        <v>0</v>
      </c>
      <c r="AG3869" t="str">
        <f t="shared" si="378"/>
        <v/>
      </c>
      <c r="AH3869" t="str">
        <f t="shared" si="379"/>
        <v/>
      </c>
      <c r="AI3869">
        <f t="shared" si="380"/>
        <v>0</v>
      </c>
      <c r="AJ3869">
        <f t="shared" si="381"/>
        <v>0</v>
      </c>
      <c r="AK3869">
        <v>0</v>
      </c>
      <c r="AL3869" t="str">
        <f>IF(AA3869="","",IFERROR(IF(ISNUMBER('Procyfloc AL200'!D370),'Procyfloc AL200'!D370,IF(ISNUMBER(SEARCH("12",'Procyfloc AL200'!D370)),EDATE(AB3869,12),IF(ISNUMBER(SEARCH("6",'Procyfloc AL200'!D370)),EDATE(AB3869,6),IF(ISNUMBER(SEARCH("3",'Procyfloc AL200'!D370)),EDATE(AB3869,3),DATEVALUE('Procyfloc AL200'!D370))))),""))</f>
        <v/>
      </c>
      <c r="AM3869" t="str">
        <f t="shared" ca="1" si="382"/>
        <v/>
      </c>
    </row>
    <row r="3870" spans="27:39" x14ac:dyDescent="0.3">
      <c r="AA3870" t="str">
        <f>IF(COUNTA('Procyfloc AL200'!A371,'Procyfloc AL200'!B371,'Procyfloc AL200'!C371)&gt;0,"AL200","")</f>
        <v/>
      </c>
      <c r="AB3870" t="str">
        <f>IFERROR(IF(ISNUMBER('Procyfloc AL200'!A371),'Procyfloc AL200'!A371,DATEVALUE('Procyfloc AL200'!A371)),"")</f>
        <v/>
      </c>
      <c r="AC3870" t="str">
        <f>IF(AA3870="","",'Procyfloc AL200'!B371)</f>
        <v/>
      </c>
      <c r="AD3870" t="str">
        <f>IF(AA3870="","",IFERROR(1*'Procyfloc AL200'!C371,IFERROR(_xludf.NUMBERVALUE('Procyfloc AL200'!C371,".",","),IFERROR(_xludf.NUMBERVALUE('Procyfloc AL200'!C371,",","."),0))))</f>
        <v/>
      </c>
      <c r="AE3870" t="str">
        <f>IF(AA3870="","",'Procyfloc AL200'!K371)</f>
        <v/>
      </c>
      <c r="AF3870">
        <f t="shared" si="377"/>
        <v>0</v>
      </c>
      <c r="AG3870" t="str">
        <f t="shared" si="378"/>
        <v/>
      </c>
      <c r="AH3870" t="str">
        <f t="shared" si="379"/>
        <v/>
      </c>
      <c r="AI3870">
        <f t="shared" si="380"/>
        <v>0</v>
      </c>
      <c r="AJ3870">
        <f t="shared" si="381"/>
        <v>0</v>
      </c>
      <c r="AK3870">
        <v>0</v>
      </c>
      <c r="AL3870" t="str">
        <f>IF(AA3870="","",IFERROR(IF(ISNUMBER('Procyfloc AL200'!D371),'Procyfloc AL200'!D371,IF(ISNUMBER(SEARCH("12",'Procyfloc AL200'!D371)),EDATE(AB3870,12),IF(ISNUMBER(SEARCH("6",'Procyfloc AL200'!D371)),EDATE(AB3870,6),IF(ISNUMBER(SEARCH("3",'Procyfloc AL200'!D371)),EDATE(AB3870,3),DATEVALUE('Procyfloc AL200'!D371))))),""))</f>
        <v/>
      </c>
      <c r="AM3870" t="str">
        <f t="shared" ca="1" si="382"/>
        <v/>
      </c>
    </row>
    <row r="3871" spans="27:39" x14ac:dyDescent="0.3">
      <c r="AA3871" t="str">
        <f>IF(COUNTA('Procyfloc AL200'!A372,'Procyfloc AL200'!B372,'Procyfloc AL200'!C372)&gt;0,"AL200","")</f>
        <v/>
      </c>
      <c r="AB3871" t="str">
        <f>IFERROR(IF(ISNUMBER('Procyfloc AL200'!A372),'Procyfloc AL200'!A372,DATEVALUE('Procyfloc AL200'!A372)),"")</f>
        <v/>
      </c>
      <c r="AC3871" t="str">
        <f>IF(AA3871="","",'Procyfloc AL200'!B372)</f>
        <v/>
      </c>
      <c r="AD3871" t="str">
        <f>IF(AA3871="","",IFERROR(1*'Procyfloc AL200'!C372,IFERROR(_xludf.NUMBERVALUE('Procyfloc AL200'!C372,".",","),IFERROR(_xludf.NUMBERVALUE('Procyfloc AL200'!C372,",","."),0))))</f>
        <v/>
      </c>
      <c r="AE3871" t="str">
        <f>IF(AA3871="","",'Procyfloc AL200'!K372)</f>
        <v/>
      </c>
      <c r="AF3871">
        <f t="shared" si="377"/>
        <v>0</v>
      </c>
      <c r="AG3871" t="str">
        <f t="shared" si="378"/>
        <v/>
      </c>
      <c r="AH3871" t="str">
        <f t="shared" si="379"/>
        <v/>
      </c>
      <c r="AI3871">
        <f t="shared" si="380"/>
        <v>0</v>
      </c>
      <c r="AJ3871">
        <f t="shared" si="381"/>
        <v>0</v>
      </c>
      <c r="AK3871">
        <v>0</v>
      </c>
      <c r="AL3871" t="str">
        <f>IF(AA3871="","",IFERROR(IF(ISNUMBER('Procyfloc AL200'!D372),'Procyfloc AL200'!D372,IF(ISNUMBER(SEARCH("12",'Procyfloc AL200'!D372)),EDATE(AB3871,12),IF(ISNUMBER(SEARCH("6",'Procyfloc AL200'!D372)),EDATE(AB3871,6),IF(ISNUMBER(SEARCH("3",'Procyfloc AL200'!D372)),EDATE(AB3871,3),DATEVALUE('Procyfloc AL200'!D372))))),""))</f>
        <v/>
      </c>
      <c r="AM3871" t="str">
        <f t="shared" ca="1" si="382"/>
        <v/>
      </c>
    </row>
    <row r="3872" spans="27:39" x14ac:dyDescent="0.3">
      <c r="AA3872" t="str">
        <f>IF(COUNTA('Procyfloc AL200'!A373,'Procyfloc AL200'!B373,'Procyfloc AL200'!C373)&gt;0,"AL200","")</f>
        <v/>
      </c>
      <c r="AB3872" t="str">
        <f>IFERROR(IF(ISNUMBER('Procyfloc AL200'!A373),'Procyfloc AL200'!A373,DATEVALUE('Procyfloc AL200'!A373)),"")</f>
        <v/>
      </c>
      <c r="AC3872" t="str">
        <f>IF(AA3872="","",'Procyfloc AL200'!B373)</f>
        <v/>
      </c>
      <c r="AD3872" t="str">
        <f>IF(AA3872="","",IFERROR(1*'Procyfloc AL200'!C373,IFERROR(_xludf.NUMBERVALUE('Procyfloc AL200'!C373,".",","),IFERROR(_xludf.NUMBERVALUE('Procyfloc AL200'!C373,",","."),0))))</f>
        <v/>
      </c>
      <c r="AE3872" t="str">
        <f>IF(AA3872="","",'Procyfloc AL200'!K373)</f>
        <v/>
      </c>
      <c r="AF3872">
        <f t="shared" si="377"/>
        <v>0</v>
      </c>
      <c r="AG3872" t="str">
        <f t="shared" si="378"/>
        <v/>
      </c>
      <c r="AH3872" t="str">
        <f t="shared" si="379"/>
        <v/>
      </c>
      <c r="AI3872">
        <f t="shared" si="380"/>
        <v>0</v>
      </c>
      <c r="AJ3872">
        <f t="shared" si="381"/>
        <v>0</v>
      </c>
      <c r="AK3872">
        <v>0</v>
      </c>
      <c r="AL3872" t="str">
        <f>IF(AA3872="","",IFERROR(IF(ISNUMBER('Procyfloc AL200'!D373),'Procyfloc AL200'!D373,IF(ISNUMBER(SEARCH("12",'Procyfloc AL200'!D373)),EDATE(AB3872,12),IF(ISNUMBER(SEARCH("6",'Procyfloc AL200'!D373)),EDATE(AB3872,6),IF(ISNUMBER(SEARCH("3",'Procyfloc AL200'!D373)),EDATE(AB3872,3),DATEVALUE('Procyfloc AL200'!D373))))),""))</f>
        <v/>
      </c>
      <c r="AM3872" t="str">
        <f t="shared" ca="1" si="382"/>
        <v/>
      </c>
    </row>
    <row r="3873" spans="27:39" x14ac:dyDescent="0.3">
      <c r="AA3873" t="str">
        <f>IF(COUNTA('Procyfloc AL200'!A374,'Procyfloc AL200'!B374,'Procyfloc AL200'!C374)&gt;0,"AL200","")</f>
        <v/>
      </c>
      <c r="AB3873" t="str">
        <f>IFERROR(IF(ISNUMBER('Procyfloc AL200'!A374),'Procyfloc AL200'!A374,DATEVALUE('Procyfloc AL200'!A374)),"")</f>
        <v/>
      </c>
      <c r="AC3873" t="str">
        <f>IF(AA3873="","",'Procyfloc AL200'!B374)</f>
        <v/>
      </c>
      <c r="AD3873" t="str">
        <f>IF(AA3873="","",IFERROR(1*'Procyfloc AL200'!C374,IFERROR(_xludf.NUMBERVALUE('Procyfloc AL200'!C374,".",","),IFERROR(_xludf.NUMBERVALUE('Procyfloc AL200'!C374,",","."),0))))</f>
        <v/>
      </c>
      <c r="AE3873" t="str">
        <f>IF(AA3873="","",'Procyfloc AL200'!K374)</f>
        <v/>
      </c>
      <c r="AF3873">
        <f t="shared" si="377"/>
        <v>0</v>
      </c>
      <c r="AG3873" t="str">
        <f t="shared" si="378"/>
        <v/>
      </c>
      <c r="AH3873" t="str">
        <f t="shared" si="379"/>
        <v/>
      </c>
      <c r="AI3873">
        <f t="shared" si="380"/>
        <v>0</v>
      </c>
      <c r="AJ3873">
        <f t="shared" si="381"/>
        <v>0</v>
      </c>
      <c r="AK3873">
        <v>0</v>
      </c>
      <c r="AL3873" t="str">
        <f>IF(AA3873="","",IFERROR(IF(ISNUMBER('Procyfloc AL200'!D374),'Procyfloc AL200'!D374,IF(ISNUMBER(SEARCH("12",'Procyfloc AL200'!D374)),EDATE(AB3873,12),IF(ISNUMBER(SEARCH("6",'Procyfloc AL200'!D374)),EDATE(AB3873,6),IF(ISNUMBER(SEARCH("3",'Procyfloc AL200'!D374)),EDATE(AB3873,3),DATEVALUE('Procyfloc AL200'!D374))))),""))</f>
        <v/>
      </c>
      <c r="AM3873" t="str">
        <f t="shared" ca="1" si="382"/>
        <v/>
      </c>
    </row>
    <row r="3874" spans="27:39" x14ac:dyDescent="0.3">
      <c r="AA3874" t="str">
        <f>IF(COUNTA('Procyfloc AL200'!A375,'Procyfloc AL200'!B375,'Procyfloc AL200'!C375)&gt;0,"AL200","")</f>
        <v/>
      </c>
      <c r="AB3874" t="str">
        <f>IFERROR(IF(ISNUMBER('Procyfloc AL200'!A375),'Procyfloc AL200'!A375,DATEVALUE('Procyfloc AL200'!A375)),"")</f>
        <v/>
      </c>
      <c r="AC3874" t="str">
        <f>IF(AA3874="","",'Procyfloc AL200'!B375)</f>
        <v/>
      </c>
      <c r="AD3874" t="str">
        <f>IF(AA3874="","",IFERROR(1*'Procyfloc AL200'!C375,IFERROR(_xludf.NUMBERVALUE('Procyfloc AL200'!C375,".",","),IFERROR(_xludf.NUMBERVALUE('Procyfloc AL200'!C375,",","."),0))))</f>
        <v/>
      </c>
      <c r="AE3874" t="str">
        <f>IF(AA3874="","",'Procyfloc AL200'!K375)</f>
        <v/>
      </c>
      <c r="AF3874">
        <f t="shared" si="377"/>
        <v>0</v>
      </c>
      <c r="AG3874" t="str">
        <f t="shared" si="378"/>
        <v/>
      </c>
      <c r="AH3874" t="str">
        <f t="shared" si="379"/>
        <v/>
      </c>
      <c r="AI3874">
        <f t="shared" si="380"/>
        <v>0</v>
      </c>
      <c r="AJ3874">
        <f t="shared" si="381"/>
        <v>0</v>
      </c>
      <c r="AK3874">
        <v>0</v>
      </c>
      <c r="AL3874" t="str">
        <f>IF(AA3874="","",IFERROR(IF(ISNUMBER('Procyfloc AL200'!D375),'Procyfloc AL200'!D375,IF(ISNUMBER(SEARCH("12",'Procyfloc AL200'!D375)),EDATE(AB3874,12),IF(ISNUMBER(SEARCH("6",'Procyfloc AL200'!D375)),EDATE(AB3874,6),IF(ISNUMBER(SEARCH("3",'Procyfloc AL200'!D375)),EDATE(AB3874,3),DATEVALUE('Procyfloc AL200'!D375))))),""))</f>
        <v/>
      </c>
      <c r="AM3874" t="str">
        <f t="shared" ca="1" si="382"/>
        <v/>
      </c>
    </row>
    <row r="3875" spans="27:39" x14ac:dyDescent="0.3">
      <c r="AA3875" t="str">
        <f>IF(COUNTA('Procyfloc AL200'!A376,'Procyfloc AL200'!B376,'Procyfloc AL200'!C376)&gt;0,"AL200","")</f>
        <v/>
      </c>
      <c r="AB3875" t="str">
        <f>IFERROR(IF(ISNUMBER('Procyfloc AL200'!A376),'Procyfloc AL200'!A376,DATEVALUE('Procyfloc AL200'!A376)),"")</f>
        <v/>
      </c>
      <c r="AC3875" t="str">
        <f>IF(AA3875="","",'Procyfloc AL200'!B376)</f>
        <v/>
      </c>
      <c r="AD3875" t="str">
        <f>IF(AA3875="","",IFERROR(1*'Procyfloc AL200'!C376,IFERROR(_xludf.NUMBERVALUE('Procyfloc AL200'!C376,".",","),IFERROR(_xludf.NUMBERVALUE('Procyfloc AL200'!C376,",","."),0))))</f>
        <v/>
      </c>
      <c r="AE3875" t="str">
        <f>IF(AA3875="","",'Procyfloc AL200'!K376)</f>
        <v/>
      </c>
      <c r="AF3875">
        <f t="shared" si="377"/>
        <v>0</v>
      </c>
      <c r="AG3875" t="str">
        <f t="shared" si="378"/>
        <v/>
      </c>
      <c r="AH3875" t="str">
        <f t="shared" si="379"/>
        <v/>
      </c>
      <c r="AI3875">
        <f t="shared" si="380"/>
        <v>0</v>
      </c>
      <c r="AJ3875">
        <f t="shared" si="381"/>
        <v>0</v>
      </c>
      <c r="AK3875">
        <v>0</v>
      </c>
      <c r="AL3875" t="str">
        <f>IF(AA3875="","",IFERROR(IF(ISNUMBER('Procyfloc AL200'!D376),'Procyfloc AL200'!D376,IF(ISNUMBER(SEARCH("12",'Procyfloc AL200'!D376)),EDATE(AB3875,12),IF(ISNUMBER(SEARCH("6",'Procyfloc AL200'!D376)),EDATE(AB3875,6),IF(ISNUMBER(SEARCH("3",'Procyfloc AL200'!D376)),EDATE(AB3875,3),DATEVALUE('Procyfloc AL200'!D376))))),""))</f>
        <v/>
      </c>
      <c r="AM3875" t="str">
        <f t="shared" ca="1" si="382"/>
        <v/>
      </c>
    </row>
    <row r="3876" spans="27:39" x14ac:dyDescent="0.3">
      <c r="AA3876" t="str">
        <f>IF(COUNTA('Procyfloc AL200'!A377,'Procyfloc AL200'!B377,'Procyfloc AL200'!C377)&gt;0,"AL200","")</f>
        <v/>
      </c>
      <c r="AB3876" t="str">
        <f>IFERROR(IF(ISNUMBER('Procyfloc AL200'!A377),'Procyfloc AL200'!A377,DATEVALUE('Procyfloc AL200'!A377)),"")</f>
        <v/>
      </c>
      <c r="AC3876" t="str">
        <f>IF(AA3876="","",'Procyfloc AL200'!B377)</f>
        <v/>
      </c>
      <c r="AD3876" t="str">
        <f>IF(AA3876="","",IFERROR(1*'Procyfloc AL200'!C377,IFERROR(_xludf.NUMBERVALUE('Procyfloc AL200'!C377,".",","),IFERROR(_xludf.NUMBERVALUE('Procyfloc AL200'!C377,",","."),0))))</f>
        <v/>
      </c>
      <c r="AE3876" t="str">
        <f>IF(AA3876="","",'Procyfloc AL200'!K377)</f>
        <v/>
      </c>
      <c r="AF3876">
        <f t="shared" si="377"/>
        <v>0</v>
      </c>
      <c r="AG3876" t="str">
        <f t="shared" si="378"/>
        <v/>
      </c>
      <c r="AH3876" t="str">
        <f t="shared" si="379"/>
        <v/>
      </c>
      <c r="AI3876">
        <f t="shared" si="380"/>
        <v>0</v>
      </c>
      <c r="AJ3876">
        <f t="shared" si="381"/>
        <v>0</v>
      </c>
      <c r="AK3876">
        <v>0</v>
      </c>
      <c r="AL3876" t="str">
        <f>IF(AA3876="","",IFERROR(IF(ISNUMBER('Procyfloc AL200'!D377),'Procyfloc AL200'!D377,IF(ISNUMBER(SEARCH("12",'Procyfloc AL200'!D377)),EDATE(AB3876,12),IF(ISNUMBER(SEARCH("6",'Procyfloc AL200'!D377)),EDATE(AB3876,6),IF(ISNUMBER(SEARCH("3",'Procyfloc AL200'!D377)),EDATE(AB3876,3),DATEVALUE('Procyfloc AL200'!D377))))),""))</f>
        <v/>
      </c>
      <c r="AM3876" t="str">
        <f t="shared" ca="1" si="382"/>
        <v/>
      </c>
    </row>
    <row r="3877" spans="27:39" x14ac:dyDescent="0.3">
      <c r="AA3877" t="str">
        <f>IF(COUNTA('Procyfloc AL200'!A378,'Procyfloc AL200'!B378,'Procyfloc AL200'!C378)&gt;0,"AL200","")</f>
        <v/>
      </c>
      <c r="AB3877" t="str">
        <f>IFERROR(IF(ISNUMBER('Procyfloc AL200'!A378),'Procyfloc AL200'!A378,DATEVALUE('Procyfloc AL200'!A378)),"")</f>
        <v/>
      </c>
      <c r="AC3877" t="str">
        <f>IF(AA3877="","",'Procyfloc AL200'!B378)</f>
        <v/>
      </c>
      <c r="AD3877" t="str">
        <f>IF(AA3877="","",IFERROR(1*'Procyfloc AL200'!C378,IFERROR(_xludf.NUMBERVALUE('Procyfloc AL200'!C378,".",","),IFERROR(_xludf.NUMBERVALUE('Procyfloc AL200'!C378,",","."),0))))</f>
        <v/>
      </c>
      <c r="AE3877" t="str">
        <f>IF(AA3877="","",'Procyfloc AL200'!K378)</f>
        <v/>
      </c>
      <c r="AF3877">
        <f t="shared" si="377"/>
        <v>0</v>
      </c>
      <c r="AG3877" t="str">
        <f t="shared" si="378"/>
        <v/>
      </c>
      <c r="AH3877" t="str">
        <f t="shared" si="379"/>
        <v/>
      </c>
      <c r="AI3877">
        <f t="shared" si="380"/>
        <v>0</v>
      </c>
      <c r="AJ3877">
        <f t="shared" si="381"/>
        <v>0</v>
      </c>
      <c r="AK3877">
        <v>0</v>
      </c>
      <c r="AL3877" t="str">
        <f>IF(AA3877="","",IFERROR(IF(ISNUMBER('Procyfloc AL200'!D378),'Procyfloc AL200'!D378,IF(ISNUMBER(SEARCH("12",'Procyfloc AL200'!D378)),EDATE(AB3877,12),IF(ISNUMBER(SEARCH("6",'Procyfloc AL200'!D378)),EDATE(AB3877,6),IF(ISNUMBER(SEARCH("3",'Procyfloc AL200'!D378)),EDATE(AB3877,3),DATEVALUE('Procyfloc AL200'!D378))))),""))</f>
        <v/>
      </c>
      <c r="AM3877" t="str">
        <f t="shared" ca="1" si="382"/>
        <v/>
      </c>
    </row>
    <row r="3878" spans="27:39" x14ac:dyDescent="0.3">
      <c r="AA3878" t="str">
        <f>IF(COUNTA('Procyfloc AL200'!A379,'Procyfloc AL200'!B379,'Procyfloc AL200'!C379)&gt;0,"AL200","")</f>
        <v/>
      </c>
      <c r="AB3878" t="str">
        <f>IFERROR(IF(ISNUMBER('Procyfloc AL200'!A379),'Procyfloc AL200'!A379,DATEVALUE('Procyfloc AL200'!A379)),"")</f>
        <v/>
      </c>
      <c r="AC3878" t="str">
        <f>IF(AA3878="","",'Procyfloc AL200'!B379)</f>
        <v/>
      </c>
      <c r="AD3878" t="str">
        <f>IF(AA3878="","",IFERROR(1*'Procyfloc AL200'!C379,IFERROR(_xludf.NUMBERVALUE('Procyfloc AL200'!C379,".",","),IFERROR(_xludf.NUMBERVALUE('Procyfloc AL200'!C379,",","."),0))))</f>
        <v/>
      </c>
      <c r="AE3878" t="str">
        <f>IF(AA3878="","",'Procyfloc AL200'!K379)</f>
        <v/>
      </c>
      <c r="AF3878">
        <f t="shared" si="377"/>
        <v>0</v>
      </c>
      <c r="AG3878" t="str">
        <f t="shared" si="378"/>
        <v/>
      </c>
      <c r="AH3878" t="str">
        <f t="shared" si="379"/>
        <v/>
      </c>
      <c r="AI3878">
        <f t="shared" si="380"/>
        <v>0</v>
      </c>
      <c r="AJ3878">
        <f t="shared" si="381"/>
        <v>0</v>
      </c>
      <c r="AK3878">
        <v>0</v>
      </c>
      <c r="AL3878" t="str">
        <f>IF(AA3878="","",IFERROR(IF(ISNUMBER('Procyfloc AL200'!D379),'Procyfloc AL200'!D379,IF(ISNUMBER(SEARCH("12",'Procyfloc AL200'!D379)),EDATE(AB3878,12),IF(ISNUMBER(SEARCH("6",'Procyfloc AL200'!D379)),EDATE(AB3878,6),IF(ISNUMBER(SEARCH("3",'Procyfloc AL200'!D379)),EDATE(AB3878,3),DATEVALUE('Procyfloc AL200'!D379))))),""))</f>
        <v/>
      </c>
      <c r="AM3878" t="str">
        <f t="shared" ca="1" si="382"/>
        <v/>
      </c>
    </row>
    <row r="3879" spans="27:39" x14ac:dyDescent="0.3">
      <c r="AA3879" t="str">
        <f>IF(COUNTA('Procyfloc AL200'!A380,'Procyfloc AL200'!B380,'Procyfloc AL200'!C380)&gt;0,"AL200","")</f>
        <v/>
      </c>
      <c r="AB3879" t="str">
        <f>IFERROR(IF(ISNUMBER('Procyfloc AL200'!A380),'Procyfloc AL200'!A380,DATEVALUE('Procyfloc AL200'!A380)),"")</f>
        <v/>
      </c>
      <c r="AC3879" t="str">
        <f>IF(AA3879="","",'Procyfloc AL200'!B380)</f>
        <v/>
      </c>
      <c r="AD3879" t="str">
        <f>IF(AA3879="","",IFERROR(1*'Procyfloc AL200'!C380,IFERROR(_xludf.NUMBERVALUE('Procyfloc AL200'!C380,".",","),IFERROR(_xludf.NUMBERVALUE('Procyfloc AL200'!C380,",","."),0))))</f>
        <v/>
      </c>
      <c r="AE3879" t="str">
        <f>IF(AA3879="","",'Procyfloc AL200'!K380)</f>
        <v/>
      </c>
      <c r="AF3879">
        <f t="shared" si="377"/>
        <v>0</v>
      </c>
      <c r="AG3879" t="str">
        <f t="shared" si="378"/>
        <v/>
      </c>
      <c r="AH3879" t="str">
        <f t="shared" si="379"/>
        <v/>
      </c>
      <c r="AI3879">
        <f t="shared" si="380"/>
        <v>0</v>
      </c>
      <c r="AJ3879">
        <f t="shared" si="381"/>
        <v>0</v>
      </c>
      <c r="AK3879">
        <v>0</v>
      </c>
      <c r="AL3879" t="str">
        <f>IF(AA3879="","",IFERROR(IF(ISNUMBER('Procyfloc AL200'!D380),'Procyfloc AL200'!D380,IF(ISNUMBER(SEARCH("12",'Procyfloc AL200'!D380)),EDATE(AB3879,12),IF(ISNUMBER(SEARCH("6",'Procyfloc AL200'!D380)),EDATE(AB3879,6),IF(ISNUMBER(SEARCH("3",'Procyfloc AL200'!D380)),EDATE(AB3879,3),DATEVALUE('Procyfloc AL200'!D380))))),""))</f>
        <v/>
      </c>
      <c r="AM3879" t="str">
        <f t="shared" ca="1" si="382"/>
        <v/>
      </c>
    </row>
    <row r="3880" spans="27:39" x14ac:dyDescent="0.3">
      <c r="AA3880" t="str">
        <f>IF(COUNTA('Procyfloc AL200'!A381,'Procyfloc AL200'!B381,'Procyfloc AL200'!C381)&gt;0,"AL200","")</f>
        <v/>
      </c>
      <c r="AB3880" t="str">
        <f>IFERROR(IF(ISNUMBER('Procyfloc AL200'!A381),'Procyfloc AL200'!A381,DATEVALUE('Procyfloc AL200'!A381)),"")</f>
        <v/>
      </c>
      <c r="AC3880" t="str">
        <f>IF(AA3880="","",'Procyfloc AL200'!B381)</f>
        <v/>
      </c>
      <c r="AD3880" t="str">
        <f>IF(AA3880="","",IFERROR(1*'Procyfloc AL200'!C381,IFERROR(_xludf.NUMBERVALUE('Procyfloc AL200'!C381,".",","),IFERROR(_xludf.NUMBERVALUE('Procyfloc AL200'!C381,",","."),0))))</f>
        <v/>
      </c>
      <c r="AE3880" t="str">
        <f>IF(AA3880="","",'Procyfloc AL200'!K381)</f>
        <v/>
      </c>
      <c r="AF3880">
        <f t="shared" si="377"/>
        <v>0</v>
      </c>
      <c r="AG3880" t="str">
        <f t="shared" si="378"/>
        <v/>
      </c>
      <c r="AH3880" t="str">
        <f t="shared" si="379"/>
        <v/>
      </c>
      <c r="AI3880">
        <f t="shared" si="380"/>
        <v>0</v>
      </c>
      <c r="AJ3880">
        <f t="shared" si="381"/>
        <v>0</v>
      </c>
      <c r="AK3880">
        <v>0</v>
      </c>
      <c r="AL3880" t="str">
        <f>IF(AA3880="","",IFERROR(IF(ISNUMBER('Procyfloc AL200'!D381),'Procyfloc AL200'!D381,IF(ISNUMBER(SEARCH("12",'Procyfloc AL200'!D381)),EDATE(AB3880,12),IF(ISNUMBER(SEARCH("6",'Procyfloc AL200'!D381)),EDATE(AB3880,6),IF(ISNUMBER(SEARCH("3",'Procyfloc AL200'!D381)),EDATE(AB3880,3),DATEVALUE('Procyfloc AL200'!D381))))),""))</f>
        <v/>
      </c>
      <c r="AM3880" t="str">
        <f t="shared" ca="1" si="382"/>
        <v/>
      </c>
    </row>
    <row r="3881" spans="27:39" x14ac:dyDescent="0.3">
      <c r="AA3881" t="str">
        <f>IF(COUNTA('Procyfloc AL200'!A382,'Procyfloc AL200'!B382,'Procyfloc AL200'!C382)&gt;0,"AL200","")</f>
        <v/>
      </c>
      <c r="AB3881" t="str">
        <f>IFERROR(IF(ISNUMBER('Procyfloc AL200'!A382),'Procyfloc AL200'!A382,DATEVALUE('Procyfloc AL200'!A382)),"")</f>
        <v/>
      </c>
      <c r="AC3881" t="str">
        <f>IF(AA3881="","",'Procyfloc AL200'!B382)</f>
        <v/>
      </c>
      <c r="AD3881" t="str">
        <f>IF(AA3881="","",IFERROR(1*'Procyfloc AL200'!C382,IFERROR(_xludf.NUMBERVALUE('Procyfloc AL200'!C382,".",","),IFERROR(_xludf.NUMBERVALUE('Procyfloc AL200'!C382,",","."),0))))</f>
        <v/>
      </c>
      <c r="AE3881" t="str">
        <f>IF(AA3881="","",'Procyfloc AL200'!K382)</f>
        <v/>
      </c>
      <c r="AF3881">
        <f t="shared" si="377"/>
        <v>0</v>
      </c>
      <c r="AG3881" t="str">
        <f t="shared" si="378"/>
        <v/>
      </c>
      <c r="AH3881" t="str">
        <f t="shared" si="379"/>
        <v/>
      </c>
      <c r="AI3881">
        <f t="shared" si="380"/>
        <v>0</v>
      </c>
      <c r="AJ3881">
        <f t="shared" si="381"/>
        <v>0</v>
      </c>
      <c r="AK3881">
        <v>0</v>
      </c>
      <c r="AL3881" t="str">
        <f>IF(AA3881="","",IFERROR(IF(ISNUMBER('Procyfloc AL200'!D382),'Procyfloc AL200'!D382,IF(ISNUMBER(SEARCH("12",'Procyfloc AL200'!D382)),EDATE(AB3881,12),IF(ISNUMBER(SEARCH("6",'Procyfloc AL200'!D382)),EDATE(AB3881,6),IF(ISNUMBER(SEARCH("3",'Procyfloc AL200'!D382)),EDATE(AB3881,3),DATEVALUE('Procyfloc AL200'!D382))))),""))</f>
        <v/>
      </c>
      <c r="AM3881" t="str">
        <f t="shared" ca="1" si="382"/>
        <v/>
      </c>
    </row>
    <row r="3882" spans="27:39" x14ac:dyDescent="0.3">
      <c r="AA3882" t="str">
        <f>IF(COUNTA('Procyfloc AL200'!A383,'Procyfloc AL200'!B383,'Procyfloc AL200'!C383)&gt;0,"AL200","")</f>
        <v/>
      </c>
      <c r="AB3882" t="str">
        <f>IFERROR(IF(ISNUMBER('Procyfloc AL200'!A383),'Procyfloc AL200'!A383,DATEVALUE('Procyfloc AL200'!A383)),"")</f>
        <v/>
      </c>
      <c r="AC3882" t="str">
        <f>IF(AA3882="","",'Procyfloc AL200'!B383)</f>
        <v/>
      </c>
      <c r="AD3882" t="str">
        <f>IF(AA3882="","",IFERROR(1*'Procyfloc AL200'!C383,IFERROR(_xludf.NUMBERVALUE('Procyfloc AL200'!C383,".",","),IFERROR(_xludf.NUMBERVALUE('Procyfloc AL200'!C383,",","."),0))))</f>
        <v/>
      </c>
      <c r="AE3882" t="str">
        <f>IF(AA3882="","",'Procyfloc AL200'!K383)</f>
        <v/>
      </c>
      <c r="AF3882">
        <f t="shared" si="377"/>
        <v>0</v>
      </c>
      <c r="AG3882" t="str">
        <f t="shared" si="378"/>
        <v/>
      </c>
      <c r="AH3882" t="str">
        <f t="shared" si="379"/>
        <v/>
      </c>
      <c r="AI3882">
        <f t="shared" si="380"/>
        <v>0</v>
      </c>
      <c r="AJ3882">
        <f t="shared" si="381"/>
        <v>0</v>
      </c>
      <c r="AK3882">
        <v>0</v>
      </c>
      <c r="AL3882" t="str">
        <f>IF(AA3882="","",IFERROR(IF(ISNUMBER('Procyfloc AL200'!D383),'Procyfloc AL200'!D383,IF(ISNUMBER(SEARCH("12",'Procyfloc AL200'!D383)),EDATE(AB3882,12),IF(ISNUMBER(SEARCH("6",'Procyfloc AL200'!D383)),EDATE(AB3882,6),IF(ISNUMBER(SEARCH("3",'Procyfloc AL200'!D383)),EDATE(AB3882,3),DATEVALUE('Procyfloc AL200'!D383))))),""))</f>
        <v/>
      </c>
      <c r="AM3882" t="str">
        <f t="shared" ca="1" si="382"/>
        <v/>
      </c>
    </row>
    <row r="3883" spans="27:39" x14ac:dyDescent="0.3">
      <c r="AA3883" t="str">
        <f>IF(COUNTA('Procyfloc AL200'!A384,'Procyfloc AL200'!B384,'Procyfloc AL200'!C384)&gt;0,"AL200","")</f>
        <v/>
      </c>
      <c r="AB3883" t="str">
        <f>IFERROR(IF(ISNUMBER('Procyfloc AL200'!A384),'Procyfloc AL200'!A384,DATEVALUE('Procyfloc AL200'!A384)),"")</f>
        <v/>
      </c>
      <c r="AC3883" t="str">
        <f>IF(AA3883="","",'Procyfloc AL200'!B384)</f>
        <v/>
      </c>
      <c r="AD3883" t="str">
        <f>IF(AA3883="","",IFERROR(1*'Procyfloc AL200'!C384,IFERROR(_xludf.NUMBERVALUE('Procyfloc AL200'!C384,".",","),IFERROR(_xludf.NUMBERVALUE('Procyfloc AL200'!C384,",","."),0))))</f>
        <v/>
      </c>
      <c r="AE3883" t="str">
        <f>IF(AA3883="","",'Procyfloc AL200'!K384)</f>
        <v/>
      </c>
      <c r="AF3883">
        <f t="shared" si="377"/>
        <v>0</v>
      </c>
      <c r="AG3883" t="str">
        <f t="shared" si="378"/>
        <v/>
      </c>
      <c r="AH3883" t="str">
        <f t="shared" si="379"/>
        <v/>
      </c>
      <c r="AI3883">
        <f t="shared" si="380"/>
        <v>0</v>
      </c>
      <c r="AJ3883">
        <f t="shared" si="381"/>
        <v>0</v>
      </c>
      <c r="AK3883">
        <v>0</v>
      </c>
      <c r="AL3883" t="str">
        <f>IF(AA3883="","",IFERROR(IF(ISNUMBER('Procyfloc AL200'!D384),'Procyfloc AL200'!D384,IF(ISNUMBER(SEARCH("12",'Procyfloc AL200'!D384)),EDATE(AB3883,12),IF(ISNUMBER(SEARCH("6",'Procyfloc AL200'!D384)),EDATE(AB3883,6),IF(ISNUMBER(SEARCH("3",'Procyfloc AL200'!D384)),EDATE(AB3883,3),DATEVALUE('Procyfloc AL200'!D384))))),""))</f>
        <v/>
      </c>
      <c r="AM3883" t="str">
        <f t="shared" ca="1" si="382"/>
        <v/>
      </c>
    </row>
    <row r="3884" spans="27:39" x14ac:dyDescent="0.3">
      <c r="AA3884" t="str">
        <f>IF(COUNTA('Procyfloc AL200'!A385,'Procyfloc AL200'!B385,'Procyfloc AL200'!C385)&gt;0,"AL200","")</f>
        <v/>
      </c>
      <c r="AB3884" t="str">
        <f>IFERROR(IF(ISNUMBER('Procyfloc AL200'!A385),'Procyfloc AL200'!A385,DATEVALUE('Procyfloc AL200'!A385)),"")</f>
        <v/>
      </c>
      <c r="AC3884" t="str">
        <f>IF(AA3884="","",'Procyfloc AL200'!B385)</f>
        <v/>
      </c>
      <c r="AD3884" t="str">
        <f>IF(AA3884="","",IFERROR(1*'Procyfloc AL200'!C385,IFERROR(_xludf.NUMBERVALUE('Procyfloc AL200'!C385,".",","),IFERROR(_xludf.NUMBERVALUE('Procyfloc AL200'!C385,",","."),0))))</f>
        <v/>
      </c>
      <c r="AE3884" t="str">
        <f>IF(AA3884="","",'Procyfloc AL200'!K385)</f>
        <v/>
      </c>
      <c r="AF3884">
        <f t="shared" si="377"/>
        <v>0</v>
      </c>
      <c r="AG3884" t="str">
        <f t="shared" si="378"/>
        <v/>
      </c>
      <c r="AH3884" t="str">
        <f t="shared" si="379"/>
        <v/>
      </c>
      <c r="AI3884">
        <f t="shared" si="380"/>
        <v>0</v>
      </c>
      <c r="AJ3884">
        <f t="shared" si="381"/>
        <v>0</v>
      </c>
      <c r="AK3884">
        <v>0</v>
      </c>
      <c r="AL3884" t="str">
        <f>IF(AA3884="","",IFERROR(IF(ISNUMBER('Procyfloc AL200'!D385),'Procyfloc AL200'!D385,IF(ISNUMBER(SEARCH("12",'Procyfloc AL200'!D385)),EDATE(AB3884,12),IF(ISNUMBER(SEARCH("6",'Procyfloc AL200'!D385)),EDATE(AB3884,6),IF(ISNUMBER(SEARCH("3",'Procyfloc AL200'!D385)),EDATE(AB3884,3),DATEVALUE('Procyfloc AL200'!D385))))),""))</f>
        <v/>
      </c>
      <c r="AM3884" t="str">
        <f t="shared" ca="1" si="382"/>
        <v/>
      </c>
    </row>
    <row r="3885" spans="27:39" x14ac:dyDescent="0.3">
      <c r="AA3885" t="str">
        <f>IF(COUNTA('Procyfloc AL200'!A386,'Procyfloc AL200'!B386,'Procyfloc AL200'!C386)&gt;0,"AL200","")</f>
        <v/>
      </c>
      <c r="AB3885" t="str">
        <f>IFERROR(IF(ISNUMBER('Procyfloc AL200'!A386),'Procyfloc AL200'!A386,DATEVALUE('Procyfloc AL200'!A386)),"")</f>
        <v/>
      </c>
      <c r="AC3885" t="str">
        <f>IF(AA3885="","",'Procyfloc AL200'!B386)</f>
        <v/>
      </c>
      <c r="AD3885" t="str">
        <f>IF(AA3885="","",IFERROR(1*'Procyfloc AL200'!C386,IFERROR(_xludf.NUMBERVALUE('Procyfloc AL200'!C386,".",","),IFERROR(_xludf.NUMBERVALUE('Procyfloc AL200'!C386,",","."),0))))</f>
        <v/>
      </c>
      <c r="AE3885" t="str">
        <f>IF(AA3885="","",'Procyfloc AL200'!K386)</f>
        <v/>
      </c>
      <c r="AF3885">
        <f t="shared" si="377"/>
        <v>0</v>
      </c>
      <c r="AG3885" t="str">
        <f t="shared" si="378"/>
        <v/>
      </c>
      <c r="AH3885" t="str">
        <f t="shared" si="379"/>
        <v/>
      </c>
      <c r="AI3885">
        <f t="shared" si="380"/>
        <v>0</v>
      </c>
      <c r="AJ3885">
        <f t="shared" si="381"/>
        <v>0</v>
      </c>
      <c r="AK3885">
        <v>0</v>
      </c>
      <c r="AL3885" t="str">
        <f>IF(AA3885="","",IFERROR(IF(ISNUMBER('Procyfloc AL200'!D386),'Procyfloc AL200'!D386,IF(ISNUMBER(SEARCH("12",'Procyfloc AL200'!D386)),EDATE(AB3885,12),IF(ISNUMBER(SEARCH("6",'Procyfloc AL200'!D386)),EDATE(AB3885,6),IF(ISNUMBER(SEARCH("3",'Procyfloc AL200'!D386)),EDATE(AB3885,3),DATEVALUE('Procyfloc AL200'!D386))))),""))</f>
        <v/>
      </c>
      <c r="AM3885" t="str">
        <f t="shared" ca="1" si="382"/>
        <v/>
      </c>
    </row>
    <row r="3886" spans="27:39" x14ac:dyDescent="0.3">
      <c r="AA3886" t="str">
        <f>IF(COUNTA('Procyfloc AL200'!A387,'Procyfloc AL200'!B387,'Procyfloc AL200'!C387)&gt;0,"AL200","")</f>
        <v/>
      </c>
      <c r="AB3886" t="str">
        <f>IFERROR(IF(ISNUMBER('Procyfloc AL200'!A387),'Procyfloc AL200'!A387,DATEVALUE('Procyfloc AL200'!A387)),"")</f>
        <v/>
      </c>
      <c r="AC3886" t="str">
        <f>IF(AA3886="","",'Procyfloc AL200'!B387)</f>
        <v/>
      </c>
      <c r="AD3886" t="str">
        <f>IF(AA3886="","",IFERROR(1*'Procyfloc AL200'!C387,IFERROR(_xludf.NUMBERVALUE('Procyfloc AL200'!C387,".",","),IFERROR(_xludf.NUMBERVALUE('Procyfloc AL200'!C387,",","."),0))))</f>
        <v/>
      </c>
      <c r="AE3886" t="str">
        <f>IF(AA3886="","",'Procyfloc AL200'!K387)</f>
        <v/>
      </c>
      <c r="AF3886">
        <f t="shared" si="377"/>
        <v>0</v>
      </c>
      <c r="AG3886" t="str">
        <f t="shared" si="378"/>
        <v/>
      </c>
      <c r="AH3886" t="str">
        <f t="shared" si="379"/>
        <v/>
      </c>
      <c r="AI3886">
        <f t="shared" si="380"/>
        <v>0</v>
      </c>
      <c r="AJ3886">
        <f t="shared" si="381"/>
        <v>0</v>
      </c>
      <c r="AK3886">
        <v>0</v>
      </c>
      <c r="AL3886" t="str">
        <f>IF(AA3886="","",IFERROR(IF(ISNUMBER('Procyfloc AL200'!D387),'Procyfloc AL200'!D387,IF(ISNUMBER(SEARCH("12",'Procyfloc AL200'!D387)),EDATE(AB3886,12),IF(ISNUMBER(SEARCH("6",'Procyfloc AL200'!D387)),EDATE(AB3886,6),IF(ISNUMBER(SEARCH("3",'Procyfloc AL200'!D387)),EDATE(AB3886,3),DATEVALUE('Procyfloc AL200'!D387))))),""))</f>
        <v/>
      </c>
      <c r="AM3886" t="str">
        <f t="shared" ca="1" si="382"/>
        <v/>
      </c>
    </row>
    <row r="3887" spans="27:39" x14ac:dyDescent="0.3">
      <c r="AA3887" t="str">
        <f>IF(COUNTA('Procyfloc AL200'!A388,'Procyfloc AL200'!B388,'Procyfloc AL200'!C388)&gt;0,"AL200","")</f>
        <v/>
      </c>
      <c r="AB3887" t="str">
        <f>IFERROR(IF(ISNUMBER('Procyfloc AL200'!A388),'Procyfloc AL200'!A388,DATEVALUE('Procyfloc AL200'!A388)),"")</f>
        <v/>
      </c>
      <c r="AC3887" t="str">
        <f>IF(AA3887="","",'Procyfloc AL200'!B388)</f>
        <v/>
      </c>
      <c r="AD3887" t="str">
        <f>IF(AA3887="","",IFERROR(1*'Procyfloc AL200'!C388,IFERROR(_xludf.NUMBERVALUE('Procyfloc AL200'!C388,".",","),IFERROR(_xludf.NUMBERVALUE('Procyfloc AL200'!C388,",","."),0))))</f>
        <v/>
      </c>
      <c r="AE3887" t="str">
        <f>IF(AA3887="","",'Procyfloc AL200'!K388)</f>
        <v/>
      </c>
      <c r="AF3887">
        <f t="shared" si="377"/>
        <v>0</v>
      </c>
      <c r="AG3887" t="str">
        <f t="shared" si="378"/>
        <v/>
      </c>
      <c r="AH3887" t="str">
        <f t="shared" si="379"/>
        <v/>
      </c>
      <c r="AI3887">
        <f t="shared" si="380"/>
        <v>0</v>
      </c>
      <c r="AJ3887">
        <f t="shared" si="381"/>
        <v>0</v>
      </c>
      <c r="AK3887">
        <v>0</v>
      </c>
      <c r="AL3887" t="str">
        <f>IF(AA3887="","",IFERROR(IF(ISNUMBER('Procyfloc AL200'!D388),'Procyfloc AL200'!D388,IF(ISNUMBER(SEARCH("12",'Procyfloc AL200'!D388)),EDATE(AB3887,12),IF(ISNUMBER(SEARCH("6",'Procyfloc AL200'!D388)),EDATE(AB3887,6),IF(ISNUMBER(SEARCH("3",'Procyfloc AL200'!D388)),EDATE(AB3887,3),DATEVALUE('Procyfloc AL200'!D388))))),""))</f>
        <v/>
      </c>
      <c r="AM3887" t="str">
        <f t="shared" ca="1" si="382"/>
        <v/>
      </c>
    </row>
    <row r="3888" spans="27:39" x14ac:dyDescent="0.3">
      <c r="AA3888" t="str">
        <f>IF(COUNTA('Procyfloc AL200'!A389,'Procyfloc AL200'!B389,'Procyfloc AL200'!C389)&gt;0,"AL200","")</f>
        <v/>
      </c>
      <c r="AB3888" t="str">
        <f>IFERROR(IF(ISNUMBER('Procyfloc AL200'!A389),'Procyfloc AL200'!A389,DATEVALUE('Procyfloc AL200'!A389)),"")</f>
        <v/>
      </c>
      <c r="AC3888" t="str">
        <f>IF(AA3888="","",'Procyfloc AL200'!B389)</f>
        <v/>
      </c>
      <c r="AD3888" t="str">
        <f>IF(AA3888="","",IFERROR(1*'Procyfloc AL200'!C389,IFERROR(_xludf.NUMBERVALUE('Procyfloc AL200'!C389,".",","),IFERROR(_xludf.NUMBERVALUE('Procyfloc AL200'!C389,",","."),0))))</f>
        <v/>
      </c>
      <c r="AE3888" t="str">
        <f>IF(AA3888="","",'Procyfloc AL200'!K389)</f>
        <v/>
      </c>
      <c r="AF3888">
        <f t="shared" si="377"/>
        <v>0</v>
      </c>
      <c r="AG3888" t="str">
        <f t="shared" si="378"/>
        <v/>
      </c>
      <c r="AH3888" t="str">
        <f t="shared" si="379"/>
        <v/>
      </c>
      <c r="AI3888">
        <f t="shared" si="380"/>
        <v>0</v>
      </c>
      <c r="AJ3888">
        <f t="shared" si="381"/>
        <v>0</v>
      </c>
      <c r="AK3888">
        <v>0</v>
      </c>
      <c r="AL3888" t="str">
        <f>IF(AA3888="","",IFERROR(IF(ISNUMBER('Procyfloc AL200'!D389),'Procyfloc AL200'!D389,IF(ISNUMBER(SEARCH("12",'Procyfloc AL200'!D389)),EDATE(AB3888,12),IF(ISNUMBER(SEARCH("6",'Procyfloc AL200'!D389)),EDATE(AB3888,6),IF(ISNUMBER(SEARCH("3",'Procyfloc AL200'!D389)),EDATE(AB3888,3),DATEVALUE('Procyfloc AL200'!D389))))),""))</f>
        <v/>
      </c>
      <c r="AM3888" t="str">
        <f t="shared" ca="1" si="382"/>
        <v/>
      </c>
    </row>
    <row r="3889" spans="27:39" x14ac:dyDescent="0.3">
      <c r="AA3889" t="str">
        <f>IF(COUNTA('Procyfloc AL200'!A390,'Procyfloc AL200'!B390,'Procyfloc AL200'!C390)&gt;0,"AL200","")</f>
        <v/>
      </c>
      <c r="AB3889" t="str">
        <f>IFERROR(IF(ISNUMBER('Procyfloc AL200'!A390),'Procyfloc AL200'!A390,DATEVALUE('Procyfloc AL200'!A390)),"")</f>
        <v/>
      </c>
      <c r="AC3889" t="str">
        <f>IF(AA3889="","",'Procyfloc AL200'!B390)</f>
        <v/>
      </c>
      <c r="AD3889" t="str">
        <f>IF(AA3889="","",IFERROR(1*'Procyfloc AL200'!C390,IFERROR(_xludf.NUMBERVALUE('Procyfloc AL200'!C390,".",","),IFERROR(_xludf.NUMBERVALUE('Procyfloc AL200'!C390,",","."),0))))</f>
        <v/>
      </c>
      <c r="AE3889" t="str">
        <f>IF(AA3889="","",'Procyfloc AL200'!K390)</f>
        <v/>
      </c>
      <c r="AF3889">
        <f t="shared" si="377"/>
        <v>0</v>
      </c>
      <c r="AG3889" t="str">
        <f t="shared" si="378"/>
        <v/>
      </c>
      <c r="AH3889" t="str">
        <f t="shared" si="379"/>
        <v/>
      </c>
      <c r="AI3889">
        <f t="shared" si="380"/>
        <v>0</v>
      </c>
      <c r="AJ3889">
        <f t="shared" si="381"/>
        <v>0</v>
      </c>
      <c r="AK3889">
        <v>0</v>
      </c>
      <c r="AL3889" t="str">
        <f>IF(AA3889="","",IFERROR(IF(ISNUMBER('Procyfloc AL200'!D390),'Procyfloc AL200'!D390,IF(ISNUMBER(SEARCH("12",'Procyfloc AL200'!D390)),EDATE(AB3889,12),IF(ISNUMBER(SEARCH("6",'Procyfloc AL200'!D390)),EDATE(AB3889,6),IF(ISNUMBER(SEARCH("3",'Procyfloc AL200'!D390)),EDATE(AB3889,3),DATEVALUE('Procyfloc AL200'!D390))))),""))</f>
        <v/>
      </c>
      <c r="AM3889" t="str">
        <f t="shared" ca="1" si="382"/>
        <v/>
      </c>
    </row>
    <row r="3890" spans="27:39" x14ac:dyDescent="0.3">
      <c r="AA3890" t="str">
        <f>IF(COUNTA('Procyfloc AL200'!A391,'Procyfloc AL200'!B391,'Procyfloc AL200'!C391)&gt;0,"AL200","")</f>
        <v/>
      </c>
      <c r="AB3890" t="str">
        <f>IFERROR(IF(ISNUMBER('Procyfloc AL200'!A391),'Procyfloc AL200'!A391,DATEVALUE('Procyfloc AL200'!A391)),"")</f>
        <v/>
      </c>
      <c r="AC3890" t="str">
        <f>IF(AA3890="","",'Procyfloc AL200'!B391)</f>
        <v/>
      </c>
      <c r="AD3890" t="str">
        <f>IF(AA3890="","",IFERROR(1*'Procyfloc AL200'!C391,IFERROR(_xludf.NUMBERVALUE('Procyfloc AL200'!C391,".",","),IFERROR(_xludf.NUMBERVALUE('Procyfloc AL200'!C391,",","."),0))))</f>
        <v/>
      </c>
      <c r="AE3890" t="str">
        <f>IF(AA3890="","",'Procyfloc AL200'!K391)</f>
        <v/>
      </c>
      <c r="AF3890">
        <f t="shared" si="377"/>
        <v>0</v>
      </c>
      <c r="AG3890" t="str">
        <f t="shared" si="378"/>
        <v/>
      </c>
      <c r="AH3890" t="str">
        <f t="shared" si="379"/>
        <v/>
      </c>
      <c r="AI3890">
        <f t="shared" si="380"/>
        <v>0</v>
      </c>
      <c r="AJ3890">
        <f t="shared" si="381"/>
        <v>0</v>
      </c>
      <c r="AK3890">
        <v>0</v>
      </c>
      <c r="AL3890" t="str">
        <f>IF(AA3890="","",IFERROR(IF(ISNUMBER('Procyfloc AL200'!D391),'Procyfloc AL200'!D391,IF(ISNUMBER(SEARCH("12",'Procyfloc AL200'!D391)),EDATE(AB3890,12),IF(ISNUMBER(SEARCH("6",'Procyfloc AL200'!D391)),EDATE(AB3890,6),IF(ISNUMBER(SEARCH("3",'Procyfloc AL200'!D391)),EDATE(AB3890,3),DATEVALUE('Procyfloc AL200'!D391))))),""))</f>
        <v/>
      </c>
      <c r="AM3890" t="str">
        <f t="shared" ca="1" si="382"/>
        <v/>
      </c>
    </row>
    <row r="3891" spans="27:39" x14ac:dyDescent="0.3">
      <c r="AA3891" t="str">
        <f>IF(COUNTA('Procyfloc AL200'!A392,'Procyfloc AL200'!B392,'Procyfloc AL200'!C392)&gt;0,"AL200","")</f>
        <v/>
      </c>
      <c r="AB3891" t="str">
        <f>IFERROR(IF(ISNUMBER('Procyfloc AL200'!A392),'Procyfloc AL200'!A392,DATEVALUE('Procyfloc AL200'!A392)),"")</f>
        <v/>
      </c>
      <c r="AC3891" t="str">
        <f>IF(AA3891="","",'Procyfloc AL200'!B392)</f>
        <v/>
      </c>
      <c r="AD3891" t="str">
        <f>IF(AA3891="","",IFERROR(1*'Procyfloc AL200'!C392,IFERROR(_xludf.NUMBERVALUE('Procyfloc AL200'!C392,".",","),IFERROR(_xludf.NUMBERVALUE('Procyfloc AL200'!C392,",","."),0))))</f>
        <v/>
      </c>
      <c r="AE3891" t="str">
        <f>IF(AA3891="","",'Procyfloc AL200'!K392)</f>
        <v/>
      </c>
      <c r="AF3891">
        <f t="shared" si="377"/>
        <v>0</v>
      </c>
      <c r="AG3891" t="str">
        <f t="shared" si="378"/>
        <v/>
      </c>
      <c r="AH3891" t="str">
        <f t="shared" si="379"/>
        <v/>
      </c>
      <c r="AI3891">
        <f t="shared" si="380"/>
        <v>0</v>
      </c>
      <c r="AJ3891">
        <f t="shared" si="381"/>
        <v>0</v>
      </c>
      <c r="AK3891">
        <v>0</v>
      </c>
      <c r="AL3891" t="str">
        <f>IF(AA3891="","",IFERROR(IF(ISNUMBER('Procyfloc AL200'!D392),'Procyfloc AL200'!D392,IF(ISNUMBER(SEARCH("12",'Procyfloc AL200'!D392)),EDATE(AB3891,12),IF(ISNUMBER(SEARCH("6",'Procyfloc AL200'!D392)),EDATE(AB3891,6),IF(ISNUMBER(SEARCH("3",'Procyfloc AL200'!D392)),EDATE(AB3891,3),DATEVALUE('Procyfloc AL200'!D392))))),""))</f>
        <v/>
      </c>
      <c r="AM3891" t="str">
        <f t="shared" ca="1" si="382"/>
        <v/>
      </c>
    </row>
    <row r="3892" spans="27:39" x14ac:dyDescent="0.3">
      <c r="AA3892" t="str">
        <f>IF(COUNTA('Procyfloc AL200'!A393,'Procyfloc AL200'!B393,'Procyfloc AL200'!C393)&gt;0,"AL200","")</f>
        <v/>
      </c>
      <c r="AB3892" t="str">
        <f>IFERROR(IF(ISNUMBER('Procyfloc AL200'!A393),'Procyfloc AL200'!A393,DATEVALUE('Procyfloc AL200'!A393)),"")</f>
        <v/>
      </c>
      <c r="AC3892" t="str">
        <f>IF(AA3892="","",'Procyfloc AL200'!B393)</f>
        <v/>
      </c>
      <c r="AD3892" t="str">
        <f>IF(AA3892="","",IFERROR(1*'Procyfloc AL200'!C393,IFERROR(_xludf.NUMBERVALUE('Procyfloc AL200'!C393,".",","),IFERROR(_xludf.NUMBERVALUE('Procyfloc AL200'!C393,",","."),0))))</f>
        <v/>
      </c>
      <c r="AE3892" t="str">
        <f>IF(AA3892="","",'Procyfloc AL200'!K393)</f>
        <v/>
      </c>
      <c r="AF3892">
        <f t="shared" si="377"/>
        <v>0</v>
      </c>
      <c r="AG3892" t="str">
        <f t="shared" si="378"/>
        <v/>
      </c>
      <c r="AH3892" t="str">
        <f t="shared" si="379"/>
        <v/>
      </c>
      <c r="AI3892">
        <f t="shared" si="380"/>
        <v>0</v>
      </c>
      <c r="AJ3892">
        <f t="shared" si="381"/>
        <v>0</v>
      </c>
      <c r="AK3892">
        <v>0</v>
      </c>
      <c r="AL3892" t="str">
        <f>IF(AA3892="","",IFERROR(IF(ISNUMBER('Procyfloc AL200'!D393),'Procyfloc AL200'!D393,IF(ISNUMBER(SEARCH("12",'Procyfloc AL200'!D393)),EDATE(AB3892,12),IF(ISNUMBER(SEARCH("6",'Procyfloc AL200'!D393)),EDATE(AB3892,6),IF(ISNUMBER(SEARCH("3",'Procyfloc AL200'!D393)),EDATE(AB3892,3),DATEVALUE('Procyfloc AL200'!D393))))),""))</f>
        <v/>
      </c>
      <c r="AM3892" t="str">
        <f t="shared" ca="1" si="382"/>
        <v/>
      </c>
    </row>
    <row r="3893" spans="27:39" x14ac:dyDescent="0.3">
      <c r="AA3893" t="str">
        <f>IF(COUNTA('Procyfloc AL200'!A394,'Procyfloc AL200'!B394,'Procyfloc AL200'!C394)&gt;0,"AL200","")</f>
        <v/>
      </c>
      <c r="AB3893" t="str">
        <f>IFERROR(IF(ISNUMBER('Procyfloc AL200'!A394),'Procyfloc AL200'!A394,DATEVALUE('Procyfloc AL200'!A394)),"")</f>
        <v/>
      </c>
      <c r="AC3893" t="str">
        <f>IF(AA3893="","",'Procyfloc AL200'!B394)</f>
        <v/>
      </c>
      <c r="AD3893" t="str">
        <f>IF(AA3893="","",IFERROR(1*'Procyfloc AL200'!C394,IFERROR(_xludf.NUMBERVALUE('Procyfloc AL200'!C394,".",","),IFERROR(_xludf.NUMBERVALUE('Procyfloc AL200'!C394,",","."),0))))</f>
        <v/>
      </c>
      <c r="AE3893" t="str">
        <f>IF(AA3893="","",'Procyfloc AL200'!K394)</f>
        <v/>
      </c>
      <c r="AF3893">
        <f t="shared" si="377"/>
        <v>0</v>
      </c>
      <c r="AG3893" t="str">
        <f t="shared" si="378"/>
        <v/>
      </c>
      <c r="AH3893" t="str">
        <f t="shared" si="379"/>
        <v/>
      </c>
      <c r="AI3893">
        <f t="shared" si="380"/>
        <v>0</v>
      </c>
      <c r="AJ3893">
        <f t="shared" si="381"/>
        <v>0</v>
      </c>
      <c r="AK3893">
        <v>0</v>
      </c>
      <c r="AL3893" t="str">
        <f>IF(AA3893="","",IFERROR(IF(ISNUMBER('Procyfloc AL200'!D394),'Procyfloc AL200'!D394,IF(ISNUMBER(SEARCH("12",'Procyfloc AL200'!D394)),EDATE(AB3893,12),IF(ISNUMBER(SEARCH("6",'Procyfloc AL200'!D394)),EDATE(AB3893,6),IF(ISNUMBER(SEARCH("3",'Procyfloc AL200'!D394)),EDATE(AB3893,3),DATEVALUE('Procyfloc AL200'!D394))))),""))</f>
        <v/>
      </c>
      <c r="AM3893" t="str">
        <f t="shared" ca="1" si="382"/>
        <v/>
      </c>
    </row>
    <row r="3894" spans="27:39" x14ac:dyDescent="0.3">
      <c r="AA3894" t="str">
        <f>IF(COUNTA('Procyfloc AL200'!A395,'Procyfloc AL200'!B395,'Procyfloc AL200'!C395)&gt;0,"AL200","")</f>
        <v/>
      </c>
      <c r="AB3894" t="str">
        <f>IFERROR(IF(ISNUMBER('Procyfloc AL200'!A395),'Procyfloc AL200'!A395,DATEVALUE('Procyfloc AL200'!A395)),"")</f>
        <v/>
      </c>
      <c r="AC3894" t="str">
        <f>IF(AA3894="","",'Procyfloc AL200'!B395)</f>
        <v/>
      </c>
      <c r="AD3894" t="str">
        <f>IF(AA3894="","",IFERROR(1*'Procyfloc AL200'!C395,IFERROR(_xludf.NUMBERVALUE('Procyfloc AL200'!C395,".",","),IFERROR(_xludf.NUMBERVALUE('Procyfloc AL200'!C395,",","."),0))))</f>
        <v/>
      </c>
      <c r="AE3894" t="str">
        <f>IF(AA3894="","",'Procyfloc AL200'!K395)</f>
        <v/>
      </c>
      <c r="AF3894">
        <f t="shared" si="377"/>
        <v>0</v>
      </c>
      <c r="AG3894" t="str">
        <f t="shared" si="378"/>
        <v/>
      </c>
      <c r="AH3894" t="str">
        <f t="shared" si="379"/>
        <v/>
      </c>
      <c r="AI3894">
        <f t="shared" si="380"/>
        <v>0</v>
      </c>
      <c r="AJ3894">
        <f t="shared" si="381"/>
        <v>0</v>
      </c>
      <c r="AK3894">
        <v>0</v>
      </c>
      <c r="AL3894" t="str">
        <f>IF(AA3894="","",IFERROR(IF(ISNUMBER('Procyfloc AL200'!D395),'Procyfloc AL200'!D395,IF(ISNUMBER(SEARCH("12",'Procyfloc AL200'!D395)),EDATE(AB3894,12),IF(ISNUMBER(SEARCH("6",'Procyfloc AL200'!D395)),EDATE(AB3894,6),IF(ISNUMBER(SEARCH("3",'Procyfloc AL200'!D395)),EDATE(AB3894,3),DATEVALUE('Procyfloc AL200'!D395))))),""))</f>
        <v/>
      </c>
      <c r="AM3894" t="str">
        <f t="shared" ca="1" si="382"/>
        <v/>
      </c>
    </row>
    <row r="3895" spans="27:39" x14ac:dyDescent="0.3">
      <c r="AA3895" t="str">
        <f>IF(COUNTA('Procyfloc AL200'!A396,'Procyfloc AL200'!B396,'Procyfloc AL200'!C396)&gt;0,"AL200","")</f>
        <v/>
      </c>
      <c r="AB3895" t="str">
        <f>IFERROR(IF(ISNUMBER('Procyfloc AL200'!A396),'Procyfloc AL200'!A396,DATEVALUE('Procyfloc AL200'!A396)),"")</f>
        <v/>
      </c>
      <c r="AC3895" t="str">
        <f>IF(AA3895="","",'Procyfloc AL200'!B396)</f>
        <v/>
      </c>
      <c r="AD3895" t="str">
        <f>IF(AA3895="","",IFERROR(1*'Procyfloc AL200'!C396,IFERROR(_xludf.NUMBERVALUE('Procyfloc AL200'!C396,".",","),IFERROR(_xludf.NUMBERVALUE('Procyfloc AL200'!C396,",","."),0))))</f>
        <v/>
      </c>
      <c r="AE3895" t="str">
        <f>IF(AA3895="","",'Procyfloc AL200'!K396)</f>
        <v/>
      </c>
      <c r="AF3895">
        <f t="shared" si="377"/>
        <v>0</v>
      </c>
      <c r="AG3895" t="str">
        <f t="shared" si="378"/>
        <v/>
      </c>
      <c r="AH3895" t="str">
        <f t="shared" si="379"/>
        <v/>
      </c>
      <c r="AI3895">
        <f t="shared" si="380"/>
        <v>0</v>
      </c>
      <c r="AJ3895">
        <f t="shared" si="381"/>
        <v>0</v>
      </c>
      <c r="AK3895">
        <v>0</v>
      </c>
      <c r="AL3895" t="str">
        <f>IF(AA3895="","",IFERROR(IF(ISNUMBER('Procyfloc AL200'!D396),'Procyfloc AL200'!D396,IF(ISNUMBER(SEARCH("12",'Procyfloc AL200'!D396)),EDATE(AB3895,12),IF(ISNUMBER(SEARCH("6",'Procyfloc AL200'!D396)),EDATE(AB3895,6),IF(ISNUMBER(SEARCH("3",'Procyfloc AL200'!D396)),EDATE(AB3895,3),DATEVALUE('Procyfloc AL200'!D396))))),""))</f>
        <v/>
      </c>
      <c r="AM3895" t="str">
        <f t="shared" ca="1" si="382"/>
        <v/>
      </c>
    </row>
    <row r="3896" spans="27:39" x14ac:dyDescent="0.3">
      <c r="AA3896" t="str">
        <f>IF(COUNTA('Procyfloc AL200'!A397,'Procyfloc AL200'!B397,'Procyfloc AL200'!C397)&gt;0,"AL200","")</f>
        <v/>
      </c>
      <c r="AB3896" t="str">
        <f>IFERROR(IF(ISNUMBER('Procyfloc AL200'!A397),'Procyfloc AL200'!A397,DATEVALUE('Procyfloc AL200'!A397)),"")</f>
        <v/>
      </c>
      <c r="AC3896" t="str">
        <f>IF(AA3896="","",'Procyfloc AL200'!B397)</f>
        <v/>
      </c>
      <c r="AD3896" t="str">
        <f>IF(AA3896="","",IFERROR(1*'Procyfloc AL200'!C397,IFERROR(_xludf.NUMBERVALUE('Procyfloc AL200'!C397,".",","),IFERROR(_xludf.NUMBERVALUE('Procyfloc AL200'!C397,",","."),0))))</f>
        <v/>
      </c>
      <c r="AE3896" t="str">
        <f>IF(AA3896="","",'Procyfloc AL200'!K397)</f>
        <v/>
      </c>
      <c r="AF3896">
        <f t="shared" si="377"/>
        <v>0</v>
      </c>
      <c r="AG3896" t="str">
        <f t="shared" si="378"/>
        <v/>
      </c>
      <c r="AH3896" t="str">
        <f t="shared" si="379"/>
        <v/>
      </c>
      <c r="AI3896">
        <f t="shared" si="380"/>
        <v>0</v>
      </c>
      <c r="AJ3896">
        <f t="shared" si="381"/>
        <v>0</v>
      </c>
      <c r="AK3896">
        <v>0</v>
      </c>
      <c r="AL3896" t="str">
        <f>IF(AA3896="","",IFERROR(IF(ISNUMBER('Procyfloc AL200'!D397),'Procyfloc AL200'!D397,IF(ISNUMBER(SEARCH("12",'Procyfloc AL200'!D397)),EDATE(AB3896,12),IF(ISNUMBER(SEARCH("6",'Procyfloc AL200'!D397)),EDATE(AB3896,6),IF(ISNUMBER(SEARCH("3",'Procyfloc AL200'!D397)),EDATE(AB3896,3),DATEVALUE('Procyfloc AL200'!D397))))),""))</f>
        <v/>
      </c>
      <c r="AM3896" t="str">
        <f t="shared" ca="1" si="382"/>
        <v/>
      </c>
    </row>
    <row r="3897" spans="27:39" x14ac:dyDescent="0.3">
      <c r="AA3897" t="str">
        <f>IF(COUNTA('Procyfloc AL200'!A398,'Procyfloc AL200'!B398,'Procyfloc AL200'!C398)&gt;0,"AL200","")</f>
        <v/>
      </c>
      <c r="AB3897" t="str">
        <f>IFERROR(IF(ISNUMBER('Procyfloc AL200'!A398),'Procyfloc AL200'!A398,DATEVALUE('Procyfloc AL200'!A398)),"")</f>
        <v/>
      </c>
      <c r="AC3897" t="str">
        <f>IF(AA3897="","",'Procyfloc AL200'!B398)</f>
        <v/>
      </c>
      <c r="AD3897" t="str">
        <f>IF(AA3897="","",IFERROR(1*'Procyfloc AL200'!C398,IFERROR(_xludf.NUMBERVALUE('Procyfloc AL200'!C398,".",","),IFERROR(_xludf.NUMBERVALUE('Procyfloc AL200'!C398,",","."),0))))</f>
        <v/>
      </c>
      <c r="AE3897" t="str">
        <f>IF(AA3897="","",'Procyfloc AL200'!K398)</f>
        <v/>
      </c>
      <c r="AF3897">
        <f t="shared" si="377"/>
        <v>0</v>
      </c>
      <c r="AG3897" t="str">
        <f t="shared" si="378"/>
        <v/>
      </c>
      <c r="AH3897" t="str">
        <f t="shared" si="379"/>
        <v/>
      </c>
      <c r="AI3897">
        <f t="shared" si="380"/>
        <v>0</v>
      </c>
      <c r="AJ3897">
        <f t="shared" si="381"/>
        <v>0</v>
      </c>
      <c r="AK3897">
        <v>0</v>
      </c>
      <c r="AL3897" t="str">
        <f>IF(AA3897="","",IFERROR(IF(ISNUMBER('Procyfloc AL200'!D398),'Procyfloc AL200'!D398,IF(ISNUMBER(SEARCH("12",'Procyfloc AL200'!D398)),EDATE(AB3897,12),IF(ISNUMBER(SEARCH("6",'Procyfloc AL200'!D398)),EDATE(AB3897,6),IF(ISNUMBER(SEARCH("3",'Procyfloc AL200'!D398)),EDATE(AB3897,3),DATEVALUE('Procyfloc AL200'!D398))))),""))</f>
        <v/>
      </c>
      <c r="AM3897" t="str">
        <f t="shared" ca="1" si="382"/>
        <v/>
      </c>
    </row>
    <row r="3898" spans="27:39" x14ac:dyDescent="0.3">
      <c r="AA3898" t="str">
        <f>IF(COUNTA('Procyfloc AL200'!A399,'Procyfloc AL200'!B399,'Procyfloc AL200'!C399)&gt;0,"AL200","")</f>
        <v/>
      </c>
      <c r="AB3898" t="str">
        <f>IFERROR(IF(ISNUMBER('Procyfloc AL200'!A399),'Procyfloc AL200'!A399,DATEVALUE('Procyfloc AL200'!A399)),"")</f>
        <v/>
      </c>
      <c r="AC3898" t="str">
        <f>IF(AA3898="","",'Procyfloc AL200'!B399)</f>
        <v/>
      </c>
      <c r="AD3898" t="str">
        <f>IF(AA3898="","",IFERROR(1*'Procyfloc AL200'!C399,IFERROR(_xludf.NUMBERVALUE('Procyfloc AL200'!C399,".",","),IFERROR(_xludf.NUMBERVALUE('Procyfloc AL200'!C399,",","."),0))))</f>
        <v/>
      </c>
      <c r="AE3898" t="str">
        <f>IF(AA3898="","",'Procyfloc AL200'!K399)</f>
        <v/>
      </c>
      <c r="AF3898">
        <f t="shared" si="377"/>
        <v>0</v>
      </c>
      <c r="AG3898" t="str">
        <f t="shared" si="378"/>
        <v/>
      </c>
      <c r="AH3898" t="str">
        <f t="shared" si="379"/>
        <v/>
      </c>
      <c r="AI3898">
        <f t="shared" si="380"/>
        <v>0</v>
      </c>
      <c r="AJ3898">
        <f t="shared" si="381"/>
        <v>0</v>
      </c>
      <c r="AK3898">
        <v>0</v>
      </c>
      <c r="AL3898" t="str">
        <f>IF(AA3898="","",IFERROR(IF(ISNUMBER('Procyfloc AL200'!D399),'Procyfloc AL200'!D399,IF(ISNUMBER(SEARCH("12",'Procyfloc AL200'!D399)),EDATE(AB3898,12),IF(ISNUMBER(SEARCH("6",'Procyfloc AL200'!D399)),EDATE(AB3898,6),IF(ISNUMBER(SEARCH("3",'Procyfloc AL200'!D399)),EDATE(AB3898,3),DATEVALUE('Procyfloc AL200'!D399))))),""))</f>
        <v/>
      </c>
      <c r="AM3898" t="str">
        <f t="shared" ca="1" si="382"/>
        <v/>
      </c>
    </row>
    <row r="3899" spans="27:39" x14ac:dyDescent="0.3">
      <c r="AA3899" t="str">
        <f>IF(COUNTA('Procyfloc AL200'!A400,'Procyfloc AL200'!B400,'Procyfloc AL200'!C400)&gt;0,"AL200","")</f>
        <v/>
      </c>
      <c r="AB3899" t="str">
        <f>IFERROR(IF(ISNUMBER('Procyfloc AL200'!A400),'Procyfloc AL200'!A400,DATEVALUE('Procyfloc AL200'!A400)),"")</f>
        <v/>
      </c>
      <c r="AC3899" t="str">
        <f>IF(AA3899="","",'Procyfloc AL200'!B400)</f>
        <v/>
      </c>
      <c r="AD3899" t="str">
        <f>IF(AA3899="","",IFERROR(1*'Procyfloc AL200'!C400,IFERROR(_xludf.NUMBERVALUE('Procyfloc AL200'!C400,".",","),IFERROR(_xludf.NUMBERVALUE('Procyfloc AL200'!C400,",","."),0))))</f>
        <v/>
      </c>
      <c r="AE3899" t="str">
        <f>IF(AA3899="","",'Procyfloc AL200'!K400)</f>
        <v/>
      </c>
      <c r="AF3899">
        <f t="shared" si="377"/>
        <v>0</v>
      </c>
      <c r="AG3899" t="str">
        <f t="shared" si="378"/>
        <v/>
      </c>
      <c r="AH3899" t="str">
        <f t="shared" si="379"/>
        <v/>
      </c>
      <c r="AI3899">
        <f t="shared" si="380"/>
        <v>0</v>
      </c>
      <c r="AJ3899">
        <f t="shared" si="381"/>
        <v>0</v>
      </c>
      <c r="AK3899">
        <v>0</v>
      </c>
      <c r="AL3899" t="str">
        <f>IF(AA3899="","",IFERROR(IF(ISNUMBER('Procyfloc AL200'!D400),'Procyfloc AL200'!D400,IF(ISNUMBER(SEARCH("12",'Procyfloc AL200'!D400)),EDATE(AB3899,12),IF(ISNUMBER(SEARCH("6",'Procyfloc AL200'!D400)),EDATE(AB3899,6),IF(ISNUMBER(SEARCH("3",'Procyfloc AL200'!D400)),EDATE(AB3899,3),DATEVALUE('Procyfloc AL200'!D400))))),""))</f>
        <v/>
      </c>
      <c r="AM3899" t="str">
        <f t="shared" ca="1" si="382"/>
        <v/>
      </c>
    </row>
    <row r="3900" spans="27:39" x14ac:dyDescent="0.3">
      <c r="AA3900" t="str">
        <f>IF(COUNTA('Procyfloc AL200'!A401,'Procyfloc AL200'!B401,'Procyfloc AL200'!C401)&gt;0,"AL200","")</f>
        <v/>
      </c>
      <c r="AB3900" t="str">
        <f>IFERROR(IF(ISNUMBER('Procyfloc AL200'!A401),'Procyfloc AL200'!A401,DATEVALUE('Procyfloc AL200'!A401)),"")</f>
        <v/>
      </c>
      <c r="AC3900" t="str">
        <f>IF(AA3900="","",'Procyfloc AL200'!B401)</f>
        <v/>
      </c>
      <c r="AD3900" t="str">
        <f>IF(AA3900="","",IFERROR(1*'Procyfloc AL200'!C401,IFERROR(_xludf.NUMBERVALUE('Procyfloc AL200'!C401,".",","),IFERROR(_xludf.NUMBERVALUE('Procyfloc AL200'!C401,",","."),0))))</f>
        <v/>
      </c>
      <c r="AE3900" t="str">
        <f>IF(AA3900="","",'Procyfloc AL200'!K401)</f>
        <v/>
      </c>
      <c r="AF3900">
        <f t="shared" si="377"/>
        <v>0</v>
      </c>
      <c r="AG3900" t="str">
        <f t="shared" si="378"/>
        <v/>
      </c>
      <c r="AH3900" t="str">
        <f t="shared" si="379"/>
        <v/>
      </c>
      <c r="AI3900">
        <f t="shared" si="380"/>
        <v>0</v>
      </c>
      <c r="AJ3900">
        <f t="shared" si="381"/>
        <v>0</v>
      </c>
      <c r="AK3900">
        <v>0</v>
      </c>
      <c r="AL3900" t="str">
        <f>IF(AA3900="","",IFERROR(IF(ISNUMBER('Procyfloc AL200'!D401),'Procyfloc AL200'!D401,IF(ISNUMBER(SEARCH("12",'Procyfloc AL200'!D401)),EDATE(AB3900,12),IF(ISNUMBER(SEARCH("6",'Procyfloc AL200'!D401)),EDATE(AB3900,6),IF(ISNUMBER(SEARCH("3",'Procyfloc AL200'!D401)),EDATE(AB3900,3),DATEVALUE('Procyfloc AL200'!D401))))),""))</f>
        <v/>
      </c>
      <c r="AM3900" t="str">
        <f t="shared" ca="1" si="382"/>
        <v/>
      </c>
    </row>
    <row r="3901" spans="27:39" x14ac:dyDescent="0.3">
      <c r="AA3901" t="str">
        <f>IF(COUNTA('Procyfloc AL200'!A402,'Procyfloc AL200'!B402,'Procyfloc AL200'!C402)&gt;0,"AL200","")</f>
        <v/>
      </c>
      <c r="AB3901" t="str">
        <f>IFERROR(IF(ISNUMBER('Procyfloc AL200'!A402),'Procyfloc AL200'!A402,DATEVALUE('Procyfloc AL200'!A402)),"")</f>
        <v/>
      </c>
      <c r="AC3901" t="str">
        <f>IF(AA3901="","",'Procyfloc AL200'!B402)</f>
        <v/>
      </c>
      <c r="AD3901" t="str">
        <f>IF(AA3901="","",IFERROR(1*'Procyfloc AL200'!C402,IFERROR(_xludf.NUMBERVALUE('Procyfloc AL200'!C402,".",","),IFERROR(_xludf.NUMBERVALUE('Procyfloc AL200'!C402,",","."),0))))</f>
        <v/>
      </c>
      <c r="AE3901" t="str">
        <f>IF(AA3901="","",'Procyfloc AL200'!K402)</f>
        <v/>
      </c>
      <c r="AF3901">
        <f t="shared" si="377"/>
        <v>0</v>
      </c>
      <c r="AG3901" t="str">
        <f t="shared" si="378"/>
        <v/>
      </c>
      <c r="AH3901" t="str">
        <f t="shared" si="379"/>
        <v/>
      </c>
      <c r="AI3901">
        <f t="shared" si="380"/>
        <v>0</v>
      </c>
      <c r="AJ3901">
        <f t="shared" si="381"/>
        <v>0</v>
      </c>
      <c r="AK3901">
        <v>0</v>
      </c>
      <c r="AL3901" t="str">
        <f>IF(AA3901="","",IFERROR(IF(ISNUMBER('Procyfloc AL200'!D402),'Procyfloc AL200'!D402,IF(ISNUMBER(SEARCH("12",'Procyfloc AL200'!D402)),EDATE(AB3901,12),IF(ISNUMBER(SEARCH("6",'Procyfloc AL200'!D402)),EDATE(AB3901,6),IF(ISNUMBER(SEARCH("3",'Procyfloc AL200'!D402)),EDATE(AB3901,3),DATEVALUE('Procyfloc AL200'!D402))))),""))</f>
        <v/>
      </c>
      <c r="AM3901" t="str">
        <f t="shared" ca="1" si="382"/>
        <v/>
      </c>
    </row>
    <row r="3902" spans="27:39" x14ac:dyDescent="0.3">
      <c r="AA3902" t="str">
        <f>IF(COUNTA('Procyfloc AL200'!A403,'Procyfloc AL200'!B403,'Procyfloc AL200'!C403)&gt;0,"AL200","")</f>
        <v/>
      </c>
      <c r="AB3902" t="str">
        <f>IFERROR(IF(ISNUMBER('Procyfloc AL200'!A403),'Procyfloc AL200'!A403,DATEVALUE('Procyfloc AL200'!A403)),"")</f>
        <v/>
      </c>
      <c r="AC3902" t="str">
        <f>IF(AA3902="","",'Procyfloc AL200'!B403)</f>
        <v/>
      </c>
      <c r="AD3902" t="str">
        <f>IF(AA3902="","",IFERROR(1*'Procyfloc AL200'!C403,IFERROR(_xludf.NUMBERVALUE('Procyfloc AL200'!C403,".",","),IFERROR(_xludf.NUMBERVALUE('Procyfloc AL200'!C403,",","."),0))))</f>
        <v/>
      </c>
      <c r="AE3902" t="str">
        <f>IF(AA3902="","",'Procyfloc AL200'!K403)</f>
        <v/>
      </c>
      <c r="AF3902">
        <f t="shared" si="377"/>
        <v>0</v>
      </c>
      <c r="AG3902" t="str">
        <f t="shared" si="378"/>
        <v/>
      </c>
      <c r="AH3902" t="str">
        <f t="shared" si="379"/>
        <v/>
      </c>
      <c r="AI3902">
        <f t="shared" si="380"/>
        <v>0</v>
      </c>
      <c r="AJ3902">
        <f t="shared" si="381"/>
        <v>0</v>
      </c>
      <c r="AK3902">
        <v>0</v>
      </c>
      <c r="AL3902" t="str">
        <f>IF(AA3902="","",IFERROR(IF(ISNUMBER('Procyfloc AL200'!D403),'Procyfloc AL200'!D403,IF(ISNUMBER(SEARCH("12",'Procyfloc AL200'!D403)),EDATE(AB3902,12),IF(ISNUMBER(SEARCH("6",'Procyfloc AL200'!D403)),EDATE(AB3902,6),IF(ISNUMBER(SEARCH("3",'Procyfloc AL200'!D403)),EDATE(AB3902,3),DATEVALUE('Procyfloc AL200'!D403))))),""))</f>
        <v/>
      </c>
      <c r="AM3902" t="str">
        <f t="shared" ca="1" si="382"/>
        <v/>
      </c>
    </row>
    <row r="3903" spans="27:39" x14ac:dyDescent="0.3">
      <c r="AA3903" t="str">
        <f>IF(COUNTA('Procyfloc AL200'!A404,'Procyfloc AL200'!B404,'Procyfloc AL200'!C404)&gt;0,"AL200","")</f>
        <v/>
      </c>
      <c r="AB3903" t="str">
        <f>IFERROR(IF(ISNUMBER('Procyfloc AL200'!A404),'Procyfloc AL200'!A404,DATEVALUE('Procyfloc AL200'!A404)),"")</f>
        <v/>
      </c>
      <c r="AC3903" t="str">
        <f>IF(AA3903="","",'Procyfloc AL200'!B404)</f>
        <v/>
      </c>
      <c r="AD3903" t="str">
        <f>IF(AA3903="","",IFERROR(1*'Procyfloc AL200'!C404,IFERROR(_xludf.NUMBERVALUE('Procyfloc AL200'!C404,".",","),IFERROR(_xludf.NUMBERVALUE('Procyfloc AL200'!C404,",","."),0))))</f>
        <v/>
      </c>
      <c r="AE3903" t="str">
        <f>IF(AA3903="","",'Procyfloc AL200'!K404)</f>
        <v/>
      </c>
      <c r="AF3903">
        <f t="shared" si="377"/>
        <v>0</v>
      </c>
      <c r="AG3903" t="str">
        <f t="shared" si="378"/>
        <v/>
      </c>
      <c r="AH3903" t="str">
        <f t="shared" si="379"/>
        <v/>
      </c>
      <c r="AI3903">
        <f t="shared" si="380"/>
        <v>0</v>
      </c>
      <c r="AJ3903">
        <f t="shared" si="381"/>
        <v>0</v>
      </c>
      <c r="AK3903">
        <v>0</v>
      </c>
      <c r="AL3903" t="str">
        <f>IF(AA3903="","",IFERROR(IF(ISNUMBER('Procyfloc AL200'!D404),'Procyfloc AL200'!D404,IF(ISNUMBER(SEARCH("12",'Procyfloc AL200'!D404)),EDATE(AB3903,12),IF(ISNUMBER(SEARCH("6",'Procyfloc AL200'!D404)),EDATE(AB3903,6),IF(ISNUMBER(SEARCH("3",'Procyfloc AL200'!D404)),EDATE(AB3903,3),DATEVALUE('Procyfloc AL200'!D404))))),""))</f>
        <v/>
      </c>
      <c r="AM3903" t="str">
        <f t="shared" ca="1" si="382"/>
        <v/>
      </c>
    </row>
    <row r="3904" spans="27:39" x14ac:dyDescent="0.3">
      <c r="AA3904" t="str">
        <f>IF(COUNTA('Procyfloc AL200'!A405,'Procyfloc AL200'!B405,'Procyfloc AL200'!C405)&gt;0,"AL200","")</f>
        <v/>
      </c>
      <c r="AB3904" t="str">
        <f>IFERROR(IF(ISNUMBER('Procyfloc AL200'!A405),'Procyfloc AL200'!A405,DATEVALUE('Procyfloc AL200'!A405)),"")</f>
        <v/>
      </c>
      <c r="AC3904" t="str">
        <f>IF(AA3904="","",'Procyfloc AL200'!B405)</f>
        <v/>
      </c>
      <c r="AD3904" t="str">
        <f>IF(AA3904="","",IFERROR(1*'Procyfloc AL200'!C405,IFERROR(_xludf.NUMBERVALUE('Procyfloc AL200'!C405,".",","),IFERROR(_xludf.NUMBERVALUE('Procyfloc AL200'!C405,",","."),0))))</f>
        <v/>
      </c>
      <c r="AE3904" t="str">
        <f>IF(AA3904="","",'Procyfloc AL200'!K405)</f>
        <v/>
      </c>
      <c r="AF3904">
        <f t="shared" si="377"/>
        <v>0</v>
      </c>
      <c r="AG3904" t="str">
        <f t="shared" si="378"/>
        <v/>
      </c>
      <c r="AH3904" t="str">
        <f t="shared" si="379"/>
        <v/>
      </c>
      <c r="AI3904">
        <f t="shared" si="380"/>
        <v>0</v>
      </c>
      <c r="AJ3904">
        <f t="shared" si="381"/>
        <v>0</v>
      </c>
      <c r="AK3904">
        <v>0</v>
      </c>
      <c r="AL3904" t="str">
        <f>IF(AA3904="","",IFERROR(IF(ISNUMBER('Procyfloc AL200'!D405),'Procyfloc AL200'!D405,IF(ISNUMBER(SEARCH("12",'Procyfloc AL200'!D405)),EDATE(AB3904,12),IF(ISNUMBER(SEARCH("6",'Procyfloc AL200'!D405)),EDATE(AB3904,6),IF(ISNUMBER(SEARCH("3",'Procyfloc AL200'!D405)),EDATE(AB3904,3),DATEVALUE('Procyfloc AL200'!D405))))),""))</f>
        <v/>
      </c>
      <c r="AM3904" t="str">
        <f t="shared" ca="1" si="382"/>
        <v/>
      </c>
    </row>
    <row r="3905" spans="27:39" x14ac:dyDescent="0.3">
      <c r="AA3905" t="str">
        <f>IF(COUNTA('Procyfloc AL200'!A406,'Procyfloc AL200'!B406,'Procyfloc AL200'!C406)&gt;0,"AL200","")</f>
        <v/>
      </c>
      <c r="AB3905" t="str">
        <f>IFERROR(IF(ISNUMBER('Procyfloc AL200'!A406),'Procyfloc AL200'!A406,DATEVALUE('Procyfloc AL200'!A406)),"")</f>
        <v/>
      </c>
      <c r="AC3905" t="str">
        <f>IF(AA3905="","",'Procyfloc AL200'!B406)</f>
        <v/>
      </c>
      <c r="AD3905" t="str">
        <f>IF(AA3905="","",IFERROR(1*'Procyfloc AL200'!C406,IFERROR(_xludf.NUMBERVALUE('Procyfloc AL200'!C406,".",","),IFERROR(_xludf.NUMBERVALUE('Procyfloc AL200'!C406,",","."),0))))</f>
        <v/>
      </c>
      <c r="AE3905" t="str">
        <f>IF(AA3905="","",'Procyfloc AL200'!K406)</f>
        <v/>
      </c>
      <c r="AF3905">
        <f t="shared" si="377"/>
        <v>0</v>
      </c>
      <c r="AG3905" t="str">
        <f t="shared" si="378"/>
        <v/>
      </c>
      <c r="AH3905" t="str">
        <f t="shared" si="379"/>
        <v/>
      </c>
      <c r="AI3905">
        <f t="shared" si="380"/>
        <v>0</v>
      </c>
      <c r="AJ3905">
        <f t="shared" si="381"/>
        <v>0</v>
      </c>
      <c r="AK3905">
        <v>0</v>
      </c>
      <c r="AL3905" t="str">
        <f>IF(AA3905="","",IFERROR(IF(ISNUMBER('Procyfloc AL200'!D406),'Procyfloc AL200'!D406,IF(ISNUMBER(SEARCH("12",'Procyfloc AL200'!D406)),EDATE(AB3905,12),IF(ISNUMBER(SEARCH("6",'Procyfloc AL200'!D406)),EDATE(AB3905,6),IF(ISNUMBER(SEARCH("3",'Procyfloc AL200'!D406)),EDATE(AB3905,3),DATEVALUE('Procyfloc AL200'!D406))))),""))</f>
        <v/>
      </c>
      <c r="AM3905" t="str">
        <f t="shared" ca="1" si="382"/>
        <v/>
      </c>
    </row>
    <row r="3906" spans="27:39" x14ac:dyDescent="0.3">
      <c r="AA3906" t="str">
        <f>IF(COUNTA('Procyfloc AL200'!A407,'Procyfloc AL200'!B407,'Procyfloc AL200'!C407)&gt;0,"AL200","")</f>
        <v/>
      </c>
      <c r="AB3906" t="str">
        <f>IFERROR(IF(ISNUMBER('Procyfloc AL200'!A407),'Procyfloc AL200'!A407,DATEVALUE('Procyfloc AL200'!A407)),"")</f>
        <v/>
      </c>
      <c r="AC3906" t="str">
        <f>IF(AA3906="","",'Procyfloc AL200'!B407)</f>
        <v/>
      </c>
      <c r="AD3906" t="str">
        <f>IF(AA3906="","",IFERROR(1*'Procyfloc AL200'!C407,IFERROR(_xludf.NUMBERVALUE('Procyfloc AL200'!C407,".",","),IFERROR(_xludf.NUMBERVALUE('Procyfloc AL200'!C407,",","."),0))))</f>
        <v/>
      </c>
      <c r="AE3906" t="str">
        <f>IF(AA3906="","",'Procyfloc AL200'!K407)</f>
        <v/>
      </c>
      <c r="AF3906">
        <f t="shared" ref="AF3906:AF3969" si="383">IF(AA3906="",0,--AND(ISNUMBER(SEARCH("aprov",AE3906)),NOT(ISNUMBER(SEARCH("reprov",AE3906)))))</f>
        <v>0</v>
      </c>
      <c r="AG3906" t="str">
        <f t="shared" ref="AG3906:AG3969" si="384">IF(AB3906="","",YEAR(AB3906))</f>
        <v/>
      </c>
      <c r="AH3906" t="str">
        <f t="shared" ref="AH3906:AH3969" si="385">IF(AB3906="","",MONTH(AB3906))</f>
        <v/>
      </c>
      <c r="AI3906">
        <f t="shared" ref="AI3906:AI3969" si="386">IF(AB3906="",0,AB3906+ROW()/1000000)</f>
        <v>0</v>
      </c>
      <c r="AJ3906">
        <f t="shared" ref="AJ3906:AJ3969" si="387">--(AA3906&lt;&gt;"")</f>
        <v>0</v>
      </c>
      <c r="AK3906">
        <v>0</v>
      </c>
      <c r="AL3906" t="str">
        <f>IF(AA3906="","",IFERROR(IF(ISNUMBER('Procyfloc AL200'!D407),'Procyfloc AL200'!D407,IF(ISNUMBER(SEARCH("12",'Procyfloc AL200'!D407)),EDATE(AB3906,12),IF(ISNUMBER(SEARCH("6",'Procyfloc AL200'!D407)),EDATE(AB3906,6),IF(ISNUMBER(SEARCH("3",'Procyfloc AL200'!D407)),EDATE(AB3906,3),DATEVALUE('Procyfloc AL200'!D407))))),""))</f>
        <v/>
      </c>
      <c r="AM3906" t="str">
        <f t="shared" ref="AM3906:AM3969" ca="1" si="388">IF(AND(AJ3906=1,AL3906&lt;&gt;"",AL3906&gt;=TODAY(),AG3906=$W$3),AL3906+ROW()/1000000,"")</f>
        <v/>
      </c>
    </row>
    <row r="3907" spans="27:39" x14ac:dyDescent="0.3">
      <c r="AA3907" t="str">
        <f>IF(COUNTA('Procyfloc AL200'!A408,'Procyfloc AL200'!B408,'Procyfloc AL200'!C408)&gt;0,"AL200","")</f>
        <v/>
      </c>
      <c r="AB3907" t="str">
        <f>IFERROR(IF(ISNUMBER('Procyfloc AL200'!A408),'Procyfloc AL200'!A408,DATEVALUE('Procyfloc AL200'!A408)),"")</f>
        <v/>
      </c>
      <c r="AC3907" t="str">
        <f>IF(AA3907="","",'Procyfloc AL200'!B408)</f>
        <v/>
      </c>
      <c r="AD3907" t="str">
        <f>IF(AA3907="","",IFERROR(1*'Procyfloc AL200'!C408,IFERROR(_xludf.NUMBERVALUE('Procyfloc AL200'!C408,".",","),IFERROR(_xludf.NUMBERVALUE('Procyfloc AL200'!C408,",","."),0))))</f>
        <v/>
      </c>
      <c r="AE3907" t="str">
        <f>IF(AA3907="","",'Procyfloc AL200'!K408)</f>
        <v/>
      </c>
      <c r="AF3907">
        <f t="shared" si="383"/>
        <v>0</v>
      </c>
      <c r="AG3907" t="str">
        <f t="shared" si="384"/>
        <v/>
      </c>
      <c r="AH3907" t="str">
        <f t="shared" si="385"/>
        <v/>
      </c>
      <c r="AI3907">
        <f t="shared" si="386"/>
        <v>0</v>
      </c>
      <c r="AJ3907">
        <f t="shared" si="387"/>
        <v>0</v>
      </c>
      <c r="AK3907">
        <v>0</v>
      </c>
      <c r="AL3907" t="str">
        <f>IF(AA3907="","",IFERROR(IF(ISNUMBER('Procyfloc AL200'!D408),'Procyfloc AL200'!D408,IF(ISNUMBER(SEARCH("12",'Procyfloc AL200'!D408)),EDATE(AB3907,12),IF(ISNUMBER(SEARCH("6",'Procyfloc AL200'!D408)),EDATE(AB3907,6),IF(ISNUMBER(SEARCH("3",'Procyfloc AL200'!D408)),EDATE(AB3907,3),DATEVALUE('Procyfloc AL200'!D408))))),""))</f>
        <v/>
      </c>
      <c r="AM3907" t="str">
        <f t="shared" ca="1" si="388"/>
        <v/>
      </c>
    </row>
    <row r="3908" spans="27:39" x14ac:dyDescent="0.3">
      <c r="AA3908" t="str">
        <f>IF(COUNTA('Procyfloc AL200'!A409,'Procyfloc AL200'!B409,'Procyfloc AL200'!C409)&gt;0,"AL200","")</f>
        <v/>
      </c>
      <c r="AB3908" t="str">
        <f>IFERROR(IF(ISNUMBER('Procyfloc AL200'!A409),'Procyfloc AL200'!A409,DATEVALUE('Procyfloc AL200'!A409)),"")</f>
        <v/>
      </c>
      <c r="AC3908" t="str">
        <f>IF(AA3908="","",'Procyfloc AL200'!B409)</f>
        <v/>
      </c>
      <c r="AD3908" t="str">
        <f>IF(AA3908="","",IFERROR(1*'Procyfloc AL200'!C409,IFERROR(_xludf.NUMBERVALUE('Procyfloc AL200'!C409,".",","),IFERROR(_xludf.NUMBERVALUE('Procyfloc AL200'!C409,",","."),0))))</f>
        <v/>
      </c>
      <c r="AE3908" t="str">
        <f>IF(AA3908="","",'Procyfloc AL200'!K409)</f>
        <v/>
      </c>
      <c r="AF3908">
        <f t="shared" si="383"/>
        <v>0</v>
      </c>
      <c r="AG3908" t="str">
        <f t="shared" si="384"/>
        <v/>
      </c>
      <c r="AH3908" t="str">
        <f t="shared" si="385"/>
        <v/>
      </c>
      <c r="AI3908">
        <f t="shared" si="386"/>
        <v>0</v>
      </c>
      <c r="AJ3908">
        <f t="shared" si="387"/>
        <v>0</v>
      </c>
      <c r="AK3908">
        <v>0</v>
      </c>
      <c r="AL3908" t="str">
        <f>IF(AA3908="","",IFERROR(IF(ISNUMBER('Procyfloc AL200'!D409),'Procyfloc AL200'!D409,IF(ISNUMBER(SEARCH("12",'Procyfloc AL200'!D409)),EDATE(AB3908,12),IF(ISNUMBER(SEARCH("6",'Procyfloc AL200'!D409)),EDATE(AB3908,6),IF(ISNUMBER(SEARCH("3",'Procyfloc AL200'!D409)),EDATE(AB3908,3),DATEVALUE('Procyfloc AL200'!D409))))),""))</f>
        <v/>
      </c>
      <c r="AM3908" t="str">
        <f t="shared" ca="1" si="388"/>
        <v/>
      </c>
    </row>
    <row r="3909" spans="27:39" x14ac:dyDescent="0.3">
      <c r="AA3909" t="str">
        <f>IF(COUNTA('Procyfloc AL200'!A410,'Procyfloc AL200'!B410,'Procyfloc AL200'!C410)&gt;0,"AL200","")</f>
        <v/>
      </c>
      <c r="AB3909" t="str">
        <f>IFERROR(IF(ISNUMBER('Procyfloc AL200'!A410),'Procyfloc AL200'!A410,DATEVALUE('Procyfloc AL200'!A410)),"")</f>
        <v/>
      </c>
      <c r="AC3909" t="str">
        <f>IF(AA3909="","",'Procyfloc AL200'!B410)</f>
        <v/>
      </c>
      <c r="AD3909" t="str">
        <f>IF(AA3909="","",IFERROR(1*'Procyfloc AL200'!C410,IFERROR(_xludf.NUMBERVALUE('Procyfloc AL200'!C410,".",","),IFERROR(_xludf.NUMBERVALUE('Procyfloc AL200'!C410,",","."),0))))</f>
        <v/>
      </c>
      <c r="AE3909" t="str">
        <f>IF(AA3909="","",'Procyfloc AL200'!K410)</f>
        <v/>
      </c>
      <c r="AF3909">
        <f t="shared" si="383"/>
        <v>0</v>
      </c>
      <c r="AG3909" t="str">
        <f t="shared" si="384"/>
        <v/>
      </c>
      <c r="AH3909" t="str">
        <f t="shared" si="385"/>
        <v/>
      </c>
      <c r="AI3909">
        <f t="shared" si="386"/>
        <v>0</v>
      </c>
      <c r="AJ3909">
        <f t="shared" si="387"/>
        <v>0</v>
      </c>
      <c r="AK3909">
        <v>0</v>
      </c>
      <c r="AL3909" t="str">
        <f>IF(AA3909="","",IFERROR(IF(ISNUMBER('Procyfloc AL200'!D410),'Procyfloc AL200'!D410,IF(ISNUMBER(SEARCH("12",'Procyfloc AL200'!D410)),EDATE(AB3909,12),IF(ISNUMBER(SEARCH("6",'Procyfloc AL200'!D410)),EDATE(AB3909,6),IF(ISNUMBER(SEARCH("3",'Procyfloc AL200'!D410)),EDATE(AB3909,3),DATEVALUE('Procyfloc AL200'!D410))))),""))</f>
        <v/>
      </c>
      <c r="AM3909" t="str">
        <f t="shared" ca="1" si="388"/>
        <v/>
      </c>
    </row>
    <row r="3910" spans="27:39" x14ac:dyDescent="0.3">
      <c r="AA3910" t="str">
        <f>IF(COUNTA('Procyfloc AL200'!A411,'Procyfloc AL200'!B411,'Procyfloc AL200'!C411)&gt;0,"AL200","")</f>
        <v/>
      </c>
      <c r="AB3910" t="str">
        <f>IFERROR(IF(ISNUMBER('Procyfloc AL200'!A411),'Procyfloc AL200'!A411,DATEVALUE('Procyfloc AL200'!A411)),"")</f>
        <v/>
      </c>
      <c r="AC3910" t="str">
        <f>IF(AA3910="","",'Procyfloc AL200'!B411)</f>
        <v/>
      </c>
      <c r="AD3910" t="str">
        <f>IF(AA3910="","",IFERROR(1*'Procyfloc AL200'!C411,IFERROR(_xludf.NUMBERVALUE('Procyfloc AL200'!C411,".",","),IFERROR(_xludf.NUMBERVALUE('Procyfloc AL200'!C411,",","."),0))))</f>
        <v/>
      </c>
      <c r="AE3910" t="str">
        <f>IF(AA3910="","",'Procyfloc AL200'!K411)</f>
        <v/>
      </c>
      <c r="AF3910">
        <f t="shared" si="383"/>
        <v>0</v>
      </c>
      <c r="AG3910" t="str">
        <f t="shared" si="384"/>
        <v/>
      </c>
      <c r="AH3910" t="str">
        <f t="shared" si="385"/>
        <v/>
      </c>
      <c r="AI3910">
        <f t="shared" si="386"/>
        <v>0</v>
      </c>
      <c r="AJ3910">
        <f t="shared" si="387"/>
        <v>0</v>
      </c>
      <c r="AK3910">
        <v>0</v>
      </c>
      <c r="AL3910" t="str">
        <f>IF(AA3910="","",IFERROR(IF(ISNUMBER('Procyfloc AL200'!D411),'Procyfloc AL200'!D411,IF(ISNUMBER(SEARCH("12",'Procyfloc AL200'!D411)),EDATE(AB3910,12),IF(ISNUMBER(SEARCH("6",'Procyfloc AL200'!D411)),EDATE(AB3910,6),IF(ISNUMBER(SEARCH("3",'Procyfloc AL200'!D411)),EDATE(AB3910,3),DATEVALUE('Procyfloc AL200'!D411))))),""))</f>
        <v/>
      </c>
      <c r="AM3910" t="str">
        <f t="shared" ca="1" si="388"/>
        <v/>
      </c>
    </row>
    <row r="3911" spans="27:39" x14ac:dyDescent="0.3">
      <c r="AA3911" t="str">
        <f>IF(COUNTA('Procyfloc AL200'!A412,'Procyfloc AL200'!B412,'Procyfloc AL200'!C412)&gt;0,"AL200","")</f>
        <v/>
      </c>
      <c r="AB3911" t="str">
        <f>IFERROR(IF(ISNUMBER('Procyfloc AL200'!A412),'Procyfloc AL200'!A412,DATEVALUE('Procyfloc AL200'!A412)),"")</f>
        <v/>
      </c>
      <c r="AC3911" t="str">
        <f>IF(AA3911="","",'Procyfloc AL200'!B412)</f>
        <v/>
      </c>
      <c r="AD3911" t="str">
        <f>IF(AA3911="","",IFERROR(1*'Procyfloc AL200'!C412,IFERROR(_xludf.NUMBERVALUE('Procyfloc AL200'!C412,".",","),IFERROR(_xludf.NUMBERVALUE('Procyfloc AL200'!C412,",","."),0))))</f>
        <v/>
      </c>
      <c r="AE3911" t="str">
        <f>IF(AA3911="","",'Procyfloc AL200'!K412)</f>
        <v/>
      </c>
      <c r="AF3911">
        <f t="shared" si="383"/>
        <v>0</v>
      </c>
      <c r="AG3911" t="str">
        <f t="shared" si="384"/>
        <v/>
      </c>
      <c r="AH3911" t="str">
        <f t="shared" si="385"/>
        <v/>
      </c>
      <c r="AI3911">
        <f t="shared" si="386"/>
        <v>0</v>
      </c>
      <c r="AJ3911">
        <f t="shared" si="387"/>
        <v>0</v>
      </c>
      <c r="AK3911">
        <v>0</v>
      </c>
      <c r="AL3911" t="str">
        <f>IF(AA3911="","",IFERROR(IF(ISNUMBER('Procyfloc AL200'!D412),'Procyfloc AL200'!D412,IF(ISNUMBER(SEARCH("12",'Procyfloc AL200'!D412)),EDATE(AB3911,12),IF(ISNUMBER(SEARCH("6",'Procyfloc AL200'!D412)),EDATE(AB3911,6),IF(ISNUMBER(SEARCH("3",'Procyfloc AL200'!D412)),EDATE(AB3911,3),DATEVALUE('Procyfloc AL200'!D412))))),""))</f>
        <v/>
      </c>
      <c r="AM3911" t="str">
        <f t="shared" ca="1" si="388"/>
        <v/>
      </c>
    </row>
    <row r="3912" spans="27:39" x14ac:dyDescent="0.3">
      <c r="AA3912" t="str">
        <f>IF(COUNTA('Procyfloc AL200'!A413,'Procyfloc AL200'!B413,'Procyfloc AL200'!C413)&gt;0,"AL200","")</f>
        <v/>
      </c>
      <c r="AB3912" t="str">
        <f>IFERROR(IF(ISNUMBER('Procyfloc AL200'!A413),'Procyfloc AL200'!A413,DATEVALUE('Procyfloc AL200'!A413)),"")</f>
        <v/>
      </c>
      <c r="AC3912" t="str">
        <f>IF(AA3912="","",'Procyfloc AL200'!B413)</f>
        <v/>
      </c>
      <c r="AD3912" t="str">
        <f>IF(AA3912="","",IFERROR(1*'Procyfloc AL200'!C413,IFERROR(_xludf.NUMBERVALUE('Procyfloc AL200'!C413,".",","),IFERROR(_xludf.NUMBERVALUE('Procyfloc AL200'!C413,",","."),0))))</f>
        <v/>
      </c>
      <c r="AE3912" t="str">
        <f>IF(AA3912="","",'Procyfloc AL200'!K413)</f>
        <v/>
      </c>
      <c r="AF3912">
        <f t="shared" si="383"/>
        <v>0</v>
      </c>
      <c r="AG3912" t="str">
        <f t="shared" si="384"/>
        <v/>
      </c>
      <c r="AH3912" t="str">
        <f t="shared" si="385"/>
        <v/>
      </c>
      <c r="AI3912">
        <f t="shared" si="386"/>
        <v>0</v>
      </c>
      <c r="AJ3912">
        <f t="shared" si="387"/>
        <v>0</v>
      </c>
      <c r="AK3912">
        <v>0</v>
      </c>
      <c r="AL3912" t="str">
        <f>IF(AA3912="","",IFERROR(IF(ISNUMBER('Procyfloc AL200'!D413),'Procyfloc AL200'!D413,IF(ISNUMBER(SEARCH("12",'Procyfloc AL200'!D413)),EDATE(AB3912,12),IF(ISNUMBER(SEARCH("6",'Procyfloc AL200'!D413)),EDATE(AB3912,6),IF(ISNUMBER(SEARCH("3",'Procyfloc AL200'!D413)),EDATE(AB3912,3),DATEVALUE('Procyfloc AL200'!D413))))),""))</f>
        <v/>
      </c>
      <c r="AM3912" t="str">
        <f t="shared" ca="1" si="388"/>
        <v/>
      </c>
    </row>
    <row r="3913" spans="27:39" x14ac:dyDescent="0.3">
      <c r="AA3913" t="str">
        <f>IF(COUNTA('Procyfloc AL200'!A414,'Procyfloc AL200'!B414,'Procyfloc AL200'!C414)&gt;0,"AL200","")</f>
        <v/>
      </c>
      <c r="AB3913" t="str">
        <f>IFERROR(IF(ISNUMBER('Procyfloc AL200'!A414),'Procyfloc AL200'!A414,DATEVALUE('Procyfloc AL200'!A414)),"")</f>
        <v/>
      </c>
      <c r="AC3913" t="str">
        <f>IF(AA3913="","",'Procyfloc AL200'!B414)</f>
        <v/>
      </c>
      <c r="AD3913" t="str">
        <f>IF(AA3913="","",IFERROR(1*'Procyfloc AL200'!C414,IFERROR(_xludf.NUMBERVALUE('Procyfloc AL200'!C414,".",","),IFERROR(_xludf.NUMBERVALUE('Procyfloc AL200'!C414,",","."),0))))</f>
        <v/>
      </c>
      <c r="AE3913" t="str">
        <f>IF(AA3913="","",'Procyfloc AL200'!K414)</f>
        <v/>
      </c>
      <c r="AF3913">
        <f t="shared" si="383"/>
        <v>0</v>
      </c>
      <c r="AG3913" t="str">
        <f t="shared" si="384"/>
        <v/>
      </c>
      <c r="AH3913" t="str">
        <f t="shared" si="385"/>
        <v/>
      </c>
      <c r="AI3913">
        <f t="shared" si="386"/>
        <v>0</v>
      </c>
      <c r="AJ3913">
        <f t="shared" si="387"/>
        <v>0</v>
      </c>
      <c r="AK3913">
        <v>0</v>
      </c>
      <c r="AL3913" t="str">
        <f>IF(AA3913="","",IFERROR(IF(ISNUMBER('Procyfloc AL200'!D414),'Procyfloc AL200'!D414,IF(ISNUMBER(SEARCH("12",'Procyfloc AL200'!D414)),EDATE(AB3913,12),IF(ISNUMBER(SEARCH("6",'Procyfloc AL200'!D414)),EDATE(AB3913,6),IF(ISNUMBER(SEARCH("3",'Procyfloc AL200'!D414)),EDATE(AB3913,3),DATEVALUE('Procyfloc AL200'!D414))))),""))</f>
        <v/>
      </c>
      <c r="AM3913" t="str">
        <f t="shared" ca="1" si="388"/>
        <v/>
      </c>
    </row>
    <row r="3914" spans="27:39" x14ac:dyDescent="0.3">
      <c r="AA3914" t="str">
        <f>IF(COUNTA('Procyfloc AL200'!A415,'Procyfloc AL200'!B415,'Procyfloc AL200'!C415)&gt;0,"AL200","")</f>
        <v/>
      </c>
      <c r="AB3914" t="str">
        <f>IFERROR(IF(ISNUMBER('Procyfloc AL200'!A415),'Procyfloc AL200'!A415,DATEVALUE('Procyfloc AL200'!A415)),"")</f>
        <v/>
      </c>
      <c r="AC3914" t="str">
        <f>IF(AA3914="","",'Procyfloc AL200'!B415)</f>
        <v/>
      </c>
      <c r="AD3914" t="str">
        <f>IF(AA3914="","",IFERROR(1*'Procyfloc AL200'!C415,IFERROR(_xludf.NUMBERVALUE('Procyfloc AL200'!C415,".",","),IFERROR(_xludf.NUMBERVALUE('Procyfloc AL200'!C415,",","."),0))))</f>
        <v/>
      </c>
      <c r="AE3914" t="str">
        <f>IF(AA3914="","",'Procyfloc AL200'!K415)</f>
        <v/>
      </c>
      <c r="AF3914">
        <f t="shared" si="383"/>
        <v>0</v>
      </c>
      <c r="AG3914" t="str">
        <f t="shared" si="384"/>
        <v/>
      </c>
      <c r="AH3914" t="str">
        <f t="shared" si="385"/>
        <v/>
      </c>
      <c r="AI3914">
        <f t="shared" si="386"/>
        <v>0</v>
      </c>
      <c r="AJ3914">
        <f t="shared" si="387"/>
        <v>0</v>
      </c>
      <c r="AK3914">
        <v>0</v>
      </c>
      <c r="AL3914" t="str">
        <f>IF(AA3914="","",IFERROR(IF(ISNUMBER('Procyfloc AL200'!D415),'Procyfloc AL200'!D415,IF(ISNUMBER(SEARCH("12",'Procyfloc AL200'!D415)),EDATE(AB3914,12),IF(ISNUMBER(SEARCH("6",'Procyfloc AL200'!D415)),EDATE(AB3914,6),IF(ISNUMBER(SEARCH("3",'Procyfloc AL200'!D415)),EDATE(AB3914,3),DATEVALUE('Procyfloc AL200'!D415))))),""))</f>
        <v/>
      </c>
      <c r="AM3914" t="str">
        <f t="shared" ca="1" si="388"/>
        <v/>
      </c>
    </row>
    <row r="3915" spans="27:39" x14ac:dyDescent="0.3">
      <c r="AA3915" t="str">
        <f>IF(COUNTA('Procyfloc AL200'!A416,'Procyfloc AL200'!B416,'Procyfloc AL200'!C416)&gt;0,"AL200","")</f>
        <v/>
      </c>
      <c r="AB3915" t="str">
        <f>IFERROR(IF(ISNUMBER('Procyfloc AL200'!A416),'Procyfloc AL200'!A416,DATEVALUE('Procyfloc AL200'!A416)),"")</f>
        <v/>
      </c>
      <c r="AC3915" t="str">
        <f>IF(AA3915="","",'Procyfloc AL200'!B416)</f>
        <v/>
      </c>
      <c r="AD3915" t="str">
        <f>IF(AA3915="","",IFERROR(1*'Procyfloc AL200'!C416,IFERROR(_xludf.NUMBERVALUE('Procyfloc AL200'!C416,".",","),IFERROR(_xludf.NUMBERVALUE('Procyfloc AL200'!C416,",","."),0))))</f>
        <v/>
      </c>
      <c r="AE3915" t="str">
        <f>IF(AA3915="","",'Procyfloc AL200'!K416)</f>
        <v/>
      </c>
      <c r="AF3915">
        <f t="shared" si="383"/>
        <v>0</v>
      </c>
      <c r="AG3915" t="str">
        <f t="shared" si="384"/>
        <v/>
      </c>
      <c r="AH3915" t="str">
        <f t="shared" si="385"/>
        <v/>
      </c>
      <c r="AI3915">
        <f t="shared" si="386"/>
        <v>0</v>
      </c>
      <c r="AJ3915">
        <f t="shared" si="387"/>
        <v>0</v>
      </c>
      <c r="AK3915">
        <v>0</v>
      </c>
      <c r="AL3915" t="str">
        <f>IF(AA3915="","",IFERROR(IF(ISNUMBER('Procyfloc AL200'!D416),'Procyfloc AL200'!D416,IF(ISNUMBER(SEARCH("12",'Procyfloc AL200'!D416)),EDATE(AB3915,12),IF(ISNUMBER(SEARCH("6",'Procyfloc AL200'!D416)),EDATE(AB3915,6),IF(ISNUMBER(SEARCH("3",'Procyfloc AL200'!D416)),EDATE(AB3915,3),DATEVALUE('Procyfloc AL200'!D416))))),""))</f>
        <v/>
      </c>
      <c r="AM3915" t="str">
        <f t="shared" ca="1" si="388"/>
        <v/>
      </c>
    </row>
    <row r="3916" spans="27:39" x14ac:dyDescent="0.3">
      <c r="AA3916" t="str">
        <f>IF(COUNTA('Procyfloc AL200'!A417,'Procyfloc AL200'!B417,'Procyfloc AL200'!C417)&gt;0,"AL200","")</f>
        <v/>
      </c>
      <c r="AB3916" t="str">
        <f>IFERROR(IF(ISNUMBER('Procyfloc AL200'!A417),'Procyfloc AL200'!A417,DATEVALUE('Procyfloc AL200'!A417)),"")</f>
        <v/>
      </c>
      <c r="AC3916" t="str">
        <f>IF(AA3916="","",'Procyfloc AL200'!B417)</f>
        <v/>
      </c>
      <c r="AD3916" t="str">
        <f>IF(AA3916="","",IFERROR(1*'Procyfloc AL200'!C417,IFERROR(_xludf.NUMBERVALUE('Procyfloc AL200'!C417,".",","),IFERROR(_xludf.NUMBERVALUE('Procyfloc AL200'!C417,",","."),0))))</f>
        <v/>
      </c>
      <c r="AE3916" t="str">
        <f>IF(AA3916="","",'Procyfloc AL200'!K417)</f>
        <v/>
      </c>
      <c r="AF3916">
        <f t="shared" si="383"/>
        <v>0</v>
      </c>
      <c r="AG3916" t="str">
        <f t="shared" si="384"/>
        <v/>
      </c>
      <c r="AH3916" t="str">
        <f t="shared" si="385"/>
        <v/>
      </c>
      <c r="AI3916">
        <f t="shared" si="386"/>
        <v>0</v>
      </c>
      <c r="AJ3916">
        <f t="shared" si="387"/>
        <v>0</v>
      </c>
      <c r="AK3916">
        <v>0</v>
      </c>
      <c r="AL3916" t="str">
        <f>IF(AA3916="","",IFERROR(IF(ISNUMBER('Procyfloc AL200'!D417),'Procyfloc AL200'!D417,IF(ISNUMBER(SEARCH("12",'Procyfloc AL200'!D417)),EDATE(AB3916,12),IF(ISNUMBER(SEARCH("6",'Procyfloc AL200'!D417)),EDATE(AB3916,6),IF(ISNUMBER(SEARCH("3",'Procyfloc AL200'!D417)),EDATE(AB3916,3),DATEVALUE('Procyfloc AL200'!D417))))),""))</f>
        <v/>
      </c>
      <c r="AM3916" t="str">
        <f t="shared" ca="1" si="388"/>
        <v/>
      </c>
    </row>
    <row r="3917" spans="27:39" x14ac:dyDescent="0.3">
      <c r="AA3917" t="str">
        <f>IF(COUNTA('Procyfloc AL200'!A418,'Procyfloc AL200'!B418,'Procyfloc AL200'!C418)&gt;0,"AL200","")</f>
        <v/>
      </c>
      <c r="AB3917" t="str">
        <f>IFERROR(IF(ISNUMBER('Procyfloc AL200'!A418),'Procyfloc AL200'!A418,DATEVALUE('Procyfloc AL200'!A418)),"")</f>
        <v/>
      </c>
      <c r="AC3917" t="str">
        <f>IF(AA3917="","",'Procyfloc AL200'!B418)</f>
        <v/>
      </c>
      <c r="AD3917" t="str">
        <f>IF(AA3917="","",IFERROR(1*'Procyfloc AL200'!C418,IFERROR(_xludf.NUMBERVALUE('Procyfloc AL200'!C418,".",","),IFERROR(_xludf.NUMBERVALUE('Procyfloc AL200'!C418,",","."),0))))</f>
        <v/>
      </c>
      <c r="AE3917" t="str">
        <f>IF(AA3917="","",'Procyfloc AL200'!K418)</f>
        <v/>
      </c>
      <c r="AF3917">
        <f t="shared" si="383"/>
        <v>0</v>
      </c>
      <c r="AG3917" t="str">
        <f t="shared" si="384"/>
        <v/>
      </c>
      <c r="AH3917" t="str">
        <f t="shared" si="385"/>
        <v/>
      </c>
      <c r="AI3917">
        <f t="shared" si="386"/>
        <v>0</v>
      </c>
      <c r="AJ3917">
        <f t="shared" si="387"/>
        <v>0</v>
      </c>
      <c r="AK3917">
        <v>0</v>
      </c>
      <c r="AL3917" t="str">
        <f>IF(AA3917="","",IFERROR(IF(ISNUMBER('Procyfloc AL200'!D418),'Procyfloc AL200'!D418,IF(ISNUMBER(SEARCH("12",'Procyfloc AL200'!D418)),EDATE(AB3917,12),IF(ISNUMBER(SEARCH("6",'Procyfloc AL200'!D418)),EDATE(AB3917,6),IF(ISNUMBER(SEARCH("3",'Procyfloc AL200'!D418)),EDATE(AB3917,3),DATEVALUE('Procyfloc AL200'!D418))))),""))</f>
        <v/>
      </c>
      <c r="AM3917" t="str">
        <f t="shared" ca="1" si="388"/>
        <v/>
      </c>
    </row>
    <row r="3918" spans="27:39" x14ac:dyDescent="0.3">
      <c r="AA3918" t="str">
        <f>IF(COUNTA('Procyfloc AL200'!A419,'Procyfloc AL200'!B419,'Procyfloc AL200'!C419)&gt;0,"AL200","")</f>
        <v/>
      </c>
      <c r="AB3918" t="str">
        <f>IFERROR(IF(ISNUMBER('Procyfloc AL200'!A419),'Procyfloc AL200'!A419,DATEVALUE('Procyfloc AL200'!A419)),"")</f>
        <v/>
      </c>
      <c r="AC3918" t="str">
        <f>IF(AA3918="","",'Procyfloc AL200'!B419)</f>
        <v/>
      </c>
      <c r="AD3918" t="str">
        <f>IF(AA3918="","",IFERROR(1*'Procyfloc AL200'!C419,IFERROR(_xludf.NUMBERVALUE('Procyfloc AL200'!C419,".",","),IFERROR(_xludf.NUMBERVALUE('Procyfloc AL200'!C419,",","."),0))))</f>
        <v/>
      </c>
      <c r="AE3918" t="str">
        <f>IF(AA3918="","",'Procyfloc AL200'!K419)</f>
        <v/>
      </c>
      <c r="AF3918">
        <f t="shared" si="383"/>
        <v>0</v>
      </c>
      <c r="AG3918" t="str">
        <f t="shared" si="384"/>
        <v/>
      </c>
      <c r="AH3918" t="str">
        <f t="shared" si="385"/>
        <v/>
      </c>
      <c r="AI3918">
        <f t="shared" si="386"/>
        <v>0</v>
      </c>
      <c r="AJ3918">
        <f t="shared" si="387"/>
        <v>0</v>
      </c>
      <c r="AK3918">
        <v>0</v>
      </c>
      <c r="AL3918" t="str">
        <f>IF(AA3918="","",IFERROR(IF(ISNUMBER('Procyfloc AL200'!D419),'Procyfloc AL200'!D419,IF(ISNUMBER(SEARCH("12",'Procyfloc AL200'!D419)),EDATE(AB3918,12),IF(ISNUMBER(SEARCH("6",'Procyfloc AL200'!D419)),EDATE(AB3918,6),IF(ISNUMBER(SEARCH("3",'Procyfloc AL200'!D419)),EDATE(AB3918,3),DATEVALUE('Procyfloc AL200'!D419))))),""))</f>
        <v/>
      </c>
      <c r="AM3918" t="str">
        <f t="shared" ca="1" si="388"/>
        <v/>
      </c>
    </row>
    <row r="3919" spans="27:39" x14ac:dyDescent="0.3">
      <c r="AA3919" t="str">
        <f>IF(COUNTA('Procyfloc AL200'!A420,'Procyfloc AL200'!B420,'Procyfloc AL200'!C420)&gt;0,"AL200","")</f>
        <v/>
      </c>
      <c r="AB3919" t="str">
        <f>IFERROR(IF(ISNUMBER('Procyfloc AL200'!A420),'Procyfloc AL200'!A420,DATEVALUE('Procyfloc AL200'!A420)),"")</f>
        <v/>
      </c>
      <c r="AC3919" t="str">
        <f>IF(AA3919="","",'Procyfloc AL200'!B420)</f>
        <v/>
      </c>
      <c r="AD3919" t="str">
        <f>IF(AA3919="","",IFERROR(1*'Procyfloc AL200'!C420,IFERROR(_xludf.NUMBERVALUE('Procyfloc AL200'!C420,".",","),IFERROR(_xludf.NUMBERVALUE('Procyfloc AL200'!C420,",","."),0))))</f>
        <v/>
      </c>
      <c r="AE3919" t="str">
        <f>IF(AA3919="","",'Procyfloc AL200'!K420)</f>
        <v/>
      </c>
      <c r="AF3919">
        <f t="shared" si="383"/>
        <v>0</v>
      </c>
      <c r="AG3919" t="str">
        <f t="shared" si="384"/>
        <v/>
      </c>
      <c r="AH3919" t="str">
        <f t="shared" si="385"/>
        <v/>
      </c>
      <c r="AI3919">
        <f t="shared" si="386"/>
        <v>0</v>
      </c>
      <c r="AJ3919">
        <f t="shared" si="387"/>
        <v>0</v>
      </c>
      <c r="AK3919">
        <v>0</v>
      </c>
      <c r="AL3919" t="str">
        <f>IF(AA3919="","",IFERROR(IF(ISNUMBER('Procyfloc AL200'!D420),'Procyfloc AL200'!D420,IF(ISNUMBER(SEARCH("12",'Procyfloc AL200'!D420)),EDATE(AB3919,12),IF(ISNUMBER(SEARCH("6",'Procyfloc AL200'!D420)),EDATE(AB3919,6),IF(ISNUMBER(SEARCH("3",'Procyfloc AL200'!D420)),EDATE(AB3919,3),DATEVALUE('Procyfloc AL200'!D420))))),""))</f>
        <v/>
      </c>
      <c r="AM3919" t="str">
        <f t="shared" ca="1" si="388"/>
        <v/>
      </c>
    </row>
    <row r="3920" spans="27:39" x14ac:dyDescent="0.3">
      <c r="AA3920" t="str">
        <f>IF(COUNTA('Procyfloc AL200'!A421,'Procyfloc AL200'!B421,'Procyfloc AL200'!C421)&gt;0,"AL200","")</f>
        <v/>
      </c>
      <c r="AB3920" t="str">
        <f>IFERROR(IF(ISNUMBER('Procyfloc AL200'!A421),'Procyfloc AL200'!A421,DATEVALUE('Procyfloc AL200'!A421)),"")</f>
        <v/>
      </c>
      <c r="AC3920" t="str">
        <f>IF(AA3920="","",'Procyfloc AL200'!B421)</f>
        <v/>
      </c>
      <c r="AD3920" t="str">
        <f>IF(AA3920="","",IFERROR(1*'Procyfloc AL200'!C421,IFERROR(_xludf.NUMBERVALUE('Procyfloc AL200'!C421,".",","),IFERROR(_xludf.NUMBERVALUE('Procyfloc AL200'!C421,",","."),0))))</f>
        <v/>
      </c>
      <c r="AE3920" t="str">
        <f>IF(AA3920="","",'Procyfloc AL200'!K421)</f>
        <v/>
      </c>
      <c r="AF3920">
        <f t="shared" si="383"/>
        <v>0</v>
      </c>
      <c r="AG3920" t="str">
        <f t="shared" si="384"/>
        <v/>
      </c>
      <c r="AH3920" t="str">
        <f t="shared" si="385"/>
        <v/>
      </c>
      <c r="AI3920">
        <f t="shared" si="386"/>
        <v>0</v>
      </c>
      <c r="AJ3920">
        <f t="shared" si="387"/>
        <v>0</v>
      </c>
      <c r="AK3920">
        <v>0</v>
      </c>
      <c r="AL3920" t="str">
        <f>IF(AA3920="","",IFERROR(IF(ISNUMBER('Procyfloc AL200'!D421),'Procyfloc AL200'!D421,IF(ISNUMBER(SEARCH("12",'Procyfloc AL200'!D421)),EDATE(AB3920,12),IF(ISNUMBER(SEARCH("6",'Procyfloc AL200'!D421)),EDATE(AB3920,6),IF(ISNUMBER(SEARCH("3",'Procyfloc AL200'!D421)),EDATE(AB3920,3),DATEVALUE('Procyfloc AL200'!D421))))),""))</f>
        <v/>
      </c>
      <c r="AM3920" t="str">
        <f t="shared" ca="1" si="388"/>
        <v/>
      </c>
    </row>
    <row r="3921" spans="27:39" x14ac:dyDescent="0.3">
      <c r="AA3921" t="str">
        <f>IF(COUNTA('Procyfloc AL200'!A422,'Procyfloc AL200'!B422,'Procyfloc AL200'!C422)&gt;0,"AL200","")</f>
        <v/>
      </c>
      <c r="AB3921" t="str">
        <f>IFERROR(IF(ISNUMBER('Procyfloc AL200'!A422),'Procyfloc AL200'!A422,DATEVALUE('Procyfloc AL200'!A422)),"")</f>
        <v/>
      </c>
      <c r="AC3921" t="str">
        <f>IF(AA3921="","",'Procyfloc AL200'!B422)</f>
        <v/>
      </c>
      <c r="AD3921" t="str">
        <f>IF(AA3921="","",IFERROR(1*'Procyfloc AL200'!C422,IFERROR(_xludf.NUMBERVALUE('Procyfloc AL200'!C422,".",","),IFERROR(_xludf.NUMBERVALUE('Procyfloc AL200'!C422,",","."),0))))</f>
        <v/>
      </c>
      <c r="AE3921" t="str">
        <f>IF(AA3921="","",'Procyfloc AL200'!K422)</f>
        <v/>
      </c>
      <c r="AF3921">
        <f t="shared" si="383"/>
        <v>0</v>
      </c>
      <c r="AG3921" t="str">
        <f t="shared" si="384"/>
        <v/>
      </c>
      <c r="AH3921" t="str">
        <f t="shared" si="385"/>
        <v/>
      </c>
      <c r="AI3921">
        <f t="shared" si="386"/>
        <v>0</v>
      </c>
      <c r="AJ3921">
        <f t="shared" si="387"/>
        <v>0</v>
      </c>
      <c r="AK3921">
        <v>0</v>
      </c>
      <c r="AL3921" t="str">
        <f>IF(AA3921="","",IFERROR(IF(ISNUMBER('Procyfloc AL200'!D422),'Procyfloc AL200'!D422,IF(ISNUMBER(SEARCH("12",'Procyfloc AL200'!D422)),EDATE(AB3921,12),IF(ISNUMBER(SEARCH("6",'Procyfloc AL200'!D422)),EDATE(AB3921,6),IF(ISNUMBER(SEARCH("3",'Procyfloc AL200'!D422)),EDATE(AB3921,3),DATEVALUE('Procyfloc AL200'!D422))))),""))</f>
        <v/>
      </c>
      <c r="AM3921" t="str">
        <f t="shared" ca="1" si="388"/>
        <v/>
      </c>
    </row>
    <row r="3922" spans="27:39" x14ac:dyDescent="0.3">
      <c r="AA3922" t="str">
        <f>IF(COUNTA('Procyfloc AL200'!A423,'Procyfloc AL200'!B423,'Procyfloc AL200'!C423)&gt;0,"AL200","")</f>
        <v/>
      </c>
      <c r="AB3922" t="str">
        <f>IFERROR(IF(ISNUMBER('Procyfloc AL200'!A423),'Procyfloc AL200'!A423,DATEVALUE('Procyfloc AL200'!A423)),"")</f>
        <v/>
      </c>
      <c r="AC3922" t="str">
        <f>IF(AA3922="","",'Procyfloc AL200'!B423)</f>
        <v/>
      </c>
      <c r="AD3922" t="str">
        <f>IF(AA3922="","",IFERROR(1*'Procyfloc AL200'!C423,IFERROR(_xludf.NUMBERVALUE('Procyfloc AL200'!C423,".",","),IFERROR(_xludf.NUMBERVALUE('Procyfloc AL200'!C423,",","."),0))))</f>
        <v/>
      </c>
      <c r="AE3922" t="str">
        <f>IF(AA3922="","",'Procyfloc AL200'!K423)</f>
        <v/>
      </c>
      <c r="AF3922">
        <f t="shared" si="383"/>
        <v>0</v>
      </c>
      <c r="AG3922" t="str">
        <f t="shared" si="384"/>
        <v/>
      </c>
      <c r="AH3922" t="str">
        <f t="shared" si="385"/>
        <v/>
      </c>
      <c r="AI3922">
        <f t="shared" si="386"/>
        <v>0</v>
      </c>
      <c r="AJ3922">
        <f t="shared" si="387"/>
        <v>0</v>
      </c>
      <c r="AK3922">
        <v>0</v>
      </c>
      <c r="AL3922" t="str">
        <f>IF(AA3922="","",IFERROR(IF(ISNUMBER('Procyfloc AL200'!D423),'Procyfloc AL200'!D423,IF(ISNUMBER(SEARCH("12",'Procyfloc AL200'!D423)),EDATE(AB3922,12),IF(ISNUMBER(SEARCH("6",'Procyfloc AL200'!D423)),EDATE(AB3922,6),IF(ISNUMBER(SEARCH("3",'Procyfloc AL200'!D423)),EDATE(AB3922,3),DATEVALUE('Procyfloc AL200'!D423))))),""))</f>
        <v/>
      </c>
      <c r="AM3922" t="str">
        <f t="shared" ca="1" si="388"/>
        <v/>
      </c>
    </row>
    <row r="3923" spans="27:39" x14ac:dyDescent="0.3">
      <c r="AA3923" t="str">
        <f>IF(COUNTA('Procyfloc AL200'!A424,'Procyfloc AL200'!B424,'Procyfloc AL200'!C424)&gt;0,"AL200","")</f>
        <v/>
      </c>
      <c r="AB3923" t="str">
        <f>IFERROR(IF(ISNUMBER('Procyfloc AL200'!A424),'Procyfloc AL200'!A424,DATEVALUE('Procyfloc AL200'!A424)),"")</f>
        <v/>
      </c>
      <c r="AC3923" t="str">
        <f>IF(AA3923="","",'Procyfloc AL200'!B424)</f>
        <v/>
      </c>
      <c r="AD3923" t="str">
        <f>IF(AA3923="","",IFERROR(1*'Procyfloc AL200'!C424,IFERROR(_xludf.NUMBERVALUE('Procyfloc AL200'!C424,".",","),IFERROR(_xludf.NUMBERVALUE('Procyfloc AL200'!C424,",","."),0))))</f>
        <v/>
      </c>
      <c r="AE3923" t="str">
        <f>IF(AA3923="","",'Procyfloc AL200'!K424)</f>
        <v/>
      </c>
      <c r="AF3923">
        <f t="shared" si="383"/>
        <v>0</v>
      </c>
      <c r="AG3923" t="str">
        <f t="shared" si="384"/>
        <v/>
      </c>
      <c r="AH3923" t="str">
        <f t="shared" si="385"/>
        <v/>
      </c>
      <c r="AI3923">
        <f t="shared" si="386"/>
        <v>0</v>
      </c>
      <c r="AJ3923">
        <f t="shared" si="387"/>
        <v>0</v>
      </c>
      <c r="AK3923">
        <v>0</v>
      </c>
      <c r="AL3923" t="str">
        <f>IF(AA3923="","",IFERROR(IF(ISNUMBER('Procyfloc AL200'!D424),'Procyfloc AL200'!D424,IF(ISNUMBER(SEARCH("12",'Procyfloc AL200'!D424)),EDATE(AB3923,12),IF(ISNUMBER(SEARCH("6",'Procyfloc AL200'!D424)),EDATE(AB3923,6),IF(ISNUMBER(SEARCH("3",'Procyfloc AL200'!D424)),EDATE(AB3923,3),DATEVALUE('Procyfloc AL200'!D424))))),""))</f>
        <v/>
      </c>
      <c r="AM3923" t="str">
        <f t="shared" ca="1" si="388"/>
        <v/>
      </c>
    </row>
    <row r="3924" spans="27:39" x14ac:dyDescent="0.3">
      <c r="AA3924" t="str">
        <f>IF(COUNTA('Procyfloc AL200'!A425,'Procyfloc AL200'!B425,'Procyfloc AL200'!C425)&gt;0,"AL200","")</f>
        <v/>
      </c>
      <c r="AB3924" t="str">
        <f>IFERROR(IF(ISNUMBER('Procyfloc AL200'!A425),'Procyfloc AL200'!A425,DATEVALUE('Procyfloc AL200'!A425)),"")</f>
        <v/>
      </c>
      <c r="AC3924" t="str">
        <f>IF(AA3924="","",'Procyfloc AL200'!B425)</f>
        <v/>
      </c>
      <c r="AD3924" t="str">
        <f>IF(AA3924="","",IFERROR(1*'Procyfloc AL200'!C425,IFERROR(_xludf.NUMBERVALUE('Procyfloc AL200'!C425,".",","),IFERROR(_xludf.NUMBERVALUE('Procyfloc AL200'!C425,",","."),0))))</f>
        <v/>
      </c>
      <c r="AE3924" t="str">
        <f>IF(AA3924="","",'Procyfloc AL200'!K425)</f>
        <v/>
      </c>
      <c r="AF3924">
        <f t="shared" si="383"/>
        <v>0</v>
      </c>
      <c r="AG3924" t="str">
        <f t="shared" si="384"/>
        <v/>
      </c>
      <c r="AH3924" t="str">
        <f t="shared" si="385"/>
        <v/>
      </c>
      <c r="AI3924">
        <f t="shared" si="386"/>
        <v>0</v>
      </c>
      <c r="AJ3924">
        <f t="shared" si="387"/>
        <v>0</v>
      </c>
      <c r="AK3924">
        <v>0</v>
      </c>
      <c r="AL3924" t="str">
        <f>IF(AA3924="","",IFERROR(IF(ISNUMBER('Procyfloc AL200'!D425),'Procyfloc AL200'!D425,IF(ISNUMBER(SEARCH("12",'Procyfloc AL200'!D425)),EDATE(AB3924,12),IF(ISNUMBER(SEARCH("6",'Procyfloc AL200'!D425)),EDATE(AB3924,6),IF(ISNUMBER(SEARCH("3",'Procyfloc AL200'!D425)),EDATE(AB3924,3),DATEVALUE('Procyfloc AL200'!D425))))),""))</f>
        <v/>
      </c>
      <c r="AM3924" t="str">
        <f t="shared" ca="1" si="388"/>
        <v/>
      </c>
    </row>
    <row r="3925" spans="27:39" x14ac:dyDescent="0.3">
      <c r="AA3925" t="str">
        <f>IF(COUNTA('Procyfloc AL200'!A426,'Procyfloc AL200'!B426,'Procyfloc AL200'!C426)&gt;0,"AL200","")</f>
        <v/>
      </c>
      <c r="AB3925" t="str">
        <f>IFERROR(IF(ISNUMBER('Procyfloc AL200'!A426),'Procyfloc AL200'!A426,DATEVALUE('Procyfloc AL200'!A426)),"")</f>
        <v/>
      </c>
      <c r="AC3925" t="str">
        <f>IF(AA3925="","",'Procyfloc AL200'!B426)</f>
        <v/>
      </c>
      <c r="AD3925" t="str">
        <f>IF(AA3925="","",IFERROR(1*'Procyfloc AL200'!C426,IFERROR(_xludf.NUMBERVALUE('Procyfloc AL200'!C426,".",","),IFERROR(_xludf.NUMBERVALUE('Procyfloc AL200'!C426,",","."),0))))</f>
        <v/>
      </c>
      <c r="AE3925" t="str">
        <f>IF(AA3925="","",'Procyfloc AL200'!K426)</f>
        <v/>
      </c>
      <c r="AF3925">
        <f t="shared" si="383"/>
        <v>0</v>
      </c>
      <c r="AG3925" t="str">
        <f t="shared" si="384"/>
        <v/>
      </c>
      <c r="AH3925" t="str">
        <f t="shared" si="385"/>
        <v/>
      </c>
      <c r="AI3925">
        <f t="shared" si="386"/>
        <v>0</v>
      </c>
      <c r="AJ3925">
        <f t="shared" si="387"/>
        <v>0</v>
      </c>
      <c r="AK3925">
        <v>0</v>
      </c>
      <c r="AL3925" t="str">
        <f>IF(AA3925="","",IFERROR(IF(ISNUMBER('Procyfloc AL200'!D426),'Procyfloc AL200'!D426,IF(ISNUMBER(SEARCH("12",'Procyfloc AL200'!D426)),EDATE(AB3925,12),IF(ISNUMBER(SEARCH("6",'Procyfloc AL200'!D426)),EDATE(AB3925,6),IF(ISNUMBER(SEARCH("3",'Procyfloc AL200'!D426)),EDATE(AB3925,3),DATEVALUE('Procyfloc AL200'!D426))))),""))</f>
        <v/>
      </c>
      <c r="AM3925" t="str">
        <f t="shared" ca="1" si="388"/>
        <v/>
      </c>
    </row>
    <row r="3926" spans="27:39" x14ac:dyDescent="0.3">
      <c r="AA3926" t="str">
        <f>IF(COUNTA('Procyfloc AL200'!A427,'Procyfloc AL200'!B427,'Procyfloc AL200'!C427)&gt;0,"AL200","")</f>
        <v/>
      </c>
      <c r="AB3926" t="str">
        <f>IFERROR(IF(ISNUMBER('Procyfloc AL200'!A427),'Procyfloc AL200'!A427,DATEVALUE('Procyfloc AL200'!A427)),"")</f>
        <v/>
      </c>
      <c r="AC3926" t="str">
        <f>IF(AA3926="","",'Procyfloc AL200'!B427)</f>
        <v/>
      </c>
      <c r="AD3926" t="str">
        <f>IF(AA3926="","",IFERROR(1*'Procyfloc AL200'!C427,IFERROR(_xludf.NUMBERVALUE('Procyfloc AL200'!C427,".",","),IFERROR(_xludf.NUMBERVALUE('Procyfloc AL200'!C427,",","."),0))))</f>
        <v/>
      </c>
      <c r="AE3926" t="str">
        <f>IF(AA3926="","",'Procyfloc AL200'!K427)</f>
        <v/>
      </c>
      <c r="AF3926">
        <f t="shared" si="383"/>
        <v>0</v>
      </c>
      <c r="AG3926" t="str">
        <f t="shared" si="384"/>
        <v/>
      </c>
      <c r="AH3926" t="str">
        <f t="shared" si="385"/>
        <v/>
      </c>
      <c r="AI3926">
        <f t="shared" si="386"/>
        <v>0</v>
      </c>
      <c r="AJ3926">
        <f t="shared" si="387"/>
        <v>0</v>
      </c>
      <c r="AK3926">
        <v>0</v>
      </c>
      <c r="AL3926" t="str">
        <f>IF(AA3926="","",IFERROR(IF(ISNUMBER('Procyfloc AL200'!D427),'Procyfloc AL200'!D427,IF(ISNUMBER(SEARCH("12",'Procyfloc AL200'!D427)),EDATE(AB3926,12),IF(ISNUMBER(SEARCH("6",'Procyfloc AL200'!D427)),EDATE(AB3926,6),IF(ISNUMBER(SEARCH("3",'Procyfloc AL200'!D427)),EDATE(AB3926,3),DATEVALUE('Procyfloc AL200'!D427))))),""))</f>
        <v/>
      </c>
      <c r="AM3926" t="str">
        <f t="shared" ca="1" si="388"/>
        <v/>
      </c>
    </row>
    <row r="3927" spans="27:39" x14ac:dyDescent="0.3">
      <c r="AA3927" t="str">
        <f>IF(COUNTA('Procyfloc AL200'!A428,'Procyfloc AL200'!B428,'Procyfloc AL200'!C428)&gt;0,"AL200","")</f>
        <v/>
      </c>
      <c r="AB3927" t="str">
        <f>IFERROR(IF(ISNUMBER('Procyfloc AL200'!A428),'Procyfloc AL200'!A428,DATEVALUE('Procyfloc AL200'!A428)),"")</f>
        <v/>
      </c>
      <c r="AC3927" t="str">
        <f>IF(AA3927="","",'Procyfloc AL200'!B428)</f>
        <v/>
      </c>
      <c r="AD3927" t="str">
        <f>IF(AA3927="","",IFERROR(1*'Procyfloc AL200'!C428,IFERROR(_xludf.NUMBERVALUE('Procyfloc AL200'!C428,".",","),IFERROR(_xludf.NUMBERVALUE('Procyfloc AL200'!C428,",","."),0))))</f>
        <v/>
      </c>
      <c r="AE3927" t="str">
        <f>IF(AA3927="","",'Procyfloc AL200'!K428)</f>
        <v/>
      </c>
      <c r="AF3927">
        <f t="shared" si="383"/>
        <v>0</v>
      </c>
      <c r="AG3927" t="str">
        <f t="shared" si="384"/>
        <v/>
      </c>
      <c r="AH3927" t="str">
        <f t="shared" si="385"/>
        <v/>
      </c>
      <c r="AI3927">
        <f t="shared" si="386"/>
        <v>0</v>
      </c>
      <c r="AJ3927">
        <f t="shared" si="387"/>
        <v>0</v>
      </c>
      <c r="AK3927">
        <v>0</v>
      </c>
      <c r="AL3927" t="str">
        <f>IF(AA3927="","",IFERROR(IF(ISNUMBER('Procyfloc AL200'!D428),'Procyfloc AL200'!D428,IF(ISNUMBER(SEARCH("12",'Procyfloc AL200'!D428)),EDATE(AB3927,12),IF(ISNUMBER(SEARCH("6",'Procyfloc AL200'!D428)),EDATE(AB3927,6),IF(ISNUMBER(SEARCH("3",'Procyfloc AL200'!D428)),EDATE(AB3927,3),DATEVALUE('Procyfloc AL200'!D428))))),""))</f>
        <v/>
      </c>
      <c r="AM3927" t="str">
        <f t="shared" ca="1" si="388"/>
        <v/>
      </c>
    </row>
    <row r="3928" spans="27:39" x14ac:dyDescent="0.3">
      <c r="AA3928" t="str">
        <f>IF(COUNTA('Procyfloc AL200'!A429,'Procyfloc AL200'!B429,'Procyfloc AL200'!C429)&gt;0,"AL200","")</f>
        <v/>
      </c>
      <c r="AB3928" t="str">
        <f>IFERROR(IF(ISNUMBER('Procyfloc AL200'!A429),'Procyfloc AL200'!A429,DATEVALUE('Procyfloc AL200'!A429)),"")</f>
        <v/>
      </c>
      <c r="AC3928" t="str">
        <f>IF(AA3928="","",'Procyfloc AL200'!B429)</f>
        <v/>
      </c>
      <c r="AD3928" t="str">
        <f>IF(AA3928="","",IFERROR(1*'Procyfloc AL200'!C429,IFERROR(_xludf.NUMBERVALUE('Procyfloc AL200'!C429,".",","),IFERROR(_xludf.NUMBERVALUE('Procyfloc AL200'!C429,",","."),0))))</f>
        <v/>
      </c>
      <c r="AE3928" t="str">
        <f>IF(AA3928="","",'Procyfloc AL200'!K429)</f>
        <v/>
      </c>
      <c r="AF3928">
        <f t="shared" si="383"/>
        <v>0</v>
      </c>
      <c r="AG3928" t="str">
        <f t="shared" si="384"/>
        <v/>
      </c>
      <c r="AH3928" t="str">
        <f t="shared" si="385"/>
        <v/>
      </c>
      <c r="AI3928">
        <f t="shared" si="386"/>
        <v>0</v>
      </c>
      <c r="AJ3928">
        <f t="shared" si="387"/>
        <v>0</v>
      </c>
      <c r="AK3928">
        <v>0</v>
      </c>
      <c r="AL3928" t="str">
        <f>IF(AA3928="","",IFERROR(IF(ISNUMBER('Procyfloc AL200'!D429),'Procyfloc AL200'!D429,IF(ISNUMBER(SEARCH("12",'Procyfloc AL200'!D429)),EDATE(AB3928,12),IF(ISNUMBER(SEARCH("6",'Procyfloc AL200'!D429)),EDATE(AB3928,6),IF(ISNUMBER(SEARCH("3",'Procyfloc AL200'!D429)),EDATE(AB3928,3),DATEVALUE('Procyfloc AL200'!D429))))),""))</f>
        <v/>
      </c>
      <c r="AM3928" t="str">
        <f t="shared" ca="1" si="388"/>
        <v/>
      </c>
    </row>
    <row r="3929" spans="27:39" x14ac:dyDescent="0.3">
      <c r="AA3929" t="str">
        <f>IF(COUNTA('Procyfloc AL200'!A430,'Procyfloc AL200'!B430,'Procyfloc AL200'!C430)&gt;0,"AL200","")</f>
        <v/>
      </c>
      <c r="AB3929" t="str">
        <f>IFERROR(IF(ISNUMBER('Procyfloc AL200'!A430),'Procyfloc AL200'!A430,DATEVALUE('Procyfloc AL200'!A430)),"")</f>
        <v/>
      </c>
      <c r="AC3929" t="str">
        <f>IF(AA3929="","",'Procyfloc AL200'!B430)</f>
        <v/>
      </c>
      <c r="AD3929" t="str">
        <f>IF(AA3929="","",IFERROR(1*'Procyfloc AL200'!C430,IFERROR(_xludf.NUMBERVALUE('Procyfloc AL200'!C430,".",","),IFERROR(_xludf.NUMBERVALUE('Procyfloc AL200'!C430,",","."),0))))</f>
        <v/>
      </c>
      <c r="AE3929" t="str">
        <f>IF(AA3929="","",'Procyfloc AL200'!K430)</f>
        <v/>
      </c>
      <c r="AF3929">
        <f t="shared" si="383"/>
        <v>0</v>
      </c>
      <c r="AG3929" t="str">
        <f t="shared" si="384"/>
        <v/>
      </c>
      <c r="AH3929" t="str">
        <f t="shared" si="385"/>
        <v/>
      </c>
      <c r="AI3929">
        <f t="shared" si="386"/>
        <v>0</v>
      </c>
      <c r="AJ3929">
        <f t="shared" si="387"/>
        <v>0</v>
      </c>
      <c r="AK3929">
        <v>0</v>
      </c>
      <c r="AL3929" t="str">
        <f>IF(AA3929="","",IFERROR(IF(ISNUMBER('Procyfloc AL200'!D430),'Procyfloc AL200'!D430,IF(ISNUMBER(SEARCH("12",'Procyfloc AL200'!D430)),EDATE(AB3929,12),IF(ISNUMBER(SEARCH("6",'Procyfloc AL200'!D430)),EDATE(AB3929,6),IF(ISNUMBER(SEARCH("3",'Procyfloc AL200'!D430)),EDATE(AB3929,3),DATEVALUE('Procyfloc AL200'!D430))))),""))</f>
        <v/>
      </c>
      <c r="AM3929" t="str">
        <f t="shared" ca="1" si="388"/>
        <v/>
      </c>
    </row>
    <row r="3930" spans="27:39" x14ac:dyDescent="0.3">
      <c r="AA3930" t="str">
        <f>IF(COUNTA('Procyfloc AL200'!A431,'Procyfloc AL200'!B431,'Procyfloc AL200'!C431)&gt;0,"AL200","")</f>
        <v/>
      </c>
      <c r="AB3930" t="str">
        <f>IFERROR(IF(ISNUMBER('Procyfloc AL200'!A431),'Procyfloc AL200'!A431,DATEVALUE('Procyfloc AL200'!A431)),"")</f>
        <v/>
      </c>
      <c r="AC3930" t="str">
        <f>IF(AA3930="","",'Procyfloc AL200'!B431)</f>
        <v/>
      </c>
      <c r="AD3930" t="str">
        <f>IF(AA3930="","",IFERROR(1*'Procyfloc AL200'!C431,IFERROR(_xludf.NUMBERVALUE('Procyfloc AL200'!C431,".",","),IFERROR(_xludf.NUMBERVALUE('Procyfloc AL200'!C431,",","."),0))))</f>
        <v/>
      </c>
      <c r="AE3930" t="str">
        <f>IF(AA3930="","",'Procyfloc AL200'!K431)</f>
        <v/>
      </c>
      <c r="AF3930">
        <f t="shared" si="383"/>
        <v>0</v>
      </c>
      <c r="AG3930" t="str">
        <f t="shared" si="384"/>
        <v/>
      </c>
      <c r="AH3930" t="str">
        <f t="shared" si="385"/>
        <v/>
      </c>
      <c r="AI3930">
        <f t="shared" si="386"/>
        <v>0</v>
      </c>
      <c r="AJ3930">
        <f t="shared" si="387"/>
        <v>0</v>
      </c>
      <c r="AK3930">
        <v>0</v>
      </c>
      <c r="AL3930" t="str">
        <f>IF(AA3930="","",IFERROR(IF(ISNUMBER('Procyfloc AL200'!D431),'Procyfloc AL200'!D431,IF(ISNUMBER(SEARCH("12",'Procyfloc AL200'!D431)),EDATE(AB3930,12),IF(ISNUMBER(SEARCH("6",'Procyfloc AL200'!D431)),EDATE(AB3930,6),IF(ISNUMBER(SEARCH("3",'Procyfloc AL200'!D431)),EDATE(AB3930,3),DATEVALUE('Procyfloc AL200'!D431))))),""))</f>
        <v/>
      </c>
      <c r="AM3930" t="str">
        <f t="shared" ca="1" si="388"/>
        <v/>
      </c>
    </row>
    <row r="3931" spans="27:39" x14ac:dyDescent="0.3">
      <c r="AA3931" t="str">
        <f>IF(COUNTA('Procyfloc AL200'!A432,'Procyfloc AL200'!B432,'Procyfloc AL200'!C432)&gt;0,"AL200","")</f>
        <v/>
      </c>
      <c r="AB3931" t="str">
        <f>IFERROR(IF(ISNUMBER('Procyfloc AL200'!A432),'Procyfloc AL200'!A432,DATEVALUE('Procyfloc AL200'!A432)),"")</f>
        <v/>
      </c>
      <c r="AC3931" t="str">
        <f>IF(AA3931="","",'Procyfloc AL200'!B432)</f>
        <v/>
      </c>
      <c r="AD3931" t="str">
        <f>IF(AA3931="","",IFERROR(1*'Procyfloc AL200'!C432,IFERROR(_xludf.NUMBERVALUE('Procyfloc AL200'!C432,".",","),IFERROR(_xludf.NUMBERVALUE('Procyfloc AL200'!C432,",","."),0))))</f>
        <v/>
      </c>
      <c r="AE3931" t="str">
        <f>IF(AA3931="","",'Procyfloc AL200'!K432)</f>
        <v/>
      </c>
      <c r="AF3931">
        <f t="shared" si="383"/>
        <v>0</v>
      </c>
      <c r="AG3931" t="str">
        <f t="shared" si="384"/>
        <v/>
      </c>
      <c r="AH3931" t="str">
        <f t="shared" si="385"/>
        <v/>
      </c>
      <c r="AI3931">
        <f t="shared" si="386"/>
        <v>0</v>
      </c>
      <c r="AJ3931">
        <f t="shared" si="387"/>
        <v>0</v>
      </c>
      <c r="AK3931">
        <v>0</v>
      </c>
      <c r="AL3931" t="str">
        <f>IF(AA3931="","",IFERROR(IF(ISNUMBER('Procyfloc AL200'!D432),'Procyfloc AL200'!D432,IF(ISNUMBER(SEARCH("12",'Procyfloc AL200'!D432)),EDATE(AB3931,12),IF(ISNUMBER(SEARCH("6",'Procyfloc AL200'!D432)),EDATE(AB3931,6),IF(ISNUMBER(SEARCH("3",'Procyfloc AL200'!D432)),EDATE(AB3931,3),DATEVALUE('Procyfloc AL200'!D432))))),""))</f>
        <v/>
      </c>
      <c r="AM3931" t="str">
        <f t="shared" ca="1" si="388"/>
        <v/>
      </c>
    </row>
    <row r="3932" spans="27:39" x14ac:dyDescent="0.3">
      <c r="AA3932" t="str">
        <f>IF(COUNTA('Procyfloc AL200'!A433,'Procyfloc AL200'!B433,'Procyfloc AL200'!C433)&gt;0,"AL200","")</f>
        <v/>
      </c>
      <c r="AB3932" t="str">
        <f>IFERROR(IF(ISNUMBER('Procyfloc AL200'!A433),'Procyfloc AL200'!A433,DATEVALUE('Procyfloc AL200'!A433)),"")</f>
        <v/>
      </c>
      <c r="AC3932" t="str">
        <f>IF(AA3932="","",'Procyfloc AL200'!B433)</f>
        <v/>
      </c>
      <c r="AD3932" t="str">
        <f>IF(AA3932="","",IFERROR(1*'Procyfloc AL200'!C433,IFERROR(_xludf.NUMBERVALUE('Procyfloc AL200'!C433,".",","),IFERROR(_xludf.NUMBERVALUE('Procyfloc AL200'!C433,",","."),0))))</f>
        <v/>
      </c>
      <c r="AE3932" t="str">
        <f>IF(AA3932="","",'Procyfloc AL200'!K433)</f>
        <v/>
      </c>
      <c r="AF3932">
        <f t="shared" si="383"/>
        <v>0</v>
      </c>
      <c r="AG3932" t="str">
        <f t="shared" si="384"/>
        <v/>
      </c>
      <c r="AH3932" t="str">
        <f t="shared" si="385"/>
        <v/>
      </c>
      <c r="AI3932">
        <f t="shared" si="386"/>
        <v>0</v>
      </c>
      <c r="AJ3932">
        <f t="shared" si="387"/>
        <v>0</v>
      </c>
      <c r="AK3932">
        <v>0</v>
      </c>
      <c r="AL3932" t="str">
        <f>IF(AA3932="","",IFERROR(IF(ISNUMBER('Procyfloc AL200'!D433),'Procyfloc AL200'!D433,IF(ISNUMBER(SEARCH("12",'Procyfloc AL200'!D433)),EDATE(AB3932,12),IF(ISNUMBER(SEARCH("6",'Procyfloc AL200'!D433)),EDATE(AB3932,6),IF(ISNUMBER(SEARCH("3",'Procyfloc AL200'!D433)),EDATE(AB3932,3),DATEVALUE('Procyfloc AL200'!D433))))),""))</f>
        <v/>
      </c>
      <c r="AM3932" t="str">
        <f t="shared" ca="1" si="388"/>
        <v/>
      </c>
    </row>
    <row r="3933" spans="27:39" x14ac:dyDescent="0.3">
      <c r="AA3933" t="str">
        <f>IF(COUNTA('Procyfloc AL200'!A434,'Procyfloc AL200'!B434,'Procyfloc AL200'!C434)&gt;0,"AL200","")</f>
        <v/>
      </c>
      <c r="AB3933" t="str">
        <f>IFERROR(IF(ISNUMBER('Procyfloc AL200'!A434),'Procyfloc AL200'!A434,DATEVALUE('Procyfloc AL200'!A434)),"")</f>
        <v/>
      </c>
      <c r="AC3933" t="str">
        <f>IF(AA3933="","",'Procyfloc AL200'!B434)</f>
        <v/>
      </c>
      <c r="AD3933" t="str">
        <f>IF(AA3933="","",IFERROR(1*'Procyfloc AL200'!C434,IFERROR(_xludf.NUMBERVALUE('Procyfloc AL200'!C434,".",","),IFERROR(_xludf.NUMBERVALUE('Procyfloc AL200'!C434,",","."),0))))</f>
        <v/>
      </c>
      <c r="AE3933" t="str">
        <f>IF(AA3933="","",'Procyfloc AL200'!K434)</f>
        <v/>
      </c>
      <c r="AF3933">
        <f t="shared" si="383"/>
        <v>0</v>
      </c>
      <c r="AG3933" t="str">
        <f t="shared" si="384"/>
        <v/>
      </c>
      <c r="AH3933" t="str">
        <f t="shared" si="385"/>
        <v/>
      </c>
      <c r="AI3933">
        <f t="shared" si="386"/>
        <v>0</v>
      </c>
      <c r="AJ3933">
        <f t="shared" si="387"/>
        <v>0</v>
      </c>
      <c r="AK3933">
        <v>0</v>
      </c>
      <c r="AL3933" t="str">
        <f>IF(AA3933="","",IFERROR(IF(ISNUMBER('Procyfloc AL200'!D434),'Procyfloc AL200'!D434,IF(ISNUMBER(SEARCH("12",'Procyfloc AL200'!D434)),EDATE(AB3933,12),IF(ISNUMBER(SEARCH("6",'Procyfloc AL200'!D434)),EDATE(AB3933,6),IF(ISNUMBER(SEARCH("3",'Procyfloc AL200'!D434)),EDATE(AB3933,3),DATEVALUE('Procyfloc AL200'!D434))))),""))</f>
        <v/>
      </c>
      <c r="AM3933" t="str">
        <f t="shared" ca="1" si="388"/>
        <v/>
      </c>
    </row>
    <row r="3934" spans="27:39" x14ac:dyDescent="0.3">
      <c r="AA3934" t="str">
        <f>IF(COUNTA('Procyfloc AL200'!A435,'Procyfloc AL200'!B435,'Procyfloc AL200'!C435)&gt;0,"AL200","")</f>
        <v/>
      </c>
      <c r="AB3934" t="str">
        <f>IFERROR(IF(ISNUMBER('Procyfloc AL200'!A435),'Procyfloc AL200'!A435,DATEVALUE('Procyfloc AL200'!A435)),"")</f>
        <v/>
      </c>
      <c r="AC3934" t="str">
        <f>IF(AA3934="","",'Procyfloc AL200'!B435)</f>
        <v/>
      </c>
      <c r="AD3934" t="str">
        <f>IF(AA3934="","",IFERROR(1*'Procyfloc AL200'!C435,IFERROR(_xludf.NUMBERVALUE('Procyfloc AL200'!C435,".",","),IFERROR(_xludf.NUMBERVALUE('Procyfloc AL200'!C435,",","."),0))))</f>
        <v/>
      </c>
      <c r="AE3934" t="str">
        <f>IF(AA3934="","",'Procyfloc AL200'!K435)</f>
        <v/>
      </c>
      <c r="AF3934">
        <f t="shared" si="383"/>
        <v>0</v>
      </c>
      <c r="AG3934" t="str">
        <f t="shared" si="384"/>
        <v/>
      </c>
      <c r="AH3934" t="str">
        <f t="shared" si="385"/>
        <v/>
      </c>
      <c r="AI3934">
        <f t="shared" si="386"/>
        <v>0</v>
      </c>
      <c r="AJ3934">
        <f t="shared" si="387"/>
        <v>0</v>
      </c>
      <c r="AK3934">
        <v>0</v>
      </c>
      <c r="AL3934" t="str">
        <f>IF(AA3934="","",IFERROR(IF(ISNUMBER('Procyfloc AL200'!D435),'Procyfloc AL200'!D435,IF(ISNUMBER(SEARCH("12",'Procyfloc AL200'!D435)),EDATE(AB3934,12),IF(ISNUMBER(SEARCH("6",'Procyfloc AL200'!D435)),EDATE(AB3934,6),IF(ISNUMBER(SEARCH("3",'Procyfloc AL200'!D435)),EDATE(AB3934,3),DATEVALUE('Procyfloc AL200'!D435))))),""))</f>
        <v/>
      </c>
      <c r="AM3934" t="str">
        <f t="shared" ca="1" si="388"/>
        <v/>
      </c>
    </row>
    <row r="3935" spans="27:39" x14ac:dyDescent="0.3">
      <c r="AA3935" t="str">
        <f>IF(COUNTA('Procyfloc AL200'!A436,'Procyfloc AL200'!B436,'Procyfloc AL200'!C436)&gt;0,"AL200","")</f>
        <v/>
      </c>
      <c r="AB3935" t="str">
        <f>IFERROR(IF(ISNUMBER('Procyfloc AL200'!A436),'Procyfloc AL200'!A436,DATEVALUE('Procyfloc AL200'!A436)),"")</f>
        <v/>
      </c>
      <c r="AC3935" t="str">
        <f>IF(AA3935="","",'Procyfloc AL200'!B436)</f>
        <v/>
      </c>
      <c r="AD3935" t="str">
        <f>IF(AA3935="","",IFERROR(1*'Procyfloc AL200'!C436,IFERROR(_xludf.NUMBERVALUE('Procyfloc AL200'!C436,".",","),IFERROR(_xludf.NUMBERVALUE('Procyfloc AL200'!C436,",","."),0))))</f>
        <v/>
      </c>
      <c r="AE3935" t="str">
        <f>IF(AA3935="","",'Procyfloc AL200'!K436)</f>
        <v/>
      </c>
      <c r="AF3935">
        <f t="shared" si="383"/>
        <v>0</v>
      </c>
      <c r="AG3935" t="str">
        <f t="shared" si="384"/>
        <v/>
      </c>
      <c r="AH3935" t="str">
        <f t="shared" si="385"/>
        <v/>
      </c>
      <c r="AI3935">
        <f t="shared" si="386"/>
        <v>0</v>
      </c>
      <c r="AJ3935">
        <f t="shared" si="387"/>
        <v>0</v>
      </c>
      <c r="AK3935">
        <v>0</v>
      </c>
      <c r="AL3935" t="str">
        <f>IF(AA3935="","",IFERROR(IF(ISNUMBER('Procyfloc AL200'!D436),'Procyfloc AL200'!D436,IF(ISNUMBER(SEARCH("12",'Procyfloc AL200'!D436)),EDATE(AB3935,12),IF(ISNUMBER(SEARCH("6",'Procyfloc AL200'!D436)),EDATE(AB3935,6),IF(ISNUMBER(SEARCH("3",'Procyfloc AL200'!D436)),EDATE(AB3935,3),DATEVALUE('Procyfloc AL200'!D436))))),""))</f>
        <v/>
      </c>
      <c r="AM3935" t="str">
        <f t="shared" ca="1" si="388"/>
        <v/>
      </c>
    </row>
    <row r="3936" spans="27:39" x14ac:dyDescent="0.3">
      <c r="AA3936" t="str">
        <f>IF(COUNTA('Procyfloc AL200'!A437,'Procyfloc AL200'!B437,'Procyfloc AL200'!C437)&gt;0,"AL200","")</f>
        <v/>
      </c>
      <c r="AB3936" t="str">
        <f>IFERROR(IF(ISNUMBER('Procyfloc AL200'!A437),'Procyfloc AL200'!A437,DATEVALUE('Procyfloc AL200'!A437)),"")</f>
        <v/>
      </c>
      <c r="AC3936" t="str">
        <f>IF(AA3936="","",'Procyfloc AL200'!B437)</f>
        <v/>
      </c>
      <c r="AD3936" t="str">
        <f>IF(AA3936="","",IFERROR(1*'Procyfloc AL200'!C437,IFERROR(_xludf.NUMBERVALUE('Procyfloc AL200'!C437,".",","),IFERROR(_xludf.NUMBERVALUE('Procyfloc AL200'!C437,",","."),0))))</f>
        <v/>
      </c>
      <c r="AE3936" t="str">
        <f>IF(AA3936="","",'Procyfloc AL200'!K437)</f>
        <v/>
      </c>
      <c r="AF3936">
        <f t="shared" si="383"/>
        <v>0</v>
      </c>
      <c r="AG3936" t="str">
        <f t="shared" si="384"/>
        <v/>
      </c>
      <c r="AH3936" t="str">
        <f t="shared" si="385"/>
        <v/>
      </c>
      <c r="AI3936">
        <f t="shared" si="386"/>
        <v>0</v>
      </c>
      <c r="AJ3936">
        <f t="shared" si="387"/>
        <v>0</v>
      </c>
      <c r="AK3936">
        <v>0</v>
      </c>
      <c r="AL3936" t="str">
        <f>IF(AA3936="","",IFERROR(IF(ISNUMBER('Procyfloc AL200'!D437),'Procyfloc AL200'!D437,IF(ISNUMBER(SEARCH("12",'Procyfloc AL200'!D437)),EDATE(AB3936,12),IF(ISNUMBER(SEARCH("6",'Procyfloc AL200'!D437)),EDATE(AB3936,6),IF(ISNUMBER(SEARCH("3",'Procyfloc AL200'!D437)),EDATE(AB3936,3),DATEVALUE('Procyfloc AL200'!D437))))),""))</f>
        <v/>
      </c>
      <c r="AM3936" t="str">
        <f t="shared" ca="1" si="388"/>
        <v/>
      </c>
    </row>
    <row r="3937" spans="27:39" x14ac:dyDescent="0.3">
      <c r="AA3937" t="str">
        <f>IF(COUNTA('Procyfloc AL200'!A438,'Procyfloc AL200'!B438,'Procyfloc AL200'!C438)&gt;0,"AL200","")</f>
        <v/>
      </c>
      <c r="AB3937" t="str">
        <f>IFERROR(IF(ISNUMBER('Procyfloc AL200'!A438),'Procyfloc AL200'!A438,DATEVALUE('Procyfloc AL200'!A438)),"")</f>
        <v/>
      </c>
      <c r="AC3937" t="str">
        <f>IF(AA3937="","",'Procyfloc AL200'!B438)</f>
        <v/>
      </c>
      <c r="AD3937" t="str">
        <f>IF(AA3937="","",IFERROR(1*'Procyfloc AL200'!C438,IFERROR(_xludf.NUMBERVALUE('Procyfloc AL200'!C438,".",","),IFERROR(_xludf.NUMBERVALUE('Procyfloc AL200'!C438,",","."),0))))</f>
        <v/>
      </c>
      <c r="AE3937" t="str">
        <f>IF(AA3937="","",'Procyfloc AL200'!K438)</f>
        <v/>
      </c>
      <c r="AF3937">
        <f t="shared" si="383"/>
        <v>0</v>
      </c>
      <c r="AG3937" t="str">
        <f t="shared" si="384"/>
        <v/>
      </c>
      <c r="AH3937" t="str">
        <f t="shared" si="385"/>
        <v/>
      </c>
      <c r="AI3937">
        <f t="shared" si="386"/>
        <v>0</v>
      </c>
      <c r="AJ3937">
        <f t="shared" si="387"/>
        <v>0</v>
      </c>
      <c r="AK3937">
        <v>0</v>
      </c>
      <c r="AL3937" t="str">
        <f>IF(AA3937="","",IFERROR(IF(ISNUMBER('Procyfloc AL200'!D438),'Procyfloc AL200'!D438,IF(ISNUMBER(SEARCH("12",'Procyfloc AL200'!D438)),EDATE(AB3937,12),IF(ISNUMBER(SEARCH("6",'Procyfloc AL200'!D438)),EDATE(AB3937,6),IF(ISNUMBER(SEARCH("3",'Procyfloc AL200'!D438)),EDATE(AB3937,3),DATEVALUE('Procyfloc AL200'!D438))))),""))</f>
        <v/>
      </c>
      <c r="AM3937" t="str">
        <f t="shared" ca="1" si="388"/>
        <v/>
      </c>
    </row>
    <row r="3938" spans="27:39" x14ac:dyDescent="0.3">
      <c r="AA3938" t="str">
        <f>IF(COUNTA('Procyfloc AL200'!A439,'Procyfloc AL200'!B439,'Procyfloc AL200'!C439)&gt;0,"AL200","")</f>
        <v/>
      </c>
      <c r="AB3938" t="str">
        <f>IFERROR(IF(ISNUMBER('Procyfloc AL200'!A439),'Procyfloc AL200'!A439,DATEVALUE('Procyfloc AL200'!A439)),"")</f>
        <v/>
      </c>
      <c r="AC3938" t="str">
        <f>IF(AA3938="","",'Procyfloc AL200'!B439)</f>
        <v/>
      </c>
      <c r="AD3938" t="str">
        <f>IF(AA3938="","",IFERROR(1*'Procyfloc AL200'!C439,IFERROR(_xludf.NUMBERVALUE('Procyfloc AL200'!C439,".",","),IFERROR(_xludf.NUMBERVALUE('Procyfloc AL200'!C439,",","."),0))))</f>
        <v/>
      </c>
      <c r="AE3938" t="str">
        <f>IF(AA3938="","",'Procyfloc AL200'!K439)</f>
        <v/>
      </c>
      <c r="AF3938">
        <f t="shared" si="383"/>
        <v>0</v>
      </c>
      <c r="AG3938" t="str">
        <f t="shared" si="384"/>
        <v/>
      </c>
      <c r="AH3938" t="str">
        <f t="shared" si="385"/>
        <v/>
      </c>
      <c r="AI3938">
        <f t="shared" si="386"/>
        <v>0</v>
      </c>
      <c r="AJ3938">
        <f t="shared" si="387"/>
        <v>0</v>
      </c>
      <c r="AK3938">
        <v>0</v>
      </c>
      <c r="AL3938" t="str">
        <f>IF(AA3938="","",IFERROR(IF(ISNUMBER('Procyfloc AL200'!D439),'Procyfloc AL200'!D439,IF(ISNUMBER(SEARCH("12",'Procyfloc AL200'!D439)),EDATE(AB3938,12),IF(ISNUMBER(SEARCH("6",'Procyfloc AL200'!D439)),EDATE(AB3938,6),IF(ISNUMBER(SEARCH("3",'Procyfloc AL200'!D439)),EDATE(AB3938,3),DATEVALUE('Procyfloc AL200'!D439))))),""))</f>
        <v/>
      </c>
      <c r="AM3938" t="str">
        <f t="shared" ca="1" si="388"/>
        <v/>
      </c>
    </row>
    <row r="3939" spans="27:39" x14ac:dyDescent="0.3">
      <c r="AA3939" t="str">
        <f>IF(COUNTA('Procyfloc AL200'!A440,'Procyfloc AL200'!B440,'Procyfloc AL200'!C440)&gt;0,"AL200","")</f>
        <v/>
      </c>
      <c r="AB3939" t="str">
        <f>IFERROR(IF(ISNUMBER('Procyfloc AL200'!A440),'Procyfloc AL200'!A440,DATEVALUE('Procyfloc AL200'!A440)),"")</f>
        <v/>
      </c>
      <c r="AC3939" t="str">
        <f>IF(AA3939="","",'Procyfloc AL200'!B440)</f>
        <v/>
      </c>
      <c r="AD3939" t="str">
        <f>IF(AA3939="","",IFERROR(1*'Procyfloc AL200'!C440,IFERROR(_xludf.NUMBERVALUE('Procyfloc AL200'!C440,".",","),IFERROR(_xludf.NUMBERVALUE('Procyfloc AL200'!C440,",","."),0))))</f>
        <v/>
      </c>
      <c r="AE3939" t="str">
        <f>IF(AA3939="","",'Procyfloc AL200'!K440)</f>
        <v/>
      </c>
      <c r="AF3939">
        <f t="shared" si="383"/>
        <v>0</v>
      </c>
      <c r="AG3939" t="str">
        <f t="shared" si="384"/>
        <v/>
      </c>
      <c r="AH3939" t="str">
        <f t="shared" si="385"/>
        <v/>
      </c>
      <c r="AI3939">
        <f t="shared" si="386"/>
        <v>0</v>
      </c>
      <c r="AJ3939">
        <f t="shared" si="387"/>
        <v>0</v>
      </c>
      <c r="AK3939">
        <v>0</v>
      </c>
      <c r="AL3939" t="str">
        <f>IF(AA3939="","",IFERROR(IF(ISNUMBER('Procyfloc AL200'!D440),'Procyfloc AL200'!D440,IF(ISNUMBER(SEARCH("12",'Procyfloc AL200'!D440)),EDATE(AB3939,12),IF(ISNUMBER(SEARCH("6",'Procyfloc AL200'!D440)),EDATE(AB3939,6),IF(ISNUMBER(SEARCH("3",'Procyfloc AL200'!D440)),EDATE(AB3939,3),DATEVALUE('Procyfloc AL200'!D440))))),""))</f>
        <v/>
      </c>
      <c r="AM3939" t="str">
        <f t="shared" ca="1" si="388"/>
        <v/>
      </c>
    </row>
    <row r="3940" spans="27:39" x14ac:dyDescent="0.3">
      <c r="AA3940" t="str">
        <f>IF(COUNTA('Procyfloc AL200'!A441,'Procyfloc AL200'!B441,'Procyfloc AL200'!C441)&gt;0,"AL200","")</f>
        <v/>
      </c>
      <c r="AB3940" t="str">
        <f>IFERROR(IF(ISNUMBER('Procyfloc AL200'!A441),'Procyfloc AL200'!A441,DATEVALUE('Procyfloc AL200'!A441)),"")</f>
        <v/>
      </c>
      <c r="AC3940" t="str">
        <f>IF(AA3940="","",'Procyfloc AL200'!B441)</f>
        <v/>
      </c>
      <c r="AD3940" t="str">
        <f>IF(AA3940="","",IFERROR(1*'Procyfloc AL200'!C441,IFERROR(_xludf.NUMBERVALUE('Procyfloc AL200'!C441,".",","),IFERROR(_xludf.NUMBERVALUE('Procyfloc AL200'!C441,",","."),0))))</f>
        <v/>
      </c>
      <c r="AE3940" t="str">
        <f>IF(AA3940="","",'Procyfloc AL200'!K441)</f>
        <v/>
      </c>
      <c r="AF3940">
        <f t="shared" si="383"/>
        <v>0</v>
      </c>
      <c r="AG3940" t="str">
        <f t="shared" si="384"/>
        <v/>
      </c>
      <c r="AH3940" t="str">
        <f t="shared" si="385"/>
        <v/>
      </c>
      <c r="AI3940">
        <f t="shared" si="386"/>
        <v>0</v>
      </c>
      <c r="AJ3940">
        <f t="shared" si="387"/>
        <v>0</v>
      </c>
      <c r="AK3940">
        <v>0</v>
      </c>
      <c r="AL3940" t="str">
        <f>IF(AA3940="","",IFERROR(IF(ISNUMBER('Procyfloc AL200'!D441),'Procyfloc AL200'!D441,IF(ISNUMBER(SEARCH("12",'Procyfloc AL200'!D441)),EDATE(AB3940,12),IF(ISNUMBER(SEARCH("6",'Procyfloc AL200'!D441)),EDATE(AB3940,6),IF(ISNUMBER(SEARCH("3",'Procyfloc AL200'!D441)),EDATE(AB3940,3),DATEVALUE('Procyfloc AL200'!D441))))),""))</f>
        <v/>
      </c>
      <c r="AM3940" t="str">
        <f t="shared" ca="1" si="388"/>
        <v/>
      </c>
    </row>
    <row r="3941" spans="27:39" x14ac:dyDescent="0.3">
      <c r="AA3941" t="str">
        <f>IF(COUNTA('Procyfloc AL200'!A442,'Procyfloc AL200'!B442,'Procyfloc AL200'!C442)&gt;0,"AL200","")</f>
        <v/>
      </c>
      <c r="AB3941" t="str">
        <f>IFERROR(IF(ISNUMBER('Procyfloc AL200'!A442),'Procyfloc AL200'!A442,DATEVALUE('Procyfloc AL200'!A442)),"")</f>
        <v/>
      </c>
      <c r="AC3941" t="str">
        <f>IF(AA3941="","",'Procyfloc AL200'!B442)</f>
        <v/>
      </c>
      <c r="AD3941" t="str">
        <f>IF(AA3941="","",IFERROR(1*'Procyfloc AL200'!C442,IFERROR(_xludf.NUMBERVALUE('Procyfloc AL200'!C442,".",","),IFERROR(_xludf.NUMBERVALUE('Procyfloc AL200'!C442,",","."),0))))</f>
        <v/>
      </c>
      <c r="AE3941" t="str">
        <f>IF(AA3941="","",'Procyfloc AL200'!K442)</f>
        <v/>
      </c>
      <c r="AF3941">
        <f t="shared" si="383"/>
        <v>0</v>
      </c>
      <c r="AG3941" t="str">
        <f t="shared" si="384"/>
        <v/>
      </c>
      <c r="AH3941" t="str">
        <f t="shared" si="385"/>
        <v/>
      </c>
      <c r="AI3941">
        <f t="shared" si="386"/>
        <v>0</v>
      </c>
      <c r="AJ3941">
        <f t="shared" si="387"/>
        <v>0</v>
      </c>
      <c r="AK3941">
        <v>0</v>
      </c>
      <c r="AL3941" t="str">
        <f>IF(AA3941="","",IFERROR(IF(ISNUMBER('Procyfloc AL200'!D442),'Procyfloc AL200'!D442,IF(ISNUMBER(SEARCH("12",'Procyfloc AL200'!D442)),EDATE(AB3941,12),IF(ISNUMBER(SEARCH("6",'Procyfloc AL200'!D442)),EDATE(AB3941,6),IF(ISNUMBER(SEARCH("3",'Procyfloc AL200'!D442)),EDATE(AB3941,3),DATEVALUE('Procyfloc AL200'!D442))))),""))</f>
        <v/>
      </c>
      <c r="AM3941" t="str">
        <f t="shared" ca="1" si="388"/>
        <v/>
      </c>
    </row>
    <row r="3942" spans="27:39" x14ac:dyDescent="0.3">
      <c r="AA3942" t="str">
        <f>IF(COUNTA('Procyfloc AL200'!A443,'Procyfloc AL200'!B443,'Procyfloc AL200'!C443)&gt;0,"AL200","")</f>
        <v/>
      </c>
      <c r="AB3942" t="str">
        <f>IFERROR(IF(ISNUMBER('Procyfloc AL200'!A443),'Procyfloc AL200'!A443,DATEVALUE('Procyfloc AL200'!A443)),"")</f>
        <v/>
      </c>
      <c r="AC3942" t="str">
        <f>IF(AA3942="","",'Procyfloc AL200'!B443)</f>
        <v/>
      </c>
      <c r="AD3942" t="str">
        <f>IF(AA3942="","",IFERROR(1*'Procyfloc AL200'!C443,IFERROR(_xludf.NUMBERVALUE('Procyfloc AL200'!C443,".",","),IFERROR(_xludf.NUMBERVALUE('Procyfloc AL200'!C443,",","."),0))))</f>
        <v/>
      </c>
      <c r="AE3942" t="str">
        <f>IF(AA3942="","",'Procyfloc AL200'!K443)</f>
        <v/>
      </c>
      <c r="AF3942">
        <f t="shared" si="383"/>
        <v>0</v>
      </c>
      <c r="AG3942" t="str">
        <f t="shared" si="384"/>
        <v/>
      </c>
      <c r="AH3942" t="str">
        <f t="shared" si="385"/>
        <v/>
      </c>
      <c r="AI3942">
        <f t="shared" si="386"/>
        <v>0</v>
      </c>
      <c r="AJ3942">
        <f t="shared" si="387"/>
        <v>0</v>
      </c>
      <c r="AK3942">
        <v>0</v>
      </c>
      <c r="AL3942" t="str">
        <f>IF(AA3942="","",IFERROR(IF(ISNUMBER('Procyfloc AL200'!D443),'Procyfloc AL200'!D443,IF(ISNUMBER(SEARCH("12",'Procyfloc AL200'!D443)),EDATE(AB3942,12),IF(ISNUMBER(SEARCH("6",'Procyfloc AL200'!D443)),EDATE(AB3942,6),IF(ISNUMBER(SEARCH("3",'Procyfloc AL200'!D443)),EDATE(AB3942,3),DATEVALUE('Procyfloc AL200'!D443))))),""))</f>
        <v/>
      </c>
      <c r="AM3942" t="str">
        <f t="shared" ca="1" si="388"/>
        <v/>
      </c>
    </row>
    <row r="3943" spans="27:39" x14ac:dyDescent="0.3">
      <c r="AA3943" t="str">
        <f>IF(COUNTA('Procyfloc AL200'!A444,'Procyfloc AL200'!B444,'Procyfloc AL200'!C444)&gt;0,"AL200","")</f>
        <v/>
      </c>
      <c r="AB3943" t="str">
        <f>IFERROR(IF(ISNUMBER('Procyfloc AL200'!A444),'Procyfloc AL200'!A444,DATEVALUE('Procyfloc AL200'!A444)),"")</f>
        <v/>
      </c>
      <c r="AC3943" t="str">
        <f>IF(AA3943="","",'Procyfloc AL200'!B444)</f>
        <v/>
      </c>
      <c r="AD3943" t="str">
        <f>IF(AA3943="","",IFERROR(1*'Procyfloc AL200'!C444,IFERROR(_xludf.NUMBERVALUE('Procyfloc AL200'!C444,".",","),IFERROR(_xludf.NUMBERVALUE('Procyfloc AL200'!C444,",","."),0))))</f>
        <v/>
      </c>
      <c r="AE3943" t="str">
        <f>IF(AA3943="","",'Procyfloc AL200'!K444)</f>
        <v/>
      </c>
      <c r="AF3943">
        <f t="shared" si="383"/>
        <v>0</v>
      </c>
      <c r="AG3943" t="str">
        <f t="shared" si="384"/>
        <v/>
      </c>
      <c r="AH3943" t="str">
        <f t="shared" si="385"/>
        <v/>
      </c>
      <c r="AI3943">
        <f t="shared" si="386"/>
        <v>0</v>
      </c>
      <c r="AJ3943">
        <f t="shared" si="387"/>
        <v>0</v>
      </c>
      <c r="AK3943">
        <v>0</v>
      </c>
      <c r="AL3943" t="str">
        <f>IF(AA3943="","",IFERROR(IF(ISNUMBER('Procyfloc AL200'!D444),'Procyfloc AL200'!D444,IF(ISNUMBER(SEARCH("12",'Procyfloc AL200'!D444)),EDATE(AB3943,12),IF(ISNUMBER(SEARCH("6",'Procyfloc AL200'!D444)),EDATE(AB3943,6),IF(ISNUMBER(SEARCH("3",'Procyfloc AL200'!D444)),EDATE(AB3943,3),DATEVALUE('Procyfloc AL200'!D444))))),""))</f>
        <v/>
      </c>
      <c r="AM3943" t="str">
        <f t="shared" ca="1" si="388"/>
        <v/>
      </c>
    </row>
    <row r="3944" spans="27:39" x14ac:dyDescent="0.3">
      <c r="AA3944" t="str">
        <f>IF(COUNTA('Procyfloc AL200'!A445,'Procyfloc AL200'!B445,'Procyfloc AL200'!C445)&gt;0,"AL200","")</f>
        <v/>
      </c>
      <c r="AB3944" t="str">
        <f>IFERROR(IF(ISNUMBER('Procyfloc AL200'!A445),'Procyfloc AL200'!A445,DATEVALUE('Procyfloc AL200'!A445)),"")</f>
        <v/>
      </c>
      <c r="AC3944" t="str">
        <f>IF(AA3944="","",'Procyfloc AL200'!B445)</f>
        <v/>
      </c>
      <c r="AD3944" t="str">
        <f>IF(AA3944="","",IFERROR(1*'Procyfloc AL200'!C445,IFERROR(_xludf.NUMBERVALUE('Procyfloc AL200'!C445,".",","),IFERROR(_xludf.NUMBERVALUE('Procyfloc AL200'!C445,",","."),0))))</f>
        <v/>
      </c>
      <c r="AE3944" t="str">
        <f>IF(AA3944="","",'Procyfloc AL200'!K445)</f>
        <v/>
      </c>
      <c r="AF3944">
        <f t="shared" si="383"/>
        <v>0</v>
      </c>
      <c r="AG3944" t="str">
        <f t="shared" si="384"/>
        <v/>
      </c>
      <c r="AH3944" t="str">
        <f t="shared" si="385"/>
        <v/>
      </c>
      <c r="AI3944">
        <f t="shared" si="386"/>
        <v>0</v>
      </c>
      <c r="AJ3944">
        <f t="shared" si="387"/>
        <v>0</v>
      </c>
      <c r="AK3944">
        <v>0</v>
      </c>
      <c r="AL3944" t="str">
        <f>IF(AA3944="","",IFERROR(IF(ISNUMBER('Procyfloc AL200'!D445),'Procyfloc AL200'!D445,IF(ISNUMBER(SEARCH("12",'Procyfloc AL200'!D445)),EDATE(AB3944,12),IF(ISNUMBER(SEARCH("6",'Procyfloc AL200'!D445)),EDATE(AB3944,6),IF(ISNUMBER(SEARCH("3",'Procyfloc AL200'!D445)),EDATE(AB3944,3),DATEVALUE('Procyfloc AL200'!D445))))),""))</f>
        <v/>
      </c>
      <c r="AM3944" t="str">
        <f t="shared" ca="1" si="388"/>
        <v/>
      </c>
    </row>
    <row r="3945" spans="27:39" x14ac:dyDescent="0.3">
      <c r="AA3945" t="str">
        <f>IF(COUNTA('Procyfloc AL200'!A446,'Procyfloc AL200'!B446,'Procyfloc AL200'!C446)&gt;0,"AL200","")</f>
        <v/>
      </c>
      <c r="AB3945" t="str">
        <f>IFERROR(IF(ISNUMBER('Procyfloc AL200'!A446),'Procyfloc AL200'!A446,DATEVALUE('Procyfloc AL200'!A446)),"")</f>
        <v/>
      </c>
      <c r="AC3945" t="str">
        <f>IF(AA3945="","",'Procyfloc AL200'!B446)</f>
        <v/>
      </c>
      <c r="AD3945" t="str">
        <f>IF(AA3945="","",IFERROR(1*'Procyfloc AL200'!C446,IFERROR(_xludf.NUMBERVALUE('Procyfloc AL200'!C446,".",","),IFERROR(_xludf.NUMBERVALUE('Procyfloc AL200'!C446,",","."),0))))</f>
        <v/>
      </c>
      <c r="AE3945" t="str">
        <f>IF(AA3945="","",'Procyfloc AL200'!K446)</f>
        <v/>
      </c>
      <c r="AF3945">
        <f t="shared" si="383"/>
        <v>0</v>
      </c>
      <c r="AG3945" t="str">
        <f t="shared" si="384"/>
        <v/>
      </c>
      <c r="AH3945" t="str">
        <f t="shared" si="385"/>
        <v/>
      </c>
      <c r="AI3945">
        <f t="shared" si="386"/>
        <v>0</v>
      </c>
      <c r="AJ3945">
        <f t="shared" si="387"/>
        <v>0</v>
      </c>
      <c r="AK3945">
        <v>0</v>
      </c>
      <c r="AL3945" t="str">
        <f>IF(AA3945="","",IFERROR(IF(ISNUMBER('Procyfloc AL200'!D446),'Procyfloc AL200'!D446,IF(ISNUMBER(SEARCH("12",'Procyfloc AL200'!D446)),EDATE(AB3945,12),IF(ISNUMBER(SEARCH("6",'Procyfloc AL200'!D446)),EDATE(AB3945,6),IF(ISNUMBER(SEARCH("3",'Procyfloc AL200'!D446)),EDATE(AB3945,3),DATEVALUE('Procyfloc AL200'!D446))))),""))</f>
        <v/>
      </c>
      <c r="AM3945" t="str">
        <f t="shared" ca="1" si="388"/>
        <v/>
      </c>
    </row>
    <row r="3946" spans="27:39" x14ac:dyDescent="0.3">
      <c r="AA3946" t="str">
        <f>IF(COUNTA('Procyfloc AL200'!A447,'Procyfloc AL200'!B447,'Procyfloc AL200'!C447)&gt;0,"AL200","")</f>
        <v/>
      </c>
      <c r="AB3946" t="str">
        <f>IFERROR(IF(ISNUMBER('Procyfloc AL200'!A447),'Procyfloc AL200'!A447,DATEVALUE('Procyfloc AL200'!A447)),"")</f>
        <v/>
      </c>
      <c r="AC3946" t="str">
        <f>IF(AA3946="","",'Procyfloc AL200'!B447)</f>
        <v/>
      </c>
      <c r="AD3946" t="str">
        <f>IF(AA3946="","",IFERROR(1*'Procyfloc AL200'!C447,IFERROR(_xludf.NUMBERVALUE('Procyfloc AL200'!C447,".",","),IFERROR(_xludf.NUMBERVALUE('Procyfloc AL200'!C447,",","."),0))))</f>
        <v/>
      </c>
      <c r="AE3946" t="str">
        <f>IF(AA3946="","",'Procyfloc AL200'!K447)</f>
        <v/>
      </c>
      <c r="AF3946">
        <f t="shared" si="383"/>
        <v>0</v>
      </c>
      <c r="AG3946" t="str">
        <f t="shared" si="384"/>
        <v/>
      </c>
      <c r="AH3946" t="str">
        <f t="shared" si="385"/>
        <v/>
      </c>
      <c r="AI3946">
        <f t="shared" si="386"/>
        <v>0</v>
      </c>
      <c r="AJ3946">
        <f t="shared" si="387"/>
        <v>0</v>
      </c>
      <c r="AK3946">
        <v>0</v>
      </c>
      <c r="AL3946" t="str">
        <f>IF(AA3946="","",IFERROR(IF(ISNUMBER('Procyfloc AL200'!D447),'Procyfloc AL200'!D447,IF(ISNUMBER(SEARCH("12",'Procyfloc AL200'!D447)),EDATE(AB3946,12),IF(ISNUMBER(SEARCH("6",'Procyfloc AL200'!D447)),EDATE(AB3946,6),IF(ISNUMBER(SEARCH("3",'Procyfloc AL200'!D447)),EDATE(AB3946,3),DATEVALUE('Procyfloc AL200'!D447))))),""))</f>
        <v/>
      </c>
      <c r="AM3946" t="str">
        <f t="shared" ca="1" si="388"/>
        <v/>
      </c>
    </row>
    <row r="3947" spans="27:39" x14ac:dyDescent="0.3">
      <c r="AA3947" t="str">
        <f>IF(COUNTA('Procyfloc AL200'!A448,'Procyfloc AL200'!B448,'Procyfloc AL200'!C448)&gt;0,"AL200","")</f>
        <v/>
      </c>
      <c r="AB3947" t="str">
        <f>IFERROR(IF(ISNUMBER('Procyfloc AL200'!A448),'Procyfloc AL200'!A448,DATEVALUE('Procyfloc AL200'!A448)),"")</f>
        <v/>
      </c>
      <c r="AC3947" t="str">
        <f>IF(AA3947="","",'Procyfloc AL200'!B448)</f>
        <v/>
      </c>
      <c r="AD3947" t="str">
        <f>IF(AA3947="","",IFERROR(1*'Procyfloc AL200'!C448,IFERROR(_xludf.NUMBERVALUE('Procyfloc AL200'!C448,".",","),IFERROR(_xludf.NUMBERVALUE('Procyfloc AL200'!C448,",","."),0))))</f>
        <v/>
      </c>
      <c r="AE3947" t="str">
        <f>IF(AA3947="","",'Procyfloc AL200'!K448)</f>
        <v/>
      </c>
      <c r="AF3947">
        <f t="shared" si="383"/>
        <v>0</v>
      </c>
      <c r="AG3947" t="str">
        <f t="shared" si="384"/>
        <v/>
      </c>
      <c r="AH3947" t="str">
        <f t="shared" si="385"/>
        <v/>
      </c>
      <c r="AI3947">
        <f t="shared" si="386"/>
        <v>0</v>
      </c>
      <c r="AJ3947">
        <f t="shared" si="387"/>
        <v>0</v>
      </c>
      <c r="AK3947">
        <v>0</v>
      </c>
      <c r="AL3947" t="str">
        <f>IF(AA3947="","",IFERROR(IF(ISNUMBER('Procyfloc AL200'!D448),'Procyfloc AL200'!D448,IF(ISNUMBER(SEARCH("12",'Procyfloc AL200'!D448)),EDATE(AB3947,12),IF(ISNUMBER(SEARCH("6",'Procyfloc AL200'!D448)),EDATE(AB3947,6),IF(ISNUMBER(SEARCH("3",'Procyfloc AL200'!D448)),EDATE(AB3947,3),DATEVALUE('Procyfloc AL200'!D448))))),""))</f>
        <v/>
      </c>
      <c r="AM3947" t="str">
        <f t="shared" ca="1" si="388"/>
        <v/>
      </c>
    </row>
    <row r="3948" spans="27:39" x14ac:dyDescent="0.3">
      <c r="AA3948" t="str">
        <f>IF(COUNTA('Procyfloc AL200'!A449,'Procyfloc AL200'!B449,'Procyfloc AL200'!C449)&gt;0,"AL200","")</f>
        <v/>
      </c>
      <c r="AB3948" t="str">
        <f>IFERROR(IF(ISNUMBER('Procyfloc AL200'!A449),'Procyfloc AL200'!A449,DATEVALUE('Procyfloc AL200'!A449)),"")</f>
        <v/>
      </c>
      <c r="AC3948" t="str">
        <f>IF(AA3948="","",'Procyfloc AL200'!B449)</f>
        <v/>
      </c>
      <c r="AD3948" t="str">
        <f>IF(AA3948="","",IFERROR(1*'Procyfloc AL200'!C449,IFERROR(_xludf.NUMBERVALUE('Procyfloc AL200'!C449,".",","),IFERROR(_xludf.NUMBERVALUE('Procyfloc AL200'!C449,",","."),0))))</f>
        <v/>
      </c>
      <c r="AE3948" t="str">
        <f>IF(AA3948="","",'Procyfloc AL200'!K449)</f>
        <v/>
      </c>
      <c r="AF3948">
        <f t="shared" si="383"/>
        <v>0</v>
      </c>
      <c r="AG3948" t="str">
        <f t="shared" si="384"/>
        <v/>
      </c>
      <c r="AH3948" t="str">
        <f t="shared" si="385"/>
        <v/>
      </c>
      <c r="AI3948">
        <f t="shared" si="386"/>
        <v>0</v>
      </c>
      <c r="AJ3948">
        <f t="shared" si="387"/>
        <v>0</v>
      </c>
      <c r="AK3948">
        <v>0</v>
      </c>
      <c r="AL3948" t="str">
        <f>IF(AA3948="","",IFERROR(IF(ISNUMBER('Procyfloc AL200'!D449),'Procyfloc AL200'!D449,IF(ISNUMBER(SEARCH("12",'Procyfloc AL200'!D449)),EDATE(AB3948,12),IF(ISNUMBER(SEARCH("6",'Procyfloc AL200'!D449)),EDATE(AB3948,6),IF(ISNUMBER(SEARCH("3",'Procyfloc AL200'!D449)),EDATE(AB3948,3),DATEVALUE('Procyfloc AL200'!D449))))),""))</f>
        <v/>
      </c>
      <c r="AM3948" t="str">
        <f t="shared" ca="1" si="388"/>
        <v/>
      </c>
    </row>
    <row r="3949" spans="27:39" x14ac:dyDescent="0.3">
      <c r="AA3949" t="str">
        <f>IF(COUNTA('Procyfloc AL200'!A450,'Procyfloc AL200'!B450,'Procyfloc AL200'!C450)&gt;0,"AL200","")</f>
        <v/>
      </c>
      <c r="AB3949" t="str">
        <f>IFERROR(IF(ISNUMBER('Procyfloc AL200'!A450),'Procyfloc AL200'!A450,DATEVALUE('Procyfloc AL200'!A450)),"")</f>
        <v/>
      </c>
      <c r="AC3949" t="str">
        <f>IF(AA3949="","",'Procyfloc AL200'!B450)</f>
        <v/>
      </c>
      <c r="AD3949" t="str">
        <f>IF(AA3949="","",IFERROR(1*'Procyfloc AL200'!C450,IFERROR(_xludf.NUMBERVALUE('Procyfloc AL200'!C450,".",","),IFERROR(_xludf.NUMBERVALUE('Procyfloc AL200'!C450,",","."),0))))</f>
        <v/>
      </c>
      <c r="AE3949" t="str">
        <f>IF(AA3949="","",'Procyfloc AL200'!K450)</f>
        <v/>
      </c>
      <c r="AF3949">
        <f t="shared" si="383"/>
        <v>0</v>
      </c>
      <c r="AG3949" t="str">
        <f t="shared" si="384"/>
        <v/>
      </c>
      <c r="AH3949" t="str">
        <f t="shared" si="385"/>
        <v/>
      </c>
      <c r="AI3949">
        <f t="shared" si="386"/>
        <v>0</v>
      </c>
      <c r="AJ3949">
        <f t="shared" si="387"/>
        <v>0</v>
      </c>
      <c r="AK3949">
        <v>0</v>
      </c>
      <c r="AL3949" t="str">
        <f>IF(AA3949="","",IFERROR(IF(ISNUMBER('Procyfloc AL200'!D450),'Procyfloc AL200'!D450,IF(ISNUMBER(SEARCH("12",'Procyfloc AL200'!D450)),EDATE(AB3949,12),IF(ISNUMBER(SEARCH("6",'Procyfloc AL200'!D450)),EDATE(AB3949,6),IF(ISNUMBER(SEARCH("3",'Procyfloc AL200'!D450)),EDATE(AB3949,3),DATEVALUE('Procyfloc AL200'!D450))))),""))</f>
        <v/>
      </c>
      <c r="AM3949" t="str">
        <f t="shared" ca="1" si="388"/>
        <v/>
      </c>
    </row>
    <row r="3950" spans="27:39" x14ac:dyDescent="0.3">
      <c r="AA3950" t="str">
        <f>IF(COUNTA('Procyfloc AL200'!A451,'Procyfloc AL200'!B451,'Procyfloc AL200'!C451)&gt;0,"AL200","")</f>
        <v/>
      </c>
      <c r="AB3950" t="str">
        <f>IFERROR(IF(ISNUMBER('Procyfloc AL200'!A451),'Procyfloc AL200'!A451,DATEVALUE('Procyfloc AL200'!A451)),"")</f>
        <v/>
      </c>
      <c r="AC3950" t="str">
        <f>IF(AA3950="","",'Procyfloc AL200'!B451)</f>
        <v/>
      </c>
      <c r="AD3950" t="str">
        <f>IF(AA3950="","",IFERROR(1*'Procyfloc AL200'!C451,IFERROR(_xludf.NUMBERVALUE('Procyfloc AL200'!C451,".",","),IFERROR(_xludf.NUMBERVALUE('Procyfloc AL200'!C451,",","."),0))))</f>
        <v/>
      </c>
      <c r="AE3950" t="str">
        <f>IF(AA3950="","",'Procyfloc AL200'!K451)</f>
        <v/>
      </c>
      <c r="AF3950">
        <f t="shared" si="383"/>
        <v>0</v>
      </c>
      <c r="AG3950" t="str">
        <f t="shared" si="384"/>
        <v/>
      </c>
      <c r="AH3950" t="str">
        <f t="shared" si="385"/>
        <v/>
      </c>
      <c r="AI3950">
        <f t="shared" si="386"/>
        <v>0</v>
      </c>
      <c r="AJ3950">
        <f t="shared" si="387"/>
        <v>0</v>
      </c>
      <c r="AK3950">
        <v>0</v>
      </c>
      <c r="AL3950" t="str">
        <f>IF(AA3950="","",IFERROR(IF(ISNUMBER('Procyfloc AL200'!D451),'Procyfloc AL200'!D451,IF(ISNUMBER(SEARCH("12",'Procyfloc AL200'!D451)),EDATE(AB3950,12),IF(ISNUMBER(SEARCH("6",'Procyfloc AL200'!D451)),EDATE(AB3950,6),IF(ISNUMBER(SEARCH("3",'Procyfloc AL200'!D451)),EDATE(AB3950,3),DATEVALUE('Procyfloc AL200'!D451))))),""))</f>
        <v/>
      </c>
      <c r="AM3950" t="str">
        <f t="shared" ca="1" si="388"/>
        <v/>
      </c>
    </row>
    <row r="3951" spans="27:39" x14ac:dyDescent="0.3">
      <c r="AA3951" t="str">
        <f>IF(COUNTA('Procyfloc AL200'!A452,'Procyfloc AL200'!B452,'Procyfloc AL200'!C452)&gt;0,"AL200","")</f>
        <v/>
      </c>
      <c r="AB3951" t="str">
        <f>IFERROR(IF(ISNUMBER('Procyfloc AL200'!A452),'Procyfloc AL200'!A452,DATEVALUE('Procyfloc AL200'!A452)),"")</f>
        <v/>
      </c>
      <c r="AC3951" t="str">
        <f>IF(AA3951="","",'Procyfloc AL200'!B452)</f>
        <v/>
      </c>
      <c r="AD3951" t="str">
        <f>IF(AA3951="","",IFERROR(1*'Procyfloc AL200'!C452,IFERROR(_xludf.NUMBERVALUE('Procyfloc AL200'!C452,".",","),IFERROR(_xludf.NUMBERVALUE('Procyfloc AL200'!C452,",","."),0))))</f>
        <v/>
      </c>
      <c r="AE3951" t="str">
        <f>IF(AA3951="","",'Procyfloc AL200'!K452)</f>
        <v/>
      </c>
      <c r="AF3951">
        <f t="shared" si="383"/>
        <v>0</v>
      </c>
      <c r="AG3951" t="str">
        <f t="shared" si="384"/>
        <v/>
      </c>
      <c r="AH3951" t="str">
        <f t="shared" si="385"/>
        <v/>
      </c>
      <c r="AI3951">
        <f t="shared" si="386"/>
        <v>0</v>
      </c>
      <c r="AJ3951">
        <f t="shared" si="387"/>
        <v>0</v>
      </c>
      <c r="AK3951">
        <v>0</v>
      </c>
      <c r="AL3951" t="str">
        <f>IF(AA3951="","",IFERROR(IF(ISNUMBER('Procyfloc AL200'!D452),'Procyfloc AL200'!D452,IF(ISNUMBER(SEARCH("12",'Procyfloc AL200'!D452)),EDATE(AB3951,12),IF(ISNUMBER(SEARCH("6",'Procyfloc AL200'!D452)),EDATE(AB3951,6),IF(ISNUMBER(SEARCH("3",'Procyfloc AL200'!D452)),EDATE(AB3951,3),DATEVALUE('Procyfloc AL200'!D452))))),""))</f>
        <v/>
      </c>
      <c r="AM3951" t="str">
        <f t="shared" ca="1" si="388"/>
        <v/>
      </c>
    </row>
    <row r="3952" spans="27:39" x14ac:dyDescent="0.3">
      <c r="AA3952" t="str">
        <f>IF(COUNTA('Procyfloc AL200'!A453,'Procyfloc AL200'!B453,'Procyfloc AL200'!C453)&gt;0,"AL200","")</f>
        <v/>
      </c>
      <c r="AB3952" t="str">
        <f>IFERROR(IF(ISNUMBER('Procyfloc AL200'!A453),'Procyfloc AL200'!A453,DATEVALUE('Procyfloc AL200'!A453)),"")</f>
        <v/>
      </c>
      <c r="AC3952" t="str">
        <f>IF(AA3952="","",'Procyfloc AL200'!B453)</f>
        <v/>
      </c>
      <c r="AD3952" t="str">
        <f>IF(AA3952="","",IFERROR(1*'Procyfloc AL200'!C453,IFERROR(_xludf.NUMBERVALUE('Procyfloc AL200'!C453,".",","),IFERROR(_xludf.NUMBERVALUE('Procyfloc AL200'!C453,",","."),0))))</f>
        <v/>
      </c>
      <c r="AE3952" t="str">
        <f>IF(AA3952="","",'Procyfloc AL200'!K453)</f>
        <v/>
      </c>
      <c r="AF3952">
        <f t="shared" si="383"/>
        <v>0</v>
      </c>
      <c r="AG3952" t="str">
        <f t="shared" si="384"/>
        <v/>
      </c>
      <c r="AH3952" t="str">
        <f t="shared" si="385"/>
        <v/>
      </c>
      <c r="AI3952">
        <f t="shared" si="386"/>
        <v>0</v>
      </c>
      <c r="AJ3952">
        <f t="shared" si="387"/>
        <v>0</v>
      </c>
      <c r="AK3952">
        <v>0</v>
      </c>
      <c r="AL3952" t="str">
        <f>IF(AA3952="","",IFERROR(IF(ISNUMBER('Procyfloc AL200'!D453),'Procyfloc AL200'!D453,IF(ISNUMBER(SEARCH("12",'Procyfloc AL200'!D453)),EDATE(AB3952,12),IF(ISNUMBER(SEARCH("6",'Procyfloc AL200'!D453)),EDATE(AB3952,6),IF(ISNUMBER(SEARCH("3",'Procyfloc AL200'!D453)),EDATE(AB3952,3),DATEVALUE('Procyfloc AL200'!D453))))),""))</f>
        <v/>
      </c>
      <c r="AM3952" t="str">
        <f t="shared" ca="1" si="388"/>
        <v/>
      </c>
    </row>
    <row r="3953" spans="27:39" x14ac:dyDescent="0.3">
      <c r="AA3953" t="str">
        <f>IF(COUNTA('Procyfloc AL200'!A454,'Procyfloc AL200'!B454,'Procyfloc AL200'!C454)&gt;0,"AL200","")</f>
        <v/>
      </c>
      <c r="AB3953" t="str">
        <f>IFERROR(IF(ISNUMBER('Procyfloc AL200'!A454),'Procyfloc AL200'!A454,DATEVALUE('Procyfloc AL200'!A454)),"")</f>
        <v/>
      </c>
      <c r="AC3953" t="str">
        <f>IF(AA3953="","",'Procyfloc AL200'!B454)</f>
        <v/>
      </c>
      <c r="AD3953" t="str">
        <f>IF(AA3953="","",IFERROR(1*'Procyfloc AL200'!C454,IFERROR(_xludf.NUMBERVALUE('Procyfloc AL200'!C454,".",","),IFERROR(_xludf.NUMBERVALUE('Procyfloc AL200'!C454,",","."),0))))</f>
        <v/>
      </c>
      <c r="AE3953" t="str">
        <f>IF(AA3953="","",'Procyfloc AL200'!K454)</f>
        <v/>
      </c>
      <c r="AF3953">
        <f t="shared" si="383"/>
        <v>0</v>
      </c>
      <c r="AG3953" t="str">
        <f t="shared" si="384"/>
        <v/>
      </c>
      <c r="AH3953" t="str">
        <f t="shared" si="385"/>
        <v/>
      </c>
      <c r="AI3953">
        <f t="shared" si="386"/>
        <v>0</v>
      </c>
      <c r="AJ3953">
        <f t="shared" si="387"/>
        <v>0</v>
      </c>
      <c r="AK3953">
        <v>0</v>
      </c>
      <c r="AL3953" t="str">
        <f>IF(AA3953="","",IFERROR(IF(ISNUMBER('Procyfloc AL200'!D454),'Procyfloc AL200'!D454,IF(ISNUMBER(SEARCH("12",'Procyfloc AL200'!D454)),EDATE(AB3953,12),IF(ISNUMBER(SEARCH("6",'Procyfloc AL200'!D454)),EDATE(AB3953,6),IF(ISNUMBER(SEARCH("3",'Procyfloc AL200'!D454)),EDATE(AB3953,3),DATEVALUE('Procyfloc AL200'!D454))))),""))</f>
        <v/>
      </c>
      <c r="AM3953" t="str">
        <f t="shared" ca="1" si="388"/>
        <v/>
      </c>
    </row>
    <row r="3954" spans="27:39" x14ac:dyDescent="0.3">
      <c r="AA3954" t="str">
        <f>IF(COUNTA('Procyfloc AL200'!A455,'Procyfloc AL200'!B455,'Procyfloc AL200'!C455)&gt;0,"AL200","")</f>
        <v/>
      </c>
      <c r="AB3954" t="str">
        <f>IFERROR(IF(ISNUMBER('Procyfloc AL200'!A455),'Procyfloc AL200'!A455,DATEVALUE('Procyfloc AL200'!A455)),"")</f>
        <v/>
      </c>
      <c r="AC3954" t="str">
        <f>IF(AA3954="","",'Procyfloc AL200'!B455)</f>
        <v/>
      </c>
      <c r="AD3954" t="str">
        <f>IF(AA3954="","",IFERROR(1*'Procyfloc AL200'!C455,IFERROR(_xludf.NUMBERVALUE('Procyfloc AL200'!C455,".",","),IFERROR(_xludf.NUMBERVALUE('Procyfloc AL200'!C455,",","."),0))))</f>
        <v/>
      </c>
      <c r="AE3954" t="str">
        <f>IF(AA3954="","",'Procyfloc AL200'!K455)</f>
        <v/>
      </c>
      <c r="AF3954">
        <f t="shared" si="383"/>
        <v>0</v>
      </c>
      <c r="AG3954" t="str">
        <f t="shared" si="384"/>
        <v/>
      </c>
      <c r="AH3954" t="str">
        <f t="shared" si="385"/>
        <v/>
      </c>
      <c r="AI3954">
        <f t="shared" si="386"/>
        <v>0</v>
      </c>
      <c r="AJ3954">
        <f t="shared" si="387"/>
        <v>0</v>
      </c>
      <c r="AK3954">
        <v>0</v>
      </c>
      <c r="AL3954" t="str">
        <f>IF(AA3954="","",IFERROR(IF(ISNUMBER('Procyfloc AL200'!D455),'Procyfloc AL200'!D455,IF(ISNUMBER(SEARCH("12",'Procyfloc AL200'!D455)),EDATE(AB3954,12),IF(ISNUMBER(SEARCH("6",'Procyfloc AL200'!D455)),EDATE(AB3954,6),IF(ISNUMBER(SEARCH("3",'Procyfloc AL200'!D455)),EDATE(AB3954,3),DATEVALUE('Procyfloc AL200'!D455))))),""))</f>
        <v/>
      </c>
      <c r="AM3954" t="str">
        <f t="shared" ca="1" si="388"/>
        <v/>
      </c>
    </row>
    <row r="3955" spans="27:39" x14ac:dyDescent="0.3">
      <c r="AA3955" t="str">
        <f>IF(COUNTA('Procyfloc AL200'!A456,'Procyfloc AL200'!B456,'Procyfloc AL200'!C456)&gt;0,"AL200","")</f>
        <v/>
      </c>
      <c r="AB3955" t="str">
        <f>IFERROR(IF(ISNUMBER('Procyfloc AL200'!A456),'Procyfloc AL200'!A456,DATEVALUE('Procyfloc AL200'!A456)),"")</f>
        <v/>
      </c>
      <c r="AC3955" t="str">
        <f>IF(AA3955="","",'Procyfloc AL200'!B456)</f>
        <v/>
      </c>
      <c r="AD3955" t="str">
        <f>IF(AA3955="","",IFERROR(1*'Procyfloc AL200'!C456,IFERROR(_xludf.NUMBERVALUE('Procyfloc AL200'!C456,".",","),IFERROR(_xludf.NUMBERVALUE('Procyfloc AL200'!C456,",","."),0))))</f>
        <v/>
      </c>
      <c r="AE3955" t="str">
        <f>IF(AA3955="","",'Procyfloc AL200'!K456)</f>
        <v/>
      </c>
      <c r="AF3955">
        <f t="shared" si="383"/>
        <v>0</v>
      </c>
      <c r="AG3955" t="str">
        <f t="shared" si="384"/>
        <v/>
      </c>
      <c r="AH3955" t="str">
        <f t="shared" si="385"/>
        <v/>
      </c>
      <c r="AI3955">
        <f t="shared" si="386"/>
        <v>0</v>
      </c>
      <c r="AJ3955">
        <f t="shared" si="387"/>
        <v>0</v>
      </c>
      <c r="AK3955">
        <v>0</v>
      </c>
      <c r="AL3955" t="str">
        <f>IF(AA3955="","",IFERROR(IF(ISNUMBER('Procyfloc AL200'!D456),'Procyfloc AL200'!D456,IF(ISNUMBER(SEARCH("12",'Procyfloc AL200'!D456)),EDATE(AB3955,12),IF(ISNUMBER(SEARCH("6",'Procyfloc AL200'!D456)),EDATE(AB3955,6),IF(ISNUMBER(SEARCH("3",'Procyfloc AL200'!D456)),EDATE(AB3955,3),DATEVALUE('Procyfloc AL200'!D456))))),""))</f>
        <v/>
      </c>
      <c r="AM3955" t="str">
        <f t="shared" ca="1" si="388"/>
        <v/>
      </c>
    </row>
    <row r="3956" spans="27:39" x14ac:dyDescent="0.3">
      <c r="AA3956" t="str">
        <f>IF(COUNTA('Procyfloc AL200'!A457,'Procyfloc AL200'!B457,'Procyfloc AL200'!C457)&gt;0,"AL200","")</f>
        <v/>
      </c>
      <c r="AB3956" t="str">
        <f>IFERROR(IF(ISNUMBER('Procyfloc AL200'!A457),'Procyfloc AL200'!A457,DATEVALUE('Procyfloc AL200'!A457)),"")</f>
        <v/>
      </c>
      <c r="AC3956" t="str">
        <f>IF(AA3956="","",'Procyfloc AL200'!B457)</f>
        <v/>
      </c>
      <c r="AD3956" t="str">
        <f>IF(AA3956="","",IFERROR(1*'Procyfloc AL200'!C457,IFERROR(_xludf.NUMBERVALUE('Procyfloc AL200'!C457,".",","),IFERROR(_xludf.NUMBERVALUE('Procyfloc AL200'!C457,",","."),0))))</f>
        <v/>
      </c>
      <c r="AE3956" t="str">
        <f>IF(AA3956="","",'Procyfloc AL200'!K457)</f>
        <v/>
      </c>
      <c r="AF3956">
        <f t="shared" si="383"/>
        <v>0</v>
      </c>
      <c r="AG3956" t="str">
        <f t="shared" si="384"/>
        <v/>
      </c>
      <c r="AH3956" t="str">
        <f t="shared" si="385"/>
        <v/>
      </c>
      <c r="AI3956">
        <f t="shared" si="386"/>
        <v>0</v>
      </c>
      <c r="AJ3956">
        <f t="shared" si="387"/>
        <v>0</v>
      </c>
      <c r="AK3956">
        <v>0</v>
      </c>
      <c r="AL3956" t="str">
        <f>IF(AA3956="","",IFERROR(IF(ISNUMBER('Procyfloc AL200'!D457),'Procyfloc AL200'!D457,IF(ISNUMBER(SEARCH("12",'Procyfloc AL200'!D457)),EDATE(AB3956,12),IF(ISNUMBER(SEARCH("6",'Procyfloc AL200'!D457)),EDATE(AB3956,6),IF(ISNUMBER(SEARCH("3",'Procyfloc AL200'!D457)),EDATE(AB3956,3),DATEVALUE('Procyfloc AL200'!D457))))),""))</f>
        <v/>
      </c>
      <c r="AM3956" t="str">
        <f t="shared" ca="1" si="388"/>
        <v/>
      </c>
    </row>
    <row r="3957" spans="27:39" x14ac:dyDescent="0.3">
      <c r="AA3957" t="str">
        <f>IF(COUNTA('Procyfloc AL200'!A458,'Procyfloc AL200'!B458,'Procyfloc AL200'!C458)&gt;0,"AL200","")</f>
        <v/>
      </c>
      <c r="AB3957" t="str">
        <f>IFERROR(IF(ISNUMBER('Procyfloc AL200'!A458),'Procyfloc AL200'!A458,DATEVALUE('Procyfloc AL200'!A458)),"")</f>
        <v/>
      </c>
      <c r="AC3957" t="str">
        <f>IF(AA3957="","",'Procyfloc AL200'!B458)</f>
        <v/>
      </c>
      <c r="AD3957" t="str">
        <f>IF(AA3957="","",IFERROR(1*'Procyfloc AL200'!C458,IFERROR(_xludf.NUMBERVALUE('Procyfloc AL200'!C458,".",","),IFERROR(_xludf.NUMBERVALUE('Procyfloc AL200'!C458,",","."),0))))</f>
        <v/>
      </c>
      <c r="AE3957" t="str">
        <f>IF(AA3957="","",'Procyfloc AL200'!K458)</f>
        <v/>
      </c>
      <c r="AF3957">
        <f t="shared" si="383"/>
        <v>0</v>
      </c>
      <c r="AG3957" t="str">
        <f t="shared" si="384"/>
        <v/>
      </c>
      <c r="AH3957" t="str">
        <f t="shared" si="385"/>
        <v/>
      </c>
      <c r="AI3957">
        <f t="shared" si="386"/>
        <v>0</v>
      </c>
      <c r="AJ3957">
        <f t="shared" si="387"/>
        <v>0</v>
      </c>
      <c r="AK3957">
        <v>0</v>
      </c>
      <c r="AL3957" t="str">
        <f>IF(AA3957="","",IFERROR(IF(ISNUMBER('Procyfloc AL200'!D458),'Procyfloc AL200'!D458,IF(ISNUMBER(SEARCH("12",'Procyfloc AL200'!D458)),EDATE(AB3957,12),IF(ISNUMBER(SEARCH("6",'Procyfloc AL200'!D458)),EDATE(AB3957,6),IF(ISNUMBER(SEARCH("3",'Procyfloc AL200'!D458)),EDATE(AB3957,3),DATEVALUE('Procyfloc AL200'!D458))))),""))</f>
        <v/>
      </c>
      <c r="AM3957" t="str">
        <f t="shared" ca="1" si="388"/>
        <v/>
      </c>
    </row>
    <row r="3958" spans="27:39" x14ac:dyDescent="0.3">
      <c r="AA3958" t="str">
        <f>IF(COUNTA('Procyfloc AL200'!A459,'Procyfloc AL200'!B459,'Procyfloc AL200'!C459)&gt;0,"AL200","")</f>
        <v/>
      </c>
      <c r="AB3958" t="str">
        <f>IFERROR(IF(ISNUMBER('Procyfloc AL200'!A459),'Procyfloc AL200'!A459,DATEVALUE('Procyfloc AL200'!A459)),"")</f>
        <v/>
      </c>
      <c r="AC3958" t="str">
        <f>IF(AA3958="","",'Procyfloc AL200'!B459)</f>
        <v/>
      </c>
      <c r="AD3958" t="str">
        <f>IF(AA3958="","",IFERROR(1*'Procyfloc AL200'!C459,IFERROR(_xludf.NUMBERVALUE('Procyfloc AL200'!C459,".",","),IFERROR(_xludf.NUMBERVALUE('Procyfloc AL200'!C459,",","."),0))))</f>
        <v/>
      </c>
      <c r="AE3958" t="str">
        <f>IF(AA3958="","",'Procyfloc AL200'!K459)</f>
        <v/>
      </c>
      <c r="AF3958">
        <f t="shared" si="383"/>
        <v>0</v>
      </c>
      <c r="AG3958" t="str">
        <f t="shared" si="384"/>
        <v/>
      </c>
      <c r="AH3958" t="str">
        <f t="shared" si="385"/>
        <v/>
      </c>
      <c r="AI3958">
        <f t="shared" si="386"/>
        <v>0</v>
      </c>
      <c r="AJ3958">
        <f t="shared" si="387"/>
        <v>0</v>
      </c>
      <c r="AK3958">
        <v>0</v>
      </c>
      <c r="AL3958" t="str">
        <f>IF(AA3958="","",IFERROR(IF(ISNUMBER('Procyfloc AL200'!D459),'Procyfloc AL200'!D459,IF(ISNUMBER(SEARCH("12",'Procyfloc AL200'!D459)),EDATE(AB3958,12),IF(ISNUMBER(SEARCH("6",'Procyfloc AL200'!D459)),EDATE(AB3958,6),IF(ISNUMBER(SEARCH("3",'Procyfloc AL200'!D459)),EDATE(AB3958,3),DATEVALUE('Procyfloc AL200'!D459))))),""))</f>
        <v/>
      </c>
      <c r="AM3958" t="str">
        <f t="shared" ca="1" si="388"/>
        <v/>
      </c>
    </row>
    <row r="3959" spans="27:39" x14ac:dyDescent="0.3">
      <c r="AA3959" t="str">
        <f>IF(COUNTA('Procyfloc AL200'!A460,'Procyfloc AL200'!B460,'Procyfloc AL200'!C460)&gt;0,"AL200","")</f>
        <v/>
      </c>
      <c r="AB3959" t="str">
        <f>IFERROR(IF(ISNUMBER('Procyfloc AL200'!A460),'Procyfloc AL200'!A460,DATEVALUE('Procyfloc AL200'!A460)),"")</f>
        <v/>
      </c>
      <c r="AC3959" t="str">
        <f>IF(AA3959="","",'Procyfloc AL200'!B460)</f>
        <v/>
      </c>
      <c r="AD3959" t="str">
        <f>IF(AA3959="","",IFERROR(1*'Procyfloc AL200'!C460,IFERROR(_xludf.NUMBERVALUE('Procyfloc AL200'!C460,".",","),IFERROR(_xludf.NUMBERVALUE('Procyfloc AL200'!C460,",","."),0))))</f>
        <v/>
      </c>
      <c r="AE3959" t="str">
        <f>IF(AA3959="","",'Procyfloc AL200'!K460)</f>
        <v/>
      </c>
      <c r="AF3959">
        <f t="shared" si="383"/>
        <v>0</v>
      </c>
      <c r="AG3959" t="str">
        <f t="shared" si="384"/>
        <v/>
      </c>
      <c r="AH3959" t="str">
        <f t="shared" si="385"/>
        <v/>
      </c>
      <c r="AI3959">
        <f t="shared" si="386"/>
        <v>0</v>
      </c>
      <c r="AJ3959">
        <f t="shared" si="387"/>
        <v>0</v>
      </c>
      <c r="AK3959">
        <v>0</v>
      </c>
      <c r="AL3959" t="str">
        <f>IF(AA3959="","",IFERROR(IF(ISNUMBER('Procyfloc AL200'!D460),'Procyfloc AL200'!D460,IF(ISNUMBER(SEARCH("12",'Procyfloc AL200'!D460)),EDATE(AB3959,12),IF(ISNUMBER(SEARCH("6",'Procyfloc AL200'!D460)),EDATE(AB3959,6),IF(ISNUMBER(SEARCH("3",'Procyfloc AL200'!D460)),EDATE(AB3959,3),DATEVALUE('Procyfloc AL200'!D460))))),""))</f>
        <v/>
      </c>
      <c r="AM3959" t="str">
        <f t="shared" ca="1" si="388"/>
        <v/>
      </c>
    </row>
    <row r="3960" spans="27:39" x14ac:dyDescent="0.3">
      <c r="AA3960" t="str">
        <f>IF(COUNTA('Procyfloc AL200'!A461,'Procyfloc AL200'!B461,'Procyfloc AL200'!C461)&gt;0,"AL200","")</f>
        <v/>
      </c>
      <c r="AB3960" t="str">
        <f>IFERROR(IF(ISNUMBER('Procyfloc AL200'!A461),'Procyfloc AL200'!A461,DATEVALUE('Procyfloc AL200'!A461)),"")</f>
        <v/>
      </c>
      <c r="AC3960" t="str">
        <f>IF(AA3960="","",'Procyfloc AL200'!B461)</f>
        <v/>
      </c>
      <c r="AD3960" t="str">
        <f>IF(AA3960="","",IFERROR(1*'Procyfloc AL200'!C461,IFERROR(_xludf.NUMBERVALUE('Procyfloc AL200'!C461,".",","),IFERROR(_xludf.NUMBERVALUE('Procyfloc AL200'!C461,",","."),0))))</f>
        <v/>
      </c>
      <c r="AE3960" t="str">
        <f>IF(AA3960="","",'Procyfloc AL200'!K461)</f>
        <v/>
      </c>
      <c r="AF3960">
        <f t="shared" si="383"/>
        <v>0</v>
      </c>
      <c r="AG3960" t="str">
        <f t="shared" si="384"/>
        <v/>
      </c>
      <c r="AH3960" t="str">
        <f t="shared" si="385"/>
        <v/>
      </c>
      <c r="AI3960">
        <f t="shared" si="386"/>
        <v>0</v>
      </c>
      <c r="AJ3960">
        <f t="shared" si="387"/>
        <v>0</v>
      </c>
      <c r="AK3960">
        <v>0</v>
      </c>
      <c r="AL3960" t="str">
        <f>IF(AA3960="","",IFERROR(IF(ISNUMBER('Procyfloc AL200'!D461),'Procyfloc AL200'!D461,IF(ISNUMBER(SEARCH("12",'Procyfloc AL200'!D461)),EDATE(AB3960,12),IF(ISNUMBER(SEARCH("6",'Procyfloc AL200'!D461)),EDATE(AB3960,6),IF(ISNUMBER(SEARCH("3",'Procyfloc AL200'!D461)),EDATE(AB3960,3),DATEVALUE('Procyfloc AL200'!D461))))),""))</f>
        <v/>
      </c>
      <c r="AM3960" t="str">
        <f t="shared" ca="1" si="388"/>
        <v/>
      </c>
    </row>
    <row r="3961" spans="27:39" x14ac:dyDescent="0.3">
      <c r="AA3961" t="str">
        <f>IF(COUNTA('Procyfloc AL200'!A462,'Procyfloc AL200'!B462,'Procyfloc AL200'!C462)&gt;0,"AL200","")</f>
        <v/>
      </c>
      <c r="AB3961" t="str">
        <f>IFERROR(IF(ISNUMBER('Procyfloc AL200'!A462),'Procyfloc AL200'!A462,DATEVALUE('Procyfloc AL200'!A462)),"")</f>
        <v/>
      </c>
      <c r="AC3961" t="str">
        <f>IF(AA3961="","",'Procyfloc AL200'!B462)</f>
        <v/>
      </c>
      <c r="AD3961" t="str">
        <f>IF(AA3961="","",IFERROR(1*'Procyfloc AL200'!C462,IFERROR(_xludf.NUMBERVALUE('Procyfloc AL200'!C462,".",","),IFERROR(_xludf.NUMBERVALUE('Procyfloc AL200'!C462,",","."),0))))</f>
        <v/>
      </c>
      <c r="AE3961" t="str">
        <f>IF(AA3961="","",'Procyfloc AL200'!K462)</f>
        <v/>
      </c>
      <c r="AF3961">
        <f t="shared" si="383"/>
        <v>0</v>
      </c>
      <c r="AG3961" t="str">
        <f t="shared" si="384"/>
        <v/>
      </c>
      <c r="AH3961" t="str">
        <f t="shared" si="385"/>
        <v/>
      </c>
      <c r="AI3961">
        <f t="shared" si="386"/>
        <v>0</v>
      </c>
      <c r="AJ3961">
        <f t="shared" si="387"/>
        <v>0</v>
      </c>
      <c r="AK3961">
        <v>0</v>
      </c>
      <c r="AL3961" t="str">
        <f>IF(AA3961="","",IFERROR(IF(ISNUMBER('Procyfloc AL200'!D462),'Procyfloc AL200'!D462,IF(ISNUMBER(SEARCH("12",'Procyfloc AL200'!D462)),EDATE(AB3961,12),IF(ISNUMBER(SEARCH("6",'Procyfloc AL200'!D462)),EDATE(AB3961,6),IF(ISNUMBER(SEARCH("3",'Procyfloc AL200'!D462)),EDATE(AB3961,3),DATEVALUE('Procyfloc AL200'!D462))))),""))</f>
        <v/>
      </c>
      <c r="AM3961" t="str">
        <f t="shared" ca="1" si="388"/>
        <v/>
      </c>
    </row>
    <row r="3962" spans="27:39" x14ac:dyDescent="0.3">
      <c r="AA3962" t="str">
        <f>IF(COUNTA('Procyfloc AL200'!A463,'Procyfloc AL200'!B463,'Procyfloc AL200'!C463)&gt;0,"AL200","")</f>
        <v/>
      </c>
      <c r="AB3962" t="str">
        <f>IFERROR(IF(ISNUMBER('Procyfloc AL200'!A463),'Procyfloc AL200'!A463,DATEVALUE('Procyfloc AL200'!A463)),"")</f>
        <v/>
      </c>
      <c r="AC3962" t="str">
        <f>IF(AA3962="","",'Procyfloc AL200'!B463)</f>
        <v/>
      </c>
      <c r="AD3962" t="str">
        <f>IF(AA3962="","",IFERROR(1*'Procyfloc AL200'!C463,IFERROR(_xludf.NUMBERVALUE('Procyfloc AL200'!C463,".",","),IFERROR(_xludf.NUMBERVALUE('Procyfloc AL200'!C463,",","."),0))))</f>
        <v/>
      </c>
      <c r="AE3962" t="str">
        <f>IF(AA3962="","",'Procyfloc AL200'!K463)</f>
        <v/>
      </c>
      <c r="AF3962">
        <f t="shared" si="383"/>
        <v>0</v>
      </c>
      <c r="AG3962" t="str">
        <f t="shared" si="384"/>
        <v/>
      </c>
      <c r="AH3962" t="str">
        <f t="shared" si="385"/>
        <v/>
      </c>
      <c r="AI3962">
        <f t="shared" si="386"/>
        <v>0</v>
      </c>
      <c r="AJ3962">
        <f t="shared" si="387"/>
        <v>0</v>
      </c>
      <c r="AK3962">
        <v>0</v>
      </c>
      <c r="AL3962" t="str">
        <f>IF(AA3962="","",IFERROR(IF(ISNUMBER('Procyfloc AL200'!D463),'Procyfloc AL200'!D463,IF(ISNUMBER(SEARCH("12",'Procyfloc AL200'!D463)),EDATE(AB3962,12),IF(ISNUMBER(SEARCH("6",'Procyfloc AL200'!D463)),EDATE(AB3962,6),IF(ISNUMBER(SEARCH("3",'Procyfloc AL200'!D463)),EDATE(AB3962,3),DATEVALUE('Procyfloc AL200'!D463))))),""))</f>
        <v/>
      </c>
      <c r="AM3962" t="str">
        <f t="shared" ca="1" si="388"/>
        <v/>
      </c>
    </row>
    <row r="3963" spans="27:39" x14ac:dyDescent="0.3">
      <c r="AA3963" t="str">
        <f>IF(COUNTA('Procyfloc AL200'!A464,'Procyfloc AL200'!B464,'Procyfloc AL200'!C464)&gt;0,"AL200","")</f>
        <v/>
      </c>
      <c r="AB3963" t="str">
        <f>IFERROR(IF(ISNUMBER('Procyfloc AL200'!A464),'Procyfloc AL200'!A464,DATEVALUE('Procyfloc AL200'!A464)),"")</f>
        <v/>
      </c>
      <c r="AC3963" t="str">
        <f>IF(AA3963="","",'Procyfloc AL200'!B464)</f>
        <v/>
      </c>
      <c r="AD3963" t="str">
        <f>IF(AA3963="","",IFERROR(1*'Procyfloc AL200'!C464,IFERROR(_xludf.NUMBERVALUE('Procyfloc AL200'!C464,".",","),IFERROR(_xludf.NUMBERVALUE('Procyfloc AL200'!C464,",","."),0))))</f>
        <v/>
      </c>
      <c r="AE3963" t="str">
        <f>IF(AA3963="","",'Procyfloc AL200'!K464)</f>
        <v/>
      </c>
      <c r="AF3963">
        <f t="shared" si="383"/>
        <v>0</v>
      </c>
      <c r="AG3963" t="str">
        <f t="shared" si="384"/>
        <v/>
      </c>
      <c r="AH3963" t="str">
        <f t="shared" si="385"/>
        <v/>
      </c>
      <c r="AI3963">
        <f t="shared" si="386"/>
        <v>0</v>
      </c>
      <c r="AJ3963">
        <f t="shared" si="387"/>
        <v>0</v>
      </c>
      <c r="AK3963">
        <v>0</v>
      </c>
      <c r="AL3963" t="str">
        <f>IF(AA3963="","",IFERROR(IF(ISNUMBER('Procyfloc AL200'!D464),'Procyfloc AL200'!D464,IF(ISNUMBER(SEARCH("12",'Procyfloc AL200'!D464)),EDATE(AB3963,12),IF(ISNUMBER(SEARCH("6",'Procyfloc AL200'!D464)),EDATE(AB3963,6),IF(ISNUMBER(SEARCH("3",'Procyfloc AL200'!D464)),EDATE(AB3963,3),DATEVALUE('Procyfloc AL200'!D464))))),""))</f>
        <v/>
      </c>
      <c r="AM3963" t="str">
        <f t="shared" ca="1" si="388"/>
        <v/>
      </c>
    </row>
    <row r="3964" spans="27:39" x14ac:dyDescent="0.3">
      <c r="AA3964" t="str">
        <f>IF(COUNTA('Procyfloc AL200'!A465,'Procyfloc AL200'!B465,'Procyfloc AL200'!C465)&gt;0,"AL200","")</f>
        <v/>
      </c>
      <c r="AB3964" t="str">
        <f>IFERROR(IF(ISNUMBER('Procyfloc AL200'!A465),'Procyfloc AL200'!A465,DATEVALUE('Procyfloc AL200'!A465)),"")</f>
        <v/>
      </c>
      <c r="AC3964" t="str">
        <f>IF(AA3964="","",'Procyfloc AL200'!B465)</f>
        <v/>
      </c>
      <c r="AD3964" t="str">
        <f>IF(AA3964="","",IFERROR(1*'Procyfloc AL200'!C465,IFERROR(_xludf.NUMBERVALUE('Procyfloc AL200'!C465,".",","),IFERROR(_xludf.NUMBERVALUE('Procyfloc AL200'!C465,",","."),0))))</f>
        <v/>
      </c>
      <c r="AE3964" t="str">
        <f>IF(AA3964="","",'Procyfloc AL200'!K465)</f>
        <v/>
      </c>
      <c r="AF3964">
        <f t="shared" si="383"/>
        <v>0</v>
      </c>
      <c r="AG3964" t="str">
        <f t="shared" si="384"/>
        <v/>
      </c>
      <c r="AH3964" t="str">
        <f t="shared" si="385"/>
        <v/>
      </c>
      <c r="AI3964">
        <f t="shared" si="386"/>
        <v>0</v>
      </c>
      <c r="AJ3964">
        <f t="shared" si="387"/>
        <v>0</v>
      </c>
      <c r="AK3964">
        <v>0</v>
      </c>
      <c r="AL3964" t="str">
        <f>IF(AA3964="","",IFERROR(IF(ISNUMBER('Procyfloc AL200'!D465),'Procyfloc AL200'!D465,IF(ISNUMBER(SEARCH("12",'Procyfloc AL200'!D465)),EDATE(AB3964,12),IF(ISNUMBER(SEARCH("6",'Procyfloc AL200'!D465)),EDATE(AB3964,6),IF(ISNUMBER(SEARCH("3",'Procyfloc AL200'!D465)),EDATE(AB3964,3),DATEVALUE('Procyfloc AL200'!D465))))),""))</f>
        <v/>
      </c>
      <c r="AM3964" t="str">
        <f t="shared" ca="1" si="388"/>
        <v/>
      </c>
    </row>
    <row r="3965" spans="27:39" x14ac:dyDescent="0.3">
      <c r="AA3965" t="str">
        <f>IF(COUNTA('Procyfloc AL200'!A466,'Procyfloc AL200'!B466,'Procyfloc AL200'!C466)&gt;0,"AL200","")</f>
        <v/>
      </c>
      <c r="AB3965" t="str">
        <f>IFERROR(IF(ISNUMBER('Procyfloc AL200'!A466),'Procyfloc AL200'!A466,DATEVALUE('Procyfloc AL200'!A466)),"")</f>
        <v/>
      </c>
      <c r="AC3965" t="str">
        <f>IF(AA3965="","",'Procyfloc AL200'!B466)</f>
        <v/>
      </c>
      <c r="AD3965" t="str">
        <f>IF(AA3965="","",IFERROR(1*'Procyfloc AL200'!C466,IFERROR(_xludf.NUMBERVALUE('Procyfloc AL200'!C466,".",","),IFERROR(_xludf.NUMBERVALUE('Procyfloc AL200'!C466,",","."),0))))</f>
        <v/>
      </c>
      <c r="AE3965" t="str">
        <f>IF(AA3965="","",'Procyfloc AL200'!K466)</f>
        <v/>
      </c>
      <c r="AF3965">
        <f t="shared" si="383"/>
        <v>0</v>
      </c>
      <c r="AG3965" t="str">
        <f t="shared" si="384"/>
        <v/>
      </c>
      <c r="AH3965" t="str">
        <f t="shared" si="385"/>
        <v/>
      </c>
      <c r="AI3965">
        <f t="shared" si="386"/>
        <v>0</v>
      </c>
      <c r="AJ3965">
        <f t="shared" si="387"/>
        <v>0</v>
      </c>
      <c r="AK3965">
        <v>0</v>
      </c>
      <c r="AL3965" t="str">
        <f>IF(AA3965="","",IFERROR(IF(ISNUMBER('Procyfloc AL200'!D466),'Procyfloc AL200'!D466,IF(ISNUMBER(SEARCH("12",'Procyfloc AL200'!D466)),EDATE(AB3965,12),IF(ISNUMBER(SEARCH("6",'Procyfloc AL200'!D466)),EDATE(AB3965,6),IF(ISNUMBER(SEARCH("3",'Procyfloc AL200'!D466)),EDATE(AB3965,3),DATEVALUE('Procyfloc AL200'!D466))))),""))</f>
        <v/>
      </c>
      <c r="AM3965" t="str">
        <f t="shared" ca="1" si="388"/>
        <v/>
      </c>
    </row>
    <row r="3966" spans="27:39" x14ac:dyDescent="0.3">
      <c r="AA3966" t="str">
        <f>IF(COUNTA('Procyfloc AL200'!A467,'Procyfloc AL200'!B467,'Procyfloc AL200'!C467)&gt;0,"AL200","")</f>
        <v/>
      </c>
      <c r="AB3966" t="str">
        <f>IFERROR(IF(ISNUMBER('Procyfloc AL200'!A467),'Procyfloc AL200'!A467,DATEVALUE('Procyfloc AL200'!A467)),"")</f>
        <v/>
      </c>
      <c r="AC3966" t="str">
        <f>IF(AA3966="","",'Procyfloc AL200'!B467)</f>
        <v/>
      </c>
      <c r="AD3966" t="str">
        <f>IF(AA3966="","",IFERROR(1*'Procyfloc AL200'!C467,IFERROR(_xludf.NUMBERVALUE('Procyfloc AL200'!C467,".",","),IFERROR(_xludf.NUMBERVALUE('Procyfloc AL200'!C467,",","."),0))))</f>
        <v/>
      </c>
      <c r="AE3966" t="str">
        <f>IF(AA3966="","",'Procyfloc AL200'!K467)</f>
        <v/>
      </c>
      <c r="AF3966">
        <f t="shared" si="383"/>
        <v>0</v>
      </c>
      <c r="AG3966" t="str">
        <f t="shared" si="384"/>
        <v/>
      </c>
      <c r="AH3966" t="str">
        <f t="shared" si="385"/>
        <v/>
      </c>
      <c r="AI3966">
        <f t="shared" si="386"/>
        <v>0</v>
      </c>
      <c r="AJ3966">
        <f t="shared" si="387"/>
        <v>0</v>
      </c>
      <c r="AK3966">
        <v>0</v>
      </c>
      <c r="AL3966" t="str">
        <f>IF(AA3966="","",IFERROR(IF(ISNUMBER('Procyfloc AL200'!D467),'Procyfloc AL200'!D467,IF(ISNUMBER(SEARCH("12",'Procyfloc AL200'!D467)),EDATE(AB3966,12),IF(ISNUMBER(SEARCH("6",'Procyfloc AL200'!D467)),EDATE(AB3966,6),IF(ISNUMBER(SEARCH("3",'Procyfloc AL200'!D467)),EDATE(AB3966,3),DATEVALUE('Procyfloc AL200'!D467))))),""))</f>
        <v/>
      </c>
      <c r="AM3966" t="str">
        <f t="shared" ca="1" si="388"/>
        <v/>
      </c>
    </row>
    <row r="3967" spans="27:39" x14ac:dyDescent="0.3">
      <c r="AA3967" t="str">
        <f>IF(COUNTA('Procyfloc AL200'!A468,'Procyfloc AL200'!B468,'Procyfloc AL200'!C468)&gt;0,"AL200","")</f>
        <v/>
      </c>
      <c r="AB3967" t="str">
        <f>IFERROR(IF(ISNUMBER('Procyfloc AL200'!A468),'Procyfloc AL200'!A468,DATEVALUE('Procyfloc AL200'!A468)),"")</f>
        <v/>
      </c>
      <c r="AC3967" t="str">
        <f>IF(AA3967="","",'Procyfloc AL200'!B468)</f>
        <v/>
      </c>
      <c r="AD3967" t="str">
        <f>IF(AA3967="","",IFERROR(1*'Procyfloc AL200'!C468,IFERROR(_xludf.NUMBERVALUE('Procyfloc AL200'!C468,".",","),IFERROR(_xludf.NUMBERVALUE('Procyfloc AL200'!C468,",","."),0))))</f>
        <v/>
      </c>
      <c r="AE3967" t="str">
        <f>IF(AA3967="","",'Procyfloc AL200'!K468)</f>
        <v/>
      </c>
      <c r="AF3967">
        <f t="shared" si="383"/>
        <v>0</v>
      </c>
      <c r="AG3967" t="str">
        <f t="shared" si="384"/>
        <v/>
      </c>
      <c r="AH3967" t="str">
        <f t="shared" si="385"/>
        <v/>
      </c>
      <c r="AI3967">
        <f t="shared" si="386"/>
        <v>0</v>
      </c>
      <c r="AJ3967">
        <f t="shared" si="387"/>
        <v>0</v>
      </c>
      <c r="AK3967">
        <v>0</v>
      </c>
      <c r="AL3967" t="str">
        <f>IF(AA3967="","",IFERROR(IF(ISNUMBER('Procyfloc AL200'!D468),'Procyfloc AL200'!D468,IF(ISNUMBER(SEARCH("12",'Procyfloc AL200'!D468)),EDATE(AB3967,12),IF(ISNUMBER(SEARCH("6",'Procyfloc AL200'!D468)),EDATE(AB3967,6),IF(ISNUMBER(SEARCH("3",'Procyfloc AL200'!D468)),EDATE(AB3967,3),DATEVALUE('Procyfloc AL200'!D468))))),""))</f>
        <v/>
      </c>
      <c r="AM3967" t="str">
        <f t="shared" ca="1" si="388"/>
        <v/>
      </c>
    </row>
    <row r="3968" spans="27:39" x14ac:dyDescent="0.3">
      <c r="AA3968" t="str">
        <f>IF(COUNTA('Procyfloc AL200'!A469,'Procyfloc AL200'!B469,'Procyfloc AL200'!C469)&gt;0,"AL200","")</f>
        <v/>
      </c>
      <c r="AB3968" t="str">
        <f>IFERROR(IF(ISNUMBER('Procyfloc AL200'!A469),'Procyfloc AL200'!A469,DATEVALUE('Procyfloc AL200'!A469)),"")</f>
        <v/>
      </c>
      <c r="AC3968" t="str">
        <f>IF(AA3968="","",'Procyfloc AL200'!B469)</f>
        <v/>
      </c>
      <c r="AD3968" t="str">
        <f>IF(AA3968="","",IFERROR(1*'Procyfloc AL200'!C469,IFERROR(_xludf.NUMBERVALUE('Procyfloc AL200'!C469,".",","),IFERROR(_xludf.NUMBERVALUE('Procyfloc AL200'!C469,",","."),0))))</f>
        <v/>
      </c>
      <c r="AE3968" t="str">
        <f>IF(AA3968="","",'Procyfloc AL200'!K469)</f>
        <v/>
      </c>
      <c r="AF3968">
        <f t="shared" si="383"/>
        <v>0</v>
      </c>
      <c r="AG3968" t="str">
        <f t="shared" si="384"/>
        <v/>
      </c>
      <c r="AH3968" t="str">
        <f t="shared" si="385"/>
        <v/>
      </c>
      <c r="AI3968">
        <f t="shared" si="386"/>
        <v>0</v>
      </c>
      <c r="AJ3968">
        <f t="shared" si="387"/>
        <v>0</v>
      </c>
      <c r="AK3968">
        <v>0</v>
      </c>
      <c r="AL3968" t="str">
        <f>IF(AA3968="","",IFERROR(IF(ISNUMBER('Procyfloc AL200'!D469),'Procyfloc AL200'!D469,IF(ISNUMBER(SEARCH("12",'Procyfloc AL200'!D469)),EDATE(AB3968,12),IF(ISNUMBER(SEARCH("6",'Procyfloc AL200'!D469)),EDATE(AB3968,6),IF(ISNUMBER(SEARCH("3",'Procyfloc AL200'!D469)),EDATE(AB3968,3),DATEVALUE('Procyfloc AL200'!D469))))),""))</f>
        <v/>
      </c>
      <c r="AM3968" t="str">
        <f t="shared" ca="1" si="388"/>
        <v/>
      </c>
    </row>
    <row r="3969" spans="27:39" x14ac:dyDescent="0.3">
      <c r="AA3969" t="str">
        <f>IF(COUNTA('Procyfloc AL200'!A470,'Procyfloc AL200'!B470,'Procyfloc AL200'!C470)&gt;0,"AL200","")</f>
        <v/>
      </c>
      <c r="AB3969" t="str">
        <f>IFERROR(IF(ISNUMBER('Procyfloc AL200'!A470),'Procyfloc AL200'!A470,DATEVALUE('Procyfloc AL200'!A470)),"")</f>
        <v/>
      </c>
      <c r="AC3969" t="str">
        <f>IF(AA3969="","",'Procyfloc AL200'!B470)</f>
        <v/>
      </c>
      <c r="AD3969" t="str">
        <f>IF(AA3969="","",IFERROR(1*'Procyfloc AL200'!C470,IFERROR(_xludf.NUMBERVALUE('Procyfloc AL200'!C470,".",","),IFERROR(_xludf.NUMBERVALUE('Procyfloc AL200'!C470,",","."),0))))</f>
        <v/>
      </c>
      <c r="AE3969" t="str">
        <f>IF(AA3969="","",'Procyfloc AL200'!K470)</f>
        <v/>
      </c>
      <c r="AF3969">
        <f t="shared" si="383"/>
        <v>0</v>
      </c>
      <c r="AG3969" t="str">
        <f t="shared" si="384"/>
        <v/>
      </c>
      <c r="AH3969" t="str">
        <f t="shared" si="385"/>
        <v/>
      </c>
      <c r="AI3969">
        <f t="shared" si="386"/>
        <v>0</v>
      </c>
      <c r="AJ3969">
        <f t="shared" si="387"/>
        <v>0</v>
      </c>
      <c r="AK3969">
        <v>0</v>
      </c>
      <c r="AL3969" t="str">
        <f>IF(AA3969="","",IFERROR(IF(ISNUMBER('Procyfloc AL200'!D470),'Procyfloc AL200'!D470,IF(ISNUMBER(SEARCH("12",'Procyfloc AL200'!D470)),EDATE(AB3969,12),IF(ISNUMBER(SEARCH("6",'Procyfloc AL200'!D470)),EDATE(AB3969,6),IF(ISNUMBER(SEARCH("3",'Procyfloc AL200'!D470)),EDATE(AB3969,3),DATEVALUE('Procyfloc AL200'!D470))))),""))</f>
        <v/>
      </c>
      <c r="AM3969" t="str">
        <f t="shared" ca="1" si="388"/>
        <v/>
      </c>
    </row>
    <row r="3970" spans="27:39" x14ac:dyDescent="0.3">
      <c r="AA3970" t="str">
        <f>IF(COUNTA('Procyfloc AL200'!A471,'Procyfloc AL200'!B471,'Procyfloc AL200'!C471)&gt;0,"AL200","")</f>
        <v/>
      </c>
      <c r="AB3970" t="str">
        <f>IFERROR(IF(ISNUMBER('Procyfloc AL200'!A471),'Procyfloc AL200'!A471,DATEVALUE('Procyfloc AL200'!A471)),"")</f>
        <v/>
      </c>
      <c r="AC3970" t="str">
        <f>IF(AA3970="","",'Procyfloc AL200'!B471)</f>
        <v/>
      </c>
      <c r="AD3970" t="str">
        <f>IF(AA3970="","",IFERROR(1*'Procyfloc AL200'!C471,IFERROR(_xludf.NUMBERVALUE('Procyfloc AL200'!C471,".",","),IFERROR(_xludf.NUMBERVALUE('Procyfloc AL200'!C471,",","."),0))))</f>
        <v/>
      </c>
      <c r="AE3970" t="str">
        <f>IF(AA3970="","",'Procyfloc AL200'!K471)</f>
        <v/>
      </c>
      <c r="AF3970">
        <f t="shared" ref="AF3970:AF4001" si="389">IF(AA3970="",0,--AND(ISNUMBER(SEARCH("aprov",AE3970)),NOT(ISNUMBER(SEARCH("reprov",AE3970)))))</f>
        <v>0</v>
      </c>
      <c r="AG3970" t="str">
        <f t="shared" ref="AG3970:AG4001" si="390">IF(AB3970="","",YEAR(AB3970))</f>
        <v/>
      </c>
      <c r="AH3970" t="str">
        <f t="shared" ref="AH3970:AH4001" si="391">IF(AB3970="","",MONTH(AB3970))</f>
        <v/>
      </c>
      <c r="AI3970">
        <f t="shared" ref="AI3970:AI4001" si="392">IF(AB3970="",0,AB3970+ROW()/1000000)</f>
        <v>0</v>
      </c>
      <c r="AJ3970">
        <f t="shared" ref="AJ3970:AJ4001" si="393">--(AA3970&lt;&gt;"")</f>
        <v>0</v>
      </c>
      <c r="AK3970">
        <v>0</v>
      </c>
      <c r="AL3970" t="str">
        <f>IF(AA3970="","",IFERROR(IF(ISNUMBER('Procyfloc AL200'!D471),'Procyfloc AL200'!D471,IF(ISNUMBER(SEARCH("12",'Procyfloc AL200'!D471)),EDATE(AB3970,12),IF(ISNUMBER(SEARCH("6",'Procyfloc AL200'!D471)),EDATE(AB3970,6),IF(ISNUMBER(SEARCH("3",'Procyfloc AL200'!D471)),EDATE(AB3970,3),DATEVALUE('Procyfloc AL200'!D471))))),""))</f>
        <v/>
      </c>
      <c r="AM3970" t="str">
        <f t="shared" ref="AM3970:AM4001" ca="1" si="394">IF(AND(AJ3970=1,AL3970&lt;&gt;"",AL3970&gt;=TODAY(),AG3970=$W$3),AL3970+ROW()/1000000,"")</f>
        <v/>
      </c>
    </row>
    <row r="3971" spans="27:39" x14ac:dyDescent="0.3">
      <c r="AA3971" t="str">
        <f>IF(COUNTA('Procyfloc AL200'!A472,'Procyfloc AL200'!B472,'Procyfloc AL200'!C472)&gt;0,"AL200","")</f>
        <v/>
      </c>
      <c r="AB3971" t="str">
        <f>IFERROR(IF(ISNUMBER('Procyfloc AL200'!A472),'Procyfloc AL200'!A472,DATEVALUE('Procyfloc AL200'!A472)),"")</f>
        <v/>
      </c>
      <c r="AC3971" t="str">
        <f>IF(AA3971="","",'Procyfloc AL200'!B472)</f>
        <v/>
      </c>
      <c r="AD3971" t="str">
        <f>IF(AA3971="","",IFERROR(1*'Procyfloc AL200'!C472,IFERROR(_xludf.NUMBERVALUE('Procyfloc AL200'!C472,".",","),IFERROR(_xludf.NUMBERVALUE('Procyfloc AL200'!C472,",","."),0))))</f>
        <v/>
      </c>
      <c r="AE3971" t="str">
        <f>IF(AA3971="","",'Procyfloc AL200'!K472)</f>
        <v/>
      </c>
      <c r="AF3971">
        <f t="shared" si="389"/>
        <v>0</v>
      </c>
      <c r="AG3971" t="str">
        <f t="shared" si="390"/>
        <v/>
      </c>
      <c r="AH3971" t="str">
        <f t="shared" si="391"/>
        <v/>
      </c>
      <c r="AI3971">
        <f t="shared" si="392"/>
        <v>0</v>
      </c>
      <c r="AJ3971">
        <f t="shared" si="393"/>
        <v>0</v>
      </c>
      <c r="AK3971">
        <v>0</v>
      </c>
      <c r="AL3971" t="str">
        <f>IF(AA3971="","",IFERROR(IF(ISNUMBER('Procyfloc AL200'!D472),'Procyfloc AL200'!D472,IF(ISNUMBER(SEARCH("12",'Procyfloc AL200'!D472)),EDATE(AB3971,12),IF(ISNUMBER(SEARCH("6",'Procyfloc AL200'!D472)),EDATE(AB3971,6),IF(ISNUMBER(SEARCH("3",'Procyfloc AL200'!D472)),EDATE(AB3971,3),DATEVALUE('Procyfloc AL200'!D472))))),""))</f>
        <v/>
      </c>
      <c r="AM3971" t="str">
        <f t="shared" ca="1" si="394"/>
        <v/>
      </c>
    </row>
    <row r="3972" spans="27:39" x14ac:dyDescent="0.3">
      <c r="AA3972" t="str">
        <f>IF(COUNTA('Procyfloc AL200'!A473,'Procyfloc AL200'!B473,'Procyfloc AL200'!C473)&gt;0,"AL200","")</f>
        <v/>
      </c>
      <c r="AB3972" t="str">
        <f>IFERROR(IF(ISNUMBER('Procyfloc AL200'!A473),'Procyfloc AL200'!A473,DATEVALUE('Procyfloc AL200'!A473)),"")</f>
        <v/>
      </c>
      <c r="AC3972" t="str">
        <f>IF(AA3972="","",'Procyfloc AL200'!B473)</f>
        <v/>
      </c>
      <c r="AD3972" t="str">
        <f>IF(AA3972="","",IFERROR(1*'Procyfloc AL200'!C473,IFERROR(_xludf.NUMBERVALUE('Procyfloc AL200'!C473,".",","),IFERROR(_xludf.NUMBERVALUE('Procyfloc AL200'!C473,",","."),0))))</f>
        <v/>
      </c>
      <c r="AE3972" t="str">
        <f>IF(AA3972="","",'Procyfloc AL200'!K473)</f>
        <v/>
      </c>
      <c r="AF3972">
        <f t="shared" si="389"/>
        <v>0</v>
      </c>
      <c r="AG3972" t="str">
        <f t="shared" si="390"/>
        <v/>
      </c>
      <c r="AH3972" t="str">
        <f t="shared" si="391"/>
        <v/>
      </c>
      <c r="AI3972">
        <f t="shared" si="392"/>
        <v>0</v>
      </c>
      <c r="AJ3972">
        <f t="shared" si="393"/>
        <v>0</v>
      </c>
      <c r="AK3972">
        <v>0</v>
      </c>
      <c r="AL3972" t="str">
        <f>IF(AA3972="","",IFERROR(IF(ISNUMBER('Procyfloc AL200'!D473),'Procyfloc AL200'!D473,IF(ISNUMBER(SEARCH("12",'Procyfloc AL200'!D473)),EDATE(AB3972,12),IF(ISNUMBER(SEARCH("6",'Procyfloc AL200'!D473)),EDATE(AB3972,6),IF(ISNUMBER(SEARCH("3",'Procyfloc AL200'!D473)),EDATE(AB3972,3),DATEVALUE('Procyfloc AL200'!D473))))),""))</f>
        <v/>
      </c>
      <c r="AM3972" t="str">
        <f t="shared" ca="1" si="394"/>
        <v/>
      </c>
    </row>
    <row r="3973" spans="27:39" x14ac:dyDescent="0.3">
      <c r="AA3973" t="str">
        <f>IF(COUNTA('Procyfloc AL200'!A474,'Procyfloc AL200'!B474,'Procyfloc AL200'!C474)&gt;0,"AL200","")</f>
        <v/>
      </c>
      <c r="AB3973" t="str">
        <f>IFERROR(IF(ISNUMBER('Procyfloc AL200'!A474),'Procyfloc AL200'!A474,DATEVALUE('Procyfloc AL200'!A474)),"")</f>
        <v/>
      </c>
      <c r="AC3973" t="str">
        <f>IF(AA3973="","",'Procyfloc AL200'!B474)</f>
        <v/>
      </c>
      <c r="AD3973" t="str">
        <f>IF(AA3973="","",IFERROR(1*'Procyfloc AL200'!C474,IFERROR(_xludf.NUMBERVALUE('Procyfloc AL200'!C474,".",","),IFERROR(_xludf.NUMBERVALUE('Procyfloc AL200'!C474,",","."),0))))</f>
        <v/>
      </c>
      <c r="AE3973" t="str">
        <f>IF(AA3973="","",'Procyfloc AL200'!K474)</f>
        <v/>
      </c>
      <c r="AF3973">
        <f t="shared" si="389"/>
        <v>0</v>
      </c>
      <c r="AG3973" t="str">
        <f t="shared" si="390"/>
        <v/>
      </c>
      <c r="AH3973" t="str">
        <f t="shared" si="391"/>
        <v/>
      </c>
      <c r="AI3973">
        <f t="shared" si="392"/>
        <v>0</v>
      </c>
      <c r="AJ3973">
        <f t="shared" si="393"/>
        <v>0</v>
      </c>
      <c r="AK3973">
        <v>0</v>
      </c>
      <c r="AL3973" t="str">
        <f>IF(AA3973="","",IFERROR(IF(ISNUMBER('Procyfloc AL200'!D474),'Procyfloc AL200'!D474,IF(ISNUMBER(SEARCH("12",'Procyfloc AL200'!D474)),EDATE(AB3973,12),IF(ISNUMBER(SEARCH("6",'Procyfloc AL200'!D474)),EDATE(AB3973,6),IF(ISNUMBER(SEARCH("3",'Procyfloc AL200'!D474)),EDATE(AB3973,3),DATEVALUE('Procyfloc AL200'!D474))))),""))</f>
        <v/>
      </c>
      <c r="AM3973" t="str">
        <f t="shared" ca="1" si="394"/>
        <v/>
      </c>
    </row>
    <row r="3974" spans="27:39" x14ac:dyDescent="0.3">
      <c r="AA3974" t="str">
        <f>IF(COUNTA('Procyfloc AL200'!A475,'Procyfloc AL200'!B475,'Procyfloc AL200'!C475)&gt;0,"AL200","")</f>
        <v/>
      </c>
      <c r="AB3974" t="str">
        <f>IFERROR(IF(ISNUMBER('Procyfloc AL200'!A475),'Procyfloc AL200'!A475,DATEVALUE('Procyfloc AL200'!A475)),"")</f>
        <v/>
      </c>
      <c r="AC3974" t="str">
        <f>IF(AA3974="","",'Procyfloc AL200'!B475)</f>
        <v/>
      </c>
      <c r="AD3974" t="str">
        <f>IF(AA3974="","",IFERROR(1*'Procyfloc AL200'!C475,IFERROR(_xludf.NUMBERVALUE('Procyfloc AL200'!C475,".",","),IFERROR(_xludf.NUMBERVALUE('Procyfloc AL200'!C475,",","."),0))))</f>
        <v/>
      </c>
      <c r="AE3974" t="str">
        <f>IF(AA3974="","",'Procyfloc AL200'!K475)</f>
        <v/>
      </c>
      <c r="AF3974">
        <f t="shared" si="389"/>
        <v>0</v>
      </c>
      <c r="AG3974" t="str">
        <f t="shared" si="390"/>
        <v/>
      </c>
      <c r="AH3974" t="str">
        <f t="shared" si="391"/>
        <v/>
      </c>
      <c r="AI3974">
        <f t="shared" si="392"/>
        <v>0</v>
      </c>
      <c r="AJ3974">
        <f t="shared" si="393"/>
        <v>0</v>
      </c>
      <c r="AK3974">
        <v>0</v>
      </c>
      <c r="AL3974" t="str">
        <f>IF(AA3974="","",IFERROR(IF(ISNUMBER('Procyfloc AL200'!D475),'Procyfloc AL200'!D475,IF(ISNUMBER(SEARCH("12",'Procyfloc AL200'!D475)),EDATE(AB3974,12),IF(ISNUMBER(SEARCH("6",'Procyfloc AL200'!D475)),EDATE(AB3974,6),IF(ISNUMBER(SEARCH("3",'Procyfloc AL200'!D475)),EDATE(AB3974,3),DATEVALUE('Procyfloc AL200'!D475))))),""))</f>
        <v/>
      </c>
      <c r="AM3974" t="str">
        <f t="shared" ca="1" si="394"/>
        <v/>
      </c>
    </row>
    <row r="3975" spans="27:39" x14ac:dyDescent="0.3">
      <c r="AA3975" t="str">
        <f>IF(COUNTA('Procyfloc AL200'!A476,'Procyfloc AL200'!B476,'Procyfloc AL200'!C476)&gt;0,"AL200","")</f>
        <v/>
      </c>
      <c r="AB3975" t="str">
        <f>IFERROR(IF(ISNUMBER('Procyfloc AL200'!A476),'Procyfloc AL200'!A476,DATEVALUE('Procyfloc AL200'!A476)),"")</f>
        <v/>
      </c>
      <c r="AC3975" t="str">
        <f>IF(AA3975="","",'Procyfloc AL200'!B476)</f>
        <v/>
      </c>
      <c r="AD3975" t="str">
        <f>IF(AA3975="","",IFERROR(1*'Procyfloc AL200'!C476,IFERROR(_xludf.NUMBERVALUE('Procyfloc AL200'!C476,".",","),IFERROR(_xludf.NUMBERVALUE('Procyfloc AL200'!C476,",","."),0))))</f>
        <v/>
      </c>
      <c r="AE3975" t="str">
        <f>IF(AA3975="","",'Procyfloc AL200'!K476)</f>
        <v/>
      </c>
      <c r="AF3975">
        <f t="shared" si="389"/>
        <v>0</v>
      </c>
      <c r="AG3975" t="str">
        <f t="shared" si="390"/>
        <v/>
      </c>
      <c r="AH3975" t="str">
        <f t="shared" si="391"/>
        <v/>
      </c>
      <c r="AI3975">
        <f t="shared" si="392"/>
        <v>0</v>
      </c>
      <c r="AJ3975">
        <f t="shared" si="393"/>
        <v>0</v>
      </c>
      <c r="AK3975">
        <v>0</v>
      </c>
      <c r="AL3975" t="str">
        <f>IF(AA3975="","",IFERROR(IF(ISNUMBER('Procyfloc AL200'!D476),'Procyfloc AL200'!D476,IF(ISNUMBER(SEARCH("12",'Procyfloc AL200'!D476)),EDATE(AB3975,12),IF(ISNUMBER(SEARCH("6",'Procyfloc AL200'!D476)),EDATE(AB3975,6),IF(ISNUMBER(SEARCH("3",'Procyfloc AL200'!D476)),EDATE(AB3975,3),DATEVALUE('Procyfloc AL200'!D476))))),""))</f>
        <v/>
      </c>
      <c r="AM3975" t="str">
        <f t="shared" ca="1" si="394"/>
        <v/>
      </c>
    </row>
    <row r="3976" spans="27:39" x14ac:dyDescent="0.3">
      <c r="AA3976" t="str">
        <f>IF(COUNTA('Procyfloc AL200'!A477,'Procyfloc AL200'!B477,'Procyfloc AL200'!C477)&gt;0,"AL200","")</f>
        <v/>
      </c>
      <c r="AB3976" t="str">
        <f>IFERROR(IF(ISNUMBER('Procyfloc AL200'!A477),'Procyfloc AL200'!A477,DATEVALUE('Procyfloc AL200'!A477)),"")</f>
        <v/>
      </c>
      <c r="AC3976" t="str">
        <f>IF(AA3976="","",'Procyfloc AL200'!B477)</f>
        <v/>
      </c>
      <c r="AD3976" t="str">
        <f>IF(AA3976="","",IFERROR(1*'Procyfloc AL200'!C477,IFERROR(_xludf.NUMBERVALUE('Procyfloc AL200'!C477,".",","),IFERROR(_xludf.NUMBERVALUE('Procyfloc AL200'!C477,",","."),0))))</f>
        <v/>
      </c>
      <c r="AE3976" t="str">
        <f>IF(AA3976="","",'Procyfloc AL200'!K477)</f>
        <v/>
      </c>
      <c r="AF3976">
        <f t="shared" si="389"/>
        <v>0</v>
      </c>
      <c r="AG3976" t="str">
        <f t="shared" si="390"/>
        <v/>
      </c>
      <c r="AH3976" t="str">
        <f t="shared" si="391"/>
        <v/>
      </c>
      <c r="AI3976">
        <f t="shared" si="392"/>
        <v>0</v>
      </c>
      <c r="AJ3976">
        <f t="shared" si="393"/>
        <v>0</v>
      </c>
      <c r="AK3976">
        <v>0</v>
      </c>
      <c r="AL3976" t="str">
        <f>IF(AA3976="","",IFERROR(IF(ISNUMBER('Procyfloc AL200'!D477),'Procyfloc AL200'!D477,IF(ISNUMBER(SEARCH("12",'Procyfloc AL200'!D477)),EDATE(AB3976,12),IF(ISNUMBER(SEARCH("6",'Procyfloc AL200'!D477)),EDATE(AB3976,6),IF(ISNUMBER(SEARCH("3",'Procyfloc AL200'!D477)),EDATE(AB3976,3),DATEVALUE('Procyfloc AL200'!D477))))),""))</f>
        <v/>
      </c>
      <c r="AM3976" t="str">
        <f t="shared" ca="1" si="394"/>
        <v/>
      </c>
    </row>
    <row r="3977" spans="27:39" x14ac:dyDescent="0.3">
      <c r="AA3977" t="str">
        <f>IF(COUNTA('Procyfloc AL200'!A478,'Procyfloc AL200'!B478,'Procyfloc AL200'!C478)&gt;0,"AL200","")</f>
        <v/>
      </c>
      <c r="AB3977" t="str">
        <f>IFERROR(IF(ISNUMBER('Procyfloc AL200'!A478),'Procyfloc AL200'!A478,DATEVALUE('Procyfloc AL200'!A478)),"")</f>
        <v/>
      </c>
      <c r="AC3977" t="str">
        <f>IF(AA3977="","",'Procyfloc AL200'!B478)</f>
        <v/>
      </c>
      <c r="AD3977" t="str">
        <f>IF(AA3977="","",IFERROR(1*'Procyfloc AL200'!C478,IFERROR(_xludf.NUMBERVALUE('Procyfloc AL200'!C478,".",","),IFERROR(_xludf.NUMBERVALUE('Procyfloc AL200'!C478,",","."),0))))</f>
        <v/>
      </c>
      <c r="AE3977" t="str">
        <f>IF(AA3977="","",'Procyfloc AL200'!K478)</f>
        <v/>
      </c>
      <c r="AF3977">
        <f t="shared" si="389"/>
        <v>0</v>
      </c>
      <c r="AG3977" t="str">
        <f t="shared" si="390"/>
        <v/>
      </c>
      <c r="AH3977" t="str">
        <f t="shared" si="391"/>
        <v/>
      </c>
      <c r="AI3977">
        <f t="shared" si="392"/>
        <v>0</v>
      </c>
      <c r="AJ3977">
        <f t="shared" si="393"/>
        <v>0</v>
      </c>
      <c r="AK3977">
        <v>0</v>
      </c>
      <c r="AL3977" t="str">
        <f>IF(AA3977="","",IFERROR(IF(ISNUMBER('Procyfloc AL200'!D478),'Procyfloc AL200'!D478,IF(ISNUMBER(SEARCH("12",'Procyfloc AL200'!D478)),EDATE(AB3977,12),IF(ISNUMBER(SEARCH("6",'Procyfloc AL200'!D478)),EDATE(AB3977,6),IF(ISNUMBER(SEARCH("3",'Procyfloc AL200'!D478)),EDATE(AB3977,3),DATEVALUE('Procyfloc AL200'!D478))))),""))</f>
        <v/>
      </c>
      <c r="AM3977" t="str">
        <f t="shared" ca="1" si="394"/>
        <v/>
      </c>
    </row>
    <row r="3978" spans="27:39" x14ac:dyDescent="0.3">
      <c r="AA3978" t="str">
        <f>IF(COUNTA('Procyfloc AL200'!A479,'Procyfloc AL200'!B479,'Procyfloc AL200'!C479)&gt;0,"AL200","")</f>
        <v/>
      </c>
      <c r="AB3978" t="str">
        <f>IFERROR(IF(ISNUMBER('Procyfloc AL200'!A479),'Procyfloc AL200'!A479,DATEVALUE('Procyfloc AL200'!A479)),"")</f>
        <v/>
      </c>
      <c r="AC3978" t="str">
        <f>IF(AA3978="","",'Procyfloc AL200'!B479)</f>
        <v/>
      </c>
      <c r="AD3978" t="str">
        <f>IF(AA3978="","",IFERROR(1*'Procyfloc AL200'!C479,IFERROR(_xludf.NUMBERVALUE('Procyfloc AL200'!C479,".",","),IFERROR(_xludf.NUMBERVALUE('Procyfloc AL200'!C479,",","."),0))))</f>
        <v/>
      </c>
      <c r="AE3978" t="str">
        <f>IF(AA3978="","",'Procyfloc AL200'!K479)</f>
        <v/>
      </c>
      <c r="AF3978">
        <f t="shared" si="389"/>
        <v>0</v>
      </c>
      <c r="AG3978" t="str">
        <f t="shared" si="390"/>
        <v/>
      </c>
      <c r="AH3978" t="str">
        <f t="shared" si="391"/>
        <v/>
      </c>
      <c r="AI3978">
        <f t="shared" si="392"/>
        <v>0</v>
      </c>
      <c r="AJ3978">
        <f t="shared" si="393"/>
        <v>0</v>
      </c>
      <c r="AK3978">
        <v>0</v>
      </c>
      <c r="AL3978" t="str">
        <f>IF(AA3978="","",IFERROR(IF(ISNUMBER('Procyfloc AL200'!D479),'Procyfloc AL200'!D479,IF(ISNUMBER(SEARCH("12",'Procyfloc AL200'!D479)),EDATE(AB3978,12),IF(ISNUMBER(SEARCH("6",'Procyfloc AL200'!D479)),EDATE(AB3978,6),IF(ISNUMBER(SEARCH("3",'Procyfloc AL200'!D479)),EDATE(AB3978,3),DATEVALUE('Procyfloc AL200'!D479))))),""))</f>
        <v/>
      </c>
      <c r="AM3978" t="str">
        <f t="shared" ca="1" si="394"/>
        <v/>
      </c>
    </row>
    <row r="3979" spans="27:39" x14ac:dyDescent="0.3">
      <c r="AA3979" t="str">
        <f>IF(COUNTA('Procyfloc AL200'!A480,'Procyfloc AL200'!B480,'Procyfloc AL200'!C480)&gt;0,"AL200","")</f>
        <v/>
      </c>
      <c r="AB3979" t="str">
        <f>IFERROR(IF(ISNUMBER('Procyfloc AL200'!A480),'Procyfloc AL200'!A480,DATEVALUE('Procyfloc AL200'!A480)),"")</f>
        <v/>
      </c>
      <c r="AC3979" t="str">
        <f>IF(AA3979="","",'Procyfloc AL200'!B480)</f>
        <v/>
      </c>
      <c r="AD3979" t="str">
        <f>IF(AA3979="","",IFERROR(1*'Procyfloc AL200'!C480,IFERROR(_xludf.NUMBERVALUE('Procyfloc AL200'!C480,".",","),IFERROR(_xludf.NUMBERVALUE('Procyfloc AL200'!C480,",","."),0))))</f>
        <v/>
      </c>
      <c r="AE3979" t="str">
        <f>IF(AA3979="","",'Procyfloc AL200'!K480)</f>
        <v/>
      </c>
      <c r="AF3979">
        <f t="shared" si="389"/>
        <v>0</v>
      </c>
      <c r="AG3979" t="str">
        <f t="shared" si="390"/>
        <v/>
      </c>
      <c r="AH3979" t="str">
        <f t="shared" si="391"/>
        <v/>
      </c>
      <c r="AI3979">
        <f t="shared" si="392"/>
        <v>0</v>
      </c>
      <c r="AJ3979">
        <f t="shared" si="393"/>
        <v>0</v>
      </c>
      <c r="AK3979">
        <v>0</v>
      </c>
      <c r="AL3979" t="str">
        <f>IF(AA3979="","",IFERROR(IF(ISNUMBER('Procyfloc AL200'!D480),'Procyfloc AL200'!D480,IF(ISNUMBER(SEARCH("12",'Procyfloc AL200'!D480)),EDATE(AB3979,12),IF(ISNUMBER(SEARCH("6",'Procyfloc AL200'!D480)),EDATE(AB3979,6),IF(ISNUMBER(SEARCH("3",'Procyfloc AL200'!D480)),EDATE(AB3979,3),DATEVALUE('Procyfloc AL200'!D480))))),""))</f>
        <v/>
      </c>
      <c r="AM3979" t="str">
        <f t="shared" ca="1" si="394"/>
        <v/>
      </c>
    </row>
    <row r="3980" spans="27:39" x14ac:dyDescent="0.3">
      <c r="AA3980" t="str">
        <f>IF(COUNTA('Procyfloc AL200'!A481,'Procyfloc AL200'!B481,'Procyfloc AL200'!C481)&gt;0,"AL200","")</f>
        <v/>
      </c>
      <c r="AB3980" t="str">
        <f>IFERROR(IF(ISNUMBER('Procyfloc AL200'!A481),'Procyfloc AL200'!A481,DATEVALUE('Procyfloc AL200'!A481)),"")</f>
        <v/>
      </c>
      <c r="AC3980" t="str">
        <f>IF(AA3980="","",'Procyfloc AL200'!B481)</f>
        <v/>
      </c>
      <c r="AD3980" t="str">
        <f>IF(AA3980="","",IFERROR(1*'Procyfloc AL200'!C481,IFERROR(_xludf.NUMBERVALUE('Procyfloc AL200'!C481,".",","),IFERROR(_xludf.NUMBERVALUE('Procyfloc AL200'!C481,",","."),0))))</f>
        <v/>
      </c>
      <c r="AE3980" t="str">
        <f>IF(AA3980="","",'Procyfloc AL200'!K481)</f>
        <v/>
      </c>
      <c r="AF3980">
        <f t="shared" si="389"/>
        <v>0</v>
      </c>
      <c r="AG3980" t="str">
        <f t="shared" si="390"/>
        <v/>
      </c>
      <c r="AH3980" t="str">
        <f t="shared" si="391"/>
        <v/>
      </c>
      <c r="AI3980">
        <f t="shared" si="392"/>
        <v>0</v>
      </c>
      <c r="AJ3980">
        <f t="shared" si="393"/>
        <v>0</v>
      </c>
      <c r="AK3980">
        <v>0</v>
      </c>
      <c r="AL3980" t="str">
        <f>IF(AA3980="","",IFERROR(IF(ISNUMBER('Procyfloc AL200'!D481),'Procyfloc AL200'!D481,IF(ISNUMBER(SEARCH("12",'Procyfloc AL200'!D481)),EDATE(AB3980,12),IF(ISNUMBER(SEARCH("6",'Procyfloc AL200'!D481)),EDATE(AB3980,6),IF(ISNUMBER(SEARCH("3",'Procyfloc AL200'!D481)),EDATE(AB3980,3),DATEVALUE('Procyfloc AL200'!D481))))),""))</f>
        <v/>
      </c>
      <c r="AM3980" t="str">
        <f t="shared" ca="1" si="394"/>
        <v/>
      </c>
    </row>
    <row r="3981" spans="27:39" x14ac:dyDescent="0.3">
      <c r="AA3981" t="str">
        <f>IF(COUNTA('Procyfloc AL200'!A482,'Procyfloc AL200'!B482,'Procyfloc AL200'!C482)&gt;0,"AL200","")</f>
        <v/>
      </c>
      <c r="AB3981" t="str">
        <f>IFERROR(IF(ISNUMBER('Procyfloc AL200'!A482),'Procyfloc AL200'!A482,DATEVALUE('Procyfloc AL200'!A482)),"")</f>
        <v/>
      </c>
      <c r="AC3981" t="str">
        <f>IF(AA3981="","",'Procyfloc AL200'!B482)</f>
        <v/>
      </c>
      <c r="AD3981" t="str">
        <f>IF(AA3981="","",IFERROR(1*'Procyfloc AL200'!C482,IFERROR(_xludf.NUMBERVALUE('Procyfloc AL200'!C482,".",","),IFERROR(_xludf.NUMBERVALUE('Procyfloc AL200'!C482,",","."),0))))</f>
        <v/>
      </c>
      <c r="AE3981" t="str">
        <f>IF(AA3981="","",'Procyfloc AL200'!K482)</f>
        <v/>
      </c>
      <c r="AF3981">
        <f t="shared" si="389"/>
        <v>0</v>
      </c>
      <c r="AG3981" t="str">
        <f t="shared" si="390"/>
        <v/>
      </c>
      <c r="AH3981" t="str">
        <f t="shared" si="391"/>
        <v/>
      </c>
      <c r="AI3981">
        <f t="shared" si="392"/>
        <v>0</v>
      </c>
      <c r="AJ3981">
        <f t="shared" si="393"/>
        <v>0</v>
      </c>
      <c r="AK3981">
        <v>0</v>
      </c>
      <c r="AL3981" t="str">
        <f>IF(AA3981="","",IFERROR(IF(ISNUMBER('Procyfloc AL200'!D482),'Procyfloc AL200'!D482,IF(ISNUMBER(SEARCH("12",'Procyfloc AL200'!D482)),EDATE(AB3981,12),IF(ISNUMBER(SEARCH("6",'Procyfloc AL200'!D482)),EDATE(AB3981,6),IF(ISNUMBER(SEARCH("3",'Procyfloc AL200'!D482)),EDATE(AB3981,3),DATEVALUE('Procyfloc AL200'!D482))))),""))</f>
        <v/>
      </c>
      <c r="AM3981" t="str">
        <f t="shared" ca="1" si="394"/>
        <v/>
      </c>
    </row>
    <row r="3982" spans="27:39" x14ac:dyDescent="0.3">
      <c r="AA3982" t="str">
        <f>IF(COUNTA('Procyfloc AL200'!A483,'Procyfloc AL200'!B483,'Procyfloc AL200'!C483)&gt;0,"AL200","")</f>
        <v/>
      </c>
      <c r="AB3982" t="str">
        <f>IFERROR(IF(ISNUMBER('Procyfloc AL200'!A483),'Procyfloc AL200'!A483,DATEVALUE('Procyfloc AL200'!A483)),"")</f>
        <v/>
      </c>
      <c r="AC3982" t="str">
        <f>IF(AA3982="","",'Procyfloc AL200'!B483)</f>
        <v/>
      </c>
      <c r="AD3982" t="str">
        <f>IF(AA3982="","",IFERROR(1*'Procyfloc AL200'!C483,IFERROR(_xludf.NUMBERVALUE('Procyfloc AL200'!C483,".",","),IFERROR(_xludf.NUMBERVALUE('Procyfloc AL200'!C483,",","."),0))))</f>
        <v/>
      </c>
      <c r="AE3982" t="str">
        <f>IF(AA3982="","",'Procyfloc AL200'!K483)</f>
        <v/>
      </c>
      <c r="AF3982">
        <f t="shared" si="389"/>
        <v>0</v>
      </c>
      <c r="AG3982" t="str">
        <f t="shared" si="390"/>
        <v/>
      </c>
      <c r="AH3982" t="str">
        <f t="shared" si="391"/>
        <v/>
      </c>
      <c r="AI3982">
        <f t="shared" si="392"/>
        <v>0</v>
      </c>
      <c r="AJ3982">
        <f t="shared" si="393"/>
        <v>0</v>
      </c>
      <c r="AK3982">
        <v>0</v>
      </c>
      <c r="AL3982" t="str">
        <f>IF(AA3982="","",IFERROR(IF(ISNUMBER('Procyfloc AL200'!D483),'Procyfloc AL200'!D483,IF(ISNUMBER(SEARCH("12",'Procyfloc AL200'!D483)),EDATE(AB3982,12),IF(ISNUMBER(SEARCH("6",'Procyfloc AL200'!D483)),EDATE(AB3982,6),IF(ISNUMBER(SEARCH("3",'Procyfloc AL200'!D483)),EDATE(AB3982,3),DATEVALUE('Procyfloc AL200'!D483))))),""))</f>
        <v/>
      </c>
      <c r="AM3982" t="str">
        <f t="shared" ca="1" si="394"/>
        <v/>
      </c>
    </row>
    <row r="3983" spans="27:39" x14ac:dyDescent="0.3">
      <c r="AA3983" t="str">
        <f>IF(COUNTA('Procyfloc AL200'!A484,'Procyfloc AL200'!B484,'Procyfloc AL200'!C484)&gt;0,"AL200","")</f>
        <v/>
      </c>
      <c r="AB3983" t="str">
        <f>IFERROR(IF(ISNUMBER('Procyfloc AL200'!A484),'Procyfloc AL200'!A484,DATEVALUE('Procyfloc AL200'!A484)),"")</f>
        <v/>
      </c>
      <c r="AC3983" t="str">
        <f>IF(AA3983="","",'Procyfloc AL200'!B484)</f>
        <v/>
      </c>
      <c r="AD3983" t="str">
        <f>IF(AA3983="","",IFERROR(1*'Procyfloc AL200'!C484,IFERROR(_xludf.NUMBERVALUE('Procyfloc AL200'!C484,".",","),IFERROR(_xludf.NUMBERVALUE('Procyfloc AL200'!C484,",","."),0))))</f>
        <v/>
      </c>
      <c r="AE3983" t="str">
        <f>IF(AA3983="","",'Procyfloc AL200'!K484)</f>
        <v/>
      </c>
      <c r="AF3983">
        <f t="shared" si="389"/>
        <v>0</v>
      </c>
      <c r="AG3983" t="str">
        <f t="shared" si="390"/>
        <v/>
      </c>
      <c r="AH3983" t="str">
        <f t="shared" si="391"/>
        <v/>
      </c>
      <c r="AI3983">
        <f t="shared" si="392"/>
        <v>0</v>
      </c>
      <c r="AJ3983">
        <f t="shared" si="393"/>
        <v>0</v>
      </c>
      <c r="AK3983">
        <v>0</v>
      </c>
      <c r="AL3983" t="str">
        <f>IF(AA3983="","",IFERROR(IF(ISNUMBER('Procyfloc AL200'!D484),'Procyfloc AL200'!D484,IF(ISNUMBER(SEARCH("12",'Procyfloc AL200'!D484)),EDATE(AB3983,12),IF(ISNUMBER(SEARCH("6",'Procyfloc AL200'!D484)),EDATE(AB3983,6),IF(ISNUMBER(SEARCH("3",'Procyfloc AL200'!D484)),EDATE(AB3983,3),DATEVALUE('Procyfloc AL200'!D484))))),""))</f>
        <v/>
      </c>
      <c r="AM3983" t="str">
        <f t="shared" ca="1" si="394"/>
        <v/>
      </c>
    </row>
    <row r="3984" spans="27:39" x14ac:dyDescent="0.3">
      <c r="AA3984" t="str">
        <f>IF(COUNTA('Procyfloc AL200'!A485,'Procyfloc AL200'!B485,'Procyfloc AL200'!C485)&gt;0,"AL200","")</f>
        <v/>
      </c>
      <c r="AB3984" t="str">
        <f>IFERROR(IF(ISNUMBER('Procyfloc AL200'!A485),'Procyfloc AL200'!A485,DATEVALUE('Procyfloc AL200'!A485)),"")</f>
        <v/>
      </c>
      <c r="AC3984" t="str">
        <f>IF(AA3984="","",'Procyfloc AL200'!B485)</f>
        <v/>
      </c>
      <c r="AD3984" t="str">
        <f>IF(AA3984="","",IFERROR(1*'Procyfloc AL200'!C485,IFERROR(_xludf.NUMBERVALUE('Procyfloc AL200'!C485,".",","),IFERROR(_xludf.NUMBERVALUE('Procyfloc AL200'!C485,",","."),0))))</f>
        <v/>
      </c>
      <c r="AE3984" t="str">
        <f>IF(AA3984="","",'Procyfloc AL200'!K485)</f>
        <v/>
      </c>
      <c r="AF3984">
        <f t="shared" si="389"/>
        <v>0</v>
      </c>
      <c r="AG3984" t="str">
        <f t="shared" si="390"/>
        <v/>
      </c>
      <c r="AH3984" t="str">
        <f t="shared" si="391"/>
        <v/>
      </c>
      <c r="AI3984">
        <f t="shared" si="392"/>
        <v>0</v>
      </c>
      <c r="AJ3984">
        <f t="shared" si="393"/>
        <v>0</v>
      </c>
      <c r="AK3984">
        <v>0</v>
      </c>
      <c r="AL3984" t="str">
        <f>IF(AA3984="","",IFERROR(IF(ISNUMBER('Procyfloc AL200'!D485),'Procyfloc AL200'!D485,IF(ISNUMBER(SEARCH("12",'Procyfloc AL200'!D485)),EDATE(AB3984,12),IF(ISNUMBER(SEARCH("6",'Procyfloc AL200'!D485)),EDATE(AB3984,6),IF(ISNUMBER(SEARCH("3",'Procyfloc AL200'!D485)),EDATE(AB3984,3),DATEVALUE('Procyfloc AL200'!D485))))),""))</f>
        <v/>
      </c>
      <c r="AM3984" t="str">
        <f t="shared" ca="1" si="394"/>
        <v/>
      </c>
    </row>
    <row r="3985" spans="27:39" x14ac:dyDescent="0.3">
      <c r="AA3985" t="str">
        <f>IF(COUNTA('Procyfloc AL200'!A486,'Procyfloc AL200'!B486,'Procyfloc AL200'!C486)&gt;0,"AL200","")</f>
        <v/>
      </c>
      <c r="AB3985" t="str">
        <f>IFERROR(IF(ISNUMBER('Procyfloc AL200'!A486),'Procyfloc AL200'!A486,DATEVALUE('Procyfloc AL200'!A486)),"")</f>
        <v/>
      </c>
      <c r="AC3985" t="str">
        <f>IF(AA3985="","",'Procyfloc AL200'!B486)</f>
        <v/>
      </c>
      <c r="AD3985" t="str">
        <f>IF(AA3985="","",IFERROR(1*'Procyfloc AL200'!C486,IFERROR(_xludf.NUMBERVALUE('Procyfloc AL200'!C486,".",","),IFERROR(_xludf.NUMBERVALUE('Procyfloc AL200'!C486,",","."),0))))</f>
        <v/>
      </c>
      <c r="AE3985" t="str">
        <f>IF(AA3985="","",'Procyfloc AL200'!K486)</f>
        <v/>
      </c>
      <c r="AF3985">
        <f t="shared" si="389"/>
        <v>0</v>
      </c>
      <c r="AG3985" t="str">
        <f t="shared" si="390"/>
        <v/>
      </c>
      <c r="AH3985" t="str">
        <f t="shared" si="391"/>
        <v/>
      </c>
      <c r="AI3985">
        <f t="shared" si="392"/>
        <v>0</v>
      </c>
      <c r="AJ3985">
        <f t="shared" si="393"/>
        <v>0</v>
      </c>
      <c r="AK3985">
        <v>0</v>
      </c>
      <c r="AL3985" t="str">
        <f>IF(AA3985="","",IFERROR(IF(ISNUMBER('Procyfloc AL200'!D486),'Procyfloc AL200'!D486,IF(ISNUMBER(SEARCH("12",'Procyfloc AL200'!D486)),EDATE(AB3985,12),IF(ISNUMBER(SEARCH("6",'Procyfloc AL200'!D486)),EDATE(AB3985,6),IF(ISNUMBER(SEARCH("3",'Procyfloc AL200'!D486)),EDATE(AB3985,3),DATEVALUE('Procyfloc AL200'!D486))))),""))</f>
        <v/>
      </c>
      <c r="AM3985" t="str">
        <f t="shared" ca="1" si="394"/>
        <v/>
      </c>
    </row>
    <row r="3986" spans="27:39" x14ac:dyDescent="0.3">
      <c r="AA3986" t="str">
        <f>IF(COUNTA('Procyfloc AL200'!A487,'Procyfloc AL200'!B487,'Procyfloc AL200'!C487)&gt;0,"AL200","")</f>
        <v/>
      </c>
      <c r="AB3986" t="str">
        <f>IFERROR(IF(ISNUMBER('Procyfloc AL200'!A487),'Procyfloc AL200'!A487,DATEVALUE('Procyfloc AL200'!A487)),"")</f>
        <v/>
      </c>
      <c r="AC3986" t="str">
        <f>IF(AA3986="","",'Procyfloc AL200'!B487)</f>
        <v/>
      </c>
      <c r="AD3986" t="str">
        <f>IF(AA3986="","",IFERROR(1*'Procyfloc AL200'!C487,IFERROR(_xludf.NUMBERVALUE('Procyfloc AL200'!C487,".",","),IFERROR(_xludf.NUMBERVALUE('Procyfloc AL200'!C487,",","."),0))))</f>
        <v/>
      </c>
      <c r="AE3986" t="str">
        <f>IF(AA3986="","",'Procyfloc AL200'!K487)</f>
        <v/>
      </c>
      <c r="AF3986">
        <f t="shared" si="389"/>
        <v>0</v>
      </c>
      <c r="AG3986" t="str">
        <f t="shared" si="390"/>
        <v/>
      </c>
      <c r="AH3986" t="str">
        <f t="shared" si="391"/>
        <v/>
      </c>
      <c r="AI3986">
        <f t="shared" si="392"/>
        <v>0</v>
      </c>
      <c r="AJ3986">
        <f t="shared" si="393"/>
        <v>0</v>
      </c>
      <c r="AK3986">
        <v>0</v>
      </c>
      <c r="AL3986" t="str">
        <f>IF(AA3986="","",IFERROR(IF(ISNUMBER('Procyfloc AL200'!D487),'Procyfloc AL200'!D487,IF(ISNUMBER(SEARCH("12",'Procyfloc AL200'!D487)),EDATE(AB3986,12),IF(ISNUMBER(SEARCH("6",'Procyfloc AL200'!D487)),EDATE(AB3986,6),IF(ISNUMBER(SEARCH("3",'Procyfloc AL200'!D487)),EDATE(AB3986,3),DATEVALUE('Procyfloc AL200'!D487))))),""))</f>
        <v/>
      </c>
      <c r="AM3986" t="str">
        <f t="shared" ca="1" si="394"/>
        <v/>
      </c>
    </row>
    <row r="3987" spans="27:39" x14ac:dyDescent="0.3">
      <c r="AA3987" t="str">
        <f>IF(COUNTA('Procyfloc AL200'!A488,'Procyfloc AL200'!B488,'Procyfloc AL200'!C488)&gt;0,"AL200","")</f>
        <v/>
      </c>
      <c r="AB3987" t="str">
        <f>IFERROR(IF(ISNUMBER('Procyfloc AL200'!A488),'Procyfloc AL200'!A488,DATEVALUE('Procyfloc AL200'!A488)),"")</f>
        <v/>
      </c>
      <c r="AC3987" t="str">
        <f>IF(AA3987="","",'Procyfloc AL200'!B488)</f>
        <v/>
      </c>
      <c r="AD3987" t="str">
        <f>IF(AA3987="","",IFERROR(1*'Procyfloc AL200'!C488,IFERROR(_xludf.NUMBERVALUE('Procyfloc AL200'!C488,".",","),IFERROR(_xludf.NUMBERVALUE('Procyfloc AL200'!C488,",","."),0))))</f>
        <v/>
      </c>
      <c r="AE3987" t="str">
        <f>IF(AA3987="","",'Procyfloc AL200'!K488)</f>
        <v/>
      </c>
      <c r="AF3987">
        <f t="shared" si="389"/>
        <v>0</v>
      </c>
      <c r="AG3987" t="str">
        <f t="shared" si="390"/>
        <v/>
      </c>
      <c r="AH3987" t="str">
        <f t="shared" si="391"/>
        <v/>
      </c>
      <c r="AI3987">
        <f t="shared" si="392"/>
        <v>0</v>
      </c>
      <c r="AJ3987">
        <f t="shared" si="393"/>
        <v>0</v>
      </c>
      <c r="AK3987">
        <v>0</v>
      </c>
      <c r="AL3987" t="str">
        <f>IF(AA3987="","",IFERROR(IF(ISNUMBER('Procyfloc AL200'!D488),'Procyfloc AL200'!D488,IF(ISNUMBER(SEARCH("12",'Procyfloc AL200'!D488)),EDATE(AB3987,12),IF(ISNUMBER(SEARCH("6",'Procyfloc AL200'!D488)),EDATE(AB3987,6),IF(ISNUMBER(SEARCH("3",'Procyfloc AL200'!D488)),EDATE(AB3987,3),DATEVALUE('Procyfloc AL200'!D488))))),""))</f>
        <v/>
      </c>
      <c r="AM3987" t="str">
        <f t="shared" ca="1" si="394"/>
        <v/>
      </c>
    </row>
    <row r="3988" spans="27:39" x14ac:dyDescent="0.3">
      <c r="AA3988" t="str">
        <f>IF(COUNTA('Procyfloc AL200'!A489,'Procyfloc AL200'!B489,'Procyfloc AL200'!C489)&gt;0,"AL200","")</f>
        <v/>
      </c>
      <c r="AB3988" t="str">
        <f>IFERROR(IF(ISNUMBER('Procyfloc AL200'!A489),'Procyfloc AL200'!A489,DATEVALUE('Procyfloc AL200'!A489)),"")</f>
        <v/>
      </c>
      <c r="AC3988" t="str">
        <f>IF(AA3988="","",'Procyfloc AL200'!B489)</f>
        <v/>
      </c>
      <c r="AD3988" t="str">
        <f>IF(AA3988="","",IFERROR(1*'Procyfloc AL200'!C489,IFERROR(_xludf.NUMBERVALUE('Procyfloc AL200'!C489,".",","),IFERROR(_xludf.NUMBERVALUE('Procyfloc AL200'!C489,",","."),0))))</f>
        <v/>
      </c>
      <c r="AE3988" t="str">
        <f>IF(AA3988="","",'Procyfloc AL200'!K489)</f>
        <v/>
      </c>
      <c r="AF3988">
        <f t="shared" si="389"/>
        <v>0</v>
      </c>
      <c r="AG3988" t="str">
        <f t="shared" si="390"/>
        <v/>
      </c>
      <c r="AH3988" t="str">
        <f t="shared" si="391"/>
        <v/>
      </c>
      <c r="AI3988">
        <f t="shared" si="392"/>
        <v>0</v>
      </c>
      <c r="AJ3988">
        <f t="shared" si="393"/>
        <v>0</v>
      </c>
      <c r="AK3988">
        <v>0</v>
      </c>
      <c r="AL3988" t="str">
        <f>IF(AA3988="","",IFERROR(IF(ISNUMBER('Procyfloc AL200'!D489),'Procyfloc AL200'!D489,IF(ISNUMBER(SEARCH("12",'Procyfloc AL200'!D489)),EDATE(AB3988,12),IF(ISNUMBER(SEARCH("6",'Procyfloc AL200'!D489)),EDATE(AB3988,6),IF(ISNUMBER(SEARCH("3",'Procyfloc AL200'!D489)),EDATE(AB3988,3),DATEVALUE('Procyfloc AL200'!D489))))),""))</f>
        <v/>
      </c>
      <c r="AM3988" t="str">
        <f t="shared" ca="1" si="394"/>
        <v/>
      </c>
    </row>
    <row r="3989" spans="27:39" x14ac:dyDescent="0.3">
      <c r="AA3989" t="str">
        <f>IF(COUNTA('Procyfloc AL200'!A490,'Procyfloc AL200'!B490,'Procyfloc AL200'!C490)&gt;0,"AL200","")</f>
        <v/>
      </c>
      <c r="AB3989" t="str">
        <f>IFERROR(IF(ISNUMBER('Procyfloc AL200'!A490),'Procyfloc AL200'!A490,DATEVALUE('Procyfloc AL200'!A490)),"")</f>
        <v/>
      </c>
      <c r="AC3989" t="str">
        <f>IF(AA3989="","",'Procyfloc AL200'!B490)</f>
        <v/>
      </c>
      <c r="AD3989" t="str">
        <f>IF(AA3989="","",IFERROR(1*'Procyfloc AL200'!C490,IFERROR(_xludf.NUMBERVALUE('Procyfloc AL200'!C490,".",","),IFERROR(_xludf.NUMBERVALUE('Procyfloc AL200'!C490,",","."),0))))</f>
        <v/>
      </c>
      <c r="AE3989" t="str">
        <f>IF(AA3989="","",'Procyfloc AL200'!K490)</f>
        <v/>
      </c>
      <c r="AF3989">
        <f t="shared" si="389"/>
        <v>0</v>
      </c>
      <c r="AG3989" t="str">
        <f t="shared" si="390"/>
        <v/>
      </c>
      <c r="AH3989" t="str">
        <f t="shared" si="391"/>
        <v/>
      </c>
      <c r="AI3989">
        <f t="shared" si="392"/>
        <v>0</v>
      </c>
      <c r="AJ3989">
        <f t="shared" si="393"/>
        <v>0</v>
      </c>
      <c r="AK3989">
        <v>0</v>
      </c>
      <c r="AL3989" t="str">
        <f>IF(AA3989="","",IFERROR(IF(ISNUMBER('Procyfloc AL200'!D490),'Procyfloc AL200'!D490,IF(ISNUMBER(SEARCH("12",'Procyfloc AL200'!D490)),EDATE(AB3989,12),IF(ISNUMBER(SEARCH("6",'Procyfloc AL200'!D490)),EDATE(AB3989,6),IF(ISNUMBER(SEARCH("3",'Procyfloc AL200'!D490)),EDATE(AB3989,3),DATEVALUE('Procyfloc AL200'!D490))))),""))</f>
        <v/>
      </c>
      <c r="AM3989" t="str">
        <f t="shared" ca="1" si="394"/>
        <v/>
      </c>
    </row>
    <row r="3990" spans="27:39" x14ac:dyDescent="0.3">
      <c r="AA3990" t="str">
        <f>IF(COUNTA('Procyfloc AL200'!A491,'Procyfloc AL200'!B491,'Procyfloc AL200'!C491)&gt;0,"AL200","")</f>
        <v/>
      </c>
      <c r="AB3990" t="str">
        <f>IFERROR(IF(ISNUMBER('Procyfloc AL200'!A491),'Procyfloc AL200'!A491,DATEVALUE('Procyfloc AL200'!A491)),"")</f>
        <v/>
      </c>
      <c r="AC3990" t="str">
        <f>IF(AA3990="","",'Procyfloc AL200'!B491)</f>
        <v/>
      </c>
      <c r="AD3990" t="str">
        <f>IF(AA3990="","",IFERROR(1*'Procyfloc AL200'!C491,IFERROR(_xludf.NUMBERVALUE('Procyfloc AL200'!C491,".",","),IFERROR(_xludf.NUMBERVALUE('Procyfloc AL200'!C491,",","."),0))))</f>
        <v/>
      </c>
      <c r="AE3990" t="str">
        <f>IF(AA3990="","",'Procyfloc AL200'!K491)</f>
        <v/>
      </c>
      <c r="AF3990">
        <f t="shared" si="389"/>
        <v>0</v>
      </c>
      <c r="AG3990" t="str">
        <f t="shared" si="390"/>
        <v/>
      </c>
      <c r="AH3990" t="str">
        <f t="shared" si="391"/>
        <v/>
      </c>
      <c r="AI3990">
        <f t="shared" si="392"/>
        <v>0</v>
      </c>
      <c r="AJ3990">
        <f t="shared" si="393"/>
        <v>0</v>
      </c>
      <c r="AK3990">
        <v>0</v>
      </c>
      <c r="AL3990" t="str">
        <f>IF(AA3990="","",IFERROR(IF(ISNUMBER('Procyfloc AL200'!D491),'Procyfloc AL200'!D491,IF(ISNUMBER(SEARCH("12",'Procyfloc AL200'!D491)),EDATE(AB3990,12),IF(ISNUMBER(SEARCH("6",'Procyfloc AL200'!D491)),EDATE(AB3990,6),IF(ISNUMBER(SEARCH("3",'Procyfloc AL200'!D491)),EDATE(AB3990,3),DATEVALUE('Procyfloc AL200'!D491))))),""))</f>
        <v/>
      </c>
      <c r="AM3990" t="str">
        <f t="shared" ca="1" si="394"/>
        <v/>
      </c>
    </row>
    <row r="3991" spans="27:39" x14ac:dyDescent="0.3">
      <c r="AA3991" t="str">
        <f>IF(COUNTA('Procyfloc AL200'!A492,'Procyfloc AL200'!B492,'Procyfloc AL200'!C492)&gt;0,"AL200","")</f>
        <v/>
      </c>
      <c r="AB3991" t="str">
        <f>IFERROR(IF(ISNUMBER('Procyfloc AL200'!A492),'Procyfloc AL200'!A492,DATEVALUE('Procyfloc AL200'!A492)),"")</f>
        <v/>
      </c>
      <c r="AC3991" t="str">
        <f>IF(AA3991="","",'Procyfloc AL200'!B492)</f>
        <v/>
      </c>
      <c r="AD3991" t="str">
        <f>IF(AA3991="","",IFERROR(1*'Procyfloc AL200'!C492,IFERROR(_xludf.NUMBERVALUE('Procyfloc AL200'!C492,".",","),IFERROR(_xludf.NUMBERVALUE('Procyfloc AL200'!C492,",","."),0))))</f>
        <v/>
      </c>
      <c r="AE3991" t="str">
        <f>IF(AA3991="","",'Procyfloc AL200'!K492)</f>
        <v/>
      </c>
      <c r="AF3991">
        <f t="shared" si="389"/>
        <v>0</v>
      </c>
      <c r="AG3991" t="str">
        <f t="shared" si="390"/>
        <v/>
      </c>
      <c r="AH3991" t="str">
        <f t="shared" si="391"/>
        <v/>
      </c>
      <c r="AI3991">
        <f t="shared" si="392"/>
        <v>0</v>
      </c>
      <c r="AJ3991">
        <f t="shared" si="393"/>
        <v>0</v>
      </c>
      <c r="AK3991">
        <v>0</v>
      </c>
      <c r="AL3991" t="str">
        <f>IF(AA3991="","",IFERROR(IF(ISNUMBER('Procyfloc AL200'!D492),'Procyfloc AL200'!D492,IF(ISNUMBER(SEARCH("12",'Procyfloc AL200'!D492)),EDATE(AB3991,12),IF(ISNUMBER(SEARCH("6",'Procyfloc AL200'!D492)),EDATE(AB3991,6),IF(ISNUMBER(SEARCH("3",'Procyfloc AL200'!D492)),EDATE(AB3991,3),DATEVALUE('Procyfloc AL200'!D492))))),""))</f>
        <v/>
      </c>
      <c r="AM3991" t="str">
        <f t="shared" ca="1" si="394"/>
        <v/>
      </c>
    </row>
    <row r="3992" spans="27:39" x14ac:dyDescent="0.3">
      <c r="AA3992" t="str">
        <f>IF(COUNTA('Procyfloc AL200'!A493,'Procyfloc AL200'!B493,'Procyfloc AL200'!C493)&gt;0,"AL200","")</f>
        <v/>
      </c>
      <c r="AB3992" t="str">
        <f>IFERROR(IF(ISNUMBER('Procyfloc AL200'!A493),'Procyfloc AL200'!A493,DATEVALUE('Procyfloc AL200'!A493)),"")</f>
        <v/>
      </c>
      <c r="AC3992" t="str">
        <f>IF(AA3992="","",'Procyfloc AL200'!B493)</f>
        <v/>
      </c>
      <c r="AD3992" t="str">
        <f>IF(AA3992="","",IFERROR(1*'Procyfloc AL200'!C493,IFERROR(_xludf.NUMBERVALUE('Procyfloc AL200'!C493,".",","),IFERROR(_xludf.NUMBERVALUE('Procyfloc AL200'!C493,",","."),0))))</f>
        <v/>
      </c>
      <c r="AE3992" t="str">
        <f>IF(AA3992="","",'Procyfloc AL200'!K493)</f>
        <v/>
      </c>
      <c r="AF3992">
        <f t="shared" si="389"/>
        <v>0</v>
      </c>
      <c r="AG3992" t="str">
        <f t="shared" si="390"/>
        <v/>
      </c>
      <c r="AH3992" t="str">
        <f t="shared" si="391"/>
        <v/>
      </c>
      <c r="AI3992">
        <f t="shared" si="392"/>
        <v>0</v>
      </c>
      <c r="AJ3992">
        <f t="shared" si="393"/>
        <v>0</v>
      </c>
      <c r="AK3992">
        <v>0</v>
      </c>
      <c r="AL3992" t="str">
        <f>IF(AA3992="","",IFERROR(IF(ISNUMBER('Procyfloc AL200'!D493),'Procyfloc AL200'!D493,IF(ISNUMBER(SEARCH("12",'Procyfloc AL200'!D493)),EDATE(AB3992,12),IF(ISNUMBER(SEARCH("6",'Procyfloc AL200'!D493)),EDATE(AB3992,6),IF(ISNUMBER(SEARCH("3",'Procyfloc AL200'!D493)),EDATE(AB3992,3),DATEVALUE('Procyfloc AL200'!D493))))),""))</f>
        <v/>
      </c>
      <c r="AM3992" t="str">
        <f t="shared" ca="1" si="394"/>
        <v/>
      </c>
    </row>
    <row r="3993" spans="27:39" x14ac:dyDescent="0.3">
      <c r="AA3993" t="str">
        <f>IF(COUNTA('Procyfloc AL200'!A494,'Procyfloc AL200'!B494,'Procyfloc AL200'!C494)&gt;0,"AL200","")</f>
        <v/>
      </c>
      <c r="AB3993" t="str">
        <f>IFERROR(IF(ISNUMBER('Procyfloc AL200'!A494),'Procyfloc AL200'!A494,DATEVALUE('Procyfloc AL200'!A494)),"")</f>
        <v/>
      </c>
      <c r="AC3993" t="str">
        <f>IF(AA3993="","",'Procyfloc AL200'!B494)</f>
        <v/>
      </c>
      <c r="AD3993" t="str">
        <f>IF(AA3993="","",IFERROR(1*'Procyfloc AL200'!C494,IFERROR(_xludf.NUMBERVALUE('Procyfloc AL200'!C494,".",","),IFERROR(_xludf.NUMBERVALUE('Procyfloc AL200'!C494,",","."),0))))</f>
        <v/>
      </c>
      <c r="AE3993" t="str">
        <f>IF(AA3993="","",'Procyfloc AL200'!K494)</f>
        <v/>
      </c>
      <c r="AF3993">
        <f t="shared" si="389"/>
        <v>0</v>
      </c>
      <c r="AG3993" t="str">
        <f t="shared" si="390"/>
        <v/>
      </c>
      <c r="AH3993" t="str">
        <f t="shared" si="391"/>
        <v/>
      </c>
      <c r="AI3993">
        <f t="shared" si="392"/>
        <v>0</v>
      </c>
      <c r="AJ3993">
        <f t="shared" si="393"/>
        <v>0</v>
      </c>
      <c r="AK3993">
        <v>0</v>
      </c>
      <c r="AL3993" t="str">
        <f>IF(AA3993="","",IFERROR(IF(ISNUMBER('Procyfloc AL200'!D494),'Procyfloc AL200'!D494,IF(ISNUMBER(SEARCH("12",'Procyfloc AL200'!D494)),EDATE(AB3993,12),IF(ISNUMBER(SEARCH("6",'Procyfloc AL200'!D494)),EDATE(AB3993,6),IF(ISNUMBER(SEARCH("3",'Procyfloc AL200'!D494)),EDATE(AB3993,3),DATEVALUE('Procyfloc AL200'!D494))))),""))</f>
        <v/>
      </c>
      <c r="AM3993" t="str">
        <f t="shared" ca="1" si="394"/>
        <v/>
      </c>
    </row>
    <row r="3994" spans="27:39" x14ac:dyDescent="0.3">
      <c r="AA3994" t="str">
        <f>IF(COUNTA('Procyfloc AL200'!A495,'Procyfloc AL200'!B495,'Procyfloc AL200'!C495)&gt;0,"AL200","")</f>
        <v/>
      </c>
      <c r="AB3994" t="str">
        <f>IFERROR(IF(ISNUMBER('Procyfloc AL200'!A495),'Procyfloc AL200'!A495,DATEVALUE('Procyfloc AL200'!A495)),"")</f>
        <v/>
      </c>
      <c r="AC3994" t="str">
        <f>IF(AA3994="","",'Procyfloc AL200'!B495)</f>
        <v/>
      </c>
      <c r="AD3994" t="str">
        <f>IF(AA3994="","",IFERROR(1*'Procyfloc AL200'!C495,IFERROR(_xludf.NUMBERVALUE('Procyfloc AL200'!C495,".",","),IFERROR(_xludf.NUMBERVALUE('Procyfloc AL200'!C495,",","."),0))))</f>
        <v/>
      </c>
      <c r="AE3994" t="str">
        <f>IF(AA3994="","",'Procyfloc AL200'!K495)</f>
        <v/>
      </c>
      <c r="AF3994">
        <f t="shared" si="389"/>
        <v>0</v>
      </c>
      <c r="AG3994" t="str">
        <f t="shared" si="390"/>
        <v/>
      </c>
      <c r="AH3994" t="str">
        <f t="shared" si="391"/>
        <v/>
      </c>
      <c r="AI3994">
        <f t="shared" si="392"/>
        <v>0</v>
      </c>
      <c r="AJ3994">
        <f t="shared" si="393"/>
        <v>0</v>
      </c>
      <c r="AK3994">
        <v>0</v>
      </c>
      <c r="AL3994" t="str">
        <f>IF(AA3994="","",IFERROR(IF(ISNUMBER('Procyfloc AL200'!D495),'Procyfloc AL200'!D495,IF(ISNUMBER(SEARCH("12",'Procyfloc AL200'!D495)),EDATE(AB3994,12),IF(ISNUMBER(SEARCH("6",'Procyfloc AL200'!D495)),EDATE(AB3994,6),IF(ISNUMBER(SEARCH("3",'Procyfloc AL200'!D495)),EDATE(AB3994,3),DATEVALUE('Procyfloc AL200'!D495))))),""))</f>
        <v/>
      </c>
      <c r="AM3994" t="str">
        <f t="shared" ca="1" si="394"/>
        <v/>
      </c>
    </row>
    <row r="3995" spans="27:39" x14ac:dyDescent="0.3">
      <c r="AA3995" t="str">
        <f>IF(COUNTA('Procyfloc AL200'!A496,'Procyfloc AL200'!B496,'Procyfloc AL200'!C496)&gt;0,"AL200","")</f>
        <v/>
      </c>
      <c r="AB3995" t="str">
        <f>IFERROR(IF(ISNUMBER('Procyfloc AL200'!A496),'Procyfloc AL200'!A496,DATEVALUE('Procyfloc AL200'!A496)),"")</f>
        <v/>
      </c>
      <c r="AC3995" t="str">
        <f>IF(AA3995="","",'Procyfloc AL200'!B496)</f>
        <v/>
      </c>
      <c r="AD3995" t="str">
        <f>IF(AA3995="","",IFERROR(1*'Procyfloc AL200'!C496,IFERROR(_xludf.NUMBERVALUE('Procyfloc AL200'!C496,".",","),IFERROR(_xludf.NUMBERVALUE('Procyfloc AL200'!C496,",","."),0))))</f>
        <v/>
      </c>
      <c r="AE3995" t="str">
        <f>IF(AA3995="","",'Procyfloc AL200'!K496)</f>
        <v/>
      </c>
      <c r="AF3995">
        <f t="shared" si="389"/>
        <v>0</v>
      </c>
      <c r="AG3995" t="str">
        <f t="shared" si="390"/>
        <v/>
      </c>
      <c r="AH3995" t="str">
        <f t="shared" si="391"/>
        <v/>
      </c>
      <c r="AI3995">
        <f t="shared" si="392"/>
        <v>0</v>
      </c>
      <c r="AJ3995">
        <f t="shared" si="393"/>
        <v>0</v>
      </c>
      <c r="AK3995">
        <v>0</v>
      </c>
      <c r="AL3995" t="str">
        <f>IF(AA3995="","",IFERROR(IF(ISNUMBER('Procyfloc AL200'!D496),'Procyfloc AL200'!D496,IF(ISNUMBER(SEARCH("12",'Procyfloc AL200'!D496)),EDATE(AB3995,12),IF(ISNUMBER(SEARCH("6",'Procyfloc AL200'!D496)),EDATE(AB3995,6),IF(ISNUMBER(SEARCH("3",'Procyfloc AL200'!D496)),EDATE(AB3995,3),DATEVALUE('Procyfloc AL200'!D496))))),""))</f>
        <v/>
      </c>
      <c r="AM3995" t="str">
        <f t="shared" ca="1" si="394"/>
        <v/>
      </c>
    </row>
    <row r="3996" spans="27:39" x14ac:dyDescent="0.3">
      <c r="AA3996" t="str">
        <f>IF(COUNTA('Procyfloc AL200'!A497,'Procyfloc AL200'!B497,'Procyfloc AL200'!C497)&gt;0,"AL200","")</f>
        <v/>
      </c>
      <c r="AB3996" t="str">
        <f>IFERROR(IF(ISNUMBER('Procyfloc AL200'!A497),'Procyfloc AL200'!A497,DATEVALUE('Procyfloc AL200'!A497)),"")</f>
        <v/>
      </c>
      <c r="AC3996" t="str">
        <f>IF(AA3996="","",'Procyfloc AL200'!B497)</f>
        <v/>
      </c>
      <c r="AD3996" t="str">
        <f>IF(AA3996="","",IFERROR(1*'Procyfloc AL200'!C497,IFERROR(_xludf.NUMBERVALUE('Procyfloc AL200'!C497,".",","),IFERROR(_xludf.NUMBERVALUE('Procyfloc AL200'!C497,",","."),0))))</f>
        <v/>
      </c>
      <c r="AE3996" t="str">
        <f>IF(AA3996="","",'Procyfloc AL200'!K497)</f>
        <v/>
      </c>
      <c r="AF3996">
        <f t="shared" si="389"/>
        <v>0</v>
      </c>
      <c r="AG3996" t="str">
        <f t="shared" si="390"/>
        <v/>
      </c>
      <c r="AH3996" t="str">
        <f t="shared" si="391"/>
        <v/>
      </c>
      <c r="AI3996">
        <f t="shared" si="392"/>
        <v>0</v>
      </c>
      <c r="AJ3996">
        <f t="shared" si="393"/>
        <v>0</v>
      </c>
      <c r="AK3996">
        <v>0</v>
      </c>
      <c r="AL3996" t="str">
        <f>IF(AA3996="","",IFERROR(IF(ISNUMBER('Procyfloc AL200'!D497),'Procyfloc AL200'!D497,IF(ISNUMBER(SEARCH("12",'Procyfloc AL200'!D497)),EDATE(AB3996,12),IF(ISNUMBER(SEARCH("6",'Procyfloc AL200'!D497)),EDATE(AB3996,6),IF(ISNUMBER(SEARCH("3",'Procyfloc AL200'!D497)),EDATE(AB3996,3),DATEVALUE('Procyfloc AL200'!D497))))),""))</f>
        <v/>
      </c>
      <c r="AM3996" t="str">
        <f t="shared" ca="1" si="394"/>
        <v/>
      </c>
    </row>
    <row r="3997" spans="27:39" x14ac:dyDescent="0.3">
      <c r="AA3997" t="str">
        <f>IF(COUNTA('Procyfloc AL200'!A498,'Procyfloc AL200'!B498,'Procyfloc AL200'!C498)&gt;0,"AL200","")</f>
        <v/>
      </c>
      <c r="AB3997" t="str">
        <f>IFERROR(IF(ISNUMBER('Procyfloc AL200'!A498),'Procyfloc AL200'!A498,DATEVALUE('Procyfloc AL200'!A498)),"")</f>
        <v/>
      </c>
      <c r="AC3997" t="str">
        <f>IF(AA3997="","",'Procyfloc AL200'!B498)</f>
        <v/>
      </c>
      <c r="AD3997" t="str">
        <f>IF(AA3997="","",IFERROR(1*'Procyfloc AL200'!C498,IFERROR(_xludf.NUMBERVALUE('Procyfloc AL200'!C498,".",","),IFERROR(_xludf.NUMBERVALUE('Procyfloc AL200'!C498,",","."),0))))</f>
        <v/>
      </c>
      <c r="AE3997" t="str">
        <f>IF(AA3997="","",'Procyfloc AL200'!K498)</f>
        <v/>
      </c>
      <c r="AF3997">
        <f t="shared" si="389"/>
        <v>0</v>
      </c>
      <c r="AG3997" t="str">
        <f t="shared" si="390"/>
        <v/>
      </c>
      <c r="AH3997" t="str">
        <f t="shared" si="391"/>
        <v/>
      </c>
      <c r="AI3997">
        <f t="shared" si="392"/>
        <v>0</v>
      </c>
      <c r="AJ3997">
        <f t="shared" si="393"/>
        <v>0</v>
      </c>
      <c r="AK3997">
        <v>0</v>
      </c>
      <c r="AL3997" t="str">
        <f>IF(AA3997="","",IFERROR(IF(ISNUMBER('Procyfloc AL200'!D498),'Procyfloc AL200'!D498,IF(ISNUMBER(SEARCH("12",'Procyfloc AL200'!D498)),EDATE(AB3997,12),IF(ISNUMBER(SEARCH("6",'Procyfloc AL200'!D498)),EDATE(AB3997,6),IF(ISNUMBER(SEARCH("3",'Procyfloc AL200'!D498)),EDATE(AB3997,3),DATEVALUE('Procyfloc AL200'!D498))))),""))</f>
        <v/>
      </c>
      <c r="AM3997" t="str">
        <f t="shared" ca="1" si="394"/>
        <v/>
      </c>
    </row>
    <row r="3998" spans="27:39" x14ac:dyDescent="0.3">
      <c r="AA3998" t="str">
        <f>IF(COUNTA('Procyfloc AL200'!A499,'Procyfloc AL200'!B499,'Procyfloc AL200'!C499)&gt;0,"AL200","")</f>
        <v/>
      </c>
      <c r="AB3998" t="str">
        <f>IFERROR(IF(ISNUMBER('Procyfloc AL200'!A499),'Procyfloc AL200'!A499,DATEVALUE('Procyfloc AL200'!A499)),"")</f>
        <v/>
      </c>
      <c r="AC3998" t="str">
        <f>IF(AA3998="","",'Procyfloc AL200'!B499)</f>
        <v/>
      </c>
      <c r="AD3998" t="str">
        <f>IF(AA3998="","",IFERROR(1*'Procyfloc AL200'!C499,IFERROR(_xludf.NUMBERVALUE('Procyfloc AL200'!C499,".",","),IFERROR(_xludf.NUMBERVALUE('Procyfloc AL200'!C499,",","."),0))))</f>
        <v/>
      </c>
      <c r="AE3998" t="str">
        <f>IF(AA3998="","",'Procyfloc AL200'!K499)</f>
        <v/>
      </c>
      <c r="AF3998">
        <f t="shared" si="389"/>
        <v>0</v>
      </c>
      <c r="AG3998" t="str">
        <f t="shared" si="390"/>
        <v/>
      </c>
      <c r="AH3998" t="str">
        <f t="shared" si="391"/>
        <v/>
      </c>
      <c r="AI3998">
        <f t="shared" si="392"/>
        <v>0</v>
      </c>
      <c r="AJ3998">
        <f t="shared" si="393"/>
        <v>0</v>
      </c>
      <c r="AK3998">
        <v>0</v>
      </c>
      <c r="AL3998" t="str">
        <f>IF(AA3998="","",IFERROR(IF(ISNUMBER('Procyfloc AL200'!D499),'Procyfloc AL200'!D499,IF(ISNUMBER(SEARCH("12",'Procyfloc AL200'!D499)),EDATE(AB3998,12),IF(ISNUMBER(SEARCH("6",'Procyfloc AL200'!D499)),EDATE(AB3998,6),IF(ISNUMBER(SEARCH("3",'Procyfloc AL200'!D499)),EDATE(AB3998,3),DATEVALUE('Procyfloc AL200'!D499))))),""))</f>
        <v/>
      </c>
      <c r="AM3998" t="str">
        <f t="shared" ca="1" si="394"/>
        <v/>
      </c>
    </row>
    <row r="3999" spans="27:39" x14ac:dyDescent="0.3">
      <c r="AA3999" t="str">
        <f>IF(COUNTA('Procyfloc AL200'!A500,'Procyfloc AL200'!B500,'Procyfloc AL200'!C500)&gt;0,"AL200","")</f>
        <v/>
      </c>
      <c r="AB3999" t="str">
        <f>IFERROR(IF(ISNUMBER('Procyfloc AL200'!A500),'Procyfloc AL200'!A500,DATEVALUE('Procyfloc AL200'!A500)),"")</f>
        <v/>
      </c>
      <c r="AC3999" t="str">
        <f>IF(AA3999="","",'Procyfloc AL200'!B500)</f>
        <v/>
      </c>
      <c r="AD3999" t="str">
        <f>IF(AA3999="","",IFERROR(1*'Procyfloc AL200'!C500,IFERROR(_xludf.NUMBERVALUE('Procyfloc AL200'!C500,".",","),IFERROR(_xludf.NUMBERVALUE('Procyfloc AL200'!C500,",","."),0))))</f>
        <v/>
      </c>
      <c r="AE3999" t="str">
        <f>IF(AA3999="","",'Procyfloc AL200'!K500)</f>
        <v/>
      </c>
      <c r="AF3999">
        <f t="shared" si="389"/>
        <v>0</v>
      </c>
      <c r="AG3999" t="str">
        <f t="shared" si="390"/>
        <v/>
      </c>
      <c r="AH3999" t="str">
        <f t="shared" si="391"/>
        <v/>
      </c>
      <c r="AI3999">
        <f t="shared" si="392"/>
        <v>0</v>
      </c>
      <c r="AJ3999">
        <f t="shared" si="393"/>
        <v>0</v>
      </c>
      <c r="AK3999">
        <v>0</v>
      </c>
      <c r="AL3999" t="str">
        <f>IF(AA3999="","",IFERROR(IF(ISNUMBER('Procyfloc AL200'!D500),'Procyfloc AL200'!D500,IF(ISNUMBER(SEARCH("12",'Procyfloc AL200'!D500)),EDATE(AB3999,12),IF(ISNUMBER(SEARCH("6",'Procyfloc AL200'!D500)),EDATE(AB3999,6),IF(ISNUMBER(SEARCH("3",'Procyfloc AL200'!D500)),EDATE(AB3999,3),DATEVALUE('Procyfloc AL200'!D500))))),""))</f>
        <v/>
      </c>
      <c r="AM3999" t="str">
        <f t="shared" ca="1" si="394"/>
        <v/>
      </c>
    </row>
    <row r="4000" spans="27:39" x14ac:dyDescent="0.3">
      <c r="AA4000" t="str">
        <f>IF(COUNTA('Procyfloc AL200'!A501,'Procyfloc AL200'!B501,'Procyfloc AL200'!C501)&gt;0,"AL200","")</f>
        <v/>
      </c>
      <c r="AB4000" t="str">
        <f>IFERROR(IF(ISNUMBER('Procyfloc AL200'!A501),'Procyfloc AL200'!A501,DATEVALUE('Procyfloc AL200'!A501)),"")</f>
        <v/>
      </c>
      <c r="AC4000" t="str">
        <f>IF(AA4000="","",'Procyfloc AL200'!B501)</f>
        <v/>
      </c>
      <c r="AD4000" t="str">
        <f>IF(AA4000="","",IFERROR(1*'Procyfloc AL200'!C501,IFERROR(_xludf.NUMBERVALUE('Procyfloc AL200'!C501,".",","),IFERROR(_xludf.NUMBERVALUE('Procyfloc AL200'!C501,",","."),0))))</f>
        <v/>
      </c>
      <c r="AE4000" t="str">
        <f>IF(AA4000="","",'Procyfloc AL200'!K501)</f>
        <v/>
      </c>
      <c r="AF4000">
        <f t="shared" si="389"/>
        <v>0</v>
      </c>
      <c r="AG4000" t="str">
        <f t="shared" si="390"/>
        <v/>
      </c>
      <c r="AH4000" t="str">
        <f t="shared" si="391"/>
        <v/>
      </c>
      <c r="AI4000">
        <f t="shared" si="392"/>
        <v>0</v>
      </c>
      <c r="AJ4000">
        <f t="shared" si="393"/>
        <v>0</v>
      </c>
      <c r="AK4000">
        <v>0</v>
      </c>
      <c r="AL4000" t="str">
        <f>IF(AA4000="","",IFERROR(IF(ISNUMBER('Procyfloc AL200'!D501),'Procyfloc AL200'!D501,IF(ISNUMBER(SEARCH("12",'Procyfloc AL200'!D501)),EDATE(AB4000,12),IF(ISNUMBER(SEARCH("6",'Procyfloc AL200'!D501)),EDATE(AB4000,6),IF(ISNUMBER(SEARCH("3",'Procyfloc AL200'!D501)),EDATE(AB4000,3),DATEVALUE('Procyfloc AL200'!D501))))),""))</f>
        <v/>
      </c>
      <c r="AM4000" t="str">
        <f t="shared" ca="1" si="394"/>
        <v/>
      </c>
    </row>
    <row r="4001" spans="27:39" x14ac:dyDescent="0.3">
      <c r="AA4001" t="str">
        <f>IF(COUNTA('Procyfloc AL200'!A502,'Procyfloc AL200'!B502,'Procyfloc AL200'!C502)&gt;0,"AL200","")</f>
        <v/>
      </c>
      <c r="AB4001" t="str">
        <f>IFERROR(IF(ISNUMBER('Procyfloc AL200'!A502),'Procyfloc AL200'!A502,DATEVALUE('Procyfloc AL200'!A502)),"")</f>
        <v/>
      </c>
      <c r="AC4001" t="str">
        <f>IF(AA4001="","",'Procyfloc AL200'!B502)</f>
        <v/>
      </c>
      <c r="AD4001" t="str">
        <f>IF(AA4001="","",IFERROR(1*'Procyfloc AL200'!C502,IFERROR(_xludf.NUMBERVALUE('Procyfloc AL200'!C502,".",","),IFERROR(_xludf.NUMBERVALUE('Procyfloc AL200'!C502,",","."),0))))</f>
        <v/>
      </c>
      <c r="AE4001" t="str">
        <f>IF(AA4001="","",'Procyfloc AL200'!K502)</f>
        <v/>
      </c>
      <c r="AF4001">
        <f t="shared" si="389"/>
        <v>0</v>
      </c>
      <c r="AG4001" t="str">
        <f t="shared" si="390"/>
        <v/>
      </c>
      <c r="AH4001" t="str">
        <f t="shared" si="391"/>
        <v/>
      </c>
      <c r="AI4001">
        <f t="shared" si="392"/>
        <v>0</v>
      </c>
      <c r="AJ4001">
        <f t="shared" si="393"/>
        <v>0</v>
      </c>
      <c r="AK4001">
        <v>0</v>
      </c>
      <c r="AL4001" t="str">
        <f>IF(AA4001="","",IFERROR(IF(ISNUMBER('Procyfloc AL200'!D502),'Procyfloc AL200'!D502,IF(ISNUMBER(SEARCH("12",'Procyfloc AL200'!D502)),EDATE(AB4001,12),IF(ISNUMBER(SEARCH("6",'Procyfloc AL200'!D502)),EDATE(AB4001,6),IF(ISNUMBER(SEARCH("3",'Procyfloc AL200'!D502)),EDATE(AB4001,3),DATEVALUE('Procyfloc AL200'!D502))))),""))</f>
        <v/>
      </c>
      <c r="AM4001" t="str">
        <f t="shared" ca="1" si="394"/>
        <v/>
      </c>
    </row>
  </sheetData>
  <mergeCells count="31">
    <mergeCell ref="B2:C2"/>
    <mergeCell ref="U2:V2"/>
    <mergeCell ref="E7:H9"/>
    <mergeCell ref="E2:S2"/>
    <mergeCell ref="P12:W13"/>
    <mergeCell ref="I6:L6"/>
    <mergeCell ref="Q7:T9"/>
    <mergeCell ref="B8:C8"/>
    <mergeCell ref="U3:V3"/>
    <mergeCell ref="E3:S3"/>
    <mergeCell ref="U6:W6"/>
    <mergeCell ref="I7:L9"/>
    <mergeCell ref="E6:H6"/>
    <mergeCell ref="E12:N13"/>
    <mergeCell ref="M7:P9"/>
    <mergeCell ref="M6:P6"/>
    <mergeCell ref="B16:C16"/>
    <mergeCell ref="B3:C3"/>
    <mergeCell ref="B6:C7"/>
    <mergeCell ref="E29:N30"/>
    <mergeCell ref="E64:W65"/>
    <mergeCell ref="B18:C18"/>
    <mergeCell ref="U7:W9"/>
    <mergeCell ref="B12:C12"/>
    <mergeCell ref="B14:C14"/>
    <mergeCell ref="M47:Q48"/>
    <mergeCell ref="S47:W48"/>
    <mergeCell ref="P29:W30"/>
    <mergeCell ref="E47:K48"/>
    <mergeCell ref="B20:C20"/>
    <mergeCell ref="Q6:T6"/>
  </mergeCells>
  <conditionalFormatting sqref="G67:G86">
    <cfRule type="dataBar" priority="1">
      <dataBar>
        <cfvo type="min"/>
        <cfvo type="max"/>
        <color rgb="FF2563EB"/>
      </dataBar>
    </cfRule>
  </conditionalFormatting>
  <conditionalFormatting sqref="R16:R25">
    <cfRule type="dataBar" priority="2">
      <dataBar>
        <cfvo type="min"/>
        <cfvo type="max"/>
        <color rgb="FF16A34A"/>
      </dataBar>
    </cfRule>
  </conditionalFormatting>
  <conditionalFormatting sqref="R33:R44">
    <cfRule type="dataBar" priority="3">
      <dataBar>
        <cfvo type="min"/>
        <cfvo type="max"/>
        <color rgb="FF0F766E"/>
      </dataBar>
    </cfRule>
  </conditionalFormatting>
  <conditionalFormatting sqref="I67:I86">
    <cfRule type="cellIs" dxfId="162" priority="4" operator="lessThan">
      <formula>0.8</formula>
    </cfRule>
    <cfRule type="cellIs" dxfId="161" priority="5" operator="greaterThanOrEqual">
      <formula>0.95</formula>
    </cfRule>
  </conditionalFormatting>
  <conditionalFormatting sqref="U16:U25">
    <cfRule type="expression" dxfId="160" priority="6">
      <formula>U16="Excelente"</formula>
    </cfRule>
    <cfRule type="expression" dxfId="159" priority="7">
      <formula>U16="Atenção"</formula>
    </cfRule>
    <cfRule type="expression" dxfId="158" priority="8">
      <formula>U16="Crítico"</formula>
    </cfRule>
  </conditionalFormatting>
  <dataValidations count="1">
    <dataValidation type="list" sqref="W3" xr:uid="{00000000-0002-0000-0000-000000000000}">
      <formula1>$AN$2:$AN$10</formula1>
    </dataValidation>
  </dataValidations>
  <pageMargins left="0.75" right="0.75" top="1" bottom="1" header="0.5" footer="0.5"/>
  <pageSetup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U134"/>
  <sheetViews>
    <sheetView workbookViewId="0">
      <selection activeCell="N17" sqref="N17"/>
    </sheetView>
  </sheetViews>
  <sheetFormatPr defaultRowHeight="14.4" x14ac:dyDescent="0.3"/>
  <sheetData>
    <row r="1" spans="1:21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</row>
    <row r="2" spans="1:21" x14ac:dyDescent="0.3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</row>
    <row r="3" spans="1:21" x14ac:dyDescent="0.3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</row>
    <row r="4" spans="1:21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</row>
    <row r="5" spans="1:21" x14ac:dyDescent="0.3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</row>
    <row r="6" spans="1:21" x14ac:dyDescent="0.3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</row>
    <row r="7" spans="1:21" x14ac:dyDescent="0.3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</row>
    <row r="8" spans="1:21" x14ac:dyDescent="0.3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</row>
    <row r="9" spans="1:21" x14ac:dyDescent="0.3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</row>
    <row r="10" spans="1:21" x14ac:dyDescent="0.3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1" x14ac:dyDescent="0.3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</row>
    <row r="12" spans="1:21" x14ac:dyDescent="0.3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1" x14ac:dyDescent="0.3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</row>
    <row r="14" spans="1:21" x14ac:dyDescent="0.3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</row>
    <row r="15" spans="1:21" x14ac:dyDescent="0.3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</row>
    <row r="16" spans="1:21" x14ac:dyDescent="0.3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</row>
    <row r="17" spans="1:21" x14ac:dyDescent="0.3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</row>
    <row r="18" spans="1:21" x14ac:dyDescent="0.3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</row>
    <row r="19" spans="1:21" x14ac:dyDescent="0.3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</row>
    <row r="20" spans="1:21" x14ac:dyDescent="0.3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</row>
    <row r="21" spans="1:21" x14ac:dyDescent="0.3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</row>
    <row r="22" spans="1:21" x14ac:dyDescent="0.3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</row>
    <row r="23" spans="1:21" x14ac:dyDescent="0.3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</row>
    <row r="24" spans="1:21" x14ac:dyDescent="0.3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</row>
    <row r="25" spans="1:21" x14ac:dyDescent="0.3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</row>
    <row r="26" spans="1:21" x14ac:dyDescent="0.3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3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</row>
    <row r="28" spans="1:21" x14ac:dyDescent="0.3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3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</row>
    <row r="30" spans="1:21" x14ac:dyDescent="0.3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</row>
    <row r="31" spans="1:21" x14ac:dyDescent="0.3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</row>
    <row r="32" spans="1:21" x14ac:dyDescent="0.3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</row>
    <row r="33" spans="1:21" x14ac:dyDescent="0.3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</row>
    <row r="34" spans="1:21" x14ac:dyDescent="0.3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</row>
    <row r="35" spans="1:21" x14ac:dyDescent="0.3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</row>
    <row r="36" spans="1:21" x14ac:dyDescent="0.3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</row>
    <row r="37" spans="1:21" x14ac:dyDescent="0.3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</row>
    <row r="38" spans="1:21" x14ac:dyDescent="0.3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</row>
    <row r="39" spans="1:21" x14ac:dyDescent="0.3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</row>
    <row r="40" spans="1:21" x14ac:dyDescent="0.3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</row>
    <row r="41" spans="1:21" x14ac:dyDescent="0.3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</row>
    <row r="42" spans="1:21" x14ac:dyDescent="0.3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3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</row>
    <row r="44" spans="1:21" x14ac:dyDescent="0.3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3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1:21" x14ac:dyDescent="0.3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</row>
    <row r="47" spans="1:21" x14ac:dyDescent="0.3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</row>
    <row r="48" spans="1:21" x14ac:dyDescent="0.3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</row>
    <row r="49" spans="1:21" x14ac:dyDescent="0.3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</row>
    <row r="50" spans="1:21" x14ac:dyDescent="0.3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</row>
    <row r="51" spans="1:21" x14ac:dyDescent="0.3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</row>
    <row r="52" spans="1:21" x14ac:dyDescent="0.3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</row>
    <row r="53" spans="1:21" x14ac:dyDescent="0.3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</row>
    <row r="54" spans="1:21" x14ac:dyDescent="0.3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</row>
    <row r="55" spans="1:21" x14ac:dyDescent="0.3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</row>
    <row r="56" spans="1:21" x14ac:dyDescent="0.3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</row>
    <row r="57" spans="1:21" x14ac:dyDescent="0.3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</row>
    <row r="58" spans="1:21" x14ac:dyDescent="0.3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3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</row>
    <row r="60" spans="1:21" x14ac:dyDescent="0.3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3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</row>
    <row r="62" spans="1:21" x14ac:dyDescent="0.3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</row>
    <row r="63" spans="1:21" x14ac:dyDescent="0.3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</row>
    <row r="64" spans="1:21" x14ac:dyDescent="0.3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</row>
    <row r="65" spans="1:21" x14ac:dyDescent="0.3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</row>
    <row r="66" spans="1:21" x14ac:dyDescent="0.3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</row>
    <row r="67" spans="1:21" x14ac:dyDescent="0.3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</row>
    <row r="68" spans="1:21" x14ac:dyDescent="0.3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</row>
    <row r="69" spans="1:21" x14ac:dyDescent="0.3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</row>
    <row r="70" spans="1:21" x14ac:dyDescent="0.3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</row>
    <row r="71" spans="1:21" x14ac:dyDescent="0.3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</row>
    <row r="72" spans="1:21" x14ac:dyDescent="0.3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</row>
    <row r="73" spans="1:21" x14ac:dyDescent="0.3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</row>
    <row r="74" spans="1:21" x14ac:dyDescent="0.3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3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</row>
    <row r="76" spans="1:21" x14ac:dyDescent="0.3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3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</row>
    <row r="78" spans="1:21" x14ac:dyDescent="0.3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</row>
    <row r="79" spans="1:21" x14ac:dyDescent="0.3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</row>
    <row r="80" spans="1:21" x14ac:dyDescent="0.3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</row>
    <row r="81" spans="1:21" x14ac:dyDescent="0.3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</row>
    <row r="82" spans="1:21" x14ac:dyDescent="0.3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</row>
    <row r="83" spans="1:21" x14ac:dyDescent="0.3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</row>
    <row r="84" spans="1:21" x14ac:dyDescent="0.3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</row>
    <row r="85" spans="1:21" x14ac:dyDescent="0.3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</row>
    <row r="86" spans="1:21" x14ac:dyDescent="0.3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</row>
    <row r="87" spans="1:21" x14ac:dyDescent="0.3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</row>
    <row r="88" spans="1:21" x14ac:dyDescent="0.3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</row>
    <row r="89" spans="1:21" x14ac:dyDescent="0.3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</row>
    <row r="90" spans="1:21" x14ac:dyDescent="0.3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3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</row>
    <row r="92" spans="1:21" x14ac:dyDescent="0.3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3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</row>
    <row r="94" spans="1:21" x14ac:dyDescent="0.3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</row>
    <row r="95" spans="1:21" x14ac:dyDescent="0.3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</row>
    <row r="96" spans="1:21" x14ac:dyDescent="0.3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</row>
    <row r="97" spans="1:21" x14ac:dyDescent="0.3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</row>
    <row r="98" spans="1:21" x14ac:dyDescent="0.3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</row>
    <row r="99" spans="1:21" x14ac:dyDescent="0.3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</row>
    <row r="100" spans="1:21" x14ac:dyDescent="0.3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</row>
    <row r="101" spans="1:21" x14ac:dyDescent="0.3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</row>
    <row r="102" spans="1:21" x14ac:dyDescent="0.3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</row>
    <row r="103" spans="1:21" x14ac:dyDescent="0.3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</row>
    <row r="104" spans="1:21" x14ac:dyDescent="0.3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</row>
    <row r="105" spans="1:21" x14ac:dyDescent="0.3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</row>
    <row r="106" spans="1:21" x14ac:dyDescent="0.3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3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</row>
    <row r="108" spans="1:21" x14ac:dyDescent="0.3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3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</row>
    <row r="110" spans="1:21" x14ac:dyDescent="0.3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</row>
    <row r="111" spans="1:21" x14ac:dyDescent="0.3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</row>
    <row r="112" spans="1:21" x14ac:dyDescent="0.3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</row>
    <row r="113" spans="1:21" x14ac:dyDescent="0.3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</row>
    <row r="114" spans="1:21" x14ac:dyDescent="0.3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</row>
    <row r="115" spans="1:21" x14ac:dyDescent="0.3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</row>
    <row r="116" spans="1:21" x14ac:dyDescent="0.3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</row>
    <row r="117" spans="1:21" x14ac:dyDescent="0.3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</row>
    <row r="118" spans="1:21" x14ac:dyDescent="0.3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</row>
    <row r="119" spans="1:21" x14ac:dyDescent="0.3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</row>
    <row r="120" spans="1:21" x14ac:dyDescent="0.3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</row>
    <row r="121" spans="1:21" x14ac:dyDescent="0.3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</row>
    <row r="122" spans="1:21" x14ac:dyDescent="0.3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</row>
    <row r="123" spans="1:21" x14ac:dyDescent="0.3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</row>
    <row r="124" spans="1:21" x14ac:dyDescent="0.3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</row>
    <row r="125" spans="1:21" x14ac:dyDescent="0.3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</row>
    <row r="126" spans="1:21" x14ac:dyDescent="0.3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</row>
    <row r="127" spans="1:21" x14ac:dyDescent="0.3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</row>
    <row r="128" spans="1:21" x14ac:dyDescent="0.3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</row>
    <row r="129" spans="1:21" x14ac:dyDescent="0.3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</row>
    <row r="130" spans="1:21" x14ac:dyDescent="0.3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</row>
    <row r="131" spans="1:21" x14ac:dyDescent="0.3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</row>
    <row r="132" spans="1:21" x14ac:dyDescent="0.3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</row>
    <row r="133" spans="1:21" x14ac:dyDescent="0.3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</row>
    <row r="134" spans="1:21" x14ac:dyDescent="0.3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L28"/>
  <sheetViews>
    <sheetView workbookViewId="0">
      <selection activeCell="F14" sqref="F14"/>
    </sheetView>
  </sheetViews>
  <sheetFormatPr defaultRowHeight="14.4" x14ac:dyDescent="0.3"/>
  <cols>
    <col min="1" max="1" width="10.109375" style="10" bestFit="1" customWidth="1"/>
    <col min="3" max="3" width="20.44140625" bestFit="1" customWidth="1"/>
    <col min="4" max="4" width="13.6640625" bestFit="1" customWidth="1"/>
    <col min="5" max="5" width="13.5546875" bestFit="1" customWidth="1"/>
    <col min="6" max="6" width="13.44140625" customWidth="1"/>
    <col min="7" max="7" width="16.88671875" bestFit="1" customWidth="1"/>
    <col min="8" max="10" width="16.88671875" customWidth="1"/>
    <col min="11" max="11" width="16.33203125" bestFit="1" customWidth="1"/>
    <col min="12" max="12" width="17" bestFit="1" customWidth="1"/>
  </cols>
  <sheetData>
    <row r="1" spans="1:12" ht="81.75" customHeight="1" x14ac:dyDescent="1.3">
      <c r="A1" s="115" t="s">
        <v>70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7"/>
    </row>
    <row r="2" spans="1:12" ht="38.25" customHeight="1" x14ac:dyDescent="0.3">
      <c r="A2" s="20" t="s">
        <v>1</v>
      </c>
      <c r="B2" s="11" t="s">
        <v>2</v>
      </c>
      <c r="C2" s="11" t="s">
        <v>71</v>
      </c>
      <c r="D2" s="12" t="s">
        <v>72</v>
      </c>
      <c r="E2" s="12" t="s">
        <v>73</v>
      </c>
      <c r="F2" s="12" t="s">
        <v>74</v>
      </c>
      <c r="G2" s="12" t="s">
        <v>75</v>
      </c>
      <c r="H2" s="12" t="s">
        <v>76</v>
      </c>
      <c r="I2" s="12" t="s">
        <v>77</v>
      </c>
      <c r="J2" s="12" t="s">
        <v>4</v>
      </c>
      <c r="K2" s="11" t="s">
        <v>78</v>
      </c>
      <c r="L2" s="11" t="s">
        <v>79</v>
      </c>
    </row>
    <row r="3" spans="1:12" ht="20.100000000000001" customHeight="1" x14ac:dyDescent="0.3">
      <c r="A3" s="14">
        <v>45320</v>
      </c>
      <c r="B3" s="13" t="s">
        <v>80</v>
      </c>
      <c r="C3" s="13">
        <v>200</v>
      </c>
      <c r="D3" s="14" t="s">
        <v>81</v>
      </c>
      <c r="E3" s="13" t="s">
        <v>82</v>
      </c>
      <c r="F3" s="15" t="s">
        <v>83</v>
      </c>
      <c r="G3" s="13">
        <v>1.25</v>
      </c>
      <c r="H3" s="13">
        <v>2.63</v>
      </c>
      <c r="I3" s="13"/>
      <c r="J3" s="13" t="s">
        <v>5</v>
      </c>
      <c r="K3" s="13" t="s">
        <v>84</v>
      </c>
      <c r="L3" s="13" t="s">
        <v>85</v>
      </c>
    </row>
    <row r="4" spans="1:12" ht="20.100000000000001" customHeight="1" x14ac:dyDescent="0.3">
      <c r="A4" s="14">
        <v>45420</v>
      </c>
      <c r="B4" s="13">
        <v>8394</v>
      </c>
      <c r="C4" s="13">
        <v>200</v>
      </c>
      <c r="D4" s="14" t="s">
        <v>81</v>
      </c>
      <c r="E4" s="13" t="s">
        <v>82</v>
      </c>
      <c r="F4" s="15" t="s">
        <v>83</v>
      </c>
      <c r="G4" s="13">
        <v>1.2250000000000001</v>
      </c>
      <c r="H4" s="13">
        <v>2.21</v>
      </c>
      <c r="I4" s="13"/>
      <c r="J4" s="13" t="s">
        <v>5</v>
      </c>
      <c r="K4" s="13" t="s">
        <v>84</v>
      </c>
      <c r="L4" s="13" t="s">
        <v>85</v>
      </c>
    </row>
    <row r="5" spans="1:12" ht="20.100000000000001" customHeight="1" x14ac:dyDescent="0.3">
      <c r="A5" s="16">
        <v>45475</v>
      </c>
      <c r="B5" s="17" t="s">
        <v>86</v>
      </c>
      <c r="C5" s="17">
        <v>200</v>
      </c>
      <c r="D5" s="16" t="s">
        <v>81</v>
      </c>
      <c r="E5" s="17" t="s">
        <v>82</v>
      </c>
      <c r="F5" s="18" t="s">
        <v>83</v>
      </c>
      <c r="G5" s="17">
        <v>1.2749999999999999</v>
      </c>
      <c r="H5" s="17">
        <v>2.7</v>
      </c>
      <c r="I5" s="17"/>
      <c r="J5" s="13" t="s">
        <v>5</v>
      </c>
      <c r="K5" s="17"/>
      <c r="L5" s="17" t="s">
        <v>87</v>
      </c>
    </row>
    <row r="6" spans="1:12" ht="20.100000000000001" customHeight="1" x14ac:dyDescent="0.3">
      <c r="A6" s="16">
        <v>45504</v>
      </c>
      <c r="B6" s="17" t="s">
        <v>88</v>
      </c>
      <c r="C6" s="17">
        <v>200</v>
      </c>
      <c r="D6" s="17" t="s">
        <v>81</v>
      </c>
      <c r="E6" s="17" t="s">
        <v>82</v>
      </c>
      <c r="F6" s="18" t="s">
        <v>83</v>
      </c>
      <c r="G6" s="17">
        <v>1.2549999999999999</v>
      </c>
      <c r="H6" s="17">
        <v>2.6</v>
      </c>
      <c r="I6" s="17"/>
      <c r="J6" s="13" t="s">
        <v>5</v>
      </c>
      <c r="K6" s="17"/>
      <c r="L6" s="17" t="s">
        <v>87</v>
      </c>
    </row>
    <row r="7" spans="1:12" ht="20.100000000000001" customHeight="1" x14ac:dyDescent="0.3">
      <c r="A7" s="16">
        <v>45603</v>
      </c>
      <c r="B7" s="17" t="s">
        <v>89</v>
      </c>
      <c r="C7" s="17">
        <v>250</v>
      </c>
      <c r="D7" s="17" t="s">
        <v>81</v>
      </c>
      <c r="E7" s="17" t="s">
        <v>82</v>
      </c>
      <c r="F7" s="18" t="s">
        <v>83</v>
      </c>
      <c r="G7" s="17">
        <v>1.2749999999999999</v>
      </c>
      <c r="H7" s="17">
        <v>2.4900000000000002</v>
      </c>
      <c r="I7" s="17"/>
      <c r="J7" s="13" t="s">
        <v>5</v>
      </c>
      <c r="K7" s="17"/>
      <c r="L7" s="17" t="s">
        <v>87</v>
      </c>
    </row>
    <row r="8" spans="1:12" ht="20.100000000000001" customHeight="1" x14ac:dyDescent="0.3">
      <c r="A8" s="22">
        <v>45755</v>
      </c>
      <c r="B8" s="21" t="s">
        <v>90</v>
      </c>
      <c r="C8" s="21">
        <v>200</v>
      </c>
      <c r="D8" s="21" t="s">
        <v>81</v>
      </c>
      <c r="E8" s="21" t="s">
        <v>82</v>
      </c>
      <c r="F8" s="23" t="s">
        <v>83</v>
      </c>
      <c r="G8" s="21" t="s">
        <v>84</v>
      </c>
      <c r="H8" s="21">
        <v>2.61</v>
      </c>
      <c r="I8" s="21"/>
      <c r="J8" s="13" t="s">
        <v>5</v>
      </c>
      <c r="K8" s="21"/>
      <c r="L8" s="21" t="s">
        <v>87</v>
      </c>
    </row>
    <row r="9" spans="1:12" ht="20.100000000000001" customHeight="1" x14ac:dyDescent="0.3">
      <c r="A9" s="25">
        <v>45842</v>
      </c>
      <c r="B9" s="24" t="s">
        <v>91</v>
      </c>
      <c r="C9" s="24">
        <v>100</v>
      </c>
      <c r="D9" s="24" t="s">
        <v>81</v>
      </c>
      <c r="E9" s="24" t="s">
        <v>82</v>
      </c>
      <c r="F9" s="26" t="s">
        <v>83</v>
      </c>
      <c r="G9" s="24">
        <v>1.2749999999999999</v>
      </c>
      <c r="H9" s="24">
        <v>2.44</v>
      </c>
      <c r="I9" s="24"/>
      <c r="J9" s="13" t="s">
        <v>5</v>
      </c>
      <c r="K9" s="24"/>
      <c r="L9" s="24" t="s">
        <v>92</v>
      </c>
    </row>
    <row r="10" spans="1:12" ht="20.100000000000001" customHeight="1" x14ac:dyDescent="0.3">
      <c r="A10" s="27">
        <v>45908</v>
      </c>
      <c r="B10" s="28" t="s">
        <v>93</v>
      </c>
      <c r="C10" s="28">
        <v>100</v>
      </c>
      <c r="D10" s="28" t="s">
        <v>81</v>
      </c>
      <c r="E10" s="28" t="s">
        <v>82</v>
      </c>
      <c r="F10" s="29" t="s">
        <v>83</v>
      </c>
      <c r="G10" s="28">
        <v>1.25</v>
      </c>
      <c r="H10" s="28">
        <v>2.4500000000000002</v>
      </c>
      <c r="I10" s="28"/>
      <c r="J10" s="13" t="s">
        <v>5</v>
      </c>
      <c r="K10" s="28" t="s">
        <v>84</v>
      </c>
      <c r="L10" s="28" t="s">
        <v>92</v>
      </c>
    </row>
    <row r="11" spans="1:12" ht="20.100000000000001" customHeight="1" x14ac:dyDescent="0.3">
      <c r="A11" s="14">
        <v>45985</v>
      </c>
      <c r="B11" s="13" t="s">
        <v>94</v>
      </c>
      <c r="C11" s="13">
        <v>100</v>
      </c>
      <c r="D11" s="13" t="s">
        <v>81</v>
      </c>
      <c r="E11" s="13" t="s">
        <v>82</v>
      </c>
      <c r="F11" s="15" t="s">
        <v>83</v>
      </c>
      <c r="G11" s="13">
        <v>1.2749999999999999</v>
      </c>
      <c r="H11" s="13">
        <v>2.67</v>
      </c>
      <c r="I11" s="13">
        <v>3.15</v>
      </c>
      <c r="J11" s="13" t="s">
        <v>5</v>
      </c>
      <c r="K11" s="13" t="s">
        <v>84</v>
      </c>
      <c r="L11" s="13" t="s">
        <v>92</v>
      </c>
    </row>
    <row r="12" spans="1:12" ht="20.100000000000001" customHeight="1" x14ac:dyDescent="0.3">
      <c r="A12" s="35">
        <v>46125</v>
      </c>
      <c r="B12" s="36" t="s">
        <v>95</v>
      </c>
      <c r="C12" s="36">
        <v>100</v>
      </c>
      <c r="D12" s="36" t="s">
        <v>81</v>
      </c>
      <c r="E12" s="36" t="s">
        <v>82</v>
      </c>
      <c r="F12" s="37" t="s">
        <v>83</v>
      </c>
      <c r="G12" s="36">
        <v>1.2749999999999999</v>
      </c>
      <c r="H12" s="36">
        <v>2.76</v>
      </c>
      <c r="I12" s="38">
        <v>3.8</v>
      </c>
      <c r="J12" s="38" t="s">
        <v>5</v>
      </c>
      <c r="K12" s="36" t="s">
        <v>84</v>
      </c>
      <c r="L12" s="39" t="s">
        <v>92</v>
      </c>
    </row>
    <row r="13" spans="1:12" ht="20.100000000000001" customHeight="1" x14ac:dyDescent="0.3">
      <c r="A13" s="20"/>
      <c r="B13" s="11"/>
      <c r="C13" s="11"/>
      <c r="D13" s="11"/>
      <c r="E13" s="11"/>
      <c r="F13" s="11"/>
      <c r="G13" s="19"/>
      <c r="H13" s="19"/>
      <c r="I13" s="19"/>
      <c r="J13" s="19"/>
      <c r="K13" s="11"/>
      <c r="L13" s="11"/>
    </row>
    <row r="14" spans="1:12" ht="20.100000000000001" customHeight="1" x14ac:dyDescent="0.3">
      <c r="A14" s="20"/>
      <c r="B14" s="11"/>
      <c r="C14" s="11"/>
      <c r="D14" s="11"/>
      <c r="E14" s="11"/>
      <c r="F14" s="11"/>
      <c r="G14" s="19"/>
      <c r="H14" s="19"/>
      <c r="I14" s="19"/>
      <c r="J14" s="19"/>
      <c r="K14" s="11"/>
      <c r="L14" s="11"/>
    </row>
    <row r="15" spans="1:12" ht="20.100000000000001" customHeight="1" x14ac:dyDescent="0.3">
      <c r="A15" s="20"/>
      <c r="B15" s="11"/>
      <c r="C15" s="11"/>
      <c r="D15" s="11"/>
      <c r="E15" s="11"/>
      <c r="F15" s="11"/>
      <c r="G15" s="19"/>
      <c r="H15" s="19"/>
      <c r="I15" s="19"/>
      <c r="J15" s="19"/>
      <c r="K15" s="11"/>
      <c r="L15" s="11"/>
    </row>
    <row r="16" spans="1:12" ht="20.100000000000001" customHeight="1" x14ac:dyDescent="0.3">
      <c r="A16" s="20"/>
      <c r="B16" s="11"/>
      <c r="C16" s="11"/>
      <c r="D16" s="11"/>
      <c r="E16" s="11"/>
      <c r="F16" s="11"/>
      <c r="G16" s="19"/>
      <c r="H16" s="19"/>
      <c r="I16" s="19"/>
      <c r="J16" s="19"/>
      <c r="K16" s="11"/>
      <c r="L16" s="11"/>
    </row>
    <row r="17" spans="1:12" ht="20.100000000000001" customHeight="1" x14ac:dyDescent="0.3">
      <c r="A17" s="20"/>
      <c r="B17" s="11"/>
      <c r="C17" s="11"/>
      <c r="D17" s="11"/>
      <c r="E17" s="11"/>
      <c r="F17" s="11"/>
      <c r="G17" s="19"/>
      <c r="H17" s="19"/>
      <c r="I17" s="19"/>
      <c r="J17" s="19"/>
      <c r="K17" s="11"/>
      <c r="L17" s="11"/>
    </row>
    <row r="18" spans="1:12" ht="20.100000000000001" customHeight="1" x14ac:dyDescent="0.3">
      <c r="A18" s="20"/>
      <c r="B18" s="11"/>
      <c r="C18" s="11"/>
      <c r="D18" s="11"/>
      <c r="E18" s="11"/>
      <c r="F18" s="11"/>
      <c r="G18" s="19"/>
      <c r="H18" s="19"/>
      <c r="I18" s="19"/>
      <c r="J18" s="19"/>
      <c r="K18" s="11"/>
      <c r="L18" s="11"/>
    </row>
    <row r="19" spans="1:12" ht="20.100000000000001" customHeight="1" x14ac:dyDescent="0.3">
      <c r="A19" s="20"/>
      <c r="B19" s="11"/>
      <c r="C19" s="11"/>
      <c r="D19" s="11"/>
      <c r="E19" s="11"/>
      <c r="F19" s="11"/>
      <c r="G19" s="19"/>
      <c r="H19" s="19"/>
      <c r="I19" s="19"/>
      <c r="J19" s="19"/>
      <c r="K19" s="11"/>
      <c r="L19" s="11"/>
    </row>
    <row r="20" spans="1:12" ht="20.100000000000001" customHeight="1" x14ac:dyDescent="0.3">
      <c r="A20" s="20"/>
      <c r="B20" s="11"/>
      <c r="C20" s="11"/>
      <c r="D20" s="11"/>
      <c r="E20" s="11"/>
      <c r="F20" s="11"/>
      <c r="G20" s="19"/>
      <c r="H20" s="19"/>
      <c r="I20" s="19"/>
      <c r="J20" s="19"/>
      <c r="K20" s="11"/>
      <c r="L20" s="11"/>
    </row>
    <row r="21" spans="1:12" ht="20.100000000000001" customHeight="1" x14ac:dyDescent="0.3">
      <c r="A21" s="20"/>
      <c r="B21" s="11"/>
      <c r="C21" s="11"/>
      <c r="D21" s="11"/>
      <c r="E21" s="11"/>
      <c r="F21" s="11"/>
      <c r="G21" s="19"/>
      <c r="H21" s="19"/>
      <c r="I21" s="19"/>
      <c r="J21" s="19"/>
      <c r="K21" s="11"/>
      <c r="L21" s="11"/>
    </row>
    <row r="22" spans="1:12" ht="20.100000000000001" customHeight="1" x14ac:dyDescent="0.3">
      <c r="A22" s="20"/>
      <c r="B22" s="11"/>
      <c r="C22" s="11"/>
      <c r="D22" s="11"/>
      <c r="E22" s="11"/>
      <c r="F22" s="11"/>
      <c r="G22" s="19"/>
      <c r="H22" s="19"/>
      <c r="I22" s="19"/>
      <c r="J22" s="19"/>
      <c r="K22" s="11"/>
      <c r="L22" s="11"/>
    </row>
    <row r="23" spans="1:12" ht="20.100000000000001" customHeight="1" x14ac:dyDescent="0.3">
      <c r="A23" s="20"/>
      <c r="B23" s="11"/>
      <c r="C23" s="11"/>
      <c r="D23" s="11"/>
      <c r="E23" s="11"/>
      <c r="F23" s="11"/>
      <c r="G23" s="19"/>
      <c r="H23" s="19"/>
      <c r="I23" s="19"/>
      <c r="J23" s="19"/>
      <c r="K23" s="11"/>
      <c r="L23" s="11"/>
    </row>
    <row r="24" spans="1:12" ht="20.100000000000001" customHeight="1" x14ac:dyDescent="0.3">
      <c r="A24" s="20"/>
      <c r="B24" s="11"/>
      <c r="C24" s="11"/>
      <c r="D24" s="11"/>
      <c r="E24" s="11"/>
      <c r="F24" s="11"/>
      <c r="G24" s="19"/>
      <c r="H24" s="19"/>
      <c r="I24" s="19"/>
      <c r="J24" s="19"/>
      <c r="K24" s="11"/>
      <c r="L24" s="11"/>
    </row>
    <row r="25" spans="1:12" ht="20.100000000000001" customHeight="1" x14ac:dyDescent="0.3">
      <c r="A25" s="20"/>
      <c r="B25" s="11"/>
      <c r="C25" s="11"/>
      <c r="D25" s="11"/>
      <c r="E25" s="11"/>
      <c r="F25" s="11"/>
      <c r="G25" s="19"/>
      <c r="H25" s="19"/>
      <c r="I25" s="19"/>
      <c r="J25" s="19"/>
      <c r="K25" s="11"/>
      <c r="L25" s="11"/>
    </row>
    <row r="26" spans="1:12" ht="20.100000000000001" customHeight="1" x14ac:dyDescent="0.3">
      <c r="A26" s="20"/>
      <c r="B26" s="11"/>
      <c r="C26" s="11"/>
      <c r="D26" s="11"/>
      <c r="E26" s="11"/>
      <c r="F26" s="11"/>
      <c r="G26" s="19"/>
      <c r="H26" s="19"/>
      <c r="I26" s="19"/>
      <c r="J26" s="19"/>
      <c r="K26" s="11"/>
      <c r="L26" s="11"/>
    </row>
    <row r="27" spans="1:12" ht="20.100000000000001" customHeight="1" x14ac:dyDescent="0.3">
      <c r="A27" s="20"/>
      <c r="B27" s="11"/>
      <c r="C27" s="11"/>
      <c r="D27" s="11"/>
      <c r="E27" s="11"/>
      <c r="F27" s="11"/>
      <c r="G27" s="19"/>
      <c r="H27" s="19"/>
      <c r="I27" s="19"/>
      <c r="J27" s="19"/>
      <c r="K27" s="11"/>
      <c r="L27" s="11"/>
    </row>
    <row r="28" spans="1:12" ht="20.100000000000001" customHeight="1" x14ac:dyDescent="0.3">
      <c r="A28" s="20"/>
      <c r="B28" s="11"/>
      <c r="C28" s="11"/>
      <c r="D28" s="11"/>
      <c r="E28" s="11"/>
      <c r="F28" s="11"/>
      <c r="G28" s="19"/>
      <c r="H28" s="19"/>
      <c r="I28" s="19"/>
      <c r="J28" s="19"/>
      <c r="K28" s="11"/>
      <c r="L28" s="11"/>
    </row>
  </sheetData>
  <mergeCells count="1">
    <mergeCell ref="A1:L1"/>
  </mergeCells>
  <conditionalFormatting sqref="J3:J28">
    <cfRule type="containsText" dxfId="157" priority="1" operator="containsText" text="Aprovado">
      <formula>NOT(ISERROR(SEARCH("Aprovado",J3)))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B1:P28"/>
  <sheetViews>
    <sheetView topLeftCell="E1" workbookViewId="0"/>
  </sheetViews>
  <sheetFormatPr defaultRowHeight="14.4" x14ac:dyDescent="0.3"/>
  <cols>
    <col min="1" max="1" width="3.88671875" customWidth="1"/>
    <col min="2" max="2" width="10.109375" bestFit="1" customWidth="1"/>
    <col min="4" max="4" width="20.44140625" bestFit="1" customWidth="1"/>
    <col min="5" max="5" width="13.6640625" bestFit="1" customWidth="1"/>
    <col min="6" max="6" width="11.6640625" customWidth="1"/>
    <col min="7" max="7" width="13.44140625" customWidth="1"/>
    <col min="8" max="8" width="16.88671875" bestFit="1" customWidth="1"/>
    <col min="9" max="9" width="16.88671875" customWidth="1"/>
    <col min="10" max="10" width="13.6640625" customWidth="1"/>
    <col min="11" max="11" width="13.5546875" bestFit="1" customWidth="1"/>
    <col min="12" max="13" width="13.6640625" bestFit="1" customWidth="1"/>
    <col min="14" max="14" width="13.6640625" customWidth="1"/>
    <col min="15" max="15" width="13.6640625" bestFit="1" customWidth="1"/>
    <col min="16" max="16" width="12.6640625" bestFit="1" customWidth="1"/>
  </cols>
  <sheetData>
    <row r="1" spans="2:16" ht="81.75" customHeight="1" x14ac:dyDescent="1.3">
      <c r="B1" s="115" t="s">
        <v>96</v>
      </c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7"/>
    </row>
    <row r="2" spans="2:16" ht="51" customHeight="1" x14ac:dyDescent="0.3">
      <c r="B2" s="11" t="s">
        <v>1</v>
      </c>
      <c r="C2" s="11" t="s">
        <v>2</v>
      </c>
      <c r="D2" s="11" t="s">
        <v>71</v>
      </c>
      <c r="E2" s="12" t="s">
        <v>72</v>
      </c>
      <c r="F2" s="12" t="s">
        <v>73</v>
      </c>
      <c r="G2" s="12" t="s">
        <v>97</v>
      </c>
      <c r="H2" s="12" t="s">
        <v>98</v>
      </c>
      <c r="I2" s="12" t="s">
        <v>99</v>
      </c>
      <c r="J2" s="12" t="s">
        <v>100</v>
      </c>
      <c r="K2" s="12" t="s">
        <v>101</v>
      </c>
      <c r="L2" s="12" t="s">
        <v>102</v>
      </c>
      <c r="M2" s="12" t="s">
        <v>103</v>
      </c>
      <c r="N2" s="12" t="s">
        <v>4</v>
      </c>
      <c r="O2" s="11" t="s">
        <v>78</v>
      </c>
      <c r="P2" s="11" t="s">
        <v>79</v>
      </c>
    </row>
    <row r="3" spans="2:16" ht="20.100000000000001" customHeight="1" x14ac:dyDescent="0.3">
      <c r="B3" s="14">
        <v>45457</v>
      </c>
      <c r="C3" s="13" t="s">
        <v>104</v>
      </c>
      <c r="D3" s="13">
        <v>15000</v>
      </c>
      <c r="E3" s="14" t="s">
        <v>105</v>
      </c>
      <c r="F3" s="13" t="s">
        <v>106</v>
      </c>
      <c r="G3" s="15" t="s">
        <v>106</v>
      </c>
      <c r="H3" s="13">
        <v>1.1000000000000001</v>
      </c>
      <c r="I3" s="13">
        <v>2.0699999999999998</v>
      </c>
      <c r="J3" s="13"/>
      <c r="K3" s="13">
        <v>11.84</v>
      </c>
      <c r="L3" s="13" t="s">
        <v>106</v>
      </c>
      <c r="M3" s="13" t="s">
        <v>106</v>
      </c>
      <c r="N3" s="13" t="s">
        <v>5</v>
      </c>
      <c r="O3" s="13" t="s">
        <v>84</v>
      </c>
      <c r="P3" s="13" t="s">
        <v>87</v>
      </c>
    </row>
    <row r="4" spans="2:16" ht="20.100000000000001" customHeight="1" x14ac:dyDescent="0.3">
      <c r="B4" s="14">
        <v>45839</v>
      </c>
      <c r="C4" s="13" t="s">
        <v>107</v>
      </c>
      <c r="D4" s="13">
        <v>26000</v>
      </c>
      <c r="E4" s="14" t="s">
        <v>108</v>
      </c>
      <c r="F4" s="13" t="s">
        <v>106</v>
      </c>
      <c r="G4" s="15" t="s">
        <v>106</v>
      </c>
      <c r="H4" s="13">
        <v>1.1100000000000001</v>
      </c>
      <c r="I4" s="13">
        <v>1.65</v>
      </c>
      <c r="J4" s="13"/>
      <c r="K4" s="13">
        <v>13.86</v>
      </c>
      <c r="L4" s="11" t="s">
        <v>109</v>
      </c>
      <c r="M4" s="13" t="s">
        <v>106</v>
      </c>
      <c r="N4" s="13" t="s">
        <v>5</v>
      </c>
      <c r="O4" s="13" t="s">
        <v>84</v>
      </c>
      <c r="P4" s="13" t="s">
        <v>92</v>
      </c>
    </row>
    <row r="5" spans="2:16" ht="20.100000000000001" customHeight="1" x14ac:dyDescent="0.3">
      <c r="B5" s="16">
        <v>45849</v>
      </c>
      <c r="C5" s="13" t="s">
        <v>110</v>
      </c>
      <c r="D5" s="17">
        <v>2000</v>
      </c>
      <c r="E5" s="14" t="s">
        <v>105</v>
      </c>
      <c r="F5" s="13" t="s">
        <v>106</v>
      </c>
      <c r="G5" s="15" t="s">
        <v>106</v>
      </c>
      <c r="H5" s="13">
        <v>1.1100000000000001</v>
      </c>
      <c r="I5" s="13">
        <v>1.65</v>
      </c>
      <c r="J5" s="13"/>
      <c r="K5" s="13">
        <v>13.86</v>
      </c>
      <c r="L5" s="11" t="s">
        <v>109</v>
      </c>
      <c r="M5" s="13" t="s">
        <v>106</v>
      </c>
      <c r="N5" s="13" t="s">
        <v>5</v>
      </c>
      <c r="O5" s="13" t="s">
        <v>84</v>
      </c>
      <c r="P5" s="13" t="s">
        <v>92</v>
      </c>
    </row>
    <row r="6" spans="2:16" ht="20.100000000000001" customHeight="1" x14ac:dyDescent="0.3">
      <c r="B6" s="16">
        <v>45850</v>
      </c>
      <c r="C6" s="13" t="s">
        <v>111</v>
      </c>
      <c r="D6" s="17">
        <v>26000</v>
      </c>
      <c r="E6" s="14" t="s">
        <v>105</v>
      </c>
      <c r="F6" s="13" t="s">
        <v>106</v>
      </c>
      <c r="G6" s="15" t="s">
        <v>106</v>
      </c>
      <c r="H6" s="17">
        <v>1.1100000000000001</v>
      </c>
      <c r="I6" s="17">
        <v>1.44</v>
      </c>
      <c r="J6" s="17"/>
      <c r="K6" s="17">
        <v>13.35</v>
      </c>
      <c r="L6" s="13" t="s">
        <v>109</v>
      </c>
      <c r="M6" s="13" t="s">
        <v>106</v>
      </c>
      <c r="N6" s="13" t="s">
        <v>5</v>
      </c>
      <c r="O6" s="13" t="s">
        <v>84</v>
      </c>
      <c r="P6" s="13" t="s">
        <v>92</v>
      </c>
    </row>
    <row r="7" spans="2:16" ht="20.100000000000001" customHeight="1" x14ac:dyDescent="0.3">
      <c r="B7" s="16">
        <v>45974</v>
      </c>
      <c r="C7" s="13" t="s">
        <v>112</v>
      </c>
      <c r="D7" s="17">
        <v>26000</v>
      </c>
      <c r="E7" s="14" t="s">
        <v>105</v>
      </c>
      <c r="F7" s="13" t="s">
        <v>106</v>
      </c>
      <c r="G7" s="15" t="s">
        <v>106</v>
      </c>
      <c r="H7" s="17">
        <v>1.1100000000000001</v>
      </c>
      <c r="I7" s="17">
        <v>1.53</v>
      </c>
      <c r="J7" s="17"/>
      <c r="K7" s="17">
        <v>14.06</v>
      </c>
      <c r="L7" s="13" t="s">
        <v>109</v>
      </c>
      <c r="M7" s="13" t="s">
        <v>106</v>
      </c>
      <c r="N7" s="13" t="s">
        <v>5</v>
      </c>
      <c r="O7" s="13" t="s">
        <v>84</v>
      </c>
      <c r="P7" s="13" t="s">
        <v>92</v>
      </c>
    </row>
    <row r="8" spans="2:16" ht="20.100000000000001" customHeight="1" x14ac:dyDescent="0.3">
      <c r="B8" s="16">
        <v>45975</v>
      </c>
      <c r="C8" s="31" t="s">
        <v>113</v>
      </c>
      <c r="D8" s="31">
        <v>26000</v>
      </c>
      <c r="E8" s="31" t="s">
        <v>105</v>
      </c>
      <c r="F8" s="31" t="s">
        <v>106</v>
      </c>
      <c r="G8" s="32" t="s">
        <v>106</v>
      </c>
      <c r="H8" s="31">
        <v>1.1100000000000001</v>
      </c>
      <c r="I8" s="31">
        <v>2.16</v>
      </c>
      <c r="J8" s="31"/>
      <c r="K8" s="31">
        <v>12.13</v>
      </c>
      <c r="L8" s="31" t="s">
        <v>109</v>
      </c>
      <c r="M8" s="31" t="s">
        <v>106</v>
      </c>
      <c r="N8" s="13" t="s">
        <v>5</v>
      </c>
      <c r="O8" s="31" t="s">
        <v>84</v>
      </c>
      <c r="P8" s="31" t="s">
        <v>92</v>
      </c>
    </row>
    <row r="9" spans="2:16" ht="20.100000000000001" customHeight="1" x14ac:dyDescent="0.3">
      <c r="B9" s="33">
        <v>46029</v>
      </c>
      <c r="C9" s="31" t="s">
        <v>114</v>
      </c>
      <c r="D9" s="31">
        <v>26000</v>
      </c>
      <c r="E9" s="31" t="s">
        <v>105</v>
      </c>
      <c r="F9" s="31" t="s">
        <v>106</v>
      </c>
      <c r="G9" s="32" t="s">
        <v>106</v>
      </c>
      <c r="H9" s="31">
        <v>1.1100000000000001</v>
      </c>
      <c r="I9" s="31">
        <v>1.8</v>
      </c>
      <c r="J9" s="31"/>
      <c r="K9" s="31">
        <v>14.36</v>
      </c>
      <c r="L9" s="31" t="s">
        <v>109</v>
      </c>
      <c r="M9" s="31" t="s">
        <v>106</v>
      </c>
      <c r="N9" s="13" t="s">
        <v>5</v>
      </c>
      <c r="O9" s="31" t="s">
        <v>84</v>
      </c>
      <c r="P9" s="31" t="s">
        <v>92</v>
      </c>
    </row>
    <row r="10" spans="2:16" ht="20.100000000000001" customHeight="1" x14ac:dyDescent="0.3">
      <c r="B10" s="35">
        <v>46057</v>
      </c>
      <c r="C10" s="36" t="s">
        <v>115</v>
      </c>
      <c r="D10" s="36">
        <v>26000</v>
      </c>
      <c r="E10" s="36" t="s">
        <v>105</v>
      </c>
      <c r="F10" s="36" t="s">
        <v>106</v>
      </c>
      <c r="G10" s="37" t="s">
        <v>106</v>
      </c>
      <c r="H10" s="36">
        <v>1.111</v>
      </c>
      <c r="I10" s="36">
        <v>1.47</v>
      </c>
      <c r="J10" s="36">
        <v>3.15</v>
      </c>
      <c r="K10" s="36">
        <v>14.69</v>
      </c>
      <c r="L10" s="36" t="s">
        <v>109</v>
      </c>
      <c r="M10" s="36" t="s">
        <v>106</v>
      </c>
      <c r="N10" s="38" t="s">
        <v>5</v>
      </c>
      <c r="O10" s="36" t="s">
        <v>84</v>
      </c>
      <c r="P10" s="39" t="s">
        <v>92</v>
      </c>
    </row>
    <row r="11" spans="2:16" ht="20.100000000000001" customHeight="1" x14ac:dyDescent="0.3">
      <c r="B11" s="35">
        <v>46085</v>
      </c>
      <c r="C11" s="36" t="s">
        <v>116</v>
      </c>
      <c r="D11" s="36">
        <v>26000</v>
      </c>
      <c r="E11" s="36" t="s">
        <v>105</v>
      </c>
      <c r="F11" s="36" t="s">
        <v>106</v>
      </c>
      <c r="G11" s="37" t="s">
        <v>106</v>
      </c>
      <c r="H11" s="36">
        <v>1.1000000000000001</v>
      </c>
      <c r="I11" s="36">
        <v>1.3</v>
      </c>
      <c r="J11" s="38">
        <v>3.8</v>
      </c>
      <c r="K11" s="36">
        <v>14.8</v>
      </c>
      <c r="L11" s="36" t="s">
        <v>109</v>
      </c>
      <c r="M11" s="36" t="s">
        <v>106</v>
      </c>
      <c r="N11" s="38" t="s">
        <v>5</v>
      </c>
      <c r="O11" s="36" t="s">
        <v>84</v>
      </c>
      <c r="P11" s="39" t="s">
        <v>92</v>
      </c>
    </row>
    <row r="12" spans="2:16" ht="20.100000000000001" customHeight="1" x14ac:dyDescent="0.3">
      <c r="B12" s="35">
        <v>46112</v>
      </c>
      <c r="C12" s="36" t="s">
        <v>117</v>
      </c>
      <c r="D12" s="36">
        <v>26000</v>
      </c>
      <c r="E12" s="36" t="s">
        <v>105</v>
      </c>
      <c r="F12" s="36" t="s">
        <v>106</v>
      </c>
      <c r="G12" s="37" t="s">
        <v>106</v>
      </c>
      <c r="H12" s="36">
        <v>1.1100000000000001</v>
      </c>
      <c r="I12" s="36">
        <v>1.1599999999999999</v>
      </c>
      <c r="J12" s="38">
        <v>3.15</v>
      </c>
      <c r="K12" s="36">
        <v>14.12</v>
      </c>
      <c r="L12" s="36" t="s">
        <v>109</v>
      </c>
      <c r="M12" s="36" t="s">
        <v>106</v>
      </c>
      <c r="N12" s="38" t="s">
        <v>5</v>
      </c>
      <c r="O12" s="36" t="s">
        <v>84</v>
      </c>
      <c r="P12" s="39" t="s">
        <v>92</v>
      </c>
    </row>
    <row r="13" spans="2:16" ht="20.100000000000001" customHeight="1" x14ac:dyDescent="0.3">
      <c r="B13" s="35">
        <v>46141</v>
      </c>
      <c r="C13" s="36" t="s">
        <v>118</v>
      </c>
      <c r="D13" s="36">
        <v>26000</v>
      </c>
      <c r="E13" s="36" t="s">
        <v>105</v>
      </c>
      <c r="F13" s="36" t="s">
        <v>106</v>
      </c>
      <c r="G13" s="37" t="s">
        <v>106</v>
      </c>
      <c r="H13" s="36">
        <v>1.1100000000000001</v>
      </c>
      <c r="I13" s="36">
        <v>1.86</v>
      </c>
      <c r="J13" s="38">
        <v>3.85</v>
      </c>
      <c r="K13" s="36">
        <v>14.3</v>
      </c>
      <c r="L13" s="36" t="s">
        <v>109</v>
      </c>
      <c r="M13" s="36" t="s">
        <v>106</v>
      </c>
      <c r="N13" s="38" t="s">
        <v>5</v>
      </c>
      <c r="O13" s="36" t="s">
        <v>84</v>
      </c>
      <c r="P13" s="39" t="s">
        <v>92</v>
      </c>
    </row>
    <row r="14" spans="2:16" ht="20.100000000000001" customHeight="1" x14ac:dyDescent="0.3">
      <c r="B14" s="35">
        <v>46169</v>
      </c>
      <c r="C14" s="36" t="s">
        <v>119</v>
      </c>
      <c r="D14" s="36">
        <v>26000</v>
      </c>
      <c r="E14" s="36" t="s">
        <v>105</v>
      </c>
      <c r="F14" s="36" t="s">
        <v>106</v>
      </c>
      <c r="G14" s="37" t="s">
        <v>106</v>
      </c>
      <c r="H14" s="36">
        <v>1.1100000000000001</v>
      </c>
      <c r="I14" s="36">
        <v>1.91</v>
      </c>
      <c r="J14" s="38">
        <v>3.7</v>
      </c>
      <c r="K14" s="36">
        <v>14.9</v>
      </c>
      <c r="L14" s="36" t="s">
        <v>109</v>
      </c>
      <c r="M14" s="36" t="s">
        <v>106</v>
      </c>
      <c r="N14" s="38" t="s">
        <v>5</v>
      </c>
      <c r="O14" s="36"/>
      <c r="P14" s="39"/>
    </row>
    <row r="15" spans="2:16" ht="20.100000000000001" customHeight="1" x14ac:dyDescent="0.3">
      <c r="B15" s="11"/>
      <c r="C15" s="11"/>
      <c r="D15" s="11"/>
      <c r="E15" s="11"/>
      <c r="F15" s="11"/>
      <c r="G15" s="11"/>
      <c r="H15" s="19"/>
      <c r="I15" s="19"/>
      <c r="J15" s="19"/>
      <c r="K15" s="11"/>
      <c r="L15" s="11"/>
      <c r="M15" s="11"/>
      <c r="N15" s="11"/>
      <c r="O15" s="11"/>
      <c r="P15" s="11"/>
    </row>
    <row r="16" spans="2:16" ht="20.100000000000001" customHeight="1" x14ac:dyDescent="0.3">
      <c r="B16" s="11"/>
      <c r="C16" s="11"/>
      <c r="D16" s="11"/>
      <c r="E16" s="11"/>
      <c r="F16" s="11"/>
      <c r="G16" s="11"/>
      <c r="H16" s="19"/>
      <c r="I16" s="19"/>
      <c r="J16" s="19"/>
      <c r="K16" s="11"/>
      <c r="L16" s="11"/>
      <c r="M16" s="11"/>
      <c r="N16" s="11"/>
      <c r="O16" s="11"/>
      <c r="P16" s="11"/>
    </row>
    <row r="17" spans="2:16" ht="20.100000000000001" customHeight="1" x14ac:dyDescent="0.3">
      <c r="B17" s="11"/>
      <c r="C17" s="11"/>
      <c r="D17" s="11"/>
      <c r="E17" s="11"/>
      <c r="F17" s="11"/>
      <c r="G17" s="11"/>
      <c r="H17" s="19"/>
      <c r="I17" s="19"/>
      <c r="J17" s="19"/>
      <c r="K17" s="11"/>
      <c r="L17" s="11"/>
      <c r="M17" s="11"/>
      <c r="N17" s="11"/>
      <c r="O17" s="11"/>
      <c r="P17" s="11"/>
    </row>
    <row r="18" spans="2:16" ht="20.100000000000001" customHeight="1" x14ac:dyDescent="0.3">
      <c r="B18" s="11"/>
      <c r="C18" s="11"/>
      <c r="D18" s="11"/>
      <c r="E18" s="11"/>
      <c r="F18" s="11"/>
      <c r="G18" s="11"/>
      <c r="H18" s="19"/>
      <c r="I18" s="19"/>
      <c r="J18" s="19"/>
      <c r="K18" s="11"/>
      <c r="L18" s="11"/>
      <c r="M18" s="11"/>
      <c r="N18" s="11"/>
      <c r="O18" s="11"/>
      <c r="P18" s="11"/>
    </row>
    <row r="19" spans="2:16" ht="20.100000000000001" customHeight="1" x14ac:dyDescent="0.3">
      <c r="B19" s="11"/>
      <c r="C19" s="11"/>
      <c r="D19" s="11"/>
      <c r="E19" s="11"/>
      <c r="F19" s="11"/>
      <c r="G19" s="11"/>
      <c r="H19" s="19"/>
      <c r="I19" s="19"/>
      <c r="J19" s="19"/>
      <c r="K19" s="11"/>
      <c r="L19" s="11"/>
      <c r="M19" s="11"/>
      <c r="N19" s="11"/>
      <c r="O19" s="11"/>
      <c r="P19" s="11"/>
    </row>
    <row r="20" spans="2:16" ht="20.100000000000001" customHeight="1" x14ac:dyDescent="0.3">
      <c r="B20" s="11"/>
      <c r="C20" s="11"/>
      <c r="D20" s="11"/>
      <c r="E20" s="11"/>
      <c r="F20" s="11"/>
      <c r="G20" s="11"/>
      <c r="H20" s="19"/>
      <c r="I20" s="19"/>
      <c r="J20" s="19"/>
      <c r="K20" s="11"/>
      <c r="L20" s="11"/>
      <c r="M20" s="11"/>
      <c r="N20" s="11"/>
      <c r="O20" s="11"/>
      <c r="P20" s="11"/>
    </row>
    <row r="21" spans="2:16" ht="20.100000000000001" customHeight="1" x14ac:dyDescent="0.3">
      <c r="B21" s="11"/>
      <c r="C21" s="11"/>
      <c r="D21" s="11"/>
      <c r="E21" s="11"/>
      <c r="F21" s="11"/>
      <c r="G21" s="11"/>
      <c r="H21" s="19"/>
      <c r="I21" s="19"/>
      <c r="J21" s="19"/>
      <c r="K21" s="11"/>
      <c r="L21" s="11"/>
      <c r="M21" s="11"/>
      <c r="N21" s="11"/>
      <c r="O21" s="11"/>
      <c r="P21" s="11"/>
    </row>
    <row r="22" spans="2:16" ht="20.100000000000001" customHeight="1" x14ac:dyDescent="0.3">
      <c r="B22" s="11"/>
      <c r="C22" s="11"/>
      <c r="D22" s="11"/>
      <c r="E22" s="11"/>
      <c r="F22" s="11"/>
      <c r="G22" s="11"/>
      <c r="H22" s="19"/>
      <c r="I22" s="19"/>
      <c r="J22" s="19"/>
      <c r="K22" s="11"/>
      <c r="L22" s="11"/>
      <c r="M22" s="11"/>
      <c r="N22" s="11"/>
      <c r="O22" s="11"/>
      <c r="P22" s="11"/>
    </row>
    <row r="23" spans="2:16" ht="20.100000000000001" customHeight="1" x14ac:dyDescent="0.3">
      <c r="B23" s="11"/>
      <c r="C23" s="11"/>
      <c r="D23" s="11"/>
      <c r="E23" s="11"/>
      <c r="F23" s="11"/>
      <c r="G23" s="11"/>
      <c r="H23" s="19"/>
      <c r="I23" s="19"/>
      <c r="J23" s="19"/>
      <c r="K23" s="11"/>
      <c r="L23" s="11"/>
      <c r="M23" s="11"/>
      <c r="N23" s="11"/>
      <c r="O23" s="11"/>
      <c r="P23" s="11"/>
    </row>
    <row r="24" spans="2:16" ht="20.100000000000001" customHeight="1" x14ac:dyDescent="0.3">
      <c r="B24" s="11"/>
      <c r="C24" s="11"/>
      <c r="D24" s="11"/>
      <c r="E24" s="11"/>
      <c r="F24" s="11"/>
      <c r="G24" s="11"/>
      <c r="H24" s="19"/>
      <c r="I24" s="19"/>
      <c r="J24" s="19"/>
      <c r="K24" s="11"/>
      <c r="L24" s="11"/>
      <c r="M24" s="11"/>
      <c r="N24" s="11"/>
      <c r="O24" s="11"/>
      <c r="P24" s="11"/>
    </row>
    <row r="25" spans="2:16" ht="20.100000000000001" customHeight="1" x14ac:dyDescent="0.3">
      <c r="B25" s="11"/>
      <c r="C25" s="11"/>
      <c r="D25" s="11"/>
      <c r="E25" s="11"/>
      <c r="F25" s="11"/>
      <c r="G25" s="11"/>
      <c r="H25" s="19"/>
      <c r="I25" s="19"/>
      <c r="J25" s="19"/>
      <c r="K25" s="11"/>
      <c r="L25" s="11"/>
      <c r="M25" s="11"/>
      <c r="N25" s="11"/>
      <c r="O25" s="11"/>
      <c r="P25" s="11"/>
    </row>
    <row r="26" spans="2:16" ht="20.100000000000001" customHeight="1" x14ac:dyDescent="0.3">
      <c r="B26" s="11"/>
      <c r="C26" s="11"/>
      <c r="D26" s="11"/>
      <c r="E26" s="11"/>
      <c r="F26" s="11"/>
      <c r="G26" s="11"/>
      <c r="H26" s="19"/>
      <c r="I26" s="19"/>
      <c r="J26" s="19"/>
      <c r="K26" s="11"/>
      <c r="L26" s="11"/>
      <c r="M26" s="11"/>
      <c r="N26" s="11"/>
      <c r="O26" s="11"/>
      <c r="P26" s="11"/>
    </row>
    <row r="27" spans="2:16" ht="20.100000000000001" customHeight="1" x14ac:dyDescent="0.3">
      <c r="B27" s="11"/>
      <c r="C27" s="11"/>
      <c r="D27" s="11"/>
      <c r="E27" s="11"/>
      <c r="F27" s="11"/>
      <c r="G27" s="11"/>
      <c r="H27" s="19"/>
      <c r="I27" s="19"/>
      <c r="J27" s="19"/>
      <c r="K27" s="11"/>
      <c r="L27" s="11"/>
      <c r="M27" s="11"/>
      <c r="N27" s="11"/>
      <c r="O27" s="11"/>
      <c r="P27" s="11"/>
    </row>
    <row r="28" spans="2:16" ht="20.100000000000001" customHeight="1" x14ac:dyDescent="0.3">
      <c r="B28" s="11"/>
      <c r="C28" s="11"/>
      <c r="D28" s="11"/>
      <c r="E28" s="11"/>
      <c r="F28" s="11"/>
      <c r="G28" s="11"/>
      <c r="H28" s="19"/>
      <c r="I28" s="19"/>
      <c r="J28" s="19"/>
      <c r="K28" s="11"/>
      <c r="L28" s="11"/>
      <c r="M28" s="11"/>
      <c r="N28" s="11"/>
      <c r="O28" s="11"/>
      <c r="P28" s="11"/>
    </row>
  </sheetData>
  <mergeCells count="1">
    <mergeCell ref="B1:P1"/>
  </mergeCells>
  <conditionalFormatting sqref="N3:N14">
    <cfRule type="containsText" dxfId="142" priority="1" operator="containsText" text="Aprovado">
      <formula>NOT(ISERROR(SEARCH("Aprovado",N3)))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"/>
  <dimension ref="A1:N28"/>
  <sheetViews>
    <sheetView topLeftCell="A17" workbookViewId="0">
      <selection activeCell="I27" sqref="I27"/>
    </sheetView>
  </sheetViews>
  <sheetFormatPr defaultRowHeight="14.4" x14ac:dyDescent="0.3"/>
  <cols>
    <col min="1" max="1" width="10.109375" bestFit="1" customWidth="1"/>
    <col min="2" max="2" width="9.5546875" bestFit="1" customWidth="1"/>
    <col min="3" max="3" width="20.44140625" bestFit="1" customWidth="1"/>
    <col min="4" max="4" width="13.6640625" bestFit="1" customWidth="1"/>
    <col min="5" max="5" width="20.88671875" bestFit="1" customWidth="1"/>
    <col min="6" max="6" width="13" bestFit="1" customWidth="1"/>
    <col min="7" max="7" width="18.44140625" bestFit="1" customWidth="1"/>
    <col min="8" max="8" width="17.6640625" bestFit="1" customWidth="1"/>
    <col min="9" max="10" width="13.5546875" bestFit="1" customWidth="1"/>
    <col min="11" max="11" width="16.44140625" bestFit="1" customWidth="1"/>
    <col min="12" max="12" width="16.44140625" customWidth="1"/>
    <col min="13" max="13" width="24.33203125" bestFit="1" customWidth="1"/>
    <col min="14" max="14" width="17" bestFit="1" customWidth="1"/>
  </cols>
  <sheetData>
    <row r="1" spans="1:14" ht="81.75" customHeight="1" x14ac:dyDescent="1.3">
      <c r="A1" s="115" t="s">
        <v>120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7"/>
    </row>
    <row r="2" spans="1:14" ht="38.25" customHeight="1" x14ac:dyDescent="0.3">
      <c r="A2" s="11" t="s">
        <v>1</v>
      </c>
      <c r="B2" s="11" t="s">
        <v>2</v>
      </c>
      <c r="C2" s="11" t="s">
        <v>71</v>
      </c>
      <c r="D2" s="12" t="s">
        <v>72</v>
      </c>
      <c r="E2" s="12" t="s">
        <v>121</v>
      </c>
      <c r="F2" s="12" t="s">
        <v>74</v>
      </c>
      <c r="G2" s="12" t="s">
        <v>122</v>
      </c>
      <c r="H2" s="12" t="s">
        <v>123</v>
      </c>
      <c r="I2" s="12" t="s">
        <v>124</v>
      </c>
      <c r="J2" s="12" t="s">
        <v>125</v>
      </c>
      <c r="K2" s="12" t="s">
        <v>126</v>
      </c>
      <c r="L2" s="12" t="s">
        <v>4</v>
      </c>
      <c r="M2" s="11" t="s">
        <v>78</v>
      </c>
      <c r="N2" s="11" t="s">
        <v>79</v>
      </c>
    </row>
    <row r="3" spans="1:14" ht="20.100000000000001" customHeight="1" x14ac:dyDescent="0.3">
      <c r="A3" s="14">
        <v>45663</v>
      </c>
      <c r="B3" s="13" t="s">
        <v>127</v>
      </c>
      <c r="C3" s="13">
        <v>3000</v>
      </c>
      <c r="D3" s="14" t="s">
        <v>128</v>
      </c>
      <c r="E3" s="13" t="s">
        <v>129</v>
      </c>
      <c r="F3" s="15" t="s">
        <v>83</v>
      </c>
      <c r="G3" s="15" t="s">
        <v>130</v>
      </c>
      <c r="H3" s="13">
        <v>1.05</v>
      </c>
      <c r="I3" s="13">
        <v>4.9000000000000004</v>
      </c>
      <c r="J3" s="15">
        <v>4.72</v>
      </c>
      <c r="K3" s="15">
        <v>30</v>
      </c>
      <c r="L3" s="15" t="s">
        <v>5</v>
      </c>
      <c r="M3" s="13"/>
      <c r="N3" s="13" t="s">
        <v>87</v>
      </c>
    </row>
    <row r="4" spans="1:14" ht="20.100000000000001" customHeight="1" x14ac:dyDescent="0.3">
      <c r="A4" s="14">
        <v>45692</v>
      </c>
      <c r="B4" s="13" t="s">
        <v>131</v>
      </c>
      <c r="C4" s="13">
        <v>2000</v>
      </c>
      <c r="D4" s="14" t="s">
        <v>128</v>
      </c>
      <c r="E4" s="13" t="s">
        <v>129</v>
      </c>
      <c r="F4" s="15" t="s">
        <v>83</v>
      </c>
      <c r="G4" s="15" t="s">
        <v>130</v>
      </c>
      <c r="H4" s="13">
        <v>1.05</v>
      </c>
      <c r="I4" s="13">
        <v>4.5999999999999996</v>
      </c>
      <c r="J4" s="15">
        <v>4.82</v>
      </c>
      <c r="K4" s="15">
        <v>30</v>
      </c>
      <c r="L4" s="15" t="s">
        <v>5</v>
      </c>
      <c r="M4" s="13"/>
      <c r="N4" s="13" t="s">
        <v>87</v>
      </c>
    </row>
    <row r="5" spans="1:14" ht="20.100000000000001" customHeight="1" x14ac:dyDescent="0.3">
      <c r="A5" s="16">
        <v>45712</v>
      </c>
      <c r="B5" s="13" t="s">
        <v>132</v>
      </c>
      <c r="C5" s="17">
        <v>100</v>
      </c>
      <c r="D5" s="14" t="s">
        <v>128</v>
      </c>
      <c r="E5" s="13" t="s">
        <v>129</v>
      </c>
      <c r="F5" s="15" t="s">
        <v>83</v>
      </c>
      <c r="G5" s="15" t="s">
        <v>130</v>
      </c>
      <c r="H5" s="17">
        <v>1.05</v>
      </c>
      <c r="I5" s="17">
        <v>4.49</v>
      </c>
      <c r="J5" s="17">
        <v>4.93</v>
      </c>
      <c r="K5" s="17">
        <v>30</v>
      </c>
      <c r="L5" s="15" t="s">
        <v>5</v>
      </c>
      <c r="M5" s="17"/>
      <c r="N5" s="13" t="s">
        <v>87</v>
      </c>
    </row>
    <row r="6" spans="1:14" ht="20.100000000000001" customHeight="1" x14ac:dyDescent="0.3">
      <c r="A6" s="16">
        <v>45721</v>
      </c>
      <c r="B6" s="13" t="s">
        <v>133</v>
      </c>
      <c r="C6" s="17">
        <v>250</v>
      </c>
      <c r="D6" s="14" t="s">
        <v>128</v>
      </c>
      <c r="E6" s="13" t="s">
        <v>129</v>
      </c>
      <c r="F6" s="15" t="s">
        <v>83</v>
      </c>
      <c r="G6" s="15" t="s">
        <v>130</v>
      </c>
      <c r="H6" s="17">
        <v>1.04</v>
      </c>
      <c r="I6" s="17">
        <v>4.53</v>
      </c>
      <c r="J6" s="17">
        <v>5.24</v>
      </c>
      <c r="K6" s="17">
        <v>31</v>
      </c>
      <c r="L6" s="15" t="s">
        <v>5</v>
      </c>
      <c r="M6" s="17"/>
      <c r="N6" s="13" t="s">
        <v>87</v>
      </c>
    </row>
    <row r="7" spans="1:14" ht="20.100000000000001" customHeight="1" x14ac:dyDescent="0.3">
      <c r="A7" s="16">
        <v>45722</v>
      </c>
      <c r="B7" s="13" t="s">
        <v>134</v>
      </c>
      <c r="C7" s="17">
        <v>2000</v>
      </c>
      <c r="D7" s="14" t="s">
        <v>128</v>
      </c>
      <c r="E7" s="13" t="s">
        <v>129</v>
      </c>
      <c r="F7" s="15" t="s">
        <v>83</v>
      </c>
      <c r="G7" s="15" t="s">
        <v>130</v>
      </c>
      <c r="H7" s="17">
        <v>1.0449999999999999</v>
      </c>
      <c r="I7" s="17">
        <v>4.68</v>
      </c>
      <c r="J7" s="17">
        <v>5.0199999999999996</v>
      </c>
      <c r="K7" s="17">
        <v>38</v>
      </c>
      <c r="L7" s="15" t="s">
        <v>5</v>
      </c>
      <c r="M7" s="17"/>
      <c r="N7" s="13" t="s">
        <v>87</v>
      </c>
    </row>
    <row r="8" spans="1:14" ht="20.100000000000001" customHeight="1" x14ac:dyDescent="0.3">
      <c r="A8" s="16">
        <v>45726</v>
      </c>
      <c r="B8" s="13" t="s">
        <v>135</v>
      </c>
      <c r="C8" s="17">
        <v>1000</v>
      </c>
      <c r="D8" s="14" t="s">
        <v>128</v>
      </c>
      <c r="E8" s="13" t="s">
        <v>129</v>
      </c>
      <c r="F8" s="15" t="s">
        <v>83</v>
      </c>
      <c r="G8" s="15" t="s">
        <v>130</v>
      </c>
      <c r="H8" s="17">
        <v>1.05</v>
      </c>
      <c r="I8" s="17">
        <v>4.3899999999999997</v>
      </c>
      <c r="J8" s="17">
        <v>4.3600000000000003</v>
      </c>
      <c r="K8" s="17">
        <v>40</v>
      </c>
      <c r="L8" s="15" t="s">
        <v>5</v>
      </c>
      <c r="M8" s="17"/>
      <c r="N8" s="13" t="s">
        <v>87</v>
      </c>
    </row>
    <row r="9" spans="1:14" ht="20.100000000000001" customHeight="1" x14ac:dyDescent="0.3">
      <c r="A9" s="16">
        <v>45756</v>
      </c>
      <c r="B9" s="13" t="s">
        <v>136</v>
      </c>
      <c r="C9" s="17">
        <v>2000</v>
      </c>
      <c r="D9" s="14" t="s">
        <v>128</v>
      </c>
      <c r="E9" s="13" t="s">
        <v>129</v>
      </c>
      <c r="F9" s="15" t="s">
        <v>83</v>
      </c>
      <c r="G9" s="15" t="s">
        <v>130</v>
      </c>
      <c r="H9" s="13" t="s">
        <v>84</v>
      </c>
      <c r="I9" s="17">
        <v>4.87</v>
      </c>
      <c r="J9" s="17">
        <v>5.93</v>
      </c>
      <c r="K9" s="17">
        <v>42</v>
      </c>
      <c r="L9" s="15" t="s">
        <v>5</v>
      </c>
      <c r="M9" s="17"/>
      <c r="N9" s="13" t="s">
        <v>87</v>
      </c>
    </row>
    <row r="10" spans="1:14" ht="20.100000000000001" customHeight="1" x14ac:dyDescent="0.3">
      <c r="A10" s="16">
        <v>45775</v>
      </c>
      <c r="B10" s="13" t="s">
        <v>137</v>
      </c>
      <c r="C10" s="17">
        <v>2000</v>
      </c>
      <c r="D10" s="14" t="s">
        <v>128</v>
      </c>
      <c r="E10" s="13" t="s">
        <v>129</v>
      </c>
      <c r="F10" s="15" t="s">
        <v>83</v>
      </c>
      <c r="G10" s="15" t="s">
        <v>130</v>
      </c>
      <c r="H10" s="17">
        <v>1.05</v>
      </c>
      <c r="I10" s="17">
        <v>4.5</v>
      </c>
      <c r="J10" s="17">
        <v>4.6900000000000004</v>
      </c>
      <c r="K10" s="17">
        <v>34</v>
      </c>
      <c r="L10" s="15" t="s">
        <v>5</v>
      </c>
      <c r="M10" s="17"/>
      <c r="N10" s="13" t="s">
        <v>87</v>
      </c>
    </row>
    <row r="11" spans="1:14" ht="20.100000000000001" customHeight="1" x14ac:dyDescent="0.3">
      <c r="A11" s="16">
        <v>45783</v>
      </c>
      <c r="B11" s="13" t="s">
        <v>138</v>
      </c>
      <c r="C11" s="17">
        <v>2000</v>
      </c>
      <c r="D11" s="14" t="s">
        <v>128</v>
      </c>
      <c r="E11" s="13" t="s">
        <v>129</v>
      </c>
      <c r="F11" s="15" t="s">
        <v>83</v>
      </c>
      <c r="G11" s="15" t="s">
        <v>130</v>
      </c>
      <c r="H11" s="17">
        <v>1.05</v>
      </c>
      <c r="I11" s="17">
        <v>4.49</v>
      </c>
      <c r="J11" s="17">
        <v>4.92</v>
      </c>
      <c r="K11" s="17">
        <v>32</v>
      </c>
      <c r="L11" s="15" t="s">
        <v>5</v>
      </c>
      <c r="M11" s="17"/>
      <c r="N11" s="13" t="s">
        <v>87</v>
      </c>
    </row>
    <row r="12" spans="1:14" ht="20.100000000000001" customHeight="1" x14ac:dyDescent="0.3">
      <c r="A12" s="16">
        <v>45814</v>
      </c>
      <c r="B12" s="13" t="s">
        <v>139</v>
      </c>
      <c r="C12" s="17">
        <v>2000</v>
      </c>
      <c r="D12" s="14" t="s">
        <v>128</v>
      </c>
      <c r="E12" s="13" t="s">
        <v>129</v>
      </c>
      <c r="F12" s="15" t="s">
        <v>83</v>
      </c>
      <c r="G12" s="15" t="s">
        <v>130</v>
      </c>
      <c r="H12" s="17">
        <v>1.05</v>
      </c>
      <c r="I12" s="17">
        <v>5.0599999999999996</v>
      </c>
      <c r="J12" s="17">
        <v>4.95</v>
      </c>
      <c r="K12" s="17">
        <v>37</v>
      </c>
      <c r="L12" s="15" t="s">
        <v>5</v>
      </c>
      <c r="M12" s="17"/>
      <c r="N12" s="13" t="s">
        <v>92</v>
      </c>
    </row>
    <row r="13" spans="1:14" ht="20.100000000000001" customHeight="1" x14ac:dyDescent="0.3">
      <c r="A13" s="16">
        <v>45817</v>
      </c>
      <c r="B13" s="13" t="s">
        <v>140</v>
      </c>
      <c r="C13" s="17">
        <v>1000</v>
      </c>
      <c r="D13" s="14" t="s">
        <v>128</v>
      </c>
      <c r="E13" s="13" t="s">
        <v>129</v>
      </c>
      <c r="F13" s="15" t="s">
        <v>83</v>
      </c>
      <c r="G13" s="15" t="s">
        <v>130</v>
      </c>
      <c r="H13" s="17">
        <v>1.0449999999999999</v>
      </c>
      <c r="I13" s="17">
        <v>4.9000000000000004</v>
      </c>
      <c r="J13" s="17">
        <v>4.3899999999999997</v>
      </c>
      <c r="K13" s="17">
        <v>38</v>
      </c>
      <c r="L13" s="15" t="s">
        <v>5</v>
      </c>
      <c r="M13" s="17"/>
      <c r="N13" s="13" t="s">
        <v>92</v>
      </c>
    </row>
    <row r="14" spans="1:14" ht="20.100000000000001" customHeight="1" x14ac:dyDescent="0.3">
      <c r="A14" s="14">
        <v>45812</v>
      </c>
      <c r="B14" s="13" t="s">
        <v>141</v>
      </c>
      <c r="C14" s="13">
        <v>2000</v>
      </c>
      <c r="D14" s="14" t="s">
        <v>128</v>
      </c>
      <c r="E14" s="13" t="s">
        <v>129</v>
      </c>
      <c r="F14" s="15" t="s">
        <v>83</v>
      </c>
      <c r="G14" s="15" t="s">
        <v>130</v>
      </c>
      <c r="H14" s="13">
        <v>1.0449999999999999</v>
      </c>
      <c r="I14" s="13">
        <v>5.19</v>
      </c>
      <c r="J14" s="13">
        <v>5.0999999999999996</v>
      </c>
      <c r="K14" s="13">
        <v>49</v>
      </c>
      <c r="L14" s="15" t="s">
        <v>5</v>
      </c>
      <c r="M14" s="13"/>
      <c r="N14" s="13" t="s">
        <v>92</v>
      </c>
    </row>
    <row r="15" spans="1:14" ht="20.100000000000001" customHeight="1" x14ac:dyDescent="0.3">
      <c r="A15" s="14">
        <v>45854</v>
      </c>
      <c r="B15" s="13" t="s">
        <v>142</v>
      </c>
      <c r="C15" s="13">
        <v>1000</v>
      </c>
      <c r="D15" s="14" t="s">
        <v>128</v>
      </c>
      <c r="E15" s="13" t="s">
        <v>129</v>
      </c>
      <c r="F15" s="15" t="s">
        <v>83</v>
      </c>
      <c r="G15" s="15" t="s">
        <v>130</v>
      </c>
      <c r="H15" s="13">
        <v>1.0449999999999999</v>
      </c>
      <c r="I15" s="13">
        <v>4.6900000000000004</v>
      </c>
      <c r="J15" s="13">
        <v>4.21</v>
      </c>
      <c r="K15" s="13">
        <v>41</v>
      </c>
      <c r="L15" s="15" t="s">
        <v>5</v>
      </c>
      <c r="M15" s="13" t="s">
        <v>84</v>
      </c>
      <c r="N15" s="13" t="s">
        <v>92</v>
      </c>
    </row>
    <row r="16" spans="1:14" ht="20.100000000000001" customHeight="1" x14ac:dyDescent="0.3">
      <c r="A16" s="16">
        <v>45861</v>
      </c>
      <c r="B16" s="13" t="s">
        <v>143</v>
      </c>
      <c r="C16" s="17">
        <v>2000</v>
      </c>
      <c r="D16" s="14" t="s">
        <v>128</v>
      </c>
      <c r="E16" s="13" t="s">
        <v>129</v>
      </c>
      <c r="F16" s="15" t="s">
        <v>83</v>
      </c>
      <c r="G16" s="15" t="s">
        <v>130</v>
      </c>
      <c r="H16" s="17">
        <v>1.0449999999999999</v>
      </c>
      <c r="I16" s="17">
        <v>4.93</v>
      </c>
      <c r="J16" s="17">
        <v>5.04</v>
      </c>
      <c r="K16" s="17">
        <v>38</v>
      </c>
      <c r="L16" s="15" t="s">
        <v>5</v>
      </c>
      <c r="M16" s="13" t="s">
        <v>84</v>
      </c>
      <c r="N16" s="13" t="s">
        <v>92</v>
      </c>
    </row>
    <row r="17" spans="1:14" ht="19.5" customHeight="1" x14ac:dyDescent="0.3">
      <c r="A17" s="16">
        <v>45884</v>
      </c>
      <c r="B17" s="13" t="s">
        <v>144</v>
      </c>
      <c r="C17" s="17">
        <v>2000</v>
      </c>
      <c r="D17" s="14" t="s">
        <v>128</v>
      </c>
      <c r="E17" s="13" t="s">
        <v>129</v>
      </c>
      <c r="F17" s="15" t="s">
        <v>83</v>
      </c>
      <c r="G17" s="15" t="s">
        <v>130</v>
      </c>
      <c r="H17" s="17">
        <v>1.0449999999999999</v>
      </c>
      <c r="I17" s="17">
        <v>4.95</v>
      </c>
      <c r="J17" s="17">
        <v>4.6100000000000003</v>
      </c>
      <c r="K17" s="17">
        <v>35</v>
      </c>
      <c r="L17" s="15" t="s">
        <v>5</v>
      </c>
      <c r="M17" s="18"/>
      <c r="N17" s="13" t="s">
        <v>92</v>
      </c>
    </row>
    <row r="18" spans="1:14" ht="19.5" customHeight="1" x14ac:dyDescent="0.3">
      <c r="A18" s="16">
        <v>45929</v>
      </c>
      <c r="B18" s="13" t="s">
        <v>145</v>
      </c>
      <c r="C18" s="17">
        <v>2000</v>
      </c>
      <c r="D18" s="14" t="s">
        <v>128</v>
      </c>
      <c r="E18" s="13" t="s">
        <v>129</v>
      </c>
      <c r="F18" s="15" t="s">
        <v>83</v>
      </c>
      <c r="G18" s="15" t="s">
        <v>130</v>
      </c>
      <c r="H18" s="17">
        <v>1.0449999999999999</v>
      </c>
      <c r="I18" s="17">
        <v>4.54</v>
      </c>
      <c r="J18" s="17">
        <v>4.9800000000000004</v>
      </c>
      <c r="K18" s="17">
        <v>43.11</v>
      </c>
      <c r="L18" s="15" t="s">
        <v>5</v>
      </c>
      <c r="M18" s="15" t="s">
        <v>84</v>
      </c>
      <c r="N18" s="13" t="s">
        <v>92</v>
      </c>
    </row>
    <row r="19" spans="1:14" ht="19.5" customHeight="1" x14ac:dyDescent="0.3">
      <c r="A19" s="16">
        <v>45959</v>
      </c>
      <c r="B19" s="13" t="s">
        <v>146</v>
      </c>
      <c r="C19" s="17">
        <v>2000</v>
      </c>
      <c r="D19" s="14" t="s">
        <v>128</v>
      </c>
      <c r="E19" s="13" t="s">
        <v>129</v>
      </c>
      <c r="F19" s="15" t="s">
        <v>83</v>
      </c>
      <c r="G19" s="15" t="s">
        <v>130</v>
      </c>
      <c r="H19" s="17">
        <v>1.05</v>
      </c>
      <c r="I19" s="17">
        <v>4.3600000000000003</v>
      </c>
      <c r="J19" s="17">
        <v>4.1100000000000003</v>
      </c>
      <c r="K19" s="17">
        <v>39.04</v>
      </c>
      <c r="L19" s="15" t="s">
        <v>5</v>
      </c>
      <c r="M19" s="15" t="s">
        <v>84</v>
      </c>
      <c r="N19" s="13" t="s">
        <v>92</v>
      </c>
    </row>
    <row r="20" spans="1:14" ht="19.5" customHeight="1" x14ac:dyDescent="0.3">
      <c r="A20" s="16">
        <v>45985</v>
      </c>
      <c r="B20" s="13" t="s">
        <v>147</v>
      </c>
      <c r="C20" s="17">
        <v>2000</v>
      </c>
      <c r="D20" s="14" t="s">
        <v>128</v>
      </c>
      <c r="E20" s="13" t="s">
        <v>129</v>
      </c>
      <c r="F20" s="15" t="s">
        <v>83</v>
      </c>
      <c r="G20" s="15" t="s">
        <v>130</v>
      </c>
      <c r="H20" s="17">
        <v>1.0449999999999999</v>
      </c>
      <c r="I20" s="17">
        <v>4.37</v>
      </c>
      <c r="J20" s="17">
        <v>4.25</v>
      </c>
      <c r="K20" s="17">
        <v>41</v>
      </c>
      <c r="L20" s="15" t="s">
        <v>5</v>
      </c>
      <c r="M20" s="15" t="s">
        <v>84</v>
      </c>
      <c r="N20" s="13" t="s">
        <v>92</v>
      </c>
    </row>
    <row r="21" spans="1:14" ht="20.100000000000001" customHeight="1" x14ac:dyDescent="0.3">
      <c r="A21" s="16">
        <v>46007</v>
      </c>
      <c r="B21" s="13" t="s">
        <v>148</v>
      </c>
      <c r="C21" s="17">
        <v>2000</v>
      </c>
      <c r="D21" s="14" t="s">
        <v>128</v>
      </c>
      <c r="E21" s="13" t="s">
        <v>129</v>
      </c>
      <c r="F21" s="15" t="s">
        <v>83</v>
      </c>
      <c r="G21" s="15" t="s">
        <v>130</v>
      </c>
      <c r="H21" s="17">
        <v>1.0449999999999999</v>
      </c>
      <c r="I21" s="17">
        <v>4.72</v>
      </c>
      <c r="J21" s="17">
        <v>4.16</v>
      </c>
      <c r="K21" s="17">
        <v>38</v>
      </c>
      <c r="L21" s="15" t="s">
        <v>5</v>
      </c>
      <c r="M21" s="13" t="s">
        <v>84</v>
      </c>
      <c r="N21" s="13" t="s">
        <v>92</v>
      </c>
    </row>
    <row r="22" spans="1:14" ht="20.100000000000001" customHeight="1" x14ac:dyDescent="0.3">
      <c r="A22" s="16">
        <v>46035</v>
      </c>
      <c r="B22" s="13" t="s">
        <v>149</v>
      </c>
      <c r="C22" s="17">
        <v>2000</v>
      </c>
      <c r="D22" s="14" t="s">
        <v>128</v>
      </c>
      <c r="E22" s="13" t="s">
        <v>129</v>
      </c>
      <c r="F22" s="15" t="s">
        <v>83</v>
      </c>
      <c r="G22" s="15" t="s">
        <v>130</v>
      </c>
      <c r="H22" s="17">
        <v>1.0449999999999999</v>
      </c>
      <c r="I22" s="17">
        <v>4.07</v>
      </c>
      <c r="J22" s="17">
        <v>4.72</v>
      </c>
      <c r="K22" s="17">
        <v>40.82</v>
      </c>
      <c r="L22" s="13" t="s">
        <v>5</v>
      </c>
      <c r="M22" s="13" t="s">
        <v>84</v>
      </c>
      <c r="N22" s="13" t="s">
        <v>92</v>
      </c>
    </row>
    <row r="23" spans="1:14" ht="20.100000000000001" customHeight="1" x14ac:dyDescent="0.3">
      <c r="A23" s="16">
        <v>46062</v>
      </c>
      <c r="B23" s="13" t="s">
        <v>150</v>
      </c>
      <c r="C23" s="17">
        <v>2000</v>
      </c>
      <c r="D23" s="14" t="s">
        <v>128</v>
      </c>
      <c r="E23" s="13" t="s">
        <v>129</v>
      </c>
      <c r="F23" s="15" t="s">
        <v>83</v>
      </c>
      <c r="G23" s="15" t="s">
        <v>130</v>
      </c>
      <c r="H23" s="17">
        <v>1.0449999999999999</v>
      </c>
      <c r="I23" s="17">
        <v>4.46</v>
      </c>
      <c r="J23" s="17">
        <v>4.96</v>
      </c>
      <c r="K23" s="17">
        <v>40.85</v>
      </c>
      <c r="L23" s="13" t="s">
        <v>5</v>
      </c>
      <c r="M23" s="13" t="s">
        <v>84</v>
      </c>
      <c r="N23" s="13" t="s">
        <v>92</v>
      </c>
    </row>
    <row r="24" spans="1:14" ht="20.100000000000001" customHeight="1" x14ac:dyDescent="0.3">
      <c r="A24" s="16">
        <v>46084</v>
      </c>
      <c r="B24" s="13" t="s">
        <v>151</v>
      </c>
      <c r="C24" s="17">
        <v>2000</v>
      </c>
      <c r="D24" s="14" t="s">
        <v>128</v>
      </c>
      <c r="E24" s="13" t="s">
        <v>129</v>
      </c>
      <c r="F24" s="15" t="s">
        <v>83</v>
      </c>
      <c r="G24" s="15" t="s">
        <v>130</v>
      </c>
      <c r="H24" s="17">
        <v>1.0449999999999999</v>
      </c>
      <c r="I24" s="17">
        <v>5.0999999999999996</v>
      </c>
      <c r="J24" s="17">
        <v>4.3</v>
      </c>
      <c r="K24" s="17">
        <v>40.119999999999997</v>
      </c>
      <c r="L24" s="13" t="s">
        <v>5</v>
      </c>
      <c r="M24" s="13" t="s">
        <v>84</v>
      </c>
      <c r="N24" s="13" t="s">
        <v>92</v>
      </c>
    </row>
    <row r="25" spans="1:14" ht="20.100000000000001" customHeight="1" x14ac:dyDescent="0.3">
      <c r="A25" s="16">
        <v>46108</v>
      </c>
      <c r="B25" s="13" t="s">
        <v>152</v>
      </c>
      <c r="C25" s="17">
        <v>2000</v>
      </c>
      <c r="D25" s="14" t="s">
        <v>128</v>
      </c>
      <c r="E25" s="13" t="s">
        <v>129</v>
      </c>
      <c r="F25" s="15" t="s">
        <v>83</v>
      </c>
      <c r="G25" s="15" t="s">
        <v>130</v>
      </c>
      <c r="H25" s="17">
        <v>1.0449999999999999</v>
      </c>
      <c r="I25" s="17">
        <v>5.0999999999999996</v>
      </c>
      <c r="J25" s="17">
        <v>4.21</v>
      </c>
      <c r="K25" s="17">
        <v>39.049999999999997</v>
      </c>
      <c r="L25" s="13" t="s">
        <v>5</v>
      </c>
      <c r="M25" s="13" t="s">
        <v>84</v>
      </c>
      <c r="N25" s="13" t="s">
        <v>92</v>
      </c>
    </row>
    <row r="26" spans="1:14" ht="20.100000000000001" customHeight="1" x14ac:dyDescent="0.3">
      <c r="A26" s="16">
        <v>46136</v>
      </c>
      <c r="B26" s="13" t="s">
        <v>153</v>
      </c>
      <c r="C26" s="17">
        <v>2000</v>
      </c>
      <c r="D26" s="14" t="s">
        <v>128</v>
      </c>
      <c r="E26" s="13" t="s">
        <v>129</v>
      </c>
      <c r="F26" s="15" t="s">
        <v>83</v>
      </c>
      <c r="G26" s="15" t="s">
        <v>130</v>
      </c>
      <c r="H26" s="17">
        <v>1.05</v>
      </c>
      <c r="I26" s="17">
        <v>4.84</v>
      </c>
      <c r="J26" s="17">
        <v>4.1100000000000003</v>
      </c>
      <c r="K26" s="17">
        <v>39.049999999999997</v>
      </c>
      <c r="L26" s="13" t="s">
        <v>5</v>
      </c>
      <c r="M26" s="13" t="s">
        <v>84</v>
      </c>
      <c r="N26" s="13" t="s">
        <v>92</v>
      </c>
    </row>
    <row r="27" spans="1:14" ht="20.100000000000001" customHeight="1" x14ac:dyDescent="0.3">
      <c r="A27" s="16">
        <v>46157</v>
      </c>
      <c r="B27" s="13" t="s">
        <v>154</v>
      </c>
      <c r="C27" s="17">
        <v>2000</v>
      </c>
      <c r="D27" s="14" t="s">
        <v>128</v>
      </c>
      <c r="E27" s="13" t="s">
        <v>129</v>
      </c>
      <c r="F27" s="15" t="s">
        <v>83</v>
      </c>
      <c r="G27" s="15" t="s">
        <v>155</v>
      </c>
      <c r="H27" s="17">
        <v>1.0449999999999999</v>
      </c>
      <c r="I27" s="17">
        <v>5.48</v>
      </c>
      <c r="J27" s="17">
        <v>4.8</v>
      </c>
      <c r="K27" s="13" t="s">
        <v>156</v>
      </c>
      <c r="L27" s="13" t="s">
        <v>5</v>
      </c>
      <c r="M27" s="13" t="s">
        <v>84</v>
      </c>
      <c r="N27" s="13" t="s">
        <v>92</v>
      </c>
    </row>
    <row r="28" spans="1:14" ht="20.100000000000001" customHeight="1" x14ac:dyDescent="0.3">
      <c r="A28" s="11"/>
      <c r="B28" s="11"/>
      <c r="C28" s="11"/>
      <c r="D28" s="11"/>
      <c r="E28" s="11"/>
      <c r="F28" s="11"/>
      <c r="G28" s="11"/>
      <c r="H28" s="19"/>
      <c r="I28" s="11"/>
      <c r="J28" s="11"/>
      <c r="K28" s="11"/>
      <c r="L28" s="11"/>
      <c r="M28" s="11"/>
      <c r="N28" s="11"/>
    </row>
  </sheetData>
  <mergeCells count="1">
    <mergeCell ref="A1:N1"/>
  </mergeCells>
  <conditionalFormatting sqref="I25:I28">
    <cfRule type="cellIs" dxfId="124" priority="4" operator="between">
      <formula>4</formula>
      <formula>6</formula>
    </cfRule>
  </conditionalFormatting>
  <conditionalFormatting sqref="J25:L28 K3:L27">
    <cfRule type="cellIs" dxfId="123" priority="3" operator="between">
      <formula>4</formula>
      <formula>6</formula>
    </cfRule>
  </conditionalFormatting>
  <conditionalFormatting sqref="H21:H28 I24:J24">
    <cfRule type="cellIs" dxfId="122" priority="2" operator="between">
      <formula>1.05</formula>
      <formula>1.2</formula>
    </cfRule>
  </conditionalFormatting>
  <conditionalFormatting sqref="L3:L28">
    <cfRule type="containsText" dxfId="121" priority="1" operator="containsText" text="Aprovado">
      <formula>NOT(ISERROR(SEARCH("Aprovado",L3)))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P28"/>
  <sheetViews>
    <sheetView workbookViewId="0">
      <selection activeCell="F12" sqref="F12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5" width="13.6640625" bestFit="1" customWidth="1"/>
    <col min="6" max="6" width="13.44140625" customWidth="1"/>
    <col min="7" max="7" width="16.88671875" bestFit="1" customWidth="1"/>
    <col min="8" max="8" width="16.88671875" customWidth="1"/>
    <col min="9" max="9" width="13.5546875" bestFit="1" customWidth="1"/>
    <col min="10" max="10" width="13.6640625" bestFit="1" customWidth="1"/>
    <col min="11" max="11" width="17.88671875" bestFit="1" customWidth="1"/>
    <col min="12" max="12" width="14.6640625" bestFit="1" customWidth="1"/>
    <col min="13" max="13" width="16.6640625" bestFit="1" customWidth="1"/>
    <col min="14" max="14" width="16.6640625" customWidth="1"/>
    <col min="15" max="15" width="12.109375" bestFit="1" customWidth="1"/>
    <col min="16" max="16" width="13.6640625" bestFit="1" customWidth="1"/>
  </cols>
  <sheetData>
    <row r="1" spans="1:16" ht="81.75" customHeight="1" x14ac:dyDescent="1.3">
      <c r="A1" s="115" t="s">
        <v>157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7"/>
    </row>
    <row r="2" spans="1:16" ht="38.25" customHeight="1" x14ac:dyDescent="0.3">
      <c r="A2" s="11" t="s">
        <v>1</v>
      </c>
      <c r="B2" s="11" t="s">
        <v>2</v>
      </c>
      <c r="C2" s="11" t="s">
        <v>71</v>
      </c>
      <c r="D2" s="12" t="s">
        <v>72</v>
      </c>
      <c r="E2" s="12" t="s">
        <v>121</v>
      </c>
      <c r="F2" s="12" t="s">
        <v>158</v>
      </c>
      <c r="G2" s="12" t="s">
        <v>159</v>
      </c>
      <c r="H2" s="12" t="s">
        <v>160</v>
      </c>
      <c r="I2" s="12" t="s">
        <v>161</v>
      </c>
      <c r="J2" s="12" t="s">
        <v>162</v>
      </c>
      <c r="K2" s="12" t="s">
        <v>163</v>
      </c>
      <c r="L2" s="12" t="s">
        <v>164</v>
      </c>
      <c r="M2" s="12" t="s">
        <v>165</v>
      </c>
      <c r="N2" s="12" t="s">
        <v>4</v>
      </c>
      <c r="O2" s="11" t="s">
        <v>78</v>
      </c>
      <c r="P2" s="11" t="s">
        <v>79</v>
      </c>
    </row>
    <row r="3" spans="1:16" ht="20.100000000000001" customHeight="1" x14ac:dyDescent="0.3">
      <c r="A3" s="14">
        <v>45856</v>
      </c>
      <c r="B3" s="34" t="s">
        <v>166</v>
      </c>
      <c r="C3" s="13" t="s">
        <v>84</v>
      </c>
      <c r="D3" s="14" t="s">
        <v>81</v>
      </c>
      <c r="E3" s="13" t="s">
        <v>167</v>
      </c>
      <c r="F3" s="15" t="s">
        <v>167</v>
      </c>
      <c r="G3" s="15" t="s">
        <v>167</v>
      </c>
      <c r="H3" s="13">
        <v>1</v>
      </c>
      <c r="I3" s="13">
        <v>7.34</v>
      </c>
      <c r="J3" s="13">
        <v>780</v>
      </c>
      <c r="K3" s="13" t="s">
        <v>168</v>
      </c>
      <c r="L3" s="13" t="s">
        <v>167</v>
      </c>
      <c r="M3" s="13" t="s">
        <v>167</v>
      </c>
      <c r="N3" s="13" t="s">
        <v>169</v>
      </c>
      <c r="O3" s="13" t="s">
        <v>84</v>
      </c>
      <c r="P3" s="13" t="s">
        <v>92</v>
      </c>
    </row>
    <row r="4" spans="1:16" ht="20.100000000000001" customHeight="1" x14ac:dyDescent="0.3">
      <c r="A4" s="13"/>
      <c r="B4" s="13"/>
      <c r="C4" s="13"/>
      <c r="D4" s="13"/>
      <c r="E4" s="13"/>
      <c r="F4" s="15"/>
      <c r="G4" s="13"/>
      <c r="H4" s="13"/>
      <c r="I4" s="13"/>
      <c r="J4" s="15"/>
      <c r="K4" s="12"/>
      <c r="L4" s="13"/>
      <c r="M4" s="13"/>
      <c r="N4" s="13"/>
      <c r="O4" s="13"/>
      <c r="P4" s="13"/>
    </row>
    <row r="5" spans="1:16" ht="20.100000000000001" customHeight="1" x14ac:dyDescent="0.3">
      <c r="A5" s="11"/>
      <c r="B5" s="11"/>
      <c r="C5" s="11"/>
      <c r="D5" s="11"/>
      <c r="E5" s="11"/>
      <c r="F5" s="11"/>
      <c r="G5" s="19"/>
      <c r="H5" s="19"/>
      <c r="I5" s="11"/>
      <c r="J5" s="11"/>
      <c r="K5" s="11"/>
      <c r="L5" s="11"/>
      <c r="M5" s="11"/>
      <c r="N5" s="11"/>
      <c r="O5" s="11"/>
      <c r="P5" s="11"/>
    </row>
    <row r="6" spans="1:16" ht="20.100000000000001" customHeight="1" x14ac:dyDescent="0.3">
      <c r="A6" s="11"/>
      <c r="B6" s="11"/>
      <c r="C6" s="11"/>
      <c r="D6" s="11"/>
      <c r="E6" s="11"/>
      <c r="F6" s="11"/>
      <c r="G6" s="19"/>
      <c r="H6" s="19"/>
      <c r="I6" s="11"/>
      <c r="J6" s="11"/>
      <c r="K6" s="11"/>
      <c r="L6" s="11"/>
      <c r="M6" s="11"/>
      <c r="N6" s="11"/>
      <c r="O6" s="11"/>
      <c r="P6" s="11"/>
    </row>
    <row r="7" spans="1:16" ht="20.100000000000001" customHeight="1" x14ac:dyDescent="0.3">
      <c r="A7" s="11"/>
      <c r="B7" s="11"/>
      <c r="C7" s="11"/>
      <c r="D7" s="11"/>
      <c r="E7" s="11"/>
      <c r="F7" s="11"/>
      <c r="G7" s="19"/>
      <c r="H7" s="19"/>
      <c r="I7" s="11"/>
      <c r="J7" s="11"/>
      <c r="K7" s="11"/>
      <c r="L7" s="11"/>
      <c r="M7" s="11"/>
      <c r="N7" s="11"/>
      <c r="O7" s="11"/>
      <c r="P7" s="11"/>
    </row>
    <row r="8" spans="1:16" ht="20.100000000000001" customHeight="1" x14ac:dyDescent="0.3">
      <c r="A8" s="11"/>
      <c r="B8" s="11"/>
      <c r="C8" s="11"/>
      <c r="D8" s="11"/>
      <c r="E8" s="11"/>
      <c r="F8" s="11"/>
      <c r="G8" s="19"/>
      <c r="H8" s="19"/>
      <c r="I8" s="11"/>
      <c r="J8" s="11"/>
      <c r="K8" s="11"/>
      <c r="L8" s="11"/>
      <c r="M8" s="11"/>
      <c r="N8" s="11"/>
      <c r="O8" s="11"/>
      <c r="P8" s="11"/>
    </row>
    <row r="9" spans="1:16" ht="20.100000000000001" customHeight="1" x14ac:dyDescent="0.3">
      <c r="A9" s="11"/>
      <c r="B9" s="11"/>
      <c r="C9" s="11"/>
      <c r="D9" s="11"/>
      <c r="E9" s="11"/>
      <c r="F9" s="11"/>
      <c r="G9" s="19"/>
      <c r="H9" s="19"/>
      <c r="I9" s="11"/>
      <c r="J9" s="11"/>
      <c r="K9" s="11"/>
      <c r="L9" s="11"/>
      <c r="M9" s="11"/>
      <c r="N9" s="11"/>
      <c r="O9" s="11"/>
      <c r="P9" s="11"/>
    </row>
    <row r="10" spans="1:16" ht="20.100000000000001" customHeight="1" x14ac:dyDescent="0.3">
      <c r="A10" s="11"/>
      <c r="B10" s="11"/>
      <c r="C10" s="11"/>
      <c r="D10" s="11"/>
      <c r="E10" s="11"/>
      <c r="F10" s="11"/>
      <c r="G10" s="19"/>
      <c r="H10" s="19"/>
      <c r="I10" s="11"/>
      <c r="J10" s="11"/>
      <c r="K10" s="11"/>
      <c r="L10" s="11"/>
      <c r="M10" s="11"/>
      <c r="N10" s="11"/>
      <c r="O10" s="11"/>
      <c r="P10" s="11"/>
    </row>
    <row r="11" spans="1:16" ht="20.100000000000001" customHeight="1" x14ac:dyDescent="0.3">
      <c r="A11" s="11"/>
      <c r="B11" s="11"/>
      <c r="C11" s="11"/>
      <c r="D11" s="11"/>
      <c r="E11" s="11"/>
      <c r="F11" s="11"/>
      <c r="G11" s="19"/>
      <c r="H11" s="19"/>
      <c r="I11" s="11"/>
      <c r="J11" s="11"/>
      <c r="K11" s="11"/>
      <c r="L11" s="11"/>
      <c r="M11" s="11"/>
      <c r="N11" s="11"/>
      <c r="O11" s="11"/>
      <c r="P11" s="11"/>
    </row>
    <row r="12" spans="1:16" ht="20.100000000000001" customHeight="1" x14ac:dyDescent="0.3">
      <c r="A12" s="11"/>
      <c r="B12" s="11"/>
      <c r="C12" s="11"/>
      <c r="D12" s="11"/>
      <c r="E12" s="11"/>
      <c r="F12" s="11"/>
      <c r="G12" s="19"/>
      <c r="H12" s="19"/>
      <c r="I12" s="11"/>
      <c r="J12" s="11"/>
      <c r="K12" s="11"/>
      <c r="L12" s="11"/>
      <c r="M12" s="11"/>
      <c r="N12" s="11"/>
      <c r="O12" s="11"/>
      <c r="P12" s="11"/>
    </row>
    <row r="13" spans="1:16" ht="20.100000000000001" customHeight="1" x14ac:dyDescent="0.3">
      <c r="A13" s="11"/>
      <c r="B13" s="11"/>
      <c r="C13" s="11"/>
      <c r="D13" s="11"/>
      <c r="E13" s="11"/>
      <c r="F13" s="11"/>
      <c r="G13" s="19"/>
      <c r="H13" s="19"/>
      <c r="I13" s="11"/>
      <c r="J13" s="11"/>
      <c r="K13" s="11"/>
      <c r="L13" s="11"/>
      <c r="M13" s="11"/>
      <c r="N13" s="11"/>
      <c r="O13" s="11"/>
      <c r="P13" s="11"/>
    </row>
    <row r="14" spans="1:16" ht="20.100000000000001" customHeight="1" x14ac:dyDescent="0.3">
      <c r="A14" s="11"/>
      <c r="B14" s="11"/>
      <c r="C14" s="11"/>
      <c r="D14" s="11"/>
      <c r="E14" s="11"/>
      <c r="F14" s="11"/>
      <c r="G14" s="19"/>
      <c r="H14" s="19"/>
      <c r="I14" s="11"/>
      <c r="J14" s="11"/>
      <c r="K14" s="11"/>
      <c r="L14" s="11"/>
      <c r="M14" s="11"/>
      <c r="N14" s="11"/>
      <c r="O14" s="11"/>
      <c r="P14" s="11"/>
    </row>
    <row r="15" spans="1:16" ht="20.100000000000001" customHeight="1" x14ac:dyDescent="0.3">
      <c r="A15" s="11"/>
      <c r="B15" s="11"/>
      <c r="C15" s="11"/>
      <c r="D15" s="11"/>
      <c r="E15" s="11"/>
      <c r="F15" s="11"/>
      <c r="G15" s="19"/>
      <c r="H15" s="19"/>
      <c r="I15" s="11"/>
      <c r="J15" s="11"/>
      <c r="K15" s="11"/>
      <c r="L15" s="11"/>
      <c r="M15" s="11"/>
      <c r="N15" s="11"/>
      <c r="O15" s="11"/>
      <c r="P15" s="11"/>
    </row>
    <row r="16" spans="1:16" ht="20.100000000000001" customHeight="1" x14ac:dyDescent="0.3">
      <c r="A16" s="11"/>
      <c r="B16" s="11"/>
      <c r="C16" s="11"/>
      <c r="D16" s="11"/>
      <c r="E16" s="11"/>
      <c r="F16" s="11"/>
      <c r="G16" s="19"/>
      <c r="H16" s="19"/>
      <c r="I16" s="11"/>
      <c r="J16" s="11"/>
      <c r="K16" s="11"/>
      <c r="L16" s="11"/>
      <c r="M16" s="11"/>
      <c r="N16" s="11"/>
      <c r="O16" s="11"/>
      <c r="P16" s="11"/>
    </row>
    <row r="17" spans="1:16" ht="20.100000000000001" customHeight="1" x14ac:dyDescent="0.3">
      <c r="A17" s="11"/>
      <c r="B17" s="11"/>
      <c r="C17" s="11"/>
      <c r="D17" s="11"/>
      <c r="E17" s="11"/>
      <c r="F17" s="11"/>
      <c r="G17" s="19"/>
      <c r="H17" s="19"/>
      <c r="I17" s="11"/>
      <c r="J17" s="11"/>
      <c r="K17" s="11"/>
      <c r="L17" s="11"/>
      <c r="M17" s="11"/>
      <c r="N17" s="11"/>
      <c r="O17" s="11"/>
      <c r="P17" s="11"/>
    </row>
    <row r="18" spans="1:16" ht="20.100000000000001" customHeight="1" x14ac:dyDescent="0.3">
      <c r="A18" s="11"/>
      <c r="B18" s="11"/>
      <c r="C18" s="11"/>
      <c r="D18" s="11"/>
      <c r="E18" s="11"/>
      <c r="F18" s="11"/>
      <c r="G18" s="19"/>
      <c r="H18" s="19"/>
      <c r="I18" s="11"/>
      <c r="J18" s="11"/>
      <c r="K18" s="11"/>
      <c r="L18" s="11"/>
      <c r="M18" s="11"/>
      <c r="N18" s="11"/>
      <c r="O18" s="11"/>
      <c r="P18" s="11"/>
    </row>
    <row r="19" spans="1:16" ht="20.100000000000001" customHeight="1" x14ac:dyDescent="0.3">
      <c r="A19" s="11"/>
      <c r="B19" s="11"/>
      <c r="C19" s="11"/>
      <c r="D19" s="11"/>
      <c r="E19" s="11"/>
      <c r="F19" s="11"/>
      <c r="G19" s="19"/>
      <c r="H19" s="19"/>
      <c r="I19" s="11"/>
      <c r="J19" s="11"/>
      <c r="K19" s="11"/>
      <c r="L19" s="11"/>
      <c r="M19" s="11"/>
      <c r="N19" s="11"/>
      <c r="O19" s="11"/>
      <c r="P19" s="11"/>
    </row>
    <row r="20" spans="1:16" ht="20.100000000000001" customHeight="1" x14ac:dyDescent="0.3">
      <c r="A20" s="11"/>
      <c r="B20" s="11"/>
      <c r="C20" s="11"/>
      <c r="D20" s="11"/>
      <c r="E20" s="11"/>
      <c r="F20" s="11"/>
      <c r="G20" s="19"/>
      <c r="H20" s="19"/>
      <c r="I20" s="11"/>
      <c r="J20" s="11"/>
      <c r="K20" s="11"/>
      <c r="L20" s="11"/>
      <c r="M20" s="11"/>
      <c r="N20" s="11"/>
      <c r="O20" s="11"/>
      <c r="P20" s="11"/>
    </row>
    <row r="21" spans="1:16" ht="20.100000000000001" customHeight="1" x14ac:dyDescent="0.3">
      <c r="A21" s="11"/>
      <c r="B21" s="11"/>
      <c r="C21" s="11"/>
      <c r="D21" s="11"/>
      <c r="E21" s="11"/>
      <c r="F21" s="11"/>
      <c r="G21" s="19"/>
      <c r="H21" s="19"/>
      <c r="I21" s="11"/>
      <c r="J21" s="11"/>
      <c r="K21" s="11"/>
      <c r="L21" s="11"/>
      <c r="M21" s="11"/>
      <c r="N21" s="11"/>
      <c r="O21" s="11"/>
      <c r="P21" s="11"/>
    </row>
    <row r="22" spans="1:16" ht="20.100000000000001" customHeight="1" x14ac:dyDescent="0.3">
      <c r="A22" s="11"/>
      <c r="B22" s="11"/>
      <c r="C22" s="11"/>
      <c r="D22" s="11"/>
      <c r="E22" s="11"/>
      <c r="F22" s="11"/>
      <c r="G22" s="19"/>
      <c r="H22" s="19"/>
      <c r="I22" s="11"/>
      <c r="J22" s="11"/>
      <c r="K22" s="11"/>
      <c r="L22" s="11"/>
      <c r="M22" s="11"/>
      <c r="N22" s="11"/>
      <c r="O22" s="11"/>
      <c r="P22" s="11"/>
    </row>
    <row r="23" spans="1:16" ht="20.100000000000001" customHeight="1" x14ac:dyDescent="0.3">
      <c r="A23" s="11"/>
      <c r="B23" s="11"/>
      <c r="C23" s="11"/>
      <c r="D23" s="11"/>
      <c r="E23" s="11"/>
      <c r="F23" s="11"/>
      <c r="G23" s="19"/>
      <c r="H23" s="19"/>
      <c r="I23" s="11"/>
      <c r="J23" s="11"/>
      <c r="K23" s="11"/>
      <c r="L23" s="11"/>
      <c r="M23" s="11"/>
      <c r="N23" s="11"/>
      <c r="O23" s="11"/>
      <c r="P23" s="11"/>
    </row>
    <row r="24" spans="1:16" ht="20.100000000000001" customHeight="1" x14ac:dyDescent="0.3">
      <c r="A24" s="11"/>
      <c r="B24" s="11"/>
      <c r="C24" s="11"/>
      <c r="D24" s="11"/>
      <c r="E24" s="11"/>
      <c r="F24" s="11"/>
      <c r="G24" s="19"/>
      <c r="H24" s="19"/>
      <c r="I24" s="11"/>
      <c r="J24" s="11"/>
      <c r="K24" s="11"/>
      <c r="L24" s="11"/>
      <c r="M24" s="11"/>
      <c r="N24" s="11"/>
      <c r="O24" s="11"/>
      <c r="P24" s="11"/>
    </row>
    <row r="25" spans="1:16" ht="20.100000000000001" customHeight="1" x14ac:dyDescent="0.3">
      <c r="A25" s="11"/>
      <c r="B25" s="11"/>
      <c r="C25" s="11"/>
      <c r="D25" s="11"/>
      <c r="E25" s="11"/>
      <c r="F25" s="11"/>
      <c r="G25" s="19"/>
      <c r="H25" s="19"/>
      <c r="I25" s="11"/>
      <c r="J25" s="11"/>
      <c r="K25" s="11"/>
      <c r="L25" s="11"/>
      <c r="M25" s="11"/>
      <c r="N25" s="11"/>
      <c r="O25" s="11"/>
      <c r="P25" s="11"/>
    </row>
    <row r="26" spans="1:16" ht="20.100000000000001" customHeight="1" x14ac:dyDescent="0.3">
      <c r="A26" s="11"/>
      <c r="B26" s="11"/>
      <c r="C26" s="11"/>
      <c r="D26" s="11"/>
      <c r="E26" s="11"/>
      <c r="F26" s="11"/>
      <c r="G26" s="19"/>
      <c r="H26" s="19"/>
      <c r="I26" s="11"/>
      <c r="J26" s="11"/>
      <c r="K26" s="11"/>
      <c r="L26" s="11"/>
      <c r="M26" s="11"/>
      <c r="N26" s="11"/>
      <c r="O26" s="11"/>
      <c r="P26" s="11"/>
    </row>
    <row r="27" spans="1:16" ht="20.100000000000001" customHeight="1" x14ac:dyDescent="0.3">
      <c r="A27" s="11"/>
      <c r="B27" s="11"/>
      <c r="C27" s="11"/>
      <c r="D27" s="11"/>
      <c r="E27" s="11"/>
      <c r="F27" s="11"/>
      <c r="G27" s="19"/>
      <c r="H27" s="19"/>
      <c r="I27" s="11"/>
      <c r="J27" s="11"/>
      <c r="K27" s="11"/>
      <c r="L27" s="11"/>
      <c r="M27" s="11"/>
      <c r="N27" s="11"/>
      <c r="O27" s="11"/>
      <c r="P27" s="11"/>
    </row>
    <row r="28" spans="1:16" ht="20.100000000000001" customHeight="1" x14ac:dyDescent="0.3">
      <c r="A28" s="11"/>
      <c r="B28" s="11"/>
      <c r="C28" s="11"/>
      <c r="D28" s="11"/>
      <c r="E28" s="11"/>
      <c r="F28" s="11"/>
      <c r="G28" s="19"/>
      <c r="H28" s="19"/>
      <c r="I28" s="11"/>
      <c r="J28" s="11"/>
      <c r="K28" s="11"/>
      <c r="L28" s="11"/>
      <c r="M28" s="11"/>
      <c r="N28" s="11"/>
      <c r="O28" s="11"/>
      <c r="P28" s="11"/>
    </row>
  </sheetData>
  <mergeCells count="1">
    <mergeCell ref="A1:P1"/>
  </mergeCells>
  <conditionalFormatting sqref="N3:N12">
    <cfRule type="containsText" dxfId="104" priority="1" operator="containsText" text="Aprovação">
      <formula>NOT(ISERROR(SEARCH("Aprovação",N3)))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:N28"/>
  <sheetViews>
    <sheetView workbookViewId="0">
      <selection activeCell="J13" sqref="J13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11.6640625" customWidth="1"/>
    <col min="6" max="6" width="13.44140625" customWidth="1"/>
    <col min="7" max="7" width="25.5546875" bestFit="1" customWidth="1"/>
    <col min="8" max="8" width="16.88671875" customWidth="1"/>
    <col min="9" max="9" width="13.5546875" bestFit="1" customWidth="1"/>
    <col min="10" max="10" width="17.88671875" bestFit="1" customWidth="1"/>
    <col min="11" max="11" width="17.33203125" bestFit="1" customWidth="1"/>
    <col min="12" max="12" width="17.33203125" customWidth="1"/>
    <col min="13" max="13" width="16.33203125" bestFit="1" customWidth="1"/>
    <col min="14" max="14" width="17" bestFit="1" customWidth="1"/>
  </cols>
  <sheetData>
    <row r="1" spans="1:14" ht="81.75" customHeight="1" x14ac:dyDescent="1.3">
      <c r="A1" s="115" t="s">
        <v>170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7"/>
    </row>
    <row r="2" spans="1:14" ht="38.25" customHeight="1" x14ac:dyDescent="0.3">
      <c r="A2" s="11" t="s">
        <v>1</v>
      </c>
      <c r="B2" s="11" t="s">
        <v>2</v>
      </c>
      <c r="C2" s="11" t="s">
        <v>71</v>
      </c>
      <c r="D2" s="12" t="s">
        <v>72</v>
      </c>
      <c r="E2" s="12" t="s">
        <v>171</v>
      </c>
      <c r="F2" s="12" t="s">
        <v>158</v>
      </c>
      <c r="G2" s="12" t="s">
        <v>172</v>
      </c>
      <c r="H2" s="12" t="s">
        <v>173</v>
      </c>
      <c r="I2" s="12" t="s">
        <v>174</v>
      </c>
      <c r="J2" s="12" t="s">
        <v>175</v>
      </c>
      <c r="K2" s="12" t="s">
        <v>176</v>
      </c>
      <c r="L2" s="12" t="s">
        <v>4</v>
      </c>
      <c r="M2" s="11" t="s">
        <v>78</v>
      </c>
      <c r="N2" s="11" t="s">
        <v>79</v>
      </c>
    </row>
    <row r="3" spans="1:14" ht="20.100000000000001" customHeight="1" x14ac:dyDescent="0.3">
      <c r="A3" s="14"/>
      <c r="B3" s="13"/>
      <c r="C3" s="13"/>
      <c r="D3" s="14"/>
      <c r="E3" s="13"/>
      <c r="F3" s="15"/>
      <c r="G3" s="13"/>
      <c r="H3" s="13"/>
      <c r="I3" s="13"/>
      <c r="J3" s="13"/>
      <c r="K3" s="13"/>
      <c r="L3" s="13"/>
      <c r="M3" s="13"/>
      <c r="N3" s="13"/>
    </row>
    <row r="4" spans="1:14" ht="20.100000000000001" customHeight="1" x14ac:dyDescent="0.3">
      <c r="A4" s="14"/>
      <c r="B4" s="13"/>
      <c r="C4" s="13"/>
      <c r="D4" s="14"/>
      <c r="E4" s="13"/>
      <c r="F4" s="15"/>
      <c r="G4" s="13"/>
      <c r="H4" s="13"/>
      <c r="I4" s="13"/>
      <c r="J4" s="15"/>
      <c r="K4" s="12"/>
      <c r="L4" s="12"/>
      <c r="M4" s="13"/>
      <c r="N4" s="13"/>
    </row>
    <row r="5" spans="1:14" ht="20.100000000000001" customHeight="1" x14ac:dyDescent="0.3">
      <c r="A5" s="11"/>
      <c r="B5" s="11"/>
      <c r="C5" s="11"/>
      <c r="D5" s="11"/>
      <c r="E5" s="11"/>
      <c r="F5" s="11"/>
      <c r="G5" s="19"/>
      <c r="H5" s="19"/>
      <c r="I5" s="11"/>
      <c r="J5" s="11"/>
      <c r="K5" s="11"/>
      <c r="L5" s="11"/>
      <c r="M5" s="11"/>
      <c r="N5" s="11"/>
    </row>
    <row r="6" spans="1:14" ht="20.100000000000001" customHeight="1" x14ac:dyDescent="0.3">
      <c r="A6" s="11"/>
      <c r="B6" s="11"/>
      <c r="C6" s="11"/>
      <c r="D6" s="11"/>
      <c r="E6" s="11"/>
      <c r="F6" s="11"/>
      <c r="G6" s="19"/>
      <c r="H6" s="19"/>
      <c r="I6" s="11"/>
      <c r="J6" s="11"/>
      <c r="K6" s="11"/>
      <c r="L6" s="11"/>
      <c r="M6" s="11"/>
      <c r="N6" s="11"/>
    </row>
    <row r="7" spans="1:14" ht="20.100000000000001" customHeight="1" x14ac:dyDescent="0.3">
      <c r="A7" s="11"/>
      <c r="B7" s="11"/>
      <c r="C7" s="11"/>
      <c r="D7" s="11"/>
      <c r="E7" s="11"/>
      <c r="F7" s="11"/>
      <c r="G7" s="19"/>
      <c r="H7" s="19"/>
      <c r="I7" s="11"/>
      <c r="J7" s="11"/>
      <c r="K7" s="11"/>
      <c r="L7" s="11"/>
      <c r="M7" s="11"/>
      <c r="N7" s="11"/>
    </row>
    <row r="8" spans="1:14" ht="20.100000000000001" customHeight="1" x14ac:dyDescent="0.3">
      <c r="A8" s="11"/>
      <c r="B8" s="11"/>
      <c r="C8" s="11"/>
      <c r="D8" s="11"/>
      <c r="E8" s="11"/>
      <c r="F8" s="11"/>
      <c r="G8" s="19"/>
      <c r="H8" s="19"/>
      <c r="I8" s="11"/>
      <c r="J8" s="11"/>
      <c r="K8" s="11"/>
      <c r="L8" s="11"/>
      <c r="M8" s="11"/>
      <c r="N8" s="11"/>
    </row>
    <row r="9" spans="1:14" ht="20.100000000000001" customHeight="1" x14ac:dyDescent="0.3">
      <c r="A9" s="11"/>
      <c r="B9" s="11"/>
      <c r="C9" s="11"/>
      <c r="D9" s="11"/>
      <c r="E9" s="11"/>
      <c r="F9" s="11"/>
      <c r="G9" s="19"/>
      <c r="H9" s="19"/>
      <c r="I9" s="11"/>
      <c r="J9" s="11"/>
      <c r="K9" s="11"/>
      <c r="L9" s="11"/>
      <c r="M9" s="11"/>
      <c r="N9" s="11"/>
    </row>
    <row r="10" spans="1:14" ht="20.100000000000001" customHeight="1" x14ac:dyDescent="0.3">
      <c r="A10" s="11"/>
      <c r="B10" s="11"/>
      <c r="C10" s="11"/>
      <c r="D10" s="11"/>
      <c r="E10" s="11"/>
      <c r="F10" s="11"/>
      <c r="G10" s="19"/>
      <c r="H10" s="19"/>
      <c r="I10" s="11"/>
      <c r="J10" s="11"/>
      <c r="K10" s="11"/>
      <c r="L10" s="11"/>
      <c r="M10" s="11"/>
      <c r="N10" s="11"/>
    </row>
    <row r="11" spans="1:14" ht="20.100000000000001" customHeight="1" x14ac:dyDescent="0.3">
      <c r="A11" s="11"/>
      <c r="B11" s="11"/>
      <c r="C11" s="11"/>
      <c r="D11" s="11"/>
      <c r="E11" s="11"/>
      <c r="F11" s="11"/>
      <c r="G11" s="19"/>
      <c r="H11" s="19"/>
      <c r="I11" s="11"/>
      <c r="J11" s="11"/>
      <c r="K11" s="11"/>
      <c r="L11" s="11"/>
      <c r="M11" s="11"/>
      <c r="N11" s="11"/>
    </row>
    <row r="12" spans="1:14" ht="20.100000000000001" customHeight="1" x14ac:dyDescent="0.3">
      <c r="A12" s="11"/>
      <c r="B12" s="11"/>
      <c r="C12" s="11"/>
      <c r="D12" s="11"/>
      <c r="E12" s="11"/>
      <c r="F12" s="11"/>
      <c r="G12" s="19"/>
      <c r="H12" s="19"/>
      <c r="I12" s="11"/>
      <c r="J12" s="11"/>
      <c r="K12" s="11"/>
      <c r="L12" s="11"/>
      <c r="M12" s="11"/>
      <c r="N12" s="11"/>
    </row>
    <row r="13" spans="1:14" ht="20.100000000000001" customHeight="1" x14ac:dyDescent="0.3">
      <c r="A13" s="11"/>
      <c r="B13" s="11"/>
      <c r="C13" s="11"/>
      <c r="D13" s="11"/>
      <c r="E13" s="11"/>
      <c r="F13" s="11"/>
      <c r="G13" s="19"/>
      <c r="H13" s="19"/>
      <c r="I13" s="11"/>
      <c r="J13" s="11"/>
      <c r="K13" s="11"/>
      <c r="L13" s="11"/>
      <c r="M13" s="11"/>
      <c r="N13" s="11"/>
    </row>
    <row r="14" spans="1:14" ht="20.100000000000001" customHeight="1" x14ac:dyDescent="0.3">
      <c r="A14" s="11"/>
      <c r="B14" s="11"/>
      <c r="C14" s="11"/>
      <c r="D14" s="11"/>
      <c r="E14" s="11"/>
      <c r="F14" s="11"/>
      <c r="G14" s="19"/>
      <c r="H14" s="19"/>
      <c r="I14" s="11"/>
      <c r="J14" s="11"/>
      <c r="K14" s="11"/>
      <c r="L14" s="11"/>
      <c r="M14" s="11"/>
      <c r="N14" s="11"/>
    </row>
    <row r="15" spans="1:14" ht="20.100000000000001" customHeight="1" x14ac:dyDescent="0.3">
      <c r="A15" s="11"/>
      <c r="B15" s="11"/>
      <c r="C15" s="11"/>
      <c r="D15" s="11"/>
      <c r="E15" s="11"/>
      <c r="F15" s="11"/>
      <c r="G15" s="19"/>
      <c r="H15" s="19"/>
      <c r="I15" s="11"/>
      <c r="J15" s="11"/>
      <c r="K15" s="11"/>
      <c r="L15" s="11"/>
      <c r="M15" s="11"/>
      <c r="N15" s="11"/>
    </row>
    <row r="16" spans="1:14" ht="20.100000000000001" customHeight="1" x14ac:dyDescent="0.3">
      <c r="A16" s="11"/>
      <c r="B16" s="11"/>
      <c r="C16" s="11"/>
      <c r="D16" s="11"/>
      <c r="E16" s="11"/>
      <c r="F16" s="11"/>
      <c r="G16" s="19"/>
      <c r="H16" s="19"/>
      <c r="I16" s="11"/>
      <c r="J16" s="11"/>
      <c r="K16" s="11"/>
      <c r="L16" s="11"/>
      <c r="M16" s="11"/>
      <c r="N16" s="11"/>
    </row>
    <row r="17" spans="1:14" ht="20.100000000000001" customHeight="1" x14ac:dyDescent="0.3">
      <c r="A17" s="11"/>
      <c r="B17" s="11"/>
      <c r="C17" s="11"/>
      <c r="D17" s="11"/>
      <c r="E17" s="11"/>
      <c r="F17" s="11"/>
      <c r="G17" s="19"/>
      <c r="H17" s="19"/>
      <c r="I17" s="11"/>
      <c r="J17" s="11"/>
      <c r="K17" s="11"/>
      <c r="L17" s="11"/>
      <c r="M17" s="11"/>
      <c r="N17" s="11"/>
    </row>
    <row r="18" spans="1:14" ht="20.100000000000001" customHeight="1" x14ac:dyDescent="0.3">
      <c r="A18" s="11"/>
      <c r="B18" s="11"/>
      <c r="C18" s="11"/>
      <c r="D18" s="11"/>
      <c r="E18" s="11"/>
      <c r="F18" s="11"/>
      <c r="G18" s="19"/>
      <c r="H18" s="19"/>
      <c r="I18" s="11"/>
      <c r="J18" s="11"/>
      <c r="K18" s="11"/>
      <c r="L18" s="11"/>
      <c r="M18" s="11"/>
      <c r="N18" s="11"/>
    </row>
    <row r="19" spans="1:14" ht="20.100000000000001" customHeight="1" x14ac:dyDescent="0.3">
      <c r="A19" s="11"/>
      <c r="B19" s="11"/>
      <c r="C19" s="11"/>
      <c r="D19" s="11"/>
      <c r="E19" s="11"/>
      <c r="F19" s="11"/>
      <c r="G19" s="19"/>
      <c r="H19" s="19"/>
      <c r="I19" s="11"/>
      <c r="J19" s="11"/>
      <c r="K19" s="11"/>
      <c r="L19" s="11"/>
      <c r="M19" s="11"/>
      <c r="N19" s="11"/>
    </row>
    <row r="20" spans="1:14" ht="20.100000000000001" customHeight="1" x14ac:dyDescent="0.3">
      <c r="A20" s="11"/>
      <c r="B20" s="11"/>
      <c r="C20" s="11"/>
      <c r="D20" s="11"/>
      <c r="E20" s="11"/>
      <c r="F20" s="11"/>
      <c r="G20" s="19"/>
      <c r="H20" s="19"/>
      <c r="I20" s="11"/>
      <c r="J20" s="11"/>
      <c r="K20" s="11"/>
      <c r="L20" s="11"/>
      <c r="M20" s="11"/>
      <c r="N20" s="11"/>
    </row>
    <row r="21" spans="1:14" ht="20.100000000000001" customHeight="1" x14ac:dyDescent="0.3">
      <c r="A21" s="11"/>
      <c r="B21" s="11"/>
      <c r="C21" s="11"/>
      <c r="D21" s="11"/>
      <c r="E21" s="11"/>
      <c r="F21" s="11"/>
      <c r="G21" s="19"/>
      <c r="H21" s="19"/>
      <c r="I21" s="11"/>
      <c r="J21" s="11"/>
      <c r="K21" s="11"/>
      <c r="L21" s="11"/>
      <c r="M21" s="11"/>
      <c r="N21" s="11"/>
    </row>
    <row r="22" spans="1:14" ht="20.100000000000001" customHeight="1" x14ac:dyDescent="0.3">
      <c r="A22" s="11"/>
      <c r="B22" s="11"/>
      <c r="C22" s="11"/>
      <c r="D22" s="11"/>
      <c r="E22" s="11"/>
      <c r="F22" s="11"/>
      <c r="G22" s="19"/>
      <c r="H22" s="19"/>
      <c r="I22" s="11"/>
      <c r="J22" s="11"/>
      <c r="K22" s="11"/>
      <c r="L22" s="11"/>
      <c r="M22" s="11"/>
      <c r="N22" s="11"/>
    </row>
    <row r="23" spans="1:14" ht="20.100000000000001" customHeight="1" x14ac:dyDescent="0.3">
      <c r="A23" s="11"/>
      <c r="B23" s="11"/>
      <c r="C23" s="11"/>
      <c r="D23" s="11"/>
      <c r="E23" s="11"/>
      <c r="F23" s="11"/>
      <c r="G23" s="19"/>
      <c r="H23" s="19"/>
      <c r="I23" s="11"/>
      <c r="J23" s="11"/>
      <c r="K23" s="11"/>
      <c r="L23" s="11"/>
      <c r="M23" s="11"/>
      <c r="N23" s="11"/>
    </row>
    <row r="24" spans="1:14" ht="20.100000000000001" customHeight="1" x14ac:dyDescent="0.3">
      <c r="A24" s="11"/>
      <c r="B24" s="11"/>
      <c r="C24" s="11"/>
      <c r="D24" s="11"/>
      <c r="E24" s="11"/>
      <c r="F24" s="11"/>
      <c r="G24" s="19"/>
      <c r="H24" s="19"/>
      <c r="I24" s="11"/>
      <c r="J24" s="11"/>
      <c r="K24" s="11"/>
      <c r="L24" s="11"/>
      <c r="M24" s="11"/>
      <c r="N24" s="11"/>
    </row>
    <row r="25" spans="1:14" ht="20.100000000000001" customHeight="1" x14ac:dyDescent="0.3">
      <c r="A25" s="11"/>
      <c r="B25" s="11"/>
      <c r="C25" s="11"/>
      <c r="D25" s="11"/>
      <c r="E25" s="11"/>
      <c r="F25" s="11"/>
      <c r="G25" s="19"/>
      <c r="H25" s="19"/>
      <c r="I25" s="11"/>
      <c r="J25" s="11"/>
      <c r="K25" s="11"/>
      <c r="L25" s="11"/>
      <c r="M25" s="11"/>
      <c r="N25" s="11"/>
    </row>
    <row r="26" spans="1:14" ht="20.100000000000001" customHeight="1" x14ac:dyDescent="0.3">
      <c r="A26" s="11"/>
      <c r="B26" s="11"/>
      <c r="C26" s="11"/>
      <c r="D26" s="11"/>
      <c r="E26" s="11"/>
      <c r="F26" s="11"/>
      <c r="G26" s="19"/>
      <c r="H26" s="19"/>
      <c r="I26" s="11"/>
      <c r="J26" s="11"/>
      <c r="K26" s="11"/>
      <c r="L26" s="11"/>
      <c r="M26" s="11"/>
      <c r="N26" s="11"/>
    </row>
    <row r="27" spans="1:14" ht="20.100000000000001" customHeight="1" x14ac:dyDescent="0.3">
      <c r="A27" s="11"/>
      <c r="B27" s="11"/>
      <c r="C27" s="11"/>
      <c r="D27" s="11"/>
      <c r="E27" s="11"/>
      <c r="F27" s="11"/>
      <c r="G27" s="19"/>
      <c r="H27" s="19"/>
      <c r="I27" s="11"/>
      <c r="J27" s="11"/>
      <c r="K27" s="11"/>
      <c r="L27" s="11"/>
      <c r="M27" s="11"/>
      <c r="N27" s="11"/>
    </row>
    <row r="28" spans="1:14" ht="20.100000000000001" customHeight="1" x14ac:dyDescent="0.3">
      <c r="A28" s="11"/>
      <c r="B28" s="11"/>
      <c r="C28" s="11"/>
      <c r="D28" s="11"/>
      <c r="E28" s="11"/>
      <c r="F28" s="11"/>
      <c r="G28" s="19"/>
      <c r="H28" s="19"/>
      <c r="I28" s="11"/>
      <c r="J28" s="11"/>
      <c r="K28" s="11"/>
      <c r="L28" s="11"/>
      <c r="M28" s="11"/>
      <c r="N28" s="11"/>
    </row>
  </sheetData>
  <mergeCells count="1">
    <mergeCell ref="A1:N1"/>
  </mergeCells>
  <conditionalFormatting sqref="L3:L17">
    <cfRule type="containsText" dxfId="85" priority="1" operator="containsText" text="Aprovação">
      <formula>NOT(ISERROR(SEARCH("Aprovação",L3)))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A1:N28"/>
  <sheetViews>
    <sheetView workbookViewId="0">
      <selection activeCell="N9" sqref="N9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11.6640625" customWidth="1"/>
    <col min="6" max="6" width="13.44140625" customWidth="1"/>
    <col min="7" max="7" width="25.6640625" bestFit="1" customWidth="1"/>
    <col min="8" max="8" width="13.5546875" bestFit="1" customWidth="1"/>
    <col min="9" max="9" width="13.6640625" bestFit="1" customWidth="1"/>
    <col min="10" max="10" width="20.6640625" bestFit="1" customWidth="1"/>
    <col min="11" max="11" width="15" bestFit="1" customWidth="1"/>
    <col min="12" max="12" width="15" customWidth="1"/>
    <col min="13" max="13" width="16.33203125" bestFit="1" customWidth="1"/>
    <col min="14" max="14" width="17" bestFit="1" customWidth="1"/>
  </cols>
  <sheetData>
    <row r="1" spans="1:14" ht="81.75" customHeight="1" x14ac:dyDescent="1.3">
      <c r="A1" s="115" t="s">
        <v>177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7"/>
    </row>
    <row r="2" spans="1:14" ht="25.5" customHeight="1" x14ac:dyDescent="0.3">
      <c r="A2" s="11" t="s">
        <v>1</v>
      </c>
      <c r="B2" s="11" t="s">
        <v>2</v>
      </c>
      <c r="C2" s="11" t="s">
        <v>71</v>
      </c>
      <c r="D2" s="12" t="s">
        <v>72</v>
      </c>
      <c r="E2" s="12" t="s">
        <v>171</v>
      </c>
      <c r="F2" s="12" t="s">
        <v>158</v>
      </c>
      <c r="G2" s="12" t="s">
        <v>178</v>
      </c>
      <c r="H2" s="12" t="s">
        <v>179</v>
      </c>
      <c r="I2" s="12" t="s">
        <v>180</v>
      </c>
      <c r="J2" s="12" t="s">
        <v>175</v>
      </c>
      <c r="K2" s="12" t="s">
        <v>181</v>
      </c>
      <c r="L2" s="12" t="s">
        <v>4</v>
      </c>
      <c r="M2" s="11" t="s">
        <v>78</v>
      </c>
      <c r="N2" s="11" t="s">
        <v>79</v>
      </c>
    </row>
    <row r="3" spans="1:14" ht="20.100000000000001" customHeight="1" x14ac:dyDescent="0.3">
      <c r="A3" s="14"/>
      <c r="B3" s="13"/>
      <c r="C3" s="13"/>
      <c r="D3" s="14"/>
      <c r="E3" s="13"/>
      <c r="F3" s="15"/>
      <c r="G3" s="13"/>
      <c r="H3" s="13"/>
      <c r="I3" s="13"/>
      <c r="J3" s="13"/>
      <c r="K3" s="13"/>
      <c r="L3" s="13"/>
      <c r="M3" s="13"/>
      <c r="N3" s="13"/>
    </row>
    <row r="4" spans="1:14" ht="20.100000000000001" customHeight="1" x14ac:dyDescent="0.3">
      <c r="A4" s="13"/>
      <c r="B4" s="13"/>
      <c r="C4" s="13"/>
      <c r="D4" s="13"/>
      <c r="E4" s="13"/>
      <c r="F4" s="15"/>
      <c r="G4" s="13"/>
      <c r="H4" s="13"/>
      <c r="I4" s="15"/>
      <c r="J4" s="12"/>
      <c r="K4" s="13"/>
      <c r="L4" s="13"/>
      <c r="M4" s="13"/>
      <c r="N4" s="13"/>
    </row>
    <row r="5" spans="1:14" ht="20.100000000000001" customHeight="1" x14ac:dyDescent="0.3">
      <c r="A5" s="11"/>
      <c r="B5" s="11"/>
      <c r="C5" s="11"/>
      <c r="D5" s="11"/>
      <c r="E5" s="11"/>
      <c r="F5" s="11"/>
      <c r="G5" s="19"/>
      <c r="H5" s="11"/>
      <c r="I5" s="11"/>
      <c r="J5" s="11"/>
      <c r="K5" s="11"/>
      <c r="L5" s="11"/>
      <c r="M5" s="11"/>
      <c r="N5" s="11"/>
    </row>
    <row r="6" spans="1:14" ht="20.100000000000001" customHeight="1" x14ac:dyDescent="0.3">
      <c r="A6" s="11"/>
      <c r="B6" s="11"/>
      <c r="C6" s="11"/>
      <c r="D6" s="11"/>
      <c r="E6" s="11"/>
      <c r="F6" s="11"/>
      <c r="G6" s="19"/>
      <c r="H6" s="11"/>
      <c r="I6" s="11"/>
      <c r="J6" s="11"/>
      <c r="K6" s="11"/>
      <c r="L6" s="11"/>
      <c r="M6" s="11"/>
      <c r="N6" s="11"/>
    </row>
    <row r="7" spans="1:14" ht="20.100000000000001" customHeight="1" x14ac:dyDescent="0.3">
      <c r="A7" s="11"/>
      <c r="B7" s="11"/>
      <c r="C7" s="11"/>
      <c r="D7" s="11"/>
      <c r="E7" s="11"/>
      <c r="F7" s="11"/>
      <c r="G7" s="19"/>
      <c r="H7" s="11"/>
      <c r="I7" s="11"/>
      <c r="J7" s="11"/>
      <c r="K7" s="11"/>
      <c r="L7" s="11"/>
      <c r="M7" s="11"/>
      <c r="N7" s="11"/>
    </row>
    <row r="8" spans="1:14" ht="20.100000000000001" customHeight="1" x14ac:dyDescent="0.3">
      <c r="A8" s="11"/>
      <c r="B8" s="11"/>
      <c r="C8" s="11"/>
      <c r="D8" s="11"/>
      <c r="E8" s="11"/>
      <c r="F8" s="11"/>
      <c r="G8" s="19"/>
      <c r="H8" s="11"/>
      <c r="I8" s="11"/>
      <c r="J8" s="11"/>
      <c r="K8" s="11"/>
      <c r="L8" s="11"/>
      <c r="M8" s="11"/>
      <c r="N8" s="11"/>
    </row>
    <row r="9" spans="1:14" ht="20.100000000000001" customHeight="1" x14ac:dyDescent="0.3">
      <c r="A9" s="11"/>
      <c r="B9" s="11"/>
      <c r="C9" s="11"/>
      <c r="D9" s="11"/>
      <c r="E9" s="11"/>
      <c r="F9" s="11"/>
      <c r="G9" s="19"/>
      <c r="H9" s="11"/>
      <c r="I9" s="11"/>
      <c r="J9" s="11"/>
      <c r="K9" s="11"/>
      <c r="L9" s="11"/>
      <c r="M9" s="11"/>
      <c r="N9" s="11"/>
    </row>
    <row r="10" spans="1:14" ht="20.100000000000001" customHeight="1" x14ac:dyDescent="0.3">
      <c r="A10" s="11"/>
      <c r="B10" s="11"/>
      <c r="C10" s="11"/>
      <c r="D10" s="11"/>
      <c r="E10" s="11"/>
      <c r="F10" s="11"/>
      <c r="G10" s="19"/>
      <c r="H10" s="11"/>
      <c r="I10" s="11"/>
      <c r="J10" s="11"/>
      <c r="K10" s="11"/>
      <c r="L10" s="11"/>
      <c r="M10" s="11"/>
      <c r="N10" s="11"/>
    </row>
    <row r="11" spans="1:14" ht="20.100000000000001" customHeight="1" x14ac:dyDescent="0.3">
      <c r="A11" s="11"/>
      <c r="B11" s="11"/>
      <c r="C11" s="11"/>
      <c r="D11" s="11"/>
      <c r="E11" s="11"/>
      <c r="F11" s="11"/>
      <c r="G11" s="19"/>
      <c r="H11" s="11"/>
      <c r="I11" s="11"/>
      <c r="J11" s="11"/>
      <c r="K11" s="11"/>
      <c r="L11" s="11"/>
      <c r="M11" s="11"/>
      <c r="N11" s="11"/>
    </row>
    <row r="12" spans="1:14" ht="20.100000000000001" customHeight="1" x14ac:dyDescent="0.3">
      <c r="A12" s="11"/>
      <c r="B12" s="11"/>
      <c r="C12" s="11"/>
      <c r="D12" s="11"/>
      <c r="E12" s="11"/>
      <c r="F12" s="11"/>
      <c r="G12" s="19"/>
      <c r="H12" s="11"/>
      <c r="I12" s="11"/>
      <c r="J12" s="11"/>
      <c r="K12" s="11"/>
      <c r="L12" s="11"/>
      <c r="M12" s="11"/>
      <c r="N12" s="11"/>
    </row>
    <row r="13" spans="1:14" ht="20.100000000000001" customHeight="1" x14ac:dyDescent="0.3">
      <c r="A13" s="11"/>
      <c r="B13" s="11"/>
      <c r="C13" s="11"/>
      <c r="D13" s="11"/>
      <c r="E13" s="11"/>
      <c r="F13" s="11"/>
      <c r="G13" s="19"/>
      <c r="H13" s="11"/>
      <c r="I13" s="11"/>
      <c r="J13" s="11"/>
      <c r="K13" s="11"/>
      <c r="L13" s="11"/>
      <c r="M13" s="11"/>
      <c r="N13" s="11"/>
    </row>
    <row r="14" spans="1:14" ht="20.100000000000001" customHeight="1" x14ac:dyDescent="0.3">
      <c r="A14" s="11"/>
      <c r="B14" s="11"/>
      <c r="C14" s="11"/>
      <c r="D14" s="11"/>
      <c r="E14" s="11"/>
      <c r="F14" s="11"/>
      <c r="G14" s="19"/>
      <c r="H14" s="11"/>
      <c r="I14" s="11"/>
      <c r="J14" s="11"/>
      <c r="K14" s="11"/>
      <c r="L14" s="11"/>
      <c r="M14" s="11"/>
      <c r="N14" s="11"/>
    </row>
    <row r="15" spans="1:14" ht="20.100000000000001" customHeight="1" x14ac:dyDescent="0.3">
      <c r="A15" s="11"/>
      <c r="B15" s="11"/>
      <c r="C15" s="11"/>
      <c r="D15" s="11"/>
      <c r="E15" s="11"/>
      <c r="F15" s="11"/>
      <c r="G15" s="19"/>
      <c r="H15" s="11"/>
      <c r="I15" s="11"/>
      <c r="J15" s="11"/>
      <c r="K15" s="11"/>
      <c r="L15" s="11"/>
      <c r="M15" s="11"/>
      <c r="N15" s="11"/>
    </row>
    <row r="16" spans="1:14" ht="20.100000000000001" customHeight="1" x14ac:dyDescent="0.3">
      <c r="A16" s="11"/>
      <c r="B16" s="11"/>
      <c r="C16" s="11"/>
      <c r="D16" s="11"/>
      <c r="E16" s="11"/>
      <c r="F16" s="11"/>
      <c r="G16" s="19"/>
      <c r="H16" s="11"/>
      <c r="I16" s="11"/>
      <c r="J16" s="11"/>
      <c r="K16" s="11"/>
      <c r="L16" s="11"/>
      <c r="M16" s="11"/>
      <c r="N16" s="11"/>
    </row>
    <row r="17" spans="1:14" ht="20.100000000000001" customHeight="1" x14ac:dyDescent="0.3">
      <c r="A17" s="11"/>
      <c r="B17" s="11"/>
      <c r="C17" s="11"/>
      <c r="D17" s="11"/>
      <c r="E17" s="11"/>
      <c r="F17" s="11"/>
      <c r="G17" s="19"/>
      <c r="H17" s="11"/>
      <c r="I17" s="11"/>
      <c r="J17" s="11"/>
      <c r="K17" s="11"/>
      <c r="L17" s="11"/>
      <c r="M17" s="11"/>
      <c r="N17" s="11"/>
    </row>
    <row r="18" spans="1:14" ht="20.100000000000001" customHeight="1" x14ac:dyDescent="0.3">
      <c r="A18" s="11"/>
      <c r="B18" s="11"/>
      <c r="C18" s="11"/>
      <c r="D18" s="11"/>
      <c r="E18" s="11"/>
      <c r="F18" s="11"/>
      <c r="G18" s="19"/>
      <c r="H18" s="11"/>
      <c r="I18" s="11"/>
      <c r="J18" s="11"/>
      <c r="K18" s="11"/>
      <c r="L18" s="11"/>
      <c r="M18" s="11"/>
      <c r="N18" s="11"/>
    </row>
    <row r="19" spans="1:14" ht="20.100000000000001" customHeight="1" x14ac:dyDescent="0.3">
      <c r="A19" s="11"/>
      <c r="B19" s="11"/>
      <c r="C19" s="11"/>
      <c r="D19" s="11"/>
      <c r="E19" s="11"/>
      <c r="F19" s="11"/>
      <c r="G19" s="19"/>
      <c r="H19" s="11"/>
      <c r="I19" s="11"/>
      <c r="J19" s="11"/>
      <c r="K19" s="11"/>
      <c r="L19" s="11"/>
      <c r="M19" s="11"/>
      <c r="N19" s="11"/>
    </row>
    <row r="20" spans="1:14" ht="20.100000000000001" customHeight="1" x14ac:dyDescent="0.3">
      <c r="A20" s="11"/>
      <c r="B20" s="11"/>
      <c r="C20" s="11"/>
      <c r="D20" s="11"/>
      <c r="E20" s="11"/>
      <c r="F20" s="11"/>
      <c r="G20" s="19"/>
      <c r="H20" s="11"/>
      <c r="I20" s="11"/>
      <c r="J20" s="11"/>
      <c r="K20" s="11"/>
      <c r="L20" s="11"/>
      <c r="M20" s="11"/>
      <c r="N20" s="11"/>
    </row>
    <row r="21" spans="1:14" ht="20.100000000000001" customHeight="1" x14ac:dyDescent="0.3">
      <c r="A21" s="11"/>
      <c r="B21" s="11"/>
      <c r="C21" s="11"/>
      <c r="D21" s="11"/>
      <c r="E21" s="11"/>
      <c r="F21" s="11"/>
      <c r="G21" s="19"/>
      <c r="H21" s="11"/>
      <c r="I21" s="11"/>
      <c r="J21" s="11"/>
      <c r="K21" s="11"/>
      <c r="L21" s="11"/>
      <c r="M21" s="11"/>
      <c r="N21" s="11"/>
    </row>
    <row r="22" spans="1:14" ht="20.100000000000001" customHeight="1" x14ac:dyDescent="0.3">
      <c r="A22" s="11"/>
      <c r="B22" s="11"/>
      <c r="C22" s="11"/>
      <c r="D22" s="11"/>
      <c r="E22" s="11"/>
      <c r="F22" s="11"/>
      <c r="G22" s="19"/>
      <c r="H22" s="11"/>
      <c r="I22" s="11"/>
      <c r="J22" s="11"/>
      <c r="K22" s="11"/>
      <c r="L22" s="11"/>
      <c r="M22" s="11"/>
      <c r="N22" s="11"/>
    </row>
    <row r="23" spans="1:14" ht="20.100000000000001" customHeight="1" x14ac:dyDescent="0.3">
      <c r="A23" s="11"/>
      <c r="B23" s="11"/>
      <c r="C23" s="11"/>
      <c r="D23" s="11"/>
      <c r="E23" s="11"/>
      <c r="F23" s="11"/>
      <c r="G23" s="19"/>
      <c r="H23" s="11"/>
      <c r="I23" s="11"/>
      <c r="J23" s="11"/>
      <c r="K23" s="11"/>
      <c r="L23" s="11"/>
      <c r="M23" s="11"/>
      <c r="N23" s="11"/>
    </row>
    <row r="24" spans="1:14" ht="20.100000000000001" customHeight="1" x14ac:dyDescent="0.3">
      <c r="A24" s="11"/>
      <c r="B24" s="11"/>
      <c r="C24" s="11"/>
      <c r="D24" s="11"/>
      <c r="E24" s="11"/>
      <c r="F24" s="11"/>
      <c r="G24" s="19"/>
      <c r="H24" s="11"/>
      <c r="I24" s="11"/>
      <c r="J24" s="11"/>
      <c r="K24" s="11"/>
      <c r="L24" s="11"/>
      <c r="M24" s="11"/>
      <c r="N24" s="11"/>
    </row>
    <row r="25" spans="1:14" ht="20.100000000000001" customHeight="1" x14ac:dyDescent="0.3">
      <c r="A25" s="11"/>
      <c r="B25" s="11"/>
      <c r="C25" s="11"/>
      <c r="D25" s="11"/>
      <c r="E25" s="11"/>
      <c r="F25" s="11"/>
      <c r="G25" s="19"/>
      <c r="H25" s="11"/>
      <c r="I25" s="11"/>
      <c r="J25" s="11"/>
      <c r="K25" s="11"/>
      <c r="L25" s="11"/>
      <c r="M25" s="11"/>
      <c r="N25" s="11"/>
    </row>
    <row r="26" spans="1:14" ht="20.100000000000001" customHeight="1" x14ac:dyDescent="0.3">
      <c r="A26" s="11"/>
      <c r="B26" s="11"/>
      <c r="C26" s="11"/>
      <c r="D26" s="11"/>
      <c r="E26" s="11"/>
      <c r="F26" s="11"/>
      <c r="G26" s="19"/>
      <c r="H26" s="11"/>
      <c r="I26" s="11"/>
      <c r="J26" s="11"/>
      <c r="K26" s="11"/>
      <c r="L26" s="11"/>
      <c r="M26" s="11"/>
      <c r="N26" s="11"/>
    </row>
    <row r="27" spans="1:14" ht="20.100000000000001" customHeight="1" x14ac:dyDescent="0.3">
      <c r="A27" s="11"/>
      <c r="B27" s="11"/>
      <c r="C27" s="11"/>
      <c r="D27" s="11"/>
      <c r="E27" s="11"/>
      <c r="F27" s="11"/>
      <c r="G27" s="19"/>
      <c r="H27" s="11"/>
      <c r="I27" s="11"/>
      <c r="J27" s="11"/>
      <c r="K27" s="11"/>
      <c r="L27" s="11"/>
      <c r="M27" s="11"/>
      <c r="N27" s="11"/>
    </row>
    <row r="28" spans="1:14" ht="20.100000000000001" customHeight="1" x14ac:dyDescent="0.3">
      <c r="A28" s="11"/>
      <c r="B28" s="11"/>
      <c r="C28" s="11"/>
      <c r="D28" s="11"/>
      <c r="E28" s="11"/>
      <c r="F28" s="11"/>
      <c r="G28" s="19"/>
      <c r="H28" s="11"/>
      <c r="I28" s="11"/>
      <c r="J28" s="11"/>
      <c r="K28" s="11"/>
      <c r="L28" s="11"/>
      <c r="M28" s="11"/>
      <c r="N28" s="11"/>
    </row>
  </sheetData>
  <mergeCells count="1">
    <mergeCell ref="A1:N1"/>
  </mergeCells>
  <conditionalFormatting sqref="L3:L12">
    <cfRule type="containsText" dxfId="69" priority="1" operator="containsText" text="Aprovado">
      <formula>NOT(ISERROR(SEARCH("Aprovado",L3)))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"/>
  <dimension ref="A1:L28"/>
  <sheetViews>
    <sheetView workbookViewId="0">
      <selection activeCell="G7" sqref="G7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11.6640625" customWidth="1"/>
    <col min="6" max="7" width="13.44140625" customWidth="1"/>
    <col min="8" max="8" width="16.88671875" bestFit="1" customWidth="1"/>
    <col min="9" max="9" width="20.6640625" bestFit="1" customWidth="1"/>
    <col min="10" max="10" width="20.6640625" customWidth="1"/>
    <col min="11" max="11" width="16.33203125" bestFit="1" customWidth="1"/>
    <col min="12" max="12" width="17" bestFit="1" customWidth="1"/>
  </cols>
  <sheetData>
    <row r="1" spans="1:12" ht="81.75" customHeight="1" x14ac:dyDescent="1.3">
      <c r="A1" s="115" t="s">
        <v>182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7"/>
    </row>
    <row r="2" spans="1:12" ht="41.25" customHeight="1" x14ac:dyDescent="0.3">
      <c r="A2" s="11" t="s">
        <v>1</v>
      </c>
      <c r="B2" s="11" t="s">
        <v>2</v>
      </c>
      <c r="C2" s="11" t="s">
        <v>71</v>
      </c>
      <c r="D2" s="12" t="s">
        <v>72</v>
      </c>
      <c r="E2" s="12" t="s">
        <v>171</v>
      </c>
      <c r="F2" s="12" t="s">
        <v>158</v>
      </c>
      <c r="G2" s="12" t="s">
        <v>183</v>
      </c>
      <c r="H2" s="12" t="s">
        <v>184</v>
      </c>
      <c r="I2" s="12" t="s">
        <v>185</v>
      </c>
      <c r="J2" s="12" t="s">
        <v>4</v>
      </c>
      <c r="K2" s="11" t="s">
        <v>78</v>
      </c>
      <c r="L2" s="11" t="s">
        <v>79</v>
      </c>
    </row>
    <row r="3" spans="1:12" ht="20.100000000000001" customHeight="1" x14ac:dyDescent="0.3">
      <c r="A3" s="14"/>
      <c r="B3" s="13"/>
      <c r="C3" s="13"/>
      <c r="D3" s="14"/>
      <c r="E3" s="13"/>
      <c r="F3" s="15"/>
      <c r="G3" s="15"/>
      <c r="H3" s="13"/>
      <c r="I3" s="13"/>
      <c r="J3" s="13"/>
      <c r="K3" s="13"/>
      <c r="L3" s="13"/>
    </row>
    <row r="4" spans="1:12" ht="20.100000000000001" customHeight="1" x14ac:dyDescent="0.3">
      <c r="A4" s="14"/>
      <c r="B4" s="13"/>
      <c r="C4" s="13"/>
      <c r="D4" s="14"/>
      <c r="E4" s="13"/>
      <c r="F4" s="15"/>
      <c r="G4" s="15"/>
      <c r="H4" s="13"/>
      <c r="I4" s="13"/>
      <c r="J4" s="13"/>
      <c r="K4" s="13"/>
      <c r="L4" s="13"/>
    </row>
    <row r="5" spans="1:12" ht="20.100000000000001" customHeight="1" x14ac:dyDescent="0.3">
      <c r="A5" s="11"/>
      <c r="B5" s="11"/>
      <c r="C5" s="11"/>
      <c r="D5" s="11"/>
      <c r="E5" s="11"/>
      <c r="F5" s="11"/>
      <c r="G5" s="11"/>
      <c r="H5" s="19"/>
      <c r="I5" s="19"/>
      <c r="J5" s="19"/>
      <c r="K5" s="11"/>
      <c r="L5" s="11"/>
    </row>
    <row r="6" spans="1:12" ht="20.100000000000001" customHeight="1" x14ac:dyDescent="0.3">
      <c r="A6" s="11"/>
      <c r="B6" s="11"/>
      <c r="C6" s="11"/>
      <c r="D6" s="11"/>
      <c r="E6" s="11"/>
      <c r="F6" s="11"/>
      <c r="G6" s="11"/>
      <c r="H6" s="19"/>
      <c r="I6" s="19"/>
      <c r="J6" s="19"/>
      <c r="K6" s="11"/>
      <c r="L6" s="11"/>
    </row>
    <row r="7" spans="1:12" ht="20.100000000000001" customHeight="1" x14ac:dyDescent="0.3">
      <c r="A7" s="11"/>
      <c r="B7" s="11"/>
      <c r="C7" s="11"/>
      <c r="D7" s="11"/>
      <c r="E7" s="11"/>
      <c r="F7" s="11"/>
      <c r="G7" s="11"/>
      <c r="H7" s="19"/>
      <c r="I7" s="19"/>
      <c r="J7" s="19"/>
      <c r="K7" s="11"/>
      <c r="L7" s="11"/>
    </row>
    <row r="8" spans="1:12" ht="20.100000000000001" customHeight="1" x14ac:dyDescent="0.3">
      <c r="A8" s="11"/>
      <c r="B8" s="11"/>
      <c r="C8" s="11"/>
      <c r="D8" s="11"/>
      <c r="E8" s="11"/>
      <c r="F8" s="11"/>
      <c r="G8" s="11"/>
      <c r="H8" s="19"/>
      <c r="I8" s="19"/>
      <c r="J8" s="19"/>
      <c r="K8" s="11"/>
      <c r="L8" s="11"/>
    </row>
    <row r="9" spans="1:12" ht="20.100000000000001" customHeight="1" x14ac:dyDescent="0.3">
      <c r="A9" s="11"/>
      <c r="B9" s="11"/>
      <c r="C9" s="11"/>
      <c r="D9" s="11"/>
      <c r="E9" s="11"/>
      <c r="F9" s="11"/>
      <c r="G9" s="11"/>
      <c r="H9" s="19"/>
      <c r="I9" s="19"/>
      <c r="J9" s="19"/>
      <c r="K9" s="11"/>
      <c r="L9" s="11"/>
    </row>
    <row r="10" spans="1:12" ht="20.100000000000001" customHeight="1" x14ac:dyDescent="0.3">
      <c r="A10" s="11"/>
      <c r="B10" s="11"/>
      <c r="C10" s="11"/>
      <c r="D10" s="11"/>
      <c r="E10" s="11"/>
      <c r="F10" s="11"/>
      <c r="G10" s="11"/>
      <c r="H10" s="19"/>
      <c r="I10" s="19"/>
      <c r="J10" s="19"/>
      <c r="K10" s="11"/>
      <c r="L10" s="11"/>
    </row>
    <row r="11" spans="1:12" ht="20.100000000000001" customHeight="1" x14ac:dyDescent="0.3">
      <c r="A11" s="11"/>
      <c r="B11" s="11"/>
      <c r="C11" s="11"/>
      <c r="D11" s="11"/>
      <c r="E11" s="11"/>
      <c r="F11" s="11"/>
      <c r="G11" s="11"/>
      <c r="H11" s="19"/>
      <c r="I11" s="19"/>
      <c r="J11" s="19"/>
      <c r="K11" s="11"/>
      <c r="L11" s="11"/>
    </row>
    <row r="12" spans="1:12" ht="20.100000000000001" customHeight="1" x14ac:dyDescent="0.3">
      <c r="A12" s="11"/>
      <c r="B12" s="11"/>
      <c r="C12" s="11"/>
      <c r="D12" s="11"/>
      <c r="E12" s="11"/>
      <c r="F12" s="11"/>
      <c r="G12" s="11"/>
      <c r="H12" s="19"/>
      <c r="I12" s="19"/>
      <c r="J12" s="19"/>
      <c r="K12" s="11"/>
      <c r="L12" s="11"/>
    </row>
    <row r="13" spans="1:12" ht="20.100000000000001" customHeight="1" x14ac:dyDescent="0.3">
      <c r="A13" s="11"/>
      <c r="B13" s="11"/>
      <c r="C13" s="11"/>
      <c r="D13" s="11"/>
      <c r="E13" s="11"/>
      <c r="F13" s="11"/>
      <c r="G13" s="11"/>
      <c r="H13" s="19"/>
      <c r="I13" s="19"/>
      <c r="J13" s="19"/>
      <c r="K13" s="11"/>
      <c r="L13" s="11"/>
    </row>
    <row r="14" spans="1:12" ht="20.100000000000001" customHeight="1" x14ac:dyDescent="0.3">
      <c r="A14" s="11"/>
      <c r="B14" s="11"/>
      <c r="C14" s="11"/>
      <c r="D14" s="11"/>
      <c r="E14" s="11"/>
      <c r="F14" s="11"/>
      <c r="G14" s="11"/>
      <c r="H14" s="19"/>
      <c r="I14" s="19"/>
      <c r="J14" s="19"/>
      <c r="K14" s="11"/>
      <c r="L14" s="11"/>
    </row>
    <row r="15" spans="1:12" ht="20.100000000000001" customHeight="1" x14ac:dyDescent="0.3">
      <c r="A15" s="11"/>
      <c r="B15" s="11"/>
      <c r="C15" s="11"/>
      <c r="D15" s="11"/>
      <c r="E15" s="11"/>
      <c r="F15" s="11"/>
      <c r="G15" s="11"/>
      <c r="H15" s="19"/>
      <c r="I15" s="19"/>
      <c r="J15" s="19"/>
      <c r="K15" s="11"/>
      <c r="L15" s="11"/>
    </row>
    <row r="16" spans="1:12" ht="20.100000000000001" customHeight="1" x14ac:dyDescent="0.3">
      <c r="A16" s="11"/>
      <c r="B16" s="11"/>
      <c r="C16" s="11"/>
      <c r="D16" s="11"/>
      <c r="E16" s="11"/>
      <c r="F16" s="11"/>
      <c r="G16" s="11"/>
      <c r="H16" s="19"/>
      <c r="I16" s="19"/>
      <c r="J16" s="19"/>
      <c r="K16" s="11"/>
      <c r="L16" s="11"/>
    </row>
    <row r="17" spans="1:12" ht="20.100000000000001" customHeight="1" x14ac:dyDescent="0.3">
      <c r="A17" s="11"/>
      <c r="B17" s="11"/>
      <c r="C17" s="11"/>
      <c r="D17" s="11"/>
      <c r="E17" s="11"/>
      <c r="F17" s="11"/>
      <c r="G17" s="11"/>
      <c r="H17" s="19"/>
      <c r="I17" s="19"/>
      <c r="J17" s="19"/>
      <c r="K17" s="11"/>
      <c r="L17" s="11"/>
    </row>
    <row r="18" spans="1:12" ht="20.100000000000001" customHeight="1" x14ac:dyDescent="0.3">
      <c r="A18" s="11"/>
      <c r="B18" s="11"/>
      <c r="C18" s="11"/>
      <c r="D18" s="11"/>
      <c r="E18" s="11"/>
      <c r="F18" s="11"/>
      <c r="G18" s="11"/>
      <c r="H18" s="19"/>
      <c r="I18" s="19"/>
      <c r="J18" s="19"/>
      <c r="K18" s="11"/>
      <c r="L18" s="11"/>
    </row>
    <row r="19" spans="1:12" ht="20.100000000000001" customHeight="1" x14ac:dyDescent="0.3">
      <c r="A19" s="11"/>
      <c r="B19" s="11"/>
      <c r="C19" s="11"/>
      <c r="D19" s="11"/>
      <c r="E19" s="11"/>
      <c r="F19" s="11"/>
      <c r="G19" s="11"/>
      <c r="H19" s="19"/>
      <c r="I19" s="19"/>
      <c r="J19" s="19"/>
      <c r="K19" s="11"/>
      <c r="L19" s="11"/>
    </row>
    <row r="20" spans="1:12" ht="20.100000000000001" customHeight="1" x14ac:dyDescent="0.3">
      <c r="A20" s="11"/>
      <c r="B20" s="11"/>
      <c r="C20" s="11"/>
      <c r="D20" s="11"/>
      <c r="E20" s="11"/>
      <c r="F20" s="11"/>
      <c r="G20" s="11"/>
      <c r="H20" s="19"/>
      <c r="I20" s="19"/>
      <c r="J20" s="19"/>
      <c r="K20" s="11"/>
      <c r="L20" s="11"/>
    </row>
    <row r="21" spans="1:12" ht="20.100000000000001" customHeight="1" x14ac:dyDescent="0.3">
      <c r="A21" s="11"/>
      <c r="B21" s="11"/>
      <c r="C21" s="11"/>
      <c r="D21" s="11"/>
      <c r="E21" s="11"/>
      <c r="F21" s="11"/>
      <c r="G21" s="11"/>
      <c r="H21" s="19"/>
      <c r="I21" s="19"/>
      <c r="J21" s="19"/>
      <c r="K21" s="11"/>
      <c r="L21" s="11"/>
    </row>
    <row r="22" spans="1:12" ht="20.100000000000001" customHeight="1" x14ac:dyDescent="0.3">
      <c r="A22" s="11"/>
      <c r="B22" s="11"/>
      <c r="C22" s="11"/>
      <c r="D22" s="11"/>
      <c r="E22" s="11"/>
      <c r="F22" s="11"/>
      <c r="G22" s="11"/>
      <c r="H22" s="19"/>
      <c r="I22" s="19"/>
      <c r="J22" s="19"/>
      <c r="K22" s="11"/>
      <c r="L22" s="11"/>
    </row>
    <row r="23" spans="1:12" ht="20.100000000000001" customHeight="1" x14ac:dyDescent="0.3">
      <c r="A23" s="11"/>
      <c r="B23" s="11"/>
      <c r="C23" s="11"/>
      <c r="D23" s="11"/>
      <c r="E23" s="11"/>
      <c r="F23" s="11"/>
      <c r="G23" s="11"/>
      <c r="H23" s="19"/>
      <c r="I23" s="19"/>
      <c r="J23" s="19"/>
      <c r="K23" s="11"/>
      <c r="L23" s="11"/>
    </row>
    <row r="24" spans="1:12" ht="20.100000000000001" customHeight="1" x14ac:dyDescent="0.3">
      <c r="A24" s="11"/>
      <c r="B24" s="11"/>
      <c r="C24" s="11"/>
      <c r="D24" s="11"/>
      <c r="E24" s="11"/>
      <c r="F24" s="11"/>
      <c r="G24" s="11"/>
      <c r="H24" s="19"/>
      <c r="I24" s="19"/>
      <c r="J24" s="19"/>
      <c r="K24" s="11"/>
      <c r="L24" s="11"/>
    </row>
    <row r="25" spans="1:12" ht="20.100000000000001" customHeight="1" x14ac:dyDescent="0.3">
      <c r="A25" s="11"/>
      <c r="B25" s="11"/>
      <c r="C25" s="11"/>
      <c r="D25" s="11"/>
      <c r="E25" s="11"/>
      <c r="F25" s="11"/>
      <c r="G25" s="11"/>
      <c r="H25" s="19"/>
      <c r="I25" s="19"/>
      <c r="J25" s="19"/>
      <c r="K25" s="11"/>
      <c r="L25" s="11"/>
    </row>
    <row r="26" spans="1:12" ht="20.100000000000001" customHeight="1" x14ac:dyDescent="0.3">
      <c r="A26" s="11"/>
      <c r="B26" s="11"/>
      <c r="C26" s="11"/>
      <c r="D26" s="11"/>
      <c r="E26" s="11"/>
      <c r="F26" s="11"/>
      <c r="G26" s="11"/>
      <c r="H26" s="19"/>
      <c r="I26" s="19"/>
      <c r="J26" s="19"/>
      <c r="K26" s="11"/>
      <c r="L26" s="11"/>
    </row>
    <row r="27" spans="1:12" ht="20.100000000000001" customHeight="1" x14ac:dyDescent="0.3">
      <c r="A27" s="11"/>
      <c r="B27" s="11"/>
      <c r="C27" s="11"/>
      <c r="D27" s="11"/>
      <c r="E27" s="11"/>
      <c r="F27" s="11"/>
      <c r="G27" s="11"/>
      <c r="H27" s="19"/>
      <c r="I27" s="19"/>
      <c r="J27" s="19"/>
      <c r="K27" s="11"/>
      <c r="L27" s="11"/>
    </row>
    <row r="28" spans="1:12" ht="20.100000000000001" customHeight="1" x14ac:dyDescent="0.3">
      <c r="A28" s="11"/>
      <c r="B28" s="11"/>
      <c r="C28" s="11"/>
      <c r="D28" s="11"/>
      <c r="E28" s="11"/>
      <c r="F28" s="11"/>
      <c r="G28" s="11"/>
      <c r="H28" s="19"/>
      <c r="I28" s="19"/>
      <c r="J28" s="19"/>
      <c r="K28" s="11"/>
      <c r="L28" s="11"/>
    </row>
  </sheetData>
  <mergeCells count="1">
    <mergeCell ref="A1:L1"/>
  </mergeCells>
  <conditionalFormatting sqref="J3:J10">
    <cfRule type="containsText" dxfId="52" priority="1" operator="containsText" text="Aprovação">
      <formula>NOT(ISERROR(SEARCH("Aprovação",J3)))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8"/>
  <dimension ref="A1:M28"/>
  <sheetViews>
    <sheetView workbookViewId="0">
      <selection activeCell="F8" sqref="F8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20.88671875" bestFit="1" customWidth="1"/>
    <col min="6" max="6" width="20.44140625" bestFit="1" customWidth="1"/>
    <col min="7" max="7" width="19.33203125" bestFit="1" customWidth="1"/>
    <col min="8" max="8" width="16.88671875" bestFit="1" customWidth="1"/>
    <col min="9" max="10" width="13.5546875" bestFit="1" customWidth="1"/>
    <col min="11" max="11" width="13.5546875" customWidth="1"/>
    <col min="12" max="12" width="16.33203125" bestFit="1" customWidth="1"/>
    <col min="13" max="13" width="17" bestFit="1" customWidth="1"/>
  </cols>
  <sheetData>
    <row r="1" spans="1:13" ht="81.75" customHeight="1" x14ac:dyDescent="1.3">
      <c r="A1" s="115" t="s">
        <v>186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7"/>
    </row>
    <row r="2" spans="1:13" ht="38.25" customHeight="1" x14ac:dyDescent="0.3">
      <c r="A2" s="11" t="s">
        <v>1</v>
      </c>
      <c r="B2" s="11" t="s">
        <v>2</v>
      </c>
      <c r="C2" s="11" t="s">
        <v>71</v>
      </c>
      <c r="D2" s="12" t="s">
        <v>72</v>
      </c>
      <c r="E2" s="12" t="s">
        <v>121</v>
      </c>
      <c r="F2" s="12" t="s">
        <v>187</v>
      </c>
      <c r="G2" s="12" t="s">
        <v>188</v>
      </c>
      <c r="H2" s="12" t="s">
        <v>189</v>
      </c>
      <c r="I2" s="12" t="s">
        <v>190</v>
      </c>
      <c r="J2" s="12" t="s">
        <v>191</v>
      </c>
      <c r="K2" s="12" t="s">
        <v>4</v>
      </c>
      <c r="L2" s="11" t="s">
        <v>78</v>
      </c>
      <c r="M2" s="11" t="s">
        <v>79</v>
      </c>
    </row>
    <row r="3" spans="1:13" ht="20.100000000000001" customHeight="1" x14ac:dyDescent="0.3">
      <c r="A3" s="14"/>
      <c r="B3" s="13"/>
      <c r="C3" s="13"/>
      <c r="D3" s="14"/>
      <c r="E3" s="13"/>
      <c r="F3" s="15"/>
      <c r="G3" s="15"/>
      <c r="H3" s="13"/>
      <c r="I3" s="13"/>
      <c r="J3" s="13"/>
      <c r="K3" s="13"/>
      <c r="L3" s="13"/>
      <c r="M3" s="13"/>
    </row>
    <row r="4" spans="1:13" ht="20.100000000000001" customHeight="1" x14ac:dyDescent="0.3">
      <c r="A4" s="13"/>
      <c r="B4" s="13"/>
      <c r="C4" s="13"/>
      <c r="D4" s="13"/>
      <c r="E4" s="13"/>
      <c r="F4" s="15"/>
      <c r="G4" s="15"/>
      <c r="H4" s="13"/>
      <c r="I4" s="13"/>
      <c r="J4" s="12"/>
      <c r="K4" s="12"/>
      <c r="L4" s="13"/>
      <c r="M4" s="13"/>
    </row>
    <row r="5" spans="1:13" ht="20.100000000000001" customHeight="1" x14ac:dyDescent="0.3">
      <c r="A5" s="11"/>
      <c r="B5" s="11"/>
      <c r="C5" s="11"/>
      <c r="D5" s="11"/>
      <c r="E5" s="11"/>
      <c r="F5" s="11"/>
      <c r="G5" s="11"/>
      <c r="H5" s="19"/>
      <c r="I5" s="11"/>
      <c r="J5" s="11"/>
      <c r="K5" s="11"/>
      <c r="L5" s="11"/>
      <c r="M5" s="11"/>
    </row>
    <row r="6" spans="1:13" ht="20.100000000000001" customHeight="1" x14ac:dyDescent="0.3">
      <c r="A6" s="11"/>
      <c r="B6" s="11"/>
      <c r="C6" s="11"/>
      <c r="D6" s="11"/>
      <c r="E6" s="11"/>
      <c r="F6" s="11"/>
      <c r="G6" s="11"/>
      <c r="H6" s="19"/>
      <c r="I6" s="11"/>
      <c r="J6" s="11"/>
      <c r="K6" s="11"/>
      <c r="L6" s="11"/>
      <c r="M6" s="11"/>
    </row>
    <row r="7" spans="1:13" ht="20.100000000000001" customHeight="1" x14ac:dyDescent="0.3">
      <c r="A7" s="11"/>
      <c r="B7" s="11"/>
      <c r="C7" s="11"/>
      <c r="D7" s="11"/>
      <c r="E7" s="11"/>
      <c r="F7" s="11"/>
      <c r="G7" s="11"/>
      <c r="H7" s="19"/>
      <c r="I7" s="11"/>
      <c r="J7" s="11"/>
      <c r="K7" s="11"/>
      <c r="L7" s="11"/>
      <c r="M7" s="11"/>
    </row>
    <row r="8" spans="1:13" ht="20.100000000000001" customHeight="1" x14ac:dyDescent="0.3">
      <c r="A8" s="11"/>
      <c r="B8" s="11"/>
      <c r="C8" s="11"/>
      <c r="D8" s="11"/>
      <c r="E8" s="11"/>
      <c r="F8" s="11"/>
      <c r="G8" s="11"/>
      <c r="H8" s="19"/>
      <c r="I8" s="11"/>
      <c r="J8" s="11"/>
      <c r="K8" s="11"/>
      <c r="L8" s="11"/>
      <c r="M8" s="11"/>
    </row>
    <row r="9" spans="1:13" ht="20.100000000000001" customHeight="1" x14ac:dyDescent="0.3">
      <c r="A9" s="11"/>
      <c r="B9" s="11"/>
      <c r="C9" s="11"/>
      <c r="D9" s="11"/>
      <c r="E9" s="11"/>
      <c r="F9" s="11"/>
      <c r="G9" s="11"/>
      <c r="H9" s="19"/>
      <c r="I9" s="11"/>
      <c r="J9" s="11"/>
      <c r="K9" s="11"/>
      <c r="L9" s="11"/>
      <c r="M9" s="11"/>
    </row>
    <row r="10" spans="1:13" ht="20.100000000000001" customHeight="1" x14ac:dyDescent="0.3">
      <c r="A10" s="11"/>
      <c r="B10" s="11"/>
      <c r="C10" s="11"/>
      <c r="D10" s="11"/>
      <c r="E10" s="11"/>
      <c r="F10" s="11"/>
      <c r="G10" s="11"/>
      <c r="H10" s="19"/>
      <c r="I10" s="11"/>
      <c r="J10" s="11"/>
      <c r="K10" s="11"/>
      <c r="L10" s="11"/>
      <c r="M10" s="11"/>
    </row>
    <row r="11" spans="1:13" ht="20.100000000000001" customHeight="1" x14ac:dyDescent="0.3">
      <c r="A11" s="11"/>
      <c r="B11" s="11"/>
      <c r="C11" s="11"/>
      <c r="D11" s="11"/>
      <c r="E11" s="11"/>
      <c r="F11" s="11"/>
      <c r="G11" s="11"/>
      <c r="H11" s="19"/>
      <c r="I11" s="11"/>
      <c r="J11" s="11"/>
      <c r="K11" s="11"/>
      <c r="L11" s="11"/>
      <c r="M11" s="11"/>
    </row>
    <row r="12" spans="1:13" ht="20.100000000000001" customHeight="1" x14ac:dyDescent="0.3">
      <c r="A12" s="11"/>
      <c r="B12" s="11"/>
      <c r="C12" s="11"/>
      <c r="D12" s="11"/>
      <c r="E12" s="11"/>
      <c r="F12" s="11"/>
      <c r="G12" s="11"/>
      <c r="H12" s="19"/>
      <c r="I12" s="11"/>
      <c r="J12" s="11"/>
      <c r="K12" s="11"/>
      <c r="L12" s="11"/>
      <c r="M12" s="11"/>
    </row>
    <row r="13" spans="1:13" ht="20.100000000000001" customHeight="1" x14ac:dyDescent="0.3">
      <c r="A13" s="11"/>
      <c r="B13" s="11"/>
      <c r="C13" s="11"/>
      <c r="D13" s="11"/>
      <c r="E13" s="11"/>
      <c r="F13" s="11"/>
      <c r="G13" s="11"/>
      <c r="H13" s="19"/>
      <c r="I13" s="11"/>
      <c r="J13" s="11"/>
      <c r="K13" s="11"/>
      <c r="L13" s="11"/>
      <c r="M13" s="11"/>
    </row>
    <row r="14" spans="1:13" ht="20.100000000000001" customHeight="1" x14ac:dyDescent="0.3">
      <c r="A14" s="11"/>
      <c r="B14" s="11"/>
      <c r="C14" s="11"/>
      <c r="D14" s="11"/>
      <c r="E14" s="11"/>
      <c r="F14" s="11"/>
      <c r="G14" s="11"/>
      <c r="H14" s="19"/>
      <c r="I14" s="11"/>
      <c r="J14" s="11"/>
      <c r="K14" s="11"/>
      <c r="L14" s="11"/>
      <c r="M14" s="11"/>
    </row>
    <row r="15" spans="1:13" ht="20.100000000000001" customHeight="1" x14ac:dyDescent="0.3">
      <c r="A15" s="11"/>
      <c r="B15" s="11"/>
      <c r="C15" s="11"/>
      <c r="D15" s="11"/>
      <c r="E15" s="11"/>
      <c r="F15" s="11"/>
      <c r="G15" s="11"/>
      <c r="H15" s="19"/>
      <c r="I15" s="11"/>
      <c r="J15" s="11"/>
      <c r="K15" s="11"/>
      <c r="L15" s="11"/>
      <c r="M15" s="11"/>
    </row>
    <row r="16" spans="1:13" ht="20.100000000000001" customHeight="1" x14ac:dyDescent="0.3">
      <c r="A16" s="11"/>
      <c r="B16" s="11"/>
      <c r="C16" s="11"/>
      <c r="D16" s="11"/>
      <c r="E16" s="11"/>
      <c r="F16" s="11"/>
      <c r="G16" s="11"/>
      <c r="H16" s="19"/>
      <c r="I16" s="11"/>
      <c r="J16" s="11"/>
      <c r="K16" s="11"/>
      <c r="L16" s="11"/>
      <c r="M16" s="11"/>
    </row>
    <row r="17" spans="1:13" ht="20.100000000000001" customHeight="1" x14ac:dyDescent="0.3">
      <c r="A17" s="11"/>
      <c r="B17" s="11"/>
      <c r="C17" s="11"/>
      <c r="D17" s="11"/>
      <c r="E17" s="11"/>
      <c r="F17" s="11"/>
      <c r="G17" s="11"/>
      <c r="H17" s="19"/>
      <c r="I17" s="11"/>
      <c r="J17" s="11"/>
      <c r="K17" s="11"/>
      <c r="L17" s="11"/>
      <c r="M17" s="11"/>
    </row>
    <row r="18" spans="1:13" ht="20.100000000000001" customHeight="1" x14ac:dyDescent="0.3">
      <c r="A18" s="11"/>
      <c r="B18" s="11"/>
      <c r="C18" s="11"/>
      <c r="D18" s="11"/>
      <c r="E18" s="11"/>
      <c r="F18" s="11"/>
      <c r="G18" s="11"/>
      <c r="H18" s="19"/>
      <c r="I18" s="11"/>
      <c r="J18" s="11"/>
      <c r="K18" s="11"/>
      <c r="L18" s="11"/>
      <c r="M18" s="11"/>
    </row>
    <row r="19" spans="1:13" ht="20.100000000000001" customHeight="1" x14ac:dyDescent="0.3">
      <c r="A19" s="11"/>
      <c r="B19" s="11"/>
      <c r="C19" s="11"/>
      <c r="D19" s="11"/>
      <c r="E19" s="11"/>
      <c r="F19" s="11"/>
      <c r="G19" s="11"/>
      <c r="H19" s="19"/>
      <c r="I19" s="11"/>
      <c r="J19" s="11"/>
      <c r="K19" s="11"/>
      <c r="L19" s="11"/>
      <c r="M19" s="11"/>
    </row>
    <row r="20" spans="1:13" ht="20.100000000000001" customHeight="1" x14ac:dyDescent="0.3">
      <c r="A20" s="11"/>
      <c r="B20" s="11"/>
      <c r="C20" s="11"/>
      <c r="D20" s="11"/>
      <c r="E20" s="11"/>
      <c r="F20" s="11"/>
      <c r="G20" s="11"/>
      <c r="H20" s="19"/>
      <c r="I20" s="11"/>
      <c r="J20" s="11"/>
      <c r="K20" s="11"/>
      <c r="L20" s="11"/>
      <c r="M20" s="11"/>
    </row>
    <row r="21" spans="1:13" ht="20.100000000000001" customHeight="1" x14ac:dyDescent="0.3">
      <c r="A21" s="11"/>
      <c r="B21" s="11"/>
      <c r="C21" s="11"/>
      <c r="D21" s="11"/>
      <c r="E21" s="11"/>
      <c r="F21" s="11"/>
      <c r="G21" s="11"/>
      <c r="H21" s="19"/>
      <c r="I21" s="11"/>
      <c r="J21" s="11"/>
      <c r="K21" s="11"/>
      <c r="L21" s="11"/>
      <c r="M21" s="11"/>
    </row>
    <row r="22" spans="1:13" ht="20.100000000000001" customHeight="1" x14ac:dyDescent="0.3">
      <c r="A22" s="11"/>
      <c r="B22" s="11"/>
      <c r="C22" s="11"/>
      <c r="D22" s="11"/>
      <c r="E22" s="11"/>
      <c r="F22" s="11"/>
      <c r="G22" s="11"/>
      <c r="H22" s="19"/>
      <c r="I22" s="11"/>
      <c r="J22" s="11"/>
      <c r="K22" s="11"/>
      <c r="L22" s="11"/>
      <c r="M22" s="11"/>
    </row>
    <row r="23" spans="1:13" ht="20.100000000000001" customHeight="1" x14ac:dyDescent="0.3">
      <c r="A23" s="11"/>
      <c r="B23" s="11"/>
      <c r="C23" s="11"/>
      <c r="D23" s="11"/>
      <c r="E23" s="11"/>
      <c r="F23" s="11"/>
      <c r="G23" s="11"/>
      <c r="H23" s="19"/>
      <c r="I23" s="11"/>
      <c r="J23" s="11"/>
      <c r="K23" s="11"/>
      <c r="L23" s="11"/>
      <c r="M23" s="11"/>
    </row>
    <row r="24" spans="1:13" ht="20.100000000000001" customHeight="1" x14ac:dyDescent="0.3">
      <c r="A24" s="11"/>
      <c r="B24" s="11"/>
      <c r="C24" s="11"/>
      <c r="D24" s="11"/>
      <c r="E24" s="11"/>
      <c r="F24" s="11"/>
      <c r="G24" s="11"/>
      <c r="H24" s="19"/>
      <c r="I24" s="11"/>
      <c r="J24" s="11"/>
      <c r="K24" s="11"/>
      <c r="L24" s="11"/>
      <c r="M24" s="11"/>
    </row>
    <row r="25" spans="1:13" ht="20.100000000000001" customHeight="1" x14ac:dyDescent="0.3">
      <c r="A25" s="11"/>
      <c r="B25" s="11"/>
      <c r="C25" s="11"/>
      <c r="D25" s="11"/>
      <c r="E25" s="11"/>
      <c r="F25" s="11"/>
      <c r="G25" s="11"/>
      <c r="H25" s="19"/>
      <c r="I25" s="11"/>
      <c r="J25" s="11"/>
      <c r="K25" s="11"/>
      <c r="L25" s="11"/>
      <c r="M25" s="11"/>
    </row>
    <row r="26" spans="1:13" ht="20.100000000000001" customHeight="1" x14ac:dyDescent="0.3">
      <c r="A26" s="11"/>
      <c r="B26" s="11"/>
      <c r="C26" s="11"/>
      <c r="D26" s="11"/>
      <c r="E26" s="11"/>
      <c r="F26" s="11"/>
      <c r="G26" s="11"/>
      <c r="H26" s="19"/>
      <c r="I26" s="11"/>
      <c r="J26" s="11"/>
      <c r="K26" s="11"/>
      <c r="L26" s="11"/>
      <c r="M26" s="11"/>
    </row>
    <row r="27" spans="1:13" ht="20.100000000000001" customHeight="1" x14ac:dyDescent="0.3">
      <c r="A27" s="11"/>
      <c r="B27" s="11"/>
      <c r="C27" s="11"/>
      <c r="D27" s="11"/>
      <c r="E27" s="11"/>
      <c r="F27" s="11"/>
      <c r="G27" s="11"/>
      <c r="H27" s="19"/>
      <c r="I27" s="11"/>
      <c r="J27" s="11"/>
      <c r="K27" s="11"/>
      <c r="L27" s="11"/>
      <c r="M27" s="11"/>
    </row>
    <row r="28" spans="1:13" ht="20.100000000000001" customHeight="1" x14ac:dyDescent="0.3">
      <c r="A28" s="11"/>
      <c r="B28" s="11"/>
      <c r="C28" s="11"/>
      <c r="D28" s="11"/>
      <c r="E28" s="11"/>
      <c r="F28" s="11"/>
      <c r="G28" s="11"/>
      <c r="H28" s="19"/>
      <c r="I28" s="11"/>
      <c r="J28" s="11"/>
      <c r="K28" s="11"/>
      <c r="L28" s="11"/>
      <c r="M28" s="11"/>
    </row>
  </sheetData>
  <mergeCells count="1">
    <mergeCell ref="A1:M1"/>
  </mergeCells>
  <conditionalFormatting sqref="K3:K10">
    <cfRule type="containsText" dxfId="37" priority="1" operator="containsText" text="Aprovação">
      <formula>NOT(ISERROR(SEARCH("Aprovação",K3)))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9"/>
  <dimension ref="B2:U29"/>
  <sheetViews>
    <sheetView workbookViewId="0">
      <selection activeCell="B2" sqref="B2:U2"/>
    </sheetView>
  </sheetViews>
  <sheetFormatPr defaultRowHeight="14.4" x14ac:dyDescent="0.3"/>
  <cols>
    <col min="1" max="1" width="3.88671875" customWidth="1"/>
    <col min="2" max="2" width="15.33203125" bestFit="1" customWidth="1"/>
    <col min="5" max="5" width="20.44140625" bestFit="1" customWidth="1"/>
    <col min="6" max="6" width="13.6640625" bestFit="1" customWidth="1"/>
    <col min="7" max="7" width="11.6640625" customWidth="1"/>
    <col min="8" max="8" width="13.44140625" customWidth="1"/>
    <col min="9" max="9" width="16.88671875" bestFit="1" customWidth="1"/>
    <col min="10" max="10" width="16.88671875" customWidth="1"/>
    <col min="11" max="11" width="13.5546875" bestFit="1" customWidth="1"/>
    <col min="12" max="12" width="13.6640625" bestFit="1" customWidth="1"/>
    <col min="13" max="13" width="13.5546875" bestFit="1" customWidth="1"/>
    <col min="14" max="14" width="11.44140625" bestFit="1" customWidth="1"/>
    <col min="15" max="15" width="13.5546875" bestFit="1" customWidth="1"/>
    <col min="16" max="16" width="12.109375" bestFit="1" customWidth="1"/>
    <col min="17" max="18" width="13.6640625" bestFit="1" customWidth="1"/>
    <col min="19" max="19" width="12.6640625" bestFit="1" customWidth="1"/>
    <col min="20" max="20" width="16.33203125" bestFit="1" customWidth="1"/>
    <col min="21" max="21" width="17" bestFit="1" customWidth="1"/>
  </cols>
  <sheetData>
    <row r="2" spans="2:21" ht="81.75" customHeight="1" x14ac:dyDescent="1.3">
      <c r="B2" s="118" t="s">
        <v>192</v>
      </c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20"/>
    </row>
    <row r="3" spans="2:21" ht="38.25" customHeight="1" x14ac:dyDescent="0.3">
      <c r="B3" s="2" t="s">
        <v>169</v>
      </c>
      <c r="C3" s="2" t="s">
        <v>1</v>
      </c>
      <c r="D3" s="2" t="s">
        <v>2</v>
      </c>
      <c r="E3" s="2" t="s">
        <v>71</v>
      </c>
      <c r="F3" s="3" t="s">
        <v>72</v>
      </c>
      <c r="G3" s="3" t="s">
        <v>193</v>
      </c>
      <c r="H3" s="3" t="s">
        <v>194</v>
      </c>
      <c r="I3" s="3" t="s">
        <v>195</v>
      </c>
      <c r="J3" s="3" t="s">
        <v>196</v>
      </c>
      <c r="K3" s="3" t="s">
        <v>197</v>
      </c>
      <c r="L3" s="3" t="s">
        <v>198</v>
      </c>
      <c r="M3" s="3" t="s">
        <v>199</v>
      </c>
      <c r="N3" s="3" t="s">
        <v>200</v>
      </c>
      <c r="O3" s="3" t="s">
        <v>201</v>
      </c>
      <c r="P3" s="3" t="s">
        <v>202</v>
      </c>
      <c r="Q3" s="3" t="s">
        <v>203</v>
      </c>
      <c r="R3" s="3" t="s">
        <v>204</v>
      </c>
      <c r="S3" s="3" t="s">
        <v>205</v>
      </c>
      <c r="T3" s="2" t="s">
        <v>78</v>
      </c>
      <c r="U3" s="2" t="s">
        <v>79</v>
      </c>
    </row>
    <row r="4" spans="2:21" ht="20.100000000000001" customHeight="1" x14ac:dyDescent="0.3">
      <c r="B4" s="5"/>
      <c r="C4" s="5"/>
      <c r="D4" s="5"/>
      <c r="E4" s="5"/>
      <c r="F4" s="5"/>
      <c r="G4" s="5"/>
      <c r="H4" s="6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 spans="2:21" ht="20.100000000000001" customHeight="1" x14ac:dyDescent="0.3">
      <c r="B5" s="7"/>
      <c r="C5" s="7"/>
      <c r="D5" s="7"/>
      <c r="E5" s="7"/>
      <c r="F5" s="7"/>
      <c r="G5" s="7"/>
      <c r="H5" s="8"/>
      <c r="I5" s="7"/>
      <c r="J5" s="7"/>
      <c r="K5" s="7"/>
      <c r="L5" s="8"/>
      <c r="M5" s="3"/>
      <c r="N5" s="7"/>
      <c r="O5" s="7"/>
      <c r="P5" s="7"/>
      <c r="Q5" s="7"/>
      <c r="R5" s="7"/>
      <c r="S5" s="7"/>
      <c r="T5" s="7"/>
      <c r="U5" s="7"/>
    </row>
    <row r="6" spans="2:21" ht="20.100000000000001" customHeight="1" x14ac:dyDescent="0.3">
      <c r="B6" s="4"/>
      <c r="C6" s="4"/>
      <c r="D6" s="4"/>
      <c r="E6" s="4"/>
      <c r="F6" s="4"/>
      <c r="G6" s="4"/>
      <c r="H6" s="4"/>
      <c r="I6" s="1"/>
      <c r="J6" s="1"/>
      <c r="K6" s="4"/>
      <c r="L6" s="4"/>
      <c r="M6" s="4"/>
      <c r="N6" s="4"/>
      <c r="O6" s="4"/>
      <c r="P6" s="4"/>
      <c r="Q6" s="4"/>
      <c r="R6" s="4"/>
      <c r="S6" s="4"/>
      <c r="T6" s="4"/>
      <c r="U6" s="4"/>
    </row>
    <row r="7" spans="2:21" ht="20.100000000000001" customHeight="1" x14ac:dyDescent="0.3">
      <c r="B7" s="4"/>
      <c r="C7" s="4"/>
      <c r="D7" s="4"/>
      <c r="E7" s="4"/>
      <c r="F7" s="4"/>
      <c r="G7" s="4"/>
      <c r="H7" s="4"/>
      <c r="I7" s="1"/>
      <c r="J7" s="1"/>
      <c r="K7" s="4"/>
      <c r="L7" s="4"/>
      <c r="M7" s="4"/>
      <c r="N7" s="4"/>
      <c r="O7" s="4"/>
      <c r="P7" s="4"/>
      <c r="Q7" s="4"/>
      <c r="R7" s="4"/>
      <c r="S7" s="4"/>
      <c r="T7" s="4"/>
      <c r="U7" s="4"/>
    </row>
    <row r="8" spans="2:21" ht="20.100000000000001" customHeight="1" x14ac:dyDescent="0.3">
      <c r="B8" s="4"/>
      <c r="C8" s="4"/>
      <c r="D8" s="4"/>
      <c r="E8" s="4"/>
      <c r="F8" s="4"/>
      <c r="G8" s="4"/>
      <c r="H8" s="4"/>
      <c r="I8" s="1"/>
      <c r="J8" s="1"/>
      <c r="K8" s="4"/>
      <c r="L8" s="4"/>
      <c r="M8" s="4"/>
      <c r="N8" s="4"/>
      <c r="O8" s="4"/>
      <c r="P8" s="4"/>
      <c r="Q8" s="4"/>
      <c r="R8" s="4"/>
      <c r="S8" s="4"/>
      <c r="T8" s="4"/>
      <c r="U8" s="4"/>
    </row>
    <row r="9" spans="2:21" ht="20.100000000000001" customHeight="1" x14ac:dyDescent="0.3">
      <c r="B9" s="4"/>
      <c r="C9" s="4"/>
      <c r="D9" s="4"/>
      <c r="E9" s="4"/>
      <c r="F9" s="4"/>
      <c r="G9" s="4"/>
      <c r="H9" s="4"/>
      <c r="I9" s="1"/>
      <c r="J9" s="1"/>
      <c r="K9" s="4"/>
      <c r="L9" s="4"/>
      <c r="M9" s="4"/>
      <c r="N9" s="4"/>
      <c r="O9" s="4"/>
      <c r="P9" s="4"/>
      <c r="Q9" s="4"/>
      <c r="R9" s="4"/>
      <c r="S9" s="4"/>
      <c r="T9" s="4"/>
      <c r="U9" s="4"/>
    </row>
    <row r="10" spans="2:21" ht="20.100000000000001" customHeight="1" x14ac:dyDescent="0.3">
      <c r="B10" s="4"/>
      <c r="C10" s="4"/>
      <c r="D10" s="4"/>
      <c r="E10" s="4"/>
      <c r="F10" s="4"/>
      <c r="G10" s="4"/>
      <c r="H10" s="4"/>
      <c r="I10" s="1"/>
      <c r="J10" s="1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</row>
    <row r="11" spans="2:21" ht="20.100000000000001" customHeight="1" x14ac:dyDescent="0.3">
      <c r="B11" s="4"/>
      <c r="C11" s="4"/>
      <c r="D11" s="4"/>
      <c r="E11" s="4"/>
      <c r="F11" s="4"/>
      <c r="G11" s="4"/>
      <c r="H11" s="4"/>
      <c r="I11" s="1"/>
      <c r="J11" s="1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</row>
    <row r="12" spans="2:21" ht="20.100000000000001" customHeight="1" x14ac:dyDescent="0.3">
      <c r="B12" s="4"/>
      <c r="C12" s="4"/>
      <c r="D12" s="4"/>
      <c r="E12" s="4"/>
      <c r="F12" s="4"/>
      <c r="G12" s="4"/>
      <c r="H12" s="4"/>
      <c r="I12" s="1"/>
      <c r="J12" s="1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</row>
    <row r="13" spans="2:21" ht="20.100000000000001" customHeight="1" x14ac:dyDescent="0.3">
      <c r="B13" s="4"/>
      <c r="C13" s="4"/>
      <c r="D13" s="4"/>
      <c r="E13" s="4"/>
      <c r="F13" s="4"/>
      <c r="G13" s="4"/>
      <c r="H13" s="4"/>
      <c r="I13" s="1"/>
      <c r="J13" s="1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</row>
    <row r="14" spans="2:21" ht="20.100000000000001" customHeight="1" x14ac:dyDescent="0.3">
      <c r="B14" s="4"/>
      <c r="C14" s="4"/>
      <c r="D14" s="4"/>
      <c r="E14" s="4"/>
      <c r="F14" s="4"/>
      <c r="G14" s="4"/>
      <c r="H14" s="4"/>
      <c r="I14" s="1"/>
      <c r="J14" s="1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</row>
    <row r="15" spans="2:21" ht="20.100000000000001" customHeight="1" x14ac:dyDescent="0.3">
      <c r="B15" s="4"/>
      <c r="C15" s="4"/>
      <c r="D15" s="4"/>
      <c r="E15" s="4"/>
      <c r="F15" s="4"/>
      <c r="G15" s="4"/>
      <c r="H15" s="4"/>
      <c r="I15" s="1"/>
      <c r="J15" s="1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</row>
    <row r="16" spans="2:21" ht="20.100000000000001" customHeight="1" x14ac:dyDescent="0.3">
      <c r="B16" s="4"/>
      <c r="C16" s="4"/>
      <c r="D16" s="4"/>
      <c r="E16" s="4"/>
      <c r="F16" s="4"/>
      <c r="G16" s="4"/>
      <c r="H16" s="4"/>
      <c r="I16" s="1"/>
      <c r="J16" s="1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</row>
    <row r="17" spans="2:21" ht="20.100000000000001" customHeight="1" x14ac:dyDescent="0.3">
      <c r="B17" s="4"/>
      <c r="C17" s="4"/>
      <c r="D17" s="4"/>
      <c r="E17" s="4"/>
      <c r="F17" s="4"/>
      <c r="G17" s="4"/>
      <c r="H17" s="4"/>
      <c r="I17" s="1"/>
      <c r="J17" s="1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</row>
    <row r="18" spans="2:21" ht="20.100000000000001" customHeight="1" x14ac:dyDescent="0.3">
      <c r="B18" s="4"/>
      <c r="C18" s="4"/>
      <c r="D18" s="4"/>
      <c r="E18" s="4"/>
      <c r="F18" s="4"/>
      <c r="G18" s="4"/>
      <c r="H18" s="4"/>
      <c r="I18" s="1"/>
      <c r="J18" s="1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</row>
    <row r="19" spans="2:21" ht="20.100000000000001" customHeight="1" x14ac:dyDescent="0.3">
      <c r="B19" s="4"/>
      <c r="C19" s="4"/>
      <c r="D19" s="4"/>
      <c r="E19" s="4"/>
      <c r="F19" s="4"/>
      <c r="G19" s="4"/>
      <c r="H19" s="4"/>
      <c r="I19" s="1"/>
      <c r="J19" s="1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</row>
    <row r="20" spans="2:21" ht="20.100000000000001" customHeight="1" x14ac:dyDescent="0.3">
      <c r="B20" s="4"/>
      <c r="C20" s="4"/>
      <c r="D20" s="4"/>
      <c r="E20" s="4"/>
      <c r="F20" s="4"/>
      <c r="G20" s="4"/>
      <c r="H20" s="4"/>
      <c r="I20" s="1"/>
      <c r="J20" s="1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</row>
    <row r="21" spans="2:21" ht="20.100000000000001" customHeight="1" x14ac:dyDescent="0.3">
      <c r="B21" s="4"/>
      <c r="C21" s="4"/>
      <c r="D21" s="4"/>
      <c r="E21" s="4"/>
      <c r="F21" s="4"/>
      <c r="G21" s="4"/>
      <c r="H21" s="4"/>
      <c r="I21" s="1"/>
      <c r="J21" s="1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</row>
    <row r="22" spans="2:21" ht="20.100000000000001" customHeight="1" x14ac:dyDescent="0.3">
      <c r="B22" s="4"/>
      <c r="C22" s="4"/>
      <c r="D22" s="4"/>
      <c r="E22" s="4"/>
      <c r="F22" s="4"/>
      <c r="G22" s="4"/>
      <c r="H22" s="4"/>
      <c r="I22" s="1"/>
      <c r="J22" s="1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</row>
    <row r="23" spans="2:21" ht="20.100000000000001" customHeight="1" x14ac:dyDescent="0.3">
      <c r="B23" s="4"/>
      <c r="C23" s="4"/>
      <c r="D23" s="4"/>
      <c r="E23" s="4"/>
      <c r="F23" s="4"/>
      <c r="G23" s="4"/>
      <c r="H23" s="4"/>
      <c r="I23" s="1"/>
      <c r="J23" s="1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</row>
    <row r="24" spans="2:21" ht="20.100000000000001" customHeight="1" x14ac:dyDescent="0.3">
      <c r="B24" s="4"/>
      <c r="C24" s="4"/>
      <c r="D24" s="4"/>
      <c r="E24" s="4"/>
      <c r="F24" s="4"/>
      <c r="G24" s="4"/>
      <c r="H24" s="4"/>
      <c r="I24" s="1"/>
      <c r="J24" s="1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</row>
    <row r="25" spans="2:21" ht="20.100000000000001" customHeight="1" x14ac:dyDescent="0.3">
      <c r="B25" s="4"/>
      <c r="C25" s="4"/>
      <c r="D25" s="4"/>
      <c r="E25" s="4"/>
      <c r="F25" s="4"/>
      <c r="G25" s="4"/>
      <c r="H25" s="4"/>
      <c r="I25" s="1"/>
      <c r="J25" s="1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</row>
    <row r="26" spans="2:21" ht="20.100000000000001" customHeight="1" x14ac:dyDescent="0.3">
      <c r="B26" s="4"/>
      <c r="C26" s="4"/>
      <c r="D26" s="4"/>
      <c r="E26" s="4"/>
      <c r="F26" s="4"/>
      <c r="G26" s="4"/>
      <c r="H26" s="4"/>
      <c r="I26" s="1"/>
      <c r="J26" s="1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</row>
    <row r="27" spans="2:21" ht="20.100000000000001" customHeight="1" x14ac:dyDescent="0.3">
      <c r="B27" s="4"/>
      <c r="C27" s="4"/>
      <c r="D27" s="4"/>
      <c r="E27" s="4"/>
      <c r="F27" s="4"/>
      <c r="G27" s="4"/>
      <c r="H27" s="4"/>
      <c r="I27" s="1"/>
      <c r="J27" s="1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</row>
    <row r="28" spans="2:21" ht="20.100000000000001" customHeight="1" x14ac:dyDescent="0.3">
      <c r="B28" s="4"/>
      <c r="C28" s="4"/>
      <c r="D28" s="4"/>
      <c r="E28" s="4"/>
      <c r="F28" s="4"/>
      <c r="G28" s="4"/>
      <c r="H28" s="4"/>
      <c r="I28" s="1"/>
      <c r="J28" s="1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</row>
    <row r="29" spans="2:21" ht="20.100000000000001" customHeight="1" x14ac:dyDescent="0.3">
      <c r="B29" s="4"/>
      <c r="C29" s="4"/>
      <c r="D29" s="4"/>
      <c r="E29" s="4"/>
      <c r="F29" s="4"/>
      <c r="G29" s="4"/>
      <c r="H29" s="4"/>
      <c r="I29" s="1"/>
      <c r="J29" s="1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</row>
  </sheetData>
  <mergeCells count="1">
    <mergeCell ref="B2:U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Dashboard2</vt:lpstr>
      <vt:lpstr>MENU</vt:lpstr>
      <vt:lpstr>Procyfloc GS50</vt:lpstr>
      <vt:lpstr>Procyflo 27TC</vt:lpstr>
      <vt:lpstr>Procyfloc 500</vt:lpstr>
      <vt:lpstr>Procyflof 700</vt:lpstr>
      <vt:lpstr>Procyfloc 956A</vt:lpstr>
      <vt:lpstr>Procyfloc 1009</vt:lpstr>
      <vt:lpstr>Procyfloc 4800</vt:lpstr>
      <vt:lpstr>Procyfloc AL200</vt:lpstr>
      <vt:lpstr>PADRÃO </vt:lpstr>
      <vt:lpstr>Dashboard2!Area_de_impressao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isabel</dc:creator>
  <cp:lastModifiedBy>Kaiqui Lucas</cp:lastModifiedBy>
  <dcterms:created xsi:type="dcterms:W3CDTF">2021-12-27T12:00:38Z</dcterms:created>
  <dcterms:modified xsi:type="dcterms:W3CDTF">2026-05-29T13:17:27Z</dcterms:modified>
</cp:coreProperties>
</file>